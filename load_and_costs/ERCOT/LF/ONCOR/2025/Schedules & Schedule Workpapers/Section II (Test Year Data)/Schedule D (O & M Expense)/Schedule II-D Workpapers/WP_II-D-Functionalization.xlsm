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6B55B4AF-18D2-4A15-A34D-3B6A5A5F9E55}" xr6:coauthVersionLast="47" xr6:coauthVersionMax="47" xr10:uidLastSave="{00000000-0000-0000-0000-000000000000}"/>
  <x:bookViews>
    <x:workbookView xWindow="-120" yWindow="-120" windowWidth="29040" windowHeight="15720" xr2:uid="{A679C875-5D9E-4151-8872-CCB624AE9E6A}"/>
  </x:bookViews>
  <x:sheets>
    <x:sheet name="Sheet1" sheetId="1" r:id="rId1"/>
  </x:sheets>
  <x:definedNames>
    <x:definedName name="_xlnm.Print_Titles" localSheetId="0">Sheet1!$1:$2</x:definedName>
  </x:definedNames>
  <x:calcPr calcId="191029" calcMode="manual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F3399" i="1" l="1"/>
  <x:c r="G3399" i="1"/>
  <x:c r="H3399" i="1"/>
  <x:c r="I3399" i="1"/>
  <x:c r="J3399" i="1"/>
  <x:c r="K3399" i="1"/>
  <x:c r="L3399" i="1"/>
  <x:c r="M3399" i="1"/>
  <x:c r="N3399" i="1"/>
  <x:c r="E3399" i="1"/>
  <x:c r="F3397" i="1"/>
  <x:c r="G3397" i="1"/>
  <x:c r="H3397" i="1"/>
  <x:c r="I3397" i="1"/>
  <x:c r="J3397" i="1"/>
  <x:c r="K3397" i="1"/>
  <x:c r="L3397" i="1"/>
  <x:c r="M3397" i="1"/>
  <x:c r="N3397" i="1"/>
  <x:c r="E3397" i="1"/>
  <x:c r="F2181" i="1"/>
  <x:c r="G2181" i="1"/>
  <x:c r="H2181" i="1"/>
  <x:c r="I2181" i="1"/>
  <x:c r="J2181" i="1"/>
  <x:c r="K2181" i="1"/>
  <x:c r="L2181" i="1"/>
  <x:c r="M2181" i="1"/>
  <x:c r="N2181" i="1"/>
  <x:c r="E2181" i="1"/>
  <x:c r="F2156" i="1"/>
  <x:c r="G2156" i="1"/>
  <x:c r="I2156" i="1"/>
  <x:c r="J2156" i="1"/>
  <x:c r="L2156" i="1"/>
  <x:c r="M2156" i="1"/>
  <x:c r="E2156" i="1"/>
  <x:c r="F2124" i="1"/>
  <x:c r="F2126" i="1" s="1"/>
  <x:c r="G2124" i="1"/>
  <x:c r="I2124" i="1"/>
  <x:c r="J2124" i="1"/>
  <x:c r="L2124" i="1"/>
  <x:c r="M2124" i="1"/>
  <x:c r="E2124" i="1"/>
  <x:c r="F1398" i="1"/>
  <x:c r="G1398" i="1"/>
  <x:c r="I1398" i="1"/>
  <x:c r="J1398" i="1"/>
  <x:c r="L1398" i="1"/>
  <x:c r="M1398" i="1"/>
  <x:c r="M2126" i="1" s="1"/>
  <x:c r="E1398" i="1"/>
  <x:c r="F451" i="1"/>
  <x:c r="G451" i="1"/>
  <x:c r="I451" i="1"/>
  <x:c r="J451" i="1"/>
  <x:c r="L451" i="1"/>
  <x:c r="M451" i="1"/>
  <x:c r="M453" i="1" s="1"/>
  <x:c r="E451" i="1"/>
  <x:c r="F287" i="1"/>
  <x:c r="G287" i="1"/>
  <x:c r="I287" i="1"/>
  <x:c r="J287" i="1"/>
  <x:c r="L287" i="1"/>
  <x:c r="M287" i="1"/>
  <x:c r="E287" i="1"/>
  <x:c r="H4" i="1"/>
  <x:c r="K4" i="1"/>
  <x:c r="N4" i="1"/>
  <x:c r="H5" i="1"/>
  <x:c r="K5" i="1"/>
  <x:c r="N5" i="1"/>
  <x:c r="H6" i="1"/>
  <x:c r="K6" i="1"/>
  <x:c r="N6" i="1"/>
  <x:c r="H7" i="1"/>
  <x:c r="K7" i="1"/>
  <x:c r="N7" i="1"/>
  <x:c r="H8" i="1"/>
  <x:c r="K8" i="1"/>
  <x:c r="N8" i="1"/>
  <x:c r="H9" i="1"/>
  <x:c r="K9" i="1"/>
  <x:c r="N9" i="1"/>
  <x:c r="H10" i="1"/>
  <x:c r="K10" i="1"/>
  <x:c r="N10" i="1"/>
  <x:c r="H11" i="1"/>
  <x:c r="K11" i="1"/>
  <x:c r="N11" i="1"/>
  <x:c r="H12" i="1"/>
  <x:c r="K12" i="1"/>
  <x:c r="N12" i="1"/>
  <x:c r="H13" i="1"/>
  <x:c r="K13" i="1"/>
  <x:c r="N13" i="1"/>
  <x:c r="H14" i="1"/>
  <x:c r="K14" i="1"/>
  <x:c r="N14" i="1"/>
  <x:c r="H15" i="1"/>
  <x:c r="K15" i="1"/>
  <x:c r="N15" i="1"/>
  <x:c r="H16" i="1"/>
  <x:c r="K16" i="1"/>
  <x:c r="N16" i="1"/>
  <x:c r="H17" i="1"/>
  <x:c r="K17" i="1"/>
  <x:c r="N17" i="1"/>
  <x:c r="H18" i="1"/>
  <x:c r="K18" i="1"/>
  <x:c r="N18" i="1"/>
  <x:c r="H19" i="1"/>
  <x:c r="K19" i="1"/>
  <x:c r="N19" i="1"/>
  <x:c r="H20" i="1"/>
  <x:c r="K20" i="1"/>
  <x:c r="N20" i="1"/>
  <x:c r="H21" i="1"/>
  <x:c r="K21" i="1"/>
  <x:c r="N21" i="1"/>
  <x:c r="H22" i="1"/>
  <x:c r="K22" i="1"/>
  <x:c r="N22" i="1"/>
  <x:c r="H23" i="1"/>
  <x:c r="K23" i="1"/>
  <x:c r="N23" i="1"/>
  <x:c r="H24" i="1"/>
  <x:c r="K24" i="1"/>
  <x:c r="N24" i="1"/>
  <x:c r="H25" i="1"/>
  <x:c r="K25" i="1"/>
  <x:c r="N25" i="1"/>
  <x:c r="H26" i="1"/>
  <x:c r="K26" i="1"/>
  <x:c r="N26" i="1"/>
  <x:c r="H27" i="1"/>
  <x:c r="K27" i="1"/>
  <x:c r="N27" i="1"/>
  <x:c r="H28" i="1"/>
  <x:c r="K28" i="1"/>
  <x:c r="N28" i="1"/>
  <x:c r="H29" i="1"/>
  <x:c r="K29" i="1"/>
  <x:c r="N29" i="1"/>
  <x:c r="H30" i="1"/>
  <x:c r="K30" i="1"/>
  <x:c r="N30" i="1"/>
  <x:c r="H31" i="1"/>
  <x:c r="K31" i="1"/>
  <x:c r="N31" i="1"/>
  <x:c r="H32" i="1"/>
  <x:c r="K32" i="1"/>
  <x:c r="N32" i="1"/>
  <x:c r="H33" i="1"/>
  <x:c r="K33" i="1"/>
  <x:c r="N33" i="1"/>
  <x:c r="H34" i="1"/>
  <x:c r="K34" i="1"/>
  <x:c r="N34" i="1"/>
  <x:c r="H35" i="1"/>
  <x:c r="K35" i="1"/>
  <x:c r="N35" i="1"/>
  <x:c r="H36" i="1"/>
  <x:c r="K36" i="1"/>
  <x:c r="N36" i="1"/>
  <x:c r="H37" i="1"/>
  <x:c r="K37" i="1"/>
  <x:c r="N37" i="1"/>
  <x:c r="H38" i="1"/>
  <x:c r="K38" i="1"/>
  <x:c r="N38" i="1"/>
  <x:c r="H39" i="1"/>
  <x:c r="K39" i="1"/>
  <x:c r="N39" i="1"/>
  <x:c r="H40" i="1"/>
  <x:c r="K40" i="1"/>
  <x:c r="N40" i="1"/>
  <x:c r="H41" i="1"/>
  <x:c r="K41" i="1"/>
  <x:c r="N41" i="1"/>
  <x:c r="H42" i="1"/>
  <x:c r="K42" i="1"/>
  <x:c r="N42" i="1"/>
  <x:c r="H43" i="1"/>
  <x:c r="K43" i="1"/>
  <x:c r="N43" i="1"/>
  <x:c r="H44" i="1"/>
  <x:c r="K44" i="1"/>
  <x:c r="N44" i="1"/>
  <x:c r="H45" i="1"/>
  <x:c r="K45" i="1"/>
  <x:c r="N45" i="1"/>
  <x:c r="H46" i="1"/>
  <x:c r="K46" i="1"/>
  <x:c r="N46" i="1"/>
  <x:c r="H47" i="1"/>
  <x:c r="K47" i="1"/>
  <x:c r="N47" i="1"/>
  <x:c r="H48" i="1"/>
  <x:c r="K48" i="1"/>
  <x:c r="N48" i="1"/>
  <x:c r="H49" i="1"/>
  <x:c r="K49" i="1"/>
  <x:c r="N49" i="1"/>
  <x:c r="H50" i="1"/>
  <x:c r="K50" i="1"/>
  <x:c r="N50" i="1"/>
  <x:c r="H51" i="1"/>
  <x:c r="K51" i="1"/>
  <x:c r="N51" i="1"/>
  <x:c r="H52" i="1"/>
  <x:c r="K52" i="1"/>
  <x:c r="N52" i="1"/>
  <x:c r="H53" i="1"/>
  <x:c r="K53" i="1"/>
  <x:c r="N53" i="1"/>
  <x:c r="H54" i="1"/>
  <x:c r="K54" i="1"/>
  <x:c r="N54" i="1"/>
  <x:c r="H55" i="1"/>
  <x:c r="K55" i="1"/>
  <x:c r="N55" i="1"/>
  <x:c r="H56" i="1"/>
  <x:c r="K56" i="1"/>
  <x:c r="N56" i="1"/>
  <x:c r="H57" i="1"/>
  <x:c r="K57" i="1"/>
  <x:c r="N57" i="1"/>
  <x:c r="H58" i="1"/>
  <x:c r="K58" i="1"/>
  <x:c r="N58" i="1"/>
  <x:c r="H59" i="1"/>
  <x:c r="K59" i="1"/>
  <x:c r="N59" i="1"/>
  <x:c r="H60" i="1"/>
  <x:c r="K60" i="1"/>
  <x:c r="N60" i="1"/>
  <x:c r="H61" i="1"/>
  <x:c r="K61" i="1"/>
  <x:c r="N61" i="1"/>
  <x:c r="H62" i="1"/>
  <x:c r="K62" i="1"/>
  <x:c r="N62" i="1"/>
  <x:c r="H63" i="1"/>
  <x:c r="K63" i="1"/>
  <x:c r="N63" i="1"/>
  <x:c r="H64" i="1"/>
  <x:c r="K64" i="1"/>
  <x:c r="N64" i="1"/>
  <x:c r="H65" i="1"/>
  <x:c r="K65" i="1"/>
  <x:c r="N65" i="1"/>
  <x:c r="H66" i="1"/>
  <x:c r="K66" i="1"/>
  <x:c r="N66" i="1"/>
  <x:c r="H67" i="1"/>
  <x:c r="K67" i="1"/>
  <x:c r="N67" i="1"/>
  <x:c r="H68" i="1"/>
  <x:c r="K68" i="1"/>
  <x:c r="N68" i="1"/>
  <x:c r="H69" i="1"/>
  <x:c r="K69" i="1"/>
  <x:c r="N69" i="1"/>
  <x:c r="H70" i="1"/>
  <x:c r="K70" i="1"/>
  <x:c r="N70" i="1"/>
  <x:c r="H71" i="1"/>
  <x:c r="K71" i="1"/>
  <x:c r="N71" i="1"/>
  <x:c r="H72" i="1"/>
  <x:c r="K72" i="1"/>
  <x:c r="N72" i="1"/>
  <x:c r="H73" i="1"/>
  <x:c r="K73" i="1"/>
  <x:c r="N73" i="1"/>
  <x:c r="H74" i="1"/>
  <x:c r="K74" i="1"/>
  <x:c r="N74" i="1"/>
  <x:c r="H75" i="1"/>
  <x:c r="K75" i="1"/>
  <x:c r="N75" i="1"/>
  <x:c r="H76" i="1"/>
  <x:c r="K76" i="1"/>
  <x:c r="N76" i="1"/>
  <x:c r="H77" i="1"/>
  <x:c r="K77" i="1"/>
  <x:c r="N77" i="1"/>
  <x:c r="H78" i="1"/>
  <x:c r="K78" i="1"/>
  <x:c r="N78" i="1"/>
  <x:c r="H79" i="1"/>
  <x:c r="K79" i="1"/>
  <x:c r="N79" i="1"/>
  <x:c r="H80" i="1"/>
  <x:c r="K80" i="1"/>
  <x:c r="N80" i="1"/>
  <x:c r="H81" i="1"/>
  <x:c r="K81" i="1"/>
  <x:c r="N81" i="1"/>
  <x:c r="H82" i="1"/>
  <x:c r="K82" i="1"/>
  <x:c r="N82" i="1"/>
  <x:c r="H83" i="1"/>
  <x:c r="K83" i="1"/>
  <x:c r="N83" i="1"/>
  <x:c r="H84" i="1"/>
  <x:c r="K84" i="1"/>
  <x:c r="N84" i="1"/>
  <x:c r="H85" i="1"/>
  <x:c r="K85" i="1"/>
  <x:c r="N85" i="1"/>
  <x:c r="H86" i="1"/>
  <x:c r="K86" i="1"/>
  <x:c r="N86" i="1"/>
  <x:c r="H87" i="1"/>
  <x:c r="K87" i="1"/>
  <x:c r="N87" i="1"/>
  <x:c r="H88" i="1"/>
  <x:c r="K88" i="1"/>
  <x:c r="N88" i="1"/>
  <x:c r="H89" i="1"/>
  <x:c r="K89" i="1"/>
  <x:c r="N89" i="1"/>
  <x:c r="H90" i="1"/>
  <x:c r="K90" i="1"/>
  <x:c r="N90" i="1"/>
  <x:c r="H91" i="1"/>
  <x:c r="K91" i="1"/>
  <x:c r="N91" i="1"/>
  <x:c r="H92" i="1"/>
  <x:c r="K92" i="1"/>
  <x:c r="N92" i="1"/>
  <x:c r="H93" i="1"/>
  <x:c r="K93" i="1"/>
  <x:c r="N93" i="1"/>
  <x:c r="H94" i="1"/>
  <x:c r="K94" i="1"/>
  <x:c r="N94" i="1"/>
  <x:c r="H95" i="1"/>
  <x:c r="K95" i="1"/>
  <x:c r="N95" i="1"/>
  <x:c r="H96" i="1"/>
  <x:c r="K96" i="1"/>
  <x:c r="N96" i="1"/>
  <x:c r="H97" i="1"/>
  <x:c r="K97" i="1"/>
  <x:c r="N97" i="1"/>
  <x:c r="H98" i="1"/>
  <x:c r="K98" i="1"/>
  <x:c r="N98" i="1"/>
  <x:c r="H99" i="1"/>
  <x:c r="K99" i="1"/>
  <x:c r="N99" i="1"/>
  <x:c r="H100" i="1"/>
  <x:c r="K100" i="1"/>
  <x:c r="N100" i="1"/>
  <x:c r="H101" i="1"/>
  <x:c r="K101" i="1"/>
  <x:c r="N101" i="1"/>
  <x:c r="H102" i="1"/>
  <x:c r="K102" i="1"/>
  <x:c r="N102" i="1"/>
  <x:c r="H103" i="1"/>
  <x:c r="K103" i="1"/>
  <x:c r="N103" i="1"/>
  <x:c r="H104" i="1"/>
  <x:c r="K104" i="1"/>
  <x:c r="N104" i="1"/>
  <x:c r="H105" i="1"/>
  <x:c r="K105" i="1"/>
  <x:c r="N105" i="1"/>
  <x:c r="H106" i="1"/>
  <x:c r="K106" i="1"/>
  <x:c r="N106" i="1"/>
  <x:c r="H107" i="1"/>
  <x:c r="K107" i="1"/>
  <x:c r="N107" i="1"/>
  <x:c r="H108" i="1"/>
  <x:c r="K108" i="1"/>
  <x:c r="N108" i="1"/>
  <x:c r="H109" i="1"/>
  <x:c r="K109" i="1"/>
  <x:c r="N109" i="1"/>
  <x:c r="H110" i="1"/>
  <x:c r="K110" i="1"/>
  <x:c r="N110" i="1"/>
  <x:c r="H111" i="1"/>
  <x:c r="K111" i="1"/>
  <x:c r="N111" i="1"/>
  <x:c r="H112" i="1"/>
  <x:c r="K112" i="1"/>
  <x:c r="N112" i="1"/>
  <x:c r="H113" i="1"/>
  <x:c r="K113" i="1"/>
  <x:c r="N113" i="1"/>
  <x:c r="H114" i="1"/>
  <x:c r="K114" i="1"/>
  <x:c r="N114" i="1"/>
  <x:c r="H115" i="1"/>
  <x:c r="K115" i="1"/>
  <x:c r="N115" i="1"/>
  <x:c r="H116" i="1"/>
  <x:c r="K116" i="1"/>
  <x:c r="N116" i="1"/>
  <x:c r="H117" i="1"/>
  <x:c r="K117" i="1"/>
  <x:c r="N117" i="1"/>
  <x:c r="H118" i="1"/>
  <x:c r="K118" i="1"/>
  <x:c r="N118" i="1"/>
  <x:c r="H119" i="1"/>
  <x:c r="K119" i="1"/>
  <x:c r="N119" i="1"/>
  <x:c r="H120" i="1"/>
  <x:c r="K120" i="1"/>
  <x:c r="N120" i="1"/>
  <x:c r="H121" i="1"/>
  <x:c r="K121" i="1"/>
  <x:c r="N121" i="1"/>
  <x:c r="H122" i="1"/>
  <x:c r="K122" i="1"/>
  <x:c r="N122" i="1"/>
  <x:c r="H123" i="1"/>
  <x:c r="K123" i="1"/>
  <x:c r="N123" i="1"/>
  <x:c r="H124" i="1"/>
  <x:c r="K124" i="1"/>
  <x:c r="N124" i="1"/>
  <x:c r="H125" i="1"/>
  <x:c r="K125" i="1"/>
  <x:c r="N125" i="1"/>
  <x:c r="H126" i="1"/>
  <x:c r="K126" i="1"/>
  <x:c r="N126" i="1"/>
  <x:c r="H127" i="1"/>
  <x:c r="K127" i="1"/>
  <x:c r="N127" i="1"/>
  <x:c r="H128" i="1"/>
  <x:c r="K128" i="1"/>
  <x:c r="N128" i="1"/>
  <x:c r="H129" i="1"/>
  <x:c r="K129" i="1"/>
  <x:c r="N129" i="1"/>
  <x:c r="H130" i="1"/>
  <x:c r="K130" i="1"/>
  <x:c r="N130" i="1"/>
  <x:c r="H131" i="1"/>
  <x:c r="K131" i="1"/>
  <x:c r="N131" i="1"/>
  <x:c r="H132" i="1"/>
  <x:c r="K132" i="1"/>
  <x:c r="N132" i="1"/>
  <x:c r="H133" i="1"/>
  <x:c r="K133" i="1"/>
  <x:c r="N133" i="1"/>
  <x:c r="H134" i="1"/>
  <x:c r="K134" i="1"/>
  <x:c r="N134" i="1"/>
  <x:c r="H135" i="1"/>
  <x:c r="K135" i="1"/>
  <x:c r="N135" i="1"/>
  <x:c r="H136" i="1"/>
  <x:c r="K136" i="1"/>
  <x:c r="N136" i="1"/>
  <x:c r="H137" i="1"/>
  <x:c r="K137" i="1"/>
  <x:c r="N137" i="1"/>
  <x:c r="H138" i="1"/>
  <x:c r="K138" i="1"/>
  <x:c r="N138" i="1"/>
  <x:c r="H139" i="1"/>
  <x:c r="K139" i="1"/>
  <x:c r="N139" i="1"/>
  <x:c r="H140" i="1"/>
  <x:c r="K140" i="1"/>
  <x:c r="N140" i="1"/>
  <x:c r="H141" i="1"/>
  <x:c r="K141" i="1"/>
  <x:c r="N141" i="1"/>
  <x:c r="H142" i="1"/>
  <x:c r="K142" i="1"/>
  <x:c r="N142" i="1"/>
  <x:c r="H143" i="1"/>
  <x:c r="K143" i="1"/>
  <x:c r="N143" i="1"/>
  <x:c r="H144" i="1"/>
  <x:c r="K144" i="1"/>
  <x:c r="N144" i="1"/>
  <x:c r="H145" i="1"/>
  <x:c r="K145" i="1"/>
  <x:c r="N145" i="1"/>
  <x:c r="H146" i="1"/>
  <x:c r="K146" i="1"/>
  <x:c r="N146" i="1"/>
  <x:c r="H147" i="1"/>
  <x:c r="K147" i="1"/>
  <x:c r="N147" i="1"/>
  <x:c r="H148" i="1"/>
  <x:c r="K148" i="1"/>
  <x:c r="N148" i="1"/>
  <x:c r="H149" i="1"/>
  <x:c r="K149" i="1"/>
  <x:c r="N149" i="1"/>
  <x:c r="H150" i="1"/>
  <x:c r="K150" i="1"/>
  <x:c r="N150" i="1"/>
  <x:c r="H151" i="1"/>
  <x:c r="K151" i="1"/>
  <x:c r="N151" i="1"/>
  <x:c r="H152" i="1"/>
  <x:c r="K152" i="1"/>
  <x:c r="N152" i="1"/>
  <x:c r="H153" i="1"/>
  <x:c r="K153" i="1"/>
  <x:c r="N153" i="1"/>
  <x:c r="H154" i="1"/>
  <x:c r="K154" i="1"/>
  <x:c r="N154" i="1"/>
  <x:c r="H155" i="1"/>
  <x:c r="K155" i="1"/>
  <x:c r="N155" i="1"/>
  <x:c r="H156" i="1"/>
  <x:c r="K156" i="1"/>
  <x:c r="N156" i="1"/>
  <x:c r="H157" i="1"/>
  <x:c r="K157" i="1"/>
  <x:c r="N157" i="1"/>
  <x:c r="H158" i="1"/>
  <x:c r="K158" i="1"/>
  <x:c r="N158" i="1"/>
  <x:c r="H159" i="1"/>
  <x:c r="K159" i="1"/>
  <x:c r="N159" i="1"/>
  <x:c r="H160" i="1"/>
  <x:c r="K160" i="1"/>
  <x:c r="N160" i="1"/>
  <x:c r="H161" i="1"/>
  <x:c r="K161" i="1"/>
  <x:c r="N161" i="1"/>
  <x:c r="H162" i="1"/>
  <x:c r="K162" i="1"/>
  <x:c r="N162" i="1"/>
  <x:c r="H163" i="1"/>
  <x:c r="K163" i="1"/>
  <x:c r="N163" i="1"/>
  <x:c r="H164" i="1"/>
  <x:c r="K164" i="1"/>
  <x:c r="N164" i="1"/>
  <x:c r="H165" i="1"/>
  <x:c r="K165" i="1"/>
  <x:c r="N165" i="1"/>
  <x:c r="H166" i="1"/>
  <x:c r="K166" i="1"/>
  <x:c r="N166" i="1"/>
  <x:c r="H167" i="1"/>
  <x:c r="K167" i="1"/>
  <x:c r="N167" i="1"/>
  <x:c r="H168" i="1"/>
  <x:c r="K168" i="1"/>
  <x:c r="N168" i="1"/>
  <x:c r="H169" i="1"/>
  <x:c r="K169" i="1"/>
  <x:c r="N169" i="1"/>
  <x:c r="H170" i="1"/>
  <x:c r="K170" i="1"/>
  <x:c r="N170" i="1"/>
  <x:c r="H171" i="1"/>
  <x:c r="K171" i="1"/>
  <x:c r="N171" i="1"/>
  <x:c r="H172" i="1"/>
  <x:c r="K172" i="1"/>
  <x:c r="N172" i="1"/>
  <x:c r="H173" i="1"/>
  <x:c r="K173" i="1"/>
  <x:c r="N173" i="1"/>
  <x:c r="H174" i="1"/>
  <x:c r="K174" i="1"/>
  <x:c r="N174" i="1"/>
  <x:c r="H175" i="1"/>
  <x:c r="K175" i="1"/>
  <x:c r="N175" i="1"/>
  <x:c r="H176" i="1"/>
  <x:c r="K176" i="1"/>
  <x:c r="N176" i="1"/>
  <x:c r="H177" i="1"/>
  <x:c r="K177" i="1"/>
  <x:c r="N177" i="1"/>
  <x:c r="H178" i="1"/>
  <x:c r="K178" i="1"/>
  <x:c r="N178" i="1"/>
  <x:c r="H179" i="1"/>
  <x:c r="K179" i="1"/>
  <x:c r="N179" i="1"/>
  <x:c r="H180" i="1"/>
  <x:c r="K180" i="1"/>
  <x:c r="N180" i="1"/>
  <x:c r="H181" i="1"/>
  <x:c r="K181" i="1"/>
  <x:c r="N181" i="1"/>
  <x:c r="H182" i="1"/>
  <x:c r="K182" i="1"/>
  <x:c r="N182" i="1"/>
  <x:c r="H183" i="1"/>
  <x:c r="K183" i="1"/>
  <x:c r="N183" i="1"/>
  <x:c r="H184" i="1"/>
  <x:c r="K184" i="1"/>
  <x:c r="N184" i="1"/>
  <x:c r="H185" i="1"/>
  <x:c r="K185" i="1"/>
  <x:c r="N185" i="1"/>
  <x:c r="H186" i="1"/>
  <x:c r="K186" i="1"/>
  <x:c r="N186" i="1"/>
  <x:c r="H187" i="1"/>
  <x:c r="K187" i="1"/>
  <x:c r="N187" i="1"/>
  <x:c r="H188" i="1"/>
  <x:c r="K188" i="1"/>
  <x:c r="N188" i="1"/>
  <x:c r="H189" i="1"/>
  <x:c r="K189" i="1"/>
  <x:c r="N189" i="1"/>
  <x:c r="H190" i="1"/>
  <x:c r="K190" i="1"/>
  <x:c r="N190" i="1"/>
  <x:c r="H191" i="1"/>
  <x:c r="K191" i="1"/>
  <x:c r="N191" i="1"/>
  <x:c r="H192" i="1"/>
  <x:c r="K192" i="1"/>
  <x:c r="N192" i="1"/>
  <x:c r="H193" i="1"/>
  <x:c r="K193" i="1"/>
  <x:c r="N193" i="1"/>
  <x:c r="H194" i="1"/>
  <x:c r="K194" i="1"/>
  <x:c r="N194" i="1"/>
  <x:c r="H195" i="1"/>
  <x:c r="K195" i="1"/>
  <x:c r="N195" i="1"/>
  <x:c r="H196" i="1"/>
  <x:c r="K196" i="1"/>
  <x:c r="N196" i="1"/>
  <x:c r="H197" i="1"/>
  <x:c r="K197" i="1"/>
  <x:c r="N197" i="1"/>
  <x:c r="H198" i="1"/>
  <x:c r="K198" i="1"/>
  <x:c r="N198" i="1"/>
  <x:c r="H199" i="1"/>
  <x:c r="K199" i="1"/>
  <x:c r="N199" i="1"/>
  <x:c r="H200" i="1"/>
  <x:c r="K200" i="1"/>
  <x:c r="N200" i="1"/>
  <x:c r="H201" i="1"/>
  <x:c r="K201" i="1"/>
  <x:c r="N201" i="1"/>
  <x:c r="H202" i="1"/>
  <x:c r="K202" i="1"/>
  <x:c r="N202" i="1"/>
  <x:c r="H203" i="1"/>
  <x:c r="K203" i="1"/>
  <x:c r="N203" i="1"/>
  <x:c r="H204" i="1"/>
  <x:c r="K204" i="1"/>
  <x:c r="N204" i="1"/>
  <x:c r="H205" i="1"/>
  <x:c r="K205" i="1"/>
  <x:c r="N205" i="1"/>
  <x:c r="H206" i="1"/>
  <x:c r="K206" i="1"/>
  <x:c r="N206" i="1"/>
  <x:c r="H207" i="1"/>
  <x:c r="K207" i="1"/>
  <x:c r="N207" i="1"/>
  <x:c r="H208" i="1"/>
  <x:c r="K208" i="1"/>
  <x:c r="N208" i="1"/>
  <x:c r="H209" i="1"/>
  <x:c r="K209" i="1"/>
  <x:c r="N209" i="1"/>
  <x:c r="H210" i="1"/>
  <x:c r="K210" i="1"/>
  <x:c r="N210" i="1"/>
  <x:c r="H211" i="1"/>
  <x:c r="K211" i="1"/>
  <x:c r="N211" i="1"/>
  <x:c r="H212" i="1"/>
  <x:c r="K212" i="1"/>
  <x:c r="N212" i="1"/>
  <x:c r="H213" i="1"/>
  <x:c r="K213" i="1"/>
  <x:c r="N213" i="1"/>
  <x:c r="H214" i="1"/>
  <x:c r="K214" i="1"/>
  <x:c r="N214" i="1"/>
  <x:c r="H215" i="1"/>
  <x:c r="K215" i="1"/>
  <x:c r="N215" i="1"/>
  <x:c r="H216" i="1"/>
  <x:c r="K216" i="1"/>
  <x:c r="N216" i="1"/>
  <x:c r="H217" i="1"/>
  <x:c r="K217" i="1"/>
  <x:c r="N217" i="1"/>
  <x:c r="H218" i="1"/>
  <x:c r="K218" i="1"/>
  <x:c r="N218" i="1"/>
  <x:c r="H219" i="1"/>
  <x:c r="K219" i="1"/>
  <x:c r="N219" i="1"/>
  <x:c r="H220" i="1"/>
  <x:c r="K220" i="1"/>
  <x:c r="N220" i="1"/>
  <x:c r="H221" i="1"/>
  <x:c r="K221" i="1"/>
  <x:c r="N221" i="1"/>
  <x:c r="H222" i="1"/>
  <x:c r="K222" i="1"/>
  <x:c r="N222" i="1"/>
  <x:c r="H223" i="1"/>
  <x:c r="K223" i="1"/>
  <x:c r="N223" i="1"/>
  <x:c r="H224" i="1"/>
  <x:c r="K224" i="1"/>
  <x:c r="N224" i="1"/>
  <x:c r="H225" i="1"/>
  <x:c r="K225" i="1"/>
  <x:c r="N225" i="1"/>
  <x:c r="H226" i="1"/>
  <x:c r="K226" i="1"/>
  <x:c r="N226" i="1"/>
  <x:c r="H227" i="1"/>
  <x:c r="K227" i="1"/>
  <x:c r="N227" i="1"/>
  <x:c r="H228" i="1"/>
  <x:c r="K228" i="1"/>
  <x:c r="N228" i="1"/>
  <x:c r="H229" i="1"/>
  <x:c r="K229" i="1"/>
  <x:c r="N229" i="1"/>
  <x:c r="H230" i="1"/>
  <x:c r="K230" i="1"/>
  <x:c r="N230" i="1"/>
  <x:c r="H231" i="1"/>
  <x:c r="K231" i="1"/>
  <x:c r="N231" i="1"/>
  <x:c r="H232" i="1"/>
  <x:c r="K232" i="1"/>
  <x:c r="N232" i="1"/>
  <x:c r="H233" i="1"/>
  <x:c r="K233" i="1"/>
  <x:c r="N233" i="1"/>
  <x:c r="H234" i="1"/>
  <x:c r="K234" i="1"/>
  <x:c r="N234" i="1"/>
  <x:c r="H235" i="1"/>
  <x:c r="K235" i="1"/>
  <x:c r="N235" i="1"/>
  <x:c r="H236" i="1"/>
  <x:c r="K236" i="1"/>
  <x:c r="N236" i="1"/>
  <x:c r="H237" i="1"/>
  <x:c r="K237" i="1"/>
  <x:c r="N237" i="1"/>
  <x:c r="H238" i="1"/>
  <x:c r="K238" i="1"/>
  <x:c r="N238" i="1"/>
  <x:c r="H239" i="1"/>
  <x:c r="K239" i="1"/>
  <x:c r="N239" i="1"/>
  <x:c r="H240" i="1"/>
  <x:c r="K240" i="1"/>
  <x:c r="N240" i="1"/>
  <x:c r="H241" i="1"/>
  <x:c r="K241" i="1"/>
  <x:c r="N241" i="1"/>
  <x:c r="H242" i="1"/>
  <x:c r="K242" i="1"/>
  <x:c r="N242" i="1"/>
  <x:c r="H243" i="1"/>
  <x:c r="K243" i="1"/>
  <x:c r="N243" i="1"/>
  <x:c r="H244" i="1"/>
  <x:c r="K244" i="1"/>
  <x:c r="N244" i="1"/>
  <x:c r="H245" i="1"/>
  <x:c r="K245" i="1"/>
  <x:c r="N245" i="1"/>
  <x:c r="H246" i="1"/>
  <x:c r="K246" i="1"/>
  <x:c r="N246" i="1"/>
  <x:c r="H247" i="1"/>
  <x:c r="K247" i="1"/>
  <x:c r="N247" i="1"/>
  <x:c r="H248" i="1"/>
  <x:c r="K248" i="1"/>
  <x:c r="N248" i="1"/>
  <x:c r="H249" i="1"/>
  <x:c r="K249" i="1"/>
  <x:c r="N249" i="1"/>
  <x:c r="H250" i="1"/>
  <x:c r="K250" i="1"/>
  <x:c r="N250" i="1"/>
  <x:c r="H251" i="1"/>
  <x:c r="K251" i="1"/>
  <x:c r="N251" i="1"/>
  <x:c r="H252" i="1"/>
  <x:c r="K252" i="1"/>
  <x:c r="N252" i="1"/>
  <x:c r="H253" i="1"/>
  <x:c r="K253" i="1"/>
  <x:c r="N253" i="1"/>
  <x:c r="H254" i="1"/>
  <x:c r="K254" i="1"/>
  <x:c r="N254" i="1"/>
  <x:c r="H255" i="1"/>
  <x:c r="K255" i="1"/>
  <x:c r="N255" i="1"/>
  <x:c r="H256" i="1"/>
  <x:c r="K256" i="1"/>
  <x:c r="N256" i="1"/>
  <x:c r="H257" i="1"/>
  <x:c r="K257" i="1"/>
  <x:c r="N257" i="1"/>
  <x:c r="H258" i="1"/>
  <x:c r="K258" i="1"/>
  <x:c r="N258" i="1"/>
  <x:c r="H259" i="1"/>
  <x:c r="K259" i="1"/>
  <x:c r="N259" i="1"/>
  <x:c r="H260" i="1"/>
  <x:c r="K260" i="1"/>
  <x:c r="N260" i="1"/>
  <x:c r="H261" i="1"/>
  <x:c r="K261" i="1"/>
  <x:c r="N261" i="1"/>
  <x:c r="H262" i="1"/>
  <x:c r="K262" i="1"/>
  <x:c r="N262" i="1"/>
  <x:c r="H263" i="1"/>
  <x:c r="K263" i="1"/>
  <x:c r="N263" i="1"/>
  <x:c r="H264" i="1"/>
  <x:c r="K264" i="1"/>
  <x:c r="N264" i="1"/>
  <x:c r="H265" i="1"/>
  <x:c r="K265" i="1"/>
  <x:c r="N265" i="1"/>
  <x:c r="H266" i="1"/>
  <x:c r="K266" i="1"/>
  <x:c r="N266" i="1"/>
  <x:c r="H267" i="1"/>
  <x:c r="K267" i="1"/>
  <x:c r="N267" i="1"/>
  <x:c r="H268" i="1"/>
  <x:c r="K268" i="1"/>
  <x:c r="N268" i="1"/>
  <x:c r="H269" i="1"/>
  <x:c r="K269" i="1"/>
  <x:c r="N269" i="1"/>
  <x:c r="H270" i="1"/>
  <x:c r="K270" i="1"/>
  <x:c r="N270" i="1"/>
  <x:c r="H271" i="1"/>
  <x:c r="K271" i="1"/>
  <x:c r="N271" i="1"/>
  <x:c r="H272" i="1"/>
  <x:c r="K272" i="1"/>
  <x:c r="N272" i="1"/>
  <x:c r="H273" i="1"/>
  <x:c r="K273" i="1"/>
  <x:c r="N273" i="1"/>
  <x:c r="H274" i="1"/>
  <x:c r="K274" i="1"/>
  <x:c r="N274" i="1"/>
  <x:c r="H275" i="1"/>
  <x:c r="K275" i="1"/>
  <x:c r="N275" i="1"/>
  <x:c r="H276" i="1"/>
  <x:c r="K276" i="1"/>
  <x:c r="N276" i="1"/>
  <x:c r="H277" i="1"/>
  <x:c r="K277" i="1"/>
  <x:c r="N277" i="1"/>
  <x:c r="H278" i="1"/>
  <x:c r="K278" i="1"/>
  <x:c r="N278" i="1"/>
  <x:c r="H279" i="1"/>
  <x:c r="K279" i="1"/>
  <x:c r="N279" i="1"/>
  <x:c r="H280" i="1"/>
  <x:c r="K280" i="1"/>
  <x:c r="N280" i="1"/>
  <x:c r="H281" i="1"/>
  <x:c r="K281" i="1"/>
  <x:c r="N281" i="1"/>
  <x:c r="H282" i="1"/>
  <x:c r="K282" i="1"/>
  <x:c r="N282" i="1"/>
  <x:c r="H283" i="1"/>
  <x:c r="K283" i="1"/>
  <x:c r="N283" i="1"/>
  <x:c r="H284" i="1"/>
  <x:c r="K284" i="1"/>
  <x:c r="N284" i="1"/>
  <x:c r="H285" i="1"/>
  <x:c r="K285" i="1"/>
  <x:c r="N285" i="1"/>
  <x:c r="H286" i="1"/>
  <x:c r="K286" i="1"/>
  <x:c r="N286" i="1"/>
  <x:c r="H291" i="1"/>
  <x:c r="K291" i="1"/>
  <x:c r="N291" i="1"/>
  <x:c r="H292" i="1"/>
  <x:c r="K292" i="1"/>
  <x:c r="N292" i="1"/>
  <x:c r="H293" i="1"/>
  <x:c r="K293" i="1"/>
  <x:c r="N293" i="1"/>
  <x:c r="H294" i="1"/>
  <x:c r="K294" i="1"/>
  <x:c r="N294" i="1"/>
  <x:c r="H295" i="1"/>
  <x:c r="K295" i="1"/>
  <x:c r="N295" i="1"/>
  <x:c r="H296" i="1"/>
  <x:c r="K296" i="1"/>
  <x:c r="N296" i="1"/>
  <x:c r="H297" i="1"/>
  <x:c r="K297" i="1"/>
  <x:c r="N297" i="1"/>
  <x:c r="H298" i="1"/>
  <x:c r="K298" i="1"/>
  <x:c r="N298" i="1"/>
  <x:c r="H299" i="1"/>
  <x:c r="K299" i="1"/>
  <x:c r="N299" i="1"/>
  <x:c r="H300" i="1"/>
  <x:c r="K300" i="1"/>
  <x:c r="N300" i="1"/>
  <x:c r="H301" i="1"/>
  <x:c r="K301" i="1"/>
  <x:c r="N301" i="1"/>
  <x:c r="H302" i="1"/>
  <x:c r="K302" i="1"/>
  <x:c r="N302" i="1"/>
  <x:c r="H303" i="1"/>
  <x:c r="K303" i="1"/>
  <x:c r="N303" i="1"/>
  <x:c r="H304" i="1"/>
  <x:c r="K304" i="1"/>
  <x:c r="N304" i="1"/>
  <x:c r="H305" i="1"/>
  <x:c r="K305" i="1"/>
  <x:c r="N305" i="1"/>
  <x:c r="H306" i="1"/>
  <x:c r="K306" i="1"/>
  <x:c r="N306" i="1"/>
  <x:c r="H307" i="1"/>
  <x:c r="K307" i="1"/>
  <x:c r="N307" i="1"/>
  <x:c r="H308" i="1"/>
  <x:c r="K308" i="1"/>
  <x:c r="N308" i="1"/>
  <x:c r="H309" i="1"/>
  <x:c r="K309" i="1"/>
  <x:c r="N309" i="1"/>
  <x:c r="H310" i="1"/>
  <x:c r="K310" i="1"/>
  <x:c r="N310" i="1"/>
  <x:c r="H311" i="1"/>
  <x:c r="K311" i="1"/>
  <x:c r="N311" i="1"/>
  <x:c r="H312" i="1"/>
  <x:c r="K312" i="1"/>
  <x:c r="N312" i="1"/>
  <x:c r="H313" i="1"/>
  <x:c r="K313" i="1"/>
  <x:c r="N313" i="1"/>
  <x:c r="H314" i="1"/>
  <x:c r="K314" i="1"/>
  <x:c r="N314" i="1"/>
  <x:c r="H315" i="1"/>
  <x:c r="K315" i="1"/>
  <x:c r="N315" i="1"/>
  <x:c r="H316" i="1"/>
  <x:c r="K316" i="1"/>
  <x:c r="N316" i="1"/>
  <x:c r="H317" i="1"/>
  <x:c r="K317" i="1"/>
  <x:c r="N317" i="1"/>
  <x:c r="H318" i="1"/>
  <x:c r="K318" i="1"/>
  <x:c r="N318" i="1"/>
  <x:c r="H319" i="1"/>
  <x:c r="K319" i="1"/>
  <x:c r="N319" i="1"/>
  <x:c r="H320" i="1"/>
  <x:c r="K320" i="1"/>
  <x:c r="N320" i="1"/>
  <x:c r="H321" i="1"/>
  <x:c r="K321" i="1"/>
  <x:c r="N321" i="1"/>
  <x:c r="H322" i="1"/>
  <x:c r="K322" i="1"/>
  <x:c r="N322" i="1"/>
  <x:c r="H323" i="1"/>
  <x:c r="K323" i="1"/>
  <x:c r="N323" i="1"/>
  <x:c r="H324" i="1"/>
  <x:c r="K324" i="1"/>
  <x:c r="N324" i="1"/>
  <x:c r="H325" i="1"/>
  <x:c r="K325" i="1"/>
  <x:c r="N325" i="1"/>
  <x:c r="H326" i="1"/>
  <x:c r="K326" i="1"/>
  <x:c r="N326" i="1"/>
  <x:c r="H327" i="1"/>
  <x:c r="K327" i="1"/>
  <x:c r="N327" i="1"/>
  <x:c r="H328" i="1"/>
  <x:c r="K328" i="1"/>
  <x:c r="N328" i="1"/>
  <x:c r="H329" i="1"/>
  <x:c r="K329" i="1"/>
  <x:c r="N329" i="1"/>
  <x:c r="H330" i="1"/>
  <x:c r="K330" i="1"/>
  <x:c r="N330" i="1"/>
  <x:c r="H331" i="1"/>
  <x:c r="K331" i="1"/>
  <x:c r="N331" i="1"/>
  <x:c r="H332" i="1"/>
  <x:c r="K332" i="1"/>
  <x:c r="N332" i="1"/>
  <x:c r="H333" i="1"/>
  <x:c r="K333" i="1"/>
  <x:c r="N333" i="1"/>
  <x:c r="H334" i="1"/>
  <x:c r="K334" i="1"/>
  <x:c r="N334" i="1"/>
  <x:c r="H335" i="1"/>
  <x:c r="K335" i="1"/>
  <x:c r="N335" i="1"/>
  <x:c r="H336" i="1"/>
  <x:c r="K336" i="1"/>
  <x:c r="N336" i="1"/>
  <x:c r="H337" i="1"/>
  <x:c r="K337" i="1"/>
  <x:c r="N337" i="1"/>
  <x:c r="H338" i="1"/>
  <x:c r="K338" i="1"/>
  <x:c r="N338" i="1"/>
  <x:c r="H339" i="1"/>
  <x:c r="K339" i="1"/>
  <x:c r="N339" i="1"/>
  <x:c r="H340" i="1"/>
  <x:c r="K340" i="1"/>
  <x:c r="N340" i="1"/>
  <x:c r="H341" i="1"/>
  <x:c r="K341" i="1"/>
  <x:c r="N341" i="1"/>
  <x:c r="H342" i="1"/>
  <x:c r="K342" i="1"/>
  <x:c r="N342" i="1"/>
  <x:c r="H343" i="1"/>
  <x:c r="K343" i="1"/>
  <x:c r="N343" i="1"/>
  <x:c r="H344" i="1"/>
  <x:c r="K344" i="1"/>
  <x:c r="N344" i="1"/>
  <x:c r="H345" i="1"/>
  <x:c r="K345" i="1"/>
  <x:c r="N345" i="1"/>
  <x:c r="H346" i="1"/>
  <x:c r="K346" i="1"/>
  <x:c r="N346" i="1"/>
  <x:c r="H347" i="1"/>
  <x:c r="K347" i="1"/>
  <x:c r="N347" i="1"/>
  <x:c r="H348" i="1"/>
  <x:c r="K348" i="1"/>
  <x:c r="N348" i="1"/>
  <x:c r="H349" i="1"/>
  <x:c r="K349" i="1"/>
  <x:c r="N349" i="1"/>
  <x:c r="H350" i="1"/>
  <x:c r="K350" i="1"/>
  <x:c r="N350" i="1"/>
  <x:c r="H351" i="1"/>
  <x:c r="K351" i="1"/>
  <x:c r="N351" i="1"/>
  <x:c r="H352" i="1"/>
  <x:c r="K352" i="1"/>
  <x:c r="N352" i="1"/>
  <x:c r="H353" i="1"/>
  <x:c r="K353" i="1"/>
  <x:c r="N353" i="1"/>
  <x:c r="H354" i="1"/>
  <x:c r="K354" i="1"/>
  <x:c r="N354" i="1"/>
  <x:c r="H355" i="1"/>
  <x:c r="K355" i="1"/>
  <x:c r="N355" i="1"/>
  <x:c r="H356" i="1"/>
  <x:c r="K356" i="1"/>
  <x:c r="N356" i="1"/>
  <x:c r="H357" i="1"/>
  <x:c r="K357" i="1"/>
  <x:c r="N357" i="1"/>
  <x:c r="H358" i="1"/>
  <x:c r="K358" i="1"/>
  <x:c r="N358" i="1"/>
  <x:c r="H359" i="1"/>
  <x:c r="K359" i="1"/>
  <x:c r="N359" i="1"/>
  <x:c r="H360" i="1"/>
  <x:c r="K360" i="1"/>
  <x:c r="N360" i="1"/>
  <x:c r="H361" i="1"/>
  <x:c r="K361" i="1"/>
  <x:c r="N361" i="1"/>
  <x:c r="H362" i="1"/>
  <x:c r="K362" i="1"/>
  <x:c r="N362" i="1"/>
  <x:c r="H363" i="1"/>
  <x:c r="K363" i="1"/>
  <x:c r="N363" i="1"/>
  <x:c r="H364" i="1"/>
  <x:c r="K364" i="1"/>
  <x:c r="N364" i="1"/>
  <x:c r="H365" i="1"/>
  <x:c r="K365" i="1"/>
  <x:c r="N365" i="1"/>
  <x:c r="H366" i="1"/>
  <x:c r="K366" i="1"/>
  <x:c r="N366" i="1"/>
  <x:c r="H367" i="1"/>
  <x:c r="K367" i="1"/>
  <x:c r="N367" i="1"/>
  <x:c r="H368" i="1"/>
  <x:c r="K368" i="1"/>
  <x:c r="N368" i="1"/>
  <x:c r="H369" i="1"/>
  <x:c r="K369" i="1"/>
  <x:c r="N369" i="1"/>
  <x:c r="H370" i="1"/>
  <x:c r="K370" i="1"/>
  <x:c r="N370" i="1"/>
  <x:c r="H371" i="1"/>
  <x:c r="K371" i="1"/>
  <x:c r="N371" i="1"/>
  <x:c r="H372" i="1"/>
  <x:c r="K372" i="1"/>
  <x:c r="N372" i="1"/>
  <x:c r="H373" i="1"/>
  <x:c r="K373" i="1"/>
  <x:c r="N373" i="1"/>
  <x:c r="H374" i="1"/>
  <x:c r="K374" i="1"/>
  <x:c r="N374" i="1"/>
  <x:c r="H375" i="1"/>
  <x:c r="K375" i="1"/>
  <x:c r="N375" i="1"/>
  <x:c r="H376" i="1"/>
  <x:c r="K376" i="1"/>
  <x:c r="N376" i="1"/>
  <x:c r="H377" i="1"/>
  <x:c r="K377" i="1"/>
  <x:c r="N377" i="1"/>
  <x:c r="H378" i="1"/>
  <x:c r="K378" i="1"/>
  <x:c r="N378" i="1"/>
  <x:c r="H379" i="1"/>
  <x:c r="K379" i="1"/>
  <x:c r="N379" i="1"/>
  <x:c r="H380" i="1"/>
  <x:c r="K380" i="1"/>
  <x:c r="N380" i="1"/>
  <x:c r="H381" i="1"/>
  <x:c r="K381" i="1"/>
  <x:c r="N381" i="1"/>
  <x:c r="H382" i="1"/>
  <x:c r="K382" i="1"/>
  <x:c r="N382" i="1"/>
  <x:c r="H383" i="1"/>
  <x:c r="K383" i="1"/>
  <x:c r="N383" i="1"/>
  <x:c r="H384" i="1"/>
  <x:c r="K384" i="1"/>
  <x:c r="N384" i="1"/>
  <x:c r="H385" i="1"/>
  <x:c r="K385" i="1"/>
  <x:c r="N385" i="1"/>
  <x:c r="H386" i="1"/>
  <x:c r="K386" i="1"/>
  <x:c r="N386" i="1"/>
  <x:c r="H387" i="1"/>
  <x:c r="K387" i="1"/>
  <x:c r="N387" i="1"/>
  <x:c r="H388" i="1"/>
  <x:c r="K388" i="1"/>
  <x:c r="N388" i="1"/>
  <x:c r="H389" i="1"/>
  <x:c r="K389" i="1"/>
  <x:c r="N389" i="1"/>
  <x:c r="H390" i="1"/>
  <x:c r="K390" i="1"/>
  <x:c r="N390" i="1"/>
  <x:c r="H391" i="1"/>
  <x:c r="K391" i="1"/>
  <x:c r="N391" i="1"/>
  <x:c r="H392" i="1"/>
  <x:c r="K392" i="1"/>
  <x:c r="N392" i="1"/>
  <x:c r="H393" i="1"/>
  <x:c r="K393" i="1"/>
  <x:c r="N393" i="1"/>
  <x:c r="H394" i="1"/>
  <x:c r="K394" i="1"/>
  <x:c r="N394" i="1"/>
  <x:c r="H395" i="1"/>
  <x:c r="K395" i="1"/>
  <x:c r="N395" i="1"/>
  <x:c r="H396" i="1"/>
  <x:c r="K396" i="1"/>
  <x:c r="N396" i="1"/>
  <x:c r="H397" i="1"/>
  <x:c r="K397" i="1"/>
  <x:c r="N397" i="1"/>
  <x:c r="H398" i="1"/>
  <x:c r="K398" i="1"/>
  <x:c r="N398" i="1"/>
  <x:c r="H399" i="1"/>
  <x:c r="K399" i="1"/>
  <x:c r="N399" i="1"/>
  <x:c r="H400" i="1"/>
  <x:c r="K400" i="1"/>
  <x:c r="N400" i="1"/>
  <x:c r="H401" i="1"/>
  <x:c r="K401" i="1"/>
  <x:c r="N401" i="1"/>
  <x:c r="H402" i="1"/>
  <x:c r="K402" i="1"/>
  <x:c r="N402" i="1"/>
  <x:c r="H403" i="1"/>
  <x:c r="K403" i="1"/>
  <x:c r="N403" i="1"/>
  <x:c r="H404" i="1"/>
  <x:c r="K404" i="1"/>
  <x:c r="N404" i="1"/>
  <x:c r="H405" i="1"/>
  <x:c r="K405" i="1"/>
  <x:c r="N405" i="1"/>
  <x:c r="H406" i="1"/>
  <x:c r="K406" i="1"/>
  <x:c r="N406" i="1"/>
  <x:c r="H407" i="1"/>
  <x:c r="K407" i="1"/>
  <x:c r="N407" i="1"/>
  <x:c r="H408" i="1"/>
  <x:c r="K408" i="1"/>
  <x:c r="N408" i="1"/>
  <x:c r="H409" i="1"/>
  <x:c r="K409" i="1"/>
  <x:c r="N409" i="1"/>
  <x:c r="H410" i="1"/>
  <x:c r="K410" i="1"/>
  <x:c r="N410" i="1"/>
  <x:c r="H411" i="1"/>
  <x:c r="K411" i="1"/>
  <x:c r="N411" i="1"/>
  <x:c r="H412" i="1"/>
  <x:c r="K412" i="1"/>
  <x:c r="N412" i="1"/>
  <x:c r="H413" i="1"/>
  <x:c r="K413" i="1"/>
  <x:c r="N413" i="1"/>
  <x:c r="H414" i="1"/>
  <x:c r="K414" i="1"/>
  <x:c r="N414" i="1"/>
  <x:c r="H415" i="1"/>
  <x:c r="K415" i="1"/>
  <x:c r="N415" i="1"/>
  <x:c r="H416" i="1"/>
  <x:c r="K416" i="1"/>
  <x:c r="N416" i="1"/>
  <x:c r="H417" i="1"/>
  <x:c r="K417" i="1"/>
  <x:c r="N417" i="1"/>
  <x:c r="H418" i="1"/>
  <x:c r="K418" i="1"/>
  <x:c r="N418" i="1"/>
  <x:c r="H419" i="1"/>
  <x:c r="K419" i="1"/>
  <x:c r="N419" i="1"/>
  <x:c r="H420" i="1"/>
  <x:c r="K420" i="1"/>
  <x:c r="N420" i="1"/>
  <x:c r="H421" i="1"/>
  <x:c r="K421" i="1"/>
  <x:c r="N421" i="1"/>
  <x:c r="H422" i="1"/>
  <x:c r="K422" i="1"/>
  <x:c r="N422" i="1"/>
  <x:c r="H423" i="1"/>
  <x:c r="K423" i="1"/>
  <x:c r="N423" i="1"/>
  <x:c r="H424" i="1"/>
  <x:c r="K424" i="1"/>
  <x:c r="N424" i="1"/>
  <x:c r="H425" i="1"/>
  <x:c r="K425" i="1"/>
  <x:c r="N425" i="1"/>
  <x:c r="H426" i="1"/>
  <x:c r="K426" i="1"/>
  <x:c r="N426" i="1"/>
  <x:c r="H427" i="1"/>
  <x:c r="K427" i="1"/>
  <x:c r="N427" i="1"/>
  <x:c r="H428" i="1"/>
  <x:c r="K428" i="1"/>
  <x:c r="N428" i="1"/>
  <x:c r="H429" i="1"/>
  <x:c r="K429" i="1"/>
  <x:c r="N429" i="1"/>
  <x:c r="H430" i="1"/>
  <x:c r="K430" i="1"/>
  <x:c r="N430" i="1"/>
  <x:c r="H431" i="1"/>
  <x:c r="K431" i="1"/>
  <x:c r="N431" i="1"/>
  <x:c r="H432" i="1"/>
  <x:c r="K432" i="1"/>
  <x:c r="N432" i="1"/>
  <x:c r="H433" i="1"/>
  <x:c r="K433" i="1"/>
  <x:c r="N433" i="1"/>
  <x:c r="H434" i="1"/>
  <x:c r="K434" i="1"/>
  <x:c r="N434" i="1"/>
  <x:c r="H435" i="1"/>
  <x:c r="K435" i="1"/>
  <x:c r="N435" i="1"/>
  <x:c r="H436" i="1"/>
  <x:c r="K436" i="1"/>
  <x:c r="N436" i="1"/>
  <x:c r="H437" i="1"/>
  <x:c r="K437" i="1"/>
  <x:c r="N437" i="1"/>
  <x:c r="H438" i="1"/>
  <x:c r="K438" i="1"/>
  <x:c r="N438" i="1"/>
  <x:c r="H439" i="1"/>
  <x:c r="K439" i="1"/>
  <x:c r="N439" i="1"/>
  <x:c r="H440" i="1"/>
  <x:c r="K440" i="1"/>
  <x:c r="N440" i="1"/>
  <x:c r="H441" i="1"/>
  <x:c r="K441" i="1"/>
  <x:c r="N441" i="1"/>
  <x:c r="H442" i="1"/>
  <x:c r="K442" i="1"/>
  <x:c r="N442" i="1"/>
  <x:c r="H443" i="1"/>
  <x:c r="K443" i="1"/>
  <x:c r="N443" i="1"/>
  <x:c r="H444" i="1"/>
  <x:c r="K444" i="1"/>
  <x:c r="N444" i="1"/>
  <x:c r="H445" i="1"/>
  <x:c r="K445" i="1"/>
  <x:c r="N445" i="1"/>
  <x:c r="H446" i="1"/>
  <x:c r="K446" i="1"/>
  <x:c r="N446" i="1"/>
  <x:c r="H447" i="1"/>
  <x:c r="K447" i="1"/>
  <x:c r="N447" i="1"/>
  <x:c r="H448" i="1"/>
  <x:c r="K448" i="1"/>
  <x:c r="N448" i="1"/>
  <x:c r="H449" i="1"/>
  <x:c r="K449" i="1"/>
  <x:c r="N449" i="1"/>
  <x:c r="H450" i="1"/>
  <x:c r="K450" i="1"/>
  <x:c r="N450" i="1"/>
  <x:c r="H456" i="1"/>
  <x:c r="K456" i="1"/>
  <x:c r="N456" i="1"/>
  <x:c r="H457" i="1"/>
  <x:c r="K457" i="1"/>
  <x:c r="N457" i="1"/>
  <x:c r="H458" i="1"/>
  <x:c r="K458" i="1"/>
  <x:c r="N458" i="1"/>
  <x:c r="H459" i="1"/>
  <x:c r="K459" i="1"/>
  <x:c r="N459" i="1"/>
  <x:c r="H460" i="1"/>
  <x:c r="K460" i="1"/>
  <x:c r="N460" i="1"/>
  <x:c r="H461" i="1"/>
  <x:c r="K461" i="1"/>
  <x:c r="N461" i="1"/>
  <x:c r="H462" i="1"/>
  <x:c r="K462" i="1"/>
  <x:c r="N462" i="1"/>
  <x:c r="H463" i="1"/>
  <x:c r="K463" i="1"/>
  <x:c r="N463" i="1"/>
  <x:c r="H464" i="1"/>
  <x:c r="K464" i="1"/>
  <x:c r="N464" i="1"/>
  <x:c r="H465" i="1"/>
  <x:c r="K465" i="1"/>
  <x:c r="N465" i="1"/>
  <x:c r="H466" i="1"/>
  <x:c r="K466" i="1"/>
  <x:c r="N466" i="1"/>
  <x:c r="H467" i="1"/>
  <x:c r="K467" i="1"/>
  <x:c r="N467" i="1"/>
  <x:c r="H468" i="1"/>
  <x:c r="K468" i="1"/>
  <x:c r="N468" i="1"/>
  <x:c r="H469" i="1"/>
  <x:c r="K469" i="1"/>
  <x:c r="N469" i="1"/>
  <x:c r="H470" i="1"/>
  <x:c r="K470" i="1"/>
  <x:c r="N470" i="1"/>
  <x:c r="H471" i="1"/>
  <x:c r="K471" i="1"/>
  <x:c r="N471" i="1"/>
  <x:c r="H472" i="1"/>
  <x:c r="K472" i="1"/>
  <x:c r="N472" i="1"/>
  <x:c r="H473" i="1"/>
  <x:c r="K473" i="1"/>
  <x:c r="N473" i="1"/>
  <x:c r="H474" i="1"/>
  <x:c r="K474" i="1"/>
  <x:c r="N474" i="1"/>
  <x:c r="H475" i="1"/>
  <x:c r="K475" i="1"/>
  <x:c r="N475" i="1"/>
  <x:c r="H476" i="1"/>
  <x:c r="K476" i="1"/>
  <x:c r="N476" i="1"/>
  <x:c r="H477" i="1"/>
  <x:c r="K477" i="1"/>
  <x:c r="N477" i="1"/>
  <x:c r="H478" i="1"/>
  <x:c r="K478" i="1"/>
  <x:c r="N478" i="1"/>
  <x:c r="H479" i="1"/>
  <x:c r="K479" i="1"/>
  <x:c r="N479" i="1"/>
  <x:c r="H480" i="1"/>
  <x:c r="K480" i="1"/>
  <x:c r="N480" i="1"/>
  <x:c r="H481" i="1"/>
  <x:c r="K481" i="1"/>
  <x:c r="N481" i="1"/>
  <x:c r="H482" i="1"/>
  <x:c r="K482" i="1"/>
  <x:c r="N482" i="1"/>
  <x:c r="H483" i="1"/>
  <x:c r="K483" i="1"/>
  <x:c r="N483" i="1"/>
  <x:c r="H484" i="1"/>
  <x:c r="K484" i="1"/>
  <x:c r="N484" i="1"/>
  <x:c r="H485" i="1"/>
  <x:c r="K485" i="1"/>
  <x:c r="N485" i="1"/>
  <x:c r="H486" i="1"/>
  <x:c r="K486" i="1"/>
  <x:c r="N486" i="1"/>
  <x:c r="H487" i="1"/>
  <x:c r="K487" i="1"/>
  <x:c r="N487" i="1"/>
  <x:c r="H488" i="1"/>
  <x:c r="K488" i="1"/>
  <x:c r="N488" i="1"/>
  <x:c r="H489" i="1"/>
  <x:c r="K489" i="1"/>
  <x:c r="N489" i="1"/>
  <x:c r="H490" i="1"/>
  <x:c r="K490" i="1"/>
  <x:c r="N490" i="1"/>
  <x:c r="H491" i="1"/>
  <x:c r="K491" i="1"/>
  <x:c r="N491" i="1"/>
  <x:c r="H492" i="1"/>
  <x:c r="K492" i="1"/>
  <x:c r="N492" i="1"/>
  <x:c r="H493" i="1"/>
  <x:c r="K493" i="1"/>
  <x:c r="N493" i="1"/>
  <x:c r="H494" i="1"/>
  <x:c r="K494" i="1"/>
  <x:c r="N494" i="1"/>
  <x:c r="H495" i="1"/>
  <x:c r="K495" i="1"/>
  <x:c r="N495" i="1"/>
  <x:c r="H496" i="1"/>
  <x:c r="K496" i="1"/>
  <x:c r="N496" i="1"/>
  <x:c r="H497" i="1"/>
  <x:c r="K497" i="1"/>
  <x:c r="N497" i="1"/>
  <x:c r="H498" i="1"/>
  <x:c r="K498" i="1"/>
  <x:c r="N498" i="1"/>
  <x:c r="H499" i="1"/>
  <x:c r="K499" i="1"/>
  <x:c r="N499" i="1"/>
  <x:c r="H500" i="1"/>
  <x:c r="K500" i="1"/>
  <x:c r="N500" i="1"/>
  <x:c r="H501" i="1"/>
  <x:c r="K501" i="1"/>
  <x:c r="N501" i="1"/>
  <x:c r="H502" i="1"/>
  <x:c r="K502" i="1"/>
  <x:c r="N502" i="1"/>
  <x:c r="H503" i="1"/>
  <x:c r="K503" i="1"/>
  <x:c r="N503" i="1"/>
  <x:c r="H504" i="1"/>
  <x:c r="K504" i="1"/>
  <x:c r="N504" i="1"/>
  <x:c r="H505" i="1"/>
  <x:c r="K505" i="1"/>
  <x:c r="N505" i="1"/>
  <x:c r="H506" i="1"/>
  <x:c r="K506" i="1"/>
  <x:c r="N506" i="1"/>
  <x:c r="H507" i="1"/>
  <x:c r="K507" i="1"/>
  <x:c r="N507" i="1"/>
  <x:c r="H508" i="1"/>
  <x:c r="K508" i="1"/>
  <x:c r="N508" i="1"/>
  <x:c r="H509" i="1"/>
  <x:c r="K509" i="1"/>
  <x:c r="N509" i="1"/>
  <x:c r="H510" i="1"/>
  <x:c r="K510" i="1"/>
  <x:c r="N510" i="1"/>
  <x:c r="H511" i="1"/>
  <x:c r="K511" i="1"/>
  <x:c r="N511" i="1"/>
  <x:c r="H512" i="1"/>
  <x:c r="K512" i="1"/>
  <x:c r="N512" i="1"/>
  <x:c r="H513" i="1"/>
  <x:c r="K513" i="1"/>
  <x:c r="N513" i="1"/>
  <x:c r="H514" i="1"/>
  <x:c r="K514" i="1"/>
  <x:c r="N514" i="1"/>
  <x:c r="H515" i="1"/>
  <x:c r="K515" i="1"/>
  <x:c r="N515" i="1"/>
  <x:c r="H516" i="1"/>
  <x:c r="K516" i="1"/>
  <x:c r="N516" i="1"/>
  <x:c r="H517" i="1"/>
  <x:c r="K517" i="1"/>
  <x:c r="N517" i="1"/>
  <x:c r="H518" i="1"/>
  <x:c r="K518" i="1"/>
  <x:c r="N518" i="1"/>
  <x:c r="H519" i="1"/>
  <x:c r="K519" i="1"/>
  <x:c r="N519" i="1"/>
  <x:c r="H520" i="1"/>
  <x:c r="K520" i="1"/>
  <x:c r="N520" i="1"/>
  <x:c r="H521" i="1"/>
  <x:c r="K521" i="1"/>
  <x:c r="N521" i="1"/>
  <x:c r="H522" i="1"/>
  <x:c r="K522" i="1"/>
  <x:c r="N522" i="1"/>
  <x:c r="H523" i="1"/>
  <x:c r="K523" i="1"/>
  <x:c r="N523" i="1"/>
  <x:c r="H524" i="1"/>
  <x:c r="K524" i="1"/>
  <x:c r="N524" i="1"/>
  <x:c r="H525" i="1"/>
  <x:c r="K525" i="1"/>
  <x:c r="N525" i="1"/>
  <x:c r="H526" i="1"/>
  <x:c r="K526" i="1"/>
  <x:c r="N526" i="1"/>
  <x:c r="H527" i="1"/>
  <x:c r="K527" i="1"/>
  <x:c r="N527" i="1"/>
  <x:c r="H528" i="1"/>
  <x:c r="K528" i="1"/>
  <x:c r="N528" i="1"/>
  <x:c r="H529" i="1"/>
  <x:c r="K529" i="1"/>
  <x:c r="N529" i="1"/>
  <x:c r="H530" i="1"/>
  <x:c r="K530" i="1"/>
  <x:c r="N530" i="1"/>
  <x:c r="H531" i="1"/>
  <x:c r="K531" i="1"/>
  <x:c r="N531" i="1"/>
  <x:c r="H532" i="1"/>
  <x:c r="K532" i="1"/>
  <x:c r="N532" i="1"/>
  <x:c r="H533" i="1"/>
  <x:c r="K533" i="1"/>
  <x:c r="N533" i="1"/>
  <x:c r="H534" i="1"/>
  <x:c r="K534" i="1"/>
  <x:c r="N534" i="1"/>
  <x:c r="H535" i="1"/>
  <x:c r="K535" i="1"/>
  <x:c r="N535" i="1"/>
  <x:c r="H536" i="1"/>
  <x:c r="K536" i="1"/>
  <x:c r="N536" i="1"/>
  <x:c r="H537" i="1"/>
  <x:c r="K537" i="1"/>
  <x:c r="N537" i="1"/>
  <x:c r="H538" i="1"/>
  <x:c r="K538" i="1"/>
  <x:c r="N538" i="1"/>
  <x:c r="H539" i="1"/>
  <x:c r="K539" i="1"/>
  <x:c r="N539" i="1"/>
  <x:c r="H540" i="1"/>
  <x:c r="K540" i="1"/>
  <x:c r="N540" i="1"/>
  <x:c r="H541" i="1"/>
  <x:c r="K541" i="1"/>
  <x:c r="N541" i="1"/>
  <x:c r="H542" i="1"/>
  <x:c r="K542" i="1"/>
  <x:c r="N542" i="1"/>
  <x:c r="H543" i="1"/>
  <x:c r="K543" i="1"/>
  <x:c r="N543" i="1"/>
  <x:c r="H544" i="1"/>
  <x:c r="K544" i="1"/>
  <x:c r="N544" i="1"/>
  <x:c r="H545" i="1"/>
  <x:c r="K545" i="1"/>
  <x:c r="N545" i="1"/>
  <x:c r="H546" i="1"/>
  <x:c r="K546" i="1"/>
  <x:c r="N546" i="1"/>
  <x:c r="H547" i="1"/>
  <x:c r="K547" i="1"/>
  <x:c r="N547" i="1"/>
  <x:c r="H548" i="1"/>
  <x:c r="K548" i="1"/>
  <x:c r="N548" i="1"/>
  <x:c r="H549" i="1"/>
  <x:c r="K549" i="1"/>
  <x:c r="N549" i="1"/>
  <x:c r="H550" i="1"/>
  <x:c r="K550" i="1"/>
  <x:c r="N550" i="1"/>
  <x:c r="H551" i="1"/>
  <x:c r="K551" i="1"/>
  <x:c r="N551" i="1"/>
  <x:c r="H552" i="1"/>
  <x:c r="K552" i="1"/>
  <x:c r="N552" i="1"/>
  <x:c r="H553" i="1"/>
  <x:c r="K553" i="1"/>
  <x:c r="N553" i="1"/>
  <x:c r="H554" i="1"/>
  <x:c r="K554" i="1"/>
  <x:c r="N554" i="1"/>
  <x:c r="H555" i="1"/>
  <x:c r="K555" i="1"/>
  <x:c r="N555" i="1"/>
  <x:c r="H556" i="1"/>
  <x:c r="K556" i="1"/>
  <x:c r="N556" i="1"/>
  <x:c r="H557" i="1"/>
  <x:c r="K557" i="1"/>
  <x:c r="N557" i="1"/>
  <x:c r="H558" i="1"/>
  <x:c r="K558" i="1"/>
  <x:c r="N558" i="1"/>
  <x:c r="H559" i="1"/>
  <x:c r="K559" i="1"/>
  <x:c r="N559" i="1"/>
  <x:c r="H560" i="1"/>
  <x:c r="K560" i="1"/>
  <x:c r="N560" i="1"/>
  <x:c r="H561" i="1"/>
  <x:c r="K561" i="1"/>
  <x:c r="N561" i="1"/>
  <x:c r="H562" i="1"/>
  <x:c r="K562" i="1"/>
  <x:c r="N562" i="1"/>
  <x:c r="H563" i="1"/>
  <x:c r="K563" i="1"/>
  <x:c r="N563" i="1"/>
  <x:c r="H564" i="1"/>
  <x:c r="K564" i="1"/>
  <x:c r="N564" i="1"/>
  <x:c r="H565" i="1"/>
  <x:c r="K565" i="1"/>
  <x:c r="N565" i="1"/>
  <x:c r="H566" i="1"/>
  <x:c r="K566" i="1"/>
  <x:c r="N566" i="1"/>
  <x:c r="H567" i="1"/>
  <x:c r="K567" i="1"/>
  <x:c r="N567" i="1"/>
  <x:c r="H568" i="1"/>
  <x:c r="K568" i="1"/>
  <x:c r="N568" i="1"/>
  <x:c r="H569" i="1"/>
  <x:c r="K569" i="1"/>
  <x:c r="N569" i="1"/>
  <x:c r="H570" i="1"/>
  <x:c r="K570" i="1"/>
  <x:c r="N570" i="1"/>
  <x:c r="H571" i="1"/>
  <x:c r="K571" i="1"/>
  <x:c r="N571" i="1"/>
  <x:c r="H572" i="1"/>
  <x:c r="K572" i="1"/>
  <x:c r="N572" i="1"/>
  <x:c r="H573" i="1"/>
  <x:c r="K573" i="1"/>
  <x:c r="N573" i="1"/>
  <x:c r="H574" i="1"/>
  <x:c r="K574" i="1"/>
  <x:c r="N574" i="1"/>
  <x:c r="H575" i="1"/>
  <x:c r="K575" i="1"/>
  <x:c r="N575" i="1"/>
  <x:c r="H576" i="1"/>
  <x:c r="K576" i="1"/>
  <x:c r="N576" i="1"/>
  <x:c r="H577" i="1"/>
  <x:c r="K577" i="1"/>
  <x:c r="N577" i="1"/>
  <x:c r="H578" i="1"/>
  <x:c r="K578" i="1"/>
  <x:c r="N578" i="1"/>
  <x:c r="H579" i="1"/>
  <x:c r="K579" i="1"/>
  <x:c r="N579" i="1"/>
  <x:c r="H580" i="1"/>
  <x:c r="K580" i="1"/>
  <x:c r="N580" i="1"/>
  <x:c r="H581" i="1"/>
  <x:c r="K581" i="1"/>
  <x:c r="N581" i="1"/>
  <x:c r="H582" i="1"/>
  <x:c r="K582" i="1"/>
  <x:c r="N582" i="1"/>
  <x:c r="H583" i="1"/>
  <x:c r="K583" i="1"/>
  <x:c r="N583" i="1"/>
  <x:c r="H584" i="1"/>
  <x:c r="K584" i="1"/>
  <x:c r="N584" i="1"/>
  <x:c r="H585" i="1"/>
  <x:c r="K585" i="1"/>
  <x:c r="N585" i="1"/>
  <x:c r="H586" i="1"/>
  <x:c r="K586" i="1"/>
  <x:c r="N586" i="1"/>
  <x:c r="H587" i="1"/>
  <x:c r="K587" i="1"/>
  <x:c r="N587" i="1"/>
  <x:c r="H588" i="1"/>
  <x:c r="K588" i="1"/>
  <x:c r="N588" i="1"/>
  <x:c r="H589" i="1"/>
  <x:c r="K589" i="1"/>
  <x:c r="N589" i="1"/>
  <x:c r="H590" i="1"/>
  <x:c r="K590" i="1"/>
  <x:c r="N590" i="1"/>
  <x:c r="H591" i="1"/>
  <x:c r="K591" i="1"/>
  <x:c r="N591" i="1"/>
  <x:c r="H592" i="1"/>
  <x:c r="K592" i="1"/>
  <x:c r="N592" i="1"/>
  <x:c r="H593" i="1"/>
  <x:c r="K593" i="1"/>
  <x:c r="N593" i="1"/>
  <x:c r="H594" i="1"/>
  <x:c r="K594" i="1"/>
  <x:c r="N594" i="1"/>
  <x:c r="H595" i="1"/>
  <x:c r="K595" i="1"/>
  <x:c r="N595" i="1"/>
  <x:c r="H596" i="1"/>
  <x:c r="K596" i="1"/>
  <x:c r="N596" i="1"/>
  <x:c r="H597" i="1"/>
  <x:c r="K597" i="1"/>
  <x:c r="N597" i="1"/>
  <x:c r="H598" i="1"/>
  <x:c r="K598" i="1"/>
  <x:c r="N598" i="1"/>
  <x:c r="H599" i="1"/>
  <x:c r="K599" i="1"/>
  <x:c r="N599" i="1"/>
  <x:c r="H600" i="1"/>
  <x:c r="K600" i="1"/>
  <x:c r="N600" i="1"/>
  <x:c r="H601" i="1"/>
  <x:c r="K601" i="1"/>
  <x:c r="N601" i="1"/>
  <x:c r="H602" i="1"/>
  <x:c r="K602" i="1"/>
  <x:c r="N602" i="1"/>
  <x:c r="H603" i="1"/>
  <x:c r="K603" i="1"/>
  <x:c r="N603" i="1"/>
  <x:c r="H604" i="1"/>
  <x:c r="K604" i="1"/>
  <x:c r="N604" i="1"/>
  <x:c r="H605" i="1"/>
  <x:c r="K605" i="1"/>
  <x:c r="N605" i="1"/>
  <x:c r="H606" i="1"/>
  <x:c r="K606" i="1"/>
  <x:c r="N606" i="1"/>
  <x:c r="H607" i="1"/>
  <x:c r="K607" i="1"/>
  <x:c r="N607" i="1"/>
  <x:c r="H608" i="1"/>
  <x:c r="K608" i="1"/>
  <x:c r="N608" i="1"/>
  <x:c r="H609" i="1"/>
  <x:c r="K609" i="1"/>
  <x:c r="N609" i="1"/>
  <x:c r="H610" i="1"/>
  <x:c r="K610" i="1"/>
  <x:c r="N610" i="1"/>
  <x:c r="H611" i="1"/>
  <x:c r="K611" i="1"/>
  <x:c r="N611" i="1"/>
  <x:c r="H612" i="1"/>
  <x:c r="K612" i="1"/>
  <x:c r="N612" i="1"/>
  <x:c r="H613" i="1"/>
  <x:c r="K613" i="1"/>
  <x:c r="N613" i="1"/>
  <x:c r="H614" i="1"/>
  <x:c r="K614" i="1"/>
  <x:c r="N614" i="1"/>
  <x:c r="H615" i="1"/>
  <x:c r="K615" i="1"/>
  <x:c r="N615" i="1"/>
  <x:c r="H616" i="1"/>
  <x:c r="K616" i="1"/>
  <x:c r="N616" i="1"/>
  <x:c r="H617" i="1"/>
  <x:c r="K617" i="1"/>
  <x:c r="N617" i="1"/>
  <x:c r="H618" i="1"/>
  <x:c r="K618" i="1"/>
  <x:c r="N618" i="1"/>
  <x:c r="H619" i="1"/>
  <x:c r="K619" i="1"/>
  <x:c r="N619" i="1"/>
  <x:c r="H620" i="1"/>
  <x:c r="K620" i="1"/>
  <x:c r="N620" i="1"/>
  <x:c r="H621" i="1"/>
  <x:c r="K621" i="1"/>
  <x:c r="N621" i="1"/>
  <x:c r="H622" i="1"/>
  <x:c r="K622" i="1"/>
  <x:c r="N622" i="1"/>
  <x:c r="H623" i="1"/>
  <x:c r="K623" i="1"/>
  <x:c r="N623" i="1"/>
  <x:c r="H624" i="1"/>
  <x:c r="K624" i="1"/>
  <x:c r="N624" i="1"/>
  <x:c r="H625" i="1"/>
  <x:c r="K625" i="1"/>
  <x:c r="N625" i="1"/>
  <x:c r="H626" i="1"/>
  <x:c r="K626" i="1"/>
  <x:c r="N626" i="1"/>
  <x:c r="H627" i="1"/>
  <x:c r="K627" i="1"/>
  <x:c r="N627" i="1"/>
  <x:c r="H628" i="1"/>
  <x:c r="K628" i="1"/>
  <x:c r="N628" i="1"/>
  <x:c r="H629" i="1"/>
  <x:c r="K629" i="1"/>
  <x:c r="N629" i="1"/>
  <x:c r="H630" i="1"/>
  <x:c r="K630" i="1"/>
  <x:c r="N630" i="1"/>
  <x:c r="H631" i="1"/>
  <x:c r="K631" i="1"/>
  <x:c r="N631" i="1"/>
  <x:c r="H632" i="1"/>
  <x:c r="K632" i="1"/>
  <x:c r="N632" i="1"/>
  <x:c r="H633" i="1"/>
  <x:c r="K633" i="1"/>
  <x:c r="N633" i="1"/>
  <x:c r="H634" i="1"/>
  <x:c r="K634" i="1"/>
  <x:c r="N634" i="1"/>
  <x:c r="H635" i="1"/>
  <x:c r="K635" i="1"/>
  <x:c r="N635" i="1"/>
  <x:c r="H636" i="1"/>
  <x:c r="K636" i="1"/>
  <x:c r="N636" i="1"/>
  <x:c r="H637" i="1"/>
  <x:c r="K637" i="1"/>
  <x:c r="N637" i="1"/>
  <x:c r="H638" i="1"/>
  <x:c r="K638" i="1"/>
  <x:c r="N638" i="1"/>
  <x:c r="H639" i="1"/>
  <x:c r="K639" i="1"/>
  <x:c r="N639" i="1"/>
  <x:c r="H640" i="1"/>
  <x:c r="K640" i="1"/>
  <x:c r="N640" i="1"/>
  <x:c r="H641" i="1"/>
  <x:c r="K641" i="1"/>
  <x:c r="N641" i="1"/>
  <x:c r="H642" i="1"/>
  <x:c r="K642" i="1"/>
  <x:c r="N642" i="1"/>
  <x:c r="H643" i="1"/>
  <x:c r="K643" i="1"/>
  <x:c r="N643" i="1"/>
  <x:c r="H644" i="1"/>
  <x:c r="K644" i="1"/>
  <x:c r="N644" i="1"/>
  <x:c r="H645" i="1"/>
  <x:c r="K645" i="1"/>
  <x:c r="N645" i="1"/>
  <x:c r="H646" i="1"/>
  <x:c r="K646" i="1"/>
  <x:c r="N646" i="1"/>
  <x:c r="H647" i="1"/>
  <x:c r="K647" i="1"/>
  <x:c r="N647" i="1"/>
  <x:c r="H648" i="1"/>
  <x:c r="K648" i="1"/>
  <x:c r="N648" i="1"/>
  <x:c r="H649" i="1"/>
  <x:c r="K649" i="1"/>
  <x:c r="N649" i="1"/>
  <x:c r="H650" i="1"/>
  <x:c r="K650" i="1"/>
  <x:c r="N650" i="1"/>
  <x:c r="H651" i="1"/>
  <x:c r="K651" i="1"/>
  <x:c r="N651" i="1"/>
  <x:c r="H652" i="1"/>
  <x:c r="K652" i="1"/>
  <x:c r="N652" i="1"/>
  <x:c r="H653" i="1"/>
  <x:c r="K653" i="1"/>
  <x:c r="N653" i="1"/>
  <x:c r="H654" i="1"/>
  <x:c r="K654" i="1"/>
  <x:c r="N654" i="1"/>
  <x:c r="H655" i="1"/>
  <x:c r="K655" i="1"/>
  <x:c r="N655" i="1"/>
  <x:c r="H656" i="1"/>
  <x:c r="K656" i="1"/>
  <x:c r="N656" i="1"/>
  <x:c r="H657" i="1"/>
  <x:c r="K657" i="1"/>
  <x:c r="N657" i="1"/>
  <x:c r="H658" i="1"/>
  <x:c r="K658" i="1"/>
  <x:c r="N658" i="1"/>
  <x:c r="H659" i="1"/>
  <x:c r="K659" i="1"/>
  <x:c r="N659" i="1"/>
  <x:c r="H660" i="1"/>
  <x:c r="K660" i="1"/>
  <x:c r="N660" i="1"/>
  <x:c r="H661" i="1"/>
  <x:c r="K661" i="1"/>
  <x:c r="N661" i="1"/>
  <x:c r="H662" i="1"/>
  <x:c r="K662" i="1"/>
  <x:c r="N662" i="1"/>
  <x:c r="H663" i="1"/>
  <x:c r="K663" i="1"/>
  <x:c r="N663" i="1"/>
  <x:c r="H664" i="1"/>
  <x:c r="K664" i="1"/>
  <x:c r="N664" i="1"/>
  <x:c r="H665" i="1"/>
  <x:c r="K665" i="1"/>
  <x:c r="N665" i="1"/>
  <x:c r="H666" i="1"/>
  <x:c r="K666" i="1"/>
  <x:c r="N666" i="1"/>
  <x:c r="H667" i="1"/>
  <x:c r="K667" i="1"/>
  <x:c r="N667" i="1"/>
  <x:c r="H668" i="1"/>
  <x:c r="K668" i="1"/>
  <x:c r="N668" i="1"/>
  <x:c r="H669" i="1"/>
  <x:c r="K669" i="1"/>
  <x:c r="N669" i="1"/>
  <x:c r="H670" i="1"/>
  <x:c r="K670" i="1"/>
  <x:c r="N670" i="1"/>
  <x:c r="H671" i="1"/>
  <x:c r="K671" i="1"/>
  <x:c r="N671" i="1"/>
  <x:c r="H672" i="1"/>
  <x:c r="K672" i="1"/>
  <x:c r="N672" i="1"/>
  <x:c r="H673" i="1"/>
  <x:c r="K673" i="1"/>
  <x:c r="N673" i="1"/>
  <x:c r="H674" i="1"/>
  <x:c r="K674" i="1"/>
  <x:c r="N674" i="1"/>
  <x:c r="H675" i="1"/>
  <x:c r="K675" i="1"/>
  <x:c r="N675" i="1"/>
  <x:c r="H676" i="1"/>
  <x:c r="K676" i="1"/>
  <x:c r="N676" i="1"/>
  <x:c r="H677" i="1"/>
  <x:c r="K677" i="1"/>
  <x:c r="N677" i="1"/>
  <x:c r="H678" i="1"/>
  <x:c r="K678" i="1"/>
  <x:c r="N678" i="1"/>
  <x:c r="H679" i="1"/>
  <x:c r="K679" i="1"/>
  <x:c r="N679" i="1"/>
  <x:c r="H680" i="1"/>
  <x:c r="K680" i="1"/>
  <x:c r="N680" i="1"/>
  <x:c r="H681" i="1"/>
  <x:c r="K681" i="1"/>
  <x:c r="N681" i="1"/>
  <x:c r="H682" i="1"/>
  <x:c r="K682" i="1"/>
  <x:c r="N682" i="1"/>
  <x:c r="H683" i="1"/>
  <x:c r="K683" i="1"/>
  <x:c r="N683" i="1"/>
  <x:c r="H684" i="1"/>
  <x:c r="K684" i="1"/>
  <x:c r="N684" i="1"/>
  <x:c r="H685" i="1"/>
  <x:c r="K685" i="1"/>
  <x:c r="N685" i="1"/>
  <x:c r="H686" i="1"/>
  <x:c r="K686" i="1"/>
  <x:c r="N686" i="1"/>
  <x:c r="H687" i="1"/>
  <x:c r="K687" i="1"/>
  <x:c r="N687" i="1"/>
  <x:c r="H688" i="1"/>
  <x:c r="K688" i="1"/>
  <x:c r="N688" i="1"/>
  <x:c r="H689" i="1"/>
  <x:c r="K689" i="1"/>
  <x:c r="N689" i="1"/>
  <x:c r="H690" i="1"/>
  <x:c r="K690" i="1"/>
  <x:c r="N690" i="1"/>
  <x:c r="H691" i="1"/>
  <x:c r="K691" i="1"/>
  <x:c r="N691" i="1"/>
  <x:c r="H692" i="1"/>
  <x:c r="K692" i="1"/>
  <x:c r="N692" i="1"/>
  <x:c r="H693" i="1"/>
  <x:c r="K693" i="1"/>
  <x:c r="N693" i="1"/>
  <x:c r="H694" i="1"/>
  <x:c r="K694" i="1"/>
  <x:c r="N694" i="1"/>
  <x:c r="H695" i="1"/>
  <x:c r="K695" i="1"/>
  <x:c r="N695" i="1"/>
  <x:c r="H696" i="1"/>
  <x:c r="K696" i="1"/>
  <x:c r="N696" i="1"/>
  <x:c r="H697" i="1"/>
  <x:c r="K697" i="1"/>
  <x:c r="N697" i="1"/>
  <x:c r="H698" i="1"/>
  <x:c r="K698" i="1"/>
  <x:c r="N698" i="1"/>
  <x:c r="H699" i="1"/>
  <x:c r="K699" i="1"/>
  <x:c r="N699" i="1"/>
  <x:c r="H700" i="1"/>
  <x:c r="K700" i="1"/>
  <x:c r="N700" i="1"/>
  <x:c r="H701" i="1"/>
  <x:c r="K701" i="1"/>
  <x:c r="N701" i="1"/>
  <x:c r="H702" i="1"/>
  <x:c r="K702" i="1"/>
  <x:c r="N702" i="1"/>
  <x:c r="H703" i="1"/>
  <x:c r="K703" i="1"/>
  <x:c r="N703" i="1"/>
  <x:c r="H704" i="1"/>
  <x:c r="K704" i="1"/>
  <x:c r="N704" i="1"/>
  <x:c r="H705" i="1"/>
  <x:c r="K705" i="1"/>
  <x:c r="N705" i="1"/>
  <x:c r="H706" i="1"/>
  <x:c r="K706" i="1"/>
  <x:c r="N706" i="1"/>
  <x:c r="H707" i="1"/>
  <x:c r="K707" i="1"/>
  <x:c r="N707" i="1"/>
  <x:c r="H708" i="1"/>
  <x:c r="K708" i="1"/>
  <x:c r="N708" i="1"/>
  <x:c r="H709" i="1"/>
  <x:c r="K709" i="1"/>
  <x:c r="N709" i="1"/>
  <x:c r="H710" i="1"/>
  <x:c r="K710" i="1"/>
  <x:c r="N710" i="1"/>
  <x:c r="H711" i="1"/>
  <x:c r="K711" i="1"/>
  <x:c r="N711" i="1"/>
  <x:c r="H712" i="1"/>
  <x:c r="K712" i="1"/>
  <x:c r="N712" i="1"/>
  <x:c r="H713" i="1"/>
  <x:c r="K713" i="1"/>
  <x:c r="N713" i="1"/>
  <x:c r="H714" i="1"/>
  <x:c r="K714" i="1"/>
  <x:c r="N714" i="1"/>
  <x:c r="H715" i="1"/>
  <x:c r="K715" i="1"/>
  <x:c r="N715" i="1"/>
  <x:c r="H716" i="1"/>
  <x:c r="K716" i="1"/>
  <x:c r="N716" i="1"/>
  <x:c r="H717" i="1"/>
  <x:c r="K717" i="1"/>
  <x:c r="N717" i="1"/>
  <x:c r="H718" i="1"/>
  <x:c r="K718" i="1"/>
  <x:c r="N718" i="1"/>
  <x:c r="H719" i="1"/>
  <x:c r="K719" i="1"/>
  <x:c r="N719" i="1"/>
  <x:c r="H720" i="1"/>
  <x:c r="K720" i="1"/>
  <x:c r="N720" i="1"/>
  <x:c r="H721" i="1"/>
  <x:c r="K721" i="1"/>
  <x:c r="N721" i="1"/>
  <x:c r="H722" i="1"/>
  <x:c r="K722" i="1"/>
  <x:c r="N722" i="1"/>
  <x:c r="H723" i="1"/>
  <x:c r="K723" i="1"/>
  <x:c r="N723" i="1"/>
  <x:c r="H724" i="1"/>
  <x:c r="K724" i="1"/>
  <x:c r="N724" i="1"/>
  <x:c r="H725" i="1"/>
  <x:c r="K725" i="1"/>
  <x:c r="N725" i="1"/>
  <x:c r="H726" i="1"/>
  <x:c r="K726" i="1"/>
  <x:c r="N726" i="1"/>
  <x:c r="H727" i="1"/>
  <x:c r="K727" i="1"/>
  <x:c r="N727" i="1"/>
  <x:c r="H728" i="1"/>
  <x:c r="K728" i="1"/>
  <x:c r="N728" i="1"/>
  <x:c r="H729" i="1"/>
  <x:c r="K729" i="1"/>
  <x:c r="N729" i="1"/>
  <x:c r="H730" i="1"/>
  <x:c r="K730" i="1"/>
  <x:c r="N730" i="1"/>
  <x:c r="H731" i="1"/>
  <x:c r="K731" i="1"/>
  <x:c r="N731" i="1"/>
  <x:c r="H732" i="1"/>
  <x:c r="K732" i="1"/>
  <x:c r="N732" i="1"/>
  <x:c r="H733" i="1"/>
  <x:c r="K733" i="1"/>
  <x:c r="N733" i="1"/>
  <x:c r="H734" i="1"/>
  <x:c r="K734" i="1"/>
  <x:c r="N734" i="1"/>
  <x:c r="H735" i="1"/>
  <x:c r="K735" i="1"/>
  <x:c r="N735" i="1"/>
  <x:c r="H736" i="1"/>
  <x:c r="K736" i="1"/>
  <x:c r="N736" i="1"/>
  <x:c r="H737" i="1"/>
  <x:c r="K737" i="1"/>
  <x:c r="N737" i="1"/>
  <x:c r="H738" i="1"/>
  <x:c r="K738" i="1"/>
  <x:c r="N738" i="1"/>
  <x:c r="H739" i="1"/>
  <x:c r="K739" i="1"/>
  <x:c r="N739" i="1"/>
  <x:c r="H740" i="1"/>
  <x:c r="K740" i="1"/>
  <x:c r="N740" i="1"/>
  <x:c r="H741" i="1"/>
  <x:c r="K741" i="1"/>
  <x:c r="N741" i="1"/>
  <x:c r="H742" i="1"/>
  <x:c r="K742" i="1"/>
  <x:c r="N742" i="1"/>
  <x:c r="H743" i="1"/>
  <x:c r="K743" i="1"/>
  <x:c r="N743" i="1"/>
  <x:c r="H744" i="1"/>
  <x:c r="K744" i="1"/>
  <x:c r="N744" i="1"/>
  <x:c r="H745" i="1"/>
  <x:c r="K745" i="1"/>
  <x:c r="N745" i="1"/>
  <x:c r="H746" i="1"/>
  <x:c r="K746" i="1"/>
  <x:c r="N746" i="1"/>
  <x:c r="H747" i="1"/>
  <x:c r="K747" i="1"/>
  <x:c r="N747" i="1"/>
  <x:c r="H748" i="1"/>
  <x:c r="K748" i="1"/>
  <x:c r="N748" i="1"/>
  <x:c r="H749" i="1"/>
  <x:c r="K749" i="1"/>
  <x:c r="N749" i="1"/>
  <x:c r="H750" i="1"/>
  <x:c r="K750" i="1"/>
  <x:c r="N750" i="1"/>
  <x:c r="H751" i="1"/>
  <x:c r="K751" i="1"/>
  <x:c r="N751" i="1"/>
  <x:c r="H752" i="1"/>
  <x:c r="K752" i="1"/>
  <x:c r="N752" i="1"/>
  <x:c r="H753" i="1"/>
  <x:c r="K753" i="1"/>
  <x:c r="N753" i="1"/>
  <x:c r="H754" i="1"/>
  <x:c r="K754" i="1"/>
  <x:c r="N754" i="1"/>
  <x:c r="H755" i="1"/>
  <x:c r="K755" i="1"/>
  <x:c r="N755" i="1"/>
  <x:c r="H756" i="1"/>
  <x:c r="K756" i="1"/>
  <x:c r="N756" i="1"/>
  <x:c r="H757" i="1"/>
  <x:c r="K757" i="1"/>
  <x:c r="N757" i="1"/>
  <x:c r="H758" i="1"/>
  <x:c r="K758" i="1"/>
  <x:c r="N758" i="1"/>
  <x:c r="H759" i="1"/>
  <x:c r="K759" i="1"/>
  <x:c r="N759" i="1"/>
  <x:c r="H760" i="1"/>
  <x:c r="K760" i="1"/>
  <x:c r="N760" i="1"/>
  <x:c r="H761" i="1"/>
  <x:c r="K761" i="1"/>
  <x:c r="N761" i="1"/>
  <x:c r="H762" i="1"/>
  <x:c r="K762" i="1"/>
  <x:c r="N762" i="1"/>
  <x:c r="H763" i="1"/>
  <x:c r="K763" i="1"/>
  <x:c r="N763" i="1"/>
  <x:c r="H764" i="1"/>
  <x:c r="K764" i="1"/>
  <x:c r="N764" i="1"/>
  <x:c r="H765" i="1"/>
  <x:c r="K765" i="1"/>
  <x:c r="N765" i="1"/>
  <x:c r="H766" i="1"/>
  <x:c r="K766" i="1"/>
  <x:c r="N766" i="1"/>
  <x:c r="H767" i="1"/>
  <x:c r="K767" i="1"/>
  <x:c r="N767" i="1"/>
  <x:c r="H768" i="1"/>
  <x:c r="K768" i="1"/>
  <x:c r="N768" i="1"/>
  <x:c r="H769" i="1"/>
  <x:c r="K769" i="1"/>
  <x:c r="N769" i="1"/>
  <x:c r="H770" i="1"/>
  <x:c r="K770" i="1"/>
  <x:c r="N770" i="1"/>
  <x:c r="H771" i="1"/>
  <x:c r="K771" i="1"/>
  <x:c r="N771" i="1"/>
  <x:c r="H772" i="1"/>
  <x:c r="K772" i="1"/>
  <x:c r="N772" i="1"/>
  <x:c r="H773" i="1"/>
  <x:c r="K773" i="1"/>
  <x:c r="N773" i="1"/>
  <x:c r="H774" i="1"/>
  <x:c r="K774" i="1"/>
  <x:c r="N774" i="1"/>
  <x:c r="H775" i="1"/>
  <x:c r="K775" i="1"/>
  <x:c r="N775" i="1"/>
  <x:c r="H776" i="1"/>
  <x:c r="K776" i="1"/>
  <x:c r="N776" i="1"/>
  <x:c r="H777" i="1"/>
  <x:c r="K777" i="1"/>
  <x:c r="N777" i="1"/>
  <x:c r="H778" i="1"/>
  <x:c r="K778" i="1"/>
  <x:c r="N778" i="1"/>
  <x:c r="H779" i="1"/>
  <x:c r="K779" i="1"/>
  <x:c r="N779" i="1"/>
  <x:c r="H780" i="1"/>
  <x:c r="K780" i="1"/>
  <x:c r="N780" i="1"/>
  <x:c r="H781" i="1"/>
  <x:c r="K781" i="1"/>
  <x:c r="N781" i="1"/>
  <x:c r="H782" i="1"/>
  <x:c r="K782" i="1"/>
  <x:c r="N782" i="1"/>
  <x:c r="H783" i="1"/>
  <x:c r="K783" i="1"/>
  <x:c r="N783" i="1"/>
  <x:c r="H784" i="1"/>
  <x:c r="K784" i="1"/>
  <x:c r="N784" i="1"/>
  <x:c r="H785" i="1"/>
  <x:c r="K785" i="1"/>
  <x:c r="N785" i="1"/>
  <x:c r="H786" i="1"/>
  <x:c r="K786" i="1"/>
  <x:c r="N786" i="1"/>
  <x:c r="H787" i="1"/>
  <x:c r="K787" i="1"/>
  <x:c r="N787" i="1"/>
  <x:c r="H788" i="1"/>
  <x:c r="K788" i="1"/>
  <x:c r="N788" i="1"/>
  <x:c r="H789" i="1"/>
  <x:c r="K789" i="1"/>
  <x:c r="N789" i="1"/>
  <x:c r="H790" i="1"/>
  <x:c r="K790" i="1"/>
  <x:c r="N790" i="1"/>
  <x:c r="H791" i="1"/>
  <x:c r="K791" i="1"/>
  <x:c r="N791" i="1"/>
  <x:c r="H792" i="1"/>
  <x:c r="K792" i="1"/>
  <x:c r="N792" i="1"/>
  <x:c r="H793" i="1"/>
  <x:c r="K793" i="1"/>
  <x:c r="N793" i="1"/>
  <x:c r="H794" i="1"/>
  <x:c r="K794" i="1"/>
  <x:c r="N794" i="1"/>
  <x:c r="H795" i="1"/>
  <x:c r="K795" i="1"/>
  <x:c r="N795" i="1"/>
  <x:c r="H796" i="1"/>
  <x:c r="K796" i="1"/>
  <x:c r="N796" i="1"/>
  <x:c r="H797" i="1"/>
  <x:c r="K797" i="1"/>
  <x:c r="N797" i="1"/>
  <x:c r="H798" i="1"/>
  <x:c r="K798" i="1"/>
  <x:c r="N798" i="1"/>
  <x:c r="H799" i="1"/>
  <x:c r="K799" i="1"/>
  <x:c r="N799" i="1"/>
  <x:c r="H800" i="1"/>
  <x:c r="K800" i="1"/>
  <x:c r="N800" i="1"/>
  <x:c r="H801" i="1"/>
  <x:c r="K801" i="1"/>
  <x:c r="N801" i="1"/>
  <x:c r="H802" i="1"/>
  <x:c r="K802" i="1"/>
  <x:c r="N802" i="1"/>
  <x:c r="H803" i="1"/>
  <x:c r="K803" i="1"/>
  <x:c r="N803" i="1"/>
  <x:c r="H804" i="1"/>
  <x:c r="K804" i="1"/>
  <x:c r="N804" i="1"/>
  <x:c r="H805" i="1"/>
  <x:c r="K805" i="1"/>
  <x:c r="N805" i="1"/>
  <x:c r="H806" i="1"/>
  <x:c r="K806" i="1"/>
  <x:c r="N806" i="1"/>
  <x:c r="H807" i="1"/>
  <x:c r="K807" i="1"/>
  <x:c r="N807" i="1"/>
  <x:c r="H808" i="1"/>
  <x:c r="K808" i="1"/>
  <x:c r="N808" i="1"/>
  <x:c r="H809" i="1"/>
  <x:c r="K809" i="1"/>
  <x:c r="N809" i="1"/>
  <x:c r="H810" i="1"/>
  <x:c r="K810" i="1"/>
  <x:c r="N810" i="1"/>
  <x:c r="H811" i="1"/>
  <x:c r="K811" i="1"/>
  <x:c r="N811" i="1"/>
  <x:c r="H812" i="1"/>
  <x:c r="K812" i="1"/>
  <x:c r="N812" i="1"/>
  <x:c r="H813" i="1"/>
  <x:c r="K813" i="1"/>
  <x:c r="N813" i="1"/>
  <x:c r="H814" i="1"/>
  <x:c r="K814" i="1"/>
  <x:c r="N814" i="1"/>
  <x:c r="H815" i="1"/>
  <x:c r="K815" i="1"/>
  <x:c r="N815" i="1"/>
  <x:c r="H816" i="1"/>
  <x:c r="K816" i="1"/>
  <x:c r="N816" i="1"/>
  <x:c r="H817" i="1"/>
  <x:c r="K817" i="1"/>
  <x:c r="N817" i="1"/>
  <x:c r="H818" i="1"/>
  <x:c r="K818" i="1"/>
  <x:c r="N818" i="1"/>
  <x:c r="H819" i="1"/>
  <x:c r="K819" i="1"/>
  <x:c r="N819" i="1"/>
  <x:c r="H820" i="1"/>
  <x:c r="K820" i="1"/>
  <x:c r="N820" i="1"/>
  <x:c r="H821" i="1"/>
  <x:c r="K821" i="1"/>
  <x:c r="N821" i="1"/>
  <x:c r="H822" i="1"/>
  <x:c r="K822" i="1"/>
  <x:c r="N822" i="1"/>
  <x:c r="H823" i="1"/>
  <x:c r="K823" i="1"/>
  <x:c r="N823" i="1"/>
  <x:c r="H824" i="1"/>
  <x:c r="K824" i="1"/>
  <x:c r="N824" i="1"/>
  <x:c r="H825" i="1"/>
  <x:c r="K825" i="1"/>
  <x:c r="N825" i="1"/>
  <x:c r="H826" i="1"/>
  <x:c r="K826" i="1"/>
  <x:c r="N826" i="1"/>
  <x:c r="H827" i="1"/>
  <x:c r="K827" i="1"/>
  <x:c r="N827" i="1"/>
  <x:c r="H828" i="1"/>
  <x:c r="K828" i="1"/>
  <x:c r="N828" i="1"/>
  <x:c r="H829" i="1"/>
  <x:c r="K829" i="1"/>
  <x:c r="N829" i="1"/>
  <x:c r="H830" i="1"/>
  <x:c r="K830" i="1"/>
  <x:c r="N830" i="1"/>
  <x:c r="H831" i="1"/>
  <x:c r="K831" i="1"/>
  <x:c r="N831" i="1"/>
  <x:c r="H832" i="1"/>
  <x:c r="K832" i="1"/>
  <x:c r="N832" i="1"/>
  <x:c r="H833" i="1"/>
  <x:c r="K833" i="1"/>
  <x:c r="N833" i="1"/>
  <x:c r="H834" i="1"/>
  <x:c r="K834" i="1"/>
  <x:c r="N834" i="1"/>
  <x:c r="H835" i="1"/>
  <x:c r="K835" i="1"/>
  <x:c r="N835" i="1"/>
  <x:c r="H836" i="1"/>
  <x:c r="K836" i="1"/>
  <x:c r="N836" i="1"/>
  <x:c r="H837" i="1"/>
  <x:c r="K837" i="1"/>
  <x:c r="N837" i="1"/>
  <x:c r="H838" i="1"/>
  <x:c r="K838" i="1"/>
  <x:c r="N838" i="1"/>
  <x:c r="H839" i="1"/>
  <x:c r="K839" i="1"/>
  <x:c r="N839" i="1"/>
  <x:c r="H840" i="1"/>
  <x:c r="K840" i="1"/>
  <x:c r="N840" i="1"/>
  <x:c r="H841" i="1"/>
  <x:c r="K841" i="1"/>
  <x:c r="N841" i="1"/>
  <x:c r="H842" i="1"/>
  <x:c r="K842" i="1"/>
  <x:c r="N842" i="1"/>
  <x:c r="H843" i="1"/>
  <x:c r="K843" i="1"/>
  <x:c r="N843" i="1"/>
  <x:c r="H844" i="1"/>
  <x:c r="K844" i="1"/>
  <x:c r="N844" i="1"/>
  <x:c r="H845" i="1"/>
  <x:c r="K845" i="1"/>
  <x:c r="N845" i="1"/>
  <x:c r="H846" i="1"/>
  <x:c r="K846" i="1"/>
  <x:c r="N846" i="1"/>
  <x:c r="H847" i="1"/>
  <x:c r="K847" i="1"/>
  <x:c r="N847" i="1"/>
  <x:c r="H848" i="1"/>
  <x:c r="K848" i="1"/>
  <x:c r="N848" i="1"/>
  <x:c r="H849" i="1"/>
  <x:c r="K849" i="1"/>
  <x:c r="N849" i="1"/>
  <x:c r="H850" i="1"/>
  <x:c r="K850" i="1"/>
  <x:c r="N850" i="1"/>
  <x:c r="H851" i="1"/>
  <x:c r="K851" i="1"/>
  <x:c r="N851" i="1"/>
  <x:c r="H852" i="1"/>
  <x:c r="K852" i="1"/>
  <x:c r="N852" i="1"/>
  <x:c r="H853" i="1"/>
  <x:c r="K853" i="1"/>
  <x:c r="N853" i="1"/>
  <x:c r="H854" i="1"/>
  <x:c r="K854" i="1"/>
  <x:c r="N854" i="1"/>
  <x:c r="H855" i="1"/>
  <x:c r="K855" i="1"/>
  <x:c r="N855" i="1"/>
  <x:c r="H856" i="1"/>
  <x:c r="K856" i="1"/>
  <x:c r="N856" i="1"/>
  <x:c r="H857" i="1"/>
  <x:c r="K857" i="1"/>
  <x:c r="N857" i="1"/>
  <x:c r="H858" i="1"/>
  <x:c r="K858" i="1"/>
  <x:c r="N858" i="1"/>
  <x:c r="H859" i="1"/>
  <x:c r="K859" i="1"/>
  <x:c r="N859" i="1"/>
  <x:c r="H860" i="1"/>
  <x:c r="K860" i="1"/>
  <x:c r="N860" i="1"/>
  <x:c r="H861" i="1"/>
  <x:c r="K861" i="1"/>
  <x:c r="N861" i="1"/>
  <x:c r="H862" i="1"/>
  <x:c r="K862" i="1"/>
  <x:c r="N862" i="1"/>
  <x:c r="H863" i="1"/>
  <x:c r="K863" i="1"/>
  <x:c r="N863" i="1"/>
  <x:c r="H864" i="1"/>
  <x:c r="K864" i="1"/>
  <x:c r="N864" i="1"/>
  <x:c r="H865" i="1"/>
  <x:c r="K865" i="1"/>
  <x:c r="N865" i="1"/>
  <x:c r="H866" i="1"/>
  <x:c r="K866" i="1"/>
  <x:c r="N866" i="1"/>
  <x:c r="H867" i="1"/>
  <x:c r="K867" i="1"/>
  <x:c r="N867" i="1"/>
  <x:c r="H868" i="1"/>
  <x:c r="K868" i="1"/>
  <x:c r="N868" i="1"/>
  <x:c r="H869" i="1"/>
  <x:c r="K869" i="1"/>
  <x:c r="N869" i="1"/>
  <x:c r="H870" i="1"/>
  <x:c r="K870" i="1"/>
  <x:c r="N870" i="1"/>
  <x:c r="H871" i="1"/>
  <x:c r="K871" i="1"/>
  <x:c r="N871" i="1"/>
  <x:c r="H872" i="1"/>
  <x:c r="K872" i="1"/>
  <x:c r="N872" i="1"/>
  <x:c r="H873" i="1"/>
  <x:c r="K873" i="1"/>
  <x:c r="N873" i="1"/>
  <x:c r="H874" i="1"/>
  <x:c r="K874" i="1"/>
  <x:c r="N874" i="1"/>
  <x:c r="H875" i="1"/>
  <x:c r="K875" i="1"/>
  <x:c r="N875" i="1"/>
  <x:c r="H876" i="1"/>
  <x:c r="K876" i="1"/>
  <x:c r="N876" i="1"/>
  <x:c r="H877" i="1"/>
  <x:c r="K877" i="1"/>
  <x:c r="N877" i="1"/>
  <x:c r="H878" i="1"/>
  <x:c r="K878" i="1"/>
  <x:c r="N878" i="1"/>
  <x:c r="H879" i="1"/>
  <x:c r="K879" i="1"/>
  <x:c r="N879" i="1"/>
  <x:c r="H880" i="1"/>
  <x:c r="K880" i="1"/>
  <x:c r="N880" i="1"/>
  <x:c r="H881" i="1"/>
  <x:c r="K881" i="1"/>
  <x:c r="N881" i="1"/>
  <x:c r="H882" i="1"/>
  <x:c r="K882" i="1"/>
  <x:c r="N882" i="1"/>
  <x:c r="H883" i="1"/>
  <x:c r="K883" i="1"/>
  <x:c r="N883" i="1"/>
  <x:c r="H884" i="1"/>
  <x:c r="K884" i="1"/>
  <x:c r="N884" i="1"/>
  <x:c r="H885" i="1"/>
  <x:c r="K885" i="1"/>
  <x:c r="N885" i="1"/>
  <x:c r="H886" i="1"/>
  <x:c r="K886" i="1"/>
  <x:c r="N886" i="1"/>
  <x:c r="H887" i="1"/>
  <x:c r="K887" i="1"/>
  <x:c r="N887" i="1"/>
  <x:c r="H888" i="1"/>
  <x:c r="K888" i="1"/>
  <x:c r="N888" i="1"/>
  <x:c r="H889" i="1"/>
  <x:c r="K889" i="1"/>
  <x:c r="N889" i="1"/>
  <x:c r="H890" i="1"/>
  <x:c r="K890" i="1"/>
  <x:c r="N890" i="1"/>
  <x:c r="H891" i="1"/>
  <x:c r="K891" i="1"/>
  <x:c r="N891" i="1"/>
  <x:c r="H892" i="1"/>
  <x:c r="K892" i="1"/>
  <x:c r="N892" i="1"/>
  <x:c r="H893" i="1"/>
  <x:c r="K893" i="1"/>
  <x:c r="N893" i="1"/>
  <x:c r="H894" i="1"/>
  <x:c r="K894" i="1"/>
  <x:c r="N894" i="1"/>
  <x:c r="H895" i="1"/>
  <x:c r="K895" i="1"/>
  <x:c r="N895" i="1"/>
  <x:c r="H896" i="1"/>
  <x:c r="K896" i="1"/>
  <x:c r="N896" i="1"/>
  <x:c r="H897" i="1"/>
  <x:c r="K897" i="1"/>
  <x:c r="N897" i="1"/>
  <x:c r="H898" i="1"/>
  <x:c r="K898" i="1"/>
  <x:c r="N898" i="1"/>
  <x:c r="H899" i="1"/>
  <x:c r="K899" i="1"/>
  <x:c r="N899" i="1"/>
  <x:c r="H900" i="1"/>
  <x:c r="K900" i="1"/>
  <x:c r="N900" i="1"/>
  <x:c r="H901" i="1"/>
  <x:c r="K901" i="1"/>
  <x:c r="N901" i="1"/>
  <x:c r="H902" i="1"/>
  <x:c r="K902" i="1"/>
  <x:c r="N902" i="1"/>
  <x:c r="H903" i="1"/>
  <x:c r="K903" i="1"/>
  <x:c r="N903" i="1"/>
  <x:c r="H904" i="1"/>
  <x:c r="K904" i="1"/>
  <x:c r="N904" i="1"/>
  <x:c r="H905" i="1"/>
  <x:c r="K905" i="1"/>
  <x:c r="N905" i="1"/>
  <x:c r="H906" i="1"/>
  <x:c r="K906" i="1"/>
  <x:c r="N906" i="1"/>
  <x:c r="H907" i="1"/>
  <x:c r="K907" i="1"/>
  <x:c r="N907" i="1"/>
  <x:c r="H908" i="1"/>
  <x:c r="K908" i="1"/>
  <x:c r="N908" i="1"/>
  <x:c r="H909" i="1"/>
  <x:c r="K909" i="1"/>
  <x:c r="N909" i="1"/>
  <x:c r="H910" i="1"/>
  <x:c r="K910" i="1"/>
  <x:c r="N910" i="1"/>
  <x:c r="H911" i="1"/>
  <x:c r="K911" i="1"/>
  <x:c r="N911" i="1"/>
  <x:c r="H912" i="1"/>
  <x:c r="K912" i="1"/>
  <x:c r="N912" i="1"/>
  <x:c r="H913" i="1"/>
  <x:c r="K913" i="1"/>
  <x:c r="N913" i="1"/>
  <x:c r="H914" i="1"/>
  <x:c r="K914" i="1"/>
  <x:c r="N914" i="1"/>
  <x:c r="H915" i="1"/>
  <x:c r="K915" i="1"/>
  <x:c r="N915" i="1"/>
  <x:c r="H916" i="1"/>
  <x:c r="K916" i="1"/>
  <x:c r="N916" i="1"/>
  <x:c r="H917" i="1"/>
  <x:c r="K917" i="1"/>
  <x:c r="N917" i="1"/>
  <x:c r="H918" i="1"/>
  <x:c r="K918" i="1"/>
  <x:c r="N918" i="1"/>
  <x:c r="H919" i="1"/>
  <x:c r="K919" i="1"/>
  <x:c r="N919" i="1"/>
  <x:c r="H920" i="1"/>
  <x:c r="K920" i="1"/>
  <x:c r="N920" i="1"/>
  <x:c r="H921" i="1"/>
  <x:c r="K921" i="1"/>
  <x:c r="N921" i="1"/>
  <x:c r="H922" i="1"/>
  <x:c r="K922" i="1"/>
  <x:c r="N922" i="1"/>
  <x:c r="H923" i="1"/>
  <x:c r="K923" i="1"/>
  <x:c r="N923" i="1"/>
  <x:c r="H924" i="1"/>
  <x:c r="K924" i="1"/>
  <x:c r="N924" i="1"/>
  <x:c r="H925" i="1"/>
  <x:c r="K925" i="1"/>
  <x:c r="N925" i="1"/>
  <x:c r="H926" i="1"/>
  <x:c r="K926" i="1"/>
  <x:c r="N926" i="1"/>
  <x:c r="H927" i="1"/>
  <x:c r="K927" i="1"/>
  <x:c r="N927" i="1"/>
  <x:c r="H928" i="1"/>
  <x:c r="K928" i="1"/>
  <x:c r="N928" i="1"/>
  <x:c r="H929" i="1"/>
  <x:c r="K929" i="1"/>
  <x:c r="N929" i="1"/>
  <x:c r="H930" i="1"/>
  <x:c r="K930" i="1"/>
  <x:c r="N930" i="1"/>
  <x:c r="H931" i="1"/>
  <x:c r="K931" i="1"/>
  <x:c r="N931" i="1"/>
  <x:c r="H932" i="1"/>
  <x:c r="K932" i="1"/>
  <x:c r="N932" i="1"/>
  <x:c r="H933" i="1"/>
  <x:c r="K933" i="1"/>
  <x:c r="N933" i="1"/>
  <x:c r="H934" i="1"/>
  <x:c r="K934" i="1"/>
  <x:c r="N934" i="1"/>
  <x:c r="H935" i="1"/>
  <x:c r="K935" i="1"/>
  <x:c r="N935" i="1"/>
  <x:c r="H936" i="1"/>
  <x:c r="K936" i="1"/>
  <x:c r="N936" i="1"/>
  <x:c r="H937" i="1"/>
  <x:c r="K937" i="1"/>
  <x:c r="N937" i="1"/>
  <x:c r="H938" i="1"/>
  <x:c r="K938" i="1"/>
  <x:c r="N938" i="1"/>
  <x:c r="H939" i="1"/>
  <x:c r="K939" i="1"/>
  <x:c r="N939" i="1"/>
  <x:c r="H940" i="1"/>
  <x:c r="K940" i="1"/>
  <x:c r="N940" i="1"/>
  <x:c r="H941" i="1"/>
  <x:c r="K941" i="1"/>
  <x:c r="N941" i="1"/>
  <x:c r="H942" i="1"/>
  <x:c r="K942" i="1"/>
  <x:c r="N942" i="1"/>
  <x:c r="H943" i="1"/>
  <x:c r="K943" i="1"/>
  <x:c r="N943" i="1"/>
  <x:c r="H944" i="1"/>
  <x:c r="K944" i="1"/>
  <x:c r="N944" i="1"/>
  <x:c r="H945" i="1"/>
  <x:c r="K945" i="1"/>
  <x:c r="N945" i="1"/>
  <x:c r="H946" i="1"/>
  <x:c r="K946" i="1"/>
  <x:c r="N946" i="1"/>
  <x:c r="H947" i="1"/>
  <x:c r="K947" i="1"/>
  <x:c r="N947" i="1"/>
  <x:c r="H948" i="1"/>
  <x:c r="K948" i="1"/>
  <x:c r="N948" i="1"/>
  <x:c r="H949" i="1"/>
  <x:c r="K949" i="1"/>
  <x:c r="N949" i="1"/>
  <x:c r="H950" i="1"/>
  <x:c r="K950" i="1"/>
  <x:c r="N950" i="1"/>
  <x:c r="H951" i="1"/>
  <x:c r="K951" i="1"/>
  <x:c r="N951" i="1"/>
  <x:c r="H952" i="1"/>
  <x:c r="K952" i="1"/>
  <x:c r="N952" i="1"/>
  <x:c r="H953" i="1"/>
  <x:c r="K953" i="1"/>
  <x:c r="N953" i="1"/>
  <x:c r="H954" i="1"/>
  <x:c r="K954" i="1"/>
  <x:c r="N954" i="1"/>
  <x:c r="H955" i="1"/>
  <x:c r="K955" i="1"/>
  <x:c r="N955" i="1"/>
  <x:c r="H956" i="1"/>
  <x:c r="K956" i="1"/>
  <x:c r="N956" i="1"/>
  <x:c r="H957" i="1"/>
  <x:c r="K957" i="1"/>
  <x:c r="N957" i="1"/>
  <x:c r="H958" i="1"/>
  <x:c r="K958" i="1"/>
  <x:c r="N958" i="1"/>
  <x:c r="H959" i="1"/>
  <x:c r="K959" i="1"/>
  <x:c r="N959" i="1"/>
  <x:c r="H960" i="1"/>
  <x:c r="K960" i="1"/>
  <x:c r="N960" i="1"/>
  <x:c r="H961" i="1"/>
  <x:c r="K961" i="1"/>
  <x:c r="N961" i="1"/>
  <x:c r="H962" i="1"/>
  <x:c r="K962" i="1"/>
  <x:c r="N962" i="1"/>
  <x:c r="H963" i="1"/>
  <x:c r="K963" i="1"/>
  <x:c r="N963" i="1"/>
  <x:c r="H964" i="1"/>
  <x:c r="K964" i="1"/>
  <x:c r="N964" i="1"/>
  <x:c r="H965" i="1"/>
  <x:c r="K965" i="1"/>
  <x:c r="N965" i="1"/>
  <x:c r="H966" i="1"/>
  <x:c r="K966" i="1"/>
  <x:c r="N966" i="1"/>
  <x:c r="H967" i="1"/>
  <x:c r="K967" i="1"/>
  <x:c r="N967" i="1"/>
  <x:c r="H968" i="1"/>
  <x:c r="K968" i="1"/>
  <x:c r="N968" i="1"/>
  <x:c r="H969" i="1"/>
  <x:c r="K969" i="1"/>
  <x:c r="N969" i="1"/>
  <x:c r="H970" i="1"/>
  <x:c r="K970" i="1"/>
  <x:c r="N970" i="1"/>
  <x:c r="H971" i="1"/>
  <x:c r="K971" i="1"/>
  <x:c r="N971" i="1"/>
  <x:c r="H972" i="1"/>
  <x:c r="K972" i="1"/>
  <x:c r="N972" i="1"/>
  <x:c r="H973" i="1"/>
  <x:c r="K973" i="1"/>
  <x:c r="N973" i="1"/>
  <x:c r="H974" i="1"/>
  <x:c r="K974" i="1"/>
  <x:c r="N974" i="1"/>
  <x:c r="H975" i="1"/>
  <x:c r="K975" i="1"/>
  <x:c r="N975" i="1"/>
  <x:c r="H976" i="1"/>
  <x:c r="K976" i="1"/>
  <x:c r="N976" i="1"/>
  <x:c r="H977" i="1"/>
  <x:c r="K977" i="1"/>
  <x:c r="N977" i="1"/>
  <x:c r="H978" i="1"/>
  <x:c r="K978" i="1"/>
  <x:c r="N978" i="1"/>
  <x:c r="H979" i="1"/>
  <x:c r="K979" i="1"/>
  <x:c r="N979" i="1"/>
  <x:c r="H980" i="1"/>
  <x:c r="K980" i="1"/>
  <x:c r="N980" i="1"/>
  <x:c r="H981" i="1"/>
  <x:c r="K981" i="1"/>
  <x:c r="N981" i="1"/>
  <x:c r="H982" i="1"/>
  <x:c r="K982" i="1"/>
  <x:c r="N982" i="1"/>
  <x:c r="H983" i="1"/>
  <x:c r="K983" i="1"/>
  <x:c r="N983" i="1"/>
  <x:c r="H984" i="1"/>
  <x:c r="K984" i="1"/>
  <x:c r="N984" i="1"/>
  <x:c r="H985" i="1"/>
  <x:c r="K985" i="1"/>
  <x:c r="N985" i="1"/>
  <x:c r="H986" i="1"/>
  <x:c r="K986" i="1"/>
  <x:c r="N986" i="1"/>
  <x:c r="H987" i="1"/>
  <x:c r="K987" i="1"/>
  <x:c r="N987" i="1"/>
  <x:c r="H988" i="1"/>
  <x:c r="K988" i="1"/>
  <x:c r="N988" i="1"/>
  <x:c r="H989" i="1"/>
  <x:c r="K989" i="1"/>
  <x:c r="N989" i="1"/>
  <x:c r="H990" i="1"/>
  <x:c r="K990" i="1"/>
  <x:c r="N990" i="1"/>
  <x:c r="H991" i="1"/>
  <x:c r="K991" i="1"/>
  <x:c r="N991" i="1"/>
  <x:c r="H992" i="1"/>
  <x:c r="K992" i="1"/>
  <x:c r="N992" i="1"/>
  <x:c r="H993" i="1"/>
  <x:c r="K993" i="1"/>
  <x:c r="N993" i="1"/>
  <x:c r="H994" i="1"/>
  <x:c r="K994" i="1"/>
  <x:c r="N994" i="1"/>
  <x:c r="H995" i="1"/>
  <x:c r="K995" i="1"/>
  <x:c r="N995" i="1"/>
  <x:c r="H996" i="1"/>
  <x:c r="K996" i="1"/>
  <x:c r="N996" i="1"/>
  <x:c r="H997" i="1"/>
  <x:c r="K997" i="1"/>
  <x:c r="N997" i="1"/>
  <x:c r="H998" i="1"/>
  <x:c r="K998" i="1"/>
  <x:c r="N998" i="1"/>
  <x:c r="H999" i="1"/>
  <x:c r="K999" i="1"/>
  <x:c r="N999" i="1"/>
  <x:c r="H1000" i="1"/>
  <x:c r="K1000" i="1"/>
  <x:c r="N1000" i="1"/>
  <x:c r="H1001" i="1"/>
  <x:c r="K1001" i="1"/>
  <x:c r="N1001" i="1"/>
  <x:c r="H1002" i="1"/>
  <x:c r="K1002" i="1"/>
  <x:c r="N1002" i="1"/>
  <x:c r="H1003" i="1"/>
  <x:c r="K1003" i="1"/>
  <x:c r="N1003" i="1"/>
  <x:c r="H1004" i="1"/>
  <x:c r="K1004" i="1"/>
  <x:c r="N1004" i="1"/>
  <x:c r="H1005" i="1"/>
  <x:c r="K1005" i="1"/>
  <x:c r="N1005" i="1"/>
  <x:c r="H1006" i="1"/>
  <x:c r="K1006" i="1"/>
  <x:c r="N1006" i="1"/>
  <x:c r="H1007" i="1"/>
  <x:c r="K1007" i="1"/>
  <x:c r="N1007" i="1"/>
  <x:c r="H1008" i="1"/>
  <x:c r="K1008" i="1"/>
  <x:c r="N1008" i="1"/>
  <x:c r="H1009" i="1"/>
  <x:c r="K1009" i="1"/>
  <x:c r="N1009" i="1"/>
  <x:c r="H1010" i="1"/>
  <x:c r="K1010" i="1"/>
  <x:c r="N1010" i="1"/>
  <x:c r="H1011" i="1"/>
  <x:c r="K1011" i="1"/>
  <x:c r="N1011" i="1"/>
  <x:c r="H1012" i="1"/>
  <x:c r="K1012" i="1"/>
  <x:c r="N1012" i="1"/>
  <x:c r="H1013" i="1"/>
  <x:c r="K1013" i="1"/>
  <x:c r="N1013" i="1"/>
  <x:c r="H1014" i="1"/>
  <x:c r="K1014" i="1"/>
  <x:c r="N1014" i="1"/>
  <x:c r="H1015" i="1"/>
  <x:c r="K1015" i="1"/>
  <x:c r="N1015" i="1"/>
  <x:c r="H1016" i="1"/>
  <x:c r="K1016" i="1"/>
  <x:c r="N1016" i="1"/>
  <x:c r="H1017" i="1"/>
  <x:c r="K1017" i="1"/>
  <x:c r="N1017" i="1"/>
  <x:c r="H1018" i="1"/>
  <x:c r="K1018" i="1"/>
  <x:c r="N1018" i="1"/>
  <x:c r="H1019" i="1"/>
  <x:c r="K1019" i="1"/>
  <x:c r="N1019" i="1"/>
  <x:c r="H1020" i="1"/>
  <x:c r="K1020" i="1"/>
  <x:c r="N1020" i="1"/>
  <x:c r="H1021" i="1"/>
  <x:c r="K1021" i="1"/>
  <x:c r="N1021" i="1"/>
  <x:c r="H1022" i="1"/>
  <x:c r="K1022" i="1"/>
  <x:c r="N1022" i="1"/>
  <x:c r="H1023" i="1"/>
  <x:c r="K1023" i="1"/>
  <x:c r="N1023" i="1"/>
  <x:c r="H1024" i="1"/>
  <x:c r="K1024" i="1"/>
  <x:c r="N1024" i="1"/>
  <x:c r="H1025" i="1"/>
  <x:c r="K1025" i="1"/>
  <x:c r="N1025" i="1"/>
  <x:c r="H1026" i="1"/>
  <x:c r="K1026" i="1"/>
  <x:c r="N1026" i="1"/>
  <x:c r="H1027" i="1"/>
  <x:c r="K1027" i="1"/>
  <x:c r="N1027" i="1"/>
  <x:c r="H1028" i="1"/>
  <x:c r="K1028" i="1"/>
  <x:c r="N1028" i="1"/>
  <x:c r="H1029" i="1"/>
  <x:c r="K1029" i="1"/>
  <x:c r="N1029" i="1"/>
  <x:c r="H1030" i="1"/>
  <x:c r="K1030" i="1"/>
  <x:c r="N1030" i="1"/>
  <x:c r="H1031" i="1"/>
  <x:c r="K1031" i="1"/>
  <x:c r="N1031" i="1"/>
  <x:c r="H1032" i="1"/>
  <x:c r="K1032" i="1"/>
  <x:c r="N1032" i="1"/>
  <x:c r="H1033" i="1"/>
  <x:c r="K1033" i="1"/>
  <x:c r="N1033" i="1"/>
  <x:c r="H1034" i="1"/>
  <x:c r="K1034" i="1"/>
  <x:c r="N1034" i="1"/>
  <x:c r="H1035" i="1"/>
  <x:c r="K1035" i="1"/>
  <x:c r="N1035" i="1"/>
  <x:c r="H1036" i="1"/>
  <x:c r="K1036" i="1"/>
  <x:c r="N1036" i="1"/>
  <x:c r="H1037" i="1"/>
  <x:c r="K1037" i="1"/>
  <x:c r="N1037" i="1"/>
  <x:c r="H1038" i="1"/>
  <x:c r="K1038" i="1"/>
  <x:c r="N1038" i="1"/>
  <x:c r="H1039" i="1"/>
  <x:c r="K1039" i="1"/>
  <x:c r="N1039" i="1"/>
  <x:c r="H1040" i="1"/>
  <x:c r="K1040" i="1"/>
  <x:c r="N1040" i="1"/>
  <x:c r="H1041" i="1"/>
  <x:c r="K1041" i="1"/>
  <x:c r="N1041" i="1"/>
  <x:c r="H1042" i="1"/>
  <x:c r="K1042" i="1"/>
  <x:c r="N1042" i="1"/>
  <x:c r="H1043" i="1"/>
  <x:c r="K1043" i="1"/>
  <x:c r="N1043" i="1"/>
  <x:c r="H1044" i="1"/>
  <x:c r="K1044" i="1"/>
  <x:c r="N1044" i="1"/>
  <x:c r="H1045" i="1"/>
  <x:c r="K1045" i="1"/>
  <x:c r="N1045" i="1"/>
  <x:c r="H1046" i="1"/>
  <x:c r="K1046" i="1"/>
  <x:c r="N1046" i="1"/>
  <x:c r="H1047" i="1"/>
  <x:c r="K1047" i="1"/>
  <x:c r="N1047" i="1"/>
  <x:c r="H1048" i="1"/>
  <x:c r="K1048" i="1"/>
  <x:c r="N1048" i="1"/>
  <x:c r="H1049" i="1"/>
  <x:c r="K1049" i="1"/>
  <x:c r="N1049" i="1"/>
  <x:c r="H1050" i="1"/>
  <x:c r="K1050" i="1"/>
  <x:c r="N1050" i="1"/>
  <x:c r="H1051" i="1"/>
  <x:c r="K1051" i="1"/>
  <x:c r="N1051" i="1"/>
  <x:c r="H1052" i="1"/>
  <x:c r="K1052" i="1"/>
  <x:c r="N1052" i="1"/>
  <x:c r="H1053" i="1"/>
  <x:c r="K1053" i="1"/>
  <x:c r="N1053" i="1"/>
  <x:c r="H1054" i="1"/>
  <x:c r="K1054" i="1"/>
  <x:c r="N1054" i="1"/>
  <x:c r="H1055" i="1"/>
  <x:c r="K1055" i="1"/>
  <x:c r="N1055" i="1"/>
  <x:c r="H1056" i="1"/>
  <x:c r="K1056" i="1"/>
  <x:c r="N1056" i="1"/>
  <x:c r="H1057" i="1"/>
  <x:c r="K1057" i="1"/>
  <x:c r="N1057" i="1"/>
  <x:c r="H1058" i="1"/>
  <x:c r="K1058" i="1"/>
  <x:c r="N1058" i="1"/>
  <x:c r="H1059" i="1"/>
  <x:c r="K1059" i="1"/>
  <x:c r="N1059" i="1"/>
  <x:c r="H1060" i="1"/>
  <x:c r="K1060" i="1"/>
  <x:c r="N1060" i="1"/>
  <x:c r="H1061" i="1"/>
  <x:c r="K1061" i="1"/>
  <x:c r="N1061" i="1"/>
  <x:c r="H1062" i="1"/>
  <x:c r="K1062" i="1"/>
  <x:c r="N1062" i="1"/>
  <x:c r="H1063" i="1"/>
  <x:c r="K1063" i="1"/>
  <x:c r="N1063" i="1"/>
  <x:c r="H1064" i="1"/>
  <x:c r="K1064" i="1"/>
  <x:c r="N1064" i="1"/>
  <x:c r="H1065" i="1"/>
  <x:c r="K1065" i="1"/>
  <x:c r="N1065" i="1"/>
  <x:c r="H1066" i="1"/>
  <x:c r="K1066" i="1"/>
  <x:c r="N1066" i="1"/>
  <x:c r="H1067" i="1"/>
  <x:c r="K1067" i="1"/>
  <x:c r="N1067" i="1"/>
  <x:c r="H1068" i="1"/>
  <x:c r="K1068" i="1"/>
  <x:c r="N1068" i="1"/>
  <x:c r="H1069" i="1"/>
  <x:c r="K1069" i="1"/>
  <x:c r="N1069" i="1"/>
  <x:c r="H1070" i="1"/>
  <x:c r="K1070" i="1"/>
  <x:c r="N1070" i="1"/>
  <x:c r="H1071" i="1"/>
  <x:c r="K1071" i="1"/>
  <x:c r="N1071" i="1"/>
  <x:c r="H1072" i="1"/>
  <x:c r="K1072" i="1"/>
  <x:c r="N1072" i="1"/>
  <x:c r="H1073" i="1"/>
  <x:c r="K1073" i="1"/>
  <x:c r="N1073" i="1"/>
  <x:c r="H1074" i="1"/>
  <x:c r="K1074" i="1"/>
  <x:c r="N1074" i="1"/>
  <x:c r="H1075" i="1"/>
  <x:c r="K1075" i="1"/>
  <x:c r="N1075" i="1"/>
  <x:c r="H1076" i="1"/>
  <x:c r="K1076" i="1"/>
  <x:c r="N1076" i="1"/>
  <x:c r="H1077" i="1"/>
  <x:c r="K1077" i="1"/>
  <x:c r="N1077" i="1"/>
  <x:c r="H1078" i="1"/>
  <x:c r="K1078" i="1"/>
  <x:c r="N1078" i="1"/>
  <x:c r="H1079" i="1"/>
  <x:c r="K1079" i="1"/>
  <x:c r="N1079" i="1"/>
  <x:c r="H1080" i="1"/>
  <x:c r="K1080" i="1"/>
  <x:c r="N1080" i="1"/>
  <x:c r="H1081" i="1"/>
  <x:c r="K1081" i="1"/>
  <x:c r="N1081" i="1"/>
  <x:c r="H1082" i="1"/>
  <x:c r="K1082" i="1"/>
  <x:c r="N1082" i="1"/>
  <x:c r="H1083" i="1"/>
  <x:c r="K1083" i="1"/>
  <x:c r="N1083" i="1"/>
  <x:c r="H1084" i="1"/>
  <x:c r="K1084" i="1"/>
  <x:c r="N1084" i="1"/>
  <x:c r="H1085" i="1"/>
  <x:c r="K1085" i="1"/>
  <x:c r="N1085" i="1"/>
  <x:c r="H1086" i="1"/>
  <x:c r="K1086" i="1"/>
  <x:c r="N1086" i="1"/>
  <x:c r="H1087" i="1"/>
  <x:c r="K1087" i="1"/>
  <x:c r="N1087" i="1"/>
  <x:c r="H1088" i="1"/>
  <x:c r="K1088" i="1"/>
  <x:c r="N1088" i="1"/>
  <x:c r="H1089" i="1"/>
  <x:c r="K1089" i="1"/>
  <x:c r="N1089" i="1"/>
  <x:c r="H1090" i="1"/>
  <x:c r="K1090" i="1"/>
  <x:c r="N1090" i="1"/>
  <x:c r="H1091" i="1"/>
  <x:c r="K1091" i="1"/>
  <x:c r="N1091" i="1"/>
  <x:c r="H1092" i="1"/>
  <x:c r="K1092" i="1"/>
  <x:c r="N1092" i="1"/>
  <x:c r="H1093" i="1"/>
  <x:c r="K1093" i="1"/>
  <x:c r="N1093" i="1"/>
  <x:c r="H1094" i="1"/>
  <x:c r="K1094" i="1"/>
  <x:c r="N1094" i="1"/>
  <x:c r="H1095" i="1"/>
  <x:c r="K1095" i="1"/>
  <x:c r="N1095" i="1"/>
  <x:c r="H1096" i="1"/>
  <x:c r="K1096" i="1"/>
  <x:c r="N1096" i="1"/>
  <x:c r="H1097" i="1"/>
  <x:c r="K1097" i="1"/>
  <x:c r="N1097" i="1"/>
  <x:c r="H1098" i="1"/>
  <x:c r="K1098" i="1"/>
  <x:c r="N1098" i="1"/>
  <x:c r="H1099" i="1"/>
  <x:c r="K1099" i="1"/>
  <x:c r="N1099" i="1"/>
  <x:c r="H1100" i="1"/>
  <x:c r="K1100" i="1"/>
  <x:c r="N1100" i="1"/>
  <x:c r="H1101" i="1"/>
  <x:c r="K1101" i="1"/>
  <x:c r="N1101" i="1"/>
  <x:c r="H1102" i="1"/>
  <x:c r="K1102" i="1"/>
  <x:c r="N1102" i="1"/>
  <x:c r="H1103" i="1"/>
  <x:c r="K1103" i="1"/>
  <x:c r="N1103" i="1"/>
  <x:c r="H1104" i="1"/>
  <x:c r="K1104" i="1"/>
  <x:c r="N1104" i="1"/>
  <x:c r="H1105" i="1"/>
  <x:c r="K1105" i="1"/>
  <x:c r="N1105" i="1"/>
  <x:c r="H1106" i="1"/>
  <x:c r="K1106" i="1"/>
  <x:c r="N1106" i="1"/>
  <x:c r="H1107" i="1"/>
  <x:c r="K1107" i="1"/>
  <x:c r="N1107" i="1"/>
  <x:c r="H1108" i="1"/>
  <x:c r="K1108" i="1"/>
  <x:c r="N1108" i="1"/>
  <x:c r="H1109" i="1"/>
  <x:c r="K1109" i="1"/>
  <x:c r="N1109" i="1"/>
  <x:c r="H1110" i="1"/>
  <x:c r="K1110" i="1"/>
  <x:c r="N1110" i="1"/>
  <x:c r="H1111" i="1"/>
  <x:c r="K1111" i="1"/>
  <x:c r="N1111" i="1"/>
  <x:c r="H1112" i="1"/>
  <x:c r="K1112" i="1"/>
  <x:c r="N1112" i="1"/>
  <x:c r="H1113" i="1"/>
  <x:c r="K1113" i="1"/>
  <x:c r="N1113" i="1"/>
  <x:c r="H1114" i="1"/>
  <x:c r="K1114" i="1"/>
  <x:c r="N1114" i="1"/>
  <x:c r="H1115" i="1"/>
  <x:c r="K1115" i="1"/>
  <x:c r="N1115" i="1"/>
  <x:c r="H1116" i="1"/>
  <x:c r="K1116" i="1"/>
  <x:c r="N1116" i="1"/>
  <x:c r="H1117" i="1"/>
  <x:c r="K1117" i="1"/>
  <x:c r="N1117" i="1"/>
  <x:c r="H1118" i="1"/>
  <x:c r="K1118" i="1"/>
  <x:c r="N1118" i="1"/>
  <x:c r="H1119" i="1"/>
  <x:c r="K1119" i="1"/>
  <x:c r="N1119" i="1"/>
  <x:c r="H1120" i="1"/>
  <x:c r="K1120" i="1"/>
  <x:c r="N1120" i="1"/>
  <x:c r="H1121" i="1"/>
  <x:c r="K1121" i="1"/>
  <x:c r="N1121" i="1"/>
  <x:c r="H1122" i="1"/>
  <x:c r="K1122" i="1"/>
  <x:c r="N1122" i="1"/>
  <x:c r="H1123" i="1"/>
  <x:c r="K1123" i="1"/>
  <x:c r="N1123" i="1"/>
  <x:c r="H1124" i="1"/>
  <x:c r="K1124" i="1"/>
  <x:c r="N1124" i="1"/>
  <x:c r="H1125" i="1"/>
  <x:c r="K1125" i="1"/>
  <x:c r="N1125" i="1"/>
  <x:c r="H1126" i="1"/>
  <x:c r="K1126" i="1"/>
  <x:c r="N1126" i="1"/>
  <x:c r="H1127" i="1"/>
  <x:c r="K1127" i="1"/>
  <x:c r="N1127" i="1"/>
  <x:c r="H1128" i="1"/>
  <x:c r="K1128" i="1"/>
  <x:c r="N1128" i="1"/>
  <x:c r="H1129" i="1"/>
  <x:c r="K1129" i="1"/>
  <x:c r="N1129" i="1"/>
  <x:c r="H1130" i="1"/>
  <x:c r="K1130" i="1"/>
  <x:c r="N1130" i="1"/>
  <x:c r="H1131" i="1"/>
  <x:c r="K1131" i="1"/>
  <x:c r="N1131" i="1"/>
  <x:c r="H1132" i="1"/>
  <x:c r="K1132" i="1"/>
  <x:c r="N1132" i="1"/>
  <x:c r="H1133" i="1"/>
  <x:c r="K1133" i="1"/>
  <x:c r="N1133" i="1"/>
  <x:c r="H1134" i="1"/>
  <x:c r="K1134" i="1"/>
  <x:c r="N1134" i="1"/>
  <x:c r="H1135" i="1"/>
  <x:c r="K1135" i="1"/>
  <x:c r="N1135" i="1"/>
  <x:c r="H1136" i="1"/>
  <x:c r="K1136" i="1"/>
  <x:c r="N1136" i="1"/>
  <x:c r="H1137" i="1"/>
  <x:c r="K1137" i="1"/>
  <x:c r="N1137" i="1"/>
  <x:c r="H1138" i="1"/>
  <x:c r="K1138" i="1"/>
  <x:c r="N1138" i="1"/>
  <x:c r="H1139" i="1"/>
  <x:c r="K1139" i="1"/>
  <x:c r="N1139" i="1"/>
  <x:c r="H1140" i="1"/>
  <x:c r="K1140" i="1"/>
  <x:c r="N1140" i="1"/>
  <x:c r="H1141" i="1"/>
  <x:c r="K1141" i="1"/>
  <x:c r="N1141" i="1"/>
  <x:c r="H1142" i="1"/>
  <x:c r="K1142" i="1"/>
  <x:c r="N1142" i="1"/>
  <x:c r="H1143" i="1"/>
  <x:c r="K1143" i="1"/>
  <x:c r="N1143" i="1"/>
  <x:c r="H1144" i="1"/>
  <x:c r="K1144" i="1"/>
  <x:c r="N1144" i="1"/>
  <x:c r="H1145" i="1"/>
  <x:c r="K1145" i="1"/>
  <x:c r="N1145" i="1"/>
  <x:c r="H1146" i="1"/>
  <x:c r="K1146" i="1"/>
  <x:c r="N1146" i="1"/>
  <x:c r="H1147" i="1"/>
  <x:c r="K1147" i="1"/>
  <x:c r="N1147" i="1"/>
  <x:c r="H1148" i="1"/>
  <x:c r="K1148" i="1"/>
  <x:c r="N1148" i="1"/>
  <x:c r="H1149" i="1"/>
  <x:c r="K1149" i="1"/>
  <x:c r="N1149" i="1"/>
  <x:c r="H1150" i="1"/>
  <x:c r="K1150" i="1"/>
  <x:c r="N1150" i="1"/>
  <x:c r="H1151" i="1"/>
  <x:c r="K1151" i="1"/>
  <x:c r="N1151" i="1"/>
  <x:c r="H1152" i="1"/>
  <x:c r="K1152" i="1"/>
  <x:c r="N1152" i="1"/>
  <x:c r="H1153" i="1"/>
  <x:c r="K1153" i="1"/>
  <x:c r="N1153" i="1"/>
  <x:c r="H1154" i="1"/>
  <x:c r="K1154" i="1"/>
  <x:c r="N1154" i="1"/>
  <x:c r="H1155" i="1"/>
  <x:c r="K1155" i="1"/>
  <x:c r="N1155" i="1"/>
  <x:c r="H1156" i="1"/>
  <x:c r="K1156" i="1"/>
  <x:c r="N1156" i="1"/>
  <x:c r="H1157" i="1"/>
  <x:c r="K1157" i="1"/>
  <x:c r="N1157" i="1"/>
  <x:c r="H1158" i="1"/>
  <x:c r="K1158" i="1"/>
  <x:c r="N1158" i="1"/>
  <x:c r="H1159" i="1"/>
  <x:c r="K1159" i="1"/>
  <x:c r="N1159" i="1"/>
  <x:c r="H1160" i="1"/>
  <x:c r="K1160" i="1"/>
  <x:c r="N1160" i="1"/>
  <x:c r="H1161" i="1"/>
  <x:c r="K1161" i="1"/>
  <x:c r="N1161" i="1"/>
  <x:c r="H1162" i="1"/>
  <x:c r="K1162" i="1"/>
  <x:c r="N1162" i="1"/>
  <x:c r="H1163" i="1"/>
  <x:c r="K1163" i="1"/>
  <x:c r="N1163" i="1"/>
  <x:c r="H1164" i="1"/>
  <x:c r="K1164" i="1"/>
  <x:c r="N1164" i="1"/>
  <x:c r="H1165" i="1"/>
  <x:c r="K1165" i="1"/>
  <x:c r="N1165" i="1"/>
  <x:c r="H1166" i="1"/>
  <x:c r="K1166" i="1"/>
  <x:c r="N1166" i="1"/>
  <x:c r="H1167" i="1"/>
  <x:c r="K1167" i="1"/>
  <x:c r="N1167" i="1"/>
  <x:c r="H1168" i="1"/>
  <x:c r="K1168" i="1"/>
  <x:c r="N1168" i="1"/>
  <x:c r="H1169" i="1"/>
  <x:c r="K1169" i="1"/>
  <x:c r="N1169" i="1"/>
  <x:c r="H1170" i="1"/>
  <x:c r="K1170" i="1"/>
  <x:c r="N1170" i="1"/>
  <x:c r="H1171" i="1"/>
  <x:c r="K1171" i="1"/>
  <x:c r="N1171" i="1"/>
  <x:c r="H1172" i="1"/>
  <x:c r="K1172" i="1"/>
  <x:c r="N1172" i="1"/>
  <x:c r="H1173" i="1"/>
  <x:c r="K1173" i="1"/>
  <x:c r="N1173" i="1"/>
  <x:c r="H1174" i="1"/>
  <x:c r="K1174" i="1"/>
  <x:c r="N1174" i="1"/>
  <x:c r="H1175" i="1"/>
  <x:c r="K1175" i="1"/>
  <x:c r="N1175" i="1"/>
  <x:c r="H1176" i="1"/>
  <x:c r="K1176" i="1"/>
  <x:c r="N1176" i="1"/>
  <x:c r="H1177" i="1"/>
  <x:c r="K1177" i="1"/>
  <x:c r="N1177" i="1"/>
  <x:c r="H1178" i="1"/>
  <x:c r="K1178" i="1"/>
  <x:c r="N1178" i="1"/>
  <x:c r="H1179" i="1"/>
  <x:c r="K1179" i="1"/>
  <x:c r="N1179" i="1"/>
  <x:c r="H1180" i="1"/>
  <x:c r="K1180" i="1"/>
  <x:c r="N1180" i="1"/>
  <x:c r="H1181" i="1"/>
  <x:c r="K1181" i="1"/>
  <x:c r="N1181" i="1"/>
  <x:c r="H1182" i="1"/>
  <x:c r="K1182" i="1"/>
  <x:c r="N1182" i="1"/>
  <x:c r="H1183" i="1"/>
  <x:c r="K1183" i="1"/>
  <x:c r="N1183" i="1"/>
  <x:c r="H1184" i="1"/>
  <x:c r="K1184" i="1"/>
  <x:c r="N1184" i="1"/>
  <x:c r="H1185" i="1"/>
  <x:c r="K1185" i="1"/>
  <x:c r="N1185" i="1"/>
  <x:c r="H1186" i="1"/>
  <x:c r="K1186" i="1"/>
  <x:c r="N1186" i="1"/>
  <x:c r="H1187" i="1"/>
  <x:c r="K1187" i="1"/>
  <x:c r="N1187" i="1"/>
  <x:c r="H1188" i="1"/>
  <x:c r="K1188" i="1"/>
  <x:c r="N1188" i="1"/>
  <x:c r="H1189" i="1"/>
  <x:c r="K1189" i="1"/>
  <x:c r="N1189" i="1"/>
  <x:c r="H1190" i="1"/>
  <x:c r="K1190" i="1"/>
  <x:c r="N1190" i="1"/>
  <x:c r="H1191" i="1"/>
  <x:c r="K1191" i="1"/>
  <x:c r="N1191" i="1"/>
  <x:c r="H1192" i="1"/>
  <x:c r="K1192" i="1"/>
  <x:c r="N1192" i="1"/>
  <x:c r="H1193" i="1"/>
  <x:c r="K1193" i="1"/>
  <x:c r="N1193" i="1"/>
  <x:c r="H1194" i="1"/>
  <x:c r="K1194" i="1"/>
  <x:c r="N1194" i="1"/>
  <x:c r="H1195" i="1"/>
  <x:c r="K1195" i="1"/>
  <x:c r="N1195" i="1"/>
  <x:c r="H1196" i="1"/>
  <x:c r="K1196" i="1"/>
  <x:c r="N1196" i="1"/>
  <x:c r="H1197" i="1"/>
  <x:c r="K1197" i="1"/>
  <x:c r="N1197" i="1"/>
  <x:c r="H1198" i="1"/>
  <x:c r="K1198" i="1"/>
  <x:c r="N1198" i="1"/>
  <x:c r="H1199" i="1"/>
  <x:c r="K1199" i="1"/>
  <x:c r="N1199" i="1"/>
  <x:c r="H1200" i="1"/>
  <x:c r="K1200" i="1"/>
  <x:c r="N1200" i="1"/>
  <x:c r="H1201" i="1"/>
  <x:c r="K1201" i="1"/>
  <x:c r="N1201" i="1"/>
  <x:c r="H1202" i="1"/>
  <x:c r="K1202" i="1"/>
  <x:c r="N1202" i="1"/>
  <x:c r="H1203" i="1"/>
  <x:c r="K1203" i="1"/>
  <x:c r="N1203" i="1"/>
  <x:c r="H1204" i="1"/>
  <x:c r="K1204" i="1"/>
  <x:c r="N1204" i="1"/>
  <x:c r="H1205" i="1"/>
  <x:c r="K1205" i="1"/>
  <x:c r="N1205" i="1"/>
  <x:c r="H1206" i="1"/>
  <x:c r="K1206" i="1"/>
  <x:c r="N1206" i="1"/>
  <x:c r="H1207" i="1"/>
  <x:c r="K1207" i="1"/>
  <x:c r="N1207" i="1"/>
  <x:c r="H1208" i="1"/>
  <x:c r="K1208" i="1"/>
  <x:c r="N1208" i="1"/>
  <x:c r="H1209" i="1"/>
  <x:c r="K1209" i="1"/>
  <x:c r="N1209" i="1"/>
  <x:c r="H1210" i="1"/>
  <x:c r="K1210" i="1"/>
  <x:c r="N1210" i="1"/>
  <x:c r="H1211" i="1"/>
  <x:c r="K1211" i="1"/>
  <x:c r="N1211" i="1"/>
  <x:c r="H1212" i="1"/>
  <x:c r="K1212" i="1"/>
  <x:c r="N1212" i="1"/>
  <x:c r="H1213" i="1"/>
  <x:c r="K1213" i="1"/>
  <x:c r="N1213" i="1"/>
  <x:c r="H1214" i="1"/>
  <x:c r="K1214" i="1"/>
  <x:c r="N1214" i="1"/>
  <x:c r="H1215" i="1"/>
  <x:c r="K1215" i="1"/>
  <x:c r="N1215" i="1"/>
  <x:c r="H1216" i="1"/>
  <x:c r="K1216" i="1"/>
  <x:c r="N1216" i="1"/>
  <x:c r="H1217" i="1"/>
  <x:c r="K1217" i="1"/>
  <x:c r="N1217" i="1"/>
  <x:c r="H1218" i="1"/>
  <x:c r="K1218" i="1"/>
  <x:c r="N1218" i="1"/>
  <x:c r="H1219" i="1"/>
  <x:c r="K1219" i="1"/>
  <x:c r="N1219" i="1"/>
  <x:c r="H1220" i="1"/>
  <x:c r="K1220" i="1"/>
  <x:c r="N1220" i="1"/>
  <x:c r="H1221" i="1"/>
  <x:c r="K1221" i="1"/>
  <x:c r="N1221" i="1"/>
  <x:c r="H1222" i="1"/>
  <x:c r="K1222" i="1"/>
  <x:c r="N1222" i="1"/>
  <x:c r="H1223" i="1"/>
  <x:c r="K1223" i="1"/>
  <x:c r="N1223" i="1"/>
  <x:c r="H1224" i="1"/>
  <x:c r="K1224" i="1"/>
  <x:c r="N1224" i="1"/>
  <x:c r="H1225" i="1"/>
  <x:c r="K1225" i="1"/>
  <x:c r="N1225" i="1"/>
  <x:c r="H1226" i="1"/>
  <x:c r="K1226" i="1"/>
  <x:c r="N1226" i="1"/>
  <x:c r="H1227" i="1"/>
  <x:c r="K1227" i="1"/>
  <x:c r="N1227" i="1"/>
  <x:c r="H1228" i="1"/>
  <x:c r="K1228" i="1"/>
  <x:c r="N1228" i="1"/>
  <x:c r="H1229" i="1"/>
  <x:c r="K1229" i="1"/>
  <x:c r="N1229" i="1"/>
  <x:c r="H1230" i="1"/>
  <x:c r="K1230" i="1"/>
  <x:c r="N1230" i="1"/>
  <x:c r="H1231" i="1"/>
  <x:c r="K1231" i="1"/>
  <x:c r="N1231" i="1"/>
  <x:c r="H1232" i="1"/>
  <x:c r="K1232" i="1"/>
  <x:c r="N1232" i="1"/>
  <x:c r="H1233" i="1"/>
  <x:c r="K1233" i="1"/>
  <x:c r="N1233" i="1"/>
  <x:c r="H1234" i="1"/>
  <x:c r="K1234" i="1"/>
  <x:c r="N1234" i="1"/>
  <x:c r="H1235" i="1"/>
  <x:c r="K1235" i="1"/>
  <x:c r="N1235" i="1"/>
  <x:c r="H1236" i="1"/>
  <x:c r="K1236" i="1"/>
  <x:c r="N1236" i="1"/>
  <x:c r="H1237" i="1"/>
  <x:c r="K1237" i="1"/>
  <x:c r="N1237" i="1"/>
  <x:c r="H1238" i="1"/>
  <x:c r="K1238" i="1"/>
  <x:c r="N1238" i="1"/>
  <x:c r="H1239" i="1"/>
  <x:c r="K1239" i="1"/>
  <x:c r="N1239" i="1"/>
  <x:c r="H1240" i="1"/>
  <x:c r="K1240" i="1"/>
  <x:c r="N1240" i="1"/>
  <x:c r="H1241" i="1"/>
  <x:c r="K1241" i="1"/>
  <x:c r="N1241" i="1"/>
  <x:c r="H1242" i="1"/>
  <x:c r="K1242" i="1"/>
  <x:c r="N1242" i="1"/>
  <x:c r="H1243" i="1"/>
  <x:c r="K1243" i="1"/>
  <x:c r="N1243" i="1"/>
  <x:c r="H1244" i="1"/>
  <x:c r="K1244" i="1"/>
  <x:c r="N1244" i="1"/>
  <x:c r="H1245" i="1"/>
  <x:c r="K1245" i="1"/>
  <x:c r="N1245" i="1"/>
  <x:c r="H1246" i="1"/>
  <x:c r="K1246" i="1"/>
  <x:c r="N1246" i="1"/>
  <x:c r="H1247" i="1"/>
  <x:c r="K1247" i="1"/>
  <x:c r="N1247" i="1"/>
  <x:c r="H1248" i="1"/>
  <x:c r="K1248" i="1"/>
  <x:c r="N1248" i="1"/>
  <x:c r="H1249" i="1"/>
  <x:c r="K1249" i="1"/>
  <x:c r="N1249" i="1"/>
  <x:c r="H1250" i="1"/>
  <x:c r="K1250" i="1"/>
  <x:c r="N1250" i="1"/>
  <x:c r="H1251" i="1"/>
  <x:c r="K1251" i="1"/>
  <x:c r="N1251" i="1"/>
  <x:c r="H1252" i="1"/>
  <x:c r="K1252" i="1"/>
  <x:c r="N1252" i="1"/>
  <x:c r="H1253" i="1"/>
  <x:c r="K1253" i="1"/>
  <x:c r="N1253" i="1"/>
  <x:c r="H1254" i="1"/>
  <x:c r="K1254" i="1"/>
  <x:c r="N1254" i="1"/>
  <x:c r="H1255" i="1"/>
  <x:c r="K1255" i="1"/>
  <x:c r="N1255" i="1"/>
  <x:c r="H1256" i="1"/>
  <x:c r="K1256" i="1"/>
  <x:c r="N1256" i="1"/>
  <x:c r="H1257" i="1"/>
  <x:c r="K1257" i="1"/>
  <x:c r="N1257" i="1"/>
  <x:c r="H1258" i="1"/>
  <x:c r="K1258" i="1"/>
  <x:c r="N1258" i="1"/>
  <x:c r="H1259" i="1"/>
  <x:c r="K1259" i="1"/>
  <x:c r="N1259" i="1"/>
  <x:c r="H1260" i="1"/>
  <x:c r="K1260" i="1"/>
  <x:c r="N1260" i="1"/>
  <x:c r="H1261" i="1"/>
  <x:c r="K1261" i="1"/>
  <x:c r="N1261" i="1"/>
  <x:c r="H1262" i="1"/>
  <x:c r="K1262" i="1"/>
  <x:c r="N1262" i="1"/>
  <x:c r="H1263" i="1"/>
  <x:c r="K1263" i="1"/>
  <x:c r="N1263" i="1"/>
  <x:c r="H1264" i="1"/>
  <x:c r="K1264" i="1"/>
  <x:c r="N1264" i="1"/>
  <x:c r="H1265" i="1"/>
  <x:c r="K1265" i="1"/>
  <x:c r="N1265" i="1"/>
  <x:c r="H1266" i="1"/>
  <x:c r="K1266" i="1"/>
  <x:c r="N1266" i="1"/>
  <x:c r="H1267" i="1"/>
  <x:c r="K1267" i="1"/>
  <x:c r="N1267" i="1"/>
  <x:c r="H1268" i="1"/>
  <x:c r="K1268" i="1"/>
  <x:c r="N1268" i="1"/>
  <x:c r="H1269" i="1"/>
  <x:c r="K1269" i="1"/>
  <x:c r="N1269" i="1"/>
  <x:c r="H1270" i="1"/>
  <x:c r="K1270" i="1"/>
  <x:c r="N1270" i="1"/>
  <x:c r="H1271" i="1"/>
  <x:c r="K1271" i="1"/>
  <x:c r="N1271" i="1"/>
  <x:c r="H1272" i="1"/>
  <x:c r="K1272" i="1"/>
  <x:c r="N1272" i="1"/>
  <x:c r="H1273" i="1"/>
  <x:c r="K1273" i="1"/>
  <x:c r="N1273" i="1"/>
  <x:c r="H1274" i="1"/>
  <x:c r="K1274" i="1"/>
  <x:c r="N1274" i="1"/>
  <x:c r="H1275" i="1"/>
  <x:c r="K1275" i="1"/>
  <x:c r="N1275" i="1"/>
  <x:c r="H1276" i="1"/>
  <x:c r="K1276" i="1"/>
  <x:c r="N1276" i="1"/>
  <x:c r="H1277" i="1"/>
  <x:c r="K1277" i="1"/>
  <x:c r="N1277" i="1"/>
  <x:c r="H1278" i="1"/>
  <x:c r="K1278" i="1"/>
  <x:c r="N1278" i="1"/>
  <x:c r="H1279" i="1"/>
  <x:c r="K1279" i="1"/>
  <x:c r="N1279" i="1"/>
  <x:c r="H1280" i="1"/>
  <x:c r="K1280" i="1"/>
  <x:c r="N1280" i="1"/>
  <x:c r="H1281" i="1"/>
  <x:c r="K1281" i="1"/>
  <x:c r="N1281" i="1"/>
  <x:c r="H1282" i="1"/>
  <x:c r="K1282" i="1"/>
  <x:c r="N1282" i="1"/>
  <x:c r="H1283" i="1"/>
  <x:c r="K1283" i="1"/>
  <x:c r="N1283" i="1"/>
  <x:c r="H1284" i="1"/>
  <x:c r="K1284" i="1"/>
  <x:c r="N1284" i="1"/>
  <x:c r="H1285" i="1"/>
  <x:c r="K1285" i="1"/>
  <x:c r="N1285" i="1"/>
  <x:c r="H1286" i="1"/>
  <x:c r="K1286" i="1"/>
  <x:c r="N1286" i="1"/>
  <x:c r="H1287" i="1"/>
  <x:c r="K1287" i="1"/>
  <x:c r="N1287" i="1"/>
  <x:c r="H1288" i="1"/>
  <x:c r="K1288" i="1"/>
  <x:c r="N1288" i="1"/>
  <x:c r="H1289" i="1"/>
  <x:c r="K1289" i="1"/>
  <x:c r="N1289" i="1"/>
  <x:c r="H1290" i="1"/>
  <x:c r="K1290" i="1"/>
  <x:c r="N1290" i="1"/>
  <x:c r="H1291" i="1"/>
  <x:c r="K1291" i="1"/>
  <x:c r="N1291" i="1"/>
  <x:c r="H1292" i="1"/>
  <x:c r="K1292" i="1"/>
  <x:c r="N1292" i="1"/>
  <x:c r="H1293" i="1"/>
  <x:c r="K1293" i="1"/>
  <x:c r="N1293" i="1"/>
  <x:c r="H1294" i="1"/>
  <x:c r="K1294" i="1"/>
  <x:c r="N1294" i="1"/>
  <x:c r="H1295" i="1"/>
  <x:c r="K1295" i="1"/>
  <x:c r="N1295" i="1"/>
  <x:c r="H1296" i="1"/>
  <x:c r="K1296" i="1"/>
  <x:c r="N1296" i="1"/>
  <x:c r="H1297" i="1"/>
  <x:c r="K1297" i="1"/>
  <x:c r="N1297" i="1"/>
  <x:c r="H1298" i="1"/>
  <x:c r="K1298" i="1"/>
  <x:c r="N1298" i="1"/>
  <x:c r="H1299" i="1"/>
  <x:c r="K1299" i="1"/>
  <x:c r="N1299" i="1"/>
  <x:c r="H1300" i="1"/>
  <x:c r="K1300" i="1"/>
  <x:c r="N1300" i="1"/>
  <x:c r="H1301" i="1"/>
  <x:c r="K1301" i="1"/>
  <x:c r="N1301" i="1"/>
  <x:c r="H1302" i="1"/>
  <x:c r="K1302" i="1"/>
  <x:c r="N1302" i="1"/>
  <x:c r="H1303" i="1"/>
  <x:c r="K1303" i="1"/>
  <x:c r="N1303" i="1"/>
  <x:c r="H1304" i="1"/>
  <x:c r="K1304" i="1"/>
  <x:c r="N1304" i="1"/>
  <x:c r="H1305" i="1"/>
  <x:c r="K1305" i="1"/>
  <x:c r="N1305" i="1"/>
  <x:c r="H1306" i="1"/>
  <x:c r="K1306" i="1"/>
  <x:c r="N1306" i="1"/>
  <x:c r="H1307" i="1"/>
  <x:c r="K1307" i="1"/>
  <x:c r="N1307" i="1"/>
  <x:c r="H1308" i="1"/>
  <x:c r="K1308" i="1"/>
  <x:c r="N1308" i="1"/>
  <x:c r="H1309" i="1"/>
  <x:c r="K1309" i="1"/>
  <x:c r="N1309" i="1"/>
  <x:c r="H1310" i="1"/>
  <x:c r="K1310" i="1"/>
  <x:c r="N1310" i="1"/>
  <x:c r="H1311" i="1"/>
  <x:c r="K1311" i="1"/>
  <x:c r="N1311" i="1"/>
  <x:c r="H1312" i="1"/>
  <x:c r="K1312" i="1"/>
  <x:c r="N1312" i="1"/>
  <x:c r="H1313" i="1"/>
  <x:c r="K1313" i="1"/>
  <x:c r="N1313" i="1"/>
  <x:c r="H1314" i="1"/>
  <x:c r="K1314" i="1"/>
  <x:c r="N1314" i="1"/>
  <x:c r="H1315" i="1"/>
  <x:c r="K1315" i="1"/>
  <x:c r="N1315" i="1"/>
  <x:c r="H1316" i="1"/>
  <x:c r="K1316" i="1"/>
  <x:c r="N1316" i="1"/>
  <x:c r="H1317" i="1"/>
  <x:c r="K1317" i="1"/>
  <x:c r="N1317" i="1"/>
  <x:c r="H1318" i="1"/>
  <x:c r="K1318" i="1"/>
  <x:c r="N1318" i="1"/>
  <x:c r="H1319" i="1"/>
  <x:c r="K1319" i="1"/>
  <x:c r="N1319" i="1"/>
  <x:c r="H1320" i="1"/>
  <x:c r="K1320" i="1"/>
  <x:c r="N1320" i="1"/>
  <x:c r="H1321" i="1"/>
  <x:c r="K1321" i="1"/>
  <x:c r="N1321" i="1"/>
  <x:c r="H1322" i="1"/>
  <x:c r="K1322" i="1"/>
  <x:c r="N1322" i="1"/>
  <x:c r="H1323" i="1"/>
  <x:c r="K1323" i="1"/>
  <x:c r="N1323" i="1"/>
  <x:c r="H1324" i="1"/>
  <x:c r="K1324" i="1"/>
  <x:c r="N1324" i="1"/>
  <x:c r="H1325" i="1"/>
  <x:c r="K1325" i="1"/>
  <x:c r="N1325" i="1"/>
  <x:c r="H1326" i="1"/>
  <x:c r="K1326" i="1"/>
  <x:c r="N1326" i="1"/>
  <x:c r="H1327" i="1"/>
  <x:c r="K1327" i="1"/>
  <x:c r="N1327" i="1"/>
  <x:c r="H1328" i="1"/>
  <x:c r="K1328" i="1"/>
  <x:c r="N1328" i="1"/>
  <x:c r="H1329" i="1"/>
  <x:c r="K1329" i="1"/>
  <x:c r="N1329" i="1"/>
  <x:c r="H1330" i="1"/>
  <x:c r="K1330" i="1"/>
  <x:c r="N1330" i="1"/>
  <x:c r="H1331" i="1"/>
  <x:c r="K1331" i="1"/>
  <x:c r="N1331" i="1"/>
  <x:c r="H1332" i="1"/>
  <x:c r="K1332" i="1"/>
  <x:c r="N1332" i="1"/>
  <x:c r="H1333" i="1"/>
  <x:c r="K1333" i="1"/>
  <x:c r="N1333" i="1"/>
  <x:c r="H1334" i="1"/>
  <x:c r="K1334" i="1"/>
  <x:c r="N1334" i="1"/>
  <x:c r="H1335" i="1"/>
  <x:c r="K1335" i="1"/>
  <x:c r="N1335" i="1"/>
  <x:c r="H1336" i="1"/>
  <x:c r="K1336" i="1"/>
  <x:c r="N1336" i="1"/>
  <x:c r="H1337" i="1"/>
  <x:c r="K1337" i="1"/>
  <x:c r="N1337" i="1"/>
  <x:c r="H1338" i="1"/>
  <x:c r="K1338" i="1"/>
  <x:c r="N1338" i="1"/>
  <x:c r="H1339" i="1"/>
  <x:c r="K1339" i="1"/>
  <x:c r="N1339" i="1"/>
  <x:c r="H1340" i="1"/>
  <x:c r="K1340" i="1"/>
  <x:c r="N1340" i="1"/>
  <x:c r="H1341" i="1"/>
  <x:c r="K1341" i="1"/>
  <x:c r="N1341" i="1"/>
  <x:c r="H1342" i="1"/>
  <x:c r="K1342" i="1"/>
  <x:c r="N1342" i="1"/>
  <x:c r="H1343" i="1"/>
  <x:c r="K1343" i="1"/>
  <x:c r="N1343" i="1"/>
  <x:c r="H1344" i="1"/>
  <x:c r="K1344" i="1"/>
  <x:c r="N1344" i="1"/>
  <x:c r="H1345" i="1"/>
  <x:c r="K1345" i="1"/>
  <x:c r="N1345" i="1"/>
  <x:c r="H1346" i="1"/>
  <x:c r="K1346" i="1"/>
  <x:c r="N1346" i="1"/>
  <x:c r="H1347" i="1"/>
  <x:c r="K1347" i="1"/>
  <x:c r="N1347" i="1"/>
  <x:c r="H1348" i="1"/>
  <x:c r="K1348" i="1"/>
  <x:c r="N1348" i="1"/>
  <x:c r="H1349" i="1"/>
  <x:c r="K1349" i="1"/>
  <x:c r="N1349" i="1"/>
  <x:c r="H1350" i="1"/>
  <x:c r="K1350" i="1"/>
  <x:c r="N1350" i="1"/>
  <x:c r="H1351" i="1"/>
  <x:c r="K1351" i="1"/>
  <x:c r="N1351" i="1"/>
  <x:c r="H1352" i="1"/>
  <x:c r="K1352" i="1"/>
  <x:c r="N1352" i="1"/>
  <x:c r="H1353" i="1"/>
  <x:c r="K1353" i="1"/>
  <x:c r="N1353" i="1"/>
  <x:c r="H1354" i="1"/>
  <x:c r="K1354" i="1"/>
  <x:c r="N1354" i="1"/>
  <x:c r="H1355" i="1"/>
  <x:c r="K1355" i="1"/>
  <x:c r="N1355" i="1"/>
  <x:c r="H1356" i="1"/>
  <x:c r="K1356" i="1"/>
  <x:c r="N1356" i="1"/>
  <x:c r="H1357" i="1"/>
  <x:c r="K1357" i="1"/>
  <x:c r="N1357" i="1"/>
  <x:c r="H1358" i="1"/>
  <x:c r="K1358" i="1"/>
  <x:c r="N1358" i="1"/>
  <x:c r="H1359" i="1"/>
  <x:c r="K1359" i="1"/>
  <x:c r="N1359" i="1"/>
  <x:c r="H1360" i="1"/>
  <x:c r="K1360" i="1"/>
  <x:c r="N1360" i="1"/>
  <x:c r="H1361" i="1"/>
  <x:c r="K1361" i="1"/>
  <x:c r="N1361" i="1"/>
  <x:c r="H1362" i="1"/>
  <x:c r="K1362" i="1"/>
  <x:c r="N1362" i="1"/>
  <x:c r="H1363" i="1"/>
  <x:c r="K1363" i="1"/>
  <x:c r="N1363" i="1"/>
  <x:c r="H1364" i="1"/>
  <x:c r="K1364" i="1"/>
  <x:c r="N1364" i="1"/>
  <x:c r="H1365" i="1"/>
  <x:c r="K1365" i="1"/>
  <x:c r="N1365" i="1"/>
  <x:c r="H1366" i="1"/>
  <x:c r="K1366" i="1"/>
  <x:c r="N1366" i="1"/>
  <x:c r="H1367" i="1"/>
  <x:c r="K1367" i="1"/>
  <x:c r="N1367" i="1"/>
  <x:c r="H1368" i="1"/>
  <x:c r="K1368" i="1"/>
  <x:c r="N1368" i="1"/>
  <x:c r="H1369" i="1"/>
  <x:c r="K1369" i="1"/>
  <x:c r="N1369" i="1"/>
  <x:c r="H1370" i="1"/>
  <x:c r="K1370" i="1"/>
  <x:c r="N1370" i="1"/>
  <x:c r="H1371" i="1"/>
  <x:c r="K1371" i="1"/>
  <x:c r="N1371" i="1"/>
  <x:c r="H1372" i="1"/>
  <x:c r="K1372" i="1"/>
  <x:c r="N1372" i="1"/>
  <x:c r="H1373" i="1"/>
  <x:c r="K1373" i="1"/>
  <x:c r="N1373" i="1"/>
  <x:c r="H1374" i="1"/>
  <x:c r="K1374" i="1"/>
  <x:c r="N1374" i="1"/>
  <x:c r="H1375" i="1"/>
  <x:c r="K1375" i="1"/>
  <x:c r="N1375" i="1"/>
  <x:c r="H1376" i="1"/>
  <x:c r="K1376" i="1"/>
  <x:c r="N1376" i="1"/>
  <x:c r="H1377" i="1"/>
  <x:c r="K1377" i="1"/>
  <x:c r="N1377" i="1"/>
  <x:c r="H1378" i="1"/>
  <x:c r="K1378" i="1"/>
  <x:c r="N1378" i="1"/>
  <x:c r="H1379" i="1"/>
  <x:c r="K1379" i="1"/>
  <x:c r="N1379" i="1"/>
  <x:c r="H1380" i="1"/>
  <x:c r="K1380" i="1"/>
  <x:c r="N1380" i="1"/>
  <x:c r="H1381" i="1"/>
  <x:c r="K1381" i="1"/>
  <x:c r="N1381" i="1"/>
  <x:c r="H1382" i="1"/>
  <x:c r="K1382" i="1"/>
  <x:c r="N1382" i="1"/>
  <x:c r="H1383" i="1"/>
  <x:c r="K1383" i="1"/>
  <x:c r="N1383" i="1"/>
  <x:c r="H1384" i="1"/>
  <x:c r="K1384" i="1"/>
  <x:c r="N1384" i="1"/>
  <x:c r="H1385" i="1"/>
  <x:c r="K1385" i="1"/>
  <x:c r="N1385" i="1"/>
  <x:c r="H1386" i="1"/>
  <x:c r="K1386" i="1"/>
  <x:c r="N1386" i="1"/>
  <x:c r="H1387" i="1"/>
  <x:c r="K1387" i="1"/>
  <x:c r="N1387" i="1"/>
  <x:c r="H1388" i="1"/>
  <x:c r="K1388" i="1"/>
  <x:c r="N1388" i="1"/>
  <x:c r="H1389" i="1"/>
  <x:c r="K1389" i="1"/>
  <x:c r="N1389" i="1"/>
  <x:c r="H1390" i="1"/>
  <x:c r="K1390" i="1"/>
  <x:c r="N1390" i="1"/>
  <x:c r="H1391" i="1"/>
  <x:c r="K1391" i="1"/>
  <x:c r="N1391" i="1"/>
  <x:c r="H1392" i="1"/>
  <x:c r="K1392" i="1"/>
  <x:c r="N1392" i="1"/>
  <x:c r="H1393" i="1"/>
  <x:c r="K1393" i="1"/>
  <x:c r="N1393" i="1"/>
  <x:c r="H1394" i="1"/>
  <x:c r="K1394" i="1"/>
  <x:c r="N1394" i="1"/>
  <x:c r="H1395" i="1"/>
  <x:c r="K1395" i="1"/>
  <x:c r="N1395" i="1"/>
  <x:c r="H1396" i="1"/>
  <x:c r="K1396" i="1"/>
  <x:c r="N1396" i="1"/>
  <x:c r="H1397" i="1"/>
  <x:c r="K1397" i="1"/>
  <x:c r="N1397" i="1"/>
  <x:c r="H1402" i="1"/>
  <x:c r="K1402" i="1"/>
  <x:c r="N1402" i="1"/>
  <x:c r="H1403" i="1"/>
  <x:c r="K1403" i="1"/>
  <x:c r="N1403" i="1"/>
  <x:c r="H1404" i="1"/>
  <x:c r="K1404" i="1"/>
  <x:c r="N1404" i="1"/>
  <x:c r="H1405" i="1"/>
  <x:c r="K1405" i="1"/>
  <x:c r="N1405" i="1"/>
  <x:c r="H1406" i="1"/>
  <x:c r="K1406" i="1"/>
  <x:c r="N1406" i="1"/>
  <x:c r="H1407" i="1"/>
  <x:c r="K1407" i="1"/>
  <x:c r="N1407" i="1"/>
  <x:c r="H1408" i="1"/>
  <x:c r="K1408" i="1"/>
  <x:c r="N1408" i="1"/>
  <x:c r="H1409" i="1"/>
  <x:c r="K1409" i="1"/>
  <x:c r="N1409" i="1"/>
  <x:c r="H1410" i="1"/>
  <x:c r="K1410" i="1"/>
  <x:c r="N1410" i="1"/>
  <x:c r="H1411" i="1"/>
  <x:c r="K1411" i="1"/>
  <x:c r="N1411" i="1"/>
  <x:c r="H1412" i="1"/>
  <x:c r="K1412" i="1"/>
  <x:c r="N1412" i="1"/>
  <x:c r="H1413" i="1"/>
  <x:c r="K1413" i="1"/>
  <x:c r="N1413" i="1"/>
  <x:c r="H1414" i="1"/>
  <x:c r="K1414" i="1"/>
  <x:c r="N1414" i="1"/>
  <x:c r="H1415" i="1"/>
  <x:c r="K1415" i="1"/>
  <x:c r="N1415" i="1"/>
  <x:c r="H1416" i="1"/>
  <x:c r="K1416" i="1"/>
  <x:c r="N1416" i="1"/>
  <x:c r="H1417" i="1"/>
  <x:c r="K1417" i="1"/>
  <x:c r="N1417" i="1"/>
  <x:c r="H1418" i="1"/>
  <x:c r="K1418" i="1"/>
  <x:c r="N1418" i="1"/>
  <x:c r="H1419" i="1"/>
  <x:c r="K1419" i="1"/>
  <x:c r="N1419" i="1"/>
  <x:c r="H1420" i="1"/>
  <x:c r="K1420" i="1"/>
  <x:c r="N1420" i="1"/>
  <x:c r="H1421" i="1"/>
  <x:c r="K1421" i="1"/>
  <x:c r="N1421" i="1"/>
  <x:c r="H1422" i="1"/>
  <x:c r="K1422" i="1"/>
  <x:c r="N1422" i="1"/>
  <x:c r="H1423" i="1"/>
  <x:c r="K1423" i="1"/>
  <x:c r="N1423" i="1"/>
  <x:c r="H1424" i="1"/>
  <x:c r="K1424" i="1"/>
  <x:c r="N1424" i="1"/>
  <x:c r="H1425" i="1"/>
  <x:c r="K1425" i="1"/>
  <x:c r="N1425" i="1"/>
  <x:c r="H1426" i="1"/>
  <x:c r="K1426" i="1"/>
  <x:c r="N1426" i="1"/>
  <x:c r="H1427" i="1"/>
  <x:c r="K1427" i="1"/>
  <x:c r="N1427" i="1"/>
  <x:c r="H1428" i="1"/>
  <x:c r="K1428" i="1"/>
  <x:c r="N1428" i="1"/>
  <x:c r="H1429" i="1"/>
  <x:c r="K1429" i="1"/>
  <x:c r="N1429" i="1"/>
  <x:c r="H1430" i="1"/>
  <x:c r="K1430" i="1"/>
  <x:c r="N1430" i="1"/>
  <x:c r="H1431" i="1"/>
  <x:c r="K1431" i="1"/>
  <x:c r="N1431" i="1"/>
  <x:c r="H1432" i="1"/>
  <x:c r="K1432" i="1"/>
  <x:c r="N1432" i="1"/>
  <x:c r="H1433" i="1"/>
  <x:c r="K1433" i="1"/>
  <x:c r="N1433" i="1"/>
  <x:c r="H1434" i="1"/>
  <x:c r="K1434" i="1"/>
  <x:c r="N1434" i="1"/>
  <x:c r="H1435" i="1"/>
  <x:c r="K1435" i="1"/>
  <x:c r="N1435" i="1"/>
  <x:c r="H1436" i="1"/>
  <x:c r="K1436" i="1"/>
  <x:c r="N1436" i="1"/>
  <x:c r="H1437" i="1"/>
  <x:c r="K1437" i="1"/>
  <x:c r="N1437" i="1"/>
  <x:c r="H1438" i="1"/>
  <x:c r="K1438" i="1"/>
  <x:c r="N1438" i="1"/>
  <x:c r="H1439" i="1"/>
  <x:c r="K1439" i="1"/>
  <x:c r="N1439" i="1"/>
  <x:c r="H1440" i="1"/>
  <x:c r="K1440" i="1"/>
  <x:c r="N1440" i="1"/>
  <x:c r="H1441" i="1"/>
  <x:c r="K1441" i="1"/>
  <x:c r="N1441" i="1"/>
  <x:c r="H1442" i="1"/>
  <x:c r="K1442" i="1"/>
  <x:c r="N1442" i="1"/>
  <x:c r="H1443" i="1"/>
  <x:c r="K1443" i="1"/>
  <x:c r="N1443" i="1"/>
  <x:c r="H1444" i="1"/>
  <x:c r="K1444" i="1"/>
  <x:c r="N1444" i="1"/>
  <x:c r="H1445" i="1"/>
  <x:c r="K1445" i="1"/>
  <x:c r="N1445" i="1"/>
  <x:c r="H1446" i="1"/>
  <x:c r="K1446" i="1"/>
  <x:c r="N1446" i="1"/>
  <x:c r="H1447" i="1"/>
  <x:c r="K1447" i="1"/>
  <x:c r="N1447" i="1"/>
  <x:c r="H1448" i="1"/>
  <x:c r="K1448" i="1"/>
  <x:c r="N1448" i="1"/>
  <x:c r="H1449" i="1"/>
  <x:c r="K1449" i="1"/>
  <x:c r="N1449" i="1"/>
  <x:c r="H1450" i="1"/>
  <x:c r="K1450" i="1"/>
  <x:c r="N1450" i="1"/>
  <x:c r="H1451" i="1"/>
  <x:c r="K1451" i="1"/>
  <x:c r="N1451" i="1"/>
  <x:c r="H1452" i="1"/>
  <x:c r="K1452" i="1"/>
  <x:c r="N1452" i="1"/>
  <x:c r="H1453" i="1"/>
  <x:c r="K1453" i="1"/>
  <x:c r="N1453" i="1"/>
  <x:c r="H1454" i="1"/>
  <x:c r="K1454" i="1"/>
  <x:c r="N1454" i="1"/>
  <x:c r="H1455" i="1"/>
  <x:c r="K1455" i="1"/>
  <x:c r="N1455" i="1"/>
  <x:c r="H1456" i="1"/>
  <x:c r="K1456" i="1"/>
  <x:c r="N1456" i="1"/>
  <x:c r="H1457" i="1"/>
  <x:c r="K1457" i="1"/>
  <x:c r="N1457" i="1"/>
  <x:c r="H1458" i="1"/>
  <x:c r="K1458" i="1"/>
  <x:c r="N1458" i="1"/>
  <x:c r="H1459" i="1"/>
  <x:c r="K1459" i="1"/>
  <x:c r="N1459" i="1"/>
  <x:c r="H1460" i="1"/>
  <x:c r="K1460" i="1"/>
  <x:c r="N1460" i="1"/>
  <x:c r="H1461" i="1"/>
  <x:c r="K1461" i="1"/>
  <x:c r="N1461" i="1"/>
  <x:c r="H1462" i="1"/>
  <x:c r="K1462" i="1"/>
  <x:c r="N1462" i="1"/>
  <x:c r="H1463" i="1"/>
  <x:c r="K1463" i="1"/>
  <x:c r="N1463" i="1"/>
  <x:c r="H1464" i="1"/>
  <x:c r="K1464" i="1"/>
  <x:c r="N1464" i="1"/>
  <x:c r="H1465" i="1"/>
  <x:c r="K1465" i="1"/>
  <x:c r="N1465" i="1"/>
  <x:c r="H1466" i="1"/>
  <x:c r="K1466" i="1"/>
  <x:c r="N1466" i="1"/>
  <x:c r="H1467" i="1"/>
  <x:c r="K1467" i="1"/>
  <x:c r="N1467" i="1"/>
  <x:c r="H1468" i="1"/>
  <x:c r="K1468" i="1"/>
  <x:c r="N1468" i="1"/>
  <x:c r="H1469" i="1"/>
  <x:c r="K1469" i="1"/>
  <x:c r="N1469" i="1"/>
  <x:c r="H1470" i="1"/>
  <x:c r="K1470" i="1"/>
  <x:c r="N1470" i="1"/>
  <x:c r="H1471" i="1"/>
  <x:c r="K1471" i="1"/>
  <x:c r="N1471" i="1"/>
  <x:c r="H1472" i="1"/>
  <x:c r="K1472" i="1"/>
  <x:c r="N1472" i="1"/>
  <x:c r="H1473" i="1"/>
  <x:c r="K1473" i="1"/>
  <x:c r="N1473" i="1"/>
  <x:c r="H1474" i="1"/>
  <x:c r="K1474" i="1"/>
  <x:c r="N1474" i="1"/>
  <x:c r="H1475" i="1"/>
  <x:c r="K1475" i="1"/>
  <x:c r="N1475" i="1"/>
  <x:c r="H1476" i="1"/>
  <x:c r="K1476" i="1"/>
  <x:c r="N1476" i="1"/>
  <x:c r="H1477" i="1"/>
  <x:c r="K1477" i="1"/>
  <x:c r="N1477" i="1"/>
  <x:c r="H1478" i="1"/>
  <x:c r="K1478" i="1"/>
  <x:c r="N1478" i="1"/>
  <x:c r="H1479" i="1"/>
  <x:c r="K1479" i="1"/>
  <x:c r="N1479" i="1"/>
  <x:c r="H1480" i="1"/>
  <x:c r="K1480" i="1"/>
  <x:c r="N1480" i="1"/>
  <x:c r="H1481" i="1"/>
  <x:c r="K1481" i="1"/>
  <x:c r="N1481" i="1"/>
  <x:c r="H1482" i="1"/>
  <x:c r="K1482" i="1"/>
  <x:c r="N1482" i="1"/>
  <x:c r="H1483" i="1"/>
  <x:c r="K1483" i="1"/>
  <x:c r="N1483" i="1"/>
  <x:c r="H1484" i="1"/>
  <x:c r="K1484" i="1"/>
  <x:c r="N1484" i="1"/>
  <x:c r="H1485" i="1"/>
  <x:c r="K1485" i="1"/>
  <x:c r="N1485" i="1"/>
  <x:c r="H1486" i="1"/>
  <x:c r="K1486" i="1"/>
  <x:c r="N1486" i="1"/>
  <x:c r="H1487" i="1"/>
  <x:c r="K1487" i="1"/>
  <x:c r="N1487" i="1"/>
  <x:c r="H1488" i="1"/>
  <x:c r="K1488" i="1"/>
  <x:c r="N1488" i="1"/>
  <x:c r="H1489" i="1"/>
  <x:c r="K1489" i="1"/>
  <x:c r="N1489" i="1"/>
  <x:c r="H1490" i="1"/>
  <x:c r="K1490" i="1"/>
  <x:c r="N1490" i="1"/>
  <x:c r="H1491" i="1"/>
  <x:c r="K1491" i="1"/>
  <x:c r="N1491" i="1"/>
  <x:c r="H1492" i="1"/>
  <x:c r="K1492" i="1"/>
  <x:c r="N1492" i="1"/>
  <x:c r="H1493" i="1"/>
  <x:c r="K1493" i="1"/>
  <x:c r="N1493" i="1"/>
  <x:c r="H1494" i="1"/>
  <x:c r="K1494" i="1"/>
  <x:c r="N1494" i="1"/>
  <x:c r="H1495" i="1"/>
  <x:c r="K1495" i="1"/>
  <x:c r="N1495" i="1"/>
  <x:c r="H1496" i="1"/>
  <x:c r="K1496" i="1"/>
  <x:c r="N1496" i="1"/>
  <x:c r="H1497" i="1"/>
  <x:c r="K1497" i="1"/>
  <x:c r="N1497" i="1"/>
  <x:c r="H1498" i="1"/>
  <x:c r="K1498" i="1"/>
  <x:c r="N1498" i="1"/>
  <x:c r="H1499" i="1"/>
  <x:c r="K1499" i="1"/>
  <x:c r="N1499" i="1"/>
  <x:c r="H1500" i="1"/>
  <x:c r="K1500" i="1"/>
  <x:c r="N1500" i="1"/>
  <x:c r="H1501" i="1"/>
  <x:c r="K1501" i="1"/>
  <x:c r="N1501" i="1"/>
  <x:c r="H1502" i="1"/>
  <x:c r="K1502" i="1"/>
  <x:c r="N1502" i="1"/>
  <x:c r="H1503" i="1"/>
  <x:c r="K1503" i="1"/>
  <x:c r="N1503" i="1"/>
  <x:c r="H1504" i="1"/>
  <x:c r="K1504" i="1"/>
  <x:c r="N1504" i="1"/>
  <x:c r="H1505" i="1"/>
  <x:c r="K1505" i="1"/>
  <x:c r="N1505" i="1"/>
  <x:c r="H1506" i="1"/>
  <x:c r="K1506" i="1"/>
  <x:c r="N1506" i="1"/>
  <x:c r="H1507" i="1"/>
  <x:c r="K1507" i="1"/>
  <x:c r="N1507" i="1"/>
  <x:c r="H1508" i="1"/>
  <x:c r="K1508" i="1"/>
  <x:c r="N1508" i="1"/>
  <x:c r="H1509" i="1"/>
  <x:c r="K1509" i="1"/>
  <x:c r="N1509" i="1"/>
  <x:c r="H1510" i="1"/>
  <x:c r="K1510" i="1"/>
  <x:c r="N1510" i="1"/>
  <x:c r="H1511" i="1"/>
  <x:c r="K1511" i="1"/>
  <x:c r="N1511" i="1"/>
  <x:c r="H1512" i="1"/>
  <x:c r="K1512" i="1"/>
  <x:c r="N1512" i="1"/>
  <x:c r="H1513" i="1"/>
  <x:c r="K1513" i="1"/>
  <x:c r="N1513" i="1"/>
  <x:c r="H1514" i="1"/>
  <x:c r="K1514" i="1"/>
  <x:c r="N1514" i="1"/>
  <x:c r="H1515" i="1"/>
  <x:c r="K1515" i="1"/>
  <x:c r="N1515" i="1"/>
  <x:c r="H1516" i="1"/>
  <x:c r="K1516" i="1"/>
  <x:c r="N1516" i="1"/>
  <x:c r="H1517" i="1"/>
  <x:c r="K1517" i="1"/>
  <x:c r="N1517" i="1"/>
  <x:c r="H1518" i="1"/>
  <x:c r="K1518" i="1"/>
  <x:c r="N1518" i="1"/>
  <x:c r="H1519" i="1"/>
  <x:c r="K1519" i="1"/>
  <x:c r="N1519" i="1"/>
  <x:c r="H1520" i="1"/>
  <x:c r="K1520" i="1"/>
  <x:c r="N1520" i="1"/>
  <x:c r="H1521" i="1"/>
  <x:c r="K1521" i="1"/>
  <x:c r="N1521" i="1"/>
  <x:c r="H1522" i="1"/>
  <x:c r="K1522" i="1"/>
  <x:c r="N1522" i="1"/>
  <x:c r="H1523" i="1"/>
  <x:c r="K1523" i="1"/>
  <x:c r="N1523" i="1"/>
  <x:c r="H1524" i="1"/>
  <x:c r="K1524" i="1"/>
  <x:c r="N1524" i="1"/>
  <x:c r="H1525" i="1"/>
  <x:c r="K1525" i="1"/>
  <x:c r="N1525" i="1"/>
  <x:c r="H1526" i="1"/>
  <x:c r="K1526" i="1"/>
  <x:c r="N1526" i="1"/>
  <x:c r="H1527" i="1"/>
  <x:c r="K1527" i="1"/>
  <x:c r="N1527" i="1"/>
  <x:c r="H1528" i="1"/>
  <x:c r="K1528" i="1"/>
  <x:c r="N1528" i="1"/>
  <x:c r="H1529" i="1"/>
  <x:c r="K1529" i="1"/>
  <x:c r="N1529" i="1"/>
  <x:c r="H1530" i="1"/>
  <x:c r="K1530" i="1"/>
  <x:c r="N1530" i="1"/>
  <x:c r="H1531" i="1"/>
  <x:c r="K1531" i="1"/>
  <x:c r="N1531" i="1"/>
  <x:c r="H1532" i="1"/>
  <x:c r="K1532" i="1"/>
  <x:c r="N1532" i="1"/>
  <x:c r="H1533" i="1"/>
  <x:c r="K1533" i="1"/>
  <x:c r="N1533" i="1"/>
  <x:c r="H1534" i="1"/>
  <x:c r="K1534" i="1"/>
  <x:c r="N1534" i="1"/>
  <x:c r="H1535" i="1"/>
  <x:c r="K1535" i="1"/>
  <x:c r="N1535" i="1"/>
  <x:c r="H1536" i="1"/>
  <x:c r="K1536" i="1"/>
  <x:c r="N1536" i="1"/>
  <x:c r="H1537" i="1"/>
  <x:c r="K1537" i="1"/>
  <x:c r="N1537" i="1"/>
  <x:c r="H1538" i="1"/>
  <x:c r="K1538" i="1"/>
  <x:c r="N1538" i="1"/>
  <x:c r="H1539" i="1"/>
  <x:c r="K1539" i="1"/>
  <x:c r="N1539" i="1"/>
  <x:c r="H1540" i="1"/>
  <x:c r="K1540" i="1"/>
  <x:c r="N1540" i="1"/>
  <x:c r="H1541" i="1"/>
  <x:c r="K1541" i="1"/>
  <x:c r="N1541" i="1"/>
  <x:c r="H1542" i="1"/>
  <x:c r="K1542" i="1"/>
  <x:c r="N1542" i="1"/>
  <x:c r="H1543" i="1"/>
  <x:c r="K1543" i="1"/>
  <x:c r="N1543" i="1"/>
  <x:c r="H1544" i="1"/>
  <x:c r="K1544" i="1"/>
  <x:c r="N1544" i="1"/>
  <x:c r="H1545" i="1"/>
  <x:c r="K1545" i="1"/>
  <x:c r="N1545" i="1"/>
  <x:c r="H1546" i="1"/>
  <x:c r="K1546" i="1"/>
  <x:c r="N1546" i="1"/>
  <x:c r="H1547" i="1"/>
  <x:c r="K1547" i="1"/>
  <x:c r="N1547" i="1"/>
  <x:c r="H1548" i="1"/>
  <x:c r="K1548" i="1"/>
  <x:c r="N1548" i="1"/>
  <x:c r="H1549" i="1"/>
  <x:c r="K1549" i="1"/>
  <x:c r="N1549" i="1"/>
  <x:c r="H1550" i="1"/>
  <x:c r="K1550" i="1"/>
  <x:c r="N1550" i="1"/>
  <x:c r="H1551" i="1"/>
  <x:c r="K1551" i="1"/>
  <x:c r="N1551" i="1"/>
  <x:c r="H1552" i="1"/>
  <x:c r="K1552" i="1"/>
  <x:c r="N1552" i="1"/>
  <x:c r="H1553" i="1"/>
  <x:c r="K1553" i="1"/>
  <x:c r="N1553" i="1"/>
  <x:c r="H1554" i="1"/>
  <x:c r="K1554" i="1"/>
  <x:c r="N1554" i="1"/>
  <x:c r="H1555" i="1"/>
  <x:c r="K1555" i="1"/>
  <x:c r="N1555" i="1"/>
  <x:c r="H1556" i="1"/>
  <x:c r="K1556" i="1"/>
  <x:c r="N1556" i="1"/>
  <x:c r="H1557" i="1"/>
  <x:c r="K1557" i="1"/>
  <x:c r="N1557" i="1"/>
  <x:c r="H1558" i="1"/>
  <x:c r="K1558" i="1"/>
  <x:c r="N1558" i="1"/>
  <x:c r="H1559" i="1"/>
  <x:c r="K1559" i="1"/>
  <x:c r="N1559" i="1"/>
  <x:c r="H1560" i="1"/>
  <x:c r="K1560" i="1"/>
  <x:c r="N1560" i="1"/>
  <x:c r="H1561" i="1"/>
  <x:c r="K1561" i="1"/>
  <x:c r="N1561" i="1"/>
  <x:c r="H1562" i="1"/>
  <x:c r="K1562" i="1"/>
  <x:c r="N1562" i="1"/>
  <x:c r="H1563" i="1"/>
  <x:c r="K1563" i="1"/>
  <x:c r="N1563" i="1"/>
  <x:c r="H1564" i="1"/>
  <x:c r="K1564" i="1"/>
  <x:c r="N1564" i="1"/>
  <x:c r="H1565" i="1"/>
  <x:c r="K1565" i="1"/>
  <x:c r="N1565" i="1"/>
  <x:c r="H1566" i="1"/>
  <x:c r="K1566" i="1"/>
  <x:c r="N1566" i="1"/>
  <x:c r="H1567" i="1"/>
  <x:c r="K1567" i="1"/>
  <x:c r="N1567" i="1"/>
  <x:c r="H1568" i="1"/>
  <x:c r="K1568" i="1"/>
  <x:c r="N1568" i="1"/>
  <x:c r="H1569" i="1"/>
  <x:c r="K1569" i="1"/>
  <x:c r="N1569" i="1"/>
  <x:c r="H1570" i="1"/>
  <x:c r="K1570" i="1"/>
  <x:c r="N1570" i="1"/>
  <x:c r="H1571" i="1"/>
  <x:c r="K1571" i="1"/>
  <x:c r="N1571" i="1"/>
  <x:c r="H1572" i="1"/>
  <x:c r="K1572" i="1"/>
  <x:c r="N1572" i="1"/>
  <x:c r="H1573" i="1"/>
  <x:c r="K1573" i="1"/>
  <x:c r="N1573" i="1"/>
  <x:c r="H1574" i="1"/>
  <x:c r="K1574" i="1"/>
  <x:c r="N1574" i="1"/>
  <x:c r="H1575" i="1"/>
  <x:c r="K1575" i="1"/>
  <x:c r="N1575" i="1"/>
  <x:c r="H1576" i="1"/>
  <x:c r="K1576" i="1"/>
  <x:c r="N1576" i="1"/>
  <x:c r="H1577" i="1"/>
  <x:c r="K1577" i="1"/>
  <x:c r="N1577" i="1"/>
  <x:c r="H1578" i="1"/>
  <x:c r="K1578" i="1"/>
  <x:c r="N1578" i="1"/>
  <x:c r="H1579" i="1"/>
  <x:c r="K1579" i="1"/>
  <x:c r="N1579" i="1"/>
  <x:c r="H1580" i="1"/>
  <x:c r="K1580" i="1"/>
  <x:c r="N1580" i="1"/>
  <x:c r="H1581" i="1"/>
  <x:c r="K1581" i="1"/>
  <x:c r="N1581" i="1"/>
  <x:c r="H1582" i="1"/>
  <x:c r="K1582" i="1"/>
  <x:c r="N1582" i="1"/>
  <x:c r="H1583" i="1"/>
  <x:c r="K1583" i="1"/>
  <x:c r="N1583" i="1"/>
  <x:c r="H1584" i="1"/>
  <x:c r="K1584" i="1"/>
  <x:c r="N1584" i="1"/>
  <x:c r="H1585" i="1"/>
  <x:c r="K1585" i="1"/>
  <x:c r="N1585" i="1"/>
  <x:c r="H1586" i="1"/>
  <x:c r="K1586" i="1"/>
  <x:c r="N1586" i="1"/>
  <x:c r="H1587" i="1"/>
  <x:c r="K1587" i="1"/>
  <x:c r="N1587" i="1"/>
  <x:c r="H1588" i="1"/>
  <x:c r="K1588" i="1"/>
  <x:c r="N1588" i="1"/>
  <x:c r="H1589" i="1"/>
  <x:c r="K1589" i="1"/>
  <x:c r="N1589" i="1"/>
  <x:c r="H1590" i="1"/>
  <x:c r="K1590" i="1"/>
  <x:c r="N1590" i="1"/>
  <x:c r="H1591" i="1"/>
  <x:c r="K1591" i="1"/>
  <x:c r="N1591" i="1"/>
  <x:c r="H1592" i="1"/>
  <x:c r="K1592" i="1"/>
  <x:c r="N1592" i="1"/>
  <x:c r="H1593" i="1"/>
  <x:c r="K1593" i="1"/>
  <x:c r="N1593" i="1"/>
  <x:c r="H1594" i="1"/>
  <x:c r="K1594" i="1"/>
  <x:c r="N1594" i="1"/>
  <x:c r="H1595" i="1"/>
  <x:c r="K1595" i="1"/>
  <x:c r="N1595" i="1"/>
  <x:c r="H1596" i="1"/>
  <x:c r="K1596" i="1"/>
  <x:c r="N1596" i="1"/>
  <x:c r="H1597" i="1"/>
  <x:c r="K1597" i="1"/>
  <x:c r="N1597" i="1"/>
  <x:c r="H1598" i="1"/>
  <x:c r="K1598" i="1"/>
  <x:c r="N1598" i="1"/>
  <x:c r="H1599" i="1"/>
  <x:c r="K1599" i="1"/>
  <x:c r="N1599" i="1"/>
  <x:c r="H1600" i="1"/>
  <x:c r="K1600" i="1"/>
  <x:c r="N1600" i="1"/>
  <x:c r="H1601" i="1"/>
  <x:c r="K1601" i="1"/>
  <x:c r="N1601" i="1"/>
  <x:c r="H1602" i="1"/>
  <x:c r="K1602" i="1"/>
  <x:c r="N1602" i="1"/>
  <x:c r="H1603" i="1"/>
  <x:c r="K1603" i="1"/>
  <x:c r="N1603" i="1"/>
  <x:c r="H1604" i="1"/>
  <x:c r="K1604" i="1"/>
  <x:c r="N1604" i="1"/>
  <x:c r="H1605" i="1"/>
  <x:c r="K1605" i="1"/>
  <x:c r="N1605" i="1"/>
  <x:c r="H1606" i="1"/>
  <x:c r="K1606" i="1"/>
  <x:c r="N1606" i="1"/>
  <x:c r="H1607" i="1"/>
  <x:c r="K1607" i="1"/>
  <x:c r="N1607" i="1"/>
  <x:c r="H1608" i="1"/>
  <x:c r="K1608" i="1"/>
  <x:c r="N1608" i="1"/>
  <x:c r="H1609" i="1"/>
  <x:c r="K1609" i="1"/>
  <x:c r="N1609" i="1"/>
  <x:c r="H1610" i="1"/>
  <x:c r="K1610" i="1"/>
  <x:c r="N1610" i="1"/>
  <x:c r="H1611" i="1"/>
  <x:c r="K1611" i="1"/>
  <x:c r="N1611" i="1"/>
  <x:c r="H1612" i="1"/>
  <x:c r="K1612" i="1"/>
  <x:c r="N1612" i="1"/>
  <x:c r="H1613" i="1"/>
  <x:c r="K1613" i="1"/>
  <x:c r="N1613" i="1"/>
  <x:c r="H1614" i="1"/>
  <x:c r="K1614" i="1"/>
  <x:c r="N1614" i="1"/>
  <x:c r="H1615" i="1"/>
  <x:c r="K1615" i="1"/>
  <x:c r="N1615" i="1"/>
  <x:c r="H1616" i="1"/>
  <x:c r="K1616" i="1"/>
  <x:c r="N1616" i="1"/>
  <x:c r="H1617" i="1"/>
  <x:c r="K1617" i="1"/>
  <x:c r="N1617" i="1"/>
  <x:c r="H1618" i="1"/>
  <x:c r="K1618" i="1"/>
  <x:c r="N1618" i="1"/>
  <x:c r="H1619" i="1"/>
  <x:c r="K1619" i="1"/>
  <x:c r="N1619" i="1"/>
  <x:c r="H1620" i="1"/>
  <x:c r="K1620" i="1"/>
  <x:c r="N1620" i="1"/>
  <x:c r="H1621" i="1"/>
  <x:c r="K1621" i="1"/>
  <x:c r="N1621" i="1"/>
  <x:c r="H1622" i="1"/>
  <x:c r="K1622" i="1"/>
  <x:c r="N1622" i="1"/>
  <x:c r="H1623" i="1"/>
  <x:c r="K1623" i="1"/>
  <x:c r="N1623" i="1"/>
  <x:c r="H1624" i="1"/>
  <x:c r="K1624" i="1"/>
  <x:c r="N1624" i="1"/>
  <x:c r="H1625" i="1"/>
  <x:c r="K1625" i="1"/>
  <x:c r="N1625" i="1"/>
  <x:c r="H1626" i="1"/>
  <x:c r="K1626" i="1"/>
  <x:c r="N1626" i="1"/>
  <x:c r="H1627" i="1"/>
  <x:c r="K1627" i="1"/>
  <x:c r="N1627" i="1"/>
  <x:c r="H1628" i="1"/>
  <x:c r="K1628" i="1"/>
  <x:c r="N1628" i="1"/>
  <x:c r="H1629" i="1"/>
  <x:c r="K1629" i="1"/>
  <x:c r="N1629" i="1"/>
  <x:c r="H1630" i="1"/>
  <x:c r="K1630" i="1"/>
  <x:c r="N1630" i="1"/>
  <x:c r="H1631" i="1"/>
  <x:c r="K1631" i="1"/>
  <x:c r="N1631" i="1"/>
  <x:c r="H1632" i="1"/>
  <x:c r="K1632" i="1"/>
  <x:c r="N1632" i="1"/>
  <x:c r="H1633" i="1"/>
  <x:c r="K1633" i="1"/>
  <x:c r="N1633" i="1"/>
  <x:c r="H1634" i="1"/>
  <x:c r="K1634" i="1"/>
  <x:c r="N1634" i="1"/>
  <x:c r="H1635" i="1"/>
  <x:c r="K1635" i="1"/>
  <x:c r="N1635" i="1"/>
  <x:c r="H1636" i="1"/>
  <x:c r="K1636" i="1"/>
  <x:c r="N1636" i="1"/>
  <x:c r="H1637" i="1"/>
  <x:c r="K1637" i="1"/>
  <x:c r="N1637" i="1"/>
  <x:c r="H1638" i="1"/>
  <x:c r="K1638" i="1"/>
  <x:c r="N1638" i="1"/>
  <x:c r="H1639" i="1"/>
  <x:c r="K1639" i="1"/>
  <x:c r="N1639" i="1"/>
  <x:c r="H1640" i="1"/>
  <x:c r="K1640" i="1"/>
  <x:c r="N1640" i="1"/>
  <x:c r="H1641" i="1"/>
  <x:c r="K1641" i="1"/>
  <x:c r="N1641" i="1"/>
  <x:c r="H1642" i="1"/>
  <x:c r="K1642" i="1"/>
  <x:c r="N1642" i="1"/>
  <x:c r="H1643" i="1"/>
  <x:c r="K1643" i="1"/>
  <x:c r="N1643" i="1"/>
  <x:c r="H1644" i="1"/>
  <x:c r="K1644" i="1"/>
  <x:c r="N1644" i="1"/>
  <x:c r="H1645" i="1"/>
  <x:c r="K1645" i="1"/>
  <x:c r="N1645" i="1"/>
  <x:c r="H1646" i="1"/>
  <x:c r="K1646" i="1"/>
  <x:c r="N1646" i="1"/>
  <x:c r="H1647" i="1"/>
  <x:c r="K1647" i="1"/>
  <x:c r="N1647" i="1"/>
  <x:c r="H1648" i="1"/>
  <x:c r="K1648" i="1"/>
  <x:c r="N1648" i="1"/>
  <x:c r="H1649" i="1"/>
  <x:c r="K1649" i="1"/>
  <x:c r="N1649" i="1"/>
  <x:c r="H1650" i="1"/>
  <x:c r="K1650" i="1"/>
  <x:c r="N1650" i="1"/>
  <x:c r="H1651" i="1"/>
  <x:c r="K1651" i="1"/>
  <x:c r="N1651" i="1"/>
  <x:c r="H1652" i="1"/>
  <x:c r="K1652" i="1"/>
  <x:c r="N1652" i="1"/>
  <x:c r="H1653" i="1"/>
  <x:c r="K1653" i="1"/>
  <x:c r="N1653" i="1"/>
  <x:c r="H1654" i="1"/>
  <x:c r="K1654" i="1"/>
  <x:c r="N1654" i="1"/>
  <x:c r="H1655" i="1"/>
  <x:c r="K1655" i="1"/>
  <x:c r="N1655" i="1"/>
  <x:c r="H1656" i="1"/>
  <x:c r="K1656" i="1"/>
  <x:c r="N1656" i="1"/>
  <x:c r="H1657" i="1"/>
  <x:c r="K1657" i="1"/>
  <x:c r="N1657" i="1"/>
  <x:c r="H1658" i="1"/>
  <x:c r="K1658" i="1"/>
  <x:c r="N1658" i="1"/>
  <x:c r="H1659" i="1"/>
  <x:c r="K1659" i="1"/>
  <x:c r="N1659" i="1"/>
  <x:c r="H1660" i="1"/>
  <x:c r="K1660" i="1"/>
  <x:c r="N1660" i="1"/>
  <x:c r="H1661" i="1"/>
  <x:c r="K1661" i="1"/>
  <x:c r="N1661" i="1"/>
  <x:c r="H1662" i="1"/>
  <x:c r="K1662" i="1"/>
  <x:c r="N1662" i="1"/>
  <x:c r="H1663" i="1"/>
  <x:c r="K1663" i="1"/>
  <x:c r="N1663" i="1"/>
  <x:c r="H1664" i="1"/>
  <x:c r="K1664" i="1"/>
  <x:c r="N1664" i="1"/>
  <x:c r="H1665" i="1"/>
  <x:c r="K1665" i="1"/>
  <x:c r="N1665" i="1"/>
  <x:c r="H1666" i="1"/>
  <x:c r="K1666" i="1"/>
  <x:c r="N1666" i="1"/>
  <x:c r="H1667" i="1"/>
  <x:c r="K1667" i="1"/>
  <x:c r="N1667" i="1"/>
  <x:c r="H1668" i="1"/>
  <x:c r="K1668" i="1"/>
  <x:c r="N1668" i="1"/>
  <x:c r="H1669" i="1"/>
  <x:c r="K1669" i="1"/>
  <x:c r="N1669" i="1"/>
  <x:c r="H1670" i="1"/>
  <x:c r="K1670" i="1"/>
  <x:c r="N1670" i="1"/>
  <x:c r="H1671" i="1"/>
  <x:c r="K1671" i="1"/>
  <x:c r="N1671" i="1"/>
  <x:c r="H1672" i="1"/>
  <x:c r="K1672" i="1"/>
  <x:c r="N1672" i="1"/>
  <x:c r="H1673" i="1"/>
  <x:c r="K1673" i="1"/>
  <x:c r="N1673" i="1"/>
  <x:c r="H1674" i="1"/>
  <x:c r="K1674" i="1"/>
  <x:c r="N1674" i="1"/>
  <x:c r="H1675" i="1"/>
  <x:c r="K1675" i="1"/>
  <x:c r="N1675" i="1"/>
  <x:c r="H1676" i="1"/>
  <x:c r="K1676" i="1"/>
  <x:c r="N1676" i="1"/>
  <x:c r="H1677" i="1"/>
  <x:c r="K1677" i="1"/>
  <x:c r="N1677" i="1"/>
  <x:c r="H1678" i="1"/>
  <x:c r="K1678" i="1"/>
  <x:c r="N1678" i="1"/>
  <x:c r="H1679" i="1"/>
  <x:c r="K1679" i="1"/>
  <x:c r="N1679" i="1"/>
  <x:c r="H1680" i="1"/>
  <x:c r="K1680" i="1"/>
  <x:c r="N1680" i="1"/>
  <x:c r="H1681" i="1"/>
  <x:c r="K1681" i="1"/>
  <x:c r="N1681" i="1"/>
  <x:c r="H1682" i="1"/>
  <x:c r="K1682" i="1"/>
  <x:c r="N1682" i="1"/>
  <x:c r="H1683" i="1"/>
  <x:c r="K1683" i="1"/>
  <x:c r="N1683" i="1"/>
  <x:c r="H1684" i="1"/>
  <x:c r="K1684" i="1"/>
  <x:c r="N1684" i="1"/>
  <x:c r="H1685" i="1"/>
  <x:c r="K1685" i="1"/>
  <x:c r="N1685" i="1"/>
  <x:c r="H1686" i="1"/>
  <x:c r="K1686" i="1"/>
  <x:c r="N1686" i="1"/>
  <x:c r="H1687" i="1"/>
  <x:c r="K1687" i="1"/>
  <x:c r="N1687" i="1"/>
  <x:c r="H1688" i="1"/>
  <x:c r="K1688" i="1"/>
  <x:c r="N1688" i="1"/>
  <x:c r="H1689" i="1"/>
  <x:c r="K1689" i="1"/>
  <x:c r="N1689" i="1"/>
  <x:c r="H1690" i="1"/>
  <x:c r="K1690" i="1"/>
  <x:c r="N1690" i="1"/>
  <x:c r="H1691" i="1"/>
  <x:c r="K1691" i="1"/>
  <x:c r="N1691" i="1"/>
  <x:c r="H1692" i="1"/>
  <x:c r="K1692" i="1"/>
  <x:c r="N1692" i="1"/>
  <x:c r="H1693" i="1"/>
  <x:c r="K1693" i="1"/>
  <x:c r="N1693" i="1"/>
  <x:c r="H1694" i="1"/>
  <x:c r="K1694" i="1"/>
  <x:c r="N1694" i="1"/>
  <x:c r="H1695" i="1"/>
  <x:c r="K1695" i="1"/>
  <x:c r="N1695" i="1"/>
  <x:c r="H1696" i="1"/>
  <x:c r="K1696" i="1"/>
  <x:c r="N1696" i="1"/>
  <x:c r="H1697" i="1"/>
  <x:c r="K1697" i="1"/>
  <x:c r="N1697" i="1"/>
  <x:c r="H1698" i="1"/>
  <x:c r="K1698" i="1"/>
  <x:c r="N1698" i="1"/>
  <x:c r="H1699" i="1"/>
  <x:c r="K1699" i="1"/>
  <x:c r="N1699" i="1"/>
  <x:c r="H1700" i="1"/>
  <x:c r="K1700" i="1"/>
  <x:c r="N1700" i="1"/>
  <x:c r="H1701" i="1"/>
  <x:c r="K1701" i="1"/>
  <x:c r="N1701" i="1"/>
  <x:c r="H1702" i="1"/>
  <x:c r="K1702" i="1"/>
  <x:c r="N1702" i="1"/>
  <x:c r="H1703" i="1"/>
  <x:c r="K1703" i="1"/>
  <x:c r="N1703" i="1"/>
  <x:c r="H1704" i="1"/>
  <x:c r="K1704" i="1"/>
  <x:c r="N1704" i="1"/>
  <x:c r="H1705" i="1"/>
  <x:c r="K1705" i="1"/>
  <x:c r="N1705" i="1"/>
  <x:c r="H1706" i="1"/>
  <x:c r="K1706" i="1"/>
  <x:c r="N1706" i="1"/>
  <x:c r="H1707" i="1"/>
  <x:c r="K1707" i="1"/>
  <x:c r="N1707" i="1"/>
  <x:c r="H1708" i="1"/>
  <x:c r="K1708" i="1"/>
  <x:c r="N1708" i="1"/>
  <x:c r="H1709" i="1"/>
  <x:c r="K1709" i="1"/>
  <x:c r="N1709" i="1"/>
  <x:c r="H1710" i="1"/>
  <x:c r="K1710" i="1"/>
  <x:c r="N1710" i="1"/>
  <x:c r="H1711" i="1"/>
  <x:c r="K1711" i="1"/>
  <x:c r="N1711" i="1"/>
  <x:c r="H1712" i="1"/>
  <x:c r="K1712" i="1"/>
  <x:c r="N1712" i="1"/>
  <x:c r="H1713" i="1"/>
  <x:c r="K1713" i="1"/>
  <x:c r="N1713" i="1"/>
  <x:c r="H1714" i="1"/>
  <x:c r="K1714" i="1"/>
  <x:c r="N1714" i="1"/>
  <x:c r="H1715" i="1"/>
  <x:c r="K1715" i="1"/>
  <x:c r="N1715" i="1"/>
  <x:c r="H1716" i="1"/>
  <x:c r="K1716" i="1"/>
  <x:c r="N1716" i="1"/>
  <x:c r="H1717" i="1"/>
  <x:c r="K1717" i="1"/>
  <x:c r="N1717" i="1"/>
  <x:c r="H1718" i="1"/>
  <x:c r="K1718" i="1"/>
  <x:c r="N1718" i="1"/>
  <x:c r="H1719" i="1"/>
  <x:c r="K1719" i="1"/>
  <x:c r="N1719" i="1"/>
  <x:c r="H1720" i="1"/>
  <x:c r="K1720" i="1"/>
  <x:c r="N1720" i="1"/>
  <x:c r="H1721" i="1"/>
  <x:c r="K1721" i="1"/>
  <x:c r="N1721" i="1"/>
  <x:c r="H1722" i="1"/>
  <x:c r="K1722" i="1"/>
  <x:c r="N1722" i="1"/>
  <x:c r="H1723" i="1"/>
  <x:c r="K1723" i="1"/>
  <x:c r="N1723" i="1"/>
  <x:c r="H1724" i="1"/>
  <x:c r="K1724" i="1"/>
  <x:c r="N1724" i="1"/>
  <x:c r="H1725" i="1"/>
  <x:c r="K1725" i="1"/>
  <x:c r="N1725" i="1"/>
  <x:c r="H1726" i="1"/>
  <x:c r="K1726" i="1"/>
  <x:c r="N1726" i="1"/>
  <x:c r="H1727" i="1"/>
  <x:c r="K1727" i="1"/>
  <x:c r="N1727" i="1"/>
  <x:c r="H1728" i="1"/>
  <x:c r="K1728" i="1"/>
  <x:c r="N1728" i="1"/>
  <x:c r="H1729" i="1"/>
  <x:c r="K1729" i="1"/>
  <x:c r="N1729" i="1"/>
  <x:c r="H1730" i="1"/>
  <x:c r="K1730" i="1"/>
  <x:c r="N1730" i="1"/>
  <x:c r="H1731" i="1"/>
  <x:c r="K1731" i="1"/>
  <x:c r="N1731" i="1"/>
  <x:c r="H1732" i="1"/>
  <x:c r="K1732" i="1"/>
  <x:c r="N1732" i="1"/>
  <x:c r="H1733" i="1"/>
  <x:c r="K1733" i="1"/>
  <x:c r="N1733" i="1"/>
  <x:c r="H1734" i="1"/>
  <x:c r="K1734" i="1"/>
  <x:c r="N1734" i="1"/>
  <x:c r="H1735" i="1"/>
  <x:c r="K1735" i="1"/>
  <x:c r="N1735" i="1"/>
  <x:c r="H1736" i="1"/>
  <x:c r="K1736" i="1"/>
  <x:c r="N1736" i="1"/>
  <x:c r="H1737" i="1"/>
  <x:c r="K1737" i="1"/>
  <x:c r="N1737" i="1"/>
  <x:c r="H1738" i="1"/>
  <x:c r="K1738" i="1"/>
  <x:c r="N1738" i="1"/>
  <x:c r="H1739" i="1"/>
  <x:c r="K1739" i="1"/>
  <x:c r="N1739" i="1"/>
  <x:c r="H1740" i="1"/>
  <x:c r="K1740" i="1"/>
  <x:c r="N1740" i="1"/>
  <x:c r="H1741" i="1"/>
  <x:c r="K1741" i="1"/>
  <x:c r="N1741" i="1"/>
  <x:c r="H1742" i="1"/>
  <x:c r="K1742" i="1"/>
  <x:c r="N1742" i="1"/>
  <x:c r="H1743" i="1"/>
  <x:c r="K1743" i="1"/>
  <x:c r="N1743" i="1"/>
  <x:c r="H1744" i="1"/>
  <x:c r="K1744" i="1"/>
  <x:c r="N1744" i="1"/>
  <x:c r="H1745" i="1"/>
  <x:c r="K1745" i="1"/>
  <x:c r="N1745" i="1"/>
  <x:c r="H1746" i="1"/>
  <x:c r="K1746" i="1"/>
  <x:c r="N1746" i="1"/>
  <x:c r="H1747" i="1"/>
  <x:c r="K1747" i="1"/>
  <x:c r="N1747" i="1"/>
  <x:c r="H1748" i="1"/>
  <x:c r="K1748" i="1"/>
  <x:c r="N1748" i="1"/>
  <x:c r="H1749" i="1"/>
  <x:c r="K1749" i="1"/>
  <x:c r="N1749" i="1"/>
  <x:c r="H1750" i="1"/>
  <x:c r="K1750" i="1"/>
  <x:c r="N1750" i="1"/>
  <x:c r="H1751" i="1"/>
  <x:c r="K1751" i="1"/>
  <x:c r="N1751" i="1"/>
  <x:c r="H1752" i="1"/>
  <x:c r="K1752" i="1"/>
  <x:c r="N1752" i="1"/>
  <x:c r="H1753" i="1"/>
  <x:c r="K1753" i="1"/>
  <x:c r="N1753" i="1"/>
  <x:c r="H1754" i="1"/>
  <x:c r="K1754" i="1"/>
  <x:c r="N1754" i="1"/>
  <x:c r="H1755" i="1"/>
  <x:c r="K1755" i="1"/>
  <x:c r="N1755" i="1"/>
  <x:c r="H1756" i="1"/>
  <x:c r="K1756" i="1"/>
  <x:c r="N1756" i="1"/>
  <x:c r="H1757" i="1"/>
  <x:c r="K1757" i="1"/>
  <x:c r="N1757" i="1"/>
  <x:c r="H1758" i="1"/>
  <x:c r="K1758" i="1"/>
  <x:c r="N1758" i="1"/>
  <x:c r="H1759" i="1"/>
  <x:c r="K1759" i="1"/>
  <x:c r="N1759" i="1"/>
  <x:c r="H1760" i="1"/>
  <x:c r="K1760" i="1"/>
  <x:c r="N1760" i="1"/>
  <x:c r="H1761" i="1"/>
  <x:c r="K1761" i="1"/>
  <x:c r="N1761" i="1"/>
  <x:c r="H1762" i="1"/>
  <x:c r="K1762" i="1"/>
  <x:c r="N1762" i="1"/>
  <x:c r="H1763" i="1"/>
  <x:c r="K1763" i="1"/>
  <x:c r="N1763" i="1"/>
  <x:c r="H1764" i="1"/>
  <x:c r="K1764" i="1"/>
  <x:c r="N1764" i="1"/>
  <x:c r="H1765" i="1"/>
  <x:c r="K1765" i="1"/>
  <x:c r="N1765" i="1"/>
  <x:c r="H1766" i="1"/>
  <x:c r="K1766" i="1"/>
  <x:c r="N1766" i="1"/>
  <x:c r="H1767" i="1"/>
  <x:c r="K1767" i="1"/>
  <x:c r="N1767" i="1"/>
  <x:c r="H1768" i="1"/>
  <x:c r="K1768" i="1"/>
  <x:c r="N1768" i="1"/>
  <x:c r="H1769" i="1"/>
  <x:c r="K1769" i="1"/>
  <x:c r="N1769" i="1"/>
  <x:c r="H1770" i="1"/>
  <x:c r="K1770" i="1"/>
  <x:c r="N1770" i="1"/>
  <x:c r="H1771" i="1"/>
  <x:c r="K1771" i="1"/>
  <x:c r="N1771" i="1"/>
  <x:c r="H1772" i="1"/>
  <x:c r="K1772" i="1"/>
  <x:c r="N1772" i="1"/>
  <x:c r="H1773" i="1"/>
  <x:c r="K1773" i="1"/>
  <x:c r="N1773" i="1"/>
  <x:c r="H1774" i="1"/>
  <x:c r="K1774" i="1"/>
  <x:c r="N1774" i="1"/>
  <x:c r="H1775" i="1"/>
  <x:c r="K1775" i="1"/>
  <x:c r="N1775" i="1"/>
  <x:c r="H1776" i="1"/>
  <x:c r="K1776" i="1"/>
  <x:c r="N1776" i="1"/>
  <x:c r="H1777" i="1"/>
  <x:c r="K1777" i="1"/>
  <x:c r="N1777" i="1"/>
  <x:c r="H1778" i="1"/>
  <x:c r="K1778" i="1"/>
  <x:c r="N1778" i="1"/>
  <x:c r="H1779" i="1"/>
  <x:c r="K1779" i="1"/>
  <x:c r="N1779" i="1"/>
  <x:c r="H1780" i="1"/>
  <x:c r="K1780" i="1"/>
  <x:c r="N1780" i="1"/>
  <x:c r="H1781" i="1"/>
  <x:c r="K1781" i="1"/>
  <x:c r="N1781" i="1"/>
  <x:c r="H1782" i="1"/>
  <x:c r="K1782" i="1"/>
  <x:c r="N1782" i="1"/>
  <x:c r="H1783" i="1"/>
  <x:c r="K1783" i="1"/>
  <x:c r="N1783" i="1"/>
  <x:c r="H1784" i="1"/>
  <x:c r="K1784" i="1"/>
  <x:c r="N1784" i="1"/>
  <x:c r="H1785" i="1"/>
  <x:c r="K1785" i="1"/>
  <x:c r="N1785" i="1"/>
  <x:c r="H1786" i="1"/>
  <x:c r="K1786" i="1"/>
  <x:c r="N1786" i="1"/>
  <x:c r="H1787" i="1"/>
  <x:c r="K1787" i="1"/>
  <x:c r="N1787" i="1"/>
  <x:c r="H1788" i="1"/>
  <x:c r="K1788" i="1"/>
  <x:c r="N1788" i="1"/>
  <x:c r="H1789" i="1"/>
  <x:c r="K1789" i="1"/>
  <x:c r="N1789" i="1"/>
  <x:c r="H1790" i="1"/>
  <x:c r="K1790" i="1"/>
  <x:c r="N1790" i="1"/>
  <x:c r="H1791" i="1"/>
  <x:c r="K1791" i="1"/>
  <x:c r="N1791" i="1"/>
  <x:c r="H1792" i="1"/>
  <x:c r="K1792" i="1"/>
  <x:c r="N1792" i="1"/>
  <x:c r="H1793" i="1"/>
  <x:c r="K1793" i="1"/>
  <x:c r="N1793" i="1"/>
  <x:c r="H1794" i="1"/>
  <x:c r="K1794" i="1"/>
  <x:c r="N1794" i="1"/>
  <x:c r="H1795" i="1"/>
  <x:c r="K1795" i="1"/>
  <x:c r="N1795" i="1"/>
  <x:c r="H1796" i="1"/>
  <x:c r="K1796" i="1"/>
  <x:c r="N1796" i="1"/>
  <x:c r="H1797" i="1"/>
  <x:c r="K1797" i="1"/>
  <x:c r="N1797" i="1"/>
  <x:c r="H1798" i="1"/>
  <x:c r="K1798" i="1"/>
  <x:c r="N1798" i="1"/>
  <x:c r="H1799" i="1"/>
  <x:c r="K1799" i="1"/>
  <x:c r="N1799" i="1"/>
  <x:c r="H1800" i="1"/>
  <x:c r="K1800" i="1"/>
  <x:c r="N1800" i="1"/>
  <x:c r="H1801" i="1"/>
  <x:c r="K1801" i="1"/>
  <x:c r="N1801" i="1"/>
  <x:c r="H1802" i="1"/>
  <x:c r="K1802" i="1"/>
  <x:c r="N1802" i="1"/>
  <x:c r="H1803" i="1"/>
  <x:c r="K1803" i="1"/>
  <x:c r="N1803" i="1"/>
  <x:c r="H1804" i="1"/>
  <x:c r="K1804" i="1"/>
  <x:c r="N1804" i="1"/>
  <x:c r="H1805" i="1"/>
  <x:c r="K1805" i="1"/>
  <x:c r="N1805" i="1"/>
  <x:c r="H1806" i="1"/>
  <x:c r="K1806" i="1"/>
  <x:c r="N1806" i="1"/>
  <x:c r="H1807" i="1"/>
  <x:c r="K1807" i="1"/>
  <x:c r="N1807" i="1"/>
  <x:c r="H1808" i="1"/>
  <x:c r="K1808" i="1"/>
  <x:c r="N1808" i="1"/>
  <x:c r="H1809" i="1"/>
  <x:c r="K1809" i="1"/>
  <x:c r="N1809" i="1"/>
  <x:c r="H1810" i="1"/>
  <x:c r="K1810" i="1"/>
  <x:c r="N1810" i="1"/>
  <x:c r="H1811" i="1"/>
  <x:c r="K1811" i="1"/>
  <x:c r="N1811" i="1"/>
  <x:c r="H1812" i="1"/>
  <x:c r="K1812" i="1"/>
  <x:c r="N1812" i="1"/>
  <x:c r="H1813" i="1"/>
  <x:c r="K1813" i="1"/>
  <x:c r="N1813" i="1"/>
  <x:c r="H1814" i="1"/>
  <x:c r="K1814" i="1"/>
  <x:c r="N1814" i="1"/>
  <x:c r="H1815" i="1"/>
  <x:c r="K1815" i="1"/>
  <x:c r="N1815" i="1"/>
  <x:c r="H1816" i="1"/>
  <x:c r="K1816" i="1"/>
  <x:c r="N1816" i="1"/>
  <x:c r="H1817" i="1"/>
  <x:c r="K1817" i="1"/>
  <x:c r="N1817" i="1"/>
  <x:c r="H1818" i="1"/>
  <x:c r="K1818" i="1"/>
  <x:c r="N1818" i="1"/>
  <x:c r="H1819" i="1"/>
  <x:c r="K1819" i="1"/>
  <x:c r="N1819" i="1"/>
  <x:c r="H1820" i="1"/>
  <x:c r="K1820" i="1"/>
  <x:c r="N1820" i="1"/>
  <x:c r="H1821" i="1"/>
  <x:c r="K1821" i="1"/>
  <x:c r="N1821" i="1"/>
  <x:c r="H1822" i="1"/>
  <x:c r="K1822" i="1"/>
  <x:c r="N1822" i="1"/>
  <x:c r="H1823" i="1"/>
  <x:c r="K1823" i="1"/>
  <x:c r="N1823" i="1"/>
  <x:c r="H1824" i="1"/>
  <x:c r="K1824" i="1"/>
  <x:c r="N1824" i="1"/>
  <x:c r="H1825" i="1"/>
  <x:c r="K1825" i="1"/>
  <x:c r="N1825" i="1"/>
  <x:c r="H1826" i="1"/>
  <x:c r="K1826" i="1"/>
  <x:c r="N1826" i="1"/>
  <x:c r="H1827" i="1"/>
  <x:c r="K1827" i="1"/>
  <x:c r="N1827" i="1"/>
  <x:c r="H1828" i="1"/>
  <x:c r="K1828" i="1"/>
  <x:c r="N1828" i="1"/>
  <x:c r="H1829" i="1"/>
  <x:c r="K1829" i="1"/>
  <x:c r="N1829" i="1"/>
  <x:c r="H1830" i="1"/>
  <x:c r="K1830" i="1"/>
  <x:c r="N1830" i="1"/>
  <x:c r="H1831" i="1"/>
  <x:c r="K1831" i="1"/>
  <x:c r="N1831" i="1"/>
  <x:c r="H1832" i="1"/>
  <x:c r="K1832" i="1"/>
  <x:c r="N1832" i="1"/>
  <x:c r="H1833" i="1"/>
  <x:c r="K1833" i="1"/>
  <x:c r="N1833" i="1"/>
  <x:c r="H1834" i="1"/>
  <x:c r="K1834" i="1"/>
  <x:c r="N1834" i="1"/>
  <x:c r="H1835" i="1"/>
  <x:c r="K1835" i="1"/>
  <x:c r="N1835" i="1"/>
  <x:c r="H1836" i="1"/>
  <x:c r="K1836" i="1"/>
  <x:c r="N1836" i="1"/>
  <x:c r="H1837" i="1"/>
  <x:c r="K1837" i="1"/>
  <x:c r="N1837" i="1"/>
  <x:c r="H1838" i="1"/>
  <x:c r="K1838" i="1"/>
  <x:c r="N1838" i="1"/>
  <x:c r="H1839" i="1"/>
  <x:c r="K1839" i="1"/>
  <x:c r="N1839" i="1"/>
  <x:c r="H1840" i="1"/>
  <x:c r="K1840" i="1"/>
  <x:c r="N1840" i="1"/>
  <x:c r="H1841" i="1"/>
  <x:c r="K1841" i="1"/>
  <x:c r="N1841" i="1"/>
  <x:c r="H1842" i="1"/>
  <x:c r="K1842" i="1"/>
  <x:c r="N1842" i="1"/>
  <x:c r="H1843" i="1"/>
  <x:c r="K1843" i="1"/>
  <x:c r="N1843" i="1"/>
  <x:c r="H1844" i="1"/>
  <x:c r="K1844" i="1"/>
  <x:c r="N1844" i="1"/>
  <x:c r="H1845" i="1"/>
  <x:c r="K1845" i="1"/>
  <x:c r="N1845" i="1"/>
  <x:c r="H1846" i="1"/>
  <x:c r="K1846" i="1"/>
  <x:c r="N1846" i="1"/>
  <x:c r="H1847" i="1"/>
  <x:c r="K1847" i="1"/>
  <x:c r="N1847" i="1"/>
  <x:c r="H1848" i="1"/>
  <x:c r="K1848" i="1"/>
  <x:c r="N1848" i="1"/>
  <x:c r="H1849" i="1"/>
  <x:c r="K1849" i="1"/>
  <x:c r="N1849" i="1"/>
  <x:c r="H1850" i="1"/>
  <x:c r="K1850" i="1"/>
  <x:c r="N1850" i="1"/>
  <x:c r="H1851" i="1"/>
  <x:c r="K1851" i="1"/>
  <x:c r="N1851" i="1"/>
  <x:c r="H1852" i="1"/>
  <x:c r="K1852" i="1"/>
  <x:c r="N1852" i="1"/>
  <x:c r="H1853" i="1"/>
  <x:c r="K1853" i="1"/>
  <x:c r="N1853" i="1"/>
  <x:c r="H1854" i="1"/>
  <x:c r="K1854" i="1"/>
  <x:c r="N1854" i="1"/>
  <x:c r="H1855" i="1"/>
  <x:c r="K1855" i="1"/>
  <x:c r="N1855" i="1"/>
  <x:c r="H1856" i="1"/>
  <x:c r="K1856" i="1"/>
  <x:c r="N1856" i="1"/>
  <x:c r="H1857" i="1"/>
  <x:c r="K1857" i="1"/>
  <x:c r="N1857" i="1"/>
  <x:c r="H1858" i="1"/>
  <x:c r="K1858" i="1"/>
  <x:c r="N1858" i="1"/>
  <x:c r="H1859" i="1"/>
  <x:c r="K1859" i="1"/>
  <x:c r="N1859" i="1"/>
  <x:c r="H1860" i="1"/>
  <x:c r="K1860" i="1"/>
  <x:c r="N1860" i="1"/>
  <x:c r="H1861" i="1"/>
  <x:c r="K1861" i="1"/>
  <x:c r="N1861" i="1"/>
  <x:c r="H1862" i="1"/>
  <x:c r="K1862" i="1"/>
  <x:c r="N1862" i="1"/>
  <x:c r="H1863" i="1"/>
  <x:c r="K1863" i="1"/>
  <x:c r="N1863" i="1"/>
  <x:c r="H1864" i="1"/>
  <x:c r="K1864" i="1"/>
  <x:c r="N1864" i="1"/>
  <x:c r="H1865" i="1"/>
  <x:c r="K1865" i="1"/>
  <x:c r="N1865" i="1"/>
  <x:c r="H1866" i="1"/>
  <x:c r="K1866" i="1"/>
  <x:c r="N1866" i="1"/>
  <x:c r="H1867" i="1"/>
  <x:c r="K1867" i="1"/>
  <x:c r="N1867" i="1"/>
  <x:c r="H1868" i="1"/>
  <x:c r="K1868" i="1"/>
  <x:c r="N1868" i="1"/>
  <x:c r="H1869" i="1"/>
  <x:c r="K1869" i="1"/>
  <x:c r="N1869" i="1"/>
  <x:c r="H1870" i="1"/>
  <x:c r="K1870" i="1"/>
  <x:c r="N1870" i="1"/>
  <x:c r="H1871" i="1"/>
  <x:c r="K1871" i="1"/>
  <x:c r="N1871" i="1"/>
  <x:c r="H1872" i="1"/>
  <x:c r="K1872" i="1"/>
  <x:c r="N1872" i="1"/>
  <x:c r="H1873" i="1"/>
  <x:c r="K1873" i="1"/>
  <x:c r="N1873" i="1"/>
  <x:c r="H1874" i="1"/>
  <x:c r="K1874" i="1"/>
  <x:c r="N1874" i="1"/>
  <x:c r="H1875" i="1"/>
  <x:c r="K1875" i="1"/>
  <x:c r="N1875" i="1"/>
  <x:c r="H1876" i="1"/>
  <x:c r="K1876" i="1"/>
  <x:c r="N1876" i="1"/>
  <x:c r="H1877" i="1"/>
  <x:c r="K1877" i="1"/>
  <x:c r="N1877" i="1"/>
  <x:c r="H1878" i="1"/>
  <x:c r="K1878" i="1"/>
  <x:c r="N1878" i="1"/>
  <x:c r="H1879" i="1"/>
  <x:c r="K1879" i="1"/>
  <x:c r="N1879" i="1"/>
  <x:c r="H1880" i="1"/>
  <x:c r="K1880" i="1"/>
  <x:c r="N1880" i="1"/>
  <x:c r="H1881" i="1"/>
  <x:c r="K1881" i="1"/>
  <x:c r="N1881" i="1"/>
  <x:c r="H1882" i="1"/>
  <x:c r="K1882" i="1"/>
  <x:c r="N1882" i="1"/>
  <x:c r="H1883" i="1"/>
  <x:c r="K1883" i="1"/>
  <x:c r="N1883" i="1"/>
  <x:c r="H1884" i="1"/>
  <x:c r="K1884" i="1"/>
  <x:c r="N1884" i="1"/>
  <x:c r="H1885" i="1"/>
  <x:c r="K1885" i="1"/>
  <x:c r="N1885" i="1"/>
  <x:c r="H1886" i="1"/>
  <x:c r="K1886" i="1"/>
  <x:c r="N1886" i="1"/>
  <x:c r="H1887" i="1"/>
  <x:c r="K1887" i="1"/>
  <x:c r="N1887" i="1"/>
  <x:c r="H1888" i="1"/>
  <x:c r="K1888" i="1"/>
  <x:c r="N1888" i="1"/>
  <x:c r="H1889" i="1"/>
  <x:c r="K1889" i="1"/>
  <x:c r="N1889" i="1"/>
  <x:c r="H1890" i="1"/>
  <x:c r="K1890" i="1"/>
  <x:c r="N1890" i="1"/>
  <x:c r="H1891" i="1"/>
  <x:c r="K1891" i="1"/>
  <x:c r="N1891" i="1"/>
  <x:c r="H1892" i="1"/>
  <x:c r="K1892" i="1"/>
  <x:c r="N1892" i="1"/>
  <x:c r="H1893" i="1"/>
  <x:c r="K1893" i="1"/>
  <x:c r="N1893" i="1"/>
  <x:c r="H1894" i="1"/>
  <x:c r="K1894" i="1"/>
  <x:c r="N1894" i="1"/>
  <x:c r="H1895" i="1"/>
  <x:c r="K1895" i="1"/>
  <x:c r="N1895" i="1"/>
  <x:c r="H1896" i="1"/>
  <x:c r="K1896" i="1"/>
  <x:c r="N1896" i="1"/>
  <x:c r="H1897" i="1"/>
  <x:c r="K1897" i="1"/>
  <x:c r="N1897" i="1"/>
  <x:c r="H1898" i="1"/>
  <x:c r="K1898" i="1"/>
  <x:c r="N1898" i="1"/>
  <x:c r="H1899" i="1"/>
  <x:c r="K1899" i="1"/>
  <x:c r="N1899" i="1"/>
  <x:c r="H1900" i="1"/>
  <x:c r="K1900" i="1"/>
  <x:c r="N1900" i="1"/>
  <x:c r="H1901" i="1"/>
  <x:c r="K1901" i="1"/>
  <x:c r="N1901" i="1"/>
  <x:c r="H1902" i="1"/>
  <x:c r="K1902" i="1"/>
  <x:c r="N1902" i="1"/>
  <x:c r="H1903" i="1"/>
  <x:c r="K1903" i="1"/>
  <x:c r="N1903" i="1"/>
  <x:c r="H1904" i="1"/>
  <x:c r="K1904" i="1"/>
  <x:c r="N1904" i="1"/>
  <x:c r="H1905" i="1"/>
  <x:c r="K1905" i="1"/>
  <x:c r="N1905" i="1"/>
  <x:c r="H1906" i="1"/>
  <x:c r="K1906" i="1"/>
  <x:c r="N1906" i="1"/>
  <x:c r="H1907" i="1"/>
  <x:c r="K1907" i="1"/>
  <x:c r="N1907" i="1"/>
  <x:c r="H1908" i="1"/>
  <x:c r="K1908" i="1"/>
  <x:c r="N1908" i="1"/>
  <x:c r="H1909" i="1"/>
  <x:c r="K1909" i="1"/>
  <x:c r="N1909" i="1"/>
  <x:c r="H1910" i="1"/>
  <x:c r="K1910" i="1"/>
  <x:c r="N1910" i="1"/>
  <x:c r="H1911" i="1"/>
  <x:c r="K1911" i="1"/>
  <x:c r="N1911" i="1"/>
  <x:c r="H1912" i="1"/>
  <x:c r="K1912" i="1"/>
  <x:c r="N1912" i="1"/>
  <x:c r="H1913" i="1"/>
  <x:c r="K1913" i="1"/>
  <x:c r="N1913" i="1"/>
  <x:c r="H1914" i="1"/>
  <x:c r="K1914" i="1"/>
  <x:c r="N1914" i="1"/>
  <x:c r="H1915" i="1"/>
  <x:c r="K1915" i="1"/>
  <x:c r="N1915" i="1"/>
  <x:c r="H1916" i="1"/>
  <x:c r="K1916" i="1"/>
  <x:c r="N1916" i="1"/>
  <x:c r="H1917" i="1"/>
  <x:c r="K1917" i="1"/>
  <x:c r="N1917" i="1"/>
  <x:c r="H1918" i="1"/>
  <x:c r="K1918" i="1"/>
  <x:c r="N1918" i="1"/>
  <x:c r="H1919" i="1"/>
  <x:c r="K1919" i="1"/>
  <x:c r="N1919" i="1"/>
  <x:c r="H1920" i="1"/>
  <x:c r="K1920" i="1"/>
  <x:c r="N1920" i="1"/>
  <x:c r="H1921" i="1"/>
  <x:c r="K1921" i="1"/>
  <x:c r="N1921" i="1"/>
  <x:c r="H1922" i="1"/>
  <x:c r="K1922" i="1"/>
  <x:c r="N1922" i="1"/>
  <x:c r="H1923" i="1"/>
  <x:c r="K1923" i="1"/>
  <x:c r="N1923" i="1"/>
  <x:c r="H1924" i="1"/>
  <x:c r="K1924" i="1"/>
  <x:c r="N1924" i="1"/>
  <x:c r="H1925" i="1"/>
  <x:c r="K1925" i="1"/>
  <x:c r="N1925" i="1"/>
  <x:c r="H1926" i="1"/>
  <x:c r="K1926" i="1"/>
  <x:c r="N1926" i="1"/>
  <x:c r="H1927" i="1"/>
  <x:c r="K1927" i="1"/>
  <x:c r="N1927" i="1"/>
  <x:c r="H1928" i="1"/>
  <x:c r="K1928" i="1"/>
  <x:c r="N1928" i="1"/>
  <x:c r="H1929" i="1"/>
  <x:c r="K1929" i="1"/>
  <x:c r="N1929" i="1"/>
  <x:c r="H1930" i="1"/>
  <x:c r="K1930" i="1"/>
  <x:c r="N1930" i="1"/>
  <x:c r="H1931" i="1"/>
  <x:c r="K1931" i="1"/>
  <x:c r="N1931" i="1"/>
  <x:c r="H1932" i="1"/>
  <x:c r="K1932" i="1"/>
  <x:c r="N1932" i="1"/>
  <x:c r="H1933" i="1"/>
  <x:c r="K1933" i="1"/>
  <x:c r="N1933" i="1"/>
  <x:c r="H1934" i="1"/>
  <x:c r="K1934" i="1"/>
  <x:c r="N1934" i="1"/>
  <x:c r="H1935" i="1"/>
  <x:c r="K1935" i="1"/>
  <x:c r="N1935" i="1"/>
  <x:c r="H1936" i="1"/>
  <x:c r="K1936" i="1"/>
  <x:c r="N1936" i="1"/>
  <x:c r="H1937" i="1"/>
  <x:c r="K1937" i="1"/>
  <x:c r="N1937" i="1"/>
  <x:c r="H1938" i="1"/>
  <x:c r="K1938" i="1"/>
  <x:c r="N1938" i="1"/>
  <x:c r="H1939" i="1"/>
  <x:c r="K1939" i="1"/>
  <x:c r="N1939" i="1"/>
  <x:c r="H1940" i="1"/>
  <x:c r="K1940" i="1"/>
  <x:c r="N1940" i="1"/>
  <x:c r="H1941" i="1"/>
  <x:c r="K1941" i="1"/>
  <x:c r="N1941" i="1"/>
  <x:c r="H1942" i="1"/>
  <x:c r="K1942" i="1"/>
  <x:c r="N1942" i="1"/>
  <x:c r="H1943" i="1"/>
  <x:c r="K1943" i="1"/>
  <x:c r="N1943" i="1"/>
  <x:c r="H1944" i="1"/>
  <x:c r="K1944" i="1"/>
  <x:c r="N1944" i="1"/>
  <x:c r="H1945" i="1"/>
  <x:c r="K1945" i="1"/>
  <x:c r="N1945" i="1"/>
  <x:c r="H1946" i="1"/>
  <x:c r="K1946" i="1"/>
  <x:c r="N1946" i="1"/>
  <x:c r="H1947" i="1"/>
  <x:c r="K1947" i="1"/>
  <x:c r="N1947" i="1"/>
  <x:c r="H1948" i="1"/>
  <x:c r="K1948" i="1"/>
  <x:c r="N1948" i="1"/>
  <x:c r="H1949" i="1"/>
  <x:c r="K1949" i="1"/>
  <x:c r="N1949" i="1"/>
  <x:c r="H1950" i="1"/>
  <x:c r="K1950" i="1"/>
  <x:c r="N1950" i="1"/>
  <x:c r="H1951" i="1"/>
  <x:c r="K1951" i="1"/>
  <x:c r="N1951" i="1"/>
  <x:c r="H1952" i="1"/>
  <x:c r="K1952" i="1"/>
  <x:c r="N1952" i="1"/>
  <x:c r="H1953" i="1"/>
  <x:c r="K1953" i="1"/>
  <x:c r="N1953" i="1"/>
  <x:c r="H1954" i="1"/>
  <x:c r="K1954" i="1"/>
  <x:c r="N1954" i="1"/>
  <x:c r="H1955" i="1"/>
  <x:c r="K1955" i="1"/>
  <x:c r="N1955" i="1"/>
  <x:c r="H1956" i="1"/>
  <x:c r="K1956" i="1"/>
  <x:c r="N1956" i="1"/>
  <x:c r="H1957" i="1"/>
  <x:c r="K1957" i="1"/>
  <x:c r="N1957" i="1"/>
  <x:c r="H1958" i="1"/>
  <x:c r="K1958" i="1"/>
  <x:c r="N1958" i="1"/>
  <x:c r="H1959" i="1"/>
  <x:c r="K1959" i="1"/>
  <x:c r="N1959" i="1"/>
  <x:c r="H1960" i="1"/>
  <x:c r="K1960" i="1"/>
  <x:c r="N1960" i="1"/>
  <x:c r="H1961" i="1"/>
  <x:c r="K1961" i="1"/>
  <x:c r="N1961" i="1"/>
  <x:c r="H1962" i="1"/>
  <x:c r="K1962" i="1"/>
  <x:c r="N1962" i="1"/>
  <x:c r="H1963" i="1"/>
  <x:c r="K1963" i="1"/>
  <x:c r="N1963" i="1"/>
  <x:c r="H1964" i="1"/>
  <x:c r="K1964" i="1"/>
  <x:c r="N1964" i="1"/>
  <x:c r="H1965" i="1"/>
  <x:c r="K1965" i="1"/>
  <x:c r="N1965" i="1"/>
  <x:c r="H1966" i="1"/>
  <x:c r="K1966" i="1"/>
  <x:c r="N1966" i="1"/>
  <x:c r="H1967" i="1"/>
  <x:c r="K1967" i="1"/>
  <x:c r="N1967" i="1"/>
  <x:c r="H1968" i="1"/>
  <x:c r="K1968" i="1"/>
  <x:c r="N1968" i="1"/>
  <x:c r="H1969" i="1"/>
  <x:c r="K1969" i="1"/>
  <x:c r="N1969" i="1"/>
  <x:c r="H1970" i="1"/>
  <x:c r="K1970" i="1"/>
  <x:c r="N1970" i="1"/>
  <x:c r="H1971" i="1"/>
  <x:c r="K1971" i="1"/>
  <x:c r="N1971" i="1"/>
  <x:c r="H1972" i="1"/>
  <x:c r="K1972" i="1"/>
  <x:c r="N1972" i="1"/>
  <x:c r="H1973" i="1"/>
  <x:c r="K1973" i="1"/>
  <x:c r="N1973" i="1"/>
  <x:c r="H1974" i="1"/>
  <x:c r="K1974" i="1"/>
  <x:c r="N1974" i="1"/>
  <x:c r="H1975" i="1"/>
  <x:c r="K1975" i="1"/>
  <x:c r="N1975" i="1"/>
  <x:c r="H1976" i="1"/>
  <x:c r="K1976" i="1"/>
  <x:c r="N1976" i="1"/>
  <x:c r="H1977" i="1"/>
  <x:c r="K1977" i="1"/>
  <x:c r="N1977" i="1"/>
  <x:c r="H1978" i="1"/>
  <x:c r="K1978" i="1"/>
  <x:c r="N1978" i="1"/>
  <x:c r="H1979" i="1"/>
  <x:c r="K1979" i="1"/>
  <x:c r="N1979" i="1"/>
  <x:c r="H1980" i="1"/>
  <x:c r="K1980" i="1"/>
  <x:c r="N1980" i="1"/>
  <x:c r="H1981" i="1"/>
  <x:c r="K1981" i="1"/>
  <x:c r="N1981" i="1"/>
  <x:c r="H1982" i="1"/>
  <x:c r="K1982" i="1"/>
  <x:c r="N1982" i="1"/>
  <x:c r="H1983" i="1"/>
  <x:c r="K1983" i="1"/>
  <x:c r="N1983" i="1"/>
  <x:c r="H1984" i="1"/>
  <x:c r="K1984" i="1"/>
  <x:c r="N1984" i="1"/>
  <x:c r="H1985" i="1"/>
  <x:c r="K1985" i="1"/>
  <x:c r="N1985" i="1"/>
  <x:c r="H1986" i="1"/>
  <x:c r="K1986" i="1"/>
  <x:c r="N1986" i="1"/>
  <x:c r="H1987" i="1"/>
  <x:c r="K1987" i="1"/>
  <x:c r="N1987" i="1"/>
  <x:c r="H1988" i="1"/>
  <x:c r="K1988" i="1"/>
  <x:c r="N1988" i="1"/>
  <x:c r="H1989" i="1"/>
  <x:c r="K1989" i="1"/>
  <x:c r="N1989" i="1"/>
  <x:c r="H1990" i="1"/>
  <x:c r="K1990" i="1"/>
  <x:c r="N1990" i="1"/>
  <x:c r="H1991" i="1"/>
  <x:c r="K1991" i="1"/>
  <x:c r="N1991" i="1"/>
  <x:c r="H1992" i="1"/>
  <x:c r="K1992" i="1"/>
  <x:c r="N1992" i="1"/>
  <x:c r="H1993" i="1"/>
  <x:c r="K1993" i="1"/>
  <x:c r="N1993" i="1"/>
  <x:c r="H1994" i="1"/>
  <x:c r="K1994" i="1"/>
  <x:c r="N1994" i="1"/>
  <x:c r="H1995" i="1"/>
  <x:c r="K1995" i="1"/>
  <x:c r="N1995" i="1"/>
  <x:c r="H1996" i="1"/>
  <x:c r="K1996" i="1"/>
  <x:c r="N1996" i="1"/>
  <x:c r="H1997" i="1"/>
  <x:c r="K1997" i="1"/>
  <x:c r="N1997" i="1"/>
  <x:c r="H1998" i="1"/>
  <x:c r="K1998" i="1"/>
  <x:c r="N1998" i="1"/>
  <x:c r="H1999" i="1"/>
  <x:c r="K1999" i="1"/>
  <x:c r="N1999" i="1"/>
  <x:c r="H2000" i="1"/>
  <x:c r="K2000" i="1"/>
  <x:c r="N2000" i="1"/>
  <x:c r="H2001" i="1"/>
  <x:c r="K2001" i="1"/>
  <x:c r="N2001" i="1"/>
  <x:c r="H2002" i="1"/>
  <x:c r="K2002" i="1"/>
  <x:c r="N2002" i="1"/>
  <x:c r="H2003" i="1"/>
  <x:c r="K2003" i="1"/>
  <x:c r="N2003" i="1"/>
  <x:c r="H2004" i="1"/>
  <x:c r="K2004" i="1"/>
  <x:c r="N2004" i="1"/>
  <x:c r="H2005" i="1"/>
  <x:c r="K2005" i="1"/>
  <x:c r="N2005" i="1"/>
  <x:c r="H2006" i="1"/>
  <x:c r="K2006" i="1"/>
  <x:c r="N2006" i="1"/>
  <x:c r="H2007" i="1"/>
  <x:c r="K2007" i="1"/>
  <x:c r="N2007" i="1"/>
  <x:c r="H2008" i="1"/>
  <x:c r="K2008" i="1"/>
  <x:c r="N2008" i="1"/>
  <x:c r="H2009" i="1"/>
  <x:c r="K2009" i="1"/>
  <x:c r="N2009" i="1"/>
  <x:c r="H2010" i="1"/>
  <x:c r="K2010" i="1"/>
  <x:c r="N2010" i="1"/>
  <x:c r="H2011" i="1"/>
  <x:c r="K2011" i="1"/>
  <x:c r="N2011" i="1"/>
  <x:c r="H2012" i="1"/>
  <x:c r="K2012" i="1"/>
  <x:c r="N2012" i="1"/>
  <x:c r="H2013" i="1"/>
  <x:c r="K2013" i="1"/>
  <x:c r="N2013" i="1"/>
  <x:c r="H2014" i="1"/>
  <x:c r="K2014" i="1"/>
  <x:c r="N2014" i="1"/>
  <x:c r="H2015" i="1"/>
  <x:c r="K2015" i="1"/>
  <x:c r="N2015" i="1"/>
  <x:c r="H2016" i="1"/>
  <x:c r="K2016" i="1"/>
  <x:c r="N2016" i="1"/>
  <x:c r="H2017" i="1"/>
  <x:c r="K2017" i="1"/>
  <x:c r="N2017" i="1"/>
  <x:c r="H2018" i="1"/>
  <x:c r="K2018" i="1"/>
  <x:c r="N2018" i="1"/>
  <x:c r="H2019" i="1"/>
  <x:c r="K2019" i="1"/>
  <x:c r="N2019" i="1"/>
  <x:c r="H2020" i="1"/>
  <x:c r="K2020" i="1"/>
  <x:c r="N2020" i="1"/>
  <x:c r="H2021" i="1"/>
  <x:c r="K2021" i="1"/>
  <x:c r="N2021" i="1"/>
  <x:c r="H2022" i="1"/>
  <x:c r="K2022" i="1"/>
  <x:c r="N2022" i="1"/>
  <x:c r="H2023" i="1"/>
  <x:c r="K2023" i="1"/>
  <x:c r="N2023" i="1"/>
  <x:c r="H2024" i="1"/>
  <x:c r="K2024" i="1"/>
  <x:c r="N2024" i="1"/>
  <x:c r="H2025" i="1"/>
  <x:c r="K2025" i="1"/>
  <x:c r="N2025" i="1"/>
  <x:c r="H2026" i="1"/>
  <x:c r="K2026" i="1"/>
  <x:c r="N2026" i="1"/>
  <x:c r="H2027" i="1"/>
  <x:c r="K2027" i="1"/>
  <x:c r="N2027" i="1"/>
  <x:c r="H2028" i="1"/>
  <x:c r="K2028" i="1"/>
  <x:c r="N2028" i="1"/>
  <x:c r="H2029" i="1"/>
  <x:c r="K2029" i="1"/>
  <x:c r="N2029" i="1"/>
  <x:c r="H2030" i="1"/>
  <x:c r="K2030" i="1"/>
  <x:c r="N2030" i="1"/>
  <x:c r="H2031" i="1"/>
  <x:c r="K2031" i="1"/>
  <x:c r="N2031" i="1"/>
  <x:c r="H2032" i="1"/>
  <x:c r="K2032" i="1"/>
  <x:c r="N2032" i="1"/>
  <x:c r="H2033" i="1"/>
  <x:c r="K2033" i="1"/>
  <x:c r="N2033" i="1"/>
  <x:c r="H2034" i="1"/>
  <x:c r="K2034" i="1"/>
  <x:c r="N2034" i="1"/>
  <x:c r="H2035" i="1"/>
  <x:c r="K2035" i="1"/>
  <x:c r="N2035" i="1"/>
  <x:c r="H2036" i="1"/>
  <x:c r="K2036" i="1"/>
  <x:c r="N2036" i="1"/>
  <x:c r="H2037" i="1"/>
  <x:c r="K2037" i="1"/>
  <x:c r="N2037" i="1"/>
  <x:c r="H2038" i="1"/>
  <x:c r="K2038" i="1"/>
  <x:c r="N2038" i="1"/>
  <x:c r="H2039" i="1"/>
  <x:c r="K2039" i="1"/>
  <x:c r="N2039" i="1"/>
  <x:c r="H2040" i="1"/>
  <x:c r="K2040" i="1"/>
  <x:c r="N2040" i="1"/>
  <x:c r="H2041" i="1"/>
  <x:c r="K2041" i="1"/>
  <x:c r="N2041" i="1"/>
  <x:c r="H2042" i="1"/>
  <x:c r="K2042" i="1"/>
  <x:c r="N2042" i="1"/>
  <x:c r="H2043" i="1"/>
  <x:c r="K2043" i="1"/>
  <x:c r="N2043" i="1"/>
  <x:c r="H2044" i="1"/>
  <x:c r="K2044" i="1"/>
  <x:c r="N2044" i="1"/>
  <x:c r="H2045" i="1"/>
  <x:c r="K2045" i="1"/>
  <x:c r="N2045" i="1"/>
  <x:c r="H2046" i="1"/>
  <x:c r="K2046" i="1"/>
  <x:c r="N2046" i="1"/>
  <x:c r="H2047" i="1"/>
  <x:c r="K2047" i="1"/>
  <x:c r="N2047" i="1"/>
  <x:c r="H2048" i="1"/>
  <x:c r="K2048" i="1"/>
  <x:c r="N2048" i="1"/>
  <x:c r="H2049" i="1"/>
  <x:c r="K2049" i="1"/>
  <x:c r="N2049" i="1"/>
  <x:c r="H2050" i="1"/>
  <x:c r="K2050" i="1"/>
  <x:c r="N2050" i="1"/>
  <x:c r="H2051" i="1"/>
  <x:c r="K2051" i="1"/>
  <x:c r="N2051" i="1"/>
  <x:c r="H2052" i="1"/>
  <x:c r="K2052" i="1"/>
  <x:c r="N2052" i="1"/>
  <x:c r="H2053" i="1"/>
  <x:c r="K2053" i="1"/>
  <x:c r="N2053" i="1"/>
  <x:c r="H2054" i="1"/>
  <x:c r="K2054" i="1"/>
  <x:c r="N2054" i="1"/>
  <x:c r="H2055" i="1"/>
  <x:c r="K2055" i="1"/>
  <x:c r="N2055" i="1"/>
  <x:c r="H2056" i="1"/>
  <x:c r="K2056" i="1"/>
  <x:c r="N2056" i="1"/>
  <x:c r="H2057" i="1"/>
  <x:c r="K2057" i="1"/>
  <x:c r="N2057" i="1"/>
  <x:c r="H2058" i="1"/>
  <x:c r="K2058" i="1"/>
  <x:c r="N2058" i="1"/>
  <x:c r="H2059" i="1"/>
  <x:c r="K2059" i="1"/>
  <x:c r="N2059" i="1"/>
  <x:c r="H2060" i="1"/>
  <x:c r="K2060" i="1"/>
  <x:c r="N2060" i="1"/>
  <x:c r="H2061" i="1"/>
  <x:c r="K2061" i="1"/>
  <x:c r="N2061" i="1"/>
  <x:c r="H2062" i="1"/>
  <x:c r="K2062" i="1"/>
  <x:c r="N2062" i="1"/>
  <x:c r="H2063" i="1"/>
  <x:c r="K2063" i="1"/>
  <x:c r="N2063" i="1"/>
  <x:c r="H2064" i="1"/>
  <x:c r="K2064" i="1"/>
  <x:c r="N2064" i="1"/>
  <x:c r="H2065" i="1"/>
  <x:c r="K2065" i="1"/>
  <x:c r="N2065" i="1"/>
  <x:c r="H2066" i="1"/>
  <x:c r="K2066" i="1"/>
  <x:c r="N2066" i="1"/>
  <x:c r="H2067" i="1"/>
  <x:c r="K2067" i="1"/>
  <x:c r="N2067" i="1"/>
  <x:c r="H2068" i="1"/>
  <x:c r="K2068" i="1"/>
  <x:c r="N2068" i="1"/>
  <x:c r="H2069" i="1"/>
  <x:c r="K2069" i="1"/>
  <x:c r="N2069" i="1"/>
  <x:c r="H2070" i="1"/>
  <x:c r="K2070" i="1"/>
  <x:c r="N2070" i="1"/>
  <x:c r="H2071" i="1"/>
  <x:c r="K2071" i="1"/>
  <x:c r="N2071" i="1"/>
  <x:c r="H2072" i="1"/>
  <x:c r="K2072" i="1"/>
  <x:c r="N2072" i="1"/>
  <x:c r="H2073" i="1"/>
  <x:c r="K2073" i="1"/>
  <x:c r="N2073" i="1"/>
  <x:c r="H2074" i="1"/>
  <x:c r="K2074" i="1"/>
  <x:c r="N2074" i="1"/>
  <x:c r="H2075" i="1"/>
  <x:c r="K2075" i="1"/>
  <x:c r="N2075" i="1"/>
  <x:c r="H2076" i="1"/>
  <x:c r="K2076" i="1"/>
  <x:c r="N2076" i="1"/>
  <x:c r="H2077" i="1"/>
  <x:c r="K2077" i="1"/>
  <x:c r="N2077" i="1"/>
  <x:c r="H2078" i="1"/>
  <x:c r="K2078" i="1"/>
  <x:c r="N2078" i="1"/>
  <x:c r="H2079" i="1"/>
  <x:c r="K2079" i="1"/>
  <x:c r="N2079" i="1"/>
  <x:c r="H2080" i="1"/>
  <x:c r="K2080" i="1"/>
  <x:c r="N2080" i="1"/>
  <x:c r="H2081" i="1"/>
  <x:c r="K2081" i="1"/>
  <x:c r="N2081" i="1"/>
  <x:c r="H2082" i="1"/>
  <x:c r="K2082" i="1"/>
  <x:c r="N2082" i="1"/>
  <x:c r="H2083" i="1"/>
  <x:c r="K2083" i="1"/>
  <x:c r="N2083" i="1"/>
  <x:c r="H2084" i="1"/>
  <x:c r="K2084" i="1"/>
  <x:c r="N2084" i="1"/>
  <x:c r="H2085" i="1"/>
  <x:c r="K2085" i="1"/>
  <x:c r="N2085" i="1"/>
  <x:c r="H2086" i="1"/>
  <x:c r="K2086" i="1"/>
  <x:c r="N2086" i="1"/>
  <x:c r="H2087" i="1"/>
  <x:c r="K2087" i="1"/>
  <x:c r="N2087" i="1"/>
  <x:c r="H2088" i="1"/>
  <x:c r="K2088" i="1"/>
  <x:c r="N2088" i="1"/>
  <x:c r="H2089" i="1"/>
  <x:c r="K2089" i="1"/>
  <x:c r="N2089" i="1"/>
  <x:c r="H2090" i="1"/>
  <x:c r="K2090" i="1"/>
  <x:c r="N2090" i="1"/>
  <x:c r="H2091" i="1"/>
  <x:c r="K2091" i="1"/>
  <x:c r="N2091" i="1"/>
  <x:c r="H2092" i="1"/>
  <x:c r="K2092" i="1"/>
  <x:c r="N2092" i="1"/>
  <x:c r="H2093" i="1"/>
  <x:c r="K2093" i="1"/>
  <x:c r="N2093" i="1"/>
  <x:c r="H2094" i="1"/>
  <x:c r="K2094" i="1"/>
  <x:c r="N2094" i="1"/>
  <x:c r="H2095" i="1"/>
  <x:c r="K2095" i="1"/>
  <x:c r="N2095" i="1"/>
  <x:c r="H2096" i="1"/>
  <x:c r="K2096" i="1"/>
  <x:c r="N2096" i="1"/>
  <x:c r="H2097" i="1"/>
  <x:c r="K2097" i="1"/>
  <x:c r="N2097" i="1"/>
  <x:c r="H2098" i="1"/>
  <x:c r="K2098" i="1"/>
  <x:c r="N2098" i="1"/>
  <x:c r="H2099" i="1"/>
  <x:c r="K2099" i="1"/>
  <x:c r="N2099" i="1"/>
  <x:c r="H2100" i="1"/>
  <x:c r="K2100" i="1"/>
  <x:c r="N2100" i="1"/>
  <x:c r="H2101" i="1"/>
  <x:c r="K2101" i="1"/>
  <x:c r="N2101" i="1"/>
  <x:c r="H2102" i="1"/>
  <x:c r="K2102" i="1"/>
  <x:c r="N2102" i="1"/>
  <x:c r="H2103" i="1"/>
  <x:c r="K2103" i="1"/>
  <x:c r="N2103" i="1"/>
  <x:c r="H2104" i="1"/>
  <x:c r="K2104" i="1"/>
  <x:c r="N2104" i="1"/>
  <x:c r="H2105" i="1"/>
  <x:c r="K2105" i="1"/>
  <x:c r="N2105" i="1"/>
  <x:c r="H2106" i="1"/>
  <x:c r="K2106" i="1"/>
  <x:c r="N2106" i="1"/>
  <x:c r="H2107" i="1"/>
  <x:c r="K2107" i="1"/>
  <x:c r="N2107" i="1"/>
  <x:c r="H2108" i="1"/>
  <x:c r="K2108" i="1"/>
  <x:c r="N2108" i="1"/>
  <x:c r="H2109" i="1"/>
  <x:c r="K2109" i="1"/>
  <x:c r="N2109" i="1"/>
  <x:c r="H2110" i="1"/>
  <x:c r="K2110" i="1"/>
  <x:c r="N2110" i="1"/>
  <x:c r="H2111" i="1"/>
  <x:c r="K2111" i="1"/>
  <x:c r="N2111" i="1"/>
  <x:c r="H2112" i="1"/>
  <x:c r="K2112" i="1"/>
  <x:c r="N2112" i="1"/>
  <x:c r="H2113" i="1"/>
  <x:c r="K2113" i="1"/>
  <x:c r="N2113" i="1"/>
  <x:c r="H2114" i="1"/>
  <x:c r="K2114" i="1"/>
  <x:c r="N2114" i="1"/>
  <x:c r="H2115" i="1"/>
  <x:c r="K2115" i="1"/>
  <x:c r="N2115" i="1"/>
  <x:c r="H2116" i="1"/>
  <x:c r="K2116" i="1"/>
  <x:c r="N2116" i="1"/>
  <x:c r="H2117" i="1"/>
  <x:c r="K2117" i="1"/>
  <x:c r="N2117" i="1"/>
  <x:c r="H2118" i="1"/>
  <x:c r="K2118" i="1"/>
  <x:c r="N2118" i="1"/>
  <x:c r="H2119" i="1"/>
  <x:c r="K2119" i="1"/>
  <x:c r="N2119" i="1"/>
  <x:c r="H2120" i="1"/>
  <x:c r="K2120" i="1"/>
  <x:c r="N2120" i="1"/>
  <x:c r="H2121" i="1"/>
  <x:c r="K2121" i="1"/>
  <x:c r="N2121" i="1"/>
  <x:c r="H2122" i="1"/>
  <x:c r="K2122" i="1"/>
  <x:c r="N2122" i="1"/>
  <x:c r="H2123" i="1"/>
  <x:c r="K2123" i="1"/>
  <x:c r="N2123" i="1"/>
  <x:c r="H2129" i="1"/>
  <x:c r="H2156" i="1" s="1"/>
  <x:c r="K2129" i="1"/>
  <x:c r="K2156" i="1" s="1"/>
  <x:c r="N2129" i="1"/>
  <x:c r="N2156" i="1" s="1"/>
  <x:c r="H2130" i="1"/>
  <x:c r="K2130" i="1"/>
  <x:c r="N2130" i="1"/>
  <x:c r="H2131" i="1"/>
  <x:c r="K2131" i="1"/>
  <x:c r="N2131" i="1"/>
  <x:c r="H2132" i="1"/>
  <x:c r="K2132" i="1"/>
  <x:c r="N2132" i="1"/>
  <x:c r="H2133" i="1"/>
  <x:c r="K2133" i="1"/>
  <x:c r="N2133" i="1"/>
  <x:c r="H2134" i="1"/>
  <x:c r="K2134" i="1"/>
  <x:c r="N2134" i="1"/>
  <x:c r="H2135" i="1"/>
  <x:c r="K2135" i="1"/>
  <x:c r="N2135" i="1"/>
  <x:c r="H2136" i="1"/>
  <x:c r="K2136" i="1"/>
  <x:c r="N2136" i="1"/>
  <x:c r="H2137" i="1"/>
  <x:c r="K2137" i="1"/>
  <x:c r="N2137" i="1"/>
  <x:c r="H2138" i="1"/>
  <x:c r="K2138" i="1"/>
  <x:c r="N2138" i="1"/>
  <x:c r="H2139" i="1"/>
  <x:c r="K2139" i="1"/>
  <x:c r="N2139" i="1"/>
  <x:c r="H2140" i="1"/>
  <x:c r="K2140" i="1"/>
  <x:c r="N2140" i="1"/>
  <x:c r="H2141" i="1"/>
  <x:c r="K2141" i="1"/>
  <x:c r="N2141" i="1"/>
  <x:c r="H2142" i="1"/>
  <x:c r="K2142" i="1"/>
  <x:c r="N2142" i="1"/>
  <x:c r="H2143" i="1"/>
  <x:c r="K2143" i="1"/>
  <x:c r="N2143" i="1"/>
  <x:c r="H2144" i="1"/>
  <x:c r="K2144" i="1"/>
  <x:c r="N2144" i="1"/>
  <x:c r="H2145" i="1"/>
  <x:c r="K2145" i="1"/>
  <x:c r="N2145" i="1"/>
  <x:c r="H2146" i="1"/>
  <x:c r="K2146" i="1"/>
  <x:c r="N2146" i="1"/>
  <x:c r="H2147" i="1"/>
  <x:c r="K2147" i="1"/>
  <x:c r="N2147" i="1"/>
  <x:c r="H2148" i="1"/>
  <x:c r="K2148" i="1"/>
  <x:c r="N2148" i="1"/>
  <x:c r="H2149" i="1"/>
  <x:c r="K2149" i="1"/>
  <x:c r="N2149" i="1"/>
  <x:c r="H2150" i="1"/>
  <x:c r="K2150" i="1"/>
  <x:c r="N2150" i="1"/>
  <x:c r="H2151" i="1"/>
  <x:c r="K2151" i="1"/>
  <x:c r="N2151" i="1"/>
  <x:c r="H2152" i="1"/>
  <x:c r="K2152" i="1"/>
  <x:c r="N2152" i="1"/>
  <x:c r="H2153" i="1"/>
  <x:c r="K2153" i="1"/>
  <x:c r="N2153" i="1"/>
  <x:c r="H2154" i="1"/>
  <x:c r="K2154" i="1"/>
  <x:c r="N2154" i="1"/>
  <x:c r="H2155" i="1"/>
  <x:c r="K2155" i="1"/>
  <x:c r="N2155" i="1"/>
  <x:c r="H2160" i="1"/>
  <x:c r="K2160" i="1"/>
  <x:c r="N2160" i="1"/>
  <x:c r="H2161" i="1"/>
  <x:c r="K2161" i="1"/>
  <x:c r="N2161" i="1"/>
  <x:c r="H2162" i="1"/>
  <x:c r="K2162" i="1"/>
  <x:c r="N2162" i="1"/>
  <x:c r="H2163" i="1"/>
  <x:c r="K2163" i="1"/>
  <x:c r="N2163" i="1"/>
  <x:c r="H2164" i="1"/>
  <x:c r="K2164" i="1"/>
  <x:c r="N2164" i="1"/>
  <x:c r="H2165" i="1"/>
  <x:c r="K2165" i="1"/>
  <x:c r="N2165" i="1"/>
  <x:c r="H2166" i="1"/>
  <x:c r="K2166" i="1"/>
  <x:c r="N2166" i="1"/>
  <x:c r="H2167" i="1"/>
  <x:c r="K2167" i="1"/>
  <x:c r="N2167" i="1"/>
  <x:c r="H2168" i="1"/>
  <x:c r="K2168" i="1"/>
  <x:c r="N2168" i="1"/>
  <x:c r="H2169" i="1"/>
  <x:c r="K2169" i="1"/>
  <x:c r="N2169" i="1"/>
  <x:c r="H2170" i="1"/>
  <x:c r="K2170" i="1"/>
  <x:c r="N2170" i="1"/>
  <x:c r="H2171" i="1"/>
  <x:c r="K2171" i="1"/>
  <x:c r="N2171" i="1"/>
  <x:c r="H2172" i="1"/>
  <x:c r="K2172" i="1"/>
  <x:c r="N2172" i="1"/>
  <x:c r="H2173" i="1"/>
  <x:c r="K2173" i="1"/>
  <x:c r="N2173" i="1"/>
  <x:c r="H2174" i="1"/>
  <x:c r="K2174" i="1"/>
  <x:c r="N2174" i="1"/>
  <x:c r="H2175" i="1"/>
  <x:c r="K2175" i="1"/>
  <x:c r="N2175" i="1"/>
  <x:c r="H2176" i="1"/>
  <x:c r="K2176" i="1"/>
  <x:c r="N2176" i="1"/>
  <x:c r="H2177" i="1"/>
  <x:c r="K2177" i="1"/>
  <x:c r="N2177" i="1"/>
  <x:c r="H2178" i="1"/>
  <x:c r="K2178" i="1"/>
  <x:c r="N2178" i="1"/>
  <x:c r="H2179" i="1"/>
  <x:c r="K2179" i="1"/>
  <x:c r="N2179" i="1"/>
  <x:c r="H2180" i="1"/>
  <x:c r="K2180" i="1"/>
  <x:c r="N2180" i="1"/>
  <x:c r="H2185" i="1"/>
  <x:c r="K2185" i="1"/>
  <x:c r="N2185" i="1"/>
  <x:c r="H2186" i="1"/>
  <x:c r="K2186" i="1"/>
  <x:c r="N2186" i="1"/>
  <x:c r="H2187" i="1"/>
  <x:c r="K2187" i="1"/>
  <x:c r="N2187" i="1"/>
  <x:c r="H2188" i="1"/>
  <x:c r="K2188" i="1"/>
  <x:c r="N2188" i="1"/>
  <x:c r="H2189" i="1"/>
  <x:c r="K2189" i="1"/>
  <x:c r="N2189" i="1"/>
  <x:c r="H2190" i="1"/>
  <x:c r="K2190" i="1"/>
  <x:c r="N2190" i="1"/>
  <x:c r="H2191" i="1"/>
  <x:c r="K2191" i="1"/>
  <x:c r="N2191" i="1"/>
  <x:c r="H2192" i="1"/>
  <x:c r="K2192" i="1"/>
  <x:c r="N2192" i="1"/>
  <x:c r="H2193" i="1"/>
  <x:c r="K2193" i="1"/>
  <x:c r="N2193" i="1"/>
  <x:c r="H2194" i="1"/>
  <x:c r="K2194" i="1"/>
  <x:c r="N2194" i="1"/>
  <x:c r="H2195" i="1"/>
  <x:c r="K2195" i="1"/>
  <x:c r="N2195" i="1"/>
  <x:c r="H2196" i="1"/>
  <x:c r="K2196" i="1"/>
  <x:c r="N2196" i="1"/>
  <x:c r="H2197" i="1"/>
  <x:c r="K2197" i="1"/>
  <x:c r="N2197" i="1"/>
  <x:c r="H2198" i="1"/>
  <x:c r="K2198" i="1"/>
  <x:c r="N2198" i="1"/>
  <x:c r="H2199" i="1"/>
  <x:c r="K2199" i="1"/>
  <x:c r="N2199" i="1"/>
  <x:c r="H2200" i="1"/>
  <x:c r="K2200" i="1"/>
  <x:c r="N2200" i="1"/>
  <x:c r="H2201" i="1"/>
  <x:c r="K2201" i="1"/>
  <x:c r="N2201" i="1"/>
  <x:c r="H2202" i="1"/>
  <x:c r="K2202" i="1"/>
  <x:c r="N2202" i="1"/>
  <x:c r="H2203" i="1"/>
  <x:c r="K2203" i="1"/>
  <x:c r="N2203" i="1"/>
  <x:c r="H2204" i="1"/>
  <x:c r="K2204" i="1"/>
  <x:c r="N2204" i="1"/>
  <x:c r="H2205" i="1"/>
  <x:c r="K2205" i="1"/>
  <x:c r="N2205" i="1"/>
  <x:c r="H2206" i="1"/>
  <x:c r="K2206" i="1"/>
  <x:c r="N2206" i="1"/>
  <x:c r="H2207" i="1"/>
  <x:c r="K2207" i="1"/>
  <x:c r="N2207" i="1"/>
  <x:c r="H2208" i="1"/>
  <x:c r="K2208" i="1"/>
  <x:c r="N2208" i="1"/>
  <x:c r="H2209" i="1"/>
  <x:c r="K2209" i="1"/>
  <x:c r="N2209" i="1"/>
  <x:c r="H2210" i="1"/>
  <x:c r="K2210" i="1"/>
  <x:c r="N2210" i="1"/>
  <x:c r="H2211" i="1"/>
  <x:c r="K2211" i="1"/>
  <x:c r="N2211" i="1"/>
  <x:c r="H2212" i="1"/>
  <x:c r="K2212" i="1"/>
  <x:c r="N2212" i="1"/>
  <x:c r="H2213" i="1"/>
  <x:c r="K2213" i="1"/>
  <x:c r="N2213" i="1"/>
  <x:c r="H2214" i="1"/>
  <x:c r="K2214" i="1"/>
  <x:c r="N2214" i="1"/>
  <x:c r="H2215" i="1"/>
  <x:c r="K2215" i="1"/>
  <x:c r="N2215" i="1"/>
  <x:c r="H2216" i="1"/>
  <x:c r="K2216" i="1"/>
  <x:c r="N2216" i="1"/>
  <x:c r="H2217" i="1"/>
  <x:c r="K2217" i="1"/>
  <x:c r="N2217" i="1"/>
  <x:c r="H2218" i="1"/>
  <x:c r="K2218" i="1"/>
  <x:c r="N2218" i="1"/>
  <x:c r="H2219" i="1"/>
  <x:c r="K2219" i="1"/>
  <x:c r="N2219" i="1"/>
  <x:c r="H2220" i="1"/>
  <x:c r="K2220" i="1"/>
  <x:c r="N2220" i="1"/>
  <x:c r="H2221" i="1"/>
  <x:c r="K2221" i="1"/>
  <x:c r="N2221" i="1"/>
  <x:c r="H2222" i="1"/>
  <x:c r="K2222" i="1"/>
  <x:c r="N2222" i="1"/>
  <x:c r="H2223" i="1"/>
  <x:c r="K2223" i="1"/>
  <x:c r="N2223" i="1"/>
  <x:c r="H2224" i="1"/>
  <x:c r="K2224" i="1"/>
  <x:c r="N2224" i="1"/>
  <x:c r="H2225" i="1"/>
  <x:c r="K2225" i="1"/>
  <x:c r="N2225" i="1"/>
  <x:c r="H2226" i="1"/>
  <x:c r="K2226" i="1"/>
  <x:c r="N2226" i="1"/>
  <x:c r="H2227" i="1"/>
  <x:c r="K2227" i="1"/>
  <x:c r="N2227" i="1"/>
  <x:c r="H2228" i="1"/>
  <x:c r="K2228" i="1"/>
  <x:c r="N2228" i="1"/>
  <x:c r="H2229" i="1"/>
  <x:c r="K2229" i="1"/>
  <x:c r="N2229" i="1"/>
  <x:c r="H2230" i="1"/>
  <x:c r="K2230" i="1"/>
  <x:c r="N2230" i="1"/>
  <x:c r="H2231" i="1"/>
  <x:c r="K2231" i="1"/>
  <x:c r="N2231" i="1"/>
  <x:c r="H2232" i="1"/>
  <x:c r="K2232" i="1"/>
  <x:c r="N2232" i="1"/>
  <x:c r="H2233" i="1"/>
  <x:c r="K2233" i="1"/>
  <x:c r="N2233" i="1"/>
  <x:c r="H2234" i="1"/>
  <x:c r="K2234" i="1"/>
  <x:c r="N2234" i="1"/>
  <x:c r="H2235" i="1"/>
  <x:c r="K2235" i="1"/>
  <x:c r="N2235" i="1"/>
  <x:c r="H2236" i="1"/>
  <x:c r="K2236" i="1"/>
  <x:c r="N2236" i="1"/>
  <x:c r="H2237" i="1"/>
  <x:c r="K2237" i="1"/>
  <x:c r="N2237" i="1"/>
  <x:c r="H2238" i="1"/>
  <x:c r="K2238" i="1"/>
  <x:c r="N2238" i="1"/>
  <x:c r="H2239" i="1"/>
  <x:c r="K2239" i="1"/>
  <x:c r="N2239" i="1"/>
  <x:c r="H2240" i="1"/>
  <x:c r="K2240" i="1"/>
  <x:c r="N2240" i="1"/>
  <x:c r="H2241" i="1"/>
  <x:c r="K2241" i="1"/>
  <x:c r="N2241" i="1"/>
  <x:c r="H2242" i="1"/>
  <x:c r="K2242" i="1"/>
  <x:c r="N2242" i="1"/>
  <x:c r="H2243" i="1"/>
  <x:c r="K2243" i="1"/>
  <x:c r="N2243" i="1"/>
  <x:c r="H2244" i="1"/>
  <x:c r="K2244" i="1"/>
  <x:c r="N2244" i="1"/>
  <x:c r="H2245" i="1"/>
  <x:c r="K2245" i="1"/>
  <x:c r="N2245" i="1"/>
  <x:c r="H2246" i="1"/>
  <x:c r="K2246" i="1"/>
  <x:c r="N2246" i="1"/>
  <x:c r="H2247" i="1"/>
  <x:c r="K2247" i="1"/>
  <x:c r="N2247" i="1"/>
  <x:c r="H2248" i="1"/>
  <x:c r="K2248" i="1"/>
  <x:c r="N2248" i="1"/>
  <x:c r="H2249" i="1"/>
  <x:c r="K2249" i="1"/>
  <x:c r="N2249" i="1"/>
  <x:c r="H2250" i="1"/>
  <x:c r="K2250" i="1"/>
  <x:c r="N2250" i="1"/>
  <x:c r="H2251" i="1"/>
  <x:c r="K2251" i="1"/>
  <x:c r="N2251" i="1"/>
  <x:c r="H2252" i="1"/>
  <x:c r="K2252" i="1"/>
  <x:c r="N2252" i="1"/>
  <x:c r="H2253" i="1"/>
  <x:c r="K2253" i="1"/>
  <x:c r="N2253" i="1"/>
  <x:c r="H2254" i="1"/>
  <x:c r="K2254" i="1"/>
  <x:c r="N2254" i="1"/>
  <x:c r="H2255" i="1"/>
  <x:c r="K2255" i="1"/>
  <x:c r="N2255" i="1"/>
  <x:c r="H2256" i="1"/>
  <x:c r="K2256" i="1"/>
  <x:c r="N2256" i="1"/>
  <x:c r="H2257" i="1"/>
  <x:c r="K2257" i="1"/>
  <x:c r="N2257" i="1"/>
  <x:c r="H2258" i="1"/>
  <x:c r="K2258" i="1"/>
  <x:c r="N2258" i="1"/>
  <x:c r="H2259" i="1"/>
  <x:c r="K2259" i="1"/>
  <x:c r="N2259" i="1"/>
  <x:c r="H2260" i="1"/>
  <x:c r="K2260" i="1"/>
  <x:c r="N2260" i="1"/>
  <x:c r="H2261" i="1"/>
  <x:c r="K2261" i="1"/>
  <x:c r="N2261" i="1"/>
  <x:c r="H2262" i="1"/>
  <x:c r="K2262" i="1"/>
  <x:c r="N2262" i="1"/>
  <x:c r="H2263" i="1"/>
  <x:c r="K2263" i="1"/>
  <x:c r="N2263" i="1"/>
  <x:c r="H2264" i="1"/>
  <x:c r="K2264" i="1"/>
  <x:c r="N2264" i="1"/>
  <x:c r="H2265" i="1"/>
  <x:c r="K2265" i="1"/>
  <x:c r="N2265" i="1"/>
  <x:c r="H2266" i="1"/>
  <x:c r="K2266" i="1"/>
  <x:c r="N2266" i="1"/>
  <x:c r="H2267" i="1"/>
  <x:c r="K2267" i="1"/>
  <x:c r="N2267" i="1"/>
  <x:c r="H2268" i="1"/>
  <x:c r="K2268" i="1"/>
  <x:c r="N2268" i="1"/>
  <x:c r="H2269" i="1"/>
  <x:c r="K2269" i="1"/>
  <x:c r="N2269" i="1"/>
  <x:c r="H2270" i="1"/>
  <x:c r="K2270" i="1"/>
  <x:c r="N2270" i="1"/>
  <x:c r="H2271" i="1"/>
  <x:c r="K2271" i="1"/>
  <x:c r="N2271" i="1"/>
  <x:c r="H2272" i="1"/>
  <x:c r="K2272" i="1"/>
  <x:c r="N2272" i="1"/>
  <x:c r="H2273" i="1"/>
  <x:c r="K2273" i="1"/>
  <x:c r="N2273" i="1"/>
  <x:c r="H2274" i="1"/>
  <x:c r="K2274" i="1"/>
  <x:c r="N2274" i="1"/>
  <x:c r="H2275" i="1"/>
  <x:c r="K2275" i="1"/>
  <x:c r="N2275" i="1"/>
  <x:c r="H2276" i="1"/>
  <x:c r="K2276" i="1"/>
  <x:c r="N2276" i="1"/>
  <x:c r="H2277" i="1"/>
  <x:c r="K2277" i="1"/>
  <x:c r="N2277" i="1"/>
  <x:c r="H2278" i="1"/>
  <x:c r="K2278" i="1"/>
  <x:c r="N2278" i="1"/>
  <x:c r="H2279" i="1"/>
  <x:c r="K2279" i="1"/>
  <x:c r="N2279" i="1"/>
  <x:c r="H2280" i="1"/>
  <x:c r="K2280" i="1"/>
  <x:c r="N2280" i="1"/>
  <x:c r="H2281" i="1"/>
  <x:c r="K2281" i="1"/>
  <x:c r="N2281" i="1"/>
  <x:c r="H2282" i="1"/>
  <x:c r="K2282" i="1"/>
  <x:c r="N2282" i="1"/>
  <x:c r="H2283" i="1"/>
  <x:c r="K2283" i="1"/>
  <x:c r="N2283" i="1"/>
  <x:c r="H2284" i="1"/>
  <x:c r="K2284" i="1"/>
  <x:c r="N2284" i="1"/>
  <x:c r="H2285" i="1"/>
  <x:c r="K2285" i="1"/>
  <x:c r="N2285" i="1"/>
  <x:c r="H2286" i="1"/>
  <x:c r="K2286" i="1"/>
  <x:c r="N2286" i="1"/>
  <x:c r="H2287" i="1"/>
  <x:c r="K2287" i="1"/>
  <x:c r="N2287" i="1"/>
  <x:c r="H2288" i="1"/>
  <x:c r="K2288" i="1"/>
  <x:c r="N2288" i="1"/>
  <x:c r="H2289" i="1"/>
  <x:c r="K2289" i="1"/>
  <x:c r="N2289" i="1"/>
  <x:c r="H2290" i="1"/>
  <x:c r="K2290" i="1"/>
  <x:c r="N2290" i="1"/>
  <x:c r="H2291" i="1"/>
  <x:c r="K2291" i="1"/>
  <x:c r="N2291" i="1"/>
  <x:c r="H2292" i="1"/>
  <x:c r="K2292" i="1"/>
  <x:c r="N2292" i="1"/>
  <x:c r="H2293" i="1"/>
  <x:c r="K2293" i="1"/>
  <x:c r="N2293" i="1"/>
  <x:c r="H2294" i="1"/>
  <x:c r="K2294" i="1"/>
  <x:c r="N2294" i="1"/>
  <x:c r="H2295" i="1"/>
  <x:c r="K2295" i="1"/>
  <x:c r="N2295" i="1"/>
  <x:c r="H2296" i="1"/>
  <x:c r="K2296" i="1"/>
  <x:c r="N2296" i="1"/>
  <x:c r="H2297" i="1"/>
  <x:c r="K2297" i="1"/>
  <x:c r="N2297" i="1"/>
  <x:c r="H2298" i="1"/>
  <x:c r="K2298" i="1"/>
  <x:c r="N2298" i="1"/>
  <x:c r="H2299" i="1"/>
  <x:c r="K2299" i="1"/>
  <x:c r="N2299" i="1"/>
  <x:c r="H2300" i="1"/>
  <x:c r="K2300" i="1"/>
  <x:c r="N2300" i="1"/>
  <x:c r="H2301" i="1"/>
  <x:c r="K2301" i="1"/>
  <x:c r="N2301" i="1"/>
  <x:c r="H2302" i="1"/>
  <x:c r="K2302" i="1"/>
  <x:c r="N2302" i="1"/>
  <x:c r="H2303" i="1"/>
  <x:c r="K2303" i="1"/>
  <x:c r="N2303" i="1"/>
  <x:c r="H2304" i="1"/>
  <x:c r="K2304" i="1"/>
  <x:c r="N2304" i="1"/>
  <x:c r="H2305" i="1"/>
  <x:c r="K2305" i="1"/>
  <x:c r="N2305" i="1"/>
  <x:c r="H2306" i="1"/>
  <x:c r="K2306" i="1"/>
  <x:c r="N2306" i="1"/>
  <x:c r="H2307" i="1"/>
  <x:c r="K2307" i="1"/>
  <x:c r="N2307" i="1"/>
  <x:c r="H2308" i="1"/>
  <x:c r="K2308" i="1"/>
  <x:c r="N2308" i="1"/>
  <x:c r="H2309" i="1"/>
  <x:c r="K2309" i="1"/>
  <x:c r="N2309" i="1"/>
  <x:c r="H2310" i="1"/>
  <x:c r="K2310" i="1"/>
  <x:c r="N2310" i="1"/>
  <x:c r="H2311" i="1"/>
  <x:c r="K2311" i="1"/>
  <x:c r="N2311" i="1"/>
  <x:c r="H2312" i="1"/>
  <x:c r="K2312" i="1"/>
  <x:c r="N2312" i="1"/>
  <x:c r="H2313" i="1"/>
  <x:c r="K2313" i="1"/>
  <x:c r="N2313" i="1"/>
  <x:c r="H2314" i="1"/>
  <x:c r="K2314" i="1"/>
  <x:c r="N2314" i="1"/>
  <x:c r="H2315" i="1"/>
  <x:c r="K2315" i="1"/>
  <x:c r="N2315" i="1"/>
  <x:c r="H2316" i="1"/>
  <x:c r="K2316" i="1"/>
  <x:c r="N2316" i="1"/>
  <x:c r="H2317" i="1"/>
  <x:c r="K2317" i="1"/>
  <x:c r="N2317" i="1"/>
  <x:c r="H2318" i="1"/>
  <x:c r="K2318" i="1"/>
  <x:c r="N2318" i="1"/>
  <x:c r="H2319" i="1"/>
  <x:c r="K2319" i="1"/>
  <x:c r="N2319" i="1"/>
  <x:c r="H2320" i="1"/>
  <x:c r="K2320" i="1"/>
  <x:c r="N2320" i="1"/>
  <x:c r="H2321" i="1"/>
  <x:c r="K2321" i="1"/>
  <x:c r="N2321" i="1"/>
  <x:c r="H2322" i="1"/>
  <x:c r="K2322" i="1"/>
  <x:c r="N2322" i="1"/>
  <x:c r="H2323" i="1"/>
  <x:c r="K2323" i="1"/>
  <x:c r="N2323" i="1"/>
  <x:c r="H2324" i="1"/>
  <x:c r="K2324" i="1"/>
  <x:c r="N2324" i="1"/>
  <x:c r="H2325" i="1"/>
  <x:c r="K2325" i="1"/>
  <x:c r="N2325" i="1"/>
  <x:c r="H2326" i="1"/>
  <x:c r="K2326" i="1"/>
  <x:c r="N2326" i="1"/>
  <x:c r="H2327" i="1"/>
  <x:c r="K2327" i="1"/>
  <x:c r="N2327" i="1"/>
  <x:c r="H2328" i="1"/>
  <x:c r="K2328" i="1"/>
  <x:c r="N2328" i="1"/>
  <x:c r="H2329" i="1"/>
  <x:c r="K2329" i="1"/>
  <x:c r="N2329" i="1"/>
  <x:c r="H2330" i="1"/>
  <x:c r="K2330" i="1"/>
  <x:c r="N2330" i="1"/>
  <x:c r="H2331" i="1"/>
  <x:c r="K2331" i="1"/>
  <x:c r="N2331" i="1"/>
  <x:c r="H2332" i="1"/>
  <x:c r="K2332" i="1"/>
  <x:c r="N2332" i="1"/>
  <x:c r="H2333" i="1"/>
  <x:c r="K2333" i="1"/>
  <x:c r="N2333" i="1"/>
  <x:c r="H2334" i="1"/>
  <x:c r="K2334" i="1"/>
  <x:c r="N2334" i="1"/>
  <x:c r="H2335" i="1"/>
  <x:c r="K2335" i="1"/>
  <x:c r="N2335" i="1"/>
  <x:c r="H2336" i="1"/>
  <x:c r="K2336" i="1"/>
  <x:c r="N2336" i="1"/>
  <x:c r="H2337" i="1"/>
  <x:c r="K2337" i="1"/>
  <x:c r="N2337" i="1"/>
  <x:c r="H2338" i="1"/>
  <x:c r="K2338" i="1"/>
  <x:c r="N2338" i="1"/>
  <x:c r="H2339" i="1"/>
  <x:c r="K2339" i="1"/>
  <x:c r="N2339" i="1"/>
  <x:c r="H2340" i="1"/>
  <x:c r="K2340" i="1"/>
  <x:c r="N2340" i="1"/>
  <x:c r="H2341" i="1"/>
  <x:c r="K2341" i="1"/>
  <x:c r="N2341" i="1"/>
  <x:c r="H2342" i="1"/>
  <x:c r="K2342" i="1"/>
  <x:c r="N2342" i="1"/>
  <x:c r="H2343" i="1"/>
  <x:c r="K2343" i="1"/>
  <x:c r="N2343" i="1"/>
  <x:c r="H2344" i="1"/>
  <x:c r="K2344" i="1"/>
  <x:c r="N2344" i="1"/>
  <x:c r="H2345" i="1"/>
  <x:c r="K2345" i="1"/>
  <x:c r="N2345" i="1"/>
  <x:c r="H2346" i="1"/>
  <x:c r="K2346" i="1"/>
  <x:c r="N2346" i="1"/>
  <x:c r="H2347" i="1"/>
  <x:c r="K2347" i="1"/>
  <x:c r="N2347" i="1"/>
  <x:c r="H2348" i="1"/>
  <x:c r="K2348" i="1"/>
  <x:c r="N2348" i="1"/>
  <x:c r="H2349" i="1"/>
  <x:c r="K2349" i="1"/>
  <x:c r="N2349" i="1"/>
  <x:c r="H2350" i="1"/>
  <x:c r="K2350" i="1"/>
  <x:c r="N2350" i="1"/>
  <x:c r="H2351" i="1"/>
  <x:c r="K2351" i="1"/>
  <x:c r="N2351" i="1"/>
  <x:c r="H2352" i="1"/>
  <x:c r="K2352" i="1"/>
  <x:c r="N2352" i="1"/>
  <x:c r="H2353" i="1"/>
  <x:c r="K2353" i="1"/>
  <x:c r="N2353" i="1"/>
  <x:c r="H2354" i="1"/>
  <x:c r="K2354" i="1"/>
  <x:c r="N2354" i="1"/>
  <x:c r="H2355" i="1"/>
  <x:c r="K2355" i="1"/>
  <x:c r="N2355" i="1"/>
  <x:c r="H2356" i="1"/>
  <x:c r="K2356" i="1"/>
  <x:c r="N2356" i="1"/>
  <x:c r="H2357" i="1"/>
  <x:c r="K2357" i="1"/>
  <x:c r="N2357" i="1"/>
  <x:c r="H2358" i="1"/>
  <x:c r="K2358" i="1"/>
  <x:c r="N2358" i="1"/>
  <x:c r="H2359" i="1"/>
  <x:c r="K2359" i="1"/>
  <x:c r="N2359" i="1"/>
  <x:c r="H2360" i="1"/>
  <x:c r="K2360" i="1"/>
  <x:c r="N2360" i="1"/>
  <x:c r="H2361" i="1"/>
  <x:c r="K2361" i="1"/>
  <x:c r="N2361" i="1"/>
  <x:c r="H2362" i="1"/>
  <x:c r="K2362" i="1"/>
  <x:c r="N2362" i="1"/>
  <x:c r="H2363" i="1"/>
  <x:c r="K2363" i="1"/>
  <x:c r="N2363" i="1"/>
  <x:c r="H2364" i="1"/>
  <x:c r="K2364" i="1"/>
  <x:c r="N2364" i="1"/>
  <x:c r="H2365" i="1"/>
  <x:c r="K2365" i="1"/>
  <x:c r="N2365" i="1"/>
  <x:c r="H2366" i="1"/>
  <x:c r="K2366" i="1"/>
  <x:c r="N2366" i="1"/>
  <x:c r="H2367" i="1"/>
  <x:c r="K2367" i="1"/>
  <x:c r="N2367" i="1"/>
  <x:c r="H2368" i="1"/>
  <x:c r="K2368" i="1"/>
  <x:c r="N2368" i="1"/>
  <x:c r="H2369" i="1"/>
  <x:c r="K2369" i="1"/>
  <x:c r="N2369" i="1"/>
  <x:c r="H2370" i="1"/>
  <x:c r="K2370" i="1"/>
  <x:c r="N2370" i="1"/>
  <x:c r="H2371" i="1"/>
  <x:c r="K2371" i="1"/>
  <x:c r="N2371" i="1"/>
  <x:c r="H2372" i="1"/>
  <x:c r="K2372" i="1"/>
  <x:c r="N2372" i="1"/>
  <x:c r="H2373" i="1"/>
  <x:c r="K2373" i="1"/>
  <x:c r="N2373" i="1"/>
  <x:c r="H2374" i="1"/>
  <x:c r="K2374" i="1"/>
  <x:c r="N2374" i="1"/>
  <x:c r="H2375" i="1"/>
  <x:c r="K2375" i="1"/>
  <x:c r="N2375" i="1"/>
  <x:c r="H2376" i="1"/>
  <x:c r="K2376" i="1"/>
  <x:c r="N2376" i="1"/>
  <x:c r="H2377" i="1"/>
  <x:c r="K2377" i="1"/>
  <x:c r="N2377" i="1"/>
  <x:c r="H2378" i="1"/>
  <x:c r="K2378" i="1"/>
  <x:c r="N2378" i="1"/>
  <x:c r="H2379" i="1"/>
  <x:c r="K2379" i="1"/>
  <x:c r="N2379" i="1"/>
  <x:c r="H2380" i="1"/>
  <x:c r="K2380" i="1"/>
  <x:c r="N2380" i="1"/>
  <x:c r="H2381" i="1"/>
  <x:c r="K2381" i="1"/>
  <x:c r="N2381" i="1"/>
  <x:c r="H2382" i="1"/>
  <x:c r="K2382" i="1"/>
  <x:c r="N2382" i="1"/>
  <x:c r="H2383" i="1"/>
  <x:c r="K2383" i="1"/>
  <x:c r="N2383" i="1"/>
  <x:c r="H2384" i="1"/>
  <x:c r="K2384" i="1"/>
  <x:c r="N2384" i="1"/>
  <x:c r="H2385" i="1"/>
  <x:c r="K2385" i="1"/>
  <x:c r="N2385" i="1"/>
  <x:c r="H2386" i="1"/>
  <x:c r="K2386" i="1"/>
  <x:c r="N2386" i="1"/>
  <x:c r="H2387" i="1"/>
  <x:c r="K2387" i="1"/>
  <x:c r="N2387" i="1"/>
  <x:c r="H2388" i="1"/>
  <x:c r="K2388" i="1"/>
  <x:c r="N2388" i="1"/>
  <x:c r="H2389" i="1"/>
  <x:c r="K2389" i="1"/>
  <x:c r="N2389" i="1"/>
  <x:c r="H2390" i="1"/>
  <x:c r="K2390" i="1"/>
  <x:c r="N2390" i="1"/>
  <x:c r="H2391" i="1"/>
  <x:c r="K2391" i="1"/>
  <x:c r="N2391" i="1"/>
  <x:c r="H2392" i="1"/>
  <x:c r="K2392" i="1"/>
  <x:c r="N2392" i="1"/>
  <x:c r="H2393" i="1"/>
  <x:c r="K2393" i="1"/>
  <x:c r="N2393" i="1"/>
  <x:c r="H2394" i="1"/>
  <x:c r="K2394" i="1"/>
  <x:c r="N2394" i="1"/>
  <x:c r="H2395" i="1"/>
  <x:c r="K2395" i="1"/>
  <x:c r="N2395" i="1"/>
  <x:c r="H2396" i="1"/>
  <x:c r="K2396" i="1"/>
  <x:c r="N2396" i="1"/>
  <x:c r="H2397" i="1"/>
  <x:c r="K2397" i="1"/>
  <x:c r="N2397" i="1"/>
  <x:c r="H2398" i="1"/>
  <x:c r="K2398" i="1"/>
  <x:c r="N2398" i="1"/>
  <x:c r="H2399" i="1"/>
  <x:c r="K2399" i="1"/>
  <x:c r="N2399" i="1"/>
  <x:c r="H2400" i="1"/>
  <x:c r="K2400" i="1"/>
  <x:c r="N2400" i="1"/>
  <x:c r="H2401" i="1"/>
  <x:c r="K2401" i="1"/>
  <x:c r="N2401" i="1"/>
  <x:c r="H2402" i="1"/>
  <x:c r="K2402" i="1"/>
  <x:c r="N2402" i="1"/>
  <x:c r="H2403" i="1"/>
  <x:c r="K2403" i="1"/>
  <x:c r="N2403" i="1"/>
  <x:c r="H2404" i="1"/>
  <x:c r="K2404" i="1"/>
  <x:c r="N2404" i="1"/>
  <x:c r="H2405" i="1"/>
  <x:c r="K2405" i="1"/>
  <x:c r="N2405" i="1"/>
  <x:c r="H2406" i="1"/>
  <x:c r="K2406" i="1"/>
  <x:c r="N2406" i="1"/>
  <x:c r="H2407" i="1"/>
  <x:c r="K2407" i="1"/>
  <x:c r="N2407" i="1"/>
  <x:c r="H2408" i="1"/>
  <x:c r="K2408" i="1"/>
  <x:c r="N2408" i="1"/>
  <x:c r="H2409" i="1"/>
  <x:c r="K2409" i="1"/>
  <x:c r="N2409" i="1"/>
  <x:c r="H2410" i="1"/>
  <x:c r="K2410" i="1"/>
  <x:c r="N2410" i="1"/>
  <x:c r="H2411" i="1"/>
  <x:c r="K2411" i="1"/>
  <x:c r="N2411" i="1"/>
  <x:c r="H2412" i="1"/>
  <x:c r="K2412" i="1"/>
  <x:c r="N2412" i="1"/>
  <x:c r="H2413" i="1"/>
  <x:c r="K2413" i="1"/>
  <x:c r="N2413" i="1"/>
  <x:c r="H2414" i="1"/>
  <x:c r="K2414" i="1"/>
  <x:c r="N2414" i="1"/>
  <x:c r="H2415" i="1"/>
  <x:c r="K2415" i="1"/>
  <x:c r="N2415" i="1"/>
  <x:c r="H2416" i="1"/>
  <x:c r="K2416" i="1"/>
  <x:c r="N2416" i="1"/>
  <x:c r="H2417" i="1"/>
  <x:c r="K2417" i="1"/>
  <x:c r="N2417" i="1"/>
  <x:c r="H2418" i="1"/>
  <x:c r="K2418" i="1"/>
  <x:c r="N2418" i="1"/>
  <x:c r="H2419" i="1"/>
  <x:c r="K2419" i="1"/>
  <x:c r="N2419" i="1"/>
  <x:c r="H2420" i="1"/>
  <x:c r="K2420" i="1"/>
  <x:c r="N2420" i="1"/>
  <x:c r="H2421" i="1"/>
  <x:c r="K2421" i="1"/>
  <x:c r="N2421" i="1"/>
  <x:c r="H2422" i="1"/>
  <x:c r="K2422" i="1"/>
  <x:c r="N2422" i="1"/>
  <x:c r="H2423" i="1"/>
  <x:c r="K2423" i="1"/>
  <x:c r="N2423" i="1"/>
  <x:c r="H2424" i="1"/>
  <x:c r="K2424" i="1"/>
  <x:c r="N2424" i="1"/>
  <x:c r="H2425" i="1"/>
  <x:c r="K2425" i="1"/>
  <x:c r="N2425" i="1"/>
  <x:c r="H2426" i="1"/>
  <x:c r="K2426" i="1"/>
  <x:c r="N2426" i="1"/>
  <x:c r="H2427" i="1"/>
  <x:c r="K2427" i="1"/>
  <x:c r="N2427" i="1"/>
  <x:c r="H2428" i="1"/>
  <x:c r="K2428" i="1"/>
  <x:c r="N2428" i="1"/>
  <x:c r="H2429" i="1"/>
  <x:c r="K2429" i="1"/>
  <x:c r="N2429" i="1"/>
  <x:c r="H2430" i="1"/>
  <x:c r="K2430" i="1"/>
  <x:c r="N2430" i="1"/>
  <x:c r="H2431" i="1"/>
  <x:c r="K2431" i="1"/>
  <x:c r="N2431" i="1"/>
  <x:c r="H2432" i="1"/>
  <x:c r="K2432" i="1"/>
  <x:c r="N2432" i="1"/>
  <x:c r="H2433" i="1"/>
  <x:c r="K2433" i="1"/>
  <x:c r="N2433" i="1"/>
  <x:c r="H2434" i="1"/>
  <x:c r="K2434" i="1"/>
  <x:c r="N2434" i="1"/>
  <x:c r="H2435" i="1"/>
  <x:c r="K2435" i="1"/>
  <x:c r="N2435" i="1"/>
  <x:c r="H2436" i="1"/>
  <x:c r="K2436" i="1"/>
  <x:c r="N2436" i="1"/>
  <x:c r="H2437" i="1"/>
  <x:c r="K2437" i="1"/>
  <x:c r="N2437" i="1"/>
  <x:c r="H2438" i="1"/>
  <x:c r="K2438" i="1"/>
  <x:c r="N2438" i="1"/>
  <x:c r="H2439" i="1"/>
  <x:c r="K2439" i="1"/>
  <x:c r="N2439" i="1"/>
  <x:c r="H2440" i="1"/>
  <x:c r="K2440" i="1"/>
  <x:c r="N2440" i="1"/>
  <x:c r="H2441" i="1"/>
  <x:c r="K2441" i="1"/>
  <x:c r="N2441" i="1"/>
  <x:c r="H2442" i="1"/>
  <x:c r="K2442" i="1"/>
  <x:c r="N2442" i="1"/>
  <x:c r="H2443" i="1"/>
  <x:c r="K2443" i="1"/>
  <x:c r="N2443" i="1"/>
  <x:c r="H2444" i="1"/>
  <x:c r="K2444" i="1"/>
  <x:c r="N2444" i="1"/>
  <x:c r="H2445" i="1"/>
  <x:c r="K2445" i="1"/>
  <x:c r="N2445" i="1"/>
  <x:c r="H2446" i="1"/>
  <x:c r="K2446" i="1"/>
  <x:c r="N2446" i="1"/>
  <x:c r="H2447" i="1"/>
  <x:c r="K2447" i="1"/>
  <x:c r="N2447" i="1"/>
  <x:c r="H2448" i="1"/>
  <x:c r="K2448" i="1"/>
  <x:c r="N2448" i="1"/>
  <x:c r="H2449" i="1"/>
  <x:c r="K2449" i="1"/>
  <x:c r="N2449" i="1"/>
  <x:c r="H2450" i="1"/>
  <x:c r="K2450" i="1"/>
  <x:c r="N2450" i="1"/>
  <x:c r="H2451" i="1"/>
  <x:c r="K2451" i="1"/>
  <x:c r="N2451" i="1"/>
  <x:c r="H2452" i="1"/>
  <x:c r="K2452" i="1"/>
  <x:c r="N2452" i="1"/>
  <x:c r="H2453" i="1"/>
  <x:c r="K2453" i="1"/>
  <x:c r="N2453" i="1"/>
  <x:c r="H2454" i="1"/>
  <x:c r="K2454" i="1"/>
  <x:c r="N2454" i="1"/>
  <x:c r="H2455" i="1"/>
  <x:c r="K2455" i="1"/>
  <x:c r="N2455" i="1"/>
  <x:c r="H2456" i="1"/>
  <x:c r="K2456" i="1"/>
  <x:c r="N2456" i="1"/>
  <x:c r="H2457" i="1"/>
  <x:c r="K2457" i="1"/>
  <x:c r="N2457" i="1"/>
  <x:c r="H2458" i="1"/>
  <x:c r="K2458" i="1"/>
  <x:c r="N2458" i="1"/>
  <x:c r="H2459" i="1"/>
  <x:c r="K2459" i="1"/>
  <x:c r="N2459" i="1"/>
  <x:c r="H2460" i="1"/>
  <x:c r="K2460" i="1"/>
  <x:c r="N2460" i="1"/>
  <x:c r="H2461" i="1"/>
  <x:c r="K2461" i="1"/>
  <x:c r="N2461" i="1"/>
  <x:c r="H2462" i="1"/>
  <x:c r="K2462" i="1"/>
  <x:c r="N2462" i="1"/>
  <x:c r="H2463" i="1"/>
  <x:c r="K2463" i="1"/>
  <x:c r="N2463" i="1"/>
  <x:c r="H2464" i="1"/>
  <x:c r="K2464" i="1"/>
  <x:c r="N2464" i="1"/>
  <x:c r="H2465" i="1"/>
  <x:c r="K2465" i="1"/>
  <x:c r="N2465" i="1"/>
  <x:c r="H2466" i="1"/>
  <x:c r="K2466" i="1"/>
  <x:c r="N2466" i="1"/>
  <x:c r="H2467" i="1"/>
  <x:c r="K2467" i="1"/>
  <x:c r="N2467" i="1"/>
  <x:c r="H2468" i="1"/>
  <x:c r="K2468" i="1"/>
  <x:c r="N2468" i="1"/>
  <x:c r="H2469" i="1"/>
  <x:c r="K2469" i="1"/>
  <x:c r="N2469" i="1"/>
  <x:c r="H2470" i="1"/>
  <x:c r="K2470" i="1"/>
  <x:c r="N2470" i="1"/>
  <x:c r="H2471" i="1"/>
  <x:c r="K2471" i="1"/>
  <x:c r="N2471" i="1"/>
  <x:c r="H2472" i="1"/>
  <x:c r="K2472" i="1"/>
  <x:c r="N2472" i="1"/>
  <x:c r="H2473" i="1"/>
  <x:c r="K2473" i="1"/>
  <x:c r="N2473" i="1"/>
  <x:c r="H2474" i="1"/>
  <x:c r="K2474" i="1"/>
  <x:c r="N2474" i="1"/>
  <x:c r="H2475" i="1"/>
  <x:c r="K2475" i="1"/>
  <x:c r="N2475" i="1"/>
  <x:c r="H2476" i="1"/>
  <x:c r="K2476" i="1"/>
  <x:c r="N2476" i="1"/>
  <x:c r="H2477" i="1"/>
  <x:c r="K2477" i="1"/>
  <x:c r="N2477" i="1"/>
  <x:c r="H2478" i="1"/>
  <x:c r="K2478" i="1"/>
  <x:c r="N2478" i="1"/>
  <x:c r="H2479" i="1"/>
  <x:c r="K2479" i="1"/>
  <x:c r="N2479" i="1"/>
  <x:c r="H2480" i="1"/>
  <x:c r="K2480" i="1"/>
  <x:c r="N2480" i="1"/>
  <x:c r="H2481" i="1"/>
  <x:c r="K2481" i="1"/>
  <x:c r="N2481" i="1"/>
  <x:c r="H2482" i="1"/>
  <x:c r="K2482" i="1"/>
  <x:c r="N2482" i="1"/>
  <x:c r="H2483" i="1"/>
  <x:c r="K2483" i="1"/>
  <x:c r="N2483" i="1"/>
  <x:c r="H2484" i="1"/>
  <x:c r="K2484" i="1"/>
  <x:c r="N2484" i="1"/>
  <x:c r="H2485" i="1"/>
  <x:c r="K2485" i="1"/>
  <x:c r="N2485" i="1"/>
  <x:c r="H2486" i="1"/>
  <x:c r="K2486" i="1"/>
  <x:c r="N2486" i="1"/>
  <x:c r="H2487" i="1"/>
  <x:c r="K2487" i="1"/>
  <x:c r="N2487" i="1"/>
  <x:c r="H2488" i="1"/>
  <x:c r="K2488" i="1"/>
  <x:c r="N2488" i="1"/>
  <x:c r="H2489" i="1"/>
  <x:c r="K2489" i="1"/>
  <x:c r="N2489" i="1"/>
  <x:c r="H2490" i="1"/>
  <x:c r="K2490" i="1"/>
  <x:c r="N2490" i="1"/>
  <x:c r="H2491" i="1"/>
  <x:c r="K2491" i="1"/>
  <x:c r="N2491" i="1"/>
  <x:c r="H2492" i="1"/>
  <x:c r="K2492" i="1"/>
  <x:c r="N2492" i="1"/>
  <x:c r="H2493" i="1"/>
  <x:c r="K2493" i="1"/>
  <x:c r="N2493" i="1"/>
  <x:c r="H2494" i="1"/>
  <x:c r="K2494" i="1"/>
  <x:c r="N2494" i="1"/>
  <x:c r="H2495" i="1"/>
  <x:c r="K2495" i="1"/>
  <x:c r="N2495" i="1"/>
  <x:c r="H2496" i="1"/>
  <x:c r="K2496" i="1"/>
  <x:c r="N2496" i="1"/>
  <x:c r="H2497" i="1"/>
  <x:c r="K2497" i="1"/>
  <x:c r="N2497" i="1"/>
  <x:c r="H2498" i="1"/>
  <x:c r="K2498" i="1"/>
  <x:c r="N2498" i="1"/>
  <x:c r="H2499" i="1"/>
  <x:c r="K2499" i="1"/>
  <x:c r="N2499" i="1"/>
  <x:c r="H2500" i="1"/>
  <x:c r="K2500" i="1"/>
  <x:c r="N2500" i="1"/>
  <x:c r="H2501" i="1"/>
  <x:c r="K2501" i="1"/>
  <x:c r="N2501" i="1"/>
  <x:c r="H2502" i="1"/>
  <x:c r="K2502" i="1"/>
  <x:c r="N2502" i="1"/>
  <x:c r="H2503" i="1"/>
  <x:c r="K2503" i="1"/>
  <x:c r="N2503" i="1"/>
  <x:c r="H2504" i="1"/>
  <x:c r="K2504" i="1"/>
  <x:c r="N2504" i="1"/>
  <x:c r="H2505" i="1"/>
  <x:c r="K2505" i="1"/>
  <x:c r="N2505" i="1"/>
  <x:c r="H2506" i="1"/>
  <x:c r="K2506" i="1"/>
  <x:c r="N2506" i="1"/>
  <x:c r="H2507" i="1"/>
  <x:c r="K2507" i="1"/>
  <x:c r="N2507" i="1"/>
  <x:c r="H2508" i="1"/>
  <x:c r="K2508" i="1"/>
  <x:c r="N2508" i="1"/>
  <x:c r="H2509" i="1"/>
  <x:c r="K2509" i="1"/>
  <x:c r="N2509" i="1"/>
  <x:c r="H2510" i="1"/>
  <x:c r="K2510" i="1"/>
  <x:c r="N2510" i="1"/>
  <x:c r="H2511" i="1"/>
  <x:c r="K2511" i="1"/>
  <x:c r="N2511" i="1"/>
  <x:c r="H2512" i="1"/>
  <x:c r="K2512" i="1"/>
  <x:c r="N2512" i="1"/>
  <x:c r="H2513" i="1"/>
  <x:c r="K2513" i="1"/>
  <x:c r="N2513" i="1"/>
  <x:c r="H2514" i="1"/>
  <x:c r="K2514" i="1"/>
  <x:c r="N2514" i="1"/>
  <x:c r="H2515" i="1"/>
  <x:c r="K2515" i="1"/>
  <x:c r="N2515" i="1"/>
  <x:c r="H2516" i="1"/>
  <x:c r="K2516" i="1"/>
  <x:c r="N2516" i="1"/>
  <x:c r="H2517" i="1"/>
  <x:c r="K2517" i="1"/>
  <x:c r="N2517" i="1"/>
  <x:c r="H2518" i="1"/>
  <x:c r="K2518" i="1"/>
  <x:c r="N2518" i="1"/>
  <x:c r="H2519" i="1"/>
  <x:c r="K2519" i="1"/>
  <x:c r="N2519" i="1"/>
  <x:c r="H2520" i="1"/>
  <x:c r="K2520" i="1"/>
  <x:c r="N2520" i="1"/>
  <x:c r="H2521" i="1"/>
  <x:c r="K2521" i="1"/>
  <x:c r="N2521" i="1"/>
  <x:c r="H2522" i="1"/>
  <x:c r="K2522" i="1"/>
  <x:c r="N2522" i="1"/>
  <x:c r="H2523" i="1"/>
  <x:c r="K2523" i="1"/>
  <x:c r="N2523" i="1"/>
  <x:c r="H2524" i="1"/>
  <x:c r="K2524" i="1"/>
  <x:c r="N2524" i="1"/>
  <x:c r="H2525" i="1"/>
  <x:c r="K2525" i="1"/>
  <x:c r="N2525" i="1"/>
  <x:c r="H2526" i="1"/>
  <x:c r="K2526" i="1"/>
  <x:c r="N2526" i="1"/>
  <x:c r="H2527" i="1"/>
  <x:c r="K2527" i="1"/>
  <x:c r="N2527" i="1"/>
  <x:c r="H2528" i="1"/>
  <x:c r="K2528" i="1"/>
  <x:c r="N2528" i="1"/>
  <x:c r="H2529" i="1"/>
  <x:c r="K2529" i="1"/>
  <x:c r="N2529" i="1"/>
  <x:c r="H2530" i="1"/>
  <x:c r="K2530" i="1"/>
  <x:c r="N2530" i="1"/>
  <x:c r="H2531" i="1"/>
  <x:c r="K2531" i="1"/>
  <x:c r="N2531" i="1"/>
  <x:c r="H2532" i="1"/>
  <x:c r="K2532" i="1"/>
  <x:c r="N2532" i="1"/>
  <x:c r="H2533" i="1"/>
  <x:c r="K2533" i="1"/>
  <x:c r="N2533" i="1"/>
  <x:c r="H2534" i="1"/>
  <x:c r="K2534" i="1"/>
  <x:c r="N2534" i="1"/>
  <x:c r="H2535" i="1"/>
  <x:c r="K2535" i="1"/>
  <x:c r="N2535" i="1"/>
  <x:c r="H2536" i="1"/>
  <x:c r="K2536" i="1"/>
  <x:c r="N2536" i="1"/>
  <x:c r="H2537" i="1"/>
  <x:c r="K2537" i="1"/>
  <x:c r="N2537" i="1"/>
  <x:c r="H2538" i="1"/>
  <x:c r="K2538" i="1"/>
  <x:c r="N2538" i="1"/>
  <x:c r="H2539" i="1"/>
  <x:c r="K2539" i="1"/>
  <x:c r="N2539" i="1"/>
  <x:c r="H2540" i="1"/>
  <x:c r="K2540" i="1"/>
  <x:c r="N2540" i="1"/>
  <x:c r="H2541" i="1"/>
  <x:c r="K2541" i="1"/>
  <x:c r="N2541" i="1"/>
  <x:c r="H2542" i="1"/>
  <x:c r="K2542" i="1"/>
  <x:c r="N2542" i="1"/>
  <x:c r="H2543" i="1"/>
  <x:c r="K2543" i="1"/>
  <x:c r="N2543" i="1"/>
  <x:c r="H2544" i="1"/>
  <x:c r="K2544" i="1"/>
  <x:c r="N2544" i="1"/>
  <x:c r="H2545" i="1"/>
  <x:c r="K2545" i="1"/>
  <x:c r="N2545" i="1"/>
  <x:c r="H2546" i="1"/>
  <x:c r="K2546" i="1"/>
  <x:c r="N2546" i="1"/>
  <x:c r="H2547" i="1"/>
  <x:c r="K2547" i="1"/>
  <x:c r="N2547" i="1"/>
  <x:c r="H2548" i="1"/>
  <x:c r="K2548" i="1"/>
  <x:c r="N2548" i="1"/>
  <x:c r="H2549" i="1"/>
  <x:c r="K2549" i="1"/>
  <x:c r="N2549" i="1"/>
  <x:c r="H2550" i="1"/>
  <x:c r="K2550" i="1"/>
  <x:c r="N2550" i="1"/>
  <x:c r="H2551" i="1"/>
  <x:c r="K2551" i="1"/>
  <x:c r="N2551" i="1"/>
  <x:c r="H2552" i="1"/>
  <x:c r="K2552" i="1"/>
  <x:c r="N2552" i="1"/>
  <x:c r="H2553" i="1"/>
  <x:c r="K2553" i="1"/>
  <x:c r="N2553" i="1"/>
  <x:c r="H2554" i="1"/>
  <x:c r="K2554" i="1"/>
  <x:c r="N2554" i="1"/>
  <x:c r="H2555" i="1"/>
  <x:c r="K2555" i="1"/>
  <x:c r="N2555" i="1"/>
  <x:c r="H2556" i="1"/>
  <x:c r="K2556" i="1"/>
  <x:c r="N2556" i="1"/>
  <x:c r="H2557" i="1"/>
  <x:c r="K2557" i="1"/>
  <x:c r="N2557" i="1"/>
  <x:c r="H2558" i="1"/>
  <x:c r="K2558" i="1"/>
  <x:c r="N2558" i="1"/>
  <x:c r="H2559" i="1"/>
  <x:c r="K2559" i="1"/>
  <x:c r="N2559" i="1"/>
  <x:c r="H2560" i="1"/>
  <x:c r="K2560" i="1"/>
  <x:c r="N2560" i="1"/>
  <x:c r="H2561" i="1"/>
  <x:c r="K2561" i="1"/>
  <x:c r="N2561" i="1"/>
  <x:c r="H2562" i="1"/>
  <x:c r="K2562" i="1"/>
  <x:c r="N2562" i="1"/>
  <x:c r="H2563" i="1"/>
  <x:c r="K2563" i="1"/>
  <x:c r="N2563" i="1"/>
  <x:c r="H2564" i="1"/>
  <x:c r="K2564" i="1"/>
  <x:c r="N2564" i="1"/>
  <x:c r="H2565" i="1"/>
  <x:c r="K2565" i="1"/>
  <x:c r="N2565" i="1"/>
  <x:c r="H2566" i="1"/>
  <x:c r="K2566" i="1"/>
  <x:c r="N2566" i="1"/>
  <x:c r="H2567" i="1"/>
  <x:c r="K2567" i="1"/>
  <x:c r="N2567" i="1"/>
  <x:c r="H2568" i="1"/>
  <x:c r="K2568" i="1"/>
  <x:c r="N2568" i="1"/>
  <x:c r="H2569" i="1"/>
  <x:c r="K2569" i="1"/>
  <x:c r="N2569" i="1"/>
  <x:c r="H2570" i="1"/>
  <x:c r="K2570" i="1"/>
  <x:c r="N2570" i="1"/>
  <x:c r="H2571" i="1"/>
  <x:c r="K2571" i="1"/>
  <x:c r="N2571" i="1"/>
  <x:c r="H2572" i="1"/>
  <x:c r="K2572" i="1"/>
  <x:c r="N2572" i="1"/>
  <x:c r="H2573" i="1"/>
  <x:c r="K2573" i="1"/>
  <x:c r="N2573" i="1"/>
  <x:c r="H2574" i="1"/>
  <x:c r="K2574" i="1"/>
  <x:c r="N2574" i="1"/>
  <x:c r="H2575" i="1"/>
  <x:c r="K2575" i="1"/>
  <x:c r="N2575" i="1"/>
  <x:c r="H2576" i="1"/>
  <x:c r="K2576" i="1"/>
  <x:c r="N2576" i="1"/>
  <x:c r="H2577" i="1"/>
  <x:c r="K2577" i="1"/>
  <x:c r="N2577" i="1"/>
  <x:c r="H2578" i="1"/>
  <x:c r="K2578" i="1"/>
  <x:c r="N2578" i="1"/>
  <x:c r="H2579" i="1"/>
  <x:c r="K2579" i="1"/>
  <x:c r="N2579" i="1"/>
  <x:c r="H2580" i="1"/>
  <x:c r="K2580" i="1"/>
  <x:c r="N2580" i="1"/>
  <x:c r="H2581" i="1"/>
  <x:c r="K2581" i="1"/>
  <x:c r="N2581" i="1"/>
  <x:c r="H2582" i="1"/>
  <x:c r="K2582" i="1"/>
  <x:c r="N2582" i="1"/>
  <x:c r="H2583" i="1"/>
  <x:c r="K2583" i="1"/>
  <x:c r="N2583" i="1"/>
  <x:c r="H2584" i="1"/>
  <x:c r="K2584" i="1"/>
  <x:c r="N2584" i="1"/>
  <x:c r="H2585" i="1"/>
  <x:c r="K2585" i="1"/>
  <x:c r="N2585" i="1"/>
  <x:c r="H2586" i="1"/>
  <x:c r="K2586" i="1"/>
  <x:c r="N2586" i="1"/>
  <x:c r="H2587" i="1"/>
  <x:c r="K2587" i="1"/>
  <x:c r="N2587" i="1"/>
  <x:c r="H2588" i="1"/>
  <x:c r="K2588" i="1"/>
  <x:c r="N2588" i="1"/>
  <x:c r="H2589" i="1"/>
  <x:c r="K2589" i="1"/>
  <x:c r="N2589" i="1"/>
  <x:c r="H2590" i="1"/>
  <x:c r="K2590" i="1"/>
  <x:c r="N2590" i="1"/>
  <x:c r="H2591" i="1"/>
  <x:c r="K2591" i="1"/>
  <x:c r="N2591" i="1"/>
  <x:c r="H2592" i="1"/>
  <x:c r="K2592" i="1"/>
  <x:c r="N2592" i="1"/>
  <x:c r="H2593" i="1"/>
  <x:c r="K2593" i="1"/>
  <x:c r="N2593" i="1"/>
  <x:c r="H2594" i="1"/>
  <x:c r="K2594" i="1"/>
  <x:c r="N2594" i="1"/>
  <x:c r="H2595" i="1"/>
  <x:c r="K2595" i="1"/>
  <x:c r="N2595" i="1"/>
  <x:c r="H2596" i="1"/>
  <x:c r="K2596" i="1"/>
  <x:c r="N2596" i="1"/>
  <x:c r="H2597" i="1"/>
  <x:c r="K2597" i="1"/>
  <x:c r="N2597" i="1"/>
  <x:c r="H2598" i="1"/>
  <x:c r="K2598" i="1"/>
  <x:c r="N2598" i="1"/>
  <x:c r="H2599" i="1"/>
  <x:c r="K2599" i="1"/>
  <x:c r="N2599" i="1"/>
  <x:c r="H2600" i="1"/>
  <x:c r="K2600" i="1"/>
  <x:c r="N2600" i="1"/>
  <x:c r="H2601" i="1"/>
  <x:c r="K2601" i="1"/>
  <x:c r="N2601" i="1"/>
  <x:c r="H2602" i="1"/>
  <x:c r="K2602" i="1"/>
  <x:c r="N2602" i="1"/>
  <x:c r="H2603" i="1"/>
  <x:c r="K2603" i="1"/>
  <x:c r="N2603" i="1"/>
  <x:c r="H2604" i="1"/>
  <x:c r="K2604" i="1"/>
  <x:c r="N2604" i="1"/>
  <x:c r="H2605" i="1"/>
  <x:c r="K2605" i="1"/>
  <x:c r="N2605" i="1"/>
  <x:c r="H2606" i="1"/>
  <x:c r="K2606" i="1"/>
  <x:c r="N2606" i="1"/>
  <x:c r="H2607" i="1"/>
  <x:c r="K2607" i="1"/>
  <x:c r="N2607" i="1"/>
  <x:c r="H2608" i="1"/>
  <x:c r="K2608" i="1"/>
  <x:c r="N2608" i="1"/>
  <x:c r="H2609" i="1"/>
  <x:c r="K2609" i="1"/>
  <x:c r="N2609" i="1"/>
  <x:c r="H2610" i="1"/>
  <x:c r="K2610" i="1"/>
  <x:c r="N2610" i="1"/>
  <x:c r="H2611" i="1"/>
  <x:c r="K2611" i="1"/>
  <x:c r="N2611" i="1"/>
  <x:c r="H2612" i="1"/>
  <x:c r="K2612" i="1"/>
  <x:c r="N2612" i="1"/>
  <x:c r="H2613" i="1"/>
  <x:c r="K2613" i="1"/>
  <x:c r="N2613" i="1"/>
  <x:c r="H2614" i="1"/>
  <x:c r="K2614" i="1"/>
  <x:c r="N2614" i="1"/>
  <x:c r="H2615" i="1"/>
  <x:c r="K2615" i="1"/>
  <x:c r="N2615" i="1"/>
  <x:c r="H2616" i="1"/>
  <x:c r="K2616" i="1"/>
  <x:c r="N2616" i="1"/>
  <x:c r="H2617" i="1"/>
  <x:c r="K2617" i="1"/>
  <x:c r="N2617" i="1"/>
  <x:c r="H2618" i="1"/>
  <x:c r="K2618" i="1"/>
  <x:c r="N2618" i="1"/>
  <x:c r="H2619" i="1"/>
  <x:c r="K2619" i="1"/>
  <x:c r="N2619" i="1"/>
  <x:c r="H2620" i="1"/>
  <x:c r="K2620" i="1"/>
  <x:c r="N2620" i="1"/>
  <x:c r="H2621" i="1"/>
  <x:c r="K2621" i="1"/>
  <x:c r="N2621" i="1"/>
  <x:c r="H2622" i="1"/>
  <x:c r="K2622" i="1"/>
  <x:c r="N2622" i="1"/>
  <x:c r="H2623" i="1"/>
  <x:c r="K2623" i="1"/>
  <x:c r="N2623" i="1"/>
  <x:c r="H2624" i="1"/>
  <x:c r="K2624" i="1"/>
  <x:c r="N2624" i="1"/>
  <x:c r="H2625" i="1"/>
  <x:c r="K2625" i="1"/>
  <x:c r="N2625" i="1"/>
  <x:c r="H2626" i="1"/>
  <x:c r="K2626" i="1"/>
  <x:c r="N2626" i="1"/>
  <x:c r="H2627" i="1"/>
  <x:c r="K2627" i="1"/>
  <x:c r="N2627" i="1"/>
  <x:c r="H2628" i="1"/>
  <x:c r="K2628" i="1"/>
  <x:c r="N2628" i="1"/>
  <x:c r="H2629" i="1"/>
  <x:c r="K2629" i="1"/>
  <x:c r="N2629" i="1"/>
  <x:c r="H2630" i="1"/>
  <x:c r="K2630" i="1"/>
  <x:c r="N2630" i="1"/>
  <x:c r="H2631" i="1"/>
  <x:c r="K2631" i="1"/>
  <x:c r="N2631" i="1"/>
  <x:c r="H2632" i="1"/>
  <x:c r="K2632" i="1"/>
  <x:c r="N2632" i="1"/>
  <x:c r="H2633" i="1"/>
  <x:c r="K2633" i="1"/>
  <x:c r="N2633" i="1"/>
  <x:c r="H2634" i="1"/>
  <x:c r="K2634" i="1"/>
  <x:c r="N2634" i="1"/>
  <x:c r="H2635" i="1"/>
  <x:c r="K2635" i="1"/>
  <x:c r="N2635" i="1"/>
  <x:c r="H2636" i="1"/>
  <x:c r="K2636" i="1"/>
  <x:c r="N2636" i="1"/>
  <x:c r="H2637" i="1"/>
  <x:c r="K2637" i="1"/>
  <x:c r="N2637" i="1"/>
  <x:c r="H2638" i="1"/>
  <x:c r="K2638" i="1"/>
  <x:c r="N2638" i="1"/>
  <x:c r="H2639" i="1"/>
  <x:c r="K2639" i="1"/>
  <x:c r="N2639" i="1"/>
  <x:c r="H2640" i="1"/>
  <x:c r="K2640" i="1"/>
  <x:c r="N2640" i="1"/>
  <x:c r="H2641" i="1"/>
  <x:c r="K2641" i="1"/>
  <x:c r="N2641" i="1"/>
  <x:c r="H2642" i="1"/>
  <x:c r="K2642" i="1"/>
  <x:c r="N2642" i="1"/>
  <x:c r="H2643" i="1"/>
  <x:c r="K2643" i="1"/>
  <x:c r="N2643" i="1"/>
  <x:c r="H2644" i="1"/>
  <x:c r="K2644" i="1"/>
  <x:c r="N2644" i="1"/>
  <x:c r="H2645" i="1"/>
  <x:c r="K2645" i="1"/>
  <x:c r="N2645" i="1"/>
  <x:c r="H2646" i="1"/>
  <x:c r="K2646" i="1"/>
  <x:c r="N2646" i="1"/>
  <x:c r="H2647" i="1"/>
  <x:c r="K2647" i="1"/>
  <x:c r="N2647" i="1"/>
  <x:c r="H2648" i="1"/>
  <x:c r="K2648" i="1"/>
  <x:c r="N2648" i="1"/>
  <x:c r="H2649" i="1"/>
  <x:c r="K2649" i="1"/>
  <x:c r="N2649" i="1"/>
  <x:c r="H2650" i="1"/>
  <x:c r="K2650" i="1"/>
  <x:c r="N2650" i="1"/>
  <x:c r="H2651" i="1"/>
  <x:c r="K2651" i="1"/>
  <x:c r="N2651" i="1"/>
  <x:c r="H2652" i="1"/>
  <x:c r="K2652" i="1"/>
  <x:c r="N2652" i="1"/>
  <x:c r="H2653" i="1"/>
  <x:c r="K2653" i="1"/>
  <x:c r="N2653" i="1"/>
  <x:c r="H2654" i="1"/>
  <x:c r="K2654" i="1"/>
  <x:c r="N2654" i="1"/>
  <x:c r="H2655" i="1"/>
  <x:c r="K2655" i="1"/>
  <x:c r="N2655" i="1"/>
  <x:c r="H2656" i="1"/>
  <x:c r="K2656" i="1"/>
  <x:c r="N2656" i="1"/>
  <x:c r="H2657" i="1"/>
  <x:c r="K2657" i="1"/>
  <x:c r="N2657" i="1"/>
  <x:c r="H2658" i="1"/>
  <x:c r="K2658" i="1"/>
  <x:c r="N2658" i="1"/>
  <x:c r="H2659" i="1"/>
  <x:c r="K2659" i="1"/>
  <x:c r="N2659" i="1"/>
  <x:c r="H2660" i="1"/>
  <x:c r="K2660" i="1"/>
  <x:c r="N2660" i="1"/>
  <x:c r="H2661" i="1"/>
  <x:c r="K2661" i="1"/>
  <x:c r="N2661" i="1"/>
  <x:c r="H2662" i="1"/>
  <x:c r="K2662" i="1"/>
  <x:c r="N2662" i="1"/>
  <x:c r="H2663" i="1"/>
  <x:c r="K2663" i="1"/>
  <x:c r="N2663" i="1"/>
  <x:c r="H2664" i="1"/>
  <x:c r="K2664" i="1"/>
  <x:c r="N2664" i="1"/>
  <x:c r="H2665" i="1"/>
  <x:c r="K2665" i="1"/>
  <x:c r="N2665" i="1"/>
  <x:c r="H2666" i="1"/>
  <x:c r="K2666" i="1"/>
  <x:c r="N2666" i="1"/>
  <x:c r="H2667" i="1"/>
  <x:c r="K2667" i="1"/>
  <x:c r="N2667" i="1"/>
  <x:c r="H2668" i="1"/>
  <x:c r="K2668" i="1"/>
  <x:c r="N2668" i="1"/>
  <x:c r="H2669" i="1"/>
  <x:c r="K2669" i="1"/>
  <x:c r="N2669" i="1"/>
  <x:c r="H2670" i="1"/>
  <x:c r="K2670" i="1"/>
  <x:c r="N2670" i="1"/>
  <x:c r="H2671" i="1"/>
  <x:c r="K2671" i="1"/>
  <x:c r="N2671" i="1"/>
  <x:c r="H2672" i="1"/>
  <x:c r="K2672" i="1"/>
  <x:c r="N2672" i="1"/>
  <x:c r="H2673" i="1"/>
  <x:c r="K2673" i="1"/>
  <x:c r="N2673" i="1"/>
  <x:c r="H2674" i="1"/>
  <x:c r="K2674" i="1"/>
  <x:c r="N2674" i="1"/>
  <x:c r="H2675" i="1"/>
  <x:c r="K2675" i="1"/>
  <x:c r="N2675" i="1"/>
  <x:c r="H2676" i="1"/>
  <x:c r="K2676" i="1"/>
  <x:c r="N2676" i="1"/>
  <x:c r="H2677" i="1"/>
  <x:c r="K2677" i="1"/>
  <x:c r="N2677" i="1"/>
  <x:c r="H2678" i="1"/>
  <x:c r="K2678" i="1"/>
  <x:c r="N2678" i="1"/>
  <x:c r="H2679" i="1"/>
  <x:c r="K2679" i="1"/>
  <x:c r="N2679" i="1"/>
  <x:c r="H2680" i="1"/>
  <x:c r="K2680" i="1"/>
  <x:c r="N2680" i="1"/>
  <x:c r="H2681" i="1"/>
  <x:c r="K2681" i="1"/>
  <x:c r="N2681" i="1"/>
  <x:c r="H2682" i="1"/>
  <x:c r="K2682" i="1"/>
  <x:c r="N2682" i="1"/>
  <x:c r="H2683" i="1"/>
  <x:c r="K2683" i="1"/>
  <x:c r="N2683" i="1"/>
  <x:c r="H2684" i="1"/>
  <x:c r="K2684" i="1"/>
  <x:c r="N2684" i="1"/>
  <x:c r="H2685" i="1"/>
  <x:c r="K2685" i="1"/>
  <x:c r="N2685" i="1"/>
  <x:c r="H2686" i="1"/>
  <x:c r="K2686" i="1"/>
  <x:c r="N2686" i="1"/>
  <x:c r="H2687" i="1"/>
  <x:c r="K2687" i="1"/>
  <x:c r="N2687" i="1"/>
  <x:c r="H2688" i="1"/>
  <x:c r="K2688" i="1"/>
  <x:c r="N2688" i="1"/>
  <x:c r="H2689" i="1"/>
  <x:c r="K2689" i="1"/>
  <x:c r="N2689" i="1"/>
  <x:c r="H2690" i="1"/>
  <x:c r="K2690" i="1"/>
  <x:c r="N2690" i="1"/>
  <x:c r="H2691" i="1"/>
  <x:c r="K2691" i="1"/>
  <x:c r="N2691" i="1"/>
  <x:c r="H2692" i="1"/>
  <x:c r="K2692" i="1"/>
  <x:c r="N2692" i="1"/>
  <x:c r="H2693" i="1"/>
  <x:c r="K2693" i="1"/>
  <x:c r="N2693" i="1"/>
  <x:c r="H2694" i="1"/>
  <x:c r="K2694" i="1"/>
  <x:c r="N2694" i="1"/>
  <x:c r="H2695" i="1"/>
  <x:c r="K2695" i="1"/>
  <x:c r="N2695" i="1"/>
  <x:c r="H2696" i="1"/>
  <x:c r="K2696" i="1"/>
  <x:c r="N2696" i="1"/>
  <x:c r="H2697" i="1"/>
  <x:c r="K2697" i="1"/>
  <x:c r="N2697" i="1"/>
  <x:c r="H2698" i="1"/>
  <x:c r="K2698" i="1"/>
  <x:c r="N2698" i="1"/>
  <x:c r="H2699" i="1"/>
  <x:c r="K2699" i="1"/>
  <x:c r="N2699" i="1"/>
  <x:c r="H2700" i="1"/>
  <x:c r="K2700" i="1"/>
  <x:c r="N2700" i="1"/>
  <x:c r="H2701" i="1"/>
  <x:c r="K2701" i="1"/>
  <x:c r="N2701" i="1"/>
  <x:c r="H2702" i="1"/>
  <x:c r="K2702" i="1"/>
  <x:c r="N2702" i="1"/>
  <x:c r="H2703" i="1"/>
  <x:c r="K2703" i="1"/>
  <x:c r="N2703" i="1"/>
  <x:c r="H2704" i="1"/>
  <x:c r="K2704" i="1"/>
  <x:c r="N2704" i="1"/>
  <x:c r="H2705" i="1"/>
  <x:c r="K2705" i="1"/>
  <x:c r="N2705" i="1"/>
  <x:c r="H2706" i="1"/>
  <x:c r="K2706" i="1"/>
  <x:c r="N2706" i="1"/>
  <x:c r="H2707" i="1"/>
  <x:c r="K2707" i="1"/>
  <x:c r="N2707" i="1"/>
  <x:c r="H2708" i="1"/>
  <x:c r="K2708" i="1"/>
  <x:c r="N2708" i="1"/>
  <x:c r="H2709" i="1"/>
  <x:c r="K2709" i="1"/>
  <x:c r="N2709" i="1"/>
  <x:c r="H2710" i="1"/>
  <x:c r="K2710" i="1"/>
  <x:c r="N2710" i="1"/>
  <x:c r="H2711" i="1"/>
  <x:c r="K2711" i="1"/>
  <x:c r="N2711" i="1"/>
  <x:c r="H2712" i="1"/>
  <x:c r="K2712" i="1"/>
  <x:c r="N2712" i="1"/>
  <x:c r="H2713" i="1"/>
  <x:c r="K2713" i="1"/>
  <x:c r="N2713" i="1"/>
  <x:c r="H2714" i="1"/>
  <x:c r="K2714" i="1"/>
  <x:c r="N2714" i="1"/>
  <x:c r="H2715" i="1"/>
  <x:c r="K2715" i="1"/>
  <x:c r="N2715" i="1"/>
  <x:c r="H2716" i="1"/>
  <x:c r="K2716" i="1"/>
  <x:c r="N2716" i="1"/>
  <x:c r="H2717" i="1"/>
  <x:c r="K2717" i="1"/>
  <x:c r="N2717" i="1"/>
  <x:c r="H2718" i="1"/>
  <x:c r="K2718" i="1"/>
  <x:c r="N2718" i="1"/>
  <x:c r="H2719" i="1"/>
  <x:c r="K2719" i="1"/>
  <x:c r="N2719" i="1"/>
  <x:c r="H2720" i="1"/>
  <x:c r="K2720" i="1"/>
  <x:c r="N2720" i="1"/>
  <x:c r="H2721" i="1"/>
  <x:c r="K2721" i="1"/>
  <x:c r="N2721" i="1"/>
  <x:c r="H2722" i="1"/>
  <x:c r="K2722" i="1"/>
  <x:c r="N2722" i="1"/>
  <x:c r="H2723" i="1"/>
  <x:c r="K2723" i="1"/>
  <x:c r="N2723" i="1"/>
  <x:c r="H2724" i="1"/>
  <x:c r="K2724" i="1"/>
  <x:c r="N2724" i="1"/>
  <x:c r="H2725" i="1"/>
  <x:c r="K2725" i="1"/>
  <x:c r="N2725" i="1"/>
  <x:c r="H2726" i="1"/>
  <x:c r="K2726" i="1"/>
  <x:c r="N2726" i="1"/>
  <x:c r="H2727" i="1"/>
  <x:c r="K2727" i="1"/>
  <x:c r="N2727" i="1"/>
  <x:c r="H2728" i="1"/>
  <x:c r="K2728" i="1"/>
  <x:c r="N2728" i="1"/>
  <x:c r="H2729" i="1"/>
  <x:c r="K2729" i="1"/>
  <x:c r="N2729" i="1"/>
  <x:c r="H2730" i="1"/>
  <x:c r="K2730" i="1"/>
  <x:c r="N2730" i="1"/>
  <x:c r="H2731" i="1"/>
  <x:c r="K2731" i="1"/>
  <x:c r="N2731" i="1"/>
  <x:c r="H2732" i="1"/>
  <x:c r="K2732" i="1"/>
  <x:c r="N2732" i="1"/>
  <x:c r="H2733" i="1"/>
  <x:c r="K2733" i="1"/>
  <x:c r="N2733" i="1"/>
  <x:c r="H2734" i="1"/>
  <x:c r="K2734" i="1"/>
  <x:c r="N2734" i="1"/>
  <x:c r="H2735" i="1"/>
  <x:c r="K2735" i="1"/>
  <x:c r="N2735" i="1"/>
  <x:c r="H2736" i="1"/>
  <x:c r="K2736" i="1"/>
  <x:c r="N2736" i="1"/>
  <x:c r="H2737" i="1"/>
  <x:c r="K2737" i="1"/>
  <x:c r="N2737" i="1"/>
  <x:c r="H2738" i="1"/>
  <x:c r="K2738" i="1"/>
  <x:c r="N2738" i="1"/>
  <x:c r="H2739" i="1"/>
  <x:c r="K2739" i="1"/>
  <x:c r="N2739" i="1"/>
  <x:c r="H2740" i="1"/>
  <x:c r="K2740" i="1"/>
  <x:c r="N2740" i="1"/>
  <x:c r="H2741" i="1"/>
  <x:c r="K2741" i="1"/>
  <x:c r="N2741" i="1"/>
  <x:c r="H2742" i="1"/>
  <x:c r="K2742" i="1"/>
  <x:c r="N2742" i="1"/>
  <x:c r="H2743" i="1"/>
  <x:c r="K2743" i="1"/>
  <x:c r="N2743" i="1"/>
  <x:c r="H2744" i="1"/>
  <x:c r="K2744" i="1"/>
  <x:c r="N2744" i="1"/>
  <x:c r="H2745" i="1"/>
  <x:c r="K2745" i="1"/>
  <x:c r="N2745" i="1"/>
  <x:c r="H2746" i="1"/>
  <x:c r="K2746" i="1"/>
  <x:c r="N2746" i="1"/>
  <x:c r="H2747" i="1"/>
  <x:c r="K2747" i="1"/>
  <x:c r="N2747" i="1"/>
  <x:c r="H2748" i="1"/>
  <x:c r="K2748" i="1"/>
  <x:c r="N2748" i="1"/>
  <x:c r="H2749" i="1"/>
  <x:c r="K2749" i="1"/>
  <x:c r="N2749" i="1"/>
  <x:c r="H2750" i="1"/>
  <x:c r="K2750" i="1"/>
  <x:c r="N2750" i="1"/>
  <x:c r="H2751" i="1"/>
  <x:c r="K2751" i="1"/>
  <x:c r="N2751" i="1"/>
  <x:c r="H2752" i="1"/>
  <x:c r="K2752" i="1"/>
  <x:c r="N2752" i="1"/>
  <x:c r="H2753" i="1"/>
  <x:c r="K2753" i="1"/>
  <x:c r="N2753" i="1"/>
  <x:c r="H2754" i="1"/>
  <x:c r="K2754" i="1"/>
  <x:c r="N2754" i="1"/>
  <x:c r="H2755" i="1"/>
  <x:c r="K2755" i="1"/>
  <x:c r="N2755" i="1"/>
  <x:c r="H2756" i="1"/>
  <x:c r="K2756" i="1"/>
  <x:c r="N2756" i="1"/>
  <x:c r="H2757" i="1"/>
  <x:c r="K2757" i="1"/>
  <x:c r="N2757" i="1"/>
  <x:c r="H2758" i="1"/>
  <x:c r="K2758" i="1"/>
  <x:c r="N2758" i="1"/>
  <x:c r="H2759" i="1"/>
  <x:c r="K2759" i="1"/>
  <x:c r="N2759" i="1"/>
  <x:c r="H2760" i="1"/>
  <x:c r="K2760" i="1"/>
  <x:c r="N2760" i="1"/>
  <x:c r="H2761" i="1"/>
  <x:c r="K2761" i="1"/>
  <x:c r="N2761" i="1"/>
  <x:c r="H2762" i="1"/>
  <x:c r="K2762" i="1"/>
  <x:c r="N2762" i="1"/>
  <x:c r="H2763" i="1"/>
  <x:c r="K2763" i="1"/>
  <x:c r="N2763" i="1"/>
  <x:c r="H2764" i="1"/>
  <x:c r="K2764" i="1"/>
  <x:c r="N2764" i="1"/>
  <x:c r="H2765" i="1"/>
  <x:c r="K2765" i="1"/>
  <x:c r="N2765" i="1"/>
  <x:c r="H2766" i="1"/>
  <x:c r="K2766" i="1"/>
  <x:c r="N2766" i="1"/>
  <x:c r="H2767" i="1"/>
  <x:c r="K2767" i="1"/>
  <x:c r="N2767" i="1"/>
  <x:c r="H2768" i="1"/>
  <x:c r="K2768" i="1"/>
  <x:c r="N2768" i="1"/>
  <x:c r="H2769" i="1"/>
  <x:c r="K2769" i="1"/>
  <x:c r="N2769" i="1"/>
  <x:c r="H2770" i="1"/>
  <x:c r="K2770" i="1"/>
  <x:c r="N2770" i="1"/>
  <x:c r="H2771" i="1"/>
  <x:c r="K2771" i="1"/>
  <x:c r="N2771" i="1"/>
  <x:c r="H2772" i="1"/>
  <x:c r="K2772" i="1"/>
  <x:c r="N2772" i="1"/>
  <x:c r="H2773" i="1"/>
  <x:c r="K2773" i="1"/>
  <x:c r="N2773" i="1"/>
  <x:c r="H2774" i="1"/>
  <x:c r="K2774" i="1"/>
  <x:c r="N2774" i="1"/>
  <x:c r="H2775" i="1"/>
  <x:c r="K2775" i="1"/>
  <x:c r="N2775" i="1"/>
  <x:c r="H2776" i="1"/>
  <x:c r="K2776" i="1"/>
  <x:c r="N2776" i="1"/>
  <x:c r="H2777" i="1"/>
  <x:c r="K2777" i="1"/>
  <x:c r="N2777" i="1"/>
  <x:c r="H2778" i="1"/>
  <x:c r="K2778" i="1"/>
  <x:c r="N2778" i="1"/>
  <x:c r="H2779" i="1"/>
  <x:c r="K2779" i="1"/>
  <x:c r="N2779" i="1"/>
  <x:c r="H2780" i="1"/>
  <x:c r="K2780" i="1"/>
  <x:c r="N2780" i="1"/>
  <x:c r="H2781" i="1"/>
  <x:c r="K2781" i="1"/>
  <x:c r="N2781" i="1"/>
  <x:c r="H2782" i="1"/>
  <x:c r="K2782" i="1"/>
  <x:c r="N2782" i="1"/>
  <x:c r="H2783" i="1"/>
  <x:c r="K2783" i="1"/>
  <x:c r="N2783" i="1"/>
  <x:c r="H2784" i="1"/>
  <x:c r="K2784" i="1"/>
  <x:c r="N2784" i="1"/>
  <x:c r="H2785" i="1"/>
  <x:c r="K2785" i="1"/>
  <x:c r="N2785" i="1"/>
  <x:c r="H2786" i="1"/>
  <x:c r="K2786" i="1"/>
  <x:c r="N2786" i="1"/>
  <x:c r="H2787" i="1"/>
  <x:c r="K2787" i="1"/>
  <x:c r="N2787" i="1"/>
  <x:c r="H2788" i="1"/>
  <x:c r="K2788" i="1"/>
  <x:c r="N2788" i="1"/>
  <x:c r="H2789" i="1"/>
  <x:c r="K2789" i="1"/>
  <x:c r="N2789" i="1"/>
  <x:c r="H2790" i="1"/>
  <x:c r="K2790" i="1"/>
  <x:c r="N2790" i="1"/>
  <x:c r="H2791" i="1"/>
  <x:c r="K2791" i="1"/>
  <x:c r="N2791" i="1"/>
  <x:c r="H2792" i="1"/>
  <x:c r="K2792" i="1"/>
  <x:c r="N2792" i="1"/>
  <x:c r="H2793" i="1"/>
  <x:c r="K2793" i="1"/>
  <x:c r="N2793" i="1"/>
  <x:c r="H2794" i="1"/>
  <x:c r="K2794" i="1"/>
  <x:c r="N2794" i="1"/>
  <x:c r="H2795" i="1"/>
  <x:c r="K2795" i="1"/>
  <x:c r="N2795" i="1"/>
  <x:c r="H2796" i="1"/>
  <x:c r="K2796" i="1"/>
  <x:c r="N2796" i="1"/>
  <x:c r="H2797" i="1"/>
  <x:c r="K2797" i="1"/>
  <x:c r="N2797" i="1"/>
  <x:c r="H2798" i="1"/>
  <x:c r="K2798" i="1"/>
  <x:c r="N2798" i="1"/>
  <x:c r="H2799" i="1"/>
  <x:c r="K2799" i="1"/>
  <x:c r="N2799" i="1"/>
  <x:c r="H2800" i="1"/>
  <x:c r="K2800" i="1"/>
  <x:c r="N2800" i="1"/>
  <x:c r="H2801" i="1"/>
  <x:c r="K2801" i="1"/>
  <x:c r="N2801" i="1"/>
  <x:c r="H2802" i="1"/>
  <x:c r="K2802" i="1"/>
  <x:c r="N2802" i="1"/>
  <x:c r="H2803" i="1"/>
  <x:c r="K2803" i="1"/>
  <x:c r="N2803" i="1"/>
  <x:c r="H2804" i="1"/>
  <x:c r="K2804" i="1"/>
  <x:c r="N2804" i="1"/>
  <x:c r="H2805" i="1"/>
  <x:c r="K2805" i="1"/>
  <x:c r="N2805" i="1"/>
  <x:c r="H2806" i="1"/>
  <x:c r="K2806" i="1"/>
  <x:c r="N2806" i="1"/>
  <x:c r="H2807" i="1"/>
  <x:c r="K2807" i="1"/>
  <x:c r="N2807" i="1"/>
  <x:c r="H2808" i="1"/>
  <x:c r="K2808" i="1"/>
  <x:c r="N2808" i="1"/>
  <x:c r="H2809" i="1"/>
  <x:c r="K2809" i="1"/>
  <x:c r="N2809" i="1"/>
  <x:c r="H2810" i="1"/>
  <x:c r="K2810" i="1"/>
  <x:c r="N2810" i="1"/>
  <x:c r="H2811" i="1"/>
  <x:c r="K2811" i="1"/>
  <x:c r="N2811" i="1"/>
  <x:c r="H2812" i="1"/>
  <x:c r="K2812" i="1"/>
  <x:c r="N2812" i="1"/>
  <x:c r="H2813" i="1"/>
  <x:c r="K2813" i="1"/>
  <x:c r="N2813" i="1"/>
  <x:c r="H2814" i="1"/>
  <x:c r="K2814" i="1"/>
  <x:c r="N2814" i="1"/>
  <x:c r="H2815" i="1"/>
  <x:c r="K2815" i="1"/>
  <x:c r="N2815" i="1"/>
  <x:c r="H2816" i="1"/>
  <x:c r="K2816" i="1"/>
  <x:c r="N2816" i="1"/>
  <x:c r="H2817" i="1"/>
  <x:c r="K2817" i="1"/>
  <x:c r="N2817" i="1"/>
  <x:c r="H2818" i="1"/>
  <x:c r="K2818" i="1"/>
  <x:c r="N2818" i="1"/>
  <x:c r="H2819" i="1"/>
  <x:c r="K2819" i="1"/>
  <x:c r="N2819" i="1"/>
  <x:c r="H2820" i="1"/>
  <x:c r="K2820" i="1"/>
  <x:c r="N2820" i="1"/>
  <x:c r="H2821" i="1"/>
  <x:c r="K2821" i="1"/>
  <x:c r="N2821" i="1"/>
  <x:c r="H2822" i="1"/>
  <x:c r="K2822" i="1"/>
  <x:c r="N2822" i="1"/>
  <x:c r="H2823" i="1"/>
  <x:c r="K2823" i="1"/>
  <x:c r="N2823" i="1"/>
  <x:c r="H2824" i="1"/>
  <x:c r="K2824" i="1"/>
  <x:c r="N2824" i="1"/>
  <x:c r="H2825" i="1"/>
  <x:c r="K2825" i="1"/>
  <x:c r="N2825" i="1"/>
  <x:c r="H2826" i="1"/>
  <x:c r="K2826" i="1"/>
  <x:c r="N2826" i="1"/>
  <x:c r="H2827" i="1"/>
  <x:c r="K2827" i="1"/>
  <x:c r="N2827" i="1"/>
  <x:c r="H2828" i="1"/>
  <x:c r="K2828" i="1"/>
  <x:c r="N2828" i="1"/>
  <x:c r="H2829" i="1"/>
  <x:c r="K2829" i="1"/>
  <x:c r="N2829" i="1"/>
  <x:c r="H2830" i="1"/>
  <x:c r="K2830" i="1"/>
  <x:c r="N2830" i="1"/>
  <x:c r="H2831" i="1"/>
  <x:c r="K2831" i="1"/>
  <x:c r="N2831" i="1"/>
  <x:c r="H2832" i="1"/>
  <x:c r="K2832" i="1"/>
  <x:c r="N2832" i="1"/>
  <x:c r="H2833" i="1"/>
  <x:c r="K2833" i="1"/>
  <x:c r="N2833" i="1"/>
  <x:c r="H2834" i="1"/>
  <x:c r="K2834" i="1"/>
  <x:c r="N2834" i="1"/>
  <x:c r="H2835" i="1"/>
  <x:c r="K2835" i="1"/>
  <x:c r="N2835" i="1"/>
  <x:c r="H2836" i="1"/>
  <x:c r="K2836" i="1"/>
  <x:c r="N2836" i="1"/>
  <x:c r="H2837" i="1"/>
  <x:c r="K2837" i="1"/>
  <x:c r="N2837" i="1"/>
  <x:c r="H2838" i="1"/>
  <x:c r="K2838" i="1"/>
  <x:c r="N2838" i="1"/>
  <x:c r="H2839" i="1"/>
  <x:c r="K2839" i="1"/>
  <x:c r="N2839" i="1"/>
  <x:c r="H2840" i="1"/>
  <x:c r="K2840" i="1"/>
  <x:c r="N2840" i="1"/>
  <x:c r="H2841" i="1"/>
  <x:c r="K2841" i="1"/>
  <x:c r="N2841" i="1"/>
  <x:c r="H2842" i="1"/>
  <x:c r="K2842" i="1"/>
  <x:c r="N2842" i="1"/>
  <x:c r="H2843" i="1"/>
  <x:c r="K2843" i="1"/>
  <x:c r="N2843" i="1"/>
  <x:c r="H2844" i="1"/>
  <x:c r="K2844" i="1"/>
  <x:c r="N2844" i="1"/>
  <x:c r="H2845" i="1"/>
  <x:c r="K2845" i="1"/>
  <x:c r="N2845" i="1"/>
  <x:c r="H2846" i="1"/>
  <x:c r="K2846" i="1"/>
  <x:c r="N2846" i="1"/>
  <x:c r="H2847" i="1"/>
  <x:c r="K2847" i="1"/>
  <x:c r="N2847" i="1"/>
  <x:c r="H2848" i="1"/>
  <x:c r="K2848" i="1"/>
  <x:c r="N2848" i="1"/>
  <x:c r="H2849" i="1"/>
  <x:c r="K2849" i="1"/>
  <x:c r="N2849" i="1"/>
  <x:c r="H2850" i="1"/>
  <x:c r="K2850" i="1"/>
  <x:c r="N2850" i="1"/>
  <x:c r="H2851" i="1"/>
  <x:c r="K2851" i="1"/>
  <x:c r="N2851" i="1"/>
  <x:c r="H2852" i="1"/>
  <x:c r="K2852" i="1"/>
  <x:c r="N2852" i="1"/>
  <x:c r="H2853" i="1"/>
  <x:c r="K2853" i="1"/>
  <x:c r="N2853" i="1"/>
  <x:c r="H2854" i="1"/>
  <x:c r="K2854" i="1"/>
  <x:c r="N2854" i="1"/>
  <x:c r="H2855" i="1"/>
  <x:c r="K2855" i="1"/>
  <x:c r="N2855" i="1"/>
  <x:c r="H2856" i="1"/>
  <x:c r="K2856" i="1"/>
  <x:c r="N2856" i="1"/>
  <x:c r="H2857" i="1"/>
  <x:c r="K2857" i="1"/>
  <x:c r="N2857" i="1"/>
  <x:c r="H2858" i="1"/>
  <x:c r="K2858" i="1"/>
  <x:c r="N2858" i="1"/>
  <x:c r="H2859" i="1"/>
  <x:c r="K2859" i="1"/>
  <x:c r="N2859" i="1"/>
  <x:c r="H2860" i="1"/>
  <x:c r="K2860" i="1"/>
  <x:c r="N2860" i="1"/>
  <x:c r="H2861" i="1"/>
  <x:c r="K2861" i="1"/>
  <x:c r="N2861" i="1"/>
  <x:c r="H2862" i="1"/>
  <x:c r="K2862" i="1"/>
  <x:c r="N2862" i="1"/>
  <x:c r="H2863" i="1"/>
  <x:c r="K2863" i="1"/>
  <x:c r="N2863" i="1"/>
  <x:c r="H2864" i="1"/>
  <x:c r="K2864" i="1"/>
  <x:c r="N2864" i="1"/>
  <x:c r="H2865" i="1"/>
  <x:c r="K2865" i="1"/>
  <x:c r="N2865" i="1"/>
  <x:c r="H2866" i="1"/>
  <x:c r="K2866" i="1"/>
  <x:c r="N2866" i="1"/>
  <x:c r="H2867" i="1"/>
  <x:c r="K2867" i="1"/>
  <x:c r="N2867" i="1"/>
  <x:c r="H2868" i="1"/>
  <x:c r="K2868" i="1"/>
  <x:c r="N2868" i="1"/>
  <x:c r="H2869" i="1"/>
  <x:c r="K2869" i="1"/>
  <x:c r="N2869" i="1"/>
  <x:c r="H2870" i="1"/>
  <x:c r="K2870" i="1"/>
  <x:c r="N2870" i="1"/>
  <x:c r="H2871" i="1"/>
  <x:c r="K2871" i="1"/>
  <x:c r="N2871" i="1"/>
  <x:c r="H2872" i="1"/>
  <x:c r="K2872" i="1"/>
  <x:c r="N2872" i="1"/>
  <x:c r="H2873" i="1"/>
  <x:c r="K2873" i="1"/>
  <x:c r="N2873" i="1"/>
  <x:c r="H2874" i="1"/>
  <x:c r="K2874" i="1"/>
  <x:c r="N2874" i="1"/>
  <x:c r="H2875" i="1"/>
  <x:c r="K2875" i="1"/>
  <x:c r="N2875" i="1"/>
  <x:c r="H2876" i="1"/>
  <x:c r="K2876" i="1"/>
  <x:c r="N2876" i="1"/>
  <x:c r="H2877" i="1"/>
  <x:c r="K2877" i="1"/>
  <x:c r="N2877" i="1"/>
  <x:c r="H2878" i="1"/>
  <x:c r="K2878" i="1"/>
  <x:c r="N2878" i="1"/>
  <x:c r="H2879" i="1"/>
  <x:c r="K2879" i="1"/>
  <x:c r="N2879" i="1"/>
  <x:c r="H2880" i="1"/>
  <x:c r="K2880" i="1"/>
  <x:c r="N2880" i="1"/>
  <x:c r="H2881" i="1"/>
  <x:c r="K2881" i="1"/>
  <x:c r="N2881" i="1"/>
  <x:c r="H2882" i="1"/>
  <x:c r="K2882" i="1"/>
  <x:c r="N2882" i="1"/>
  <x:c r="H2883" i="1"/>
  <x:c r="K2883" i="1"/>
  <x:c r="N2883" i="1"/>
  <x:c r="H2884" i="1"/>
  <x:c r="K2884" i="1"/>
  <x:c r="N2884" i="1"/>
  <x:c r="H2885" i="1"/>
  <x:c r="K2885" i="1"/>
  <x:c r="N2885" i="1"/>
  <x:c r="H2886" i="1"/>
  <x:c r="K2886" i="1"/>
  <x:c r="N2886" i="1"/>
  <x:c r="H2887" i="1"/>
  <x:c r="K2887" i="1"/>
  <x:c r="N2887" i="1"/>
  <x:c r="H2888" i="1"/>
  <x:c r="K2888" i="1"/>
  <x:c r="N2888" i="1"/>
  <x:c r="H2889" i="1"/>
  <x:c r="K2889" i="1"/>
  <x:c r="N2889" i="1"/>
  <x:c r="H2890" i="1"/>
  <x:c r="K2890" i="1"/>
  <x:c r="N2890" i="1"/>
  <x:c r="H2891" i="1"/>
  <x:c r="K2891" i="1"/>
  <x:c r="N2891" i="1"/>
  <x:c r="H2892" i="1"/>
  <x:c r="K2892" i="1"/>
  <x:c r="N2892" i="1"/>
  <x:c r="H2893" i="1"/>
  <x:c r="K2893" i="1"/>
  <x:c r="N2893" i="1"/>
  <x:c r="H2894" i="1"/>
  <x:c r="K2894" i="1"/>
  <x:c r="N2894" i="1"/>
  <x:c r="H2895" i="1"/>
  <x:c r="K2895" i="1"/>
  <x:c r="N2895" i="1"/>
  <x:c r="H2896" i="1"/>
  <x:c r="K2896" i="1"/>
  <x:c r="N2896" i="1"/>
  <x:c r="H2897" i="1"/>
  <x:c r="K2897" i="1"/>
  <x:c r="N2897" i="1"/>
  <x:c r="H2898" i="1"/>
  <x:c r="K2898" i="1"/>
  <x:c r="N2898" i="1"/>
  <x:c r="H2899" i="1"/>
  <x:c r="K2899" i="1"/>
  <x:c r="N2899" i="1"/>
  <x:c r="H2900" i="1"/>
  <x:c r="K2900" i="1"/>
  <x:c r="N2900" i="1"/>
  <x:c r="H2901" i="1"/>
  <x:c r="K2901" i="1"/>
  <x:c r="N2901" i="1"/>
  <x:c r="H2902" i="1"/>
  <x:c r="K2902" i="1"/>
  <x:c r="N2902" i="1"/>
  <x:c r="H2903" i="1"/>
  <x:c r="K2903" i="1"/>
  <x:c r="N2903" i="1"/>
  <x:c r="H2904" i="1"/>
  <x:c r="K2904" i="1"/>
  <x:c r="N2904" i="1"/>
  <x:c r="H2905" i="1"/>
  <x:c r="K2905" i="1"/>
  <x:c r="N2905" i="1"/>
  <x:c r="H2906" i="1"/>
  <x:c r="K2906" i="1"/>
  <x:c r="N2906" i="1"/>
  <x:c r="H2907" i="1"/>
  <x:c r="K2907" i="1"/>
  <x:c r="N2907" i="1"/>
  <x:c r="H2908" i="1"/>
  <x:c r="K2908" i="1"/>
  <x:c r="N2908" i="1"/>
  <x:c r="H2909" i="1"/>
  <x:c r="K2909" i="1"/>
  <x:c r="N2909" i="1"/>
  <x:c r="H2910" i="1"/>
  <x:c r="K2910" i="1"/>
  <x:c r="N2910" i="1"/>
  <x:c r="H2911" i="1"/>
  <x:c r="K2911" i="1"/>
  <x:c r="N2911" i="1"/>
  <x:c r="H2912" i="1"/>
  <x:c r="K2912" i="1"/>
  <x:c r="N2912" i="1"/>
  <x:c r="H2913" i="1"/>
  <x:c r="K2913" i="1"/>
  <x:c r="N2913" i="1"/>
  <x:c r="H2914" i="1"/>
  <x:c r="K2914" i="1"/>
  <x:c r="N2914" i="1"/>
  <x:c r="H2915" i="1"/>
  <x:c r="K2915" i="1"/>
  <x:c r="N2915" i="1"/>
  <x:c r="H2916" i="1"/>
  <x:c r="K2916" i="1"/>
  <x:c r="N2916" i="1"/>
  <x:c r="H2917" i="1"/>
  <x:c r="K2917" i="1"/>
  <x:c r="N2917" i="1"/>
  <x:c r="H2918" i="1"/>
  <x:c r="K2918" i="1"/>
  <x:c r="N2918" i="1"/>
  <x:c r="H2919" i="1"/>
  <x:c r="K2919" i="1"/>
  <x:c r="N2919" i="1"/>
  <x:c r="H2920" i="1"/>
  <x:c r="K2920" i="1"/>
  <x:c r="N2920" i="1"/>
  <x:c r="H2921" i="1"/>
  <x:c r="K2921" i="1"/>
  <x:c r="N2921" i="1"/>
  <x:c r="H2922" i="1"/>
  <x:c r="K2922" i="1"/>
  <x:c r="N2922" i="1"/>
  <x:c r="H2923" i="1"/>
  <x:c r="K2923" i="1"/>
  <x:c r="N2923" i="1"/>
  <x:c r="H2924" i="1"/>
  <x:c r="K2924" i="1"/>
  <x:c r="N2924" i="1"/>
  <x:c r="H2925" i="1"/>
  <x:c r="K2925" i="1"/>
  <x:c r="N2925" i="1"/>
  <x:c r="H2926" i="1"/>
  <x:c r="K2926" i="1"/>
  <x:c r="N2926" i="1"/>
  <x:c r="H2927" i="1"/>
  <x:c r="K2927" i="1"/>
  <x:c r="N2927" i="1"/>
  <x:c r="H2928" i="1"/>
  <x:c r="K2928" i="1"/>
  <x:c r="N2928" i="1"/>
  <x:c r="H2929" i="1"/>
  <x:c r="K2929" i="1"/>
  <x:c r="N2929" i="1"/>
  <x:c r="H2930" i="1"/>
  <x:c r="K2930" i="1"/>
  <x:c r="N2930" i="1"/>
  <x:c r="H2931" i="1"/>
  <x:c r="K2931" i="1"/>
  <x:c r="N2931" i="1"/>
  <x:c r="H2932" i="1"/>
  <x:c r="K2932" i="1"/>
  <x:c r="N2932" i="1"/>
  <x:c r="H2933" i="1"/>
  <x:c r="K2933" i="1"/>
  <x:c r="N2933" i="1"/>
  <x:c r="H2934" i="1"/>
  <x:c r="K2934" i="1"/>
  <x:c r="N2934" i="1"/>
  <x:c r="H2935" i="1"/>
  <x:c r="K2935" i="1"/>
  <x:c r="N2935" i="1"/>
  <x:c r="H2936" i="1"/>
  <x:c r="K2936" i="1"/>
  <x:c r="N2936" i="1"/>
  <x:c r="H2937" i="1"/>
  <x:c r="K2937" i="1"/>
  <x:c r="N2937" i="1"/>
  <x:c r="H2938" i="1"/>
  <x:c r="K2938" i="1"/>
  <x:c r="N2938" i="1"/>
  <x:c r="H2939" i="1"/>
  <x:c r="K2939" i="1"/>
  <x:c r="N2939" i="1"/>
  <x:c r="H2940" i="1"/>
  <x:c r="K2940" i="1"/>
  <x:c r="N2940" i="1"/>
  <x:c r="H2941" i="1"/>
  <x:c r="K2941" i="1"/>
  <x:c r="N2941" i="1"/>
  <x:c r="H2942" i="1"/>
  <x:c r="K2942" i="1"/>
  <x:c r="N2942" i="1"/>
  <x:c r="H2943" i="1"/>
  <x:c r="K2943" i="1"/>
  <x:c r="N2943" i="1"/>
  <x:c r="H2944" i="1"/>
  <x:c r="K2944" i="1"/>
  <x:c r="N2944" i="1"/>
  <x:c r="H2945" i="1"/>
  <x:c r="K2945" i="1"/>
  <x:c r="N2945" i="1"/>
  <x:c r="H2946" i="1"/>
  <x:c r="K2946" i="1"/>
  <x:c r="N2946" i="1"/>
  <x:c r="H2947" i="1"/>
  <x:c r="K2947" i="1"/>
  <x:c r="N2947" i="1"/>
  <x:c r="H2948" i="1"/>
  <x:c r="K2948" i="1"/>
  <x:c r="N2948" i="1"/>
  <x:c r="H2949" i="1"/>
  <x:c r="K2949" i="1"/>
  <x:c r="N2949" i="1"/>
  <x:c r="H2950" i="1"/>
  <x:c r="K2950" i="1"/>
  <x:c r="N2950" i="1"/>
  <x:c r="H2951" i="1"/>
  <x:c r="K2951" i="1"/>
  <x:c r="N2951" i="1"/>
  <x:c r="H2952" i="1"/>
  <x:c r="K2952" i="1"/>
  <x:c r="N2952" i="1"/>
  <x:c r="H2953" i="1"/>
  <x:c r="K2953" i="1"/>
  <x:c r="N2953" i="1"/>
  <x:c r="H2954" i="1"/>
  <x:c r="K2954" i="1"/>
  <x:c r="N2954" i="1"/>
  <x:c r="H2955" i="1"/>
  <x:c r="K2955" i="1"/>
  <x:c r="N2955" i="1"/>
  <x:c r="H2956" i="1"/>
  <x:c r="K2956" i="1"/>
  <x:c r="N2956" i="1"/>
  <x:c r="H2957" i="1"/>
  <x:c r="K2957" i="1"/>
  <x:c r="N2957" i="1"/>
  <x:c r="H2958" i="1"/>
  <x:c r="K2958" i="1"/>
  <x:c r="N2958" i="1"/>
  <x:c r="H2959" i="1"/>
  <x:c r="K2959" i="1"/>
  <x:c r="N2959" i="1"/>
  <x:c r="H2960" i="1"/>
  <x:c r="K2960" i="1"/>
  <x:c r="N2960" i="1"/>
  <x:c r="H2961" i="1"/>
  <x:c r="K2961" i="1"/>
  <x:c r="N2961" i="1"/>
  <x:c r="H2962" i="1"/>
  <x:c r="K2962" i="1"/>
  <x:c r="N2962" i="1"/>
  <x:c r="H2963" i="1"/>
  <x:c r="K2963" i="1"/>
  <x:c r="N2963" i="1"/>
  <x:c r="H2964" i="1"/>
  <x:c r="K2964" i="1"/>
  <x:c r="N2964" i="1"/>
  <x:c r="H2965" i="1"/>
  <x:c r="K2965" i="1"/>
  <x:c r="N2965" i="1"/>
  <x:c r="H2966" i="1"/>
  <x:c r="K2966" i="1"/>
  <x:c r="N2966" i="1"/>
  <x:c r="H2967" i="1"/>
  <x:c r="K2967" i="1"/>
  <x:c r="N2967" i="1"/>
  <x:c r="H2968" i="1"/>
  <x:c r="K2968" i="1"/>
  <x:c r="N2968" i="1"/>
  <x:c r="H2969" i="1"/>
  <x:c r="K2969" i="1"/>
  <x:c r="N2969" i="1"/>
  <x:c r="H2970" i="1"/>
  <x:c r="K2970" i="1"/>
  <x:c r="N2970" i="1"/>
  <x:c r="H2971" i="1"/>
  <x:c r="K2971" i="1"/>
  <x:c r="N2971" i="1"/>
  <x:c r="H2972" i="1"/>
  <x:c r="K2972" i="1"/>
  <x:c r="N2972" i="1"/>
  <x:c r="H2973" i="1"/>
  <x:c r="K2973" i="1"/>
  <x:c r="N2973" i="1"/>
  <x:c r="H2974" i="1"/>
  <x:c r="K2974" i="1"/>
  <x:c r="N2974" i="1"/>
  <x:c r="H2975" i="1"/>
  <x:c r="K2975" i="1"/>
  <x:c r="N2975" i="1"/>
  <x:c r="H2976" i="1"/>
  <x:c r="K2976" i="1"/>
  <x:c r="N2976" i="1"/>
  <x:c r="H2977" i="1"/>
  <x:c r="K2977" i="1"/>
  <x:c r="N2977" i="1"/>
  <x:c r="H2978" i="1"/>
  <x:c r="K2978" i="1"/>
  <x:c r="N2978" i="1"/>
  <x:c r="H2979" i="1"/>
  <x:c r="K2979" i="1"/>
  <x:c r="N2979" i="1"/>
  <x:c r="H2980" i="1"/>
  <x:c r="K2980" i="1"/>
  <x:c r="N2980" i="1"/>
  <x:c r="H2981" i="1"/>
  <x:c r="K2981" i="1"/>
  <x:c r="N2981" i="1"/>
  <x:c r="H2982" i="1"/>
  <x:c r="K2982" i="1"/>
  <x:c r="N2982" i="1"/>
  <x:c r="H2983" i="1"/>
  <x:c r="K2983" i="1"/>
  <x:c r="N2983" i="1"/>
  <x:c r="H2984" i="1"/>
  <x:c r="K2984" i="1"/>
  <x:c r="N2984" i="1"/>
  <x:c r="H2985" i="1"/>
  <x:c r="K2985" i="1"/>
  <x:c r="N2985" i="1"/>
  <x:c r="H2986" i="1"/>
  <x:c r="K2986" i="1"/>
  <x:c r="N2986" i="1"/>
  <x:c r="H2987" i="1"/>
  <x:c r="K2987" i="1"/>
  <x:c r="N2987" i="1"/>
  <x:c r="H2988" i="1"/>
  <x:c r="K2988" i="1"/>
  <x:c r="N2988" i="1"/>
  <x:c r="H2989" i="1"/>
  <x:c r="K2989" i="1"/>
  <x:c r="N2989" i="1"/>
  <x:c r="H2990" i="1"/>
  <x:c r="K2990" i="1"/>
  <x:c r="N2990" i="1"/>
  <x:c r="H2991" i="1"/>
  <x:c r="K2991" i="1"/>
  <x:c r="N2991" i="1"/>
  <x:c r="H2992" i="1"/>
  <x:c r="K2992" i="1"/>
  <x:c r="N2992" i="1"/>
  <x:c r="H2993" i="1"/>
  <x:c r="K2993" i="1"/>
  <x:c r="N2993" i="1"/>
  <x:c r="H2994" i="1"/>
  <x:c r="K2994" i="1"/>
  <x:c r="N2994" i="1"/>
  <x:c r="H2995" i="1"/>
  <x:c r="K2995" i="1"/>
  <x:c r="N2995" i="1"/>
  <x:c r="H2996" i="1"/>
  <x:c r="K2996" i="1"/>
  <x:c r="N2996" i="1"/>
  <x:c r="H2997" i="1"/>
  <x:c r="K2997" i="1"/>
  <x:c r="N2997" i="1"/>
  <x:c r="H2998" i="1"/>
  <x:c r="K2998" i="1"/>
  <x:c r="N2998" i="1"/>
  <x:c r="H2999" i="1"/>
  <x:c r="K2999" i="1"/>
  <x:c r="N2999" i="1"/>
  <x:c r="H3000" i="1"/>
  <x:c r="K3000" i="1"/>
  <x:c r="N3000" i="1"/>
  <x:c r="H3001" i="1"/>
  <x:c r="K3001" i="1"/>
  <x:c r="N3001" i="1"/>
  <x:c r="H3002" i="1"/>
  <x:c r="K3002" i="1"/>
  <x:c r="N3002" i="1"/>
  <x:c r="H3003" i="1"/>
  <x:c r="K3003" i="1"/>
  <x:c r="N3003" i="1"/>
  <x:c r="H3004" i="1"/>
  <x:c r="K3004" i="1"/>
  <x:c r="N3004" i="1"/>
  <x:c r="H3005" i="1"/>
  <x:c r="K3005" i="1"/>
  <x:c r="N3005" i="1"/>
  <x:c r="H3006" i="1"/>
  <x:c r="K3006" i="1"/>
  <x:c r="N3006" i="1"/>
  <x:c r="H3007" i="1"/>
  <x:c r="K3007" i="1"/>
  <x:c r="N3007" i="1"/>
  <x:c r="H3008" i="1"/>
  <x:c r="K3008" i="1"/>
  <x:c r="N3008" i="1"/>
  <x:c r="H3009" i="1"/>
  <x:c r="K3009" i="1"/>
  <x:c r="N3009" i="1"/>
  <x:c r="H3010" i="1"/>
  <x:c r="K3010" i="1"/>
  <x:c r="N3010" i="1"/>
  <x:c r="H3011" i="1"/>
  <x:c r="K3011" i="1"/>
  <x:c r="N3011" i="1"/>
  <x:c r="H3012" i="1"/>
  <x:c r="K3012" i="1"/>
  <x:c r="N3012" i="1"/>
  <x:c r="H3013" i="1"/>
  <x:c r="K3013" i="1"/>
  <x:c r="N3013" i="1"/>
  <x:c r="H3014" i="1"/>
  <x:c r="K3014" i="1"/>
  <x:c r="N3014" i="1"/>
  <x:c r="H3015" i="1"/>
  <x:c r="K3015" i="1"/>
  <x:c r="N3015" i="1"/>
  <x:c r="H3016" i="1"/>
  <x:c r="K3016" i="1"/>
  <x:c r="N3016" i="1"/>
  <x:c r="H3017" i="1"/>
  <x:c r="K3017" i="1"/>
  <x:c r="N3017" i="1"/>
  <x:c r="H3018" i="1"/>
  <x:c r="K3018" i="1"/>
  <x:c r="N3018" i="1"/>
  <x:c r="H3019" i="1"/>
  <x:c r="K3019" i="1"/>
  <x:c r="N3019" i="1"/>
  <x:c r="H3020" i="1"/>
  <x:c r="K3020" i="1"/>
  <x:c r="N3020" i="1"/>
  <x:c r="H3021" i="1"/>
  <x:c r="K3021" i="1"/>
  <x:c r="N3021" i="1"/>
  <x:c r="H3022" i="1"/>
  <x:c r="K3022" i="1"/>
  <x:c r="N3022" i="1"/>
  <x:c r="H3023" i="1"/>
  <x:c r="K3023" i="1"/>
  <x:c r="N3023" i="1"/>
  <x:c r="H3024" i="1"/>
  <x:c r="K3024" i="1"/>
  <x:c r="N3024" i="1"/>
  <x:c r="H3025" i="1"/>
  <x:c r="K3025" i="1"/>
  <x:c r="N3025" i="1"/>
  <x:c r="H3026" i="1"/>
  <x:c r="K3026" i="1"/>
  <x:c r="N3026" i="1"/>
  <x:c r="H3027" i="1"/>
  <x:c r="K3027" i="1"/>
  <x:c r="N3027" i="1"/>
  <x:c r="H3028" i="1"/>
  <x:c r="K3028" i="1"/>
  <x:c r="N3028" i="1"/>
  <x:c r="H3029" i="1"/>
  <x:c r="K3029" i="1"/>
  <x:c r="N3029" i="1"/>
  <x:c r="H3030" i="1"/>
  <x:c r="K3030" i="1"/>
  <x:c r="N3030" i="1"/>
  <x:c r="H3031" i="1"/>
  <x:c r="K3031" i="1"/>
  <x:c r="N3031" i="1"/>
  <x:c r="H3032" i="1"/>
  <x:c r="K3032" i="1"/>
  <x:c r="N3032" i="1"/>
  <x:c r="H3033" i="1"/>
  <x:c r="K3033" i="1"/>
  <x:c r="N3033" i="1"/>
  <x:c r="H3034" i="1"/>
  <x:c r="K3034" i="1"/>
  <x:c r="N3034" i="1"/>
  <x:c r="H3035" i="1"/>
  <x:c r="K3035" i="1"/>
  <x:c r="N3035" i="1"/>
  <x:c r="H3036" i="1"/>
  <x:c r="K3036" i="1"/>
  <x:c r="N3036" i="1"/>
  <x:c r="H3037" i="1"/>
  <x:c r="K3037" i="1"/>
  <x:c r="N3037" i="1"/>
  <x:c r="H3038" i="1"/>
  <x:c r="K3038" i="1"/>
  <x:c r="N3038" i="1"/>
  <x:c r="H3039" i="1"/>
  <x:c r="K3039" i="1"/>
  <x:c r="N3039" i="1"/>
  <x:c r="H3040" i="1"/>
  <x:c r="K3040" i="1"/>
  <x:c r="N3040" i="1"/>
  <x:c r="H3041" i="1"/>
  <x:c r="K3041" i="1"/>
  <x:c r="N3041" i="1"/>
  <x:c r="H3042" i="1"/>
  <x:c r="K3042" i="1"/>
  <x:c r="N3042" i="1"/>
  <x:c r="H3043" i="1"/>
  <x:c r="K3043" i="1"/>
  <x:c r="N3043" i="1"/>
  <x:c r="H3044" i="1"/>
  <x:c r="K3044" i="1"/>
  <x:c r="N3044" i="1"/>
  <x:c r="H3045" i="1"/>
  <x:c r="K3045" i="1"/>
  <x:c r="N3045" i="1"/>
  <x:c r="H3046" i="1"/>
  <x:c r="K3046" i="1"/>
  <x:c r="N3046" i="1"/>
  <x:c r="H3047" i="1"/>
  <x:c r="K3047" i="1"/>
  <x:c r="N3047" i="1"/>
  <x:c r="H3048" i="1"/>
  <x:c r="K3048" i="1"/>
  <x:c r="N3048" i="1"/>
  <x:c r="H3049" i="1"/>
  <x:c r="K3049" i="1"/>
  <x:c r="N3049" i="1"/>
  <x:c r="H3050" i="1"/>
  <x:c r="K3050" i="1"/>
  <x:c r="N3050" i="1"/>
  <x:c r="H3051" i="1"/>
  <x:c r="K3051" i="1"/>
  <x:c r="N3051" i="1"/>
  <x:c r="H3052" i="1"/>
  <x:c r="K3052" i="1"/>
  <x:c r="N3052" i="1"/>
  <x:c r="H3053" i="1"/>
  <x:c r="K3053" i="1"/>
  <x:c r="N3053" i="1"/>
  <x:c r="H3054" i="1"/>
  <x:c r="K3054" i="1"/>
  <x:c r="N3054" i="1"/>
  <x:c r="H3055" i="1"/>
  <x:c r="K3055" i="1"/>
  <x:c r="N3055" i="1"/>
  <x:c r="H3056" i="1"/>
  <x:c r="K3056" i="1"/>
  <x:c r="N3056" i="1"/>
  <x:c r="H3057" i="1"/>
  <x:c r="K3057" i="1"/>
  <x:c r="N3057" i="1"/>
  <x:c r="H3058" i="1"/>
  <x:c r="K3058" i="1"/>
  <x:c r="N3058" i="1"/>
  <x:c r="H3059" i="1"/>
  <x:c r="K3059" i="1"/>
  <x:c r="N3059" i="1"/>
  <x:c r="H3060" i="1"/>
  <x:c r="K3060" i="1"/>
  <x:c r="N3060" i="1"/>
  <x:c r="H3061" i="1"/>
  <x:c r="K3061" i="1"/>
  <x:c r="N3061" i="1"/>
  <x:c r="H3062" i="1"/>
  <x:c r="K3062" i="1"/>
  <x:c r="N3062" i="1"/>
  <x:c r="H3063" i="1"/>
  <x:c r="K3063" i="1"/>
  <x:c r="N3063" i="1"/>
  <x:c r="H3064" i="1"/>
  <x:c r="K3064" i="1"/>
  <x:c r="N3064" i="1"/>
  <x:c r="H3065" i="1"/>
  <x:c r="K3065" i="1"/>
  <x:c r="N3065" i="1"/>
  <x:c r="H3066" i="1"/>
  <x:c r="K3066" i="1"/>
  <x:c r="N3066" i="1"/>
  <x:c r="H3067" i="1"/>
  <x:c r="K3067" i="1"/>
  <x:c r="N3067" i="1"/>
  <x:c r="H3068" i="1"/>
  <x:c r="K3068" i="1"/>
  <x:c r="N3068" i="1"/>
  <x:c r="H3069" i="1"/>
  <x:c r="K3069" i="1"/>
  <x:c r="N3069" i="1"/>
  <x:c r="H3070" i="1"/>
  <x:c r="K3070" i="1"/>
  <x:c r="N3070" i="1"/>
  <x:c r="H3071" i="1"/>
  <x:c r="K3071" i="1"/>
  <x:c r="N3071" i="1"/>
  <x:c r="H3072" i="1"/>
  <x:c r="K3072" i="1"/>
  <x:c r="N3072" i="1"/>
  <x:c r="H3073" i="1"/>
  <x:c r="K3073" i="1"/>
  <x:c r="N3073" i="1"/>
  <x:c r="H3074" i="1"/>
  <x:c r="K3074" i="1"/>
  <x:c r="N3074" i="1"/>
  <x:c r="H3075" i="1"/>
  <x:c r="K3075" i="1"/>
  <x:c r="N3075" i="1"/>
  <x:c r="H3076" i="1"/>
  <x:c r="K3076" i="1"/>
  <x:c r="N3076" i="1"/>
  <x:c r="H3077" i="1"/>
  <x:c r="K3077" i="1"/>
  <x:c r="N3077" i="1"/>
  <x:c r="H3078" i="1"/>
  <x:c r="K3078" i="1"/>
  <x:c r="N3078" i="1"/>
  <x:c r="H3079" i="1"/>
  <x:c r="K3079" i="1"/>
  <x:c r="N3079" i="1"/>
  <x:c r="H3080" i="1"/>
  <x:c r="K3080" i="1"/>
  <x:c r="N3080" i="1"/>
  <x:c r="H3081" i="1"/>
  <x:c r="K3081" i="1"/>
  <x:c r="N3081" i="1"/>
  <x:c r="H3082" i="1"/>
  <x:c r="K3082" i="1"/>
  <x:c r="N3082" i="1"/>
  <x:c r="H3083" i="1"/>
  <x:c r="K3083" i="1"/>
  <x:c r="N3083" i="1"/>
  <x:c r="H3084" i="1"/>
  <x:c r="K3084" i="1"/>
  <x:c r="N3084" i="1"/>
  <x:c r="H3085" i="1"/>
  <x:c r="K3085" i="1"/>
  <x:c r="N3085" i="1"/>
  <x:c r="H3086" i="1"/>
  <x:c r="K3086" i="1"/>
  <x:c r="N3086" i="1"/>
  <x:c r="H3087" i="1"/>
  <x:c r="K3087" i="1"/>
  <x:c r="N3087" i="1"/>
  <x:c r="H3088" i="1"/>
  <x:c r="K3088" i="1"/>
  <x:c r="N3088" i="1"/>
  <x:c r="H3089" i="1"/>
  <x:c r="K3089" i="1"/>
  <x:c r="N3089" i="1"/>
  <x:c r="H3090" i="1"/>
  <x:c r="K3090" i="1"/>
  <x:c r="N3090" i="1"/>
  <x:c r="H3091" i="1"/>
  <x:c r="K3091" i="1"/>
  <x:c r="N3091" i="1"/>
  <x:c r="H3092" i="1"/>
  <x:c r="K3092" i="1"/>
  <x:c r="N3092" i="1"/>
  <x:c r="H3093" i="1"/>
  <x:c r="K3093" i="1"/>
  <x:c r="N3093" i="1"/>
  <x:c r="H3094" i="1"/>
  <x:c r="K3094" i="1"/>
  <x:c r="N3094" i="1"/>
  <x:c r="H3095" i="1"/>
  <x:c r="K3095" i="1"/>
  <x:c r="N3095" i="1"/>
  <x:c r="H3096" i="1"/>
  <x:c r="K3096" i="1"/>
  <x:c r="N3096" i="1"/>
  <x:c r="H3097" i="1"/>
  <x:c r="K3097" i="1"/>
  <x:c r="N3097" i="1"/>
  <x:c r="H3098" i="1"/>
  <x:c r="K3098" i="1"/>
  <x:c r="N3098" i="1"/>
  <x:c r="H3099" i="1"/>
  <x:c r="K3099" i="1"/>
  <x:c r="N3099" i="1"/>
  <x:c r="H3100" i="1"/>
  <x:c r="K3100" i="1"/>
  <x:c r="N3100" i="1"/>
  <x:c r="H3101" i="1"/>
  <x:c r="K3101" i="1"/>
  <x:c r="N3101" i="1"/>
  <x:c r="H3102" i="1"/>
  <x:c r="K3102" i="1"/>
  <x:c r="N3102" i="1"/>
  <x:c r="H3103" i="1"/>
  <x:c r="K3103" i="1"/>
  <x:c r="N3103" i="1"/>
  <x:c r="H3104" i="1"/>
  <x:c r="K3104" i="1"/>
  <x:c r="N3104" i="1"/>
  <x:c r="H3105" i="1"/>
  <x:c r="K3105" i="1"/>
  <x:c r="N3105" i="1"/>
  <x:c r="H3106" i="1"/>
  <x:c r="K3106" i="1"/>
  <x:c r="N3106" i="1"/>
  <x:c r="H3107" i="1"/>
  <x:c r="K3107" i="1"/>
  <x:c r="N3107" i="1"/>
  <x:c r="H3108" i="1"/>
  <x:c r="K3108" i="1"/>
  <x:c r="N3108" i="1"/>
  <x:c r="H3109" i="1"/>
  <x:c r="K3109" i="1"/>
  <x:c r="N3109" i="1"/>
  <x:c r="H3110" i="1"/>
  <x:c r="K3110" i="1"/>
  <x:c r="N3110" i="1"/>
  <x:c r="H3111" i="1"/>
  <x:c r="K3111" i="1"/>
  <x:c r="N3111" i="1"/>
  <x:c r="H3112" i="1"/>
  <x:c r="K3112" i="1"/>
  <x:c r="N3112" i="1"/>
  <x:c r="H3113" i="1"/>
  <x:c r="K3113" i="1"/>
  <x:c r="N3113" i="1"/>
  <x:c r="H3114" i="1"/>
  <x:c r="K3114" i="1"/>
  <x:c r="N3114" i="1"/>
  <x:c r="H3115" i="1"/>
  <x:c r="K3115" i="1"/>
  <x:c r="N3115" i="1"/>
  <x:c r="H3116" i="1"/>
  <x:c r="K3116" i="1"/>
  <x:c r="N3116" i="1"/>
  <x:c r="H3117" i="1"/>
  <x:c r="K3117" i="1"/>
  <x:c r="N3117" i="1"/>
  <x:c r="H3118" i="1"/>
  <x:c r="K3118" i="1"/>
  <x:c r="N3118" i="1"/>
  <x:c r="H3119" i="1"/>
  <x:c r="K3119" i="1"/>
  <x:c r="N3119" i="1"/>
  <x:c r="H3120" i="1"/>
  <x:c r="K3120" i="1"/>
  <x:c r="N3120" i="1"/>
  <x:c r="H3121" i="1"/>
  <x:c r="K3121" i="1"/>
  <x:c r="N3121" i="1"/>
  <x:c r="H3122" i="1"/>
  <x:c r="K3122" i="1"/>
  <x:c r="N3122" i="1"/>
  <x:c r="H3123" i="1"/>
  <x:c r="K3123" i="1"/>
  <x:c r="N3123" i="1"/>
  <x:c r="H3124" i="1"/>
  <x:c r="K3124" i="1"/>
  <x:c r="N3124" i="1"/>
  <x:c r="H3125" i="1"/>
  <x:c r="K3125" i="1"/>
  <x:c r="N3125" i="1"/>
  <x:c r="H3126" i="1"/>
  <x:c r="K3126" i="1"/>
  <x:c r="N3126" i="1"/>
  <x:c r="H3127" i="1"/>
  <x:c r="K3127" i="1"/>
  <x:c r="N3127" i="1"/>
  <x:c r="H3128" i="1"/>
  <x:c r="K3128" i="1"/>
  <x:c r="N3128" i="1"/>
  <x:c r="H3129" i="1"/>
  <x:c r="K3129" i="1"/>
  <x:c r="N3129" i="1"/>
  <x:c r="H3130" i="1"/>
  <x:c r="K3130" i="1"/>
  <x:c r="N3130" i="1"/>
  <x:c r="H3131" i="1"/>
  <x:c r="K3131" i="1"/>
  <x:c r="N3131" i="1"/>
  <x:c r="H3132" i="1"/>
  <x:c r="K3132" i="1"/>
  <x:c r="N3132" i="1"/>
  <x:c r="H3133" i="1"/>
  <x:c r="K3133" i="1"/>
  <x:c r="N3133" i="1"/>
  <x:c r="H3134" i="1"/>
  <x:c r="K3134" i="1"/>
  <x:c r="N3134" i="1"/>
  <x:c r="H3135" i="1"/>
  <x:c r="K3135" i="1"/>
  <x:c r="N3135" i="1"/>
  <x:c r="H3136" i="1"/>
  <x:c r="K3136" i="1"/>
  <x:c r="N3136" i="1"/>
  <x:c r="H3137" i="1"/>
  <x:c r="K3137" i="1"/>
  <x:c r="N3137" i="1"/>
  <x:c r="H3138" i="1"/>
  <x:c r="K3138" i="1"/>
  <x:c r="N3138" i="1"/>
  <x:c r="H3139" i="1"/>
  <x:c r="K3139" i="1"/>
  <x:c r="N3139" i="1"/>
  <x:c r="H3140" i="1"/>
  <x:c r="K3140" i="1"/>
  <x:c r="N3140" i="1"/>
  <x:c r="H3141" i="1"/>
  <x:c r="K3141" i="1"/>
  <x:c r="N3141" i="1"/>
  <x:c r="H3142" i="1"/>
  <x:c r="K3142" i="1"/>
  <x:c r="N3142" i="1"/>
  <x:c r="H3143" i="1"/>
  <x:c r="K3143" i="1"/>
  <x:c r="N3143" i="1"/>
  <x:c r="H3144" i="1"/>
  <x:c r="K3144" i="1"/>
  <x:c r="N3144" i="1"/>
  <x:c r="H3145" i="1"/>
  <x:c r="K3145" i="1"/>
  <x:c r="N3145" i="1"/>
  <x:c r="H3146" i="1"/>
  <x:c r="K3146" i="1"/>
  <x:c r="N3146" i="1"/>
  <x:c r="H3147" i="1"/>
  <x:c r="K3147" i="1"/>
  <x:c r="N3147" i="1"/>
  <x:c r="H3148" i="1"/>
  <x:c r="K3148" i="1"/>
  <x:c r="N3148" i="1"/>
  <x:c r="H3149" i="1"/>
  <x:c r="K3149" i="1"/>
  <x:c r="N3149" i="1"/>
  <x:c r="H3150" i="1"/>
  <x:c r="K3150" i="1"/>
  <x:c r="N3150" i="1"/>
  <x:c r="H3151" i="1"/>
  <x:c r="K3151" i="1"/>
  <x:c r="N3151" i="1"/>
  <x:c r="H3152" i="1"/>
  <x:c r="K3152" i="1"/>
  <x:c r="N3152" i="1"/>
  <x:c r="H3153" i="1"/>
  <x:c r="K3153" i="1"/>
  <x:c r="N3153" i="1"/>
  <x:c r="H3154" i="1"/>
  <x:c r="K3154" i="1"/>
  <x:c r="N3154" i="1"/>
  <x:c r="H3155" i="1"/>
  <x:c r="K3155" i="1"/>
  <x:c r="N3155" i="1"/>
  <x:c r="H3156" i="1"/>
  <x:c r="K3156" i="1"/>
  <x:c r="N3156" i="1"/>
  <x:c r="H3157" i="1"/>
  <x:c r="K3157" i="1"/>
  <x:c r="N3157" i="1"/>
  <x:c r="H3158" i="1"/>
  <x:c r="K3158" i="1"/>
  <x:c r="N3158" i="1"/>
  <x:c r="H3159" i="1"/>
  <x:c r="K3159" i="1"/>
  <x:c r="N3159" i="1"/>
  <x:c r="H3160" i="1"/>
  <x:c r="K3160" i="1"/>
  <x:c r="N3160" i="1"/>
  <x:c r="H3161" i="1"/>
  <x:c r="K3161" i="1"/>
  <x:c r="N3161" i="1"/>
  <x:c r="H3162" i="1"/>
  <x:c r="K3162" i="1"/>
  <x:c r="N3162" i="1"/>
  <x:c r="H3163" i="1"/>
  <x:c r="K3163" i="1"/>
  <x:c r="N3163" i="1"/>
  <x:c r="H3164" i="1"/>
  <x:c r="K3164" i="1"/>
  <x:c r="N3164" i="1"/>
  <x:c r="H3165" i="1"/>
  <x:c r="K3165" i="1"/>
  <x:c r="N3165" i="1"/>
  <x:c r="H3166" i="1"/>
  <x:c r="K3166" i="1"/>
  <x:c r="N3166" i="1"/>
  <x:c r="H3167" i="1"/>
  <x:c r="K3167" i="1"/>
  <x:c r="N3167" i="1"/>
  <x:c r="H3168" i="1"/>
  <x:c r="K3168" i="1"/>
  <x:c r="N3168" i="1"/>
  <x:c r="H3169" i="1"/>
  <x:c r="K3169" i="1"/>
  <x:c r="N3169" i="1"/>
  <x:c r="H3170" i="1"/>
  <x:c r="K3170" i="1"/>
  <x:c r="N3170" i="1"/>
  <x:c r="H3171" i="1"/>
  <x:c r="K3171" i="1"/>
  <x:c r="N3171" i="1"/>
  <x:c r="H3172" i="1"/>
  <x:c r="K3172" i="1"/>
  <x:c r="N3172" i="1"/>
  <x:c r="H3173" i="1"/>
  <x:c r="K3173" i="1"/>
  <x:c r="N3173" i="1"/>
  <x:c r="H3174" i="1"/>
  <x:c r="K3174" i="1"/>
  <x:c r="N3174" i="1"/>
  <x:c r="H3175" i="1"/>
  <x:c r="K3175" i="1"/>
  <x:c r="N3175" i="1"/>
  <x:c r="H3176" i="1"/>
  <x:c r="K3176" i="1"/>
  <x:c r="N3176" i="1"/>
  <x:c r="H3177" i="1"/>
  <x:c r="K3177" i="1"/>
  <x:c r="N3177" i="1"/>
  <x:c r="H3178" i="1"/>
  <x:c r="K3178" i="1"/>
  <x:c r="N3178" i="1"/>
  <x:c r="H3179" i="1"/>
  <x:c r="K3179" i="1"/>
  <x:c r="N3179" i="1"/>
  <x:c r="H3180" i="1"/>
  <x:c r="K3180" i="1"/>
  <x:c r="N3180" i="1"/>
  <x:c r="H3181" i="1"/>
  <x:c r="K3181" i="1"/>
  <x:c r="N3181" i="1"/>
  <x:c r="H3182" i="1"/>
  <x:c r="K3182" i="1"/>
  <x:c r="N3182" i="1"/>
  <x:c r="H3183" i="1"/>
  <x:c r="K3183" i="1"/>
  <x:c r="N3183" i="1"/>
  <x:c r="H3184" i="1"/>
  <x:c r="K3184" i="1"/>
  <x:c r="N3184" i="1"/>
  <x:c r="H3185" i="1"/>
  <x:c r="K3185" i="1"/>
  <x:c r="N3185" i="1"/>
  <x:c r="H3186" i="1"/>
  <x:c r="K3186" i="1"/>
  <x:c r="N3186" i="1"/>
  <x:c r="H3187" i="1"/>
  <x:c r="K3187" i="1"/>
  <x:c r="N3187" i="1"/>
  <x:c r="H3188" i="1"/>
  <x:c r="K3188" i="1"/>
  <x:c r="N3188" i="1"/>
  <x:c r="H3189" i="1"/>
  <x:c r="K3189" i="1"/>
  <x:c r="N3189" i="1"/>
  <x:c r="H3190" i="1"/>
  <x:c r="K3190" i="1"/>
  <x:c r="N3190" i="1"/>
  <x:c r="H3191" i="1"/>
  <x:c r="K3191" i="1"/>
  <x:c r="N3191" i="1"/>
  <x:c r="H3192" i="1"/>
  <x:c r="K3192" i="1"/>
  <x:c r="N3192" i="1"/>
  <x:c r="H3193" i="1"/>
  <x:c r="K3193" i="1"/>
  <x:c r="N3193" i="1"/>
  <x:c r="H3194" i="1"/>
  <x:c r="K3194" i="1"/>
  <x:c r="N3194" i="1"/>
  <x:c r="H3195" i="1"/>
  <x:c r="K3195" i="1"/>
  <x:c r="N3195" i="1"/>
  <x:c r="H3196" i="1"/>
  <x:c r="K3196" i="1"/>
  <x:c r="N3196" i="1"/>
  <x:c r="H3197" i="1"/>
  <x:c r="K3197" i="1"/>
  <x:c r="N3197" i="1"/>
  <x:c r="H3198" i="1"/>
  <x:c r="K3198" i="1"/>
  <x:c r="N3198" i="1"/>
  <x:c r="H3199" i="1"/>
  <x:c r="K3199" i="1"/>
  <x:c r="N3199" i="1"/>
  <x:c r="H3200" i="1"/>
  <x:c r="K3200" i="1"/>
  <x:c r="N3200" i="1"/>
  <x:c r="H3201" i="1"/>
  <x:c r="K3201" i="1"/>
  <x:c r="N3201" i="1"/>
  <x:c r="H3202" i="1"/>
  <x:c r="K3202" i="1"/>
  <x:c r="N3202" i="1"/>
  <x:c r="H3203" i="1"/>
  <x:c r="K3203" i="1"/>
  <x:c r="N3203" i="1"/>
  <x:c r="H3204" i="1"/>
  <x:c r="K3204" i="1"/>
  <x:c r="N3204" i="1"/>
  <x:c r="H3205" i="1"/>
  <x:c r="K3205" i="1"/>
  <x:c r="N3205" i="1"/>
  <x:c r="H3206" i="1"/>
  <x:c r="K3206" i="1"/>
  <x:c r="N3206" i="1"/>
  <x:c r="H3207" i="1"/>
  <x:c r="K3207" i="1"/>
  <x:c r="N3207" i="1"/>
  <x:c r="H3208" i="1"/>
  <x:c r="K3208" i="1"/>
  <x:c r="N3208" i="1"/>
  <x:c r="H3209" i="1"/>
  <x:c r="K3209" i="1"/>
  <x:c r="N3209" i="1"/>
  <x:c r="H3210" i="1"/>
  <x:c r="K3210" i="1"/>
  <x:c r="N3210" i="1"/>
  <x:c r="H3211" i="1"/>
  <x:c r="K3211" i="1"/>
  <x:c r="N3211" i="1"/>
  <x:c r="H3212" i="1"/>
  <x:c r="K3212" i="1"/>
  <x:c r="N3212" i="1"/>
  <x:c r="H3213" i="1"/>
  <x:c r="K3213" i="1"/>
  <x:c r="N3213" i="1"/>
  <x:c r="H3214" i="1"/>
  <x:c r="K3214" i="1"/>
  <x:c r="N3214" i="1"/>
  <x:c r="H3215" i="1"/>
  <x:c r="K3215" i="1"/>
  <x:c r="N3215" i="1"/>
  <x:c r="H3216" i="1"/>
  <x:c r="K3216" i="1"/>
  <x:c r="N3216" i="1"/>
  <x:c r="H3217" i="1"/>
  <x:c r="K3217" i="1"/>
  <x:c r="N3217" i="1"/>
  <x:c r="H3218" i="1"/>
  <x:c r="K3218" i="1"/>
  <x:c r="N3218" i="1"/>
  <x:c r="H3219" i="1"/>
  <x:c r="K3219" i="1"/>
  <x:c r="N3219" i="1"/>
  <x:c r="H3220" i="1"/>
  <x:c r="K3220" i="1"/>
  <x:c r="N3220" i="1"/>
  <x:c r="H3221" i="1"/>
  <x:c r="K3221" i="1"/>
  <x:c r="N3221" i="1"/>
  <x:c r="H3222" i="1"/>
  <x:c r="K3222" i="1"/>
  <x:c r="N3222" i="1"/>
  <x:c r="H3223" i="1"/>
  <x:c r="K3223" i="1"/>
  <x:c r="N3223" i="1"/>
  <x:c r="H3224" i="1"/>
  <x:c r="K3224" i="1"/>
  <x:c r="N3224" i="1"/>
  <x:c r="H3225" i="1"/>
  <x:c r="K3225" i="1"/>
  <x:c r="N3225" i="1"/>
  <x:c r="H3226" i="1"/>
  <x:c r="K3226" i="1"/>
  <x:c r="N3226" i="1"/>
  <x:c r="H3227" i="1"/>
  <x:c r="K3227" i="1"/>
  <x:c r="N3227" i="1"/>
  <x:c r="H3228" i="1"/>
  <x:c r="K3228" i="1"/>
  <x:c r="N3228" i="1"/>
  <x:c r="H3229" i="1"/>
  <x:c r="K3229" i="1"/>
  <x:c r="N3229" i="1"/>
  <x:c r="H3230" i="1"/>
  <x:c r="K3230" i="1"/>
  <x:c r="N3230" i="1"/>
  <x:c r="H3231" i="1"/>
  <x:c r="K3231" i="1"/>
  <x:c r="N3231" i="1"/>
  <x:c r="H3232" i="1"/>
  <x:c r="K3232" i="1"/>
  <x:c r="N3232" i="1"/>
  <x:c r="H3233" i="1"/>
  <x:c r="K3233" i="1"/>
  <x:c r="N3233" i="1"/>
  <x:c r="H3234" i="1"/>
  <x:c r="K3234" i="1"/>
  <x:c r="N3234" i="1"/>
  <x:c r="H3235" i="1"/>
  <x:c r="K3235" i="1"/>
  <x:c r="N3235" i="1"/>
  <x:c r="H3236" i="1"/>
  <x:c r="K3236" i="1"/>
  <x:c r="N3236" i="1"/>
  <x:c r="H3237" i="1"/>
  <x:c r="K3237" i="1"/>
  <x:c r="N3237" i="1"/>
  <x:c r="H3238" i="1"/>
  <x:c r="K3238" i="1"/>
  <x:c r="N3238" i="1"/>
  <x:c r="H3239" i="1"/>
  <x:c r="K3239" i="1"/>
  <x:c r="N3239" i="1"/>
  <x:c r="H3240" i="1"/>
  <x:c r="K3240" i="1"/>
  <x:c r="N3240" i="1"/>
  <x:c r="H3241" i="1"/>
  <x:c r="K3241" i="1"/>
  <x:c r="N3241" i="1"/>
  <x:c r="H3242" i="1"/>
  <x:c r="K3242" i="1"/>
  <x:c r="N3242" i="1"/>
  <x:c r="H3243" i="1"/>
  <x:c r="K3243" i="1"/>
  <x:c r="N3243" i="1"/>
  <x:c r="H3244" i="1"/>
  <x:c r="K3244" i="1"/>
  <x:c r="N3244" i="1"/>
  <x:c r="H3245" i="1"/>
  <x:c r="K3245" i="1"/>
  <x:c r="N3245" i="1"/>
  <x:c r="H3246" i="1"/>
  <x:c r="K3246" i="1"/>
  <x:c r="N3246" i="1"/>
  <x:c r="H3247" i="1"/>
  <x:c r="K3247" i="1"/>
  <x:c r="N3247" i="1"/>
  <x:c r="H3248" i="1"/>
  <x:c r="K3248" i="1"/>
  <x:c r="N3248" i="1"/>
  <x:c r="H3249" i="1"/>
  <x:c r="K3249" i="1"/>
  <x:c r="N3249" i="1"/>
  <x:c r="H3250" i="1"/>
  <x:c r="K3250" i="1"/>
  <x:c r="N3250" i="1"/>
  <x:c r="H3251" i="1"/>
  <x:c r="K3251" i="1"/>
  <x:c r="N3251" i="1"/>
  <x:c r="H3252" i="1"/>
  <x:c r="K3252" i="1"/>
  <x:c r="N3252" i="1"/>
  <x:c r="H3253" i="1"/>
  <x:c r="K3253" i="1"/>
  <x:c r="N3253" i="1"/>
  <x:c r="H3254" i="1"/>
  <x:c r="K3254" i="1"/>
  <x:c r="N3254" i="1"/>
  <x:c r="H3255" i="1"/>
  <x:c r="K3255" i="1"/>
  <x:c r="N3255" i="1"/>
  <x:c r="H3256" i="1"/>
  <x:c r="K3256" i="1"/>
  <x:c r="N3256" i="1"/>
  <x:c r="H3257" i="1"/>
  <x:c r="K3257" i="1"/>
  <x:c r="N3257" i="1"/>
  <x:c r="H3258" i="1"/>
  <x:c r="K3258" i="1"/>
  <x:c r="N3258" i="1"/>
  <x:c r="H3259" i="1"/>
  <x:c r="K3259" i="1"/>
  <x:c r="N3259" i="1"/>
  <x:c r="H3260" i="1"/>
  <x:c r="K3260" i="1"/>
  <x:c r="N3260" i="1"/>
  <x:c r="H3261" i="1"/>
  <x:c r="K3261" i="1"/>
  <x:c r="N3261" i="1"/>
  <x:c r="H3262" i="1"/>
  <x:c r="K3262" i="1"/>
  <x:c r="N3262" i="1"/>
  <x:c r="H3263" i="1"/>
  <x:c r="K3263" i="1"/>
  <x:c r="N3263" i="1"/>
  <x:c r="H3264" i="1"/>
  <x:c r="K3264" i="1"/>
  <x:c r="N3264" i="1"/>
  <x:c r="H3265" i="1"/>
  <x:c r="K3265" i="1"/>
  <x:c r="N3265" i="1"/>
  <x:c r="H3266" i="1"/>
  <x:c r="K3266" i="1"/>
  <x:c r="N3266" i="1"/>
  <x:c r="H3267" i="1"/>
  <x:c r="K3267" i="1"/>
  <x:c r="N3267" i="1"/>
  <x:c r="H3268" i="1"/>
  <x:c r="K3268" i="1"/>
  <x:c r="N3268" i="1"/>
  <x:c r="H3269" i="1"/>
  <x:c r="K3269" i="1"/>
  <x:c r="N3269" i="1"/>
  <x:c r="H3270" i="1"/>
  <x:c r="K3270" i="1"/>
  <x:c r="N3270" i="1"/>
  <x:c r="H3271" i="1"/>
  <x:c r="K3271" i="1"/>
  <x:c r="N3271" i="1"/>
  <x:c r="H3272" i="1"/>
  <x:c r="K3272" i="1"/>
  <x:c r="N3272" i="1"/>
  <x:c r="H3273" i="1"/>
  <x:c r="K3273" i="1"/>
  <x:c r="N3273" i="1"/>
  <x:c r="H3274" i="1"/>
  <x:c r="K3274" i="1"/>
  <x:c r="N3274" i="1"/>
  <x:c r="H3275" i="1"/>
  <x:c r="K3275" i="1"/>
  <x:c r="N3275" i="1"/>
  <x:c r="H3276" i="1"/>
  <x:c r="K3276" i="1"/>
  <x:c r="N3276" i="1"/>
  <x:c r="H3277" i="1"/>
  <x:c r="K3277" i="1"/>
  <x:c r="N3277" i="1"/>
  <x:c r="H3278" i="1"/>
  <x:c r="K3278" i="1"/>
  <x:c r="N3278" i="1"/>
  <x:c r="H3279" i="1"/>
  <x:c r="K3279" i="1"/>
  <x:c r="N3279" i="1"/>
  <x:c r="H3280" i="1"/>
  <x:c r="K3280" i="1"/>
  <x:c r="N3280" i="1"/>
  <x:c r="H3281" i="1"/>
  <x:c r="K3281" i="1"/>
  <x:c r="N3281" i="1"/>
  <x:c r="H3282" i="1"/>
  <x:c r="K3282" i="1"/>
  <x:c r="N3282" i="1"/>
  <x:c r="H3283" i="1"/>
  <x:c r="K3283" i="1"/>
  <x:c r="N3283" i="1"/>
  <x:c r="H3284" i="1"/>
  <x:c r="K3284" i="1"/>
  <x:c r="N3284" i="1"/>
  <x:c r="H3285" i="1"/>
  <x:c r="K3285" i="1"/>
  <x:c r="N3285" i="1"/>
  <x:c r="H3286" i="1"/>
  <x:c r="K3286" i="1"/>
  <x:c r="N3286" i="1"/>
  <x:c r="H3287" i="1"/>
  <x:c r="K3287" i="1"/>
  <x:c r="N3287" i="1"/>
  <x:c r="H3288" i="1"/>
  <x:c r="K3288" i="1"/>
  <x:c r="N3288" i="1"/>
  <x:c r="H3289" i="1"/>
  <x:c r="K3289" i="1"/>
  <x:c r="N3289" i="1"/>
  <x:c r="H3290" i="1"/>
  <x:c r="K3290" i="1"/>
  <x:c r="N3290" i="1"/>
  <x:c r="H3291" i="1"/>
  <x:c r="K3291" i="1"/>
  <x:c r="N3291" i="1"/>
  <x:c r="H3292" i="1"/>
  <x:c r="K3292" i="1"/>
  <x:c r="N3292" i="1"/>
  <x:c r="H3293" i="1"/>
  <x:c r="K3293" i="1"/>
  <x:c r="N3293" i="1"/>
  <x:c r="H3294" i="1"/>
  <x:c r="K3294" i="1"/>
  <x:c r="N3294" i="1"/>
  <x:c r="H3295" i="1"/>
  <x:c r="K3295" i="1"/>
  <x:c r="N3295" i="1"/>
  <x:c r="H3296" i="1"/>
  <x:c r="K3296" i="1"/>
  <x:c r="N3296" i="1"/>
  <x:c r="H3297" i="1"/>
  <x:c r="K3297" i="1"/>
  <x:c r="N3297" i="1"/>
  <x:c r="H3298" i="1"/>
  <x:c r="K3298" i="1"/>
  <x:c r="N3298" i="1"/>
  <x:c r="H3299" i="1"/>
  <x:c r="K3299" i="1"/>
  <x:c r="N3299" i="1"/>
  <x:c r="H3300" i="1"/>
  <x:c r="K3300" i="1"/>
  <x:c r="N3300" i="1"/>
  <x:c r="H3301" i="1"/>
  <x:c r="K3301" i="1"/>
  <x:c r="N3301" i="1"/>
  <x:c r="H3302" i="1"/>
  <x:c r="K3302" i="1"/>
  <x:c r="N3302" i="1"/>
  <x:c r="H3303" i="1"/>
  <x:c r="K3303" i="1"/>
  <x:c r="N3303" i="1"/>
  <x:c r="H3304" i="1"/>
  <x:c r="K3304" i="1"/>
  <x:c r="N3304" i="1"/>
  <x:c r="H3305" i="1"/>
  <x:c r="K3305" i="1"/>
  <x:c r="N3305" i="1"/>
  <x:c r="H3306" i="1"/>
  <x:c r="K3306" i="1"/>
  <x:c r="N3306" i="1"/>
  <x:c r="H3307" i="1"/>
  <x:c r="K3307" i="1"/>
  <x:c r="N3307" i="1"/>
  <x:c r="H3308" i="1"/>
  <x:c r="K3308" i="1"/>
  <x:c r="N3308" i="1"/>
  <x:c r="H3309" i="1"/>
  <x:c r="K3309" i="1"/>
  <x:c r="N3309" i="1"/>
  <x:c r="H3310" i="1"/>
  <x:c r="K3310" i="1"/>
  <x:c r="N3310" i="1"/>
  <x:c r="H3311" i="1"/>
  <x:c r="K3311" i="1"/>
  <x:c r="N3311" i="1"/>
  <x:c r="H3312" i="1"/>
  <x:c r="K3312" i="1"/>
  <x:c r="N3312" i="1"/>
  <x:c r="H3313" i="1"/>
  <x:c r="K3313" i="1"/>
  <x:c r="N3313" i="1"/>
  <x:c r="H3314" i="1"/>
  <x:c r="K3314" i="1"/>
  <x:c r="N3314" i="1"/>
  <x:c r="H3315" i="1"/>
  <x:c r="K3315" i="1"/>
  <x:c r="N3315" i="1"/>
  <x:c r="H3316" i="1"/>
  <x:c r="K3316" i="1"/>
  <x:c r="N3316" i="1"/>
  <x:c r="H3317" i="1"/>
  <x:c r="K3317" i="1"/>
  <x:c r="N3317" i="1"/>
  <x:c r="H3318" i="1"/>
  <x:c r="K3318" i="1"/>
  <x:c r="N3318" i="1"/>
  <x:c r="H3319" i="1"/>
  <x:c r="K3319" i="1"/>
  <x:c r="N3319" i="1"/>
  <x:c r="H3320" i="1"/>
  <x:c r="K3320" i="1"/>
  <x:c r="N3320" i="1"/>
  <x:c r="H3321" i="1"/>
  <x:c r="K3321" i="1"/>
  <x:c r="N3321" i="1"/>
  <x:c r="H3322" i="1"/>
  <x:c r="K3322" i="1"/>
  <x:c r="N3322" i="1"/>
  <x:c r="H3323" i="1"/>
  <x:c r="K3323" i="1"/>
  <x:c r="N3323" i="1"/>
  <x:c r="H3324" i="1"/>
  <x:c r="K3324" i="1"/>
  <x:c r="N3324" i="1"/>
  <x:c r="H3325" i="1"/>
  <x:c r="K3325" i="1"/>
  <x:c r="N3325" i="1"/>
  <x:c r="H3326" i="1"/>
  <x:c r="K3326" i="1"/>
  <x:c r="N3326" i="1"/>
  <x:c r="H3327" i="1"/>
  <x:c r="K3327" i="1"/>
  <x:c r="N3327" i="1"/>
  <x:c r="H3328" i="1"/>
  <x:c r="K3328" i="1"/>
  <x:c r="N3328" i="1"/>
  <x:c r="H3329" i="1"/>
  <x:c r="K3329" i="1"/>
  <x:c r="N3329" i="1"/>
  <x:c r="H3330" i="1"/>
  <x:c r="K3330" i="1"/>
  <x:c r="N3330" i="1"/>
  <x:c r="H3331" i="1"/>
  <x:c r="K3331" i="1"/>
  <x:c r="N3331" i="1"/>
  <x:c r="H3332" i="1"/>
  <x:c r="K3332" i="1"/>
  <x:c r="N3332" i="1"/>
  <x:c r="H3333" i="1"/>
  <x:c r="K3333" i="1"/>
  <x:c r="N3333" i="1"/>
  <x:c r="H3334" i="1"/>
  <x:c r="K3334" i="1"/>
  <x:c r="N3334" i="1"/>
  <x:c r="H3335" i="1"/>
  <x:c r="K3335" i="1"/>
  <x:c r="N3335" i="1"/>
  <x:c r="H3336" i="1"/>
  <x:c r="K3336" i="1"/>
  <x:c r="N3336" i="1"/>
  <x:c r="H3337" i="1"/>
  <x:c r="K3337" i="1"/>
  <x:c r="N3337" i="1"/>
  <x:c r="H3338" i="1"/>
  <x:c r="K3338" i="1"/>
  <x:c r="N3338" i="1"/>
  <x:c r="H3339" i="1"/>
  <x:c r="K3339" i="1"/>
  <x:c r="N3339" i="1"/>
  <x:c r="H3340" i="1"/>
  <x:c r="K3340" i="1"/>
  <x:c r="N3340" i="1"/>
  <x:c r="H3341" i="1"/>
  <x:c r="K3341" i="1"/>
  <x:c r="N3341" i="1"/>
  <x:c r="H3342" i="1"/>
  <x:c r="K3342" i="1"/>
  <x:c r="N3342" i="1"/>
  <x:c r="H3343" i="1"/>
  <x:c r="K3343" i="1"/>
  <x:c r="N3343" i="1"/>
  <x:c r="H3344" i="1"/>
  <x:c r="K3344" i="1"/>
  <x:c r="N3344" i="1"/>
  <x:c r="H3345" i="1"/>
  <x:c r="K3345" i="1"/>
  <x:c r="N3345" i="1"/>
  <x:c r="H3346" i="1"/>
  <x:c r="K3346" i="1"/>
  <x:c r="N3346" i="1"/>
  <x:c r="H3347" i="1"/>
  <x:c r="K3347" i="1"/>
  <x:c r="N3347" i="1"/>
  <x:c r="H3348" i="1"/>
  <x:c r="K3348" i="1"/>
  <x:c r="N3348" i="1"/>
  <x:c r="H3349" i="1"/>
  <x:c r="K3349" i="1"/>
  <x:c r="N3349" i="1"/>
  <x:c r="H3350" i="1"/>
  <x:c r="K3350" i="1"/>
  <x:c r="N3350" i="1"/>
  <x:c r="H3351" i="1"/>
  <x:c r="K3351" i="1"/>
  <x:c r="N3351" i="1"/>
  <x:c r="H3352" i="1"/>
  <x:c r="K3352" i="1"/>
  <x:c r="N3352" i="1"/>
  <x:c r="H3353" i="1"/>
  <x:c r="K3353" i="1"/>
  <x:c r="N3353" i="1"/>
  <x:c r="H3354" i="1"/>
  <x:c r="K3354" i="1"/>
  <x:c r="N3354" i="1"/>
  <x:c r="H3355" i="1"/>
  <x:c r="K3355" i="1"/>
  <x:c r="N3355" i="1"/>
  <x:c r="H3356" i="1"/>
  <x:c r="K3356" i="1"/>
  <x:c r="N3356" i="1"/>
  <x:c r="H3357" i="1"/>
  <x:c r="K3357" i="1"/>
  <x:c r="N3357" i="1"/>
  <x:c r="H3358" i="1"/>
  <x:c r="K3358" i="1"/>
  <x:c r="N3358" i="1"/>
  <x:c r="H3359" i="1"/>
  <x:c r="K3359" i="1"/>
  <x:c r="N3359" i="1"/>
  <x:c r="H3360" i="1"/>
  <x:c r="K3360" i="1"/>
  <x:c r="N3360" i="1"/>
  <x:c r="H3361" i="1"/>
  <x:c r="K3361" i="1"/>
  <x:c r="N3361" i="1"/>
  <x:c r="H3362" i="1"/>
  <x:c r="K3362" i="1"/>
  <x:c r="N3362" i="1"/>
  <x:c r="H3363" i="1"/>
  <x:c r="K3363" i="1"/>
  <x:c r="N3363" i="1"/>
  <x:c r="H3364" i="1"/>
  <x:c r="K3364" i="1"/>
  <x:c r="N3364" i="1"/>
  <x:c r="H3365" i="1"/>
  <x:c r="K3365" i="1"/>
  <x:c r="N3365" i="1"/>
  <x:c r="H3366" i="1"/>
  <x:c r="K3366" i="1"/>
  <x:c r="N3366" i="1"/>
  <x:c r="H3367" i="1"/>
  <x:c r="K3367" i="1"/>
  <x:c r="N3367" i="1"/>
  <x:c r="H3368" i="1"/>
  <x:c r="K3368" i="1"/>
  <x:c r="N3368" i="1"/>
  <x:c r="H3369" i="1"/>
  <x:c r="K3369" i="1"/>
  <x:c r="N3369" i="1"/>
  <x:c r="H3370" i="1"/>
  <x:c r="K3370" i="1"/>
  <x:c r="N3370" i="1"/>
  <x:c r="H3371" i="1"/>
  <x:c r="K3371" i="1"/>
  <x:c r="N3371" i="1"/>
  <x:c r="H3372" i="1"/>
  <x:c r="K3372" i="1"/>
  <x:c r="N3372" i="1"/>
  <x:c r="H3373" i="1"/>
  <x:c r="K3373" i="1"/>
  <x:c r="N3373" i="1"/>
  <x:c r="H3374" i="1"/>
  <x:c r="K3374" i="1"/>
  <x:c r="N3374" i="1"/>
  <x:c r="H3375" i="1"/>
  <x:c r="K3375" i="1"/>
  <x:c r="N3375" i="1"/>
  <x:c r="H3376" i="1"/>
  <x:c r="K3376" i="1"/>
  <x:c r="N3376" i="1"/>
  <x:c r="H3377" i="1"/>
  <x:c r="K3377" i="1"/>
  <x:c r="N3377" i="1"/>
  <x:c r="H3378" i="1"/>
  <x:c r="K3378" i="1"/>
  <x:c r="N3378" i="1"/>
  <x:c r="H3379" i="1"/>
  <x:c r="K3379" i="1"/>
  <x:c r="N3379" i="1"/>
  <x:c r="H3380" i="1"/>
  <x:c r="K3380" i="1"/>
  <x:c r="N3380" i="1"/>
  <x:c r="H3381" i="1"/>
  <x:c r="K3381" i="1"/>
  <x:c r="N3381" i="1"/>
  <x:c r="H3382" i="1"/>
  <x:c r="K3382" i="1"/>
  <x:c r="N3382" i="1"/>
  <x:c r="H3383" i="1"/>
  <x:c r="K3383" i="1"/>
  <x:c r="N3383" i="1"/>
  <x:c r="H3384" i="1"/>
  <x:c r="K3384" i="1"/>
  <x:c r="N3384" i="1"/>
  <x:c r="H3385" i="1"/>
  <x:c r="K3385" i="1"/>
  <x:c r="N3385" i="1"/>
  <x:c r="H3386" i="1"/>
  <x:c r="K3386" i="1"/>
  <x:c r="N3386" i="1"/>
  <x:c r="H3387" i="1"/>
  <x:c r="K3387" i="1"/>
  <x:c r="N3387" i="1"/>
  <x:c r="H3388" i="1"/>
  <x:c r="K3388" i="1"/>
  <x:c r="N3388" i="1"/>
  <x:c r="H3389" i="1"/>
  <x:c r="K3389" i="1"/>
  <x:c r="N3389" i="1"/>
  <x:c r="H3390" i="1"/>
  <x:c r="K3390" i="1"/>
  <x:c r="N3390" i="1"/>
  <x:c r="H3391" i="1"/>
  <x:c r="K3391" i="1"/>
  <x:c r="N3391" i="1"/>
  <x:c r="H3392" i="1"/>
  <x:c r="K3392" i="1"/>
  <x:c r="N3392" i="1"/>
  <x:c r="H3393" i="1"/>
  <x:c r="K3393" i="1"/>
  <x:c r="N3393" i="1"/>
  <x:c r="H3394" i="1"/>
  <x:c r="K3394" i="1"/>
  <x:c r="N3394" i="1"/>
  <x:c r="H3395" i="1"/>
  <x:c r="K3395" i="1"/>
  <x:c r="N3395" i="1"/>
  <x:c r="H3396" i="1"/>
  <x:c r="K3396" i="1"/>
  <x:c r="N3396" i="1"/>
  <x:c r="N2124" i="1" l="1"/>
  <x:c r="K2124" i="1"/>
  <x:c r="H2124" i="1"/>
  <x:c r="L453" i="1"/>
  <x:c r="E2126" i="1"/>
  <x:c r="J453" i="1"/>
  <x:c r="L2126" i="1"/>
  <x:c r="J2126" i="1"/>
  <x:c r="I2126" i="1"/>
  <x:c r="G2126" i="1"/>
  <x:c r="H1398" i="1"/>
  <x:c r="H2126" i="1" s="1"/>
  <x:c r="N1398" i="1"/>
  <x:c r="N2126" i="1" s="1"/>
  <x:c r="E453" i="1"/>
  <x:c r="G453" i="1"/>
  <x:c r="K1398" i="1"/>
  <x:c r="K2126" i="1" s="1"/>
  <x:c r="F453" i="1"/>
  <x:c r="I453" i="1"/>
  <x:c r="K451" i="1"/>
  <x:c r="N451" i="1"/>
  <x:c r="H451" i="1"/>
  <x:c r="K287" i="1"/>
  <x:c r="H287" i="1"/>
  <x:c r="N287" i="1"/>
  <x:c r="H453" i="1" l="1"/>
  <x:c r="N453" i="1"/>
  <x:c r="K453" i="1"/>
</x:calcChain>
</file>

<file path=xl/sharedStrings.xml><?xml version="1.0" encoding="utf-8"?>
<sst xmlns="http://schemas.openxmlformats.org/spreadsheetml/2006/main" count="13499" uniqueCount="872">
  <si>
    <t>Acct Key</t>
  </si>
  <si>
    <t>A930.1</t>
  </si>
  <si>
    <t>A930.2</t>
  </si>
  <si>
    <t>A560</t>
  </si>
  <si>
    <t>A561</t>
  </si>
  <si>
    <t>A563</t>
  </si>
  <si>
    <t>A565</t>
  </si>
  <si>
    <t>A566</t>
  </si>
  <si>
    <t>A573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</si>
  <si>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</si>
  <si>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</si>
  <si>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</si>
  <si>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</si>
  <si>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</si>
  <si>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</si>
  <si>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</si>
  <si>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</si>
  <si>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</si>
  <si>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</si>
  <si>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</si>
  <si>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A592</t>
  </si>
  <si>
    <t>A593</t>
  </si>
  <si>
    <t>A594</t>
  </si>
  <si>
    <t>A595</t>
  </si>
  <si>
    <t>A596</t>
  </si>
  <si>
    <t>A597</t>
  </si>
  <si>
    <t>A598</t>
  </si>
  <si>
    <t>A901</t>
  </si>
  <si>
    <t>A902</t>
  </si>
  <si>
    <t>A903</t>
  </si>
  <si>
    <t>A904</t>
  </si>
  <si>
    <t>A908</t>
  </si>
  <si>
    <t>A910</t>
  </si>
  <si>
    <t>A920</t>
  </si>
  <si>
    <t>A921</t>
  </si>
  <si>
    <t>A923</t>
  </si>
  <si>
    <t>A924</t>
  </si>
  <si>
    <t>A925</t>
  </si>
  <si>
    <t>A926</t>
  </si>
  <si>
    <t>A928</t>
  </si>
  <si>
    <t>A931</t>
  </si>
  <si>
    <t>A932</t>
  </si>
  <si>
    <t>A935</t>
  </si>
  <si>
    <t>Department</t>
  </si>
  <si>
    <t>511460</t>
  </si>
  <si>
    <t>516241</t>
  </si>
  <si>
    <t>516709</t>
  </si>
  <si>
    <t>521900</t>
  </si>
  <si>
    <t>511156</t>
  </si>
  <si>
    <t>516344</t>
  </si>
  <si>
    <t>516763</t>
  </si>
  <si>
    <t>528500</t>
  </si>
  <si>
    <t>511120</t>
  </si>
  <si>
    <t>511130</t>
  </si>
  <si>
    <t>511159</t>
  </si>
  <si>
    <t>511160</t>
  </si>
  <si>
    <t>511212</t>
  </si>
  <si>
    <t>511316</t>
  </si>
  <si>
    <t>516510</t>
  </si>
  <si>
    <t>516540</t>
  </si>
  <si>
    <t>516541</t>
  </si>
  <si>
    <t>516617</t>
  </si>
  <si>
    <t>516637</t>
  </si>
  <si>
    <t>516733</t>
  </si>
  <si>
    <t>516832</t>
  </si>
  <si>
    <t>516862</t>
  </si>
  <si>
    <t>519622</t>
  </si>
  <si>
    <t>521100</t>
  </si>
  <si>
    <t>533510</t>
  </si>
  <si>
    <t>533720</t>
  </si>
  <si>
    <t>533731</t>
  </si>
  <si>
    <t>511011</t>
  </si>
  <si>
    <t>511140</t>
  </si>
  <si>
    <t>511154</t>
  </si>
  <si>
    <t>511155</t>
  </si>
  <si>
    <t>511158</t>
  </si>
  <si>
    <t>511181</t>
  </si>
  <si>
    <t>511201</t>
  </si>
  <si>
    <t>511210</t>
  </si>
  <si>
    <t>511211</t>
  </si>
  <si>
    <t>511213</t>
  </si>
  <si>
    <t>511214</t>
  </si>
  <si>
    <t>511215</t>
  </si>
  <si>
    <t>511216</t>
  </si>
  <si>
    <t>511217</t>
  </si>
  <si>
    <t>511220</t>
  </si>
  <si>
    <t>511221</t>
  </si>
  <si>
    <t>511222</t>
  </si>
  <si>
    <t>511223</t>
  </si>
  <si>
    <t>511224</t>
  </si>
  <si>
    <t>511225</t>
  </si>
  <si>
    <t>511226</t>
  </si>
  <si>
    <t>511260</t>
  </si>
  <si>
    <t>511270</t>
  </si>
  <si>
    <t>511280</t>
  </si>
  <si>
    <t>511310</t>
  </si>
  <si>
    <t>511311</t>
  </si>
  <si>
    <t>511312</t>
  </si>
  <si>
    <t>511313</t>
  </si>
  <si>
    <t>511314</t>
  </si>
  <si>
    <t>511315</t>
  </si>
  <si>
    <t>511320</t>
  </si>
  <si>
    <t>511321</t>
  </si>
  <si>
    <t>511322</t>
  </si>
  <si>
    <t>511323</t>
  </si>
  <si>
    <t>511324</t>
  </si>
  <si>
    <t>511325</t>
  </si>
  <si>
    <t>511330</t>
  </si>
  <si>
    <t>511332</t>
  </si>
  <si>
    <t>511333</t>
  </si>
  <si>
    <t>511334</t>
  </si>
  <si>
    <t>511403</t>
  </si>
  <si>
    <t>511430</t>
  </si>
  <si>
    <t>511440</t>
  </si>
  <si>
    <t>511484</t>
  </si>
  <si>
    <t>511488</t>
  </si>
  <si>
    <t>511489</t>
  </si>
  <si>
    <t>511497</t>
  </si>
  <si>
    <t>511501</t>
  </si>
  <si>
    <t>511550</t>
  </si>
  <si>
    <t>511805</t>
  </si>
  <si>
    <t>511901</t>
  </si>
  <si>
    <t>516001</t>
  </si>
  <si>
    <t>516005</t>
  </si>
  <si>
    <t>516006</t>
  </si>
  <si>
    <t>516007</t>
  </si>
  <si>
    <t>516074</t>
  </si>
  <si>
    <t>516076</t>
  </si>
  <si>
    <t>516078</t>
  </si>
  <si>
    <t>516079</t>
  </si>
  <si>
    <t>516080</t>
  </si>
  <si>
    <t>516081</t>
  </si>
  <si>
    <t>516083</t>
  </si>
  <si>
    <t>516084</t>
  </si>
  <si>
    <t>516085</t>
  </si>
  <si>
    <t>516086</t>
  </si>
  <si>
    <t>516087</t>
  </si>
  <si>
    <t>516089</t>
  </si>
  <si>
    <t>516091</t>
  </si>
  <si>
    <t>516101</t>
  </si>
  <si>
    <t>516110</t>
  </si>
  <si>
    <t>516120</t>
  </si>
  <si>
    <t>516130</t>
  </si>
  <si>
    <t>516150</t>
  </si>
  <si>
    <t>516151</t>
  </si>
  <si>
    <t>516152</t>
  </si>
  <si>
    <t>516154</t>
  </si>
  <si>
    <t>516156</t>
  </si>
  <si>
    <t>516157</t>
  </si>
  <si>
    <t>516158</t>
  </si>
  <si>
    <t>516159</t>
  </si>
  <si>
    <t>516160</t>
  </si>
  <si>
    <t>516225</t>
  </si>
  <si>
    <t>516230</t>
  </si>
  <si>
    <t>516231</t>
  </si>
  <si>
    <t>516240</t>
  </si>
  <si>
    <t>516244</t>
  </si>
  <si>
    <t>516301</t>
  </si>
  <si>
    <t>516310</t>
  </si>
  <si>
    <t>516320</t>
  </si>
  <si>
    <t>516330</t>
  </si>
  <si>
    <t>516340</t>
  </si>
  <si>
    <t>516341</t>
  </si>
  <si>
    <t>516342</t>
  </si>
  <si>
    <t>516343</t>
  </si>
  <si>
    <t>516345</t>
  </si>
  <si>
    <t>516347</t>
  </si>
  <si>
    <t>516348</t>
  </si>
  <si>
    <t>516530</t>
  </si>
  <si>
    <t>516550</t>
  </si>
  <si>
    <t>516601</t>
  </si>
  <si>
    <t>516611</t>
  </si>
  <si>
    <t>516612</t>
  </si>
  <si>
    <t>516614</t>
  </si>
  <si>
    <t>516615</t>
  </si>
  <si>
    <t>516631</t>
  </si>
  <si>
    <t>516632</t>
  </si>
  <si>
    <t>516633</t>
  </si>
  <si>
    <t>516635</t>
  </si>
  <si>
    <t>516636</t>
  </si>
  <si>
    <t>516642</t>
  </si>
  <si>
    <t>516643</t>
  </si>
  <si>
    <t>516645</t>
  </si>
  <si>
    <t>516652</t>
  </si>
  <si>
    <t>516662</t>
  </si>
  <si>
    <t>516671</t>
  </si>
  <si>
    <t>516672</t>
  </si>
  <si>
    <t>516673</t>
  </si>
  <si>
    <t>516675</t>
  </si>
  <si>
    <t>516682</t>
  </si>
  <si>
    <t>516701</t>
  </si>
  <si>
    <t>516703</t>
  </si>
  <si>
    <t>516706</t>
  </si>
  <si>
    <t>516707</t>
  </si>
  <si>
    <t>516708</t>
  </si>
  <si>
    <t>516714</t>
  </si>
  <si>
    <t>516723</t>
  </si>
  <si>
    <t>516724</t>
  </si>
  <si>
    <t>516731</t>
  </si>
  <si>
    <t>516742</t>
  </si>
  <si>
    <t>516743</t>
  </si>
  <si>
    <t>516744</t>
  </si>
  <si>
    <t>516761</t>
  </si>
  <si>
    <t>516762</t>
  </si>
  <si>
    <t>516773</t>
  </si>
  <si>
    <t>516774</t>
  </si>
  <si>
    <t>516776</t>
  </si>
  <si>
    <t>516801</t>
  </si>
  <si>
    <t>516811</t>
  </si>
  <si>
    <t>516812</t>
  </si>
  <si>
    <t>516813</t>
  </si>
  <si>
    <t>516822</t>
  </si>
  <si>
    <t>516829</t>
  </si>
  <si>
    <t>516833</t>
  </si>
  <si>
    <t>516841</t>
  </si>
  <si>
    <t>516842</t>
  </si>
  <si>
    <t>516843</t>
  </si>
  <si>
    <t>516863</t>
  </si>
  <si>
    <t>516871</t>
  </si>
  <si>
    <t>516876</t>
  </si>
  <si>
    <t>516882</t>
  </si>
  <si>
    <t>521820</t>
  </si>
  <si>
    <t>528400</t>
  </si>
  <si>
    <t>533423</t>
  </si>
  <si>
    <t>533424</t>
  </si>
  <si>
    <t>533425</t>
  </si>
  <si>
    <t>533926</t>
  </si>
  <si>
    <t>516500</t>
  </si>
  <si>
    <t>511494</t>
  </si>
  <si>
    <t>511510</t>
  </si>
  <si>
    <t>516075</t>
  </si>
  <si>
    <t>516077</t>
  </si>
  <si>
    <t>516155</t>
  </si>
  <si>
    <t>516346</t>
  </si>
  <si>
    <t>516531</t>
  </si>
  <si>
    <t>516651</t>
  </si>
  <si>
    <t>516683</t>
  </si>
  <si>
    <t>516721</t>
  </si>
  <si>
    <t>516722</t>
  </si>
  <si>
    <t>516771</t>
  </si>
  <si>
    <t>516775</t>
  </si>
  <si>
    <t>516864</t>
  </si>
  <si>
    <t>516999</t>
  </si>
  <si>
    <t>584330</t>
  </si>
  <si>
    <t>511013</t>
  </si>
  <si>
    <t>511401</t>
  </si>
  <si>
    <t>511405</t>
  </si>
  <si>
    <t>511410</t>
  </si>
  <si>
    <t>511426</t>
  </si>
  <si>
    <t>511453</t>
  </si>
  <si>
    <t>511481</t>
  </si>
  <si>
    <t>511482</t>
  </si>
  <si>
    <t>511483</t>
  </si>
  <si>
    <t>511485</t>
  </si>
  <si>
    <t>511486</t>
  </si>
  <si>
    <t>511490</t>
  </si>
  <si>
    <t>511491</t>
  </si>
  <si>
    <t>511492</t>
  </si>
  <si>
    <t>511493</t>
  </si>
  <si>
    <t>511495</t>
  </si>
  <si>
    <t>511496</t>
  </si>
  <si>
    <t>511654</t>
  </si>
  <si>
    <t>516620</t>
  </si>
  <si>
    <t>516634</t>
  </si>
  <si>
    <t>516684</t>
  </si>
  <si>
    <t>516814</t>
  </si>
  <si>
    <t>516823</t>
  </si>
  <si>
    <t>516844</t>
  </si>
  <si>
    <t>521950</t>
  </si>
  <si>
    <t>533925</t>
  </si>
  <si>
    <t>511020</t>
  </si>
  <si>
    <t>511101</t>
  </si>
  <si>
    <t>511105</t>
  </si>
  <si>
    <t>511110</t>
  </si>
  <si>
    <t>511171</t>
  </si>
  <si>
    <t>511500</t>
  </si>
  <si>
    <t>516002</t>
  </si>
  <si>
    <t>516170</t>
  </si>
  <si>
    <t>516201</t>
  </si>
  <si>
    <t>516242</t>
  </si>
  <si>
    <t>516261</t>
  </si>
  <si>
    <t>516401</t>
  </si>
  <si>
    <t>516532</t>
  </si>
  <si>
    <t>516533</t>
  </si>
  <si>
    <t>516610</t>
  </si>
  <si>
    <t>516613</t>
  </si>
  <si>
    <t>516640</t>
  </si>
  <si>
    <t>516681</t>
  </si>
  <si>
    <t>516718</t>
  </si>
  <si>
    <t>516821</t>
  </si>
  <si>
    <t>521810</t>
  </si>
  <si>
    <t>521830</t>
  </si>
  <si>
    <t>521970</t>
  </si>
  <si>
    <t>521990</t>
  </si>
  <si>
    <t>533100</t>
  </si>
  <si>
    <t>533300</t>
  </si>
  <si>
    <t>533410</t>
  </si>
  <si>
    <t>533426</t>
  </si>
  <si>
    <t>533740</t>
  </si>
  <si>
    <t>533755</t>
  </si>
  <si>
    <t>533760</t>
  </si>
  <si>
    <t>533904</t>
  </si>
  <si>
    <t>533920</t>
  </si>
  <si>
    <t>533927</t>
  </si>
  <si>
    <t>533931</t>
  </si>
  <si>
    <t>583100</t>
  </si>
  <si>
    <t>584310</t>
  </si>
  <si>
    <t>584340</t>
  </si>
  <si>
    <t>585100</t>
  </si>
  <si>
    <t>516204</t>
  </si>
  <si>
    <t>521960</t>
  </si>
  <si>
    <t>521930</t>
  </si>
  <si>
    <t>521940</t>
  </si>
  <si>
    <t>521980</t>
  </si>
  <si>
    <t>533310</t>
  </si>
  <si>
    <t>533420</t>
  </si>
  <si>
    <t>516003</t>
  </si>
  <si>
    <t>519700</t>
  </si>
  <si>
    <t>519840</t>
  </si>
  <si>
    <t>533422</t>
  </si>
  <si>
    <t>516004</t>
  </si>
  <si>
    <t>511151</t>
  </si>
  <si>
    <t>511152</t>
  </si>
  <si>
    <t>511520</t>
  </si>
  <si>
    <t>511530</t>
  </si>
  <si>
    <t>519000</t>
  </si>
  <si>
    <t>521120</t>
  </si>
  <si>
    <t>521154</t>
  </si>
  <si>
    <t>521800</t>
  </si>
  <si>
    <t>521981</t>
  </si>
  <si>
    <t>521992</t>
  </si>
  <si>
    <t>533200</t>
  </si>
  <si>
    <t>533400</t>
  </si>
  <si>
    <t>533710</t>
  </si>
  <si>
    <t>533730</t>
  </si>
  <si>
    <t>533732</t>
  </si>
  <si>
    <t>533750</t>
  </si>
  <si>
    <t>533800</t>
  </si>
  <si>
    <t>533901</t>
  </si>
  <si>
    <t>533902</t>
  </si>
  <si>
    <t>533903</t>
  </si>
  <si>
    <t>533905</t>
  </si>
  <si>
    <t>533906</t>
  </si>
  <si>
    <t>533907</t>
  </si>
  <si>
    <t>533908</t>
  </si>
  <si>
    <t>533923</t>
  </si>
  <si>
    <t>533928</t>
  </si>
  <si>
    <t>533932</t>
  </si>
  <si>
    <t>533940</t>
  </si>
  <si>
    <t>533950</t>
  </si>
  <si>
    <t>582300</t>
  </si>
  <si>
    <t>584320</t>
  </si>
  <si>
    <t>511016</t>
  </si>
  <si>
    <t>521000</t>
  </si>
  <si>
    <t>533401</t>
  </si>
  <si>
    <t>584510</t>
  </si>
  <si>
    <t>511014</t>
  </si>
  <si>
    <t>533900</t>
  </si>
  <si>
    <t>521130</t>
  </si>
  <si>
    <t>533101</t>
  </si>
  <si>
    <t>Department Description</t>
  </si>
  <si>
    <t>MS Meter Technology</t>
  </si>
  <si>
    <t>Streetlight Maintenance</t>
  </si>
  <si>
    <t>Waco Meter Services</t>
  </si>
  <si>
    <t>Corporate Department - ESD</t>
  </si>
  <si>
    <t>DGA - Govern_Sup Rel</t>
  </si>
  <si>
    <t>DES Desoto MC</t>
  </si>
  <si>
    <t>DES Waxahachie MC</t>
  </si>
  <si>
    <t>Transmission</t>
  </si>
  <si>
    <t>Dist Eng Support</t>
  </si>
  <si>
    <t>Distribution Planning</t>
  </si>
  <si>
    <t>DGM - Delivery Excel</t>
  </si>
  <si>
    <t>Dist Asset Mgmt</t>
  </si>
  <si>
    <t>Metro East Design - McKinney</t>
  </si>
  <si>
    <t>PMDS ROW</t>
  </si>
  <si>
    <t>Quality Assurance</t>
  </si>
  <si>
    <t>Dist Adv_Appl Support</t>
  </si>
  <si>
    <t>Operations Training</t>
  </si>
  <si>
    <t>Stephenville Measurement Serv</t>
  </si>
  <si>
    <t>Big Spring Meter Services</t>
  </si>
  <si>
    <t>Killeen MC</t>
  </si>
  <si>
    <t>Sulphur Springs Operations</t>
  </si>
  <si>
    <t>Tyler MC</t>
  </si>
  <si>
    <t>Building Services</t>
  </si>
  <si>
    <t>Oncor Group Admin</t>
  </si>
  <si>
    <t>Fin Support and Reporting</t>
  </si>
  <si>
    <t>HR Services Payroll_HRIS</t>
  </si>
  <si>
    <t>HR Services Health_Welfare</t>
  </si>
  <si>
    <t>Business and Ops SVCS Admin</t>
  </si>
  <si>
    <t>Joint Use</t>
  </si>
  <si>
    <t>Distribution Support GIS</t>
  </si>
  <si>
    <t>West TX Engineering Major Dsgn</t>
  </si>
  <si>
    <t>DGO - Ele Grid Oper</t>
  </si>
  <si>
    <t>Sys Ops Distr Admin</t>
  </si>
  <si>
    <t>PMDS Program Design</t>
  </si>
  <si>
    <t>FBL Operations</t>
  </si>
  <si>
    <t>PMDS Regional Dsgn Grp</t>
  </si>
  <si>
    <t>PMDS ABC Design</t>
  </si>
  <si>
    <t>FWN-DEC-HEB Design</t>
  </si>
  <si>
    <t>Network Design</t>
  </si>
  <si>
    <t>PMDS Serve Existing</t>
  </si>
  <si>
    <t>Metro East Design</t>
  </si>
  <si>
    <t>Metro East Design Training</t>
  </si>
  <si>
    <t>PMDS Process Improvement</t>
  </si>
  <si>
    <t>Metro East Design - De Soto</t>
  </si>
  <si>
    <t>Network Fort Worth</t>
  </si>
  <si>
    <t>Metro East Design - Dallas</t>
  </si>
  <si>
    <t>New Construction Management</t>
  </si>
  <si>
    <t>PMDS Centralized Dsgn Grp</t>
  </si>
  <si>
    <t>PMDS FWN Design</t>
  </si>
  <si>
    <t>PMDS Technology Sup</t>
  </si>
  <si>
    <t>PMDS Training</t>
  </si>
  <si>
    <t>PMDS BMW Design</t>
  </si>
  <si>
    <t>Odessa-Monahans-Andrews PMDS</t>
  </si>
  <si>
    <t>NCM West Texas</t>
  </si>
  <si>
    <t>PMDS WFS Design</t>
  </si>
  <si>
    <t>NCM Commercial</t>
  </si>
  <si>
    <t>Stanton Design and Support</t>
  </si>
  <si>
    <t>PMDS Scoping</t>
  </si>
  <si>
    <t>Region Design - Southeast</t>
  </si>
  <si>
    <t>Region Design HOT</t>
  </si>
  <si>
    <t>Region Design KRT</t>
  </si>
  <si>
    <t>NCM Residential</t>
  </si>
  <si>
    <t>PMDS Metro West Design</t>
  </si>
  <si>
    <t>Region Design Lufkin</t>
  </si>
  <si>
    <t>Metro East Design - Texoma</t>
  </si>
  <si>
    <t>Region Design East</t>
  </si>
  <si>
    <t>NCM Market Development</t>
  </si>
  <si>
    <t>Meter Technician Admin</t>
  </si>
  <si>
    <t>North Meter Technician</t>
  </si>
  <si>
    <t>MS Electric Meter Shop</t>
  </si>
  <si>
    <t>Rev Security_Asset Recovery</t>
  </si>
  <si>
    <t>East Meter Technician</t>
  </si>
  <si>
    <t>West Meter Technician</t>
  </si>
  <si>
    <t>South Meter Technician</t>
  </si>
  <si>
    <t>Resource Planning Admin</t>
  </si>
  <si>
    <t>DGM - Strategic Sch</t>
  </si>
  <si>
    <t>Dist Eng Tech Support</t>
  </si>
  <si>
    <t>SCADA Automation</t>
  </si>
  <si>
    <t>Electric Distribution Admin</t>
  </si>
  <si>
    <t>Distribution Services Admin</t>
  </si>
  <si>
    <t>Admin for VM and Construction</t>
  </si>
  <si>
    <t>Dallas Customer Service</t>
  </si>
  <si>
    <t>MTN-East Construction Service</t>
  </si>
  <si>
    <t>West Texas Construction Servic</t>
  </si>
  <si>
    <t>Northwest Construction Service</t>
  </si>
  <si>
    <t>Southeast Construction Service</t>
  </si>
  <si>
    <t>Distr Srvcs Maint_Const</t>
  </si>
  <si>
    <t>FWN-DEC-HEB Admin</t>
  </si>
  <si>
    <t>Network Dallas</t>
  </si>
  <si>
    <t>MCK Admin</t>
  </si>
  <si>
    <t>MCK Dallas North MC</t>
  </si>
  <si>
    <t>Network Admin</t>
  </si>
  <si>
    <t>Trouble Resources Admin</t>
  </si>
  <si>
    <t>DFW Airport MC</t>
  </si>
  <si>
    <t>ARL Admin</t>
  </si>
  <si>
    <t>Metro East Dist Admin</t>
  </si>
  <si>
    <t>East Distr Operations Center</t>
  </si>
  <si>
    <t>West Distr Operations Center</t>
  </si>
  <si>
    <t>Smart Grid Applied Systems</t>
  </si>
  <si>
    <t>Engineering</t>
  </si>
  <si>
    <t>Southern Region Admin</t>
  </si>
  <si>
    <t>Benbrook Admin</t>
  </si>
  <si>
    <t>DFW East Troublework</t>
  </si>
  <si>
    <t>FWN-DEC MC</t>
  </si>
  <si>
    <t>BEN Operations</t>
  </si>
  <si>
    <t>ARL Operations</t>
  </si>
  <si>
    <t>HEB MC</t>
  </si>
  <si>
    <t>System Srvc_Construction</t>
  </si>
  <si>
    <t>DGT PC Technicians</t>
  </si>
  <si>
    <t>MTN Dallas NE MC</t>
  </si>
  <si>
    <t>MCK Mckinney MC</t>
  </si>
  <si>
    <t>DSW Dallas SW Operations</t>
  </si>
  <si>
    <t>MTN DNE Operations</t>
  </si>
  <si>
    <t>Distribution PMO</t>
  </si>
  <si>
    <t>Program Services</t>
  </si>
  <si>
    <t>Damage Prevention</t>
  </si>
  <si>
    <t>Mutual Assist and Emerg Perf</t>
  </si>
  <si>
    <t>Prog_Design Svcs</t>
  </si>
  <si>
    <t>MTN Mes-Ter Ops</t>
  </si>
  <si>
    <t>MCK-DNO-MCK-CEL Ops</t>
  </si>
  <si>
    <t>FBL Farmers Branch MC</t>
  </si>
  <si>
    <t>FWN-DEC Operations</t>
  </si>
  <si>
    <t>FBLD Admin</t>
  </si>
  <si>
    <t>Dallas North Operations</t>
  </si>
  <si>
    <t>Operators</t>
  </si>
  <si>
    <t>MNW Dist Admin</t>
  </si>
  <si>
    <t>BWD District Admin</t>
  </si>
  <si>
    <t>EST-GRH Operations</t>
  </si>
  <si>
    <t>BWD MC2</t>
  </si>
  <si>
    <t>BWD Operations</t>
  </si>
  <si>
    <t>WTX Region Admin</t>
  </si>
  <si>
    <t>Midland MC</t>
  </si>
  <si>
    <t>Midland Operations</t>
  </si>
  <si>
    <t>Stanton Operations</t>
  </si>
  <si>
    <t>Stanton MC</t>
  </si>
  <si>
    <t>Snyder-Sweetwater Ops</t>
  </si>
  <si>
    <t>Big Spring Ops</t>
  </si>
  <si>
    <t>Midland District Admin</t>
  </si>
  <si>
    <t>MNW MC</t>
  </si>
  <si>
    <t>FBL-Lake Dallas MC</t>
  </si>
  <si>
    <t>Odessa District Admin</t>
  </si>
  <si>
    <t>Odessa MC</t>
  </si>
  <si>
    <t>Odessa Ops</t>
  </si>
  <si>
    <t>Monahans Operations</t>
  </si>
  <si>
    <t>Wichita Falls MC</t>
  </si>
  <si>
    <t>Metro West Admin</t>
  </si>
  <si>
    <t>Killeen-Temple Admin</t>
  </si>
  <si>
    <t>Waco Admin</t>
  </si>
  <si>
    <t>Waco MC</t>
  </si>
  <si>
    <t>HOT Operations</t>
  </si>
  <si>
    <t>Hillsboro-Corsicana MC</t>
  </si>
  <si>
    <t>Temple MC</t>
  </si>
  <si>
    <t>Temple Meter Services</t>
  </si>
  <si>
    <t>Hutto Admin</t>
  </si>
  <si>
    <t>Hutto MC</t>
  </si>
  <si>
    <t>Hutto Operations</t>
  </si>
  <si>
    <t>Round Rock Meter Services</t>
  </si>
  <si>
    <t>DES Admin</t>
  </si>
  <si>
    <t>DSW Dallas SW MC</t>
  </si>
  <si>
    <t>DFW Airport Admin</t>
  </si>
  <si>
    <t>Mexia MC</t>
  </si>
  <si>
    <t>BEN MC</t>
  </si>
  <si>
    <t>East Texas Admin</t>
  </si>
  <si>
    <t>Lufkin Admin</t>
  </si>
  <si>
    <t>Lufkin MC</t>
  </si>
  <si>
    <t>Lufkin Operations</t>
  </si>
  <si>
    <t>Jacksonville Operations</t>
  </si>
  <si>
    <t>Athens Operations</t>
  </si>
  <si>
    <t>Paris Operations</t>
  </si>
  <si>
    <t>TEX PAR SS Admin</t>
  </si>
  <si>
    <t>Texoma MC</t>
  </si>
  <si>
    <t>Texoma Operations</t>
  </si>
  <si>
    <t>Tyler Operations</t>
  </si>
  <si>
    <t>MTN Mesquite-Terrell MC</t>
  </si>
  <si>
    <t>HEB Operations</t>
  </si>
  <si>
    <t>Palestine Operations</t>
  </si>
  <si>
    <t>Strategic Sourcing Procurement</t>
  </si>
  <si>
    <t>DLS</t>
  </si>
  <si>
    <t>Metro Region Customer Service</t>
  </si>
  <si>
    <t>East Region Customer Service</t>
  </si>
  <si>
    <t>South Region Customer Service</t>
  </si>
  <si>
    <t>DGC - Network Eng</t>
  </si>
  <si>
    <t>Metro Field Services Ft Worth</t>
  </si>
  <si>
    <t>Inventory Management</t>
  </si>
  <si>
    <t>Central Construction Service</t>
  </si>
  <si>
    <t>Northeast Construction Service</t>
  </si>
  <si>
    <t>DFW West Troublework</t>
  </si>
  <si>
    <t>Southwest Construction Service</t>
  </si>
  <si>
    <t>Equipment Management</t>
  </si>
  <si>
    <t>MCK Celeste MC</t>
  </si>
  <si>
    <t>Wichita Falls Operations</t>
  </si>
  <si>
    <t>DIST-UNASSIGNED</t>
  </si>
  <si>
    <t>SYS OPS-UNASSIGNED</t>
  </si>
  <si>
    <t>ARL MC</t>
  </si>
  <si>
    <t>CLE MC</t>
  </si>
  <si>
    <t>Tyler Meter Services</t>
  </si>
  <si>
    <t>Standard Cost Credits - TD Ops</t>
  </si>
  <si>
    <t>Recycling_WM Ops</t>
  </si>
  <si>
    <t>Corporate Facility</t>
  </si>
  <si>
    <t>Meter Services Admin</t>
  </si>
  <si>
    <t>Meas Svcs - Std Meter Credit</t>
  </si>
  <si>
    <t>Meter Services Safety</t>
  </si>
  <si>
    <t>West Field Services Admin</t>
  </si>
  <si>
    <t>Meter Reading Support</t>
  </si>
  <si>
    <t>Revenue Security Admin</t>
  </si>
  <si>
    <t>Revenue Sec and Assurance Metr</t>
  </si>
  <si>
    <t>Tampering Review Team</t>
  </si>
  <si>
    <t>Rev Sec and Assurance East</t>
  </si>
  <si>
    <t>Revenue Assurance West</t>
  </si>
  <si>
    <t>Field Services Admin</t>
  </si>
  <si>
    <t>East Field Services Admin</t>
  </si>
  <si>
    <t>Metro Field Services Garland</t>
  </si>
  <si>
    <t>Metro Field Servcs Mid Cities</t>
  </si>
  <si>
    <t>Metro Field Services Irving</t>
  </si>
  <si>
    <t>Metro Field Services Arlington</t>
  </si>
  <si>
    <t>Dispatch Field Services</t>
  </si>
  <si>
    <t>Brady Meter Services</t>
  </si>
  <si>
    <t>Midland Meter Services</t>
  </si>
  <si>
    <t>Wichita Falls Meter Services</t>
  </si>
  <si>
    <t>Lufkin Meter Services</t>
  </si>
  <si>
    <t>Cedar Creek Meter Services</t>
  </si>
  <si>
    <t>Texoma Meter Services</t>
  </si>
  <si>
    <t>Revenue Management</t>
  </si>
  <si>
    <t>Advanced Metering Systems</t>
  </si>
  <si>
    <t>Supply Chain Strategy-Techno</t>
  </si>
  <si>
    <t>Asset Investment Strategy Adm</t>
  </si>
  <si>
    <t>CEI Training</t>
  </si>
  <si>
    <t>Investment Strategy</t>
  </si>
  <si>
    <t>CEI Admin</t>
  </si>
  <si>
    <t>Permian Basin</t>
  </si>
  <si>
    <t>Quality Control</t>
  </si>
  <si>
    <t>Vegetation Management</t>
  </si>
  <si>
    <t>MTN Admin</t>
  </si>
  <si>
    <t>Distribution Operations Claims</t>
  </si>
  <si>
    <t>Eastern Region Admin</t>
  </si>
  <si>
    <t>Transformation Program Office</t>
  </si>
  <si>
    <t>Fleet Mgmt and Support</t>
  </si>
  <si>
    <t>Fleet Maint and Operations</t>
  </si>
  <si>
    <t>BWD District Rollup</t>
  </si>
  <si>
    <t>BWD MC</t>
  </si>
  <si>
    <t>Midland District</t>
  </si>
  <si>
    <t>Wichita Falls Admin</t>
  </si>
  <si>
    <t>Taylor Operations</t>
  </si>
  <si>
    <t>DFW Airport Design</t>
  </si>
  <si>
    <t>Strategy and Emerging Iss</t>
  </si>
  <si>
    <t>CGE Supply Chain Supt</t>
  </si>
  <si>
    <t>Measurement and Billing Admin</t>
  </si>
  <si>
    <t>Market Performance</t>
  </si>
  <si>
    <t>CUSTOMER SERVICE ADMIN</t>
  </si>
  <si>
    <t>Ft Worth Customer Service Admn</t>
  </si>
  <si>
    <t>Large C and I Customer Ops</t>
  </si>
  <si>
    <t>West Region Customer Service</t>
  </si>
  <si>
    <t>HR Employee Relations</t>
  </si>
  <si>
    <t>HR Talent Acquisition</t>
  </si>
  <si>
    <t>Inclusion and Belonging</t>
  </si>
  <si>
    <t>Regulatory Strategy</t>
  </si>
  <si>
    <t>DGA - P_I Mgmt</t>
  </si>
  <si>
    <t>DGM - Int Ops Center</t>
  </si>
  <si>
    <t>Claims Administration</t>
  </si>
  <si>
    <t>Controller Admin</t>
  </si>
  <si>
    <t>Environ Tech Srvcs</t>
  </si>
  <si>
    <t>Field Environ Srvcs</t>
  </si>
  <si>
    <t>Oncor Internal Audit</t>
  </si>
  <si>
    <t>Fault Repair Program</t>
  </si>
  <si>
    <t>Rep-Market Relations</t>
  </si>
  <si>
    <t>Contact Center Operations</t>
  </si>
  <si>
    <t>Customer Analytics_Data</t>
  </si>
  <si>
    <t>Customer Relations</t>
  </si>
  <si>
    <t>Stakeholder Operations</t>
  </si>
  <si>
    <t>Market Relations Admin</t>
  </si>
  <si>
    <t>Dallas Customer Service Admin</t>
  </si>
  <si>
    <t>Economic Development</t>
  </si>
  <si>
    <t>Energy Efficiency</t>
  </si>
  <si>
    <t>Fort Worth Customer Service</t>
  </si>
  <si>
    <t>Rev Forecasting_Modeling</t>
  </si>
  <si>
    <t>DGO - WF Advocacy</t>
  </si>
  <si>
    <t>DGO - Customer Engag</t>
  </si>
  <si>
    <t>DGM - Resil_Recovery</t>
  </si>
  <si>
    <t>DGM - Data</t>
  </si>
  <si>
    <t>CFO</t>
  </si>
  <si>
    <t>Corporate Governance</t>
  </si>
  <si>
    <t>Public Advocacy</t>
  </si>
  <si>
    <t>Oncor COO</t>
  </si>
  <si>
    <t>Customer Engagement Admin</t>
  </si>
  <si>
    <t>TMMC Admin</t>
  </si>
  <si>
    <t>Communications</t>
  </si>
  <si>
    <t>CORPORATE SECURITY</t>
  </si>
  <si>
    <t>HR Admin</t>
  </si>
  <si>
    <t>HR Services Total Rewards</t>
  </si>
  <si>
    <t>HR Services Pension_Thrift</t>
  </si>
  <si>
    <t>HR Talent Development</t>
  </si>
  <si>
    <t>Municipal Reg and Support Srvc</t>
  </si>
  <si>
    <t>Rates_Regulatory_Admin</t>
  </si>
  <si>
    <t>Rates_Regulatory_Financial</t>
  </si>
  <si>
    <t>Rates_Retail_Regulation</t>
  </si>
  <si>
    <t>Regulatory Support</t>
  </si>
  <si>
    <t>Regulatory_Legal</t>
  </si>
  <si>
    <t>Load Research and Reg Affairs</t>
  </si>
  <si>
    <t>Rates and Cost Analysis</t>
  </si>
  <si>
    <t>DGA - Strategy</t>
  </si>
  <si>
    <t>DGO - Delivery Excel</t>
  </si>
  <si>
    <t>Ext Aff Reporting and Analysis</t>
  </si>
  <si>
    <t>Regulatory Affairs_Austin</t>
  </si>
  <si>
    <t>Corp Legal</t>
  </si>
  <si>
    <t>Treasury</t>
  </si>
  <si>
    <t>Lab</t>
  </si>
  <si>
    <t>Technology Projects</t>
  </si>
  <si>
    <t>Esd</t>
  </si>
  <si>
    <t>Strategic Administration</t>
  </si>
  <si>
    <t>Environmental Support</t>
  </si>
  <si>
    <t>Technology Third Party</t>
  </si>
  <si>
    <t>Regulatory_Affairs_Legal_Admin</t>
  </si>
  <si>
    <t>BOD</t>
  </si>
  <si>
    <t>Corporate Affairs</t>
  </si>
  <si>
    <t>Assignment Key</t>
  </si>
  <si>
    <t>Based on Department</t>
  </si>
  <si>
    <t>Based on Account</t>
  </si>
  <si>
    <t>Based on Department and Account</t>
  </si>
  <si>
    <t>Based on PAYXAG Factor</t>
  </si>
  <si>
    <t>Based on TOMXFP Factor</t>
  </si>
  <si>
    <t>A562</t>
  </si>
  <si>
    <t>A564</t>
  </si>
  <si>
    <t>A567</t>
  </si>
  <si>
    <t>A568</t>
  </si>
  <si>
    <t>A569</t>
  </si>
  <si>
    <t>A570</t>
  </si>
  <si>
    <t>A571</t>
  </si>
  <si>
    <t>A572</t>
  </si>
  <si>
    <t>A591</t>
  </si>
  <si>
    <t>515001</t>
  </si>
  <si>
    <t>TRN Admin</t>
  </si>
  <si>
    <t>515221</t>
  </si>
  <si>
    <t>Fort Worth Transmission</t>
  </si>
  <si>
    <t>515227</t>
  </si>
  <si>
    <t>North Fort Worth Transmission</t>
  </si>
  <si>
    <t>515230</t>
  </si>
  <si>
    <t>Comanche Transmission</t>
  </si>
  <si>
    <t>515300</t>
  </si>
  <si>
    <t>Metro West Transmission Admin</t>
  </si>
  <si>
    <t>515320</t>
  </si>
  <si>
    <t>Odessa Transmission</t>
  </si>
  <si>
    <t>515330</t>
  </si>
  <si>
    <t>Big Spring Transmission</t>
  </si>
  <si>
    <t>515340</t>
  </si>
  <si>
    <t>Sweetwater Transmission</t>
  </si>
  <si>
    <t>515350</t>
  </si>
  <si>
    <t>Amarillo Transmission</t>
  </si>
  <si>
    <t>515360</t>
  </si>
  <si>
    <t>Pecos Transmission</t>
  </si>
  <si>
    <t>515410</t>
  </si>
  <si>
    <t>Southeast Transmission Admin</t>
  </si>
  <si>
    <t>515420</t>
  </si>
  <si>
    <t>Waco Transmission</t>
  </si>
  <si>
    <t>515450</t>
  </si>
  <si>
    <t>Palestine Transmission</t>
  </si>
  <si>
    <t>515460</t>
  </si>
  <si>
    <t>Temple Transmission</t>
  </si>
  <si>
    <t>515480</t>
  </si>
  <si>
    <t>Taylor Transmission</t>
  </si>
  <si>
    <t>515510</t>
  </si>
  <si>
    <t>Metro East Transmission Admin</t>
  </si>
  <si>
    <t>515522</t>
  </si>
  <si>
    <t>Dallas Transmission</t>
  </si>
  <si>
    <t>515530</t>
  </si>
  <si>
    <t>Forney Transmission</t>
  </si>
  <si>
    <t>515560</t>
  </si>
  <si>
    <t>North Dallas Transmission</t>
  </si>
  <si>
    <t>515610</t>
  </si>
  <si>
    <t>Transm Asset Mgmt Eng Sup</t>
  </si>
  <si>
    <t>515660</t>
  </si>
  <si>
    <t>Transmission Engineering</t>
  </si>
  <si>
    <t>515670</t>
  </si>
  <si>
    <t>Transmission Const Planning</t>
  </si>
  <si>
    <t>515710</t>
  </si>
  <si>
    <t>Transm Asset Mgmt App Sup</t>
  </si>
  <si>
    <t>515760</t>
  </si>
  <si>
    <t>Transm GIS Services</t>
  </si>
  <si>
    <t>515770</t>
  </si>
  <si>
    <t>Equipment Support</t>
  </si>
  <si>
    <t>515900</t>
  </si>
  <si>
    <t>Transmission Oper Support</t>
  </si>
  <si>
    <t>522410</t>
  </si>
  <si>
    <t>Transmission Planning</t>
  </si>
  <si>
    <t>522500</t>
  </si>
  <si>
    <t>System Protection *</t>
  </si>
  <si>
    <t>522510</t>
  </si>
  <si>
    <t>Concept and Relay Sppt</t>
  </si>
  <si>
    <t>522520</t>
  </si>
  <si>
    <t>524001</t>
  </si>
  <si>
    <t>Transmission Admin</t>
  </si>
  <si>
    <t>524002</t>
  </si>
  <si>
    <t>Transmission PMO</t>
  </si>
  <si>
    <t>524300</t>
  </si>
  <si>
    <t>Reliability Stds Compliance</t>
  </si>
  <si>
    <t>571900</t>
  </si>
  <si>
    <t>Corporate Department - TRN</t>
  </si>
  <si>
    <t>573000</t>
  </si>
  <si>
    <t>Transmission Services</t>
  </si>
  <si>
    <t>576014</t>
  </si>
  <si>
    <t>522610</t>
  </si>
  <si>
    <t>EMS Administrative</t>
  </si>
  <si>
    <t>522620</t>
  </si>
  <si>
    <t>DGC - Control Syst_T</t>
  </si>
  <si>
    <t>522630</t>
  </si>
  <si>
    <t>EMS Data Management</t>
  </si>
  <si>
    <t>522640</t>
  </si>
  <si>
    <t>EMS SCADA Management</t>
  </si>
  <si>
    <t>522650</t>
  </si>
  <si>
    <t>Ems Ots</t>
  </si>
  <si>
    <t>522660</t>
  </si>
  <si>
    <t>TMS Modeling Group</t>
  </si>
  <si>
    <t>524100</t>
  </si>
  <si>
    <t>Transmission Grid Mgt. Admin.</t>
  </si>
  <si>
    <t>524200</t>
  </si>
  <si>
    <t>Transmission Sys Ops</t>
  </si>
  <si>
    <t>524220</t>
  </si>
  <si>
    <t>Trans Grid Controllers</t>
  </si>
  <si>
    <t>524230</t>
  </si>
  <si>
    <t>Trans Grid Coordinators</t>
  </si>
  <si>
    <t>524240</t>
  </si>
  <si>
    <t>Trans Grid Engineers</t>
  </si>
  <si>
    <t>515240</t>
  </si>
  <si>
    <t>Glen Rose Transmission</t>
  </si>
  <si>
    <t>515250</t>
  </si>
  <si>
    <t>Graham Transmission</t>
  </si>
  <si>
    <t>515260</t>
  </si>
  <si>
    <t>Wichita Falls Transmission</t>
  </si>
  <si>
    <t>515430</t>
  </si>
  <si>
    <t>Corsicana Transmission</t>
  </si>
  <si>
    <t>515440</t>
  </si>
  <si>
    <t>Lufkin Transmission</t>
  </si>
  <si>
    <t>515470</t>
  </si>
  <si>
    <t>Tyler Transmission</t>
  </si>
  <si>
    <t>515540</t>
  </si>
  <si>
    <t>Sulphur Springs Transmission</t>
  </si>
  <si>
    <t>515550</t>
  </si>
  <si>
    <t>Texoma Transmission</t>
  </si>
  <si>
    <t>515003</t>
  </si>
  <si>
    <t>515100</t>
  </si>
  <si>
    <t>Asset Mgmt Eng Support</t>
  </si>
  <si>
    <t>515150</t>
  </si>
  <si>
    <t>Wildfire Mit Resil Prgm</t>
  </si>
  <si>
    <t>515310</t>
  </si>
  <si>
    <t>Odessa Transmission Admin</t>
  </si>
  <si>
    <t>515570</t>
  </si>
  <si>
    <t>South Dallas Transmission</t>
  </si>
  <si>
    <t>515630</t>
  </si>
  <si>
    <t>Liggett Stores</t>
  </si>
  <si>
    <t>571830</t>
  </si>
  <si>
    <t>575300</t>
  </si>
  <si>
    <t>Controller Services</t>
  </si>
  <si>
    <t>576013</t>
  </si>
  <si>
    <t>576520</t>
  </si>
  <si>
    <t>Environmental Lab</t>
  </si>
  <si>
    <t>576530</t>
  </si>
  <si>
    <t>576622</t>
  </si>
  <si>
    <t>573922</t>
  </si>
  <si>
    <t>DGO - Ele Grid Op_T</t>
  </si>
  <si>
    <t>576532</t>
  </si>
  <si>
    <t>Fleet Support and Admin</t>
  </si>
  <si>
    <t>573923</t>
  </si>
  <si>
    <t>DGC - Field Ntwk_T</t>
  </si>
  <si>
    <t>575400</t>
  </si>
  <si>
    <t>576540</t>
  </si>
  <si>
    <t>515800</t>
  </si>
  <si>
    <t>522430</t>
  </si>
  <si>
    <t>Regional Transmission Planning</t>
  </si>
  <si>
    <t>572000</t>
  </si>
  <si>
    <t>Legal Corp</t>
  </si>
  <si>
    <t>572100</t>
  </si>
  <si>
    <t>Claims Admin</t>
  </si>
  <si>
    <t>Based on Activity Code</t>
  </si>
  <si>
    <t>Direct Assigned</t>
  </si>
  <si>
    <t>Based on T-PAYXAG Factor</t>
  </si>
  <si>
    <t>Bassed on Department</t>
  </si>
  <si>
    <t>Based pm Account</t>
  </si>
  <si>
    <t>556100</t>
  </si>
  <si>
    <t>Corporate Department_TRNDS</t>
  </si>
  <si>
    <t>660000</t>
  </si>
  <si>
    <t>Corp Dept - NTUSU</t>
  </si>
  <si>
    <t>Based on Activity</t>
  </si>
  <si>
    <t>Based on Direct Assignment</t>
  </si>
  <si>
    <t>670000</t>
  </si>
  <si>
    <t>Oncor Receivables LLC</t>
  </si>
  <si>
    <t>TRAN</t>
  </si>
  <si>
    <t>NTU TRAN</t>
  </si>
  <si>
    <t>DC TIE</t>
  </si>
  <si>
    <t>CONSOL TRAN</t>
  </si>
  <si>
    <t>DIST</t>
  </si>
  <si>
    <t>NTU DIST</t>
  </si>
  <si>
    <t>CONSOL DIST</t>
  </si>
  <si>
    <t>MET</t>
  </si>
  <si>
    <t>TDCS</t>
  </si>
  <si>
    <t>Total</t>
  </si>
  <si>
    <t>Transmission Expense - Operation</t>
  </si>
  <si>
    <t>Total Transmission Expense - Operation</t>
  </si>
  <si>
    <t>Transmission Expense - Maintenance</t>
  </si>
  <si>
    <t>Total Transmission Expense - Maintenance</t>
  </si>
  <si>
    <t>Total Transmission Expense</t>
  </si>
  <si>
    <t>Distribution Expense - Operation</t>
  </si>
  <si>
    <t>Total Distribution Expense - Operation</t>
  </si>
  <si>
    <t>Distribution Expense - Maintenance</t>
  </si>
  <si>
    <t>Total Distribution Expense - Maintenance</t>
  </si>
  <si>
    <t>Total Distribution Expense</t>
  </si>
  <si>
    <t>Customer Accounts Expenses</t>
  </si>
  <si>
    <t>Total Customer Accounts Expenses</t>
  </si>
  <si>
    <t>Customer Service &amp; Information Expenses</t>
  </si>
  <si>
    <t>Total Customer Service &amp; Information Expenses</t>
  </si>
  <si>
    <t>Administrative &amp; General Expenses</t>
  </si>
  <si>
    <t>Total Administrative &amp; General Expenses</t>
  </si>
  <si>
    <t>Total O&amp;M and A&amp;G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</si>
</sst>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&quot;$&quot;* #,##0_);_(&quot;$&quot;* \(#,##0\);_(&quot;$&quot;* &quot;-&quot;??_);_(@_)"/>
    <numFmt numFmtId="167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">
    <xf numFmtId="0" fontId="0" fillId="0" borderId="0" xfId="0"/>
    <xf numFmtId="43" fontId="2" fillId="0" borderId="0" xfId="1" applyFont="1" applyAlignment="1">
      <alignment horizontal="center"/>
    </xf>
    <xf numFmtId="43" fontId="2" fillId="0" borderId="0" xfId="1" applyFont="1" applyFill="1" applyAlignment="1" applyProtection="1">
      <alignment horizontal="center"/>
    </xf>
    <xf numFmtId="0" fontId="3" fillId="0" borderId="0" xfId="0" applyFont="1"/>
    <xf numFmtId="43" fontId="5" fillId="0" borderId="0" xfId="1" applyFont="1" applyAlignment="1">
      <alignment horizontal="left"/>
    </xf>
    <xf numFmtId="165" fontId="0" fillId="0" borderId="0" xfId="2" applyNumberFormat="1" applyFont="1"/>
    <xf numFmtId="167" fontId="0" fillId="0" borderId="0" xfId="1" applyNumberFormat="1" applyFont="1"/>
    <xf numFmtId="44" fontId="4" fillId="0" borderId="1" xfId="2" applyFont="1" applyBorder="1"/>
    <xf numFmtId="0" fontId="4" fillId="0" borderId="0" xfId="0" applyFont="1"/>
    <xf numFmtId="165" fontId="4" fillId="0" borderId="1" xfId="2" applyNumberFormat="1" applyFont="1" applyBorder="1"/>
    <xf numFmtId="165" fontId="4" fillId="0" borderId="2" xfId="2" applyNumberFormat="1" applyFont="1" applyBorder="1"/>
    <xf numFmtId="0" fontId="5" fillId="0" borderId="0" xfId="0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0A3333E-492A-4D0B-B954-6C20C4954F3C}" mc:Ignorable="x14ac xr xr2 xr3">
  <x:sheetPr>
    <x:pageSetUpPr fitToPage="1"/>
  </x:sheetPr>
  <x:dimension ref="A1:N3400"/>
  <x:sheetViews>
    <x:sheetView tabSelected="1" workbookViewId="0">
      <x:pane ySplit="1" topLeftCell="A2" activePane="bottomLeft" state="frozen"/>
      <x:selection pane="bottomLeft" activeCell="A2" sqref="A2"/>
    </x:sheetView>
  </x:sheetViews>
  <x:sheetFormatPr defaultRowHeight="15" x14ac:dyDescent="0.25"/>
  <x:cols>
    <x:col min="1" max="1" width="9.85546875" bestFit="1" customWidth="1"/>
    <x:col min="2" max="2" width="13.28515625" bestFit="1" customWidth="1"/>
    <x:col min="3" max="3" width="32.140625" bestFit="1" customWidth="1"/>
    <x:col min="4" max="4" width="31.42578125" bestFit="1" customWidth="1"/>
    <x:col min="5" max="5" width="15.28515625" bestFit="1" customWidth="1"/>
    <x:col min="6" max="6" width="14.28515625" bestFit="1" customWidth="1"/>
    <x:col min="7" max="7" width="12.5703125" bestFit="1" customWidth="1"/>
    <x:col min="8" max="8" width="16.28515625" bestFit="1" customWidth="1"/>
    <x:col min="9" max="9" width="18" bestFit="1" customWidth="1"/>
    <x:col min="10" max="10" width="11.5703125" bestFit="1" customWidth="1"/>
    <x:col min="11" max="11" width="18" bestFit="1" customWidth="1"/>
    <x:col min="12" max="12" width="15" bestFit="1" customWidth="1"/>
    <x:col min="13" max="13" width="14.28515625" bestFit="1" customWidth="1"/>
    <x:col min="14" max="14" width="18" bestFit="1" customWidth="1"/>
  </x:cols>
  <x:sheetData>
    <x:row r="1" spans="1:14" ht="17.25" x14ac:dyDescent="0.4">
      <x:c r="A1" s="1" t="s">
        <x:v>0</x:v>
      </x:c>
      <x:c r="B1" s="2" t="s">
        <x:v>43</x:v>
      </x:c>
      <x:c r="C1" s="2" t="s">
        <x:v>360</x:v>
      </x:c>
      <x:c r="D1" s="1" t="s">
        <x:v>675</x:v>
      </x:c>
      <x:c r="E1" s="1" t="s">
        <x:v>845</x:v>
      </x:c>
      <x:c r="F1" s="1" t="s">
        <x:v>846</x:v>
      </x:c>
      <x:c r="G1" s="1" t="s">
        <x:v>847</x:v>
      </x:c>
      <x:c r="H1" s="1" t="s">
        <x:v>848</x:v>
      </x:c>
      <x:c r="I1" s="1" t="s">
        <x:v>849</x:v>
      </x:c>
      <x:c r="J1" s="1" t="s">
        <x:v>850</x:v>
      </x:c>
      <x:c r="K1" s="1" t="s">
        <x:v>851</x:v>
      </x:c>
      <x:c r="L1" s="1" t="s">
        <x:v>852</x:v>
      </x:c>
      <x:c r="M1" s="1" t="s">
        <x:v>853</x:v>
      </x:c>
      <x:c r="N1" s="1" t="s">
        <x:v>854</x:v>
      </x:c>
    </x:row>
    <x:row r="2" spans="1:14" ht="17.25" x14ac:dyDescent="0.4">
      <x:c r="A2" s="1"/>
      <x:c r="B2" s="2"/>
      <x:c r="C2" s="2"/>
      <x:c r="D2" s="1"/>
      <x:c r="E2" s="1"/>
      <x:c r="F2" s="1"/>
      <x:c r="G2" s="1"/>
      <x:c r="H2" s="1"/>
      <x:c r="I2" s="1"/>
      <x:c r="J2" s="1"/>
      <x:c r="K2" s="1"/>
      <x:c r="L2" s="1"/>
      <x:c r="M2" s="1"/>
      <x:c r="N2" s="1"/>
    </x:row>
    <x:row r="3" spans="1:14" ht="17.25" x14ac:dyDescent="0.4">
      <x:c r="A3" s="4" t="s">
        <x:v>855</x:v>
      </x:c>
      <x:c r="B3" s="2"/>
      <x:c r="C3" s="2"/>
      <x:c r="D3" s="1"/>
      <x:c r="E3" s="1"/>
      <x:c r="F3" s="1"/>
      <x:c r="G3" s="1"/>
      <x:c r="H3" s="1"/>
      <x:c r="I3" s="1"/>
      <x:c r="J3" s="1"/>
      <x:c r="K3" s="1"/>
      <x:c r="L3" s="1"/>
      <x:c r="M3" s="1"/>
      <x:c r="N3" s="1"/>
    </x:row>
    <x:row r="4" spans="1:14" x14ac:dyDescent="0.25">
      <x:c r="A4" t="s">
        <x:v>3</x:v>
      </x:c>
      <x:c r="B4" s="3" t="s">
        <x:v>44</x:v>
      </x:c>
      <x:c r="C4" s="3" t="s">
        <x:v>361</x:v>
      </x:c>
      <x:c r="D4" t="s">
        <x:v>676</x:v>
      </x:c>
      <x:c r="E4" s="5">
        <x:v>0</x:v>
      </x:c>
      <x:c r="F4" s="5">
        <x:v>0</x:v>
      </x:c>
      <x:c r="G4" s="5">
        <x:v>0</x:v>
      </x:c>
      <x:c r="H4" s="5">
        <x:f>SUM(E4:G4)</x:f>
        <x:v>0</x:v>
      </x:c>
      <x:c r="I4" s="5">
        <x:v>0</x:v>
      </x:c>
      <x:c r="J4" s="5">
        <x:v>0</x:v>
      </x:c>
      <x:c r="K4" s="5">
        <x:f>SUM(I4:J4)</x:f>
        <x:v>0</x:v>
      </x:c>
      <x:c r="L4" s="5">
        <x:v>50.21</x:v>
      </x:c>
      <x:c r="M4" s="5">
        <x:v>0</x:v>
      </x:c>
      <x:c r="N4" s="5">
        <x:f>+E4+F4+G4+I4+J4+L4+M4</x:f>
        <x:v>50.21</x:v>
      </x:c>
    </x:row>
    <x:row r="5" spans="1:14" x14ac:dyDescent="0.25">
      <x:c r="A5" t="s">
        <x:v>3</x:v>
      </x:c>
      <x:c r="B5" t="s">
        <x:v>690</x:v>
      </x:c>
      <x:c r="C5" t="s">
        <x:v>691</x:v>
      </x:c>
      <x:c r="D5" t="s">
        <x:v>677</x:v>
      </x:c>
      <x:c r="E5" s="6">
        <x:v>1312.52</x:v>
      </x:c>
      <x:c r="F5" s="6">
        <x:v>0</x:v>
      </x:c>
      <x:c r="G5" s="6">
        <x:v>0</x:v>
      </x:c>
      <x:c r="H5" s="6">
        <x:f t="shared" ref="H5:H68" si="0">SUM(E5:G5)</x:f>
        <x:v>1312.52</x:v>
      </x:c>
      <x:c r="I5" s="6">
        <x:v>0</x:v>
      </x:c>
      <x:c r="J5" s="6">
        <x:v>0</x:v>
      </x:c>
      <x:c r="K5" s="6">
        <x:f t="shared" ref="K5:K68" si="1">SUM(I5:J5)</x:f>
        <x:v>0</x:v>
      </x:c>
      <x:c r="L5" s="6">
        <x:v>0</x:v>
      </x:c>
      <x:c r="M5" s="6">
        <x:v>0</x:v>
      </x:c>
      <x:c r="N5" s="6">
        <x:f t="shared" ref="N5:N68" si="2">+E5+F5+G5+I5+J5+L5+M5</x:f>
        <x:v>1312.52</x:v>
      </x:c>
    </x:row>
    <x:row r="6" spans="1:14" x14ac:dyDescent="0.25">
      <x:c r="A6" t="s">
        <x:v>3</x:v>
      </x:c>
      <x:c r="B6" t="s">
        <x:v>690</x:v>
      </x:c>
      <x:c r="C6" t="s">
        <x:v>691</x:v>
      </x:c>
      <x:c r="D6" t="s">
        <x:v>832</x:v>
      </x:c>
      <x:c r="E6" s="6">
        <x:v>91431.71</x:v>
      </x:c>
      <x:c r="F6" s="6">
        <x:v>0</x:v>
      </x:c>
      <x:c r="G6" s="6">
        <x:v>0</x:v>
      </x:c>
      <x:c r="H6" s="6">
        <x:f t="shared" si="0"/>
        <x:v>91431.71</x:v>
      </x:c>
      <x:c r="I6" s="6">
        <x:v>0</x:v>
      </x:c>
      <x:c r="J6" s="6">
        <x:v>0</x:v>
      </x:c>
      <x:c r="K6" s="6">
        <x:f t="shared" si="1"/>
        <x:v>0</x:v>
      </x:c>
      <x:c r="L6" s="6">
        <x:v>0</x:v>
      </x:c>
      <x:c r="M6" s="6">
        <x:v>0</x:v>
      </x:c>
      <x:c r="N6" s="6">
        <x:f t="shared" si="2"/>
        <x:v>91431.71</x:v>
      </x:c>
    </x:row>
    <x:row r="7" spans="1:14" x14ac:dyDescent="0.25">
      <x:c r="A7" t="s">
        <x:v>3</x:v>
      </x:c>
      <x:c r="B7" t="s">
        <x:v>692</x:v>
      </x:c>
      <x:c r="C7" t="s">
        <x:v>693</x:v>
      </x:c>
      <x:c r="D7" t="s">
        <x:v>832</x:v>
      </x:c>
      <x:c r="E7" s="6">
        <x:v>36416.559999999998</x:v>
      </x:c>
      <x:c r="F7" s="6">
        <x:v>0</x:v>
      </x:c>
      <x:c r="G7" s="6">
        <x:v>0</x:v>
      </x:c>
      <x:c r="H7" s="6">
        <x:f t="shared" si="0"/>
        <x:v>36416.559999999998</x:v>
      </x:c>
      <x:c r="I7" s="6">
        <x:v>0</x:v>
      </x:c>
      <x:c r="J7" s="6">
        <x:v>0</x:v>
      </x:c>
      <x:c r="K7" s="6">
        <x:f t="shared" si="1"/>
        <x:v>0</x:v>
      </x:c>
      <x:c r="L7" s="6">
        <x:v>0</x:v>
      </x:c>
      <x:c r="M7" s="6">
        <x:v>0</x:v>
      </x:c>
      <x:c r="N7" s="6">
        <x:f t="shared" si="2"/>
        <x:v>36416.559999999998</x:v>
      </x:c>
    </x:row>
    <x:row r="8" spans="1:14" x14ac:dyDescent="0.25">
      <x:c r="A8" t="s">
        <x:v>3</x:v>
      </x:c>
      <x:c r="B8" t="s">
        <x:v>694</x:v>
      </x:c>
      <x:c r="C8" t="s">
        <x:v>695</x:v>
      </x:c>
      <x:c r="D8" t="s">
        <x:v>832</x:v>
      </x:c>
      <x:c r="E8" s="6">
        <x:v>7142.54</x:v>
      </x:c>
      <x:c r="F8" s="6">
        <x:v>0</x:v>
      </x:c>
      <x:c r="G8" s="6">
        <x:v>0</x:v>
      </x:c>
      <x:c r="H8" s="6">
        <x:f t="shared" si="0"/>
        <x:v>7142.54</x:v>
      </x:c>
      <x:c r="I8" s="6">
        <x:v>0</x:v>
      </x:c>
      <x:c r="J8" s="6">
        <x:v>0</x:v>
      </x:c>
      <x:c r="K8" s="6">
        <x:f t="shared" si="1"/>
        <x:v>0</x:v>
      </x:c>
      <x:c r="L8" s="6">
        <x:v>0</x:v>
      </x:c>
      <x:c r="M8" s="6">
        <x:v>0</x:v>
      </x:c>
      <x:c r="N8" s="6">
        <x:f t="shared" si="2"/>
        <x:v>7142.54</x:v>
      </x:c>
    </x:row>
    <x:row r="9" spans="1:14" x14ac:dyDescent="0.25">
      <x:c r="A9" t="s">
        <x:v>3</x:v>
      </x:c>
      <x:c r="B9" t="s">
        <x:v>696</x:v>
      </x:c>
      <x:c r="C9" t="s">
        <x:v>697</x:v>
      </x:c>
      <x:c r="D9" t="s">
        <x:v>832</x:v>
      </x:c>
      <x:c r="E9" s="6">
        <x:v>7253.86</x:v>
      </x:c>
      <x:c r="F9" s="6">
        <x:v>0</x:v>
      </x:c>
      <x:c r="G9" s="6">
        <x:v>0</x:v>
      </x:c>
      <x:c r="H9" s="6">
        <x:f t="shared" si="0"/>
        <x:v>7253.86</x:v>
      </x:c>
      <x:c r="I9" s="6">
        <x:v>7253.86</x:v>
      </x:c>
      <x:c r="J9" s="6">
        <x:v>0</x:v>
      </x:c>
      <x:c r="K9" s="6">
        <x:f t="shared" si="1"/>
        <x:v>7253.86</x:v>
      </x:c>
      <x:c r="L9" s="6">
        <x:v>0</x:v>
      </x:c>
      <x:c r="M9" s="6">
        <x:v>0</x:v>
      </x:c>
      <x:c r="N9" s="6">
        <x:f t="shared" si="2"/>
        <x:v>14507.72</x:v>
      </x:c>
    </x:row>
    <x:row r="10" spans="1:14" x14ac:dyDescent="0.25">
      <x:c r="A10" t="s">
        <x:v>3</x:v>
      </x:c>
      <x:c r="B10" t="s">
        <x:v>698</x:v>
      </x:c>
      <x:c r="C10" t="s">
        <x:v>699</x:v>
      </x:c>
      <x:c r="D10" t="s">
        <x:v>677</x:v>
      </x:c>
      <x:c r="E10" s="6">
        <x:v>1393.42</x:v>
      </x:c>
      <x:c r="F10" s="6">
        <x:v>0</x:v>
      </x:c>
      <x:c r="G10" s="6">
        <x:v>0</x:v>
      </x:c>
      <x:c r="H10" s="6">
        <x:f t="shared" si="0"/>
        <x:v>1393.42</x:v>
      </x:c>
      <x:c r="I10" s="6">
        <x:v>0</x:v>
      </x:c>
      <x:c r="J10" s="6">
        <x:v>0</x:v>
      </x:c>
      <x:c r="K10" s="6">
        <x:f t="shared" si="1"/>
        <x:v>0</x:v>
      </x:c>
      <x:c r="L10" s="6">
        <x:v>0</x:v>
      </x:c>
      <x:c r="M10" s="6">
        <x:v>0</x:v>
      </x:c>
      <x:c r="N10" s="6">
        <x:f t="shared" si="2"/>
        <x:v>1393.42</x:v>
      </x:c>
    </x:row>
    <x:row r="11" spans="1:14" x14ac:dyDescent="0.25">
      <x:c r="A11" t="s">
        <x:v>3</x:v>
      </x:c>
      <x:c r="B11" t="s">
        <x:v>698</x:v>
      </x:c>
      <x:c r="C11" t="s">
        <x:v>699</x:v>
      </x:c>
      <x:c r="D11" t="s">
        <x:v>832</x:v>
      </x:c>
      <x:c r="E11" s="6">
        <x:v>250424.07</x:v>
      </x:c>
      <x:c r="F11" s="6">
        <x:v>0</x:v>
      </x:c>
      <x:c r="G11" s="6">
        <x:v>0</x:v>
      </x:c>
      <x:c r="H11" s="6">
        <x:f t="shared" si="0"/>
        <x:v>250424.07</x:v>
      </x:c>
      <x:c r="I11" s="6">
        <x:v>0</x:v>
      </x:c>
      <x:c r="J11" s="6">
        <x:v>0</x:v>
      </x:c>
      <x:c r="K11" s="6">
        <x:f t="shared" si="1"/>
        <x:v>0</x:v>
      </x:c>
      <x:c r="L11" s="6">
        <x:v>0</x:v>
      </x:c>
      <x:c r="M11" s="6">
        <x:v>0</x:v>
      </x:c>
      <x:c r="N11" s="6">
        <x:f t="shared" si="2"/>
        <x:v>250424.07</x:v>
      </x:c>
    </x:row>
    <x:row r="12" spans="1:14" x14ac:dyDescent="0.25">
      <x:c r="A12" t="s">
        <x:v>3</x:v>
      </x:c>
      <x:c r="B12" t="s">
        <x:v>700</x:v>
      </x:c>
      <x:c r="C12" t="s">
        <x:v>701</x:v>
      </x:c>
      <x:c r="D12" t="s">
        <x:v>832</x:v>
      </x:c>
      <x:c r="E12" s="6">
        <x:v>117734.23000000001</x:v>
      </x:c>
      <x:c r="F12" s="6">
        <x:v>0</x:v>
      </x:c>
      <x:c r="G12" s="6">
        <x:v>0</x:v>
      </x:c>
      <x:c r="H12" s="6">
        <x:f t="shared" si="0"/>
        <x:v>117734.23000000001</x:v>
      </x:c>
      <x:c r="I12" s="6">
        <x:v>0</x:v>
      </x:c>
      <x:c r="J12" s="6">
        <x:v>0</x:v>
      </x:c>
      <x:c r="K12" s="6">
        <x:f t="shared" si="1"/>
        <x:v>0</x:v>
      </x:c>
      <x:c r="L12" s="6">
        <x:v>0</x:v>
      </x:c>
      <x:c r="M12" s="6">
        <x:v>0</x:v>
      </x:c>
      <x:c r="N12" s="6">
        <x:f t="shared" si="2"/>
        <x:v>117734.23000000001</x:v>
      </x:c>
    </x:row>
    <x:row r="13" spans="1:14" x14ac:dyDescent="0.25">
      <x:c r="A13" t="s">
        <x:v>3</x:v>
      </x:c>
      <x:c r="B13" t="s">
        <x:v>702</x:v>
      </x:c>
      <x:c r="C13" t="s">
        <x:v>703</x:v>
      </x:c>
      <x:c r="D13" t="s">
        <x:v>832</x:v>
      </x:c>
      <x:c r="E13" s="6">
        <x:v>132704.35999999999</x:v>
      </x:c>
      <x:c r="F13" s="6">
        <x:v>0</x:v>
      </x:c>
      <x:c r="G13" s="6">
        <x:v>0</x:v>
      </x:c>
      <x:c r="H13" s="6">
        <x:f t="shared" si="0"/>
        <x:v>132704.35999999999</x:v>
      </x:c>
      <x:c r="I13" s="6">
        <x:v>0</x:v>
      </x:c>
      <x:c r="J13" s="6">
        <x:v>0</x:v>
      </x:c>
      <x:c r="K13" s="6">
        <x:f t="shared" si="1"/>
        <x:v>0</x:v>
      </x:c>
      <x:c r="L13" s="6">
        <x:v>0</x:v>
      </x:c>
      <x:c r="M13" s="6">
        <x:v>0</x:v>
      </x:c>
      <x:c r="N13" s="6">
        <x:f t="shared" si="2"/>
        <x:v>132704.35999999999</x:v>
      </x:c>
    </x:row>
    <x:row r="14" spans="1:14" x14ac:dyDescent="0.25">
      <x:c r="A14" t="s">
        <x:v>3</x:v>
      </x:c>
      <x:c r="B14" t="s">
        <x:v>704</x:v>
      </x:c>
      <x:c r="C14" t="s">
        <x:v>705</x:v>
      </x:c>
      <x:c r="D14" t="s">
        <x:v>832</x:v>
      </x:c>
      <x:c r="E14" s="6">
        <x:v>105370.59000000003</x:v>
      </x:c>
      <x:c r="F14" s="6">
        <x:v>0</x:v>
      </x:c>
      <x:c r="G14" s="6">
        <x:v>0</x:v>
      </x:c>
      <x:c r="H14" s="6">
        <x:f t="shared" si="0"/>
        <x:v>105370.59000000003</x:v>
      </x:c>
      <x:c r="I14" s="6">
        <x:v>2949.57</x:v>
      </x:c>
      <x:c r="J14" s="6">
        <x:v>0</x:v>
      </x:c>
      <x:c r="K14" s="6">
        <x:f t="shared" si="1"/>
        <x:v>2949.57</x:v>
      </x:c>
      <x:c r="L14" s="6">
        <x:v>0</x:v>
      </x:c>
      <x:c r="M14" s="6">
        <x:v>0</x:v>
      </x:c>
      <x:c r="N14" s="6">
        <x:f t="shared" si="2"/>
        <x:v>108320.16000000003</x:v>
      </x:c>
    </x:row>
    <x:row r="15" spans="1:14" x14ac:dyDescent="0.25">
      <x:c r="A15" t="s">
        <x:v>3</x:v>
      </x:c>
      <x:c r="B15" t="s">
        <x:v>706</x:v>
      </x:c>
      <x:c r="C15" t="s">
        <x:v>707</x:v>
      </x:c>
      <x:c r="D15" t="s">
        <x:v>832</x:v>
      </x:c>
      <x:c r="E15" s="6">
        <x:v>93460.76999999999</x:v>
      </x:c>
      <x:c r="F15" s="6">
        <x:v>0</x:v>
      </x:c>
      <x:c r="G15" s="6">
        <x:v>0</x:v>
      </x:c>
      <x:c r="H15" s="6">
        <x:f t="shared" si="0"/>
        <x:v>93460.76999999999</x:v>
      </x:c>
      <x:c r="I15" s="6">
        <x:v>2248.9699999999998</x:v>
      </x:c>
      <x:c r="J15" s="6">
        <x:v>0</x:v>
      </x:c>
      <x:c r="K15" s="6">
        <x:f t="shared" si="1"/>
        <x:v>2248.9699999999998</x:v>
      </x:c>
      <x:c r="L15" s="6">
        <x:v>0</x:v>
      </x:c>
      <x:c r="M15" s="6">
        <x:v>0</x:v>
      </x:c>
      <x:c r="N15" s="6">
        <x:f t="shared" si="2"/>
        <x:v>95709.739999999991</x:v>
      </x:c>
    </x:row>
    <x:row r="16" spans="1:14" x14ac:dyDescent="0.25">
      <x:c r="A16" t="s">
        <x:v>3</x:v>
      </x:c>
      <x:c r="B16" t="s">
        <x:v>708</x:v>
      </x:c>
      <x:c r="C16" t="s">
        <x:v>709</x:v>
      </x:c>
      <x:c r="D16" t="s">
        <x:v>677</x:v>
      </x:c>
      <x:c r="E16" s="6">
        <x:v>142.38999999999999</x:v>
      </x:c>
      <x:c r="F16" s="6">
        <x:v>0</x:v>
      </x:c>
      <x:c r="G16" s="6">
        <x:v>0</x:v>
      </x:c>
      <x:c r="H16" s="6">
        <x:f t="shared" si="0"/>
        <x:v>142.38999999999999</x:v>
      </x:c>
      <x:c r="I16" s="6">
        <x:v>0</x:v>
      </x:c>
      <x:c r="J16" s="6">
        <x:v>0</x:v>
      </x:c>
      <x:c r="K16" s="6">
        <x:f t="shared" si="1"/>
        <x:v>0</x:v>
      </x:c>
      <x:c r="L16" s="6">
        <x:v>0</x:v>
      </x:c>
      <x:c r="M16" s="6">
        <x:v>0</x:v>
      </x:c>
      <x:c r="N16" s="6">
        <x:f t="shared" si="2"/>
        <x:v>142.38999999999999</x:v>
      </x:c>
    </x:row>
    <x:row r="17" spans="1:14" x14ac:dyDescent="0.25">
      <x:c r="A17" t="s">
        <x:v>3</x:v>
      </x:c>
      <x:c r="B17" t="s">
        <x:v>708</x:v>
      </x:c>
      <x:c r="C17" t="s">
        <x:v>709</x:v>
      </x:c>
      <x:c r="D17" t="s">
        <x:v>832</x:v>
      </x:c>
      <x:c r="E17" s="6">
        <x:v>1162.1599999999999</x:v>
      </x:c>
      <x:c r="F17" s="6">
        <x:v>0</x:v>
      </x:c>
      <x:c r="G17" s="6">
        <x:v>0</x:v>
      </x:c>
      <x:c r="H17" s="6">
        <x:f t="shared" si="0"/>
        <x:v>1162.1599999999999</x:v>
      </x:c>
      <x:c r="I17" s="6">
        <x:v>560.91</x:v>
      </x:c>
      <x:c r="J17" s="6">
        <x:v>0</x:v>
      </x:c>
      <x:c r="K17" s="6">
        <x:f t="shared" si="1"/>
        <x:v>560.91</x:v>
      </x:c>
      <x:c r="L17" s="6">
        <x:v>0</x:v>
      </x:c>
      <x:c r="M17" s="6">
        <x:v>0</x:v>
      </x:c>
      <x:c r="N17" s="6">
        <x:f t="shared" si="2"/>
        <x:v>1723.0699999999997</x:v>
      </x:c>
    </x:row>
    <x:row r="18" spans="1:14" x14ac:dyDescent="0.25">
      <x:c r="A18" t="s">
        <x:v>3</x:v>
      </x:c>
      <x:c r="B18" t="s">
        <x:v>710</x:v>
      </x:c>
      <x:c r="C18" t="s">
        <x:v>711</x:v>
      </x:c>
      <x:c r="D18" t="s">
        <x:v>832</x:v>
      </x:c>
      <x:c r="E18" s="6">
        <x:v>192344.36</x:v>
      </x:c>
      <x:c r="F18" s="6">
        <x:v>0</x:v>
      </x:c>
      <x:c r="G18" s="6">
        <x:v>0</x:v>
      </x:c>
      <x:c r="H18" s="6">
        <x:f t="shared" si="0"/>
        <x:v>192344.36</x:v>
      </x:c>
      <x:c r="I18" s="6">
        <x:v>0</x:v>
      </x:c>
      <x:c r="J18" s="6">
        <x:v>0</x:v>
      </x:c>
      <x:c r="K18" s="6">
        <x:f t="shared" si="1"/>
        <x:v>0</x:v>
      </x:c>
      <x:c r="L18" s="6">
        <x:v>0</x:v>
      </x:c>
      <x:c r="M18" s="6">
        <x:v>0</x:v>
      </x:c>
      <x:c r="N18" s="6">
        <x:f t="shared" si="2"/>
        <x:v>192344.36</x:v>
      </x:c>
    </x:row>
    <x:row r="19" spans="1:14" x14ac:dyDescent="0.25">
      <x:c r="A19" t="s">
        <x:v>3</x:v>
      </x:c>
      <x:c r="B19" t="s">
        <x:v>712</x:v>
      </x:c>
      <x:c r="C19" t="s">
        <x:v>713</x:v>
      </x:c>
      <x:c r="D19" t="s">
        <x:v>677</x:v>
      </x:c>
      <x:c r="E19" s="6">
        <x:v>2624.86</x:v>
      </x:c>
      <x:c r="F19" s="6">
        <x:v>0</x:v>
      </x:c>
      <x:c r="G19" s="6">
        <x:v>0</x:v>
      </x:c>
      <x:c r="H19" s="6">
        <x:f t="shared" si="0"/>
        <x:v>2624.86</x:v>
      </x:c>
      <x:c r="I19" s="6">
        <x:v>0</x:v>
      </x:c>
      <x:c r="J19" s="6">
        <x:v>0</x:v>
      </x:c>
      <x:c r="K19" s="6">
        <x:f t="shared" si="1"/>
        <x:v>0</x:v>
      </x:c>
      <x:c r="L19" s="6">
        <x:v>0</x:v>
      </x:c>
      <x:c r="M19" s="6">
        <x:v>0</x:v>
      </x:c>
      <x:c r="N19" s="6">
        <x:f t="shared" si="2"/>
        <x:v>2624.86</x:v>
      </x:c>
    </x:row>
    <x:row r="20" spans="1:14" x14ac:dyDescent="0.25">
      <x:c r="A20" t="s">
        <x:v>3</x:v>
      </x:c>
      <x:c r="B20" t="s">
        <x:v>712</x:v>
      </x:c>
      <x:c r="C20" t="s">
        <x:v>713</x:v>
      </x:c>
      <x:c r="D20" t="s">
        <x:v>832</x:v>
      </x:c>
      <x:c r="E20" s="6">
        <x:v>2624.86</x:v>
      </x:c>
      <x:c r="F20" s="6">
        <x:v>0</x:v>
      </x:c>
      <x:c r="G20" s="6">
        <x:v>0</x:v>
      </x:c>
      <x:c r="H20" s="6">
        <x:f t="shared" si="0"/>
        <x:v>2624.86</x:v>
      </x:c>
      <x:c r="I20" s="6">
        <x:v>0</x:v>
      </x:c>
      <x:c r="J20" s="6">
        <x:v>0</x:v>
      </x:c>
      <x:c r="K20" s="6">
        <x:f t="shared" si="1"/>
        <x:v>0</x:v>
      </x:c>
      <x:c r="L20" s="6">
        <x:v>0</x:v>
      </x:c>
      <x:c r="M20" s="6">
        <x:v>0</x:v>
      </x:c>
      <x:c r="N20" s="6">
        <x:f t="shared" si="2"/>
        <x:v>2624.86</x:v>
      </x:c>
    </x:row>
    <x:row r="21" spans="1:14" x14ac:dyDescent="0.25">
      <x:c r="A21" t="s">
        <x:v>3</x:v>
      </x:c>
      <x:c r="B21" t="s">
        <x:v>714</x:v>
      </x:c>
      <x:c r="C21" t="s">
        <x:v>715</x:v>
      </x:c>
      <x:c r="D21" t="s">
        <x:v>832</x:v>
      </x:c>
      <x:c r="E21" s="6">
        <x:v>24991.640000000003</x:v>
      </x:c>
      <x:c r="F21" s="6">
        <x:v>0</x:v>
      </x:c>
      <x:c r="G21" s="6">
        <x:v>0</x:v>
      </x:c>
      <x:c r="H21" s="6">
        <x:f t="shared" si="0"/>
        <x:v>24991.640000000003</x:v>
      </x:c>
      <x:c r="I21" s="6">
        <x:v>0</x:v>
      </x:c>
      <x:c r="J21" s="6">
        <x:v>0</x:v>
      </x:c>
      <x:c r="K21" s="6">
        <x:f t="shared" si="1"/>
        <x:v>0</x:v>
      </x:c>
      <x:c r="L21" s="6">
        <x:v>0</x:v>
      </x:c>
      <x:c r="M21" s="6">
        <x:v>0</x:v>
      </x:c>
      <x:c r="N21" s="6">
        <x:f t="shared" si="2"/>
        <x:v>24991.640000000003</x:v>
      </x:c>
    </x:row>
    <x:row r="22" spans="1:14" x14ac:dyDescent="0.25">
      <x:c r="A22" t="s">
        <x:v>3</x:v>
      </x:c>
      <x:c r="B22" t="s">
        <x:v>716</x:v>
      </x:c>
      <x:c r="C22" t="s">
        <x:v>717</x:v>
      </x:c>
      <x:c r="D22" t="s">
        <x:v>832</x:v>
      </x:c>
      <x:c r="E22" s="6">
        <x:v>9562.33</x:v>
      </x:c>
      <x:c r="F22" s="6">
        <x:v>0</x:v>
      </x:c>
      <x:c r="G22" s="6">
        <x:v>0</x:v>
      </x:c>
      <x:c r="H22" s="6">
        <x:f t="shared" si="0"/>
        <x:v>9562.33</x:v>
      </x:c>
      <x:c r="I22" s="6">
        <x:v>0</x:v>
      </x:c>
      <x:c r="J22" s="6">
        <x:v>0</x:v>
      </x:c>
      <x:c r="K22" s="6">
        <x:f t="shared" si="1"/>
        <x:v>0</x:v>
      </x:c>
      <x:c r="L22" s="6">
        <x:v>0</x:v>
      </x:c>
      <x:c r="M22" s="6">
        <x:v>0</x:v>
      </x:c>
      <x:c r="N22" s="6">
        <x:f t="shared" si="2"/>
        <x:v>9562.33</x:v>
      </x:c>
    </x:row>
    <x:row r="23" spans="1:14" x14ac:dyDescent="0.25">
      <x:c r="A23" t="s">
        <x:v>3</x:v>
      </x:c>
      <x:c r="B23" t="s">
        <x:v>718</x:v>
      </x:c>
      <x:c r="C23" t="s">
        <x:v>719</x:v>
      </x:c>
      <x:c r="D23" t="s">
        <x:v>832</x:v>
      </x:c>
      <x:c r="E23" s="6">
        <x:v>50.6</x:v>
      </x:c>
      <x:c r="F23" s="6">
        <x:v>0</x:v>
      </x:c>
      <x:c r="G23" s="6">
        <x:v>0</x:v>
      </x:c>
      <x:c r="H23" s="6">
        <x:f t="shared" si="0"/>
        <x:v>50.6</x:v>
      </x:c>
      <x:c r="I23" s="6">
        <x:v>0</x:v>
      </x:c>
      <x:c r="J23" s="6">
        <x:v>0</x:v>
      </x:c>
      <x:c r="K23" s="6">
        <x:f t="shared" si="1"/>
        <x:v>0</x:v>
      </x:c>
      <x:c r="L23" s="6">
        <x:v>0</x:v>
      </x:c>
      <x:c r="M23" s="6">
        <x:v>0</x:v>
      </x:c>
      <x:c r="N23" s="6">
        <x:f t="shared" si="2"/>
        <x:v>50.6</x:v>
      </x:c>
    </x:row>
    <x:row r="24" spans="1:14" x14ac:dyDescent="0.25">
      <x:c r="A24" t="s">
        <x:v>3</x:v>
      </x:c>
      <x:c r="B24" t="s">
        <x:v>720</x:v>
      </x:c>
      <x:c r="C24" t="s">
        <x:v>721</x:v>
      </x:c>
      <x:c r="D24" t="s">
        <x:v>677</x:v>
      </x:c>
      <x:c r="E24" s="6">
        <x:v>1324.83</x:v>
      </x:c>
      <x:c r="F24" s="6">
        <x:v>0</x:v>
      </x:c>
      <x:c r="G24" s="6">
        <x:v>0</x:v>
      </x:c>
      <x:c r="H24" s="6">
        <x:f t="shared" si="0"/>
        <x:v>1324.83</x:v>
      </x:c>
      <x:c r="I24" s="6">
        <x:v>0</x:v>
      </x:c>
      <x:c r="J24" s="6">
        <x:v>0</x:v>
      </x:c>
      <x:c r="K24" s="6">
        <x:f t="shared" si="1"/>
        <x:v>0</x:v>
      </x:c>
      <x:c r="L24" s="6">
        <x:v>0</x:v>
      </x:c>
      <x:c r="M24" s="6">
        <x:v>0</x:v>
      </x:c>
      <x:c r="N24" s="6">
        <x:f t="shared" si="2"/>
        <x:v>1324.83</x:v>
      </x:c>
    </x:row>
    <x:row r="25" spans="1:14" x14ac:dyDescent="0.25">
      <x:c r="A25" t="s">
        <x:v>3</x:v>
      </x:c>
      <x:c r="B25" t="s">
        <x:v>720</x:v>
      </x:c>
      <x:c r="C25" t="s">
        <x:v>721</x:v>
      </x:c>
      <x:c r="D25" t="s">
        <x:v>832</x:v>
      </x:c>
      <x:c r="E25" s="6">
        <x:v>192764.68</x:v>
      </x:c>
      <x:c r="F25" s="6">
        <x:v>0</x:v>
      </x:c>
      <x:c r="G25" s="6">
        <x:v>0</x:v>
      </x:c>
      <x:c r="H25" s="6">
        <x:f t="shared" si="0"/>
        <x:v>192764.68</x:v>
      </x:c>
      <x:c r="I25" s="6">
        <x:v>0</x:v>
      </x:c>
      <x:c r="J25" s="6">
        <x:v>0</x:v>
      </x:c>
      <x:c r="K25" s="6">
        <x:f t="shared" si="1"/>
        <x:v>0</x:v>
      </x:c>
      <x:c r="L25" s="6">
        <x:v>0</x:v>
      </x:c>
      <x:c r="M25" s="6">
        <x:v>0</x:v>
      </x:c>
      <x:c r="N25" s="6">
        <x:f t="shared" si="2"/>
        <x:v>192764.68</x:v>
      </x:c>
    </x:row>
    <x:row r="26" spans="1:14" x14ac:dyDescent="0.25">
      <x:c r="A26" t="s">
        <x:v>3</x:v>
      </x:c>
      <x:c r="B26" t="s">
        <x:v>722</x:v>
      </x:c>
      <x:c r="C26" t="s">
        <x:v>723</x:v>
      </x:c>
      <x:c r="D26" t="s">
        <x:v>677</x:v>
      </x:c>
      <x:c r="E26" s="6">
        <x:v>16169.12</x:v>
      </x:c>
      <x:c r="F26" s="6">
        <x:v>0</x:v>
      </x:c>
      <x:c r="G26" s="6">
        <x:v>0</x:v>
      </x:c>
      <x:c r="H26" s="6">
        <x:f t="shared" si="0"/>
        <x:v>16169.12</x:v>
      </x:c>
      <x:c r="I26" s="6">
        <x:v>0</x:v>
      </x:c>
      <x:c r="J26" s="6">
        <x:v>0</x:v>
      </x:c>
      <x:c r="K26" s="6">
        <x:f t="shared" si="1"/>
        <x:v>0</x:v>
      </x:c>
      <x:c r="L26" s="6">
        <x:v>0</x:v>
      </x:c>
      <x:c r="M26" s="6">
        <x:v>0</x:v>
      </x:c>
      <x:c r="N26" s="6">
        <x:f t="shared" si="2"/>
        <x:v>16169.12</x:v>
      </x:c>
    </x:row>
    <x:row r="27" spans="1:14" x14ac:dyDescent="0.25">
      <x:c r="A27" t="s">
        <x:v>3</x:v>
      </x:c>
      <x:c r="B27" t="s">
        <x:v>722</x:v>
      </x:c>
      <x:c r="C27" t="s">
        <x:v>723</x:v>
      </x:c>
      <x:c r="D27" t="s">
        <x:v>832</x:v>
      </x:c>
      <x:c r="E27" s="6">
        <x:v>227283.93000000002</x:v>
      </x:c>
      <x:c r="F27" s="6">
        <x:v>0</x:v>
      </x:c>
      <x:c r="G27" s="6">
        <x:v>0</x:v>
      </x:c>
      <x:c r="H27" s="6">
        <x:f t="shared" si="0"/>
        <x:v>227283.93000000002</x:v>
      </x:c>
      <x:c r="I27" s="6">
        <x:v>124.44</x:v>
      </x:c>
      <x:c r="J27" s="6">
        <x:v>0</x:v>
      </x:c>
      <x:c r="K27" s="6">
        <x:f t="shared" si="1"/>
        <x:v>124.44</x:v>
      </x:c>
      <x:c r="L27" s="6">
        <x:v>0</x:v>
      </x:c>
      <x:c r="M27" s="6">
        <x:v>0</x:v>
      </x:c>
      <x:c r="N27" s="6">
        <x:f t="shared" si="2"/>
        <x:v>227408.37000000002</x:v>
      </x:c>
    </x:row>
    <x:row r="28" spans="1:14" x14ac:dyDescent="0.25">
      <x:c r="A28" t="s">
        <x:v>3</x:v>
      </x:c>
      <x:c r="B28" t="s">
        <x:v>724</x:v>
      </x:c>
      <x:c r="C28" t="s">
        <x:v>725</x:v>
      </x:c>
      <x:c r="D28" t="s">
        <x:v>677</x:v>
      </x:c>
      <x:c r="E28" s="6">
        <x:v>83858.559999999998</x:v>
      </x:c>
      <x:c r="F28" s="6">
        <x:v>0</x:v>
      </x:c>
      <x:c r="G28" s="6">
        <x:v>0</x:v>
      </x:c>
      <x:c r="H28" s="6">
        <x:f t="shared" si="0"/>
        <x:v>83858.559999999998</x:v>
      </x:c>
      <x:c r="I28" s="6">
        <x:v>0</x:v>
      </x:c>
      <x:c r="J28" s="6">
        <x:v>0</x:v>
      </x:c>
      <x:c r="K28" s="6">
        <x:f t="shared" si="1"/>
        <x:v>0</x:v>
      </x:c>
      <x:c r="L28" s="6">
        <x:v>0</x:v>
      </x:c>
      <x:c r="M28" s="6">
        <x:v>0</x:v>
      </x:c>
      <x:c r="N28" s="6">
        <x:f t="shared" si="2"/>
        <x:v>83858.559999999998</x:v>
      </x:c>
    </x:row>
    <x:row r="29" spans="1:14" x14ac:dyDescent="0.25">
      <x:c r="A29" t="s">
        <x:v>3</x:v>
      </x:c>
      <x:c r="B29" t="s">
        <x:v>724</x:v>
      </x:c>
      <x:c r="C29" t="s">
        <x:v>725</x:v>
      </x:c>
      <x:c r="D29" t="s">
        <x:v>832</x:v>
      </x:c>
      <x:c r="E29" s="6">
        <x:v>63340.409999999989</x:v>
      </x:c>
      <x:c r="F29" s="6">
        <x:v>0</x:v>
      </x:c>
      <x:c r="G29" s="6">
        <x:v>0</x:v>
      </x:c>
      <x:c r="H29" s="6">
        <x:f t="shared" si="0"/>
        <x:v>63340.409999999989</x:v>
      </x:c>
      <x:c r="I29" s="6">
        <x:v>0</x:v>
      </x:c>
      <x:c r="J29" s="6">
        <x:v>0</x:v>
      </x:c>
      <x:c r="K29" s="6">
        <x:f t="shared" si="1"/>
        <x:v>0</x:v>
      </x:c>
      <x:c r="L29" s="6">
        <x:v>0</x:v>
      </x:c>
      <x:c r="M29" s="6">
        <x:v>0</x:v>
      </x:c>
      <x:c r="N29" s="6">
        <x:f t="shared" si="2"/>
        <x:v>63340.409999999989</x:v>
      </x:c>
    </x:row>
    <x:row r="30" spans="1:14" x14ac:dyDescent="0.25">
      <x:c r="A30" t="s">
        <x:v>3</x:v>
      </x:c>
      <x:c r="B30" t="s">
        <x:v>726</x:v>
      </x:c>
      <x:c r="C30" t="s">
        <x:v>727</x:v>
      </x:c>
      <x:c r="D30" t="s">
        <x:v>677</x:v>
      </x:c>
      <x:c r="E30" s="6">
        <x:v>718.14</x:v>
      </x:c>
      <x:c r="F30" s="6">
        <x:v>0</x:v>
      </x:c>
      <x:c r="G30" s="6">
        <x:v>0</x:v>
      </x:c>
      <x:c r="H30" s="6">
        <x:f t="shared" si="0"/>
        <x:v>718.14</x:v>
      </x:c>
      <x:c r="I30" s="6">
        <x:v>0</x:v>
      </x:c>
      <x:c r="J30" s="6">
        <x:v>0</x:v>
      </x:c>
      <x:c r="K30" s="6">
        <x:f t="shared" si="1"/>
        <x:v>0</x:v>
      </x:c>
      <x:c r="L30" s="6">
        <x:v>0</x:v>
      </x:c>
      <x:c r="M30" s="6">
        <x:v>0</x:v>
      </x:c>
      <x:c r="N30" s="6">
        <x:f t="shared" si="2"/>
        <x:v>718.14</x:v>
      </x:c>
    </x:row>
    <x:row r="31" spans="1:14" x14ac:dyDescent="0.25">
      <x:c r="A31" t="s">
        <x:v>3</x:v>
      </x:c>
      <x:c r="B31" t="s">
        <x:v>726</x:v>
      </x:c>
      <x:c r="C31" t="s">
        <x:v>727</x:v>
      </x:c>
      <x:c r="D31" t="s">
        <x:v>832</x:v>
      </x:c>
      <x:c r="E31" s="6">
        <x:v>89638.590000000011</x:v>
      </x:c>
      <x:c r="F31" s="6">
        <x:v>0</x:v>
      </x:c>
      <x:c r="G31" s="6">
        <x:v>0</x:v>
      </x:c>
      <x:c r="H31" s="6">
        <x:f t="shared" si="0"/>
        <x:v>89638.590000000011</x:v>
      </x:c>
      <x:c r="I31" s="6">
        <x:v>0</x:v>
      </x:c>
      <x:c r="J31" s="6">
        <x:v>0</x:v>
      </x:c>
      <x:c r="K31" s="6">
        <x:f t="shared" si="1"/>
        <x:v>0</x:v>
      </x:c>
      <x:c r="L31" s="6">
        <x:v>0</x:v>
      </x:c>
      <x:c r="M31" s="6">
        <x:v>0</x:v>
      </x:c>
      <x:c r="N31" s="6">
        <x:f t="shared" si="2"/>
        <x:v>89638.590000000011</x:v>
      </x:c>
    </x:row>
    <x:row r="32" spans="1:14" x14ac:dyDescent="0.25">
      <x:c r="A32" t="s">
        <x:v>3</x:v>
      </x:c>
      <x:c r="B32" t="s">
        <x:v>728</x:v>
      </x:c>
      <x:c r="C32" t="s">
        <x:v>729</x:v>
      </x:c>
      <x:c r="D32" t="s">
        <x:v>832</x:v>
      </x:c>
      <x:c r="E32" s="6">
        <x:v>13817.96</x:v>
      </x:c>
      <x:c r="F32" s="6">
        <x:v>0</x:v>
      </x:c>
      <x:c r="G32" s="6">
        <x:v>0</x:v>
      </x:c>
      <x:c r="H32" s="6">
        <x:f t="shared" si="0"/>
        <x:v>13817.96</x:v>
      </x:c>
      <x:c r="I32" s="6">
        <x:v>0</x:v>
      </x:c>
      <x:c r="J32" s="6">
        <x:v>0</x:v>
      </x:c>
      <x:c r="K32" s="6">
        <x:f t="shared" si="1"/>
        <x:v>0</x:v>
      </x:c>
      <x:c r="L32" s="6">
        <x:v>0</x:v>
      </x:c>
      <x:c r="M32" s="6">
        <x:v>0</x:v>
      </x:c>
      <x:c r="N32" s="6">
        <x:f t="shared" si="2"/>
        <x:v>13817.96</x:v>
      </x:c>
    </x:row>
    <x:row r="33" spans="1:14" x14ac:dyDescent="0.25">
      <x:c r="A33" t="s">
        <x:v>3</x:v>
      </x:c>
      <x:c r="B33" t="s">
        <x:v>730</x:v>
      </x:c>
      <x:c r="C33" t="s">
        <x:v>731</x:v>
      </x:c>
      <x:c r="D33" t="s">
        <x:v>677</x:v>
      </x:c>
      <x:c r="E33" s="6">
        <x:v>645005.3400000002</x:v>
      </x:c>
      <x:c r="F33" s="6">
        <x:v>0</x:v>
      </x:c>
      <x:c r="G33" s="6">
        <x:v>0</x:v>
      </x:c>
      <x:c r="H33" s="6">
        <x:f t="shared" si="0"/>
        <x:v>645005.3400000002</x:v>
      </x:c>
      <x:c r="I33" s="6">
        <x:v>0</x:v>
      </x:c>
      <x:c r="J33" s="6">
        <x:v>0</x:v>
      </x:c>
      <x:c r="K33" s="6">
        <x:f t="shared" si="1"/>
        <x:v>0</x:v>
      </x:c>
      <x:c r="L33" s="6">
        <x:v>0</x:v>
      </x:c>
      <x:c r="M33" s="6">
        <x:v>0</x:v>
      </x:c>
      <x:c r="N33" s="6">
        <x:f t="shared" si="2"/>
        <x:v>645005.3400000002</x:v>
      </x:c>
    </x:row>
    <x:row r="34" spans="1:14" x14ac:dyDescent="0.25">
      <x:c r="A34" t="s">
        <x:v>3</x:v>
      </x:c>
      <x:c r="B34" t="s">
        <x:v>730</x:v>
      </x:c>
      <x:c r="C34" t="s">
        <x:v>731</x:v>
      </x:c>
      <x:c r="D34" t="s">
        <x:v>832</x:v>
      </x:c>
      <x:c r="E34" s="6">
        <x:v>54069.530000000006</x:v>
      </x:c>
      <x:c r="F34" s="6">
        <x:v>0</x:v>
      </x:c>
      <x:c r="G34" s="6">
        <x:v>0</x:v>
      </x:c>
      <x:c r="H34" s="6">
        <x:f t="shared" si="0"/>
        <x:v>54069.530000000006</x:v>
      </x:c>
      <x:c r="I34" s="6">
        <x:v>0</x:v>
      </x:c>
      <x:c r="J34" s="6">
        <x:v>0</x:v>
      </x:c>
      <x:c r="K34" s="6">
        <x:f t="shared" si="1"/>
        <x:v>0</x:v>
      </x:c>
      <x:c r="L34" s="6">
        <x:v>0</x:v>
      </x:c>
      <x:c r="M34" s="6">
        <x:v>0</x:v>
      </x:c>
      <x:c r="N34" s="6">
        <x:f t="shared" si="2"/>
        <x:v>54069.530000000006</x:v>
      </x:c>
    </x:row>
    <x:row r="35" spans="1:14" x14ac:dyDescent="0.25">
      <x:c r="A35" t="s">
        <x:v>3</x:v>
      </x:c>
      <x:c r="B35" t="s">
        <x:v>732</x:v>
      </x:c>
      <x:c r="C35" t="s">
        <x:v>733</x:v>
      </x:c>
      <x:c r="D35" t="s">
        <x:v>677</x:v>
      </x:c>
      <x:c r="E35" s="6">
        <x:v>898.76</x:v>
      </x:c>
      <x:c r="F35" s="6">
        <x:v>0</x:v>
      </x:c>
      <x:c r="G35" s="6">
        <x:v>0</x:v>
      </x:c>
      <x:c r="H35" s="6">
        <x:f t="shared" si="0"/>
        <x:v>898.76</x:v>
      </x:c>
      <x:c r="I35" s="6">
        <x:v>0</x:v>
      </x:c>
      <x:c r="J35" s="6">
        <x:v>0</x:v>
      </x:c>
      <x:c r="K35" s="6">
        <x:f t="shared" si="1"/>
        <x:v>0</x:v>
      </x:c>
      <x:c r="L35" s="6">
        <x:v>0</x:v>
      </x:c>
      <x:c r="M35" s="6">
        <x:v>0</x:v>
      </x:c>
      <x:c r="N35" s="6">
        <x:f t="shared" si="2"/>
        <x:v>898.76</x:v>
      </x:c>
    </x:row>
    <x:row r="36" spans="1:14" x14ac:dyDescent="0.25">
      <x:c r="A36" t="s">
        <x:v>3</x:v>
      </x:c>
      <x:c r="B36" t="s">
        <x:v>732</x:v>
      </x:c>
      <x:c r="C36" t="s">
        <x:v>733</x:v>
      </x:c>
      <x:c r="D36" t="s">
        <x:v>832</x:v>
      </x:c>
      <x:c r="E36" s="6">
        <x:v>42345.85</x:v>
      </x:c>
      <x:c r="F36" s="6">
        <x:v>0</x:v>
      </x:c>
      <x:c r="G36" s="6">
        <x:v>0</x:v>
      </x:c>
      <x:c r="H36" s="6">
        <x:f t="shared" si="0"/>
        <x:v>42345.85</x:v>
      </x:c>
      <x:c r="I36" s="6">
        <x:v>0</x:v>
      </x:c>
      <x:c r="J36" s="6">
        <x:v>0</x:v>
      </x:c>
      <x:c r="K36" s="6">
        <x:f t="shared" si="1"/>
        <x:v>0</x:v>
      </x:c>
      <x:c r="L36" s="6">
        <x:v>0</x:v>
      </x:c>
      <x:c r="M36" s="6">
        <x:v>0</x:v>
      </x:c>
      <x:c r="N36" s="6">
        <x:f t="shared" si="2"/>
        <x:v>42345.85</x:v>
      </x:c>
    </x:row>
    <x:row r="37" spans="1:14" x14ac:dyDescent="0.25">
      <x:c r="A37" t="s">
        <x:v>3</x:v>
      </x:c>
      <x:c r="B37" t="s">
        <x:v>734</x:v>
      </x:c>
      <x:c r="C37" t="s">
        <x:v>735</x:v>
      </x:c>
      <x:c r="D37" t="s">
        <x:v>677</x:v>
      </x:c>
      <x:c r="E37" s="6">
        <x:v>67006.960000000006</x:v>
      </x:c>
      <x:c r="F37" s="6">
        <x:v>0</x:v>
      </x:c>
      <x:c r="G37" s="6">
        <x:v>0</x:v>
      </x:c>
      <x:c r="H37" s="6">
        <x:f t="shared" si="0"/>
        <x:v>67006.960000000006</x:v>
      </x:c>
      <x:c r="I37" s="6">
        <x:v>0</x:v>
      </x:c>
      <x:c r="J37" s="6">
        <x:v>0</x:v>
      </x:c>
      <x:c r="K37" s="6">
        <x:f t="shared" si="1"/>
        <x:v>0</x:v>
      </x:c>
      <x:c r="L37" s="6">
        <x:v>0</x:v>
      </x:c>
      <x:c r="M37" s="6">
        <x:v>0</x:v>
      </x:c>
      <x:c r="N37" s="6">
        <x:f t="shared" si="2"/>
        <x:v>67006.960000000006</x:v>
      </x:c>
    </x:row>
    <x:row r="38" spans="1:14" x14ac:dyDescent="0.25">
      <x:c r="A38" t="s">
        <x:v>3</x:v>
      </x:c>
      <x:c r="B38" t="s">
        <x:v>736</x:v>
      </x:c>
      <x:c r="C38" t="s">
        <x:v>737</x:v>
      </x:c>
      <x:c r="D38" t="s">
        <x:v>677</x:v>
      </x:c>
      <x:c r="E38" s="6">
        <x:v>76524.800000000003</x:v>
      </x:c>
      <x:c r="F38" s="6">
        <x:v>0</x:v>
      </x:c>
      <x:c r="G38" s="6">
        <x:v>0</x:v>
      </x:c>
      <x:c r="H38" s="6">
        <x:f t="shared" si="0"/>
        <x:v>76524.800000000003</x:v>
      </x:c>
      <x:c r="I38" s="6">
        <x:v>0</x:v>
      </x:c>
      <x:c r="J38" s="6">
        <x:v>0</x:v>
      </x:c>
      <x:c r="K38" s="6">
        <x:f t="shared" si="1"/>
        <x:v>0</x:v>
      </x:c>
      <x:c r="L38" s="6">
        <x:v>0</x:v>
      </x:c>
      <x:c r="M38" s="6">
        <x:v>0</x:v>
      </x:c>
      <x:c r="N38" s="6">
        <x:f t="shared" si="2"/>
        <x:v>76524.800000000003</x:v>
      </x:c>
    </x:row>
    <x:row r="39" spans="1:14" x14ac:dyDescent="0.25">
      <x:c r="A39" t="s">
        <x:v>3</x:v>
      </x:c>
      <x:c r="B39" t="s">
        <x:v>738</x:v>
      </x:c>
      <x:c r="C39" t="s">
        <x:v>739</x:v>
      </x:c>
      <x:c r="D39" t="s">
        <x:v>677</x:v>
      </x:c>
      <x:c r="E39" s="6">
        <x:v>1085.57</x:v>
      </x:c>
      <x:c r="F39" s="6">
        <x:v>0</x:v>
      </x:c>
      <x:c r="G39" s="6">
        <x:v>0</x:v>
      </x:c>
      <x:c r="H39" s="6">
        <x:f t="shared" si="0"/>
        <x:v>1085.57</x:v>
      </x:c>
      <x:c r="I39" s="6">
        <x:v>0</x:v>
      </x:c>
      <x:c r="J39" s="6">
        <x:v>0</x:v>
      </x:c>
      <x:c r="K39" s="6">
        <x:f t="shared" si="1"/>
        <x:v>0</x:v>
      </x:c>
      <x:c r="L39" s="6">
        <x:v>0</x:v>
      </x:c>
      <x:c r="M39" s="6">
        <x:v>0</x:v>
      </x:c>
      <x:c r="N39" s="6">
        <x:f t="shared" si="2"/>
        <x:v>1085.57</x:v>
      </x:c>
    </x:row>
    <x:row r="40" spans="1:14" x14ac:dyDescent="0.25">
      <x:c r="A40" t="s">
        <x:v>3</x:v>
      </x:c>
      <x:c r="B40" t="s">
        <x:v>738</x:v>
      </x:c>
      <x:c r="C40" t="s">
        <x:v>739</x:v>
      </x:c>
      <x:c r="D40" t="s">
        <x:v>832</x:v>
      </x:c>
      <x:c r="E40" s="6">
        <x:v>472871.74</x:v>
      </x:c>
      <x:c r="F40" s="6">
        <x:v>0</x:v>
      </x:c>
      <x:c r="G40" s="6">
        <x:v>0</x:v>
      </x:c>
      <x:c r="H40" s="6">
        <x:f t="shared" si="0"/>
        <x:v>472871.74</x:v>
      </x:c>
      <x:c r="I40" s="6">
        <x:v>0</x:v>
      </x:c>
      <x:c r="J40" s="6">
        <x:v>0</x:v>
      </x:c>
      <x:c r="K40" s="6">
        <x:f t="shared" si="1"/>
        <x:v>0</x:v>
      </x:c>
      <x:c r="L40" s="6">
        <x:v>0</x:v>
      </x:c>
      <x:c r="M40" s="6">
        <x:v>0</x:v>
      </x:c>
      <x:c r="N40" s="6">
        <x:f t="shared" si="2"/>
        <x:v>472871.74</x:v>
      </x:c>
    </x:row>
    <x:row r="41" spans="1:14" x14ac:dyDescent="0.25">
      <x:c r="A41" t="s">
        <x:v>3</x:v>
      </x:c>
      <x:c r="B41" t="s">
        <x:v>740</x:v>
      </x:c>
      <x:c r="C41" t="s">
        <x:v>741</x:v>
      </x:c>
      <x:c r="D41" t="s">
        <x:v>677</x:v>
      </x:c>
      <x:c r="E41" s="6">
        <x:v>75903</x:v>
      </x:c>
      <x:c r="F41" s="6">
        <x:v>0</x:v>
      </x:c>
      <x:c r="G41" s="6">
        <x:v>0</x:v>
      </x:c>
      <x:c r="H41" s="6">
        <x:f t="shared" si="0"/>
        <x:v>75903</x:v>
      </x:c>
      <x:c r="I41" s="6">
        <x:v>0</x:v>
      </x:c>
      <x:c r="J41" s="6">
        <x:v>0</x:v>
      </x:c>
      <x:c r="K41" s="6">
        <x:f t="shared" si="1"/>
        <x:v>0</x:v>
      </x:c>
      <x:c r="L41" s="6">
        <x:v>0</x:v>
      </x:c>
      <x:c r="M41" s="6">
        <x:v>0</x:v>
      </x:c>
      <x:c r="N41" s="6">
        <x:f t="shared" si="2"/>
        <x:v>75903</x:v>
      </x:c>
    </x:row>
    <x:row r="42" spans="1:14" x14ac:dyDescent="0.25">
      <x:c r="A42" t="s">
        <x:v>3</x:v>
      </x:c>
      <x:c r="B42" t="s">
        <x:v>740</x:v>
      </x:c>
      <x:c r="C42" t="s">
        <x:v>741</x:v>
      </x:c>
      <x:c r="D42" t="s">
        <x:v>832</x:v>
      </x:c>
      <x:c r="E42" s="6">
        <x:v>1164.3599999999999</x:v>
      </x:c>
      <x:c r="F42" s="6">
        <x:v>0</x:v>
      </x:c>
      <x:c r="G42" s="6">
        <x:v>0</x:v>
      </x:c>
      <x:c r="H42" s="6">
        <x:f t="shared" si="0"/>
        <x:v>1164.3599999999999</x:v>
      </x:c>
      <x:c r="I42" s="6">
        <x:v>0</x:v>
      </x:c>
      <x:c r="J42" s="6">
        <x:v>0</x:v>
      </x:c>
      <x:c r="K42" s="6">
        <x:f t="shared" si="1"/>
        <x:v>0</x:v>
      </x:c>
      <x:c r="L42" s="6">
        <x:v>0</x:v>
      </x:c>
      <x:c r="M42" s="6">
        <x:v>0</x:v>
      </x:c>
      <x:c r="N42" s="6">
        <x:f t="shared" si="2"/>
        <x:v>1164.3599999999999</x:v>
      </x:c>
    </x:row>
    <x:row r="43" spans="1:14" x14ac:dyDescent="0.25">
      <x:c r="A43" t="s">
        <x:v>3</x:v>
      </x:c>
      <x:c r="B43" s="3" t="s">
        <x:v>45</x:v>
      </x:c>
      <x:c r="C43" s="3" t="s">
        <x:v>362</x:v>
      </x:c>
      <x:c r="D43" t="s">
        <x:v>676</x:v>
      </x:c>
      <x:c r="E43" s="6">
        <x:v>0</x:v>
      </x:c>
      <x:c r="F43" s="6">
        <x:v>0</x:v>
      </x:c>
      <x:c r="G43" s="6">
        <x:v>0</x:v>
      </x:c>
      <x:c r="H43" s="6">
        <x:f t="shared" si="0"/>
        <x:v>0</x:v>
      </x:c>
      <x:c r="I43" s="6">
        <x:v>43051.03</x:v>
      </x:c>
      <x:c r="J43" s="6">
        <x:v>0</x:v>
      </x:c>
      <x:c r="K43" s="6">
        <x:f t="shared" si="1"/>
        <x:v>43051.03</x:v>
      </x:c>
      <x:c r="L43" s="6">
        <x:v>0</x:v>
      </x:c>
      <x:c r="M43" s="6">
        <x:v>0</x:v>
      </x:c>
      <x:c r="N43" s="6">
        <x:f t="shared" si="2"/>
        <x:v>43051.03</x:v>
      </x:c>
    </x:row>
    <x:row r="44" spans="1:14" x14ac:dyDescent="0.25">
      <x:c r="A44" t="s">
        <x:v>3</x:v>
      </x:c>
      <x:c r="B44" s="3" t="s">
        <x:v>46</x:v>
      </x:c>
      <x:c r="C44" s="3" t="s">
        <x:v>363</x:v>
      </x:c>
      <x:c r="D44" t="s">
        <x:v>676</x:v>
      </x:c>
      <x:c r="E44" s="6">
        <x:v>0</x:v>
      </x:c>
      <x:c r="F44" s="6">
        <x:v>0</x:v>
      </x:c>
      <x:c r="G44" s="6">
        <x:v>0</x:v>
      </x:c>
      <x:c r="H44" s="6">
        <x:f t="shared" si="0"/>
        <x:v>0</x:v>
      </x:c>
      <x:c r="I44" s="6">
        <x:v>0</x:v>
      </x:c>
      <x:c r="J44" s="6">
        <x:v>0</x:v>
      </x:c>
      <x:c r="K44" s="6">
        <x:f t="shared" si="1"/>
        <x:v>0</x:v>
      </x:c>
      <x:c r="L44" s="6">
        <x:v>3653.5</x:v>
      </x:c>
      <x:c r="M44" s="6">
        <x:v>0</x:v>
      </x:c>
      <x:c r="N44" s="6">
        <x:f t="shared" si="2"/>
        <x:v>3653.5</x:v>
      </x:c>
    </x:row>
    <x:row r="45" spans="1:14" x14ac:dyDescent="0.25">
      <x:c r="A45" t="s">
        <x:v>3</x:v>
      </x:c>
      <x:c r="B45" s="3" t="s">
        <x:v>47</x:v>
      </x:c>
      <x:c r="C45" s="3" t="s">
        <x:v>364</x:v>
      </x:c>
      <x:c r="D45" t="s">
        <x:v>676</x:v>
      </x:c>
      <x:c r="E45" s="6">
        <x:v>0</x:v>
      </x:c>
      <x:c r="F45" s="6">
        <x:v>0</x:v>
      </x:c>
      <x:c r="G45" s="6">
        <x:v>0</x:v>
      </x:c>
      <x:c r="H45" s="6">
        <x:f t="shared" si="0"/>
        <x:v>0</x:v>
      </x:c>
      <x:c r="I45" s="6">
        <x:v>3963</x:v>
      </x:c>
      <x:c r="J45" s="6">
        <x:v>0</x:v>
      </x:c>
      <x:c r="K45" s="6">
        <x:f t="shared" si="1"/>
        <x:v>3963</x:v>
      </x:c>
      <x:c r="L45" s="6">
        <x:v>0</x:v>
      </x:c>
      <x:c r="M45" s="6">
        <x:v>0</x:v>
      </x:c>
      <x:c r="N45" s="6">
        <x:f t="shared" si="2"/>
        <x:v>3963</x:v>
      </x:c>
    </x:row>
    <x:row r="46" spans="1:14" x14ac:dyDescent="0.25">
      <x:c r="A46" t="s">
        <x:v>3</x:v>
      </x:c>
      <x:c r="B46" t="s">
        <x:v>742</x:v>
      </x:c>
      <x:c r="C46" t="s">
        <x:v>743</x:v>
      </x:c>
      <x:c r="D46" t="s">
        <x:v>677</x:v>
      </x:c>
      <x:c r="E46" s="6">
        <x:v>234998.78999999998</x:v>
      </x:c>
      <x:c r="F46" s="6">
        <x:v>0</x:v>
      </x:c>
      <x:c r="G46" s="6">
        <x:v>0</x:v>
      </x:c>
      <x:c r="H46" s="6">
        <x:f t="shared" si="0"/>
        <x:v>234998.78999999998</x:v>
      </x:c>
      <x:c r="I46" s="6">
        <x:v>0</x:v>
      </x:c>
      <x:c r="J46" s="6">
        <x:v>0</x:v>
      </x:c>
      <x:c r="K46" s="6">
        <x:f t="shared" si="1"/>
        <x:v>0</x:v>
      </x:c>
      <x:c r="L46" s="6">
        <x:v>0</x:v>
      </x:c>
      <x:c r="M46" s="6">
        <x:v>0</x:v>
      </x:c>
      <x:c r="N46" s="6">
        <x:f t="shared" si="2"/>
        <x:v>234998.78999999998</x:v>
      </x:c>
    </x:row>
    <x:row r="47" spans="1:14" x14ac:dyDescent="0.25">
      <x:c r="A47" t="s">
        <x:v>3</x:v>
      </x:c>
      <x:c r="B47" t="s">
        <x:v>742</x:v>
      </x:c>
      <x:c r="C47" t="s">
        <x:v>743</x:v>
      </x:c>
      <x:c r="D47" t="s">
        <x:v>832</x:v>
      </x:c>
      <x:c r="E47" s="6">
        <x:v>11026.81</x:v>
      </x:c>
      <x:c r="F47" s="6">
        <x:v>0</x:v>
      </x:c>
      <x:c r="G47" s="6">
        <x:v>0</x:v>
      </x:c>
      <x:c r="H47" s="6">
        <x:f t="shared" si="0"/>
        <x:v>11026.81</x:v>
      </x:c>
      <x:c r="I47" s="6">
        <x:v>0</x:v>
      </x:c>
      <x:c r="J47" s="6">
        <x:v>0</x:v>
      </x:c>
      <x:c r="K47" s="6">
        <x:f t="shared" si="1"/>
        <x:v>0</x:v>
      </x:c>
      <x:c r="L47" s="6">
        <x:v>0</x:v>
      </x:c>
      <x:c r="M47" s="6">
        <x:v>0</x:v>
      </x:c>
      <x:c r="N47" s="6">
        <x:f t="shared" si="2"/>
        <x:v>11026.81</x:v>
      </x:c>
    </x:row>
    <x:row r="48" spans="1:14" x14ac:dyDescent="0.25">
      <x:c r="A48" t="s">
        <x:v>3</x:v>
      </x:c>
      <x:c r="B48" t="s">
        <x:v>744</x:v>
      </x:c>
      <x:c r="C48" t="s">
        <x:v>745</x:v>
      </x:c>
      <x:c r="D48" t="s">
        <x:v>677</x:v>
      </x:c>
      <x:c r="E48" s="6">
        <x:v>249495.29000000004</x:v>
      </x:c>
      <x:c r="F48" s="6">
        <x:v>0</x:v>
      </x:c>
      <x:c r="G48" s="6">
        <x:v>0</x:v>
      </x:c>
      <x:c r="H48" s="6">
        <x:f t="shared" si="0"/>
        <x:v>249495.29000000004</x:v>
      </x:c>
      <x:c r="I48" s="6">
        <x:v>0</x:v>
      </x:c>
      <x:c r="J48" s="6">
        <x:v>0</x:v>
      </x:c>
      <x:c r="K48" s="6">
        <x:f t="shared" si="1"/>
        <x:v>0</x:v>
      </x:c>
      <x:c r="L48" s="6">
        <x:v>0</x:v>
      </x:c>
      <x:c r="M48" s="6">
        <x:v>0</x:v>
      </x:c>
      <x:c r="N48" s="6">
        <x:f t="shared" si="2"/>
        <x:v>249495.29000000004</x:v>
      </x:c>
    </x:row>
    <x:row r="49" spans="1:14" x14ac:dyDescent="0.25">
      <x:c r="A49" t="s">
        <x:v>3</x:v>
      </x:c>
      <x:c r="B49" t="s">
        <x:v>744</x:v>
      </x:c>
      <x:c r="C49" t="s">
        <x:v>745</x:v>
      </x:c>
      <x:c r="D49" t="s">
        <x:v>832</x:v>
      </x:c>
      <x:c r="E49" s="6">
        <x:v>26199.809999999998</x:v>
      </x:c>
      <x:c r="F49" s="6">
        <x:v>0</x:v>
      </x:c>
      <x:c r="G49" s="6">
        <x:v>0</x:v>
      </x:c>
      <x:c r="H49" s="6">
        <x:f t="shared" si="0"/>
        <x:v>26199.809999999998</x:v>
      </x:c>
      <x:c r="I49" s="6">
        <x:v>0</x:v>
      </x:c>
      <x:c r="J49" s="6">
        <x:v>0</x:v>
      </x:c>
      <x:c r="K49" s="6">
        <x:f t="shared" si="1"/>
        <x:v>0</x:v>
      </x:c>
      <x:c r="L49" s="6">
        <x:v>0</x:v>
      </x:c>
      <x:c r="M49" s="6">
        <x:v>0</x:v>
      </x:c>
      <x:c r="N49" s="6">
        <x:f t="shared" si="2"/>
        <x:v>26199.809999999998</x:v>
      </x:c>
    </x:row>
    <x:row r="50" spans="1:14" x14ac:dyDescent="0.25">
      <x:c r="A50" t="s">
        <x:v>3</x:v>
      </x:c>
      <x:c r="B50" t="s">
        <x:v>746</x:v>
      </x:c>
      <x:c r="C50" t="s">
        <x:v>747</x:v>
      </x:c>
      <x:c r="D50" t="s">
        <x:v>677</x:v>
      </x:c>
      <x:c r="E50" s="6">
        <x:v>1148351.4900000005</x:v>
      </x:c>
      <x:c r="F50" s="6">
        <x:v>0</x:v>
      </x:c>
      <x:c r="G50" s="6">
        <x:v>0</x:v>
      </x:c>
      <x:c r="H50" s="6">
        <x:f t="shared" si="0"/>
        <x:v>1148351.4900000005</x:v>
      </x:c>
      <x:c r="I50" s="6">
        <x:v>0</x:v>
      </x:c>
      <x:c r="J50" s="6">
        <x:v>0</x:v>
      </x:c>
      <x:c r="K50" s="6">
        <x:f t="shared" si="1"/>
        <x:v>0</x:v>
      </x:c>
      <x:c r="L50" s="6">
        <x:v>0</x:v>
      </x:c>
      <x:c r="M50" s="6">
        <x:v>0</x:v>
      </x:c>
      <x:c r="N50" s="6">
        <x:f t="shared" si="2"/>
        <x:v>1148351.4900000005</x:v>
      </x:c>
    </x:row>
    <x:row r="51" spans="1:14" x14ac:dyDescent="0.25">
      <x:c r="A51" t="s">
        <x:v>3</x:v>
      </x:c>
      <x:c r="B51" t="s">
        <x:v>746</x:v>
      </x:c>
      <x:c r="C51" t="s">
        <x:v>747</x:v>
      </x:c>
      <x:c r="D51" t="s">
        <x:v>832</x:v>
      </x:c>
      <x:c r="E51" s="6">
        <x:v>54153.359999999993</x:v>
      </x:c>
      <x:c r="F51" s="6">
        <x:v>0</x:v>
      </x:c>
      <x:c r="G51" s="6">
        <x:v>0</x:v>
      </x:c>
      <x:c r="H51" s="6">
        <x:f t="shared" si="0"/>
        <x:v>54153.359999999993</x:v>
      </x:c>
      <x:c r="I51" s="6">
        <x:v>0</x:v>
      </x:c>
      <x:c r="J51" s="6">
        <x:v>0</x:v>
      </x:c>
      <x:c r="K51" s="6">
        <x:f t="shared" si="1"/>
        <x:v>0</x:v>
      </x:c>
      <x:c r="L51" s="6">
        <x:v>0</x:v>
      </x:c>
      <x:c r="M51" s="6">
        <x:v>0</x:v>
      </x:c>
      <x:c r="N51" s="6">
        <x:f t="shared" si="2"/>
        <x:v>54153.359999999993</x:v>
      </x:c>
    </x:row>
    <x:row r="52" spans="1:14" x14ac:dyDescent="0.25">
      <x:c r="A52" t="s">
        <x:v>3</x:v>
      </x:c>
      <x:c r="B52" t="s">
        <x:v>748</x:v>
      </x:c>
      <x:c r="C52" t="s">
        <x:v>438</x:v>
      </x:c>
      <x:c r="D52" t="s">
        <x:v>677</x:v>
      </x:c>
      <x:c r="E52" s="6">
        <x:v>7898.74</x:v>
      </x:c>
      <x:c r="F52" s="6">
        <x:v>0</x:v>
      </x:c>
      <x:c r="G52" s="6">
        <x:v>0</x:v>
      </x:c>
      <x:c r="H52" s="6">
        <x:f t="shared" si="0"/>
        <x:v>7898.74</x:v>
      </x:c>
      <x:c r="I52" s="6">
        <x:v>0</x:v>
      </x:c>
      <x:c r="J52" s="6">
        <x:v>0</x:v>
      </x:c>
      <x:c r="K52" s="6">
        <x:f t="shared" si="1"/>
        <x:v>0</x:v>
      </x:c>
      <x:c r="L52" s="6">
        <x:v>0</x:v>
      </x:c>
      <x:c r="M52" s="6">
        <x:v>0</x:v>
      </x:c>
      <x:c r="N52" s="6">
        <x:f t="shared" si="2"/>
        <x:v>7898.74</x:v>
      </x:c>
    </x:row>
    <x:row r="53" spans="1:14" x14ac:dyDescent="0.25">
      <x:c r="A53" t="s">
        <x:v>3</x:v>
      </x:c>
      <x:c r="B53" t="s">
        <x:v>749</x:v>
      </x:c>
      <x:c r="C53" t="s">
        <x:v>750</x:v>
      </x:c>
      <x:c r="D53" t="s">
        <x:v>677</x:v>
      </x:c>
      <x:c r="E53" s="6">
        <x:v>125871.12</x:v>
      </x:c>
      <x:c r="F53" s="6">
        <x:v>0</x:v>
      </x:c>
      <x:c r="G53" s="6">
        <x:v>0</x:v>
      </x:c>
      <x:c r="H53" s="6">
        <x:f t="shared" si="0"/>
        <x:v>125871.12</x:v>
      </x:c>
      <x:c r="I53" s="6">
        <x:v>0</x:v>
      </x:c>
      <x:c r="J53" s="6">
        <x:v>0</x:v>
      </x:c>
      <x:c r="K53" s="6">
        <x:f t="shared" si="1"/>
        <x:v>0</x:v>
      </x:c>
      <x:c r="L53" s="6">
        <x:v>0</x:v>
      </x:c>
      <x:c r="M53" s="6">
        <x:v>0</x:v>
      </x:c>
      <x:c r="N53" s="6">
        <x:f t="shared" si="2"/>
        <x:v>125871.12</x:v>
      </x:c>
    </x:row>
    <x:row r="54" spans="1:14" x14ac:dyDescent="0.25">
      <x:c r="A54" t="s">
        <x:v>3</x:v>
      </x:c>
      <x:c r="B54" t="s">
        <x:v>749</x:v>
      </x:c>
      <x:c r="C54" t="s">
        <x:v>750</x:v>
      </x:c>
      <x:c r="D54" t="s">
        <x:v>832</x:v>
      </x:c>
      <x:c r="E54" s="6">
        <x:v>19.82</x:v>
      </x:c>
      <x:c r="F54" s="6">
        <x:v>0</x:v>
      </x:c>
      <x:c r="G54" s="6">
        <x:v>0</x:v>
      </x:c>
      <x:c r="H54" s="6">
        <x:f t="shared" si="0"/>
        <x:v>19.82</x:v>
      </x:c>
      <x:c r="I54" s="6">
        <x:v>0</x:v>
      </x:c>
      <x:c r="J54" s="6">
        <x:v>0</x:v>
      </x:c>
      <x:c r="K54" s="6">
        <x:f t="shared" si="1"/>
        <x:v>0</x:v>
      </x:c>
      <x:c r="L54" s="6">
        <x:v>0</x:v>
      </x:c>
      <x:c r="M54" s="6">
        <x:v>0</x:v>
      </x:c>
      <x:c r="N54" s="6">
        <x:f t="shared" si="2"/>
        <x:v>19.82</x:v>
      </x:c>
    </x:row>
    <x:row r="55" spans="1:14" x14ac:dyDescent="0.25">
      <x:c r="A55" t="s">
        <x:v>3</x:v>
      </x:c>
      <x:c r="B55" t="s">
        <x:v>751</x:v>
      </x:c>
      <x:c r="C55" t="s">
        <x:v>752</x:v>
      </x:c>
      <x:c r="D55" t="s">
        <x:v>677</x:v>
      </x:c>
      <x:c r="E55" s="6">
        <x:v>29423.140000000007</x:v>
      </x:c>
      <x:c r="F55" s="6">
        <x:v>0</x:v>
      </x:c>
      <x:c r="G55" s="6">
        <x:v>0</x:v>
      </x:c>
      <x:c r="H55" s="6">
        <x:f t="shared" si="0"/>
        <x:v>29423.140000000007</x:v>
      </x:c>
      <x:c r="I55" s="6">
        <x:v>0</x:v>
      </x:c>
      <x:c r="J55" s="6">
        <x:v>0</x:v>
      </x:c>
      <x:c r="K55" s="6">
        <x:f t="shared" si="1"/>
        <x:v>0</x:v>
      </x:c>
      <x:c r="L55" s="6">
        <x:v>0</x:v>
      </x:c>
      <x:c r="M55" s="6">
        <x:v>0</x:v>
      </x:c>
      <x:c r="N55" s="6">
        <x:f t="shared" si="2"/>
        <x:v>29423.140000000007</x:v>
      </x:c>
    </x:row>
    <x:row r="56" spans="1:14" x14ac:dyDescent="0.25">
      <x:c r="A56" t="s">
        <x:v>3</x:v>
      </x:c>
      <x:c r="B56" t="s">
        <x:v>751</x:v>
      </x:c>
      <x:c r="C56" t="s">
        <x:v>752</x:v>
      </x:c>
      <x:c r="D56" t="s">
        <x:v>832</x:v>
      </x:c>
      <x:c r="E56" s="6">
        <x:v>3235.9199999999996</x:v>
      </x:c>
      <x:c r="F56" s="6">
        <x:v>0</x:v>
      </x:c>
      <x:c r="G56" s="6">
        <x:v>0</x:v>
      </x:c>
      <x:c r="H56" s="6">
        <x:f t="shared" si="0"/>
        <x:v>3235.9199999999996</x:v>
      </x:c>
      <x:c r="I56" s="6">
        <x:v>0</x:v>
      </x:c>
      <x:c r="J56" s="6">
        <x:v>0</x:v>
      </x:c>
      <x:c r="K56" s="6">
        <x:f t="shared" si="1"/>
        <x:v>0</x:v>
      </x:c>
      <x:c r="L56" s="6">
        <x:v>0</x:v>
      </x:c>
      <x:c r="M56" s="6">
        <x:v>0</x:v>
      </x:c>
      <x:c r="N56" s="6">
        <x:f t="shared" si="2"/>
        <x:v>3235.9199999999996</x:v>
      </x:c>
    </x:row>
    <x:row r="57" spans="1:14" x14ac:dyDescent="0.25">
      <x:c r="A57" t="s">
        <x:v>3</x:v>
      </x:c>
      <x:c r="B57" t="s">
        <x:v>753</x:v>
      </x:c>
      <x:c r="C57" t="s">
        <x:v>754</x:v>
      </x:c>
      <x:c r="D57" t="s">
        <x:v>677</x:v>
      </x:c>
      <x:c r="E57" s="6">
        <x:v>22145.79</x:v>
      </x:c>
      <x:c r="F57" s="6">
        <x:v>0</x:v>
      </x:c>
      <x:c r="G57" s="6">
        <x:v>0</x:v>
      </x:c>
      <x:c r="H57" s="6">
        <x:f t="shared" si="0"/>
        <x:v>22145.79</x:v>
      </x:c>
      <x:c r="I57" s="6">
        <x:v>0</x:v>
      </x:c>
      <x:c r="J57" s="6">
        <x:v>0</x:v>
      </x:c>
      <x:c r="K57" s="6">
        <x:f t="shared" si="1"/>
        <x:v>0</x:v>
      </x:c>
      <x:c r="L57" s="6">
        <x:v>0</x:v>
      </x:c>
      <x:c r="M57" s="6">
        <x:v>0</x:v>
      </x:c>
      <x:c r="N57" s="6">
        <x:f t="shared" si="2"/>
        <x:v>22145.79</x:v>
      </x:c>
    </x:row>
    <x:row r="58" spans="1:14" x14ac:dyDescent="0.25">
      <x:c r="A58" t="s">
        <x:v>3</x:v>
      </x:c>
      <x:c r="B58" t="s">
        <x:v>755</x:v>
      </x:c>
      <x:c r="C58" t="s">
        <x:v>756</x:v>
      </x:c>
      <x:c r="D58" t="s">
        <x:v>677</x:v>
      </x:c>
      <x:c r="E58" s="6">
        <x:v>272301</x:v>
      </x:c>
      <x:c r="F58" s="6">
        <x:v>0</x:v>
      </x:c>
      <x:c r="G58" s="6">
        <x:v>0</x:v>
      </x:c>
      <x:c r="H58" s="6">
        <x:f t="shared" si="0"/>
        <x:v>272301</x:v>
      </x:c>
      <x:c r="I58" s="6">
        <x:v>0</x:v>
      </x:c>
      <x:c r="J58" s="6">
        <x:v>0</x:v>
      </x:c>
      <x:c r="K58" s="6">
        <x:f t="shared" si="1"/>
        <x:v>0</x:v>
      </x:c>
      <x:c r="L58" s="6">
        <x:v>0</x:v>
      </x:c>
      <x:c r="M58" s="6">
        <x:v>0</x:v>
      </x:c>
      <x:c r="N58" s="6">
        <x:f t="shared" si="2"/>
        <x:v>272301</x:v>
      </x:c>
    </x:row>
    <x:row r="59" spans="1:14" x14ac:dyDescent="0.25">
      <x:c r="A59" t="s">
        <x:v>3</x:v>
      </x:c>
      <x:c r="B59" t="s">
        <x:v>755</x:v>
      </x:c>
      <x:c r="C59" t="s">
        <x:v>756</x:v>
      </x:c>
      <x:c r="D59" t="s">
        <x:v>832</x:v>
      </x:c>
      <x:c r="E59" s="6">
        <x:v>812.39</x:v>
      </x:c>
      <x:c r="F59" s="6">
        <x:v>0</x:v>
      </x:c>
      <x:c r="G59" s="6">
        <x:v>0</x:v>
      </x:c>
      <x:c r="H59" s="6">
        <x:f t="shared" si="0"/>
        <x:v>812.39</x:v>
      </x:c>
      <x:c r="I59" s="6">
        <x:v>0</x:v>
      </x:c>
      <x:c r="J59" s="6">
        <x:v>0</x:v>
      </x:c>
      <x:c r="K59" s="6">
        <x:f t="shared" si="1"/>
        <x:v>0</x:v>
      </x:c>
      <x:c r="L59" s="6">
        <x:v>0</x:v>
      </x:c>
      <x:c r="M59" s="6">
        <x:v>0</x:v>
      </x:c>
      <x:c r="N59" s="6">
        <x:f t="shared" si="2"/>
        <x:v>812.39</x:v>
      </x:c>
    </x:row>
    <x:row r="60" spans="1:14" x14ac:dyDescent="0.25">
      <x:c r="A60" t="s">
        <x:v>3</x:v>
      </x:c>
      <x:c r="B60" t="s">
        <x:v>757</x:v>
      </x:c>
      <x:c r="C60" t="s">
        <x:v>758</x:v>
      </x:c>
      <x:c r="D60" t="s">
        <x:v>677</x:v>
      </x:c>
      <x:c r="E60" s="6">
        <x:v>24771.56</x:v>
      </x:c>
      <x:c r="F60" s="6">
        <x:v>0</x:v>
      </x:c>
      <x:c r="G60" s="6">
        <x:v>0</x:v>
      </x:c>
      <x:c r="H60" s="6">
        <x:f t="shared" si="0"/>
        <x:v>24771.56</x:v>
      </x:c>
      <x:c r="I60" s="6">
        <x:v>0</x:v>
      </x:c>
      <x:c r="J60" s="6">
        <x:v>0</x:v>
      </x:c>
      <x:c r="K60" s="6">
        <x:f t="shared" si="1"/>
        <x:v>0</x:v>
      </x:c>
      <x:c r="L60" s="6">
        <x:v>0</x:v>
      </x:c>
      <x:c r="M60" s="6">
        <x:v>0</x:v>
      </x:c>
      <x:c r="N60" s="6">
        <x:f t="shared" si="2"/>
        <x:v>24771.56</x:v>
      </x:c>
    </x:row>
    <x:row r="61" spans="1:14" x14ac:dyDescent="0.25">
      <x:c r="A61" t="s">
        <x:v>3</x:v>
      </x:c>
      <x:c r="B61" t="s">
        <x:v>757</x:v>
      </x:c>
      <x:c r="C61" t="s">
        <x:v>758</x:v>
      </x:c>
      <x:c r="D61" t="s">
        <x:v>832</x:v>
      </x:c>
      <x:c r="E61" s="6">
        <x:v>522.12</x:v>
      </x:c>
      <x:c r="F61" s="6">
        <x:v>0</x:v>
      </x:c>
      <x:c r="G61" s="6">
        <x:v>0</x:v>
      </x:c>
      <x:c r="H61" s="6">
        <x:f t="shared" si="0"/>
        <x:v>522.12</x:v>
      </x:c>
      <x:c r="I61" s="6">
        <x:v>1435.59</x:v>
      </x:c>
      <x:c r="J61" s="6">
        <x:v>0</x:v>
      </x:c>
      <x:c r="K61" s="6">
        <x:f t="shared" si="1"/>
        <x:v>1435.59</x:v>
      </x:c>
      <x:c r="L61" s="6">
        <x:v>0</x:v>
      </x:c>
      <x:c r="M61" s="6">
        <x:v>0</x:v>
      </x:c>
      <x:c r="N61" s="6">
        <x:f t="shared" si="2"/>
        <x:v>1957.71</x:v>
      </x:c>
    </x:row>
    <x:row r="62" spans="1:14" x14ac:dyDescent="0.25">
      <x:c r="A62" t="s">
        <x:v>3</x:v>
      </x:c>
      <x:c r="B62" t="s">
        <x:v>759</x:v>
      </x:c>
      <x:c r="C62" t="s">
        <x:v>667</x:v>
      </x:c>
      <x:c r="D62" t="s">
        <x:v>677</x:v>
      </x:c>
      <x:c r="E62" s="6">
        <x:v>81097.119999999995</x:v>
      </x:c>
      <x:c r="F62" s="6">
        <x:v>0</x:v>
      </x:c>
      <x:c r="G62" s="6">
        <x:v>0</x:v>
      </x:c>
      <x:c r="H62" s="6">
        <x:f t="shared" si="0"/>
        <x:v>81097.119999999995</x:v>
      </x:c>
      <x:c r="I62" s="6">
        <x:v>0</x:v>
      </x:c>
      <x:c r="J62" s="6">
        <x:v>0</x:v>
      </x:c>
      <x:c r="K62" s="6">
        <x:f t="shared" si="1"/>
        <x:v>0</x:v>
      </x:c>
      <x:c r="L62" s="6">
        <x:v>0</x:v>
      </x:c>
      <x:c r="M62" s="6">
        <x:v>0</x:v>
      </x:c>
      <x:c r="N62" s="6">
        <x:f t="shared" si="2"/>
        <x:v>81097.119999999995</x:v>
      </x:c>
    </x:row>
    <x:row r="63" spans="1:14" x14ac:dyDescent="0.25">
      <x:c r="A63" t="s">
        <x:v>3</x:v>
      </x:c>
      <x:c r="B63" t="s">
        <x:v>839</x:v>
      </x:c>
      <x:c r="C63" t="s">
        <x:v>840</x:v>
      </x:c>
      <x:c r="D63" t="s">
        <x:v>677</x:v>
      </x:c>
      <x:c r="E63" s="6">
        <x:v>0</x:v>
      </x:c>
      <x:c r="F63" s="6">
        <x:v>139039.68000000002</x:v>
      </x:c>
      <x:c r="G63" s="6">
        <x:v>0</x:v>
      </x:c>
      <x:c r="H63" s="6">
        <x:f t="shared" si="0"/>
        <x:v>139039.68000000002</x:v>
      </x:c>
      <x:c r="I63" s="6">
        <x:v>0</x:v>
      </x:c>
      <x:c r="J63" s="6">
        <x:v>0</x:v>
      </x:c>
      <x:c r="K63" s="6">
        <x:f t="shared" si="1"/>
        <x:v>0</x:v>
      </x:c>
      <x:c r="L63" s="6">
        <x:v>0</x:v>
      </x:c>
      <x:c r="M63" s="6">
        <x:v>0</x:v>
      </x:c>
      <x:c r="N63" s="6">
        <x:f t="shared" si="2"/>
        <x:v>139039.68000000002</x:v>
      </x:c>
    </x:row>
    <x:row r="64" spans="1:14" x14ac:dyDescent="0.25">
      <x:c r="A64" t="s">
        <x:v>3</x:v>
      </x:c>
      <x:c r="B64" t="s">
        <x:v>839</x:v>
      </x:c>
      <x:c r="C64" t="s">
        <x:v>840</x:v>
      </x:c>
      <x:c r="D64" t="s">
        <x:v>841</x:v>
      </x:c>
      <x:c r="E64" s="6">
        <x:v>0</x:v>
      </x:c>
      <x:c r="F64" s="6">
        <x:v>78897.909999999989</x:v>
      </x:c>
      <x:c r="G64" s="6">
        <x:v>0</x:v>
      </x:c>
      <x:c r="H64" s="6">
        <x:f t="shared" si="0"/>
        <x:v>78897.909999999989</x:v>
      </x:c>
      <x:c r="I64" s="6">
        <x:v>0</x:v>
      </x:c>
      <x:c r="J64" s="6">
        <x:v>0</x:v>
      </x:c>
      <x:c r="K64" s="6">
        <x:f t="shared" si="1"/>
        <x:v>0</x:v>
      </x:c>
      <x:c r="L64" s="6">
        <x:v>0</x:v>
      </x:c>
      <x:c r="M64" s="6">
        <x:v>0</x:v>
      </x:c>
      <x:c r="N64" s="6">
        <x:f t="shared" si="2"/>
        <x:v>78897.909999999989</x:v>
      </x:c>
    </x:row>
    <x:row r="65" spans="1:14" x14ac:dyDescent="0.25">
      <x:c r="A65" t="s">
        <x:v>4</x:v>
      </x:c>
      <x:c r="B65" s="3" t="s">
        <x:v>48</x:v>
      </x:c>
      <x:c r="C65" s="3" t="s">
        <x:v>365</x:v>
      </x:c>
      <x:c r="D65" t="s">
        <x:v>677</x:v>
      </x:c>
      <x:c r="E65" s="6">
        <x:v>9741.06</x:v>
      </x:c>
      <x:c r="F65" s="6">
        <x:v>0</x:v>
      </x:c>
      <x:c r="G65" s="6">
        <x:v>0</x:v>
      </x:c>
      <x:c r="H65" s="6">
        <x:f t="shared" si="0"/>
        <x:v>9741.06</x:v>
      </x:c>
      <x:c r="I65" s="6">
        <x:v>0</x:v>
      </x:c>
      <x:c r="J65" s="6">
        <x:v>0</x:v>
      </x:c>
      <x:c r="K65" s="6">
        <x:f t="shared" si="1"/>
        <x:v>0</x:v>
      </x:c>
      <x:c r="L65" s="6">
        <x:v>0</x:v>
      </x:c>
      <x:c r="M65" s="6">
        <x:v>0</x:v>
      </x:c>
      <x:c r="N65" s="6">
        <x:f t="shared" si="2"/>
        <x:v>9741.06</x:v>
      </x:c>
    </x:row>
    <x:row r="66" spans="1:14" x14ac:dyDescent="0.25">
      <x:c r="A66" t="s">
        <x:v>4</x:v>
      </x:c>
      <x:c r="B66" t="s">
        <x:v>692</x:v>
      </x:c>
      <x:c r="C66" t="s">
        <x:v>693</x:v>
      </x:c>
      <x:c r="D66" t="s">
        <x:v>677</x:v>
      </x:c>
      <x:c r="E66" s="6">
        <x:v>7313.33</x:v>
      </x:c>
      <x:c r="F66" s="6">
        <x:v>0</x:v>
      </x:c>
      <x:c r="G66" s="6">
        <x:v>0</x:v>
      </x:c>
      <x:c r="H66" s="6">
        <x:f t="shared" si="0"/>
        <x:v>7313.33</x:v>
      </x:c>
      <x:c r="I66" s="6">
        <x:v>0</x:v>
      </x:c>
      <x:c r="J66" s="6">
        <x:v>0</x:v>
      </x:c>
      <x:c r="K66" s="6">
        <x:f t="shared" si="1"/>
        <x:v>0</x:v>
      </x:c>
      <x:c r="L66" s="6">
        <x:v>0</x:v>
      </x:c>
      <x:c r="M66" s="6">
        <x:v>0</x:v>
      </x:c>
      <x:c r="N66" s="6">
        <x:f t="shared" si="2"/>
        <x:v>7313.33</x:v>
      </x:c>
    </x:row>
    <x:row r="67" spans="1:14" x14ac:dyDescent="0.25">
      <x:c r="A67" t="s">
        <x:v>4</x:v>
      </x:c>
      <x:c r="B67" t="s">
        <x:v>742</x:v>
      </x:c>
      <x:c r="C67" t="s">
        <x:v>743</x:v>
      </x:c>
      <x:c r="D67" t="s">
        <x:v>677</x:v>
      </x:c>
      <x:c r="E67" s="6">
        <x:v>10443.76</x:v>
      </x:c>
      <x:c r="F67" s="6">
        <x:v>0</x:v>
      </x:c>
      <x:c r="G67" s="6">
        <x:v>0</x:v>
      </x:c>
      <x:c r="H67" s="6">
        <x:f t="shared" si="0"/>
        <x:v>10443.76</x:v>
      </x:c>
      <x:c r="I67" s="6">
        <x:v>0</x:v>
      </x:c>
      <x:c r="J67" s="6">
        <x:v>0</x:v>
      </x:c>
      <x:c r="K67" s="6">
        <x:f t="shared" si="1"/>
        <x:v>0</x:v>
      </x:c>
      <x:c r="L67" s="6">
        <x:v>0</x:v>
      </x:c>
      <x:c r="M67" s="6">
        <x:v>0</x:v>
      </x:c>
      <x:c r="N67" s="6">
        <x:f t="shared" si="2"/>
        <x:v>10443.76</x:v>
      </x:c>
    </x:row>
    <x:row r="68" spans="1:14" x14ac:dyDescent="0.25">
      <x:c r="A68" t="s">
        <x:v>4</x:v>
      </x:c>
      <x:c r="B68" t="s">
        <x:v>760</x:v>
      </x:c>
      <x:c r="C68" t="s">
        <x:v>761</x:v>
      </x:c>
      <x:c r="D68" t="s">
        <x:v>677</x:v>
      </x:c>
      <x:c r="E68" s="6">
        <x:v>534532.43000000005</x:v>
      </x:c>
      <x:c r="F68" s="6">
        <x:v>0</x:v>
      </x:c>
      <x:c r="G68" s="6">
        <x:v>0</x:v>
      </x:c>
      <x:c r="H68" s="6">
        <x:f t="shared" si="0"/>
        <x:v>534532.43000000005</x:v>
      </x:c>
      <x:c r="I68" s="6">
        <x:v>0</x:v>
      </x:c>
      <x:c r="J68" s="6">
        <x:v>0</x:v>
      </x:c>
      <x:c r="K68" s="6">
        <x:f t="shared" si="1"/>
        <x:v>0</x:v>
      </x:c>
      <x:c r="L68" s="6">
        <x:v>0</x:v>
      </x:c>
      <x:c r="M68" s="6">
        <x:v>0</x:v>
      </x:c>
      <x:c r="N68" s="6">
        <x:f t="shared" si="2"/>
        <x:v>534532.43000000005</x:v>
      </x:c>
    </x:row>
    <x:row r="69" spans="1:14" x14ac:dyDescent="0.25">
      <x:c r="A69" t="s">
        <x:v>4</x:v>
      </x:c>
      <x:c r="B69" t="s">
        <x:v>762</x:v>
      </x:c>
      <x:c r="C69" t="s">
        <x:v>763</x:v>
      </x:c>
      <x:c r="D69" t="s">
        <x:v>677</x:v>
      </x:c>
      <x:c r="E69" s="6">
        <x:v>618724.07000000007</x:v>
      </x:c>
      <x:c r="F69" s="6">
        <x:v>0</x:v>
      </x:c>
      <x:c r="G69" s="6">
        <x:v>0</x:v>
      </x:c>
      <x:c r="H69" s="6">
        <x:f t="shared" ref="H69:H132" si="3">SUM(E69:G69)</x:f>
        <x:v>618724.07000000007</x:v>
      </x:c>
      <x:c r="I69" s="6">
        <x:v>0</x:v>
      </x:c>
      <x:c r="J69" s="6">
        <x:v>0</x:v>
      </x:c>
      <x:c r="K69" s="6">
        <x:f t="shared" ref="K69:K132" si="4">SUM(I69:J69)</x:f>
        <x:v>0</x:v>
      </x:c>
      <x:c r="L69" s="6">
        <x:v>0</x:v>
      </x:c>
      <x:c r="M69" s="6">
        <x:v>0</x:v>
      </x:c>
      <x:c r="N69" s="6">
        <x:f t="shared" ref="N69:N132" si="5">+E69+F69+G69+I69+J69+L69+M69</x:f>
        <x:v>618724.07000000007</x:v>
      </x:c>
    </x:row>
    <x:row r="70" spans="1:14" x14ac:dyDescent="0.25">
      <x:c r="A70" t="s">
        <x:v>4</x:v>
      </x:c>
      <x:c r="B70" t="s">
        <x:v>764</x:v>
      </x:c>
      <x:c r="C70" t="s">
        <x:v>765</x:v>
      </x:c>
      <x:c r="D70" t="s">
        <x:v>677</x:v>
      </x:c>
      <x:c r="E70" s="6">
        <x:v>2555667.66</x:v>
      </x:c>
      <x:c r="F70" s="6">
        <x:v>0</x:v>
      </x:c>
      <x:c r="G70" s="6">
        <x:v>0</x:v>
      </x:c>
      <x:c r="H70" s="6">
        <x:f t="shared" si="3"/>
        <x:v>2555667.66</x:v>
      </x:c>
      <x:c r="I70" s="6">
        <x:v>0</x:v>
      </x:c>
      <x:c r="J70" s="6">
        <x:v>0</x:v>
      </x:c>
      <x:c r="K70" s="6">
        <x:f t="shared" si="4"/>
        <x:v>0</x:v>
      </x:c>
      <x:c r="L70" s="6">
        <x:v>0</x:v>
      </x:c>
      <x:c r="M70" s="6">
        <x:v>0</x:v>
      </x:c>
      <x:c r="N70" s="6">
        <x:f t="shared" si="5"/>
        <x:v>2555667.66</x:v>
      </x:c>
    </x:row>
    <x:row r="71" spans="1:14" x14ac:dyDescent="0.25">
      <x:c r="A71" t="s">
        <x:v>4</x:v>
      </x:c>
      <x:c r="B71" t="s">
        <x:v>766</x:v>
      </x:c>
      <x:c r="C71" t="s">
        <x:v>767</x:v>
      </x:c>
      <x:c r="D71" t="s">
        <x:v>677</x:v>
      </x:c>
      <x:c r="E71" s="6">
        <x:v>911718.02</x:v>
      </x:c>
      <x:c r="F71" s="6">
        <x:v>0</x:v>
      </x:c>
      <x:c r="G71" s="6">
        <x:v>0</x:v>
      </x:c>
      <x:c r="H71" s="6">
        <x:f t="shared" si="3"/>
        <x:v>911718.02</x:v>
      </x:c>
      <x:c r="I71" s="6">
        <x:v>0</x:v>
      </x:c>
      <x:c r="J71" s="6">
        <x:v>0</x:v>
      </x:c>
      <x:c r="K71" s="6">
        <x:f t="shared" si="4"/>
        <x:v>0</x:v>
      </x:c>
      <x:c r="L71" s="6">
        <x:v>0</x:v>
      </x:c>
      <x:c r="M71" s="6">
        <x:v>0</x:v>
      </x:c>
      <x:c r="N71" s="6">
        <x:f t="shared" si="5"/>
        <x:v>911718.02</x:v>
      </x:c>
    </x:row>
    <x:row r="72" spans="1:14" x14ac:dyDescent="0.25">
      <x:c r="A72" t="s">
        <x:v>4</x:v>
      </x:c>
      <x:c r="B72" t="s">
        <x:v>768</x:v>
      </x:c>
      <x:c r="C72" t="s">
        <x:v>769</x:v>
      </x:c>
      <x:c r="D72" t="s">
        <x:v>677</x:v>
      </x:c>
      <x:c r="E72" s="6">
        <x:v>633125.54000000015</x:v>
      </x:c>
      <x:c r="F72" s="6">
        <x:v>0</x:v>
      </x:c>
      <x:c r="G72" s="6">
        <x:v>0</x:v>
      </x:c>
      <x:c r="H72" s="6">
        <x:f t="shared" si="3"/>
        <x:v>633125.54000000015</x:v>
      </x:c>
      <x:c r="I72" s="6">
        <x:v>0</x:v>
      </x:c>
      <x:c r="J72" s="6">
        <x:v>0</x:v>
      </x:c>
      <x:c r="K72" s="6">
        <x:f t="shared" si="4"/>
        <x:v>0</x:v>
      </x:c>
      <x:c r="L72" s="6">
        <x:v>0</x:v>
      </x:c>
      <x:c r="M72" s="6">
        <x:v>0</x:v>
      </x:c>
      <x:c r="N72" s="6">
        <x:f t="shared" si="5"/>
        <x:v>633125.54000000015</x:v>
      </x:c>
    </x:row>
    <x:row r="73" spans="1:14" x14ac:dyDescent="0.25">
      <x:c r="A73" t="s">
        <x:v>4</x:v>
      </x:c>
      <x:c r="B73" t="s">
        <x:v>770</x:v>
      </x:c>
      <x:c r="C73" t="s">
        <x:v>771</x:v>
      </x:c>
      <x:c r="D73" t="s">
        <x:v>677</x:v>
      </x:c>
      <x:c r="E73" s="6">
        <x:v>1374758.84</x:v>
      </x:c>
      <x:c r="F73" s="6">
        <x:v>0</x:v>
      </x:c>
      <x:c r="G73" s="6">
        <x:v>0</x:v>
      </x:c>
      <x:c r="H73" s="6">
        <x:f t="shared" si="3"/>
        <x:v>1374758.84</x:v>
      </x:c>
      <x:c r="I73" s="6">
        <x:v>0</x:v>
      </x:c>
      <x:c r="J73" s="6">
        <x:v>0</x:v>
      </x:c>
      <x:c r="K73" s="6">
        <x:f t="shared" si="4"/>
        <x:v>0</x:v>
      </x:c>
      <x:c r="L73" s="6">
        <x:v>0</x:v>
      </x:c>
      <x:c r="M73" s="6">
        <x:v>0</x:v>
      </x:c>
      <x:c r="N73" s="6">
        <x:f t="shared" si="5"/>
        <x:v>1374758.84</x:v>
      </x:c>
    </x:row>
    <x:row r="74" spans="1:14" x14ac:dyDescent="0.25">
      <x:c r="A74" t="s">
        <x:v>4</x:v>
      </x:c>
      <x:c r="B74" t="s">
        <x:v>772</x:v>
      </x:c>
      <x:c r="C74" t="s">
        <x:v>773</x:v>
      </x:c>
      <x:c r="D74" t="s">
        <x:v>677</x:v>
      </x:c>
      <x:c r="E74" s="6">
        <x:v>1304439.4099999999</x:v>
      </x:c>
      <x:c r="F74" s="6">
        <x:v>0</x:v>
      </x:c>
      <x:c r="G74" s="6">
        <x:v>0</x:v>
      </x:c>
      <x:c r="H74" s="6">
        <x:f t="shared" si="3"/>
        <x:v>1304439.4099999999</x:v>
      </x:c>
      <x:c r="I74" s="6">
        <x:v>0</x:v>
      </x:c>
      <x:c r="J74" s="6">
        <x:v>0</x:v>
      </x:c>
      <x:c r="K74" s="6">
        <x:f t="shared" si="4"/>
        <x:v>0</x:v>
      </x:c>
      <x:c r="L74" s="6">
        <x:v>0</x:v>
      </x:c>
      <x:c r="M74" s="6">
        <x:v>0</x:v>
      </x:c>
      <x:c r="N74" s="6">
        <x:f t="shared" si="5"/>
        <x:v>1304439.4099999999</x:v>
      </x:c>
    </x:row>
    <x:row r="75" spans="1:14" x14ac:dyDescent="0.25">
      <x:c r="A75" t="s">
        <x:v>4</x:v>
      </x:c>
      <x:c r="B75" t="s">
        <x:v>772</x:v>
      </x:c>
      <x:c r="C75" t="s">
        <x:v>773</x:v>
      </x:c>
      <x:c r="D75" t="s">
        <x:v>832</x:v>
      </x:c>
      <x:c r="E75" s="6">
        <x:v>2782.28</x:v>
      </x:c>
      <x:c r="F75" s="6">
        <x:v>0</x:v>
      </x:c>
      <x:c r="G75" s="6">
        <x:v>0</x:v>
      </x:c>
      <x:c r="H75" s="6">
        <x:f t="shared" si="3"/>
        <x:v>2782.28</x:v>
      </x:c>
      <x:c r="I75" s="6">
        <x:v>0</x:v>
      </x:c>
      <x:c r="J75" s="6">
        <x:v>0</x:v>
      </x:c>
      <x:c r="K75" s="6">
        <x:f t="shared" si="4"/>
        <x:v>0</x:v>
      </x:c>
      <x:c r="L75" s="6">
        <x:v>0</x:v>
      </x:c>
      <x:c r="M75" s="6">
        <x:v>0</x:v>
      </x:c>
      <x:c r="N75" s="6">
        <x:f t="shared" si="5"/>
        <x:v>2782.28</x:v>
      </x:c>
    </x:row>
    <x:row r="76" spans="1:14" x14ac:dyDescent="0.25">
      <x:c r="A76" t="s">
        <x:v>4</x:v>
      </x:c>
      <x:c r="B76" t="s">
        <x:v>772</x:v>
      </x:c>
      <x:c r="C76" t="s">
        <x:v>773</x:v>
      </x:c>
      <x:c r="D76" t="s">
        <x:v>833</x:v>
      </x:c>
      <x:c r="E76" s="6">
        <x:v>0</x:v>
      </x:c>
      <x:c r="F76" s="6">
        <x:v>0</x:v>
      </x:c>
      <x:c r="G76" s="6">
        <x:v>475836.37</x:v>
      </x:c>
      <x:c r="H76" s="6">
        <x:f t="shared" si="3"/>
        <x:v>475836.37</x:v>
      </x:c>
      <x:c r="I76" s="6">
        <x:v>0</x:v>
      </x:c>
      <x:c r="J76" s="6">
        <x:v>0</x:v>
      </x:c>
      <x:c r="K76" s="6">
        <x:f t="shared" si="4"/>
        <x:v>0</x:v>
      </x:c>
      <x:c r="L76" s="6">
        <x:v>0</x:v>
      </x:c>
      <x:c r="M76" s="6">
        <x:v>0</x:v>
      </x:c>
      <x:c r="N76" s="6">
        <x:f t="shared" si="5"/>
        <x:v>475836.37</x:v>
      </x:c>
    </x:row>
    <x:row r="77" spans="1:14" x14ac:dyDescent="0.25">
      <x:c r="A77" t="s">
        <x:v>4</x:v>
      </x:c>
      <x:c r="B77" t="s">
        <x:v>774</x:v>
      </x:c>
      <x:c r="C77" t="s">
        <x:v>775</x:v>
      </x:c>
      <x:c r="D77" t="s">
        <x:v>677</x:v>
      </x:c>
      <x:c r="E77" s="6">
        <x:v>148008.17000000001</x:v>
      </x:c>
      <x:c r="F77" s="6">
        <x:v>0</x:v>
      </x:c>
      <x:c r="G77" s="6">
        <x:v>0</x:v>
      </x:c>
      <x:c r="H77" s="6">
        <x:f t="shared" si="3"/>
        <x:v>148008.17000000001</x:v>
      </x:c>
      <x:c r="I77" s="6">
        <x:v>0</x:v>
      </x:c>
      <x:c r="J77" s="6">
        <x:v>0</x:v>
      </x:c>
      <x:c r="K77" s="6">
        <x:f t="shared" si="4"/>
        <x:v>0</x:v>
      </x:c>
      <x:c r="L77" s="6">
        <x:v>0</x:v>
      </x:c>
      <x:c r="M77" s="6">
        <x:v>0</x:v>
      </x:c>
      <x:c r="N77" s="6">
        <x:f t="shared" si="5"/>
        <x:v>148008.17000000001</x:v>
      </x:c>
    </x:row>
    <x:row r="78" spans="1:14" x14ac:dyDescent="0.25">
      <x:c r="A78" t="s">
        <x:v>4</x:v>
      </x:c>
      <x:c r="B78" t="s">
        <x:v>774</x:v>
      </x:c>
      <x:c r="C78" t="s">
        <x:v>775</x:v>
      </x:c>
      <x:c r="D78" t="s">
        <x:v>832</x:v>
      </x:c>
      <x:c r="E78" s="6">
        <x:v>49.2</x:v>
      </x:c>
      <x:c r="F78" s="6">
        <x:v>0</x:v>
      </x:c>
      <x:c r="G78" s="6">
        <x:v>0</x:v>
      </x:c>
      <x:c r="H78" s="6">
        <x:f t="shared" si="3"/>
        <x:v>49.2</x:v>
      </x:c>
      <x:c r="I78" s="6">
        <x:v>0</x:v>
      </x:c>
      <x:c r="J78" s="6">
        <x:v>0</x:v>
      </x:c>
      <x:c r="K78" s="6">
        <x:f t="shared" si="4"/>
        <x:v>0</x:v>
      </x:c>
      <x:c r="L78" s="6">
        <x:v>0</x:v>
      </x:c>
      <x:c r="M78" s="6">
        <x:v>0</x:v>
      </x:c>
      <x:c r="N78" s="6">
        <x:f t="shared" si="5"/>
        <x:v>49.2</x:v>
      </x:c>
    </x:row>
    <x:row r="79" spans="1:14" x14ac:dyDescent="0.25">
      <x:c r="A79" t="s">
        <x:v>4</x:v>
      </x:c>
      <x:c r="B79" t="s">
        <x:v>776</x:v>
      </x:c>
      <x:c r="C79" t="s">
        <x:v>777</x:v>
      </x:c>
      <x:c r="D79" t="s">
        <x:v>677</x:v>
      </x:c>
      <x:c r="E79" s="6">
        <x:v>7875098.8499999996</x:v>
      </x:c>
      <x:c r="F79" s="6">
        <x:v>0</x:v>
      </x:c>
      <x:c r="G79" s="6">
        <x:v>0</x:v>
      </x:c>
      <x:c r="H79" s="6">
        <x:f t="shared" si="3"/>
        <x:v>7875098.8499999996</x:v>
      </x:c>
      <x:c r="I79" s="6">
        <x:v>0</x:v>
      </x:c>
      <x:c r="J79" s="6">
        <x:v>0</x:v>
      </x:c>
      <x:c r="K79" s="6">
        <x:f t="shared" si="4"/>
        <x:v>0</x:v>
      </x:c>
      <x:c r="L79" s="6">
        <x:v>0</x:v>
      </x:c>
      <x:c r="M79" s="6">
        <x:v>0</x:v>
      </x:c>
      <x:c r="N79" s="6">
        <x:f t="shared" si="5"/>
        <x:v>7875098.8499999996</x:v>
      </x:c>
    </x:row>
    <x:row r="80" spans="1:14" x14ac:dyDescent="0.25">
      <x:c r="A80" t="s">
        <x:v>4</x:v>
      </x:c>
      <x:c r="B80" t="s">
        <x:v>778</x:v>
      </x:c>
      <x:c r="C80" t="s">
        <x:v>779</x:v>
      </x:c>
      <x:c r="D80" t="s">
        <x:v>677</x:v>
      </x:c>
      <x:c r="E80" s="6">
        <x:v>1021879.6799999999</x:v>
      </x:c>
      <x:c r="F80" s="6">
        <x:v>0</x:v>
      </x:c>
      <x:c r="G80" s="6">
        <x:v>0</x:v>
      </x:c>
      <x:c r="H80" s="6">
        <x:f t="shared" si="3"/>
        <x:v>1021879.6799999999</x:v>
      </x:c>
      <x:c r="I80" s="6">
        <x:v>0</x:v>
      </x:c>
      <x:c r="J80" s="6">
        <x:v>0</x:v>
      </x:c>
      <x:c r="K80" s="6">
        <x:f t="shared" si="4"/>
        <x:v>0</x:v>
      </x:c>
      <x:c r="L80" s="6">
        <x:v>0</x:v>
      </x:c>
      <x:c r="M80" s="6">
        <x:v>0</x:v>
      </x:c>
      <x:c r="N80" s="6">
        <x:f t="shared" si="5"/>
        <x:v>1021879.6799999999</x:v>
      </x:c>
    </x:row>
    <x:row r="81" spans="1:14" x14ac:dyDescent="0.25">
      <x:c r="A81" t="s">
        <x:v>4</x:v>
      </x:c>
      <x:c r="B81" t="s">
        <x:v>780</x:v>
      </x:c>
      <x:c r="C81" t="s">
        <x:v>781</x:v>
      </x:c>
      <x:c r="D81" t="s">
        <x:v>677</x:v>
      </x:c>
      <x:c r="E81" s="6">
        <x:v>1055386.8100000003</x:v>
      </x:c>
      <x:c r="F81" s="6">
        <x:v>0</x:v>
      </x:c>
      <x:c r="G81" s="6">
        <x:v>0</x:v>
      </x:c>
      <x:c r="H81" s="6">
        <x:f t="shared" si="3"/>
        <x:v>1055386.8100000003</x:v>
      </x:c>
      <x:c r="I81" s="6">
        <x:v>0</x:v>
      </x:c>
      <x:c r="J81" s="6">
        <x:v>0</x:v>
      </x:c>
      <x:c r="K81" s="6">
        <x:f t="shared" si="4"/>
        <x:v>0</x:v>
      </x:c>
      <x:c r="L81" s="6">
        <x:v>0</x:v>
      </x:c>
      <x:c r="M81" s="6">
        <x:v>0</x:v>
      </x:c>
      <x:c r="N81" s="6">
        <x:f t="shared" si="5"/>
        <x:v>1055386.8100000003</x:v>
      </x:c>
    </x:row>
    <x:row r="82" spans="1:14" x14ac:dyDescent="0.25">
      <x:c r="A82" t="s">
        <x:v>4</x:v>
      </x:c>
      <x:c r="B82" t="s">
        <x:v>753</x:v>
      </x:c>
      <x:c r="C82" t="s">
        <x:v>754</x:v>
      </x:c>
      <x:c r="D82" t="s">
        <x:v>677</x:v>
      </x:c>
      <x:c r="E82" s="6">
        <x:v>1169122.3199999996</x:v>
      </x:c>
      <x:c r="F82" s="6">
        <x:v>0</x:v>
      </x:c>
      <x:c r="G82" s="6">
        <x:v>0</x:v>
      </x:c>
      <x:c r="H82" s="6">
        <x:f t="shared" si="3"/>
        <x:v>1169122.3199999996</x:v>
      </x:c>
      <x:c r="I82" s="6">
        <x:v>0</x:v>
      </x:c>
      <x:c r="J82" s="6">
        <x:v>0</x:v>
      </x:c>
      <x:c r="K82" s="6">
        <x:f t="shared" si="4"/>
        <x:v>0</x:v>
      </x:c>
      <x:c r="L82" s="6">
        <x:v>0</x:v>
      </x:c>
      <x:c r="M82" s="6">
        <x:v>0</x:v>
      </x:c>
      <x:c r="N82" s="6">
        <x:f t="shared" si="5"/>
        <x:v>1169122.3199999996</x:v>
      </x:c>
    </x:row>
    <x:row r="83" spans="1:14" x14ac:dyDescent="0.25">
      <x:c r="A83" t="s">
        <x:v>4</x:v>
      </x:c>
      <x:c r="B83" t="s">
        <x:v>759</x:v>
      </x:c>
      <x:c r="C83" t="s">
        <x:v>667</x:v>
      </x:c>
      <x:c r="D83" t="s">
        <x:v>677</x:v>
      </x:c>
      <x:c r="E83" s="6">
        <x:v>837001.55</x:v>
      </x:c>
      <x:c r="F83" s="6">
        <x:v>0</x:v>
      </x:c>
      <x:c r="G83" s="6">
        <x:v>0</x:v>
      </x:c>
      <x:c r="H83" s="6">
        <x:f t="shared" si="3"/>
        <x:v>837001.55</x:v>
      </x:c>
      <x:c r="I83" s="6">
        <x:v>0</x:v>
      </x:c>
      <x:c r="J83" s="6">
        <x:v>0</x:v>
      </x:c>
      <x:c r="K83" s="6">
        <x:f t="shared" si="4"/>
        <x:v>0</x:v>
      </x:c>
      <x:c r="L83" s="6">
        <x:v>0</x:v>
      </x:c>
      <x:c r="M83" s="6">
        <x:v>0</x:v>
      </x:c>
      <x:c r="N83" s="6">
        <x:f t="shared" si="5"/>
        <x:v>837001.55</x:v>
      </x:c>
    </x:row>
    <x:row r="84" spans="1:14" x14ac:dyDescent="0.25">
      <x:c r="A84" t="s">
        <x:v>4</x:v>
      </x:c>
      <x:c r="B84" t="s">
        <x:v>839</x:v>
      </x:c>
      <x:c r="C84" t="s">
        <x:v>840</x:v>
      </x:c>
      <x:c r="D84" t="s">
        <x:v>677</x:v>
      </x:c>
      <x:c r="E84" s="6">
        <x:v>0</x:v>
      </x:c>
      <x:c r="F84" s="6">
        <x:v>1153311.1600000001</x:v>
      </x:c>
      <x:c r="G84" s="6">
        <x:v>0</x:v>
      </x:c>
      <x:c r="H84" s="6">
        <x:f t="shared" si="3"/>
        <x:v>1153311.1600000001</x:v>
      </x:c>
      <x:c r="I84" s="6">
        <x:v>0</x:v>
      </x:c>
      <x:c r="J84" s="6">
        <x:v>0</x:v>
      </x:c>
      <x:c r="K84" s="6">
        <x:f t="shared" si="4"/>
        <x:v>0</x:v>
      </x:c>
      <x:c r="L84" s="6">
        <x:v>0</x:v>
      </x:c>
      <x:c r="M84" s="6">
        <x:v>0</x:v>
      </x:c>
      <x:c r="N84" s="6">
        <x:f t="shared" si="5"/>
        <x:v>1153311.1600000001</x:v>
      </x:c>
    </x:row>
    <x:row r="85" spans="1:14" x14ac:dyDescent="0.25">
      <x:c r="A85" t="s">
        <x:v>4</x:v>
      </x:c>
      <x:c r="B85" t="s">
        <x:v>839</x:v>
      </x:c>
      <x:c r="C85" t="s">
        <x:v>840</x:v>
      </x:c>
      <x:c r="D85" t="s">
        <x:v>841</x:v>
      </x:c>
      <x:c r="E85" s="6">
        <x:v>0</x:v>
      </x:c>
      <x:c r="F85" s="6">
        <x:v>114.35000000000001</x:v>
      </x:c>
      <x:c r="G85" s="6">
        <x:v>0</x:v>
      </x:c>
      <x:c r="H85" s="6">
        <x:f t="shared" si="3"/>
        <x:v>114.35000000000001</x:v>
      </x:c>
      <x:c r="I85" s="6">
        <x:v>0</x:v>
      </x:c>
      <x:c r="J85" s="6">
        <x:v>-13120.95</x:v>
      </x:c>
      <x:c r="K85" s="6">
        <x:f t="shared" si="4"/>
        <x:v>-13120.95</x:v>
      </x:c>
      <x:c r="L85" s="6">
        <x:v>0</x:v>
      </x:c>
      <x:c r="M85" s="6">
        <x:v>0</x:v>
      </x:c>
      <x:c r="N85" s="6">
        <x:f t="shared" si="5"/>
        <x:v>-13006.6</x:v>
      </x:c>
    </x:row>
    <x:row r="86" spans="1:14" x14ac:dyDescent="0.25">
      <x:c r="A86" t="s">
        <x:v>681</x:v>
      </x:c>
      <x:c r="B86" t="s">
        <x:v>692</x:v>
      </x:c>
      <x:c r="C86" t="s">
        <x:v>693</x:v>
      </x:c>
      <x:c r="D86" t="s">
        <x:v>832</x:v>
      </x:c>
      <x:c r="E86" s="6">
        <x:v>224532.72</x:v>
      </x:c>
      <x:c r="F86" s="6">
        <x:v>0</x:v>
      </x:c>
      <x:c r="G86" s="6">
        <x:v>0</x:v>
      </x:c>
      <x:c r="H86" s="6">
        <x:f t="shared" si="3"/>
        <x:v>224532.72</x:v>
      </x:c>
      <x:c r="I86" s="6">
        <x:v>21045.19</x:v>
      </x:c>
      <x:c r="J86" s="6">
        <x:v>0</x:v>
      </x:c>
      <x:c r="K86" s="6">
        <x:f t="shared" si="4"/>
        <x:v>21045.19</x:v>
      </x:c>
      <x:c r="L86" s="6">
        <x:v>0</x:v>
      </x:c>
      <x:c r="M86" s="6">
        <x:v>0</x:v>
      </x:c>
      <x:c r="N86" s="6">
        <x:f t="shared" si="5"/>
        <x:v>245577.91</x:v>
      </x:c>
    </x:row>
    <x:row r="87" spans="1:14" x14ac:dyDescent="0.25">
      <x:c r="A87" t="s">
        <x:v>681</x:v>
      </x:c>
      <x:c r="B87" t="s">
        <x:v>694</x:v>
      </x:c>
      <x:c r="C87" t="s">
        <x:v>695</x:v>
      </x:c>
      <x:c r="D87" t="s">
        <x:v>832</x:v>
      </x:c>
      <x:c r="E87" s="6">
        <x:v>59268.6</x:v>
      </x:c>
      <x:c r="F87" s="6">
        <x:v>0</x:v>
      </x:c>
      <x:c r="G87" s="6">
        <x:v>0</x:v>
      </x:c>
      <x:c r="H87" s="6">
        <x:f t="shared" si="3"/>
        <x:v>59268.6</x:v>
      </x:c>
      <x:c r="I87" s="6">
        <x:v>0</x:v>
      </x:c>
      <x:c r="J87" s="6">
        <x:v>0</x:v>
      </x:c>
      <x:c r="K87" s="6">
        <x:f t="shared" si="4"/>
        <x:v>0</x:v>
      </x:c>
      <x:c r="L87" s="6">
        <x:v>0</x:v>
      </x:c>
      <x:c r="M87" s="6">
        <x:v>0</x:v>
      </x:c>
      <x:c r="N87" s="6">
        <x:f t="shared" si="5"/>
        <x:v>59268.6</x:v>
      </x:c>
    </x:row>
    <x:row r="88" spans="1:14" x14ac:dyDescent="0.25">
      <x:c r="A88" t="s">
        <x:v>681</x:v>
      </x:c>
      <x:c r="B88" t="s">
        <x:v>696</x:v>
      </x:c>
      <x:c r="C88" t="s">
        <x:v>697</x:v>
      </x:c>
      <x:c r="D88" t="s">
        <x:v>832</x:v>
      </x:c>
      <x:c r="E88" s="6">
        <x:v>142753.85</x:v>
      </x:c>
      <x:c r="F88" s="6">
        <x:v>0</x:v>
      </x:c>
      <x:c r="G88" s="6">
        <x:v>0</x:v>
      </x:c>
      <x:c r="H88" s="6">
        <x:f t="shared" si="3"/>
        <x:v>142753.85</x:v>
      </x:c>
      <x:c r="I88" s="6">
        <x:v>7636.94</x:v>
      </x:c>
      <x:c r="J88" s="6">
        <x:v>0</x:v>
      </x:c>
      <x:c r="K88" s="6">
        <x:f t="shared" si="4"/>
        <x:v>7636.94</x:v>
      </x:c>
      <x:c r="L88" s="6">
        <x:v>0</x:v>
      </x:c>
      <x:c r="M88" s="6">
        <x:v>0</x:v>
      </x:c>
      <x:c r="N88" s="6">
        <x:f t="shared" si="5"/>
        <x:v>150390.79</x:v>
      </x:c>
    </x:row>
    <x:row r="89" spans="1:14" x14ac:dyDescent="0.25">
      <x:c r="A89" t="s">
        <x:v>681</x:v>
      </x:c>
      <x:c r="B89" t="s">
        <x:v>782</x:v>
      </x:c>
      <x:c r="C89" t="s">
        <x:v>783</x:v>
      </x:c>
      <x:c r="D89" t="s">
        <x:v>832</x:v>
      </x:c>
      <x:c r="E89" s="6">
        <x:v>82707.97</x:v>
      </x:c>
      <x:c r="F89" s="6">
        <x:v>0</x:v>
      </x:c>
      <x:c r="G89" s="6">
        <x:v>0</x:v>
      </x:c>
      <x:c r="H89" s="6">
        <x:f t="shared" si="3"/>
        <x:v>82707.97</x:v>
      </x:c>
      <x:c r="I89" s="6">
        <x:v>4999.29</x:v>
      </x:c>
      <x:c r="J89" s="6">
        <x:v>0</x:v>
      </x:c>
      <x:c r="K89" s="6">
        <x:f t="shared" si="4"/>
        <x:v>4999.29</x:v>
      </x:c>
      <x:c r="L89" s="6">
        <x:v>0</x:v>
      </x:c>
      <x:c r="M89" s="6">
        <x:v>0</x:v>
      </x:c>
      <x:c r="N89" s="6">
        <x:f t="shared" si="5"/>
        <x:v>87707.26</x:v>
      </x:c>
    </x:row>
    <x:row r="90" spans="1:14" x14ac:dyDescent="0.25">
      <x:c r="A90" t="s">
        <x:v>681</x:v>
      </x:c>
      <x:c r="B90" t="s">
        <x:v>784</x:v>
      </x:c>
      <x:c r="C90" t="s">
        <x:v>785</x:v>
      </x:c>
      <x:c r="D90" t="s">
        <x:v>832</x:v>
      </x:c>
      <x:c r="E90" s="6">
        <x:v>145048.92000000001</x:v>
      </x:c>
      <x:c r="F90" s="6">
        <x:v>0</x:v>
      </x:c>
      <x:c r="G90" s="6">
        <x:v>0</x:v>
      </x:c>
      <x:c r="H90" s="6">
        <x:f t="shared" si="3"/>
        <x:v>145048.92000000001</x:v>
      </x:c>
      <x:c r="I90" s="6">
        <x:v>660.43999999999994</x:v>
      </x:c>
      <x:c r="J90" s="6">
        <x:v>0</x:v>
      </x:c>
      <x:c r="K90" s="6">
        <x:f t="shared" si="4"/>
        <x:v>660.43999999999994</x:v>
      </x:c>
      <x:c r="L90" s="6">
        <x:v>0</x:v>
      </x:c>
      <x:c r="M90" s="6">
        <x:v>0</x:v>
      </x:c>
      <x:c r="N90" s="6">
        <x:f t="shared" si="5"/>
        <x:v>145709.36000000002</x:v>
      </x:c>
    </x:row>
    <x:row r="91" spans="1:14" x14ac:dyDescent="0.25">
      <x:c r="A91" t="s">
        <x:v>681</x:v>
      </x:c>
      <x:c r="B91" t="s">
        <x:v>786</x:v>
      </x:c>
      <x:c r="C91" t="s">
        <x:v>787</x:v>
      </x:c>
      <x:c r="D91" t="s">
        <x:v>832</x:v>
      </x:c>
      <x:c r="E91" s="6">
        <x:v>79386.63</x:v>
      </x:c>
      <x:c r="F91" s="6">
        <x:v>0</x:v>
      </x:c>
      <x:c r="G91" s="6">
        <x:v>0</x:v>
      </x:c>
      <x:c r="H91" s="6">
        <x:f t="shared" si="3"/>
        <x:v>79386.63</x:v>
      </x:c>
      <x:c r="I91" s="6">
        <x:v>967.82</x:v>
      </x:c>
      <x:c r="J91" s="6">
        <x:v>0</x:v>
      </x:c>
      <x:c r="K91" s="6">
        <x:f t="shared" si="4"/>
        <x:v>967.82</x:v>
      </x:c>
      <x:c r="L91" s="6">
        <x:v>0</x:v>
      </x:c>
      <x:c r="M91" s="6">
        <x:v>0</x:v>
      </x:c>
      <x:c r="N91" s="6">
        <x:f t="shared" si="5"/>
        <x:v>80354.450000000012</x:v>
      </x:c>
    </x:row>
    <x:row r="92" spans="1:14" x14ac:dyDescent="0.25">
      <x:c r="A92" t="s">
        <x:v>681</x:v>
      </x:c>
      <x:c r="B92" t="s">
        <x:v>700</x:v>
      </x:c>
      <x:c r="C92" t="s">
        <x:v>701</x:v>
      </x:c>
      <x:c r="D92" t="s">
        <x:v>677</x:v>
      </x:c>
      <x:c r="E92" s="6">
        <x:v>95.42</x:v>
      </x:c>
      <x:c r="F92" s="6">
        <x:v>0</x:v>
      </x:c>
      <x:c r="G92" s="6">
        <x:v>0</x:v>
      </x:c>
      <x:c r="H92" s="6">
        <x:f t="shared" si="3"/>
        <x:v>95.42</x:v>
      </x:c>
      <x:c r="I92" s="6">
        <x:v>0</x:v>
      </x:c>
      <x:c r="J92" s="6">
        <x:v>0</x:v>
      </x:c>
      <x:c r="K92" s="6">
        <x:f t="shared" si="4"/>
        <x:v>0</x:v>
      </x:c>
      <x:c r="L92" s="6">
        <x:v>0</x:v>
      </x:c>
      <x:c r="M92" s="6">
        <x:v>0</x:v>
      </x:c>
      <x:c r="N92" s="6">
        <x:f t="shared" si="5"/>
        <x:v>95.42</x:v>
      </x:c>
    </x:row>
    <x:row r="93" spans="1:14" x14ac:dyDescent="0.25">
      <x:c r="A93" t="s">
        <x:v>681</x:v>
      </x:c>
      <x:c r="B93" t="s">
        <x:v>700</x:v>
      </x:c>
      <x:c r="C93" t="s">
        <x:v>701</x:v>
      </x:c>
      <x:c r="D93" t="s">
        <x:v>832</x:v>
      </x:c>
      <x:c r="E93" s="6">
        <x:v>390282.39</x:v>
      </x:c>
      <x:c r="F93" s="6">
        <x:v>0</x:v>
      </x:c>
      <x:c r="G93" s="6">
        <x:v>0</x:v>
      </x:c>
      <x:c r="H93" s="6">
        <x:f t="shared" si="3"/>
        <x:v>390282.39</x:v>
      </x:c>
      <x:c r="I93" s="6">
        <x:v>17721.830000000002</x:v>
      </x:c>
      <x:c r="J93" s="6">
        <x:v>0</x:v>
      </x:c>
      <x:c r="K93" s="6">
        <x:f t="shared" si="4"/>
        <x:v>17721.830000000002</x:v>
      </x:c>
      <x:c r="L93" s="6">
        <x:v>0</x:v>
      </x:c>
      <x:c r="M93" s="6">
        <x:v>0</x:v>
      </x:c>
      <x:c r="N93" s="6">
        <x:f t="shared" si="5"/>
        <x:v>408004.22000000003</x:v>
      </x:c>
    </x:row>
    <x:row r="94" spans="1:14" x14ac:dyDescent="0.25">
      <x:c r="A94" t="s">
        <x:v>681</x:v>
      </x:c>
      <x:c r="B94" t="s">
        <x:v>702</x:v>
      </x:c>
      <x:c r="C94" t="s">
        <x:v>703</x:v>
      </x:c>
      <x:c r="D94" t="s">
        <x:v>677</x:v>
      </x:c>
      <x:c r="E94" s="6">
        <x:v>781.96</x:v>
      </x:c>
      <x:c r="F94" s="6">
        <x:v>0</x:v>
      </x:c>
      <x:c r="G94" s="6">
        <x:v>0</x:v>
      </x:c>
      <x:c r="H94" s="6">
        <x:f t="shared" si="3"/>
        <x:v>781.96</x:v>
      </x:c>
      <x:c r="I94" s="6">
        <x:v>0</x:v>
      </x:c>
      <x:c r="J94" s="6">
        <x:v>0</x:v>
      </x:c>
      <x:c r="K94" s="6">
        <x:f t="shared" si="4"/>
        <x:v>0</x:v>
      </x:c>
      <x:c r="L94" s="6">
        <x:v>0</x:v>
      </x:c>
      <x:c r="M94" s="6">
        <x:v>0</x:v>
      </x:c>
      <x:c r="N94" s="6">
        <x:f t="shared" si="5"/>
        <x:v>781.96</x:v>
      </x:c>
    </x:row>
    <x:row r="95" spans="1:14" x14ac:dyDescent="0.25">
      <x:c r="A95" t="s">
        <x:v>681</x:v>
      </x:c>
      <x:c r="B95" t="s">
        <x:v>702</x:v>
      </x:c>
      <x:c r="C95" t="s">
        <x:v>703</x:v>
      </x:c>
      <x:c r="D95" t="s">
        <x:v>832</x:v>
      </x:c>
      <x:c r="E95" s="6">
        <x:v>111419.25999999998</x:v>
      </x:c>
      <x:c r="F95" s="6">
        <x:v>0</x:v>
      </x:c>
      <x:c r="G95" s="6">
        <x:v>0</x:v>
      </x:c>
      <x:c r="H95" s="6">
        <x:f t="shared" si="3"/>
        <x:v>111419.25999999998</x:v>
      </x:c>
      <x:c r="I95" s="6">
        <x:v>12922.859999999999</x:v>
      </x:c>
      <x:c r="J95" s="6">
        <x:v>0</x:v>
      </x:c>
      <x:c r="K95" s="6">
        <x:f t="shared" si="4"/>
        <x:v>12922.859999999999</x:v>
      </x:c>
      <x:c r="L95" s="6">
        <x:v>0</x:v>
      </x:c>
      <x:c r="M95" s="6">
        <x:v>0</x:v>
      </x:c>
      <x:c r="N95" s="6">
        <x:f t="shared" si="5"/>
        <x:v>124342.11999999998</x:v>
      </x:c>
    </x:row>
    <x:row r="96" spans="1:14" x14ac:dyDescent="0.25">
      <x:c r="A96" t="s">
        <x:v>681</x:v>
      </x:c>
      <x:c r="B96" t="s">
        <x:v>704</x:v>
      </x:c>
      <x:c r="C96" t="s">
        <x:v>705</x:v>
      </x:c>
      <x:c r="D96" t="s">
        <x:v>677</x:v>
      </x:c>
      <x:c r="E96" s="6">
        <x:v>3592.34</x:v>
      </x:c>
      <x:c r="F96" s="6">
        <x:v>0</x:v>
      </x:c>
      <x:c r="G96" s="6">
        <x:v>0</x:v>
      </x:c>
      <x:c r="H96" s="6">
        <x:f t="shared" si="3"/>
        <x:v>3592.34</x:v>
      </x:c>
      <x:c r="I96" s="6">
        <x:v>0</x:v>
      </x:c>
      <x:c r="J96" s="6">
        <x:v>0</x:v>
      </x:c>
      <x:c r="K96" s="6">
        <x:f t="shared" si="4"/>
        <x:v>0</x:v>
      </x:c>
      <x:c r="L96" s="6">
        <x:v>0</x:v>
      </x:c>
      <x:c r="M96" s="6">
        <x:v>0</x:v>
      </x:c>
      <x:c r="N96" s="6">
        <x:f t="shared" si="5"/>
        <x:v>3592.34</x:v>
      </x:c>
    </x:row>
    <x:row r="97" spans="1:14" x14ac:dyDescent="0.25">
      <x:c r="A97" t="s">
        <x:v>681</x:v>
      </x:c>
      <x:c r="B97" t="s">
        <x:v>704</x:v>
      </x:c>
      <x:c r="C97" t="s">
        <x:v>705</x:v>
      </x:c>
      <x:c r="D97" t="s">
        <x:v>832</x:v>
      </x:c>
      <x:c r="E97" s="6">
        <x:v>105736.11000000002</x:v>
      </x:c>
      <x:c r="F97" s="6">
        <x:v>0</x:v>
      </x:c>
      <x:c r="G97" s="6">
        <x:v>0</x:v>
      </x:c>
      <x:c r="H97" s="6">
        <x:f t="shared" si="3"/>
        <x:v>105736.11000000002</x:v>
      </x:c>
      <x:c r="I97" s="6">
        <x:v>5982.3600000000006</x:v>
      </x:c>
      <x:c r="J97" s="6">
        <x:v>0</x:v>
      </x:c>
      <x:c r="K97" s="6">
        <x:f t="shared" si="4"/>
        <x:v>5982.3600000000006</x:v>
      </x:c>
      <x:c r="L97" s="6">
        <x:v>0</x:v>
      </x:c>
      <x:c r="M97" s="6">
        <x:v>0</x:v>
      </x:c>
      <x:c r="N97" s="6">
        <x:f t="shared" si="5"/>
        <x:v>111718.47000000002</x:v>
      </x:c>
    </x:row>
    <x:row r="98" spans="1:14" x14ac:dyDescent="0.25">
      <x:c r="A98" t="s">
        <x:v>681</x:v>
      </x:c>
      <x:c r="B98" t="s">
        <x:v>706</x:v>
      </x:c>
      <x:c r="C98" t="s">
        <x:v>707</x:v>
      </x:c>
      <x:c r="D98" t="s">
        <x:v>832</x:v>
      </x:c>
      <x:c r="E98" s="6">
        <x:v>153326.97999999998</x:v>
      </x:c>
      <x:c r="F98" s="6">
        <x:v>0</x:v>
      </x:c>
      <x:c r="G98" s="6">
        <x:v>0</x:v>
      </x:c>
      <x:c r="H98" s="6">
        <x:f t="shared" si="3"/>
        <x:v>153326.97999999998</x:v>
      </x:c>
      <x:c r="I98" s="6">
        <x:v>2178.6799999999998</x:v>
      </x:c>
      <x:c r="J98" s="6">
        <x:v>0</x:v>
      </x:c>
      <x:c r="K98" s="6">
        <x:f t="shared" si="4"/>
        <x:v>2178.6799999999998</x:v>
      </x:c>
      <x:c r="L98" s="6">
        <x:v>0</x:v>
      </x:c>
      <x:c r="M98" s="6">
        <x:v>0</x:v>
      </x:c>
      <x:c r="N98" s="6">
        <x:f t="shared" si="5"/>
        <x:v>155505.65999999997</x:v>
      </x:c>
    </x:row>
    <x:row r="99" spans="1:14" x14ac:dyDescent="0.25">
      <x:c r="A99" t="s">
        <x:v>681</x:v>
      </x:c>
      <x:c r="B99" t="s">
        <x:v>708</x:v>
      </x:c>
      <x:c r="C99" t="s">
        <x:v>709</x:v>
      </x:c>
      <x:c r="D99" t="s">
        <x:v>832</x:v>
      </x:c>
      <x:c r="E99" s="6">
        <x:v>78458.049999999988</x:v>
      </x:c>
      <x:c r="F99" s="6">
        <x:v>0</x:v>
      </x:c>
      <x:c r="G99" s="6">
        <x:v>0</x:v>
      </x:c>
      <x:c r="H99" s="6">
        <x:f t="shared" si="3"/>
        <x:v>78458.049999999988</x:v>
      </x:c>
      <x:c r="I99" s="6">
        <x:v>1584.21</x:v>
      </x:c>
      <x:c r="J99" s="6">
        <x:v>0</x:v>
      </x:c>
      <x:c r="K99" s="6">
        <x:f t="shared" si="4"/>
        <x:v>1584.21</x:v>
      </x:c>
      <x:c r="L99" s="6">
        <x:v>0</x:v>
      </x:c>
      <x:c r="M99" s="6">
        <x:v>0</x:v>
      </x:c>
      <x:c r="N99" s="6">
        <x:f t="shared" si="5"/>
        <x:v>80042.259999999995</x:v>
      </x:c>
    </x:row>
    <x:row r="100" spans="1:14" x14ac:dyDescent="0.25">
      <x:c r="A100" t="s">
        <x:v>681</x:v>
      </x:c>
      <x:c r="B100" t="s">
        <x:v>712</x:v>
      </x:c>
      <x:c r="C100" t="s">
        <x:v>713</x:v>
      </x:c>
      <x:c r="D100" t="s">
        <x:v>832</x:v>
      </x:c>
      <x:c r="E100" s="6">
        <x:v>204116.48000000004</x:v>
      </x:c>
      <x:c r="F100" s="6">
        <x:v>0</x:v>
      </x:c>
      <x:c r="G100" s="6">
        <x:v>0</x:v>
      </x:c>
      <x:c r="H100" s="6">
        <x:f t="shared" si="3"/>
        <x:v>204116.48000000004</x:v>
      </x:c>
      <x:c r="I100" s="6">
        <x:v>7361.69</x:v>
      </x:c>
      <x:c r="J100" s="6">
        <x:v>0</x:v>
      </x:c>
      <x:c r="K100" s="6">
        <x:f t="shared" si="4"/>
        <x:v>7361.69</x:v>
      </x:c>
      <x:c r="L100" s="6">
        <x:v>0</x:v>
      </x:c>
      <x:c r="M100" s="6">
        <x:v>0</x:v>
      </x:c>
      <x:c r="N100" s="6">
        <x:f t="shared" si="5"/>
        <x:v>211478.17000000004</x:v>
      </x:c>
    </x:row>
    <x:row r="101" spans="1:14" x14ac:dyDescent="0.25">
      <x:c r="A101" t="s">
        <x:v>681</x:v>
      </x:c>
      <x:c r="B101" t="s">
        <x:v>788</x:v>
      </x:c>
      <x:c r="C101" t="s">
        <x:v>789</x:v>
      </x:c>
      <x:c r="D101" t="s">
        <x:v>832</x:v>
      </x:c>
      <x:c r="E101" s="6">
        <x:v>74735.540000000023</x:v>
      </x:c>
      <x:c r="F101" s="6">
        <x:v>0</x:v>
      </x:c>
      <x:c r="G101" s="6">
        <x:v>0</x:v>
      </x:c>
      <x:c r="H101" s="6">
        <x:f t="shared" si="3"/>
        <x:v>74735.540000000023</x:v>
      </x:c>
      <x:c r="I101" s="6">
        <x:v>1746.34</x:v>
      </x:c>
      <x:c r="J101" s="6">
        <x:v>0</x:v>
      </x:c>
      <x:c r="K101" s="6">
        <x:f t="shared" si="4"/>
        <x:v>1746.34</x:v>
      </x:c>
      <x:c r="L101" s="6">
        <x:v>0</x:v>
      </x:c>
      <x:c r="M101" s="6">
        <x:v>0</x:v>
      </x:c>
      <x:c r="N101" s="6">
        <x:f t="shared" si="5"/>
        <x:v>76481.880000000019</x:v>
      </x:c>
    </x:row>
    <x:row r="102" spans="1:14" x14ac:dyDescent="0.25">
      <x:c r="A102" t="s">
        <x:v>681</x:v>
      </x:c>
      <x:c r="B102" t="s">
        <x:v>790</x:v>
      </x:c>
      <x:c r="C102" t="s">
        <x:v>791</x:v>
      </x:c>
      <x:c r="D102" t="s">
        <x:v>832</x:v>
      </x:c>
      <x:c r="E102" s="6">
        <x:v>65315.079999999994</x:v>
      </x:c>
      <x:c r="F102" s="6">
        <x:v>0</x:v>
      </x:c>
      <x:c r="G102" s="6">
        <x:v>0</x:v>
      </x:c>
      <x:c r="H102" s="6">
        <x:f t="shared" si="3"/>
        <x:v>65315.079999999994</x:v>
      </x:c>
      <x:c r="I102" s="6">
        <x:v>1994.05</x:v>
      </x:c>
      <x:c r="J102" s="6">
        <x:v>0</x:v>
      </x:c>
      <x:c r="K102" s="6">
        <x:f t="shared" si="4"/>
        <x:v>1994.05</x:v>
      </x:c>
      <x:c r="L102" s="6">
        <x:v>0</x:v>
      </x:c>
      <x:c r="M102" s="6">
        <x:v>0</x:v>
      </x:c>
      <x:c r="N102" s="6">
        <x:f t="shared" si="5"/>
        <x:v>67309.12999999999</x:v>
      </x:c>
    </x:row>
    <x:row r="103" spans="1:14" x14ac:dyDescent="0.25">
      <x:c r="A103" t="s">
        <x:v>681</x:v>
      </x:c>
      <x:c r="B103" t="s">
        <x:v>714</x:v>
      </x:c>
      <x:c r="C103" t="s">
        <x:v>715</x:v>
      </x:c>
      <x:c r="D103" t="s">
        <x:v>677</x:v>
      </x:c>
      <x:c r="E103" s="6">
        <x:v>285.77999999999997</x:v>
      </x:c>
      <x:c r="F103" s="6">
        <x:v>0</x:v>
      </x:c>
      <x:c r="G103" s="6">
        <x:v>0</x:v>
      </x:c>
      <x:c r="H103" s="6">
        <x:f t="shared" si="3"/>
        <x:v>285.77999999999997</x:v>
      </x:c>
      <x:c r="I103" s="6">
        <x:v>0</x:v>
      </x:c>
      <x:c r="J103" s="6">
        <x:v>0</x:v>
      </x:c>
      <x:c r="K103" s="6">
        <x:f t="shared" si="4"/>
        <x:v>0</x:v>
      </x:c>
      <x:c r="L103" s="6">
        <x:v>0</x:v>
      </x:c>
      <x:c r="M103" s="6">
        <x:v>0</x:v>
      </x:c>
      <x:c r="N103" s="6">
        <x:f t="shared" si="5"/>
        <x:v>285.77999999999997</x:v>
      </x:c>
    </x:row>
    <x:row r="104" spans="1:14" x14ac:dyDescent="0.25">
      <x:c r="A104" t="s">
        <x:v>681</x:v>
      </x:c>
      <x:c r="B104" t="s">
        <x:v>714</x:v>
      </x:c>
      <x:c r="C104" t="s">
        <x:v>715</x:v>
      </x:c>
      <x:c r="D104" t="s">
        <x:v>832</x:v>
      </x:c>
      <x:c r="E104" s="6">
        <x:v>76256.78</x:v>
      </x:c>
      <x:c r="F104" s="6">
        <x:v>0</x:v>
      </x:c>
      <x:c r="G104" s="6">
        <x:v>0</x:v>
      </x:c>
      <x:c r="H104" s="6">
        <x:f t="shared" si="3"/>
        <x:v>76256.78</x:v>
      </x:c>
      <x:c r="I104" s="6">
        <x:v>8236.7899999999991</x:v>
      </x:c>
      <x:c r="J104" s="6">
        <x:v>0</x:v>
      </x:c>
      <x:c r="K104" s="6">
        <x:f t="shared" si="4"/>
        <x:v>8236.7899999999991</x:v>
      </x:c>
      <x:c r="L104" s="6">
        <x:v>0</x:v>
      </x:c>
      <x:c r="M104" s="6">
        <x:v>0</x:v>
      </x:c>
      <x:c r="N104" s="6">
        <x:f t="shared" si="5"/>
        <x:v>84493.569999999992</x:v>
      </x:c>
    </x:row>
    <x:row r="105" spans="1:14" x14ac:dyDescent="0.25">
      <x:c r="A105" t="s">
        <x:v>681</x:v>
      </x:c>
      <x:c r="B105" t="s">
        <x:v>716</x:v>
      </x:c>
      <x:c r="C105" t="s">
        <x:v>717</x:v>
      </x:c>
      <x:c r="D105" t="s">
        <x:v>832</x:v>
      </x:c>
      <x:c r="E105" s="6">
        <x:v>212161.54</x:v>
      </x:c>
      <x:c r="F105" s="6">
        <x:v>0</x:v>
      </x:c>
      <x:c r="G105" s="6">
        <x:v>0</x:v>
      </x:c>
      <x:c r="H105" s="6">
        <x:f t="shared" si="3"/>
        <x:v>212161.54</x:v>
      </x:c>
      <x:c r="I105" s="6">
        <x:v>21099.18</x:v>
      </x:c>
      <x:c r="J105" s="6">
        <x:v>0</x:v>
      </x:c>
      <x:c r="K105" s="6">
        <x:f t="shared" si="4"/>
        <x:v>21099.18</x:v>
      </x:c>
      <x:c r="L105" s="6">
        <x:v>0</x:v>
      </x:c>
      <x:c r="M105" s="6">
        <x:v>0</x:v>
      </x:c>
      <x:c r="N105" s="6">
        <x:f t="shared" si="5"/>
        <x:v>233260.72</x:v>
      </x:c>
    </x:row>
    <x:row r="106" spans="1:14" x14ac:dyDescent="0.25">
      <x:c r="A106" t="s">
        <x:v>681</x:v>
      </x:c>
      <x:c r="B106" t="s">
        <x:v>792</x:v>
      </x:c>
      <x:c r="C106" t="s">
        <x:v>793</x:v>
      </x:c>
      <x:c r="D106" t="s">
        <x:v>832</x:v>
      </x:c>
      <x:c r="E106" s="6">
        <x:v>74893.64</x:v>
      </x:c>
      <x:c r="F106" s="6">
        <x:v>0</x:v>
      </x:c>
      <x:c r="G106" s="6">
        <x:v>0</x:v>
      </x:c>
      <x:c r="H106" s="6">
        <x:f t="shared" si="3"/>
        <x:v>74893.64</x:v>
      </x:c>
      <x:c r="I106" s="6">
        <x:v>3266.5</x:v>
      </x:c>
      <x:c r="J106" s="6">
        <x:v>0</x:v>
      </x:c>
      <x:c r="K106" s="6">
        <x:f t="shared" si="4"/>
        <x:v>3266.5</x:v>
      </x:c>
      <x:c r="L106" s="6">
        <x:v>0</x:v>
      </x:c>
      <x:c r="M106" s="6">
        <x:v>0</x:v>
      </x:c>
      <x:c r="N106" s="6">
        <x:f t="shared" si="5"/>
        <x:v>78160.14</x:v>
      </x:c>
    </x:row>
    <x:row r="107" spans="1:14" x14ac:dyDescent="0.25">
      <x:c r="A107" t="s">
        <x:v>681</x:v>
      </x:c>
      <x:c r="B107" t="s">
        <x:v>718</x:v>
      </x:c>
      <x:c r="C107" t="s">
        <x:v>719</x:v>
      </x:c>
      <x:c r="D107" t="s">
        <x:v>832</x:v>
      </x:c>
      <x:c r="E107" s="6">
        <x:v>15866.060000000001</x:v>
      </x:c>
      <x:c r="F107" s="6">
        <x:v>0</x:v>
      </x:c>
      <x:c r="G107" s="6">
        <x:v>0</x:v>
      </x:c>
      <x:c r="H107" s="6">
        <x:f t="shared" si="3"/>
        <x:v>15866.060000000001</x:v>
      </x:c>
      <x:c r="I107" s="6">
        <x:v>1.45</x:v>
      </x:c>
      <x:c r="J107" s="6">
        <x:v>0</x:v>
      </x:c>
      <x:c r="K107" s="6">
        <x:f t="shared" si="4"/>
        <x:v>1.45</x:v>
      </x:c>
      <x:c r="L107" s="6">
        <x:v>0</x:v>
      </x:c>
      <x:c r="M107" s="6">
        <x:v>0</x:v>
      </x:c>
      <x:c r="N107" s="6">
        <x:f t="shared" si="5"/>
        <x:v>15867.510000000002</x:v>
      </x:c>
    </x:row>
    <x:row r="108" spans="1:14" x14ac:dyDescent="0.25">
      <x:c r="A108" t="s">
        <x:v>681</x:v>
      </x:c>
      <x:c r="B108" t="s">
        <x:v>722</x:v>
      </x:c>
      <x:c r="C108" t="s">
        <x:v>723</x:v>
      </x:c>
      <x:c r="D108" t="s">
        <x:v>832</x:v>
      </x:c>
      <x:c r="E108" s="6">
        <x:v>359713.64</x:v>
      </x:c>
      <x:c r="F108" s="6">
        <x:v>0</x:v>
      </x:c>
      <x:c r="G108" s="6">
        <x:v>0</x:v>
      </x:c>
      <x:c r="H108" s="6">
        <x:f t="shared" si="3"/>
        <x:v>359713.64</x:v>
      </x:c>
      <x:c r="I108" s="6">
        <x:v>27261.199999999997</x:v>
      </x:c>
      <x:c r="J108" s="6">
        <x:v>0</x:v>
      </x:c>
      <x:c r="K108" s="6">
        <x:f t="shared" si="4"/>
        <x:v>27261.199999999997</x:v>
      </x:c>
      <x:c r="L108" s="6">
        <x:v>0</x:v>
      </x:c>
      <x:c r="M108" s="6">
        <x:v>0</x:v>
      </x:c>
      <x:c r="N108" s="6">
        <x:f t="shared" si="5"/>
        <x:v>386974.84</x:v>
      </x:c>
    </x:row>
    <x:row r="109" spans="1:14" x14ac:dyDescent="0.25">
      <x:c r="A109" t="s">
        <x:v>681</x:v>
      </x:c>
      <x:c r="B109" t="s">
        <x:v>724</x:v>
      </x:c>
      <x:c r="C109" t="s">
        <x:v>725</x:v>
      </x:c>
      <x:c r="D109" t="s">
        <x:v>832</x:v>
      </x:c>
      <x:c r="E109" s="6">
        <x:v>74363.780000000013</x:v>
      </x:c>
      <x:c r="F109" s="6">
        <x:v>0</x:v>
      </x:c>
      <x:c r="G109" s="6">
        <x:v>0</x:v>
      </x:c>
      <x:c r="H109" s="6">
        <x:f t="shared" si="3"/>
        <x:v>74363.780000000013</x:v>
      </x:c>
      <x:c r="I109" s="6">
        <x:v>10182.119999999999</x:v>
      </x:c>
      <x:c r="J109" s="6">
        <x:v>0</x:v>
      </x:c>
      <x:c r="K109" s="6">
        <x:f t="shared" si="4"/>
        <x:v>10182.119999999999</x:v>
      </x:c>
      <x:c r="L109" s="6">
        <x:v>0</x:v>
      </x:c>
      <x:c r="M109" s="6">
        <x:v>0</x:v>
      </x:c>
      <x:c r="N109" s="6">
        <x:f t="shared" si="5"/>
        <x:v>84545.900000000009</x:v>
      </x:c>
    </x:row>
    <x:row r="110" spans="1:14" x14ac:dyDescent="0.25">
      <x:c r="A110" t="s">
        <x:v>681</x:v>
      </x:c>
      <x:c r="B110" t="s">
        <x:v>794</x:v>
      </x:c>
      <x:c r="C110" t="s">
        <x:v>795</x:v>
      </x:c>
      <x:c r="D110" t="s">
        <x:v>832</x:v>
      </x:c>
      <x:c r="E110" s="6">
        <x:v>157816.1</x:v>
      </x:c>
      <x:c r="F110" s="6">
        <x:v>0</x:v>
      </x:c>
      <x:c r="G110" s="6">
        <x:v>0</x:v>
      </x:c>
      <x:c r="H110" s="6">
        <x:f t="shared" si="3"/>
        <x:v>157816.1</x:v>
      </x:c>
      <x:c r="I110" s="6">
        <x:v>4339.2299999999996</x:v>
      </x:c>
      <x:c r="J110" s="6">
        <x:v>0</x:v>
      </x:c>
      <x:c r="K110" s="6">
        <x:f t="shared" si="4"/>
        <x:v>4339.2299999999996</x:v>
      </x:c>
      <x:c r="L110" s="6">
        <x:v>0</x:v>
      </x:c>
      <x:c r="M110" s="6">
        <x:v>0</x:v>
      </x:c>
      <x:c r="N110" s="6">
        <x:f t="shared" si="5"/>
        <x:v>162155.33000000002</x:v>
      </x:c>
    </x:row>
    <x:row r="111" spans="1:14" x14ac:dyDescent="0.25">
      <x:c r="A111" t="s">
        <x:v>681</x:v>
      </x:c>
      <x:c r="B111" t="s">
        <x:v>796</x:v>
      </x:c>
      <x:c r="C111" t="s">
        <x:v>797</x:v>
      </x:c>
      <x:c r="D111" t="s">
        <x:v>832</x:v>
      </x:c>
      <x:c r="E111" s="6">
        <x:v>107962.97</x:v>
      </x:c>
      <x:c r="F111" s="6">
        <x:v>0</x:v>
      </x:c>
      <x:c r="G111" s="6">
        <x:v>0</x:v>
      </x:c>
      <x:c r="H111" s="6">
        <x:f t="shared" si="3"/>
        <x:v>107962.97</x:v>
      </x:c>
      <x:c r="I111" s="6">
        <x:v>6866.3700000000008</x:v>
      </x:c>
      <x:c r="J111" s="6">
        <x:v>0</x:v>
      </x:c>
      <x:c r="K111" s="6">
        <x:f t="shared" si="4"/>
        <x:v>6866.3700000000008</x:v>
      </x:c>
      <x:c r="L111" s="6">
        <x:v>0</x:v>
      </x:c>
      <x:c r="M111" s="6">
        <x:v>0</x:v>
      </x:c>
      <x:c r="N111" s="6">
        <x:f t="shared" si="5"/>
        <x:v>114829.34</x:v>
      </x:c>
    </x:row>
    <x:row r="112" spans="1:14" x14ac:dyDescent="0.25">
      <x:c r="A112" t="s">
        <x:v>681</x:v>
      </x:c>
      <x:c r="B112" t="s">
        <x:v>726</x:v>
      </x:c>
      <x:c r="C112" t="s">
        <x:v>727</x:v>
      </x:c>
      <x:c r="D112" t="s">
        <x:v>832</x:v>
      </x:c>
      <x:c r="E112" s="6">
        <x:v>191051.24</x:v>
      </x:c>
      <x:c r="F112" s="6">
        <x:v>0</x:v>
      </x:c>
      <x:c r="G112" s="6">
        <x:v>0</x:v>
      </x:c>
      <x:c r="H112" s="6">
        <x:f t="shared" si="3"/>
        <x:v>191051.24</x:v>
      </x:c>
      <x:c r="I112" s="6">
        <x:v>19714.440000000002</x:v>
      </x:c>
      <x:c r="J112" s="6">
        <x:v>0</x:v>
      </x:c>
      <x:c r="K112" s="6">
        <x:f t="shared" si="4"/>
        <x:v>19714.440000000002</x:v>
      </x:c>
      <x:c r="L112" s="6">
        <x:v>0</x:v>
      </x:c>
      <x:c r="M112" s="6">
        <x:v>0</x:v>
      </x:c>
      <x:c r="N112" s="6">
        <x:f t="shared" si="5"/>
        <x:v>210765.68</x:v>
      </x:c>
    </x:row>
    <x:row r="113" spans="1:14" x14ac:dyDescent="0.25">
      <x:c r="A113" t="s">
        <x:v>681</x:v>
      </x:c>
      <x:c r="B113" t="s">
        <x:v>732</x:v>
      </x:c>
      <x:c r="C113" t="s">
        <x:v>733</x:v>
      </x:c>
      <x:c r="D113" t="s">
        <x:v>832</x:v>
      </x:c>
      <x:c r="E113" s="6">
        <x:v>-52341.25</x:v>
      </x:c>
      <x:c r="F113" s="6">
        <x:v>0</x:v>
      </x:c>
      <x:c r="G113" s="6">
        <x:v>0</x:v>
      </x:c>
      <x:c r="H113" s="6">
        <x:f t="shared" si="3"/>
        <x:v>-52341.25</x:v>
      </x:c>
      <x:c r="I113" s="6">
        <x:v>0</x:v>
      </x:c>
      <x:c r="J113" s="6">
        <x:v>0</x:v>
      </x:c>
      <x:c r="K113" s="6">
        <x:f t="shared" si="4"/>
        <x:v>0</x:v>
      </x:c>
      <x:c r="L113" s="6">
        <x:v>0</x:v>
      </x:c>
      <x:c r="M113" s="6">
        <x:v>0</x:v>
      </x:c>
      <x:c r="N113" s="6">
        <x:f t="shared" si="5"/>
        <x:v>-52341.25</x:v>
      </x:c>
    </x:row>
    <x:row r="114" spans="1:14" x14ac:dyDescent="0.25">
      <x:c r="A114" t="s">
        <x:v>681</x:v>
      </x:c>
      <x:c r="B114" t="s">
        <x:v>738</x:v>
      </x:c>
      <x:c r="C114" t="s">
        <x:v>739</x:v>
      </x:c>
      <x:c r="D114" t="s">
        <x:v>832</x:v>
      </x:c>
      <x:c r="E114" s="6">
        <x:v>18477.849999999999</x:v>
      </x:c>
      <x:c r="F114" s="6">
        <x:v>0</x:v>
      </x:c>
      <x:c r="G114" s="6">
        <x:v>0</x:v>
      </x:c>
      <x:c r="H114" s="6">
        <x:f t="shared" si="3"/>
        <x:v>18477.849999999999</x:v>
      </x:c>
      <x:c r="I114" s="6">
        <x:v>0</x:v>
      </x:c>
      <x:c r="J114" s="6">
        <x:v>0</x:v>
      </x:c>
      <x:c r="K114" s="6">
        <x:f t="shared" si="4"/>
        <x:v>0</x:v>
      </x:c>
      <x:c r="L114" s="6">
        <x:v>0</x:v>
      </x:c>
      <x:c r="M114" s="6">
        <x:v>0</x:v>
      </x:c>
      <x:c r="N114" s="6">
        <x:f t="shared" si="5"/>
        <x:v>18477.849999999999</x:v>
      </x:c>
    </x:row>
    <x:row r="115" spans="1:14" x14ac:dyDescent="0.25">
      <x:c r="A115" t="s">
        <x:v>681</x:v>
      </x:c>
      <x:c r="B115" t="s">
        <x:v>740</x:v>
      </x:c>
      <x:c r="C115" t="s">
        <x:v>741</x:v>
      </x:c>
      <x:c r="D115" t="s">
        <x:v>832</x:v>
      </x:c>
      <x:c r="E115" s="6">
        <x:v>114653.45</x:v>
      </x:c>
      <x:c r="F115" s="6">
        <x:v>0</x:v>
      </x:c>
      <x:c r="G115" s="6">
        <x:v>0</x:v>
      </x:c>
      <x:c r="H115" s="6">
        <x:f t="shared" si="3"/>
        <x:v>114653.45</x:v>
      </x:c>
      <x:c r="I115" s="6">
        <x:v>0</x:v>
      </x:c>
      <x:c r="J115" s="6">
        <x:v>0</x:v>
      </x:c>
      <x:c r="K115" s="6">
        <x:f t="shared" si="4"/>
        <x:v>0</x:v>
      </x:c>
      <x:c r="L115" s="6">
        <x:v>0</x:v>
      </x:c>
      <x:c r="M115" s="6">
        <x:v>0</x:v>
      </x:c>
      <x:c r="N115" s="6">
        <x:f t="shared" si="5"/>
        <x:v>114653.45</x:v>
      </x:c>
    </x:row>
    <x:row r="116" spans="1:14" x14ac:dyDescent="0.25">
      <x:c r="A116" t="s">
        <x:v>681</x:v>
      </x:c>
      <x:c r="B116" t="s">
        <x:v>749</x:v>
      </x:c>
      <x:c r="C116" t="s">
        <x:v>750</x:v>
      </x:c>
      <x:c r="D116" t="s">
        <x:v>832</x:v>
      </x:c>
      <x:c r="E116" s="6">
        <x:v>411000</x:v>
      </x:c>
      <x:c r="F116" s="6">
        <x:v>0</x:v>
      </x:c>
      <x:c r="G116" s="6">
        <x:v>0</x:v>
      </x:c>
      <x:c r="H116" s="6">
        <x:f t="shared" si="3"/>
        <x:v>411000</x:v>
      </x:c>
      <x:c r="I116" s="6">
        <x:v>0</x:v>
      </x:c>
      <x:c r="J116" s="6">
        <x:v>0</x:v>
      </x:c>
      <x:c r="K116" s="6">
        <x:f t="shared" si="4"/>
        <x:v>0</x:v>
      </x:c>
      <x:c r="L116" s="6">
        <x:v>0</x:v>
      </x:c>
      <x:c r="M116" s="6">
        <x:v>0</x:v>
      </x:c>
      <x:c r="N116" s="6">
        <x:f t="shared" si="5"/>
        <x:v>411000</x:v>
      </x:c>
    </x:row>
    <x:row r="117" spans="1:14" x14ac:dyDescent="0.25">
      <x:c r="A117" t="s">
        <x:v>681</x:v>
      </x:c>
      <x:c r="B117" t="s">
        <x:v>839</x:v>
      </x:c>
      <x:c r="C117" t="s">
        <x:v>840</x:v>
      </x:c>
      <x:c r="D117" t="s">
        <x:v>677</x:v>
      </x:c>
      <x:c r="E117" s="6">
        <x:v>0</x:v>
      </x:c>
      <x:c r="F117" s="6">
        <x:v>4469.72</x:v>
      </x:c>
      <x:c r="G117" s="6">
        <x:v>0</x:v>
      </x:c>
      <x:c r="H117" s="6">
        <x:f t="shared" si="3"/>
        <x:v>4469.72</x:v>
      </x:c>
      <x:c r="I117" s="6">
        <x:v>0</x:v>
      </x:c>
      <x:c r="J117" s="6">
        <x:v>0</x:v>
      </x:c>
      <x:c r="K117" s="6">
        <x:f t="shared" si="4"/>
        <x:v>0</x:v>
      </x:c>
      <x:c r="L117" s="6">
        <x:v>0</x:v>
      </x:c>
      <x:c r="M117" s="6">
        <x:v>0</x:v>
      </x:c>
      <x:c r="N117" s="6">
        <x:f t="shared" si="5"/>
        <x:v>4469.72</x:v>
      </x:c>
    </x:row>
    <x:row r="118" spans="1:14" x14ac:dyDescent="0.25">
      <x:c r="A118" t="s">
        <x:v>681</x:v>
      </x:c>
      <x:c r="B118" t="s">
        <x:v>839</x:v>
      </x:c>
      <x:c r="C118" t="s">
        <x:v>840</x:v>
      </x:c>
      <x:c r="D118" t="s">
        <x:v>841</x:v>
      </x:c>
      <x:c r="E118" s="6">
        <x:v>0</x:v>
      </x:c>
      <x:c r="F118" s="6">
        <x:v>217318</x:v>
      </x:c>
      <x:c r="G118" s="6">
        <x:v>0</x:v>
      </x:c>
      <x:c r="H118" s="6">
        <x:f t="shared" si="3"/>
        <x:v>217318</x:v>
      </x:c>
      <x:c r="I118" s="6">
        <x:v>0</x:v>
      </x:c>
      <x:c r="J118" s="6">
        <x:v>0</x:v>
      </x:c>
      <x:c r="K118" s="6">
        <x:f t="shared" si="4"/>
        <x:v>0</x:v>
      </x:c>
      <x:c r="L118" s="6">
        <x:v>0</x:v>
      </x:c>
      <x:c r="M118" s="6">
        <x:v>0</x:v>
      </x:c>
      <x:c r="N118" s="6">
        <x:f t="shared" si="5"/>
        <x:v>217318</x:v>
      </x:c>
    </x:row>
    <x:row r="119" spans="1:14" x14ac:dyDescent="0.25">
      <x:c r="A119" t="s">
        <x:v>5</x:v>
      </x:c>
      <x:c r="B119" t="s">
        <x:v>692</x:v>
      </x:c>
      <x:c r="C119" t="s">
        <x:v>693</x:v>
      </x:c>
      <x:c r="D119" t="s">
        <x:v>677</x:v>
      </x:c>
      <x:c r="E119" s="6">
        <x:v>69433.88</x:v>
      </x:c>
      <x:c r="F119" s="6">
        <x:v>0</x:v>
      </x:c>
      <x:c r="G119" s="6">
        <x:v>0</x:v>
      </x:c>
      <x:c r="H119" s="6">
        <x:f t="shared" si="3"/>
        <x:v>69433.88</x:v>
      </x:c>
      <x:c r="I119" s="6">
        <x:v>0</x:v>
      </x:c>
      <x:c r="J119" s="6">
        <x:v>0</x:v>
      </x:c>
      <x:c r="K119" s="6">
        <x:f t="shared" si="4"/>
        <x:v>0</x:v>
      </x:c>
      <x:c r="L119" s="6">
        <x:v>0</x:v>
      </x:c>
      <x:c r="M119" s="6">
        <x:v>0</x:v>
      </x:c>
      <x:c r="N119" s="6">
        <x:f t="shared" si="5"/>
        <x:v>69433.88</x:v>
      </x:c>
    </x:row>
    <x:row r="120" spans="1:14" x14ac:dyDescent="0.25">
      <x:c r="A120" t="s">
        <x:v>5</x:v>
      </x:c>
      <x:c r="B120" t="s">
        <x:v>692</x:v>
      </x:c>
      <x:c r="C120" t="s">
        <x:v>693</x:v>
      </x:c>
      <x:c r="D120" t="s">
        <x:v>832</x:v>
      </x:c>
      <x:c r="E120" s="6">
        <x:v>65.37</x:v>
      </x:c>
      <x:c r="F120" s="6">
        <x:v>0</x:v>
      </x:c>
      <x:c r="G120" s="6">
        <x:v>0</x:v>
      </x:c>
      <x:c r="H120" s="6">
        <x:f t="shared" si="3"/>
        <x:v>65.37</x:v>
      </x:c>
      <x:c r="I120" s="6">
        <x:v>0</x:v>
      </x:c>
      <x:c r="J120" s="6">
        <x:v>0</x:v>
      </x:c>
      <x:c r="K120" s="6">
        <x:f t="shared" si="4"/>
        <x:v>0</x:v>
      </x:c>
      <x:c r="L120" s="6">
        <x:v>0</x:v>
      </x:c>
      <x:c r="M120" s="6">
        <x:v>0</x:v>
      </x:c>
      <x:c r="N120" s="6">
        <x:f t="shared" si="5"/>
        <x:v>65.37</x:v>
      </x:c>
    </x:row>
    <x:row r="121" spans="1:14" x14ac:dyDescent="0.25">
      <x:c r="A121" t="s">
        <x:v>5</x:v>
      </x:c>
      <x:c r="B121" t="s">
        <x:v>694</x:v>
      </x:c>
      <x:c r="C121" t="s">
        <x:v>695</x:v>
      </x:c>
      <x:c r="D121" t="s">
        <x:v>677</x:v>
      </x:c>
      <x:c r="E121" s="6">
        <x:v>20042.090000000004</x:v>
      </x:c>
      <x:c r="F121" s="6">
        <x:v>0</x:v>
      </x:c>
      <x:c r="G121" s="6">
        <x:v>0</x:v>
      </x:c>
      <x:c r="H121" s="6">
        <x:f t="shared" si="3"/>
        <x:v>20042.090000000004</x:v>
      </x:c>
      <x:c r="I121" s="6">
        <x:v>0</x:v>
      </x:c>
      <x:c r="J121" s="6">
        <x:v>0</x:v>
      </x:c>
      <x:c r="K121" s="6">
        <x:f t="shared" si="4"/>
        <x:v>0</x:v>
      </x:c>
      <x:c r="L121" s="6">
        <x:v>0</x:v>
      </x:c>
      <x:c r="M121" s="6">
        <x:v>0</x:v>
      </x:c>
      <x:c r="N121" s="6">
        <x:f t="shared" si="5"/>
        <x:v>20042.090000000004</x:v>
      </x:c>
    </x:row>
    <x:row r="122" spans="1:14" x14ac:dyDescent="0.25">
      <x:c r="A122" t="s">
        <x:v>5</x:v>
      </x:c>
      <x:c r="B122" t="s">
        <x:v>696</x:v>
      </x:c>
      <x:c r="C122" t="s">
        <x:v>697</x:v>
      </x:c>
      <x:c r="D122" t="s">
        <x:v>677</x:v>
      </x:c>
      <x:c r="E122" s="6">
        <x:v>221908.63</x:v>
      </x:c>
      <x:c r="F122" s="6">
        <x:v>0</x:v>
      </x:c>
      <x:c r="G122" s="6">
        <x:v>0</x:v>
      </x:c>
      <x:c r="H122" s="6">
        <x:f t="shared" si="3"/>
        <x:v>221908.63</x:v>
      </x:c>
      <x:c r="I122" s="6">
        <x:v>0</x:v>
      </x:c>
      <x:c r="J122" s="6">
        <x:v>0</x:v>
      </x:c>
      <x:c r="K122" s="6">
        <x:f t="shared" si="4"/>
        <x:v>0</x:v>
      </x:c>
      <x:c r="L122" s="6">
        <x:v>0</x:v>
      </x:c>
      <x:c r="M122" s="6">
        <x:v>0</x:v>
      </x:c>
      <x:c r="N122" s="6">
        <x:f t="shared" si="5"/>
        <x:v>221908.63</x:v>
      </x:c>
    </x:row>
    <x:row r="123" spans="1:14" x14ac:dyDescent="0.25">
      <x:c r="A123" t="s">
        <x:v>5</x:v>
      </x:c>
      <x:c r="B123" t="s">
        <x:v>696</x:v>
      </x:c>
      <x:c r="C123" t="s">
        <x:v>697</x:v>
      </x:c>
      <x:c r="D123" t="s">
        <x:v>832</x:v>
      </x:c>
      <x:c r="E123" s="6">
        <x:v>-179.67</x:v>
      </x:c>
      <x:c r="F123" s="6">
        <x:v>0</x:v>
      </x:c>
      <x:c r="G123" s="6">
        <x:v>0</x:v>
      </x:c>
      <x:c r="H123" s="6">
        <x:f t="shared" si="3"/>
        <x:v>-179.67</x:v>
      </x:c>
      <x:c r="I123" s="6">
        <x:v>0</x:v>
      </x:c>
      <x:c r="J123" s="6">
        <x:v>0</x:v>
      </x:c>
      <x:c r="K123" s="6">
        <x:f t="shared" si="4"/>
        <x:v>0</x:v>
      </x:c>
      <x:c r="L123" s="6">
        <x:v>0</x:v>
      </x:c>
      <x:c r="M123" s="6">
        <x:v>0</x:v>
      </x:c>
      <x:c r="N123" s="6">
        <x:f t="shared" si="5"/>
        <x:v>-179.67</x:v>
      </x:c>
    </x:row>
    <x:row r="124" spans="1:14" x14ac:dyDescent="0.25">
      <x:c r="A124" t="s">
        <x:v>5</x:v>
      </x:c>
      <x:c r="B124" t="s">
        <x:v>782</x:v>
      </x:c>
      <x:c r="C124" t="s">
        <x:v>783</x:v>
      </x:c>
      <x:c r="D124" t="s">
        <x:v>677</x:v>
      </x:c>
      <x:c r="E124" s="6">
        <x:v>14735.169999999996</x:v>
      </x:c>
      <x:c r="F124" s="6">
        <x:v>0</x:v>
      </x:c>
      <x:c r="G124" s="6">
        <x:v>0</x:v>
      </x:c>
      <x:c r="H124" s="6">
        <x:f t="shared" si="3"/>
        <x:v>14735.169999999996</x:v>
      </x:c>
      <x:c r="I124" s="6">
        <x:v>0</x:v>
      </x:c>
      <x:c r="J124" s="6">
        <x:v>0</x:v>
      </x:c>
      <x:c r="K124" s="6">
        <x:f t="shared" si="4"/>
        <x:v>0</x:v>
      </x:c>
      <x:c r="L124" s="6">
        <x:v>0</x:v>
      </x:c>
      <x:c r="M124" s="6">
        <x:v>0</x:v>
      </x:c>
      <x:c r="N124" s="6">
        <x:f t="shared" si="5"/>
        <x:v>14735.169999999996</x:v>
      </x:c>
    </x:row>
    <x:row r="125" spans="1:14" x14ac:dyDescent="0.25">
      <x:c r="A125" t="s">
        <x:v>5</x:v>
      </x:c>
      <x:c r="B125" t="s">
        <x:v>784</x:v>
      </x:c>
      <x:c r="C125" t="s">
        <x:v>785</x:v>
      </x:c>
      <x:c r="D125" t="s">
        <x:v>677</x:v>
      </x:c>
      <x:c r="E125" s="6">
        <x:v>92418.48000000001</x:v>
      </x:c>
      <x:c r="F125" s="6">
        <x:v>0</x:v>
      </x:c>
      <x:c r="G125" s="6">
        <x:v>0</x:v>
      </x:c>
      <x:c r="H125" s="6">
        <x:f t="shared" si="3"/>
        <x:v>92418.48000000001</x:v>
      </x:c>
      <x:c r="I125" s="6">
        <x:v>0</x:v>
      </x:c>
      <x:c r="J125" s="6">
        <x:v>0</x:v>
      </x:c>
      <x:c r="K125" s="6">
        <x:f t="shared" si="4"/>
        <x:v>0</x:v>
      </x:c>
      <x:c r="L125" s="6">
        <x:v>0</x:v>
      </x:c>
      <x:c r="M125" s="6">
        <x:v>0</x:v>
      </x:c>
      <x:c r="N125" s="6">
        <x:f t="shared" si="5"/>
        <x:v>92418.48000000001</x:v>
      </x:c>
    </x:row>
    <x:row r="126" spans="1:14" x14ac:dyDescent="0.25">
      <x:c r="A126" t="s">
        <x:v>5</x:v>
      </x:c>
      <x:c r="B126" t="s">
        <x:v>786</x:v>
      </x:c>
      <x:c r="C126" t="s">
        <x:v>787</x:v>
      </x:c>
      <x:c r="D126" t="s">
        <x:v>677</x:v>
      </x:c>
      <x:c r="E126" s="6">
        <x:v>65269.670000000006</x:v>
      </x:c>
      <x:c r="F126" s="6">
        <x:v>0</x:v>
      </x:c>
      <x:c r="G126" s="6">
        <x:v>0</x:v>
      </x:c>
      <x:c r="H126" s="6">
        <x:f t="shared" si="3"/>
        <x:v>65269.670000000006</x:v>
      </x:c>
      <x:c r="I126" s="6">
        <x:v>0</x:v>
      </x:c>
      <x:c r="J126" s="6">
        <x:v>0</x:v>
      </x:c>
      <x:c r="K126" s="6">
        <x:f t="shared" si="4"/>
        <x:v>0</x:v>
      </x:c>
      <x:c r="L126" s="6">
        <x:v>0</x:v>
      </x:c>
      <x:c r="M126" s="6">
        <x:v>0</x:v>
      </x:c>
      <x:c r="N126" s="6">
        <x:f t="shared" si="5"/>
        <x:v>65269.670000000006</x:v>
      </x:c>
    </x:row>
    <x:row r="127" spans="1:14" x14ac:dyDescent="0.25">
      <x:c r="A127" t="s">
        <x:v>5</x:v>
      </x:c>
      <x:c r="B127" t="s">
        <x:v>700</x:v>
      </x:c>
      <x:c r="C127" t="s">
        <x:v>701</x:v>
      </x:c>
      <x:c r="D127" t="s">
        <x:v>677</x:v>
      </x:c>
      <x:c r="E127" s="6">
        <x:v>32577.52</x:v>
      </x:c>
      <x:c r="F127" s="6">
        <x:v>0</x:v>
      </x:c>
      <x:c r="G127" s="6">
        <x:v>0</x:v>
      </x:c>
      <x:c r="H127" s="6">
        <x:f t="shared" si="3"/>
        <x:v>32577.52</x:v>
      </x:c>
      <x:c r="I127" s="6">
        <x:v>0</x:v>
      </x:c>
      <x:c r="J127" s="6">
        <x:v>0</x:v>
      </x:c>
      <x:c r="K127" s="6">
        <x:f t="shared" si="4"/>
        <x:v>0</x:v>
      </x:c>
      <x:c r="L127" s="6">
        <x:v>0</x:v>
      </x:c>
      <x:c r="M127" s="6">
        <x:v>0</x:v>
      </x:c>
      <x:c r="N127" s="6">
        <x:f t="shared" si="5"/>
        <x:v>32577.52</x:v>
      </x:c>
    </x:row>
    <x:row r="128" spans="1:14" x14ac:dyDescent="0.25">
      <x:c r="A128" t="s">
        <x:v>5</x:v>
      </x:c>
      <x:c r="B128" t="s">
        <x:v>702</x:v>
      </x:c>
      <x:c r="C128" t="s">
        <x:v>703</x:v>
      </x:c>
      <x:c r="D128" t="s">
        <x:v>677</x:v>
      </x:c>
      <x:c r="E128" s="6">
        <x:v>38624.82</x:v>
      </x:c>
      <x:c r="F128" s="6">
        <x:v>0</x:v>
      </x:c>
      <x:c r="G128" s="6">
        <x:v>0</x:v>
      </x:c>
      <x:c r="H128" s="6">
        <x:f t="shared" si="3"/>
        <x:v>38624.82</x:v>
      </x:c>
      <x:c r="I128" s="6">
        <x:v>0</x:v>
      </x:c>
      <x:c r="J128" s="6">
        <x:v>0</x:v>
      </x:c>
      <x:c r="K128" s="6">
        <x:f t="shared" si="4"/>
        <x:v>0</x:v>
      </x:c>
      <x:c r="L128" s="6">
        <x:v>0</x:v>
      </x:c>
      <x:c r="M128" s="6">
        <x:v>0</x:v>
      </x:c>
      <x:c r="N128" s="6">
        <x:f t="shared" si="5"/>
        <x:v>38624.82</x:v>
      </x:c>
    </x:row>
    <x:row r="129" spans="1:14" x14ac:dyDescent="0.25">
      <x:c r="A129" t="s">
        <x:v>5</x:v>
      </x:c>
      <x:c r="B129" t="s">
        <x:v>702</x:v>
      </x:c>
      <x:c r="C129" t="s">
        <x:v>703</x:v>
      </x:c>
      <x:c r="D129" t="s">
        <x:v>832</x:v>
      </x:c>
      <x:c r="E129" s="6">
        <x:v>531.25</x:v>
      </x:c>
      <x:c r="F129" s="6">
        <x:v>0</x:v>
      </x:c>
      <x:c r="G129" s="6">
        <x:v>0</x:v>
      </x:c>
      <x:c r="H129" s="6">
        <x:f t="shared" si="3"/>
        <x:v>531.25</x:v>
      </x:c>
      <x:c r="I129" s="6">
        <x:v>0</x:v>
      </x:c>
      <x:c r="J129" s="6">
        <x:v>0</x:v>
      </x:c>
      <x:c r="K129" s="6">
        <x:f t="shared" si="4"/>
        <x:v>0</x:v>
      </x:c>
      <x:c r="L129" s="6">
        <x:v>0</x:v>
      </x:c>
      <x:c r="M129" s="6">
        <x:v>0</x:v>
      </x:c>
      <x:c r="N129" s="6">
        <x:f t="shared" si="5"/>
        <x:v>531.25</x:v>
      </x:c>
    </x:row>
    <x:row r="130" spans="1:14" x14ac:dyDescent="0.25">
      <x:c r="A130" t="s">
        <x:v>5</x:v>
      </x:c>
      <x:c r="B130" t="s">
        <x:v>704</x:v>
      </x:c>
      <x:c r="C130" t="s">
        <x:v>705</x:v>
      </x:c>
      <x:c r="D130" t="s">
        <x:v>677</x:v>
      </x:c>
      <x:c r="E130" s="6">
        <x:v>67803.210000000006</x:v>
      </x:c>
      <x:c r="F130" s="6">
        <x:v>0</x:v>
      </x:c>
      <x:c r="G130" s="6">
        <x:v>0</x:v>
      </x:c>
      <x:c r="H130" s="6">
        <x:f t="shared" si="3"/>
        <x:v>67803.210000000006</x:v>
      </x:c>
      <x:c r="I130" s="6">
        <x:v>0</x:v>
      </x:c>
      <x:c r="J130" s="6">
        <x:v>0</x:v>
      </x:c>
      <x:c r="K130" s="6">
        <x:f t="shared" si="4"/>
        <x:v>0</x:v>
      </x:c>
      <x:c r="L130" s="6">
        <x:v>0</x:v>
      </x:c>
      <x:c r="M130" s="6">
        <x:v>0</x:v>
      </x:c>
      <x:c r="N130" s="6">
        <x:f t="shared" si="5"/>
        <x:v>67803.210000000006</x:v>
      </x:c>
    </x:row>
    <x:row r="131" spans="1:14" x14ac:dyDescent="0.25">
      <x:c r="A131" t="s">
        <x:v>5</x:v>
      </x:c>
      <x:c r="B131" t="s">
        <x:v>706</x:v>
      </x:c>
      <x:c r="C131" t="s">
        <x:v>707</x:v>
      </x:c>
      <x:c r="D131" t="s">
        <x:v>677</x:v>
      </x:c>
      <x:c r="E131" s="6">
        <x:v>4159.51</x:v>
      </x:c>
      <x:c r="F131" s="6">
        <x:v>0</x:v>
      </x:c>
      <x:c r="G131" s="6">
        <x:v>0</x:v>
      </x:c>
      <x:c r="H131" s="6">
        <x:f t="shared" si="3"/>
        <x:v>4159.51</x:v>
      </x:c>
      <x:c r="I131" s="6">
        <x:v>0</x:v>
      </x:c>
      <x:c r="J131" s="6">
        <x:v>0</x:v>
      </x:c>
      <x:c r="K131" s="6">
        <x:f t="shared" si="4"/>
        <x:v>0</x:v>
      </x:c>
      <x:c r="L131" s="6">
        <x:v>0</x:v>
      </x:c>
      <x:c r="M131" s="6">
        <x:v>0</x:v>
      </x:c>
      <x:c r="N131" s="6">
        <x:f t="shared" si="5"/>
        <x:v>4159.51</x:v>
      </x:c>
    </x:row>
    <x:row r="132" spans="1:14" x14ac:dyDescent="0.25">
      <x:c r="A132" t="s">
        <x:v>5</x:v>
      </x:c>
      <x:c r="B132" t="s">
        <x:v>708</x:v>
      </x:c>
      <x:c r="C132" t="s">
        <x:v>709</x:v>
      </x:c>
      <x:c r="D132" t="s">
        <x:v>677</x:v>
      </x:c>
      <x:c r="E132" s="6">
        <x:v>3030.0600000000004</x:v>
      </x:c>
      <x:c r="F132" s="6">
        <x:v>0</x:v>
      </x:c>
      <x:c r="G132" s="6">
        <x:v>0</x:v>
      </x:c>
      <x:c r="H132" s="6">
        <x:f t="shared" si="3"/>
        <x:v>3030.0600000000004</x:v>
      </x:c>
      <x:c r="I132" s="6">
        <x:v>0</x:v>
      </x:c>
      <x:c r="J132" s="6">
        <x:v>0</x:v>
      </x:c>
      <x:c r="K132" s="6">
        <x:f t="shared" si="4"/>
        <x:v>0</x:v>
      </x:c>
      <x:c r="L132" s="6">
        <x:v>0</x:v>
      </x:c>
      <x:c r="M132" s="6">
        <x:v>0</x:v>
      </x:c>
      <x:c r="N132" s="6">
        <x:f t="shared" si="5"/>
        <x:v>3030.0600000000004</x:v>
      </x:c>
    </x:row>
    <x:row r="133" spans="1:14" x14ac:dyDescent="0.25">
      <x:c r="A133" t="s">
        <x:v>5</x:v>
      </x:c>
      <x:c r="B133" t="s">
        <x:v>712</x:v>
      </x:c>
      <x:c r="C133" t="s">
        <x:v>713</x:v>
      </x:c>
      <x:c r="D133" t="s">
        <x:v>677</x:v>
      </x:c>
      <x:c r="E133" s="6">
        <x:v>33696.520000000011</x:v>
      </x:c>
      <x:c r="F133" s="6">
        <x:v>0</x:v>
      </x:c>
      <x:c r="G133" s="6">
        <x:v>0</x:v>
      </x:c>
      <x:c r="H133" s="6">
        <x:f t="shared" ref="H133:H196" si="6">SUM(E133:G133)</x:f>
        <x:v>33696.520000000011</x:v>
      </x:c>
      <x:c r="I133" s="6">
        <x:v>0</x:v>
      </x:c>
      <x:c r="J133" s="6">
        <x:v>0</x:v>
      </x:c>
      <x:c r="K133" s="6">
        <x:f t="shared" ref="K133:K196" si="7">SUM(I133:J133)</x:f>
        <x:v>0</x:v>
      </x:c>
      <x:c r="L133" s="6">
        <x:v>0</x:v>
      </x:c>
      <x:c r="M133" s="6">
        <x:v>0</x:v>
      </x:c>
      <x:c r="N133" s="6">
        <x:f t="shared" ref="N133:N196" si="8">+E133+F133+G133+I133+J133+L133+M133</x:f>
        <x:v>33696.520000000011</x:v>
      </x:c>
    </x:row>
    <x:row r="134" spans="1:14" x14ac:dyDescent="0.25">
      <x:c r="A134" t="s">
        <x:v>5</x:v>
      </x:c>
      <x:c r="B134" t="s">
        <x:v>712</x:v>
      </x:c>
      <x:c r="C134" t="s">
        <x:v>713</x:v>
      </x:c>
      <x:c r="D134" t="s">
        <x:v>832</x:v>
      </x:c>
      <x:c r="E134" s="6">
        <x:v>283.14999999999998</x:v>
      </x:c>
      <x:c r="F134" s="6">
        <x:v>0</x:v>
      </x:c>
      <x:c r="G134" s="6">
        <x:v>0</x:v>
      </x:c>
      <x:c r="H134" s="6">
        <x:f t="shared" si="6"/>
        <x:v>283.14999999999998</x:v>
      </x:c>
      <x:c r="I134" s="6">
        <x:v>0</x:v>
      </x:c>
      <x:c r="J134" s="6">
        <x:v>0</x:v>
      </x:c>
      <x:c r="K134" s="6">
        <x:f t="shared" si="7"/>
        <x:v>0</x:v>
      </x:c>
      <x:c r="L134" s="6">
        <x:v>0</x:v>
      </x:c>
      <x:c r="M134" s="6">
        <x:v>0</x:v>
      </x:c>
      <x:c r="N134" s="6">
        <x:f t="shared" si="8"/>
        <x:v>283.14999999999998</x:v>
      </x:c>
    </x:row>
    <x:row r="135" spans="1:14" x14ac:dyDescent="0.25">
      <x:c r="A135" t="s">
        <x:v>5</x:v>
      </x:c>
      <x:c r="B135" t="s">
        <x:v>788</x:v>
      </x:c>
      <x:c r="C135" t="s">
        <x:v>789</x:v>
      </x:c>
      <x:c r="D135" t="s">
        <x:v>677</x:v>
      </x:c>
      <x:c r="E135" s="6">
        <x:v>66115.460000000006</x:v>
      </x:c>
      <x:c r="F135" s="6">
        <x:v>0</x:v>
      </x:c>
      <x:c r="G135" s="6">
        <x:v>0</x:v>
      </x:c>
      <x:c r="H135" s="6">
        <x:f t="shared" si="6"/>
        <x:v>66115.460000000006</x:v>
      </x:c>
      <x:c r="I135" s="6">
        <x:v>0</x:v>
      </x:c>
      <x:c r="J135" s="6">
        <x:v>0</x:v>
      </x:c>
      <x:c r="K135" s="6">
        <x:f t="shared" si="7"/>
        <x:v>0</x:v>
      </x:c>
      <x:c r="L135" s="6">
        <x:v>0</x:v>
      </x:c>
      <x:c r="M135" s="6">
        <x:v>0</x:v>
      </x:c>
      <x:c r="N135" s="6">
        <x:f t="shared" si="8"/>
        <x:v>66115.460000000006</x:v>
      </x:c>
    </x:row>
    <x:row r="136" spans="1:14" x14ac:dyDescent="0.25">
      <x:c r="A136" t="s">
        <x:v>5</x:v>
      </x:c>
      <x:c r="B136" t="s">
        <x:v>790</x:v>
      </x:c>
      <x:c r="C136" t="s">
        <x:v>791</x:v>
      </x:c>
      <x:c r="D136" t="s">
        <x:v>677</x:v>
      </x:c>
      <x:c r="E136" s="6">
        <x:v>9769.5300000000007</x:v>
      </x:c>
      <x:c r="F136" s="6">
        <x:v>0</x:v>
      </x:c>
      <x:c r="G136" s="6">
        <x:v>0</x:v>
      </x:c>
      <x:c r="H136" s="6">
        <x:f t="shared" si="6"/>
        <x:v>9769.5300000000007</x:v>
      </x:c>
      <x:c r="I136" s="6">
        <x:v>0</x:v>
      </x:c>
      <x:c r="J136" s="6">
        <x:v>0</x:v>
      </x:c>
      <x:c r="K136" s="6">
        <x:f t="shared" si="7"/>
        <x:v>0</x:v>
      </x:c>
      <x:c r="L136" s="6">
        <x:v>0</x:v>
      </x:c>
      <x:c r="M136" s="6">
        <x:v>0</x:v>
      </x:c>
      <x:c r="N136" s="6">
        <x:f t="shared" si="8"/>
        <x:v>9769.5300000000007</x:v>
      </x:c>
    </x:row>
    <x:row r="137" spans="1:14" x14ac:dyDescent="0.25">
      <x:c r="A137" t="s">
        <x:v>5</x:v>
      </x:c>
      <x:c r="B137" t="s">
        <x:v>714</x:v>
      </x:c>
      <x:c r="C137" t="s">
        <x:v>715</x:v>
      </x:c>
      <x:c r="D137" t="s">
        <x:v>677</x:v>
      </x:c>
      <x:c r="E137" s="6">
        <x:v>53268.25</x:v>
      </x:c>
      <x:c r="F137" s="6">
        <x:v>0</x:v>
      </x:c>
      <x:c r="G137" s="6">
        <x:v>0</x:v>
      </x:c>
      <x:c r="H137" s="6">
        <x:f t="shared" si="6"/>
        <x:v>53268.25</x:v>
      </x:c>
      <x:c r="I137" s="6">
        <x:v>0</x:v>
      </x:c>
      <x:c r="J137" s="6">
        <x:v>0</x:v>
      </x:c>
      <x:c r="K137" s="6">
        <x:f t="shared" si="7"/>
        <x:v>0</x:v>
      </x:c>
      <x:c r="L137" s="6">
        <x:v>0</x:v>
      </x:c>
      <x:c r="M137" s="6">
        <x:v>0</x:v>
      </x:c>
      <x:c r="N137" s="6">
        <x:f t="shared" si="8"/>
        <x:v>53268.25</x:v>
      </x:c>
    </x:row>
    <x:row r="138" spans="1:14" x14ac:dyDescent="0.25">
      <x:c r="A138" t="s">
        <x:v>5</x:v>
      </x:c>
      <x:c r="B138" t="s">
        <x:v>716</x:v>
      </x:c>
      <x:c r="C138" t="s">
        <x:v>717</x:v>
      </x:c>
      <x:c r="D138" t="s">
        <x:v>677</x:v>
      </x:c>
      <x:c r="E138" s="6">
        <x:v>64700.43</x:v>
      </x:c>
      <x:c r="F138" s="6">
        <x:v>0</x:v>
      </x:c>
      <x:c r="G138" s="6">
        <x:v>0</x:v>
      </x:c>
      <x:c r="H138" s="6">
        <x:f t="shared" si="6"/>
        <x:v>64700.43</x:v>
      </x:c>
      <x:c r="I138" s="6">
        <x:v>0</x:v>
      </x:c>
      <x:c r="J138" s="6">
        <x:v>0</x:v>
      </x:c>
      <x:c r="K138" s="6">
        <x:f t="shared" si="7"/>
        <x:v>0</x:v>
      </x:c>
      <x:c r="L138" s="6">
        <x:v>0</x:v>
      </x:c>
      <x:c r="M138" s="6">
        <x:v>0</x:v>
      </x:c>
      <x:c r="N138" s="6">
        <x:f t="shared" si="8"/>
        <x:v>64700.43</x:v>
      </x:c>
    </x:row>
    <x:row r="139" spans="1:14" x14ac:dyDescent="0.25">
      <x:c r="A139" t="s">
        <x:v>5</x:v>
      </x:c>
      <x:c r="B139" t="s">
        <x:v>792</x:v>
      </x:c>
      <x:c r="C139" t="s">
        <x:v>793</x:v>
      </x:c>
      <x:c r="D139" t="s">
        <x:v>677</x:v>
      </x:c>
      <x:c r="E139" s="6">
        <x:v>36173.319999999992</x:v>
      </x:c>
      <x:c r="F139" s="6">
        <x:v>0</x:v>
      </x:c>
      <x:c r="G139" s="6">
        <x:v>0</x:v>
      </x:c>
      <x:c r="H139" s="6">
        <x:f t="shared" si="6"/>
        <x:v>36173.319999999992</x:v>
      </x:c>
      <x:c r="I139" s="6">
        <x:v>0</x:v>
      </x:c>
      <x:c r="J139" s="6">
        <x:v>0</x:v>
      </x:c>
      <x:c r="K139" s="6">
        <x:f t="shared" si="7"/>
        <x:v>0</x:v>
      </x:c>
      <x:c r="L139" s="6">
        <x:v>0</x:v>
      </x:c>
      <x:c r="M139" s="6">
        <x:v>0</x:v>
      </x:c>
      <x:c r="N139" s="6">
        <x:f t="shared" si="8"/>
        <x:v>36173.319999999992</x:v>
      </x:c>
    </x:row>
    <x:row r="140" spans="1:14" x14ac:dyDescent="0.25">
      <x:c r="A140" t="s">
        <x:v>5</x:v>
      </x:c>
      <x:c r="B140" t="s">
        <x:v>718</x:v>
      </x:c>
      <x:c r="C140" t="s">
        <x:v>719</x:v>
      </x:c>
      <x:c r="D140" t="s">
        <x:v>677</x:v>
      </x:c>
      <x:c r="E140" s="6">
        <x:v>1737.61</x:v>
      </x:c>
      <x:c r="F140" s="6">
        <x:v>0</x:v>
      </x:c>
      <x:c r="G140" s="6">
        <x:v>0</x:v>
      </x:c>
      <x:c r="H140" s="6">
        <x:f t="shared" si="6"/>
        <x:v>1737.61</x:v>
      </x:c>
      <x:c r="I140" s="6">
        <x:v>0</x:v>
      </x:c>
      <x:c r="J140" s="6">
        <x:v>0</x:v>
      </x:c>
      <x:c r="K140" s="6">
        <x:f t="shared" si="7"/>
        <x:v>0</x:v>
      </x:c>
      <x:c r="L140" s="6">
        <x:v>0</x:v>
      </x:c>
      <x:c r="M140" s="6">
        <x:v>0</x:v>
      </x:c>
      <x:c r="N140" s="6">
        <x:f t="shared" si="8"/>
        <x:v>1737.61</x:v>
      </x:c>
    </x:row>
    <x:row r="141" spans="1:14" x14ac:dyDescent="0.25">
      <x:c r="A141" t="s">
        <x:v>5</x:v>
      </x:c>
      <x:c r="B141" t="s">
        <x:v>722</x:v>
      </x:c>
      <x:c r="C141" t="s">
        <x:v>723</x:v>
      </x:c>
      <x:c r="D141" t="s">
        <x:v>677</x:v>
      </x:c>
      <x:c r="E141" s="6">
        <x:v>69801.599999999991</x:v>
      </x:c>
      <x:c r="F141" s="6">
        <x:v>0</x:v>
      </x:c>
      <x:c r="G141" s="6">
        <x:v>0</x:v>
      </x:c>
      <x:c r="H141" s="6">
        <x:f t="shared" si="6"/>
        <x:v>69801.599999999991</x:v>
      </x:c>
      <x:c r="I141" s="6">
        <x:v>0</x:v>
      </x:c>
      <x:c r="J141" s="6">
        <x:v>0</x:v>
      </x:c>
      <x:c r="K141" s="6">
        <x:f t="shared" si="7"/>
        <x:v>0</x:v>
      </x:c>
      <x:c r="L141" s="6">
        <x:v>0</x:v>
      </x:c>
      <x:c r="M141" s="6">
        <x:v>0</x:v>
      </x:c>
      <x:c r="N141" s="6">
        <x:f t="shared" si="8"/>
        <x:v>69801.599999999991</x:v>
      </x:c>
    </x:row>
    <x:row r="142" spans="1:14" x14ac:dyDescent="0.25">
      <x:c r="A142" t="s">
        <x:v>5</x:v>
      </x:c>
      <x:c r="B142" t="s">
        <x:v>722</x:v>
      </x:c>
      <x:c r="C142" t="s">
        <x:v>723</x:v>
      </x:c>
      <x:c r="D142" t="s">
        <x:v>832</x:v>
      </x:c>
      <x:c r="E142" s="6">
        <x:v>4823.51</x:v>
      </x:c>
      <x:c r="F142" s="6">
        <x:v>0</x:v>
      </x:c>
      <x:c r="G142" s="6">
        <x:v>0</x:v>
      </x:c>
      <x:c r="H142" s="6">
        <x:f t="shared" si="6"/>
        <x:v>4823.51</x:v>
      </x:c>
      <x:c r="I142" s="6">
        <x:v>0</x:v>
      </x:c>
      <x:c r="J142" s="6">
        <x:v>0</x:v>
      </x:c>
      <x:c r="K142" s="6">
        <x:f t="shared" si="7"/>
        <x:v>0</x:v>
      </x:c>
      <x:c r="L142" s="6">
        <x:v>0</x:v>
      </x:c>
      <x:c r="M142" s="6">
        <x:v>0</x:v>
      </x:c>
      <x:c r="N142" s="6">
        <x:f t="shared" si="8"/>
        <x:v>4823.51</x:v>
      </x:c>
    </x:row>
    <x:row r="143" spans="1:14" x14ac:dyDescent="0.25">
      <x:c r="A143" t="s">
        <x:v>5</x:v>
      </x:c>
      <x:c r="B143" t="s">
        <x:v>724</x:v>
      </x:c>
      <x:c r="C143" t="s">
        <x:v>725</x:v>
      </x:c>
      <x:c r="D143" t="s">
        <x:v>677</x:v>
      </x:c>
      <x:c r="E143" s="6">
        <x:v>56462.61</x:v>
      </x:c>
      <x:c r="F143" s="6">
        <x:v>0</x:v>
      </x:c>
      <x:c r="G143" s="6">
        <x:v>0</x:v>
      </x:c>
      <x:c r="H143" s="6">
        <x:f t="shared" si="6"/>
        <x:v>56462.61</x:v>
      </x:c>
      <x:c r="I143" s="6">
        <x:v>0</x:v>
      </x:c>
      <x:c r="J143" s="6">
        <x:v>0</x:v>
      </x:c>
      <x:c r="K143" s="6">
        <x:f t="shared" si="7"/>
        <x:v>0</x:v>
      </x:c>
      <x:c r="L143" s="6">
        <x:v>0</x:v>
      </x:c>
      <x:c r="M143" s="6">
        <x:v>0</x:v>
      </x:c>
      <x:c r="N143" s="6">
        <x:f t="shared" si="8"/>
        <x:v>56462.61</x:v>
      </x:c>
    </x:row>
    <x:row r="144" spans="1:14" x14ac:dyDescent="0.25">
      <x:c r="A144" t="s">
        <x:v>5</x:v>
      </x:c>
      <x:c r="B144" t="s">
        <x:v>794</x:v>
      </x:c>
      <x:c r="C144" t="s">
        <x:v>795</x:v>
      </x:c>
      <x:c r="D144" t="s">
        <x:v>677</x:v>
      </x:c>
      <x:c r="E144" s="6">
        <x:v>42202.739999999991</x:v>
      </x:c>
      <x:c r="F144" s="6">
        <x:v>0</x:v>
      </x:c>
      <x:c r="G144" s="6">
        <x:v>0</x:v>
      </x:c>
      <x:c r="H144" s="6">
        <x:f t="shared" si="6"/>
        <x:v>42202.739999999991</x:v>
      </x:c>
      <x:c r="I144" s="6">
        <x:v>0</x:v>
      </x:c>
      <x:c r="J144" s="6">
        <x:v>0</x:v>
      </x:c>
      <x:c r="K144" s="6">
        <x:f t="shared" si="7"/>
        <x:v>0</x:v>
      </x:c>
      <x:c r="L144" s="6">
        <x:v>0</x:v>
      </x:c>
      <x:c r="M144" s="6">
        <x:v>0</x:v>
      </x:c>
      <x:c r="N144" s="6">
        <x:f t="shared" si="8"/>
        <x:v>42202.739999999991</x:v>
      </x:c>
    </x:row>
    <x:row r="145" spans="1:14" x14ac:dyDescent="0.25">
      <x:c r="A145" t="s">
        <x:v>5</x:v>
      </x:c>
      <x:c r="B145" t="s">
        <x:v>796</x:v>
      </x:c>
      <x:c r="C145" t="s">
        <x:v>797</x:v>
      </x:c>
      <x:c r="D145" t="s">
        <x:v>677</x:v>
      </x:c>
      <x:c r="E145" s="6">
        <x:v>62128.68</x:v>
      </x:c>
      <x:c r="F145" s="6">
        <x:v>0</x:v>
      </x:c>
      <x:c r="G145" s="6">
        <x:v>0</x:v>
      </x:c>
      <x:c r="H145" s="6">
        <x:f t="shared" si="6"/>
        <x:v>62128.68</x:v>
      </x:c>
      <x:c r="I145" s="6">
        <x:v>0</x:v>
      </x:c>
      <x:c r="J145" s="6">
        <x:v>0</x:v>
      </x:c>
      <x:c r="K145" s="6">
        <x:f t="shared" si="7"/>
        <x:v>0</x:v>
      </x:c>
      <x:c r="L145" s="6">
        <x:v>0</x:v>
      </x:c>
      <x:c r="M145" s="6">
        <x:v>0</x:v>
      </x:c>
      <x:c r="N145" s="6">
        <x:f t="shared" si="8"/>
        <x:v>62128.68</x:v>
      </x:c>
    </x:row>
    <x:row r="146" spans="1:14" x14ac:dyDescent="0.25">
      <x:c r="A146" t="s">
        <x:v>5</x:v>
      </x:c>
      <x:c r="B146" t="s">
        <x:v>726</x:v>
      </x:c>
      <x:c r="C146" t="s">
        <x:v>727</x:v>
      </x:c>
      <x:c r="D146" t="s">
        <x:v>677</x:v>
      </x:c>
      <x:c r="E146" s="6">
        <x:v>4543.5200000000004</x:v>
      </x:c>
      <x:c r="F146" s="6">
        <x:v>0</x:v>
      </x:c>
      <x:c r="G146" s="6">
        <x:v>0</x:v>
      </x:c>
      <x:c r="H146" s="6">
        <x:f t="shared" si="6"/>
        <x:v>4543.5200000000004</x:v>
      </x:c>
      <x:c r="I146" s="6">
        <x:v>0</x:v>
      </x:c>
      <x:c r="J146" s="6">
        <x:v>0</x:v>
      </x:c>
      <x:c r="K146" s="6">
        <x:f t="shared" si="7"/>
        <x:v>0</x:v>
      </x:c>
      <x:c r="L146" s="6">
        <x:v>0</x:v>
      </x:c>
      <x:c r="M146" s="6">
        <x:v>0</x:v>
      </x:c>
      <x:c r="N146" s="6">
        <x:f t="shared" si="8"/>
        <x:v>4543.5200000000004</x:v>
      </x:c>
    </x:row>
    <x:row r="147" spans="1:14" x14ac:dyDescent="0.25">
      <x:c r="A147" t="s">
        <x:v>5</x:v>
      </x:c>
      <x:c r="B147" t="s">
        <x:v>738</x:v>
      </x:c>
      <x:c r="C147" t="s">
        <x:v>739</x:v>
      </x:c>
      <x:c r="D147" t="s">
        <x:v>677</x:v>
      </x:c>
      <x:c r="E147" s="6">
        <x:v>1130049.56</x:v>
      </x:c>
      <x:c r="F147" s="6">
        <x:v>0</x:v>
      </x:c>
      <x:c r="G147" s="6">
        <x:v>0</x:v>
      </x:c>
      <x:c r="H147" s="6">
        <x:f t="shared" si="6"/>
        <x:v>1130049.56</x:v>
      </x:c>
      <x:c r="I147" s="6">
        <x:v>0</x:v>
      </x:c>
      <x:c r="J147" s="6">
        <x:v>0</x:v>
      </x:c>
      <x:c r="K147" s="6">
        <x:f t="shared" si="7"/>
        <x:v>0</x:v>
      </x:c>
      <x:c r="L147" s="6">
        <x:v>0</x:v>
      </x:c>
      <x:c r="M147" s="6">
        <x:v>0</x:v>
      </x:c>
      <x:c r="N147" s="6">
        <x:f t="shared" si="8"/>
        <x:v>1130049.56</x:v>
      </x:c>
    </x:row>
    <x:row r="148" spans="1:14" x14ac:dyDescent="0.25">
      <x:c r="A148" t="s">
        <x:v>5</x:v>
      </x:c>
      <x:c r="B148" s="3" t="s">
        <x:v>49</x:v>
      </x:c>
      <x:c r="C148" s="3" t="s">
        <x:v>366</x:v>
      </x:c>
      <x:c r="D148" t="s">
        <x:v>678</x:v>
      </x:c>
      <x:c r="E148" s="6">
        <x:v>0</x:v>
      </x:c>
      <x:c r="F148" s="6">
        <x:v>0</x:v>
      </x:c>
      <x:c r="G148" s="6">
        <x:v>0</x:v>
      </x:c>
      <x:c r="H148" s="6">
        <x:f t="shared" si="6"/>
        <x:v>0</x:v>
      </x:c>
      <x:c r="I148" s="6">
        <x:v>-1237.3399999999999</x:v>
      </x:c>
      <x:c r="J148" s="6">
        <x:v>0</x:v>
      </x:c>
      <x:c r="K148" s="6">
        <x:f t="shared" si="7"/>
        <x:v>-1237.3399999999999</x:v>
      </x:c>
      <x:c r="L148" s="6">
        <x:v>0</x:v>
      </x:c>
      <x:c r="M148" s="6">
        <x:v>0</x:v>
      </x:c>
      <x:c r="N148" s="6">
        <x:f t="shared" si="8"/>
        <x:v>-1237.3399999999999</x:v>
      </x:c>
    </x:row>
    <x:row r="149" spans="1:14" x14ac:dyDescent="0.25">
      <x:c r="A149" t="s">
        <x:v>5</x:v>
      </x:c>
      <x:c r="B149" s="3" t="s">
        <x:v>50</x:v>
      </x:c>
      <x:c r="C149" s="3" t="s">
        <x:v>367</x:v>
      </x:c>
      <x:c r="D149" t="s">
        <x:v>677</x:v>
      </x:c>
      <x:c r="E149" s="6">
        <x:v>20</x:v>
      </x:c>
      <x:c r="F149" s="6">
        <x:v>0</x:v>
      </x:c>
      <x:c r="G149" s="6">
        <x:v>0</x:v>
      </x:c>
      <x:c r="H149" s="6">
        <x:f t="shared" si="6"/>
        <x:v>20</x:v>
      </x:c>
      <x:c r="I149" s="6">
        <x:v>0</x:v>
      </x:c>
      <x:c r="J149" s="6">
        <x:v>0</x:v>
      </x:c>
      <x:c r="K149" s="6">
        <x:f t="shared" si="7"/>
        <x:v>0</x:v>
      </x:c>
      <x:c r="L149" s="6">
        <x:v>0</x:v>
      </x:c>
      <x:c r="M149" s="6">
        <x:v>0</x:v>
      </x:c>
      <x:c r="N149" s="6">
        <x:f t="shared" si="8"/>
        <x:v>20</x:v>
      </x:c>
    </x:row>
    <x:row r="150" spans="1:14" x14ac:dyDescent="0.25">
      <x:c r="A150" t="s">
        <x:v>5</x:v>
      </x:c>
      <x:c r="B150" t="s">
        <x:v>755</x:v>
      </x:c>
      <x:c r="C150" t="s">
        <x:v>756</x:v>
      </x:c>
      <x:c r="D150" t="s">
        <x:v>832</x:v>
      </x:c>
      <x:c r="E150" s="6">
        <x:v>4118937.12</x:v>
      </x:c>
      <x:c r="F150" s="6">
        <x:v>0</x:v>
      </x:c>
      <x:c r="G150" s="6">
        <x:v>0</x:v>
      </x:c>
      <x:c r="H150" s="6">
        <x:f t="shared" si="6"/>
        <x:v>4118937.12</x:v>
      </x:c>
      <x:c r="I150" s="6">
        <x:v>0</x:v>
      </x:c>
      <x:c r="J150" s="6">
        <x:v>0</x:v>
      </x:c>
      <x:c r="K150" s="6">
        <x:f t="shared" si="7"/>
        <x:v>0</x:v>
      </x:c>
      <x:c r="L150" s="6">
        <x:v>0</x:v>
      </x:c>
      <x:c r="M150" s="6">
        <x:v>0</x:v>
      </x:c>
      <x:c r="N150" s="6">
        <x:f t="shared" si="8"/>
        <x:v>4118937.12</x:v>
      </x:c>
    </x:row>
    <x:row r="151" spans="1:14" x14ac:dyDescent="0.25">
      <x:c r="A151" t="s">
        <x:v>5</x:v>
      </x:c>
      <x:c r="B151" t="s">
        <x:v>839</x:v>
      </x:c>
      <x:c r="C151" t="s">
        <x:v>840</x:v>
      </x:c>
      <x:c r="D151" t="s">
        <x:v>677</x:v>
      </x:c>
      <x:c r="E151" s="6">
        <x:v>0</x:v>
      </x:c>
      <x:c r="F151" s="6">
        <x:v>443226.84</x:v>
      </x:c>
      <x:c r="G151" s="6">
        <x:v>0</x:v>
      </x:c>
      <x:c r="H151" s="6">
        <x:f t="shared" si="6"/>
        <x:v>443226.84</x:v>
      </x:c>
      <x:c r="I151" s="6">
        <x:v>0</x:v>
      </x:c>
      <x:c r="J151" s="6">
        <x:v>0</x:v>
      </x:c>
      <x:c r="K151" s="6">
        <x:f t="shared" si="7"/>
        <x:v>0</x:v>
      </x:c>
      <x:c r="L151" s="6">
        <x:v>0</x:v>
      </x:c>
      <x:c r="M151" s="6">
        <x:v>0</x:v>
      </x:c>
      <x:c r="N151" s="6">
        <x:f t="shared" si="8"/>
        <x:v>443226.84</x:v>
      </x:c>
    </x:row>
    <x:row r="152" spans="1:14" x14ac:dyDescent="0.25">
      <x:c r="A152" t="s">
        <x:v>682</x:v>
      </x:c>
      <x:c r="B152" t="s">
        <x:v>692</x:v>
      </x:c>
      <x:c r="C152" t="s">
        <x:v>693</x:v>
      </x:c>
      <x:c r="D152" t="s">
        <x:v>677</x:v>
      </x:c>
      <x:c r="E152" s="6">
        <x:v>1928.27</x:v>
      </x:c>
      <x:c r="F152" s="6">
        <x:v>0</x:v>
      </x:c>
      <x:c r="G152" s="6">
        <x:v>0</x:v>
      </x:c>
      <x:c r="H152" s="6">
        <x:f t="shared" si="6"/>
        <x:v>1928.27</x:v>
      </x:c>
      <x:c r="I152" s="6">
        <x:v>0</x:v>
      </x:c>
      <x:c r="J152" s="6">
        <x:v>0</x:v>
      </x:c>
      <x:c r="K152" s="6">
        <x:f t="shared" si="7"/>
        <x:v>0</x:v>
      </x:c>
      <x:c r="L152" s="6">
        <x:v>0</x:v>
      </x:c>
      <x:c r="M152" s="6">
        <x:v>0</x:v>
      </x:c>
      <x:c r="N152" s="6">
        <x:f t="shared" si="8"/>
        <x:v>1928.27</x:v>
      </x:c>
    </x:row>
    <x:row r="153" spans="1:14" x14ac:dyDescent="0.25">
      <x:c r="A153" t="s">
        <x:v>682</x:v>
      </x:c>
      <x:c r="B153" t="s">
        <x:v>722</x:v>
      </x:c>
      <x:c r="C153" t="s">
        <x:v>723</x:v>
      </x:c>
      <x:c r="D153" t="s">
        <x:v>677</x:v>
      </x:c>
      <x:c r="E153" s="6">
        <x:v>196.26</x:v>
      </x:c>
      <x:c r="F153" s="6">
        <x:v>0</x:v>
      </x:c>
      <x:c r="G153" s="6">
        <x:v>0</x:v>
      </x:c>
      <x:c r="H153" s="6">
        <x:f t="shared" si="6"/>
        <x:v>196.26</x:v>
      </x:c>
      <x:c r="I153" s="6">
        <x:v>0</x:v>
      </x:c>
      <x:c r="J153" s="6">
        <x:v>0</x:v>
      </x:c>
      <x:c r="K153" s="6">
        <x:f t="shared" si="7"/>
        <x:v>0</x:v>
      </x:c>
      <x:c r="L153" s="6">
        <x:v>0</x:v>
      </x:c>
      <x:c r="M153" s="6">
        <x:v>0</x:v>
      </x:c>
      <x:c r="N153" s="6">
        <x:f t="shared" si="8"/>
        <x:v>196.26</x:v>
      </x:c>
    </x:row>
    <x:row r="154" spans="1:14" x14ac:dyDescent="0.25">
      <x:c r="A154" t="s">
        <x:v>6</x:v>
      </x:c>
      <x:c r="B154" s="3" t="s">
        <x:v>51</x:v>
      </x:c>
      <x:c r="C154" s="3" t="s">
        <x:v>368</x:v>
      </x:c>
      <x:c r="D154" t="s">
        <x:v>677</x:v>
      </x:c>
      <x:c r="E154" s="6">
        <x:v>0</x:v>
      </x:c>
      <x:c r="F154" s="6">
        <x:v>0</x:v>
      </x:c>
      <x:c r="G154" s="6">
        <x:v>0</x:v>
      </x:c>
      <x:c r="H154" s="6">
        <x:f t="shared" si="6"/>
        <x:v>0</x:v>
      </x:c>
      <x:c r="I154" s="6">
        <x:v>1967817098.26</x:v>
      </x:c>
      <x:c r="J154" s="6">
        <x:v>0</x:v>
      </x:c>
      <x:c r="K154" s="6">
        <x:f t="shared" si="7"/>
        <x:v>1967817098.26</x:v>
      </x:c>
      <x:c r="L154" s="6">
        <x:v>0</x:v>
      </x:c>
      <x:c r="M154" s="6">
        <x:v>0</x:v>
      </x:c>
      <x:c r="N154" s="6">
        <x:f t="shared" si="8"/>
        <x:v>1967817098.26</x:v>
      </x:c>
    </x:row>
    <x:row r="155" spans="1:14" x14ac:dyDescent="0.25">
      <x:c r="A155" t="s">
        <x:v>7</x:v>
      </x:c>
      <x:c r="B155" s="3" t="s">
        <x:v>52</x:v>
      </x:c>
      <x:c r="C155" s="3" t="s">
        <x:v>369</x:v>
      </x:c>
      <x:c r="D155" t="s">
        <x:v>677</x:v>
      </x:c>
      <x:c r="E155" s="6">
        <x:v>9.5299999999999994</x:v>
      </x:c>
      <x:c r="F155" s="6">
        <x:v>0</x:v>
      </x:c>
      <x:c r="G155" s="6">
        <x:v>0</x:v>
      </x:c>
      <x:c r="H155" s="6">
        <x:f t="shared" si="6"/>
        <x:v>9.5299999999999994</x:v>
      </x:c>
      <x:c r="I155" s="6">
        <x:v>0</x:v>
      </x:c>
      <x:c r="J155" s="6">
        <x:v>0</x:v>
      </x:c>
      <x:c r="K155" s="6">
        <x:f t="shared" si="7"/>
        <x:v>0</x:v>
      </x:c>
      <x:c r="L155" s="6">
        <x:v>0</x:v>
      </x:c>
      <x:c r="M155" s="6">
        <x:v>0</x:v>
      </x:c>
      <x:c r="N155" s="6">
        <x:f t="shared" si="8"/>
        <x:v>9.5299999999999994</x:v>
      </x:c>
    </x:row>
    <x:row r="156" spans="1:14" x14ac:dyDescent="0.25">
      <x:c r="A156" t="s">
        <x:v>7</x:v>
      </x:c>
      <x:c r="B156" s="3" t="s">
        <x:v>53</x:v>
      </x:c>
      <x:c r="C156" s="3" t="s">
        <x:v>370</x:v>
      </x:c>
      <x:c r="D156" t="s">
        <x:v>677</x:v>
      </x:c>
      <x:c r="E156" s="6">
        <x:v>114.43</x:v>
      </x:c>
      <x:c r="F156" s="6">
        <x:v>0</x:v>
      </x:c>
      <x:c r="G156" s="6">
        <x:v>0</x:v>
      </x:c>
      <x:c r="H156" s="6">
        <x:f t="shared" si="6"/>
        <x:v>114.43</x:v>
      </x:c>
      <x:c r="I156" s="6">
        <x:v>0</x:v>
      </x:c>
      <x:c r="J156" s="6">
        <x:v>0</x:v>
      </x:c>
      <x:c r="K156" s="6">
        <x:f t="shared" si="7"/>
        <x:v>0</x:v>
      </x:c>
      <x:c r="L156" s="6">
        <x:v>0</x:v>
      </x:c>
      <x:c r="M156" s="6">
        <x:v>0</x:v>
      </x:c>
      <x:c r="N156" s="6">
        <x:f t="shared" si="8"/>
        <x:v>114.43</x:v>
      </x:c>
    </x:row>
    <x:row r="157" spans="1:14" x14ac:dyDescent="0.25">
      <x:c r="A157" t="s">
        <x:v>7</x:v>
      </x:c>
      <x:c r="B157" s="3" t="s">
        <x:v>54</x:v>
      </x:c>
      <x:c r="C157" s="3" t="s">
        <x:v>371</x:v>
      </x:c>
      <x:c r="D157" t="s">
        <x:v>677</x:v>
      </x:c>
      <x:c r="E157" s="6">
        <x:v>264.94</x:v>
      </x:c>
      <x:c r="F157" s="6">
        <x:v>0</x:v>
      </x:c>
      <x:c r="G157" s="6">
        <x:v>0</x:v>
      </x:c>
      <x:c r="H157" s="6">
        <x:f t="shared" si="6"/>
        <x:v>264.94</x:v>
      </x:c>
      <x:c r="I157" s="6">
        <x:v>0</x:v>
      </x:c>
      <x:c r="J157" s="6">
        <x:v>0</x:v>
      </x:c>
      <x:c r="K157" s="6">
        <x:f t="shared" si="7"/>
        <x:v>0</x:v>
      </x:c>
      <x:c r="L157" s="6">
        <x:v>0</x:v>
      </x:c>
      <x:c r="M157" s="6">
        <x:v>0</x:v>
      </x:c>
      <x:c r="N157" s="6">
        <x:f t="shared" si="8"/>
        <x:v>264.94</x:v>
      </x:c>
    </x:row>
    <x:row r="158" spans="1:14" x14ac:dyDescent="0.25">
      <x:c r="A158" t="s">
        <x:v>7</x:v>
      </x:c>
      <x:c r="B158" s="3" t="s">
        <x:v>55</x:v>
      </x:c>
      <x:c r="C158" s="3" t="s">
        <x:v>372</x:v>
      </x:c>
      <x:c r="D158" t="s">
        <x:v>677</x:v>
      </x:c>
      <x:c r="E158" s="6">
        <x:v>3.82</x:v>
      </x:c>
      <x:c r="F158" s="6">
        <x:v>0</x:v>
      </x:c>
      <x:c r="G158" s="6">
        <x:v>0</x:v>
      </x:c>
      <x:c r="H158" s="6">
        <x:f t="shared" si="6"/>
        <x:v>3.82</x:v>
      </x:c>
      <x:c r="I158" s="6">
        <x:v>0</x:v>
      </x:c>
      <x:c r="J158" s="6">
        <x:v>0</x:v>
      </x:c>
      <x:c r="K158" s="6">
        <x:f t="shared" si="7"/>
        <x:v>0</x:v>
      </x:c>
      <x:c r="L158" s="6">
        <x:v>0</x:v>
      </x:c>
      <x:c r="M158" s="6">
        <x:v>0</x:v>
      </x:c>
      <x:c r="N158" s="6">
        <x:f t="shared" si="8"/>
        <x:v>3.82</x:v>
      </x:c>
    </x:row>
    <x:row r="159" spans="1:14" x14ac:dyDescent="0.25">
      <x:c r="A159" t="s">
        <x:v>7</x:v>
      </x:c>
      <x:c r="B159" s="3" t="s">
        <x:v>56</x:v>
      </x:c>
      <x:c r="C159" s="3" t="s">
        <x:v>373</x:v>
      </x:c>
      <x:c r="D159" t="s">
        <x:v>677</x:v>
      </x:c>
      <x:c r="E159" s="6">
        <x:v>203.38</x:v>
      </x:c>
      <x:c r="F159" s="6">
        <x:v>0</x:v>
      </x:c>
      <x:c r="G159" s="6">
        <x:v>0</x:v>
      </x:c>
      <x:c r="H159" s="6">
        <x:f t="shared" si="6"/>
        <x:v>203.38</x:v>
      </x:c>
      <x:c r="I159" s="6">
        <x:v>0</x:v>
      </x:c>
      <x:c r="J159" s="6">
        <x:v>0</x:v>
      </x:c>
      <x:c r="K159" s="6">
        <x:f t="shared" si="7"/>
        <x:v>0</x:v>
      </x:c>
      <x:c r="L159" s="6">
        <x:v>0</x:v>
      </x:c>
      <x:c r="M159" s="6">
        <x:v>0</x:v>
      </x:c>
      <x:c r="N159" s="6">
        <x:f t="shared" si="8"/>
        <x:v>203.38</x:v>
      </x:c>
    </x:row>
    <x:row r="160" spans="1:14" x14ac:dyDescent="0.25">
      <x:c r="A160" t="s">
        <x:v>7</x:v>
      </x:c>
      <x:c r="B160" s="3" t="s">
        <x:v>57</x:v>
      </x:c>
      <x:c r="C160" s="3" t="s">
        <x:v>374</x:v>
      </x:c>
      <x:c r="D160" t="s">
        <x:v>677</x:v>
      </x:c>
      <x:c r="E160" s="6">
        <x:v>42.2</x:v>
      </x:c>
      <x:c r="F160" s="6">
        <x:v>0</x:v>
      </x:c>
      <x:c r="G160" s="6">
        <x:v>0</x:v>
      </x:c>
      <x:c r="H160" s="6">
        <x:f t="shared" si="6"/>
        <x:v>42.2</x:v>
      </x:c>
      <x:c r="I160" s="6">
        <x:v>0</x:v>
      </x:c>
      <x:c r="J160" s="6">
        <x:v>0</x:v>
      </x:c>
      <x:c r="K160" s="6">
        <x:f t="shared" si="7"/>
        <x:v>0</x:v>
      </x:c>
      <x:c r="L160" s="6">
        <x:v>0</x:v>
      </x:c>
      <x:c r="M160" s="6">
        <x:v>0</x:v>
      </x:c>
      <x:c r="N160" s="6">
        <x:f t="shared" si="8"/>
        <x:v>42.2</x:v>
      </x:c>
    </x:row>
    <x:row r="161" spans="1:14" x14ac:dyDescent="0.25">
      <x:c r="A161" t="s">
        <x:v>7</x:v>
      </x:c>
      <x:c r="B161" t="s">
        <x:v>690</x:v>
      </x:c>
      <x:c r="C161" t="s">
        <x:v>691</x:v>
      </x:c>
      <x:c r="D161" t="s">
        <x:v>677</x:v>
      </x:c>
      <x:c r="E161" s="6">
        <x:v>1717946.86</x:v>
      </x:c>
      <x:c r="F161" s="6">
        <x:v>0</x:v>
      </x:c>
      <x:c r="G161" s="6">
        <x:v>0</x:v>
      </x:c>
      <x:c r="H161" s="6">
        <x:f t="shared" si="6"/>
        <x:v>1717946.86</x:v>
      </x:c>
      <x:c r="I161" s="6">
        <x:v>0</x:v>
      </x:c>
      <x:c r="J161" s="6">
        <x:v>0</x:v>
      </x:c>
      <x:c r="K161" s="6">
        <x:f t="shared" si="7"/>
        <x:v>0</x:v>
      </x:c>
      <x:c r="L161" s="6">
        <x:v>0</x:v>
      </x:c>
      <x:c r="M161" s="6">
        <x:v>0</x:v>
      </x:c>
      <x:c r="N161" s="6">
        <x:f t="shared" si="8"/>
        <x:v>1717946.86</x:v>
      </x:c>
    </x:row>
    <x:row r="162" spans="1:14" x14ac:dyDescent="0.25">
      <x:c r="A162" t="s">
        <x:v>7</x:v>
      </x:c>
      <x:c r="B162" t="s">
        <x:v>690</x:v>
      </x:c>
      <x:c r="C162" t="s">
        <x:v>691</x:v>
      </x:c>
      <x:c r="D162" t="s">
        <x:v>832</x:v>
      </x:c>
      <x:c r="E162" s="6">
        <x:v>347180.88</x:v>
      </x:c>
      <x:c r="F162" s="6">
        <x:v>0</x:v>
      </x:c>
      <x:c r="G162" s="6">
        <x:v>0</x:v>
      </x:c>
      <x:c r="H162" s="6">
        <x:f t="shared" si="6"/>
        <x:v>347180.88</x:v>
      </x:c>
      <x:c r="I162" s="6">
        <x:v>0</x:v>
      </x:c>
      <x:c r="J162" s="6">
        <x:v>0</x:v>
      </x:c>
      <x:c r="K162" s="6">
        <x:f t="shared" si="7"/>
        <x:v>0</x:v>
      </x:c>
      <x:c r="L162" s="6">
        <x:v>0</x:v>
      </x:c>
      <x:c r="M162" s="6">
        <x:v>0</x:v>
      </x:c>
      <x:c r="N162" s="6">
        <x:f t="shared" si="8"/>
        <x:v>347180.88</x:v>
      </x:c>
    </x:row>
    <x:row r="163" spans="1:14" x14ac:dyDescent="0.25">
      <x:c r="A163" t="s">
        <x:v>7</x:v>
      </x:c>
      <x:c r="B163" t="s">
        <x:v>798</x:v>
      </x:c>
      <x:c r="C163" t="s">
        <x:v>592</x:v>
      </x:c>
      <x:c r="D163" t="s">
        <x:v>677</x:v>
      </x:c>
      <x:c r="E163" s="6">
        <x:v>6457.0599999999995</x:v>
      </x:c>
      <x:c r="F163" s="6">
        <x:v>0</x:v>
      </x:c>
      <x:c r="G163" s="6">
        <x:v>0</x:v>
      </x:c>
      <x:c r="H163" s="6">
        <x:f t="shared" si="6"/>
        <x:v>6457.0599999999995</x:v>
      </x:c>
      <x:c r="I163" s="6">
        <x:v>0</x:v>
      </x:c>
      <x:c r="J163" s="6">
        <x:v>0</x:v>
      </x:c>
      <x:c r="K163" s="6">
        <x:f t="shared" si="7"/>
        <x:v>0</x:v>
      </x:c>
      <x:c r="L163" s="6">
        <x:v>0</x:v>
      </x:c>
      <x:c r="M163" s="6">
        <x:v>0</x:v>
      </x:c>
      <x:c r="N163" s="6">
        <x:f t="shared" si="8"/>
        <x:v>6457.0599999999995</x:v>
      </x:c>
    </x:row>
    <x:row r="164" spans="1:14" x14ac:dyDescent="0.25">
      <x:c r="A164" t="s">
        <x:v>7</x:v>
      </x:c>
      <x:c r="B164" t="s">
        <x:v>799</x:v>
      </x:c>
      <x:c r="C164" t="s">
        <x:v>800</x:v>
      </x:c>
      <x:c r="D164" t="s">
        <x:v>677</x:v>
      </x:c>
      <x:c r="E164" s="6">
        <x:v>146605.19999999995</x:v>
      </x:c>
      <x:c r="F164" s="6">
        <x:v>0</x:v>
      </x:c>
      <x:c r="G164" s="6">
        <x:v>0</x:v>
      </x:c>
      <x:c r="H164" s="6">
        <x:f t="shared" si="6"/>
        <x:v>146605.19999999995</x:v>
      </x:c>
      <x:c r="I164" s="6">
        <x:v>0</x:v>
      </x:c>
      <x:c r="J164" s="6">
        <x:v>0</x:v>
      </x:c>
      <x:c r="K164" s="6">
        <x:f t="shared" si="7"/>
        <x:v>0</x:v>
      </x:c>
      <x:c r="L164" s="6">
        <x:v>0</x:v>
      </x:c>
      <x:c r="M164" s="6">
        <x:v>0</x:v>
      </x:c>
      <x:c r="N164" s="6">
        <x:f t="shared" si="8"/>
        <x:v>146605.19999999995</x:v>
      </x:c>
    </x:row>
    <x:row r="165" spans="1:14" x14ac:dyDescent="0.25">
      <x:c r="A165" t="s">
        <x:v>7</x:v>
      </x:c>
      <x:c r="B165" t="s">
        <x:v>799</x:v>
      </x:c>
      <x:c r="C165" t="s">
        <x:v>800</x:v>
      </x:c>
      <x:c r="D165" t="s">
        <x:v>832</x:v>
      </x:c>
      <x:c r="E165" s="6">
        <x:v>53681.32</x:v>
      </x:c>
      <x:c r="F165" s="6">
        <x:v>0</x:v>
      </x:c>
      <x:c r="G165" s="6">
        <x:v>0</x:v>
      </x:c>
      <x:c r="H165" s="6">
        <x:f t="shared" si="6"/>
        <x:v>53681.32</x:v>
      </x:c>
      <x:c r="I165" s="6">
        <x:v>0</x:v>
      </x:c>
      <x:c r="J165" s="6">
        <x:v>0</x:v>
      </x:c>
      <x:c r="K165" s="6">
        <x:f t="shared" si="7"/>
        <x:v>0</x:v>
      </x:c>
      <x:c r="L165" s="6">
        <x:v>0</x:v>
      </x:c>
      <x:c r="M165" s="6">
        <x:v>0</x:v>
      </x:c>
      <x:c r="N165" s="6">
        <x:f t="shared" si="8"/>
        <x:v>53681.32</x:v>
      </x:c>
    </x:row>
    <x:row r="166" spans="1:14" x14ac:dyDescent="0.25">
      <x:c r="A166" t="s">
        <x:v>7</x:v>
      </x:c>
      <x:c r="B166" t="s">
        <x:v>801</x:v>
      </x:c>
      <x:c r="C166" t="s">
        <x:v>802</x:v>
      </x:c>
      <x:c r="D166" t="s">
        <x:v>677</x:v>
      </x:c>
      <x:c r="E166" s="6">
        <x:v>29426.079999999998</x:v>
      </x:c>
      <x:c r="F166" s="6">
        <x:v>0</x:v>
      </x:c>
      <x:c r="G166" s="6">
        <x:v>0</x:v>
      </x:c>
      <x:c r="H166" s="6">
        <x:f t="shared" si="6"/>
        <x:v>29426.079999999998</x:v>
      </x:c>
      <x:c r="I166" s="6">
        <x:v>0</x:v>
      </x:c>
      <x:c r="J166" s="6">
        <x:v>0</x:v>
      </x:c>
      <x:c r="K166" s="6">
        <x:f t="shared" si="7"/>
        <x:v>0</x:v>
      </x:c>
      <x:c r="L166" s="6">
        <x:v>0</x:v>
      </x:c>
      <x:c r="M166" s="6">
        <x:v>0</x:v>
      </x:c>
      <x:c r="N166" s="6">
        <x:f t="shared" si="8"/>
        <x:v>29426.079999999998</x:v>
      </x:c>
    </x:row>
    <x:row r="167" spans="1:14" x14ac:dyDescent="0.25">
      <x:c r="A167" t="s">
        <x:v>7</x:v>
      </x:c>
      <x:c r="B167" t="s">
        <x:v>801</x:v>
      </x:c>
      <x:c r="C167" t="s">
        <x:v>802</x:v>
      </x:c>
      <x:c r="D167" t="s">
        <x:v>832</x:v>
      </x:c>
      <x:c r="E167" s="6">
        <x:v>44971.6</x:v>
      </x:c>
      <x:c r="F167" s="6">
        <x:v>0</x:v>
      </x:c>
      <x:c r="G167" s="6">
        <x:v>0</x:v>
      </x:c>
      <x:c r="H167" s="6">
        <x:f t="shared" si="6"/>
        <x:v>44971.6</x:v>
      </x:c>
      <x:c r="I167" s="6">
        <x:v>0</x:v>
      </x:c>
      <x:c r="J167" s="6">
        <x:v>0</x:v>
      </x:c>
      <x:c r="K167" s="6">
        <x:f t="shared" si="7"/>
        <x:v>0</x:v>
      </x:c>
      <x:c r="L167" s="6">
        <x:v>0</x:v>
      </x:c>
      <x:c r="M167" s="6">
        <x:v>0</x:v>
      </x:c>
      <x:c r="N167" s="6">
        <x:f t="shared" si="8"/>
        <x:v>44971.6</x:v>
      </x:c>
    </x:row>
    <x:row r="168" spans="1:14" x14ac:dyDescent="0.25">
      <x:c r="A168" t="s">
        <x:v>7</x:v>
      </x:c>
      <x:c r="B168" t="s">
        <x:v>692</x:v>
      </x:c>
      <x:c r="C168" t="s">
        <x:v>693</x:v>
      </x:c>
      <x:c r="D168" t="s">
        <x:v>677</x:v>
      </x:c>
      <x:c r="E168" s="6">
        <x:v>1079800.26</x:v>
      </x:c>
      <x:c r="F168" s="6">
        <x:v>0</x:v>
      </x:c>
      <x:c r="G168" s="6">
        <x:v>0</x:v>
      </x:c>
      <x:c r="H168" s="6">
        <x:f t="shared" si="6"/>
        <x:v>1079800.26</x:v>
      </x:c>
      <x:c r="I168" s="6">
        <x:v>0</x:v>
      </x:c>
      <x:c r="J168" s="6">
        <x:v>0</x:v>
      </x:c>
      <x:c r="K168" s="6">
        <x:f t="shared" si="7"/>
        <x:v>0</x:v>
      </x:c>
      <x:c r="L168" s="6">
        <x:v>0</x:v>
      </x:c>
      <x:c r="M168" s="6">
        <x:v>0</x:v>
      </x:c>
      <x:c r="N168" s="6">
        <x:f t="shared" si="8"/>
        <x:v>1079800.26</x:v>
      </x:c>
    </x:row>
    <x:row r="169" spans="1:14" x14ac:dyDescent="0.25">
      <x:c r="A169" t="s">
        <x:v>7</x:v>
      </x:c>
      <x:c r="B169" t="s">
        <x:v>692</x:v>
      </x:c>
      <x:c r="C169" t="s">
        <x:v>693</x:v>
      </x:c>
      <x:c r="D169" t="s">
        <x:v>832</x:v>
      </x:c>
      <x:c r="E169" s="6">
        <x:v>1586271.4000000001</x:v>
      </x:c>
      <x:c r="F169" s="6">
        <x:v>0</x:v>
      </x:c>
      <x:c r="G169" s="6">
        <x:v>0</x:v>
      </x:c>
      <x:c r="H169" s="6">
        <x:f t="shared" si="6"/>
        <x:v>1586271.4000000001</x:v>
      </x:c>
      <x:c r="I169" s="6">
        <x:v>48479.02</x:v>
      </x:c>
      <x:c r="J169" s="6">
        <x:v>0</x:v>
      </x:c>
      <x:c r="K169" s="6">
        <x:f t="shared" si="7"/>
        <x:v>48479.02</x:v>
      </x:c>
      <x:c r="L169" s="6">
        <x:v>0</x:v>
      </x:c>
      <x:c r="M169" s="6">
        <x:v>0</x:v>
      </x:c>
      <x:c r="N169" s="6">
        <x:f t="shared" si="8"/>
        <x:v>1634750.4200000002</x:v>
      </x:c>
    </x:row>
    <x:row r="170" spans="1:14" x14ac:dyDescent="0.25">
      <x:c r="A170" t="s">
        <x:v>7</x:v>
      </x:c>
      <x:c r="B170" t="s">
        <x:v>694</x:v>
      </x:c>
      <x:c r="C170" t="s">
        <x:v>695</x:v>
      </x:c>
      <x:c r="D170" t="s">
        <x:v>677</x:v>
      </x:c>
      <x:c r="E170" s="6">
        <x:v>108217.83</x:v>
      </x:c>
      <x:c r="F170" s="6">
        <x:v>0</x:v>
      </x:c>
      <x:c r="G170" s="6">
        <x:v>0</x:v>
      </x:c>
      <x:c r="H170" s="6">
        <x:f t="shared" si="6"/>
        <x:v>108217.83</x:v>
      </x:c>
      <x:c r="I170" s="6">
        <x:v>0</x:v>
      </x:c>
      <x:c r="J170" s="6">
        <x:v>0</x:v>
      </x:c>
      <x:c r="K170" s="6">
        <x:f t="shared" si="7"/>
        <x:v>0</x:v>
      </x:c>
      <x:c r="L170" s="6">
        <x:v>0</x:v>
      </x:c>
      <x:c r="M170" s="6">
        <x:v>0</x:v>
      </x:c>
      <x:c r="N170" s="6">
        <x:f t="shared" si="8"/>
        <x:v>108217.83</x:v>
      </x:c>
    </x:row>
    <x:row r="171" spans="1:14" x14ac:dyDescent="0.25">
      <x:c r="A171" t="s">
        <x:v>7</x:v>
      </x:c>
      <x:c r="B171" t="s">
        <x:v>694</x:v>
      </x:c>
      <x:c r="C171" t="s">
        <x:v>695</x:v>
      </x:c>
      <x:c r="D171" t="s">
        <x:v>832</x:v>
      </x:c>
      <x:c r="E171" s="6">
        <x:v>107026.19</x:v>
      </x:c>
      <x:c r="F171" s="6">
        <x:v>0</x:v>
      </x:c>
      <x:c r="G171" s="6">
        <x:v>0</x:v>
      </x:c>
      <x:c r="H171" s="6">
        <x:f t="shared" si="6"/>
        <x:v>107026.19</x:v>
      </x:c>
      <x:c r="I171" s="6">
        <x:v>2593.66</x:v>
      </x:c>
      <x:c r="J171" s="6">
        <x:v>0</x:v>
      </x:c>
      <x:c r="K171" s="6">
        <x:f t="shared" si="7"/>
        <x:v>2593.66</x:v>
      </x:c>
      <x:c r="L171" s="6">
        <x:v>0</x:v>
      </x:c>
      <x:c r="M171" s="6">
        <x:v>0</x:v>
      </x:c>
      <x:c r="N171" s="6">
        <x:f t="shared" si="8"/>
        <x:v>109619.85</x:v>
      </x:c>
    </x:row>
    <x:row r="172" spans="1:14" x14ac:dyDescent="0.25">
      <x:c r="A172" t="s">
        <x:v>7</x:v>
      </x:c>
      <x:c r="B172" t="s">
        <x:v>696</x:v>
      </x:c>
      <x:c r="C172" t="s">
        <x:v>697</x:v>
      </x:c>
      <x:c r="D172" t="s">
        <x:v>677</x:v>
      </x:c>
      <x:c r="E172" s="6">
        <x:v>229094.55</x:v>
      </x:c>
      <x:c r="F172" s="6">
        <x:v>0</x:v>
      </x:c>
      <x:c r="G172" s="6">
        <x:v>0</x:v>
      </x:c>
      <x:c r="H172" s="6">
        <x:f t="shared" si="6"/>
        <x:v>229094.55</x:v>
      </x:c>
      <x:c r="I172" s="6">
        <x:v>0</x:v>
      </x:c>
      <x:c r="J172" s="6">
        <x:v>0</x:v>
      </x:c>
      <x:c r="K172" s="6">
        <x:f t="shared" si="7"/>
        <x:v>0</x:v>
      </x:c>
      <x:c r="L172" s="6">
        <x:v>0</x:v>
      </x:c>
      <x:c r="M172" s="6">
        <x:v>0</x:v>
      </x:c>
      <x:c r="N172" s="6">
        <x:f t="shared" si="8"/>
        <x:v>229094.55</x:v>
      </x:c>
    </x:row>
    <x:row r="173" spans="1:14" x14ac:dyDescent="0.25">
      <x:c r="A173" t="s">
        <x:v>7</x:v>
      </x:c>
      <x:c r="B173" t="s">
        <x:v>696</x:v>
      </x:c>
      <x:c r="C173" t="s">
        <x:v>697</x:v>
      </x:c>
      <x:c r="D173" t="s">
        <x:v>832</x:v>
      </x:c>
      <x:c r="E173" s="6">
        <x:v>259329.25999999995</x:v>
      </x:c>
      <x:c r="F173" s="6">
        <x:v>0</x:v>
      </x:c>
      <x:c r="G173" s="6">
        <x:v>0</x:v>
      </x:c>
      <x:c r="H173" s="6">
        <x:f t="shared" si="6"/>
        <x:v>259329.25999999995</x:v>
      </x:c>
      <x:c r="I173" s="6">
        <x:v>11889.779999999999</x:v>
      </x:c>
      <x:c r="J173" s="6">
        <x:v>0</x:v>
      </x:c>
      <x:c r="K173" s="6">
        <x:f t="shared" si="7"/>
        <x:v>11889.779999999999</x:v>
      </x:c>
      <x:c r="L173" s="6">
        <x:v>0</x:v>
      </x:c>
      <x:c r="M173" s="6">
        <x:v>0</x:v>
      </x:c>
      <x:c r="N173" s="6">
        <x:f t="shared" si="8"/>
        <x:v>271219.03999999992</x:v>
      </x:c>
    </x:row>
    <x:row r="174" spans="1:14" x14ac:dyDescent="0.25">
      <x:c r="A174" t="s">
        <x:v>7</x:v>
      </x:c>
      <x:c r="B174" t="s">
        <x:v>782</x:v>
      </x:c>
      <x:c r="C174" t="s">
        <x:v>783</x:v>
      </x:c>
      <x:c r="D174" t="s">
        <x:v>677</x:v>
      </x:c>
      <x:c r="E174" s="6">
        <x:v>116361.63000000002</x:v>
      </x:c>
      <x:c r="F174" s="6">
        <x:v>0</x:v>
      </x:c>
      <x:c r="G174" s="6">
        <x:v>0</x:v>
      </x:c>
      <x:c r="H174" s="6">
        <x:f t="shared" si="6"/>
        <x:v>116361.63000000002</x:v>
      </x:c>
      <x:c r="I174" s="6">
        <x:v>0</x:v>
      </x:c>
      <x:c r="J174" s="6">
        <x:v>0</x:v>
      </x:c>
      <x:c r="K174" s="6">
        <x:f t="shared" si="7"/>
        <x:v>0</x:v>
      </x:c>
      <x:c r="L174" s="6">
        <x:v>0</x:v>
      </x:c>
      <x:c r="M174" s="6">
        <x:v>0</x:v>
      </x:c>
      <x:c r="N174" s="6">
        <x:f t="shared" si="8"/>
        <x:v>116361.63000000002</x:v>
      </x:c>
    </x:row>
    <x:row r="175" spans="1:14" x14ac:dyDescent="0.25">
      <x:c r="A175" t="s">
        <x:v>7</x:v>
      </x:c>
      <x:c r="B175" t="s">
        <x:v>782</x:v>
      </x:c>
      <x:c r="C175" t="s">
        <x:v>783</x:v>
      </x:c>
      <x:c r="D175" t="s">
        <x:v>832</x:v>
      </x:c>
      <x:c r="E175" s="6">
        <x:v>302460.90000000002</x:v>
      </x:c>
      <x:c r="F175" s="6">
        <x:v>0</x:v>
      </x:c>
      <x:c r="G175" s="6">
        <x:v>0</x:v>
      </x:c>
      <x:c r="H175" s="6">
        <x:f t="shared" si="6"/>
        <x:v>302460.90000000002</x:v>
      </x:c>
      <x:c r="I175" s="6">
        <x:v>2837.7400000000002</x:v>
      </x:c>
      <x:c r="J175" s="6">
        <x:v>0</x:v>
      </x:c>
      <x:c r="K175" s="6">
        <x:f t="shared" si="7"/>
        <x:v>2837.7400000000002</x:v>
      </x:c>
      <x:c r="L175" s="6">
        <x:v>0</x:v>
      </x:c>
      <x:c r="M175" s="6">
        <x:v>0</x:v>
      </x:c>
      <x:c r="N175" s="6">
        <x:f t="shared" si="8"/>
        <x:v>305298.64</x:v>
      </x:c>
    </x:row>
    <x:row r="176" spans="1:14" x14ac:dyDescent="0.25">
      <x:c r="A176" t="s">
        <x:v>7</x:v>
      </x:c>
      <x:c r="B176" t="s">
        <x:v>784</x:v>
      </x:c>
      <x:c r="C176" t="s">
        <x:v>785</x:v>
      </x:c>
      <x:c r="D176" t="s">
        <x:v>677</x:v>
      </x:c>
      <x:c r="E176" s="6">
        <x:v>248637.97000000003</x:v>
      </x:c>
      <x:c r="F176" s="6">
        <x:v>0</x:v>
      </x:c>
      <x:c r="G176" s="6">
        <x:v>0</x:v>
      </x:c>
      <x:c r="H176" s="6">
        <x:f t="shared" si="6"/>
        <x:v>248637.97000000003</x:v>
      </x:c>
      <x:c r="I176" s="6">
        <x:v>0</x:v>
      </x:c>
      <x:c r="J176" s="6">
        <x:v>0</x:v>
      </x:c>
      <x:c r="K176" s="6">
        <x:f t="shared" si="7"/>
        <x:v>0</x:v>
      </x:c>
      <x:c r="L176" s="6">
        <x:v>0</x:v>
      </x:c>
      <x:c r="M176" s="6">
        <x:v>0</x:v>
      </x:c>
      <x:c r="N176" s="6">
        <x:f t="shared" si="8"/>
        <x:v>248637.97000000003</x:v>
      </x:c>
    </x:row>
    <x:row r="177" spans="1:14" x14ac:dyDescent="0.25">
      <x:c r="A177" t="s">
        <x:v>7</x:v>
      </x:c>
      <x:c r="B177" t="s">
        <x:v>784</x:v>
      </x:c>
      <x:c r="C177" t="s">
        <x:v>785</x:v>
      </x:c>
      <x:c r="D177" t="s">
        <x:v>832</x:v>
      </x:c>
      <x:c r="E177" s="6">
        <x:v>276491.37000000005</x:v>
      </x:c>
      <x:c r="F177" s="6">
        <x:v>0</x:v>
      </x:c>
      <x:c r="G177" s="6">
        <x:v>0</x:v>
      </x:c>
      <x:c r="H177" s="6">
        <x:f t="shared" si="6"/>
        <x:v>276491.37000000005</x:v>
      </x:c>
      <x:c r="I177" s="6">
        <x:v>15301.439999999999</x:v>
      </x:c>
      <x:c r="J177" s="6">
        <x:v>0</x:v>
      </x:c>
      <x:c r="K177" s="6">
        <x:f t="shared" si="7"/>
        <x:v>15301.439999999999</x:v>
      </x:c>
      <x:c r="L177" s="6">
        <x:v>0</x:v>
      </x:c>
      <x:c r="M177" s="6">
        <x:v>0</x:v>
      </x:c>
      <x:c r="N177" s="6">
        <x:f t="shared" si="8"/>
        <x:v>291792.81000000006</x:v>
      </x:c>
    </x:row>
    <x:row r="178" spans="1:14" x14ac:dyDescent="0.25">
      <x:c r="A178" t="s">
        <x:v>7</x:v>
      </x:c>
      <x:c r="B178" t="s">
        <x:v>786</x:v>
      </x:c>
      <x:c r="C178" t="s">
        <x:v>787</x:v>
      </x:c>
      <x:c r="D178" t="s">
        <x:v>677</x:v>
      </x:c>
      <x:c r="E178" s="6">
        <x:v>302589.94999999995</x:v>
      </x:c>
      <x:c r="F178" s="6">
        <x:v>0</x:v>
      </x:c>
      <x:c r="G178" s="6">
        <x:v>0</x:v>
      </x:c>
      <x:c r="H178" s="6">
        <x:f t="shared" si="6"/>
        <x:v>302589.94999999995</x:v>
      </x:c>
      <x:c r="I178" s="6">
        <x:v>0</x:v>
      </x:c>
      <x:c r="J178" s="6">
        <x:v>0</x:v>
      </x:c>
      <x:c r="K178" s="6">
        <x:f t="shared" si="7"/>
        <x:v>0</x:v>
      </x:c>
      <x:c r="L178" s="6">
        <x:v>0</x:v>
      </x:c>
      <x:c r="M178" s="6">
        <x:v>0</x:v>
      </x:c>
      <x:c r="N178" s="6">
        <x:f t="shared" si="8"/>
        <x:v>302589.94999999995</x:v>
      </x:c>
    </x:row>
    <x:row r="179" spans="1:14" x14ac:dyDescent="0.25">
      <x:c r="A179" t="s">
        <x:v>7</x:v>
      </x:c>
      <x:c r="B179" t="s">
        <x:v>786</x:v>
      </x:c>
      <x:c r="C179" t="s">
        <x:v>787</x:v>
      </x:c>
      <x:c r="D179" t="s">
        <x:v>832</x:v>
      </x:c>
      <x:c r="E179" s="6">
        <x:v>343640.11999999994</x:v>
      </x:c>
      <x:c r="F179" s="6">
        <x:v>0</x:v>
      </x:c>
      <x:c r="G179" s="6">
        <x:v>0</x:v>
      </x:c>
      <x:c r="H179" s="6">
        <x:f t="shared" si="6"/>
        <x:v>343640.11999999994</x:v>
      </x:c>
      <x:c r="I179" s="6">
        <x:v>18901.79</x:v>
      </x:c>
      <x:c r="J179" s="6">
        <x:v>0</x:v>
      </x:c>
      <x:c r="K179" s="6">
        <x:f t="shared" si="7"/>
        <x:v>18901.79</x:v>
      </x:c>
      <x:c r="L179" s="6">
        <x:v>0</x:v>
      </x:c>
      <x:c r="M179" s="6">
        <x:v>0</x:v>
      </x:c>
      <x:c r="N179" s="6">
        <x:f t="shared" si="8"/>
        <x:v>362541.90999999992</x:v>
      </x:c>
    </x:row>
    <x:row r="180" spans="1:14" x14ac:dyDescent="0.25">
      <x:c r="A180" t="s">
        <x:v>7</x:v>
      </x:c>
      <x:c r="B180" t="s">
        <x:v>698</x:v>
      </x:c>
      <x:c r="C180" t="s">
        <x:v>699</x:v>
      </x:c>
      <x:c r="D180" t="s">
        <x:v>677</x:v>
      </x:c>
      <x:c r="E180" s="6">
        <x:v>76299.070000000007</x:v>
      </x:c>
      <x:c r="F180" s="6">
        <x:v>0</x:v>
      </x:c>
      <x:c r="G180" s="6">
        <x:v>0</x:v>
      </x:c>
      <x:c r="H180" s="6">
        <x:f t="shared" si="6"/>
        <x:v>76299.070000000007</x:v>
      </x:c>
      <x:c r="I180" s="6">
        <x:v>0</x:v>
      </x:c>
      <x:c r="J180" s="6">
        <x:v>0</x:v>
      </x:c>
      <x:c r="K180" s="6">
        <x:f t="shared" si="7"/>
        <x:v>0</x:v>
      </x:c>
      <x:c r="L180" s="6">
        <x:v>0</x:v>
      </x:c>
      <x:c r="M180" s="6">
        <x:v>0</x:v>
      </x:c>
      <x:c r="N180" s="6">
        <x:f t="shared" si="8"/>
        <x:v>76299.070000000007</x:v>
      </x:c>
    </x:row>
    <x:row r="181" spans="1:14" x14ac:dyDescent="0.25">
      <x:c r="A181" t="s">
        <x:v>7</x:v>
      </x:c>
      <x:c r="B181" t="s">
        <x:v>698</x:v>
      </x:c>
      <x:c r="C181" t="s">
        <x:v>699</x:v>
      </x:c>
      <x:c r="D181" t="s">
        <x:v>832</x:v>
      </x:c>
      <x:c r="E181" s="6">
        <x:v>204851.05</x:v>
      </x:c>
      <x:c r="F181" s="6">
        <x:v>0</x:v>
      </x:c>
      <x:c r="G181" s="6">
        <x:v>0</x:v>
      </x:c>
      <x:c r="H181" s="6">
        <x:f t="shared" si="6"/>
        <x:v>204851.05</x:v>
      </x:c>
      <x:c r="I181" s="6">
        <x:v>0</x:v>
      </x:c>
      <x:c r="J181" s="6">
        <x:v>0</x:v>
      </x:c>
      <x:c r="K181" s="6">
        <x:f t="shared" si="7"/>
        <x:v>0</x:v>
      </x:c>
      <x:c r="L181" s="6">
        <x:v>0</x:v>
      </x:c>
      <x:c r="M181" s="6">
        <x:v>0</x:v>
      </x:c>
      <x:c r="N181" s="6">
        <x:f t="shared" si="8"/>
        <x:v>204851.05</x:v>
      </x:c>
    </x:row>
    <x:row r="182" spans="1:14" x14ac:dyDescent="0.25">
      <x:c r="A182" t="s">
        <x:v>7</x:v>
      </x:c>
      <x:c r="B182" t="s">
        <x:v>803</x:v>
      </x:c>
      <x:c r="C182" t="s">
        <x:v>804</x:v>
      </x:c>
      <x:c r="D182" t="s">
        <x:v>832</x:v>
      </x:c>
      <x:c r="E182" s="6">
        <x:v>2898.37</x:v>
      </x:c>
      <x:c r="F182" s="6">
        <x:v>0</x:v>
      </x:c>
      <x:c r="G182" s="6">
        <x:v>0</x:v>
      </x:c>
      <x:c r="H182" s="6">
        <x:f t="shared" si="6"/>
        <x:v>2898.37</x:v>
      </x:c>
      <x:c r="I182" s="6">
        <x:v>0</x:v>
      </x:c>
      <x:c r="J182" s="6">
        <x:v>0</x:v>
      </x:c>
      <x:c r="K182" s="6">
        <x:f t="shared" si="7"/>
        <x:v>0</x:v>
      </x:c>
      <x:c r="L182" s="6">
        <x:v>0</x:v>
      </x:c>
      <x:c r="M182" s="6">
        <x:v>0</x:v>
      </x:c>
      <x:c r="N182" s="6">
        <x:f t="shared" si="8"/>
        <x:v>2898.37</x:v>
      </x:c>
    </x:row>
    <x:row r="183" spans="1:14" x14ac:dyDescent="0.25">
      <x:c r="A183" t="s">
        <x:v>7</x:v>
      </x:c>
      <x:c r="B183" t="s">
        <x:v>700</x:v>
      </x:c>
      <x:c r="C183" t="s">
        <x:v>701</x:v>
      </x:c>
      <x:c r="D183" t="s">
        <x:v>677</x:v>
      </x:c>
      <x:c r="E183" s="6">
        <x:v>1100018.4500000002</x:v>
      </x:c>
      <x:c r="F183" s="6">
        <x:v>0</x:v>
      </x:c>
      <x:c r="G183" s="6">
        <x:v>0</x:v>
      </x:c>
      <x:c r="H183" s="6">
        <x:f t="shared" si="6"/>
        <x:v>1100018.4500000002</x:v>
      </x:c>
      <x:c r="I183" s="6">
        <x:v>0</x:v>
      </x:c>
      <x:c r="J183" s="6">
        <x:v>0</x:v>
      </x:c>
      <x:c r="K183" s="6">
        <x:f t="shared" si="7"/>
        <x:v>0</x:v>
      </x:c>
      <x:c r="L183" s="6">
        <x:v>0</x:v>
      </x:c>
      <x:c r="M183" s="6">
        <x:v>0</x:v>
      </x:c>
      <x:c r="N183" s="6">
        <x:f t="shared" si="8"/>
        <x:v>1100018.4500000002</x:v>
      </x:c>
    </x:row>
    <x:row r="184" spans="1:14" x14ac:dyDescent="0.25">
      <x:c r="A184" t="s">
        <x:v>7</x:v>
      </x:c>
      <x:c r="B184" t="s">
        <x:v>700</x:v>
      </x:c>
      <x:c r="C184" t="s">
        <x:v>701</x:v>
      </x:c>
      <x:c r="D184" t="s">
        <x:v>832</x:v>
      </x:c>
      <x:c r="E184" s="6">
        <x:v>2035022.6599999997</x:v>
      </x:c>
      <x:c r="F184" s="6">
        <x:v>0</x:v>
      </x:c>
      <x:c r="G184" s="6">
        <x:v>0</x:v>
      </x:c>
      <x:c r="H184" s="6">
        <x:f t="shared" si="6"/>
        <x:v>2035022.6599999997</x:v>
      </x:c>
      <x:c r="I184" s="6">
        <x:v>140750.76</x:v>
      </x:c>
      <x:c r="J184" s="6">
        <x:v>0</x:v>
      </x:c>
      <x:c r="K184" s="6">
        <x:f t="shared" si="7"/>
        <x:v>140750.76</x:v>
      </x:c>
      <x:c r="L184" s="6">
        <x:v>0</x:v>
      </x:c>
      <x:c r="M184" s="6">
        <x:v>0</x:v>
      </x:c>
      <x:c r="N184" s="6">
        <x:f t="shared" si="8"/>
        <x:v>2175773.42</x:v>
      </x:c>
    </x:row>
    <x:row r="185" spans="1:14" x14ac:dyDescent="0.25">
      <x:c r="A185" t="s">
        <x:v>7</x:v>
      </x:c>
      <x:c r="B185" t="s">
        <x:v>702</x:v>
      </x:c>
      <x:c r="C185" t="s">
        <x:v>703</x:v>
      </x:c>
      <x:c r="D185" t="s">
        <x:v>677</x:v>
      </x:c>
      <x:c r="E185" s="6">
        <x:v>286287.56999999995</x:v>
      </x:c>
      <x:c r="F185" s="6">
        <x:v>0</x:v>
      </x:c>
      <x:c r="G185" s="6">
        <x:v>0</x:v>
      </x:c>
      <x:c r="H185" s="6">
        <x:f t="shared" si="6"/>
        <x:v>286287.56999999995</x:v>
      </x:c>
      <x:c r="I185" s="6">
        <x:v>0</x:v>
      </x:c>
      <x:c r="J185" s="6">
        <x:v>0</x:v>
      </x:c>
      <x:c r="K185" s="6">
        <x:f t="shared" si="7"/>
        <x:v>0</x:v>
      </x:c>
      <x:c r="L185" s="6">
        <x:v>0</x:v>
      </x:c>
      <x:c r="M185" s="6">
        <x:v>0</x:v>
      </x:c>
      <x:c r="N185" s="6">
        <x:f t="shared" si="8"/>
        <x:v>286287.56999999995</x:v>
      </x:c>
    </x:row>
    <x:row r="186" spans="1:14" x14ac:dyDescent="0.25">
      <x:c r="A186" t="s">
        <x:v>7</x:v>
      </x:c>
      <x:c r="B186" t="s">
        <x:v>702</x:v>
      </x:c>
      <x:c r="C186" t="s">
        <x:v>703</x:v>
      </x:c>
      <x:c r="D186" t="s">
        <x:v>832</x:v>
      </x:c>
      <x:c r="E186" s="6">
        <x:v>717514.49</x:v>
      </x:c>
      <x:c r="F186" s="6">
        <x:v>0</x:v>
      </x:c>
      <x:c r="G186" s="6">
        <x:v>0</x:v>
      </x:c>
      <x:c r="H186" s="6">
        <x:f t="shared" si="6"/>
        <x:v>717514.49</x:v>
      </x:c>
      <x:c r="I186" s="6">
        <x:v>7213.4</x:v>
      </x:c>
      <x:c r="J186" s="6">
        <x:v>0</x:v>
      </x:c>
      <x:c r="K186" s="6">
        <x:f t="shared" si="7"/>
        <x:v>7213.4</x:v>
      </x:c>
      <x:c r="L186" s="6">
        <x:v>0</x:v>
      </x:c>
      <x:c r="M186" s="6">
        <x:v>0</x:v>
      </x:c>
      <x:c r="N186" s="6">
        <x:f t="shared" si="8"/>
        <x:v>724727.89</x:v>
      </x:c>
    </x:row>
    <x:row r="187" spans="1:14" x14ac:dyDescent="0.25">
      <x:c r="A187" t="s">
        <x:v>7</x:v>
      </x:c>
      <x:c r="B187" t="s">
        <x:v>704</x:v>
      </x:c>
      <x:c r="C187" t="s">
        <x:v>705</x:v>
      </x:c>
      <x:c r="D187" t="s">
        <x:v>677</x:v>
      </x:c>
      <x:c r="E187" s="6">
        <x:v>410989.18000000005</x:v>
      </x:c>
      <x:c r="F187" s="6">
        <x:v>0</x:v>
      </x:c>
      <x:c r="G187" s="6">
        <x:v>0</x:v>
      </x:c>
      <x:c r="H187" s="6">
        <x:f t="shared" si="6"/>
        <x:v>410989.18000000005</x:v>
      </x:c>
      <x:c r="I187" s="6">
        <x:v>0</x:v>
      </x:c>
      <x:c r="J187" s="6">
        <x:v>0</x:v>
      </x:c>
      <x:c r="K187" s="6">
        <x:f t="shared" si="7"/>
        <x:v>0</x:v>
      </x:c>
      <x:c r="L187" s="6">
        <x:v>0</x:v>
      </x:c>
      <x:c r="M187" s="6">
        <x:v>0</x:v>
      </x:c>
      <x:c r="N187" s="6">
        <x:f t="shared" si="8"/>
        <x:v>410989.18000000005</x:v>
      </x:c>
    </x:row>
    <x:row r="188" spans="1:14" x14ac:dyDescent="0.25">
      <x:c r="A188" t="s">
        <x:v>7</x:v>
      </x:c>
      <x:c r="B188" t="s">
        <x:v>704</x:v>
      </x:c>
      <x:c r="C188" t="s">
        <x:v>705</x:v>
      </x:c>
      <x:c r="D188" t="s">
        <x:v>832</x:v>
      </x:c>
      <x:c r="E188" s="6">
        <x:v>425816.28999999992</x:v>
      </x:c>
      <x:c r="F188" s="6">
        <x:v>0</x:v>
      </x:c>
      <x:c r="G188" s="6">
        <x:v>0</x:v>
      </x:c>
      <x:c r="H188" s="6">
        <x:f t="shared" si="6"/>
        <x:v>425816.28999999992</x:v>
      </x:c>
      <x:c r="I188" s="6">
        <x:v>1645.6699999999998</x:v>
      </x:c>
      <x:c r="J188" s="6">
        <x:v>0</x:v>
      </x:c>
      <x:c r="K188" s="6">
        <x:f t="shared" si="7"/>
        <x:v>1645.6699999999998</x:v>
      </x:c>
      <x:c r="L188" s="6">
        <x:v>0</x:v>
      </x:c>
      <x:c r="M188" s="6">
        <x:v>0</x:v>
      </x:c>
      <x:c r="N188" s="6">
        <x:f t="shared" si="8"/>
        <x:v>427461.9599999999</x:v>
      </x:c>
    </x:row>
    <x:row r="189" spans="1:14" x14ac:dyDescent="0.25">
      <x:c r="A189" t="s">
        <x:v>7</x:v>
      </x:c>
      <x:c r="B189" t="s">
        <x:v>706</x:v>
      </x:c>
      <x:c r="C189" t="s">
        <x:v>707</x:v>
      </x:c>
      <x:c r="D189" t="s">
        <x:v>677</x:v>
      </x:c>
      <x:c r="E189" s="6">
        <x:v>285836.52</x:v>
      </x:c>
      <x:c r="F189" s="6">
        <x:v>0</x:v>
      </x:c>
      <x:c r="G189" s="6">
        <x:v>0</x:v>
      </x:c>
      <x:c r="H189" s="6">
        <x:f t="shared" si="6"/>
        <x:v>285836.52</x:v>
      </x:c>
      <x:c r="I189" s="6">
        <x:v>0</x:v>
      </x:c>
      <x:c r="J189" s="6">
        <x:v>0</x:v>
      </x:c>
      <x:c r="K189" s="6">
        <x:f t="shared" si="7"/>
        <x:v>0</x:v>
      </x:c>
      <x:c r="L189" s="6">
        <x:v>0</x:v>
      </x:c>
      <x:c r="M189" s="6">
        <x:v>0</x:v>
      </x:c>
      <x:c r="N189" s="6">
        <x:f t="shared" si="8"/>
        <x:v>285836.52</x:v>
      </x:c>
    </x:row>
    <x:row r="190" spans="1:14" x14ac:dyDescent="0.25">
      <x:c r="A190" t="s">
        <x:v>7</x:v>
      </x:c>
      <x:c r="B190" t="s">
        <x:v>706</x:v>
      </x:c>
      <x:c r="C190" t="s">
        <x:v>707</x:v>
      </x:c>
      <x:c r="D190" t="s">
        <x:v>832</x:v>
      </x:c>
      <x:c r="E190" s="6">
        <x:v>479469.49</x:v>
      </x:c>
      <x:c r="F190" s="6">
        <x:v>0</x:v>
      </x:c>
      <x:c r="G190" s="6">
        <x:v>0</x:v>
      </x:c>
      <x:c r="H190" s="6">
        <x:f t="shared" si="6"/>
        <x:v>479469.49</x:v>
      </x:c>
      <x:c r="I190" s="6">
        <x:v>0</x:v>
      </x:c>
      <x:c r="J190" s="6">
        <x:v>0</x:v>
      </x:c>
      <x:c r="K190" s="6">
        <x:f t="shared" si="7"/>
        <x:v>0</x:v>
      </x:c>
      <x:c r="L190" s="6">
        <x:v>0</x:v>
      </x:c>
      <x:c r="M190" s="6">
        <x:v>0</x:v>
      </x:c>
      <x:c r="N190" s="6">
        <x:f t="shared" si="8"/>
        <x:v>479469.49</x:v>
      </x:c>
    </x:row>
    <x:row r="191" spans="1:14" x14ac:dyDescent="0.25">
      <x:c r="A191" t="s">
        <x:v>7</x:v>
      </x:c>
      <x:c r="B191" t="s">
        <x:v>708</x:v>
      </x:c>
      <x:c r="C191" t="s">
        <x:v>709</x:v>
      </x:c>
      <x:c r="D191" t="s">
        <x:v>677</x:v>
      </x:c>
      <x:c r="E191" s="6">
        <x:v>183191.53999999998</x:v>
      </x:c>
      <x:c r="F191" s="6">
        <x:v>0</x:v>
      </x:c>
      <x:c r="G191" s="6">
        <x:v>0</x:v>
      </x:c>
      <x:c r="H191" s="6">
        <x:f t="shared" si="6"/>
        <x:v>183191.53999999998</x:v>
      </x:c>
      <x:c r="I191" s="6">
        <x:v>0</x:v>
      </x:c>
      <x:c r="J191" s="6">
        <x:v>0</x:v>
      </x:c>
      <x:c r="K191" s="6">
        <x:f t="shared" si="7"/>
        <x:v>0</x:v>
      </x:c>
      <x:c r="L191" s="6">
        <x:v>0</x:v>
      </x:c>
      <x:c r="M191" s="6">
        <x:v>0</x:v>
      </x:c>
      <x:c r="N191" s="6">
        <x:f t="shared" si="8"/>
        <x:v>183191.53999999998</x:v>
      </x:c>
    </x:row>
    <x:row r="192" spans="1:14" x14ac:dyDescent="0.25">
      <x:c r="A192" t="s">
        <x:v>7</x:v>
      </x:c>
      <x:c r="B192" t="s">
        <x:v>708</x:v>
      </x:c>
      <x:c r="C192" t="s">
        <x:v>709</x:v>
      </x:c>
      <x:c r="D192" t="s">
        <x:v>832</x:v>
      </x:c>
      <x:c r="E192" s="6">
        <x:v>331591.69999999984</x:v>
      </x:c>
      <x:c r="F192" s="6">
        <x:v>0</x:v>
      </x:c>
      <x:c r="G192" s="6">
        <x:v>0</x:v>
      </x:c>
      <x:c r="H192" s="6">
        <x:f t="shared" si="6"/>
        <x:v>331591.69999999984</x:v>
      </x:c>
      <x:c r="I192" s="6">
        <x:v>2911.7</x:v>
      </x:c>
      <x:c r="J192" s="6">
        <x:v>0</x:v>
      </x:c>
      <x:c r="K192" s="6">
        <x:f t="shared" si="7"/>
        <x:v>2911.7</x:v>
      </x:c>
      <x:c r="L192" s="6">
        <x:v>0</x:v>
      </x:c>
      <x:c r="M192" s="6">
        <x:v>0</x:v>
      </x:c>
      <x:c r="N192" s="6">
        <x:f t="shared" si="8"/>
        <x:v>334503.39999999985</x:v>
      </x:c>
    </x:row>
    <x:row r="193" spans="1:14" x14ac:dyDescent="0.25">
      <x:c r="A193" t="s">
        <x:v>7</x:v>
      </x:c>
      <x:c r="B193" t="s">
        <x:v>710</x:v>
      </x:c>
      <x:c r="C193" t="s">
        <x:v>711</x:v>
      </x:c>
      <x:c r="D193" t="s">
        <x:v>677</x:v>
      </x:c>
      <x:c r="E193" s="6">
        <x:v>72969.789999999994</x:v>
      </x:c>
      <x:c r="F193" s="6">
        <x:v>0</x:v>
      </x:c>
      <x:c r="G193" s="6">
        <x:v>0</x:v>
      </x:c>
      <x:c r="H193" s="6">
        <x:f t="shared" si="6"/>
        <x:v>72969.789999999994</x:v>
      </x:c>
      <x:c r="I193" s="6">
        <x:v>0</x:v>
      </x:c>
      <x:c r="J193" s="6">
        <x:v>0</x:v>
      </x:c>
      <x:c r="K193" s="6">
        <x:f t="shared" si="7"/>
        <x:v>0</x:v>
      </x:c>
      <x:c r="L193" s="6">
        <x:v>0</x:v>
      </x:c>
      <x:c r="M193" s="6">
        <x:v>0</x:v>
      </x:c>
      <x:c r="N193" s="6">
        <x:f t="shared" si="8"/>
        <x:v>72969.789999999994</x:v>
      </x:c>
    </x:row>
    <x:row r="194" spans="1:14" x14ac:dyDescent="0.25">
      <x:c r="A194" t="s">
        <x:v>7</x:v>
      </x:c>
      <x:c r="B194" t="s">
        <x:v>710</x:v>
      </x:c>
      <x:c r="C194" t="s">
        <x:v>711</x:v>
      </x:c>
      <x:c r="D194" t="s">
        <x:v>832</x:v>
      </x:c>
      <x:c r="E194" s="6">
        <x:v>364935.29</x:v>
      </x:c>
      <x:c r="F194" s="6">
        <x:v>0</x:v>
      </x:c>
      <x:c r="G194" s="6">
        <x:v>0</x:v>
      </x:c>
      <x:c r="H194" s="6">
        <x:f t="shared" si="6"/>
        <x:v>364935.29</x:v>
      </x:c>
      <x:c r="I194" s="6">
        <x:v>0</x:v>
      </x:c>
      <x:c r="J194" s="6">
        <x:v>0</x:v>
      </x:c>
      <x:c r="K194" s="6">
        <x:f t="shared" si="7"/>
        <x:v>0</x:v>
      </x:c>
      <x:c r="L194" s="6">
        <x:v>0</x:v>
      </x:c>
      <x:c r="M194" s="6">
        <x:v>0</x:v>
      </x:c>
      <x:c r="N194" s="6">
        <x:f t="shared" si="8"/>
        <x:v>364935.29</x:v>
      </x:c>
    </x:row>
    <x:row r="195" spans="1:14" x14ac:dyDescent="0.25">
      <x:c r="A195" t="s">
        <x:v>7</x:v>
      </x:c>
      <x:c r="B195" t="s">
        <x:v>712</x:v>
      </x:c>
      <x:c r="C195" t="s">
        <x:v>713</x:v>
      </x:c>
      <x:c r="D195" t="s">
        <x:v>677</x:v>
      </x:c>
      <x:c r="E195" s="6">
        <x:v>391450.47999999992</x:v>
      </x:c>
      <x:c r="F195" s="6">
        <x:v>0</x:v>
      </x:c>
      <x:c r="G195" s="6">
        <x:v>0</x:v>
      </x:c>
      <x:c r="H195" s="6">
        <x:f t="shared" si="6"/>
        <x:v>391450.47999999992</x:v>
      </x:c>
      <x:c r="I195" s="6">
        <x:v>0</x:v>
      </x:c>
      <x:c r="J195" s="6">
        <x:v>0</x:v>
      </x:c>
      <x:c r="K195" s="6">
        <x:f t="shared" si="7"/>
        <x:v>0</x:v>
      </x:c>
      <x:c r="L195" s="6">
        <x:v>0</x:v>
      </x:c>
      <x:c r="M195" s="6">
        <x:v>0</x:v>
      </x:c>
      <x:c r="N195" s="6">
        <x:f t="shared" si="8"/>
        <x:v>391450.47999999992</x:v>
      </x:c>
    </x:row>
    <x:row r="196" spans="1:14" x14ac:dyDescent="0.25">
      <x:c r="A196" t="s">
        <x:v>7</x:v>
      </x:c>
      <x:c r="B196" t="s">
        <x:v>712</x:v>
      </x:c>
      <x:c r="C196" t="s">
        <x:v>713</x:v>
      </x:c>
      <x:c r="D196" t="s">
        <x:v>832</x:v>
      </x:c>
      <x:c r="E196" s="6">
        <x:v>709623.50999999989</x:v>
      </x:c>
      <x:c r="F196" s="6">
        <x:v>0</x:v>
      </x:c>
      <x:c r="G196" s="6">
        <x:v>0</x:v>
      </x:c>
      <x:c r="H196" s="6">
        <x:f t="shared" si="6"/>
        <x:v>709623.50999999989</x:v>
      </x:c>
      <x:c r="I196" s="6">
        <x:v>17850.149999999998</x:v>
      </x:c>
      <x:c r="J196" s="6">
        <x:v>0</x:v>
      </x:c>
      <x:c r="K196" s="6">
        <x:f t="shared" si="7"/>
        <x:v>17850.149999999998</x:v>
      </x:c>
      <x:c r="L196" s="6">
        <x:v>0</x:v>
      </x:c>
      <x:c r="M196" s="6">
        <x:v>0</x:v>
      </x:c>
      <x:c r="N196" s="6">
        <x:f t="shared" si="8"/>
        <x:v>727473.65999999992</x:v>
      </x:c>
    </x:row>
    <x:row r="197" spans="1:14" x14ac:dyDescent="0.25">
      <x:c r="A197" t="s">
        <x:v>7</x:v>
      </x:c>
      <x:c r="B197" t="s">
        <x:v>788</x:v>
      </x:c>
      <x:c r="C197" t="s">
        <x:v>789</x:v>
      </x:c>
      <x:c r="D197" t="s">
        <x:v>677</x:v>
      </x:c>
      <x:c r="E197" s="6">
        <x:v>320371.07000000007</x:v>
      </x:c>
      <x:c r="F197" s="6">
        <x:v>0</x:v>
      </x:c>
      <x:c r="G197" s="6">
        <x:v>0</x:v>
      </x:c>
      <x:c r="H197" s="6">
        <x:f t="shared" ref="H197:H260" si="9">SUM(E197:G197)</x:f>
        <x:v>320371.07000000007</x:v>
      </x:c>
      <x:c r="I197" s="6">
        <x:v>0</x:v>
      </x:c>
      <x:c r="J197" s="6">
        <x:v>0</x:v>
      </x:c>
      <x:c r="K197" s="6">
        <x:f t="shared" ref="K197:K260" si="10">SUM(I197:J197)</x:f>
        <x:v>0</x:v>
      </x:c>
      <x:c r="L197" s="6">
        <x:v>0</x:v>
      </x:c>
      <x:c r="M197" s="6">
        <x:v>0</x:v>
      </x:c>
      <x:c r="N197" s="6">
        <x:f t="shared" ref="N197:N260" si="11">+E197+F197+G197+I197+J197+L197+M197</x:f>
        <x:v>320371.07000000007</x:v>
      </x:c>
    </x:row>
    <x:row r="198" spans="1:14" x14ac:dyDescent="0.25">
      <x:c r="A198" t="s">
        <x:v>7</x:v>
      </x:c>
      <x:c r="B198" t="s">
        <x:v>788</x:v>
      </x:c>
      <x:c r="C198" t="s">
        <x:v>789</x:v>
      </x:c>
      <x:c r="D198" t="s">
        <x:v>832</x:v>
      </x:c>
      <x:c r="E198" s="6">
        <x:v>334482.37999999995</x:v>
      </x:c>
      <x:c r="F198" s="6">
        <x:v>0</x:v>
      </x:c>
      <x:c r="G198" s="6">
        <x:v>0</x:v>
      </x:c>
      <x:c r="H198" s="6">
        <x:f t="shared" si="9"/>
        <x:v>334482.37999999995</x:v>
      </x:c>
      <x:c r="I198" s="6">
        <x:v>16989.43</x:v>
      </x:c>
      <x:c r="J198" s="6">
        <x:v>0</x:v>
      </x:c>
      <x:c r="K198" s="6">
        <x:f t="shared" si="10"/>
        <x:v>16989.43</x:v>
      </x:c>
      <x:c r="L198" s="6">
        <x:v>0</x:v>
      </x:c>
      <x:c r="M198" s="6">
        <x:v>0</x:v>
      </x:c>
      <x:c r="N198" s="6">
        <x:f t="shared" si="11"/>
        <x:v>351471.80999999994</x:v>
      </x:c>
    </x:row>
    <x:row r="199" spans="1:14" x14ac:dyDescent="0.25">
      <x:c r="A199" t="s">
        <x:v>7</x:v>
      </x:c>
      <x:c r="B199" t="s">
        <x:v>790</x:v>
      </x:c>
      <x:c r="C199" t="s">
        <x:v>791</x:v>
      </x:c>
      <x:c r="D199" t="s">
        <x:v>677</x:v>
      </x:c>
      <x:c r="E199" s="6">
        <x:v>191673.18000000002</x:v>
      </x:c>
      <x:c r="F199" s="6">
        <x:v>0</x:v>
      </x:c>
      <x:c r="G199" s="6">
        <x:v>0</x:v>
      </x:c>
      <x:c r="H199" s="6">
        <x:f t="shared" si="9"/>
        <x:v>191673.18000000002</x:v>
      </x:c>
      <x:c r="I199" s="6">
        <x:v>0</x:v>
      </x:c>
      <x:c r="J199" s="6">
        <x:v>0</x:v>
      </x:c>
      <x:c r="K199" s="6">
        <x:f t="shared" si="10"/>
        <x:v>0</x:v>
      </x:c>
      <x:c r="L199" s="6">
        <x:v>0</x:v>
      </x:c>
      <x:c r="M199" s="6">
        <x:v>0</x:v>
      </x:c>
      <x:c r="N199" s="6">
        <x:f t="shared" si="11"/>
        <x:v>191673.18000000002</x:v>
      </x:c>
    </x:row>
    <x:row r="200" spans="1:14" x14ac:dyDescent="0.25">
      <x:c r="A200" t="s">
        <x:v>7</x:v>
      </x:c>
      <x:c r="B200" t="s">
        <x:v>790</x:v>
      </x:c>
      <x:c r="C200" t="s">
        <x:v>791</x:v>
      </x:c>
      <x:c r="D200" t="s">
        <x:v>832</x:v>
      </x:c>
      <x:c r="E200" s="6">
        <x:v>490614.68000000005</x:v>
      </x:c>
      <x:c r="F200" s="6">
        <x:v>0</x:v>
      </x:c>
      <x:c r="G200" s="6">
        <x:v>0</x:v>
      </x:c>
      <x:c r="H200" s="6">
        <x:f t="shared" si="9"/>
        <x:v>490614.68000000005</x:v>
      </x:c>
      <x:c r="I200" s="6">
        <x:v>6656.0399999999991</x:v>
      </x:c>
      <x:c r="J200" s="6">
        <x:v>0</x:v>
      </x:c>
      <x:c r="K200" s="6">
        <x:f t="shared" si="10"/>
        <x:v>6656.0399999999991</x:v>
      </x:c>
      <x:c r="L200" s="6">
        <x:v>0</x:v>
      </x:c>
      <x:c r="M200" s="6">
        <x:v>0</x:v>
      </x:c>
      <x:c r="N200" s="6">
        <x:f t="shared" si="11"/>
        <x:v>497270.72000000003</x:v>
      </x:c>
    </x:row>
    <x:row r="201" spans="1:14" x14ac:dyDescent="0.25">
      <x:c r="A201" t="s">
        <x:v>7</x:v>
      </x:c>
      <x:c r="B201" t="s">
        <x:v>714</x:v>
      </x:c>
      <x:c r="C201" t="s">
        <x:v>715</x:v>
      </x:c>
      <x:c r="D201" t="s">
        <x:v>677</x:v>
      </x:c>
      <x:c r="E201" s="6">
        <x:v>342850.78000000009</x:v>
      </x:c>
      <x:c r="F201" s="6">
        <x:v>0</x:v>
      </x:c>
      <x:c r="G201" s="6">
        <x:v>0</x:v>
      </x:c>
      <x:c r="H201" s="6">
        <x:f t="shared" si="9"/>
        <x:v>342850.78000000009</x:v>
      </x:c>
      <x:c r="I201" s="6">
        <x:v>0</x:v>
      </x:c>
      <x:c r="J201" s="6">
        <x:v>0</x:v>
      </x:c>
      <x:c r="K201" s="6">
        <x:f t="shared" si="10"/>
        <x:v>0</x:v>
      </x:c>
      <x:c r="L201" s="6">
        <x:v>0</x:v>
      </x:c>
      <x:c r="M201" s="6">
        <x:v>0</x:v>
      </x:c>
      <x:c r="N201" s="6">
        <x:f t="shared" si="11"/>
        <x:v>342850.78000000009</x:v>
      </x:c>
    </x:row>
    <x:row r="202" spans="1:14" x14ac:dyDescent="0.25">
      <x:c r="A202" t="s">
        <x:v>7</x:v>
      </x:c>
      <x:c r="B202" t="s">
        <x:v>714</x:v>
      </x:c>
      <x:c r="C202" t="s">
        <x:v>715</x:v>
      </x:c>
      <x:c r="D202" t="s">
        <x:v>832</x:v>
      </x:c>
      <x:c r="E202" s="6">
        <x:v>688577.88000000012</x:v>
      </x:c>
      <x:c r="F202" s="6">
        <x:v>0</x:v>
      </x:c>
      <x:c r="G202" s="6">
        <x:v>0</x:v>
      </x:c>
      <x:c r="H202" s="6">
        <x:f t="shared" si="9"/>
        <x:v>688577.88000000012</x:v>
      </x:c>
      <x:c r="I202" s="6">
        <x:v>5727.6099999999988</x:v>
      </x:c>
      <x:c r="J202" s="6">
        <x:v>0</x:v>
      </x:c>
      <x:c r="K202" s="6">
        <x:f t="shared" si="10"/>
        <x:v>5727.6099999999988</x:v>
      </x:c>
      <x:c r="L202" s="6">
        <x:v>0</x:v>
      </x:c>
      <x:c r="M202" s="6">
        <x:v>0</x:v>
      </x:c>
      <x:c r="N202" s="6">
        <x:f t="shared" si="11"/>
        <x:v>694305.49000000011</x:v>
      </x:c>
    </x:row>
    <x:row r="203" spans="1:14" x14ac:dyDescent="0.25">
      <x:c r="A203" t="s">
        <x:v>7</x:v>
      </x:c>
      <x:c r="B203" t="s">
        <x:v>716</x:v>
      </x:c>
      <x:c r="C203" t="s">
        <x:v>717</x:v>
      </x:c>
      <x:c r="D203" t="s">
        <x:v>677</x:v>
      </x:c>
      <x:c r="E203" s="6">
        <x:v>443036.50999999995</x:v>
      </x:c>
      <x:c r="F203" s="6">
        <x:v>0</x:v>
      </x:c>
      <x:c r="G203" s="6">
        <x:v>0</x:v>
      </x:c>
      <x:c r="H203" s="6">
        <x:f t="shared" si="9"/>
        <x:v>443036.50999999995</x:v>
      </x:c>
      <x:c r="I203" s="6">
        <x:v>0</x:v>
      </x:c>
      <x:c r="J203" s="6">
        <x:v>0</x:v>
      </x:c>
      <x:c r="K203" s="6">
        <x:f t="shared" si="10"/>
        <x:v>0</x:v>
      </x:c>
      <x:c r="L203" s="6">
        <x:v>0</x:v>
      </x:c>
      <x:c r="M203" s="6">
        <x:v>0</x:v>
      </x:c>
      <x:c r="N203" s="6">
        <x:f t="shared" si="11"/>
        <x:v>443036.50999999995</x:v>
      </x:c>
    </x:row>
    <x:row r="204" spans="1:14" x14ac:dyDescent="0.25">
      <x:c r="A204" t="s">
        <x:v>7</x:v>
      </x:c>
      <x:c r="B204" t="s">
        <x:v>716</x:v>
      </x:c>
      <x:c r="C204" t="s">
        <x:v>717</x:v>
      </x:c>
      <x:c r="D204" t="s">
        <x:v>832</x:v>
      </x:c>
      <x:c r="E204" s="6">
        <x:v>722185.27000000025</x:v>
      </x:c>
      <x:c r="F204" s="6">
        <x:v>0</x:v>
      </x:c>
      <x:c r="G204" s="6">
        <x:v>0</x:v>
      </x:c>
      <x:c r="H204" s="6">
        <x:f t="shared" si="9"/>
        <x:v>722185.27000000025</x:v>
      </x:c>
      <x:c r="I204" s="6">
        <x:v>10766.24</x:v>
      </x:c>
      <x:c r="J204" s="6">
        <x:v>0</x:v>
      </x:c>
      <x:c r="K204" s="6">
        <x:f t="shared" si="10"/>
        <x:v>10766.24</x:v>
      </x:c>
      <x:c r="L204" s="6">
        <x:v>0</x:v>
      </x:c>
      <x:c r="M204" s="6">
        <x:v>0</x:v>
      </x:c>
      <x:c r="N204" s="6">
        <x:f t="shared" si="11"/>
        <x:v>732951.51000000024</x:v>
      </x:c>
    </x:row>
    <x:row r="205" spans="1:14" x14ac:dyDescent="0.25">
      <x:c r="A205" t="s">
        <x:v>7</x:v>
      </x:c>
      <x:c r="B205" t="s">
        <x:v>792</x:v>
      </x:c>
      <x:c r="C205" t="s">
        <x:v>793</x:v>
      </x:c>
      <x:c r="D205" t="s">
        <x:v>677</x:v>
      </x:c>
      <x:c r="E205" s="6">
        <x:v>430998.0400000001</x:v>
      </x:c>
      <x:c r="F205" s="6">
        <x:v>0</x:v>
      </x:c>
      <x:c r="G205" s="6">
        <x:v>0</x:v>
      </x:c>
      <x:c r="H205" s="6">
        <x:f t="shared" si="9"/>
        <x:v>430998.0400000001</x:v>
      </x:c>
      <x:c r="I205" s="6">
        <x:v>0</x:v>
      </x:c>
      <x:c r="J205" s="6">
        <x:v>0</x:v>
      </x:c>
      <x:c r="K205" s="6">
        <x:f t="shared" si="10"/>
        <x:v>0</x:v>
      </x:c>
      <x:c r="L205" s="6">
        <x:v>0</x:v>
      </x:c>
      <x:c r="M205" s="6">
        <x:v>0</x:v>
      </x:c>
      <x:c r="N205" s="6">
        <x:f t="shared" si="11"/>
        <x:v>430998.0400000001</x:v>
      </x:c>
    </x:row>
    <x:row r="206" spans="1:14" x14ac:dyDescent="0.25">
      <x:c r="A206" t="s">
        <x:v>7</x:v>
      </x:c>
      <x:c r="B206" t="s">
        <x:v>792</x:v>
      </x:c>
      <x:c r="C206" t="s">
        <x:v>793</x:v>
      </x:c>
      <x:c r="D206" t="s">
        <x:v>832</x:v>
      </x:c>
      <x:c r="E206" s="6">
        <x:v>587100.38000000012</x:v>
      </x:c>
      <x:c r="F206" s="6">
        <x:v>0</x:v>
      </x:c>
      <x:c r="G206" s="6">
        <x:v>0</x:v>
      </x:c>
      <x:c r="H206" s="6">
        <x:f t="shared" si="9"/>
        <x:v>587100.38000000012</x:v>
      </x:c>
      <x:c r="I206" s="6">
        <x:v>17807.990000000002</x:v>
      </x:c>
      <x:c r="J206" s="6">
        <x:v>0</x:v>
      </x:c>
      <x:c r="K206" s="6">
        <x:f t="shared" si="10"/>
        <x:v>17807.990000000002</x:v>
      </x:c>
      <x:c r="L206" s="6">
        <x:v>0</x:v>
      </x:c>
      <x:c r="M206" s="6">
        <x:v>0</x:v>
      </x:c>
      <x:c r="N206" s="6">
        <x:f t="shared" si="11"/>
        <x:v>604908.37000000011</x:v>
      </x:c>
    </x:row>
    <x:row r="207" spans="1:14" x14ac:dyDescent="0.25">
      <x:c r="A207" t="s">
        <x:v>7</x:v>
      </x:c>
      <x:c r="B207" t="s">
        <x:v>718</x:v>
      </x:c>
      <x:c r="C207" t="s">
        <x:v>719</x:v>
      </x:c>
      <x:c r="D207" t="s">
        <x:v>677</x:v>
      </x:c>
      <x:c r="E207" s="6">
        <x:v>27432.15</x:v>
      </x:c>
      <x:c r="F207" s="6">
        <x:v>0</x:v>
      </x:c>
      <x:c r="G207" s="6">
        <x:v>0</x:v>
      </x:c>
      <x:c r="H207" s="6">
        <x:f t="shared" si="9"/>
        <x:v>27432.15</x:v>
      </x:c>
      <x:c r="I207" s="6">
        <x:v>0</x:v>
      </x:c>
      <x:c r="J207" s="6">
        <x:v>0</x:v>
      </x:c>
      <x:c r="K207" s="6">
        <x:f t="shared" si="10"/>
        <x:v>0</x:v>
      </x:c>
      <x:c r="L207" s="6">
        <x:v>0</x:v>
      </x:c>
      <x:c r="M207" s="6">
        <x:v>0</x:v>
      </x:c>
      <x:c r="N207" s="6">
        <x:f t="shared" si="11"/>
        <x:v>27432.15</x:v>
      </x:c>
    </x:row>
    <x:row r="208" spans="1:14" x14ac:dyDescent="0.25">
      <x:c r="A208" t="s">
        <x:v>7</x:v>
      </x:c>
      <x:c r="B208" t="s">
        <x:v>718</x:v>
      </x:c>
      <x:c r="C208" t="s">
        <x:v>719</x:v>
      </x:c>
      <x:c r="D208" t="s">
        <x:v>832</x:v>
      </x:c>
      <x:c r="E208" s="6">
        <x:v>31126.810000000009</x:v>
      </x:c>
      <x:c r="F208" s="6">
        <x:v>0</x:v>
      </x:c>
      <x:c r="G208" s="6">
        <x:v>0</x:v>
      </x:c>
      <x:c r="H208" s="6">
        <x:f t="shared" si="9"/>
        <x:v>31126.810000000009</x:v>
      </x:c>
      <x:c r="I208" s="6">
        <x:v>3275.36</x:v>
      </x:c>
      <x:c r="J208" s="6">
        <x:v>0</x:v>
      </x:c>
      <x:c r="K208" s="6">
        <x:f t="shared" si="10"/>
        <x:v>3275.36</x:v>
      </x:c>
      <x:c r="L208" s="6">
        <x:v>0</x:v>
      </x:c>
      <x:c r="M208" s="6">
        <x:v>0</x:v>
      </x:c>
      <x:c r="N208" s="6">
        <x:f t="shared" si="11"/>
        <x:v>34402.170000000006</x:v>
      </x:c>
    </x:row>
    <x:row r="209" spans="1:14" x14ac:dyDescent="0.25">
      <x:c r="A209" t="s">
        <x:v>7</x:v>
      </x:c>
      <x:c r="B209" t="s">
        <x:v>720</x:v>
      </x:c>
      <x:c r="C209" t="s">
        <x:v>721</x:v>
      </x:c>
      <x:c r="D209" t="s">
        <x:v>677</x:v>
      </x:c>
      <x:c r="E209" s="6">
        <x:v>17410.939999999999</x:v>
      </x:c>
      <x:c r="F209" s="6">
        <x:v>0</x:v>
      </x:c>
      <x:c r="G209" s="6">
        <x:v>0</x:v>
      </x:c>
      <x:c r="H209" s="6">
        <x:f t="shared" si="9"/>
        <x:v>17410.939999999999</x:v>
      </x:c>
      <x:c r="I209" s="6">
        <x:v>0</x:v>
      </x:c>
      <x:c r="J209" s="6">
        <x:v>0</x:v>
      </x:c>
      <x:c r="K209" s="6">
        <x:f t="shared" si="10"/>
        <x:v>0</x:v>
      </x:c>
      <x:c r="L209" s="6">
        <x:v>0</x:v>
      </x:c>
      <x:c r="M209" s="6">
        <x:v>0</x:v>
      </x:c>
      <x:c r="N209" s="6">
        <x:f t="shared" si="11"/>
        <x:v>17410.939999999999</x:v>
      </x:c>
    </x:row>
    <x:row r="210" spans="1:14" x14ac:dyDescent="0.25">
      <x:c r="A210" t="s">
        <x:v>7</x:v>
      </x:c>
      <x:c r="B210" t="s">
        <x:v>720</x:v>
      </x:c>
      <x:c r="C210" t="s">
        <x:v>721</x:v>
      </x:c>
      <x:c r="D210" t="s">
        <x:v>832</x:v>
      </x:c>
      <x:c r="E210" s="6">
        <x:v>232963.97000000006</x:v>
      </x:c>
      <x:c r="F210" s="6">
        <x:v>0</x:v>
      </x:c>
      <x:c r="G210" s="6">
        <x:v>0</x:v>
      </x:c>
      <x:c r="H210" s="6">
        <x:f t="shared" si="9"/>
        <x:v>232963.97000000006</x:v>
      </x:c>
      <x:c r="I210" s="6">
        <x:v>0</x:v>
      </x:c>
      <x:c r="J210" s="6">
        <x:v>0</x:v>
      </x:c>
      <x:c r="K210" s="6">
        <x:f t="shared" si="10"/>
        <x:v>0</x:v>
      </x:c>
      <x:c r="L210" s="6">
        <x:v>0</x:v>
      </x:c>
      <x:c r="M210" s="6">
        <x:v>0</x:v>
      </x:c>
      <x:c r="N210" s="6">
        <x:f t="shared" si="11"/>
        <x:v>232963.97000000006</x:v>
      </x:c>
    </x:row>
    <x:row r="211" spans="1:14" x14ac:dyDescent="0.25">
      <x:c r="A211" t="s">
        <x:v>7</x:v>
      </x:c>
      <x:c r="B211" t="s">
        <x:v>722</x:v>
      </x:c>
      <x:c r="C211" t="s">
        <x:v>723</x:v>
      </x:c>
      <x:c r="D211" t="s">
        <x:v>677</x:v>
      </x:c>
      <x:c r="E211" s="6">
        <x:v>978134.2</x:v>
      </x:c>
      <x:c r="F211" s="6">
        <x:v>0</x:v>
      </x:c>
      <x:c r="G211" s="6">
        <x:v>0</x:v>
      </x:c>
      <x:c r="H211" s="6">
        <x:f t="shared" si="9"/>
        <x:v>978134.2</x:v>
      </x:c>
      <x:c r="I211" s="6">
        <x:v>0</x:v>
      </x:c>
      <x:c r="J211" s="6">
        <x:v>0</x:v>
      </x:c>
      <x:c r="K211" s="6">
        <x:f t="shared" si="10"/>
        <x:v>0</x:v>
      </x:c>
      <x:c r="L211" s="6">
        <x:v>0</x:v>
      </x:c>
      <x:c r="M211" s="6">
        <x:v>0</x:v>
      </x:c>
      <x:c r="N211" s="6">
        <x:f t="shared" si="11"/>
        <x:v>978134.2</x:v>
      </x:c>
    </x:row>
    <x:row r="212" spans="1:14" x14ac:dyDescent="0.25">
      <x:c r="A212" t="s">
        <x:v>7</x:v>
      </x:c>
      <x:c r="B212" t="s">
        <x:v>722</x:v>
      </x:c>
      <x:c r="C212" t="s">
        <x:v>723</x:v>
      </x:c>
      <x:c r="D212" t="s">
        <x:v>832</x:v>
      </x:c>
      <x:c r="E212" s="6">
        <x:v>1313126.47</x:v>
      </x:c>
      <x:c r="F212" s="6">
        <x:v>0</x:v>
      </x:c>
      <x:c r="G212" s="6">
        <x:v>0</x:v>
      </x:c>
      <x:c r="H212" s="6">
        <x:f t="shared" si="9"/>
        <x:v>1313126.47</x:v>
      </x:c>
      <x:c r="I212" s="6">
        <x:v>116251.68000000001</x:v>
      </x:c>
      <x:c r="J212" s="6">
        <x:v>0</x:v>
      </x:c>
      <x:c r="K212" s="6">
        <x:f t="shared" si="10"/>
        <x:v>116251.68000000001</x:v>
      </x:c>
      <x:c r="L212" s="6">
        <x:v>0</x:v>
      </x:c>
      <x:c r="M212" s="6">
        <x:v>0</x:v>
      </x:c>
      <x:c r="N212" s="6">
        <x:f t="shared" si="11"/>
        <x:v>1429378.15</x:v>
      </x:c>
    </x:row>
    <x:row r="213" spans="1:14" x14ac:dyDescent="0.25">
      <x:c r="A213" t="s">
        <x:v>7</x:v>
      </x:c>
      <x:c r="B213" t="s">
        <x:v>724</x:v>
      </x:c>
      <x:c r="C213" t="s">
        <x:v>725</x:v>
      </x:c>
      <x:c r="D213" t="s">
        <x:v>677</x:v>
      </x:c>
      <x:c r="E213" s="6">
        <x:v>418709.9499999999</x:v>
      </x:c>
      <x:c r="F213" s="6">
        <x:v>0</x:v>
      </x:c>
      <x:c r="G213" s="6">
        <x:v>0</x:v>
      </x:c>
      <x:c r="H213" s="6">
        <x:f t="shared" si="9"/>
        <x:v>418709.9499999999</x:v>
      </x:c>
      <x:c r="I213" s="6">
        <x:v>0</x:v>
      </x:c>
      <x:c r="J213" s="6">
        <x:v>0</x:v>
      </x:c>
      <x:c r="K213" s="6">
        <x:f t="shared" si="10"/>
        <x:v>0</x:v>
      </x:c>
      <x:c r="L213" s="6">
        <x:v>0</x:v>
      </x:c>
      <x:c r="M213" s="6">
        <x:v>0</x:v>
      </x:c>
      <x:c r="N213" s="6">
        <x:f t="shared" si="11"/>
        <x:v>418709.9499999999</x:v>
      </x:c>
    </x:row>
    <x:row r="214" spans="1:14" x14ac:dyDescent="0.25">
      <x:c r="A214" t="s">
        <x:v>7</x:v>
      </x:c>
      <x:c r="B214" t="s">
        <x:v>724</x:v>
      </x:c>
      <x:c r="C214" t="s">
        <x:v>725</x:v>
      </x:c>
      <x:c r="D214" t="s">
        <x:v>832</x:v>
      </x:c>
      <x:c r="E214" s="6">
        <x:v>817120.0399999998</x:v>
      </x:c>
      <x:c r="F214" s="6">
        <x:v>0</x:v>
      </x:c>
      <x:c r="G214" s="6">
        <x:v>0</x:v>
      </x:c>
      <x:c r="H214" s="6">
        <x:f t="shared" si="9"/>
        <x:v>817120.0399999998</x:v>
      </x:c>
      <x:c r="I214" s="6">
        <x:v>6207.7100000000009</x:v>
      </x:c>
      <x:c r="J214" s="6">
        <x:v>0</x:v>
      </x:c>
      <x:c r="K214" s="6">
        <x:f t="shared" si="10"/>
        <x:v>6207.7100000000009</x:v>
      </x:c>
      <x:c r="L214" s="6">
        <x:v>0</x:v>
      </x:c>
      <x:c r="M214" s="6">
        <x:v>0</x:v>
      </x:c>
      <x:c r="N214" s="6">
        <x:f t="shared" si="11"/>
        <x:v>823327.74999999977</x:v>
      </x:c>
    </x:row>
    <x:row r="215" spans="1:14" x14ac:dyDescent="0.25">
      <x:c r="A215" t="s">
        <x:v>7</x:v>
      </x:c>
      <x:c r="B215" t="s">
        <x:v>794</x:v>
      </x:c>
      <x:c r="C215" t="s">
        <x:v>795</x:v>
      </x:c>
      <x:c r="D215" t="s">
        <x:v>677</x:v>
      </x:c>
      <x:c r="E215" s="6">
        <x:v>355004.44000000012</x:v>
      </x:c>
      <x:c r="F215" s="6">
        <x:v>0</x:v>
      </x:c>
      <x:c r="G215" s="6">
        <x:v>0</x:v>
      </x:c>
      <x:c r="H215" s="6">
        <x:f t="shared" si="9"/>
        <x:v>355004.44000000012</x:v>
      </x:c>
      <x:c r="I215" s="6">
        <x:v>0</x:v>
      </x:c>
      <x:c r="J215" s="6">
        <x:v>0</x:v>
      </x:c>
      <x:c r="K215" s="6">
        <x:f t="shared" si="10"/>
        <x:v>0</x:v>
      </x:c>
      <x:c r="L215" s="6">
        <x:v>0</x:v>
      </x:c>
      <x:c r="M215" s="6">
        <x:v>0</x:v>
      </x:c>
      <x:c r="N215" s="6">
        <x:f t="shared" si="11"/>
        <x:v>355004.44000000012</x:v>
      </x:c>
    </x:row>
    <x:row r="216" spans="1:14" x14ac:dyDescent="0.25">
      <x:c r="A216" t="s">
        <x:v>7</x:v>
      </x:c>
      <x:c r="B216" t="s">
        <x:v>794</x:v>
      </x:c>
      <x:c r="C216" t="s">
        <x:v>795</x:v>
      </x:c>
      <x:c r="D216" t="s">
        <x:v>832</x:v>
      </x:c>
      <x:c r="E216" s="6">
        <x:v>421654.97000000003</x:v>
      </x:c>
      <x:c r="F216" s="6">
        <x:v>0</x:v>
      </x:c>
      <x:c r="G216" s="6">
        <x:v>0</x:v>
      </x:c>
      <x:c r="H216" s="6">
        <x:f t="shared" si="9"/>
        <x:v>421654.97000000003</x:v>
      </x:c>
      <x:c r="I216" s="6">
        <x:v>14239.86</x:v>
      </x:c>
      <x:c r="J216" s="6">
        <x:v>0</x:v>
      </x:c>
      <x:c r="K216" s="6">
        <x:f t="shared" si="10"/>
        <x:v>14239.86</x:v>
      </x:c>
      <x:c r="L216" s="6">
        <x:v>0</x:v>
      </x:c>
      <x:c r="M216" s="6">
        <x:v>0</x:v>
      </x:c>
      <x:c r="N216" s="6">
        <x:f t="shared" si="11"/>
        <x:v>435894.83</x:v>
      </x:c>
    </x:row>
    <x:row r="217" spans="1:14" x14ac:dyDescent="0.25">
      <x:c r="A217" t="s">
        <x:v>7</x:v>
      </x:c>
      <x:c r="B217" t="s">
        <x:v>796</x:v>
      </x:c>
      <x:c r="C217" t="s">
        <x:v>797</x:v>
      </x:c>
      <x:c r="D217" t="s">
        <x:v>677</x:v>
      </x:c>
      <x:c r="E217" s="6">
        <x:v>279365.55</x:v>
      </x:c>
      <x:c r="F217" s="6">
        <x:v>0</x:v>
      </x:c>
      <x:c r="G217" s="6">
        <x:v>0</x:v>
      </x:c>
      <x:c r="H217" s="6">
        <x:f t="shared" si="9"/>
        <x:v>279365.55</x:v>
      </x:c>
      <x:c r="I217" s="6">
        <x:v>0</x:v>
      </x:c>
      <x:c r="J217" s="6">
        <x:v>0</x:v>
      </x:c>
      <x:c r="K217" s="6">
        <x:f t="shared" si="10"/>
        <x:v>0</x:v>
      </x:c>
      <x:c r="L217" s="6">
        <x:v>0</x:v>
      </x:c>
      <x:c r="M217" s="6">
        <x:v>0</x:v>
      </x:c>
      <x:c r="N217" s="6">
        <x:f t="shared" si="11"/>
        <x:v>279365.55</x:v>
      </x:c>
    </x:row>
    <x:row r="218" spans="1:14" x14ac:dyDescent="0.25">
      <x:c r="A218" t="s">
        <x:v>7</x:v>
      </x:c>
      <x:c r="B218" t="s">
        <x:v>796</x:v>
      </x:c>
      <x:c r="C218" t="s">
        <x:v>797</x:v>
      </x:c>
      <x:c r="D218" t="s">
        <x:v>832</x:v>
      </x:c>
      <x:c r="E218" s="6">
        <x:v>752701.15999999992</x:v>
      </x:c>
      <x:c r="F218" s="6">
        <x:v>0</x:v>
      </x:c>
      <x:c r="G218" s="6">
        <x:v>0</x:v>
      </x:c>
      <x:c r="H218" s="6">
        <x:f t="shared" si="9"/>
        <x:v>752701.15999999992</x:v>
      </x:c>
      <x:c r="I218" s="6">
        <x:v>10020.23</x:v>
      </x:c>
      <x:c r="J218" s="6">
        <x:v>0</x:v>
      </x:c>
      <x:c r="K218" s="6">
        <x:f t="shared" si="10"/>
        <x:v>10020.23</x:v>
      </x:c>
      <x:c r="L218" s="6">
        <x:v>0</x:v>
      </x:c>
      <x:c r="M218" s="6">
        <x:v>0</x:v>
      </x:c>
      <x:c r="N218" s="6">
        <x:f t="shared" si="11"/>
        <x:v>762721.3899999999</x:v>
      </x:c>
    </x:row>
    <x:row r="219" spans="1:14" x14ac:dyDescent="0.25">
      <x:c r="A219" t="s">
        <x:v>7</x:v>
      </x:c>
      <x:c r="B219" t="s">
        <x:v>726</x:v>
      </x:c>
      <x:c r="C219" t="s">
        <x:v>727</x:v>
      </x:c>
      <x:c r="D219" t="s">
        <x:v>677</x:v>
      </x:c>
      <x:c r="E219" s="6">
        <x:v>1013257.2200000002</x:v>
      </x:c>
      <x:c r="F219" s="6">
        <x:v>0</x:v>
      </x:c>
      <x:c r="G219" s="6">
        <x:v>0</x:v>
      </x:c>
      <x:c r="H219" s="6">
        <x:f t="shared" si="9"/>
        <x:v>1013257.2200000002</x:v>
      </x:c>
      <x:c r="I219" s="6">
        <x:v>0</x:v>
      </x:c>
      <x:c r="J219" s="6">
        <x:v>0</x:v>
      </x:c>
      <x:c r="K219" s="6">
        <x:f t="shared" si="10"/>
        <x:v>0</x:v>
      </x:c>
      <x:c r="L219" s="6">
        <x:v>0</x:v>
      </x:c>
      <x:c r="M219" s="6">
        <x:v>0</x:v>
      </x:c>
      <x:c r="N219" s="6">
        <x:f t="shared" si="11"/>
        <x:v>1013257.2200000002</x:v>
      </x:c>
    </x:row>
    <x:row r="220" spans="1:14" x14ac:dyDescent="0.25">
      <x:c r="A220" t="s">
        <x:v>7</x:v>
      </x:c>
      <x:c r="B220" t="s">
        <x:v>726</x:v>
      </x:c>
      <x:c r="C220" t="s">
        <x:v>727</x:v>
      </x:c>
      <x:c r="D220" t="s">
        <x:v>832</x:v>
      </x:c>
      <x:c r="E220" s="6">
        <x:v>1225322.1399999999</x:v>
      </x:c>
      <x:c r="F220" s="6">
        <x:v>0</x:v>
      </x:c>
      <x:c r="G220" s="6">
        <x:v>0</x:v>
      </x:c>
      <x:c r="H220" s="6">
        <x:f t="shared" si="9"/>
        <x:v>1225322.1399999999</x:v>
      </x:c>
      <x:c r="I220" s="6">
        <x:v>45651.89</x:v>
      </x:c>
      <x:c r="J220" s="6">
        <x:v>0</x:v>
      </x:c>
      <x:c r="K220" s="6">
        <x:f t="shared" si="10"/>
        <x:v>45651.89</x:v>
      </x:c>
      <x:c r="L220" s="6">
        <x:v>0</x:v>
      </x:c>
      <x:c r="M220" s="6">
        <x:v>0</x:v>
      </x:c>
      <x:c r="N220" s="6">
        <x:f t="shared" si="11"/>
        <x:v>1270974.0299999998</x:v>
      </x:c>
    </x:row>
    <x:row r="221" spans="1:14" x14ac:dyDescent="0.25">
      <x:c r="A221" t="s">
        <x:v>7</x:v>
      </x:c>
      <x:c r="B221" t="s">
        <x:v>805</x:v>
      </x:c>
      <x:c r="C221" t="s">
        <x:v>806</x:v>
      </x:c>
      <x:c r="D221" t="s">
        <x:v>677</x:v>
      </x:c>
      <x:c r="E221" s="6">
        <x:v>50363.85</x:v>
      </x:c>
      <x:c r="F221" s="6">
        <x:v>0</x:v>
      </x:c>
      <x:c r="G221" s="6">
        <x:v>0</x:v>
      </x:c>
      <x:c r="H221" s="6">
        <x:f t="shared" si="9"/>
        <x:v>50363.85</x:v>
      </x:c>
      <x:c r="I221" s="6">
        <x:v>0</x:v>
      </x:c>
      <x:c r="J221" s="6">
        <x:v>0</x:v>
      </x:c>
      <x:c r="K221" s="6">
        <x:f t="shared" si="10"/>
        <x:v>0</x:v>
      </x:c>
      <x:c r="L221" s="6">
        <x:v>0</x:v>
      </x:c>
      <x:c r="M221" s="6">
        <x:v>0</x:v>
      </x:c>
      <x:c r="N221" s="6">
        <x:f t="shared" si="11"/>
        <x:v>50363.85</x:v>
      </x:c>
    </x:row>
    <x:row r="222" spans="1:14" x14ac:dyDescent="0.25">
      <x:c r="A222" t="s">
        <x:v>7</x:v>
      </x:c>
      <x:c r="B222" t="s">
        <x:v>805</x:v>
      </x:c>
      <x:c r="C222" t="s">
        <x:v>806</x:v>
      </x:c>
      <x:c r="D222" t="s">
        <x:v>832</x:v>
      </x:c>
      <x:c r="E222" s="6">
        <x:v>13782.409999999998</x:v>
      </x:c>
      <x:c r="F222" s="6">
        <x:v>0</x:v>
      </x:c>
      <x:c r="G222" s="6">
        <x:v>0</x:v>
      </x:c>
      <x:c r="H222" s="6">
        <x:f t="shared" si="9"/>
        <x:v>13782.409999999998</x:v>
      </x:c>
      <x:c r="I222" s="6">
        <x:v>0</x:v>
      </x:c>
      <x:c r="J222" s="6">
        <x:v>0</x:v>
      </x:c>
      <x:c r="K222" s="6">
        <x:f t="shared" si="10"/>
        <x:v>0</x:v>
      </x:c>
      <x:c r="L222" s="6">
        <x:v>0</x:v>
      </x:c>
      <x:c r="M222" s="6">
        <x:v>0</x:v>
      </x:c>
      <x:c r="N222" s="6">
        <x:f t="shared" si="11"/>
        <x:v>13782.409999999998</x:v>
      </x:c>
    </x:row>
    <x:row r="223" spans="1:14" x14ac:dyDescent="0.25">
      <x:c r="A223" t="s">
        <x:v>7</x:v>
      </x:c>
      <x:c r="B223" t="s">
        <x:v>728</x:v>
      </x:c>
      <x:c r="C223" t="s">
        <x:v>729</x:v>
      </x:c>
      <x:c r="D223" t="s">
        <x:v>677</x:v>
      </x:c>
      <x:c r="E223" s="6">
        <x:v>545868.69999999972</x:v>
      </x:c>
      <x:c r="F223" s="6">
        <x:v>0</x:v>
      </x:c>
      <x:c r="G223" s="6">
        <x:v>0</x:v>
      </x:c>
      <x:c r="H223" s="6">
        <x:f t="shared" si="9"/>
        <x:v>545868.69999999972</x:v>
      </x:c>
      <x:c r="I223" s="6">
        <x:v>0</x:v>
      </x:c>
      <x:c r="J223" s="6">
        <x:v>0</x:v>
      </x:c>
      <x:c r="K223" s="6">
        <x:f t="shared" si="10"/>
        <x:v>0</x:v>
      </x:c>
      <x:c r="L223" s="6">
        <x:v>0</x:v>
      </x:c>
      <x:c r="M223" s="6">
        <x:v>0</x:v>
      </x:c>
      <x:c r="N223" s="6">
        <x:f t="shared" si="11"/>
        <x:v>545868.69999999972</x:v>
      </x:c>
    </x:row>
    <x:row r="224" spans="1:14" x14ac:dyDescent="0.25">
      <x:c r="A224" t="s">
        <x:v>7</x:v>
      </x:c>
      <x:c r="B224" t="s">
        <x:v>728</x:v>
      </x:c>
      <x:c r="C224" t="s">
        <x:v>729</x:v>
      </x:c>
      <x:c r="D224" t="s">
        <x:v>832</x:v>
      </x:c>
      <x:c r="E224" s="6">
        <x:v>800</x:v>
      </x:c>
      <x:c r="F224" s="6">
        <x:v>0</x:v>
      </x:c>
      <x:c r="G224" s="6">
        <x:v>0</x:v>
      </x:c>
      <x:c r="H224" s="6">
        <x:f t="shared" si="9"/>
        <x:v>800</x:v>
      </x:c>
      <x:c r="I224" s="6">
        <x:v>0</x:v>
      </x:c>
      <x:c r="J224" s="6">
        <x:v>0</x:v>
      </x:c>
      <x:c r="K224" s="6">
        <x:f t="shared" si="10"/>
        <x:v>0</x:v>
      </x:c>
      <x:c r="L224" s="6">
        <x:v>0</x:v>
      </x:c>
      <x:c r="M224" s="6">
        <x:v>0</x:v>
      </x:c>
      <x:c r="N224" s="6">
        <x:f t="shared" si="11"/>
        <x:v>800</x:v>
      </x:c>
    </x:row>
    <x:row r="225" spans="1:14" x14ac:dyDescent="0.25">
      <x:c r="A225" t="s">
        <x:v>7</x:v>
      </x:c>
      <x:c r="B225" t="s">
        <x:v>807</x:v>
      </x:c>
      <x:c r="C225" t="s">
        <x:v>808</x:v>
      </x:c>
      <x:c r="D225" t="s">
        <x:v>677</x:v>
      </x:c>
      <x:c r="E225" s="6">
        <x:v>28344.659999999996</x:v>
      </x:c>
      <x:c r="F225" s="6">
        <x:v>0</x:v>
      </x:c>
      <x:c r="G225" s="6">
        <x:v>0</x:v>
      </x:c>
      <x:c r="H225" s="6">
        <x:f t="shared" si="9"/>
        <x:v>28344.659999999996</x:v>
      </x:c>
      <x:c r="I225" s="6">
        <x:v>0</x:v>
      </x:c>
      <x:c r="J225" s="6">
        <x:v>0</x:v>
      </x:c>
      <x:c r="K225" s="6">
        <x:f t="shared" si="10"/>
        <x:v>0</x:v>
      </x:c>
      <x:c r="L225" s="6">
        <x:v>0</x:v>
      </x:c>
      <x:c r="M225" s="6">
        <x:v>0</x:v>
      </x:c>
      <x:c r="N225" s="6">
        <x:f t="shared" si="11"/>
        <x:v>28344.659999999996</x:v>
      </x:c>
    </x:row>
    <x:row r="226" spans="1:14" x14ac:dyDescent="0.25">
      <x:c r="A226" t="s">
        <x:v>7</x:v>
      </x:c>
      <x:c r="B226" t="s">
        <x:v>807</x:v>
      </x:c>
      <x:c r="C226" t="s">
        <x:v>808</x:v>
      </x:c>
      <x:c r="D226" t="s">
        <x:v>832</x:v>
      </x:c>
      <x:c r="E226" s="6">
        <x:v>-31357.33</x:v>
      </x:c>
      <x:c r="F226" s="6">
        <x:v>0</x:v>
      </x:c>
      <x:c r="G226" s="6">
        <x:v>0</x:v>
      </x:c>
      <x:c r="H226" s="6">
        <x:f t="shared" si="9"/>
        <x:v>-31357.33</x:v>
      </x:c>
      <x:c r="I226" s="6">
        <x:v>0</x:v>
      </x:c>
      <x:c r="J226" s="6">
        <x:v>0</x:v>
      </x:c>
      <x:c r="K226" s="6">
        <x:f t="shared" si="10"/>
        <x:v>0</x:v>
      </x:c>
      <x:c r="L226" s="6">
        <x:v>0</x:v>
      </x:c>
      <x:c r="M226" s="6">
        <x:v>0</x:v>
      </x:c>
      <x:c r="N226" s="6">
        <x:f t="shared" si="11"/>
        <x:v>-31357.33</x:v>
      </x:c>
    </x:row>
    <x:row r="227" spans="1:14" x14ac:dyDescent="0.25">
      <x:c r="A227" t="s">
        <x:v>7</x:v>
      </x:c>
      <x:c r="B227" t="s">
        <x:v>730</x:v>
      </x:c>
      <x:c r="C227" t="s">
        <x:v>731</x:v>
      </x:c>
      <x:c r="D227" t="s">
        <x:v>677</x:v>
      </x:c>
      <x:c r="E227" s="6">
        <x:v>4453183.379999999</x:v>
      </x:c>
      <x:c r="F227" s="6">
        <x:v>0</x:v>
      </x:c>
      <x:c r="G227" s="6">
        <x:v>0</x:v>
      </x:c>
      <x:c r="H227" s="6">
        <x:f t="shared" si="9"/>
        <x:v>4453183.379999999</x:v>
      </x:c>
      <x:c r="I227" s="6">
        <x:v>0</x:v>
      </x:c>
      <x:c r="J227" s="6">
        <x:v>0</x:v>
      </x:c>
      <x:c r="K227" s="6">
        <x:f t="shared" si="10"/>
        <x:v>0</x:v>
      </x:c>
      <x:c r="L227" s="6">
        <x:v>0</x:v>
      </x:c>
      <x:c r="M227" s="6">
        <x:v>0</x:v>
      </x:c>
      <x:c r="N227" s="6">
        <x:f t="shared" si="11"/>
        <x:v>4453183.379999999</x:v>
      </x:c>
    </x:row>
    <x:row r="228" spans="1:14" x14ac:dyDescent="0.25">
      <x:c r="A228" t="s">
        <x:v>7</x:v>
      </x:c>
      <x:c r="B228" t="s">
        <x:v>730</x:v>
      </x:c>
      <x:c r="C228" t="s">
        <x:v>731</x:v>
      </x:c>
      <x:c r="D228" t="s">
        <x:v>832</x:v>
      </x:c>
      <x:c r="E228" s="6">
        <x:v>338238.2699999999</x:v>
      </x:c>
      <x:c r="F228" s="6">
        <x:v>0</x:v>
      </x:c>
      <x:c r="G228" s="6">
        <x:v>0</x:v>
      </x:c>
      <x:c r="H228" s="6">
        <x:f t="shared" si="9"/>
        <x:v>338238.2699999999</x:v>
      </x:c>
      <x:c r="I228" s="6">
        <x:v>0</x:v>
      </x:c>
      <x:c r="J228" s="6">
        <x:v>0</x:v>
      </x:c>
      <x:c r="K228" s="6">
        <x:f t="shared" si="10"/>
        <x:v>0</x:v>
      </x:c>
      <x:c r="L228" s="6">
        <x:v>0</x:v>
      </x:c>
      <x:c r="M228" s="6">
        <x:v>0</x:v>
      </x:c>
      <x:c r="N228" s="6">
        <x:f t="shared" si="11"/>
        <x:v>338238.2699999999</x:v>
      </x:c>
    </x:row>
    <x:row r="229" spans="1:14" x14ac:dyDescent="0.25">
      <x:c r="A229" t="s">
        <x:v>7</x:v>
      </x:c>
      <x:c r="B229" t="s">
        <x:v>732</x:v>
      </x:c>
      <x:c r="C229" t="s">
        <x:v>733</x:v>
      </x:c>
      <x:c r="D229" t="s">
        <x:v>677</x:v>
      </x:c>
      <x:c r="E229" s="6">
        <x:v>56825.239999999991</x:v>
      </x:c>
      <x:c r="F229" s="6">
        <x:v>0</x:v>
      </x:c>
      <x:c r="G229" s="6">
        <x:v>0</x:v>
      </x:c>
      <x:c r="H229" s="6">
        <x:f t="shared" si="9"/>
        <x:v>56825.239999999991</x:v>
      </x:c>
      <x:c r="I229" s="6">
        <x:v>0</x:v>
      </x:c>
      <x:c r="J229" s="6">
        <x:v>0</x:v>
      </x:c>
      <x:c r="K229" s="6">
        <x:f t="shared" si="10"/>
        <x:v>0</x:v>
      </x:c>
      <x:c r="L229" s="6">
        <x:v>0</x:v>
      </x:c>
      <x:c r="M229" s="6">
        <x:v>0</x:v>
      </x:c>
      <x:c r="N229" s="6">
        <x:f t="shared" si="11"/>
        <x:v>56825.239999999991</x:v>
      </x:c>
    </x:row>
    <x:row r="230" spans="1:14" x14ac:dyDescent="0.25">
      <x:c r="A230" t="s">
        <x:v>7</x:v>
      </x:c>
      <x:c r="B230" t="s">
        <x:v>732</x:v>
      </x:c>
      <x:c r="C230" t="s">
        <x:v>733</x:v>
      </x:c>
      <x:c r="D230" t="s">
        <x:v>832</x:v>
      </x:c>
      <x:c r="E230" s="6">
        <x:v>124433.58999999998</x:v>
      </x:c>
      <x:c r="F230" s="6">
        <x:v>0</x:v>
      </x:c>
      <x:c r="G230" s="6">
        <x:v>0</x:v>
      </x:c>
      <x:c r="H230" s="6">
        <x:f t="shared" si="9"/>
        <x:v>124433.58999999998</x:v>
      </x:c>
      <x:c r="I230" s="6">
        <x:v>0</x:v>
      </x:c>
      <x:c r="J230" s="6">
        <x:v>0</x:v>
      </x:c>
      <x:c r="K230" s="6">
        <x:f t="shared" si="10"/>
        <x:v>0</x:v>
      </x:c>
      <x:c r="L230" s="6">
        <x:v>0</x:v>
      </x:c>
      <x:c r="M230" s="6">
        <x:v>0</x:v>
      </x:c>
      <x:c r="N230" s="6">
        <x:f t="shared" si="11"/>
        <x:v>124433.58999999998</x:v>
      </x:c>
    </x:row>
    <x:row r="231" spans="1:14" x14ac:dyDescent="0.25">
      <x:c r="A231" t="s">
        <x:v>7</x:v>
      </x:c>
      <x:c r="B231" t="s">
        <x:v>734</x:v>
      </x:c>
      <x:c r="C231" t="s">
        <x:v>735</x:v>
      </x:c>
      <x:c r="D231" t="s">
        <x:v>677</x:v>
      </x:c>
      <x:c r="E231" s="6">
        <x:v>212613.53999999998</x:v>
      </x:c>
      <x:c r="F231" s="6">
        <x:v>0</x:v>
      </x:c>
      <x:c r="G231" s="6">
        <x:v>0</x:v>
      </x:c>
      <x:c r="H231" s="6">
        <x:f t="shared" si="9"/>
        <x:v>212613.53999999998</x:v>
      </x:c>
      <x:c r="I231" s="6">
        <x:v>0</x:v>
      </x:c>
      <x:c r="J231" s="6">
        <x:v>0</x:v>
      </x:c>
      <x:c r="K231" s="6">
        <x:f t="shared" si="10"/>
        <x:v>0</x:v>
      </x:c>
      <x:c r="L231" s="6">
        <x:v>0</x:v>
      </x:c>
      <x:c r="M231" s="6">
        <x:v>0</x:v>
      </x:c>
      <x:c r="N231" s="6">
        <x:f t="shared" si="11"/>
        <x:v>212613.53999999998</x:v>
      </x:c>
    </x:row>
    <x:row r="232" spans="1:14" x14ac:dyDescent="0.25">
      <x:c r="A232" t="s">
        <x:v>7</x:v>
      </x:c>
      <x:c r="B232" t="s">
        <x:v>734</x:v>
      </x:c>
      <x:c r="C232" t="s">
        <x:v>735</x:v>
      </x:c>
      <x:c r="D232" t="s">
        <x:v>832</x:v>
      </x:c>
      <x:c r="E232" s="6">
        <x:v>45172.97</x:v>
      </x:c>
      <x:c r="F232" s="6">
        <x:v>0</x:v>
      </x:c>
      <x:c r="G232" s="6">
        <x:v>0</x:v>
      </x:c>
      <x:c r="H232" s="6">
        <x:f t="shared" si="9"/>
        <x:v>45172.97</x:v>
      </x:c>
      <x:c r="I232" s="6">
        <x:v>0</x:v>
      </x:c>
      <x:c r="J232" s="6">
        <x:v>0</x:v>
      </x:c>
      <x:c r="K232" s="6">
        <x:f t="shared" si="10"/>
        <x:v>0</x:v>
      </x:c>
      <x:c r="L232" s="6">
        <x:v>0</x:v>
      </x:c>
      <x:c r="M232" s="6">
        <x:v>0</x:v>
      </x:c>
      <x:c r="N232" s="6">
        <x:f t="shared" si="11"/>
        <x:v>45172.97</x:v>
      </x:c>
    </x:row>
    <x:row r="233" spans="1:14" x14ac:dyDescent="0.25">
      <x:c r="A233" t="s">
        <x:v>7</x:v>
      </x:c>
      <x:c r="B233" t="s">
        <x:v>736</x:v>
      </x:c>
      <x:c r="C233" t="s">
        <x:v>737</x:v>
      </x:c>
      <x:c r="D233" t="s">
        <x:v>677</x:v>
      </x:c>
      <x:c r="E233" s="6">
        <x:v>498700.95000000007</x:v>
      </x:c>
      <x:c r="F233" s="6">
        <x:v>0</x:v>
      </x:c>
      <x:c r="G233" s="6">
        <x:v>0</x:v>
      </x:c>
      <x:c r="H233" s="6">
        <x:f t="shared" si="9"/>
        <x:v>498700.95000000007</x:v>
      </x:c>
      <x:c r="I233" s="6">
        <x:v>0</x:v>
      </x:c>
      <x:c r="J233" s="6">
        <x:v>0</x:v>
      </x:c>
      <x:c r="K233" s="6">
        <x:f t="shared" si="10"/>
        <x:v>0</x:v>
      </x:c>
      <x:c r="L233" s="6">
        <x:v>0</x:v>
      </x:c>
      <x:c r="M233" s="6">
        <x:v>0</x:v>
      </x:c>
      <x:c r="N233" s="6">
        <x:f t="shared" si="11"/>
        <x:v>498700.95000000007</x:v>
      </x:c>
    </x:row>
    <x:row r="234" spans="1:14" x14ac:dyDescent="0.25">
      <x:c r="A234" t="s">
        <x:v>7</x:v>
      </x:c>
      <x:c r="B234" t="s">
        <x:v>736</x:v>
      </x:c>
      <x:c r="C234" t="s">
        <x:v>737</x:v>
      </x:c>
      <x:c r="D234" t="s">
        <x:v>832</x:v>
      </x:c>
      <x:c r="E234" s="6">
        <x:v>408.2</x:v>
      </x:c>
      <x:c r="F234" s="6">
        <x:v>0</x:v>
      </x:c>
      <x:c r="G234" s="6">
        <x:v>0</x:v>
      </x:c>
      <x:c r="H234" s="6">
        <x:f t="shared" si="9"/>
        <x:v>408.2</x:v>
      </x:c>
      <x:c r="I234" s="6">
        <x:v>0</x:v>
      </x:c>
      <x:c r="J234" s="6">
        <x:v>0</x:v>
      </x:c>
      <x:c r="K234" s="6">
        <x:f t="shared" si="10"/>
        <x:v>0</x:v>
      </x:c>
      <x:c r="L234" s="6">
        <x:v>0</x:v>
      </x:c>
      <x:c r="M234" s="6">
        <x:v>0</x:v>
      </x:c>
      <x:c r="N234" s="6">
        <x:f t="shared" si="11"/>
        <x:v>408.2</x:v>
      </x:c>
    </x:row>
    <x:row r="235" spans="1:14" x14ac:dyDescent="0.25">
      <x:c r="A235" t="s">
        <x:v>7</x:v>
      </x:c>
      <x:c r="B235" t="s">
        <x:v>738</x:v>
      </x:c>
      <x:c r="C235" t="s">
        <x:v>739</x:v>
      </x:c>
      <x:c r="D235" t="s">
        <x:v>677</x:v>
      </x:c>
      <x:c r="E235" s="6">
        <x:v>1025826.5399999999</x:v>
      </x:c>
      <x:c r="F235" s="6">
        <x:v>0</x:v>
      </x:c>
      <x:c r="G235" s="6">
        <x:v>0</x:v>
      </x:c>
      <x:c r="H235" s="6">
        <x:f t="shared" si="9"/>
        <x:v>1025826.5399999999</x:v>
      </x:c>
      <x:c r="I235" s="6">
        <x:v>0</x:v>
      </x:c>
      <x:c r="J235" s="6">
        <x:v>0</x:v>
      </x:c>
      <x:c r="K235" s="6">
        <x:f t="shared" si="10"/>
        <x:v>0</x:v>
      </x:c>
      <x:c r="L235" s="6">
        <x:v>0</x:v>
      </x:c>
      <x:c r="M235" s="6">
        <x:v>0</x:v>
      </x:c>
      <x:c r="N235" s="6">
        <x:f t="shared" si="11"/>
        <x:v>1025826.5399999999</x:v>
      </x:c>
    </x:row>
    <x:row r="236" spans="1:14" x14ac:dyDescent="0.25">
      <x:c r="A236" t="s">
        <x:v>7</x:v>
      </x:c>
      <x:c r="B236" t="s">
        <x:v>738</x:v>
      </x:c>
      <x:c r="C236" t="s">
        <x:v>739</x:v>
      </x:c>
      <x:c r="D236" t="s">
        <x:v>832</x:v>
      </x:c>
      <x:c r="E236" s="6">
        <x:v>3396130.9000000008</x:v>
      </x:c>
      <x:c r="F236" s="6">
        <x:v>0</x:v>
      </x:c>
      <x:c r="G236" s="6">
        <x:v>0</x:v>
      </x:c>
      <x:c r="H236" s="6">
        <x:f t="shared" si="9"/>
        <x:v>3396130.9000000008</x:v>
      </x:c>
      <x:c r="I236" s="6">
        <x:v>21124.690000000002</x:v>
      </x:c>
      <x:c r="J236" s="6">
        <x:v>0</x:v>
      </x:c>
      <x:c r="K236" s="6">
        <x:f t="shared" si="10"/>
        <x:v>21124.690000000002</x:v>
      </x:c>
      <x:c r="L236" s="6">
        <x:v>0</x:v>
      </x:c>
      <x:c r="M236" s="6">
        <x:v>0</x:v>
      </x:c>
      <x:c r="N236" s="6">
        <x:f t="shared" si="11"/>
        <x:v>3417255.5900000008</x:v>
      </x:c>
    </x:row>
    <x:row r="237" spans="1:14" x14ac:dyDescent="0.25">
      <x:c r="A237" t="s">
        <x:v>7</x:v>
      </x:c>
      <x:c r="B237" t="s">
        <x:v>740</x:v>
      </x:c>
      <x:c r="C237" t="s">
        <x:v>741</x:v>
      </x:c>
      <x:c r="D237" t="s">
        <x:v>677</x:v>
      </x:c>
      <x:c r="E237" s="6">
        <x:v>12509.65</x:v>
      </x:c>
      <x:c r="F237" s="6">
        <x:v>0</x:v>
      </x:c>
      <x:c r="G237" s="6">
        <x:v>0</x:v>
      </x:c>
      <x:c r="H237" s="6">
        <x:f t="shared" si="9"/>
        <x:v>12509.65</x:v>
      </x:c>
      <x:c r="I237" s="6">
        <x:v>0</x:v>
      </x:c>
      <x:c r="J237" s="6">
        <x:v>0</x:v>
      </x:c>
      <x:c r="K237" s="6">
        <x:f t="shared" si="10"/>
        <x:v>0</x:v>
      </x:c>
      <x:c r="L237" s="6">
        <x:v>0</x:v>
      </x:c>
      <x:c r="M237" s="6">
        <x:v>0</x:v>
      </x:c>
      <x:c r="N237" s="6">
        <x:f t="shared" si="11"/>
        <x:v>12509.65</x:v>
      </x:c>
    </x:row>
    <x:row r="238" spans="1:14" x14ac:dyDescent="0.25">
      <x:c r="A238" t="s">
        <x:v>7</x:v>
      </x:c>
      <x:c r="B238" t="s">
        <x:v>740</x:v>
      </x:c>
      <x:c r="C238" t="s">
        <x:v>741</x:v>
      </x:c>
      <x:c r="D238" t="s">
        <x:v>832</x:v>
      </x:c>
      <x:c r="E238" s="6">
        <x:v>1989504.24</x:v>
      </x:c>
      <x:c r="F238" s="6">
        <x:v>0</x:v>
      </x:c>
      <x:c r="G238" s="6">
        <x:v>0</x:v>
      </x:c>
      <x:c r="H238" s="6">
        <x:f t="shared" si="9"/>
        <x:v>1989504.24</x:v>
      </x:c>
      <x:c r="I238" s="6">
        <x:v>50024.3</x:v>
      </x:c>
      <x:c r="J238" s="6">
        <x:v>0</x:v>
      </x:c>
      <x:c r="K238" s="6">
        <x:f t="shared" si="10"/>
        <x:v>50024.3</x:v>
      </x:c>
      <x:c r="L238" s="6">
        <x:v>0</x:v>
      </x:c>
      <x:c r="M238" s="6">
        <x:v>0</x:v>
      </x:c>
      <x:c r="N238" s="6">
        <x:f t="shared" si="11"/>
        <x:v>2039528.54</x:v>
      </x:c>
    </x:row>
    <x:row r="239" spans="1:14" x14ac:dyDescent="0.25">
      <x:c r="A239" t="s">
        <x:v>7</x:v>
      </x:c>
      <x:c r="B239" s="3" t="s">
        <x:v>45</x:v>
      </x:c>
      <x:c r="C239" s="3" t="s">
        <x:v>362</x:v>
      </x:c>
      <x:c r="D239" t="s">
        <x:v>677</x:v>
      </x:c>
      <x:c r="E239" s="6">
        <x:v>189.66</x:v>
      </x:c>
      <x:c r="F239" s="6">
        <x:v>0</x:v>
      </x:c>
      <x:c r="G239" s="6">
        <x:v>0</x:v>
      </x:c>
      <x:c r="H239" s="6">
        <x:f t="shared" si="9"/>
        <x:v>189.66</x:v>
      </x:c>
      <x:c r="I239" s="6">
        <x:v>0</x:v>
      </x:c>
      <x:c r="J239" s="6">
        <x:v>0</x:v>
      </x:c>
      <x:c r="K239" s="6">
        <x:f t="shared" si="10"/>
        <x:v>0</x:v>
      </x:c>
      <x:c r="L239" s="6">
        <x:v>0</x:v>
      </x:c>
      <x:c r="M239" s="6">
        <x:v>0</x:v>
      </x:c>
      <x:c r="N239" s="6">
        <x:f t="shared" si="11"/>
        <x:v>189.66</x:v>
      </x:c>
    </x:row>
    <x:row r="240" spans="1:14" x14ac:dyDescent="0.25">
      <x:c r="A240" t="s">
        <x:v>7</x:v>
      </x:c>
      <x:c r="B240" s="3" t="s">
        <x:v>58</x:v>
      </x:c>
      <x:c r="C240" s="3" t="s">
        <x:v>375</x:v>
      </x:c>
      <x:c r="D240" t="s">
        <x:v>677</x:v>
      </x:c>
      <x:c r="E240" s="6">
        <x:v>500.22</x:v>
      </x:c>
      <x:c r="F240" s="6">
        <x:v>0</x:v>
      </x:c>
      <x:c r="G240" s="6">
        <x:v>0</x:v>
      </x:c>
      <x:c r="H240" s="6">
        <x:f t="shared" si="9"/>
        <x:v>500.22</x:v>
      </x:c>
      <x:c r="I240" s="6">
        <x:v>0</x:v>
      </x:c>
      <x:c r="J240" s="6">
        <x:v>0</x:v>
      </x:c>
      <x:c r="K240" s="6">
        <x:f t="shared" si="10"/>
        <x:v>0</x:v>
      </x:c>
      <x:c r="L240" s="6">
        <x:v>0</x:v>
      </x:c>
      <x:c r="M240" s="6">
        <x:v>0</x:v>
      </x:c>
      <x:c r="N240" s="6">
        <x:f t="shared" si="11"/>
        <x:v>500.22</x:v>
      </x:c>
    </x:row>
    <x:row r="241" spans="1:14" x14ac:dyDescent="0.25">
      <x:c r="A241" t="s">
        <x:v>7</x:v>
      </x:c>
      <x:c r="B241" s="3" t="s">
        <x:v>59</x:v>
      </x:c>
      <x:c r="C241" s="3" t="s">
        <x:v>376</x:v>
      </x:c>
      <x:c r="D241" t="s">
        <x:v>677</x:v>
      </x:c>
      <x:c r="E241" s="6">
        <x:v>502044.72999999992</x:v>
      </x:c>
      <x:c r="F241" s="6">
        <x:v>0</x:v>
      </x:c>
      <x:c r="G241" s="6">
        <x:v>0</x:v>
      </x:c>
      <x:c r="H241" s="6">
        <x:f t="shared" si="9"/>
        <x:v>502044.72999999992</x:v>
      </x:c>
      <x:c r="I241" s="6">
        <x:v>0</x:v>
      </x:c>
      <x:c r="J241" s="6">
        <x:v>0</x:v>
      </x:c>
      <x:c r="K241" s="6">
        <x:f t="shared" si="10"/>
        <x:v>0</x:v>
      </x:c>
      <x:c r="L241" s="6">
        <x:v>0</x:v>
      </x:c>
      <x:c r="M241" s="6">
        <x:v>0</x:v>
      </x:c>
      <x:c r="N241" s="6">
        <x:f t="shared" si="11"/>
        <x:v>502044.72999999992</x:v>
      </x:c>
    </x:row>
    <x:row r="242" spans="1:14" x14ac:dyDescent="0.25">
      <x:c r="A242" t="s">
        <x:v>7</x:v>
      </x:c>
      <x:c r="B242" s="3" t="s">
        <x:v>60</x:v>
      </x:c>
      <x:c r="C242" s="3" t="s">
        <x:v>377</x:v>
      </x:c>
      <x:c r="D242" t="s">
        <x:v>677</x:v>
      </x:c>
      <x:c r="E242" s="6">
        <x:v>9476.17</x:v>
      </x:c>
      <x:c r="F242" s="6">
        <x:v>0</x:v>
      </x:c>
      <x:c r="G242" s="6">
        <x:v>0</x:v>
      </x:c>
      <x:c r="H242" s="6">
        <x:f t="shared" si="9"/>
        <x:v>9476.17</x:v>
      </x:c>
      <x:c r="I242" s="6">
        <x:v>0</x:v>
      </x:c>
      <x:c r="J242" s="6">
        <x:v>0</x:v>
      </x:c>
      <x:c r="K242" s="6">
        <x:f t="shared" si="10"/>
        <x:v>0</x:v>
      </x:c>
      <x:c r="L242" s="6">
        <x:v>0</x:v>
      </x:c>
      <x:c r="M242" s="6">
        <x:v>0</x:v>
      </x:c>
      <x:c r="N242" s="6">
        <x:f t="shared" si="11"/>
        <x:v>9476.17</x:v>
      </x:c>
    </x:row>
    <x:row r="243" spans="1:14" x14ac:dyDescent="0.25">
      <x:c r="A243" t="s">
        <x:v>7</x:v>
      </x:c>
      <x:c r="B243" s="3" t="s">
        <x:v>61</x:v>
      </x:c>
      <x:c r="C243" s="3" t="s">
        <x:v>378</x:v>
      </x:c>
      <x:c r="D243" t="s">
        <x:v>676</x:v>
      </x:c>
      <x:c r="E243" s="6">
        <x:v>0</x:v>
      </x:c>
      <x:c r="F243" s="6">
        <x:v>0</x:v>
      </x:c>
      <x:c r="G243" s="6">
        <x:v>0</x:v>
      </x:c>
      <x:c r="H243" s="6">
        <x:f t="shared" si="9"/>
        <x:v>0</x:v>
      </x:c>
      <x:c r="I243" s="6">
        <x:v>0</x:v>
      </x:c>
      <x:c r="J243" s="6">
        <x:v>0</x:v>
      </x:c>
      <x:c r="K243" s="6">
        <x:f t="shared" si="10"/>
        <x:v>0</x:v>
      </x:c>
      <x:c r="L243" s="6">
        <x:v>23.66</x:v>
      </x:c>
      <x:c r="M243" s="6">
        <x:v>0</x:v>
      </x:c>
      <x:c r="N243" s="6">
        <x:f t="shared" si="11"/>
        <x:v>23.66</x:v>
      </x:c>
    </x:row>
    <x:row r="244" spans="1:14" x14ac:dyDescent="0.25">
      <x:c r="A244" t="s">
        <x:v>7</x:v>
      </x:c>
      <x:c r="B244" s="3" t="s">
        <x:v>62</x:v>
      </x:c>
      <x:c r="C244" s="3" t="s">
        <x:v>379</x:v>
      </x:c>
      <x:c r="D244" t="s">
        <x:v>676</x:v>
      </x:c>
      <x:c r="E244" s="6">
        <x:v>0</x:v>
      </x:c>
      <x:c r="F244" s="6">
        <x:v>0</x:v>
      </x:c>
      <x:c r="G244" s="6">
        <x:v>0</x:v>
      </x:c>
      <x:c r="H244" s="6">
        <x:f t="shared" si="9"/>
        <x:v>0</x:v>
      </x:c>
      <x:c r="I244" s="6">
        <x:v>0</x:v>
      </x:c>
      <x:c r="J244" s="6">
        <x:v>0</x:v>
      </x:c>
      <x:c r="K244" s="6">
        <x:f t="shared" si="10"/>
        <x:v>0</x:v>
      </x:c>
      <x:c r="L244" s="6">
        <x:v>5282.65</x:v>
      </x:c>
      <x:c r="M244" s="6">
        <x:v>0</x:v>
      </x:c>
      <x:c r="N244" s="6">
        <x:f t="shared" si="11"/>
        <x:v>5282.65</x:v>
      </x:c>
    </x:row>
    <x:row r="245" spans="1:14" x14ac:dyDescent="0.25">
      <x:c r="A245" t="s">
        <x:v>7</x:v>
      </x:c>
      <x:c r="B245" s="3" t="s">
        <x:v>63</x:v>
      </x:c>
      <x:c r="C245" s="3" t="s">
        <x:v>380</x:v>
      </x:c>
      <x:c r="D245" t="s">
        <x:v>677</x:v>
      </x:c>
      <x:c r="E245" s="6">
        <x:v>27.06</x:v>
      </x:c>
      <x:c r="F245" s="6">
        <x:v>0</x:v>
      </x:c>
      <x:c r="G245" s="6">
        <x:v>0</x:v>
      </x:c>
      <x:c r="H245" s="6">
        <x:f t="shared" si="9"/>
        <x:v>27.06</x:v>
      </x:c>
      <x:c r="I245" s="6">
        <x:v>0</x:v>
      </x:c>
      <x:c r="J245" s="6">
        <x:v>0</x:v>
      </x:c>
      <x:c r="K245" s="6">
        <x:f t="shared" si="10"/>
        <x:v>0</x:v>
      </x:c>
      <x:c r="L245" s="6">
        <x:v>0</x:v>
      </x:c>
      <x:c r="M245" s="6">
        <x:v>0</x:v>
      </x:c>
      <x:c r="N245" s="6">
        <x:f t="shared" si="11"/>
        <x:v>27.06</x:v>
      </x:c>
    </x:row>
    <x:row r="246" spans="1:14" x14ac:dyDescent="0.25">
      <x:c r="A246" t="s">
        <x:v>7</x:v>
      </x:c>
      <x:c r="B246" s="3" t="s">
        <x:v>64</x:v>
      </x:c>
      <x:c r="C246" s="3" t="s">
        <x:v>381</x:v>
      </x:c>
      <x:c r="D246" t="s">
        <x:v>677</x:v>
      </x:c>
      <x:c r="E246" s="6">
        <x:v>27.06</x:v>
      </x:c>
      <x:c r="F246" s="6">
        <x:v>0</x:v>
      </x:c>
      <x:c r="G246" s="6">
        <x:v>0</x:v>
      </x:c>
      <x:c r="H246" s="6">
        <x:f t="shared" si="9"/>
        <x:v>27.06</x:v>
      </x:c>
      <x:c r="I246" s="6">
        <x:v>0</x:v>
      </x:c>
      <x:c r="J246" s="6">
        <x:v>0</x:v>
      </x:c>
      <x:c r="K246" s="6">
        <x:f t="shared" si="10"/>
        <x:v>0</x:v>
      </x:c>
      <x:c r="L246" s="6">
        <x:v>0</x:v>
      </x:c>
      <x:c r="M246" s="6">
        <x:v>0</x:v>
      </x:c>
      <x:c r="N246" s="6">
        <x:f t="shared" si="11"/>
        <x:v>27.06</x:v>
      </x:c>
    </x:row>
    <x:row r="247" spans="1:14" x14ac:dyDescent="0.25">
      <x:c r="A247" t="s">
        <x:v>7</x:v>
      </x:c>
      <x:c r="B247" s="3" t="s">
        <x:v>65</x:v>
      </x:c>
      <x:c r="C247" s="3" t="s">
        <x:v>382</x:v>
      </x:c>
      <x:c r="D247" t="s">
        <x:v>677</x:v>
      </x:c>
      <x:c r="E247" s="6">
        <x:v>54.12</x:v>
      </x:c>
      <x:c r="F247" s="6">
        <x:v>0</x:v>
      </x:c>
      <x:c r="G247" s="6">
        <x:v>0</x:v>
      </x:c>
      <x:c r="H247" s="6">
        <x:f t="shared" si="9"/>
        <x:v>54.12</x:v>
      </x:c>
      <x:c r="I247" s="6">
        <x:v>0</x:v>
      </x:c>
      <x:c r="J247" s="6">
        <x:v>0</x:v>
      </x:c>
      <x:c r="K247" s="6">
        <x:f t="shared" si="10"/>
        <x:v>0</x:v>
      </x:c>
      <x:c r="L247" s="6">
        <x:v>0</x:v>
      </x:c>
      <x:c r="M247" s="6">
        <x:v>0</x:v>
      </x:c>
      <x:c r="N247" s="6">
        <x:f t="shared" si="11"/>
        <x:v>54.12</x:v>
      </x:c>
    </x:row>
    <x:row r="248" spans="1:14" x14ac:dyDescent="0.25">
      <x:c r="A248" t="s">
        <x:v>7</x:v>
      </x:c>
      <x:c r="B248" s="3" t="s">
        <x:v>66</x:v>
      </x:c>
      <x:c r="C248" s="3" t="s">
        <x:v>383</x:v>
      </x:c>
      <x:c r="D248" t="s">
        <x:v>677</x:v>
      </x:c>
      <x:c r="E248" s="6">
        <x:v>305053.69</x:v>
      </x:c>
      <x:c r="F248" s="6">
        <x:v>0</x:v>
      </x:c>
      <x:c r="G248" s="6">
        <x:v>0</x:v>
      </x:c>
      <x:c r="H248" s="6">
        <x:f t="shared" si="9"/>
        <x:v>305053.69</x:v>
      </x:c>
      <x:c r="I248" s="6">
        <x:v>0</x:v>
      </x:c>
      <x:c r="J248" s="6">
        <x:v>0</x:v>
      </x:c>
      <x:c r="K248" s="6">
        <x:f t="shared" si="10"/>
        <x:v>0</x:v>
      </x:c>
      <x:c r="L248" s="6">
        <x:v>0</x:v>
      </x:c>
      <x:c r="M248" s="6">
        <x:v>0</x:v>
      </x:c>
      <x:c r="N248" s="6">
        <x:f t="shared" si="11"/>
        <x:v>305053.69</x:v>
      </x:c>
    </x:row>
    <x:row r="249" spans="1:14" x14ac:dyDescent="0.25">
      <x:c r="A249" t="s">
        <x:v>7</x:v>
      </x:c>
      <x:c r="B249" s="3" t="s">
        <x:v>67</x:v>
      </x:c>
      <x:c r="C249" s="3" t="s">
        <x:v>384</x:v>
      </x:c>
      <x:c r="D249" t="s">
        <x:v>677</x:v>
      </x:c>
      <x:c r="E249" s="6">
        <x:v>173.2</x:v>
      </x:c>
      <x:c r="F249" s="6">
        <x:v>0</x:v>
      </x:c>
      <x:c r="G249" s="6">
        <x:v>0</x:v>
      </x:c>
      <x:c r="H249" s="6">
        <x:f t="shared" si="9"/>
        <x:v>173.2</x:v>
      </x:c>
      <x:c r="I249" s="6">
        <x:v>0</x:v>
      </x:c>
      <x:c r="J249" s="6">
        <x:v>0</x:v>
      </x:c>
      <x:c r="K249" s="6">
        <x:f t="shared" si="10"/>
        <x:v>0</x:v>
      </x:c>
      <x:c r="L249" s="6">
        <x:v>0</x:v>
      </x:c>
      <x:c r="M249" s="6">
        <x:v>0</x:v>
      </x:c>
      <x:c r="N249" s="6">
        <x:f t="shared" si="11"/>
        <x:v>173.2</x:v>
      </x:c>
    </x:row>
    <x:row r="250" spans="1:14" x14ac:dyDescent="0.25">
      <x:c r="A250" t="s">
        <x:v>7</x:v>
      </x:c>
      <x:c r="B250" t="s">
        <x:v>742</x:v>
      </x:c>
      <x:c r="C250" t="s">
        <x:v>743</x:v>
      </x:c>
      <x:c r="D250" t="s">
        <x:v>677</x:v>
      </x:c>
      <x:c r="E250" s="6">
        <x:v>11739688.789999999</x:v>
      </x:c>
      <x:c r="F250" s="6">
        <x:v>0</x:v>
      </x:c>
      <x:c r="G250" s="6">
        <x:v>0</x:v>
      </x:c>
      <x:c r="H250" s="6">
        <x:f t="shared" si="9"/>
        <x:v>11739688.789999999</x:v>
      </x:c>
      <x:c r="I250" s="6">
        <x:v>0</x:v>
      </x:c>
      <x:c r="J250" s="6">
        <x:v>0</x:v>
      </x:c>
      <x:c r="K250" s="6">
        <x:f t="shared" si="10"/>
        <x:v>0</x:v>
      </x:c>
      <x:c r="L250" s="6">
        <x:v>0</x:v>
      </x:c>
      <x:c r="M250" s="6">
        <x:v>0</x:v>
      </x:c>
      <x:c r="N250" s="6">
        <x:f t="shared" si="11"/>
        <x:v>11739688.789999999</x:v>
      </x:c>
    </x:row>
    <x:row r="251" spans="1:14" x14ac:dyDescent="0.25">
      <x:c r="A251" t="s">
        <x:v>7</x:v>
      </x:c>
      <x:c r="B251" t="s">
        <x:v>742</x:v>
      </x:c>
      <x:c r="C251" t="s">
        <x:v>743</x:v>
      </x:c>
      <x:c r="D251" t="s">
        <x:v>832</x:v>
      </x:c>
      <x:c r="E251" s="6">
        <x:v>91952.81</x:v>
      </x:c>
      <x:c r="F251" s="6">
        <x:v>0</x:v>
      </x:c>
      <x:c r="G251" s="6">
        <x:v>0</x:v>
      </x:c>
      <x:c r="H251" s="6">
        <x:f t="shared" si="9"/>
        <x:v>91952.81</x:v>
      </x:c>
      <x:c r="I251" s="6">
        <x:v>0</x:v>
      </x:c>
      <x:c r="J251" s="6">
        <x:v>0</x:v>
      </x:c>
      <x:c r="K251" s="6">
        <x:f t="shared" si="10"/>
        <x:v>0</x:v>
      </x:c>
      <x:c r="L251" s="6">
        <x:v>0</x:v>
      </x:c>
      <x:c r="M251" s="6">
        <x:v>0</x:v>
      </x:c>
      <x:c r="N251" s="6">
        <x:f t="shared" si="11"/>
        <x:v>91952.81</x:v>
      </x:c>
    </x:row>
    <x:row r="252" spans="1:14" x14ac:dyDescent="0.25">
      <x:c r="A252" t="s">
        <x:v>7</x:v>
      </x:c>
      <x:c r="B252" t="s">
        <x:v>744</x:v>
      </x:c>
      <x:c r="C252" t="s">
        <x:v>745</x:v>
      </x:c>
      <x:c r="D252" t="s">
        <x:v>677</x:v>
      </x:c>
      <x:c r="E252" s="6">
        <x:v>99625.109999999986</x:v>
      </x:c>
      <x:c r="F252" s="6">
        <x:v>0</x:v>
      </x:c>
      <x:c r="G252" s="6">
        <x:v>0</x:v>
      </x:c>
      <x:c r="H252" s="6">
        <x:f t="shared" si="9"/>
        <x:v>99625.109999999986</x:v>
      </x:c>
      <x:c r="I252" s="6">
        <x:v>0</x:v>
      </x:c>
      <x:c r="J252" s="6">
        <x:v>0</x:v>
      </x:c>
      <x:c r="K252" s="6">
        <x:f t="shared" si="10"/>
        <x:v>0</x:v>
      </x:c>
      <x:c r="L252" s="6">
        <x:v>0</x:v>
      </x:c>
      <x:c r="M252" s="6">
        <x:v>0</x:v>
      </x:c>
      <x:c r="N252" s="6">
        <x:f t="shared" si="11"/>
        <x:v>99625.109999999986</x:v>
      </x:c>
    </x:row>
    <x:row r="253" spans="1:14" x14ac:dyDescent="0.25">
      <x:c r="A253" t="s">
        <x:v>7</x:v>
      </x:c>
      <x:c r="B253" t="s">
        <x:v>744</x:v>
      </x:c>
      <x:c r="C253" t="s">
        <x:v>745</x:v>
      </x:c>
      <x:c r="D253" t="s">
        <x:v>832</x:v>
      </x:c>
      <x:c r="E253" s="6">
        <x:v>121326.04</x:v>
      </x:c>
      <x:c r="F253" s="6">
        <x:v>0</x:v>
      </x:c>
      <x:c r="G253" s="6">
        <x:v>0</x:v>
      </x:c>
      <x:c r="H253" s="6">
        <x:f t="shared" si="9"/>
        <x:v>121326.04</x:v>
      </x:c>
      <x:c r="I253" s="6">
        <x:v>0</x:v>
      </x:c>
      <x:c r="J253" s="6">
        <x:v>0</x:v>
      </x:c>
      <x:c r="K253" s="6">
        <x:f t="shared" si="10"/>
        <x:v>0</x:v>
      </x:c>
      <x:c r="L253" s="6">
        <x:v>0</x:v>
      </x:c>
      <x:c r="M253" s="6">
        <x:v>0</x:v>
      </x:c>
      <x:c r="N253" s="6">
        <x:f t="shared" si="11"/>
        <x:v>121326.04</x:v>
      </x:c>
    </x:row>
    <x:row r="254" spans="1:14" x14ac:dyDescent="0.25">
      <x:c r="A254" t="s">
        <x:v>7</x:v>
      </x:c>
      <x:c r="B254" t="s">
        <x:v>746</x:v>
      </x:c>
      <x:c r="C254" t="s">
        <x:v>747</x:v>
      </x:c>
      <x:c r="D254" t="s">
        <x:v>677</x:v>
      </x:c>
      <x:c r="E254" s="6">
        <x:v>353159.77999999997</x:v>
      </x:c>
      <x:c r="F254" s="6">
        <x:v>0</x:v>
      </x:c>
      <x:c r="G254" s="6">
        <x:v>0</x:v>
      </x:c>
      <x:c r="H254" s="6">
        <x:f t="shared" si="9"/>
        <x:v>353159.77999999997</x:v>
      </x:c>
      <x:c r="I254" s="6">
        <x:v>0</x:v>
      </x:c>
      <x:c r="J254" s="6">
        <x:v>0</x:v>
      </x:c>
      <x:c r="K254" s="6">
        <x:f t="shared" si="10"/>
        <x:v>0</x:v>
      </x:c>
      <x:c r="L254" s="6">
        <x:v>0</x:v>
      </x:c>
      <x:c r="M254" s="6">
        <x:v>0</x:v>
      </x:c>
      <x:c r="N254" s="6">
        <x:f t="shared" si="11"/>
        <x:v>353159.77999999997</x:v>
      </x:c>
    </x:row>
    <x:row r="255" spans="1:14" x14ac:dyDescent="0.25">
      <x:c r="A255" t="s">
        <x:v>7</x:v>
      </x:c>
      <x:c r="B255" t="s">
        <x:v>746</x:v>
      </x:c>
      <x:c r="C255" t="s">
        <x:v>747</x:v>
      </x:c>
      <x:c r="D255" t="s">
        <x:v>832</x:v>
      </x:c>
      <x:c r="E255" s="6">
        <x:v>275342.42</x:v>
      </x:c>
      <x:c r="F255" s="6">
        <x:v>0</x:v>
      </x:c>
      <x:c r="G255" s="6">
        <x:v>0</x:v>
      </x:c>
      <x:c r="H255" s="6">
        <x:f t="shared" si="9"/>
        <x:v>275342.42</x:v>
      </x:c>
      <x:c r="I255" s="6">
        <x:v>0</x:v>
      </x:c>
      <x:c r="J255" s="6">
        <x:v>0</x:v>
      </x:c>
      <x:c r="K255" s="6">
        <x:f t="shared" si="10"/>
        <x:v>0</x:v>
      </x:c>
      <x:c r="L255" s="6">
        <x:v>0</x:v>
      </x:c>
      <x:c r="M255" s="6">
        <x:v>0</x:v>
      </x:c>
      <x:c r="N255" s="6">
        <x:f t="shared" si="11"/>
        <x:v>275342.42</x:v>
      </x:c>
    </x:row>
    <x:row r="256" spans="1:14" x14ac:dyDescent="0.25">
      <x:c r="A256" t="s">
        <x:v>7</x:v>
      </x:c>
      <x:c r="B256" t="s">
        <x:v>748</x:v>
      </x:c>
      <x:c r="C256" t="s">
        <x:v>438</x:v>
      </x:c>
      <x:c r="D256" t="s">
        <x:v>832</x:v>
      </x:c>
      <x:c r="E256" s="6">
        <x:v>3941.3</x:v>
      </x:c>
      <x:c r="F256" s="6">
        <x:v>0</x:v>
      </x:c>
      <x:c r="G256" s="6">
        <x:v>0</x:v>
      </x:c>
      <x:c r="H256" s="6">
        <x:f t="shared" si="9"/>
        <x:v>3941.3</x:v>
      </x:c>
      <x:c r="I256" s="6">
        <x:v>0</x:v>
      </x:c>
      <x:c r="J256" s="6">
        <x:v>0</x:v>
      </x:c>
      <x:c r="K256" s="6">
        <x:f t="shared" si="10"/>
        <x:v>0</x:v>
      </x:c>
      <x:c r="L256" s="6">
        <x:v>0</x:v>
      </x:c>
      <x:c r="M256" s="6">
        <x:v>0</x:v>
      </x:c>
      <x:c r="N256" s="6">
        <x:f t="shared" si="11"/>
        <x:v>3941.3</x:v>
      </x:c>
    </x:row>
    <x:row r="257" spans="1:14" x14ac:dyDescent="0.25">
      <x:c r="A257" t="s">
        <x:v>7</x:v>
      </x:c>
      <x:c r="B257" t="s">
        <x:v>762</x:v>
      </x:c>
      <x:c r="C257" t="s">
        <x:v>763</x:v>
      </x:c>
      <x:c r="D257" t="s">
        <x:v>677</x:v>
      </x:c>
      <x:c r="E257" s="6">
        <x:v>953382.35000000009</x:v>
      </x:c>
      <x:c r="F257" s="6">
        <x:v>0</x:v>
      </x:c>
      <x:c r="G257" s="6">
        <x:v>0</x:v>
      </x:c>
      <x:c r="H257" s="6">
        <x:f t="shared" si="9"/>
        <x:v>953382.35000000009</x:v>
      </x:c>
      <x:c r="I257" s="6">
        <x:v>0</x:v>
      </x:c>
      <x:c r="J257" s="6">
        <x:v>0</x:v>
      </x:c>
      <x:c r="K257" s="6">
        <x:f t="shared" si="10"/>
        <x:v>0</x:v>
      </x:c>
      <x:c r="L257" s="6">
        <x:v>0</x:v>
      </x:c>
      <x:c r="M257" s="6">
        <x:v>0</x:v>
      </x:c>
      <x:c r="N257" s="6">
        <x:f t="shared" si="11"/>
        <x:v>953382.35000000009</x:v>
      </x:c>
    </x:row>
    <x:row r="258" spans="1:14" x14ac:dyDescent="0.25">
      <x:c r="A258" t="s">
        <x:v>7</x:v>
      </x:c>
      <x:c r="B258" t="s">
        <x:v>766</x:v>
      </x:c>
      <x:c r="C258" t="s">
        <x:v>767</x:v>
      </x:c>
      <x:c r="D258" t="s">
        <x:v>677</x:v>
      </x:c>
      <x:c r="E258" s="6">
        <x:v>1320.6299999999999</x:v>
      </x:c>
      <x:c r="F258" s="6">
        <x:v>0</x:v>
      </x:c>
      <x:c r="G258" s="6">
        <x:v>0</x:v>
      </x:c>
      <x:c r="H258" s="6">
        <x:f t="shared" si="9"/>
        <x:v>1320.6299999999999</x:v>
      </x:c>
      <x:c r="I258" s="6">
        <x:v>0</x:v>
      </x:c>
      <x:c r="J258" s="6">
        <x:v>0</x:v>
      </x:c>
      <x:c r="K258" s="6">
        <x:f t="shared" si="10"/>
        <x:v>0</x:v>
      </x:c>
      <x:c r="L258" s="6">
        <x:v>0</x:v>
      </x:c>
      <x:c r="M258" s="6">
        <x:v>0</x:v>
      </x:c>
      <x:c r="N258" s="6">
        <x:f t="shared" si="11"/>
        <x:v>1320.6299999999999</x:v>
      </x:c>
    </x:row>
    <x:row r="259" spans="1:14" x14ac:dyDescent="0.25">
      <x:c r="A259" t="s">
        <x:v>7</x:v>
      </x:c>
      <x:c r="B259" t="s">
        <x:v>749</x:v>
      </x:c>
      <x:c r="C259" t="s">
        <x:v>750</x:v>
      </x:c>
      <x:c r="D259" t="s">
        <x:v>677</x:v>
      </x:c>
      <x:c r="E259" s="6">
        <x:v>838877.17999999993</x:v>
      </x:c>
      <x:c r="F259" s="6">
        <x:v>0</x:v>
      </x:c>
      <x:c r="G259" s="6">
        <x:v>0</x:v>
      </x:c>
      <x:c r="H259" s="6">
        <x:f t="shared" si="9"/>
        <x:v>838877.17999999993</x:v>
      </x:c>
      <x:c r="I259" s="6">
        <x:v>0</x:v>
      </x:c>
      <x:c r="J259" s="6">
        <x:v>0</x:v>
      </x:c>
      <x:c r="K259" s="6">
        <x:f t="shared" si="10"/>
        <x:v>0</x:v>
      </x:c>
      <x:c r="L259" s="6">
        <x:v>0</x:v>
      </x:c>
      <x:c r="M259" s="6">
        <x:v>0</x:v>
      </x:c>
      <x:c r="N259" s="6">
        <x:f t="shared" si="11"/>
        <x:v>838877.17999999993</x:v>
      </x:c>
    </x:row>
    <x:row r="260" spans="1:14" x14ac:dyDescent="0.25">
      <x:c r="A260" t="s">
        <x:v>7</x:v>
      </x:c>
      <x:c r="B260" t="s">
        <x:v>749</x:v>
      </x:c>
      <x:c r="C260" t="s">
        <x:v>750</x:v>
      </x:c>
      <x:c r="D260" t="s">
        <x:v>832</x:v>
      </x:c>
      <x:c r="E260" s="6">
        <x:v>29698.6</x:v>
      </x:c>
      <x:c r="F260" s="6">
        <x:v>0</x:v>
      </x:c>
      <x:c r="G260" s="6">
        <x:v>0</x:v>
      </x:c>
      <x:c r="H260" s="6">
        <x:f t="shared" si="9"/>
        <x:v>29698.6</x:v>
      </x:c>
      <x:c r="I260" s="6">
        <x:v>0</x:v>
      </x:c>
      <x:c r="J260" s="6">
        <x:v>0</x:v>
      </x:c>
      <x:c r="K260" s="6">
        <x:f t="shared" si="10"/>
        <x:v>0</x:v>
      </x:c>
      <x:c r="L260" s="6">
        <x:v>0</x:v>
      </x:c>
      <x:c r="M260" s="6">
        <x:v>0</x:v>
      </x:c>
      <x:c r="N260" s="6">
        <x:f t="shared" si="11"/>
        <x:v>29698.6</x:v>
      </x:c>
    </x:row>
    <x:row r="261" spans="1:14" x14ac:dyDescent="0.25">
      <x:c r="A261" t="s">
        <x:v>7</x:v>
      </x:c>
      <x:c r="B261" t="s">
        <x:v>751</x:v>
      </x:c>
      <x:c r="C261" t="s">
        <x:v>752</x:v>
      </x:c>
      <x:c r="D261" t="s">
        <x:v>677</x:v>
      </x:c>
      <x:c r="E261" s="6">
        <x:v>73716.880000000019</x:v>
      </x:c>
      <x:c r="F261" s="6">
        <x:v>0</x:v>
      </x:c>
      <x:c r="G261" s="6">
        <x:v>0</x:v>
      </x:c>
      <x:c r="H261" s="6">
        <x:f t="shared" ref="H261:H328" si="12">SUM(E261:G261)</x:f>
        <x:v>73716.880000000019</x:v>
      </x:c>
      <x:c r="I261" s="6">
        <x:v>0</x:v>
      </x:c>
      <x:c r="J261" s="6">
        <x:v>0</x:v>
      </x:c>
      <x:c r="K261" s="6">
        <x:f t="shared" ref="K261:K328" si="13">SUM(I261:J261)</x:f>
        <x:v>0</x:v>
      </x:c>
      <x:c r="L261" s="6">
        <x:v>0</x:v>
      </x:c>
      <x:c r="M261" s="6">
        <x:v>0</x:v>
      </x:c>
      <x:c r="N261" s="6">
        <x:f t="shared" ref="N261:N328" si="14">+E261+F261+G261+I261+J261+L261+M261</x:f>
        <x:v>73716.880000000019</x:v>
      </x:c>
    </x:row>
    <x:row r="262" spans="1:14" x14ac:dyDescent="0.25">
      <x:c r="A262" t="s">
        <x:v>7</x:v>
      </x:c>
      <x:c r="B262" t="s">
        <x:v>751</x:v>
      </x:c>
      <x:c r="C262" t="s">
        <x:v>752</x:v>
      </x:c>
      <x:c r="D262" t="s">
        <x:v>832</x:v>
      </x:c>
      <x:c r="E262" s="6">
        <x:v>146719.71000000002</x:v>
      </x:c>
      <x:c r="F262" s="6">
        <x:v>0</x:v>
      </x:c>
      <x:c r="G262" s="6">
        <x:v>0</x:v>
      </x:c>
      <x:c r="H262" s="6">
        <x:f t="shared" si="12"/>
        <x:v>146719.71000000002</x:v>
      </x:c>
      <x:c r="I262" s="6">
        <x:v>0</x:v>
      </x:c>
      <x:c r="J262" s="6">
        <x:v>0</x:v>
      </x:c>
      <x:c r="K262" s="6">
        <x:f t="shared" si="13"/>
        <x:v>0</x:v>
      </x:c>
      <x:c r="L262" s="6">
        <x:v>0</x:v>
      </x:c>
      <x:c r="M262" s="6">
        <x:v>0</x:v>
      </x:c>
      <x:c r="N262" s="6">
        <x:f t="shared" si="14"/>
        <x:v>146719.71000000002</x:v>
      </x:c>
    </x:row>
    <x:row r="263" spans="1:14" x14ac:dyDescent="0.25">
      <x:c r="A263" t="s">
        <x:v>7</x:v>
      </x:c>
      <x:c r="B263" t="s">
        <x:v>772</x:v>
      </x:c>
      <x:c r="C263" t="s">
        <x:v>773</x:v>
      </x:c>
      <x:c r="D263" t="s">
        <x:v>677</x:v>
      </x:c>
      <x:c r="E263" s="6">
        <x:v>530718.14</x:v>
      </x:c>
      <x:c r="F263" s="6">
        <x:v>0</x:v>
      </x:c>
      <x:c r="G263" s="6">
        <x:v>0</x:v>
      </x:c>
      <x:c r="H263" s="6">
        <x:f t="shared" si="12"/>
        <x:v>530718.14</x:v>
      </x:c>
      <x:c r="I263" s="6">
        <x:v>0</x:v>
      </x:c>
      <x:c r="J263" s="6">
        <x:v>0</x:v>
      </x:c>
      <x:c r="K263" s="6">
        <x:f t="shared" si="13"/>
        <x:v>0</x:v>
      </x:c>
      <x:c r="L263" s="6">
        <x:v>0</x:v>
      </x:c>
      <x:c r="M263" s="6">
        <x:v>0</x:v>
      </x:c>
      <x:c r="N263" s="6">
        <x:f t="shared" si="14"/>
        <x:v>530718.14</x:v>
      </x:c>
    </x:row>
    <x:row r="264" spans="1:14" x14ac:dyDescent="0.25">
      <x:c r="A264" t="s">
        <x:v>7</x:v>
      </x:c>
      <x:c r="B264" t="s">
        <x:v>776</x:v>
      </x:c>
      <x:c r="C264" t="s">
        <x:v>777</x:v>
      </x:c>
      <x:c r="D264" t="s">
        <x:v>832</x:v>
      </x:c>
      <x:c r="E264" s="6">
        <x:v>2153.5300000000002</x:v>
      </x:c>
      <x:c r="F264" s="6">
        <x:v>0</x:v>
      </x:c>
      <x:c r="G264" s="6">
        <x:v>0</x:v>
      </x:c>
      <x:c r="H264" s="6">
        <x:f t="shared" si="12"/>
        <x:v>2153.5300000000002</x:v>
      </x:c>
      <x:c r="I264" s="6">
        <x:v>0</x:v>
      </x:c>
      <x:c r="J264" s="6">
        <x:v>0</x:v>
      </x:c>
      <x:c r="K264" s="6">
        <x:f t="shared" si="13"/>
        <x:v>0</x:v>
      </x:c>
      <x:c r="L264" s="6">
        <x:v>0</x:v>
      </x:c>
      <x:c r="M264" s="6">
        <x:v>0</x:v>
      </x:c>
      <x:c r="N264" s="6">
        <x:f t="shared" si="14"/>
        <x:v>2153.5300000000002</x:v>
      </x:c>
    </x:row>
    <x:row r="265" spans="1:14" x14ac:dyDescent="0.25">
      <x:c r="A265" t="s">
        <x:v>7</x:v>
      </x:c>
      <x:c r="B265" t="s">
        <x:v>753</x:v>
      </x:c>
      <x:c r="C265" t="s">
        <x:v>754</x:v>
      </x:c>
      <x:c r="D265" t="s">
        <x:v>677</x:v>
      </x:c>
      <x:c r="E265" s="6">
        <x:v>825.95</x:v>
      </x:c>
      <x:c r="F265" s="6">
        <x:v>0</x:v>
      </x:c>
      <x:c r="G265" s="6">
        <x:v>0</x:v>
      </x:c>
      <x:c r="H265" s="6">
        <x:f t="shared" si="12"/>
        <x:v>825.95</x:v>
      </x:c>
      <x:c r="I265" s="6">
        <x:v>0</x:v>
      </x:c>
      <x:c r="J265" s="6">
        <x:v>0</x:v>
      </x:c>
      <x:c r="K265" s="6">
        <x:f t="shared" si="13"/>
        <x:v>0</x:v>
      </x:c>
      <x:c r="L265" s="6">
        <x:v>0</x:v>
      </x:c>
      <x:c r="M265" s="6">
        <x:v>0</x:v>
      </x:c>
      <x:c r="N265" s="6">
        <x:f t="shared" si="14"/>
        <x:v>825.95</x:v>
      </x:c>
    </x:row>
    <x:row r="266" spans="1:14" x14ac:dyDescent="0.25">
      <x:c r="A266" t="s">
        <x:v>7</x:v>
      </x:c>
      <x:c r="B266" s="3" t="s">
        <x:v>51</x:v>
      </x:c>
      <x:c r="C266" s="3" t="s">
        <x:v>368</x:v>
      </x:c>
      <x:c r="D266" t="s">
        <x:v>677</x:v>
      </x:c>
      <x:c r="E266" s="6">
        <x:v>786.33</x:v>
      </x:c>
      <x:c r="F266" s="6">
        <x:v>0</x:v>
      </x:c>
      <x:c r="G266" s="6">
        <x:v>0</x:v>
      </x:c>
      <x:c r="H266" s="6">
        <x:f t="shared" si="12"/>
        <x:v>786.33</x:v>
      </x:c>
      <x:c r="I266" s="6">
        <x:v>0</x:v>
      </x:c>
      <x:c r="J266" s="6">
        <x:v>0</x:v>
      </x:c>
      <x:c r="K266" s="6">
        <x:f t="shared" si="13"/>
        <x:v>0</x:v>
      </x:c>
      <x:c r="L266" s="6">
        <x:v>0</x:v>
      </x:c>
      <x:c r="M266" s="6">
        <x:v>0</x:v>
      </x:c>
      <x:c r="N266" s="6">
        <x:f t="shared" si="14"/>
        <x:v>786.33</x:v>
      </x:c>
    </x:row>
    <x:row r="267" spans="1:14" x14ac:dyDescent="0.25">
      <x:c r="A267" t="s">
        <x:v>7</x:v>
      </x:c>
      <x:c r="B267" s="3" t="s">
        <x:v>68</x:v>
      </x:c>
      <x:c r="C267" s="3" t="s">
        <x:v>385</x:v>
      </x:c>
      <x:c r="D267" t="s">
        <x:v>677</x:v>
      </x:c>
      <x:c r="E267" s="6">
        <x:v>616</x:v>
      </x:c>
      <x:c r="F267" s="6">
        <x:v>0</x:v>
      </x:c>
      <x:c r="G267" s="6">
        <x:v>0</x:v>
      </x:c>
      <x:c r="H267" s="6">
        <x:f t="shared" si="12"/>
        <x:v>616</x:v>
      </x:c>
      <x:c r="I267" s="6">
        <x:v>0</x:v>
      </x:c>
      <x:c r="J267" s="6">
        <x:v>0</x:v>
      </x:c>
      <x:c r="K267" s="6">
        <x:f t="shared" si="13"/>
        <x:v>0</x:v>
      </x:c>
      <x:c r="L267" s="6">
        <x:v>0</x:v>
      </x:c>
      <x:c r="M267" s="6">
        <x:v>0</x:v>
      </x:c>
      <x:c r="N267" s="6">
        <x:f t="shared" si="14"/>
        <x:v>616</x:v>
      </x:c>
    </x:row>
    <x:row r="268" spans="1:14" x14ac:dyDescent="0.25">
      <x:c r="A268" t="s">
        <x:v>7</x:v>
      </x:c>
      <x:c r="B268" s="3" t="s">
        <x:v>69</x:v>
      </x:c>
      <x:c r="C268" s="3" t="s">
        <x:v>386</x:v>
      </x:c>
      <x:c r="D268" t="s">
        <x:v>677</x:v>
      </x:c>
      <x:c r="E268" s="6">
        <x:v>616</x:v>
      </x:c>
      <x:c r="F268" s="6">
        <x:v>0</x:v>
      </x:c>
      <x:c r="G268" s="6">
        <x:v>0</x:v>
      </x:c>
      <x:c r="H268" s="6">
        <x:f t="shared" si="12"/>
        <x:v>616</x:v>
      </x:c>
      <x:c r="I268" s="6">
        <x:v>0</x:v>
      </x:c>
      <x:c r="J268" s="6">
        <x:v>0</x:v>
      </x:c>
      <x:c r="K268" s="6">
        <x:f t="shared" si="13"/>
        <x:v>0</x:v>
      </x:c>
      <x:c r="L268" s="6">
        <x:v>0</x:v>
      </x:c>
      <x:c r="M268" s="6">
        <x:v>0</x:v>
      </x:c>
      <x:c r="N268" s="6">
        <x:f t="shared" si="14"/>
        <x:v>616</x:v>
      </x:c>
    </x:row>
    <x:row r="269" spans="1:14" x14ac:dyDescent="0.25">
      <x:c r="A269" t="s">
        <x:v>7</x:v>
      </x:c>
      <x:c r="B269" s="3" t="s">
        <x:v>70</x:v>
      </x:c>
      <x:c r="C269" s="3" t="s">
        <x:v>387</x:v>
      </x:c>
      <x:c r="D269" t="s">
        <x:v>677</x:v>
      </x:c>
      <x:c r="E269" s="6">
        <x:v>616</x:v>
      </x:c>
      <x:c r="F269" s="6">
        <x:v>0</x:v>
      </x:c>
      <x:c r="G269" s="6">
        <x:v>0</x:v>
      </x:c>
      <x:c r="H269" s="6">
        <x:f t="shared" si="12"/>
        <x:v>616</x:v>
      </x:c>
      <x:c r="I269" s="6">
        <x:v>0</x:v>
      </x:c>
      <x:c r="J269" s="6">
        <x:v>0</x:v>
      </x:c>
      <x:c r="K269" s="6">
        <x:f t="shared" si="13"/>
        <x:v>0</x:v>
      </x:c>
      <x:c r="L269" s="6">
        <x:v>0</x:v>
      </x:c>
      <x:c r="M269" s="6">
        <x:v>0</x:v>
      </x:c>
      <x:c r="N269" s="6">
        <x:f t="shared" si="14"/>
        <x:v>616</x:v>
      </x:c>
    </x:row>
    <x:row r="270" spans="1:14" x14ac:dyDescent="0.25">
      <x:c r="A270" t="s">
        <x:v>7</x:v>
      </x:c>
      <x:c r="B270" t="s">
        <x:v>809</x:v>
      </x:c>
      <x:c r="C270" t="s">
        <x:v>606</x:v>
      </x:c>
      <x:c r="D270" t="s">
        <x:v>677</x:v>
      </x:c>
      <x:c r="E270" s="6">
        <x:v>11352.27</x:v>
      </x:c>
      <x:c r="F270" s="6">
        <x:v>0</x:v>
      </x:c>
      <x:c r="G270" s="6">
        <x:v>0</x:v>
      </x:c>
      <x:c r="H270" s="6">
        <x:f t="shared" si="12"/>
        <x:v>11352.27</x:v>
      </x:c>
      <x:c r="I270" s="6">
        <x:v>0</x:v>
      </x:c>
      <x:c r="J270" s="6">
        <x:v>0</x:v>
      </x:c>
      <x:c r="K270" s="6">
        <x:f t="shared" si="13"/>
        <x:v>0</x:v>
      </x:c>
      <x:c r="L270" s="6">
        <x:v>0</x:v>
      </x:c>
      <x:c r="M270" s="6">
        <x:v>0</x:v>
      </x:c>
      <x:c r="N270" s="6">
        <x:f t="shared" si="14"/>
        <x:v>11352.27</x:v>
      </x:c>
    </x:row>
    <x:row r="271" spans="1:14" x14ac:dyDescent="0.25">
      <x:c r="A271" t="s">
        <x:v>7</x:v>
      </x:c>
      <x:c r="B271" t="s">
        <x:v>755</x:v>
      </x:c>
      <x:c r="C271" t="s">
        <x:v>756</x:v>
      </x:c>
      <x:c r="D271" t="s">
        <x:v>677</x:v>
      </x:c>
      <x:c r="E271" s="6">
        <x:v>4869678.83</x:v>
      </x:c>
      <x:c r="F271" s="6">
        <x:v>0</x:v>
      </x:c>
      <x:c r="G271" s="6">
        <x:v>0</x:v>
      </x:c>
      <x:c r="H271" s="6">
        <x:f t="shared" si="12"/>
        <x:v>4869678.83</x:v>
      </x:c>
      <x:c r="I271" s="6">
        <x:v>0</x:v>
      </x:c>
      <x:c r="J271" s="6">
        <x:v>0</x:v>
      </x:c>
      <x:c r="K271" s="6">
        <x:f t="shared" si="13"/>
        <x:v>0</x:v>
      </x:c>
      <x:c r="L271" s="6">
        <x:v>0</x:v>
      </x:c>
      <x:c r="M271" s="6">
        <x:v>0</x:v>
      </x:c>
      <x:c r="N271" s="6">
        <x:f t="shared" si="14"/>
        <x:v>4869678.83</x:v>
      </x:c>
    </x:row>
    <x:row r="272" spans="1:14" x14ac:dyDescent="0.25">
      <x:c r="A272" t="s">
        <x:v>7</x:v>
      </x:c>
      <x:c r="B272" t="s">
        <x:v>755</x:v>
      </x:c>
      <x:c r="C272" t="s">
        <x:v>756</x:v>
      </x:c>
      <x:c r="D272" t="s">
        <x:v>832</x:v>
      </x:c>
      <x:c r="E272" s="6">
        <x:v>601322.97</x:v>
      </x:c>
      <x:c r="F272" s="6">
        <x:v>0</x:v>
      </x:c>
      <x:c r="G272" s="6">
        <x:v>0</x:v>
      </x:c>
      <x:c r="H272" s="6">
        <x:f t="shared" si="12"/>
        <x:v>601322.97</x:v>
      </x:c>
      <x:c r="I272" s="6">
        <x:v>0</x:v>
      </x:c>
      <x:c r="J272" s="6">
        <x:v>0</x:v>
      </x:c>
      <x:c r="K272" s="6">
        <x:f t="shared" si="13"/>
        <x:v>0</x:v>
      </x:c>
      <x:c r="L272" s="6">
        <x:v>0</x:v>
      </x:c>
      <x:c r="M272" s="6">
        <x:v>0</x:v>
      </x:c>
      <x:c r="N272" s="6">
        <x:f t="shared" si="14"/>
        <x:v>601322.97</x:v>
      </x:c>
    </x:row>
    <x:row r="273" spans="1:14" x14ac:dyDescent="0.25">
      <x:c r="A273" t="s">
        <x:v>7</x:v>
      </x:c>
      <x:c r="B273" t="s">
        <x:v>757</x:v>
      </x:c>
      <x:c r="C273" t="s">
        <x:v>758</x:v>
      </x:c>
      <x:c r="D273" t="s">
        <x:v>677</x:v>
      </x:c>
      <x:c r="E273" s="6">
        <x:v>4012.73</x:v>
      </x:c>
      <x:c r="F273" s="6">
        <x:v>0</x:v>
      </x:c>
      <x:c r="G273" s="6">
        <x:v>0</x:v>
      </x:c>
      <x:c r="H273" s="6">
        <x:f t="shared" si="12"/>
        <x:v>4012.73</x:v>
      </x:c>
      <x:c r="I273" s="6">
        <x:v>0</x:v>
      </x:c>
      <x:c r="J273" s="6">
        <x:v>0</x:v>
      </x:c>
      <x:c r="K273" s="6">
        <x:f t="shared" si="13"/>
        <x:v>0</x:v>
      </x:c>
      <x:c r="L273" s="6">
        <x:v>0</x:v>
      </x:c>
      <x:c r="M273" s="6">
        <x:v>0</x:v>
      </x:c>
      <x:c r="N273" s="6">
        <x:f t="shared" si="14"/>
        <x:v>4012.73</x:v>
      </x:c>
    </x:row>
    <x:row r="274" spans="1:14" x14ac:dyDescent="0.25">
      <x:c r="A274" t="s">
        <x:v>7</x:v>
      </x:c>
      <x:c r="B274" t="s">
        <x:v>810</x:v>
      </x:c>
      <x:c r="C274" t="s">
        <x:v>811</x:v>
      </x:c>
      <x:c r="D274" t="s">
        <x:v>677</x:v>
      </x:c>
      <x:c r="E274" s="6">
        <x:v>13105.5</x:v>
      </x:c>
      <x:c r="F274" s="6">
        <x:v>0</x:v>
      </x:c>
      <x:c r="G274" s="6">
        <x:v>0</x:v>
      </x:c>
      <x:c r="H274" s="6">
        <x:f t="shared" si="12"/>
        <x:v>13105.5</x:v>
      </x:c>
      <x:c r="I274" s="6">
        <x:v>0</x:v>
      </x:c>
      <x:c r="J274" s="6">
        <x:v>0</x:v>
      </x:c>
      <x:c r="K274" s="6">
        <x:f t="shared" si="13"/>
        <x:v>0</x:v>
      </x:c>
      <x:c r="L274" s="6">
        <x:v>0</x:v>
      </x:c>
      <x:c r="M274" s="6">
        <x:v>0</x:v>
      </x:c>
      <x:c r="N274" s="6">
        <x:f t="shared" si="14"/>
        <x:v>13105.5</x:v>
      </x:c>
    </x:row>
    <x:row r="275" spans="1:14" x14ac:dyDescent="0.25">
      <x:c r="A275" t="s">
        <x:v>7</x:v>
      </x:c>
      <x:c r="B275" t="s">
        <x:v>812</x:v>
      </x:c>
      <x:c r="C275" t="s">
        <x:v>559</x:v>
      </x:c>
      <x:c r="D275" t="s">
        <x:v>677</x:v>
      </x:c>
      <x:c r="E275" s="6">
        <x:v>807931.3</x:v>
      </x:c>
      <x:c r="F275" s="6">
        <x:v>0</x:v>
      </x:c>
      <x:c r="G275" s="6">
        <x:v>0</x:v>
      </x:c>
      <x:c r="H275" s="6">
        <x:f t="shared" si="12"/>
        <x:v>807931.3</x:v>
      </x:c>
      <x:c r="I275" s="6">
        <x:v>0</x:v>
      </x:c>
      <x:c r="J275" s="6">
        <x:v>0</x:v>
      </x:c>
      <x:c r="K275" s="6">
        <x:f t="shared" si="13"/>
        <x:v>0</x:v>
      </x:c>
      <x:c r="L275" s="6">
        <x:v>0</x:v>
      </x:c>
      <x:c r="M275" s="6">
        <x:v>0</x:v>
      </x:c>
      <x:c r="N275" s="6">
        <x:f t="shared" si="14"/>
        <x:v>807931.3</x:v>
      </x:c>
    </x:row>
    <x:row r="276" spans="1:14" x14ac:dyDescent="0.25">
      <x:c r="A276" t="s">
        <x:v>7</x:v>
      </x:c>
      <x:c r="B276" t="s">
        <x:v>759</x:v>
      </x:c>
      <x:c r="C276" t="s">
        <x:v>667</x:v>
      </x:c>
      <x:c r="D276" t="s">
        <x:v>677</x:v>
      </x:c>
      <x:c r="E276" s="6">
        <x:v>0.62</x:v>
      </x:c>
      <x:c r="F276" s="6">
        <x:v>0</x:v>
      </x:c>
      <x:c r="G276" s="6">
        <x:v>0</x:v>
      </x:c>
      <x:c r="H276" s="6">
        <x:f t="shared" si="12"/>
        <x:v>0.62</x:v>
      </x:c>
      <x:c r="I276" s="6">
        <x:v>0</x:v>
      </x:c>
      <x:c r="J276" s="6">
        <x:v>0</x:v>
      </x:c>
      <x:c r="K276" s="6">
        <x:f t="shared" si="13"/>
        <x:v>0</x:v>
      </x:c>
      <x:c r="L276" s="6">
        <x:v>0</x:v>
      </x:c>
      <x:c r="M276" s="6">
        <x:v>0</x:v>
      </x:c>
      <x:c r="N276" s="6">
        <x:f t="shared" si="14"/>
        <x:v>0.62</x:v>
      </x:c>
    </x:row>
    <x:row r="277" spans="1:14" x14ac:dyDescent="0.25">
      <x:c r="A277" t="s">
        <x:v>7</x:v>
      </x:c>
      <x:c r="B277" t="s">
        <x:v>813</x:v>
      </x:c>
      <x:c r="C277" t="s">
        <x:v>814</x:v>
      </x:c>
      <x:c r="D277" t="s">
        <x:v>677</x:v>
      </x:c>
      <x:c r="E277" s="6">
        <x:v>2533.92</x:v>
      </x:c>
      <x:c r="F277" s="6">
        <x:v>0</x:v>
      </x:c>
      <x:c r="G277" s="6">
        <x:v>0</x:v>
      </x:c>
      <x:c r="H277" s="6">
        <x:f t="shared" si="12"/>
        <x:v>2533.92</x:v>
      </x:c>
      <x:c r="I277" s="6">
        <x:v>0</x:v>
      </x:c>
      <x:c r="J277" s="6">
        <x:v>0</x:v>
      </x:c>
      <x:c r="K277" s="6">
        <x:f t="shared" si="13"/>
        <x:v>0</x:v>
      </x:c>
      <x:c r="L277" s="6">
        <x:v>0</x:v>
      </x:c>
      <x:c r="M277" s="6">
        <x:v>0</x:v>
      </x:c>
      <x:c r="N277" s="6">
        <x:f t="shared" si="14"/>
        <x:v>2533.92</x:v>
      </x:c>
    </x:row>
    <x:row r="278" spans="1:14" x14ac:dyDescent="0.25">
      <x:c r="A278" t="s">
        <x:v>7</x:v>
      </x:c>
      <x:c r="B278" t="s">
        <x:v>813</x:v>
      </x:c>
      <x:c r="C278" t="s">
        <x:v>814</x:v>
      </x:c>
      <x:c r="D278" t="s">
        <x:v>832</x:v>
      </x:c>
      <x:c r="E278" s="6">
        <x:v>1907.61</x:v>
      </x:c>
      <x:c r="F278" s="6">
        <x:v>0</x:v>
      </x:c>
      <x:c r="G278" s="6">
        <x:v>0</x:v>
      </x:c>
      <x:c r="H278" s="6">
        <x:f t="shared" si="12"/>
        <x:v>1907.61</x:v>
      </x:c>
      <x:c r="I278" s="6">
        <x:v>0</x:v>
      </x:c>
      <x:c r="J278" s="6">
        <x:v>0</x:v>
      </x:c>
      <x:c r="K278" s="6">
        <x:f t="shared" si="13"/>
        <x:v>0</x:v>
      </x:c>
      <x:c r="L278" s="6">
        <x:v>0</x:v>
      </x:c>
      <x:c r="M278" s="6">
        <x:v>0</x:v>
      </x:c>
      <x:c r="N278" s="6">
        <x:f t="shared" si="14"/>
        <x:v>1907.61</x:v>
      </x:c>
    </x:row>
    <x:row r="279" spans="1:14" x14ac:dyDescent="0.25">
      <x:c r="A279" t="s">
        <x:v>7</x:v>
      </x:c>
      <x:c r="B279" t="s">
        <x:v>815</x:v>
      </x:c>
      <x:c r="C279" t="s">
        <x:v>558</x:v>
      </x:c>
      <x:c r="D279" t="s">
        <x:v>677</x:v>
      </x:c>
      <x:c r="E279" s="6">
        <x:v>2740.1499999999996</x:v>
      </x:c>
      <x:c r="F279" s="6">
        <x:v>0</x:v>
      </x:c>
      <x:c r="G279" s="6">
        <x:v>0</x:v>
      </x:c>
      <x:c r="H279" s="6">
        <x:f t="shared" si="12"/>
        <x:v>2740.1499999999996</x:v>
      </x:c>
      <x:c r="I279" s="6">
        <x:v>0</x:v>
      </x:c>
      <x:c r="J279" s="6">
        <x:v>0</x:v>
      </x:c>
      <x:c r="K279" s="6">
        <x:f t="shared" si="13"/>
        <x:v>0</x:v>
      </x:c>
      <x:c r="L279" s="6">
        <x:v>0</x:v>
      </x:c>
      <x:c r="M279" s="6">
        <x:v>0</x:v>
      </x:c>
      <x:c r="N279" s="6">
        <x:f t="shared" si="14"/>
        <x:v>2740.1499999999996</x:v>
      </x:c>
    </x:row>
    <x:row r="280" spans="1:14" x14ac:dyDescent="0.25">
      <x:c r="A280" t="s">
        <x:v>7</x:v>
      </x:c>
      <x:c r="B280" t="s">
        <x:v>815</x:v>
      </x:c>
      <x:c r="C280" t="s">
        <x:v>558</x:v>
      </x:c>
      <x:c r="D280" t="s">
        <x:v>832</x:v>
      </x:c>
      <x:c r="E280" s="6">
        <x:v>16704.759999999998</x:v>
      </x:c>
      <x:c r="F280" s="6">
        <x:v>0</x:v>
      </x:c>
      <x:c r="G280" s="6">
        <x:v>0</x:v>
      </x:c>
      <x:c r="H280" s="6">
        <x:f t="shared" si="12"/>
        <x:v>16704.759999999998</x:v>
      </x:c>
      <x:c r="I280" s="6">
        <x:v>0</x:v>
      </x:c>
      <x:c r="J280" s="6">
        <x:v>0</x:v>
      </x:c>
      <x:c r="K280" s="6">
        <x:f t="shared" si="13"/>
        <x:v>0</x:v>
      </x:c>
      <x:c r="L280" s="6">
        <x:v>0</x:v>
      </x:c>
      <x:c r="M280" s="6">
        <x:v>0</x:v>
      </x:c>
      <x:c r="N280" s="6">
        <x:f t="shared" si="14"/>
        <x:v>16704.759999999998</x:v>
      </x:c>
    </x:row>
    <x:row r="281" spans="1:14" x14ac:dyDescent="0.25">
      <x:c r="A281" t="s">
        <x:v>7</x:v>
      </x:c>
      <x:c r="B281" t="s">
        <x:v>816</x:v>
      </x:c>
      <x:c r="C281" t="s">
        <x:v>383</x:v>
      </x:c>
      <x:c r="D281" t="s">
        <x:v>677</x:v>
      </x:c>
      <x:c r="E281" s="6">
        <x:v>116256.73</x:v>
      </x:c>
      <x:c r="F281" s="6">
        <x:v>0</x:v>
      </x:c>
      <x:c r="G281" s="6">
        <x:v>0</x:v>
      </x:c>
      <x:c r="H281" s="6">
        <x:f t="shared" si="12"/>
        <x:v>116256.73</x:v>
      </x:c>
      <x:c r="I281" s="6">
        <x:v>0</x:v>
      </x:c>
      <x:c r="J281" s="6">
        <x:v>0</x:v>
      </x:c>
      <x:c r="K281" s="6">
        <x:f t="shared" si="13"/>
        <x:v>0</x:v>
      </x:c>
      <x:c r="L281" s="6">
        <x:v>0</x:v>
      </x:c>
      <x:c r="M281" s="6">
        <x:v>0</x:v>
      </x:c>
      <x:c r="N281" s="6">
        <x:f t="shared" si="14"/>
        <x:v>116256.73</x:v>
      </x:c>
    </x:row>
    <x:row r="282" spans="1:14" x14ac:dyDescent="0.25">
      <x:c r="A282" t="s">
        <x:v>7</x:v>
      </x:c>
      <x:c r="B282" t="s">
        <x:v>839</x:v>
      </x:c>
      <x:c r="C282" t="s">
        <x:v>840</x:v>
      </x:c>
      <x:c r="D282" t="s">
        <x:v>677</x:v>
      </x:c>
      <x:c r="E282" s="6">
        <x:v>0</x:v>
      </x:c>
      <x:c r="F282" s="6">
        <x:v>190471.1</x:v>
      </x:c>
      <x:c r="G282" s="6">
        <x:v>0</x:v>
      </x:c>
      <x:c r="H282" s="6">
        <x:f t="shared" si="12"/>
        <x:v>190471.1</x:v>
      </x:c>
      <x:c r="I282" s="6">
        <x:v>0</x:v>
      </x:c>
      <x:c r="J282" s="6">
        <x:v>0</x:v>
      </x:c>
      <x:c r="K282" s="6">
        <x:f t="shared" si="13"/>
        <x:v>0</x:v>
      </x:c>
      <x:c r="L282" s="6">
        <x:v>0</x:v>
      </x:c>
      <x:c r="M282" s="6">
        <x:v>0</x:v>
      </x:c>
      <x:c r="N282" s="6">
        <x:f t="shared" si="14"/>
        <x:v>190471.1</x:v>
      </x:c>
    </x:row>
    <x:row r="283" spans="1:14" x14ac:dyDescent="0.25">
      <x:c r="A283" t="s">
        <x:v>7</x:v>
      </x:c>
      <x:c r="B283" t="s">
        <x:v>839</x:v>
      </x:c>
      <x:c r="C283" t="s">
        <x:v>840</x:v>
      </x:c>
      <x:c r="D283" t="s">
        <x:v>841</x:v>
      </x:c>
      <x:c r="E283" s="6">
        <x:v>0</x:v>
      </x:c>
      <x:c r="F283" s="6">
        <x:v>624890.36</x:v>
      </x:c>
      <x:c r="G283" s="6">
        <x:v>0</x:v>
      </x:c>
      <x:c r="H283" s="6">
        <x:f t="shared" si="12"/>
        <x:v>624890.36</x:v>
      </x:c>
      <x:c r="I283" s="6">
        <x:v>0</x:v>
      </x:c>
      <x:c r="J283" s="6">
        <x:v>3195.7700000000004</x:v>
      </x:c>
      <x:c r="K283" s="6">
        <x:f t="shared" si="13"/>
        <x:v>3195.7700000000004</x:v>
      </x:c>
      <x:c r="L283" s="6">
        <x:v>0</x:v>
      </x:c>
      <x:c r="M283" s="6">
        <x:v>0</x:v>
      </x:c>
      <x:c r="N283" s="6">
        <x:f t="shared" si="14"/>
        <x:v>628086.13</x:v>
      </x:c>
    </x:row>
    <x:row r="284" spans="1:14" x14ac:dyDescent="0.25">
      <x:c r="A284" t="s">
        <x:v>683</x:v>
      </x:c>
      <x:c r="B284" t="s">
        <x:v>690</x:v>
      </x:c>
      <x:c r="C284" t="s">
        <x:v>691</x:v>
      </x:c>
      <x:c r="D284" t="s">
        <x:v>832</x:v>
      </x:c>
      <x:c r="E284" s="6">
        <x:v>164782</x:v>
      </x:c>
      <x:c r="F284" s="6">
        <x:v>0</x:v>
      </x:c>
      <x:c r="G284" s="6">
        <x:v>0</x:v>
      </x:c>
      <x:c r="H284" s="6">
        <x:f t="shared" si="12"/>
        <x:v>164782</x:v>
      </x:c>
      <x:c r="I284" s="6">
        <x:v>0</x:v>
      </x:c>
      <x:c r="J284" s="6">
        <x:v>0</x:v>
      </x:c>
      <x:c r="K284" s="6">
        <x:f t="shared" si="13"/>
        <x:v>0</x:v>
      </x:c>
      <x:c r="L284" s="6">
        <x:v>0</x:v>
      </x:c>
      <x:c r="M284" s="6">
        <x:v>0</x:v>
      </x:c>
      <x:c r="N284" s="6">
        <x:f t="shared" si="14"/>
        <x:v>164782</x:v>
      </x:c>
    </x:row>
    <x:row r="285" spans="1:14" x14ac:dyDescent="0.25">
      <x:c r="A285" t="s">
        <x:v>683</x:v>
      </x:c>
      <x:c r="B285" t="s">
        <x:v>726</x:v>
      </x:c>
      <x:c r="C285" t="s">
        <x:v>727</x:v>
      </x:c>
      <x:c r="D285" t="s">
        <x:v>677</x:v>
      </x:c>
      <x:c r="E285" s="6">
        <x:v>-8958.6</x:v>
      </x:c>
      <x:c r="F285" s="6">
        <x:v>0</x:v>
      </x:c>
      <x:c r="G285" s="6">
        <x:v>0</x:v>
      </x:c>
      <x:c r="H285" s="6">
        <x:f t="shared" si="12"/>
        <x:v>-8958.6</x:v>
      </x:c>
      <x:c r="I285" s="6">
        <x:v>0</x:v>
      </x:c>
      <x:c r="J285" s="6">
        <x:v>0</x:v>
      </x:c>
      <x:c r="K285" s="6">
        <x:f t="shared" si="13"/>
        <x:v>0</x:v>
      </x:c>
      <x:c r="L285" s="6">
        <x:v>0</x:v>
      </x:c>
      <x:c r="M285" s="6">
        <x:v>0</x:v>
      </x:c>
      <x:c r="N285" s="6">
        <x:f t="shared" si="14"/>
        <x:v>-8958.6</x:v>
      </x:c>
    </x:row>
    <x:row r="286" spans="1:14" x14ac:dyDescent="0.25">
      <x:c r="A286" t="s">
        <x:v>683</x:v>
      </x:c>
      <x:c r="B286" t="s">
        <x:v>726</x:v>
      </x:c>
      <x:c r="C286" t="s">
        <x:v>727</x:v>
      </x:c>
      <x:c r="D286" t="s">
        <x:v>832</x:v>
      </x:c>
      <x:c r="E286" s="6">
        <x:v>-1.21</x:v>
      </x:c>
      <x:c r="F286" s="6">
        <x:v>0</x:v>
      </x:c>
      <x:c r="G286" s="6">
        <x:v>0</x:v>
      </x:c>
      <x:c r="H286" s="6">
        <x:f t="shared" si="12"/>
        <x:v>-1.21</x:v>
      </x:c>
      <x:c r="I286" s="6">
        <x:v>0</x:v>
      </x:c>
      <x:c r="J286" s="6">
        <x:v>0</x:v>
      </x:c>
      <x:c r="K286" s="6">
        <x:f t="shared" si="13"/>
        <x:v>0</x:v>
      </x:c>
      <x:c r="L286" s="6">
        <x:v>0</x:v>
      </x:c>
      <x:c r="M286" s="6">
        <x:v>0</x:v>
      </x:c>
      <x:c r="N286" s="6">
        <x:f t="shared" si="14"/>
        <x:v>-1.21</x:v>
      </x:c>
    </x:row>
    <x:row r="287" spans="1:14" ht="15.75" thickBot="1" x14ac:dyDescent="0.3">
      <x:c r="C287" s="8" t="s">
        <x:v>856</x:v>
      </x:c>
      <x:c r="E287" s="7">
        <x:f>SUM(E4:E286)</x:f>
        <x:v>98905198.38000004</x:v>
      </x:c>
      <x:c r="F287" s="7">
        <x:f t="shared" ref="F287:N287" si="15">SUM(F4:F286)</x:f>
        <x:v>2851739.12</x:v>
      </x:c>
      <x:c r="G287" s="7">
        <x:f t="shared" si="15"/>
        <x:v>475836.37</x:v>
      </x:c>
      <x:c r="H287" s="7">
        <x:f t="shared" si="15"/>
        <x:v>102232773.87000003</x:v>
      </x:c>
      <x:c r="I287" s="7">
        <x:f t="shared" si="15"/>
        <x:v>1968660335.4100003</x:v>
      </x:c>
      <x:c r="J287" s="7">
        <x:f t="shared" si="15"/>
        <x:v>-9925.18</x:v>
      </x:c>
      <x:c r="K287" s="7">
        <x:f t="shared" si="15"/>
        <x:v>1968650410.2300003</x:v>
      </x:c>
      <x:c r="L287" s="7">
        <x:f t="shared" si="15"/>
        <x:v>9010.02</x:v>
      </x:c>
      <x:c r="M287" s="7">
        <x:f t="shared" si="15"/>
        <x:v>0</x:v>
      </x:c>
      <x:c r="N287" s="7">
        <x:f t="shared" si="15"/>
        <x:v>2070892194.1200008</x:v>
      </x:c>
    </x:row>
    <x:row r="288" spans="1:14" ht="15.75" thickTop="1" x14ac:dyDescent="0.25">
      <x:c r="E288" s="6"/>
      <x:c r="F288" s="6"/>
      <x:c r="G288" s="6"/>
      <x:c r="H288" s="6"/>
      <x:c r="I288" s="6"/>
      <x:c r="J288" s="6"/>
      <x:c r="K288" s="6"/>
      <x:c r="L288" s="6"/>
      <x:c r="M288" s="6"/>
      <x:c r="N288" s="6"/>
    </x:row>
    <x:row r="289" spans="1:14" x14ac:dyDescent="0.25">
      <x:c r="E289" s="6"/>
      <x:c r="F289" s="6"/>
      <x:c r="G289" s="6"/>
      <x:c r="H289" s="6"/>
      <x:c r="I289" s="6"/>
      <x:c r="J289" s="6"/>
      <x:c r="K289" s="6"/>
      <x:c r="L289" s="6"/>
      <x:c r="M289" s="6"/>
      <x:c r="N289" s="6"/>
    </x:row>
    <x:row r="290" spans="1:14" x14ac:dyDescent="0.25">
      <x:c r="A290" s="8" t="s">
        <x:v>857</x:v>
      </x:c>
      <x:c r="E290" s="6"/>
      <x:c r="F290" s="6"/>
      <x:c r="G290" s="6"/>
      <x:c r="H290" s="6"/>
      <x:c r="I290" s="6"/>
      <x:c r="J290" s="6"/>
      <x:c r="K290" s="6"/>
      <x:c r="L290" s="6"/>
      <x:c r="M290" s="6"/>
      <x:c r="N290" s="6"/>
    </x:row>
    <x:row r="291" spans="1:14" x14ac:dyDescent="0.25">
      <x:c r="A291" t="s">
        <x:v>684</x:v>
      </x:c>
      <x:c r="B291" t="s">
        <x:v>690</x:v>
      </x:c>
      <x:c r="C291" t="s">
        <x:v>691</x:v>
      </x:c>
      <x:c r="D291" t="s">
        <x:v>832</x:v>
      </x:c>
      <x:c r="E291" s="5">
        <x:v>38458.49</x:v>
      </x:c>
      <x:c r="F291" s="5">
        <x:v>0</x:v>
      </x:c>
      <x:c r="G291" s="5">
        <x:v>0</x:v>
      </x:c>
      <x:c r="H291" s="5">
        <x:f t="shared" si="12"/>
        <x:v>38458.49</x:v>
      </x:c>
      <x:c r="I291" s="5">
        <x:v>13619.45</x:v>
      </x:c>
      <x:c r="J291" s="5">
        <x:v>0</x:v>
      </x:c>
      <x:c r="K291" s="5">
        <x:f t="shared" si="13"/>
        <x:v>13619.45</x:v>
      </x:c>
      <x:c r="L291" s="5">
        <x:v>0</x:v>
      </x:c>
      <x:c r="M291" s="5">
        <x:v>0</x:v>
      </x:c>
      <x:c r="N291" s="5">
        <x:f t="shared" si="14"/>
        <x:v>52077.94</x:v>
      </x:c>
    </x:row>
    <x:row r="292" spans="1:14" x14ac:dyDescent="0.25">
      <x:c r="A292" t="s">
        <x:v>684</x:v>
      </x:c>
      <x:c r="B292" t="s">
        <x:v>696</x:v>
      </x:c>
      <x:c r="C292" t="s">
        <x:v>697</x:v>
      </x:c>
      <x:c r="D292" t="s">
        <x:v>832</x:v>
      </x:c>
      <x:c r="E292" s="6">
        <x:v>4352.1900000000005</x:v>
      </x:c>
      <x:c r="F292" s="6">
        <x:v>0</x:v>
      </x:c>
      <x:c r="G292" s="6">
        <x:v>0</x:v>
      </x:c>
      <x:c r="H292" s="6">
        <x:f t="shared" si="12"/>
        <x:v>4352.1900000000005</x:v>
      </x:c>
      <x:c r="I292" s="6">
        <x:v>2901.56</x:v>
      </x:c>
      <x:c r="J292" s="6">
        <x:v>0</x:v>
      </x:c>
      <x:c r="K292" s="6">
        <x:f t="shared" si="13"/>
        <x:v>2901.56</x:v>
      </x:c>
      <x:c r="L292" s="6">
        <x:v>0</x:v>
      </x:c>
      <x:c r="M292" s="6">
        <x:v>0</x:v>
      </x:c>
      <x:c r="N292" s="6">
        <x:f t="shared" si="14"/>
        <x:v>7253.75</x:v>
      </x:c>
    </x:row>
    <x:row r="293" spans="1:14" x14ac:dyDescent="0.25">
      <x:c r="A293" t="s">
        <x:v>684</x:v>
      </x:c>
      <x:c r="B293" t="s">
        <x:v>704</x:v>
      </x:c>
      <x:c r="C293" t="s">
        <x:v>705</x:v>
      </x:c>
      <x:c r="D293" t="s">
        <x:v>832</x:v>
      </x:c>
      <x:c r="E293" s="6">
        <x:v>1769.55</x:v>
      </x:c>
      <x:c r="F293" s="6">
        <x:v>0</x:v>
      </x:c>
      <x:c r="G293" s="6">
        <x:v>0</x:v>
      </x:c>
      <x:c r="H293" s="6">
        <x:f t="shared" si="12"/>
        <x:v>1769.55</x:v>
      </x:c>
      <x:c r="I293" s="6">
        <x:v>1179.76</x:v>
      </x:c>
      <x:c r="J293" s="6">
        <x:v>0</x:v>
      </x:c>
      <x:c r="K293" s="6">
        <x:f t="shared" si="13"/>
        <x:v>1179.76</x:v>
      </x:c>
      <x:c r="L293" s="6">
        <x:v>0</x:v>
      </x:c>
      <x:c r="M293" s="6">
        <x:v>0</x:v>
      </x:c>
      <x:c r="N293" s="6">
        <x:f t="shared" si="14"/>
        <x:v>2949.31</x:v>
      </x:c>
    </x:row>
    <x:row r="294" spans="1:14" x14ac:dyDescent="0.25">
      <x:c r="A294" t="s">
        <x:v>684</x:v>
      </x:c>
      <x:c r="B294" t="s">
        <x:v>706</x:v>
      </x:c>
      <x:c r="C294" t="s">
        <x:v>707</x:v>
      </x:c>
      <x:c r="D294" t="s">
        <x:v>832</x:v>
      </x:c>
      <x:c r="E294" s="6">
        <x:v>1349.4199999999998</x:v>
      </x:c>
      <x:c r="F294" s="6">
        <x:v>0</x:v>
      </x:c>
      <x:c r="G294" s="6">
        <x:v>0</x:v>
      </x:c>
      <x:c r="H294" s="6">
        <x:f t="shared" si="12"/>
        <x:v>1349.4199999999998</x:v>
      </x:c>
      <x:c r="I294" s="6">
        <x:v>899.56999999999994</x:v>
      </x:c>
      <x:c r="J294" s="6">
        <x:v>0</x:v>
      </x:c>
      <x:c r="K294" s="6">
        <x:f t="shared" si="13"/>
        <x:v>899.56999999999994</x:v>
      </x:c>
      <x:c r="L294" s="6">
        <x:v>0</x:v>
      </x:c>
      <x:c r="M294" s="6">
        <x:v>0</x:v>
      </x:c>
      <x:c r="N294" s="6">
        <x:f t="shared" si="14"/>
        <x:v>2248.9899999999998</x:v>
      </x:c>
    </x:row>
    <x:row r="295" spans="1:14" x14ac:dyDescent="0.25">
      <x:c r="A295" t="s">
        <x:v>684</x:v>
      </x:c>
      <x:c r="B295" t="s">
        <x:v>708</x:v>
      </x:c>
      <x:c r="C295" t="s">
        <x:v>709</x:v>
      </x:c>
      <x:c r="D295" t="s">
        <x:v>677</x:v>
      </x:c>
      <x:c r="E295" s="6">
        <x:v>69.83</x:v>
      </x:c>
      <x:c r="F295" s="6">
        <x:v>0</x:v>
      </x:c>
      <x:c r="G295" s="6">
        <x:v>0</x:v>
      </x:c>
      <x:c r="H295" s="6">
        <x:f t="shared" si="12"/>
        <x:v>69.83</x:v>
      </x:c>
      <x:c r="I295" s="6">
        <x:v>0</x:v>
      </x:c>
      <x:c r="J295" s="6">
        <x:v>0</x:v>
      </x:c>
      <x:c r="K295" s="6">
        <x:f t="shared" si="13"/>
        <x:v>0</x:v>
      </x:c>
      <x:c r="L295" s="6">
        <x:v>0</x:v>
      </x:c>
      <x:c r="M295" s="6">
        <x:v>0</x:v>
      </x:c>
      <x:c r="N295" s="6">
        <x:f t="shared" si="14"/>
        <x:v>69.83</x:v>
      </x:c>
    </x:row>
    <x:row r="296" spans="1:14" x14ac:dyDescent="0.25">
      <x:c r="A296" t="s">
        <x:v>684</x:v>
      </x:c>
      <x:c r="B296" t="s">
        <x:v>708</x:v>
      </x:c>
      <x:c r="C296" t="s">
        <x:v>709</x:v>
      </x:c>
      <x:c r="D296" t="s">
        <x:v>832</x:v>
      </x:c>
      <x:c r="E296" s="6">
        <x:v>266.72000000000003</x:v>
      </x:c>
      <x:c r="F296" s="6">
        <x:v>0</x:v>
      </x:c>
      <x:c r="G296" s="6">
        <x:v>0</x:v>
      </x:c>
      <x:c r="H296" s="6">
        <x:f t="shared" si="12"/>
        <x:v>266.72000000000003</x:v>
      </x:c>
      <x:c r="I296" s="6">
        <x:v>224.35</x:v>
      </x:c>
      <x:c r="J296" s="6">
        <x:v>0</x:v>
      </x:c>
      <x:c r="K296" s="6">
        <x:f t="shared" si="13"/>
        <x:v>224.35</x:v>
      </x:c>
      <x:c r="L296" s="6">
        <x:v>0</x:v>
      </x:c>
      <x:c r="M296" s="6">
        <x:v>0</x:v>
      </x:c>
      <x:c r="N296" s="6">
        <x:f t="shared" si="14"/>
        <x:v>491.07000000000005</x:v>
      </x:c>
    </x:row>
    <x:row r="297" spans="1:14" x14ac:dyDescent="0.25">
      <x:c r="A297" t="s">
        <x:v>684</x:v>
      </x:c>
      <x:c r="B297" t="s">
        <x:v>712</x:v>
      </x:c>
      <x:c r="C297" t="s">
        <x:v>713</x:v>
      </x:c>
      <x:c r="D297" t="s">
        <x:v>832</x:v>
      </x:c>
      <x:c r="E297" s="6">
        <x:v>53041.85</x:v>
      </x:c>
      <x:c r="F297" s="6">
        <x:v>0</x:v>
      </x:c>
      <x:c r="G297" s="6">
        <x:v>0</x:v>
      </x:c>
      <x:c r="H297" s="6">
        <x:f t="shared" si="12"/>
        <x:v>53041.85</x:v>
      </x:c>
      <x:c r="I297" s="6">
        <x:v>0</x:v>
      </x:c>
      <x:c r="J297" s="6">
        <x:v>0</x:v>
      </x:c>
      <x:c r="K297" s="6">
        <x:f t="shared" si="13"/>
        <x:v>0</x:v>
      </x:c>
      <x:c r="L297" s="6">
        <x:v>0</x:v>
      </x:c>
      <x:c r="M297" s="6">
        <x:v>0</x:v>
      </x:c>
      <x:c r="N297" s="6">
        <x:f t="shared" si="14"/>
        <x:v>53041.85</x:v>
      </x:c>
    </x:row>
    <x:row r="298" spans="1:14" x14ac:dyDescent="0.25">
      <x:c r="A298" t="s">
        <x:v>684</x:v>
      </x:c>
      <x:c r="B298" t="s">
        <x:v>722</x:v>
      </x:c>
      <x:c r="C298" t="s">
        <x:v>723</x:v>
      </x:c>
      <x:c r="D298" t="s">
        <x:v>832</x:v>
      </x:c>
      <x:c r="E298" s="6">
        <x:v>74.64</x:v>
      </x:c>
      <x:c r="F298" s="6">
        <x:v>0</x:v>
      </x:c>
      <x:c r="G298" s="6">
        <x:v>0</x:v>
      </x:c>
      <x:c r="H298" s="6">
        <x:f t="shared" si="12"/>
        <x:v>74.64</x:v>
      </x:c>
      <x:c r="I298" s="6">
        <x:v>49.81</x:v>
      </x:c>
      <x:c r="J298" s="6">
        <x:v>0</x:v>
      </x:c>
      <x:c r="K298" s="6">
        <x:f t="shared" si="13"/>
        <x:v>49.81</x:v>
      </x:c>
      <x:c r="L298" s="6">
        <x:v>0</x:v>
      </x:c>
      <x:c r="M298" s="6">
        <x:v>0</x:v>
      </x:c>
      <x:c r="N298" s="6">
        <x:f t="shared" si="14"/>
        <x:v>124.45</x:v>
      </x:c>
    </x:row>
    <x:row r="299" spans="1:14" x14ac:dyDescent="0.25">
      <x:c r="A299" t="s">
        <x:v>684</x:v>
      </x:c>
      <x:c r="B299" t="s">
        <x:v>738</x:v>
      </x:c>
      <x:c r="C299" t="s">
        <x:v>739</x:v>
      </x:c>
      <x:c r="D299" t="s">
        <x:v>832</x:v>
      </x:c>
      <x:c r="E299" s="6">
        <x:v>0</x:v>
      </x:c>
      <x:c r="F299" s="6">
        <x:v>0</x:v>
      </x:c>
      <x:c r="G299" s="6">
        <x:v>0</x:v>
      </x:c>
      <x:c r="H299" s="6">
        <x:f t="shared" si="12"/>
        <x:v>0</x:v>
      </x:c>
      <x:c r="I299" s="6">
        <x:v>24630.36</x:v>
      </x:c>
      <x:c r="J299" s="6">
        <x:v>0</x:v>
      </x:c>
      <x:c r="K299" s="6">
        <x:f t="shared" si="13"/>
        <x:v>24630.36</x:v>
      </x:c>
      <x:c r="L299" s="6">
        <x:v>0</x:v>
      </x:c>
      <x:c r="M299" s="6">
        <x:v>0</x:v>
      </x:c>
      <x:c r="N299" s="6">
        <x:f t="shared" si="14"/>
        <x:v>24630.36</x:v>
      </x:c>
    </x:row>
    <x:row r="300" spans="1:14" x14ac:dyDescent="0.25">
      <x:c r="A300" t="s">
        <x:v>684</x:v>
      </x:c>
      <x:c r="B300" t="s">
        <x:v>742</x:v>
      </x:c>
      <x:c r="C300" t="s">
        <x:v>743</x:v>
      </x:c>
      <x:c r="D300" t="s">
        <x:v>832</x:v>
      </x:c>
      <x:c r="E300" s="6">
        <x:v>29511.54</x:v>
      </x:c>
      <x:c r="F300" s="6">
        <x:v>0</x:v>
      </x:c>
      <x:c r="G300" s="6">
        <x:v>0</x:v>
      </x:c>
      <x:c r="H300" s="6">
        <x:f t="shared" si="12"/>
        <x:v>29511.54</x:v>
      </x:c>
      <x:c r="I300" s="6">
        <x:v>0</x:v>
      </x:c>
      <x:c r="J300" s="6">
        <x:v>0</x:v>
      </x:c>
      <x:c r="K300" s="6">
        <x:f t="shared" si="13"/>
        <x:v>0</x:v>
      </x:c>
      <x:c r="L300" s="6">
        <x:v>0</x:v>
      </x:c>
      <x:c r="M300" s="6">
        <x:v>0</x:v>
      </x:c>
      <x:c r="N300" s="6">
        <x:f t="shared" si="14"/>
        <x:v>29511.54</x:v>
      </x:c>
    </x:row>
    <x:row r="301" spans="1:14" x14ac:dyDescent="0.25">
      <x:c r="A301" t="s">
        <x:v>684</x:v>
      </x:c>
      <x:c r="B301" t="s">
        <x:v>746</x:v>
      </x:c>
      <x:c r="C301" t="s">
        <x:v>747</x:v>
      </x:c>
      <x:c r="D301" t="s">
        <x:v>677</x:v>
      </x:c>
      <x:c r="E301" s="6">
        <x:v>2097.0500000000002</x:v>
      </x:c>
      <x:c r="F301" s="6">
        <x:v>0</x:v>
      </x:c>
      <x:c r="G301" s="6">
        <x:v>0</x:v>
      </x:c>
      <x:c r="H301" s="6">
        <x:f t="shared" si="12"/>
        <x:v>2097.0500000000002</x:v>
      </x:c>
      <x:c r="I301" s="6">
        <x:v>0</x:v>
      </x:c>
      <x:c r="J301" s="6">
        <x:v>0</x:v>
      </x:c>
      <x:c r="K301" s="6">
        <x:f t="shared" si="13"/>
        <x:v>0</x:v>
      </x:c>
      <x:c r="L301" s="6">
        <x:v>0</x:v>
      </x:c>
      <x:c r="M301" s="6">
        <x:v>0</x:v>
      </x:c>
      <x:c r="N301" s="6">
        <x:f t="shared" si="14"/>
        <x:v>2097.0500000000002</x:v>
      </x:c>
    </x:row>
    <x:row r="302" spans="1:14" x14ac:dyDescent="0.25">
      <x:c r="A302" t="s">
        <x:v>684</x:v>
      </x:c>
      <x:c r="B302" t="s">
        <x:v>746</x:v>
      </x:c>
      <x:c r="C302" t="s">
        <x:v>747</x:v>
      </x:c>
      <x:c r="D302" t="s">
        <x:v>832</x:v>
      </x:c>
      <x:c r="E302" s="6">
        <x:v>9777.4399999999987</x:v>
      </x:c>
      <x:c r="F302" s="6">
        <x:v>0</x:v>
      </x:c>
      <x:c r="G302" s="6">
        <x:v>0</x:v>
      </x:c>
      <x:c r="H302" s="6">
        <x:f t="shared" si="12"/>
        <x:v>9777.4399999999987</x:v>
      </x:c>
      <x:c r="I302" s="6">
        <x:v>0</x:v>
      </x:c>
      <x:c r="J302" s="6">
        <x:v>0</x:v>
      </x:c>
      <x:c r="K302" s="6">
        <x:f t="shared" si="13"/>
        <x:v>0</x:v>
      </x:c>
      <x:c r="L302" s="6">
        <x:v>0</x:v>
      </x:c>
      <x:c r="M302" s="6">
        <x:v>0</x:v>
      </x:c>
      <x:c r="N302" s="6">
        <x:f t="shared" si="14"/>
        <x:v>9777.4399999999987</x:v>
      </x:c>
    </x:row>
    <x:row r="303" spans="1:14" x14ac:dyDescent="0.25">
      <x:c r="A303" t="s">
        <x:v>684</x:v>
      </x:c>
      <x:c r="B303" t="s">
        <x:v>755</x:v>
      </x:c>
      <x:c r="C303" t="s">
        <x:v>756</x:v>
      </x:c>
      <x:c r="D303" t="s">
        <x:v>677</x:v>
      </x:c>
      <x:c r="E303" s="6">
        <x:v>19570</x:v>
      </x:c>
      <x:c r="F303" s="6">
        <x:v>0</x:v>
      </x:c>
      <x:c r="G303" s="6">
        <x:v>0</x:v>
      </x:c>
      <x:c r="H303" s="6">
        <x:f t="shared" si="12"/>
        <x:v>19570</x:v>
      </x:c>
      <x:c r="I303" s="6">
        <x:v>0</x:v>
      </x:c>
      <x:c r="J303" s="6">
        <x:v>0</x:v>
      </x:c>
      <x:c r="K303" s="6">
        <x:f t="shared" si="13"/>
        <x:v>0</x:v>
      </x:c>
      <x:c r="L303" s="6">
        <x:v>0</x:v>
      </x:c>
      <x:c r="M303" s="6">
        <x:v>0</x:v>
      </x:c>
      <x:c r="N303" s="6">
        <x:f t="shared" si="14"/>
        <x:v>19570</x:v>
      </x:c>
    </x:row>
    <x:row r="304" spans="1:14" x14ac:dyDescent="0.25">
      <x:c r="A304" t="s">
        <x:v>684</x:v>
      </x:c>
      <x:c r="B304" t="s">
        <x:v>839</x:v>
      </x:c>
      <x:c r="C304" t="s">
        <x:v>840</x:v>
      </x:c>
      <x:c r="D304" t="s">
        <x:v>677</x:v>
      </x:c>
      <x:c r="E304" s="6">
        <x:v>0</x:v>
      </x:c>
      <x:c r="F304" s="6">
        <x:v>88.1</x:v>
      </x:c>
      <x:c r="G304" s="6">
        <x:v>0</x:v>
      </x:c>
      <x:c r="H304" s="6">
        <x:f t="shared" si="12"/>
        <x:v>88.1</x:v>
      </x:c>
      <x:c r="I304" s="6">
        <x:v>0</x:v>
      </x:c>
      <x:c r="J304" s="6">
        <x:v>0</x:v>
      </x:c>
      <x:c r="K304" s="6">
        <x:f t="shared" si="13"/>
        <x:v>0</x:v>
      </x:c>
      <x:c r="L304" s="6">
        <x:v>0</x:v>
      </x:c>
      <x:c r="M304" s="6">
        <x:v>0</x:v>
      </x:c>
      <x:c r="N304" s="6">
        <x:f t="shared" si="14"/>
        <x:v>88.1</x:v>
      </x:c>
    </x:row>
    <x:row r="305" spans="1:14" x14ac:dyDescent="0.25">
      <x:c r="A305" t="s">
        <x:v>684</x:v>
      </x:c>
      <x:c r="B305" t="s">
        <x:v>839</x:v>
      </x:c>
      <x:c r="C305" t="s">
        <x:v>840</x:v>
      </x:c>
      <x:c r="D305" t="s">
        <x:v>841</x:v>
      </x:c>
      <x:c r="E305" s="6">
        <x:v>0</x:v>
      </x:c>
      <x:c r="F305" s="6">
        <x:v>2193.12</x:v>
      </x:c>
      <x:c r="G305" s="6">
        <x:v>0</x:v>
      </x:c>
      <x:c r="H305" s="6">
        <x:f t="shared" si="12"/>
        <x:v>2193.12</x:v>
      </x:c>
      <x:c r="I305" s="6">
        <x:v>0</x:v>
      </x:c>
      <x:c r="J305" s="6">
        <x:v>1739.03</x:v>
      </x:c>
      <x:c r="K305" s="6">
        <x:f t="shared" si="13"/>
        <x:v>1739.03</x:v>
      </x:c>
      <x:c r="L305" s="6">
        <x:v>0</x:v>
      </x:c>
      <x:c r="M305" s="6">
        <x:v>0</x:v>
      </x:c>
      <x:c r="N305" s="6">
        <x:f t="shared" si="14"/>
        <x:v>3932.1499999999996</x:v>
      </x:c>
    </x:row>
    <x:row r="306" spans="1:14" x14ac:dyDescent="0.25">
      <x:c r="A306" t="s">
        <x:v>685</x:v>
      </x:c>
      <x:c r="B306" t="s">
        <x:v>702</x:v>
      </x:c>
      <x:c r="C306" t="s">
        <x:v>703</x:v>
      </x:c>
      <x:c r="D306" t="s">
        <x:v>832</x:v>
      </x:c>
      <x:c r="E306" s="6">
        <x:v>0</x:v>
      </x:c>
      <x:c r="F306" s="6">
        <x:v>0</x:v>
      </x:c>
      <x:c r="G306" s="6">
        <x:v>0</x:v>
      </x:c>
      <x:c r="H306" s="6">
        <x:f t="shared" si="12"/>
        <x:v>0</x:v>
      </x:c>
      <x:c r="I306" s="6">
        <x:v>142.1</x:v>
      </x:c>
      <x:c r="J306" s="6">
        <x:v>0</x:v>
      </x:c>
      <x:c r="K306" s="6">
        <x:f t="shared" si="13"/>
        <x:v>142.1</x:v>
      </x:c>
      <x:c r="L306" s="6">
        <x:v>0</x:v>
      </x:c>
      <x:c r="M306" s="6">
        <x:v>0</x:v>
      </x:c>
      <x:c r="N306" s="6">
        <x:f t="shared" si="14"/>
        <x:v>142.1</x:v>
      </x:c>
    </x:row>
    <x:row r="307" spans="1:14" x14ac:dyDescent="0.25">
      <x:c r="A307" t="s">
        <x:v>685</x:v>
      </x:c>
      <x:c r="B307" t="s">
        <x:v>716</x:v>
      </x:c>
      <x:c r="C307" t="s">
        <x:v>717</x:v>
      </x:c>
      <x:c r="D307" t="s">
        <x:v>832</x:v>
      </x:c>
      <x:c r="E307" s="6">
        <x:v>4324.37</x:v>
      </x:c>
      <x:c r="F307" s="6">
        <x:v>0</x:v>
      </x:c>
      <x:c r="G307" s="6">
        <x:v>0</x:v>
      </x:c>
      <x:c r="H307" s="6">
        <x:f t="shared" si="12"/>
        <x:v>4324.37</x:v>
      </x:c>
      <x:c r="I307" s="6">
        <x:v>0</x:v>
      </x:c>
      <x:c r="J307" s="6">
        <x:v>0</x:v>
      </x:c>
      <x:c r="K307" s="6">
        <x:f t="shared" si="13"/>
        <x:v>0</x:v>
      </x:c>
      <x:c r="L307" s="6">
        <x:v>0</x:v>
      </x:c>
      <x:c r="M307" s="6">
        <x:v>0</x:v>
      </x:c>
      <x:c r="N307" s="6">
        <x:f t="shared" si="14"/>
        <x:v>4324.37</x:v>
      </x:c>
    </x:row>
    <x:row r="308" spans="1:14" x14ac:dyDescent="0.25">
      <x:c r="A308" t="s">
        <x:v>685</x:v>
      </x:c>
      <x:c r="B308" t="s">
        <x:v>724</x:v>
      </x:c>
      <x:c r="C308" t="s">
        <x:v>725</x:v>
      </x:c>
      <x:c r="D308" t="s">
        <x:v>832</x:v>
      </x:c>
      <x:c r="E308" s="6">
        <x:v>0.16</x:v>
      </x:c>
      <x:c r="F308" s="6">
        <x:v>0</x:v>
      </x:c>
      <x:c r="G308" s="6">
        <x:v>0</x:v>
      </x:c>
      <x:c r="H308" s="6">
        <x:f t="shared" si="12"/>
        <x:v>0.16</x:v>
      </x:c>
      <x:c r="I308" s="6">
        <x:v>0</x:v>
      </x:c>
      <x:c r="J308" s="6">
        <x:v>0</x:v>
      </x:c>
      <x:c r="K308" s="6">
        <x:f t="shared" si="13"/>
        <x:v>0</x:v>
      </x:c>
      <x:c r="L308" s="6">
        <x:v>0</x:v>
      </x:c>
      <x:c r="M308" s="6">
        <x:v>0</x:v>
      </x:c>
      <x:c r="N308" s="6">
        <x:f t="shared" si="14"/>
        <x:v>0.16</x:v>
      </x:c>
    </x:row>
    <x:row r="309" spans="1:14" x14ac:dyDescent="0.25">
      <x:c r="A309" t="s">
        <x:v>685</x:v>
      </x:c>
      <x:c r="B309" t="s">
        <x:v>839</x:v>
      </x:c>
      <x:c r="C309" t="s">
        <x:v>840</x:v>
      </x:c>
      <x:c r="D309" t="s">
        <x:v>841</x:v>
      </x:c>
      <x:c r="E309" s="6">
        <x:v>0</x:v>
      </x:c>
      <x:c r="F309" s="6">
        <x:v>0</x:v>
      </x:c>
      <x:c r="G309" s="6">
        <x:v>0</x:v>
      </x:c>
      <x:c r="H309" s="6">
        <x:f t="shared" si="12"/>
        <x:v>0</x:v>
      </x:c>
      <x:c r="I309" s="6">
        <x:v>0</x:v>
      </x:c>
      <x:c r="J309" s="6">
        <x:v>153.82</x:v>
      </x:c>
      <x:c r="K309" s="6">
        <x:f t="shared" si="13"/>
        <x:v>153.82</x:v>
      </x:c>
      <x:c r="L309" s="6">
        <x:v>0</x:v>
      </x:c>
      <x:c r="M309" s="6">
        <x:v>0</x:v>
      </x:c>
      <x:c r="N309" s="6">
        <x:f t="shared" si="14"/>
        <x:v>153.82</x:v>
      </x:c>
    </x:row>
    <x:row r="310" spans="1:14" x14ac:dyDescent="0.25">
      <x:c r="A310" t="s">
        <x:v>686</x:v>
      </x:c>
      <x:c r="B310" t="s">
        <x:v>692</x:v>
      </x:c>
      <x:c r="C310" t="s">
        <x:v>693</x:v>
      </x:c>
      <x:c r="D310" t="s">
        <x:v>677</x:v>
      </x:c>
      <x:c r="E310" s="6">
        <x:v>37613.689999999995</x:v>
      </x:c>
      <x:c r="F310" s="6">
        <x:v>0</x:v>
      </x:c>
      <x:c r="G310" s="6">
        <x:v>0</x:v>
      </x:c>
      <x:c r="H310" s="6">
        <x:f t="shared" si="12"/>
        <x:v>37613.689999999995</x:v>
      </x:c>
      <x:c r="I310" s="6">
        <x:v>0</x:v>
      </x:c>
      <x:c r="J310" s="6">
        <x:v>0</x:v>
      </x:c>
      <x:c r="K310" s="6">
        <x:f t="shared" si="13"/>
        <x:v>0</x:v>
      </x:c>
      <x:c r="L310" s="6">
        <x:v>0</x:v>
      </x:c>
      <x:c r="M310" s="6">
        <x:v>0</x:v>
      </x:c>
      <x:c r="N310" s="6">
        <x:f t="shared" si="14"/>
        <x:v>37613.689999999995</x:v>
      </x:c>
    </x:row>
    <x:row r="311" spans="1:14" x14ac:dyDescent="0.25">
      <x:c r="A311" t="s">
        <x:v>686</x:v>
      </x:c>
      <x:c r="B311" t="s">
        <x:v>692</x:v>
      </x:c>
      <x:c r="C311" t="s">
        <x:v>693</x:v>
      </x:c>
      <x:c r="D311" t="s">
        <x:v>832</x:v>
      </x:c>
      <x:c r="E311" s="6">
        <x:v>410293.32</x:v>
      </x:c>
      <x:c r="F311" s="6">
        <x:v>0</x:v>
      </x:c>
      <x:c r="G311" s="6">
        <x:v>0</x:v>
      </x:c>
      <x:c r="H311" s="6">
        <x:f t="shared" si="12"/>
        <x:v>410293.32</x:v>
      </x:c>
      <x:c r="I311" s="6">
        <x:v>36356.21</x:v>
      </x:c>
      <x:c r="J311" s="6">
        <x:v>0</x:v>
      </x:c>
      <x:c r="K311" s="6">
        <x:f t="shared" si="13"/>
        <x:v>36356.21</x:v>
      </x:c>
      <x:c r="L311" s="6">
        <x:v>0</x:v>
      </x:c>
      <x:c r="M311" s="6">
        <x:v>0</x:v>
      </x:c>
      <x:c r="N311" s="6">
        <x:f t="shared" si="14"/>
        <x:v>446649.53</x:v>
      </x:c>
    </x:row>
    <x:row r="312" spans="1:14" x14ac:dyDescent="0.25">
      <x:c r="A312" t="s">
        <x:v>686</x:v>
      </x:c>
      <x:c r="B312" t="s">
        <x:v>694</x:v>
      </x:c>
      <x:c r="C312" t="s">
        <x:v>695</x:v>
      </x:c>
      <x:c r="D312" t="s">
        <x:v>677</x:v>
      </x:c>
      <x:c r="E312" s="6">
        <x:v>10851.61</x:v>
      </x:c>
      <x:c r="F312" s="6">
        <x:v>0</x:v>
      </x:c>
      <x:c r="G312" s="6">
        <x:v>0</x:v>
      </x:c>
      <x:c r="H312" s="6">
        <x:f t="shared" si="12"/>
        <x:v>10851.61</x:v>
      </x:c>
      <x:c r="I312" s="6">
        <x:v>0</x:v>
      </x:c>
      <x:c r="J312" s="6">
        <x:v>0</x:v>
      </x:c>
      <x:c r="K312" s="6">
        <x:f t="shared" si="13"/>
        <x:v>0</x:v>
      </x:c>
      <x:c r="L312" s="6">
        <x:v>0</x:v>
      </x:c>
      <x:c r="M312" s="6">
        <x:v>0</x:v>
      </x:c>
      <x:c r="N312" s="6">
        <x:f t="shared" si="14"/>
        <x:v>10851.61</x:v>
      </x:c>
    </x:row>
    <x:row r="313" spans="1:14" x14ac:dyDescent="0.25">
      <x:c r="A313" t="s">
        <x:v>686</x:v>
      </x:c>
      <x:c r="B313" t="s">
        <x:v>694</x:v>
      </x:c>
      <x:c r="C313" t="s">
        <x:v>695</x:v>
      </x:c>
      <x:c r="D313" t="s">
        <x:v>832</x:v>
      </x:c>
      <x:c r="E313" s="6">
        <x:v>43197.349999999977</x:v>
      </x:c>
      <x:c r="F313" s="6">
        <x:v>0</x:v>
      </x:c>
      <x:c r="G313" s="6">
        <x:v>0</x:v>
      </x:c>
      <x:c r="H313" s="6">
        <x:f t="shared" si="12"/>
        <x:v>43197.349999999977</x:v>
      </x:c>
      <x:c r="I313" s="6">
        <x:v>2055.73</x:v>
      </x:c>
      <x:c r="J313" s="6">
        <x:v>0</x:v>
      </x:c>
      <x:c r="K313" s="6">
        <x:f t="shared" si="13"/>
        <x:v>2055.73</x:v>
      </x:c>
      <x:c r="L313" s="6">
        <x:v>0</x:v>
      </x:c>
      <x:c r="M313" s="6">
        <x:v>0</x:v>
      </x:c>
      <x:c r="N313" s="6">
        <x:f t="shared" si="14"/>
        <x:v>45253.07999999998</x:v>
      </x:c>
    </x:row>
    <x:row r="314" spans="1:14" x14ac:dyDescent="0.25">
      <x:c r="A314" t="s">
        <x:v>686</x:v>
      </x:c>
      <x:c r="B314" t="s">
        <x:v>696</x:v>
      </x:c>
      <x:c r="C314" t="s">
        <x:v>697</x:v>
      </x:c>
      <x:c r="D314" t="s">
        <x:v>677</x:v>
      </x:c>
      <x:c r="E314" s="6">
        <x:v>21054.1</x:v>
      </x:c>
      <x:c r="F314" s="6">
        <x:v>0</x:v>
      </x:c>
      <x:c r="G314" s="6">
        <x:v>0</x:v>
      </x:c>
      <x:c r="H314" s="6">
        <x:f t="shared" si="12"/>
        <x:v>21054.1</x:v>
      </x:c>
      <x:c r="I314" s="6">
        <x:v>0</x:v>
      </x:c>
      <x:c r="J314" s="6">
        <x:v>0</x:v>
      </x:c>
      <x:c r="K314" s="6">
        <x:f t="shared" si="13"/>
        <x:v>0</x:v>
      </x:c>
      <x:c r="L314" s="6">
        <x:v>0</x:v>
      </x:c>
      <x:c r="M314" s="6">
        <x:v>0</x:v>
      </x:c>
      <x:c r="N314" s="6">
        <x:f t="shared" si="14"/>
        <x:v>21054.1</x:v>
      </x:c>
    </x:row>
    <x:row r="315" spans="1:14" x14ac:dyDescent="0.25">
      <x:c r="A315" t="s">
        <x:v>686</x:v>
      </x:c>
      <x:c r="B315" t="s">
        <x:v>696</x:v>
      </x:c>
      <x:c r="C315" t="s">
        <x:v>697</x:v>
      </x:c>
      <x:c r="D315" t="s">
        <x:v>832</x:v>
      </x:c>
      <x:c r="E315" s="6">
        <x:v>138838.38999999998</x:v>
      </x:c>
      <x:c r="F315" s="6">
        <x:v>0</x:v>
      </x:c>
      <x:c r="G315" s="6">
        <x:v>0</x:v>
      </x:c>
      <x:c r="H315" s="6">
        <x:f t="shared" si="12"/>
        <x:v>138838.38999999998</x:v>
      </x:c>
      <x:c r="I315" s="6">
        <x:v>4817.0499999999993</x:v>
      </x:c>
      <x:c r="J315" s="6">
        <x:v>0</x:v>
      </x:c>
      <x:c r="K315" s="6">
        <x:f t="shared" si="13"/>
        <x:v>4817.0499999999993</x:v>
      </x:c>
      <x:c r="L315" s="6">
        <x:v>0</x:v>
      </x:c>
      <x:c r="M315" s="6">
        <x:v>0</x:v>
      </x:c>
      <x:c r="N315" s="6">
        <x:f t="shared" si="14"/>
        <x:v>143655.43999999997</x:v>
      </x:c>
    </x:row>
    <x:row r="316" spans="1:14" x14ac:dyDescent="0.25">
      <x:c r="A316" t="s">
        <x:v>686</x:v>
      </x:c>
      <x:c r="B316" t="s">
        <x:v>782</x:v>
      </x:c>
      <x:c r="C316" t="s">
        <x:v>783</x:v>
      </x:c>
      <x:c r="D316" t="s">
        <x:v>677</x:v>
      </x:c>
      <x:c r="E316" s="6">
        <x:v>35809.65</x:v>
      </x:c>
      <x:c r="F316" s="6">
        <x:v>0</x:v>
      </x:c>
      <x:c r="G316" s="6">
        <x:v>0</x:v>
      </x:c>
      <x:c r="H316" s="6">
        <x:f t="shared" si="12"/>
        <x:v>35809.65</x:v>
      </x:c>
      <x:c r="I316" s="6">
        <x:v>0</x:v>
      </x:c>
      <x:c r="J316" s="6">
        <x:v>0</x:v>
      </x:c>
      <x:c r="K316" s="6">
        <x:f t="shared" si="13"/>
        <x:v>0</x:v>
      </x:c>
      <x:c r="L316" s="6">
        <x:v>0</x:v>
      </x:c>
      <x:c r="M316" s="6">
        <x:v>0</x:v>
      </x:c>
      <x:c r="N316" s="6">
        <x:f t="shared" si="14"/>
        <x:v>35809.65</x:v>
      </x:c>
    </x:row>
    <x:row r="317" spans="1:14" x14ac:dyDescent="0.25">
      <x:c r="A317" t="s">
        <x:v>686</x:v>
      </x:c>
      <x:c r="B317" t="s">
        <x:v>782</x:v>
      </x:c>
      <x:c r="C317" t="s">
        <x:v>783</x:v>
      </x:c>
      <x:c r="D317" t="s">
        <x:v>832</x:v>
      </x:c>
      <x:c r="E317" s="6">
        <x:v>43373.75999999998</x:v>
      </x:c>
      <x:c r="F317" s="6">
        <x:v>0</x:v>
      </x:c>
      <x:c r="G317" s="6">
        <x:v>0</x:v>
      </x:c>
      <x:c r="H317" s="6">
        <x:f t="shared" si="12"/>
        <x:v>43373.75999999998</x:v>
      </x:c>
      <x:c r="I317" s="6">
        <x:v>0</x:v>
      </x:c>
      <x:c r="J317" s="6">
        <x:v>0</x:v>
      </x:c>
      <x:c r="K317" s="6">
        <x:f t="shared" si="13"/>
        <x:v>0</x:v>
      </x:c>
      <x:c r="L317" s="6">
        <x:v>0</x:v>
      </x:c>
      <x:c r="M317" s="6">
        <x:v>0</x:v>
      </x:c>
      <x:c r="N317" s="6">
        <x:f t="shared" si="14"/>
        <x:v>43373.75999999998</x:v>
      </x:c>
    </x:row>
    <x:row r="318" spans="1:14" x14ac:dyDescent="0.25">
      <x:c r="A318" t="s">
        <x:v>686</x:v>
      </x:c>
      <x:c r="B318" t="s">
        <x:v>784</x:v>
      </x:c>
      <x:c r="C318" t="s">
        <x:v>785</x:v>
      </x:c>
      <x:c r="D318" t="s">
        <x:v>677</x:v>
      </x:c>
      <x:c r="E318" s="6">
        <x:v>43103.189999999995</x:v>
      </x:c>
      <x:c r="F318" s="6">
        <x:v>0</x:v>
      </x:c>
      <x:c r="G318" s="6">
        <x:v>0</x:v>
      </x:c>
      <x:c r="H318" s="6">
        <x:f t="shared" si="12"/>
        <x:v>43103.189999999995</x:v>
      </x:c>
      <x:c r="I318" s="6">
        <x:v>0</x:v>
      </x:c>
      <x:c r="J318" s="6">
        <x:v>0</x:v>
      </x:c>
      <x:c r="K318" s="6">
        <x:f t="shared" si="13"/>
        <x:v>0</x:v>
      </x:c>
      <x:c r="L318" s="6">
        <x:v>0</x:v>
      </x:c>
      <x:c r="M318" s="6">
        <x:v>0</x:v>
      </x:c>
      <x:c r="N318" s="6">
        <x:f t="shared" si="14"/>
        <x:v>43103.189999999995</x:v>
      </x:c>
    </x:row>
    <x:row r="319" spans="1:14" x14ac:dyDescent="0.25">
      <x:c r="A319" t="s">
        <x:v>686</x:v>
      </x:c>
      <x:c r="B319" t="s">
        <x:v>784</x:v>
      </x:c>
      <x:c r="C319" t="s">
        <x:v>785</x:v>
      </x:c>
      <x:c r="D319" t="s">
        <x:v>832</x:v>
      </x:c>
      <x:c r="E319" s="6">
        <x:v>122328.52999999994</x:v>
      </x:c>
      <x:c r="F319" s="6">
        <x:v>0</x:v>
      </x:c>
      <x:c r="G319" s="6">
        <x:v>0</x:v>
      </x:c>
      <x:c r="H319" s="6">
        <x:f t="shared" si="12"/>
        <x:v>122328.52999999994</x:v>
      </x:c>
      <x:c r="I319" s="6">
        <x:v>0</x:v>
      </x:c>
      <x:c r="J319" s="6">
        <x:v>0</x:v>
      </x:c>
      <x:c r="K319" s="6">
        <x:f t="shared" si="13"/>
        <x:v>0</x:v>
      </x:c>
      <x:c r="L319" s="6">
        <x:v>0</x:v>
      </x:c>
      <x:c r="M319" s="6">
        <x:v>0</x:v>
      </x:c>
      <x:c r="N319" s="6">
        <x:f t="shared" si="14"/>
        <x:v>122328.52999999994</x:v>
      </x:c>
    </x:row>
    <x:row r="320" spans="1:14" x14ac:dyDescent="0.25">
      <x:c r="A320" t="s">
        <x:v>686</x:v>
      </x:c>
      <x:c r="B320" t="s">
        <x:v>786</x:v>
      </x:c>
      <x:c r="C320" t="s">
        <x:v>787</x:v>
      </x:c>
      <x:c r="D320" t="s">
        <x:v>677</x:v>
      </x:c>
      <x:c r="E320" s="6">
        <x:v>14646.390000000001</x:v>
      </x:c>
      <x:c r="F320" s="6">
        <x:v>0</x:v>
      </x:c>
      <x:c r="G320" s="6">
        <x:v>0</x:v>
      </x:c>
      <x:c r="H320" s="6">
        <x:f t="shared" si="12"/>
        <x:v>14646.390000000001</x:v>
      </x:c>
      <x:c r="I320" s="6">
        <x:v>0</x:v>
      </x:c>
      <x:c r="J320" s="6">
        <x:v>0</x:v>
      </x:c>
      <x:c r="K320" s="6">
        <x:f t="shared" si="13"/>
        <x:v>0</x:v>
      </x:c>
      <x:c r="L320" s="6">
        <x:v>0</x:v>
      </x:c>
      <x:c r="M320" s="6">
        <x:v>0</x:v>
      </x:c>
      <x:c r="N320" s="6">
        <x:f t="shared" si="14"/>
        <x:v>14646.390000000001</x:v>
      </x:c>
    </x:row>
    <x:row r="321" spans="1:14" x14ac:dyDescent="0.25">
      <x:c r="A321" t="s">
        <x:v>686</x:v>
      </x:c>
      <x:c r="B321" t="s">
        <x:v>786</x:v>
      </x:c>
      <x:c r="C321" t="s">
        <x:v>787</x:v>
      </x:c>
      <x:c r="D321" t="s">
        <x:v>832</x:v>
      </x:c>
      <x:c r="E321" s="6">
        <x:v>73529.340000000011</x:v>
      </x:c>
      <x:c r="F321" s="6">
        <x:v>0</x:v>
      </x:c>
      <x:c r="G321" s="6">
        <x:v>0</x:v>
      </x:c>
      <x:c r="H321" s="6">
        <x:f t="shared" si="12"/>
        <x:v>73529.340000000011</x:v>
      </x:c>
      <x:c r="I321" s="6">
        <x:v>0</x:v>
      </x:c>
      <x:c r="J321" s="6">
        <x:v>0</x:v>
      </x:c>
      <x:c r="K321" s="6">
        <x:f t="shared" si="13"/>
        <x:v>0</x:v>
      </x:c>
      <x:c r="L321" s="6">
        <x:v>0</x:v>
      </x:c>
      <x:c r="M321" s="6">
        <x:v>0</x:v>
      </x:c>
      <x:c r="N321" s="6">
        <x:f t="shared" si="14"/>
        <x:v>73529.340000000011</x:v>
      </x:c>
    </x:row>
    <x:row r="322" spans="1:14" x14ac:dyDescent="0.25">
      <x:c r="A322" t="s">
        <x:v>686</x:v>
      </x:c>
      <x:c r="B322" t="s">
        <x:v>700</x:v>
      </x:c>
      <x:c r="C322" t="s">
        <x:v>701</x:v>
      </x:c>
      <x:c r="D322" t="s">
        <x:v>677</x:v>
      </x:c>
      <x:c r="E322" s="6">
        <x:v>123305.73</x:v>
      </x:c>
      <x:c r="F322" s="6">
        <x:v>0</x:v>
      </x:c>
      <x:c r="G322" s="6">
        <x:v>0</x:v>
      </x:c>
      <x:c r="H322" s="6">
        <x:f t="shared" si="12"/>
        <x:v>123305.73</x:v>
      </x:c>
      <x:c r="I322" s="6">
        <x:v>0</x:v>
      </x:c>
      <x:c r="J322" s="6">
        <x:v>0</x:v>
      </x:c>
      <x:c r="K322" s="6">
        <x:f t="shared" si="13"/>
        <x:v>0</x:v>
      </x:c>
      <x:c r="L322" s="6">
        <x:v>0</x:v>
      </x:c>
      <x:c r="M322" s="6">
        <x:v>0</x:v>
      </x:c>
      <x:c r="N322" s="6">
        <x:f t="shared" si="14"/>
        <x:v>123305.73</x:v>
      </x:c>
    </x:row>
    <x:row r="323" spans="1:14" x14ac:dyDescent="0.25">
      <x:c r="A323" t="s">
        <x:v>686</x:v>
      </x:c>
      <x:c r="B323" t="s">
        <x:v>700</x:v>
      </x:c>
      <x:c r="C323" t="s">
        <x:v>701</x:v>
      </x:c>
      <x:c r="D323" t="s">
        <x:v>832</x:v>
      </x:c>
      <x:c r="E323" s="6">
        <x:v>478301.37999999989</x:v>
      </x:c>
      <x:c r="F323" s="6">
        <x:v>0</x:v>
      </x:c>
      <x:c r="G323" s="6">
        <x:v>0</x:v>
      </x:c>
      <x:c r="H323" s="6">
        <x:f t="shared" si="12"/>
        <x:v>478301.37999999989</x:v>
      </x:c>
      <x:c r="I323" s="6">
        <x:v>9407.0199999999986</x:v>
      </x:c>
      <x:c r="J323" s="6">
        <x:v>0</x:v>
      </x:c>
      <x:c r="K323" s="6">
        <x:f t="shared" si="13"/>
        <x:v>9407.0199999999986</x:v>
      </x:c>
      <x:c r="L323" s="6">
        <x:v>0</x:v>
      </x:c>
      <x:c r="M323" s="6">
        <x:v>0</x:v>
      </x:c>
      <x:c r="N323" s="6">
        <x:f t="shared" si="14"/>
        <x:v>487708.39999999991</x:v>
      </x:c>
    </x:row>
    <x:row r="324" spans="1:14" x14ac:dyDescent="0.25">
      <x:c r="A324" t="s">
        <x:v>686</x:v>
      </x:c>
      <x:c r="B324" t="s">
        <x:v>702</x:v>
      </x:c>
      <x:c r="C324" t="s">
        <x:v>703</x:v>
      </x:c>
      <x:c r="D324" t="s">
        <x:v>677</x:v>
      </x:c>
      <x:c r="E324" s="6">
        <x:v>32231.67</x:v>
      </x:c>
      <x:c r="F324" s="6">
        <x:v>0</x:v>
      </x:c>
      <x:c r="G324" s="6">
        <x:v>0</x:v>
      </x:c>
      <x:c r="H324" s="6">
        <x:f t="shared" si="12"/>
        <x:v>32231.67</x:v>
      </x:c>
      <x:c r="I324" s="6">
        <x:v>0</x:v>
      </x:c>
      <x:c r="J324" s="6">
        <x:v>0</x:v>
      </x:c>
      <x:c r="K324" s="6">
        <x:f t="shared" si="13"/>
        <x:v>0</x:v>
      </x:c>
      <x:c r="L324" s="6">
        <x:v>0</x:v>
      </x:c>
      <x:c r="M324" s="6">
        <x:v>0</x:v>
      </x:c>
      <x:c r="N324" s="6">
        <x:f t="shared" si="14"/>
        <x:v>32231.67</x:v>
      </x:c>
    </x:row>
    <x:row r="325" spans="1:14" x14ac:dyDescent="0.25">
      <x:c r="A325" t="s">
        <x:v>686</x:v>
      </x:c>
      <x:c r="B325" t="s">
        <x:v>702</x:v>
      </x:c>
      <x:c r="C325" t="s">
        <x:v>703</x:v>
      </x:c>
      <x:c r="D325" t="s">
        <x:v>832</x:v>
      </x:c>
      <x:c r="E325" s="6">
        <x:v>106836.58000000002</x:v>
      </x:c>
      <x:c r="F325" s="6">
        <x:v>0</x:v>
      </x:c>
      <x:c r="G325" s="6">
        <x:v>0</x:v>
      </x:c>
      <x:c r="H325" s="6">
        <x:f t="shared" si="12"/>
        <x:v>106836.58000000002</x:v>
      </x:c>
      <x:c r="I325" s="6">
        <x:v>3430.8300000000004</x:v>
      </x:c>
      <x:c r="J325" s="6">
        <x:v>0</x:v>
      </x:c>
      <x:c r="K325" s="6">
        <x:f t="shared" si="13"/>
        <x:v>3430.8300000000004</x:v>
      </x:c>
      <x:c r="L325" s="6">
        <x:v>0</x:v>
      </x:c>
      <x:c r="M325" s="6">
        <x:v>0</x:v>
      </x:c>
      <x:c r="N325" s="6">
        <x:f t="shared" si="14"/>
        <x:v>110267.41000000002</x:v>
      </x:c>
    </x:row>
    <x:row r="326" spans="1:14" x14ac:dyDescent="0.25">
      <x:c r="A326" t="s">
        <x:v>686</x:v>
      </x:c>
      <x:c r="B326" t="s">
        <x:v>704</x:v>
      </x:c>
      <x:c r="C326" t="s">
        <x:v>705</x:v>
      </x:c>
      <x:c r="D326" t="s">
        <x:v>677</x:v>
      </x:c>
      <x:c r="E326" s="6">
        <x:v>25565.13</x:v>
      </x:c>
      <x:c r="F326" s="6">
        <x:v>0</x:v>
      </x:c>
      <x:c r="G326" s="6">
        <x:v>0</x:v>
      </x:c>
      <x:c r="H326" s="6">
        <x:f t="shared" si="12"/>
        <x:v>25565.13</x:v>
      </x:c>
      <x:c r="I326" s="6">
        <x:v>0</x:v>
      </x:c>
      <x:c r="J326" s="6">
        <x:v>0</x:v>
      </x:c>
      <x:c r="K326" s="6">
        <x:f t="shared" si="13"/>
        <x:v>0</x:v>
      </x:c>
      <x:c r="L326" s="6">
        <x:v>0</x:v>
      </x:c>
      <x:c r="M326" s="6">
        <x:v>0</x:v>
      </x:c>
      <x:c r="N326" s="6">
        <x:f t="shared" si="14"/>
        <x:v>25565.13</x:v>
      </x:c>
    </x:row>
    <x:row r="327" spans="1:14" x14ac:dyDescent="0.25">
      <x:c r="A327" t="s">
        <x:v>686</x:v>
      </x:c>
      <x:c r="B327" t="s">
        <x:v>704</x:v>
      </x:c>
      <x:c r="C327" t="s">
        <x:v>705</x:v>
      </x:c>
      <x:c r="D327" t="s">
        <x:v>832</x:v>
      </x:c>
      <x:c r="E327" s="6">
        <x:v>103753.11000000003</x:v>
      </x:c>
      <x:c r="F327" s="6">
        <x:v>0</x:v>
      </x:c>
      <x:c r="G327" s="6">
        <x:v>0</x:v>
      </x:c>
      <x:c r="H327" s="6">
        <x:f t="shared" si="12"/>
        <x:v>103753.11000000003</x:v>
      </x:c>
      <x:c r="I327" s="6">
        <x:v>0</x:v>
      </x:c>
      <x:c r="J327" s="6">
        <x:v>0</x:v>
      </x:c>
      <x:c r="K327" s="6">
        <x:f t="shared" si="13"/>
        <x:v>0</x:v>
      </x:c>
      <x:c r="L327" s="6">
        <x:v>0</x:v>
      </x:c>
      <x:c r="M327" s="6">
        <x:v>0</x:v>
      </x:c>
      <x:c r="N327" s="6">
        <x:f t="shared" si="14"/>
        <x:v>103753.11000000003</x:v>
      </x:c>
    </x:row>
    <x:row r="328" spans="1:14" x14ac:dyDescent="0.25">
      <x:c r="A328" t="s">
        <x:v>686</x:v>
      </x:c>
      <x:c r="B328" t="s">
        <x:v>706</x:v>
      </x:c>
      <x:c r="C328" t="s">
        <x:v>707</x:v>
      </x:c>
      <x:c r="D328" t="s">
        <x:v>677</x:v>
      </x:c>
      <x:c r="E328" s="6">
        <x:v>64385.49</x:v>
      </x:c>
      <x:c r="F328" s="6">
        <x:v>0</x:v>
      </x:c>
      <x:c r="G328" s="6">
        <x:v>0</x:v>
      </x:c>
      <x:c r="H328" s="6">
        <x:f t="shared" si="12"/>
        <x:v>64385.49</x:v>
      </x:c>
      <x:c r="I328" s="6">
        <x:v>0</x:v>
      </x:c>
      <x:c r="J328" s="6">
        <x:v>0</x:v>
      </x:c>
      <x:c r="K328" s="6">
        <x:f t="shared" si="13"/>
        <x:v>0</x:v>
      </x:c>
      <x:c r="L328" s="6">
        <x:v>0</x:v>
      </x:c>
      <x:c r="M328" s="6">
        <x:v>0</x:v>
      </x:c>
      <x:c r="N328" s="6">
        <x:f t="shared" si="14"/>
        <x:v>64385.49</x:v>
      </x:c>
    </x:row>
    <x:row r="329" spans="1:14" x14ac:dyDescent="0.25">
      <x:c r="A329" t="s">
        <x:v>686</x:v>
      </x:c>
      <x:c r="B329" t="s">
        <x:v>706</x:v>
      </x:c>
      <x:c r="C329" t="s">
        <x:v>707</x:v>
      </x:c>
      <x:c r="D329" t="s">
        <x:v>832</x:v>
      </x:c>
      <x:c r="E329" s="6">
        <x:v>1407094.77</x:v>
      </x:c>
      <x:c r="F329" s="6">
        <x:v>0</x:v>
      </x:c>
      <x:c r="G329" s="6">
        <x:v>0</x:v>
      </x:c>
      <x:c r="H329" s="6">
        <x:f t="shared" ref="H329:H392" si="16">SUM(E329:G329)</x:f>
        <x:v>1407094.77</x:v>
      </x:c>
      <x:c r="I329" s="6">
        <x:v>299.13</x:v>
      </x:c>
      <x:c r="J329" s="6">
        <x:v>0</x:v>
      </x:c>
      <x:c r="K329" s="6">
        <x:f t="shared" ref="K329:K392" si="17">SUM(I329:J329)</x:f>
        <x:v>299.13</x:v>
      </x:c>
      <x:c r="L329" s="6">
        <x:v>0</x:v>
      </x:c>
      <x:c r="M329" s="6">
        <x:v>0</x:v>
      </x:c>
      <x:c r="N329" s="6">
        <x:f t="shared" ref="N329:N392" si="18">+E329+F329+G329+I329+J329+L329+M329</x:f>
        <x:v>1407393.9</x:v>
      </x:c>
    </x:row>
    <x:row r="330" spans="1:14" x14ac:dyDescent="0.25">
      <x:c r="A330" t="s">
        <x:v>686</x:v>
      </x:c>
      <x:c r="B330" t="s">
        <x:v>708</x:v>
      </x:c>
      <x:c r="C330" t="s">
        <x:v>709</x:v>
      </x:c>
      <x:c r="D330" t="s">
        <x:v>677</x:v>
      </x:c>
      <x:c r="E330" s="6">
        <x:v>5528.7</x:v>
      </x:c>
      <x:c r="F330" s="6">
        <x:v>0</x:v>
      </x:c>
      <x:c r="G330" s="6">
        <x:v>0</x:v>
      </x:c>
      <x:c r="H330" s="6">
        <x:f t="shared" si="16"/>
        <x:v>5528.7</x:v>
      </x:c>
      <x:c r="I330" s="6">
        <x:v>0</x:v>
      </x:c>
      <x:c r="J330" s="6">
        <x:v>0</x:v>
      </x:c>
      <x:c r="K330" s="6">
        <x:f t="shared" si="17"/>
        <x:v>0</x:v>
      </x:c>
      <x:c r="L330" s="6">
        <x:v>0</x:v>
      </x:c>
      <x:c r="M330" s="6">
        <x:v>0</x:v>
      </x:c>
      <x:c r="N330" s="6">
        <x:f t="shared" si="18"/>
        <x:v>5528.7</x:v>
      </x:c>
    </x:row>
    <x:row r="331" spans="1:14" x14ac:dyDescent="0.25">
      <x:c r="A331" t="s">
        <x:v>686</x:v>
      </x:c>
      <x:c r="B331" t="s">
        <x:v>708</x:v>
      </x:c>
      <x:c r="C331" t="s">
        <x:v>709</x:v>
      </x:c>
      <x:c r="D331" t="s">
        <x:v>832</x:v>
      </x:c>
      <x:c r="E331" s="6">
        <x:v>101202.59000000004</x:v>
      </x:c>
      <x:c r="F331" s="6">
        <x:v>0</x:v>
      </x:c>
      <x:c r="G331" s="6">
        <x:v>0</x:v>
      </x:c>
      <x:c r="H331" s="6">
        <x:f t="shared" si="16"/>
        <x:v>101202.59000000004</x:v>
      </x:c>
      <x:c r="I331" s="6">
        <x:v>0</x:v>
      </x:c>
      <x:c r="J331" s="6">
        <x:v>0</x:v>
      </x:c>
      <x:c r="K331" s="6">
        <x:f t="shared" si="17"/>
        <x:v>0</x:v>
      </x:c>
      <x:c r="L331" s="6">
        <x:v>0</x:v>
      </x:c>
      <x:c r="M331" s="6">
        <x:v>0</x:v>
      </x:c>
      <x:c r="N331" s="6">
        <x:f t="shared" si="18"/>
        <x:v>101202.59000000004</x:v>
      </x:c>
    </x:row>
    <x:row r="332" spans="1:14" x14ac:dyDescent="0.25">
      <x:c r="A332" t="s">
        <x:v>686</x:v>
      </x:c>
      <x:c r="B332" t="s">
        <x:v>712</x:v>
      </x:c>
      <x:c r="C332" t="s">
        <x:v>713</x:v>
      </x:c>
      <x:c r="D332" t="s">
        <x:v>677</x:v>
      </x:c>
      <x:c r="E332" s="6">
        <x:v>35193.56</x:v>
      </x:c>
      <x:c r="F332" s="6">
        <x:v>0</x:v>
      </x:c>
      <x:c r="G332" s="6">
        <x:v>0</x:v>
      </x:c>
      <x:c r="H332" s="6">
        <x:f t="shared" si="16"/>
        <x:v>35193.56</x:v>
      </x:c>
      <x:c r="I332" s="6">
        <x:v>0</x:v>
      </x:c>
      <x:c r="J332" s="6">
        <x:v>0</x:v>
      </x:c>
      <x:c r="K332" s="6">
        <x:f t="shared" si="17"/>
        <x:v>0</x:v>
      </x:c>
      <x:c r="L332" s="6">
        <x:v>0</x:v>
      </x:c>
      <x:c r="M332" s="6">
        <x:v>0</x:v>
      </x:c>
      <x:c r="N332" s="6">
        <x:f t="shared" si="18"/>
        <x:v>35193.56</x:v>
      </x:c>
    </x:row>
    <x:row r="333" spans="1:14" x14ac:dyDescent="0.25">
      <x:c r="A333" t="s">
        <x:v>686</x:v>
      </x:c>
      <x:c r="B333" t="s">
        <x:v>712</x:v>
      </x:c>
      <x:c r="C333" t="s">
        <x:v>713</x:v>
      </x:c>
      <x:c r="D333" t="s">
        <x:v>832</x:v>
      </x:c>
      <x:c r="E333" s="6">
        <x:v>134986.62999999998</x:v>
      </x:c>
      <x:c r="F333" s="6">
        <x:v>0</x:v>
      </x:c>
      <x:c r="G333" s="6">
        <x:v>0</x:v>
      </x:c>
      <x:c r="H333" s="6">
        <x:f t="shared" si="16"/>
        <x:v>134986.62999999998</x:v>
      </x:c>
      <x:c r="I333" s="6">
        <x:v>4642.88</x:v>
      </x:c>
      <x:c r="J333" s="6">
        <x:v>0</x:v>
      </x:c>
      <x:c r="K333" s="6">
        <x:f t="shared" si="17"/>
        <x:v>4642.88</x:v>
      </x:c>
      <x:c r="L333" s="6">
        <x:v>0</x:v>
      </x:c>
      <x:c r="M333" s="6">
        <x:v>0</x:v>
      </x:c>
      <x:c r="N333" s="6">
        <x:f t="shared" si="18"/>
        <x:v>139629.50999999998</x:v>
      </x:c>
    </x:row>
    <x:row r="334" spans="1:14" x14ac:dyDescent="0.25">
      <x:c r="A334" t="s">
        <x:v>686</x:v>
      </x:c>
      <x:c r="B334" t="s">
        <x:v>788</x:v>
      </x:c>
      <x:c r="C334" t="s">
        <x:v>789</x:v>
      </x:c>
      <x:c r="D334" t="s">
        <x:v>677</x:v>
      </x:c>
      <x:c r="E334" s="6">
        <x:v>51365.130000000005</x:v>
      </x:c>
      <x:c r="F334" s="6">
        <x:v>0</x:v>
      </x:c>
      <x:c r="G334" s="6">
        <x:v>0</x:v>
      </x:c>
      <x:c r="H334" s="6">
        <x:f t="shared" si="16"/>
        <x:v>51365.130000000005</x:v>
      </x:c>
      <x:c r="I334" s="6">
        <x:v>0</x:v>
      </x:c>
      <x:c r="J334" s="6">
        <x:v>0</x:v>
      </x:c>
      <x:c r="K334" s="6">
        <x:f t="shared" si="17"/>
        <x:v>0</x:v>
      </x:c>
      <x:c r="L334" s="6">
        <x:v>0</x:v>
      </x:c>
      <x:c r="M334" s="6">
        <x:v>0</x:v>
      </x:c>
      <x:c r="N334" s="6">
        <x:f t="shared" si="18"/>
        <x:v>51365.130000000005</x:v>
      </x:c>
    </x:row>
    <x:row r="335" spans="1:14" x14ac:dyDescent="0.25">
      <x:c r="A335" t="s">
        <x:v>686</x:v>
      </x:c>
      <x:c r="B335" t="s">
        <x:v>788</x:v>
      </x:c>
      <x:c r="C335" t="s">
        <x:v>789</x:v>
      </x:c>
      <x:c r="D335" t="s">
        <x:v>832</x:v>
      </x:c>
      <x:c r="E335" s="6">
        <x:v>156171.81</x:v>
      </x:c>
      <x:c r="F335" s="6">
        <x:v>0</x:v>
      </x:c>
      <x:c r="G335" s="6">
        <x:v>0</x:v>
      </x:c>
      <x:c r="H335" s="6">
        <x:f t="shared" si="16"/>
        <x:v>156171.81</x:v>
      </x:c>
      <x:c r="I335" s="6">
        <x:v>21949.109999999997</x:v>
      </x:c>
      <x:c r="J335" s="6">
        <x:v>0</x:v>
      </x:c>
      <x:c r="K335" s="6">
        <x:f t="shared" si="17"/>
        <x:v>21949.109999999997</x:v>
      </x:c>
      <x:c r="L335" s="6">
        <x:v>0</x:v>
      </x:c>
      <x:c r="M335" s="6">
        <x:v>0</x:v>
      </x:c>
      <x:c r="N335" s="6">
        <x:f t="shared" si="18"/>
        <x:v>178120.91999999998</x:v>
      </x:c>
    </x:row>
    <x:row r="336" spans="1:14" x14ac:dyDescent="0.25">
      <x:c r="A336" t="s">
        <x:v>686</x:v>
      </x:c>
      <x:c r="B336" t="s">
        <x:v>790</x:v>
      </x:c>
      <x:c r="C336" t="s">
        <x:v>791</x:v>
      </x:c>
      <x:c r="D336" t="s">
        <x:v>677</x:v>
      </x:c>
      <x:c r="E336" s="6">
        <x:v>8526.33</x:v>
      </x:c>
      <x:c r="F336" s="6">
        <x:v>0</x:v>
      </x:c>
      <x:c r="G336" s="6">
        <x:v>0</x:v>
      </x:c>
      <x:c r="H336" s="6">
        <x:f t="shared" si="16"/>
        <x:v>8526.33</x:v>
      </x:c>
      <x:c r="I336" s="6">
        <x:v>0</x:v>
      </x:c>
      <x:c r="J336" s="6">
        <x:v>0</x:v>
      </x:c>
      <x:c r="K336" s="6">
        <x:f t="shared" si="17"/>
        <x:v>0</x:v>
      </x:c>
      <x:c r="L336" s="6">
        <x:v>0</x:v>
      </x:c>
      <x:c r="M336" s="6">
        <x:v>0</x:v>
      </x:c>
      <x:c r="N336" s="6">
        <x:f t="shared" si="18"/>
        <x:v>8526.33</x:v>
      </x:c>
    </x:row>
    <x:row r="337" spans="1:14" x14ac:dyDescent="0.25">
      <x:c r="A337" t="s">
        <x:v>686</x:v>
      </x:c>
      <x:c r="B337" t="s">
        <x:v>790</x:v>
      </x:c>
      <x:c r="C337" t="s">
        <x:v>791</x:v>
      </x:c>
      <x:c r="D337" t="s">
        <x:v>832</x:v>
      </x:c>
      <x:c r="E337" s="6">
        <x:v>44783.580000000009</x:v>
      </x:c>
      <x:c r="F337" s="6">
        <x:v>0</x:v>
      </x:c>
      <x:c r="G337" s="6">
        <x:v>0</x:v>
      </x:c>
      <x:c r="H337" s="6">
        <x:f t="shared" si="16"/>
        <x:v>44783.580000000009</x:v>
      </x:c>
      <x:c r="I337" s="6">
        <x:v>455.13</x:v>
      </x:c>
      <x:c r="J337" s="6">
        <x:v>0</x:v>
      </x:c>
      <x:c r="K337" s="6">
        <x:f t="shared" si="17"/>
        <x:v>455.13</x:v>
      </x:c>
      <x:c r="L337" s="6">
        <x:v>0</x:v>
      </x:c>
      <x:c r="M337" s="6">
        <x:v>0</x:v>
      </x:c>
      <x:c r="N337" s="6">
        <x:f t="shared" si="18"/>
        <x:v>45238.710000000006</x:v>
      </x:c>
    </x:row>
    <x:row r="338" spans="1:14" x14ac:dyDescent="0.25">
      <x:c r="A338" t="s">
        <x:v>686</x:v>
      </x:c>
      <x:c r="B338" t="s">
        <x:v>714</x:v>
      </x:c>
      <x:c r="C338" t="s">
        <x:v>715</x:v>
      </x:c>
      <x:c r="D338" t="s">
        <x:v>677</x:v>
      </x:c>
      <x:c r="E338" s="6">
        <x:v>15602.7</x:v>
      </x:c>
      <x:c r="F338" s="6">
        <x:v>0</x:v>
      </x:c>
      <x:c r="G338" s="6">
        <x:v>0</x:v>
      </x:c>
      <x:c r="H338" s="6">
        <x:f t="shared" si="16"/>
        <x:v>15602.7</x:v>
      </x:c>
      <x:c r="I338" s="6">
        <x:v>0</x:v>
      </x:c>
      <x:c r="J338" s="6">
        <x:v>0</x:v>
      </x:c>
      <x:c r="K338" s="6">
        <x:f t="shared" si="17"/>
        <x:v>0</x:v>
      </x:c>
      <x:c r="L338" s="6">
        <x:v>0</x:v>
      </x:c>
      <x:c r="M338" s="6">
        <x:v>0</x:v>
      </x:c>
      <x:c r="N338" s="6">
        <x:f t="shared" si="18"/>
        <x:v>15602.7</x:v>
      </x:c>
    </x:row>
    <x:row r="339" spans="1:14" x14ac:dyDescent="0.25">
      <x:c r="A339" t="s">
        <x:v>686</x:v>
      </x:c>
      <x:c r="B339" t="s">
        <x:v>714</x:v>
      </x:c>
      <x:c r="C339" t="s">
        <x:v>715</x:v>
      </x:c>
      <x:c r="D339" t="s">
        <x:v>832</x:v>
      </x:c>
      <x:c r="E339" s="6">
        <x:v>-13730.760000000002</x:v>
      </x:c>
      <x:c r="F339" s="6">
        <x:v>0</x:v>
      </x:c>
      <x:c r="G339" s="6">
        <x:v>0</x:v>
      </x:c>
      <x:c r="H339" s="6">
        <x:f t="shared" si="16"/>
        <x:v>-13730.760000000002</x:v>
      </x:c>
      <x:c r="I339" s="6">
        <x:v>4582.7800000000007</x:v>
      </x:c>
      <x:c r="J339" s="6">
        <x:v>0</x:v>
      </x:c>
      <x:c r="K339" s="6">
        <x:f t="shared" si="17"/>
        <x:v>4582.7800000000007</x:v>
      </x:c>
      <x:c r="L339" s="6">
        <x:v>0</x:v>
      </x:c>
      <x:c r="M339" s="6">
        <x:v>0</x:v>
      </x:c>
      <x:c r="N339" s="6">
        <x:f t="shared" si="18"/>
        <x:v>-9147.9800000000014</x:v>
      </x:c>
    </x:row>
    <x:row r="340" spans="1:14" x14ac:dyDescent="0.25">
      <x:c r="A340" t="s">
        <x:v>686</x:v>
      </x:c>
      <x:c r="B340" t="s">
        <x:v>716</x:v>
      </x:c>
      <x:c r="C340" t="s">
        <x:v>717</x:v>
      </x:c>
      <x:c r="D340" t="s">
        <x:v>677</x:v>
      </x:c>
      <x:c r="E340" s="6">
        <x:v>30528.459999999995</x:v>
      </x:c>
      <x:c r="F340" s="6">
        <x:v>0</x:v>
      </x:c>
      <x:c r="G340" s="6">
        <x:v>0</x:v>
      </x:c>
      <x:c r="H340" s="6">
        <x:f t="shared" si="16"/>
        <x:v>30528.459999999995</x:v>
      </x:c>
      <x:c r="I340" s="6">
        <x:v>0</x:v>
      </x:c>
      <x:c r="J340" s="6">
        <x:v>0</x:v>
      </x:c>
      <x:c r="K340" s="6">
        <x:f t="shared" si="17"/>
        <x:v>0</x:v>
      </x:c>
      <x:c r="L340" s="6">
        <x:v>0</x:v>
      </x:c>
      <x:c r="M340" s="6">
        <x:v>0</x:v>
      </x:c>
      <x:c r="N340" s="6">
        <x:f t="shared" si="18"/>
        <x:v>30528.459999999995</x:v>
      </x:c>
    </x:row>
    <x:row r="341" spans="1:14" x14ac:dyDescent="0.25">
      <x:c r="A341" t="s">
        <x:v>686</x:v>
      </x:c>
      <x:c r="B341" t="s">
        <x:v>716</x:v>
      </x:c>
      <x:c r="C341" t="s">
        <x:v>717</x:v>
      </x:c>
      <x:c r="D341" t="s">
        <x:v>832</x:v>
      </x:c>
      <x:c r="E341" s="6">
        <x:v>166759.99999999994</x:v>
      </x:c>
      <x:c r="F341" s="6">
        <x:v>0</x:v>
      </x:c>
      <x:c r="G341" s="6">
        <x:v>0</x:v>
      </x:c>
      <x:c r="H341" s="6">
        <x:f t="shared" si="16"/>
        <x:v>166759.99999999994</x:v>
      </x:c>
      <x:c r="I341" s="6">
        <x:v>687.38999999999987</x:v>
      </x:c>
      <x:c r="J341" s="6">
        <x:v>0</x:v>
      </x:c>
      <x:c r="K341" s="6">
        <x:f t="shared" si="17"/>
        <x:v>687.38999999999987</x:v>
      </x:c>
      <x:c r="L341" s="6">
        <x:v>0</x:v>
      </x:c>
      <x:c r="M341" s="6">
        <x:v>0</x:v>
      </x:c>
      <x:c r="N341" s="6">
        <x:f t="shared" si="18"/>
        <x:v>167447.38999999996</x:v>
      </x:c>
    </x:row>
    <x:row r="342" spans="1:14" x14ac:dyDescent="0.25">
      <x:c r="A342" t="s">
        <x:v>686</x:v>
      </x:c>
      <x:c r="B342" t="s">
        <x:v>792</x:v>
      </x:c>
      <x:c r="C342" t="s">
        <x:v>793</x:v>
      </x:c>
      <x:c r="D342" t="s">
        <x:v>677</x:v>
      </x:c>
      <x:c r="E342" s="6">
        <x:v>35523.689999999995</x:v>
      </x:c>
      <x:c r="F342" s="6">
        <x:v>0</x:v>
      </x:c>
      <x:c r="G342" s="6">
        <x:v>0</x:v>
      </x:c>
      <x:c r="H342" s="6">
        <x:f t="shared" si="16"/>
        <x:v>35523.689999999995</x:v>
      </x:c>
      <x:c r="I342" s="6">
        <x:v>0</x:v>
      </x:c>
      <x:c r="J342" s="6">
        <x:v>0</x:v>
      </x:c>
      <x:c r="K342" s="6">
        <x:f t="shared" si="17"/>
        <x:v>0</x:v>
      </x:c>
      <x:c r="L342" s="6">
        <x:v>0</x:v>
      </x:c>
      <x:c r="M342" s="6">
        <x:v>0</x:v>
      </x:c>
      <x:c r="N342" s="6">
        <x:f t="shared" si="18"/>
        <x:v>35523.689999999995</x:v>
      </x:c>
    </x:row>
    <x:row r="343" spans="1:14" x14ac:dyDescent="0.25">
      <x:c r="A343" t="s">
        <x:v>686</x:v>
      </x:c>
      <x:c r="B343" t="s">
        <x:v>792</x:v>
      </x:c>
      <x:c r="C343" t="s">
        <x:v>793</x:v>
      </x:c>
      <x:c r="D343" t="s">
        <x:v>832</x:v>
      </x:c>
      <x:c r="E343" s="6">
        <x:v>78777.37</x:v>
      </x:c>
      <x:c r="F343" s="6">
        <x:v>0</x:v>
      </x:c>
      <x:c r="G343" s="6">
        <x:v>0</x:v>
      </x:c>
      <x:c r="H343" s="6">
        <x:f t="shared" si="16"/>
        <x:v>78777.37</x:v>
      </x:c>
      <x:c r="I343" s="6">
        <x:v>5644.2</x:v>
      </x:c>
      <x:c r="J343" s="6">
        <x:v>0</x:v>
      </x:c>
      <x:c r="K343" s="6">
        <x:f t="shared" si="17"/>
        <x:v>5644.2</x:v>
      </x:c>
      <x:c r="L343" s="6">
        <x:v>0</x:v>
      </x:c>
      <x:c r="M343" s="6">
        <x:v>0</x:v>
      </x:c>
      <x:c r="N343" s="6">
        <x:f t="shared" si="18"/>
        <x:v>84421.569999999992</x:v>
      </x:c>
    </x:row>
    <x:row r="344" spans="1:14" x14ac:dyDescent="0.25">
      <x:c r="A344" t="s">
        <x:v>686</x:v>
      </x:c>
      <x:c r="B344" t="s">
        <x:v>718</x:v>
      </x:c>
      <x:c r="C344" t="s">
        <x:v>719</x:v>
      </x:c>
      <x:c r="D344" t="s">
        <x:v>677</x:v>
      </x:c>
      <x:c r="E344" s="6">
        <x:v>5933.15</x:v>
      </x:c>
      <x:c r="F344" s="6">
        <x:v>0</x:v>
      </x:c>
      <x:c r="G344" s="6">
        <x:v>0</x:v>
      </x:c>
      <x:c r="H344" s="6">
        <x:f t="shared" si="16"/>
        <x:v>5933.15</x:v>
      </x:c>
      <x:c r="I344" s="6">
        <x:v>0</x:v>
      </x:c>
      <x:c r="J344" s="6">
        <x:v>0</x:v>
      </x:c>
      <x:c r="K344" s="6">
        <x:f t="shared" si="17"/>
        <x:v>0</x:v>
      </x:c>
      <x:c r="L344" s="6">
        <x:v>0</x:v>
      </x:c>
      <x:c r="M344" s="6">
        <x:v>0</x:v>
      </x:c>
      <x:c r="N344" s="6">
        <x:f t="shared" si="18"/>
        <x:v>5933.15</x:v>
      </x:c>
    </x:row>
    <x:row r="345" spans="1:14" x14ac:dyDescent="0.25">
      <x:c r="A345" t="s">
        <x:v>686</x:v>
      </x:c>
      <x:c r="B345" t="s">
        <x:v>718</x:v>
      </x:c>
      <x:c r="C345" t="s">
        <x:v>719</x:v>
      </x:c>
      <x:c r="D345" t="s">
        <x:v>832</x:v>
      </x:c>
      <x:c r="E345" s="6">
        <x:v>14109.170000000002</x:v>
      </x:c>
      <x:c r="F345" s="6">
        <x:v>0</x:v>
      </x:c>
      <x:c r="G345" s="6">
        <x:v>0</x:v>
      </x:c>
      <x:c r="H345" s="6">
        <x:f t="shared" si="16"/>
        <x:v>14109.170000000002</x:v>
      </x:c>
      <x:c r="I345" s="6">
        <x:v>520.07000000000005</x:v>
      </x:c>
      <x:c r="J345" s="6">
        <x:v>0</x:v>
      </x:c>
      <x:c r="K345" s="6">
        <x:f t="shared" si="17"/>
        <x:v>520.07000000000005</x:v>
      </x:c>
      <x:c r="L345" s="6">
        <x:v>0</x:v>
      </x:c>
      <x:c r="M345" s="6">
        <x:v>0</x:v>
      </x:c>
      <x:c r="N345" s="6">
        <x:f t="shared" si="18"/>
        <x:v>14629.240000000002</x:v>
      </x:c>
    </x:row>
    <x:row r="346" spans="1:14" x14ac:dyDescent="0.25">
      <x:c r="A346" t="s">
        <x:v>686</x:v>
      </x:c>
      <x:c r="B346" t="s">
        <x:v>722</x:v>
      </x:c>
      <x:c r="C346" t="s">
        <x:v>723</x:v>
      </x:c>
      <x:c r="D346" t="s">
        <x:v>677</x:v>
      </x:c>
      <x:c r="E346" s="6">
        <x:v>109090.12000000001</x:v>
      </x:c>
      <x:c r="F346" s="6">
        <x:v>0</x:v>
      </x:c>
      <x:c r="G346" s="6">
        <x:v>0</x:v>
      </x:c>
      <x:c r="H346" s="6">
        <x:f t="shared" si="16"/>
        <x:v>109090.12000000001</x:v>
      </x:c>
      <x:c r="I346" s="6">
        <x:v>0</x:v>
      </x:c>
      <x:c r="J346" s="6">
        <x:v>0</x:v>
      </x:c>
      <x:c r="K346" s="6">
        <x:f t="shared" si="17"/>
        <x:v>0</x:v>
      </x:c>
      <x:c r="L346" s="6">
        <x:v>0</x:v>
      </x:c>
      <x:c r="M346" s="6">
        <x:v>0</x:v>
      </x:c>
      <x:c r="N346" s="6">
        <x:f t="shared" si="18"/>
        <x:v>109090.12000000001</x:v>
      </x:c>
    </x:row>
    <x:row r="347" spans="1:14" x14ac:dyDescent="0.25">
      <x:c r="A347" t="s">
        <x:v>686</x:v>
      </x:c>
      <x:c r="B347" t="s">
        <x:v>722</x:v>
      </x:c>
      <x:c r="C347" t="s">
        <x:v>723</x:v>
      </x:c>
      <x:c r="D347" t="s">
        <x:v>832</x:v>
      </x:c>
      <x:c r="E347" s="6">
        <x:v>536820.29999999981</x:v>
      </x:c>
      <x:c r="F347" s="6">
        <x:v>0</x:v>
      </x:c>
      <x:c r="G347" s="6">
        <x:v>0</x:v>
      </x:c>
      <x:c r="H347" s="6">
        <x:f t="shared" si="16"/>
        <x:v>536820.29999999981</x:v>
      </x:c>
      <x:c r="I347" s="6">
        <x:v>26069.699999999997</x:v>
      </x:c>
      <x:c r="J347" s="6">
        <x:v>0</x:v>
      </x:c>
      <x:c r="K347" s="6">
        <x:f t="shared" si="17"/>
        <x:v>26069.699999999997</x:v>
      </x:c>
      <x:c r="L347" s="6">
        <x:v>0</x:v>
      </x:c>
      <x:c r="M347" s="6">
        <x:v>0</x:v>
      </x:c>
      <x:c r="N347" s="6">
        <x:f t="shared" si="18"/>
        <x:v>562889.99999999977</x:v>
      </x:c>
    </x:row>
    <x:row r="348" spans="1:14" x14ac:dyDescent="0.25">
      <x:c r="A348" t="s">
        <x:v>686</x:v>
      </x:c>
      <x:c r="B348" t="s">
        <x:v>724</x:v>
      </x:c>
      <x:c r="C348" t="s">
        <x:v>725</x:v>
      </x:c>
      <x:c r="D348" t="s">
        <x:v>677</x:v>
      </x:c>
      <x:c r="E348" s="6">
        <x:v>17680.02</x:v>
      </x:c>
      <x:c r="F348" s="6">
        <x:v>0</x:v>
      </x:c>
      <x:c r="G348" s="6">
        <x:v>0</x:v>
      </x:c>
      <x:c r="H348" s="6">
        <x:f t="shared" si="16"/>
        <x:v>17680.02</x:v>
      </x:c>
      <x:c r="I348" s="6">
        <x:v>0</x:v>
      </x:c>
      <x:c r="J348" s="6">
        <x:v>0</x:v>
      </x:c>
      <x:c r="K348" s="6">
        <x:f t="shared" si="17"/>
        <x:v>0</x:v>
      </x:c>
      <x:c r="L348" s="6">
        <x:v>0</x:v>
      </x:c>
      <x:c r="M348" s="6">
        <x:v>0</x:v>
      </x:c>
      <x:c r="N348" s="6">
        <x:f t="shared" si="18"/>
        <x:v>17680.02</x:v>
      </x:c>
    </x:row>
    <x:row r="349" spans="1:14" x14ac:dyDescent="0.25">
      <x:c r="A349" t="s">
        <x:v>686</x:v>
      </x:c>
      <x:c r="B349" t="s">
        <x:v>724</x:v>
      </x:c>
      <x:c r="C349" t="s">
        <x:v>725</x:v>
      </x:c>
      <x:c r="D349" t="s">
        <x:v>832</x:v>
      </x:c>
      <x:c r="E349" s="6">
        <x:v>170218.90999999997</x:v>
      </x:c>
      <x:c r="F349" s="6">
        <x:v>0</x:v>
      </x:c>
      <x:c r="G349" s="6">
        <x:v>0</x:v>
      </x:c>
      <x:c r="H349" s="6">
        <x:f t="shared" si="16"/>
        <x:v>170218.90999999997</x:v>
      </x:c>
      <x:c r="I349" s="6">
        <x:v>821.03</x:v>
      </x:c>
      <x:c r="J349" s="6">
        <x:v>0</x:v>
      </x:c>
      <x:c r="K349" s="6">
        <x:f t="shared" si="17"/>
        <x:v>821.03</x:v>
      </x:c>
      <x:c r="L349" s="6">
        <x:v>0</x:v>
      </x:c>
      <x:c r="M349" s="6">
        <x:v>0</x:v>
      </x:c>
      <x:c r="N349" s="6">
        <x:f t="shared" si="18"/>
        <x:v>171039.93999999997</x:v>
      </x:c>
    </x:row>
    <x:row r="350" spans="1:14" x14ac:dyDescent="0.25">
      <x:c r="A350" t="s">
        <x:v>686</x:v>
      </x:c>
      <x:c r="B350" t="s">
        <x:v>794</x:v>
      </x:c>
      <x:c r="C350" t="s">
        <x:v>795</x:v>
      </x:c>
      <x:c r="D350" t="s">
        <x:v>677</x:v>
      </x:c>
      <x:c r="E350" s="6">
        <x:v>29218.05</x:v>
      </x:c>
      <x:c r="F350" s="6">
        <x:v>0</x:v>
      </x:c>
      <x:c r="G350" s="6">
        <x:v>0</x:v>
      </x:c>
      <x:c r="H350" s="6">
        <x:f t="shared" si="16"/>
        <x:v>29218.05</x:v>
      </x:c>
      <x:c r="I350" s="6">
        <x:v>0</x:v>
      </x:c>
      <x:c r="J350" s="6">
        <x:v>0</x:v>
      </x:c>
      <x:c r="K350" s="6">
        <x:f t="shared" si="17"/>
        <x:v>0</x:v>
      </x:c>
      <x:c r="L350" s="6">
        <x:v>0</x:v>
      </x:c>
      <x:c r="M350" s="6">
        <x:v>0</x:v>
      </x:c>
      <x:c r="N350" s="6">
        <x:f t="shared" si="18"/>
        <x:v>29218.05</x:v>
      </x:c>
    </x:row>
    <x:row r="351" spans="1:14" x14ac:dyDescent="0.25">
      <x:c r="A351" t="s">
        <x:v>686</x:v>
      </x:c>
      <x:c r="B351" t="s">
        <x:v>794</x:v>
      </x:c>
      <x:c r="C351" t="s">
        <x:v>795</x:v>
      </x:c>
      <x:c r="D351" t="s">
        <x:v>832</x:v>
      </x:c>
      <x:c r="E351" s="6">
        <x:v>109131.22000000004</x:v>
      </x:c>
      <x:c r="F351" s="6">
        <x:v>0</x:v>
      </x:c>
      <x:c r="G351" s="6">
        <x:v>0</x:v>
      </x:c>
      <x:c r="H351" s="6">
        <x:f t="shared" si="16"/>
        <x:v>109131.22000000004</x:v>
      </x:c>
      <x:c r="I351" s="6">
        <x:v>4355.3200000000006</x:v>
      </x:c>
      <x:c r="J351" s="6">
        <x:v>0</x:v>
      </x:c>
      <x:c r="K351" s="6">
        <x:f t="shared" si="17"/>
        <x:v>4355.3200000000006</x:v>
      </x:c>
      <x:c r="L351" s="6">
        <x:v>0</x:v>
      </x:c>
      <x:c r="M351" s="6">
        <x:v>0</x:v>
      </x:c>
      <x:c r="N351" s="6">
        <x:f t="shared" si="18"/>
        <x:v>113486.54000000005</x:v>
      </x:c>
    </x:row>
    <x:row r="352" spans="1:14" x14ac:dyDescent="0.25">
      <x:c r="A352" t="s">
        <x:v>686</x:v>
      </x:c>
      <x:c r="B352" t="s">
        <x:v>796</x:v>
      </x:c>
      <x:c r="C352" t="s">
        <x:v>797</x:v>
      </x:c>
      <x:c r="D352" t="s">
        <x:v>677</x:v>
      </x:c>
      <x:c r="E352" s="6">
        <x:v>27676.1</x:v>
      </x:c>
      <x:c r="F352" s="6">
        <x:v>0</x:v>
      </x:c>
      <x:c r="G352" s="6">
        <x:v>0</x:v>
      </x:c>
      <x:c r="H352" s="6">
        <x:f t="shared" si="16"/>
        <x:v>27676.1</x:v>
      </x:c>
      <x:c r="I352" s="6">
        <x:v>0</x:v>
      </x:c>
      <x:c r="J352" s="6">
        <x:v>0</x:v>
      </x:c>
      <x:c r="K352" s="6">
        <x:f t="shared" si="17"/>
        <x:v>0</x:v>
      </x:c>
      <x:c r="L352" s="6">
        <x:v>0</x:v>
      </x:c>
      <x:c r="M352" s="6">
        <x:v>0</x:v>
      </x:c>
      <x:c r="N352" s="6">
        <x:f t="shared" si="18"/>
        <x:v>27676.1</x:v>
      </x:c>
    </x:row>
    <x:row r="353" spans="1:14" x14ac:dyDescent="0.25">
      <x:c r="A353" t="s">
        <x:v>686</x:v>
      </x:c>
      <x:c r="B353" t="s">
        <x:v>796</x:v>
      </x:c>
      <x:c r="C353" t="s">
        <x:v>797</x:v>
      </x:c>
      <x:c r="D353" t="s">
        <x:v>832</x:v>
      </x:c>
      <x:c r="E353" s="6">
        <x:v>123148.74000000002</x:v>
      </x:c>
      <x:c r="F353" s="6">
        <x:v>0</x:v>
      </x:c>
      <x:c r="G353" s="6">
        <x:v>0</x:v>
      </x:c>
      <x:c r="H353" s="6">
        <x:f t="shared" si="16"/>
        <x:v>123148.74000000002</x:v>
      </x:c>
      <x:c r="I353" s="6">
        <x:v>3203.11</x:v>
      </x:c>
      <x:c r="J353" s="6">
        <x:v>0</x:v>
      </x:c>
      <x:c r="K353" s="6">
        <x:f t="shared" si="17"/>
        <x:v>3203.11</x:v>
      </x:c>
      <x:c r="L353" s="6">
        <x:v>0</x:v>
      </x:c>
      <x:c r="M353" s="6">
        <x:v>0</x:v>
      </x:c>
      <x:c r="N353" s="6">
        <x:f t="shared" si="18"/>
        <x:v>126351.85000000002</x:v>
      </x:c>
    </x:row>
    <x:row r="354" spans="1:14" x14ac:dyDescent="0.25">
      <x:c r="A354" t="s">
        <x:v>686</x:v>
      </x:c>
      <x:c r="B354" t="s">
        <x:v>726</x:v>
      </x:c>
      <x:c r="C354" t="s">
        <x:v>727</x:v>
      </x:c>
      <x:c r="D354" t="s">
        <x:v>677</x:v>
      </x:c>
      <x:c r="E354" s="6">
        <x:v>40638.5</x:v>
      </x:c>
      <x:c r="F354" s="6">
        <x:v>0</x:v>
      </x:c>
      <x:c r="G354" s="6">
        <x:v>0</x:v>
      </x:c>
      <x:c r="H354" s="6">
        <x:f t="shared" si="16"/>
        <x:v>40638.5</x:v>
      </x:c>
      <x:c r="I354" s="6">
        <x:v>0</x:v>
      </x:c>
      <x:c r="J354" s="6">
        <x:v>0</x:v>
      </x:c>
      <x:c r="K354" s="6">
        <x:f t="shared" si="17"/>
        <x:v>0</x:v>
      </x:c>
      <x:c r="L354" s="6">
        <x:v>0</x:v>
      </x:c>
      <x:c r="M354" s="6">
        <x:v>0</x:v>
      </x:c>
      <x:c r="N354" s="6">
        <x:f t="shared" si="18"/>
        <x:v>40638.5</x:v>
      </x:c>
    </x:row>
    <x:row r="355" spans="1:14" x14ac:dyDescent="0.25">
      <x:c r="A355" t="s">
        <x:v>686</x:v>
      </x:c>
      <x:c r="B355" t="s">
        <x:v>726</x:v>
      </x:c>
      <x:c r="C355" t="s">
        <x:v>727</x:v>
      </x:c>
      <x:c r="D355" t="s">
        <x:v>832</x:v>
      </x:c>
      <x:c r="E355" s="6">
        <x:v>326644.08</x:v>
      </x:c>
      <x:c r="F355" s="6">
        <x:v>0</x:v>
      </x:c>
      <x:c r="G355" s="6">
        <x:v>0</x:v>
      </x:c>
      <x:c r="H355" s="6">
        <x:f t="shared" si="16"/>
        <x:v>326644.08</x:v>
      </x:c>
      <x:c r="I355" s="6">
        <x:v>20249.990000000002</x:v>
      </x:c>
      <x:c r="J355" s="6">
        <x:v>0</x:v>
      </x:c>
      <x:c r="K355" s="6">
        <x:f t="shared" si="17"/>
        <x:v>20249.990000000002</x:v>
      </x:c>
      <x:c r="L355" s="6">
        <x:v>0</x:v>
      </x:c>
      <x:c r="M355" s="6">
        <x:v>0</x:v>
      </x:c>
      <x:c r="N355" s="6">
        <x:f t="shared" si="18"/>
        <x:v>346894.07</x:v>
      </x:c>
    </x:row>
    <x:row r="356" spans="1:14" x14ac:dyDescent="0.25">
      <x:c r="A356" t="s">
        <x:v>686</x:v>
      </x:c>
      <x:c r="B356" t="s">
        <x:v>736</x:v>
      </x:c>
      <x:c r="C356" t="s">
        <x:v>737</x:v>
      </x:c>
      <x:c r="D356" t="s">
        <x:v>832</x:v>
      </x:c>
      <x:c r="E356" s="6">
        <x:v>0</x:v>
      </x:c>
      <x:c r="F356" s="6">
        <x:v>0</x:v>
      </x:c>
      <x:c r="G356" s="6">
        <x:v>0</x:v>
      </x:c>
      <x:c r="H356" s="6">
        <x:f t="shared" si="16"/>
        <x:v>0</x:v>
      </x:c>
      <x:c r="I356" s="6">
        <x:v>257.27999999999997</x:v>
      </x:c>
      <x:c r="J356" s="6">
        <x:v>0</x:v>
      </x:c>
      <x:c r="K356" s="6">
        <x:f t="shared" si="17"/>
        <x:v>257.27999999999997</x:v>
      </x:c>
      <x:c r="L356" s="6">
        <x:v>0</x:v>
      </x:c>
      <x:c r="M356" s="6">
        <x:v>0</x:v>
      </x:c>
      <x:c r="N356" s="6">
        <x:f t="shared" si="18"/>
        <x:v>257.27999999999997</x:v>
      </x:c>
    </x:row>
    <x:row r="357" spans="1:14" x14ac:dyDescent="0.25">
      <x:c r="A357" t="s">
        <x:v>686</x:v>
      </x:c>
      <x:c r="B357" t="s">
        <x:v>738</x:v>
      </x:c>
      <x:c r="C357" t="s">
        <x:v>739</x:v>
      </x:c>
      <x:c r="D357" t="s">
        <x:v>832</x:v>
      </x:c>
      <x:c r="E357" s="6">
        <x:v>23904.400000000001</x:v>
      </x:c>
      <x:c r="F357" s="6">
        <x:v>0</x:v>
      </x:c>
      <x:c r="G357" s="6">
        <x:v>0</x:v>
      </x:c>
      <x:c r="H357" s="6">
        <x:f t="shared" si="16"/>
        <x:v>23904.400000000001</x:v>
      </x:c>
      <x:c r="I357" s="6">
        <x:v>201.09</x:v>
      </x:c>
      <x:c r="J357" s="6">
        <x:v>0</x:v>
      </x:c>
      <x:c r="K357" s="6">
        <x:f t="shared" si="17"/>
        <x:v>201.09</x:v>
      </x:c>
      <x:c r="L357" s="6">
        <x:v>0</x:v>
      </x:c>
      <x:c r="M357" s="6">
        <x:v>0</x:v>
      </x:c>
      <x:c r="N357" s="6">
        <x:f t="shared" si="18"/>
        <x:v>24105.49</x:v>
      </x:c>
    </x:row>
    <x:row r="358" spans="1:14" x14ac:dyDescent="0.25">
      <x:c r="A358" t="s">
        <x:v>686</x:v>
      </x:c>
      <x:c r="B358" t="s">
        <x:v>740</x:v>
      </x:c>
      <x:c r="C358" t="s">
        <x:v>741</x:v>
      </x:c>
      <x:c r="D358" t="s">
        <x:v>677</x:v>
      </x:c>
      <x:c r="E358" s="6">
        <x:v>6394.3</x:v>
      </x:c>
      <x:c r="F358" s="6">
        <x:v>0</x:v>
      </x:c>
      <x:c r="G358" s="6">
        <x:v>0</x:v>
      </x:c>
      <x:c r="H358" s="6">
        <x:f t="shared" si="16"/>
        <x:v>6394.3</x:v>
      </x:c>
      <x:c r="I358" s="6">
        <x:v>0</x:v>
      </x:c>
      <x:c r="J358" s="6">
        <x:v>0</x:v>
      </x:c>
      <x:c r="K358" s="6">
        <x:f t="shared" si="17"/>
        <x:v>0</x:v>
      </x:c>
      <x:c r="L358" s="6">
        <x:v>0</x:v>
      </x:c>
      <x:c r="M358" s="6">
        <x:v>0</x:v>
      </x:c>
      <x:c r="N358" s="6">
        <x:f t="shared" si="18"/>
        <x:v>6394.3</x:v>
      </x:c>
    </x:row>
    <x:row r="359" spans="1:14" x14ac:dyDescent="0.25">
      <x:c r="A359" t="s">
        <x:v>686</x:v>
      </x:c>
      <x:c r="B359" t="s">
        <x:v>839</x:v>
      </x:c>
      <x:c r="C359" t="s">
        <x:v>840</x:v>
      </x:c>
      <x:c r="D359" t="s">
        <x:v>677</x:v>
      </x:c>
      <x:c r="E359" s="6">
        <x:v>0</x:v>
      </x:c>
      <x:c r="F359" s="6">
        <x:v>40056.020000000004</x:v>
      </x:c>
      <x:c r="G359" s="6">
        <x:v>0</x:v>
      </x:c>
      <x:c r="H359" s="6">
        <x:f t="shared" si="16"/>
        <x:v>40056.020000000004</x:v>
      </x:c>
      <x:c r="I359" s="6">
        <x:v>0</x:v>
      </x:c>
      <x:c r="J359" s="6">
        <x:v>0</x:v>
      </x:c>
      <x:c r="K359" s="6">
        <x:f t="shared" si="17"/>
        <x:v>0</x:v>
      </x:c>
      <x:c r="L359" s="6">
        <x:v>0</x:v>
      </x:c>
      <x:c r="M359" s="6">
        <x:v>0</x:v>
      </x:c>
      <x:c r="N359" s="6">
        <x:f t="shared" si="18"/>
        <x:v>40056.020000000004</x:v>
      </x:c>
    </x:row>
    <x:row r="360" spans="1:14" x14ac:dyDescent="0.25">
      <x:c r="A360" t="s">
        <x:v>686</x:v>
      </x:c>
      <x:c r="B360" t="s">
        <x:v>839</x:v>
      </x:c>
      <x:c r="C360" t="s">
        <x:v>840</x:v>
      </x:c>
      <x:c r="D360" t="s">
        <x:v>841</x:v>
      </x:c>
      <x:c r="E360" s="6">
        <x:v>0</x:v>
      </x:c>
      <x:c r="F360" s="6">
        <x:v>1556334.5000000002</x:v>
      </x:c>
      <x:c r="G360" s="6">
        <x:v>0</x:v>
      </x:c>
      <x:c r="H360" s="6">
        <x:f t="shared" si="16"/>
        <x:v>1556334.5000000002</x:v>
      </x:c>
      <x:c r="I360" s="6">
        <x:v>0</x:v>
      </x:c>
      <x:c r="J360" s="6">
        <x:v>2335.1299999999997</x:v>
      </x:c>
      <x:c r="K360" s="6">
        <x:f t="shared" si="17"/>
        <x:v>2335.1299999999997</x:v>
      </x:c>
      <x:c r="L360" s="6">
        <x:v>0</x:v>
      </x:c>
      <x:c r="M360" s="6">
        <x:v>0</x:v>
      </x:c>
      <x:c r="N360" s="6">
        <x:f t="shared" si="18"/>
        <x:v>1558669.6300000001</x:v>
      </x:c>
    </x:row>
    <x:row r="361" spans="1:14" x14ac:dyDescent="0.25">
      <x:c r="A361" t="s">
        <x:v>687</x:v>
      </x:c>
      <x:c r="B361" t="s">
        <x:v>798</x:v>
      </x:c>
      <x:c r="C361" t="s">
        <x:v>592</x:v>
      </x:c>
      <x:c r="D361" t="s">
        <x:v>677</x:v>
      </x:c>
      <x:c r="E361" s="6">
        <x:v>16794988.810000002</x:v>
      </x:c>
      <x:c r="F361" s="6">
        <x:v>0</x:v>
      </x:c>
      <x:c r="G361" s="6">
        <x:v>0</x:v>
      </x:c>
      <x:c r="H361" s="6">
        <x:f t="shared" si="16"/>
        <x:v>16794988.810000002</x:v>
      </x:c>
      <x:c r="I361" s="6">
        <x:v>0</x:v>
      </x:c>
      <x:c r="J361" s="6">
        <x:v>0</x:v>
      </x:c>
      <x:c r="K361" s="6">
        <x:f t="shared" si="17"/>
        <x:v>0</x:v>
      </x:c>
      <x:c r="L361" s="6">
        <x:v>0</x:v>
      </x:c>
      <x:c r="M361" s="6">
        <x:v>0</x:v>
      </x:c>
      <x:c r="N361" s="6">
        <x:f t="shared" si="18"/>
        <x:v>16794988.810000002</x:v>
      </x:c>
    </x:row>
    <x:row r="362" spans="1:14" x14ac:dyDescent="0.25">
      <x:c r="A362" t="s">
        <x:v>687</x:v>
      </x:c>
      <x:c r="B362" t="s">
        <x:v>692</x:v>
      </x:c>
      <x:c r="C362" t="s">
        <x:v>693</x:v>
      </x:c>
      <x:c r="D362" t="s">
        <x:v>677</x:v>
      </x:c>
      <x:c r="E362" s="6">
        <x:v>101342.94999999998</x:v>
      </x:c>
      <x:c r="F362" s="6">
        <x:v>0</x:v>
      </x:c>
      <x:c r="G362" s="6">
        <x:v>0</x:v>
      </x:c>
      <x:c r="H362" s="6">
        <x:f t="shared" si="16"/>
        <x:v>101342.94999999998</x:v>
      </x:c>
      <x:c r="I362" s="6">
        <x:v>0</x:v>
      </x:c>
      <x:c r="J362" s="6">
        <x:v>0</x:v>
      </x:c>
      <x:c r="K362" s="6">
        <x:f t="shared" si="17"/>
        <x:v>0</x:v>
      </x:c>
      <x:c r="L362" s="6">
        <x:v>0</x:v>
      </x:c>
      <x:c r="M362" s="6">
        <x:v>0</x:v>
      </x:c>
      <x:c r="N362" s="6">
        <x:f t="shared" si="18"/>
        <x:v>101342.94999999998</x:v>
      </x:c>
    </x:row>
    <x:row r="363" spans="1:14" x14ac:dyDescent="0.25">
      <x:c r="A363" t="s">
        <x:v>687</x:v>
      </x:c>
      <x:c r="B363" t="s">
        <x:v>692</x:v>
      </x:c>
      <x:c r="C363" t="s">
        <x:v>693</x:v>
      </x:c>
      <x:c r="D363" t="s">
        <x:v>832</x:v>
      </x:c>
      <x:c r="E363" s="6">
        <x:v>38376.649999999994</x:v>
      </x:c>
      <x:c r="F363" s="6">
        <x:v>0</x:v>
      </x:c>
      <x:c r="G363" s="6">
        <x:v>0</x:v>
      </x:c>
      <x:c r="H363" s="6">
        <x:f t="shared" si="16"/>
        <x:v>38376.649999999994</x:v>
      </x:c>
      <x:c r="I363" s="6">
        <x:v>0</x:v>
      </x:c>
      <x:c r="J363" s="6">
        <x:v>0</x:v>
      </x:c>
      <x:c r="K363" s="6">
        <x:f t="shared" si="17"/>
        <x:v>0</x:v>
      </x:c>
      <x:c r="L363" s="6">
        <x:v>0</x:v>
      </x:c>
      <x:c r="M363" s="6">
        <x:v>0</x:v>
      </x:c>
      <x:c r="N363" s="6">
        <x:f t="shared" si="18"/>
        <x:v>38376.649999999994</x:v>
      </x:c>
    </x:row>
    <x:row r="364" spans="1:14" x14ac:dyDescent="0.25">
      <x:c r="A364" t="s">
        <x:v>687</x:v>
      </x:c>
      <x:c r="B364" t="s">
        <x:v>694</x:v>
      </x:c>
      <x:c r="C364" t="s">
        <x:v>695</x:v>
      </x:c>
      <x:c r="D364" t="s">
        <x:v>677</x:v>
      </x:c>
      <x:c r="E364" s="6">
        <x:v>36983.17</x:v>
      </x:c>
      <x:c r="F364" s="6">
        <x:v>0</x:v>
      </x:c>
      <x:c r="G364" s="6">
        <x:v>0</x:v>
      </x:c>
      <x:c r="H364" s="6">
        <x:f t="shared" si="16"/>
        <x:v>36983.17</x:v>
      </x:c>
      <x:c r="I364" s="6">
        <x:v>0</x:v>
      </x:c>
      <x:c r="J364" s="6">
        <x:v>0</x:v>
      </x:c>
      <x:c r="K364" s="6">
        <x:f t="shared" si="17"/>
        <x:v>0</x:v>
      </x:c>
      <x:c r="L364" s="6">
        <x:v>0</x:v>
      </x:c>
      <x:c r="M364" s="6">
        <x:v>0</x:v>
      </x:c>
      <x:c r="N364" s="6">
        <x:f t="shared" si="18"/>
        <x:v>36983.17</x:v>
      </x:c>
    </x:row>
    <x:row r="365" spans="1:14" x14ac:dyDescent="0.25">
      <x:c r="A365" t="s">
        <x:v>687</x:v>
      </x:c>
      <x:c r="B365" t="s">
        <x:v>694</x:v>
      </x:c>
      <x:c r="C365" t="s">
        <x:v>695</x:v>
      </x:c>
      <x:c r="D365" t="s">
        <x:v>832</x:v>
      </x:c>
      <x:c r="E365" s="6">
        <x:v>19712.600000000002</x:v>
      </x:c>
      <x:c r="F365" s="6">
        <x:v>0</x:v>
      </x:c>
      <x:c r="G365" s="6">
        <x:v>0</x:v>
      </x:c>
      <x:c r="H365" s="6">
        <x:f t="shared" si="16"/>
        <x:v>19712.600000000002</x:v>
      </x:c>
      <x:c r="I365" s="6">
        <x:v>0</x:v>
      </x:c>
      <x:c r="J365" s="6">
        <x:v>0</x:v>
      </x:c>
      <x:c r="K365" s="6">
        <x:f t="shared" si="17"/>
        <x:v>0</x:v>
      </x:c>
      <x:c r="L365" s="6">
        <x:v>0</x:v>
      </x:c>
      <x:c r="M365" s="6">
        <x:v>0</x:v>
      </x:c>
      <x:c r="N365" s="6">
        <x:f t="shared" si="18"/>
        <x:v>19712.600000000002</x:v>
      </x:c>
    </x:row>
    <x:row r="366" spans="1:14" x14ac:dyDescent="0.25">
      <x:c r="A366" t="s">
        <x:v>687</x:v>
      </x:c>
      <x:c r="B366" t="s">
        <x:v>696</x:v>
      </x:c>
      <x:c r="C366" t="s">
        <x:v>697</x:v>
      </x:c>
      <x:c r="D366" t="s">
        <x:v>677</x:v>
      </x:c>
      <x:c r="E366" s="6">
        <x:v>197671.12999999998</x:v>
      </x:c>
      <x:c r="F366" s="6">
        <x:v>0</x:v>
      </x:c>
      <x:c r="G366" s="6">
        <x:v>0</x:v>
      </x:c>
      <x:c r="H366" s="6">
        <x:f t="shared" si="16"/>
        <x:v>197671.12999999998</x:v>
      </x:c>
      <x:c r="I366" s="6">
        <x:v>0</x:v>
      </x:c>
      <x:c r="J366" s="6">
        <x:v>0</x:v>
      </x:c>
      <x:c r="K366" s="6">
        <x:f t="shared" si="17"/>
        <x:v>0</x:v>
      </x:c>
      <x:c r="L366" s="6">
        <x:v>0</x:v>
      </x:c>
      <x:c r="M366" s="6">
        <x:v>0</x:v>
      </x:c>
      <x:c r="N366" s="6">
        <x:f t="shared" si="18"/>
        <x:v>197671.12999999998</x:v>
      </x:c>
    </x:row>
    <x:row r="367" spans="1:14" x14ac:dyDescent="0.25">
      <x:c r="A367" t="s">
        <x:v>687</x:v>
      </x:c>
      <x:c r="B367" t="s">
        <x:v>696</x:v>
      </x:c>
      <x:c r="C367" t="s">
        <x:v>697</x:v>
      </x:c>
      <x:c r="D367" t="s">
        <x:v>832</x:v>
      </x:c>
      <x:c r="E367" s="6">
        <x:v>30189.01</x:v>
      </x:c>
      <x:c r="F367" s="6">
        <x:v>0</x:v>
      </x:c>
      <x:c r="G367" s="6">
        <x:v>0</x:v>
      </x:c>
      <x:c r="H367" s="6">
        <x:f t="shared" si="16"/>
        <x:v>30189.01</x:v>
      </x:c>
      <x:c r="I367" s="6">
        <x:v>0</x:v>
      </x:c>
      <x:c r="J367" s="6">
        <x:v>0</x:v>
      </x:c>
      <x:c r="K367" s="6">
        <x:f t="shared" si="17"/>
        <x:v>0</x:v>
      </x:c>
      <x:c r="L367" s="6">
        <x:v>0</x:v>
      </x:c>
      <x:c r="M367" s="6">
        <x:v>0</x:v>
      </x:c>
      <x:c r="N367" s="6">
        <x:f t="shared" si="18"/>
        <x:v>30189.01</x:v>
      </x:c>
    </x:row>
    <x:row r="368" spans="1:14" x14ac:dyDescent="0.25">
      <x:c r="A368" t="s">
        <x:v>687</x:v>
      </x:c>
      <x:c r="B368" t="s">
        <x:v>782</x:v>
      </x:c>
      <x:c r="C368" t="s">
        <x:v>783</x:v>
      </x:c>
      <x:c r="D368" t="s">
        <x:v>677</x:v>
      </x:c>
      <x:c r="E368" s="6">
        <x:v>13085.139999999998</x:v>
      </x:c>
      <x:c r="F368" s="6">
        <x:v>0</x:v>
      </x:c>
      <x:c r="G368" s="6">
        <x:v>0</x:v>
      </x:c>
      <x:c r="H368" s="6">
        <x:f t="shared" si="16"/>
        <x:v>13085.139999999998</x:v>
      </x:c>
      <x:c r="I368" s="6">
        <x:v>0</x:v>
      </x:c>
      <x:c r="J368" s="6">
        <x:v>0</x:v>
      </x:c>
      <x:c r="K368" s="6">
        <x:f t="shared" si="17"/>
        <x:v>0</x:v>
      </x:c>
      <x:c r="L368" s="6">
        <x:v>0</x:v>
      </x:c>
      <x:c r="M368" s="6">
        <x:v>0</x:v>
      </x:c>
      <x:c r="N368" s="6">
        <x:f t="shared" si="18"/>
        <x:v>13085.139999999998</x:v>
      </x:c>
    </x:row>
    <x:row r="369" spans="1:14" x14ac:dyDescent="0.25">
      <x:c r="A369" t="s">
        <x:v>687</x:v>
      </x:c>
      <x:c r="B369" t="s">
        <x:v>782</x:v>
      </x:c>
      <x:c r="C369" t="s">
        <x:v>783</x:v>
      </x:c>
      <x:c r="D369" t="s">
        <x:v>832</x:v>
      </x:c>
      <x:c r="E369" s="6">
        <x:v>11158.42</x:v>
      </x:c>
      <x:c r="F369" s="6">
        <x:v>0</x:v>
      </x:c>
      <x:c r="G369" s="6">
        <x:v>0</x:v>
      </x:c>
      <x:c r="H369" s="6">
        <x:f t="shared" si="16"/>
        <x:v>11158.42</x:v>
      </x:c>
      <x:c r="I369" s="6">
        <x:v>0</x:v>
      </x:c>
      <x:c r="J369" s="6">
        <x:v>0</x:v>
      </x:c>
      <x:c r="K369" s="6">
        <x:f t="shared" si="17"/>
        <x:v>0</x:v>
      </x:c>
      <x:c r="L369" s="6">
        <x:v>0</x:v>
      </x:c>
      <x:c r="M369" s="6">
        <x:v>0</x:v>
      </x:c>
      <x:c r="N369" s="6">
        <x:f t="shared" si="18"/>
        <x:v>11158.42</x:v>
      </x:c>
    </x:row>
    <x:row r="370" spans="1:14" x14ac:dyDescent="0.25">
      <x:c r="A370" t="s">
        <x:v>687</x:v>
      </x:c>
      <x:c r="B370" t="s">
        <x:v>784</x:v>
      </x:c>
      <x:c r="C370" t="s">
        <x:v>785</x:v>
      </x:c>
      <x:c r="D370" t="s">
        <x:v>677</x:v>
      </x:c>
      <x:c r="E370" s="6">
        <x:v>70457.95</x:v>
      </x:c>
      <x:c r="F370" s="6">
        <x:v>0</x:v>
      </x:c>
      <x:c r="G370" s="6">
        <x:v>0</x:v>
      </x:c>
      <x:c r="H370" s="6">
        <x:f t="shared" si="16"/>
        <x:v>70457.95</x:v>
      </x:c>
      <x:c r="I370" s="6">
        <x:v>0</x:v>
      </x:c>
      <x:c r="J370" s="6">
        <x:v>0</x:v>
      </x:c>
      <x:c r="K370" s="6">
        <x:f t="shared" si="17"/>
        <x:v>0</x:v>
      </x:c>
      <x:c r="L370" s="6">
        <x:v>0</x:v>
      </x:c>
      <x:c r="M370" s="6">
        <x:v>0</x:v>
      </x:c>
      <x:c r="N370" s="6">
        <x:f t="shared" si="18"/>
        <x:v>70457.95</x:v>
      </x:c>
    </x:row>
    <x:row r="371" spans="1:14" x14ac:dyDescent="0.25">
      <x:c r="A371" t="s">
        <x:v>687</x:v>
      </x:c>
      <x:c r="B371" t="s">
        <x:v>784</x:v>
      </x:c>
      <x:c r="C371" t="s">
        <x:v>785</x:v>
      </x:c>
      <x:c r="D371" t="s">
        <x:v>832</x:v>
      </x:c>
      <x:c r="E371" s="6">
        <x:v>36508.1</x:v>
      </x:c>
      <x:c r="F371" s="6">
        <x:v>0</x:v>
      </x:c>
      <x:c r="G371" s="6">
        <x:v>0</x:v>
      </x:c>
      <x:c r="H371" s="6">
        <x:f t="shared" si="16"/>
        <x:v>36508.1</x:v>
      </x:c>
      <x:c r="I371" s="6">
        <x:v>0</x:v>
      </x:c>
      <x:c r="J371" s="6">
        <x:v>0</x:v>
      </x:c>
      <x:c r="K371" s="6">
        <x:f t="shared" si="17"/>
        <x:v>0</x:v>
      </x:c>
      <x:c r="L371" s="6">
        <x:v>0</x:v>
      </x:c>
      <x:c r="M371" s="6">
        <x:v>0</x:v>
      </x:c>
      <x:c r="N371" s="6">
        <x:f t="shared" si="18"/>
        <x:v>36508.1</x:v>
      </x:c>
    </x:row>
    <x:row r="372" spans="1:14" x14ac:dyDescent="0.25">
      <x:c r="A372" t="s">
        <x:v>687</x:v>
      </x:c>
      <x:c r="B372" t="s">
        <x:v>786</x:v>
      </x:c>
      <x:c r="C372" t="s">
        <x:v>787</x:v>
      </x:c>
      <x:c r="D372" t="s">
        <x:v>677</x:v>
      </x:c>
      <x:c r="E372" s="6">
        <x:v>32081.950000000004</x:v>
      </x:c>
      <x:c r="F372" s="6">
        <x:v>0</x:v>
      </x:c>
      <x:c r="G372" s="6">
        <x:v>0</x:v>
      </x:c>
      <x:c r="H372" s="6">
        <x:f t="shared" si="16"/>
        <x:v>32081.950000000004</x:v>
      </x:c>
      <x:c r="I372" s="6">
        <x:v>0</x:v>
      </x:c>
      <x:c r="J372" s="6">
        <x:v>0</x:v>
      </x:c>
      <x:c r="K372" s="6">
        <x:f t="shared" si="17"/>
        <x:v>0</x:v>
      </x:c>
      <x:c r="L372" s="6">
        <x:v>0</x:v>
      </x:c>
      <x:c r="M372" s="6">
        <x:v>0</x:v>
      </x:c>
      <x:c r="N372" s="6">
        <x:f t="shared" si="18"/>
        <x:v>32081.950000000004</x:v>
      </x:c>
    </x:row>
    <x:row r="373" spans="1:14" x14ac:dyDescent="0.25">
      <x:c r="A373" t="s">
        <x:v>687</x:v>
      </x:c>
      <x:c r="B373" t="s">
        <x:v>786</x:v>
      </x:c>
      <x:c r="C373" t="s">
        <x:v>787</x:v>
      </x:c>
      <x:c r="D373" t="s">
        <x:v>832</x:v>
      </x:c>
      <x:c r="E373" s="6">
        <x:v>13933.580000000002</x:v>
      </x:c>
      <x:c r="F373" s="6">
        <x:v>0</x:v>
      </x:c>
      <x:c r="G373" s="6">
        <x:v>0</x:v>
      </x:c>
      <x:c r="H373" s="6">
        <x:f t="shared" si="16"/>
        <x:v>13933.580000000002</x:v>
      </x:c>
      <x:c r="I373" s="6">
        <x:v>0</x:v>
      </x:c>
      <x:c r="J373" s="6">
        <x:v>0</x:v>
      </x:c>
      <x:c r="K373" s="6">
        <x:f t="shared" si="17"/>
        <x:v>0</x:v>
      </x:c>
      <x:c r="L373" s="6">
        <x:v>0</x:v>
      </x:c>
      <x:c r="M373" s="6">
        <x:v>0</x:v>
      </x:c>
      <x:c r="N373" s="6">
        <x:f t="shared" si="18"/>
        <x:v>13933.580000000002</x:v>
      </x:c>
    </x:row>
    <x:row r="374" spans="1:14" x14ac:dyDescent="0.25">
      <x:c r="A374" t="s">
        <x:v>687</x:v>
      </x:c>
      <x:c r="B374" t="s">
        <x:v>700</x:v>
      </x:c>
      <x:c r="C374" t="s">
        <x:v>701</x:v>
      </x:c>
      <x:c r="D374" t="s">
        <x:v>677</x:v>
      </x:c>
      <x:c r="E374" s="6">
        <x:v>77812.94</x:v>
      </x:c>
      <x:c r="F374" s="6">
        <x:v>0</x:v>
      </x:c>
      <x:c r="G374" s="6">
        <x:v>0</x:v>
      </x:c>
      <x:c r="H374" s="6">
        <x:f t="shared" si="16"/>
        <x:v>77812.94</x:v>
      </x:c>
      <x:c r="I374" s="6">
        <x:v>0</x:v>
      </x:c>
      <x:c r="J374" s="6">
        <x:v>0</x:v>
      </x:c>
      <x:c r="K374" s="6">
        <x:f t="shared" si="17"/>
        <x:v>0</x:v>
      </x:c>
      <x:c r="L374" s="6">
        <x:v>0</x:v>
      </x:c>
      <x:c r="M374" s="6">
        <x:v>0</x:v>
      </x:c>
      <x:c r="N374" s="6">
        <x:f t="shared" si="18"/>
        <x:v>77812.94</x:v>
      </x:c>
    </x:row>
    <x:row r="375" spans="1:14" x14ac:dyDescent="0.25">
      <x:c r="A375" t="s">
        <x:v>687</x:v>
      </x:c>
      <x:c r="B375" t="s">
        <x:v>700</x:v>
      </x:c>
      <x:c r="C375" t="s">
        <x:v>701</x:v>
      </x:c>
      <x:c r="D375" t="s">
        <x:v>832</x:v>
      </x:c>
      <x:c r="E375" s="6">
        <x:v>242720.55999999997</x:v>
      </x:c>
      <x:c r="F375" s="6">
        <x:v>0</x:v>
      </x:c>
      <x:c r="G375" s="6">
        <x:v>0</x:v>
      </x:c>
      <x:c r="H375" s="6">
        <x:f t="shared" si="16"/>
        <x:v>242720.55999999997</x:v>
      </x:c>
      <x:c r="I375" s="6">
        <x:v>0</x:v>
      </x:c>
      <x:c r="J375" s="6">
        <x:v>0</x:v>
      </x:c>
      <x:c r="K375" s="6">
        <x:f t="shared" si="17"/>
        <x:v>0</x:v>
      </x:c>
      <x:c r="L375" s="6">
        <x:v>0</x:v>
      </x:c>
      <x:c r="M375" s="6">
        <x:v>0</x:v>
      </x:c>
      <x:c r="N375" s="6">
        <x:f t="shared" si="18"/>
        <x:v>242720.55999999997</x:v>
      </x:c>
    </x:row>
    <x:row r="376" spans="1:14" x14ac:dyDescent="0.25">
      <x:c r="A376" t="s">
        <x:v>687</x:v>
      </x:c>
      <x:c r="B376" t="s">
        <x:v>702</x:v>
      </x:c>
      <x:c r="C376" t="s">
        <x:v>703</x:v>
      </x:c>
      <x:c r="D376" t="s">
        <x:v>677</x:v>
      </x:c>
      <x:c r="E376" s="6">
        <x:v>50438.19</x:v>
      </x:c>
      <x:c r="F376" s="6">
        <x:v>0</x:v>
      </x:c>
      <x:c r="G376" s="6">
        <x:v>0</x:v>
      </x:c>
      <x:c r="H376" s="6">
        <x:f t="shared" si="16"/>
        <x:v>50438.19</x:v>
      </x:c>
      <x:c r="I376" s="6">
        <x:v>0</x:v>
      </x:c>
      <x:c r="J376" s="6">
        <x:v>0</x:v>
      </x:c>
      <x:c r="K376" s="6">
        <x:f t="shared" si="17"/>
        <x:v>0</x:v>
      </x:c>
      <x:c r="L376" s="6">
        <x:v>0</x:v>
      </x:c>
      <x:c r="M376" s="6">
        <x:v>0</x:v>
      </x:c>
      <x:c r="N376" s="6">
        <x:f t="shared" si="18"/>
        <x:v>50438.19</x:v>
      </x:c>
    </x:row>
    <x:row r="377" spans="1:14" x14ac:dyDescent="0.25">
      <x:c r="A377" t="s">
        <x:v>687</x:v>
      </x:c>
      <x:c r="B377" t="s">
        <x:v>702</x:v>
      </x:c>
      <x:c r="C377" t="s">
        <x:v>703</x:v>
      </x:c>
      <x:c r="D377" t="s">
        <x:v>832</x:v>
      </x:c>
      <x:c r="E377" s="6">
        <x:v>35819.860000000008</x:v>
      </x:c>
      <x:c r="F377" s="6">
        <x:v>0</x:v>
      </x:c>
      <x:c r="G377" s="6">
        <x:v>0</x:v>
      </x:c>
      <x:c r="H377" s="6">
        <x:f t="shared" si="16"/>
        <x:v>35819.860000000008</x:v>
      </x:c>
      <x:c r="I377" s="6">
        <x:v>0</x:v>
      </x:c>
      <x:c r="J377" s="6">
        <x:v>0</x:v>
      </x:c>
      <x:c r="K377" s="6">
        <x:f t="shared" si="17"/>
        <x:v>0</x:v>
      </x:c>
      <x:c r="L377" s="6">
        <x:v>0</x:v>
      </x:c>
      <x:c r="M377" s="6">
        <x:v>0</x:v>
      </x:c>
      <x:c r="N377" s="6">
        <x:f t="shared" si="18"/>
        <x:v>35819.860000000008</x:v>
      </x:c>
    </x:row>
    <x:row r="378" spans="1:14" x14ac:dyDescent="0.25">
      <x:c r="A378" t="s">
        <x:v>687</x:v>
      </x:c>
      <x:c r="B378" t="s">
        <x:v>704</x:v>
      </x:c>
      <x:c r="C378" t="s">
        <x:v>705</x:v>
      </x:c>
      <x:c r="D378" t="s">
        <x:v>677</x:v>
      </x:c>
      <x:c r="E378" s="6">
        <x:v>35283.46</x:v>
      </x:c>
      <x:c r="F378" s="6">
        <x:v>0</x:v>
      </x:c>
      <x:c r="G378" s="6">
        <x:v>0</x:v>
      </x:c>
      <x:c r="H378" s="6">
        <x:f t="shared" si="16"/>
        <x:v>35283.46</x:v>
      </x:c>
      <x:c r="I378" s="6">
        <x:v>0</x:v>
      </x:c>
      <x:c r="J378" s="6">
        <x:v>0</x:v>
      </x:c>
      <x:c r="K378" s="6">
        <x:f t="shared" si="17"/>
        <x:v>0</x:v>
      </x:c>
      <x:c r="L378" s="6">
        <x:v>0</x:v>
      </x:c>
      <x:c r="M378" s="6">
        <x:v>0</x:v>
      </x:c>
      <x:c r="N378" s="6">
        <x:f t="shared" si="18"/>
        <x:v>35283.46</x:v>
      </x:c>
    </x:row>
    <x:row r="379" spans="1:14" x14ac:dyDescent="0.25">
      <x:c r="A379" t="s">
        <x:v>687</x:v>
      </x:c>
      <x:c r="B379" t="s">
        <x:v>704</x:v>
      </x:c>
      <x:c r="C379" t="s">
        <x:v>705</x:v>
      </x:c>
      <x:c r="D379" t="s">
        <x:v>832</x:v>
      </x:c>
      <x:c r="E379" s="6">
        <x:v>42387.21</x:v>
      </x:c>
      <x:c r="F379" s="6">
        <x:v>0</x:v>
      </x:c>
      <x:c r="G379" s="6">
        <x:v>0</x:v>
      </x:c>
      <x:c r="H379" s="6">
        <x:f t="shared" si="16"/>
        <x:v>42387.21</x:v>
      </x:c>
      <x:c r="I379" s="6">
        <x:v>0</x:v>
      </x:c>
      <x:c r="J379" s="6">
        <x:v>0</x:v>
      </x:c>
      <x:c r="K379" s="6">
        <x:f t="shared" si="17"/>
        <x:v>0</x:v>
      </x:c>
      <x:c r="L379" s="6">
        <x:v>0</x:v>
      </x:c>
      <x:c r="M379" s="6">
        <x:v>0</x:v>
      </x:c>
      <x:c r="N379" s="6">
        <x:f t="shared" si="18"/>
        <x:v>42387.21</x:v>
      </x:c>
    </x:row>
    <x:row r="380" spans="1:14" x14ac:dyDescent="0.25">
      <x:c r="A380" t="s">
        <x:v>687</x:v>
      </x:c>
      <x:c r="B380" t="s">
        <x:v>706</x:v>
      </x:c>
      <x:c r="C380" t="s">
        <x:v>707</x:v>
      </x:c>
      <x:c r="D380" t="s">
        <x:v>677</x:v>
      </x:c>
      <x:c r="E380" s="6">
        <x:v>585.66000000000008</x:v>
      </x:c>
      <x:c r="F380" s="6">
        <x:v>0</x:v>
      </x:c>
      <x:c r="G380" s="6">
        <x:v>0</x:v>
      </x:c>
      <x:c r="H380" s="6">
        <x:f t="shared" si="16"/>
        <x:v>585.66000000000008</x:v>
      </x:c>
      <x:c r="I380" s="6">
        <x:v>0</x:v>
      </x:c>
      <x:c r="J380" s="6">
        <x:v>0</x:v>
      </x:c>
      <x:c r="K380" s="6">
        <x:f t="shared" si="17"/>
        <x:v>0</x:v>
      </x:c>
      <x:c r="L380" s="6">
        <x:v>0</x:v>
      </x:c>
      <x:c r="M380" s="6">
        <x:v>0</x:v>
      </x:c>
      <x:c r="N380" s="6">
        <x:f t="shared" si="18"/>
        <x:v>585.66000000000008</x:v>
      </x:c>
    </x:row>
    <x:row r="381" spans="1:14" x14ac:dyDescent="0.25">
      <x:c r="A381" t="s">
        <x:v>687</x:v>
      </x:c>
      <x:c r="B381" t="s">
        <x:v>706</x:v>
      </x:c>
      <x:c r="C381" t="s">
        <x:v>707</x:v>
      </x:c>
      <x:c r="D381" t="s">
        <x:v>832</x:v>
      </x:c>
      <x:c r="E381" s="6">
        <x:v>7449.3</x:v>
      </x:c>
      <x:c r="F381" s="6">
        <x:v>0</x:v>
      </x:c>
      <x:c r="G381" s="6">
        <x:v>0</x:v>
      </x:c>
      <x:c r="H381" s="6">
        <x:f t="shared" si="16"/>
        <x:v>7449.3</x:v>
      </x:c>
      <x:c r="I381" s="6">
        <x:v>0</x:v>
      </x:c>
      <x:c r="J381" s="6">
        <x:v>0</x:v>
      </x:c>
      <x:c r="K381" s="6">
        <x:f t="shared" si="17"/>
        <x:v>0</x:v>
      </x:c>
      <x:c r="L381" s="6">
        <x:v>0</x:v>
      </x:c>
      <x:c r="M381" s="6">
        <x:v>0</x:v>
      </x:c>
      <x:c r="N381" s="6">
        <x:f t="shared" si="18"/>
        <x:v>7449.3</x:v>
      </x:c>
    </x:row>
    <x:row r="382" spans="1:14" x14ac:dyDescent="0.25">
      <x:c r="A382" t="s">
        <x:v>687</x:v>
      </x:c>
      <x:c r="B382" t="s">
        <x:v>708</x:v>
      </x:c>
      <x:c r="C382" t="s">
        <x:v>709</x:v>
      </x:c>
      <x:c r="D382" t="s">
        <x:v>677</x:v>
      </x:c>
      <x:c r="E382" s="6">
        <x:v>7622.2599999999993</x:v>
      </x:c>
      <x:c r="F382" s="6">
        <x:v>0</x:v>
      </x:c>
      <x:c r="G382" s="6">
        <x:v>0</x:v>
      </x:c>
      <x:c r="H382" s="6">
        <x:f t="shared" si="16"/>
        <x:v>7622.2599999999993</x:v>
      </x:c>
      <x:c r="I382" s="6">
        <x:v>0</x:v>
      </x:c>
      <x:c r="J382" s="6">
        <x:v>0</x:v>
      </x:c>
      <x:c r="K382" s="6">
        <x:f t="shared" si="17"/>
        <x:v>0</x:v>
      </x:c>
      <x:c r="L382" s="6">
        <x:v>0</x:v>
      </x:c>
      <x:c r="M382" s="6">
        <x:v>0</x:v>
      </x:c>
      <x:c r="N382" s="6">
        <x:f t="shared" si="18"/>
        <x:v>7622.2599999999993</x:v>
      </x:c>
    </x:row>
    <x:row r="383" spans="1:14" x14ac:dyDescent="0.25">
      <x:c r="A383" t="s">
        <x:v>687</x:v>
      </x:c>
      <x:c r="B383" t="s">
        <x:v>708</x:v>
      </x:c>
      <x:c r="C383" t="s">
        <x:v>709</x:v>
      </x:c>
      <x:c r="D383" t="s">
        <x:v>832</x:v>
      </x:c>
      <x:c r="E383" s="6">
        <x:v>35466.479999999996</x:v>
      </x:c>
      <x:c r="F383" s="6">
        <x:v>0</x:v>
      </x:c>
      <x:c r="G383" s="6">
        <x:v>0</x:v>
      </x:c>
      <x:c r="H383" s="6">
        <x:f t="shared" si="16"/>
        <x:v>35466.479999999996</x:v>
      </x:c>
      <x:c r="I383" s="6">
        <x:v>12444.3</x:v>
      </x:c>
      <x:c r="J383" s="6">
        <x:v>0</x:v>
      </x:c>
      <x:c r="K383" s="6">
        <x:f t="shared" si="17"/>
        <x:v>12444.3</x:v>
      </x:c>
      <x:c r="L383" s="6">
        <x:v>0</x:v>
      </x:c>
      <x:c r="M383" s="6">
        <x:v>0</x:v>
      </x:c>
      <x:c r="N383" s="6">
        <x:f t="shared" si="18"/>
        <x:v>47910.78</x:v>
      </x:c>
    </x:row>
    <x:row r="384" spans="1:14" x14ac:dyDescent="0.25">
      <x:c r="A384" t="s">
        <x:v>687</x:v>
      </x:c>
      <x:c r="B384" t="s">
        <x:v>712</x:v>
      </x:c>
      <x:c r="C384" t="s">
        <x:v>713</x:v>
      </x:c>
      <x:c r="D384" t="s">
        <x:v>677</x:v>
      </x:c>
      <x:c r="E384" s="6">
        <x:v>64451.930000000008</x:v>
      </x:c>
      <x:c r="F384" s="6">
        <x:v>0</x:v>
      </x:c>
      <x:c r="G384" s="6">
        <x:v>0</x:v>
      </x:c>
      <x:c r="H384" s="6">
        <x:f t="shared" si="16"/>
        <x:v>64451.930000000008</x:v>
      </x:c>
      <x:c r="I384" s="6">
        <x:v>0</x:v>
      </x:c>
      <x:c r="J384" s="6">
        <x:v>0</x:v>
      </x:c>
      <x:c r="K384" s="6">
        <x:f t="shared" si="17"/>
        <x:v>0</x:v>
      </x:c>
      <x:c r="L384" s="6">
        <x:v>0</x:v>
      </x:c>
      <x:c r="M384" s="6">
        <x:v>0</x:v>
      </x:c>
      <x:c r="N384" s="6">
        <x:f t="shared" si="18"/>
        <x:v>64451.930000000008</x:v>
      </x:c>
    </x:row>
    <x:row r="385" spans="1:14" x14ac:dyDescent="0.25">
      <x:c r="A385" t="s">
        <x:v>687</x:v>
      </x:c>
      <x:c r="B385" t="s">
        <x:v>712</x:v>
      </x:c>
      <x:c r="C385" t="s">
        <x:v>713</x:v>
      </x:c>
      <x:c r="D385" t="s">
        <x:v>832</x:v>
      </x:c>
      <x:c r="E385" s="6">
        <x:v>39200.89</x:v>
      </x:c>
      <x:c r="F385" s="6">
        <x:v>0</x:v>
      </x:c>
      <x:c r="G385" s="6">
        <x:v>0</x:v>
      </x:c>
      <x:c r="H385" s="6">
        <x:f t="shared" si="16"/>
        <x:v>39200.89</x:v>
      </x:c>
      <x:c r="I385" s="6">
        <x:v>0</x:v>
      </x:c>
      <x:c r="J385" s="6">
        <x:v>0</x:v>
      </x:c>
      <x:c r="K385" s="6">
        <x:f t="shared" si="17"/>
        <x:v>0</x:v>
      </x:c>
      <x:c r="L385" s="6">
        <x:v>0</x:v>
      </x:c>
      <x:c r="M385" s="6">
        <x:v>0</x:v>
      </x:c>
      <x:c r="N385" s="6">
        <x:f t="shared" si="18"/>
        <x:v>39200.89</x:v>
      </x:c>
    </x:row>
    <x:row r="386" spans="1:14" x14ac:dyDescent="0.25">
      <x:c r="A386" t="s">
        <x:v>687</x:v>
      </x:c>
      <x:c r="B386" t="s">
        <x:v>788</x:v>
      </x:c>
      <x:c r="C386" t="s">
        <x:v>789</x:v>
      </x:c>
      <x:c r="D386" t="s">
        <x:v>677</x:v>
      </x:c>
      <x:c r="E386" s="6">
        <x:v>154481.28999999998</x:v>
      </x:c>
      <x:c r="F386" s="6">
        <x:v>0</x:v>
      </x:c>
      <x:c r="G386" s="6">
        <x:v>0</x:v>
      </x:c>
      <x:c r="H386" s="6">
        <x:f t="shared" si="16"/>
        <x:v>154481.28999999998</x:v>
      </x:c>
      <x:c r="I386" s="6">
        <x:v>0</x:v>
      </x:c>
      <x:c r="J386" s="6">
        <x:v>0</x:v>
      </x:c>
      <x:c r="K386" s="6">
        <x:f t="shared" si="17"/>
        <x:v>0</x:v>
      </x:c>
      <x:c r="L386" s="6">
        <x:v>0</x:v>
      </x:c>
      <x:c r="M386" s="6">
        <x:v>0</x:v>
      </x:c>
      <x:c r="N386" s="6">
        <x:f t="shared" si="18"/>
        <x:v>154481.28999999998</x:v>
      </x:c>
    </x:row>
    <x:row r="387" spans="1:14" x14ac:dyDescent="0.25">
      <x:c r="A387" t="s">
        <x:v>687</x:v>
      </x:c>
      <x:c r="B387" t="s">
        <x:v>788</x:v>
      </x:c>
      <x:c r="C387" t="s">
        <x:v>789</x:v>
      </x:c>
      <x:c r="D387" t="s">
        <x:v>832</x:v>
      </x:c>
      <x:c r="E387" s="6">
        <x:v>46540.02</x:v>
      </x:c>
      <x:c r="F387" s="6">
        <x:v>0</x:v>
      </x:c>
      <x:c r="G387" s="6">
        <x:v>0</x:v>
      </x:c>
      <x:c r="H387" s="6">
        <x:f t="shared" si="16"/>
        <x:v>46540.02</x:v>
      </x:c>
      <x:c r="I387" s="6">
        <x:v>0</x:v>
      </x:c>
      <x:c r="J387" s="6">
        <x:v>0</x:v>
      </x:c>
      <x:c r="K387" s="6">
        <x:f t="shared" si="17"/>
        <x:v>0</x:v>
      </x:c>
      <x:c r="L387" s="6">
        <x:v>0</x:v>
      </x:c>
      <x:c r="M387" s="6">
        <x:v>0</x:v>
      </x:c>
      <x:c r="N387" s="6">
        <x:f t="shared" si="18"/>
        <x:v>46540.02</x:v>
      </x:c>
    </x:row>
    <x:row r="388" spans="1:14" x14ac:dyDescent="0.25">
      <x:c r="A388" t="s">
        <x:v>687</x:v>
      </x:c>
      <x:c r="B388" t="s">
        <x:v>790</x:v>
      </x:c>
      <x:c r="C388" t="s">
        <x:v>791</x:v>
      </x:c>
      <x:c r="D388" t="s">
        <x:v>677</x:v>
      </x:c>
      <x:c r="E388" s="6">
        <x:v>27968.089999999997</x:v>
      </x:c>
      <x:c r="F388" s="6">
        <x:v>0</x:v>
      </x:c>
      <x:c r="G388" s="6">
        <x:v>0</x:v>
      </x:c>
      <x:c r="H388" s="6">
        <x:f t="shared" si="16"/>
        <x:v>27968.089999999997</x:v>
      </x:c>
      <x:c r="I388" s="6">
        <x:v>0</x:v>
      </x:c>
      <x:c r="J388" s="6">
        <x:v>0</x:v>
      </x:c>
      <x:c r="K388" s="6">
        <x:f t="shared" si="17"/>
        <x:v>0</x:v>
      </x:c>
      <x:c r="L388" s="6">
        <x:v>0</x:v>
      </x:c>
      <x:c r="M388" s="6">
        <x:v>0</x:v>
      </x:c>
      <x:c r="N388" s="6">
        <x:f t="shared" si="18"/>
        <x:v>27968.089999999997</x:v>
      </x:c>
    </x:row>
    <x:row r="389" spans="1:14" x14ac:dyDescent="0.25">
      <x:c r="A389" t="s">
        <x:v>687</x:v>
      </x:c>
      <x:c r="B389" t="s">
        <x:v>790</x:v>
      </x:c>
      <x:c r="C389" t="s">
        <x:v>791</x:v>
      </x:c>
      <x:c r="D389" t="s">
        <x:v>832</x:v>
      </x:c>
      <x:c r="E389" s="6">
        <x:v>9084.7699999999986</x:v>
      </x:c>
      <x:c r="F389" s="6">
        <x:v>0</x:v>
      </x:c>
      <x:c r="G389" s="6">
        <x:v>0</x:v>
      </x:c>
      <x:c r="H389" s="6">
        <x:f t="shared" si="16"/>
        <x:v>9084.7699999999986</x:v>
      </x:c>
      <x:c r="I389" s="6">
        <x:v>0</x:v>
      </x:c>
      <x:c r="J389" s="6">
        <x:v>0</x:v>
      </x:c>
      <x:c r="K389" s="6">
        <x:f t="shared" si="17"/>
        <x:v>0</x:v>
      </x:c>
      <x:c r="L389" s="6">
        <x:v>0</x:v>
      </x:c>
      <x:c r="M389" s="6">
        <x:v>0</x:v>
      </x:c>
      <x:c r="N389" s="6">
        <x:f t="shared" si="18"/>
        <x:v>9084.7699999999986</x:v>
      </x:c>
    </x:row>
    <x:row r="390" spans="1:14" x14ac:dyDescent="0.25">
      <x:c r="A390" t="s">
        <x:v>687</x:v>
      </x:c>
      <x:c r="B390" t="s">
        <x:v>714</x:v>
      </x:c>
      <x:c r="C390" t="s">
        <x:v>715</x:v>
      </x:c>
      <x:c r="D390" t="s">
        <x:v>677</x:v>
      </x:c>
      <x:c r="E390" s="6">
        <x:v>60576.76999999999</x:v>
      </x:c>
      <x:c r="F390" s="6">
        <x:v>0</x:v>
      </x:c>
      <x:c r="G390" s="6">
        <x:v>0</x:v>
      </x:c>
      <x:c r="H390" s="6">
        <x:f t="shared" si="16"/>
        <x:v>60576.76999999999</x:v>
      </x:c>
      <x:c r="I390" s="6">
        <x:v>0</x:v>
      </x:c>
      <x:c r="J390" s="6">
        <x:v>0</x:v>
      </x:c>
      <x:c r="K390" s="6">
        <x:f t="shared" si="17"/>
        <x:v>0</x:v>
      </x:c>
      <x:c r="L390" s="6">
        <x:v>0</x:v>
      </x:c>
      <x:c r="M390" s="6">
        <x:v>0</x:v>
      </x:c>
      <x:c r="N390" s="6">
        <x:f t="shared" si="18"/>
        <x:v>60576.76999999999</x:v>
      </x:c>
    </x:row>
    <x:row r="391" spans="1:14" x14ac:dyDescent="0.25">
      <x:c r="A391" t="s">
        <x:v>687</x:v>
      </x:c>
      <x:c r="B391" t="s">
        <x:v>714</x:v>
      </x:c>
      <x:c r="C391" t="s">
        <x:v>715</x:v>
      </x:c>
      <x:c r="D391" t="s">
        <x:v>832</x:v>
      </x:c>
      <x:c r="E391" s="6">
        <x:v>6137.6900000000014</x:v>
      </x:c>
      <x:c r="F391" s="6">
        <x:v>0</x:v>
      </x:c>
      <x:c r="G391" s="6">
        <x:v>0</x:v>
      </x:c>
      <x:c r="H391" s="6">
        <x:f t="shared" si="16"/>
        <x:v>6137.6900000000014</x:v>
      </x:c>
      <x:c r="I391" s="6">
        <x:v>0</x:v>
      </x:c>
      <x:c r="J391" s="6">
        <x:v>0</x:v>
      </x:c>
      <x:c r="K391" s="6">
        <x:f t="shared" si="17"/>
        <x:v>0</x:v>
      </x:c>
      <x:c r="L391" s="6">
        <x:v>0</x:v>
      </x:c>
      <x:c r="M391" s="6">
        <x:v>0</x:v>
      </x:c>
      <x:c r="N391" s="6">
        <x:f t="shared" si="18"/>
        <x:v>6137.6900000000014</x:v>
      </x:c>
    </x:row>
    <x:row r="392" spans="1:14" x14ac:dyDescent="0.25">
      <x:c r="A392" t="s">
        <x:v>687</x:v>
      </x:c>
      <x:c r="B392" t="s">
        <x:v>716</x:v>
      </x:c>
      <x:c r="C392" t="s">
        <x:v>717</x:v>
      </x:c>
      <x:c r="D392" t="s">
        <x:v>677</x:v>
      </x:c>
      <x:c r="E392" s="6">
        <x:v>115886.04000000001</x:v>
      </x:c>
      <x:c r="F392" s="6">
        <x:v>0</x:v>
      </x:c>
      <x:c r="G392" s="6">
        <x:v>0</x:v>
      </x:c>
      <x:c r="H392" s="6">
        <x:f t="shared" si="16"/>
        <x:v>115886.04000000001</x:v>
      </x:c>
      <x:c r="I392" s="6">
        <x:v>0</x:v>
      </x:c>
      <x:c r="J392" s="6">
        <x:v>0</x:v>
      </x:c>
      <x:c r="K392" s="6">
        <x:f t="shared" si="17"/>
        <x:v>0</x:v>
      </x:c>
      <x:c r="L392" s="6">
        <x:v>0</x:v>
      </x:c>
      <x:c r="M392" s="6">
        <x:v>0</x:v>
      </x:c>
      <x:c r="N392" s="6">
        <x:f t="shared" si="18"/>
        <x:v>115886.04000000001</x:v>
      </x:c>
    </x:row>
    <x:row r="393" spans="1:14" x14ac:dyDescent="0.25">
      <x:c r="A393" t="s">
        <x:v>687</x:v>
      </x:c>
      <x:c r="B393" t="s">
        <x:v>716</x:v>
      </x:c>
      <x:c r="C393" t="s">
        <x:v>717</x:v>
      </x:c>
      <x:c r="D393" t="s">
        <x:v>832</x:v>
      </x:c>
      <x:c r="E393" s="6">
        <x:v>30390.85</x:v>
      </x:c>
      <x:c r="F393" s="6">
        <x:v>0</x:v>
      </x:c>
      <x:c r="G393" s="6">
        <x:v>0</x:v>
      </x:c>
      <x:c r="H393" s="6">
        <x:f t="shared" ref="H393:H461" si="19">SUM(E393:G393)</x:f>
        <x:v>30390.85</x:v>
      </x:c>
      <x:c r="I393" s="6">
        <x:v>0</x:v>
      </x:c>
      <x:c r="J393" s="6">
        <x:v>0</x:v>
      </x:c>
      <x:c r="K393" s="6">
        <x:f t="shared" ref="K393:K461" si="20">SUM(I393:J393)</x:f>
        <x:v>0</x:v>
      </x:c>
      <x:c r="L393" s="6">
        <x:v>0</x:v>
      </x:c>
      <x:c r="M393" s="6">
        <x:v>0</x:v>
      </x:c>
      <x:c r="N393" s="6">
        <x:f t="shared" ref="N393:N461" si="21">+E393+F393+G393+I393+J393+L393+M393</x:f>
        <x:v>30390.85</x:v>
      </x:c>
    </x:row>
    <x:row r="394" spans="1:14" x14ac:dyDescent="0.25">
      <x:c r="A394" t="s">
        <x:v>687</x:v>
      </x:c>
      <x:c r="B394" t="s">
        <x:v>792</x:v>
      </x:c>
      <x:c r="C394" t="s">
        <x:v>793</x:v>
      </x:c>
      <x:c r="D394" t="s">
        <x:v>677</x:v>
      </x:c>
      <x:c r="E394" s="6">
        <x:v>62740.079999999987</x:v>
      </x:c>
      <x:c r="F394" s="6">
        <x:v>0</x:v>
      </x:c>
      <x:c r="G394" s="6">
        <x:v>0</x:v>
      </x:c>
      <x:c r="H394" s="6">
        <x:f t="shared" si="19"/>
        <x:v>62740.079999999987</x:v>
      </x:c>
      <x:c r="I394" s="6">
        <x:v>0</x:v>
      </x:c>
      <x:c r="J394" s="6">
        <x:v>0</x:v>
      </x:c>
      <x:c r="K394" s="6">
        <x:f t="shared" si="20"/>
        <x:v>0</x:v>
      </x:c>
      <x:c r="L394" s="6">
        <x:v>0</x:v>
      </x:c>
      <x:c r="M394" s="6">
        <x:v>0</x:v>
      </x:c>
      <x:c r="N394" s="6">
        <x:f t="shared" si="21"/>
        <x:v>62740.079999999987</x:v>
      </x:c>
    </x:row>
    <x:row r="395" spans="1:14" x14ac:dyDescent="0.25">
      <x:c r="A395" t="s">
        <x:v>687</x:v>
      </x:c>
      <x:c r="B395" t="s">
        <x:v>792</x:v>
      </x:c>
      <x:c r="C395" t="s">
        <x:v>793</x:v>
      </x:c>
      <x:c r="D395" t="s">
        <x:v>832</x:v>
      </x:c>
      <x:c r="E395" s="6">
        <x:v>2030.07</x:v>
      </x:c>
      <x:c r="F395" s="6">
        <x:v>0</x:v>
      </x:c>
      <x:c r="G395" s="6">
        <x:v>0</x:v>
      </x:c>
      <x:c r="H395" s="6">
        <x:f t="shared" si="19"/>
        <x:v>2030.07</x:v>
      </x:c>
      <x:c r="I395" s="6">
        <x:v>0</x:v>
      </x:c>
      <x:c r="J395" s="6">
        <x:v>0</x:v>
      </x:c>
      <x:c r="K395" s="6">
        <x:f t="shared" si="20"/>
        <x:v>0</x:v>
      </x:c>
      <x:c r="L395" s="6">
        <x:v>0</x:v>
      </x:c>
      <x:c r="M395" s="6">
        <x:v>0</x:v>
      </x:c>
      <x:c r="N395" s="6">
        <x:f t="shared" si="21"/>
        <x:v>2030.07</x:v>
      </x:c>
    </x:row>
    <x:row r="396" spans="1:14" x14ac:dyDescent="0.25">
      <x:c r="A396" t="s">
        <x:v>687</x:v>
      </x:c>
      <x:c r="B396" t="s">
        <x:v>718</x:v>
      </x:c>
      <x:c r="C396" t="s">
        <x:v>719</x:v>
      </x:c>
      <x:c r="D396" t="s">
        <x:v>677</x:v>
      </x:c>
      <x:c r="E396" s="6">
        <x:v>11132.89</x:v>
      </x:c>
      <x:c r="F396" s="6">
        <x:v>0</x:v>
      </x:c>
      <x:c r="G396" s="6">
        <x:v>0</x:v>
      </x:c>
      <x:c r="H396" s="6">
        <x:f t="shared" si="19"/>
        <x:v>11132.89</x:v>
      </x:c>
      <x:c r="I396" s="6">
        <x:v>0</x:v>
      </x:c>
      <x:c r="J396" s="6">
        <x:v>0</x:v>
      </x:c>
      <x:c r="K396" s="6">
        <x:f t="shared" si="20"/>
        <x:v>0</x:v>
      </x:c>
      <x:c r="L396" s="6">
        <x:v>0</x:v>
      </x:c>
      <x:c r="M396" s="6">
        <x:v>0</x:v>
      </x:c>
      <x:c r="N396" s="6">
        <x:f t="shared" si="21"/>
        <x:v>11132.89</x:v>
      </x:c>
    </x:row>
    <x:row r="397" spans="1:14" x14ac:dyDescent="0.25">
      <x:c r="A397" t="s">
        <x:v>687</x:v>
      </x:c>
      <x:c r="B397" t="s">
        <x:v>718</x:v>
      </x:c>
      <x:c r="C397" t="s">
        <x:v>719</x:v>
      </x:c>
      <x:c r="D397" t="s">
        <x:v>832</x:v>
      </x:c>
      <x:c r="E397" s="6">
        <x:v>3439.64</x:v>
      </x:c>
      <x:c r="F397" s="6">
        <x:v>0</x:v>
      </x:c>
      <x:c r="G397" s="6">
        <x:v>0</x:v>
      </x:c>
      <x:c r="H397" s="6">
        <x:f t="shared" si="19"/>
        <x:v>3439.64</x:v>
      </x:c>
      <x:c r="I397" s="6">
        <x:v>0</x:v>
      </x:c>
      <x:c r="J397" s="6">
        <x:v>0</x:v>
      </x:c>
      <x:c r="K397" s="6">
        <x:f t="shared" si="20"/>
        <x:v>0</x:v>
      </x:c>
      <x:c r="L397" s="6">
        <x:v>0</x:v>
      </x:c>
      <x:c r="M397" s="6">
        <x:v>0</x:v>
      </x:c>
      <x:c r="N397" s="6">
        <x:f t="shared" si="21"/>
        <x:v>3439.64</x:v>
      </x:c>
    </x:row>
    <x:row r="398" spans="1:14" x14ac:dyDescent="0.25">
      <x:c r="A398" t="s">
        <x:v>687</x:v>
      </x:c>
      <x:c r="B398" t="s">
        <x:v>722</x:v>
      </x:c>
      <x:c r="C398" t="s">
        <x:v>723</x:v>
      </x:c>
      <x:c r="D398" t="s">
        <x:v>677</x:v>
      </x:c>
      <x:c r="E398" s="6">
        <x:v>95492.26999999999</x:v>
      </x:c>
      <x:c r="F398" s="6">
        <x:v>0</x:v>
      </x:c>
      <x:c r="G398" s="6">
        <x:v>0</x:v>
      </x:c>
      <x:c r="H398" s="6">
        <x:f t="shared" si="19"/>
        <x:v>95492.26999999999</x:v>
      </x:c>
      <x:c r="I398" s="6">
        <x:v>0</x:v>
      </x:c>
      <x:c r="J398" s="6">
        <x:v>0</x:v>
      </x:c>
      <x:c r="K398" s="6">
        <x:f t="shared" si="20"/>
        <x:v>0</x:v>
      </x:c>
      <x:c r="L398" s="6">
        <x:v>0</x:v>
      </x:c>
      <x:c r="M398" s="6">
        <x:v>0</x:v>
      </x:c>
      <x:c r="N398" s="6">
        <x:f t="shared" si="21"/>
        <x:v>95492.26999999999</x:v>
      </x:c>
    </x:row>
    <x:row r="399" spans="1:14" x14ac:dyDescent="0.25">
      <x:c r="A399" t="s">
        <x:v>687</x:v>
      </x:c>
      <x:c r="B399" t="s">
        <x:v>722</x:v>
      </x:c>
      <x:c r="C399" t="s">
        <x:v>723</x:v>
      </x:c>
      <x:c r="D399" t="s">
        <x:v>832</x:v>
      </x:c>
      <x:c r="E399" s="6">
        <x:v>106973.92000000003</x:v>
      </x:c>
      <x:c r="F399" s="6">
        <x:v>0</x:v>
      </x:c>
      <x:c r="G399" s="6">
        <x:v>0</x:v>
      </x:c>
      <x:c r="H399" s="6">
        <x:f t="shared" si="19"/>
        <x:v>106973.92000000003</x:v>
      </x:c>
      <x:c r="I399" s="6">
        <x:v>238.14</x:v>
      </x:c>
      <x:c r="J399" s="6">
        <x:v>0</x:v>
      </x:c>
      <x:c r="K399" s="6">
        <x:f t="shared" si="20"/>
        <x:v>238.14</x:v>
      </x:c>
      <x:c r="L399" s="6">
        <x:v>0</x:v>
      </x:c>
      <x:c r="M399" s="6">
        <x:v>0</x:v>
      </x:c>
      <x:c r="N399" s="6">
        <x:f t="shared" si="21"/>
        <x:v>107212.06000000003</x:v>
      </x:c>
    </x:row>
    <x:row r="400" spans="1:14" x14ac:dyDescent="0.25">
      <x:c r="A400" t="s">
        <x:v>687</x:v>
      </x:c>
      <x:c r="B400" t="s">
        <x:v>724</x:v>
      </x:c>
      <x:c r="C400" t="s">
        <x:v>725</x:v>
      </x:c>
      <x:c r="D400" t="s">
        <x:v>677</x:v>
      </x:c>
      <x:c r="E400" s="6">
        <x:v>17172.279999999995</x:v>
      </x:c>
      <x:c r="F400" s="6">
        <x:v>0</x:v>
      </x:c>
      <x:c r="G400" s="6">
        <x:v>0</x:v>
      </x:c>
      <x:c r="H400" s="6">
        <x:f t="shared" si="19"/>
        <x:v>17172.279999999995</x:v>
      </x:c>
      <x:c r="I400" s="6">
        <x:v>0</x:v>
      </x:c>
      <x:c r="J400" s="6">
        <x:v>0</x:v>
      </x:c>
      <x:c r="K400" s="6">
        <x:f t="shared" si="20"/>
        <x:v>0</x:v>
      </x:c>
      <x:c r="L400" s="6">
        <x:v>0</x:v>
      </x:c>
      <x:c r="M400" s="6">
        <x:v>0</x:v>
      </x:c>
      <x:c r="N400" s="6">
        <x:f t="shared" si="21"/>
        <x:v>17172.279999999995</x:v>
      </x:c>
    </x:row>
    <x:row r="401" spans="1:14" x14ac:dyDescent="0.25">
      <x:c r="A401" t="s">
        <x:v>687</x:v>
      </x:c>
      <x:c r="B401" t="s">
        <x:v>724</x:v>
      </x:c>
      <x:c r="C401" t="s">
        <x:v>725</x:v>
      </x:c>
      <x:c r="D401" t="s">
        <x:v>832</x:v>
      </x:c>
      <x:c r="E401" s="6">
        <x:v>36895.499999999993</x:v>
      </x:c>
      <x:c r="F401" s="6">
        <x:v>0</x:v>
      </x:c>
      <x:c r="G401" s="6">
        <x:v>0</x:v>
      </x:c>
      <x:c r="H401" s="6">
        <x:f t="shared" si="19"/>
        <x:v>36895.499999999993</x:v>
      </x:c>
      <x:c r="I401" s="6">
        <x:v>0</x:v>
      </x:c>
      <x:c r="J401" s="6">
        <x:v>0</x:v>
      </x:c>
      <x:c r="K401" s="6">
        <x:f t="shared" si="20"/>
        <x:v>0</x:v>
      </x:c>
      <x:c r="L401" s="6">
        <x:v>0</x:v>
      </x:c>
      <x:c r="M401" s="6">
        <x:v>0</x:v>
      </x:c>
      <x:c r="N401" s="6">
        <x:f t="shared" si="21"/>
        <x:v>36895.499999999993</x:v>
      </x:c>
    </x:row>
    <x:row r="402" spans="1:14" x14ac:dyDescent="0.25">
      <x:c r="A402" t="s">
        <x:v>687</x:v>
      </x:c>
      <x:c r="B402" t="s">
        <x:v>794</x:v>
      </x:c>
      <x:c r="C402" t="s">
        <x:v>795</x:v>
      </x:c>
      <x:c r="D402" t="s">
        <x:v>677</x:v>
      </x:c>
      <x:c r="E402" s="6">
        <x:v>501901.23</x:v>
      </x:c>
      <x:c r="F402" s="6">
        <x:v>0</x:v>
      </x:c>
      <x:c r="G402" s="6">
        <x:v>0</x:v>
      </x:c>
      <x:c r="H402" s="6">
        <x:f t="shared" si="19"/>
        <x:v>501901.23</x:v>
      </x:c>
      <x:c r="I402" s="6">
        <x:v>0</x:v>
      </x:c>
      <x:c r="J402" s="6">
        <x:v>0</x:v>
      </x:c>
      <x:c r="K402" s="6">
        <x:f t="shared" si="20"/>
        <x:v>0</x:v>
      </x:c>
      <x:c r="L402" s="6">
        <x:v>0</x:v>
      </x:c>
      <x:c r="M402" s="6">
        <x:v>0</x:v>
      </x:c>
      <x:c r="N402" s="6">
        <x:f t="shared" si="21"/>
        <x:v>501901.23</x:v>
      </x:c>
    </x:row>
    <x:row r="403" spans="1:14" x14ac:dyDescent="0.25">
      <x:c r="A403" t="s">
        <x:v>687</x:v>
      </x:c>
      <x:c r="B403" t="s">
        <x:v>794</x:v>
      </x:c>
      <x:c r="C403" t="s">
        <x:v>795</x:v>
      </x:c>
      <x:c r="D403" t="s">
        <x:v>832</x:v>
      </x:c>
      <x:c r="E403" s="6">
        <x:v>27510.57</x:v>
      </x:c>
      <x:c r="F403" s="6">
        <x:v>0</x:v>
      </x:c>
      <x:c r="G403" s="6">
        <x:v>0</x:v>
      </x:c>
      <x:c r="H403" s="6">
        <x:f t="shared" si="19"/>
        <x:v>27510.57</x:v>
      </x:c>
      <x:c r="I403" s="6">
        <x:v>0</x:v>
      </x:c>
      <x:c r="J403" s="6">
        <x:v>0</x:v>
      </x:c>
      <x:c r="K403" s="6">
        <x:f t="shared" si="20"/>
        <x:v>0</x:v>
      </x:c>
      <x:c r="L403" s="6">
        <x:v>0</x:v>
      </x:c>
      <x:c r="M403" s="6">
        <x:v>0</x:v>
      </x:c>
      <x:c r="N403" s="6">
        <x:f t="shared" si="21"/>
        <x:v>27510.57</x:v>
      </x:c>
    </x:row>
    <x:row r="404" spans="1:14" x14ac:dyDescent="0.25">
      <x:c r="A404" t="s">
        <x:v>687</x:v>
      </x:c>
      <x:c r="B404" t="s">
        <x:v>796</x:v>
      </x:c>
      <x:c r="C404" t="s">
        <x:v>797</x:v>
      </x:c>
      <x:c r="D404" t="s">
        <x:v>677</x:v>
      </x:c>
      <x:c r="E404" s="6">
        <x:v>29009.349999999995</x:v>
      </x:c>
      <x:c r="F404" s="6">
        <x:v>0</x:v>
      </x:c>
      <x:c r="G404" s="6">
        <x:v>0</x:v>
      </x:c>
      <x:c r="H404" s="6">
        <x:f t="shared" si="19"/>
        <x:v>29009.349999999995</x:v>
      </x:c>
      <x:c r="I404" s="6">
        <x:v>0</x:v>
      </x:c>
      <x:c r="J404" s="6">
        <x:v>0</x:v>
      </x:c>
      <x:c r="K404" s="6">
        <x:f t="shared" si="20"/>
        <x:v>0</x:v>
      </x:c>
      <x:c r="L404" s="6">
        <x:v>0</x:v>
      </x:c>
      <x:c r="M404" s="6">
        <x:v>0</x:v>
      </x:c>
      <x:c r="N404" s="6">
        <x:f t="shared" si="21"/>
        <x:v>29009.349999999995</x:v>
      </x:c>
    </x:row>
    <x:row r="405" spans="1:14" x14ac:dyDescent="0.25">
      <x:c r="A405" t="s">
        <x:v>687</x:v>
      </x:c>
      <x:c r="B405" t="s">
        <x:v>796</x:v>
      </x:c>
      <x:c r="C405" t="s">
        <x:v>797</x:v>
      </x:c>
      <x:c r="D405" t="s">
        <x:v>832</x:v>
      </x:c>
      <x:c r="E405" s="6">
        <x:v>9596.6500000000015</x:v>
      </x:c>
      <x:c r="F405" s="6">
        <x:v>0</x:v>
      </x:c>
      <x:c r="G405" s="6">
        <x:v>0</x:v>
      </x:c>
      <x:c r="H405" s="6">
        <x:f t="shared" si="19"/>
        <x:v>9596.6500000000015</x:v>
      </x:c>
      <x:c r="I405" s="6">
        <x:v>0</x:v>
      </x:c>
      <x:c r="J405" s="6">
        <x:v>0</x:v>
      </x:c>
      <x:c r="K405" s="6">
        <x:f t="shared" si="20"/>
        <x:v>0</x:v>
      </x:c>
      <x:c r="L405" s="6">
        <x:v>0</x:v>
      </x:c>
      <x:c r="M405" s="6">
        <x:v>0</x:v>
      </x:c>
      <x:c r="N405" s="6">
        <x:f t="shared" si="21"/>
        <x:v>9596.6500000000015</x:v>
      </x:c>
    </x:row>
    <x:row r="406" spans="1:14" x14ac:dyDescent="0.25">
      <x:c r="A406" t="s">
        <x:v>687</x:v>
      </x:c>
      <x:c r="B406" t="s">
        <x:v>726</x:v>
      </x:c>
      <x:c r="C406" t="s">
        <x:v>727</x:v>
      </x:c>
      <x:c r="D406" t="s">
        <x:v>677</x:v>
      </x:c>
      <x:c r="E406" s="6">
        <x:v>63359.28</x:v>
      </x:c>
      <x:c r="F406" s="6">
        <x:v>0</x:v>
      </x:c>
      <x:c r="G406" s="6">
        <x:v>0</x:v>
      </x:c>
      <x:c r="H406" s="6">
        <x:f t="shared" si="19"/>
        <x:v>63359.28</x:v>
      </x:c>
      <x:c r="I406" s="6">
        <x:v>0</x:v>
      </x:c>
      <x:c r="J406" s="6">
        <x:v>0</x:v>
      </x:c>
      <x:c r="K406" s="6">
        <x:f t="shared" si="20"/>
        <x:v>0</x:v>
      </x:c>
      <x:c r="L406" s="6">
        <x:v>0</x:v>
      </x:c>
      <x:c r="M406" s="6">
        <x:v>0</x:v>
      </x:c>
      <x:c r="N406" s="6">
        <x:f t="shared" si="21"/>
        <x:v>63359.28</x:v>
      </x:c>
    </x:row>
    <x:row r="407" spans="1:14" x14ac:dyDescent="0.25">
      <x:c r="A407" t="s">
        <x:v>687</x:v>
      </x:c>
      <x:c r="B407" t="s">
        <x:v>726</x:v>
      </x:c>
      <x:c r="C407" t="s">
        <x:v>727</x:v>
      </x:c>
      <x:c r="D407" t="s">
        <x:v>832</x:v>
      </x:c>
      <x:c r="E407" s="6">
        <x:v>48181.240000000005</x:v>
      </x:c>
      <x:c r="F407" s="6">
        <x:v>0</x:v>
      </x:c>
      <x:c r="G407" s="6">
        <x:v>0</x:v>
      </x:c>
      <x:c r="H407" s="6">
        <x:f t="shared" si="19"/>
        <x:v>48181.240000000005</x:v>
      </x:c>
      <x:c r="I407" s="6">
        <x:v>0</x:v>
      </x:c>
      <x:c r="J407" s="6">
        <x:v>0</x:v>
      </x:c>
      <x:c r="K407" s="6">
        <x:f t="shared" si="20"/>
        <x:v>0</x:v>
      </x:c>
      <x:c r="L407" s="6">
        <x:v>0</x:v>
      </x:c>
      <x:c r="M407" s="6">
        <x:v>0</x:v>
      </x:c>
      <x:c r="N407" s="6">
        <x:f t="shared" si="21"/>
        <x:v>48181.240000000005</x:v>
      </x:c>
    </x:row>
    <x:row r="408" spans="1:14" x14ac:dyDescent="0.25">
      <x:c r="A408" t="s">
        <x:v>687</x:v>
      </x:c>
      <x:c r="B408" t="s">
        <x:v>730</x:v>
      </x:c>
      <x:c r="C408" t="s">
        <x:v>731</x:v>
      </x:c>
      <x:c r="D408" t="s">
        <x:v>677</x:v>
      </x:c>
      <x:c r="E408" s="6">
        <x:v>-1195</x:v>
      </x:c>
      <x:c r="F408" s="6">
        <x:v>0</x:v>
      </x:c>
      <x:c r="G408" s="6">
        <x:v>0</x:v>
      </x:c>
      <x:c r="H408" s="6">
        <x:f t="shared" si="19"/>
        <x:v>-1195</x:v>
      </x:c>
      <x:c r="I408" s="6">
        <x:v>0</x:v>
      </x:c>
      <x:c r="J408" s="6">
        <x:v>0</x:v>
      </x:c>
      <x:c r="K408" s="6">
        <x:f t="shared" si="20"/>
        <x:v>0</x:v>
      </x:c>
      <x:c r="L408" s="6">
        <x:v>0</x:v>
      </x:c>
      <x:c r="M408" s="6">
        <x:v>0</x:v>
      </x:c>
      <x:c r="N408" s="6">
        <x:f t="shared" si="21"/>
        <x:v>-1195</x:v>
      </x:c>
    </x:row>
    <x:row r="409" spans="1:14" x14ac:dyDescent="0.25">
      <x:c r="A409" t="s">
        <x:v>687</x:v>
      </x:c>
      <x:c r="B409" t="s">
        <x:v>732</x:v>
      </x:c>
      <x:c r="C409" t="s">
        <x:v>733</x:v>
      </x:c>
      <x:c r="D409" t="s">
        <x:v>677</x:v>
      </x:c>
      <x:c r="E409" s="6">
        <x:v>3518.0799999999995</x:v>
      </x:c>
      <x:c r="F409" s="6">
        <x:v>0</x:v>
      </x:c>
      <x:c r="G409" s="6">
        <x:v>0</x:v>
      </x:c>
      <x:c r="H409" s="6">
        <x:f t="shared" si="19"/>
        <x:v>3518.0799999999995</x:v>
      </x:c>
      <x:c r="I409" s="6">
        <x:v>0</x:v>
      </x:c>
      <x:c r="J409" s="6">
        <x:v>0</x:v>
      </x:c>
      <x:c r="K409" s="6">
        <x:f t="shared" si="20"/>
        <x:v>0</x:v>
      </x:c>
      <x:c r="L409" s="6">
        <x:v>0</x:v>
      </x:c>
      <x:c r="M409" s="6">
        <x:v>0</x:v>
      </x:c>
      <x:c r="N409" s="6">
        <x:f t="shared" si="21"/>
        <x:v>3518.0799999999995</x:v>
      </x:c>
    </x:row>
    <x:row r="410" spans="1:14" x14ac:dyDescent="0.25">
      <x:c r="A410" t="s">
        <x:v>687</x:v>
      </x:c>
      <x:c r="B410" t="s">
        <x:v>740</x:v>
      </x:c>
      <x:c r="C410" t="s">
        <x:v>741</x:v>
      </x:c>
      <x:c r="D410" t="s">
        <x:v>677</x:v>
      </x:c>
      <x:c r="E410" s="6">
        <x:v>14955.97</x:v>
      </x:c>
      <x:c r="F410" s="6">
        <x:v>0</x:v>
      </x:c>
      <x:c r="G410" s="6">
        <x:v>0</x:v>
      </x:c>
      <x:c r="H410" s="6">
        <x:f t="shared" si="19"/>
        <x:v>14955.97</x:v>
      </x:c>
      <x:c r="I410" s="6">
        <x:v>0</x:v>
      </x:c>
      <x:c r="J410" s="6">
        <x:v>0</x:v>
      </x:c>
      <x:c r="K410" s="6">
        <x:f t="shared" si="20"/>
        <x:v>0</x:v>
      </x:c>
      <x:c r="L410" s="6">
        <x:v>0</x:v>
      </x:c>
      <x:c r="M410" s="6">
        <x:v>0</x:v>
      </x:c>
      <x:c r="N410" s="6">
        <x:f t="shared" si="21"/>
        <x:v>14955.97</x:v>
      </x:c>
    </x:row>
    <x:row r="411" spans="1:14" x14ac:dyDescent="0.25">
      <x:c r="A411" t="s">
        <x:v>687</x:v>
      </x:c>
      <x:c r="B411" t="s">
        <x:v>839</x:v>
      </x:c>
      <x:c r="C411" t="s">
        <x:v>840</x:v>
      </x:c>
      <x:c r="D411" t="s">
        <x:v>677</x:v>
      </x:c>
      <x:c r="E411" s="6">
        <x:v>0</x:v>
      </x:c>
      <x:c r="F411" s="6">
        <x:v>409069.22000000003</x:v>
      </x:c>
      <x:c r="G411" s="6">
        <x:v>0</x:v>
      </x:c>
      <x:c r="H411" s="6">
        <x:f t="shared" si="19"/>
        <x:v>409069.22000000003</x:v>
      </x:c>
      <x:c r="I411" s="6">
        <x:v>0</x:v>
      </x:c>
      <x:c r="J411" s="6">
        <x:v>0</x:v>
      </x:c>
      <x:c r="K411" s="6">
        <x:f t="shared" si="20"/>
        <x:v>0</x:v>
      </x:c>
      <x:c r="L411" s="6">
        <x:v>0</x:v>
      </x:c>
      <x:c r="M411" s="6">
        <x:v>0</x:v>
      </x:c>
      <x:c r="N411" s="6">
        <x:f t="shared" si="21"/>
        <x:v>409069.22000000003</x:v>
      </x:c>
    </x:row>
    <x:row r="412" spans="1:14" x14ac:dyDescent="0.25">
      <x:c r="A412" t="s">
        <x:v>687</x:v>
      </x:c>
      <x:c r="B412" t="s">
        <x:v>839</x:v>
      </x:c>
      <x:c r="C412" t="s">
        <x:v>840</x:v>
      </x:c>
      <x:c r="D412" t="s">
        <x:v>841</x:v>
      </x:c>
      <x:c r="E412" s="6">
        <x:v>0</x:v>
      </x:c>
      <x:c r="F412" s="6">
        <x:v>149789.6</x:v>
      </x:c>
      <x:c r="G412" s="6">
        <x:v>0</x:v>
      </x:c>
      <x:c r="H412" s="6">
        <x:f t="shared" si="19"/>
        <x:v>149789.6</x:v>
      </x:c>
      <x:c r="I412" s="6">
        <x:v>0</x:v>
      </x:c>
      <x:c r="J412" s="6">
        <x:v>0</x:v>
      </x:c>
      <x:c r="K412" s="6">
        <x:f t="shared" si="20"/>
        <x:v>0</x:v>
      </x:c>
      <x:c r="L412" s="6">
        <x:v>0</x:v>
      </x:c>
      <x:c r="M412" s="6">
        <x:v>0</x:v>
      </x:c>
      <x:c r="N412" s="6">
        <x:f t="shared" si="21"/>
        <x:v>149789.6</x:v>
      </x:c>
    </x:row>
    <x:row r="413" spans="1:14" x14ac:dyDescent="0.25">
      <x:c r="A413" t="s">
        <x:v>688</x:v>
      </x:c>
      <x:c r="B413" t="s">
        <x:v>726</x:v>
      </x:c>
      <x:c r="C413" t="s">
        <x:v>727</x:v>
      </x:c>
      <x:c r="D413" t="s">
        <x:v>832</x:v>
      </x:c>
      <x:c r="E413" s="6">
        <x:v>-6779.07</x:v>
      </x:c>
      <x:c r="F413" s="6">
        <x:v>0</x:v>
      </x:c>
      <x:c r="G413" s="6">
        <x:v>0</x:v>
      </x:c>
      <x:c r="H413" s="6">
        <x:f t="shared" si="19"/>
        <x:v>-6779.07</x:v>
      </x:c>
      <x:c r="I413" s="6">
        <x:v>0</x:v>
      </x:c>
      <x:c r="J413" s="6">
        <x:v>0</x:v>
      </x:c>
      <x:c r="K413" s="6">
        <x:f t="shared" si="20"/>
        <x:v>0</x:v>
      </x:c>
      <x:c r="L413" s="6">
        <x:v>0</x:v>
      </x:c>
      <x:c r="M413" s="6">
        <x:v>0</x:v>
      </x:c>
      <x:c r="N413" s="6">
        <x:f t="shared" si="21"/>
        <x:v>-6779.07</x:v>
      </x:c>
    </x:row>
    <x:row r="414" spans="1:14" x14ac:dyDescent="0.25">
      <x:c r="A414" t="s">
        <x:v>8</x:v>
      </x:c>
      <x:c r="B414" t="s">
        <x:v>692</x:v>
      </x:c>
      <x:c r="C414" t="s">
        <x:v>693</x:v>
      </x:c>
      <x:c r="D414" t="s">
        <x:v>677</x:v>
      </x:c>
      <x:c r="E414" s="6">
        <x:v>1725.57</x:v>
      </x:c>
      <x:c r="F414" s="6">
        <x:v>0</x:v>
      </x:c>
      <x:c r="G414" s="6">
        <x:v>0</x:v>
      </x:c>
      <x:c r="H414" s="6">
        <x:f t="shared" si="19"/>
        <x:v>1725.57</x:v>
      </x:c>
      <x:c r="I414" s="6">
        <x:v>0</x:v>
      </x:c>
      <x:c r="J414" s="6">
        <x:v>0</x:v>
      </x:c>
      <x:c r="K414" s="6">
        <x:f t="shared" si="20"/>
        <x:v>0</x:v>
      </x:c>
      <x:c r="L414" s="6">
        <x:v>0</x:v>
      </x:c>
      <x:c r="M414" s="6">
        <x:v>0</x:v>
      </x:c>
      <x:c r="N414" s="6">
        <x:f t="shared" si="21"/>
        <x:v>1725.57</x:v>
      </x:c>
    </x:row>
    <x:row r="415" spans="1:14" x14ac:dyDescent="0.25">
      <x:c r="A415" t="s">
        <x:v>8</x:v>
      </x:c>
      <x:c r="B415" t="s">
        <x:v>692</x:v>
      </x:c>
      <x:c r="C415" t="s">
        <x:v>693</x:v>
      </x:c>
      <x:c r="D415" t="s">
        <x:v>832</x:v>
      </x:c>
      <x:c r="E415" s="6">
        <x:v>73173.08</x:v>
      </x:c>
      <x:c r="F415" s="6">
        <x:v>0</x:v>
      </x:c>
      <x:c r="G415" s="6">
        <x:v>0</x:v>
      </x:c>
      <x:c r="H415" s="6">
        <x:f t="shared" si="19"/>
        <x:v>73173.08</x:v>
      </x:c>
      <x:c r="I415" s="6">
        <x:v>3839.88</x:v>
      </x:c>
      <x:c r="J415" s="6">
        <x:v>0</x:v>
      </x:c>
      <x:c r="K415" s="6">
        <x:f t="shared" si="20"/>
        <x:v>3839.88</x:v>
      </x:c>
      <x:c r="L415" s="6">
        <x:v>0</x:v>
      </x:c>
      <x:c r="M415" s="6">
        <x:v>0</x:v>
      </x:c>
      <x:c r="N415" s="6">
        <x:f t="shared" si="21"/>
        <x:v>77012.960000000006</x:v>
      </x:c>
    </x:row>
    <x:row r="416" spans="1:14" x14ac:dyDescent="0.25">
      <x:c r="A416" t="s">
        <x:v>8</x:v>
      </x:c>
      <x:c r="B416" t="s">
        <x:v>694</x:v>
      </x:c>
      <x:c r="C416" t="s">
        <x:v>695</x:v>
      </x:c>
      <x:c r="D416" t="s">
        <x:v>832</x:v>
      </x:c>
      <x:c r="E416" s="6">
        <x:v>3491.64</x:v>
      </x:c>
      <x:c r="F416" s="6">
        <x:v>0</x:v>
      </x:c>
      <x:c r="G416" s="6">
        <x:v>0</x:v>
      </x:c>
      <x:c r="H416" s="6">
        <x:f t="shared" si="19"/>
        <x:v>3491.64</x:v>
      </x:c>
      <x:c r="I416" s="6">
        <x:v>0</x:v>
      </x:c>
      <x:c r="J416" s="6">
        <x:v>0</x:v>
      </x:c>
      <x:c r="K416" s="6">
        <x:f t="shared" si="20"/>
        <x:v>0</x:v>
      </x:c>
      <x:c r="L416" s="6">
        <x:v>0</x:v>
      </x:c>
      <x:c r="M416" s="6">
        <x:v>0</x:v>
      </x:c>
      <x:c r="N416" s="6">
        <x:f t="shared" si="21"/>
        <x:v>3491.64</x:v>
      </x:c>
    </x:row>
    <x:row r="417" spans="1:14" x14ac:dyDescent="0.25">
      <x:c r="A417" t="s">
        <x:v>8</x:v>
      </x:c>
      <x:c r="B417" t="s">
        <x:v>696</x:v>
      </x:c>
      <x:c r="C417" t="s">
        <x:v>697</x:v>
      </x:c>
      <x:c r="D417" t="s">
        <x:v>832</x:v>
      </x:c>
      <x:c r="E417" s="6">
        <x:v>1454.11</x:v>
      </x:c>
      <x:c r="F417" s="6">
        <x:v>0</x:v>
      </x:c>
      <x:c r="G417" s="6">
        <x:v>0</x:v>
      </x:c>
      <x:c r="H417" s="6">
        <x:f t="shared" si="19"/>
        <x:v>1454.11</x:v>
      </x:c>
      <x:c r="I417" s="6">
        <x:v>0</x:v>
      </x:c>
      <x:c r="J417" s="6">
        <x:v>0</x:v>
      </x:c>
      <x:c r="K417" s="6">
        <x:f t="shared" si="20"/>
        <x:v>0</x:v>
      </x:c>
      <x:c r="L417" s="6">
        <x:v>0</x:v>
      </x:c>
      <x:c r="M417" s="6">
        <x:v>0</x:v>
      </x:c>
      <x:c r="N417" s="6">
        <x:f t="shared" si="21"/>
        <x:v>1454.11</x:v>
      </x:c>
    </x:row>
    <x:row r="418" spans="1:14" x14ac:dyDescent="0.25">
      <x:c r="A418" t="s">
        <x:v>8</x:v>
      </x:c>
      <x:c r="B418" t="s">
        <x:v>782</x:v>
      </x:c>
      <x:c r="C418" t="s">
        <x:v>783</x:v>
      </x:c>
      <x:c r="D418" t="s">
        <x:v>832</x:v>
      </x:c>
      <x:c r="E418" s="6">
        <x:v>1669.97</x:v>
      </x:c>
      <x:c r="F418" s="6">
        <x:v>0</x:v>
      </x:c>
      <x:c r="G418" s="6">
        <x:v>0</x:v>
      </x:c>
      <x:c r="H418" s="6">
        <x:f t="shared" si="19"/>
        <x:v>1669.97</x:v>
      </x:c>
      <x:c r="I418" s="6">
        <x:v>0</x:v>
      </x:c>
      <x:c r="J418" s="6">
        <x:v>0</x:v>
      </x:c>
      <x:c r="K418" s="6">
        <x:f t="shared" si="20"/>
        <x:v>0</x:v>
      </x:c>
      <x:c r="L418" s="6">
        <x:v>0</x:v>
      </x:c>
      <x:c r="M418" s="6">
        <x:v>0</x:v>
      </x:c>
      <x:c r="N418" s="6">
        <x:f t="shared" si="21"/>
        <x:v>1669.97</x:v>
      </x:c>
    </x:row>
    <x:row r="419" spans="1:14" x14ac:dyDescent="0.25">
      <x:c r="A419" t="s">
        <x:v>8</x:v>
      </x:c>
      <x:c r="B419" t="s">
        <x:v>784</x:v>
      </x:c>
      <x:c r="C419" t="s">
        <x:v>785</x:v>
      </x:c>
      <x:c r="D419" t="s">
        <x:v>832</x:v>
      </x:c>
      <x:c r="E419" s="6">
        <x:v>22204.91</x:v>
      </x:c>
      <x:c r="F419" s="6">
        <x:v>0</x:v>
      </x:c>
      <x:c r="G419" s="6">
        <x:v>0</x:v>
      </x:c>
      <x:c r="H419" s="6">
        <x:f t="shared" si="19"/>
        <x:v>22204.91</x:v>
      </x:c>
      <x:c r="I419" s="6">
        <x:v>0</x:v>
      </x:c>
      <x:c r="J419" s="6">
        <x:v>0</x:v>
      </x:c>
      <x:c r="K419" s="6">
        <x:f t="shared" si="20"/>
        <x:v>0</x:v>
      </x:c>
      <x:c r="L419" s="6">
        <x:v>0</x:v>
      </x:c>
      <x:c r="M419" s="6">
        <x:v>0</x:v>
      </x:c>
      <x:c r="N419" s="6">
        <x:f t="shared" si="21"/>
        <x:v>22204.91</x:v>
      </x:c>
    </x:row>
    <x:row r="420" spans="1:14" x14ac:dyDescent="0.25">
      <x:c r="A420" t="s">
        <x:v>8</x:v>
      </x:c>
      <x:c r="B420" t="s">
        <x:v>786</x:v>
      </x:c>
      <x:c r="C420" t="s">
        <x:v>787</x:v>
      </x:c>
      <x:c r="D420" t="s">
        <x:v>832</x:v>
      </x:c>
      <x:c r="E420" s="6">
        <x:v>22944.29</x:v>
      </x:c>
      <x:c r="F420" s="6">
        <x:v>0</x:v>
      </x:c>
      <x:c r="G420" s="6">
        <x:v>0</x:v>
      </x:c>
      <x:c r="H420" s="6">
        <x:f t="shared" si="19"/>
        <x:v>22944.29</x:v>
      </x:c>
      <x:c r="I420" s="6">
        <x:v>216.5</x:v>
      </x:c>
      <x:c r="J420" s="6">
        <x:v>0</x:v>
      </x:c>
      <x:c r="K420" s="6">
        <x:f t="shared" si="20"/>
        <x:v>216.5</x:v>
      </x:c>
      <x:c r="L420" s="6">
        <x:v>0</x:v>
      </x:c>
      <x:c r="M420" s="6">
        <x:v>0</x:v>
      </x:c>
      <x:c r="N420" s="6">
        <x:f t="shared" si="21"/>
        <x:v>23160.79</x:v>
      </x:c>
    </x:row>
    <x:row r="421" spans="1:14" x14ac:dyDescent="0.25">
      <x:c r="A421" t="s">
        <x:v>8</x:v>
      </x:c>
      <x:c r="B421" t="s">
        <x:v>698</x:v>
      </x:c>
      <x:c r="C421" t="s">
        <x:v>699</x:v>
      </x:c>
      <x:c r="D421" t="s">
        <x:v>832</x:v>
      </x:c>
      <x:c r="E421" s="6">
        <x:v>3321.11</x:v>
      </x:c>
      <x:c r="F421" s="6">
        <x:v>0</x:v>
      </x:c>
      <x:c r="G421" s="6">
        <x:v>0</x:v>
      </x:c>
      <x:c r="H421" s="6">
        <x:f t="shared" si="19"/>
        <x:v>3321.11</x:v>
      </x:c>
      <x:c r="I421" s="6">
        <x:v>0</x:v>
      </x:c>
      <x:c r="J421" s="6">
        <x:v>0</x:v>
      </x:c>
      <x:c r="K421" s="6">
        <x:f t="shared" si="20"/>
        <x:v>0</x:v>
      </x:c>
      <x:c r="L421" s="6">
        <x:v>0</x:v>
      </x:c>
      <x:c r="M421" s="6">
        <x:v>0</x:v>
      </x:c>
      <x:c r="N421" s="6">
        <x:f t="shared" si="21"/>
        <x:v>3321.11</x:v>
      </x:c>
    </x:row>
    <x:row r="422" spans="1:14" x14ac:dyDescent="0.25">
      <x:c r="A422" t="s">
        <x:v>8</x:v>
      </x:c>
      <x:c r="B422" t="s">
        <x:v>700</x:v>
      </x:c>
      <x:c r="C422" t="s">
        <x:v>701</x:v>
      </x:c>
      <x:c r="D422" t="s">
        <x:v>677</x:v>
      </x:c>
      <x:c r="E422" s="6">
        <x:v>9996.0300000000007</x:v>
      </x:c>
      <x:c r="F422" s="6">
        <x:v>0</x:v>
      </x:c>
      <x:c r="G422" s="6">
        <x:v>0</x:v>
      </x:c>
      <x:c r="H422" s="6">
        <x:f t="shared" si="19"/>
        <x:v>9996.0300000000007</x:v>
      </x:c>
      <x:c r="I422" s="6">
        <x:v>0</x:v>
      </x:c>
      <x:c r="J422" s="6">
        <x:v>0</x:v>
      </x:c>
      <x:c r="K422" s="6">
        <x:f t="shared" si="20"/>
        <x:v>0</x:v>
      </x:c>
      <x:c r="L422" s="6">
        <x:v>0</x:v>
      </x:c>
      <x:c r="M422" s="6">
        <x:v>0</x:v>
      </x:c>
      <x:c r="N422" s="6">
        <x:f t="shared" si="21"/>
        <x:v>9996.0300000000007</x:v>
      </x:c>
    </x:row>
    <x:row r="423" spans="1:14" x14ac:dyDescent="0.25">
      <x:c r="A423" t="s">
        <x:v>8</x:v>
      </x:c>
      <x:c r="B423" t="s">
        <x:v>700</x:v>
      </x:c>
      <x:c r="C423" t="s">
        <x:v>701</x:v>
      </x:c>
      <x:c r="D423" t="s">
        <x:v>832</x:v>
      </x:c>
      <x:c r="E423" s="6">
        <x:v>105784.54000000001</x:v>
      </x:c>
      <x:c r="F423" s="6">
        <x:v>0</x:v>
      </x:c>
      <x:c r="G423" s="6">
        <x:v>0</x:v>
      </x:c>
      <x:c r="H423" s="6">
        <x:f t="shared" si="19"/>
        <x:v>105784.54000000001</x:v>
      </x:c>
      <x:c r="I423" s="6">
        <x:v>0</x:v>
      </x:c>
      <x:c r="J423" s="6">
        <x:v>0</x:v>
      </x:c>
      <x:c r="K423" s="6">
        <x:f t="shared" si="20"/>
        <x:v>0</x:v>
      </x:c>
      <x:c r="L423" s="6">
        <x:v>0</x:v>
      </x:c>
      <x:c r="M423" s="6">
        <x:v>0</x:v>
      </x:c>
      <x:c r="N423" s="6">
        <x:f t="shared" si="21"/>
        <x:v>105784.54000000001</x:v>
      </x:c>
    </x:row>
    <x:row r="424" spans="1:14" x14ac:dyDescent="0.25">
      <x:c r="A424" t="s">
        <x:v>8</x:v>
      </x:c>
      <x:c r="B424" t="s">
        <x:v>704</x:v>
      </x:c>
      <x:c r="C424" t="s">
        <x:v>705</x:v>
      </x:c>
      <x:c r="D424" t="s">
        <x:v>832</x:v>
      </x:c>
      <x:c r="E424" s="6">
        <x:v>6452.6699999999992</x:v>
      </x:c>
      <x:c r="F424" s="6">
        <x:v>0</x:v>
      </x:c>
      <x:c r="G424" s="6">
        <x:v>0</x:v>
      </x:c>
      <x:c r="H424" s="6">
        <x:f t="shared" si="19"/>
        <x:v>6452.6699999999992</x:v>
      </x:c>
      <x:c r="I424" s="6">
        <x:v>0</x:v>
      </x:c>
      <x:c r="J424" s="6">
        <x:v>0</x:v>
      </x:c>
      <x:c r="K424" s="6">
        <x:f t="shared" si="20"/>
        <x:v>0</x:v>
      </x:c>
      <x:c r="L424" s="6">
        <x:v>0</x:v>
      </x:c>
      <x:c r="M424" s="6">
        <x:v>0</x:v>
      </x:c>
      <x:c r="N424" s="6">
        <x:f t="shared" si="21"/>
        <x:v>6452.6699999999992</x:v>
      </x:c>
    </x:row>
    <x:row r="425" spans="1:14" x14ac:dyDescent="0.25">
      <x:c r="A425" t="s">
        <x:v>8</x:v>
      </x:c>
      <x:c r="B425" t="s">
        <x:v>706</x:v>
      </x:c>
      <x:c r="C425" t="s">
        <x:v>707</x:v>
      </x:c>
      <x:c r="D425" t="s">
        <x:v>832</x:v>
      </x:c>
      <x:c r="E425" s="6">
        <x:v>4127.29</x:v>
      </x:c>
      <x:c r="F425" s="6">
        <x:v>0</x:v>
      </x:c>
      <x:c r="G425" s="6">
        <x:v>0</x:v>
      </x:c>
      <x:c r="H425" s="6">
        <x:f t="shared" si="19"/>
        <x:v>4127.29</x:v>
      </x:c>
      <x:c r="I425" s="6">
        <x:v>0</x:v>
      </x:c>
      <x:c r="J425" s="6">
        <x:v>0</x:v>
      </x:c>
      <x:c r="K425" s="6">
        <x:f t="shared" si="20"/>
        <x:v>0</x:v>
      </x:c>
      <x:c r="L425" s="6">
        <x:v>0</x:v>
      </x:c>
      <x:c r="M425" s="6">
        <x:v>0</x:v>
      </x:c>
      <x:c r="N425" s="6">
        <x:f t="shared" si="21"/>
        <x:v>4127.29</x:v>
      </x:c>
    </x:row>
    <x:row r="426" spans="1:14" x14ac:dyDescent="0.25">
      <x:c r="A426" t="s">
        <x:v>8</x:v>
      </x:c>
      <x:c r="B426" t="s">
        <x:v>708</x:v>
      </x:c>
      <x:c r="C426" t="s">
        <x:v>709</x:v>
      </x:c>
      <x:c r="D426" t="s">
        <x:v>832</x:v>
      </x:c>
      <x:c r="E426" s="6">
        <x:v>19947.850000000002</x:v>
      </x:c>
      <x:c r="F426" s="6">
        <x:v>0</x:v>
      </x:c>
      <x:c r="G426" s="6">
        <x:v>0</x:v>
      </x:c>
      <x:c r="H426" s="6">
        <x:f t="shared" si="19"/>
        <x:v>19947.850000000002</x:v>
      </x:c>
      <x:c r="I426" s="6">
        <x:v>0</x:v>
      </x:c>
      <x:c r="J426" s="6">
        <x:v>0</x:v>
      </x:c>
      <x:c r="K426" s="6">
        <x:f t="shared" si="20"/>
        <x:v>0</x:v>
      </x:c>
      <x:c r="L426" s="6">
        <x:v>0</x:v>
      </x:c>
      <x:c r="M426" s="6">
        <x:v>0</x:v>
      </x:c>
      <x:c r="N426" s="6">
        <x:f t="shared" si="21"/>
        <x:v>19947.850000000002</x:v>
      </x:c>
    </x:row>
    <x:row r="427" spans="1:14" x14ac:dyDescent="0.25">
      <x:c r="A427" t="s">
        <x:v>8</x:v>
      </x:c>
      <x:c r="B427" t="s">
        <x:v>712</x:v>
      </x:c>
      <x:c r="C427" t="s">
        <x:v>713</x:v>
      </x:c>
      <x:c r="D427" t="s">
        <x:v>677</x:v>
      </x:c>
      <x:c r="E427" s="6">
        <x:v>1360.04</x:v>
      </x:c>
      <x:c r="F427" s="6">
        <x:v>0</x:v>
      </x:c>
      <x:c r="G427" s="6">
        <x:v>0</x:v>
      </x:c>
      <x:c r="H427" s="6">
        <x:f t="shared" si="19"/>
        <x:v>1360.04</x:v>
      </x:c>
      <x:c r="I427" s="6">
        <x:v>0</x:v>
      </x:c>
      <x:c r="J427" s="6">
        <x:v>0</x:v>
      </x:c>
      <x:c r="K427" s="6">
        <x:f t="shared" si="20"/>
        <x:v>0</x:v>
      </x:c>
      <x:c r="L427" s="6">
        <x:v>0</x:v>
      </x:c>
      <x:c r="M427" s="6">
        <x:v>0</x:v>
      </x:c>
      <x:c r="N427" s="6">
        <x:f t="shared" si="21"/>
        <x:v>1360.04</x:v>
      </x:c>
    </x:row>
    <x:row r="428" spans="1:14" x14ac:dyDescent="0.25">
      <x:c r="A428" t="s">
        <x:v>8</x:v>
      </x:c>
      <x:c r="B428" t="s">
        <x:v>712</x:v>
      </x:c>
      <x:c r="C428" t="s">
        <x:v>713</x:v>
      </x:c>
      <x:c r="D428" t="s">
        <x:v>832</x:v>
      </x:c>
      <x:c r="E428" s="6">
        <x:v>90226.780000000013</x:v>
      </x:c>
      <x:c r="F428" s="6">
        <x:v>0</x:v>
      </x:c>
      <x:c r="G428" s="6">
        <x:v>0</x:v>
      </x:c>
      <x:c r="H428" s="6">
        <x:f t="shared" si="19"/>
        <x:v>90226.780000000013</x:v>
      </x:c>
      <x:c r="I428" s="6">
        <x:v>0</x:v>
      </x:c>
      <x:c r="J428" s="6">
        <x:v>0</x:v>
      </x:c>
      <x:c r="K428" s="6">
        <x:f t="shared" si="20"/>
        <x:v>0</x:v>
      </x:c>
      <x:c r="L428" s="6">
        <x:v>0</x:v>
      </x:c>
      <x:c r="M428" s="6">
        <x:v>0</x:v>
      </x:c>
      <x:c r="N428" s="6">
        <x:f t="shared" si="21"/>
        <x:v>90226.780000000013</x:v>
      </x:c>
    </x:row>
    <x:row r="429" spans="1:14" x14ac:dyDescent="0.25">
      <x:c r="A429" t="s">
        <x:v>8</x:v>
      </x:c>
      <x:c r="B429" t="s">
        <x:v>788</x:v>
      </x:c>
      <x:c r="C429" t="s">
        <x:v>789</x:v>
      </x:c>
      <x:c r="D429" t="s">
        <x:v>832</x:v>
      </x:c>
      <x:c r="E429" s="6">
        <x:v>12383.49</x:v>
      </x:c>
      <x:c r="F429" s="6">
        <x:v>0</x:v>
      </x:c>
      <x:c r="G429" s="6">
        <x:v>0</x:v>
      </x:c>
      <x:c r="H429" s="6">
        <x:f t="shared" si="19"/>
        <x:v>12383.49</x:v>
      </x:c>
      <x:c r="I429" s="6">
        <x:v>0</x:v>
      </x:c>
      <x:c r="J429" s="6">
        <x:v>0</x:v>
      </x:c>
      <x:c r="K429" s="6">
        <x:f t="shared" si="20"/>
        <x:v>0</x:v>
      </x:c>
      <x:c r="L429" s="6">
        <x:v>0</x:v>
      </x:c>
      <x:c r="M429" s="6">
        <x:v>0</x:v>
      </x:c>
      <x:c r="N429" s="6">
        <x:f t="shared" si="21"/>
        <x:v>12383.49</x:v>
      </x:c>
    </x:row>
    <x:row r="430" spans="1:14" x14ac:dyDescent="0.25">
      <x:c r="A430" t="s">
        <x:v>8</x:v>
      </x:c>
      <x:c r="B430" t="s">
        <x:v>790</x:v>
      </x:c>
      <x:c r="C430" t="s">
        <x:v>791</x:v>
      </x:c>
      <x:c r="D430" t="s">
        <x:v>832</x:v>
      </x:c>
      <x:c r="E430" s="6">
        <x:v>7859.12</x:v>
      </x:c>
      <x:c r="F430" s="6">
        <x:v>0</x:v>
      </x:c>
      <x:c r="G430" s="6">
        <x:v>0</x:v>
      </x:c>
      <x:c r="H430" s="6">
        <x:f t="shared" si="19"/>
        <x:v>7859.12</x:v>
      </x:c>
      <x:c r="I430" s="6">
        <x:v>0</x:v>
      </x:c>
      <x:c r="J430" s="6">
        <x:v>0</x:v>
      </x:c>
      <x:c r="K430" s="6">
        <x:f t="shared" si="20"/>
        <x:v>0</x:v>
      </x:c>
      <x:c r="L430" s="6">
        <x:v>0</x:v>
      </x:c>
      <x:c r="M430" s="6">
        <x:v>0</x:v>
      </x:c>
      <x:c r="N430" s="6">
        <x:f t="shared" si="21"/>
        <x:v>7859.12</x:v>
      </x:c>
    </x:row>
    <x:row r="431" spans="1:14" x14ac:dyDescent="0.25">
      <x:c r="A431" t="s">
        <x:v>8</x:v>
      </x:c>
      <x:c r="B431" t="s">
        <x:v>714</x:v>
      </x:c>
      <x:c r="C431" t="s">
        <x:v>715</x:v>
      </x:c>
      <x:c r="D431" t="s">
        <x:v>832</x:v>
      </x:c>
      <x:c r="E431" s="6">
        <x:v>3865.0099999999998</x:v>
      </x:c>
      <x:c r="F431" s="6">
        <x:v>0</x:v>
      </x:c>
      <x:c r="G431" s="6">
        <x:v>0</x:v>
      </x:c>
      <x:c r="H431" s="6">
        <x:f t="shared" si="19"/>
        <x:v>3865.0099999999998</x:v>
      </x:c>
      <x:c r="I431" s="6">
        <x:v>0</x:v>
      </x:c>
      <x:c r="J431" s="6">
        <x:v>0</x:v>
      </x:c>
      <x:c r="K431" s="6">
        <x:f t="shared" si="20"/>
        <x:v>0</x:v>
      </x:c>
      <x:c r="L431" s="6">
        <x:v>0</x:v>
      </x:c>
      <x:c r="M431" s="6">
        <x:v>0</x:v>
      </x:c>
      <x:c r="N431" s="6">
        <x:f t="shared" si="21"/>
        <x:v>3865.0099999999998</x:v>
      </x:c>
    </x:row>
    <x:row r="432" spans="1:14" x14ac:dyDescent="0.25">
      <x:c r="A432" t="s">
        <x:v>8</x:v>
      </x:c>
      <x:c r="B432" t="s">
        <x:v>716</x:v>
      </x:c>
      <x:c r="C432" t="s">
        <x:v>717</x:v>
      </x:c>
      <x:c r="D432" t="s">
        <x:v>677</x:v>
      </x:c>
      <x:c r="E432" s="6">
        <x:v>619.1</x:v>
      </x:c>
      <x:c r="F432" s="6">
        <x:v>0</x:v>
      </x:c>
      <x:c r="G432" s="6">
        <x:v>0</x:v>
      </x:c>
      <x:c r="H432" s="6">
        <x:f t="shared" si="19"/>
        <x:v>619.1</x:v>
      </x:c>
      <x:c r="I432" s="6">
        <x:v>0</x:v>
      </x:c>
      <x:c r="J432" s="6">
        <x:v>0</x:v>
      </x:c>
      <x:c r="K432" s="6">
        <x:f t="shared" si="20"/>
        <x:v>0</x:v>
      </x:c>
      <x:c r="L432" s="6">
        <x:v>0</x:v>
      </x:c>
      <x:c r="M432" s="6">
        <x:v>0</x:v>
      </x:c>
      <x:c r="N432" s="6">
        <x:f t="shared" si="21"/>
        <x:v>619.1</x:v>
      </x:c>
    </x:row>
    <x:row r="433" spans="1:14" x14ac:dyDescent="0.25">
      <x:c r="A433" t="s">
        <x:v>8</x:v>
      </x:c>
      <x:c r="B433" t="s">
        <x:v>716</x:v>
      </x:c>
      <x:c r="C433" t="s">
        <x:v>717</x:v>
      </x:c>
      <x:c r="D433" t="s">
        <x:v>832</x:v>
      </x:c>
      <x:c r="E433" s="6">
        <x:v>28051.899999999998</x:v>
      </x:c>
      <x:c r="F433" s="6">
        <x:v>0</x:v>
      </x:c>
      <x:c r="G433" s="6">
        <x:v>0</x:v>
      </x:c>
      <x:c r="H433" s="6">
        <x:f t="shared" si="19"/>
        <x:v>28051.899999999998</x:v>
      </x:c>
      <x:c r="I433" s="6">
        <x:v>0</x:v>
      </x:c>
      <x:c r="J433" s="6">
        <x:v>0</x:v>
      </x:c>
      <x:c r="K433" s="6">
        <x:f t="shared" si="20"/>
        <x:v>0</x:v>
      </x:c>
      <x:c r="L433" s="6">
        <x:v>0</x:v>
      </x:c>
      <x:c r="M433" s="6">
        <x:v>0</x:v>
      </x:c>
      <x:c r="N433" s="6">
        <x:f t="shared" si="21"/>
        <x:v>28051.899999999998</x:v>
      </x:c>
    </x:row>
    <x:row r="434" spans="1:14" x14ac:dyDescent="0.25">
      <x:c r="A434" t="s">
        <x:v>8</x:v>
      </x:c>
      <x:c r="B434" t="s">
        <x:v>792</x:v>
      </x:c>
      <x:c r="C434" t="s">
        <x:v>793</x:v>
      </x:c>
      <x:c r="D434" t="s">
        <x:v>832</x:v>
      </x:c>
      <x:c r="E434" s="6">
        <x:v>12034.140000000001</x:v>
      </x:c>
      <x:c r="F434" s="6">
        <x:v>0</x:v>
      </x:c>
      <x:c r="G434" s="6">
        <x:v>0</x:v>
      </x:c>
      <x:c r="H434" s="6">
        <x:f t="shared" si="19"/>
        <x:v>12034.140000000001</x:v>
      </x:c>
      <x:c r="I434" s="6">
        <x:v>0</x:v>
      </x:c>
      <x:c r="J434" s="6">
        <x:v>0</x:v>
      </x:c>
      <x:c r="K434" s="6">
        <x:f t="shared" si="20"/>
        <x:v>0</x:v>
      </x:c>
      <x:c r="L434" s="6">
        <x:v>0</x:v>
      </x:c>
      <x:c r="M434" s="6">
        <x:v>0</x:v>
      </x:c>
      <x:c r="N434" s="6">
        <x:f t="shared" si="21"/>
        <x:v>12034.140000000001</x:v>
      </x:c>
    </x:row>
    <x:row r="435" spans="1:14" x14ac:dyDescent="0.25">
      <x:c r="A435" t="s">
        <x:v>8</x:v>
      </x:c>
      <x:c r="B435" t="s">
        <x:v>718</x:v>
      </x:c>
      <x:c r="C435" t="s">
        <x:v>719</x:v>
      </x:c>
      <x:c r="D435" t="s">
        <x:v>832</x:v>
      </x:c>
      <x:c r="E435" s="6">
        <x:v>109764.09</x:v>
      </x:c>
      <x:c r="F435" s="6">
        <x:v>0</x:v>
      </x:c>
      <x:c r="G435" s="6">
        <x:v>0</x:v>
      </x:c>
      <x:c r="H435" s="6">
        <x:f t="shared" si="19"/>
        <x:v>109764.09</x:v>
      </x:c>
      <x:c r="I435" s="6">
        <x:v>0</x:v>
      </x:c>
      <x:c r="J435" s="6">
        <x:v>0</x:v>
      </x:c>
      <x:c r="K435" s="6">
        <x:f t="shared" si="20"/>
        <x:v>0</x:v>
      </x:c>
      <x:c r="L435" s="6">
        <x:v>0</x:v>
      </x:c>
      <x:c r="M435" s="6">
        <x:v>0</x:v>
      </x:c>
      <x:c r="N435" s="6">
        <x:f t="shared" si="21"/>
        <x:v>109764.09</x:v>
      </x:c>
    </x:row>
    <x:row r="436" spans="1:14" x14ac:dyDescent="0.25">
      <x:c r="A436" t="s">
        <x:v>8</x:v>
      </x:c>
      <x:c r="B436" t="s">
        <x:v>722</x:v>
      </x:c>
      <x:c r="C436" t="s">
        <x:v>723</x:v>
      </x:c>
      <x:c r="D436" t="s">
        <x:v>677</x:v>
      </x:c>
      <x:c r="E436" s="6">
        <x:v>227.65</x:v>
      </x:c>
      <x:c r="F436" s="6">
        <x:v>0</x:v>
      </x:c>
      <x:c r="G436" s="6">
        <x:v>0</x:v>
      </x:c>
      <x:c r="H436" s="6">
        <x:f t="shared" si="19"/>
        <x:v>227.65</x:v>
      </x:c>
      <x:c r="I436" s="6">
        <x:v>0</x:v>
      </x:c>
      <x:c r="J436" s="6">
        <x:v>0</x:v>
      </x:c>
      <x:c r="K436" s="6">
        <x:f t="shared" si="20"/>
        <x:v>0</x:v>
      </x:c>
      <x:c r="L436" s="6">
        <x:v>0</x:v>
      </x:c>
      <x:c r="M436" s="6">
        <x:v>0</x:v>
      </x:c>
      <x:c r="N436" s="6">
        <x:f t="shared" si="21"/>
        <x:v>227.65</x:v>
      </x:c>
    </x:row>
    <x:row r="437" spans="1:14" x14ac:dyDescent="0.25">
      <x:c r="A437" t="s">
        <x:v>8</x:v>
      </x:c>
      <x:c r="B437" t="s">
        <x:v>722</x:v>
      </x:c>
      <x:c r="C437" t="s">
        <x:v>723</x:v>
      </x:c>
      <x:c r="D437" t="s">
        <x:v>832</x:v>
      </x:c>
      <x:c r="E437" s="6">
        <x:v>130751.46000000002</x:v>
      </x:c>
      <x:c r="F437" s="6">
        <x:v>0</x:v>
      </x:c>
      <x:c r="G437" s="6">
        <x:v>0</x:v>
      </x:c>
      <x:c r="H437" s="6">
        <x:f t="shared" si="19"/>
        <x:v>130751.46000000002</x:v>
      </x:c>
      <x:c r="I437" s="6">
        <x:v>0</x:v>
      </x:c>
      <x:c r="J437" s="6">
        <x:v>0</x:v>
      </x:c>
      <x:c r="K437" s="6">
        <x:f t="shared" si="20"/>
        <x:v>0</x:v>
      </x:c>
      <x:c r="L437" s="6">
        <x:v>0</x:v>
      </x:c>
      <x:c r="M437" s="6">
        <x:v>0</x:v>
      </x:c>
      <x:c r="N437" s="6">
        <x:f t="shared" si="21"/>
        <x:v>130751.46000000002</x:v>
      </x:c>
    </x:row>
    <x:row r="438" spans="1:14" x14ac:dyDescent="0.25">
      <x:c r="A438" t="s">
        <x:v>8</x:v>
      </x:c>
      <x:c r="B438" t="s">
        <x:v>724</x:v>
      </x:c>
      <x:c r="C438" t="s">
        <x:v>725</x:v>
      </x:c>
      <x:c r="D438" t="s">
        <x:v>677</x:v>
      </x:c>
      <x:c r="E438" s="6">
        <x:v>4153.1499999999996</x:v>
      </x:c>
      <x:c r="F438" s="6">
        <x:v>0</x:v>
      </x:c>
      <x:c r="G438" s="6">
        <x:v>0</x:v>
      </x:c>
      <x:c r="H438" s="6">
        <x:f t="shared" si="19"/>
        <x:v>4153.1499999999996</x:v>
      </x:c>
      <x:c r="I438" s="6">
        <x:v>0</x:v>
      </x:c>
      <x:c r="J438" s="6">
        <x:v>0</x:v>
      </x:c>
      <x:c r="K438" s="6">
        <x:f t="shared" si="20"/>
        <x:v>0</x:v>
      </x:c>
      <x:c r="L438" s="6">
        <x:v>0</x:v>
      </x:c>
      <x:c r="M438" s="6">
        <x:v>0</x:v>
      </x:c>
      <x:c r="N438" s="6">
        <x:f t="shared" si="21"/>
        <x:v>4153.1499999999996</x:v>
      </x:c>
    </x:row>
    <x:row r="439" spans="1:14" x14ac:dyDescent="0.25">
      <x:c r="A439" t="s">
        <x:v>8</x:v>
      </x:c>
      <x:c r="B439" t="s">
        <x:v>724</x:v>
      </x:c>
      <x:c r="C439" t="s">
        <x:v>725</x:v>
      </x:c>
      <x:c r="D439" t="s">
        <x:v>832</x:v>
      </x:c>
      <x:c r="E439" s="6">
        <x:v>15427.86</x:v>
      </x:c>
      <x:c r="F439" s="6">
        <x:v>0</x:v>
      </x:c>
      <x:c r="G439" s="6">
        <x:v>0</x:v>
      </x:c>
      <x:c r="H439" s="6">
        <x:f t="shared" si="19"/>
        <x:v>15427.86</x:v>
      </x:c>
      <x:c r="I439" s="6">
        <x:v>186.69</x:v>
      </x:c>
      <x:c r="J439" s="6">
        <x:v>0</x:v>
      </x:c>
      <x:c r="K439" s="6">
        <x:f t="shared" si="20"/>
        <x:v>186.69</x:v>
      </x:c>
      <x:c r="L439" s="6">
        <x:v>0</x:v>
      </x:c>
      <x:c r="M439" s="6">
        <x:v>0</x:v>
      </x:c>
      <x:c r="N439" s="6">
        <x:f t="shared" si="21"/>
        <x:v>15614.550000000001</x:v>
      </x:c>
    </x:row>
    <x:row r="440" spans="1:14" x14ac:dyDescent="0.25">
      <x:c r="A440" t="s">
        <x:v>8</x:v>
      </x:c>
      <x:c r="B440" t="s">
        <x:v>794</x:v>
      </x:c>
      <x:c r="C440" t="s">
        <x:v>795</x:v>
      </x:c>
      <x:c r="D440" t="s">
        <x:v>832</x:v>
      </x:c>
      <x:c r="E440" s="6">
        <x:v>48426.240000000005</x:v>
      </x:c>
      <x:c r="F440" s="6">
        <x:v>0</x:v>
      </x:c>
      <x:c r="G440" s="6">
        <x:v>0</x:v>
      </x:c>
      <x:c r="H440" s="6">
        <x:f t="shared" si="19"/>
        <x:v>48426.240000000005</x:v>
      </x:c>
      <x:c r="I440" s="6">
        <x:v>4126.4400000000005</x:v>
      </x:c>
      <x:c r="J440" s="6">
        <x:v>0</x:v>
      </x:c>
      <x:c r="K440" s="6">
        <x:f t="shared" si="20"/>
        <x:v>4126.4400000000005</x:v>
      </x:c>
      <x:c r="L440" s="6">
        <x:v>0</x:v>
      </x:c>
      <x:c r="M440" s="6">
        <x:v>0</x:v>
      </x:c>
      <x:c r="N440" s="6">
        <x:f t="shared" si="21"/>
        <x:v>52552.680000000008</x:v>
      </x:c>
    </x:row>
    <x:row r="441" spans="1:14" x14ac:dyDescent="0.25">
      <x:c r="A441" t="s">
        <x:v>8</x:v>
      </x:c>
      <x:c r="B441" t="s">
        <x:v>796</x:v>
      </x:c>
      <x:c r="C441" t="s">
        <x:v>797</x:v>
      </x:c>
      <x:c r="D441" t="s">
        <x:v>832</x:v>
      </x:c>
      <x:c r="E441" s="6">
        <x:v>15372.810000000003</x:v>
      </x:c>
      <x:c r="F441" s="6">
        <x:v>0</x:v>
      </x:c>
      <x:c r="G441" s="6">
        <x:v>0</x:v>
      </x:c>
      <x:c r="H441" s="6">
        <x:f t="shared" si="19"/>
        <x:v>15372.810000000003</x:v>
      </x:c>
      <x:c r="I441" s="6">
        <x:v>0</x:v>
      </x:c>
      <x:c r="J441" s="6">
        <x:v>0</x:v>
      </x:c>
      <x:c r="K441" s="6">
        <x:f t="shared" si="20"/>
        <x:v>0</x:v>
      </x:c>
      <x:c r="L441" s="6">
        <x:v>0</x:v>
      </x:c>
      <x:c r="M441" s="6">
        <x:v>0</x:v>
      </x:c>
      <x:c r="N441" s="6">
        <x:f t="shared" si="21"/>
        <x:v>15372.810000000003</x:v>
      </x:c>
    </x:row>
    <x:row r="442" spans="1:14" x14ac:dyDescent="0.25">
      <x:c r="A442" t="s">
        <x:v>8</x:v>
      </x:c>
      <x:c r="B442" t="s">
        <x:v>726</x:v>
      </x:c>
      <x:c r="C442" t="s">
        <x:v>727</x:v>
      </x:c>
      <x:c r="D442" t="s">
        <x:v>832</x:v>
      </x:c>
      <x:c r="E442" s="6">
        <x:v>18345.909999999996</x:v>
      </x:c>
      <x:c r="F442" s="6">
        <x:v>0</x:v>
      </x:c>
      <x:c r="G442" s="6">
        <x:v>0</x:v>
      </x:c>
      <x:c r="H442" s="6">
        <x:f t="shared" si="19"/>
        <x:v>18345.909999999996</x:v>
      </x:c>
      <x:c r="I442" s="6">
        <x:v>0</x:v>
      </x:c>
      <x:c r="J442" s="6">
        <x:v>0</x:v>
      </x:c>
      <x:c r="K442" s="6">
        <x:f t="shared" si="20"/>
        <x:v>0</x:v>
      </x:c>
      <x:c r="L442" s="6">
        <x:v>0</x:v>
      </x:c>
      <x:c r="M442" s="6">
        <x:v>0</x:v>
      </x:c>
      <x:c r="N442" s="6">
        <x:f t="shared" si="21"/>
        <x:v>18345.909999999996</x:v>
      </x:c>
    </x:row>
    <x:row r="443" spans="1:14" x14ac:dyDescent="0.25">
      <x:c r="A443" t="s">
        <x:v>8</x:v>
      </x:c>
      <x:c r="B443" t="s">
        <x:v>730</x:v>
      </x:c>
      <x:c r="C443" t="s">
        <x:v>731</x:v>
      </x:c>
      <x:c r="D443" t="s">
        <x:v>677</x:v>
      </x:c>
      <x:c r="E443" s="6">
        <x:v>-28575.22</x:v>
      </x:c>
      <x:c r="F443" s="6">
        <x:v>0</x:v>
      </x:c>
      <x:c r="G443" s="6">
        <x:v>0</x:v>
      </x:c>
      <x:c r="H443" s="6">
        <x:f t="shared" si="19"/>
        <x:v>-28575.22</x:v>
      </x:c>
      <x:c r="I443" s="6">
        <x:v>0</x:v>
      </x:c>
      <x:c r="J443" s="6">
        <x:v>0</x:v>
      </x:c>
      <x:c r="K443" s="6">
        <x:f t="shared" si="20"/>
        <x:v>0</x:v>
      </x:c>
      <x:c r="L443" s="6">
        <x:v>0</x:v>
      </x:c>
      <x:c r="M443" s="6">
        <x:v>0</x:v>
      </x:c>
      <x:c r="N443" s="6">
        <x:f t="shared" si="21"/>
        <x:v>-28575.22</x:v>
      </x:c>
    </x:row>
    <x:row r="444" spans="1:14" x14ac:dyDescent="0.25">
      <x:c r="A444" t="s">
        <x:v>8</x:v>
      </x:c>
      <x:c r="B444" t="s">
        <x:v>730</x:v>
      </x:c>
      <x:c r="C444" t="s">
        <x:v>731</x:v>
      </x:c>
      <x:c r="D444" t="s">
        <x:v>832</x:v>
      </x:c>
      <x:c r="E444" s="6">
        <x:v>28575.22</x:v>
      </x:c>
      <x:c r="F444" s="6">
        <x:v>0</x:v>
      </x:c>
      <x:c r="G444" s="6">
        <x:v>0</x:v>
      </x:c>
      <x:c r="H444" s="6">
        <x:f t="shared" si="19"/>
        <x:v>28575.22</x:v>
      </x:c>
      <x:c r="I444" s="6">
        <x:v>0</x:v>
      </x:c>
      <x:c r="J444" s="6">
        <x:v>0</x:v>
      </x:c>
      <x:c r="K444" s="6">
        <x:f t="shared" si="20"/>
        <x:v>0</x:v>
      </x:c>
      <x:c r="L444" s="6">
        <x:v>0</x:v>
      </x:c>
      <x:c r="M444" s="6">
        <x:v>0</x:v>
      </x:c>
      <x:c r="N444" s="6">
        <x:f t="shared" si="21"/>
        <x:v>28575.22</x:v>
      </x:c>
    </x:row>
    <x:row r="445" spans="1:14" x14ac:dyDescent="0.25">
      <x:c r="A445" t="s">
        <x:v>8</x:v>
      </x:c>
      <x:c r="B445" t="s">
        <x:v>732</x:v>
      </x:c>
      <x:c r="C445" t="s">
        <x:v>733</x:v>
      </x:c>
      <x:c r="D445" t="s">
        <x:v>677</x:v>
      </x:c>
      <x:c r="E445" s="6">
        <x:v>48.99</x:v>
      </x:c>
      <x:c r="F445" s="6">
        <x:v>0</x:v>
      </x:c>
      <x:c r="G445" s="6">
        <x:v>0</x:v>
      </x:c>
      <x:c r="H445" s="6">
        <x:f t="shared" si="19"/>
        <x:v>48.99</x:v>
      </x:c>
      <x:c r="I445" s="6">
        <x:v>0</x:v>
      </x:c>
      <x:c r="J445" s="6">
        <x:v>0</x:v>
      </x:c>
      <x:c r="K445" s="6">
        <x:f t="shared" si="20"/>
        <x:v>0</x:v>
      </x:c>
      <x:c r="L445" s="6">
        <x:v>0</x:v>
      </x:c>
      <x:c r="M445" s="6">
        <x:v>0</x:v>
      </x:c>
      <x:c r="N445" s="6">
        <x:f t="shared" si="21"/>
        <x:v>48.99</x:v>
      </x:c>
    </x:row>
    <x:row r="446" spans="1:14" x14ac:dyDescent="0.25">
      <x:c r="A446" t="s">
        <x:v>8</x:v>
      </x:c>
      <x:c r="B446" t="s">
        <x:v>732</x:v>
      </x:c>
      <x:c r="C446" t="s">
        <x:v>733</x:v>
      </x:c>
      <x:c r="D446" t="s">
        <x:v>832</x:v>
      </x:c>
      <x:c r="E446" s="6">
        <x:v>47600.479999999996</x:v>
      </x:c>
      <x:c r="F446" s="6">
        <x:v>0</x:v>
      </x:c>
      <x:c r="G446" s="6">
        <x:v>0</x:v>
      </x:c>
      <x:c r="H446" s="6">
        <x:f t="shared" si="19"/>
        <x:v>47600.479999999996</x:v>
      </x:c>
      <x:c r="I446" s="6">
        <x:v>0</x:v>
      </x:c>
      <x:c r="J446" s="6">
        <x:v>0</x:v>
      </x:c>
      <x:c r="K446" s="6">
        <x:f t="shared" si="20"/>
        <x:v>0</x:v>
      </x:c>
      <x:c r="L446" s="6">
        <x:v>0</x:v>
      </x:c>
      <x:c r="M446" s="6">
        <x:v>0</x:v>
      </x:c>
      <x:c r="N446" s="6">
        <x:f t="shared" si="21"/>
        <x:v>47600.479999999996</x:v>
      </x:c>
    </x:row>
    <x:row r="447" spans="1:14" x14ac:dyDescent="0.25">
      <x:c r="A447" t="s">
        <x:v>8</x:v>
      </x:c>
      <x:c r="B447" t="s">
        <x:v>738</x:v>
      </x:c>
      <x:c r="C447" t="s">
        <x:v>739</x:v>
      </x:c>
      <x:c r="D447" t="s">
        <x:v>832</x:v>
      </x:c>
      <x:c r="E447" s="6">
        <x:v>92053.200000000012</x:v>
      </x:c>
      <x:c r="F447" s="6">
        <x:v>0</x:v>
      </x:c>
      <x:c r="G447" s="6">
        <x:v>0</x:v>
      </x:c>
      <x:c r="H447" s="6">
        <x:f t="shared" si="19"/>
        <x:v>92053.200000000012</x:v>
      </x:c>
      <x:c r="I447" s="6">
        <x:v>0</x:v>
      </x:c>
      <x:c r="J447" s="6">
        <x:v>0</x:v>
      </x:c>
      <x:c r="K447" s="6">
        <x:f t="shared" si="20"/>
        <x:v>0</x:v>
      </x:c>
      <x:c r="L447" s="6">
        <x:v>0</x:v>
      </x:c>
      <x:c r="M447" s="6">
        <x:v>0</x:v>
      </x:c>
      <x:c r="N447" s="6">
        <x:f t="shared" si="21"/>
        <x:v>92053.200000000012</x:v>
      </x:c>
    </x:row>
    <x:row r="448" spans="1:14" x14ac:dyDescent="0.25">
      <x:c r="A448" t="s">
        <x:v>8</x:v>
      </x:c>
      <x:c r="B448" s="3" t="s">
        <x:v>47</x:v>
      </x:c>
      <x:c r="C448" s="3" t="s">
        <x:v>364</x:v>
      </x:c>
      <x:c r="D448" t="s">
        <x:v>676</x:v>
      </x:c>
      <x:c r="E448" s="6">
        <x:v>0</x:v>
      </x:c>
      <x:c r="F448" s="6">
        <x:v>0</x:v>
      </x:c>
      <x:c r="G448" s="6">
        <x:v>0</x:v>
      </x:c>
      <x:c r="H448" s="6">
        <x:f t="shared" si="19"/>
        <x:v>0</x:v>
      </x:c>
      <x:c r="I448" s="6">
        <x:v>80881.960000000006</x:v>
      </x:c>
      <x:c r="J448" s="6">
        <x:v>0</x:v>
      </x:c>
      <x:c r="K448" s="6">
        <x:f t="shared" si="20"/>
        <x:v>80881.960000000006</x:v>
      </x:c>
      <x:c r="L448" s="6">
        <x:v>0</x:v>
      </x:c>
      <x:c r="M448" s="6">
        <x:v>0</x:v>
      </x:c>
      <x:c r="N448" s="6">
        <x:f t="shared" si="21"/>
        <x:v>80881.960000000006</x:v>
      </x:c>
    </x:row>
    <x:row r="449" spans="1:14" x14ac:dyDescent="0.25">
      <x:c r="A449" t="s">
        <x:v>8</x:v>
      </x:c>
      <x:c r="B449" t="s">
        <x:v>839</x:v>
      </x:c>
      <x:c r="C449" t="s">
        <x:v>840</x:v>
      </x:c>
      <x:c r="D449" t="s">
        <x:v>677</x:v>
      </x:c>
      <x:c r="E449" s="6">
        <x:v>0</x:v>
      </x:c>
      <x:c r="F449" s="6">
        <x:v>-1299.17</x:v>
      </x:c>
      <x:c r="G449" s="6">
        <x:v>0</x:v>
      </x:c>
      <x:c r="H449" s="6">
        <x:f t="shared" si="19"/>
        <x:v>-1299.17</x:v>
      </x:c>
      <x:c r="I449" s="6">
        <x:v>0</x:v>
      </x:c>
      <x:c r="J449" s="6">
        <x:v>0</x:v>
      </x:c>
      <x:c r="K449" s="6">
        <x:f t="shared" si="20"/>
        <x:v>0</x:v>
      </x:c>
      <x:c r="L449" s="6">
        <x:v>0</x:v>
      </x:c>
      <x:c r="M449" s="6">
        <x:v>0</x:v>
      </x:c>
      <x:c r="N449" s="6">
        <x:f t="shared" si="21"/>
        <x:v>-1299.17</x:v>
      </x:c>
    </x:row>
    <x:row r="450" spans="1:14" x14ac:dyDescent="0.25">
      <x:c r="A450" t="s">
        <x:v>8</x:v>
      </x:c>
      <x:c r="B450" t="s">
        <x:v>839</x:v>
      </x:c>
      <x:c r="C450" t="s">
        <x:v>840</x:v>
      </x:c>
      <x:c r="D450" t="s">
        <x:v>841</x:v>
      </x:c>
      <x:c r="E450" s="6">
        <x:v>0</x:v>
      </x:c>
      <x:c r="F450" s="6">
        <x:v>5480.61</x:v>
      </x:c>
      <x:c r="G450" s="6">
        <x:v>0</x:v>
      </x:c>
      <x:c r="H450" s="6">
        <x:f t="shared" si="19"/>
        <x:v>5480.61</x:v>
      </x:c>
      <x:c r="I450" s="6">
        <x:v>0</x:v>
      </x:c>
      <x:c r="J450" s="6">
        <x:v>0</x:v>
      </x:c>
      <x:c r="K450" s="6">
        <x:f t="shared" si="20"/>
        <x:v>0</x:v>
      </x:c>
      <x:c r="L450" s="6">
        <x:v>0</x:v>
      </x:c>
      <x:c r="M450" s="6">
        <x:v>0</x:v>
      </x:c>
      <x:c r="N450" s="6">
        <x:f t="shared" si="21"/>
        <x:v>5480.61</x:v>
      </x:c>
    </x:row>
    <x:row r="451" spans="1:14" ht="15.75" thickBot="1" x14ac:dyDescent="0.3">
      <x:c r="C451" s="8" t="s">
        <x:v>858</x:v>
      </x:c>
      <x:c r="E451" s="9">
        <x:f>SUM(E291:E450)</x:f>
        <x:v>26320196.430000003</x:v>
      </x:c>
      <x:c r="F451" s="9">
        <x:f t="shared" ref="F451:N451" si="22">SUM(F291:F450)</x:f>
        <x:v>2161712</x:v>
      </x:c>
      <x:c r="G451" s="9">
        <x:f t="shared" si="22"/>
        <x:v>0</x:v>
      </x:c>
      <x:c r="H451" s="9">
        <x:f t="shared" si="22"/>
        <x:v>28481908.43</x:v>
      </x:c>
      <x:c r="I451" s="9">
        <x:f t="shared" si="22"/>
        <x:v>295585.92000000004</x:v>
      </x:c>
      <x:c r="J451" s="9">
        <x:f t="shared" si="22"/>
        <x:v>4227.9799999999996</x:v>
      </x:c>
      <x:c r="K451" s="9">
        <x:f t="shared" si="22"/>
        <x:v>299813.90000000002</x:v>
      </x:c>
      <x:c r="L451" s="9">
        <x:f t="shared" si="22"/>
        <x:v>0</x:v>
      </x:c>
      <x:c r="M451" s="9">
        <x:f t="shared" si="22"/>
        <x:v>0</x:v>
      </x:c>
      <x:c r="N451" s="9">
        <x:f t="shared" si="22"/>
        <x:v>28781722.330000002</x:v>
      </x:c>
    </x:row>
    <x:row r="452" spans="1:14" ht="15.75" thickTop="1" x14ac:dyDescent="0.25">
      <x:c r="E452" s="6"/>
      <x:c r="F452" s="6"/>
      <x:c r="G452" s="6"/>
      <x:c r="H452" s="6"/>
      <x:c r="I452" s="6"/>
      <x:c r="J452" s="6"/>
      <x:c r="K452" s="6"/>
      <x:c r="L452" s="6"/>
      <x:c r="M452" s="6"/>
      <x:c r="N452" s="6"/>
    </x:row>
    <x:row r="453" spans="1:14" ht="15.75" thickBot="1" x14ac:dyDescent="0.3">
      <x:c r="C453" s="8" t="s">
        <x:v>859</x:v>
      </x:c>
      <x:c r="E453" s="10">
        <x:f>+E451+E287</x:f>
        <x:v>125225394.81000005</x:v>
      </x:c>
      <x:c r="F453" s="10">
        <x:f t="shared" ref="F453:N453" si="23">+F451+F287</x:f>
        <x:v>5013451.12</x:v>
      </x:c>
      <x:c r="G453" s="10">
        <x:f t="shared" si="23"/>
        <x:v>475836.37</x:v>
      </x:c>
      <x:c r="H453" s="10">
        <x:f t="shared" si="23"/>
        <x:v>130714682.30000004</x:v>
      </x:c>
      <x:c r="I453" s="10">
        <x:f t="shared" si="23"/>
        <x:v>1968955921.3300004</x:v>
      </x:c>
      <x:c r="J453" s="10">
        <x:f t="shared" si="23"/>
        <x:v>-5697.2000000000007</x:v>
      </x:c>
      <x:c r="K453" s="10">
        <x:f t="shared" si="23"/>
        <x:v>1968950224.1300004</x:v>
      </x:c>
      <x:c r="L453" s="10">
        <x:f t="shared" si="23"/>
        <x:v>9010.02</x:v>
      </x:c>
      <x:c r="M453" s="10">
        <x:f t="shared" si="23"/>
        <x:v>0</x:v>
      </x:c>
      <x:c r="N453" s="10">
        <x:f t="shared" si="23"/>
        <x:v>2099673916.4500008</x:v>
      </x:c>
    </x:row>
    <x:row r="454" spans="1:14" ht="15.75" thickTop="1" x14ac:dyDescent="0.25">
      <x:c r="E454" s="6"/>
      <x:c r="F454" s="6"/>
      <x:c r="G454" s="6"/>
      <x:c r="H454" s="6"/>
      <x:c r="I454" s="6"/>
      <x:c r="J454" s="6"/>
      <x:c r="K454" s="6"/>
      <x:c r="L454" s="6"/>
      <x:c r="M454" s="6"/>
      <x:c r="N454" s="6"/>
    </x:row>
    <x:row r="455" spans="1:14" x14ac:dyDescent="0.25">
      <x:c r="A455" s="8" t="s">
        <x:v>860</x:v>
      </x:c>
      <x:c r="E455" s="6"/>
      <x:c r="F455" s="6"/>
      <x:c r="G455" s="6"/>
      <x:c r="H455" s="6"/>
      <x:c r="I455" s="6"/>
      <x:c r="J455" s="6"/>
      <x:c r="K455" s="6"/>
      <x:c r="L455" s="6"/>
      <x:c r="M455" s="6"/>
      <x:c r="N455" s="6"/>
    </x:row>
    <x:row r="456" spans="1:14" x14ac:dyDescent="0.25">
      <x:c r="A456" t="s">
        <x:v>9</x:v>
      </x:c>
      <x:c r="B456" s="3" t="s">
        <x:v>71</x:v>
      </x:c>
      <x:c r="C456" s="3" t="s">
        <x:v>388</x:v>
      </x:c>
      <x:c r="D456" t="s">
        <x:v>677</x:v>
      </x:c>
      <x:c r="E456" s="5">
        <x:v>0</x:v>
      </x:c>
      <x:c r="F456" s="5">
        <x:v>0</x:v>
      </x:c>
      <x:c r="G456" s="5">
        <x:v>0</x:v>
      </x:c>
      <x:c r="H456" s="5">
        <x:f t="shared" si="19"/>
        <x:v>0</x:v>
      </x:c>
      <x:c r="I456" s="5">
        <x:v>14587.59</x:v>
      </x:c>
      <x:c r="J456" s="5">
        <x:v>0</x:v>
      </x:c>
      <x:c r="K456" s="5">
        <x:f t="shared" si="20"/>
        <x:v>14587.59</x:v>
      </x:c>
      <x:c r="L456" s="5">
        <x:v>0</x:v>
      </x:c>
      <x:c r="M456" s="5">
        <x:v>0</x:v>
      </x:c>
      <x:c r="N456" s="5">
        <x:f t="shared" si="21"/>
        <x:v>14587.59</x:v>
      </x:c>
    </x:row>
    <x:row r="457" spans="1:14" x14ac:dyDescent="0.25">
      <x:c r="A457" t="s">
        <x:v>9</x:v>
      </x:c>
      <x:c r="B457" s="3" t="s">
        <x:v>52</x:v>
      </x:c>
      <x:c r="C457" s="3" t="s">
        <x:v>369</x:v>
      </x:c>
      <x:c r="D457" t="s">
        <x:v>677</x:v>
      </x:c>
      <x:c r="E457" s="6">
        <x:v>0</x:v>
      </x:c>
      <x:c r="F457" s="6">
        <x:v>0</x:v>
      </x:c>
      <x:c r="G457" s="6">
        <x:v>0</x:v>
      </x:c>
      <x:c r="H457" s="6">
        <x:f t="shared" si="19"/>
        <x:v>0</x:v>
      </x:c>
      <x:c r="I457" s="6">
        <x:v>11463.13</x:v>
      </x:c>
      <x:c r="J457" s="6">
        <x:v>0</x:v>
      </x:c>
      <x:c r="K457" s="6">
        <x:f t="shared" si="20"/>
        <x:v>11463.13</x:v>
      </x:c>
      <x:c r="L457" s="6">
        <x:v>0</x:v>
      </x:c>
      <x:c r="M457" s="6">
        <x:v>0</x:v>
      </x:c>
      <x:c r="N457" s="6">
        <x:f t="shared" si="21"/>
        <x:v>11463.13</x:v>
      </x:c>
    </x:row>
    <x:row r="458" spans="1:14" x14ac:dyDescent="0.25">
      <x:c r="A458" t="s">
        <x:v>9</x:v>
      </x:c>
      <x:c r="B458" s="3" t="s">
        <x:v>53</x:v>
      </x:c>
      <x:c r="C458" s="3" t="s">
        <x:v>370</x:v>
      </x:c>
      <x:c r="D458" t="s">
        <x:v>677</x:v>
      </x:c>
      <x:c r="E458" s="6">
        <x:v>0</x:v>
      </x:c>
      <x:c r="F458" s="6">
        <x:v>0</x:v>
      </x:c>
      <x:c r="G458" s="6">
        <x:v>0</x:v>
      </x:c>
      <x:c r="H458" s="6">
        <x:f t="shared" si="19"/>
        <x:v>0</x:v>
      </x:c>
      <x:c r="I458" s="6">
        <x:v>57.01</x:v>
      </x:c>
      <x:c r="J458" s="6">
        <x:v>0</x:v>
      </x:c>
      <x:c r="K458" s="6">
        <x:f t="shared" si="20"/>
        <x:v>57.01</x:v>
      </x:c>
      <x:c r="L458" s="6">
        <x:v>0</x:v>
      </x:c>
      <x:c r="M458" s="6">
        <x:v>0</x:v>
      </x:c>
      <x:c r="N458" s="6">
        <x:f t="shared" si="21"/>
        <x:v>57.01</x:v>
      </x:c>
    </x:row>
    <x:row r="459" spans="1:14" x14ac:dyDescent="0.25">
      <x:c r="A459" t="s">
        <x:v>9</x:v>
      </x:c>
      <x:c r="B459" s="3" t="s">
        <x:v>72</x:v>
      </x:c>
      <x:c r="C459" s="3" t="s">
        <x:v>389</x:v>
      </x:c>
      <x:c r="D459" t="s">
        <x:v>677</x:v>
      </x:c>
      <x:c r="E459" s="6">
        <x:v>0</x:v>
      </x:c>
      <x:c r="F459" s="6">
        <x:v>0</x:v>
      </x:c>
      <x:c r="G459" s="6">
        <x:v>0</x:v>
      </x:c>
      <x:c r="H459" s="6">
        <x:f t="shared" si="19"/>
        <x:v>0</x:v>
      </x:c>
      <x:c r="I459" s="6">
        <x:v>53423.93</x:v>
      </x:c>
      <x:c r="J459" s="6">
        <x:v>0</x:v>
      </x:c>
      <x:c r="K459" s="6">
        <x:f t="shared" si="20"/>
        <x:v>53423.93</x:v>
      </x:c>
      <x:c r="L459" s="6">
        <x:v>0</x:v>
      </x:c>
      <x:c r="M459" s="6">
        <x:v>0</x:v>
      </x:c>
      <x:c r="N459" s="6">
        <x:f t="shared" si="21"/>
        <x:v>53423.93</x:v>
      </x:c>
    </x:row>
    <x:row r="460" spans="1:14" x14ac:dyDescent="0.25">
      <x:c r="A460" t="s">
        <x:v>9</x:v>
      </x:c>
      <x:c r="B460" s="3" t="s">
        <x:v>73</x:v>
      </x:c>
      <x:c r="C460" s="3" t="s">
        <x:v>390</x:v>
      </x:c>
      <x:c r="D460" t="s">
        <x:v>677</x:v>
      </x:c>
      <x:c r="E460" s="6">
        <x:v>0</x:v>
      </x:c>
      <x:c r="F460" s="6">
        <x:v>0</x:v>
      </x:c>
      <x:c r="G460" s="6">
        <x:v>0</x:v>
      </x:c>
      <x:c r="H460" s="6">
        <x:f t="shared" si="19"/>
        <x:v>0</x:v>
      </x:c>
      <x:c r="I460" s="6">
        <x:v>19000.739999999998</x:v>
      </x:c>
      <x:c r="J460" s="6">
        <x:v>0</x:v>
      </x:c>
      <x:c r="K460" s="6">
        <x:f t="shared" si="20"/>
        <x:v>19000.739999999998</x:v>
      </x:c>
      <x:c r="L460" s="6">
        <x:v>0</x:v>
      </x:c>
      <x:c r="M460" s="6">
        <x:v>0</x:v>
      </x:c>
      <x:c r="N460" s="6">
        <x:f t="shared" si="21"/>
        <x:v>19000.739999999998</x:v>
      </x:c>
    </x:row>
    <x:row r="461" spans="1:14" x14ac:dyDescent="0.25">
      <x:c r="A461" t="s">
        <x:v>9</x:v>
      </x:c>
      <x:c r="B461" s="3" t="s">
        <x:v>74</x:v>
      </x:c>
      <x:c r="C461" s="3" t="s">
        <x:v>391</x:v>
      </x:c>
      <x:c r="D461" t="s">
        <x:v>677</x:v>
      </x:c>
      <x:c r="E461" s="6">
        <x:v>0</x:v>
      </x:c>
      <x:c r="F461" s="6">
        <x:v>0</x:v>
      </x:c>
      <x:c r="G461" s="6">
        <x:v>0</x:v>
      </x:c>
      <x:c r="H461" s="6">
        <x:f t="shared" si="19"/>
        <x:v>0</x:v>
      </x:c>
      <x:c r="I461" s="6">
        <x:v>425295.99</x:v>
      </x:c>
      <x:c r="J461" s="6">
        <x:v>0</x:v>
      </x:c>
      <x:c r="K461" s="6">
        <x:f t="shared" si="20"/>
        <x:v>425295.99</x:v>
      </x:c>
      <x:c r="L461" s="6">
        <x:v>0</x:v>
      </x:c>
      <x:c r="M461" s="6">
        <x:v>0</x:v>
      </x:c>
      <x:c r="N461" s="6">
        <x:f t="shared" si="21"/>
        <x:v>425295.99</x:v>
      </x:c>
    </x:row>
    <x:row r="462" spans="1:14" x14ac:dyDescent="0.25">
      <x:c r="A462" t="s">
        <x:v>9</x:v>
      </x:c>
      <x:c r="B462" s="3" t="s">
        <x:v>75</x:v>
      </x:c>
      <x:c r="C462" s="3" t="s">
        <x:v>392</x:v>
      </x:c>
      <x:c r="D462" t="s">
        <x:v>677</x:v>
      </x:c>
      <x:c r="E462" s="6">
        <x:v>0</x:v>
      </x:c>
      <x:c r="F462" s="6">
        <x:v>0</x:v>
      </x:c>
      <x:c r="G462" s="6">
        <x:v>0</x:v>
      </x:c>
      <x:c r="H462" s="6">
        <x:f t="shared" ref="H462:H525" si="24">SUM(E462:G462)</x:f>
        <x:v>0</x:v>
      </x:c>
      <x:c r="I462" s="6">
        <x:v>17370.29</x:v>
      </x:c>
      <x:c r="J462" s="6">
        <x:v>0</x:v>
      </x:c>
      <x:c r="K462" s="6">
        <x:f t="shared" ref="K462:K525" si="25">SUM(I462:J462)</x:f>
        <x:v>17370.29</x:v>
      </x:c>
      <x:c r="L462" s="6">
        <x:v>0</x:v>
      </x:c>
      <x:c r="M462" s="6">
        <x:v>0</x:v>
      </x:c>
      <x:c r="N462" s="6">
        <x:f t="shared" ref="N462:N525" si="26">+E462+F462+G462+I462+J462+L462+M462</x:f>
        <x:v>17370.29</x:v>
      </x:c>
    </x:row>
    <x:row r="463" spans="1:14" x14ac:dyDescent="0.25">
      <x:c r="A463" t="s">
        <x:v>9</x:v>
      </x:c>
      <x:c r="B463" s="3" t="s">
        <x:v>55</x:v>
      </x:c>
      <x:c r="C463" s="3" t="s">
        <x:v>372</x:v>
      </x:c>
      <x:c r="D463" t="s">
        <x:v>677</x:v>
      </x:c>
      <x:c r="E463" s="6">
        <x:v>0</x:v>
      </x:c>
      <x:c r="F463" s="6">
        <x:v>0</x:v>
      </x:c>
      <x:c r="G463" s="6">
        <x:v>0</x:v>
      </x:c>
      <x:c r="H463" s="6">
        <x:f t="shared" si="24"/>
        <x:v>0</x:v>
      </x:c>
      <x:c r="I463" s="6">
        <x:v>26796.44</x:v>
      </x:c>
      <x:c r="J463" s="6">
        <x:v>0</x:v>
      </x:c>
      <x:c r="K463" s="6">
        <x:f t="shared" si="25"/>
        <x:v>26796.44</x:v>
      </x:c>
      <x:c r="L463" s="6">
        <x:v>0</x:v>
      </x:c>
      <x:c r="M463" s="6">
        <x:v>0</x:v>
      </x:c>
      <x:c r="N463" s="6">
        <x:f t="shared" si="26"/>
        <x:v>26796.44</x:v>
      </x:c>
    </x:row>
    <x:row r="464" spans="1:14" x14ac:dyDescent="0.25">
      <x:c r="A464" t="s">
        <x:v>9</x:v>
      </x:c>
      <x:c r="B464" s="3" t="s">
        <x:v>76</x:v>
      </x:c>
      <x:c r="C464" s="3" t="s">
        <x:v>393</x:v>
      </x:c>
      <x:c r="D464" t="s">
        <x:v>677</x:v>
      </x:c>
      <x:c r="E464" s="6">
        <x:v>0</x:v>
      </x:c>
      <x:c r="F464" s="6">
        <x:v>0</x:v>
      </x:c>
      <x:c r="G464" s="6">
        <x:v>0</x:v>
      </x:c>
      <x:c r="H464" s="6">
        <x:f t="shared" si="24"/>
        <x:v>0</x:v>
      </x:c>
      <x:c r="I464" s="6">
        <x:v>254687.00999999998</x:v>
      </x:c>
      <x:c r="J464" s="6">
        <x:v>0</x:v>
      </x:c>
      <x:c r="K464" s="6">
        <x:f t="shared" si="25"/>
        <x:v>254687.00999999998</x:v>
      </x:c>
      <x:c r="L464" s="6">
        <x:v>0</x:v>
      </x:c>
      <x:c r="M464" s="6">
        <x:v>0</x:v>
      </x:c>
      <x:c r="N464" s="6">
        <x:f t="shared" si="26"/>
        <x:v>254687.00999999998</x:v>
      </x:c>
    </x:row>
    <x:row r="465" spans="1:14" x14ac:dyDescent="0.25">
      <x:c r="A465" t="s">
        <x:v>9</x:v>
      </x:c>
      <x:c r="B465" s="3" t="s">
        <x:v>77</x:v>
      </x:c>
      <x:c r="C465" s="3" t="s">
        <x:v>394</x:v>
      </x:c>
      <x:c r="D465" t="s">
        <x:v>677</x:v>
      </x:c>
      <x:c r="E465" s="6">
        <x:v>0</x:v>
      </x:c>
      <x:c r="F465" s="6">
        <x:v>0</x:v>
      </x:c>
      <x:c r="G465" s="6">
        <x:v>0</x:v>
      </x:c>
      <x:c r="H465" s="6">
        <x:f t="shared" si="24"/>
        <x:v>0</x:v>
      </x:c>
      <x:c r="I465" s="6">
        <x:v>1390362.95</x:v>
      </x:c>
      <x:c r="J465" s="6">
        <x:v>0</x:v>
      </x:c>
      <x:c r="K465" s="6">
        <x:f t="shared" si="25"/>
        <x:v>1390362.95</x:v>
      </x:c>
      <x:c r="L465" s="6">
        <x:v>0</x:v>
      </x:c>
      <x:c r="M465" s="6">
        <x:v>0</x:v>
      </x:c>
      <x:c r="N465" s="6">
        <x:f t="shared" si="26"/>
        <x:v>1390362.95</x:v>
      </x:c>
    </x:row>
    <x:row r="466" spans="1:14" x14ac:dyDescent="0.25">
      <x:c r="A466" t="s">
        <x:v>9</x:v>
      </x:c>
      <x:c r="B466" s="3" t="s">
        <x:v>78</x:v>
      </x:c>
      <x:c r="C466" s="3" t="s">
        <x:v>395</x:v>
      </x:c>
      <x:c r="D466" t="s">
        <x:v>677</x:v>
      </x:c>
      <x:c r="E466" s="6">
        <x:v>0</x:v>
      </x:c>
      <x:c r="F466" s="6">
        <x:v>0</x:v>
      </x:c>
      <x:c r="G466" s="6">
        <x:v>0</x:v>
      </x:c>
      <x:c r="H466" s="6">
        <x:f t="shared" si="24"/>
        <x:v>0</x:v>
      </x:c>
      <x:c r="I466" s="6">
        <x:v>268.81</x:v>
      </x:c>
      <x:c r="J466" s="6">
        <x:v>0</x:v>
      </x:c>
      <x:c r="K466" s="6">
        <x:f t="shared" si="25"/>
        <x:v>268.81</x:v>
      </x:c>
      <x:c r="L466" s="6">
        <x:v>0</x:v>
      </x:c>
      <x:c r="M466" s="6">
        <x:v>0</x:v>
      </x:c>
      <x:c r="N466" s="6">
        <x:f t="shared" si="26"/>
        <x:v>268.81</x:v>
      </x:c>
    </x:row>
    <x:row r="467" spans="1:14" x14ac:dyDescent="0.25">
      <x:c r="A467" t="s">
        <x:v>9</x:v>
      </x:c>
      <x:c r="B467" s="3" t="s">
        <x:v>79</x:v>
      </x:c>
      <x:c r="C467" s="3" t="s">
        <x:v>396</x:v>
      </x:c>
      <x:c r="D467" t="s">
        <x:v>677</x:v>
      </x:c>
      <x:c r="E467" s="6">
        <x:v>0</x:v>
      </x:c>
      <x:c r="F467" s="6">
        <x:v>0</x:v>
      </x:c>
      <x:c r="G467" s="6">
        <x:v>0</x:v>
      </x:c>
      <x:c r="H467" s="6">
        <x:f t="shared" si="24"/>
        <x:v>0</x:v>
      </x:c>
      <x:c r="I467" s="6">
        <x:v>99893.109999999986</x:v>
      </x:c>
      <x:c r="J467" s="6">
        <x:v>0</x:v>
      </x:c>
      <x:c r="K467" s="6">
        <x:f t="shared" si="25"/>
        <x:v>99893.109999999986</x:v>
      </x:c>
      <x:c r="L467" s="6">
        <x:v>0</x:v>
      </x:c>
      <x:c r="M467" s="6">
        <x:v>0</x:v>
      </x:c>
      <x:c r="N467" s="6">
        <x:f t="shared" si="26"/>
        <x:v>99893.109999999986</x:v>
      </x:c>
    </x:row>
    <x:row r="468" spans="1:14" x14ac:dyDescent="0.25">
      <x:c r="A468" t="s">
        <x:v>9</x:v>
      </x:c>
      <x:c r="B468" s="3" t="s">
        <x:v>56</x:v>
      </x:c>
      <x:c r="C468" s="3" t="s">
        <x:v>373</x:v>
      </x:c>
      <x:c r="D468" t="s">
        <x:v>677</x:v>
      </x:c>
      <x:c r="E468" s="6">
        <x:v>0</x:v>
      </x:c>
      <x:c r="F468" s="6">
        <x:v>0</x:v>
      </x:c>
      <x:c r="G468" s="6">
        <x:v>0</x:v>
      </x:c>
      <x:c r="H468" s="6">
        <x:f t="shared" si="24"/>
        <x:v>0</x:v>
      </x:c>
      <x:c r="I468" s="6">
        <x:v>14700.68</x:v>
      </x:c>
      <x:c r="J468" s="6">
        <x:v>0</x:v>
      </x:c>
      <x:c r="K468" s="6">
        <x:f t="shared" si="25"/>
        <x:v>14700.68</x:v>
      </x:c>
      <x:c r="L468" s="6">
        <x:v>0</x:v>
      </x:c>
      <x:c r="M468" s="6">
        <x:v>0</x:v>
      </x:c>
      <x:c r="N468" s="6">
        <x:f t="shared" si="26"/>
        <x:v>14700.68</x:v>
      </x:c>
    </x:row>
    <x:row r="469" spans="1:14" x14ac:dyDescent="0.25">
      <x:c r="A469" t="s">
        <x:v>9</x:v>
      </x:c>
      <x:c r="B469" s="3" t="s">
        <x:v>80</x:v>
      </x:c>
      <x:c r="C469" s="3" t="s">
        <x:v>397</x:v>
      </x:c>
      <x:c r="D469" t="s">
        <x:v>677</x:v>
      </x:c>
      <x:c r="E469" s="6">
        <x:v>0</x:v>
      </x:c>
      <x:c r="F469" s="6">
        <x:v>0</x:v>
      </x:c>
      <x:c r="G469" s="6">
        <x:v>0</x:v>
      </x:c>
      <x:c r="H469" s="6">
        <x:f t="shared" si="24"/>
        <x:v>0</x:v>
      </x:c>
      <x:c r="I469" s="6">
        <x:v>39024.67</x:v>
      </x:c>
      <x:c r="J469" s="6">
        <x:v>0</x:v>
      </x:c>
      <x:c r="K469" s="6">
        <x:f t="shared" si="25"/>
        <x:v>39024.67</x:v>
      </x:c>
      <x:c r="L469" s="6">
        <x:v>0</x:v>
      </x:c>
      <x:c r="M469" s="6">
        <x:v>0</x:v>
      </x:c>
      <x:c r="N469" s="6">
        <x:f t="shared" si="26"/>
        <x:v>39024.67</x:v>
      </x:c>
    </x:row>
    <x:row r="470" spans="1:14" x14ac:dyDescent="0.25">
      <x:c r="A470" t="s">
        <x:v>9</x:v>
      </x:c>
      <x:c r="B470" s="3" t="s">
        <x:v>81</x:v>
      </x:c>
      <x:c r="C470" s="3" t="s">
        <x:v>398</x:v>
      </x:c>
      <x:c r="D470" t="s">
        <x:v>677</x:v>
      </x:c>
      <x:c r="E470" s="6">
        <x:v>0</x:v>
      </x:c>
      <x:c r="F470" s="6">
        <x:v>0</x:v>
      </x:c>
      <x:c r="G470" s="6">
        <x:v>0</x:v>
      </x:c>
      <x:c r="H470" s="6">
        <x:f t="shared" si="24"/>
        <x:v>0</x:v>
      </x:c>
      <x:c r="I470" s="6">
        <x:v>219.37</x:v>
      </x:c>
      <x:c r="J470" s="6">
        <x:v>0</x:v>
      </x:c>
      <x:c r="K470" s="6">
        <x:f t="shared" si="25"/>
        <x:v>219.37</x:v>
      </x:c>
      <x:c r="L470" s="6">
        <x:v>0</x:v>
      </x:c>
      <x:c r="M470" s="6">
        <x:v>0</x:v>
      </x:c>
      <x:c r="N470" s="6">
        <x:f t="shared" si="26"/>
        <x:v>219.37</x:v>
      </x:c>
    </x:row>
    <x:row r="471" spans="1:14" x14ac:dyDescent="0.25">
      <x:c r="A471" t="s">
        <x:v>9</x:v>
      </x:c>
      <x:c r="B471" s="3" t="s">
        <x:v>82</x:v>
      </x:c>
      <x:c r="C471" s="3" t="s">
        <x:v>399</x:v>
      </x:c>
      <x:c r="D471" t="s">
        <x:v>677</x:v>
      </x:c>
      <x:c r="E471" s="6">
        <x:v>0</x:v>
      </x:c>
      <x:c r="F471" s="6">
        <x:v>0</x:v>
      </x:c>
      <x:c r="G471" s="6">
        <x:v>0</x:v>
      </x:c>
      <x:c r="H471" s="6">
        <x:f t="shared" si="24"/>
        <x:v>0</x:v>
      </x:c>
      <x:c r="I471" s="6">
        <x:v>41104.479999999996</x:v>
      </x:c>
      <x:c r="J471" s="6">
        <x:v>0</x:v>
      </x:c>
      <x:c r="K471" s="6">
        <x:f t="shared" si="25"/>
        <x:v>41104.479999999996</x:v>
      </x:c>
      <x:c r="L471" s="6">
        <x:v>0</x:v>
      </x:c>
      <x:c r="M471" s="6">
        <x:v>0</x:v>
      </x:c>
      <x:c r="N471" s="6">
        <x:f t="shared" si="26"/>
        <x:v>41104.479999999996</x:v>
      </x:c>
    </x:row>
    <x:row r="472" spans="1:14" x14ac:dyDescent="0.25">
      <x:c r="A472" t="s">
        <x:v>9</x:v>
      </x:c>
      <x:c r="B472" s="3" t="s">
        <x:v>83</x:v>
      </x:c>
      <x:c r="C472" s="3" t="s">
        <x:v>400</x:v>
      </x:c>
      <x:c r="D472" t="s">
        <x:v>677</x:v>
      </x:c>
      <x:c r="E472" s="6">
        <x:v>0</x:v>
      </x:c>
      <x:c r="F472" s="6">
        <x:v>0</x:v>
      </x:c>
      <x:c r="G472" s="6">
        <x:v>0</x:v>
      </x:c>
      <x:c r="H472" s="6">
        <x:f t="shared" si="24"/>
        <x:v>0</x:v>
      </x:c>
      <x:c r="I472" s="6">
        <x:v>839114.01</x:v>
      </x:c>
      <x:c r="J472" s="6">
        <x:v>0</x:v>
      </x:c>
      <x:c r="K472" s="6">
        <x:f t="shared" si="25"/>
        <x:v>839114.01</x:v>
      </x:c>
      <x:c r="L472" s="6">
        <x:v>0</x:v>
      </x:c>
      <x:c r="M472" s="6">
        <x:v>0</x:v>
      </x:c>
      <x:c r="N472" s="6">
        <x:f t="shared" si="26"/>
        <x:v>839114.01</x:v>
      </x:c>
    </x:row>
    <x:row r="473" spans="1:14" x14ac:dyDescent="0.25">
      <x:c r="A473" t="s">
        <x:v>9</x:v>
      </x:c>
      <x:c r="B473" s="3" t="s">
        <x:v>84</x:v>
      </x:c>
      <x:c r="C473" s="3" t="s">
        <x:v>401</x:v>
      </x:c>
      <x:c r="D473" t="s">
        <x:v>677</x:v>
      </x:c>
      <x:c r="E473" s="6">
        <x:v>0</x:v>
      </x:c>
      <x:c r="F473" s="6">
        <x:v>0</x:v>
      </x:c>
      <x:c r="G473" s="6">
        <x:v>0</x:v>
      </x:c>
      <x:c r="H473" s="6">
        <x:f t="shared" si="24"/>
        <x:v>0</x:v>
      </x:c>
      <x:c r="I473" s="6">
        <x:v>6485.19</x:v>
      </x:c>
      <x:c r="J473" s="6">
        <x:v>0</x:v>
      </x:c>
      <x:c r="K473" s="6">
        <x:f t="shared" si="25"/>
        <x:v>6485.19</x:v>
      </x:c>
      <x:c r="L473" s="6">
        <x:v>0</x:v>
      </x:c>
      <x:c r="M473" s="6">
        <x:v>0</x:v>
      </x:c>
      <x:c r="N473" s="6">
        <x:f t="shared" si="26"/>
        <x:v>6485.19</x:v>
      </x:c>
    </x:row>
    <x:row r="474" spans="1:14" x14ac:dyDescent="0.25">
      <x:c r="A474" t="s">
        <x:v>9</x:v>
      </x:c>
      <x:c r="B474" s="3" t="s">
        <x:v>85</x:v>
      </x:c>
      <x:c r="C474" s="3" t="s">
        <x:v>402</x:v>
      </x:c>
      <x:c r="D474" t="s">
        <x:v>677</x:v>
      </x:c>
      <x:c r="E474" s="6">
        <x:v>0</x:v>
      </x:c>
      <x:c r="F474" s="6">
        <x:v>0</x:v>
      </x:c>
      <x:c r="G474" s="6">
        <x:v>0</x:v>
      </x:c>
      <x:c r="H474" s="6">
        <x:f t="shared" si="24"/>
        <x:v>0</x:v>
      </x:c>
      <x:c r="I474" s="6">
        <x:v>493</x:v>
      </x:c>
      <x:c r="J474" s="6">
        <x:v>0</x:v>
      </x:c>
      <x:c r="K474" s="6">
        <x:f t="shared" si="25"/>
        <x:v>493</x:v>
      </x:c>
      <x:c r="L474" s="6">
        <x:v>0</x:v>
      </x:c>
      <x:c r="M474" s="6">
        <x:v>0</x:v>
      </x:c>
      <x:c r="N474" s="6">
        <x:f t="shared" si="26"/>
        <x:v>493</x:v>
      </x:c>
    </x:row>
    <x:row r="475" spans="1:14" x14ac:dyDescent="0.25">
      <x:c r="A475" t="s">
        <x:v>9</x:v>
      </x:c>
      <x:c r="B475" s="3" t="s">
        <x:v>86</x:v>
      </x:c>
      <x:c r="C475" s="3" t="s">
        <x:v>403</x:v>
      </x:c>
      <x:c r="D475" t="s">
        <x:v>677</x:v>
      </x:c>
      <x:c r="E475" s="6">
        <x:v>0</x:v>
      </x:c>
      <x:c r="F475" s="6">
        <x:v>0</x:v>
      </x:c>
      <x:c r="G475" s="6">
        <x:v>0</x:v>
      </x:c>
      <x:c r="H475" s="6">
        <x:f t="shared" si="24"/>
        <x:v>0</x:v>
      </x:c>
      <x:c r="I475" s="6">
        <x:v>15407.609999999999</x:v>
      </x:c>
      <x:c r="J475" s="6">
        <x:v>0</x:v>
      </x:c>
      <x:c r="K475" s="6">
        <x:f t="shared" si="25"/>
        <x:v>15407.609999999999</x:v>
      </x:c>
      <x:c r="L475" s="6">
        <x:v>0</x:v>
      </x:c>
      <x:c r="M475" s="6">
        <x:v>0</x:v>
      </x:c>
      <x:c r="N475" s="6">
        <x:f t="shared" si="26"/>
        <x:v>15407.609999999999</x:v>
      </x:c>
    </x:row>
    <x:row r="476" spans="1:14" x14ac:dyDescent="0.25">
      <x:c r="A476" t="s">
        <x:v>9</x:v>
      </x:c>
      <x:c r="B476" s="3" t="s">
        <x:v>87</x:v>
      </x:c>
      <x:c r="C476" s="3" t="s">
        <x:v>404</x:v>
      </x:c>
      <x:c r="D476" t="s">
        <x:v>677</x:v>
      </x:c>
      <x:c r="E476" s="6">
        <x:v>0</x:v>
      </x:c>
      <x:c r="F476" s="6">
        <x:v>0</x:v>
      </x:c>
      <x:c r="G476" s="6">
        <x:v>0</x:v>
      </x:c>
      <x:c r="H476" s="6">
        <x:f t="shared" si="24"/>
        <x:v>0</x:v>
      </x:c>
      <x:c r="I476" s="6">
        <x:v>32119.670000000002</x:v>
      </x:c>
      <x:c r="J476" s="6">
        <x:v>0</x:v>
      </x:c>
      <x:c r="K476" s="6">
        <x:f t="shared" si="25"/>
        <x:v>32119.670000000002</x:v>
      </x:c>
      <x:c r="L476" s="6">
        <x:v>0</x:v>
      </x:c>
      <x:c r="M476" s="6">
        <x:v>0</x:v>
      </x:c>
      <x:c r="N476" s="6">
        <x:f t="shared" si="26"/>
        <x:v>32119.670000000002</x:v>
      </x:c>
    </x:row>
    <x:row r="477" spans="1:14" x14ac:dyDescent="0.25">
      <x:c r="A477" t="s">
        <x:v>9</x:v>
      </x:c>
      <x:c r="B477" s="3" t="s">
        <x:v>88</x:v>
      </x:c>
      <x:c r="C477" s="3" t="s">
        <x:v>405</x:v>
      </x:c>
      <x:c r="D477" t="s">
        <x:v>677</x:v>
      </x:c>
      <x:c r="E477" s="6">
        <x:v>0</x:v>
      </x:c>
      <x:c r="F477" s="6">
        <x:v>0</x:v>
      </x:c>
      <x:c r="G477" s="6">
        <x:v>0</x:v>
      </x:c>
      <x:c r="H477" s="6">
        <x:f t="shared" si="24"/>
        <x:v>0</x:v>
      </x:c>
      <x:c r="I477" s="6">
        <x:v>1527.1499999999999</x:v>
      </x:c>
      <x:c r="J477" s="6">
        <x:v>0</x:v>
      </x:c>
      <x:c r="K477" s="6">
        <x:f t="shared" si="25"/>
        <x:v>1527.1499999999999</x:v>
      </x:c>
      <x:c r="L477" s="6">
        <x:v>0</x:v>
      </x:c>
      <x:c r="M477" s="6">
        <x:v>0</x:v>
      </x:c>
      <x:c r="N477" s="6">
        <x:f t="shared" si="26"/>
        <x:v>1527.1499999999999</x:v>
      </x:c>
    </x:row>
    <x:row r="478" spans="1:14" x14ac:dyDescent="0.25">
      <x:c r="A478" t="s">
        <x:v>9</x:v>
      </x:c>
      <x:c r="B478" s="3" t="s">
        <x:v>89</x:v>
      </x:c>
      <x:c r="C478" s="3" t="s">
        <x:v>406</x:v>
      </x:c>
      <x:c r="D478" t="s">
        <x:v>677</x:v>
      </x:c>
      <x:c r="E478" s="6">
        <x:v>0</x:v>
      </x:c>
      <x:c r="F478" s="6">
        <x:v>0</x:v>
      </x:c>
      <x:c r="G478" s="6">
        <x:v>0</x:v>
      </x:c>
      <x:c r="H478" s="6">
        <x:f t="shared" si="24"/>
        <x:v>0</x:v>
      </x:c>
      <x:c r="I478" s="6">
        <x:v>39201.96</x:v>
      </x:c>
      <x:c r="J478" s="6">
        <x:v>0</x:v>
      </x:c>
      <x:c r="K478" s="6">
        <x:f t="shared" si="25"/>
        <x:v>39201.96</x:v>
      </x:c>
      <x:c r="L478" s="6">
        <x:v>0</x:v>
      </x:c>
      <x:c r="M478" s="6">
        <x:v>0</x:v>
      </x:c>
      <x:c r="N478" s="6">
        <x:f t="shared" si="26"/>
        <x:v>39201.96</x:v>
      </x:c>
    </x:row>
    <x:row r="479" spans="1:14" x14ac:dyDescent="0.25">
      <x:c r="A479" t="s">
        <x:v>9</x:v>
      </x:c>
      <x:c r="B479" s="3" t="s">
        <x:v>90</x:v>
      </x:c>
      <x:c r="C479" s="3" t="s">
        <x:v>407</x:v>
      </x:c>
      <x:c r="D479" t="s">
        <x:v>677</x:v>
      </x:c>
      <x:c r="E479" s="6">
        <x:v>0</x:v>
      </x:c>
      <x:c r="F479" s="6">
        <x:v>0</x:v>
      </x:c>
      <x:c r="G479" s="6">
        <x:v>0</x:v>
      </x:c>
      <x:c r="H479" s="6">
        <x:f t="shared" si="24"/>
        <x:v>0</x:v>
      </x:c>
      <x:c r="I479" s="6">
        <x:v>63422.710000000006</x:v>
      </x:c>
      <x:c r="J479" s="6">
        <x:v>0</x:v>
      </x:c>
      <x:c r="K479" s="6">
        <x:f t="shared" si="25"/>
        <x:v>63422.710000000006</x:v>
      </x:c>
      <x:c r="L479" s="6">
        <x:v>0</x:v>
      </x:c>
      <x:c r="M479" s="6">
        <x:v>0</x:v>
      </x:c>
      <x:c r="N479" s="6">
        <x:f t="shared" si="26"/>
        <x:v>63422.710000000006</x:v>
      </x:c>
    </x:row>
    <x:row r="480" spans="1:14" x14ac:dyDescent="0.25">
      <x:c r="A480" t="s">
        <x:v>9</x:v>
      </x:c>
      <x:c r="B480" s="3" t="s">
        <x:v>91</x:v>
      </x:c>
      <x:c r="C480" s="3" t="s">
        <x:v>408</x:v>
      </x:c>
      <x:c r="D480" t="s">
        <x:v>677</x:v>
      </x:c>
      <x:c r="E480" s="6">
        <x:v>0</x:v>
      </x:c>
      <x:c r="F480" s="6">
        <x:v>0</x:v>
      </x:c>
      <x:c r="G480" s="6">
        <x:v>0</x:v>
      </x:c>
      <x:c r="H480" s="6">
        <x:f t="shared" si="24"/>
        <x:v>0</x:v>
      </x:c>
      <x:c r="I480" s="6">
        <x:v>42183.54</x:v>
      </x:c>
      <x:c r="J480" s="6">
        <x:v>0</x:v>
      </x:c>
      <x:c r="K480" s="6">
        <x:f t="shared" si="25"/>
        <x:v>42183.54</x:v>
      </x:c>
      <x:c r="L480" s="6">
        <x:v>0</x:v>
      </x:c>
      <x:c r="M480" s="6">
        <x:v>0</x:v>
      </x:c>
      <x:c r="N480" s="6">
        <x:f t="shared" si="26"/>
        <x:v>42183.54</x:v>
      </x:c>
    </x:row>
    <x:row r="481" spans="1:14" x14ac:dyDescent="0.25">
      <x:c r="A481" t="s">
        <x:v>9</x:v>
      </x:c>
      <x:c r="B481" s="3" t="s">
        <x:v>92</x:v>
      </x:c>
      <x:c r="C481" s="3" t="s">
        <x:v>409</x:v>
      </x:c>
      <x:c r="D481" t="s">
        <x:v>677</x:v>
      </x:c>
      <x:c r="E481" s="6">
        <x:v>0</x:v>
      </x:c>
      <x:c r="F481" s="6">
        <x:v>0</x:v>
      </x:c>
      <x:c r="G481" s="6">
        <x:v>0</x:v>
      </x:c>
      <x:c r="H481" s="6">
        <x:f t="shared" si="24"/>
        <x:v>0</x:v>
      </x:c>
      <x:c r="I481" s="6">
        <x:v>51127.26999999999</x:v>
      </x:c>
      <x:c r="J481" s="6">
        <x:v>0</x:v>
      </x:c>
      <x:c r="K481" s="6">
        <x:f t="shared" si="25"/>
        <x:v>51127.26999999999</x:v>
      </x:c>
      <x:c r="L481" s="6">
        <x:v>0</x:v>
      </x:c>
      <x:c r="M481" s="6">
        <x:v>0</x:v>
      </x:c>
      <x:c r="N481" s="6">
        <x:f t="shared" si="26"/>
        <x:v>51127.26999999999</x:v>
      </x:c>
    </x:row>
    <x:row r="482" spans="1:14" x14ac:dyDescent="0.25">
      <x:c r="A482" t="s">
        <x:v>9</x:v>
      </x:c>
      <x:c r="B482" s="3" t="s">
        <x:v>93</x:v>
      </x:c>
      <x:c r="C482" s="3" t="s">
        <x:v>410</x:v>
      </x:c>
      <x:c r="D482" t="s">
        <x:v>677</x:v>
      </x:c>
      <x:c r="E482" s="6">
        <x:v>0</x:v>
      </x:c>
      <x:c r="F482" s="6">
        <x:v>0</x:v>
      </x:c>
      <x:c r="G482" s="6">
        <x:v>0</x:v>
      </x:c>
      <x:c r="H482" s="6">
        <x:f t="shared" si="24"/>
        <x:v>0</x:v>
      </x:c>
      <x:c r="I482" s="6">
        <x:v>28846.62</x:v>
      </x:c>
      <x:c r="J482" s="6">
        <x:v>0</x:v>
      </x:c>
      <x:c r="K482" s="6">
        <x:f t="shared" si="25"/>
        <x:v>28846.62</x:v>
      </x:c>
      <x:c r="L482" s="6">
        <x:v>0</x:v>
      </x:c>
      <x:c r="M482" s="6">
        <x:v>0</x:v>
      </x:c>
      <x:c r="N482" s="6">
        <x:f t="shared" si="26"/>
        <x:v>28846.62</x:v>
      </x:c>
    </x:row>
    <x:row r="483" spans="1:14" x14ac:dyDescent="0.25">
      <x:c r="A483" t="s">
        <x:v>9</x:v>
      </x:c>
      <x:c r="B483" s="3" t="s">
        <x:v>94</x:v>
      </x:c>
      <x:c r="C483" s="3" t="s">
        <x:v>411</x:v>
      </x:c>
      <x:c r="D483" t="s">
        <x:v>677</x:v>
      </x:c>
      <x:c r="E483" s="6">
        <x:v>0</x:v>
      </x:c>
      <x:c r="F483" s="6">
        <x:v>0</x:v>
      </x:c>
      <x:c r="G483" s="6">
        <x:v>0</x:v>
      </x:c>
      <x:c r="H483" s="6">
        <x:f t="shared" si="24"/>
        <x:v>0</x:v>
      </x:c>
      <x:c r="I483" s="6">
        <x:v>159333.70999999996</x:v>
      </x:c>
      <x:c r="J483" s="6">
        <x:v>0</x:v>
      </x:c>
      <x:c r="K483" s="6">
        <x:f t="shared" si="25"/>
        <x:v>159333.70999999996</x:v>
      </x:c>
      <x:c r="L483" s="6">
        <x:v>0</x:v>
      </x:c>
      <x:c r="M483" s="6">
        <x:v>0</x:v>
      </x:c>
      <x:c r="N483" s="6">
        <x:f t="shared" si="26"/>
        <x:v>159333.70999999996</x:v>
      </x:c>
    </x:row>
    <x:row r="484" spans="1:14" x14ac:dyDescent="0.25">
      <x:c r="A484" t="s">
        <x:v>9</x:v>
      </x:c>
      <x:c r="B484" s="3" t="s">
        <x:v>95</x:v>
      </x:c>
      <x:c r="C484" s="3" t="s">
        <x:v>412</x:v>
      </x:c>
      <x:c r="D484" t="s">
        <x:v>677</x:v>
      </x:c>
      <x:c r="E484" s="6">
        <x:v>0</x:v>
      </x:c>
      <x:c r="F484" s="6">
        <x:v>0</x:v>
      </x:c>
      <x:c r="G484" s="6">
        <x:v>0</x:v>
      </x:c>
      <x:c r="H484" s="6">
        <x:f t="shared" si="24"/>
        <x:v>0</x:v>
      </x:c>
      <x:c r="I484" s="6">
        <x:v>28759.620000000003</x:v>
      </x:c>
      <x:c r="J484" s="6">
        <x:v>0</x:v>
      </x:c>
      <x:c r="K484" s="6">
        <x:f t="shared" si="25"/>
        <x:v>28759.620000000003</x:v>
      </x:c>
      <x:c r="L484" s="6">
        <x:v>0</x:v>
      </x:c>
      <x:c r="M484" s="6">
        <x:v>0</x:v>
      </x:c>
      <x:c r="N484" s="6">
        <x:f t="shared" si="26"/>
        <x:v>28759.620000000003</x:v>
      </x:c>
    </x:row>
    <x:row r="485" spans="1:14" x14ac:dyDescent="0.25">
      <x:c r="A485" t="s">
        <x:v>9</x:v>
      </x:c>
      <x:c r="B485" s="3" t="s">
        <x:v>96</x:v>
      </x:c>
      <x:c r="C485" s="3" t="s">
        <x:v>413</x:v>
      </x:c>
      <x:c r="D485" t="s">
        <x:v>677</x:v>
      </x:c>
      <x:c r="E485" s="6">
        <x:v>0</x:v>
      </x:c>
      <x:c r="F485" s="6">
        <x:v>0</x:v>
      </x:c>
      <x:c r="G485" s="6">
        <x:v>0</x:v>
      </x:c>
      <x:c r="H485" s="6">
        <x:f t="shared" si="24"/>
        <x:v>0</x:v>
      </x:c>
      <x:c r="I485" s="6">
        <x:v>645.98</x:v>
      </x:c>
      <x:c r="J485" s="6">
        <x:v>0</x:v>
      </x:c>
      <x:c r="K485" s="6">
        <x:f t="shared" si="25"/>
        <x:v>645.98</x:v>
      </x:c>
      <x:c r="L485" s="6">
        <x:v>0</x:v>
      </x:c>
      <x:c r="M485" s="6">
        <x:v>0</x:v>
      </x:c>
      <x:c r="N485" s="6">
        <x:f t="shared" si="26"/>
        <x:v>645.98</x:v>
      </x:c>
    </x:row>
    <x:row r="486" spans="1:14" x14ac:dyDescent="0.25">
      <x:c r="A486" t="s">
        <x:v>9</x:v>
      </x:c>
      <x:c r="B486" s="3" t="s">
        <x:v>97</x:v>
      </x:c>
      <x:c r="C486" s="3" t="s">
        <x:v>414</x:v>
      </x:c>
      <x:c r="D486" t="s">
        <x:v>677</x:v>
      </x:c>
      <x:c r="E486" s="6">
        <x:v>0</x:v>
      </x:c>
      <x:c r="F486" s="6">
        <x:v>0</x:v>
      </x:c>
      <x:c r="G486" s="6">
        <x:v>0</x:v>
      </x:c>
      <x:c r="H486" s="6">
        <x:f t="shared" si="24"/>
        <x:v>0</x:v>
      </x:c>
      <x:c r="I486" s="6">
        <x:v>22040.7</x:v>
      </x:c>
      <x:c r="J486" s="6">
        <x:v>0</x:v>
      </x:c>
      <x:c r="K486" s="6">
        <x:f t="shared" si="25"/>
        <x:v>22040.7</x:v>
      </x:c>
      <x:c r="L486" s="6">
        <x:v>0</x:v>
      </x:c>
      <x:c r="M486" s="6">
        <x:v>0</x:v>
      </x:c>
      <x:c r="N486" s="6">
        <x:f t="shared" si="26"/>
        <x:v>22040.7</x:v>
      </x:c>
    </x:row>
    <x:row r="487" spans="1:14" x14ac:dyDescent="0.25">
      <x:c r="A487" t="s">
        <x:v>9</x:v>
      </x:c>
      <x:c r="B487" s="3" t="s">
        <x:v>98</x:v>
      </x:c>
      <x:c r="C487" s="3" t="s">
        <x:v>415</x:v>
      </x:c>
      <x:c r="D487" t="s">
        <x:v>677</x:v>
      </x:c>
      <x:c r="E487" s="6">
        <x:v>0</x:v>
      </x:c>
      <x:c r="F487" s="6">
        <x:v>0</x:v>
      </x:c>
      <x:c r="G487" s="6">
        <x:v>0</x:v>
      </x:c>
      <x:c r="H487" s="6">
        <x:f t="shared" si="24"/>
        <x:v>0</x:v>
      </x:c>
      <x:c r="I487" s="6">
        <x:v>27022.940000000002</x:v>
      </x:c>
      <x:c r="J487" s="6">
        <x:v>0</x:v>
      </x:c>
      <x:c r="K487" s="6">
        <x:f t="shared" si="25"/>
        <x:v>27022.940000000002</x:v>
      </x:c>
      <x:c r="L487" s="6">
        <x:v>0</x:v>
      </x:c>
      <x:c r="M487" s="6">
        <x:v>0</x:v>
      </x:c>
      <x:c r="N487" s="6">
        <x:f t="shared" si="26"/>
        <x:v>27022.940000000002</x:v>
      </x:c>
    </x:row>
    <x:row r="488" spans="1:14" x14ac:dyDescent="0.25">
      <x:c r="A488" t="s">
        <x:v>9</x:v>
      </x:c>
      <x:c r="B488" s="3" t="s">
        <x:v>99</x:v>
      </x:c>
      <x:c r="C488" s="3" t="s">
        <x:v>416</x:v>
      </x:c>
      <x:c r="D488" t="s">
        <x:v>677</x:v>
      </x:c>
      <x:c r="E488" s="6">
        <x:v>0</x:v>
      </x:c>
      <x:c r="F488" s="6">
        <x:v>0</x:v>
      </x:c>
      <x:c r="G488" s="6">
        <x:v>0</x:v>
      </x:c>
      <x:c r="H488" s="6">
        <x:f t="shared" si="24"/>
        <x:v>0</x:v>
      </x:c>
      <x:c r="I488" s="6">
        <x:v>54230.669999999991</x:v>
      </x:c>
      <x:c r="J488" s="6">
        <x:v>0</x:v>
      </x:c>
      <x:c r="K488" s="6">
        <x:f t="shared" si="25"/>
        <x:v>54230.669999999991</x:v>
      </x:c>
      <x:c r="L488" s="6">
        <x:v>0</x:v>
      </x:c>
      <x:c r="M488" s="6">
        <x:v>0</x:v>
      </x:c>
      <x:c r="N488" s="6">
        <x:f t="shared" si="26"/>
        <x:v>54230.669999999991</x:v>
      </x:c>
    </x:row>
    <x:row r="489" spans="1:14" x14ac:dyDescent="0.25">
      <x:c r="A489" t="s">
        <x:v>9</x:v>
      </x:c>
      <x:c r="B489" s="3" t="s">
        <x:v>100</x:v>
      </x:c>
      <x:c r="C489" s="3" t="s">
        <x:v>417</x:v>
      </x:c>
      <x:c r="D489" t="s">
        <x:v>677</x:v>
      </x:c>
      <x:c r="E489" s="6">
        <x:v>0</x:v>
      </x:c>
      <x:c r="F489" s="6">
        <x:v>0</x:v>
      </x:c>
      <x:c r="G489" s="6">
        <x:v>0</x:v>
      </x:c>
      <x:c r="H489" s="6">
        <x:f t="shared" si="24"/>
        <x:v>0</x:v>
      </x:c>
      <x:c r="I489" s="6">
        <x:v>2050.1600000000003</x:v>
      </x:c>
      <x:c r="J489" s="6">
        <x:v>0</x:v>
      </x:c>
      <x:c r="K489" s="6">
        <x:f t="shared" si="25"/>
        <x:v>2050.1600000000003</x:v>
      </x:c>
      <x:c r="L489" s="6">
        <x:v>0</x:v>
      </x:c>
      <x:c r="M489" s="6">
        <x:v>0</x:v>
      </x:c>
      <x:c r="N489" s="6">
        <x:f t="shared" si="26"/>
        <x:v>2050.1600000000003</x:v>
      </x:c>
    </x:row>
    <x:row r="490" spans="1:14" x14ac:dyDescent="0.25">
      <x:c r="A490" t="s">
        <x:v>9</x:v>
      </x:c>
      <x:c r="B490" s="3" t="s">
        <x:v>57</x:v>
      </x:c>
      <x:c r="C490" s="3" t="s">
        <x:v>374</x:v>
      </x:c>
      <x:c r="D490" t="s">
        <x:v>677</x:v>
      </x:c>
      <x:c r="E490" s="6">
        <x:v>0</x:v>
      </x:c>
      <x:c r="F490" s="6">
        <x:v>0</x:v>
      </x:c>
      <x:c r="G490" s="6">
        <x:v>0</x:v>
      </x:c>
      <x:c r="H490" s="6">
        <x:f t="shared" si="24"/>
        <x:v>0</x:v>
      </x:c>
      <x:c r="I490" s="6">
        <x:v>56879.16</x:v>
      </x:c>
      <x:c r="J490" s="6">
        <x:v>0</x:v>
      </x:c>
      <x:c r="K490" s="6">
        <x:f t="shared" si="25"/>
        <x:v>56879.16</x:v>
      </x:c>
      <x:c r="L490" s="6">
        <x:v>0</x:v>
      </x:c>
      <x:c r="M490" s="6">
        <x:v>0</x:v>
      </x:c>
      <x:c r="N490" s="6">
        <x:f t="shared" si="26"/>
        <x:v>56879.16</x:v>
      </x:c>
    </x:row>
    <x:row r="491" spans="1:14" x14ac:dyDescent="0.25">
      <x:c r="A491" t="s">
        <x:v>9</x:v>
      </x:c>
      <x:c r="B491" s="3" t="s">
        <x:v>101</x:v>
      </x:c>
      <x:c r="C491" s="3" t="s">
        <x:v>418</x:v>
      </x:c>
      <x:c r="D491" t="s">
        <x:v>677</x:v>
      </x:c>
      <x:c r="E491" s="6">
        <x:v>0</x:v>
      </x:c>
      <x:c r="F491" s="6">
        <x:v>0</x:v>
      </x:c>
      <x:c r="G491" s="6">
        <x:v>0</x:v>
      </x:c>
      <x:c r="H491" s="6">
        <x:f t="shared" si="24"/>
        <x:v>0</x:v>
      </x:c>
      <x:c r="I491" s="6">
        <x:v>162.62</x:v>
      </x:c>
      <x:c r="J491" s="6">
        <x:v>0</x:v>
      </x:c>
      <x:c r="K491" s="6">
        <x:f t="shared" si="25"/>
        <x:v>162.62</x:v>
      </x:c>
      <x:c r="L491" s="6">
        <x:v>0</x:v>
      </x:c>
      <x:c r="M491" s="6">
        <x:v>0</x:v>
      </x:c>
      <x:c r="N491" s="6">
        <x:f t="shared" si="26"/>
        <x:v>162.62</x:v>
      </x:c>
    </x:row>
    <x:row r="492" spans="1:14" x14ac:dyDescent="0.25">
      <x:c r="A492" t="s">
        <x:v>9</x:v>
      </x:c>
      <x:c r="B492" s="3" t="s">
        <x:v>102</x:v>
      </x:c>
      <x:c r="C492" s="3" t="s">
        <x:v>419</x:v>
      </x:c>
      <x:c r="D492" t="s">
        <x:v>677</x:v>
      </x:c>
      <x:c r="E492" s="6">
        <x:v>0</x:v>
      </x:c>
      <x:c r="F492" s="6">
        <x:v>0</x:v>
      </x:c>
      <x:c r="G492" s="6">
        <x:v>0</x:v>
      </x:c>
      <x:c r="H492" s="6">
        <x:f t="shared" si="24"/>
        <x:v>0</x:v>
      </x:c>
      <x:c r="I492" s="6">
        <x:v>11305.840000000004</x:v>
      </x:c>
      <x:c r="J492" s="6">
        <x:v>0</x:v>
      </x:c>
      <x:c r="K492" s="6">
        <x:f t="shared" si="25"/>
        <x:v>11305.840000000004</x:v>
      </x:c>
      <x:c r="L492" s="6">
        <x:v>0</x:v>
      </x:c>
      <x:c r="M492" s="6">
        <x:v>0</x:v>
      </x:c>
      <x:c r="N492" s="6">
        <x:f t="shared" si="26"/>
        <x:v>11305.840000000004</x:v>
      </x:c>
    </x:row>
    <x:row r="493" spans="1:14" x14ac:dyDescent="0.25">
      <x:c r="A493" t="s">
        <x:v>9</x:v>
      </x:c>
      <x:c r="B493" s="3" t="s">
        <x:v>103</x:v>
      </x:c>
      <x:c r="C493" s="3" t="s">
        <x:v>420</x:v>
      </x:c>
      <x:c r="D493" t="s">
        <x:v>677</x:v>
      </x:c>
      <x:c r="E493" s="6">
        <x:v>0</x:v>
      </x:c>
      <x:c r="F493" s="6">
        <x:v>0</x:v>
      </x:c>
      <x:c r="G493" s="6">
        <x:v>0</x:v>
      </x:c>
      <x:c r="H493" s="6">
        <x:f t="shared" si="24"/>
        <x:v>0</x:v>
      </x:c>
      <x:c r="I493" s="6">
        <x:v>41487.780000000006</x:v>
      </x:c>
      <x:c r="J493" s="6">
        <x:v>0</x:v>
      </x:c>
      <x:c r="K493" s="6">
        <x:f t="shared" si="25"/>
        <x:v>41487.780000000006</x:v>
      </x:c>
      <x:c r="L493" s="6">
        <x:v>0</x:v>
      </x:c>
      <x:c r="M493" s="6">
        <x:v>0</x:v>
      </x:c>
      <x:c r="N493" s="6">
        <x:f t="shared" si="26"/>
        <x:v>41487.780000000006</x:v>
      </x:c>
    </x:row>
    <x:row r="494" spans="1:14" x14ac:dyDescent="0.25">
      <x:c r="A494" t="s">
        <x:v>9</x:v>
      </x:c>
      <x:c r="B494" s="3" t="s">
        <x:v>104</x:v>
      </x:c>
      <x:c r="C494" s="3" t="s">
        <x:v>421</x:v>
      </x:c>
      <x:c r="D494" t="s">
        <x:v>677</x:v>
      </x:c>
      <x:c r="E494" s="6">
        <x:v>0</x:v>
      </x:c>
      <x:c r="F494" s="6">
        <x:v>0</x:v>
      </x:c>
      <x:c r="G494" s="6">
        <x:v>0</x:v>
      </x:c>
      <x:c r="H494" s="6">
        <x:f t="shared" si="24"/>
        <x:v>0</x:v>
      </x:c>
      <x:c r="I494" s="6">
        <x:v>39123.490000000005</x:v>
      </x:c>
      <x:c r="J494" s="6">
        <x:v>0</x:v>
      </x:c>
      <x:c r="K494" s="6">
        <x:f t="shared" si="25"/>
        <x:v>39123.490000000005</x:v>
      </x:c>
      <x:c r="L494" s="6">
        <x:v>0</x:v>
      </x:c>
      <x:c r="M494" s="6">
        <x:v>0</x:v>
      </x:c>
      <x:c r="N494" s="6">
        <x:f t="shared" si="26"/>
        <x:v>39123.490000000005</x:v>
      </x:c>
    </x:row>
    <x:row r="495" spans="1:14" x14ac:dyDescent="0.25">
      <x:c r="A495" t="s">
        <x:v>9</x:v>
      </x:c>
      <x:c r="B495" s="3" t="s">
        <x:v>105</x:v>
      </x:c>
      <x:c r="C495" s="3" t="s">
        <x:v>422</x:v>
      </x:c>
      <x:c r="D495" t="s">
        <x:v>677</x:v>
      </x:c>
      <x:c r="E495" s="6">
        <x:v>0</x:v>
      </x:c>
      <x:c r="F495" s="6">
        <x:v>0</x:v>
      </x:c>
      <x:c r="G495" s="6">
        <x:v>0</x:v>
      </x:c>
      <x:c r="H495" s="6">
        <x:f t="shared" si="24"/>
        <x:v>0</x:v>
      </x:c>
      <x:c r="I495" s="6">
        <x:v>20890.87</x:v>
      </x:c>
      <x:c r="J495" s="6">
        <x:v>0</x:v>
      </x:c>
      <x:c r="K495" s="6">
        <x:f t="shared" si="25"/>
        <x:v>20890.87</x:v>
      </x:c>
      <x:c r="L495" s="6">
        <x:v>0</x:v>
      </x:c>
      <x:c r="M495" s="6">
        <x:v>0</x:v>
      </x:c>
      <x:c r="N495" s="6">
        <x:f t="shared" si="26"/>
        <x:v>20890.87</x:v>
      </x:c>
    </x:row>
    <x:row r="496" spans="1:14" x14ac:dyDescent="0.25">
      <x:c r="A496" t="s">
        <x:v>9</x:v>
      </x:c>
      <x:c r="B496" s="3" t="s">
        <x:v>106</x:v>
      </x:c>
      <x:c r="C496" s="3" t="s">
        <x:v>423</x:v>
      </x:c>
      <x:c r="D496" t="s">
        <x:v>677</x:v>
      </x:c>
      <x:c r="E496" s="6">
        <x:v>0</x:v>
      </x:c>
      <x:c r="F496" s="6">
        <x:v>0</x:v>
      </x:c>
      <x:c r="G496" s="6">
        <x:v>0</x:v>
      </x:c>
      <x:c r="H496" s="6">
        <x:f t="shared" si="24"/>
        <x:v>0</x:v>
      </x:c>
      <x:c r="I496" s="6">
        <x:v>0.76</x:v>
      </x:c>
      <x:c r="J496" s="6">
        <x:v>0</x:v>
      </x:c>
      <x:c r="K496" s="6">
        <x:f t="shared" si="25"/>
        <x:v>0.76</x:v>
      </x:c>
      <x:c r="L496" s="6">
        <x:v>0</x:v>
      </x:c>
      <x:c r="M496" s="6">
        <x:v>0</x:v>
      </x:c>
      <x:c r="N496" s="6">
        <x:f t="shared" si="26"/>
        <x:v>0.76</x:v>
      </x:c>
    </x:row>
    <x:row r="497" spans="1:14" x14ac:dyDescent="0.25">
      <x:c r="A497" t="s">
        <x:v>9</x:v>
      </x:c>
      <x:c r="B497" s="3" t="s">
        <x:v>107</x:v>
      </x:c>
      <x:c r="C497" s="3" t="s">
        <x:v>424</x:v>
      </x:c>
      <x:c r="D497" t="s">
        <x:v>677</x:v>
      </x:c>
      <x:c r="E497" s="6">
        <x:v>0</x:v>
      </x:c>
      <x:c r="F497" s="6">
        <x:v>0</x:v>
      </x:c>
      <x:c r="G497" s="6">
        <x:v>0</x:v>
      </x:c>
      <x:c r="H497" s="6">
        <x:f t="shared" si="24"/>
        <x:v>0</x:v>
      </x:c>
      <x:c r="I497" s="6">
        <x:v>36899.430000000008</x:v>
      </x:c>
      <x:c r="J497" s="6">
        <x:v>0</x:v>
      </x:c>
      <x:c r="K497" s="6">
        <x:f t="shared" si="25"/>
        <x:v>36899.430000000008</x:v>
      </x:c>
      <x:c r="L497" s="6">
        <x:v>0</x:v>
      </x:c>
      <x:c r="M497" s="6">
        <x:v>0</x:v>
      </x:c>
      <x:c r="N497" s="6">
        <x:f t="shared" si="26"/>
        <x:v>36899.430000000008</x:v>
      </x:c>
    </x:row>
    <x:row r="498" spans="1:14" x14ac:dyDescent="0.25">
      <x:c r="A498" t="s">
        <x:v>9</x:v>
      </x:c>
      <x:c r="B498" s="3" t="s">
        <x:v>108</x:v>
      </x:c>
      <x:c r="C498" s="3" t="s">
        <x:v>425</x:v>
      </x:c>
      <x:c r="D498" t="s">
        <x:v>677</x:v>
      </x:c>
      <x:c r="E498" s="6">
        <x:v>0</x:v>
      </x:c>
      <x:c r="F498" s="6">
        <x:v>0</x:v>
      </x:c>
      <x:c r="G498" s="6">
        <x:v>0</x:v>
      </x:c>
      <x:c r="H498" s="6">
        <x:f t="shared" si="24"/>
        <x:v>0</x:v>
      </x:c>
      <x:c r="I498" s="6">
        <x:v>23034.82</x:v>
      </x:c>
      <x:c r="J498" s="6">
        <x:v>0</x:v>
      </x:c>
      <x:c r="K498" s="6">
        <x:f t="shared" si="25"/>
        <x:v>23034.82</x:v>
      </x:c>
      <x:c r="L498" s="6">
        <x:v>0</x:v>
      </x:c>
      <x:c r="M498" s="6">
        <x:v>0</x:v>
      </x:c>
      <x:c r="N498" s="6">
        <x:f t="shared" si="26"/>
        <x:v>23034.82</x:v>
      </x:c>
    </x:row>
    <x:row r="499" spans="1:14" x14ac:dyDescent="0.25">
      <x:c r="A499" t="s">
        <x:v>9</x:v>
      </x:c>
      <x:c r="B499" s="3" t="s">
        <x:v>109</x:v>
      </x:c>
      <x:c r="C499" s="3" t="s">
        <x:v>426</x:v>
      </x:c>
      <x:c r="D499" t="s">
        <x:v>677</x:v>
      </x:c>
      <x:c r="E499" s="6">
        <x:v>0</x:v>
      </x:c>
      <x:c r="F499" s="6">
        <x:v>0</x:v>
      </x:c>
      <x:c r="G499" s="6">
        <x:v>0</x:v>
      </x:c>
      <x:c r="H499" s="6">
        <x:f t="shared" si="24"/>
        <x:v>0</x:v>
      </x:c>
      <x:c r="I499" s="6">
        <x:v>39612.199999999997</x:v>
      </x:c>
      <x:c r="J499" s="6">
        <x:v>0</x:v>
      </x:c>
      <x:c r="K499" s="6">
        <x:f t="shared" si="25"/>
        <x:v>39612.199999999997</x:v>
      </x:c>
      <x:c r="L499" s="6">
        <x:v>0</x:v>
      </x:c>
      <x:c r="M499" s="6">
        <x:v>0</x:v>
      </x:c>
      <x:c r="N499" s="6">
        <x:f t="shared" si="26"/>
        <x:v>39612.199999999997</x:v>
      </x:c>
    </x:row>
    <x:row r="500" spans="1:14" x14ac:dyDescent="0.25">
      <x:c r="A500" t="s">
        <x:v>9</x:v>
      </x:c>
      <x:c r="B500" s="3" t="s">
        <x:v>110</x:v>
      </x:c>
      <x:c r="C500" s="3" t="s">
        <x:v>427</x:v>
      </x:c>
      <x:c r="D500" t="s">
        <x:v>677</x:v>
      </x:c>
      <x:c r="E500" s="6">
        <x:v>0</x:v>
      </x:c>
      <x:c r="F500" s="6">
        <x:v>0</x:v>
      </x:c>
      <x:c r="G500" s="6">
        <x:v>0</x:v>
      </x:c>
      <x:c r="H500" s="6">
        <x:f t="shared" si="24"/>
        <x:v>0</x:v>
      </x:c>
      <x:c r="I500" s="6">
        <x:v>29476.25</x:v>
      </x:c>
      <x:c r="J500" s="6">
        <x:v>0</x:v>
      </x:c>
      <x:c r="K500" s="6">
        <x:f t="shared" si="25"/>
        <x:v>29476.25</x:v>
      </x:c>
      <x:c r="L500" s="6">
        <x:v>0</x:v>
      </x:c>
      <x:c r="M500" s="6">
        <x:v>0</x:v>
      </x:c>
      <x:c r="N500" s="6">
        <x:f t="shared" si="26"/>
        <x:v>29476.25</x:v>
      </x:c>
    </x:row>
    <x:row r="501" spans="1:14" x14ac:dyDescent="0.25">
      <x:c r="A501" t="s">
        <x:v>9</x:v>
      </x:c>
      <x:c r="B501" s="3" t="s">
        <x:v>111</x:v>
      </x:c>
      <x:c r="C501" s="3" t="s">
        <x:v>428</x:v>
      </x:c>
      <x:c r="D501" t="s">
        <x:v>676</x:v>
      </x:c>
      <x:c r="E501" s="6">
        <x:v>0</x:v>
      </x:c>
      <x:c r="F501" s="6">
        <x:v>0</x:v>
      </x:c>
      <x:c r="G501" s="6">
        <x:v>0</x:v>
      </x:c>
      <x:c r="H501" s="6">
        <x:f t="shared" si="24"/>
        <x:v>0</x:v>
      </x:c>
      <x:c r="I501" s="6">
        <x:v>0</x:v>
      </x:c>
      <x:c r="J501" s="6">
        <x:v>0</x:v>
      </x:c>
      <x:c r="K501" s="6">
        <x:f t="shared" si="25"/>
        <x:v>0</x:v>
      </x:c>
      <x:c r="L501" s="6">
        <x:v>6865.0199999999995</x:v>
      </x:c>
      <x:c r="M501" s="6">
        <x:v>0</x:v>
      </x:c>
      <x:c r="N501" s="6">
        <x:f t="shared" si="26"/>
        <x:v>6865.0199999999995</x:v>
      </x:c>
    </x:row>
    <x:row r="502" spans="1:14" x14ac:dyDescent="0.25">
      <x:c r="A502" t="s">
        <x:v>9</x:v>
      </x:c>
      <x:c r="B502" s="3" t="s">
        <x:v>112</x:v>
      </x:c>
      <x:c r="C502" s="3" t="s">
        <x:v>429</x:v>
      </x:c>
      <x:c r="D502" t="s">
        <x:v>676</x:v>
      </x:c>
      <x:c r="E502" s="6">
        <x:v>0</x:v>
      </x:c>
      <x:c r="F502" s="6">
        <x:v>0</x:v>
      </x:c>
      <x:c r="G502" s="6">
        <x:v>0</x:v>
      </x:c>
      <x:c r="H502" s="6">
        <x:f t="shared" si="24"/>
        <x:v>0</x:v>
      </x:c>
      <x:c r="I502" s="6">
        <x:v>0</x:v>
      </x:c>
      <x:c r="J502" s="6">
        <x:v>0</x:v>
      </x:c>
      <x:c r="K502" s="6">
        <x:f t="shared" si="25"/>
        <x:v>0</x:v>
      </x:c>
      <x:c r="L502" s="6">
        <x:v>250.7</x:v>
      </x:c>
      <x:c r="M502" s="6">
        <x:v>0</x:v>
      </x:c>
      <x:c r="N502" s="6">
        <x:f t="shared" si="26"/>
        <x:v>250.7</x:v>
      </x:c>
    </x:row>
    <x:row r="503" spans="1:14" x14ac:dyDescent="0.25">
      <x:c r="A503" t="s">
        <x:v>9</x:v>
      </x:c>
      <x:c r="B503" s="3" t="s">
        <x:v>113</x:v>
      </x:c>
      <x:c r="C503" s="3" t="s">
        <x:v>430</x:v>
      </x:c>
      <x:c r="D503" t="s">
        <x:v>676</x:v>
      </x:c>
      <x:c r="E503" s="6">
        <x:v>0</x:v>
      </x:c>
      <x:c r="F503" s="6">
        <x:v>0</x:v>
      </x:c>
      <x:c r="G503" s="6">
        <x:v>0</x:v>
      </x:c>
      <x:c r="H503" s="6">
        <x:f t="shared" si="24"/>
        <x:v>0</x:v>
      </x:c>
      <x:c r="I503" s="6">
        <x:v>0</x:v>
      </x:c>
      <x:c r="J503" s="6">
        <x:v>0</x:v>
      </x:c>
      <x:c r="K503" s="6">
        <x:f t="shared" si="25"/>
        <x:v>0</x:v>
      </x:c>
      <x:c r="L503" s="6">
        <x:v>30184.98</x:v>
      </x:c>
      <x:c r="M503" s="6">
        <x:v>0</x:v>
      </x:c>
      <x:c r="N503" s="6">
        <x:f t="shared" si="26"/>
        <x:v>30184.98</x:v>
      </x:c>
    </x:row>
    <x:row r="504" spans="1:14" x14ac:dyDescent="0.25">
      <x:c r="A504" t="s">
        <x:v>9</x:v>
      </x:c>
      <x:c r="B504" s="3" t="s">
        <x:v>44</x:v>
      </x:c>
      <x:c r="C504" s="3" t="s">
        <x:v>361</x:v>
      </x:c>
      <x:c r="D504" t="s">
        <x:v>676</x:v>
      </x:c>
      <x:c r="E504" s="6">
        <x:v>0</x:v>
      </x:c>
      <x:c r="F504" s="6">
        <x:v>0</x:v>
      </x:c>
      <x:c r="G504" s="6">
        <x:v>0</x:v>
      </x:c>
      <x:c r="H504" s="6">
        <x:f t="shared" si="24"/>
        <x:v>0</x:v>
      </x:c>
      <x:c r="I504" s="6">
        <x:v>0</x:v>
      </x:c>
      <x:c r="J504" s="6">
        <x:v>0</x:v>
      </x:c>
      <x:c r="K504" s="6">
        <x:f t="shared" si="25"/>
        <x:v>0</x:v>
      </x:c>
      <x:c r="L504" s="6">
        <x:v>597215.42999999993</x:v>
      </x:c>
      <x:c r="M504" s="6">
        <x:v>0</x:v>
      </x:c>
      <x:c r="N504" s="6">
        <x:f t="shared" si="26"/>
        <x:v>597215.42999999993</x:v>
      </x:c>
    </x:row>
    <x:row r="505" spans="1:14" x14ac:dyDescent="0.25">
      <x:c r="A505" t="s">
        <x:v>9</x:v>
      </x:c>
      <x:c r="B505" s="3" t="s">
        <x:v>114</x:v>
      </x:c>
      <x:c r="C505" s="3" t="s">
        <x:v>431</x:v>
      </x:c>
      <x:c r="D505" t="s">
        <x:v>676</x:v>
      </x:c>
      <x:c r="E505" s="6">
        <x:v>0</x:v>
      </x:c>
      <x:c r="F505" s="6">
        <x:v>0</x:v>
      </x:c>
      <x:c r="G505" s="6">
        <x:v>0</x:v>
      </x:c>
      <x:c r="H505" s="6">
        <x:f t="shared" si="24"/>
        <x:v>0</x:v>
      </x:c>
      <x:c r="I505" s="6">
        <x:v>0</x:v>
      </x:c>
      <x:c r="J505" s="6">
        <x:v>0</x:v>
      </x:c>
      <x:c r="K505" s="6">
        <x:f t="shared" si="25"/>
        <x:v>0</x:v>
      </x:c>
      <x:c r="L505" s="6">
        <x:v>14822.4</x:v>
      </x:c>
      <x:c r="M505" s="6">
        <x:v>0</x:v>
      </x:c>
      <x:c r="N505" s="6">
        <x:f t="shared" si="26"/>
        <x:v>14822.4</x:v>
      </x:c>
    </x:row>
    <x:row r="506" spans="1:14" x14ac:dyDescent="0.25">
      <x:c r="A506" t="s">
        <x:v>9</x:v>
      </x:c>
      <x:c r="B506" s="3" t="s">
        <x:v>115</x:v>
      </x:c>
      <x:c r="C506" s="3" t="s">
        <x:v>432</x:v>
      </x:c>
      <x:c r="D506" t="s">
        <x:v>676</x:v>
      </x:c>
      <x:c r="E506" s="6">
        <x:v>0</x:v>
      </x:c>
      <x:c r="F506" s="6">
        <x:v>0</x:v>
      </x:c>
      <x:c r="G506" s="6">
        <x:v>0</x:v>
      </x:c>
      <x:c r="H506" s="6">
        <x:f t="shared" si="24"/>
        <x:v>0</x:v>
      </x:c>
      <x:c r="I506" s="6">
        <x:v>0</x:v>
      </x:c>
      <x:c r="J506" s="6">
        <x:v>0</x:v>
      </x:c>
      <x:c r="K506" s="6">
        <x:f t="shared" si="25"/>
        <x:v>0</x:v>
      </x:c>
      <x:c r="L506" s="6">
        <x:v>702.75</x:v>
      </x:c>
      <x:c r="M506" s="6">
        <x:v>0</x:v>
      </x:c>
      <x:c r="N506" s="6">
        <x:f t="shared" si="26"/>
        <x:v>702.75</x:v>
      </x:c>
    </x:row>
    <x:row r="507" spans="1:14" x14ac:dyDescent="0.25">
      <x:c r="A507" t="s">
        <x:v>9</x:v>
      </x:c>
      <x:c r="B507" s="3" t="s">
        <x:v>116</x:v>
      </x:c>
      <x:c r="C507" s="3" t="s">
        <x:v>433</x:v>
      </x:c>
      <x:c r="D507" t="s">
        <x:v>676</x:v>
      </x:c>
      <x:c r="E507" s="6">
        <x:v>0</x:v>
      </x:c>
      <x:c r="F507" s="6">
        <x:v>0</x:v>
      </x:c>
      <x:c r="G507" s="6">
        <x:v>0</x:v>
      </x:c>
      <x:c r="H507" s="6">
        <x:f t="shared" si="24"/>
        <x:v>0</x:v>
      </x:c>
      <x:c r="I507" s="6">
        <x:v>0</x:v>
      </x:c>
      <x:c r="J507" s="6">
        <x:v>0</x:v>
      </x:c>
      <x:c r="K507" s="6">
        <x:f t="shared" si="25"/>
        <x:v>0</x:v>
      </x:c>
      <x:c r="L507" s="6">
        <x:v>317.02</x:v>
      </x:c>
      <x:c r="M507" s="6">
        <x:v>0</x:v>
      </x:c>
      <x:c r="N507" s="6">
        <x:f t="shared" si="26"/>
        <x:v>317.02</x:v>
      </x:c>
    </x:row>
    <x:row r="508" spans="1:14" x14ac:dyDescent="0.25">
      <x:c r="A508" t="s">
        <x:v>9</x:v>
      </x:c>
      <x:c r="B508" s="3" t="s">
        <x:v>117</x:v>
      </x:c>
      <x:c r="C508" s="3" t="s">
        <x:v>434</x:v>
      </x:c>
      <x:c r="D508" t="s">
        <x:v>676</x:v>
      </x:c>
      <x:c r="E508" s="6">
        <x:v>0</x:v>
      </x:c>
      <x:c r="F508" s="6">
        <x:v>0</x:v>
      </x:c>
      <x:c r="G508" s="6">
        <x:v>0</x:v>
      </x:c>
      <x:c r="H508" s="6">
        <x:f t="shared" si="24"/>
        <x:v>0</x:v>
      </x:c>
      <x:c r="I508" s="6">
        <x:v>0</x:v>
      </x:c>
      <x:c r="J508" s="6">
        <x:v>0</x:v>
      </x:c>
      <x:c r="K508" s="6">
        <x:f t="shared" si="25"/>
        <x:v>0</x:v>
      </x:c>
      <x:c r="L508" s="6">
        <x:v>167.25</x:v>
      </x:c>
      <x:c r="M508" s="6">
        <x:v>0</x:v>
      </x:c>
      <x:c r="N508" s="6">
        <x:f t="shared" si="26"/>
        <x:v>167.25</x:v>
      </x:c>
    </x:row>
    <x:row r="509" spans="1:14" x14ac:dyDescent="0.25">
      <x:c r="A509" t="s">
        <x:v>9</x:v>
      </x:c>
      <x:c r="B509" s="3" t="s">
        <x:v>118</x:v>
      </x:c>
      <x:c r="C509" s="3" t="s">
        <x:v>435</x:v>
      </x:c>
      <x:c r="D509" t="s">
        <x:v>677</x:v>
      </x:c>
      <x:c r="E509" s="6">
        <x:v>0</x:v>
      </x:c>
      <x:c r="F509" s="6">
        <x:v>0</x:v>
      </x:c>
      <x:c r="G509" s="6">
        <x:v>0</x:v>
      </x:c>
      <x:c r="H509" s="6">
        <x:f t="shared" si="24"/>
        <x:v>0</x:v>
      </x:c>
      <x:c r="I509" s="6">
        <x:v>29069.149999999998</x:v>
      </x:c>
      <x:c r="J509" s="6">
        <x:v>0</x:v>
      </x:c>
      <x:c r="K509" s="6">
        <x:f t="shared" si="25"/>
        <x:v>29069.149999999998</x:v>
      </x:c>
      <x:c r="L509" s="6">
        <x:v>0</x:v>
      </x:c>
      <x:c r="M509" s="6">
        <x:v>0</x:v>
      </x:c>
      <x:c r="N509" s="6">
        <x:f t="shared" si="26"/>
        <x:v>29069.149999999998</x:v>
      </x:c>
    </x:row>
    <x:row r="510" spans="1:14" x14ac:dyDescent="0.25">
      <x:c r="A510" t="s">
        <x:v>9</x:v>
      </x:c>
      <x:c r="B510" s="3" t="s">
        <x:v>119</x:v>
      </x:c>
      <x:c r="C510" s="3" t="s">
        <x:v>436</x:v>
      </x:c>
      <x:c r="D510" t="s">
        <x:v>676</x:v>
      </x:c>
      <x:c r="E510" s="6">
        <x:v>0</x:v>
      </x:c>
      <x:c r="F510" s="6">
        <x:v>0</x:v>
      </x:c>
      <x:c r="G510" s="6">
        <x:v>0</x:v>
      </x:c>
      <x:c r="H510" s="6">
        <x:f t="shared" si="24"/>
        <x:v>0</x:v>
      </x:c>
      <x:c r="I510" s="6">
        <x:v>-77.92</x:v>
      </x:c>
      <x:c r="J510" s="6">
        <x:v>0</x:v>
      </x:c>
      <x:c r="K510" s="6">
        <x:f t="shared" si="25"/>
        <x:v>-77.92</x:v>
      </x:c>
      <x:c r="L510" s="6">
        <x:v>0</x:v>
      </x:c>
      <x:c r="M510" s="6">
        <x:v>0</x:v>
      </x:c>
      <x:c r="N510" s="6">
        <x:f t="shared" si="26"/>
        <x:v>-77.92</x:v>
      </x:c>
    </x:row>
    <x:row r="511" spans="1:14" x14ac:dyDescent="0.25">
      <x:c r="A511" t="s">
        <x:v>9</x:v>
      </x:c>
      <x:c r="B511" s="3" t="s">
        <x:v>120</x:v>
      </x:c>
      <x:c r="C511" s="3" t="s">
        <x:v>437</x:v>
      </x:c>
      <x:c r="D511" t="s">
        <x:v>677</x:v>
      </x:c>
      <x:c r="E511" s="6">
        <x:v>0</x:v>
      </x:c>
      <x:c r="F511" s="6">
        <x:v>0</x:v>
      </x:c>
      <x:c r="G511" s="6">
        <x:v>0</x:v>
      </x:c>
      <x:c r="H511" s="6">
        <x:f t="shared" si="24"/>
        <x:v>0</x:v>
      </x:c>
      <x:c r="I511" s="6">
        <x:v>7779.4400000000005</x:v>
      </x:c>
      <x:c r="J511" s="6">
        <x:v>0</x:v>
      </x:c>
      <x:c r="K511" s="6">
        <x:f t="shared" si="25"/>
        <x:v>7779.4400000000005</x:v>
      </x:c>
      <x:c r="L511" s="6">
        <x:v>0</x:v>
      </x:c>
      <x:c r="M511" s="6">
        <x:v>0</x:v>
      </x:c>
      <x:c r="N511" s="6">
        <x:f t="shared" si="26"/>
        <x:v>7779.4400000000005</x:v>
      </x:c>
    </x:row>
    <x:row r="512" spans="1:14" x14ac:dyDescent="0.25">
      <x:c r="A512" t="s">
        <x:v>9</x:v>
      </x:c>
      <x:c r="B512" s="3" t="s">
        <x:v>121</x:v>
      </x:c>
      <x:c r="C512" s="3" t="s">
        <x:v>438</x:v>
      </x:c>
      <x:c r="D512" t="s">
        <x:v>677</x:v>
      </x:c>
      <x:c r="E512" s="6">
        <x:v>0</x:v>
      </x:c>
      <x:c r="F512" s="6">
        <x:v>0</x:v>
      </x:c>
      <x:c r="G512" s="6">
        <x:v>0</x:v>
      </x:c>
      <x:c r="H512" s="6">
        <x:f t="shared" si="24"/>
        <x:v>0</x:v>
      </x:c>
      <x:c r="I512" s="6">
        <x:v>1168.32</x:v>
      </x:c>
      <x:c r="J512" s="6">
        <x:v>0</x:v>
      </x:c>
      <x:c r="K512" s="6">
        <x:f t="shared" si="25"/>
        <x:v>1168.32</x:v>
      </x:c>
      <x:c r="L512" s="6">
        <x:v>0</x:v>
      </x:c>
      <x:c r="M512" s="6">
        <x:v>0</x:v>
      </x:c>
      <x:c r="N512" s="6">
        <x:f t="shared" si="26"/>
        <x:v>1168.32</x:v>
      </x:c>
    </x:row>
    <x:row r="513" spans="1:14" x14ac:dyDescent="0.25">
      <x:c r="A513" t="s">
        <x:v>9</x:v>
      </x:c>
      <x:c r="B513" t="s">
        <x:v>700</x:v>
      </x:c>
      <x:c r="C513" t="s">
        <x:v>701</x:v>
      </x:c>
      <x:c r="D513" t="s">
        <x:v>832</x:v>
      </x:c>
      <x:c r="E513" s="6">
        <x:v>-7500</x:v>
      </x:c>
      <x:c r="F513" s="6">
        <x:v>0</x:v>
      </x:c>
      <x:c r="G513" s="6">
        <x:v>0</x:v>
      </x:c>
      <x:c r="H513" s="6">
        <x:f t="shared" si="24"/>
        <x:v>-7500</x:v>
      </x:c>
      <x:c r="I513" s="6">
        <x:v>43.29</x:v>
      </x:c>
      <x:c r="J513" s="6">
        <x:v>0</x:v>
      </x:c>
      <x:c r="K513" s="6">
        <x:f t="shared" si="25"/>
        <x:v>43.29</x:v>
      </x:c>
      <x:c r="L513" s="6">
        <x:v>0</x:v>
      </x:c>
      <x:c r="M513" s="6">
        <x:v>0</x:v>
      </x:c>
      <x:c r="N513" s="6">
        <x:f t="shared" si="26"/>
        <x:v>-7456.71</x:v>
      </x:c>
    </x:row>
    <x:row r="514" spans="1:14" x14ac:dyDescent="0.25">
      <x:c r="A514" t="s">
        <x:v>9</x:v>
      </x:c>
      <x:c r="B514" t="s">
        <x:v>712</x:v>
      </x:c>
      <x:c r="C514" t="s">
        <x:v>713</x:v>
      </x:c>
      <x:c r="D514" t="s">
        <x:v>832</x:v>
      </x:c>
      <x:c r="E514" s="6">
        <x:v>0</x:v>
      </x:c>
      <x:c r="F514" s="6">
        <x:v>0</x:v>
      </x:c>
      <x:c r="G514" s="6">
        <x:v>0</x:v>
      </x:c>
      <x:c r="H514" s="6">
        <x:f t="shared" si="24"/>
        <x:v>0</x:v>
      </x:c>
      <x:c r="I514" s="6">
        <x:v>298.7</x:v>
      </x:c>
      <x:c r="J514" s="6">
        <x:v>0</x:v>
      </x:c>
      <x:c r="K514" s="6">
        <x:f t="shared" si="25"/>
        <x:v>298.7</x:v>
      </x:c>
      <x:c r="L514" s="6">
        <x:v>0</x:v>
      </x:c>
      <x:c r="M514" s="6">
        <x:v>0</x:v>
      </x:c>
      <x:c r="N514" s="6">
        <x:f t="shared" si="26"/>
        <x:v>298.7</x:v>
      </x:c>
    </x:row>
    <x:row r="515" spans="1:14" x14ac:dyDescent="0.25">
      <x:c r="A515" t="s">
        <x:v>9</x:v>
      </x:c>
      <x:c r="B515" t="s">
        <x:v>716</x:v>
      </x:c>
      <x:c r="C515" t="s">
        <x:v>717</x:v>
      </x:c>
      <x:c r="D515" t="s">
        <x:v>832</x:v>
      </x:c>
      <x:c r="E515" s="6">
        <x:v>0</x:v>
      </x:c>
      <x:c r="F515" s="6">
        <x:v>0</x:v>
      </x:c>
      <x:c r="G515" s="6">
        <x:v>0</x:v>
      </x:c>
      <x:c r="H515" s="6">
        <x:f t="shared" si="24"/>
        <x:v>0</x:v>
      </x:c>
      <x:c r="I515" s="6">
        <x:v>21.68</x:v>
      </x:c>
      <x:c r="J515" s="6">
        <x:v>0</x:v>
      </x:c>
      <x:c r="K515" s="6">
        <x:f t="shared" si="25"/>
        <x:v>21.68</x:v>
      </x:c>
      <x:c r="L515" s="6">
        <x:v>0</x:v>
      </x:c>
      <x:c r="M515" s="6">
        <x:v>0</x:v>
      </x:c>
      <x:c r="N515" s="6">
        <x:f t="shared" si="26"/>
        <x:v>21.68</x:v>
      </x:c>
    </x:row>
    <x:row r="516" spans="1:14" x14ac:dyDescent="0.25">
      <x:c r="A516" t="s">
        <x:v>9</x:v>
      </x:c>
      <x:c r="B516" t="s">
        <x:v>730</x:v>
      </x:c>
      <x:c r="C516" t="s">
        <x:v>731</x:v>
      </x:c>
      <x:c r="D516" t="s">
        <x:v>832</x:v>
      </x:c>
      <x:c r="E516" s="6">
        <x:v>535.29</x:v>
      </x:c>
      <x:c r="F516" s="6">
        <x:v>0</x:v>
      </x:c>
      <x:c r="G516" s="6">
        <x:v>0</x:v>
      </x:c>
      <x:c r="H516" s="6">
        <x:f t="shared" si="24"/>
        <x:v>535.29</x:v>
      </x:c>
      <x:c r="I516" s="6">
        <x:v>0</x:v>
      </x:c>
      <x:c r="J516" s="6">
        <x:v>0</x:v>
      </x:c>
      <x:c r="K516" s="6">
        <x:f t="shared" si="25"/>
        <x:v>0</x:v>
      </x:c>
      <x:c r="L516" s="6">
        <x:v>0</x:v>
      </x:c>
      <x:c r="M516" s="6">
        <x:v>0</x:v>
      </x:c>
      <x:c r="N516" s="6">
        <x:f t="shared" si="26"/>
        <x:v>535.29</x:v>
      </x:c>
    </x:row>
    <x:row r="517" spans="1:14" x14ac:dyDescent="0.25">
      <x:c r="A517" t="s">
        <x:v>9</x:v>
      </x:c>
      <x:c r="B517" s="3" t="s">
        <x:v>122</x:v>
      </x:c>
      <x:c r="C517" s="3" t="s">
        <x:v>439</x:v>
      </x:c>
      <x:c r="D517" t="s">
        <x:v>677</x:v>
      </x:c>
      <x:c r="E517" s="6">
        <x:v>0</x:v>
      </x:c>
      <x:c r="F517" s="6">
        <x:v>0</x:v>
      </x:c>
      <x:c r="G517" s="6">
        <x:v>0</x:v>
      </x:c>
      <x:c r="H517" s="6">
        <x:f t="shared" si="24"/>
        <x:v>0</x:v>
      </x:c>
      <x:c r="I517" s="6">
        <x:v>127728.26000000001</x:v>
      </x:c>
      <x:c r="J517" s="6">
        <x:v>0</x:v>
      </x:c>
      <x:c r="K517" s="6">
        <x:f t="shared" si="25"/>
        <x:v>127728.26000000001</x:v>
      </x:c>
      <x:c r="L517" s="6">
        <x:v>0</x:v>
      </x:c>
      <x:c r="M517" s="6">
        <x:v>0</x:v>
      </x:c>
      <x:c r="N517" s="6">
        <x:f t="shared" si="26"/>
        <x:v>127728.26000000001</x:v>
      </x:c>
    </x:row>
    <x:row r="518" spans="1:14" x14ac:dyDescent="0.25">
      <x:c r="A518" t="s">
        <x:v>9</x:v>
      </x:c>
      <x:c r="B518" s="3" t="s">
        <x:v>123</x:v>
      </x:c>
      <x:c r="C518" s="3" t="s">
        <x:v>440</x:v>
      </x:c>
      <x:c r="D518" t="s">
        <x:v>677</x:v>
      </x:c>
      <x:c r="E518" s="6">
        <x:v>0</x:v>
      </x:c>
      <x:c r="F518" s="6">
        <x:v>0</x:v>
      </x:c>
      <x:c r="G518" s="6">
        <x:v>0</x:v>
      </x:c>
      <x:c r="H518" s="6">
        <x:f t="shared" si="24"/>
        <x:v>0</x:v>
      </x:c>
      <x:c r="I518" s="6">
        <x:v>8646.5500000000011</x:v>
      </x:c>
      <x:c r="J518" s="6">
        <x:v>0</x:v>
      </x:c>
      <x:c r="K518" s="6">
        <x:f t="shared" si="25"/>
        <x:v>8646.5500000000011</x:v>
      </x:c>
      <x:c r="L518" s="6">
        <x:v>0</x:v>
      </x:c>
      <x:c r="M518" s="6">
        <x:v>0</x:v>
      </x:c>
      <x:c r="N518" s="6">
        <x:f t="shared" si="26"/>
        <x:v>8646.5500000000011</x:v>
      </x:c>
    </x:row>
    <x:row r="519" spans="1:14" x14ac:dyDescent="0.25">
      <x:c r="A519" t="s">
        <x:v>9</x:v>
      </x:c>
      <x:c r="B519" s="3" t="s">
        <x:v>124</x:v>
      </x:c>
      <x:c r="C519" s="3" t="s">
        <x:v>441</x:v>
      </x:c>
      <x:c r="D519" t="s">
        <x:v>677</x:v>
      </x:c>
      <x:c r="E519" s="6">
        <x:v>0</x:v>
      </x:c>
      <x:c r="F519" s="6">
        <x:v>0</x:v>
      </x:c>
      <x:c r="G519" s="6">
        <x:v>0</x:v>
      </x:c>
      <x:c r="H519" s="6">
        <x:f t="shared" si="24"/>
        <x:v>0</x:v>
      </x:c>
      <x:c r="I519" s="6">
        <x:v>16958.41</x:v>
      </x:c>
      <x:c r="J519" s="6">
        <x:v>0</x:v>
      </x:c>
      <x:c r="K519" s="6">
        <x:f t="shared" si="25"/>
        <x:v>16958.41</x:v>
      </x:c>
      <x:c r="L519" s="6">
        <x:v>0</x:v>
      </x:c>
      <x:c r="M519" s="6">
        <x:v>0</x:v>
      </x:c>
      <x:c r="N519" s="6">
        <x:f t="shared" si="26"/>
        <x:v>16958.41</x:v>
      </x:c>
    </x:row>
    <x:row r="520" spans="1:14" x14ac:dyDescent="0.25">
      <x:c r="A520" t="s">
        <x:v>9</x:v>
      </x:c>
      <x:c r="B520" s="3" t="s">
        <x:v>125</x:v>
      </x:c>
      <x:c r="C520" s="3" t="s">
        <x:v>442</x:v>
      </x:c>
      <x:c r="D520" t="s">
        <x:v>676</x:v>
      </x:c>
      <x:c r="E520" s="6">
        <x:v>0</x:v>
      </x:c>
      <x:c r="F520" s="6">
        <x:v>0</x:v>
      </x:c>
      <x:c r="G520" s="6">
        <x:v>0</x:v>
      </x:c>
      <x:c r="H520" s="6">
        <x:f t="shared" si="24"/>
        <x:v>0</x:v>
      </x:c>
      <x:c r="I520" s="6">
        <x:v>0</x:v>
      </x:c>
      <x:c r="J520" s="6">
        <x:v>0</x:v>
      </x:c>
      <x:c r="K520" s="6">
        <x:f t="shared" si="25"/>
        <x:v>0</x:v>
      </x:c>
      <x:c r="L520" s="6">
        <x:v>0</x:v>
      </x:c>
      <x:c r="M520" s="6">
        <x:v>39833.15</x:v>
      </x:c>
      <x:c r="N520" s="6">
        <x:f t="shared" si="26"/>
        <x:v>39833.15</x:v>
      </x:c>
    </x:row>
    <x:row r="521" spans="1:14" x14ac:dyDescent="0.25">
      <x:c r="A521" t="s">
        <x:v>9</x:v>
      </x:c>
      <x:c r="B521" s="3" t="s">
        <x:v>126</x:v>
      </x:c>
      <x:c r="C521" s="3" t="s">
        <x:v>443</x:v>
      </x:c>
      <x:c r="D521" t="s">
        <x:v>677</x:v>
      </x:c>
      <x:c r="E521" s="6">
        <x:v>0</x:v>
      </x:c>
      <x:c r="F521" s="6">
        <x:v>0</x:v>
      </x:c>
      <x:c r="G521" s="6">
        <x:v>0</x:v>
      </x:c>
      <x:c r="H521" s="6">
        <x:f t="shared" si="24"/>
        <x:v>0</x:v>
      </x:c>
      <x:c r="I521" s="6">
        <x:v>-197.61</x:v>
      </x:c>
      <x:c r="J521" s="6">
        <x:v>0</x:v>
      </x:c>
      <x:c r="K521" s="6">
        <x:f t="shared" si="25"/>
        <x:v>-197.61</x:v>
      </x:c>
      <x:c r="L521" s="6">
        <x:v>0</x:v>
      </x:c>
      <x:c r="M521" s="6">
        <x:v>0</x:v>
      </x:c>
      <x:c r="N521" s="6">
        <x:f t="shared" si="26"/>
        <x:v>-197.61</x:v>
      </x:c>
    </x:row>
    <x:row r="522" spans="1:14" x14ac:dyDescent="0.25">
      <x:c r="A522" t="s">
        <x:v>9</x:v>
      </x:c>
      <x:c r="B522" s="3" t="s">
        <x:v>127</x:v>
      </x:c>
      <x:c r="C522" s="3" t="s">
        <x:v>444</x:v>
      </x:c>
      <x:c r="D522" t="s">
        <x:v>677</x:v>
      </x:c>
      <x:c r="E522" s="6">
        <x:v>0</x:v>
      </x:c>
      <x:c r="F522" s="6">
        <x:v>0</x:v>
      </x:c>
      <x:c r="G522" s="6">
        <x:v>0</x:v>
      </x:c>
      <x:c r="H522" s="6">
        <x:f t="shared" si="24"/>
        <x:v>0</x:v>
      </x:c>
      <x:c r="I522" s="6">
        <x:v>2003.2800000000002</x:v>
      </x:c>
      <x:c r="J522" s="6">
        <x:v>0</x:v>
      </x:c>
      <x:c r="K522" s="6">
        <x:f t="shared" si="25"/>
        <x:v>2003.2800000000002</x:v>
      </x:c>
      <x:c r="L522" s="6">
        <x:v>0</x:v>
      </x:c>
      <x:c r="M522" s="6">
        <x:v>0</x:v>
      </x:c>
      <x:c r="N522" s="6">
        <x:f t="shared" si="26"/>
        <x:v>2003.2800000000002</x:v>
      </x:c>
    </x:row>
    <x:row r="523" spans="1:14" x14ac:dyDescent="0.25">
      <x:c r="A523" t="s">
        <x:v>9</x:v>
      </x:c>
      <x:c r="B523" s="3" t="s">
        <x:v>128</x:v>
      </x:c>
      <x:c r="C523" s="3" t="s">
        <x:v>445</x:v>
      </x:c>
      <x:c r="D523" t="s">
        <x:v>677</x:v>
      </x:c>
      <x:c r="E523" s="6">
        <x:v>0</x:v>
      </x:c>
      <x:c r="F523" s="6">
        <x:v>0</x:v>
      </x:c>
      <x:c r="G523" s="6">
        <x:v>0</x:v>
      </x:c>
      <x:c r="H523" s="6">
        <x:f t="shared" si="24"/>
        <x:v>0</x:v>
      </x:c>
      <x:c r="I523" s="6">
        <x:v>54.75</x:v>
      </x:c>
      <x:c r="J523" s="6">
        <x:v>0</x:v>
      </x:c>
      <x:c r="K523" s="6">
        <x:f t="shared" si="25"/>
        <x:v>54.75</x:v>
      </x:c>
      <x:c r="L523" s="6">
        <x:v>0</x:v>
      </x:c>
      <x:c r="M523" s="6">
        <x:v>0</x:v>
      </x:c>
      <x:c r="N523" s="6">
        <x:f t="shared" si="26"/>
        <x:v>54.75</x:v>
      </x:c>
    </x:row>
    <x:row r="524" spans="1:14" x14ac:dyDescent="0.25">
      <x:c r="A524" t="s">
        <x:v>9</x:v>
      </x:c>
      <x:c r="B524" s="3" t="s">
        <x:v>129</x:v>
      </x:c>
      <x:c r="C524" s="3" t="s">
        <x:v>446</x:v>
      </x:c>
      <x:c r="D524" t="s">
        <x:v>677</x:v>
      </x:c>
      <x:c r="E524" s="6">
        <x:v>0</x:v>
      </x:c>
      <x:c r="F524" s="6">
        <x:v>0</x:v>
      </x:c>
      <x:c r="G524" s="6">
        <x:v>0</x:v>
      </x:c>
      <x:c r="H524" s="6">
        <x:f t="shared" si="24"/>
        <x:v>0</x:v>
      </x:c>
      <x:c r="I524" s="6">
        <x:v>63.410000000000004</x:v>
      </x:c>
      <x:c r="J524" s="6">
        <x:v>0</x:v>
      </x:c>
      <x:c r="K524" s="6">
        <x:f t="shared" si="25"/>
        <x:v>63.410000000000004</x:v>
      </x:c>
      <x:c r="L524" s="6">
        <x:v>0</x:v>
      </x:c>
      <x:c r="M524" s="6">
        <x:v>0</x:v>
      </x:c>
      <x:c r="N524" s="6">
        <x:f t="shared" si="26"/>
        <x:v>63.410000000000004</x:v>
      </x:c>
    </x:row>
    <x:row r="525" spans="1:14" x14ac:dyDescent="0.25">
      <x:c r="A525" t="s">
        <x:v>9</x:v>
      </x:c>
      <x:c r="B525" s="3" t="s">
        <x:v>130</x:v>
      </x:c>
      <x:c r="C525" s="3" t="s">
        <x:v>447</x:v>
      </x:c>
      <x:c r="D525" t="s">
        <x:v>677</x:v>
      </x:c>
      <x:c r="E525" s="6">
        <x:v>0</x:v>
      </x:c>
      <x:c r="F525" s="6">
        <x:v>0</x:v>
      </x:c>
      <x:c r="G525" s="6">
        <x:v>0</x:v>
      </x:c>
      <x:c r="H525" s="6">
        <x:f t="shared" si="24"/>
        <x:v>0</x:v>
      </x:c>
      <x:c r="I525" s="6">
        <x:v>612.03</x:v>
      </x:c>
      <x:c r="J525" s="6">
        <x:v>0</x:v>
      </x:c>
      <x:c r="K525" s="6">
        <x:f t="shared" si="25"/>
        <x:v>612.03</x:v>
      </x:c>
      <x:c r="L525" s="6">
        <x:v>0</x:v>
      </x:c>
      <x:c r="M525" s="6">
        <x:v>0</x:v>
      </x:c>
      <x:c r="N525" s="6">
        <x:f t="shared" si="26"/>
        <x:v>612.03</x:v>
      </x:c>
    </x:row>
    <x:row r="526" spans="1:14" x14ac:dyDescent="0.25">
      <x:c r="A526" t="s">
        <x:v>9</x:v>
      </x:c>
      <x:c r="B526" s="3" t="s">
        <x:v>131</x:v>
      </x:c>
      <x:c r="C526" s="3" t="s">
        <x:v>448</x:v>
      </x:c>
      <x:c r="D526" t="s">
        <x:v>677</x:v>
      </x:c>
      <x:c r="E526" s="6">
        <x:v>0</x:v>
      </x:c>
      <x:c r="F526" s="6">
        <x:v>0</x:v>
      </x:c>
      <x:c r="G526" s="6">
        <x:v>0</x:v>
      </x:c>
      <x:c r="H526" s="6">
        <x:f t="shared" ref="H526:H589" si="27">SUM(E526:G526)</x:f>
        <x:v>0</x:v>
      </x:c>
      <x:c r="I526" s="6">
        <x:v>16831.09</x:v>
      </x:c>
      <x:c r="J526" s="6">
        <x:v>0</x:v>
      </x:c>
      <x:c r="K526" s="6">
        <x:f t="shared" ref="K526:K589" si="28">SUM(I526:J526)</x:f>
        <x:v>16831.09</x:v>
      </x:c>
      <x:c r="L526" s="6">
        <x:v>0</x:v>
      </x:c>
      <x:c r="M526" s="6">
        <x:v>0</x:v>
      </x:c>
      <x:c r="N526" s="6">
        <x:f t="shared" ref="N526:N589" si="29">+E526+F526+G526+I526+J526+L526+M526</x:f>
        <x:v>16831.09</x:v>
      </x:c>
    </x:row>
    <x:row r="527" spans="1:14" x14ac:dyDescent="0.25">
      <x:c r="A527" t="s">
        <x:v>9</x:v>
      </x:c>
      <x:c r="B527" s="3" t="s">
        <x:v>132</x:v>
      </x:c>
      <x:c r="C527" s="3" t="s">
        <x:v>449</x:v>
      </x:c>
      <x:c r="D527" t="s">
        <x:v>677</x:v>
      </x:c>
      <x:c r="E527" s="6">
        <x:v>0</x:v>
      </x:c>
      <x:c r="F527" s="6">
        <x:v>0</x:v>
      </x:c>
      <x:c r="G527" s="6">
        <x:v>0</x:v>
      </x:c>
      <x:c r="H527" s="6">
        <x:f t="shared" si="27"/>
        <x:v>0</x:v>
      </x:c>
      <x:c r="I527" s="6">
        <x:v>-48783.360000000008</x:v>
      </x:c>
      <x:c r="J527" s="6">
        <x:v>0</x:v>
      </x:c>
      <x:c r="K527" s="6">
        <x:f t="shared" si="28"/>
        <x:v>-48783.360000000008</x:v>
      </x:c>
      <x:c r="L527" s="6">
        <x:v>0</x:v>
      </x:c>
      <x:c r="M527" s="6">
        <x:v>0</x:v>
      </x:c>
      <x:c r="N527" s="6">
        <x:f t="shared" si="29"/>
        <x:v>-48783.360000000008</x:v>
      </x:c>
    </x:row>
    <x:row r="528" spans="1:14" x14ac:dyDescent="0.25">
      <x:c r="A528" t="s">
        <x:v>9</x:v>
      </x:c>
      <x:c r="B528" s="3" t="s">
        <x:v>133</x:v>
      </x:c>
      <x:c r="C528" s="3" t="s">
        <x:v>450</x:v>
      </x:c>
      <x:c r="D528" t="s">
        <x:v>677</x:v>
      </x:c>
      <x:c r="E528" s="6">
        <x:v>0</x:v>
      </x:c>
      <x:c r="F528" s="6">
        <x:v>0</x:v>
      </x:c>
      <x:c r="G528" s="6">
        <x:v>0</x:v>
      </x:c>
      <x:c r="H528" s="6">
        <x:f t="shared" si="27"/>
        <x:v>0</x:v>
      </x:c>
      <x:c r="I528" s="6">
        <x:v>1870.25</x:v>
      </x:c>
      <x:c r="J528" s="6">
        <x:v>0</x:v>
      </x:c>
      <x:c r="K528" s="6">
        <x:f t="shared" si="28"/>
        <x:v>1870.25</x:v>
      </x:c>
      <x:c r="L528" s="6">
        <x:v>0</x:v>
      </x:c>
      <x:c r="M528" s="6">
        <x:v>0</x:v>
      </x:c>
      <x:c r="N528" s="6">
        <x:f t="shared" si="29"/>
        <x:v>1870.25</x:v>
      </x:c>
    </x:row>
    <x:row r="529" spans="1:14" x14ac:dyDescent="0.25">
      <x:c r="A529" t="s">
        <x:v>9</x:v>
      </x:c>
      <x:c r="B529" s="3" t="s">
        <x:v>134</x:v>
      </x:c>
      <x:c r="C529" s="3" t="s">
        <x:v>451</x:v>
      </x:c>
      <x:c r="D529" t="s">
        <x:v>677</x:v>
      </x:c>
      <x:c r="E529" s="6">
        <x:v>0</x:v>
      </x:c>
      <x:c r="F529" s="6">
        <x:v>0</x:v>
      </x:c>
      <x:c r="G529" s="6">
        <x:v>0</x:v>
      </x:c>
      <x:c r="H529" s="6">
        <x:f t="shared" si="27"/>
        <x:v>0</x:v>
      </x:c>
      <x:c r="I529" s="6">
        <x:v>10361.880000000001</x:v>
      </x:c>
      <x:c r="J529" s="6">
        <x:v>0</x:v>
      </x:c>
      <x:c r="K529" s="6">
        <x:f t="shared" si="28"/>
        <x:v>10361.880000000001</x:v>
      </x:c>
      <x:c r="L529" s="6">
        <x:v>0</x:v>
      </x:c>
      <x:c r="M529" s="6">
        <x:v>0</x:v>
      </x:c>
      <x:c r="N529" s="6">
        <x:f t="shared" si="29"/>
        <x:v>10361.880000000001</x:v>
      </x:c>
    </x:row>
    <x:row r="530" spans="1:14" x14ac:dyDescent="0.25">
      <x:c r="A530" t="s">
        <x:v>9</x:v>
      </x:c>
      <x:c r="B530" s="3" t="s">
        <x:v>135</x:v>
      </x:c>
      <x:c r="C530" s="3" t="s">
        <x:v>452</x:v>
      </x:c>
      <x:c r="D530" t="s">
        <x:v>677</x:v>
      </x:c>
      <x:c r="E530" s="6">
        <x:v>0</x:v>
      </x:c>
      <x:c r="F530" s="6">
        <x:v>0</x:v>
      </x:c>
      <x:c r="G530" s="6">
        <x:v>0</x:v>
      </x:c>
      <x:c r="H530" s="6">
        <x:f t="shared" si="27"/>
        <x:v>0</x:v>
      </x:c>
      <x:c r="I530" s="6">
        <x:v>6537.87</x:v>
      </x:c>
      <x:c r="J530" s="6">
        <x:v>0</x:v>
      </x:c>
      <x:c r="K530" s="6">
        <x:f t="shared" si="28"/>
        <x:v>6537.87</x:v>
      </x:c>
      <x:c r="L530" s="6">
        <x:v>0</x:v>
      </x:c>
      <x:c r="M530" s="6">
        <x:v>0</x:v>
      </x:c>
      <x:c r="N530" s="6">
        <x:f t="shared" si="29"/>
        <x:v>6537.87</x:v>
      </x:c>
    </x:row>
    <x:row r="531" spans="1:14" x14ac:dyDescent="0.25">
      <x:c r="A531" t="s">
        <x:v>9</x:v>
      </x:c>
      <x:c r="B531" s="3" t="s">
        <x:v>136</x:v>
      </x:c>
      <x:c r="C531" s="3" t="s">
        <x:v>453</x:v>
      </x:c>
      <x:c r="D531" t="s">
        <x:v>677</x:v>
      </x:c>
      <x:c r="E531" s="6">
        <x:v>0</x:v>
      </x:c>
      <x:c r="F531" s="6">
        <x:v>0</x:v>
      </x:c>
      <x:c r="G531" s="6">
        <x:v>0</x:v>
      </x:c>
      <x:c r="H531" s="6">
        <x:f t="shared" si="27"/>
        <x:v>0</x:v>
      </x:c>
      <x:c r="I531" s="6">
        <x:v>57555.68</x:v>
      </x:c>
      <x:c r="J531" s="6">
        <x:v>0</x:v>
      </x:c>
      <x:c r="K531" s="6">
        <x:f t="shared" si="28"/>
        <x:v>57555.68</x:v>
      </x:c>
      <x:c r="L531" s="6">
        <x:v>0</x:v>
      </x:c>
      <x:c r="M531" s="6">
        <x:v>0</x:v>
      </x:c>
      <x:c r="N531" s="6">
        <x:f t="shared" si="29"/>
        <x:v>57555.68</x:v>
      </x:c>
    </x:row>
    <x:row r="532" spans="1:14" x14ac:dyDescent="0.25">
      <x:c r="A532" t="s">
        <x:v>9</x:v>
      </x:c>
      <x:c r="B532" s="3" t="s">
        <x:v>137</x:v>
      </x:c>
      <x:c r="C532" s="3" t="s">
        <x:v>454</x:v>
      </x:c>
      <x:c r="D532" t="s">
        <x:v>677</x:v>
      </x:c>
      <x:c r="E532" s="6">
        <x:v>0</x:v>
      </x:c>
      <x:c r="F532" s="6">
        <x:v>0</x:v>
      </x:c>
      <x:c r="G532" s="6">
        <x:v>0</x:v>
      </x:c>
      <x:c r="H532" s="6">
        <x:f t="shared" si="27"/>
        <x:v>0</x:v>
      </x:c>
      <x:c r="I532" s="6">
        <x:v>33.61</x:v>
      </x:c>
      <x:c r="J532" s="6">
        <x:v>0</x:v>
      </x:c>
      <x:c r="K532" s="6">
        <x:f t="shared" si="28"/>
        <x:v>33.61</x:v>
      </x:c>
      <x:c r="L532" s="6">
        <x:v>0</x:v>
      </x:c>
      <x:c r="M532" s="6">
        <x:v>0</x:v>
      </x:c>
      <x:c r="N532" s="6">
        <x:f t="shared" si="29"/>
        <x:v>33.61</x:v>
      </x:c>
    </x:row>
    <x:row r="533" spans="1:14" x14ac:dyDescent="0.25">
      <x:c r="A533" t="s">
        <x:v>9</x:v>
      </x:c>
      <x:c r="B533" s="3" t="s">
        <x:v>138</x:v>
      </x:c>
      <x:c r="C533" s="3" t="s">
        <x:v>455</x:v>
      </x:c>
      <x:c r="D533" t="s">
        <x:v>677</x:v>
      </x:c>
      <x:c r="E533" s="6">
        <x:v>0</x:v>
      </x:c>
      <x:c r="F533" s="6">
        <x:v>0</x:v>
      </x:c>
      <x:c r="G533" s="6">
        <x:v>0</x:v>
      </x:c>
      <x:c r="H533" s="6">
        <x:f t="shared" si="27"/>
        <x:v>0</x:v>
      </x:c>
      <x:c r="I533" s="6">
        <x:v>138067.56999999998</x:v>
      </x:c>
      <x:c r="J533" s="6">
        <x:v>0</x:v>
      </x:c>
      <x:c r="K533" s="6">
        <x:f t="shared" si="28"/>
        <x:v>138067.56999999998</x:v>
      </x:c>
      <x:c r="L533" s="6">
        <x:v>0</x:v>
      </x:c>
      <x:c r="M533" s="6">
        <x:v>0</x:v>
      </x:c>
      <x:c r="N533" s="6">
        <x:f t="shared" si="29"/>
        <x:v>138067.56999999998</x:v>
      </x:c>
    </x:row>
    <x:row r="534" spans="1:14" x14ac:dyDescent="0.25">
      <x:c r="A534" t="s">
        <x:v>9</x:v>
      </x:c>
      <x:c r="B534" s="3" t="s">
        <x:v>139</x:v>
      </x:c>
      <x:c r="C534" s="3" t="s">
        <x:v>456</x:v>
      </x:c>
      <x:c r="D534" t="s">
        <x:v>677</x:v>
      </x:c>
      <x:c r="E534" s="6">
        <x:v>0</x:v>
      </x:c>
      <x:c r="F534" s="6">
        <x:v>0</x:v>
      </x:c>
      <x:c r="G534" s="6">
        <x:v>0</x:v>
      </x:c>
      <x:c r="H534" s="6">
        <x:f t="shared" si="27"/>
        <x:v>0</x:v>
      </x:c>
      <x:c r="I534" s="6">
        <x:v>3528.4300000000003</x:v>
      </x:c>
      <x:c r="J534" s="6">
        <x:v>0</x:v>
      </x:c>
      <x:c r="K534" s="6">
        <x:f t="shared" si="28"/>
        <x:v>3528.4300000000003</x:v>
      </x:c>
      <x:c r="L534" s="6">
        <x:v>0</x:v>
      </x:c>
      <x:c r="M534" s="6">
        <x:v>0</x:v>
      </x:c>
      <x:c r="N534" s="6">
        <x:f t="shared" si="29"/>
        <x:v>3528.4300000000003</x:v>
      </x:c>
    </x:row>
    <x:row r="535" spans="1:14" x14ac:dyDescent="0.25">
      <x:c r="A535" t="s">
        <x:v>9</x:v>
      </x:c>
      <x:c r="B535" s="3" t="s">
        <x:v>140</x:v>
      </x:c>
      <x:c r="C535" s="3" t="s">
        <x:v>457</x:v>
      </x:c>
      <x:c r="D535" t="s">
        <x:v>677</x:v>
      </x:c>
      <x:c r="E535" s="6">
        <x:v>0</x:v>
      </x:c>
      <x:c r="F535" s="6">
        <x:v>0</x:v>
      </x:c>
      <x:c r="G535" s="6">
        <x:v>0</x:v>
      </x:c>
      <x:c r="H535" s="6">
        <x:f t="shared" si="27"/>
        <x:v>0</x:v>
      </x:c>
      <x:c r="I535" s="6">
        <x:v>92213.169999999984</x:v>
      </x:c>
      <x:c r="J535" s="6">
        <x:v>0</x:v>
      </x:c>
      <x:c r="K535" s="6">
        <x:f t="shared" si="28"/>
        <x:v>92213.169999999984</x:v>
      </x:c>
      <x:c r="L535" s="6">
        <x:v>0</x:v>
      </x:c>
      <x:c r="M535" s="6">
        <x:v>0</x:v>
      </x:c>
      <x:c r="N535" s="6">
        <x:f t="shared" si="29"/>
        <x:v>92213.169999999984</x:v>
      </x:c>
    </x:row>
    <x:row r="536" spans="1:14" x14ac:dyDescent="0.25">
      <x:c r="A536" t="s">
        <x:v>9</x:v>
      </x:c>
      <x:c r="B536" s="3" t="s">
        <x:v>141</x:v>
      </x:c>
      <x:c r="C536" s="3" t="s">
        <x:v>458</x:v>
      </x:c>
      <x:c r="D536" t="s">
        <x:v>677</x:v>
      </x:c>
      <x:c r="E536" s="6">
        <x:v>0</x:v>
      </x:c>
      <x:c r="F536" s="6">
        <x:v>0</x:v>
      </x:c>
      <x:c r="G536" s="6">
        <x:v>0</x:v>
      </x:c>
      <x:c r="H536" s="6">
        <x:f t="shared" si="27"/>
        <x:v>0</x:v>
      </x:c>
      <x:c r="I536" s="6">
        <x:v>592548.57999999996</x:v>
      </x:c>
      <x:c r="J536" s="6">
        <x:v>0</x:v>
      </x:c>
      <x:c r="K536" s="6">
        <x:f t="shared" si="28"/>
        <x:v>592548.57999999996</x:v>
      </x:c>
      <x:c r="L536" s="6">
        <x:v>0</x:v>
      </x:c>
      <x:c r="M536" s="6">
        <x:v>0</x:v>
      </x:c>
      <x:c r="N536" s="6">
        <x:f t="shared" si="29"/>
        <x:v>592548.57999999996</x:v>
      </x:c>
    </x:row>
    <x:row r="537" spans="1:14" x14ac:dyDescent="0.25">
      <x:c r="A537" t="s">
        <x:v>9</x:v>
      </x:c>
      <x:c r="B537" s="3" t="s">
        <x:v>142</x:v>
      </x:c>
      <x:c r="C537" s="3" t="s">
        <x:v>459</x:v>
      </x:c>
      <x:c r="D537" t="s">
        <x:v>677</x:v>
      </x:c>
      <x:c r="E537" s="6">
        <x:v>0</x:v>
      </x:c>
      <x:c r="F537" s="6">
        <x:v>0</x:v>
      </x:c>
      <x:c r="G537" s="6">
        <x:v>0</x:v>
      </x:c>
      <x:c r="H537" s="6">
        <x:f t="shared" si="27"/>
        <x:v>0</x:v>
      </x:c>
      <x:c r="I537" s="6">
        <x:v>1345826.3699999999</x:v>
      </x:c>
      <x:c r="J537" s="6">
        <x:v>0</x:v>
      </x:c>
      <x:c r="K537" s="6">
        <x:f t="shared" si="28"/>
        <x:v>1345826.3699999999</x:v>
      </x:c>
      <x:c r="L537" s="6">
        <x:v>0</x:v>
      </x:c>
      <x:c r="M537" s="6">
        <x:v>0</x:v>
      </x:c>
      <x:c r="N537" s="6">
        <x:f t="shared" si="29"/>
        <x:v>1345826.3699999999</x:v>
      </x:c>
    </x:row>
    <x:row r="538" spans="1:14" x14ac:dyDescent="0.25">
      <x:c r="A538" t="s">
        <x:v>9</x:v>
      </x:c>
      <x:c r="B538" s="3" t="s">
        <x:v>143</x:v>
      </x:c>
      <x:c r="C538" s="3" t="s">
        <x:v>460</x:v>
      </x:c>
      <x:c r="D538" t="s">
        <x:v>677</x:v>
      </x:c>
      <x:c r="E538" s="6">
        <x:v>0</x:v>
      </x:c>
      <x:c r="F538" s="6">
        <x:v>0</x:v>
      </x:c>
      <x:c r="G538" s="6">
        <x:v>0</x:v>
      </x:c>
      <x:c r="H538" s="6">
        <x:f t="shared" si="27"/>
        <x:v>0</x:v>
      </x:c>
      <x:c r="I538" s="6">
        <x:v>6840.7</x:v>
      </x:c>
      <x:c r="J538" s="6">
        <x:v>0</x:v>
      </x:c>
      <x:c r="K538" s="6">
        <x:f t="shared" si="28"/>
        <x:v>6840.7</x:v>
      </x:c>
      <x:c r="L538" s="6">
        <x:v>0</x:v>
      </x:c>
      <x:c r="M538" s="6">
        <x:v>0</x:v>
      </x:c>
      <x:c r="N538" s="6">
        <x:f t="shared" si="29"/>
        <x:v>6840.7</x:v>
      </x:c>
    </x:row>
    <x:row r="539" spans="1:14" x14ac:dyDescent="0.25">
      <x:c r="A539" t="s">
        <x:v>9</x:v>
      </x:c>
      <x:c r="B539" s="3" t="s">
        <x:v>144</x:v>
      </x:c>
      <x:c r="C539" s="3" t="s">
        <x:v>461</x:v>
      </x:c>
      <x:c r="D539" t="s">
        <x:v>677</x:v>
      </x:c>
      <x:c r="E539" s="6">
        <x:v>0</x:v>
      </x:c>
      <x:c r="F539" s="6">
        <x:v>0</x:v>
      </x:c>
      <x:c r="G539" s="6">
        <x:v>0</x:v>
      </x:c>
      <x:c r="H539" s="6">
        <x:f t="shared" si="27"/>
        <x:v>0</x:v>
      </x:c>
      <x:c r="I539" s="6">
        <x:v>17544.840000000004</x:v>
      </x:c>
      <x:c r="J539" s="6">
        <x:v>0</x:v>
      </x:c>
      <x:c r="K539" s="6">
        <x:f t="shared" si="28"/>
        <x:v>17544.840000000004</x:v>
      </x:c>
      <x:c r="L539" s="6">
        <x:v>0</x:v>
      </x:c>
      <x:c r="M539" s="6">
        <x:v>0</x:v>
      </x:c>
      <x:c r="N539" s="6">
        <x:f t="shared" si="29"/>
        <x:v>17544.840000000004</x:v>
      </x:c>
    </x:row>
    <x:row r="540" spans="1:14" x14ac:dyDescent="0.25">
      <x:c r="A540" t="s">
        <x:v>9</x:v>
      </x:c>
      <x:c r="B540" s="3" t="s">
        <x:v>145</x:v>
      </x:c>
      <x:c r="C540" s="3" t="s">
        <x:v>462</x:v>
      </x:c>
      <x:c r="D540" t="s">
        <x:v>677</x:v>
      </x:c>
      <x:c r="E540" s="6">
        <x:v>0</x:v>
      </x:c>
      <x:c r="F540" s="6">
        <x:v>0</x:v>
      </x:c>
      <x:c r="G540" s="6">
        <x:v>0</x:v>
      </x:c>
      <x:c r="H540" s="6">
        <x:f t="shared" si="27"/>
        <x:v>0</x:v>
      </x:c>
      <x:c r="I540" s="6">
        <x:v>2406.6</x:v>
      </x:c>
      <x:c r="J540" s="6">
        <x:v>0</x:v>
      </x:c>
      <x:c r="K540" s="6">
        <x:f t="shared" si="28"/>
        <x:v>2406.6</x:v>
      </x:c>
      <x:c r="L540" s="6">
        <x:v>0</x:v>
      </x:c>
      <x:c r="M540" s="6">
        <x:v>0</x:v>
      </x:c>
      <x:c r="N540" s="6">
        <x:f t="shared" si="29"/>
        <x:v>2406.6</x:v>
      </x:c>
    </x:row>
    <x:row r="541" spans="1:14" x14ac:dyDescent="0.25">
      <x:c r="A541" t="s">
        <x:v>9</x:v>
      </x:c>
      <x:c r="B541" s="3" t="s">
        <x:v>146</x:v>
      </x:c>
      <x:c r="C541" s="3" t="s">
        <x:v>463</x:v>
      </x:c>
      <x:c r="D541" t="s">
        <x:v>677</x:v>
      </x:c>
      <x:c r="E541" s="6">
        <x:v>0</x:v>
      </x:c>
      <x:c r="F541" s="6">
        <x:v>0</x:v>
      </x:c>
      <x:c r="G541" s="6">
        <x:v>0</x:v>
      </x:c>
      <x:c r="H541" s="6">
        <x:f t="shared" si="27"/>
        <x:v>0</x:v>
      </x:c>
      <x:c r="I541" s="6">
        <x:v>226.36</x:v>
      </x:c>
      <x:c r="J541" s="6">
        <x:v>0</x:v>
      </x:c>
      <x:c r="K541" s="6">
        <x:f t="shared" si="28"/>
        <x:v>226.36</x:v>
      </x:c>
      <x:c r="L541" s="6">
        <x:v>0</x:v>
      </x:c>
      <x:c r="M541" s="6">
        <x:v>0</x:v>
      </x:c>
      <x:c r="N541" s="6">
        <x:f t="shared" si="29"/>
        <x:v>226.36</x:v>
      </x:c>
    </x:row>
    <x:row r="542" spans="1:14" x14ac:dyDescent="0.25">
      <x:c r="A542" t="s">
        <x:v>9</x:v>
      </x:c>
      <x:c r="B542" s="3" t="s">
        <x:v>147</x:v>
      </x:c>
      <x:c r="C542" s="3" t="s">
        <x:v>464</x:v>
      </x:c>
      <x:c r="D542" t="s">
        <x:v>677</x:v>
      </x:c>
      <x:c r="E542" s="6">
        <x:v>0</x:v>
      </x:c>
      <x:c r="F542" s="6">
        <x:v>0</x:v>
      </x:c>
      <x:c r="G542" s="6">
        <x:v>0</x:v>
      </x:c>
      <x:c r="H542" s="6">
        <x:f t="shared" si="27"/>
        <x:v>0</x:v>
      </x:c>
      <x:c r="I542" s="6">
        <x:v>8441.4500000000007</x:v>
      </x:c>
      <x:c r="J542" s="6">
        <x:v>0</x:v>
      </x:c>
      <x:c r="K542" s="6">
        <x:f t="shared" si="28"/>
        <x:v>8441.4500000000007</x:v>
      </x:c>
      <x:c r="L542" s="6">
        <x:v>0</x:v>
      </x:c>
      <x:c r="M542" s="6">
        <x:v>0</x:v>
      </x:c>
      <x:c r="N542" s="6">
        <x:f t="shared" si="29"/>
        <x:v>8441.4500000000007</x:v>
      </x:c>
    </x:row>
    <x:row r="543" spans="1:14" x14ac:dyDescent="0.25">
      <x:c r="A543" t="s">
        <x:v>9</x:v>
      </x:c>
      <x:c r="B543" s="3" t="s">
        <x:v>148</x:v>
      </x:c>
      <x:c r="C543" s="3" t="s">
        <x:v>465</x:v>
      </x:c>
      <x:c r="D543" t="s">
        <x:v>677</x:v>
      </x:c>
      <x:c r="E543" s="6">
        <x:v>0</x:v>
      </x:c>
      <x:c r="F543" s="6">
        <x:v>0</x:v>
      </x:c>
      <x:c r="G543" s="6">
        <x:v>0</x:v>
      </x:c>
      <x:c r="H543" s="6">
        <x:f t="shared" si="27"/>
        <x:v>0</x:v>
      </x:c>
      <x:c r="I543" s="6">
        <x:v>-3030.7</x:v>
      </x:c>
      <x:c r="J543" s="6">
        <x:v>0</x:v>
      </x:c>
      <x:c r="K543" s="6">
        <x:f t="shared" si="28"/>
        <x:v>-3030.7</x:v>
      </x:c>
      <x:c r="L543" s="6">
        <x:v>0</x:v>
      </x:c>
      <x:c r="M543" s="6">
        <x:v>0</x:v>
      </x:c>
      <x:c r="N543" s="6">
        <x:f t="shared" si="29"/>
        <x:v>-3030.7</x:v>
      </x:c>
    </x:row>
    <x:row r="544" spans="1:14" x14ac:dyDescent="0.25">
      <x:c r="A544" t="s">
        <x:v>9</x:v>
      </x:c>
      <x:c r="B544" s="3" t="s">
        <x:v>149</x:v>
      </x:c>
      <x:c r="C544" s="3" t="s">
        <x:v>466</x:v>
      </x:c>
      <x:c r="D544" t="s">
        <x:v>677</x:v>
      </x:c>
      <x:c r="E544" s="6">
        <x:v>0</x:v>
      </x:c>
      <x:c r="F544" s="6">
        <x:v>0</x:v>
      </x:c>
      <x:c r="G544" s="6">
        <x:v>0</x:v>
      </x:c>
      <x:c r="H544" s="6">
        <x:f t="shared" si="27"/>
        <x:v>0</x:v>
      </x:c>
      <x:c r="I544" s="6">
        <x:v>6477.74</x:v>
      </x:c>
      <x:c r="J544" s="6">
        <x:v>0</x:v>
      </x:c>
      <x:c r="K544" s="6">
        <x:f t="shared" si="28"/>
        <x:v>6477.74</x:v>
      </x:c>
      <x:c r="L544" s="6">
        <x:v>0</x:v>
      </x:c>
      <x:c r="M544" s="6">
        <x:v>0</x:v>
      </x:c>
      <x:c r="N544" s="6">
        <x:f t="shared" si="29"/>
        <x:v>6477.74</x:v>
      </x:c>
    </x:row>
    <x:row r="545" spans="1:14" x14ac:dyDescent="0.25">
      <x:c r="A545" t="s">
        <x:v>9</x:v>
      </x:c>
      <x:c r="B545" s="3" t="s">
        <x:v>150</x:v>
      </x:c>
      <x:c r="C545" s="3" t="s">
        <x:v>467</x:v>
      </x:c>
      <x:c r="D545" t="s">
        <x:v>677</x:v>
      </x:c>
      <x:c r="E545" s="6">
        <x:v>0</x:v>
      </x:c>
      <x:c r="F545" s="6">
        <x:v>0</x:v>
      </x:c>
      <x:c r="G545" s="6">
        <x:v>0</x:v>
      </x:c>
      <x:c r="H545" s="6">
        <x:f t="shared" si="27"/>
        <x:v>0</x:v>
      </x:c>
      <x:c r="I545" s="6">
        <x:v>2613.67</x:v>
      </x:c>
      <x:c r="J545" s="6">
        <x:v>0</x:v>
      </x:c>
      <x:c r="K545" s="6">
        <x:f t="shared" si="28"/>
        <x:v>2613.67</x:v>
      </x:c>
      <x:c r="L545" s="6">
        <x:v>0</x:v>
      </x:c>
      <x:c r="M545" s="6">
        <x:v>0</x:v>
      </x:c>
      <x:c r="N545" s="6">
        <x:f t="shared" si="29"/>
        <x:v>2613.67</x:v>
      </x:c>
    </x:row>
    <x:row r="546" spans="1:14" x14ac:dyDescent="0.25">
      <x:c r="A546" t="s">
        <x:v>9</x:v>
      </x:c>
      <x:c r="B546" s="3" t="s">
        <x:v>151</x:v>
      </x:c>
      <x:c r="C546" s="3" t="s">
        <x:v>468</x:v>
      </x:c>
      <x:c r="D546" t="s">
        <x:v>677</x:v>
      </x:c>
      <x:c r="E546" s="6">
        <x:v>0</x:v>
      </x:c>
      <x:c r="F546" s="6">
        <x:v>0</x:v>
      </x:c>
      <x:c r="G546" s="6">
        <x:v>0</x:v>
      </x:c>
      <x:c r="H546" s="6">
        <x:f t="shared" si="27"/>
        <x:v>0</x:v>
      </x:c>
      <x:c r="I546" s="6">
        <x:v>18054.100000000002</x:v>
      </x:c>
      <x:c r="J546" s="6">
        <x:v>0</x:v>
      </x:c>
      <x:c r="K546" s="6">
        <x:f t="shared" si="28"/>
        <x:v>18054.100000000002</x:v>
      </x:c>
      <x:c r="L546" s="6">
        <x:v>0</x:v>
      </x:c>
      <x:c r="M546" s="6">
        <x:v>0</x:v>
      </x:c>
      <x:c r="N546" s="6">
        <x:f t="shared" si="29"/>
        <x:v>18054.100000000002</x:v>
      </x:c>
    </x:row>
    <x:row r="547" spans="1:14" x14ac:dyDescent="0.25">
      <x:c r="A547" t="s">
        <x:v>9</x:v>
      </x:c>
      <x:c r="B547" s="3" t="s">
        <x:v>152</x:v>
      </x:c>
      <x:c r="C547" s="3" t="s">
        <x:v>469</x:v>
      </x:c>
      <x:c r="D547" t="s">
        <x:v>677</x:v>
      </x:c>
      <x:c r="E547" s="6">
        <x:v>0</x:v>
      </x:c>
      <x:c r="F547" s="6">
        <x:v>0</x:v>
      </x:c>
      <x:c r="G547" s="6">
        <x:v>0</x:v>
      </x:c>
      <x:c r="H547" s="6">
        <x:f t="shared" si="27"/>
        <x:v>0</x:v>
      </x:c>
      <x:c r="I547" s="6">
        <x:v>149189.16999999995</x:v>
      </x:c>
      <x:c r="J547" s="6">
        <x:v>0</x:v>
      </x:c>
      <x:c r="K547" s="6">
        <x:f t="shared" si="28"/>
        <x:v>149189.16999999995</x:v>
      </x:c>
      <x:c r="L547" s="6">
        <x:v>0</x:v>
      </x:c>
      <x:c r="M547" s="6">
        <x:v>0</x:v>
      </x:c>
      <x:c r="N547" s="6">
        <x:f t="shared" si="29"/>
        <x:v>149189.16999999995</x:v>
      </x:c>
    </x:row>
    <x:row r="548" spans="1:14" x14ac:dyDescent="0.25">
      <x:c r="A548" t="s">
        <x:v>9</x:v>
      </x:c>
      <x:c r="B548" s="3" t="s">
        <x:v>153</x:v>
      </x:c>
      <x:c r="C548" s="3" t="s">
        <x:v>470</x:v>
      </x:c>
      <x:c r="D548" t="s">
        <x:v>677</x:v>
      </x:c>
      <x:c r="E548" s="6">
        <x:v>0</x:v>
      </x:c>
      <x:c r="F548" s="6">
        <x:v>0</x:v>
      </x:c>
      <x:c r="G548" s="6">
        <x:v>0</x:v>
      </x:c>
      <x:c r="H548" s="6">
        <x:f t="shared" si="27"/>
        <x:v>0</x:v>
      </x:c>
      <x:c r="I548" s="6">
        <x:v>8539.57</x:v>
      </x:c>
      <x:c r="J548" s="6">
        <x:v>0</x:v>
      </x:c>
      <x:c r="K548" s="6">
        <x:f t="shared" si="28"/>
        <x:v>8539.57</x:v>
      </x:c>
      <x:c r="L548" s="6">
        <x:v>0</x:v>
      </x:c>
      <x:c r="M548" s="6">
        <x:v>0</x:v>
      </x:c>
      <x:c r="N548" s="6">
        <x:f t="shared" si="29"/>
        <x:v>8539.57</x:v>
      </x:c>
    </x:row>
    <x:row r="549" spans="1:14" x14ac:dyDescent="0.25">
      <x:c r="A549" t="s">
        <x:v>9</x:v>
      </x:c>
      <x:c r="B549" s="3" t="s">
        <x:v>154</x:v>
      </x:c>
      <x:c r="C549" s="3" t="s">
        <x:v>471</x:v>
      </x:c>
      <x:c r="D549" t="s">
        <x:v>677</x:v>
      </x:c>
      <x:c r="E549" s="6">
        <x:v>0</x:v>
      </x:c>
      <x:c r="F549" s="6">
        <x:v>0</x:v>
      </x:c>
      <x:c r="G549" s="6">
        <x:v>0</x:v>
      </x:c>
      <x:c r="H549" s="6">
        <x:f t="shared" si="27"/>
        <x:v>0</x:v>
      </x:c>
      <x:c r="I549" s="6">
        <x:v>963.74</x:v>
      </x:c>
      <x:c r="J549" s="6">
        <x:v>0</x:v>
      </x:c>
      <x:c r="K549" s="6">
        <x:f t="shared" si="28"/>
        <x:v>963.74</x:v>
      </x:c>
      <x:c r="L549" s="6">
        <x:v>0</x:v>
      </x:c>
      <x:c r="M549" s="6">
        <x:v>0</x:v>
      </x:c>
      <x:c r="N549" s="6">
        <x:f t="shared" si="29"/>
        <x:v>963.74</x:v>
      </x:c>
    </x:row>
    <x:row r="550" spans="1:14" x14ac:dyDescent="0.25">
      <x:c r="A550" t="s">
        <x:v>9</x:v>
      </x:c>
      <x:c r="B550" s="3" t="s">
        <x:v>155</x:v>
      </x:c>
      <x:c r="C550" s="3" t="s">
        <x:v>472</x:v>
      </x:c>
      <x:c r="D550" t="s">
        <x:v>677</x:v>
      </x:c>
      <x:c r="E550" s="6">
        <x:v>0</x:v>
      </x:c>
      <x:c r="F550" s="6">
        <x:v>0</x:v>
      </x:c>
      <x:c r="G550" s="6">
        <x:v>0</x:v>
      </x:c>
      <x:c r="H550" s="6">
        <x:f t="shared" si="27"/>
        <x:v>0</x:v>
      </x:c>
      <x:c r="I550" s="6">
        <x:v>11925.85</x:v>
      </x:c>
      <x:c r="J550" s="6">
        <x:v>0</x:v>
      </x:c>
      <x:c r="K550" s="6">
        <x:f t="shared" si="28"/>
        <x:v>11925.85</x:v>
      </x:c>
      <x:c r="L550" s="6">
        <x:v>0</x:v>
      </x:c>
      <x:c r="M550" s="6">
        <x:v>0</x:v>
      </x:c>
      <x:c r="N550" s="6">
        <x:f t="shared" si="29"/>
        <x:v>11925.85</x:v>
      </x:c>
    </x:row>
    <x:row r="551" spans="1:14" x14ac:dyDescent="0.25">
      <x:c r="A551" t="s">
        <x:v>9</x:v>
      </x:c>
      <x:c r="B551" s="3" t="s">
        <x:v>45</x:v>
      </x:c>
      <x:c r="C551" s="3" t="s">
        <x:v>362</x:v>
      </x:c>
      <x:c r="D551" t="s">
        <x:v>677</x:v>
      </x:c>
      <x:c r="E551" s="6">
        <x:v>0</x:v>
      </x:c>
      <x:c r="F551" s="6">
        <x:v>0</x:v>
      </x:c>
      <x:c r="G551" s="6">
        <x:v>0</x:v>
      </x:c>
      <x:c r="H551" s="6">
        <x:f t="shared" si="27"/>
        <x:v>0</x:v>
      </x:c>
      <x:c r="I551" s="6">
        <x:v>2766.16</x:v>
      </x:c>
      <x:c r="J551" s="6">
        <x:v>0</x:v>
      </x:c>
      <x:c r="K551" s="6">
        <x:f t="shared" si="28"/>
        <x:v>2766.16</x:v>
      </x:c>
      <x:c r="L551" s="6">
        <x:v>0</x:v>
      </x:c>
      <x:c r="M551" s="6">
        <x:v>0</x:v>
      </x:c>
      <x:c r="N551" s="6">
        <x:f t="shared" si="29"/>
        <x:v>2766.16</x:v>
      </x:c>
    </x:row>
    <x:row r="552" spans="1:14" x14ac:dyDescent="0.25">
      <x:c r="A552" t="s">
        <x:v>9</x:v>
      </x:c>
      <x:c r="B552" s="3" t="s">
        <x:v>156</x:v>
      </x:c>
      <x:c r="C552" s="3" t="s">
        <x:v>473</x:v>
      </x:c>
      <x:c r="D552" t="s">
        <x:v>677</x:v>
      </x:c>
      <x:c r="E552" s="6">
        <x:v>0</x:v>
      </x:c>
      <x:c r="F552" s="6">
        <x:v>0</x:v>
      </x:c>
      <x:c r="G552" s="6">
        <x:v>0</x:v>
      </x:c>
      <x:c r="H552" s="6">
        <x:f t="shared" si="27"/>
        <x:v>0</x:v>
      </x:c>
      <x:c r="I552" s="6">
        <x:v>5218.55</x:v>
      </x:c>
      <x:c r="J552" s="6">
        <x:v>0</x:v>
      </x:c>
      <x:c r="K552" s="6">
        <x:f t="shared" si="28"/>
        <x:v>5218.55</x:v>
      </x:c>
      <x:c r="L552" s="6">
        <x:v>0</x:v>
      </x:c>
      <x:c r="M552" s="6">
        <x:v>0</x:v>
      </x:c>
      <x:c r="N552" s="6">
        <x:f t="shared" si="29"/>
        <x:v>5218.55</x:v>
      </x:c>
    </x:row>
    <x:row r="553" spans="1:14" x14ac:dyDescent="0.25">
      <x:c r="A553" t="s">
        <x:v>9</x:v>
      </x:c>
      <x:c r="B553" s="3" t="s">
        <x:v>157</x:v>
      </x:c>
      <x:c r="C553" s="3" t="s">
        <x:v>474</x:v>
      </x:c>
      <x:c r="D553" t="s">
        <x:v>677</x:v>
      </x:c>
      <x:c r="E553" s="6">
        <x:v>0</x:v>
      </x:c>
      <x:c r="F553" s="6">
        <x:v>0</x:v>
      </x:c>
      <x:c r="G553" s="6">
        <x:v>0</x:v>
      </x:c>
      <x:c r="H553" s="6">
        <x:f t="shared" si="27"/>
        <x:v>0</x:v>
      </x:c>
      <x:c r="I553" s="6">
        <x:v>82849.819999999978</x:v>
      </x:c>
      <x:c r="J553" s="6">
        <x:v>0</x:v>
      </x:c>
      <x:c r="K553" s="6">
        <x:f t="shared" si="28"/>
        <x:v>82849.819999999978</x:v>
      </x:c>
      <x:c r="L553" s="6">
        <x:v>0</x:v>
      </x:c>
      <x:c r="M553" s="6">
        <x:v>0</x:v>
      </x:c>
      <x:c r="N553" s="6">
        <x:f t="shared" si="29"/>
        <x:v>82849.819999999978</x:v>
      </x:c>
    </x:row>
    <x:row r="554" spans="1:14" x14ac:dyDescent="0.25">
      <x:c r="A554" t="s">
        <x:v>9</x:v>
      </x:c>
      <x:c r="B554" s="3" t="s">
        <x:v>158</x:v>
      </x:c>
      <x:c r="C554" s="3" t="s">
        <x:v>475</x:v>
      </x:c>
      <x:c r="D554" t="s">
        <x:v>677</x:v>
      </x:c>
      <x:c r="E554" s="6">
        <x:v>0</x:v>
      </x:c>
      <x:c r="F554" s="6">
        <x:v>0</x:v>
      </x:c>
      <x:c r="G554" s="6">
        <x:v>0</x:v>
      </x:c>
      <x:c r="H554" s="6">
        <x:f t="shared" si="27"/>
        <x:v>0</x:v>
      </x:c>
      <x:c r="I554" s="6">
        <x:v>33563.380000000005</x:v>
      </x:c>
      <x:c r="J554" s="6">
        <x:v>0</x:v>
      </x:c>
      <x:c r="K554" s="6">
        <x:f t="shared" si="28"/>
        <x:v>33563.380000000005</x:v>
      </x:c>
      <x:c r="L554" s="6">
        <x:v>0</x:v>
      </x:c>
      <x:c r="M554" s="6">
        <x:v>0</x:v>
      </x:c>
      <x:c r="N554" s="6">
        <x:f t="shared" si="29"/>
        <x:v>33563.380000000005</x:v>
      </x:c>
    </x:row>
    <x:row r="555" spans="1:14" x14ac:dyDescent="0.25">
      <x:c r="A555" t="s">
        <x:v>9</x:v>
      </x:c>
      <x:c r="B555" s="3" t="s">
        <x:v>159</x:v>
      </x:c>
      <x:c r="C555" s="3" t="s">
        <x:v>476</x:v>
      </x:c>
      <x:c r="D555" t="s">
        <x:v>677</x:v>
      </x:c>
      <x:c r="E555" s="6">
        <x:v>0</x:v>
      </x:c>
      <x:c r="F555" s="6">
        <x:v>0</x:v>
      </x:c>
      <x:c r="G555" s="6">
        <x:v>0</x:v>
      </x:c>
      <x:c r="H555" s="6">
        <x:f t="shared" si="27"/>
        <x:v>0</x:v>
      </x:c>
      <x:c r="I555" s="6">
        <x:v>2946.83</x:v>
      </x:c>
      <x:c r="J555" s="6">
        <x:v>0</x:v>
      </x:c>
      <x:c r="K555" s="6">
        <x:f t="shared" si="28"/>
        <x:v>2946.83</x:v>
      </x:c>
      <x:c r="L555" s="6">
        <x:v>0</x:v>
      </x:c>
      <x:c r="M555" s="6">
        <x:v>0</x:v>
      </x:c>
      <x:c r="N555" s="6">
        <x:f t="shared" si="29"/>
        <x:v>2946.83</x:v>
      </x:c>
    </x:row>
    <x:row r="556" spans="1:14" x14ac:dyDescent="0.25">
      <x:c r="A556" t="s">
        <x:v>9</x:v>
      </x:c>
      <x:c r="B556" s="3" t="s">
        <x:v>160</x:v>
      </x:c>
      <x:c r="C556" s="3" t="s">
        <x:v>477</x:v>
      </x:c>
      <x:c r="D556" t="s">
        <x:v>677</x:v>
      </x:c>
      <x:c r="E556" s="6">
        <x:v>0</x:v>
      </x:c>
      <x:c r="F556" s="6">
        <x:v>0</x:v>
      </x:c>
      <x:c r="G556" s="6">
        <x:v>0</x:v>
      </x:c>
      <x:c r="H556" s="6">
        <x:f t="shared" si="27"/>
        <x:v>0</x:v>
      </x:c>
      <x:c r="I556" s="6">
        <x:v>2781.3</x:v>
      </x:c>
      <x:c r="J556" s="6">
        <x:v>0</x:v>
      </x:c>
      <x:c r="K556" s="6">
        <x:f t="shared" si="28"/>
        <x:v>2781.3</x:v>
      </x:c>
      <x:c r="L556" s="6">
        <x:v>0</x:v>
      </x:c>
      <x:c r="M556" s="6">
        <x:v>0</x:v>
      </x:c>
      <x:c r="N556" s="6">
        <x:f t="shared" si="29"/>
        <x:v>2781.3</x:v>
      </x:c>
    </x:row>
    <x:row r="557" spans="1:14" x14ac:dyDescent="0.25">
      <x:c r="A557" t="s">
        <x:v>9</x:v>
      </x:c>
      <x:c r="B557" s="3" t="s">
        <x:v>161</x:v>
      </x:c>
      <x:c r="C557" s="3" t="s">
        <x:v>478</x:v>
      </x:c>
      <x:c r="D557" t="s">
        <x:v>677</x:v>
      </x:c>
      <x:c r="E557" s="6">
        <x:v>0</x:v>
      </x:c>
      <x:c r="F557" s="6">
        <x:v>0</x:v>
      </x:c>
      <x:c r="G557" s="6">
        <x:v>0</x:v>
      </x:c>
      <x:c r="H557" s="6">
        <x:f t="shared" si="27"/>
        <x:v>0</x:v>
      </x:c>
      <x:c r="I557" s="6">
        <x:v>5179.8899999999994</x:v>
      </x:c>
      <x:c r="J557" s="6">
        <x:v>0</x:v>
      </x:c>
      <x:c r="K557" s="6">
        <x:f t="shared" si="28"/>
        <x:v>5179.8899999999994</x:v>
      </x:c>
      <x:c r="L557" s="6">
        <x:v>0</x:v>
      </x:c>
      <x:c r="M557" s="6">
        <x:v>0</x:v>
      </x:c>
      <x:c r="N557" s="6">
        <x:f t="shared" si="29"/>
        <x:v>5179.8899999999994</x:v>
      </x:c>
    </x:row>
    <x:row r="558" spans="1:14" x14ac:dyDescent="0.25">
      <x:c r="A558" t="s">
        <x:v>9</x:v>
      </x:c>
      <x:c r="B558" s="3" t="s">
        <x:v>162</x:v>
      </x:c>
      <x:c r="C558" s="3" t="s">
        <x:v>479</x:v>
      </x:c>
      <x:c r="D558" t="s">
        <x:v>677</x:v>
      </x:c>
      <x:c r="E558" s="6">
        <x:v>0</x:v>
      </x:c>
      <x:c r="F558" s="6">
        <x:v>0</x:v>
      </x:c>
      <x:c r="G558" s="6">
        <x:v>0</x:v>
      </x:c>
      <x:c r="H558" s="6">
        <x:f t="shared" si="27"/>
        <x:v>0</x:v>
      </x:c>
      <x:c r="I558" s="6">
        <x:v>55.25</x:v>
      </x:c>
      <x:c r="J558" s="6">
        <x:v>0</x:v>
      </x:c>
      <x:c r="K558" s="6">
        <x:f t="shared" si="28"/>
        <x:v>55.25</x:v>
      </x:c>
      <x:c r="L558" s="6">
        <x:v>0</x:v>
      </x:c>
      <x:c r="M558" s="6">
        <x:v>0</x:v>
      </x:c>
      <x:c r="N558" s="6">
        <x:f t="shared" si="29"/>
        <x:v>55.25</x:v>
      </x:c>
    </x:row>
    <x:row r="559" spans="1:14" x14ac:dyDescent="0.25">
      <x:c r="A559" t="s">
        <x:v>9</x:v>
      </x:c>
      <x:c r="B559" s="3" t="s">
        <x:v>163</x:v>
      </x:c>
      <x:c r="C559" s="3" t="s">
        <x:v>480</x:v>
      </x:c>
      <x:c r="D559" t="s">
        <x:v>677</x:v>
      </x:c>
      <x:c r="E559" s="6">
        <x:v>0</x:v>
      </x:c>
      <x:c r="F559" s="6">
        <x:v>0</x:v>
      </x:c>
      <x:c r="G559" s="6">
        <x:v>0</x:v>
      </x:c>
      <x:c r="H559" s="6">
        <x:f t="shared" si="27"/>
        <x:v>0</x:v>
      </x:c>
      <x:c r="I559" s="6">
        <x:v>6770.69</x:v>
      </x:c>
      <x:c r="J559" s="6">
        <x:v>0</x:v>
      </x:c>
      <x:c r="K559" s="6">
        <x:f t="shared" si="28"/>
        <x:v>6770.69</x:v>
      </x:c>
      <x:c r="L559" s="6">
        <x:v>0</x:v>
      </x:c>
      <x:c r="M559" s="6">
        <x:v>0</x:v>
      </x:c>
      <x:c r="N559" s="6">
        <x:f t="shared" si="29"/>
        <x:v>6770.69</x:v>
      </x:c>
    </x:row>
    <x:row r="560" spans="1:14" x14ac:dyDescent="0.25">
      <x:c r="A560" t="s">
        <x:v>9</x:v>
      </x:c>
      <x:c r="B560" s="3" t="s">
        <x:v>164</x:v>
      </x:c>
      <x:c r="C560" s="3" t="s">
        <x:v>481</x:v>
      </x:c>
      <x:c r="D560" t="s">
        <x:v>677</x:v>
      </x:c>
      <x:c r="E560" s="6">
        <x:v>0</x:v>
      </x:c>
      <x:c r="F560" s="6">
        <x:v>0</x:v>
      </x:c>
      <x:c r="G560" s="6">
        <x:v>0</x:v>
      </x:c>
      <x:c r="H560" s="6">
        <x:f t="shared" si="27"/>
        <x:v>0</x:v>
      </x:c>
      <x:c r="I560" s="6">
        <x:v>1226.19</x:v>
      </x:c>
      <x:c r="J560" s="6">
        <x:v>0</x:v>
      </x:c>
      <x:c r="K560" s="6">
        <x:f t="shared" si="28"/>
        <x:v>1226.19</x:v>
      </x:c>
      <x:c r="L560" s="6">
        <x:v>0</x:v>
      </x:c>
      <x:c r="M560" s="6">
        <x:v>0</x:v>
      </x:c>
      <x:c r="N560" s="6">
        <x:f t="shared" si="29"/>
        <x:v>1226.19</x:v>
      </x:c>
    </x:row>
    <x:row r="561" spans="1:14" x14ac:dyDescent="0.25">
      <x:c r="A561" t="s">
        <x:v>9</x:v>
      </x:c>
      <x:c r="B561" s="3" t="s">
        <x:v>49</x:v>
      </x:c>
      <x:c r="C561" s="3" t="s">
        <x:v>366</x:v>
      </x:c>
      <x:c r="D561" t="s">
        <x:v>677</x:v>
      </x:c>
      <x:c r="E561" s="6">
        <x:v>0</x:v>
      </x:c>
      <x:c r="F561" s="6">
        <x:v>0</x:v>
      </x:c>
      <x:c r="G561" s="6">
        <x:v>0</x:v>
      </x:c>
      <x:c r="H561" s="6">
        <x:f t="shared" si="27"/>
        <x:v>0</x:v>
      </x:c>
      <x:c r="I561" s="6">
        <x:v>100977.15</x:v>
      </x:c>
      <x:c r="J561" s="6">
        <x:v>0</x:v>
      </x:c>
      <x:c r="K561" s="6">
        <x:f t="shared" si="28"/>
        <x:v>100977.15</x:v>
      </x:c>
      <x:c r="L561" s="6">
        <x:v>0</x:v>
      </x:c>
      <x:c r="M561" s="6">
        <x:v>0</x:v>
      </x:c>
      <x:c r="N561" s="6">
        <x:f t="shared" si="29"/>
        <x:v>100977.15</x:v>
      </x:c>
    </x:row>
    <x:row r="562" spans="1:14" x14ac:dyDescent="0.25">
      <x:c r="A562" t="s">
        <x:v>9</x:v>
      </x:c>
      <x:c r="B562" s="3" t="s">
        <x:v>165</x:v>
      </x:c>
      <x:c r="C562" s="3" t="s">
        <x:v>482</x:v>
      </x:c>
      <x:c r="D562" t="s">
        <x:v>677</x:v>
      </x:c>
      <x:c r="E562" s="6">
        <x:v>0</x:v>
      </x:c>
      <x:c r="F562" s="6">
        <x:v>0</x:v>
      </x:c>
      <x:c r="G562" s="6">
        <x:v>0</x:v>
      </x:c>
      <x:c r="H562" s="6">
        <x:f t="shared" si="27"/>
        <x:v>0</x:v>
      </x:c>
      <x:c r="I562" s="6">
        <x:v>48538.090000000004</x:v>
      </x:c>
      <x:c r="J562" s="6">
        <x:v>0</x:v>
      </x:c>
      <x:c r="K562" s="6">
        <x:f t="shared" si="28"/>
        <x:v>48538.090000000004</x:v>
      </x:c>
      <x:c r="L562" s="6">
        <x:v>0</x:v>
      </x:c>
      <x:c r="M562" s="6">
        <x:v>0</x:v>
      </x:c>
      <x:c r="N562" s="6">
        <x:f t="shared" si="29"/>
        <x:v>48538.090000000004</x:v>
      </x:c>
    </x:row>
    <x:row r="563" spans="1:14" x14ac:dyDescent="0.25">
      <x:c r="A563" t="s">
        <x:v>9</x:v>
      </x:c>
      <x:c r="B563" s="3" t="s">
        <x:v>166</x:v>
      </x:c>
      <x:c r="C563" s="3" t="s">
        <x:v>483</x:v>
      </x:c>
      <x:c r="D563" t="s">
        <x:v>677</x:v>
      </x:c>
      <x:c r="E563" s="6">
        <x:v>0</x:v>
      </x:c>
      <x:c r="F563" s="6">
        <x:v>0</x:v>
      </x:c>
      <x:c r="G563" s="6">
        <x:v>0</x:v>
      </x:c>
      <x:c r="H563" s="6">
        <x:f t="shared" si="27"/>
        <x:v>0</x:v>
      </x:c>
      <x:c r="I563" s="6">
        <x:v>718.77</x:v>
      </x:c>
      <x:c r="J563" s="6">
        <x:v>0</x:v>
      </x:c>
      <x:c r="K563" s="6">
        <x:f t="shared" si="28"/>
        <x:v>718.77</x:v>
      </x:c>
      <x:c r="L563" s="6">
        <x:v>0</x:v>
      </x:c>
      <x:c r="M563" s="6">
        <x:v>0</x:v>
      </x:c>
      <x:c r="N563" s="6">
        <x:f t="shared" si="29"/>
        <x:v>718.77</x:v>
      </x:c>
    </x:row>
    <x:row r="564" spans="1:14" x14ac:dyDescent="0.25">
      <x:c r="A564" t="s">
        <x:v>9</x:v>
      </x:c>
      <x:c r="B564" s="3" t="s">
        <x:v>167</x:v>
      </x:c>
      <x:c r="C564" s="3" t="s">
        <x:v>484</x:v>
      </x:c>
      <x:c r="D564" t="s">
        <x:v>677</x:v>
      </x:c>
      <x:c r="E564" s="6">
        <x:v>0</x:v>
      </x:c>
      <x:c r="F564" s="6">
        <x:v>0</x:v>
      </x:c>
      <x:c r="G564" s="6">
        <x:v>0</x:v>
      </x:c>
      <x:c r="H564" s="6">
        <x:f t="shared" si="27"/>
        <x:v>0</x:v>
      </x:c>
      <x:c r="I564" s="6">
        <x:v>-811.6099999999999</x:v>
      </x:c>
      <x:c r="J564" s="6">
        <x:v>0</x:v>
      </x:c>
      <x:c r="K564" s="6">
        <x:f t="shared" si="28"/>
        <x:v>-811.6099999999999</x:v>
      </x:c>
      <x:c r="L564" s="6">
        <x:v>0</x:v>
      </x:c>
      <x:c r="M564" s="6">
        <x:v>0</x:v>
      </x:c>
      <x:c r="N564" s="6">
        <x:f t="shared" si="29"/>
        <x:v>-811.6099999999999</x:v>
      </x:c>
    </x:row>
    <x:row r="565" spans="1:14" x14ac:dyDescent="0.25">
      <x:c r="A565" t="s">
        <x:v>9</x:v>
      </x:c>
      <x:c r="B565" s="3" t="s">
        <x:v>58</x:v>
      </x:c>
      <x:c r="C565" s="3" t="s">
        <x:v>375</x:v>
      </x:c>
      <x:c r="D565" t="s">
        <x:v>677</x:v>
      </x:c>
      <x:c r="E565" s="6">
        <x:v>0</x:v>
      </x:c>
      <x:c r="F565" s="6">
        <x:v>0</x:v>
      </x:c>
      <x:c r="G565" s="6">
        <x:v>0</x:v>
      </x:c>
      <x:c r="H565" s="6">
        <x:f t="shared" si="27"/>
        <x:v>0</x:v>
      </x:c>
      <x:c r="I565" s="6">
        <x:v>24.82</x:v>
      </x:c>
      <x:c r="J565" s="6">
        <x:v>0</x:v>
      </x:c>
      <x:c r="K565" s="6">
        <x:f t="shared" si="28"/>
        <x:v>24.82</x:v>
      </x:c>
      <x:c r="L565" s="6">
        <x:v>0</x:v>
      </x:c>
      <x:c r="M565" s="6">
        <x:v>0</x:v>
      </x:c>
      <x:c r="N565" s="6">
        <x:f t="shared" si="29"/>
        <x:v>24.82</x:v>
      </x:c>
    </x:row>
    <x:row r="566" spans="1:14" x14ac:dyDescent="0.25">
      <x:c r="A566" t="s">
        <x:v>9</x:v>
      </x:c>
      <x:c r="B566" s="3" t="s">
        <x:v>168</x:v>
      </x:c>
      <x:c r="C566" s="3" t="s">
        <x:v>460</x:v>
      </x:c>
      <x:c r="D566" t="s">
        <x:v>677</x:v>
      </x:c>
      <x:c r="E566" s="6">
        <x:v>0</x:v>
      </x:c>
      <x:c r="F566" s="6">
        <x:v>0</x:v>
      </x:c>
      <x:c r="G566" s="6">
        <x:v>0</x:v>
      </x:c>
      <x:c r="H566" s="6">
        <x:f t="shared" si="27"/>
        <x:v>0</x:v>
      </x:c>
      <x:c r="I566" s="6">
        <x:v>89794.599999999991</x:v>
      </x:c>
      <x:c r="J566" s="6">
        <x:v>0</x:v>
      </x:c>
      <x:c r="K566" s="6">
        <x:f t="shared" si="28"/>
        <x:v>89794.599999999991</x:v>
      </x:c>
      <x:c r="L566" s="6">
        <x:v>0</x:v>
      </x:c>
      <x:c r="M566" s="6">
        <x:v>0</x:v>
      </x:c>
      <x:c r="N566" s="6">
        <x:f t="shared" si="29"/>
        <x:v>89794.599999999991</x:v>
      </x:c>
    </x:row>
    <x:row r="567" spans="1:14" x14ac:dyDescent="0.25">
      <x:c r="A567" t="s">
        <x:v>9</x:v>
      </x:c>
      <x:c r="B567" s="3" t="s">
        <x:v>59</x:v>
      </x:c>
      <x:c r="C567" s="3" t="s">
        <x:v>376</x:v>
      </x:c>
      <x:c r="D567" t="s">
        <x:v>677</x:v>
      </x:c>
      <x:c r="E567" s="6">
        <x:v>0</x:v>
      </x:c>
      <x:c r="F567" s="6">
        <x:v>0</x:v>
      </x:c>
      <x:c r="G567" s="6">
        <x:v>0</x:v>
      </x:c>
      <x:c r="H567" s="6">
        <x:f t="shared" si="27"/>
        <x:v>0</x:v>
      </x:c>
      <x:c r="I567" s="6">
        <x:v>143427.59999999998</x:v>
      </x:c>
      <x:c r="J567" s="6">
        <x:v>0</x:v>
      </x:c>
      <x:c r="K567" s="6">
        <x:f t="shared" si="28"/>
        <x:v>143427.59999999998</x:v>
      </x:c>
      <x:c r="L567" s="6">
        <x:v>0</x:v>
      </x:c>
      <x:c r="M567" s="6">
        <x:v>0</x:v>
      </x:c>
      <x:c r="N567" s="6">
        <x:f t="shared" si="29"/>
        <x:v>143427.59999999998</x:v>
      </x:c>
    </x:row>
    <x:row r="568" spans="1:14" x14ac:dyDescent="0.25">
      <x:c r="A568" t="s">
        <x:v>9</x:v>
      </x:c>
      <x:c r="B568" s="3" t="s">
        <x:v>60</x:v>
      </x:c>
      <x:c r="C568" s="3" t="s">
        <x:v>377</x:v>
      </x:c>
      <x:c r="D568" t="s">
        <x:v>677</x:v>
      </x:c>
      <x:c r="E568" s="6">
        <x:v>0</x:v>
      </x:c>
      <x:c r="F568" s="6">
        <x:v>0</x:v>
      </x:c>
      <x:c r="G568" s="6">
        <x:v>0</x:v>
      </x:c>
      <x:c r="H568" s="6">
        <x:f t="shared" si="27"/>
        <x:v>0</x:v>
      </x:c>
      <x:c r="I568" s="6">
        <x:v>822.05</x:v>
      </x:c>
      <x:c r="J568" s="6">
        <x:v>0</x:v>
      </x:c>
      <x:c r="K568" s="6">
        <x:f t="shared" si="28"/>
        <x:v>822.05</x:v>
      </x:c>
      <x:c r="L568" s="6">
        <x:v>0</x:v>
      </x:c>
      <x:c r="M568" s="6">
        <x:v>0</x:v>
      </x:c>
      <x:c r="N568" s="6">
        <x:f t="shared" si="29"/>
        <x:v>822.05</x:v>
      </x:c>
    </x:row>
    <x:row r="569" spans="1:14" x14ac:dyDescent="0.25">
      <x:c r="A569" t="s">
        <x:v>9</x:v>
      </x:c>
      <x:c r="B569" s="3" t="s">
        <x:v>169</x:v>
      </x:c>
      <x:c r="C569" s="3" t="s">
        <x:v>485</x:v>
      </x:c>
      <x:c r="D569" t="s">
        <x:v>677</x:v>
      </x:c>
      <x:c r="E569" s="6">
        <x:v>0</x:v>
      </x:c>
      <x:c r="F569" s="6">
        <x:v>0</x:v>
      </x:c>
      <x:c r="G569" s="6">
        <x:v>0</x:v>
      </x:c>
      <x:c r="H569" s="6">
        <x:f t="shared" si="27"/>
        <x:v>0</x:v>
      </x:c>
      <x:c r="I569" s="6">
        <x:v>911586</x:v>
      </x:c>
      <x:c r="J569" s="6">
        <x:v>0</x:v>
      </x:c>
      <x:c r="K569" s="6">
        <x:f t="shared" si="28"/>
        <x:v>911586</x:v>
      </x:c>
      <x:c r="L569" s="6">
        <x:v>0</x:v>
      </x:c>
      <x:c r="M569" s="6">
        <x:v>0</x:v>
      </x:c>
      <x:c r="N569" s="6">
        <x:f t="shared" si="29"/>
        <x:v>911586</x:v>
      </x:c>
    </x:row>
    <x:row r="570" spans="1:14" x14ac:dyDescent="0.25">
      <x:c r="A570" t="s">
        <x:v>9</x:v>
      </x:c>
      <x:c r="B570" s="3" t="s">
        <x:v>170</x:v>
      </x:c>
      <x:c r="C570" s="3" t="s">
        <x:v>486</x:v>
      </x:c>
      <x:c r="D570" t="s">
        <x:v>677</x:v>
      </x:c>
      <x:c r="E570" s="6">
        <x:v>0</x:v>
      </x:c>
      <x:c r="F570" s="6">
        <x:v>0</x:v>
      </x:c>
      <x:c r="G570" s="6">
        <x:v>0</x:v>
      </x:c>
      <x:c r="H570" s="6">
        <x:f t="shared" si="27"/>
        <x:v>0</x:v>
      </x:c>
      <x:c r="I570" s="6">
        <x:v>48127.450000000004</x:v>
      </x:c>
      <x:c r="J570" s="6">
        <x:v>0</x:v>
      </x:c>
      <x:c r="K570" s="6">
        <x:f t="shared" si="28"/>
        <x:v>48127.450000000004</x:v>
      </x:c>
      <x:c r="L570" s="6">
        <x:v>0</x:v>
      </x:c>
      <x:c r="M570" s="6">
        <x:v>0</x:v>
      </x:c>
      <x:c r="N570" s="6">
        <x:f t="shared" si="29"/>
        <x:v>48127.450000000004</x:v>
      </x:c>
    </x:row>
    <x:row r="571" spans="1:14" x14ac:dyDescent="0.25">
      <x:c r="A571" t="s">
        <x:v>9</x:v>
      </x:c>
      <x:c r="B571" s="3" t="s">
        <x:v>171</x:v>
      </x:c>
      <x:c r="C571" s="3" t="s">
        <x:v>487</x:v>
      </x:c>
      <x:c r="D571" t="s">
        <x:v>677</x:v>
      </x:c>
      <x:c r="E571" s="6">
        <x:v>0</x:v>
      </x:c>
      <x:c r="F571" s="6">
        <x:v>0</x:v>
      </x:c>
      <x:c r="G571" s="6">
        <x:v>0</x:v>
      </x:c>
      <x:c r="H571" s="6">
        <x:f t="shared" si="27"/>
        <x:v>0</x:v>
      </x:c>
      <x:c r="I571" s="6">
        <x:v>42936.08</x:v>
      </x:c>
      <x:c r="J571" s="6">
        <x:v>0</x:v>
      </x:c>
      <x:c r="K571" s="6">
        <x:f t="shared" si="28"/>
        <x:v>42936.08</x:v>
      </x:c>
      <x:c r="L571" s="6">
        <x:v>0</x:v>
      </x:c>
      <x:c r="M571" s="6">
        <x:v>0</x:v>
      </x:c>
      <x:c r="N571" s="6">
        <x:f t="shared" si="29"/>
        <x:v>42936.08</x:v>
      </x:c>
    </x:row>
    <x:row r="572" spans="1:14" x14ac:dyDescent="0.25">
      <x:c r="A572" t="s">
        <x:v>9</x:v>
      </x:c>
      <x:c r="B572" s="3" t="s">
        <x:v>172</x:v>
      </x:c>
      <x:c r="C572" s="3" t="s">
        <x:v>488</x:v>
      </x:c>
      <x:c r="D572" t="s">
        <x:v>677</x:v>
      </x:c>
      <x:c r="E572" s="6">
        <x:v>0</x:v>
      </x:c>
      <x:c r="F572" s="6">
        <x:v>0</x:v>
      </x:c>
      <x:c r="G572" s="6">
        <x:v>0</x:v>
      </x:c>
      <x:c r="H572" s="6">
        <x:f t="shared" si="27"/>
        <x:v>0</x:v>
      </x:c>
      <x:c r="I572" s="6">
        <x:v>3802.28</x:v>
      </x:c>
      <x:c r="J572" s="6">
        <x:v>0</x:v>
      </x:c>
      <x:c r="K572" s="6">
        <x:f t="shared" si="28"/>
        <x:v>3802.28</x:v>
      </x:c>
      <x:c r="L572" s="6">
        <x:v>0</x:v>
      </x:c>
      <x:c r="M572" s="6">
        <x:v>0</x:v>
      </x:c>
      <x:c r="N572" s="6">
        <x:f t="shared" si="29"/>
        <x:v>3802.28</x:v>
      </x:c>
    </x:row>
    <x:row r="573" spans="1:14" x14ac:dyDescent="0.25">
      <x:c r="A573" t="s">
        <x:v>9</x:v>
      </x:c>
      <x:c r="B573" s="3" t="s">
        <x:v>173</x:v>
      </x:c>
      <x:c r="C573" s="3" t="s">
        <x:v>489</x:v>
      </x:c>
      <x:c r="D573" t="s">
        <x:v>677</x:v>
      </x:c>
      <x:c r="E573" s="6">
        <x:v>0</x:v>
      </x:c>
      <x:c r="F573" s="6">
        <x:v>0</x:v>
      </x:c>
      <x:c r="G573" s="6">
        <x:v>0</x:v>
      </x:c>
      <x:c r="H573" s="6">
        <x:f t="shared" si="27"/>
        <x:v>0</x:v>
      </x:c>
      <x:c r="I573" s="6">
        <x:v>4793.0200000000004</x:v>
      </x:c>
      <x:c r="J573" s="6">
        <x:v>0</x:v>
      </x:c>
      <x:c r="K573" s="6">
        <x:f t="shared" si="28"/>
        <x:v>4793.0200000000004</x:v>
      </x:c>
      <x:c r="L573" s="6">
        <x:v>0</x:v>
      </x:c>
      <x:c r="M573" s="6">
        <x:v>0</x:v>
      </x:c>
      <x:c r="N573" s="6">
        <x:f t="shared" si="29"/>
        <x:v>4793.0200000000004</x:v>
      </x:c>
    </x:row>
    <x:row r="574" spans="1:14" x14ac:dyDescent="0.25">
      <x:c r="A574" t="s">
        <x:v>9</x:v>
      </x:c>
      <x:c r="B574" s="3" t="s">
        <x:v>174</x:v>
      </x:c>
      <x:c r="C574" s="3" t="s">
        <x:v>490</x:v>
      </x:c>
      <x:c r="D574" t="s">
        <x:v>677</x:v>
      </x:c>
      <x:c r="E574" s="6">
        <x:v>0</x:v>
      </x:c>
      <x:c r="F574" s="6">
        <x:v>0</x:v>
      </x:c>
      <x:c r="G574" s="6">
        <x:v>0</x:v>
      </x:c>
      <x:c r="H574" s="6">
        <x:f t="shared" si="27"/>
        <x:v>0</x:v>
      </x:c>
      <x:c r="I574" s="6">
        <x:v>17093.810000000001</x:v>
      </x:c>
      <x:c r="J574" s="6">
        <x:v>0</x:v>
      </x:c>
      <x:c r="K574" s="6">
        <x:f t="shared" si="28"/>
        <x:v>17093.810000000001</x:v>
      </x:c>
      <x:c r="L574" s="6">
        <x:v>0</x:v>
      </x:c>
      <x:c r="M574" s="6">
        <x:v>0</x:v>
      </x:c>
      <x:c r="N574" s="6">
        <x:f t="shared" si="29"/>
        <x:v>17093.810000000001</x:v>
      </x:c>
    </x:row>
    <x:row r="575" spans="1:14" x14ac:dyDescent="0.25">
      <x:c r="A575" t="s">
        <x:v>9</x:v>
      </x:c>
      <x:c r="B575" s="3" t="s">
        <x:v>175</x:v>
      </x:c>
      <x:c r="C575" s="3" t="s">
        <x:v>491</x:v>
      </x:c>
      <x:c r="D575" t="s">
        <x:v>677</x:v>
      </x:c>
      <x:c r="E575" s="6">
        <x:v>0</x:v>
      </x:c>
      <x:c r="F575" s="6">
        <x:v>0</x:v>
      </x:c>
      <x:c r="G575" s="6">
        <x:v>0</x:v>
      </x:c>
      <x:c r="H575" s="6">
        <x:f t="shared" si="27"/>
        <x:v>0</x:v>
      </x:c>
      <x:c r="I575" s="6">
        <x:v>28099.679999999997</x:v>
      </x:c>
      <x:c r="J575" s="6">
        <x:v>0</x:v>
      </x:c>
      <x:c r="K575" s="6">
        <x:f t="shared" si="28"/>
        <x:v>28099.679999999997</x:v>
      </x:c>
      <x:c r="L575" s="6">
        <x:v>0</x:v>
      </x:c>
      <x:c r="M575" s="6">
        <x:v>0</x:v>
      </x:c>
      <x:c r="N575" s="6">
        <x:f t="shared" si="29"/>
        <x:v>28099.679999999997</x:v>
      </x:c>
    </x:row>
    <x:row r="576" spans="1:14" x14ac:dyDescent="0.25">
      <x:c r="A576" t="s">
        <x:v>9</x:v>
      </x:c>
      <x:c r="B576" s="3" t="s">
        <x:v>176</x:v>
      </x:c>
      <x:c r="C576" s="3" t="s">
        <x:v>492</x:v>
      </x:c>
      <x:c r="D576" t="s">
        <x:v>677</x:v>
      </x:c>
      <x:c r="E576" s="6">
        <x:v>0</x:v>
      </x:c>
      <x:c r="F576" s="6">
        <x:v>0</x:v>
      </x:c>
      <x:c r="G576" s="6">
        <x:v>0</x:v>
      </x:c>
      <x:c r="H576" s="6">
        <x:f t="shared" si="27"/>
        <x:v>0</x:v>
      </x:c>
      <x:c r="I576" s="6">
        <x:v>1724.2600000000002</x:v>
      </x:c>
      <x:c r="J576" s="6">
        <x:v>0</x:v>
      </x:c>
      <x:c r="K576" s="6">
        <x:f t="shared" si="28"/>
        <x:v>1724.2600000000002</x:v>
      </x:c>
      <x:c r="L576" s="6">
        <x:v>0</x:v>
      </x:c>
      <x:c r="M576" s="6">
        <x:v>0</x:v>
      </x:c>
      <x:c r="N576" s="6">
        <x:f t="shared" si="29"/>
        <x:v>1724.2600000000002</x:v>
      </x:c>
    </x:row>
    <x:row r="577" spans="1:14" x14ac:dyDescent="0.25">
      <x:c r="A577" t="s">
        <x:v>9</x:v>
      </x:c>
      <x:c r="B577" s="3" t="s">
        <x:v>177</x:v>
      </x:c>
      <x:c r="C577" s="3" t="s">
        <x:v>493</x:v>
      </x:c>
      <x:c r="D577" t="s">
        <x:v>677</x:v>
      </x:c>
      <x:c r="E577" s="6">
        <x:v>0</x:v>
      </x:c>
      <x:c r="F577" s="6">
        <x:v>0</x:v>
      </x:c>
      <x:c r="G577" s="6">
        <x:v>0</x:v>
      </x:c>
      <x:c r="H577" s="6">
        <x:f t="shared" si="27"/>
        <x:v>0</x:v>
      </x:c>
      <x:c r="I577" s="6">
        <x:v>151832.34</x:v>
      </x:c>
      <x:c r="J577" s="6">
        <x:v>0</x:v>
      </x:c>
      <x:c r="K577" s="6">
        <x:f t="shared" si="28"/>
        <x:v>151832.34</x:v>
      </x:c>
      <x:c r="L577" s="6">
        <x:v>0</x:v>
      </x:c>
      <x:c r="M577" s="6">
        <x:v>0</x:v>
      </x:c>
      <x:c r="N577" s="6">
        <x:f t="shared" si="29"/>
        <x:v>151832.34</x:v>
      </x:c>
    </x:row>
    <x:row r="578" spans="1:14" x14ac:dyDescent="0.25">
      <x:c r="A578" t="s">
        <x:v>9</x:v>
      </x:c>
      <x:c r="B578" s="3" t="s">
        <x:v>178</x:v>
      </x:c>
      <x:c r="C578" s="3" t="s">
        <x:v>494</x:v>
      </x:c>
      <x:c r="D578" t="s">
        <x:v>677</x:v>
      </x:c>
      <x:c r="E578" s="6">
        <x:v>0</x:v>
      </x:c>
      <x:c r="F578" s="6">
        <x:v>0</x:v>
      </x:c>
      <x:c r="G578" s="6">
        <x:v>0</x:v>
      </x:c>
      <x:c r="H578" s="6">
        <x:f t="shared" si="27"/>
        <x:v>0</x:v>
      </x:c>
      <x:c r="I578" s="6">
        <x:v>157050.59999999998</x:v>
      </x:c>
      <x:c r="J578" s="6">
        <x:v>0</x:v>
      </x:c>
      <x:c r="K578" s="6">
        <x:f t="shared" si="28"/>
        <x:v>157050.59999999998</x:v>
      </x:c>
      <x:c r="L578" s="6">
        <x:v>0</x:v>
      </x:c>
      <x:c r="M578" s="6">
        <x:v>0</x:v>
      </x:c>
      <x:c r="N578" s="6">
        <x:f t="shared" si="29"/>
        <x:v>157050.59999999998</x:v>
      </x:c>
    </x:row>
    <x:row r="579" spans="1:14" x14ac:dyDescent="0.25">
      <x:c r="A579" t="s">
        <x:v>9</x:v>
      </x:c>
      <x:c r="B579" s="3" t="s">
        <x:v>179</x:v>
      </x:c>
      <x:c r="C579" s="3" t="s">
        <x:v>495</x:v>
      </x:c>
      <x:c r="D579" t="s">
        <x:v>677</x:v>
      </x:c>
      <x:c r="E579" s="6">
        <x:v>0</x:v>
      </x:c>
      <x:c r="F579" s="6">
        <x:v>0</x:v>
      </x:c>
      <x:c r="G579" s="6">
        <x:v>0</x:v>
      </x:c>
      <x:c r="H579" s="6">
        <x:f t="shared" si="27"/>
        <x:v>0</x:v>
      </x:c>
      <x:c r="I579" s="6">
        <x:v>19252.560000000001</x:v>
      </x:c>
      <x:c r="J579" s="6">
        <x:v>0</x:v>
      </x:c>
      <x:c r="K579" s="6">
        <x:f t="shared" si="28"/>
        <x:v>19252.560000000001</x:v>
      </x:c>
      <x:c r="L579" s="6">
        <x:v>0</x:v>
      </x:c>
      <x:c r="M579" s="6">
        <x:v>0</x:v>
      </x:c>
      <x:c r="N579" s="6">
        <x:f t="shared" si="29"/>
        <x:v>19252.560000000001</x:v>
      </x:c>
    </x:row>
    <x:row r="580" spans="1:14" x14ac:dyDescent="0.25">
      <x:c r="A580" t="s">
        <x:v>9</x:v>
      </x:c>
      <x:c r="B580" s="3" t="s">
        <x:v>180</x:v>
      </x:c>
      <x:c r="C580" s="3" t="s">
        <x:v>496</x:v>
      </x:c>
      <x:c r="D580" t="s">
        <x:v>677</x:v>
      </x:c>
      <x:c r="E580" s="6">
        <x:v>0</x:v>
      </x:c>
      <x:c r="F580" s="6">
        <x:v>0</x:v>
      </x:c>
      <x:c r="G580" s="6">
        <x:v>0</x:v>
      </x:c>
      <x:c r="H580" s="6">
        <x:f t="shared" si="27"/>
        <x:v>0</x:v>
      </x:c>
      <x:c r="I580" s="6">
        <x:v>35506.86</x:v>
      </x:c>
      <x:c r="J580" s="6">
        <x:v>0</x:v>
      </x:c>
      <x:c r="K580" s="6">
        <x:f t="shared" si="28"/>
        <x:v>35506.86</x:v>
      </x:c>
      <x:c r="L580" s="6">
        <x:v>0</x:v>
      </x:c>
      <x:c r="M580" s="6">
        <x:v>0</x:v>
      </x:c>
      <x:c r="N580" s="6">
        <x:f t="shared" si="29"/>
        <x:v>35506.86</x:v>
      </x:c>
    </x:row>
    <x:row r="581" spans="1:14" x14ac:dyDescent="0.25">
      <x:c r="A581" t="s">
        <x:v>9</x:v>
      </x:c>
      <x:c r="B581" s="3" t="s">
        <x:v>181</x:v>
      </x:c>
      <x:c r="C581" s="3" t="s">
        <x:v>497</x:v>
      </x:c>
      <x:c r="D581" t="s">
        <x:v>677</x:v>
      </x:c>
      <x:c r="E581" s="6">
        <x:v>0</x:v>
      </x:c>
      <x:c r="F581" s="6">
        <x:v>0</x:v>
      </x:c>
      <x:c r="G581" s="6">
        <x:v>0</x:v>
      </x:c>
      <x:c r="H581" s="6">
        <x:f t="shared" si="27"/>
        <x:v>0</x:v>
      </x:c>
      <x:c r="I581" s="6">
        <x:v>807.30000000000007</x:v>
      </x:c>
      <x:c r="J581" s="6">
        <x:v>0</x:v>
      </x:c>
      <x:c r="K581" s="6">
        <x:f t="shared" si="28"/>
        <x:v>807.30000000000007</x:v>
      </x:c>
      <x:c r="L581" s="6">
        <x:v>0</x:v>
      </x:c>
      <x:c r="M581" s="6">
        <x:v>0</x:v>
      </x:c>
      <x:c r="N581" s="6">
        <x:f t="shared" si="29"/>
        <x:v>807.30000000000007</x:v>
      </x:c>
    </x:row>
    <x:row r="582" spans="1:14" x14ac:dyDescent="0.25">
      <x:c r="A582" t="s">
        <x:v>9</x:v>
      </x:c>
      <x:c r="B582" s="3" t="s">
        <x:v>182</x:v>
      </x:c>
      <x:c r="C582" s="3" t="s">
        <x:v>498</x:v>
      </x:c>
      <x:c r="D582" t="s">
        <x:v>677</x:v>
      </x:c>
      <x:c r="E582" s="6">
        <x:v>0</x:v>
      </x:c>
      <x:c r="F582" s="6">
        <x:v>0</x:v>
      </x:c>
      <x:c r="G582" s="6">
        <x:v>0</x:v>
      </x:c>
      <x:c r="H582" s="6">
        <x:f t="shared" si="27"/>
        <x:v>0</x:v>
      </x:c>
      <x:c r="I582" s="6">
        <x:v>51373.11</x:v>
      </x:c>
      <x:c r="J582" s="6">
        <x:v>0</x:v>
      </x:c>
      <x:c r="K582" s="6">
        <x:f t="shared" si="28"/>
        <x:v>51373.11</x:v>
      </x:c>
      <x:c r="L582" s="6">
        <x:v>0</x:v>
      </x:c>
      <x:c r="M582" s="6">
        <x:v>0</x:v>
      </x:c>
      <x:c r="N582" s="6">
        <x:f t="shared" si="29"/>
        <x:v>51373.11</x:v>
      </x:c>
    </x:row>
    <x:row r="583" spans="1:14" x14ac:dyDescent="0.25">
      <x:c r="A583" t="s">
        <x:v>9</x:v>
      </x:c>
      <x:c r="B583" s="3" t="s">
        <x:v>183</x:v>
      </x:c>
      <x:c r="C583" s="3" t="s">
        <x:v>499</x:v>
      </x:c>
      <x:c r="D583" t="s">
        <x:v>677</x:v>
      </x:c>
      <x:c r="E583" s="6">
        <x:v>0</x:v>
      </x:c>
      <x:c r="F583" s="6">
        <x:v>0</x:v>
      </x:c>
      <x:c r="G583" s="6">
        <x:v>0</x:v>
      </x:c>
      <x:c r="H583" s="6">
        <x:f t="shared" si="27"/>
        <x:v>0</x:v>
      </x:c>
      <x:c r="I583" s="6">
        <x:v>150</x:v>
      </x:c>
      <x:c r="J583" s="6">
        <x:v>0</x:v>
      </x:c>
      <x:c r="K583" s="6">
        <x:f t="shared" si="28"/>
        <x:v>150</x:v>
      </x:c>
      <x:c r="L583" s="6">
        <x:v>0</x:v>
      </x:c>
      <x:c r="M583" s="6">
        <x:v>0</x:v>
      </x:c>
      <x:c r="N583" s="6">
        <x:f t="shared" si="29"/>
        <x:v>150</x:v>
      </x:c>
    </x:row>
    <x:row r="584" spans="1:14" x14ac:dyDescent="0.25">
      <x:c r="A584" t="s">
        <x:v>9</x:v>
      </x:c>
      <x:c r="B584" s="3" t="s">
        <x:v>184</x:v>
      </x:c>
      <x:c r="C584" s="3" t="s">
        <x:v>500</x:v>
      </x:c>
      <x:c r="D584" t="s">
        <x:v>677</x:v>
      </x:c>
      <x:c r="E584" s="6">
        <x:v>0</x:v>
      </x:c>
      <x:c r="F584" s="6">
        <x:v>0</x:v>
      </x:c>
      <x:c r="G584" s="6">
        <x:v>0</x:v>
      </x:c>
      <x:c r="H584" s="6">
        <x:f t="shared" si="27"/>
        <x:v>0</x:v>
      </x:c>
      <x:c r="I584" s="6">
        <x:v>351.45</x:v>
      </x:c>
      <x:c r="J584" s="6">
        <x:v>0</x:v>
      </x:c>
      <x:c r="K584" s="6">
        <x:f t="shared" si="28"/>
        <x:v>351.45</x:v>
      </x:c>
      <x:c r="L584" s="6">
        <x:v>0</x:v>
      </x:c>
      <x:c r="M584" s="6">
        <x:v>0</x:v>
      </x:c>
      <x:c r="N584" s="6">
        <x:f t="shared" si="29"/>
        <x:v>351.45</x:v>
      </x:c>
    </x:row>
    <x:row r="585" spans="1:14" x14ac:dyDescent="0.25">
      <x:c r="A585" t="s">
        <x:v>9</x:v>
      </x:c>
      <x:c r="B585" s="3" t="s">
        <x:v>185</x:v>
      </x:c>
      <x:c r="C585" s="3" t="s">
        <x:v>501</x:v>
      </x:c>
      <x:c r="D585" t="s">
        <x:v>677</x:v>
      </x:c>
      <x:c r="E585" s="6">
        <x:v>0</x:v>
      </x:c>
      <x:c r="F585" s="6">
        <x:v>0</x:v>
      </x:c>
      <x:c r="G585" s="6">
        <x:v>0</x:v>
      </x:c>
      <x:c r="H585" s="6">
        <x:f t="shared" si="27"/>
        <x:v>0</x:v>
      </x:c>
      <x:c r="I585" s="6">
        <x:v>53390.729999999996</x:v>
      </x:c>
      <x:c r="J585" s="6">
        <x:v>0</x:v>
      </x:c>
      <x:c r="K585" s="6">
        <x:f t="shared" si="28"/>
        <x:v>53390.729999999996</x:v>
      </x:c>
      <x:c r="L585" s="6">
        <x:v>0</x:v>
      </x:c>
      <x:c r="M585" s="6">
        <x:v>0</x:v>
      </x:c>
      <x:c r="N585" s="6">
        <x:f t="shared" si="29"/>
        <x:v>53390.729999999996</x:v>
      </x:c>
    </x:row>
    <x:row r="586" spans="1:14" x14ac:dyDescent="0.25">
      <x:c r="A586" t="s">
        <x:v>9</x:v>
      </x:c>
      <x:c r="B586" s="3" t="s">
        <x:v>186</x:v>
      </x:c>
      <x:c r="C586" s="3" t="s">
        <x:v>502</x:v>
      </x:c>
      <x:c r="D586" t="s">
        <x:v>677</x:v>
      </x:c>
      <x:c r="E586" s="6">
        <x:v>0</x:v>
      </x:c>
      <x:c r="F586" s="6">
        <x:v>0</x:v>
      </x:c>
      <x:c r="G586" s="6">
        <x:v>0</x:v>
      </x:c>
      <x:c r="H586" s="6">
        <x:f t="shared" si="27"/>
        <x:v>0</x:v>
      </x:c>
      <x:c r="I586" s="6">
        <x:v>6093.57</x:v>
      </x:c>
      <x:c r="J586" s="6">
        <x:v>0</x:v>
      </x:c>
      <x:c r="K586" s="6">
        <x:f t="shared" si="28"/>
        <x:v>6093.57</x:v>
      </x:c>
      <x:c r="L586" s="6">
        <x:v>0</x:v>
      </x:c>
      <x:c r="M586" s="6">
        <x:v>0</x:v>
      </x:c>
      <x:c r="N586" s="6">
        <x:f t="shared" si="29"/>
        <x:v>6093.57</x:v>
      </x:c>
    </x:row>
    <x:row r="587" spans="1:14" x14ac:dyDescent="0.25">
      <x:c r="A587" t="s">
        <x:v>9</x:v>
      </x:c>
      <x:c r="B587" s="3" t="s">
        <x:v>187</x:v>
      </x:c>
      <x:c r="C587" s="3" t="s">
        <x:v>503</x:v>
      </x:c>
      <x:c r="D587" t="s">
        <x:v>677</x:v>
      </x:c>
      <x:c r="E587" s="6">
        <x:v>0</x:v>
      </x:c>
      <x:c r="F587" s="6">
        <x:v>0</x:v>
      </x:c>
      <x:c r="G587" s="6">
        <x:v>0</x:v>
      </x:c>
      <x:c r="H587" s="6">
        <x:f t="shared" si="27"/>
        <x:v>0</x:v>
      </x:c>
      <x:c r="I587" s="6">
        <x:v>149322.99000000002</x:v>
      </x:c>
      <x:c r="J587" s="6">
        <x:v>0</x:v>
      </x:c>
      <x:c r="K587" s="6">
        <x:f t="shared" si="28"/>
        <x:v>149322.99000000002</x:v>
      </x:c>
      <x:c r="L587" s="6">
        <x:v>0</x:v>
      </x:c>
      <x:c r="M587" s="6">
        <x:v>0</x:v>
      </x:c>
      <x:c r="N587" s="6">
        <x:f t="shared" si="29"/>
        <x:v>149322.99000000002</x:v>
      </x:c>
    </x:row>
    <x:row r="588" spans="1:14" x14ac:dyDescent="0.25">
      <x:c r="A588" t="s">
        <x:v>9</x:v>
      </x:c>
      <x:c r="B588" s="3" t="s">
        <x:v>188</x:v>
      </x:c>
      <x:c r="C588" s="3" t="s">
        <x:v>504</x:v>
      </x:c>
      <x:c r="D588" t="s">
        <x:v>677</x:v>
      </x:c>
      <x:c r="E588" s="6">
        <x:v>0</x:v>
      </x:c>
      <x:c r="F588" s="6">
        <x:v>0</x:v>
      </x:c>
      <x:c r="G588" s="6">
        <x:v>0</x:v>
      </x:c>
      <x:c r="H588" s="6">
        <x:f t="shared" si="27"/>
        <x:v>0</x:v>
      </x:c>
      <x:c r="I588" s="6">
        <x:v>35252</x:v>
      </x:c>
      <x:c r="J588" s="6">
        <x:v>0</x:v>
      </x:c>
      <x:c r="K588" s="6">
        <x:f t="shared" si="28"/>
        <x:v>35252</x:v>
      </x:c>
      <x:c r="L588" s="6">
        <x:v>0</x:v>
      </x:c>
      <x:c r="M588" s="6">
        <x:v>0</x:v>
      </x:c>
      <x:c r="N588" s="6">
        <x:f t="shared" si="29"/>
        <x:v>35252</x:v>
      </x:c>
    </x:row>
    <x:row r="589" spans="1:14" x14ac:dyDescent="0.25">
      <x:c r="A589" t="s">
        <x:v>9</x:v>
      </x:c>
      <x:c r="B589" s="3" t="s">
        <x:v>189</x:v>
      </x:c>
      <x:c r="C589" s="3" t="s">
        <x:v>505</x:v>
      </x:c>
      <x:c r="D589" t="s">
        <x:v>677</x:v>
      </x:c>
      <x:c r="E589" s="6">
        <x:v>0</x:v>
      </x:c>
      <x:c r="F589" s="6">
        <x:v>0</x:v>
      </x:c>
      <x:c r="G589" s="6">
        <x:v>0</x:v>
      </x:c>
      <x:c r="H589" s="6">
        <x:f t="shared" si="27"/>
        <x:v>0</x:v>
      </x:c>
      <x:c r="I589" s="6">
        <x:v>1075.78</x:v>
      </x:c>
      <x:c r="J589" s="6">
        <x:v>0</x:v>
      </x:c>
      <x:c r="K589" s="6">
        <x:f t="shared" si="28"/>
        <x:v>1075.78</x:v>
      </x:c>
      <x:c r="L589" s="6">
        <x:v>0</x:v>
      </x:c>
      <x:c r="M589" s="6">
        <x:v>0</x:v>
      </x:c>
      <x:c r="N589" s="6">
        <x:f t="shared" si="29"/>
        <x:v>1075.78</x:v>
      </x:c>
    </x:row>
    <x:row r="590" spans="1:14" x14ac:dyDescent="0.25">
      <x:c r="A590" t="s">
        <x:v>9</x:v>
      </x:c>
      <x:c r="B590" s="3" t="s">
        <x:v>190</x:v>
      </x:c>
      <x:c r="C590" s="3" t="s">
        <x:v>506</x:v>
      </x:c>
      <x:c r="D590" t="s">
        <x:v>677</x:v>
      </x:c>
      <x:c r="E590" s="6">
        <x:v>0</x:v>
      </x:c>
      <x:c r="F590" s="6">
        <x:v>0</x:v>
      </x:c>
      <x:c r="G590" s="6">
        <x:v>0</x:v>
      </x:c>
      <x:c r="H590" s="6">
        <x:f t="shared" ref="H590:H653" si="30">SUM(E590:G590)</x:f>
        <x:v>0</x:v>
      </x:c>
      <x:c r="I590" s="6">
        <x:v>64074.13</x:v>
      </x:c>
      <x:c r="J590" s="6">
        <x:v>0</x:v>
      </x:c>
      <x:c r="K590" s="6">
        <x:f t="shared" ref="K590:K653" si="31">SUM(I590:J590)</x:f>
        <x:v>64074.13</x:v>
      </x:c>
      <x:c r="L590" s="6">
        <x:v>0</x:v>
      </x:c>
      <x:c r="M590" s="6">
        <x:v>0</x:v>
      </x:c>
      <x:c r="N590" s="6">
        <x:f t="shared" ref="N590:N653" si="32">+E590+F590+G590+I590+J590+L590+M590</x:f>
        <x:v>64074.13</x:v>
      </x:c>
    </x:row>
    <x:row r="591" spans="1:14" x14ac:dyDescent="0.25">
      <x:c r="A591" t="s">
        <x:v>9</x:v>
      </x:c>
      <x:c r="B591" s="3" t="s">
        <x:v>191</x:v>
      </x:c>
      <x:c r="C591" s="3" t="s">
        <x:v>507</x:v>
      </x:c>
      <x:c r="D591" t="s">
        <x:v>677</x:v>
      </x:c>
      <x:c r="E591" s="6">
        <x:v>0</x:v>
      </x:c>
      <x:c r="F591" s="6">
        <x:v>0</x:v>
      </x:c>
      <x:c r="G591" s="6">
        <x:v>0</x:v>
      </x:c>
      <x:c r="H591" s="6">
        <x:f t="shared" si="30"/>
        <x:v>0</x:v>
      </x:c>
      <x:c r="I591" s="6">
        <x:v>15960.53</x:v>
      </x:c>
      <x:c r="J591" s="6">
        <x:v>0</x:v>
      </x:c>
      <x:c r="K591" s="6">
        <x:f t="shared" si="31"/>
        <x:v>15960.53</x:v>
      </x:c>
      <x:c r="L591" s="6">
        <x:v>0</x:v>
      </x:c>
      <x:c r="M591" s="6">
        <x:v>0</x:v>
      </x:c>
      <x:c r="N591" s="6">
        <x:f t="shared" si="32"/>
        <x:v>15960.53</x:v>
      </x:c>
    </x:row>
    <x:row r="592" spans="1:14" x14ac:dyDescent="0.25">
      <x:c r="A592" t="s">
        <x:v>9</x:v>
      </x:c>
      <x:c r="B592" s="3" t="s">
        <x:v>192</x:v>
      </x:c>
      <x:c r="C592" s="3" t="s">
        <x:v>508</x:v>
      </x:c>
      <x:c r="D592" t="s">
        <x:v>677</x:v>
      </x:c>
      <x:c r="E592" s="6">
        <x:v>0</x:v>
      </x:c>
      <x:c r="F592" s="6">
        <x:v>0</x:v>
      </x:c>
      <x:c r="G592" s="6">
        <x:v>0</x:v>
      </x:c>
      <x:c r="H592" s="6">
        <x:f t="shared" si="30"/>
        <x:v>0</x:v>
      </x:c>
      <x:c r="I592" s="6">
        <x:v>24692.33</x:v>
      </x:c>
      <x:c r="J592" s="6">
        <x:v>0</x:v>
      </x:c>
      <x:c r="K592" s="6">
        <x:f t="shared" si="31"/>
        <x:v>24692.33</x:v>
      </x:c>
      <x:c r="L592" s="6">
        <x:v>0</x:v>
      </x:c>
      <x:c r="M592" s="6">
        <x:v>0</x:v>
      </x:c>
      <x:c r="N592" s="6">
        <x:f t="shared" si="32"/>
        <x:v>24692.33</x:v>
      </x:c>
    </x:row>
    <x:row r="593" spans="1:14" x14ac:dyDescent="0.25">
      <x:c r="A593" t="s">
        <x:v>9</x:v>
      </x:c>
      <x:c r="B593" s="3" t="s">
        <x:v>193</x:v>
      </x:c>
      <x:c r="C593" s="3" t="s">
        <x:v>509</x:v>
      </x:c>
      <x:c r="D593" t="s">
        <x:v>677</x:v>
      </x:c>
      <x:c r="E593" s="6">
        <x:v>0</x:v>
      </x:c>
      <x:c r="F593" s="6">
        <x:v>0</x:v>
      </x:c>
      <x:c r="G593" s="6">
        <x:v>0</x:v>
      </x:c>
      <x:c r="H593" s="6">
        <x:f t="shared" si="30"/>
        <x:v>0</x:v>
      </x:c>
      <x:c r="I593" s="6">
        <x:v>27957.219999999998</x:v>
      </x:c>
      <x:c r="J593" s="6">
        <x:v>0</x:v>
      </x:c>
      <x:c r="K593" s="6">
        <x:f t="shared" si="31"/>
        <x:v>27957.219999999998</x:v>
      </x:c>
      <x:c r="L593" s="6">
        <x:v>0</x:v>
      </x:c>
      <x:c r="M593" s="6">
        <x:v>0</x:v>
      </x:c>
      <x:c r="N593" s="6">
        <x:f t="shared" si="32"/>
        <x:v>27957.219999999998</x:v>
      </x:c>
    </x:row>
    <x:row r="594" spans="1:14" x14ac:dyDescent="0.25">
      <x:c r="A594" t="s">
        <x:v>9</x:v>
      </x:c>
      <x:c r="B594" s="3" t="s">
        <x:v>194</x:v>
      </x:c>
      <x:c r="C594" s="3" t="s">
        <x:v>510</x:v>
      </x:c>
      <x:c r="D594" t="s">
        <x:v>677</x:v>
      </x:c>
      <x:c r="E594" s="6">
        <x:v>0</x:v>
      </x:c>
      <x:c r="F594" s="6">
        <x:v>0</x:v>
      </x:c>
      <x:c r="G594" s="6">
        <x:v>0</x:v>
      </x:c>
      <x:c r="H594" s="6">
        <x:f t="shared" si="30"/>
        <x:v>0</x:v>
      </x:c>
      <x:c r="I594" s="6">
        <x:v>92239.979999999967</x:v>
      </x:c>
      <x:c r="J594" s="6">
        <x:v>0</x:v>
      </x:c>
      <x:c r="K594" s="6">
        <x:f t="shared" si="31"/>
        <x:v>92239.979999999967</x:v>
      </x:c>
      <x:c r="L594" s="6">
        <x:v>0</x:v>
      </x:c>
      <x:c r="M594" s="6">
        <x:v>0</x:v>
      </x:c>
      <x:c r="N594" s="6">
        <x:f t="shared" si="32"/>
        <x:v>92239.979999999967</x:v>
      </x:c>
    </x:row>
    <x:row r="595" spans="1:14" x14ac:dyDescent="0.25">
      <x:c r="A595" t="s">
        <x:v>9</x:v>
      </x:c>
      <x:c r="B595" s="3" t="s">
        <x:v>195</x:v>
      </x:c>
      <x:c r="C595" s="3" t="s">
        <x:v>511</x:v>
      </x:c>
      <x:c r="D595" t="s">
        <x:v>677</x:v>
      </x:c>
      <x:c r="E595" s="6">
        <x:v>0</x:v>
      </x:c>
      <x:c r="F595" s="6">
        <x:v>0</x:v>
      </x:c>
      <x:c r="G595" s="6">
        <x:v>0</x:v>
      </x:c>
      <x:c r="H595" s="6">
        <x:f t="shared" si="30"/>
        <x:v>0</x:v>
      </x:c>
      <x:c r="I595" s="6">
        <x:v>24157.280000000006</x:v>
      </x:c>
      <x:c r="J595" s="6">
        <x:v>0</x:v>
      </x:c>
      <x:c r="K595" s="6">
        <x:f t="shared" si="31"/>
        <x:v>24157.280000000006</x:v>
      </x:c>
      <x:c r="L595" s="6">
        <x:v>0</x:v>
      </x:c>
      <x:c r="M595" s="6">
        <x:v>0</x:v>
      </x:c>
      <x:c r="N595" s="6">
        <x:f t="shared" si="32"/>
        <x:v>24157.280000000006</x:v>
      </x:c>
    </x:row>
    <x:row r="596" spans="1:14" x14ac:dyDescent="0.25">
      <x:c r="A596" t="s">
        <x:v>9</x:v>
      </x:c>
      <x:c r="B596" s="3" t="s">
        <x:v>196</x:v>
      </x:c>
      <x:c r="C596" s="3" t="s">
        <x:v>512</x:v>
      </x:c>
      <x:c r="D596" t="s">
        <x:v>677</x:v>
      </x:c>
      <x:c r="E596" s="6">
        <x:v>0</x:v>
      </x:c>
      <x:c r="F596" s="6">
        <x:v>0</x:v>
      </x:c>
      <x:c r="G596" s="6">
        <x:v>0</x:v>
      </x:c>
      <x:c r="H596" s="6">
        <x:f t="shared" si="30"/>
        <x:v>0</x:v>
      </x:c>
      <x:c r="I596" s="6">
        <x:v>49492.770000000004</x:v>
      </x:c>
      <x:c r="J596" s="6">
        <x:v>0</x:v>
      </x:c>
      <x:c r="K596" s="6">
        <x:f t="shared" si="31"/>
        <x:v>49492.770000000004</x:v>
      </x:c>
      <x:c r="L596" s="6">
        <x:v>0</x:v>
      </x:c>
      <x:c r="M596" s="6">
        <x:v>0</x:v>
      </x:c>
      <x:c r="N596" s="6">
        <x:f t="shared" si="32"/>
        <x:v>49492.770000000004</x:v>
      </x:c>
    </x:row>
    <x:row r="597" spans="1:14" x14ac:dyDescent="0.25">
      <x:c r="A597" t="s">
        <x:v>9</x:v>
      </x:c>
      <x:c r="B597" s="3" t="s">
        <x:v>197</x:v>
      </x:c>
      <x:c r="C597" s="3" t="s">
        <x:v>513</x:v>
      </x:c>
      <x:c r="D597" t="s">
        <x:v>676</x:v>
      </x:c>
      <x:c r="E597" s="6">
        <x:v>0</x:v>
      </x:c>
      <x:c r="F597" s="6">
        <x:v>0</x:v>
      </x:c>
      <x:c r="G597" s="6">
        <x:v>0</x:v>
      </x:c>
      <x:c r="H597" s="6">
        <x:f t="shared" si="30"/>
        <x:v>0</x:v>
      </x:c>
      <x:c r="I597" s="6">
        <x:v>0</x:v>
      </x:c>
      <x:c r="J597" s="6">
        <x:v>0</x:v>
      </x:c>
      <x:c r="K597" s="6">
        <x:f t="shared" si="31"/>
        <x:v>0</x:v>
      </x:c>
      <x:c r="L597" s="6">
        <x:v>520.70999999999992</x:v>
      </x:c>
      <x:c r="M597" s="6">
        <x:v>0</x:v>
      </x:c>
      <x:c r="N597" s="6">
        <x:f t="shared" si="32"/>
        <x:v>520.70999999999992</x:v>
      </x:c>
    </x:row>
    <x:row r="598" spans="1:14" x14ac:dyDescent="0.25">
      <x:c r="A598" t="s">
        <x:v>9</x:v>
      </x:c>
      <x:c r="B598" s="3" t="s">
        <x:v>198</x:v>
      </x:c>
      <x:c r="C598" s="3" t="s">
        <x:v>514</x:v>
      </x:c>
      <x:c r="D598" t="s">
        <x:v>677</x:v>
      </x:c>
      <x:c r="E598" s="6">
        <x:v>0</x:v>
      </x:c>
      <x:c r="F598" s="6">
        <x:v>0</x:v>
      </x:c>
      <x:c r="G598" s="6">
        <x:v>0</x:v>
      </x:c>
      <x:c r="H598" s="6">
        <x:f t="shared" si="30"/>
        <x:v>0</x:v>
      </x:c>
      <x:c r="I598" s="6">
        <x:v>22082.800000000003</x:v>
      </x:c>
      <x:c r="J598" s="6">
        <x:v>0</x:v>
      </x:c>
      <x:c r="K598" s="6">
        <x:f t="shared" si="31"/>
        <x:v>22082.800000000003</x:v>
      </x:c>
      <x:c r="L598" s="6">
        <x:v>0</x:v>
      </x:c>
      <x:c r="M598" s="6">
        <x:v>0</x:v>
      </x:c>
      <x:c r="N598" s="6">
        <x:f t="shared" si="32"/>
        <x:v>22082.800000000003</x:v>
      </x:c>
    </x:row>
    <x:row r="599" spans="1:14" x14ac:dyDescent="0.25">
      <x:c r="A599" t="s">
        <x:v>9</x:v>
      </x:c>
      <x:c r="B599" s="3" t="s">
        <x:v>63</x:v>
      </x:c>
      <x:c r="C599" s="3" t="s">
        <x:v>380</x:v>
      </x:c>
      <x:c r="D599" t="s">
        <x:v>677</x:v>
      </x:c>
      <x:c r="E599" s="6">
        <x:v>0</x:v>
      </x:c>
      <x:c r="F599" s="6">
        <x:v>0</x:v>
      </x:c>
      <x:c r="G599" s="6">
        <x:v>0</x:v>
      </x:c>
      <x:c r="H599" s="6">
        <x:f t="shared" si="30"/>
        <x:v>0</x:v>
      </x:c>
      <x:c r="I599" s="6">
        <x:v>41787.509999999995</x:v>
      </x:c>
      <x:c r="J599" s="6">
        <x:v>0</x:v>
      </x:c>
      <x:c r="K599" s="6">
        <x:f t="shared" si="31"/>
        <x:v>41787.509999999995</x:v>
      </x:c>
      <x:c r="L599" s="6">
        <x:v>0</x:v>
      </x:c>
      <x:c r="M599" s="6">
        <x:v>0</x:v>
      </x:c>
      <x:c r="N599" s="6">
        <x:f t="shared" si="32"/>
        <x:v>41787.509999999995</x:v>
      </x:c>
    </x:row>
    <x:row r="600" spans="1:14" x14ac:dyDescent="0.25">
      <x:c r="A600" t="s">
        <x:v>9</x:v>
      </x:c>
      <x:c r="B600" s="3" t="s">
        <x:v>199</x:v>
      </x:c>
      <x:c r="C600" s="3" t="s">
        <x:v>515</x:v>
      </x:c>
      <x:c r="D600" t="s">
        <x:v>677</x:v>
      </x:c>
      <x:c r="E600" s="6">
        <x:v>0</x:v>
      </x:c>
      <x:c r="F600" s="6">
        <x:v>0</x:v>
      </x:c>
      <x:c r="G600" s="6">
        <x:v>0</x:v>
      </x:c>
      <x:c r="H600" s="6">
        <x:f t="shared" si="30"/>
        <x:v>0</x:v>
      </x:c>
      <x:c r="I600" s="6">
        <x:v>33721.569999999992</x:v>
      </x:c>
      <x:c r="J600" s="6">
        <x:v>0</x:v>
      </x:c>
      <x:c r="K600" s="6">
        <x:f t="shared" si="31"/>
        <x:v>33721.569999999992</x:v>
      </x:c>
      <x:c r="L600" s="6">
        <x:v>0</x:v>
      </x:c>
      <x:c r="M600" s="6">
        <x:v>0</x:v>
      </x:c>
      <x:c r="N600" s="6">
        <x:f t="shared" si="32"/>
        <x:v>33721.569999999992</x:v>
      </x:c>
    </x:row>
    <x:row r="601" spans="1:14" x14ac:dyDescent="0.25">
      <x:c r="A601" t="s">
        <x:v>9</x:v>
      </x:c>
      <x:c r="B601" s="3" t="s">
        <x:v>200</x:v>
      </x:c>
      <x:c r="C601" s="3" t="s">
        <x:v>516</x:v>
      </x:c>
      <x:c r="D601" t="s">
        <x:v>677</x:v>
      </x:c>
      <x:c r="E601" s="6">
        <x:v>0</x:v>
      </x:c>
      <x:c r="F601" s="6">
        <x:v>0</x:v>
      </x:c>
      <x:c r="G601" s="6">
        <x:v>0</x:v>
      </x:c>
      <x:c r="H601" s="6">
        <x:f t="shared" si="30"/>
        <x:v>0</x:v>
      </x:c>
      <x:c r="I601" s="6">
        <x:v>62520.880000000005</x:v>
      </x:c>
      <x:c r="J601" s="6">
        <x:v>0</x:v>
      </x:c>
      <x:c r="K601" s="6">
        <x:f t="shared" si="31"/>
        <x:v>62520.880000000005</x:v>
      </x:c>
      <x:c r="L601" s="6">
        <x:v>0</x:v>
      </x:c>
      <x:c r="M601" s="6">
        <x:v>0</x:v>
      </x:c>
      <x:c r="N601" s="6">
        <x:f t="shared" si="32"/>
        <x:v>62520.880000000005</x:v>
      </x:c>
    </x:row>
    <x:row r="602" spans="1:14" x14ac:dyDescent="0.25">
      <x:c r="A602" t="s">
        <x:v>9</x:v>
      </x:c>
      <x:c r="B602" s="3" t="s">
        <x:v>201</x:v>
      </x:c>
      <x:c r="C602" s="3" t="s">
        <x:v>517</x:v>
      </x:c>
      <x:c r="D602" t="s">
        <x:v>676</x:v>
      </x:c>
      <x:c r="E602" s="6">
        <x:v>0</x:v>
      </x:c>
      <x:c r="F602" s="6">
        <x:v>0</x:v>
      </x:c>
      <x:c r="G602" s="6">
        <x:v>0</x:v>
      </x:c>
      <x:c r="H602" s="6">
        <x:f t="shared" si="30"/>
        <x:v>0</x:v>
      </x:c>
      <x:c r="I602" s="6">
        <x:v>0</x:v>
      </x:c>
      <x:c r="J602" s="6">
        <x:v>0</x:v>
      </x:c>
      <x:c r="K602" s="6">
        <x:f t="shared" si="31"/>
        <x:v>0</x:v>
      </x:c>
      <x:c r="L602" s="6">
        <x:v>89.42</x:v>
      </x:c>
      <x:c r="M602" s="6">
        <x:v>0</x:v>
      </x:c>
      <x:c r="N602" s="6">
        <x:f t="shared" si="32"/>
        <x:v>89.42</x:v>
      </x:c>
    </x:row>
    <x:row r="603" spans="1:14" x14ac:dyDescent="0.25">
      <x:c r="A603" t="s">
        <x:v>9</x:v>
      </x:c>
      <x:c r="B603" s="3" t="s">
        <x:v>202</x:v>
      </x:c>
      <x:c r="C603" s="3" t="s">
        <x:v>518</x:v>
      </x:c>
      <x:c r="D603" t="s">
        <x:v>677</x:v>
      </x:c>
      <x:c r="E603" s="6">
        <x:v>0</x:v>
      </x:c>
      <x:c r="F603" s="6">
        <x:v>0</x:v>
      </x:c>
      <x:c r="G603" s="6">
        <x:v>0</x:v>
      </x:c>
      <x:c r="H603" s="6">
        <x:f t="shared" si="30"/>
        <x:v>0</x:v>
      </x:c>
      <x:c r="I603" s="6">
        <x:v>160405.95000000001</x:v>
      </x:c>
      <x:c r="J603" s="6">
        <x:v>0</x:v>
      </x:c>
      <x:c r="K603" s="6">
        <x:f t="shared" si="31"/>
        <x:v>160405.95000000001</x:v>
      </x:c>
      <x:c r="L603" s="6">
        <x:v>0</x:v>
      </x:c>
      <x:c r="M603" s="6">
        <x:v>0</x:v>
      </x:c>
      <x:c r="N603" s="6">
        <x:f t="shared" si="32"/>
        <x:v>160405.95000000001</x:v>
      </x:c>
    </x:row>
    <x:row r="604" spans="1:14" x14ac:dyDescent="0.25">
      <x:c r="A604" t="s">
        <x:v>9</x:v>
      </x:c>
      <x:c r="B604" s="3" t="s">
        <x:v>203</x:v>
      </x:c>
      <x:c r="C604" s="3" t="s">
        <x:v>519</x:v>
      </x:c>
      <x:c r="D604" t="s">
        <x:v>677</x:v>
      </x:c>
      <x:c r="E604" s="6">
        <x:v>0</x:v>
      </x:c>
      <x:c r="F604" s="6">
        <x:v>0</x:v>
      </x:c>
      <x:c r="G604" s="6">
        <x:v>0</x:v>
      </x:c>
      <x:c r="H604" s="6">
        <x:f t="shared" si="30"/>
        <x:v>0</x:v>
      </x:c>
      <x:c r="I604" s="6">
        <x:v>4285.8500000000004</x:v>
      </x:c>
      <x:c r="J604" s="6">
        <x:v>0</x:v>
      </x:c>
      <x:c r="K604" s="6">
        <x:f t="shared" si="31"/>
        <x:v>4285.8500000000004</x:v>
      </x:c>
      <x:c r="L604" s="6">
        <x:v>0</x:v>
      </x:c>
      <x:c r="M604" s="6">
        <x:v>0</x:v>
      </x:c>
      <x:c r="N604" s="6">
        <x:f t="shared" si="32"/>
        <x:v>4285.8500000000004</x:v>
      </x:c>
    </x:row>
    <x:row r="605" spans="1:14" x14ac:dyDescent="0.25">
      <x:c r="A605" t="s">
        <x:v>9</x:v>
      </x:c>
      <x:c r="B605" s="3" t="s">
        <x:v>50</x:v>
      </x:c>
      <x:c r="C605" s="3" t="s">
        <x:v>367</x:v>
      </x:c>
      <x:c r="D605" t="s">
        <x:v>677</x:v>
      </x:c>
      <x:c r="E605" s="6">
        <x:v>0</x:v>
      </x:c>
      <x:c r="F605" s="6">
        <x:v>0</x:v>
      </x:c>
      <x:c r="G605" s="6">
        <x:v>0</x:v>
      </x:c>
      <x:c r="H605" s="6">
        <x:f t="shared" si="30"/>
        <x:v>0</x:v>
      </x:c>
      <x:c r="I605" s="6">
        <x:v>8077.8</x:v>
      </x:c>
      <x:c r="J605" s="6">
        <x:v>0</x:v>
      </x:c>
      <x:c r="K605" s="6">
        <x:f t="shared" si="31"/>
        <x:v>8077.8</x:v>
      </x:c>
      <x:c r="L605" s="6">
        <x:v>0</x:v>
      </x:c>
      <x:c r="M605" s="6">
        <x:v>0</x:v>
      </x:c>
      <x:c r="N605" s="6">
        <x:f t="shared" si="32"/>
        <x:v>8077.8</x:v>
      </x:c>
    </x:row>
    <x:row r="606" spans="1:14" x14ac:dyDescent="0.25">
      <x:c r="A606" t="s">
        <x:v>9</x:v>
      </x:c>
      <x:c r="B606" s="3" t="s">
        <x:v>204</x:v>
      </x:c>
      <x:c r="C606" s="3" t="s">
        <x:v>520</x:v>
      </x:c>
      <x:c r="D606" t="s">
        <x:v>677</x:v>
      </x:c>
      <x:c r="E606" s="6">
        <x:v>0</x:v>
      </x:c>
      <x:c r="F606" s="6">
        <x:v>0</x:v>
      </x:c>
      <x:c r="G606" s="6">
        <x:v>0</x:v>
      </x:c>
      <x:c r="H606" s="6">
        <x:f t="shared" si="30"/>
        <x:v>0</x:v>
      </x:c>
      <x:c r="I606" s="6">
        <x:v>3677.9800000000005</x:v>
      </x:c>
      <x:c r="J606" s="6">
        <x:v>0</x:v>
      </x:c>
      <x:c r="K606" s="6">
        <x:f t="shared" si="31"/>
        <x:v>3677.9800000000005</x:v>
      </x:c>
      <x:c r="L606" s="6">
        <x:v>0</x:v>
      </x:c>
      <x:c r="M606" s="6">
        <x:v>0</x:v>
      </x:c>
      <x:c r="N606" s="6">
        <x:f t="shared" si="32"/>
        <x:v>3677.9800000000005</x:v>
      </x:c>
    </x:row>
    <x:row r="607" spans="1:14" x14ac:dyDescent="0.25">
      <x:c r="A607" t="s">
        <x:v>9</x:v>
      </x:c>
      <x:c r="B607" s="3" t="s">
        <x:v>205</x:v>
      </x:c>
      <x:c r="C607" s="3" t="s">
        <x:v>521</x:v>
      </x:c>
      <x:c r="D607" t="s">
        <x:v>677</x:v>
      </x:c>
      <x:c r="E607" s="6">
        <x:v>0</x:v>
      </x:c>
      <x:c r="F607" s="6">
        <x:v>0</x:v>
      </x:c>
      <x:c r="G607" s="6">
        <x:v>0</x:v>
      </x:c>
      <x:c r="H607" s="6">
        <x:f t="shared" si="30"/>
        <x:v>0</x:v>
      </x:c>
      <x:c r="I607" s="6">
        <x:v>55676.910000000011</x:v>
      </x:c>
      <x:c r="J607" s="6">
        <x:v>0</x:v>
      </x:c>
      <x:c r="K607" s="6">
        <x:f t="shared" si="31"/>
        <x:v>55676.910000000011</x:v>
      </x:c>
      <x:c r="L607" s="6">
        <x:v>0</x:v>
      </x:c>
      <x:c r="M607" s="6">
        <x:v>0</x:v>
      </x:c>
      <x:c r="N607" s="6">
        <x:f t="shared" si="32"/>
        <x:v>55676.910000000011</x:v>
      </x:c>
    </x:row>
    <x:row r="608" spans="1:14" x14ac:dyDescent="0.25">
      <x:c r="A608" t="s">
        <x:v>9</x:v>
      </x:c>
      <x:c r="B608" s="3" t="s">
        <x:v>206</x:v>
      </x:c>
      <x:c r="C608" s="3" t="s">
        <x:v>522</x:v>
      </x:c>
      <x:c r="D608" t="s">
        <x:v>677</x:v>
      </x:c>
      <x:c r="E608" s="6">
        <x:v>0</x:v>
      </x:c>
      <x:c r="F608" s="6">
        <x:v>0</x:v>
      </x:c>
      <x:c r="G608" s="6">
        <x:v>0</x:v>
      </x:c>
      <x:c r="H608" s="6">
        <x:f t="shared" si="30"/>
        <x:v>0</x:v>
      </x:c>
      <x:c r="I608" s="6">
        <x:v>236.46</x:v>
      </x:c>
      <x:c r="J608" s="6">
        <x:v>0</x:v>
      </x:c>
      <x:c r="K608" s="6">
        <x:f t="shared" si="31"/>
        <x:v>236.46</x:v>
      </x:c>
      <x:c r="L608" s="6">
        <x:v>0</x:v>
      </x:c>
      <x:c r="M608" s="6">
        <x:v>0</x:v>
      </x:c>
      <x:c r="N608" s="6">
        <x:f t="shared" si="32"/>
        <x:v>236.46</x:v>
      </x:c>
    </x:row>
    <x:row r="609" spans="1:14" x14ac:dyDescent="0.25">
      <x:c r="A609" t="s">
        <x:v>9</x:v>
      </x:c>
      <x:c r="B609" s="3" t="s">
        <x:v>207</x:v>
      </x:c>
      <x:c r="C609" s="3" t="s">
        <x:v>523</x:v>
      </x:c>
      <x:c r="D609" t="s">
        <x:v>677</x:v>
      </x:c>
      <x:c r="E609" s="6">
        <x:v>0</x:v>
      </x:c>
      <x:c r="F609" s="6">
        <x:v>0</x:v>
      </x:c>
      <x:c r="G609" s="6">
        <x:v>0</x:v>
      </x:c>
      <x:c r="H609" s="6">
        <x:f t="shared" si="30"/>
        <x:v>0</x:v>
      </x:c>
      <x:c r="I609" s="6">
        <x:v>3910.1299999999997</x:v>
      </x:c>
      <x:c r="J609" s="6">
        <x:v>0</x:v>
      </x:c>
      <x:c r="K609" s="6">
        <x:f t="shared" si="31"/>
        <x:v>3910.1299999999997</x:v>
      </x:c>
      <x:c r="L609" s="6">
        <x:v>0</x:v>
      </x:c>
      <x:c r="M609" s="6">
        <x:v>0</x:v>
      </x:c>
      <x:c r="N609" s="6">
        <x:f t="shared" si="32"/>
        <x:v>3910.1299999999997</x:v>
      </x:c>
    </x:row>
    <x:row r="610" spans="1:14" x14ac:dyDescent="0.25">
      <x:c r="A610" t="s">
        <x:v>9</x:v>
      </x:c>
      <x:c r="B610" s="3" t="s">
        <x:v>208</x:v>
      </x:c>
      <x:c r="C610" s="3" t="s">
        <x:v>524</x:v>
      </x:c>
      <x:c r="D610" t="s">
        <x:v>677</x:v>
      </x:c>
      <x:c r="E610" s="6">
        <x:v>0</x:v>
      </x:c>
      <x:c r="F610" s="6">
        <x:v>0</x:v>
      </x:c>
      <x:c r="G610" s="6">
        <x:v>0</x:v>
      </x:c>
      <x:c r="H610" s="6">
        <x:f t="shared" si="30"/>
        <x:v>0</x:v>
      </x:c>
      <x:c r="I610" s="6">
        <x:v>1432.01</x:v>
      </x:c>
      <x:c r="J610" s="6">
        <x:v>0</x:v>
      </x:c>
      <x:c r="K610" s="6">
        <x:f t="shared" si="31"/>
        <x:v>1432.01</x:v>
      </x:c>
      <x:c r="L610" s="6">
        <x:v>0</x:v>
      </x:c>
      <x:c r="M610" s="6">
        <x:v>0</x:v>
      </x:c>
      <x:c r="N610" s="6">
        <x:f t="shared" si="32"/>
        <x:v>1432.01</x:v>
      </x:c>
    </x:row>
    <x:row r="611" spans="1:14" x14ac:dyDescent="0.25">
      <x:c r="A611" t="s">
        <x:v>9</x:v>
      </x:c>
      <x:c r="B611" s="3" t="s">
        <x:v>209</x:v>
      </x:c>
      <x:c r="C611" s="3" t="s">
        <x:v>525</x:v>
      </x:c>
      <x:c r="D611" t="s">
        <x:v>677</x:v>
      </x:c>
      <x:c r="E611" s="6">
        <x:v>0</x:v>
      </x:c>
      <x:c r="F611" s="6">
        <x:v>0</x:v>
      </x:c>
      <x:c r="G611" s="6">
        <x:v>0</x:v>
      </x:c>
      <x:c r="H611" s="6">
        <x:f t="shared" si="30"/>
        <x:v>0</x:v>
      </x:c>
      <x:c r="I611" s="6">
        <x:v>18161.139999999996</x:v>
      </x:c>
      <x:c r="J611" s="6">
        <x:v>0</x:v>
      </x:c>
      <x:c r="K611" s="6">
        <x:f t="shared" si="31"/>
        <x:v>18161.139999999996</x:v>
      </x:c>
      <x:c r="L611" s="6">
        <x:v>0</x:v>
      </x:c>
      <x:c r="M611" s="6">
        <x:v>0</x:v>
      </x:c>
      <x:c r="N611" s="6">
        <x:f t="shared" si="32"/>
        <x:v>18161.139999999996</x:v>
      </x:c>
    </x:row>
    <x:row r="612" spans="1:14" x14ac:dyDescent="0.25">
      <x:c r="A612" t="s">
        <x:v>9</x:v>
      </x:c>
      <x:c r="B612" s="3" t="s">
        <x:v>210</x:v>
      </x:c>
      <x:c r="C612" s="3" t="s">
        <x:v>526</x:v>
      </x:c>
      <x:c r="D612" t="s">
        <x:v>677</x:v>
      </x:c>
      <x:c r="E612" s="6">
        <x:v>0</x:v>
      </x:c>
      <x:c r="F612" s="6">
        <x:v>0</x:v>
      </x:c>
      <x:c r="G612" s="6">
        <x:v>0</x:v>
      </x:c>
      <x:c r="H612" s="6">
        <x:f t="shared" si="30"/>
        <x:v>0</x:v>
      </x:c>
      <x:c r="I612" s="6">
        <x:v>27778.070000000003</x:v>
      </x:c>
      <x:c r="J612" s="6">
        <x:v>0</x:v>
      </x:c>
      <x:c r="K612" s="6">
        <x:f t="shared" si="31"/>
        <x:v>27778.070000000003</x:v>
      </x:c>
      <x:c r="L612" s="6">
        <x:v>0</x:v>
      </x:c>
      <x:c r="M612" s="6">
        <x:v>0</x:v>
      </x:c>
      <x:c r="N612" s="6">
        <x:f t="shared" si="32"/>
        <x:v>27778.070000000003</x:v>
      </x:c>
    </x:row>
    <x:row r="613" spans="1:14" x14ac:dyDescent="0.25">
      <x:c r="A613" t="s">
        <x:v>9</x:v>
      </x:c>
      <x:c r="B613" s="3" t="s">
        <x:v>211</x:v>
      </x:c>
      <x:c r="C613" s="3" t="s">
        <x:v>527</x:v>
      </x:c>
      <x:c r="D613" t="s">
        <x:v>677</x:v>
      </x:c>
      <x:c r="E613" s="6">
        <x:v>0</x:v>
      </x:c>
      <x:c r="F613" s="6">
        <x:v>0</x:v>
      </x:c>
      <x:c r="G613" s="6">
        <x:v>0</x:v>
      </x:c>
      <x:c r="H613" s="6">
        <x:f t="shared" si="30"/>
        <x:v>0</x:v>
      </x:c>
      <x:c r="I613" s="6">
        <x:v>24017.430000000004</x:v>
      </x:c>
      <x:c r="J613" s="6">
        <x:v>0</x:v>
      </x:c>
      <x:c r="K613" s="6">
        <x:f t="shared" si="31"/>
        <x:v>24017.430000000004</x:v>
      </x:c>
      <x:c r="L613" s="6">
        <x:v>0</x:v>
      </x:c>
      <x:c r="M613" s="6">
        <x:v>0</x:v>
      </x:c>
      <x:c r="N613" s="6">
        <x:f t="shared" si="32"/>
        <x:v>24017.430000000004</x:v>
      </x:c>
    </x:row>
    <x:row r="614" spans="1:14" x14ac:dyDescent="0.25">
      <x:c r="A614" t="s">
        <x:v>9</x:v>
      </x:c>
      <x:c r="B614" s="3" t="s">
        <x:v>212</x:v>
      </x:c>
      <x:c r="C614" s="3" t="s">
        <x:v>528</x:v>
      </x:c>
      <x:c r="D614" t="s">
        <x:v>677</x:v>
      </x:c>
      <x:c r="E614" s="6">
        <x:v>0</x:v>
      </x:c>
      <x:c r="F614" s="6">
        <x:v>0</x:v>
      </x:c>
      <x:c r="G614" s="6">
        <x:v>0</x:v>
      </x:c>
      <x:c r="H614" s="6">
        <x:f t="shared" si="30"/>
        <x:v>0</x:v>
      </x:c>
      <x:c r="I614" s="6">
        <x:v>40506</x:v>
      </x:c>
      <x:c r="J614" s="6">
        <x:v>0</x:v>
      </x:c>
      <x:c r="K614" s="6">
        <x:f t="shared" si="31"/>
        <x:v>40506</x:v>
      </x:c>
      <x:c r="L614" s="6">
        <x:v>0</x:v>
      </x:c>
      <x:c r="M614" s="6">
        <x:v>0</x:v>
      </x:c>
      <x:c r="N614" s="6">
        <x:f t="shared" si="32"/>
        <x:v>40506</x:v>
      </x:c>
    </x:row>
    <x:row r="615" spans="1:14" x14ac:dyDescent="0.25">
      <x:c r="A615" t="s">
        <x:v>9</x:v>
      </x:c>
      <x:c r="B615" s="3" t="s">
        <x:v>64</x:v>
      </x:c>
      <x:c r="C615" s="3" t="s">
        <x:v>381</x:v>
      </x:c>
      <x:c r="D615" t="s">
        <x:v>677</x:v>
      </x:c>
      <x:c r="E615" s="6">
        <x:v>0</x:v>
      </x:c>
      <x:c r="F615" s="6">
        <x:v>0</x:v>
      </x:c>
      <x:c r="G615" s="6">
        <x:v>0</x:v>
      </x:c>
      <x:c r="H615" s="6">
        <x:f t="shared" si="30"/>
        <x:v>0</x:v>
      </x:c>
      <x:c r="I615" s="6">
        <x:v>28480.469999999998</x:v>
      </x:c>
      <x:c r="J615" s="6">
        <x:v>0</x:v>
      </x:c>
      <x:c r="K615" s="6">
        <x:f t="shared" si="31"/>
        <x:v>28480.469999999998</x:v>
      </x:c>
      <x:c r="L615" s="6">
        <x:v>0</x:v>
      </x:c>
      <x:c r="M615" s="6">
        <x:v>0</x:v>
      </x:c>
      <x:c r="N615" s="6">
        <x:f t="shared" si="32"/>
        <x:v>28480.469999999998</x:v>
      </x:c>
    </x:row>
    <x:row r="616" spans="1:14" x14ac:dyDescent="0.25">
      <x:c r="A616" t="s">
        <x:v>9</x:v>
      </x:c>
      <x:c r="B616" s="3" t="s">
        <x:v>213</x:v>
      </x:c>
      <x:c r="C616" s="3" t="s">
        <x:v>529</x:v>
      </x:c>
      <x:c r="D616" t="s">
        <x:v>677</x:v>
      </x:c>
      <x:c r="E616" s="6">
        <x:v>0</x:v>
      </x:c>
      <x:c r="F616" s="6">
        <x:v>0</x:v>
      </x:c>
      <x:c r="G616" s="6">
        <x:v>0</x:v>
      </x:c>
      <x:c r="H616" s="6">
        <x:f t="shared" si="30"/>
        <x:v>0</x:v>
      </x:c>
      <x:c r="I616" s="6">
        <x:v>55665.899999999994</x:v>
      </x:c>
      <x:c r="J616" s="6">
        <x:v>0</x:v>
      </x:c>
      <x:c r="K616" s="6">
        <x:f t="shared" si="31"/>
        <x:v>55665.899999999994</x:v>
      </x:c>
      <x:c r="L616" s="6">
        <x:v>0</x:v>
      </x:c>
      <x:c r="M616" s="6">
        <x:v>0</x:v>
      </x:c>
      <x:c r="N616" s="6">
        <x:f t="shared" si="32"/>
        <x:v>55665.899999999994</x:v>
      </x:c>
    </x:row>
    <x:row r="617" spans="1:14" x14ac:dyDescent="0.25">
      <x:c r="A617" t="s">
        <x:v>9</x:v>
      </x:c>
      <x:c r="B617" s="3" t="s">
        <x:v>214</x:v>
      </x:c>
      <x:c r="C617" s="3" t="s">
        <x:v>530</x:v>
      </x:c>
      <x:c r="D617" t="s">
        <x:v>677</x:v>
      </x:c>
      <x:c r="E617" s="6">
        <x:v>0</x:v>
      </x:c>
      <x:c r="F617" s="6">
        <x:v>0</x:v>
      </x:c>
      <x:c r="G617" s="6">
        <x:v>0</x:v>
      </x:c>
      <x:c r="H617" s="6">
        <x:f t="shared" si="30"/>
        <x:v>0</x:v>
      </x:c>
      <x:c r="I617" s="6">
        <x:v>66536.59</x:v>
      </x:c>
      <x:c r="J617" s="6">
        <x:v>0</x:v>
      </x:c>
      <x:c r="K617" s="6">
        <x:f t="shared" si="31"/>
        <x:v>66536.59</x:v>
      </x:c>
      <x:c r="L617" s="6">
        <x:v>0</x:v>
      </x:c>
      <x:c r="M617" s="6">
        <x:v>0</x:v>
      </x:c>
      <x:c r="N617" s="6">
        <x:f t="shared" si="32"/>
        <x:v>66536.59</x:v>
      </x:c>
    </x:row>
    <x:row r="618" spans="1:14" x14ac:dyDescent="0.25">
      <x:c r="A618" t="s">
        <x:v>9</x:v>
      </x:c>
      <x:c r="B618" s="3" t="s">
        <x:v>215</x:v>
      </x:c>
      <x:c r="C618" s="3" t="s">
        <x:v>531</x:v>
      </x:c>
      <x:c r="D618" t="s">
        <x:v>677</x:v>
      </x:c>
      <x:c r="E618" s="6">
        <x:v>0</x:v>
      </x:c>
      <x:c r="F618" s="6">
        <x:v>0</x:v>
      </x:c>
      <x:c r="G618" s="6">
        <x:v>0</x:v>
      </x:c>
      <x:c r="H618" s="6">
        <x:f t="shared" si="30"/>
        <x:v>0</x:v>
      </x:c>
      <x:c r="I618" s="6">
        <x:v>24111.000000000004</x:v>
      </x:c>
      <x:c r="J618" s="6">
        <x:v>0</x:v>
      </x:c>
      <x:c r="K618" s="6">
        <x:f t="shared" si="31"/>
        <x:v>24111.000000000004</x:v>
      </x:c>
      <x:c r="L618" s="6">
        <x:v>0</x:v>
      </x:c>
      <x:c r="M618" s="6">
        <x:v>0</x:v>
      </x:c>
      <x:c r="N618" s="6">
        <x:f t="shared" si="32"/>
        <x:v>24111.000000000004</x:v>
      </x:c>
    </x:row>
    <x:row r="619" spans="1:14" x14ac:dyDescent="0.25">
      <x:c r="A619" t="s">
        <x:v>9</x:v>
      </x:c>
      <x:c r="B619" s="3" t="s">
        <x:v>216</x:v>
      </x:c>
      <x:c r="C619" s="3" t="s">
        <x:v>532</x:v>
      </x:c>
      <x:c r="D619" t="s">
        <x:v>677</x:v>
      </x:c>
      <x:c r="E619" s="6">
        <x:v>0</x:v>
      </x:c>
      <x:c r="F619" s="6">
        <x:v>0</x:v>
      </x:c>
      <x:c r="G619" s="6">
        <x:v>0</x:v>
      </x:c>
      <x:c r="H619" s="6">
        <x:f t="shared" si="30"/>
        <x:v>0</x:v>
      </x:c>
      <x:c r="I619" s="6">
        <x:v>12134.58</x:v>
      </x:c>
      <x:c r="J619" s="6">
        <x:v>0</x:v>
      </x:c>
      <x:c r="K619" s="6">
        <x:f t="shared" si="31"/>
        <x:v>12134.58</x:v>
      </x:c>
      <x:c r="L619" s="6">
        <x:v>0</x:v>
      </x:c>
      <x:c r="M619" s="6">
        <x:v>0</x:v>
      </x:c>
      <x:c r="N619" s="6">
        <x:f t="shared" si="32"/>
        <x:v>12134.58</x:v>
      </x:c>
    </x:row>
    <x:row r="620" spans="1:14" x14ac:dyDescent="0.25">
      <x:c r="A620" t="s">
        <x:v>9</x:v>
      </x:c>
      <x:c r="B620" s="3" t="s">
        <x:v>65</x:v>
      </x:c>
      <x:c r="C620" s="3" t="s">
        <x:v>382</x:v>
      </x:c>
      <x:c r="D620" t="s">
        <x:v>677</x:v>
      </x:c>
      <x:c r="E620" s="6">
        <x:v>0</x:v>
      </x:c>
      <x:c r="F620" s="6">
        <x:v>0</x:v>
      </x:c>
      <x:c r="G620" s="6">
        <x:v>0</x:v>
      </x:c>
      <x:c r="H620" s="6">
        <x:f t="shared" si="30"/>
        <x:v>0</x:v>
      </x:c>
      <x:c r="I620" s="6">
        <x:v>22425.09</x:v>
      </x:c>
      <x:c r="J620" s="6">
        <x:v>0</x:v>
      </x:c>
      <x:c r="K620" s="6">
        <x:f t="shared" si="31"/>
        <x:v>22425.09</x:v>
      </x:c>
      <x:c r="L620" s="6">
        <x:v>0</x:v>
      </x:c>
      <x:c r="M620" s="6">
        <x:v>0</x:v>
      </x:c>
      <x:c r="N620" s="6">
        <x:f t="shared" si="32"/>
        <x:v>22425.09</x:v>
      </x:c>
    </x:row>
    <x:row r="621" spans="1:14" x14ac:dyDescent="0.25">
      <x:c r="A621" t="s">
        <x:v>9</x:v>
      </x:c>
      <x:c r="B621" s="3" t="s">
        <x:v>217</x:v>
      </x:c>
      <x:c r="C621" s="3" t="s">
        <x:v>533</x:v>
      </x:c>
      <x:c r="D621" t="s">
        <x:v>677</x:v>
      </x:c>
      <x:c r="E621" s="6">
        <x:v>0</x:v>
      </x:c>
      <x:c r="F621" s="6">
        <x:v>0</x:v>
      </x:c>
      <x:c r="G621" s="6">
        <x:v>0</x:v>
      </x:c>
      <x:c r="H621" s="6">
        <x:f t="shared" si="30"/>
        <x:v>0</x:v>
      </x:c>
      <x:c r="I621" s="6">
        <x:v>31102.189999999991</x:v>
      </x:c>
      <x:c r="J621" s="6">
        <x:v>0</x:v>
      </x:c>
      <x:c r="K621" s="6">
        <x:f t="shared" si="31"/>
        <x:v>31102.189999999991</x:v>
      </x:c>
      <x:c r="L621" s="6">
        <x:v>0</x:v>
      </x:c>
      <x:c r="M621" s="6">
        <x:v>0</x:v>
      </x:c>
      <x:c r="N621" s="6">
        <x:f t="shared" si="32"/>
        <x:v>31102.189999999991</x:v>
      </x:c>
    </x:row>
    <x:row r="622" spans="1:14" x14ac:dyDescent="0.25">
      <x:c r="A622" t="s">
        <x:v>9</x:v>
      </x:c>
      <x:c r="B622" s="3" t="s">
        <x:v>218</x:v>
      </x:c>
      <x:c r="C622" s="3" t="s">
        <x:v>534</x:v>
      </x:c>
      <x:c r="D622" t="s">
        <x:v>677</x:v>
      </x:c>
      <x:c r="E622" s="6">
        <x:v>0</x:v>
      </x:c>
      <x:c r="F622" s="6">
        <x:v>0</x:v>
      </x:c>
      <x:c r="G622" s="6">
        <x:v>0</x:v>
      </x:c>
      <x:c r="H622" s="6">
        <x:f t="shared" si="30"/>
        <x:v>0</x:v>
      </x:c>
      <x:c r="I622" s="6">
        <x:v>11906.13</x:v>
      </x:c>
      <x:c r="J622" s="6">
        <x:v>0</x:v>
      </x:c>
      <x:c r="K622" s="6">
        <x:f t="shared" si="31"/>
        <x:v>11906.13</x:v>
      </x:c>
      <x:c r="L622" s="6">
        <x:v>0</x:v>
      </x:c>
      <x:c r="M622" s="6">
        <x:v>0</x:v>
      </x:c>
      <x:c r="N622" s="6">
        <x:f t="shared" si="32"/>
        <x:v>11906.13</x:v>
      </x:c>
    </x:row>
    <x:row r="623" spans="1:14" x14ac:dyDescent="0.25">
      <x:c r="A623" t="s">
        <x:v>9</x:v>
      </x:c>
      <x:c r="B623" s="3" t="s">
        <x:v>219</x:v>
      </x:c>
      <x:c r="C623" s="3" t="s">
        <x:v>535</x:v>
      </x:c>
      <x:c r="D623" t="s">
        <x:v>677</x:v>
      </x:c>
      <x:c r="E623" s="6">
        <x:v>0</x:v>
      </x:c>
      <x:c r="F623" s="6">
        <x:v>0</x:v>
      </x:c>
      <x:c r="G623" s="6">
        <x:v>0</x:v>
      </x:c>
      <x:c r="H623" s="6">
        <x:f t="shared" si="30"/>
        <x:v>0</x:v>
      </x:c>
      <x:c r="I623" s="6">
        <x:v>102128.92</x:v>
      </x:c>
      <x:c r="J623" s="6">
        <x:v>0</x:v>
      </x:c>
      <x:c r="K623" s="6">
        <x:f t="shared" si="31"/>
        <x:v>102128.92</x:v>
      </x:c>
      <x:c r="L623" s="6">
        <x:v>0</x:v>
      </x:c>
      <x:c r="M623" s="6">
        <x:v>0</x:v>
      </x:c>
      <x:c r="N623" s="6">
        <x:f t="shared" si="32"/>
        <x:v>102128.92</x:v>
      </x:c>
    </x:row>
    <x:row r="624" spans="1:14" x14ac:dyDescent="0.25">
      <x:c r="A624" t="s">
        <x:v>9</x:v>
      </x:c>
      <x:c r="B624" s="3" t="s">
        <x:v>220</x:v>
      </x:c>
      <x:c r="C624" s="3" t="s">
        <x:v>536</x:v>
      </x:c>
      <x:c r="D624" t="s">
        <x:v>677</x:v>
      </x:c>
      <x:c r="E624" s="6">
        <x:v>0</x:v>
      </x:c>
      <x:c r="F624" s="6">
        <x:v>0</x:v>
      </x:c>
      <x:c r="G624" s="6">
        <x:v>0</x:v>
      </x:c>
      <x:c r="H624" s="6">
        <x:f t="shared" si="30"/>
        <x:v>0</x:v>
      </x:c>
      <x:c r="I624" s="6">
        <x:v>53066.270000000004</x:v>
      </x:c>
      <x:c r="J624" s="6">
        <x:v>0</x:v>
      </x:c>
      <x:c r="K624" s="6">
        <x:f t="shared" si="31"/>
        <x:v>53066.270000000004</x:v>
      </x:c>
      <x:c r="L624" s="6">
        <x:v>0</x:v>
      </x:c>
      <x:c r="M624" s="6">
        <x:v>0</x:v>
      </x:c>
      <x:c r="N624" s="6">
        <x:f t="shared" si="32"/>
        <x:v>53066.270000000004</x:v>
      </x:c>
    </x:row>
    <x:row r="625" spans="1:14" x14ac:dyDescent="0.25">
      <x:c r="A625" t="s">
        <x:v>9</x:v>
      </x:c>
      <x:c r="B625" s="3" t="s">
        <x:v>66</x:v>
      </x:c>
      <x:c r="C625" s="3" t="s">
        <x:v>383</x:v>
      </x:c>
      <x:c r="D625" t="s">
        <x:v>677</x:v>
      </x:c>
      <x:c r="E625" s="6">
        <x:v>0</x:v>
      </x:c>
      <x:c r="F625" s="6">
        <x:v>0</x:v>
      </x:c>
      <x:c r="G625" s="6">
        <x:v>0</x:v>
      </x:c>
      <x:c r="H625" s="6">
        <x:f t="shared" si="30"/>
        <x:v>0</x:v>
      </x:c>
      <x:c r="I625" s="6">
        <x:v>2536.4800000000005</x:v>
      </x:c>
      <x:c r="J625" s="6">
        <x:v>0</x:v>
      </x:c>
      <x:c r="K625" s="6">
        <x:f t="shared" si="31"/>
        <x:v>2536.4800000000005</x:v>
      </x:c>
      <x:c r="L625" s="6">
        <x:v>0</x:v>
      </x:c>
      <x:c r="M625" s="6">
        <x:v>0</x:v>
      </x:c>
      <x:c r="N625" s="6">
        <x:f t="shared" si="32"/>
        <x:v>2536.4800000000005</x:v>
      </x:c>
    </x:row>
    <x:row r="626" spans="1:14" x14ac:dyDescent="0.25">
      <x:c r="A626" t="s">
        <x:v>9</x:v>
      </x:c>
      <x:c r="B626" s="3" t="s">
        <x:v>221</x:v>
      </x:c>
      <x:c r="C626" s="3" t="s">
        <x:v>537</x:v>
      </x:c>
      <x:c r="D626" t="s">
        <x:v>677</x:v>
      </x:c>
      <x:c r="E626" s="6">
        <x:v>0</x:v>
      </x:c>
      <x:c r="F626" s="6">
        <x:v>0</x:v>
      </x:c>
      <x:c r="G626" s="6">
        <x:v>0</x:v>
      </x:c>
      <x:c r="H626" s="6">
        <x:f t="shared" si="30"/>
        <x:v>0</x:v>
      </x:c>
      <x:c r="I626" s="6">
        <x:v>48616.000000000007</x:v>
      </x:c>
      <x:c r="J626" s="6">
        <x:v>0</x:v>
      </x:c>
      <x:c r="K626" s="6">
        <x:f t="shared" si="31"/>
        <x:v>48616.000000000007</x:v>
      </x:c>
      <x:c r="L626" s="6">
        <x:v>0</x:v>
      </x:c>
      <x:c r="M626" s="6">
        <x:v>0</x:v>
      </x:c>
      <x:c r="N626" s="6">
        <x:f t="shared" si="32"/>
        <x:v>48616.000000000007</x:v>
      </x:c>
    </x:row>
    <x:row r="627" spans="1:14" x14ac:dyDescent="0.25">
      <x:c r="A627" t="s">
        <x:v>9</x:v>
      </x:c>
      <x:c r="B627" s="3" t="s">
        <x:v>47</x:v>
      </x:c>
      <x:c r="C627" s="3" t="s">
        <x:v>364</x:v>
      </x:c>
      <x:c r="D627" t="s">
        <x:v>676</x:v>
      </x:c>
      <x:c r="E627" s="6">
        <x:v>0</x:v>
      </x:c>
      <x:c r="F627" s="6">
        <x:v>0</x:v>
      </x:c>
      <x:c r="G627" s="6">
        <x:v>0</x:v>
      </x:c>
      <x:c r="H627" s="6">
        <x:f t="shared" si="30"/>
        <x:v>0</x:v>
      </x:c>
      <x:c r="I627" s="6">
        <x:v>831793</x:v>
      </x:c>
      <x:c r="J627" s="6">
        <x:v>0</x:v>
      </x:c>
      <x:c r="K627" s="6">
        <x:f t="shared" si="31"/>
        <x:v>831793</x:v>
      </x:c>
      <x:c r="L627" s="6">
        <x:v>0</x:v>
      </x:c>
      <x:c r="M627" s="6">
        <x:v>0</x:v>
      </x:c>
      <x:c r="N627" s="6">
        <x:f t="shared" si="32"/>
        <x:v>831793</x:v>
      </x:c>
    </x:row>
    <x:row r="628" spans="1:14" x14ac:dyDescent="0.25">
      <x:c r="A628" t="s">
        <x:v>9</x:v>
      </x:c>
      <x:c r="B628" t="s">
        <x:v>760</x:v>
      </x:c>
      <x:c r="C628" t="s">
        <x:v>761</x:v>
      </x:c>
      <x:c r="D628" t="s">
        <x:v>677</x:v>
      </x:c>
      <x:c r="E628" s="6">
        <x:v>0</x:v>
      </x:c>
      <x:c r="F628" s="6">
        <x:v>0</x:v>
      </x:c>
      <x:c r="G628" s="6">
        <x:v>0</x:v>
      </x:c>
      <x:c r="H628" s="6">
        <x:f t="shared" si="30"/>
        <x:v>0</x:v>
      </x:c>
      <x:c r="I628" s="6">
        <x:v>82803.59</x:v>
      </x:c>
      <x:c r="J628" s="6">
        <x:v>0</x:v>
      </x:c>
      <x:c r="K628" s="6">
        <x:f t="shared" si="31"/>
        <x:v>82803.59</x:v>
      </x:c>
      <x:c r="L628" s="6">
        <x:v>0</x:v>
      </x:c>
      <x:c r="M628" s="6">
        <x:v>0</x:v>
      </x:c>
      <x:c r="N628" s="6">
        <x:f t="shared" si="32"/>
        <x:v>82803.59</x:v>
      </x:c>
    </x:row>
    <x:row r="629" spans="1:14" x14ac:dyDescent="0.25">
      <x:c r="A629" t="s">
        <x:v>9</x:v>
      </x:c>
      <x:c r="B629" t="s">
        <x:v>764</x:v>
      </x:c>
      <x:c r="C629" t="s">
        <x:v>765</x:v>
      </x:c>
      <x:c r="D629" t="s">
        <x:v>677</x:v>
      </x:c>
      <x:c r="E629" s="6">
        <x:v>0</x:v>
      </x:c>
      <x:c r="F629" s="6">
        <x:v>0</x:v>
      </x:c>
      <x:c r="G629" s="6">
        <x:v>0</x:v>
      </x:c>
      <x:c r="H629" s="6">
        <x:f t="shared" si="30"/>
        <x:v>0</x:v>
      </x:c>
      <x:c r="I629" s="6">
        <x:v>5082.82</x:v>
      </x:c>
      <x:c r="J629" s="6">
        <x:v>0</x:v>
      </x:c>
      <x:c r="K629" s="6">
        <x:f t="shared" si="31"/>
        <x:v>5082.82</x:v>
      </x:c>
      <x:c r="L629" s="6">
        <x:v>0</x:v>
      </x:c>
      <x:c r="M629" s="6">
        <x:v>0</x:v>
      </x:c>
      <x:c r="N629" s="6">
        <x:f t="shared" si="32"/>
        <x:v>5082.82</x:v>
      </x:c>
    </x:row>
    <x:row r="630" spans="1:14" x14ac:dyDescent="0.25">
      <x:c r="A630" t="s">
        <x:v>9</x:v>
      </x:c>
      <x:c r="B630" t="s">
        <x:v>768</x:v>
      </x:c>
      <x:c r="C630" t="s">
        <x:v>769</x:v>
      </x:c>
      <x:c r="D630" t="s">
        <x:v>677</x:v>
      </x:c>
      <x:c r="E630" s="6">
        <x:v>0</x:v>
      </x:c>
      <x:c r="F630" s="6">
        <x:v>0</x:v>
      </x:c>
      <x:c r="G630" s="6">
        <x:v>0</x:v>
      </x:c>
      <x:c r="H630" s="6">
        <x:f t="shared" si="30"/>
        <x:v>0</x:v>
      </x:c>
      <x:c r="I630" s="6">
        <x:v>382083.85</x:v>
      </x:c>
      <x:c r="J630" s="6">
        <x:v>0</x:v>
      </x:c>
      <x:c r="K630" s="6">
        <x:f t="shared" si="31"/>
        <x:v>382083.85</x:v>
      </x:c>
      <x:c r="L630" s="6">
        <x:v>0</x:v>
      </x:c>
      <x:c r="M630" s="6">
        <x:v>0</x:v>
      </x:c>
      <x:c r="N630" s="6">
        <x:f t="shared" si="32"/>
        <x:v>382083.85</x:v>
      </x:c>
    </x:row>
    <x:row r="631" spans="1:14" x14ac:dyDescent="0.25">
      <x:c r="A631" t="s">
        <x:v>9</x:v>
      </x:c>
      <x:c r="B631" t="s">
        <x:v>776</x:v>
      </x:c>
      <x:c r="C631" t="s">
        <x:v>777</x:v>
      </x:c>
      <x:c r="D631" t="s">
        <x:v>677</x:v>
      </x:c>
      <x:c r="E631" s="6">
        <x:v>0</x:v>
      </x:c>
      <x:c r="F631" s="6">
        <x:v>0</x:v>
      </x:c>
      <x:c r="G631" s="6">
        <x:v>0</x:v>
      </x:c>
      <x:c r="H631" s="6">
        <x:f t="shared" si="30"/>
        <x:v>0</x:v>
      </x:c>
      <x:c r="I631" s="6">
        <x:v>76242.3</x:v>
      </x:c>
      <x:c r="J631" s="6">
        <x:v>0</x:v>
      </x:c>
      <x:c r="K631" s="6">
        <x:f t="shared" si="31"/>
        <x:v>76242.3</x:v>
      </x:c>
      <x:c r="L631" s="6">
        <x:v>0</x:v>
      </x:c>
      <x:c r="M631" s="6">
        <x:v>0</x:v>
      </x:c>
      <x:c r="N631" s="6">
        <x:f t="shared" si="32"/>
        <x:v>76242.3</x:v>
      </x:c>
    </x:row>
    <x:row r="632" spans="1:14" x14ac:dyDescent="0.25">
      <x:c r="A632" t="s">
        <x:v>9</x:v>
      </x:c>
      <x:c r="B632" s="3" t="s">
        <x:v>222</x:v>
      </x:c>
      <x:c r="C632" s="3" t="s">
        <x:v>538</x:v>
      </x:c>
      <x:c r="D632" t="s">
        <x:v>677</x:v>
      </x:c>
      <x:c r="E632" s="6">
        <x:v>0</x:v>
      </x:c>
      <x:c r="F632" s="6">
        <x:v>0</x:v>
      </x:c>
      <x:c r="G632" s="6">
        <x:v>0</x:v>
      </x:c>
      <x:c r="H632" s="6">
        <x:f t="shared" si="30"/>
        <x:v>0</x:v>
      </x:c>
      <x:c r="I632" s="6">
        <x:v>12654.9</x:v>
      </x:c>
      <x:c r="J632" s="6">
        <x:v>0</x:v>
      </x:c>
      <x:c r="K632" s="6">
        <x:f t="shared" si="31"/>
        <x:v>12654.9</x:v>
      </x:c>
      <x:c r="L632" s="6">
        <x:v>0</x:v>
      </x:c>
      <x:c r="M632" s="6">
        <x:v>0</x:v>
      </x:c>
      <x:c r="N632" s="6">
        <x:f t="shared" si="32"/>
        <x:v>12654.9</x:v>
      </x:c>
    </x:row>
    <x:row r="633" spans="1:14" x14ac:dyDescent="0.25">
      <x:c r="A633" t="s">
        <x:v>9</x:v>
      </x:c>
      <x:c r="B633" s="3" t="s">
        <x:v>223</x:v>
      </x:c>
      <x:c r="C633" s="3" t="s">
        <x:v>539</x:v>
      </x:c>
      <x:c r="D633" t="s">
        <x:v>676</x:v>
      </x:c>
      <x:c r="E633" s="6">
        <x:v>0</x:v>
      </x:c>
      <x:c r="F633" s="6">
        <x:v>0</x:v>
      </x:c>
      <x:c r="G633" s="6">
        <x:v>0</x:v>
      </x:c>
      <x:c r="H633" s="6">
        <x:f t="shared" si="30"/>
        <x:v>0</x:v>
      </x:c>
      <x:c r="I633" s="6">
        <x:v>0</x:v>
      </x:c>
      <x:c r="J633" s="6">
        <x:v>0</x:v>
      </x:c>
      <x:c r="K633" s="6">
        <x:f t="shared" si="31"/>
        <x:v>0</x:v>
      </x:c>
      <x:c r="L633" s="6">
        <x:v>0</x:v>
      </x:c>
      <x:c r="M633" s="6">
        <x:v>347.02</x:v>
      </x:c>
      <x:c r="N633" s="6">
        <x:f t="shared" si="32"/>
        <x:v>347.02</x:v>
      </x:c>
    </x:row>
    <x:row r="634" spans="1:14" x14ac:dyDescent="0.25">
      <x:c r="A634" t="s">
        <x:v>9</x:v>
      </x:c>
      <x:c r="B634" s="3" t="s">
        <x:v>224</x:v>
      </x:c>
      <x:c r="C634" s="3" t="s">
        <x:v>540</x:v>
      </x:c>
      <x:c r="D634" t="s">
        <x:v>676</x:v>
      </x:c>
      <x:c r="E634" s="6">
        <x:v>0</x:v>
      </x:c>
      <x:c r="F634" s="6">
        <x:v>0</x:v>
      </x:c>
      <x:c r="G634" s="6">
        <x:v>0</x:v>
      </x:c>
      <x:c r="H634" s="6">
        <x:f t="shared" si="30"/>
        <x:v>0</x:v>
      </x:c>
      <x:c r="I634" s="6">
        <x:v>0</x:v>
      </x:c>
      <x:c r="J634" s="6">
        <x:v>0</x:v>
      </x:c>
      <x:c r="K634" s="6">
        <x:f t="shared" si="31"/>
        <x:v>0</x:v>
      </x:c>
      <x:c r="L634" s="6">
        <x:v>0</x:v>
      </x:c>
      <x:c r="M634" s="6">
        <x:v>49.62</x:v>
      </x:c>
      <x:c r="N634" s="6">
        <x:f t="shared" si="32"/>
        <x:v>49.62</x:v>
      </x:c>
    </x:row>
    <x:row r="635" spans="1:14" x14ac:dyDescent="0.25">
      <x:c r="A635" t="s">
        <x:v>9</x:v>
      </x:c>
      <x:c r="B635" s="3" t="s">
        <x:v>225</x:v>
      </x:c>
      <x:c r="C635" s="3" t="s">
        <x:v>541</x:v>
      </x:c>
      <x:c r="D635" t="s">
        <x:v>676</x:v>
      </x:c>
      <x:c r="E635" s="6">
        <x:v>0</x:v>
      </x:c>
      <x:c r="F635" s="6">
        <x:v>0</x:v>
      </x:c>
      <x:c r="G635" s="6">
        <x:v>0</x:v>
      </x:c>
      <x:c r="H635" s="6">
        <x:f t="shared" si="30"/>
        <x:v>0</x:v>
      </x:c>
      <x:c r="I635" s="6">
        <x:v>0</x:v>
      </x:c>
      <x:c r="J635" s="6">
        <x:v>0</x:v>
      </x:c>
      <x:c r="K635" s="6">
        <x:f t="shared" si="31"/>
        <x:v>0</x:v>
      </x:c>
      <x:c r="L635" s="6">
        <x:v>0</x:v>
      </x:c>
      <x:c r="M635" s="6">
        <x:v>24016.79</x:v>
      </x:c>
      <x:c r="N635" s="6">
        <x:f t="shared" si="32"/>
        <x:v>24016.79</x:v>
      </x:c>
    </x:row>
    <x:row r="636" spans="1:14" x14ac:dyDescent="0.25">
      <x:c r="A636" t="s">
        <x:v>9</x:v>
      </x:c>
      <x:c r="B636" s="3" t="s">
        <x:v>226</x:v>
      </x:c>
      <x:c r="C636" s="3" t="s">
        <x:v>542</x:v>
      </x:c>
      <x:c r="D636" t="s">
        <x:v>677</x:v>
      </x:c>
      <x:c r="E636" s="6">
        <x:v>0</x:v>
      </x:c>
      <x:c r="F636" s="6">
        <x:v>0</x:v>
      </x:c>
      <x:c r="G636" s="6">
        <x:v>0</x:v>
      </x:c>
      <x:c r="H636" s="6">
        <x:f t="shared" si="30"/>
        <x:v>0</x:v>
      </x:c>
      <x:c r="I636" s="6">
        <x:v>38469.29</x:v>
      </x:c>
      <x:c r="J636" s="6">
        <x:v>0</x:v>
      </x:c>
      <x:c r="K636" s="6">
        <x:f t="shared" si="31"/>
        <x:v>38469.29</x:v>
      </x:c>
      <x:c r="L636" s="6">
        <x:v>0</x:v>
      </x:c>
      <x:c r="M636" s="6">
        <x:v>0</x:v>
      </x:c>
      <x:c r="N636" s="6">
        <x:f t="shared" si="32"/>
        <x:v>38469.29</x:v>
      </x:c>
    </x:row>
    <x:row r="637" spans="1:14" x14ac:dyDescent="0.25">
      <x:c r="A637" t="s">
        <x:v>9</x:v>
      </x:c>
      <x:c r="B637" t="s">
        <x:v>755</x:v>
      </x:c>
      <x:c r="C637" t="s">
        <x:v>756</x:v>
      </x:c>
      <x:c r="D637" t="s">
        <x:v>676</x:v>
      </x:c>
      <x:c r="E637" s="6">
        <x:v>53324</x:v>
      </x:c>
      <x:c r="F637" s="6">
        <x:v>0</x:v>
      </x:c>
      <x:c r="G637" s="6">
        <x:v>0</x:v>
      </x:c>
      <x:c r="H637" s="6">
        <x:f t="shared" si="30"/>
        <x:v>53324</x:v>
      </x:c>
      <x:c r="I637" s="6">
        <x:v>0</x:v>
      </x:c>
      <x:c r="J637" s="6">
        <x:v>0</x:v>
      </x:c>
      <x:c r="K637" s="6">
        <x:f t="shared" si="31"/>
        <x:v>0</x:v>
      </x:c>
      <x:c r="L637" s="6">
        <x:v>0</x:v>
      </x:c>
      <x:c r="M637" s="6">
        <x:v>0</x:v>
      </x:c>
      <x:c r="N637" s="6">
        <x:f t="shared" si="32"/>
        <x:v>53324</x:v>
      </x:c>
    </x:row>
    <x:row r="638" spans="1:14" x14ac:dyDescent="0.25">
      <x:c r="A638" t="s">
        <x:v>9</x:v>
      </x:c>
      <x:c r="B638" t="s">
        <x:v>839</x:v>
      </x:c>
      <x:c r="C638" t="s">
        <x:v>840</x:v>
      </x:c>
      <x:c r="D638" t="s">
        <x:v>677</x:v>
      </x:c>
      <x:c r="E638" s="6">
        <x:v>0</x:v>
      </x:c>
      <x:c r="F638" s="6">
        <x:v>0</x:v>
      </x:c>
      <x:c r="G638" s="6">
        <x:v>0</x:v>
      </x:c>
      <x:c r="H638" s="6">
        <x:f t="shared" si="30"/>
        <x:v>0</x:v>
      </x:c>
      <x:c r="I638" s="6">
        <x:v>0</x:v>
      </x:c>
      <x:c r="J638" s="6">
        <x:v>20394.900000000001</x:v>
      </x:c>
      <x:c r="K638" s="6">
        <x:f t="shared" si="31"/>
        <x:v>20394.900000000001</x:v>
      </x:c>
      <x:c r="L638" s="6">
        <x:v>0</x:v>
      </x:c>
      <x:c r="M638" s="6">
        <x:v>0</x:v>
      </x:c>
      <x:c r="N638" s="6">
        <x:f t="shared" si="32"/>
        <x:v>20394.900000000001</x:v>
      </x:c>
    </x:row>
    <x:row r="639" spans="1:14" x14ac:dyDescent="0.25">
      <x:c r="A639" t="s">
        <x:v>9</x:v>
      </x:c>
      <x:c r="B639" t="s">
        <x:v>839</x:v>
      </x:c>
      <x:c r="C639" t="s">
        <x:v>840</x:v>
      </x:c>
      <x:c r="D639" t="s">
        <x:v>841</x:v>
      </x:c>
      <x:c r="E639" s="6">
        <x:v>0</x:v>
      </x:c>
      <x:c r="F639" s="6">
        <x:v>24.330000000000002</x:v>
      </x:c>
      <x:c r="G639" s="6">
        <x:v>0</x:v>
      </x:c>
      <x:c r="H639" s="6">
        <x:f t="shared" si="30"/>
        <x:v>24.330000000000002</x:v>
      </x:c>
      <x:c r="I639" s="6">
        <x:v>0</x:v>
      </x:c>
      <x:c r="J639" s="6">
        <x:v>0</x:v>
      </x:c>
      <x:c r="K639" s="6">
        <x:f t="shared" si="31"/>
        <x:v>0</x:v>
      </x:c>
      <x:c r="L639" s="6">
        <x:v>0</x:v>
      </x:c>
      <x:c r="M639" s="6">
        <x:v>0</x:v>
      </x:c>
      <x:c r="N639" s="6">
        <x:f t="shared" si="32"/>
        <x:v>24.330000000000002</x:v>
      </x:c>
    </x:row>
    <x:row r="640" spans="1:14" x14ac:dyDescent="0.25">
      <x:c r="A640" t="s">
        <x:v>10</x:v>
      </x:c>
      <x:c r="B640" s="3" t="s">
        <x:v>79</x:v>
      </x:c>
      <x:c r="C640" s="3" t="s">
        <x:v>396</x:v>
      </x:c>
      <x:c r="D640" t="s">
        <x:v>677</x:v>
      </x:c>
      <x:c r="E640" s="6">
        <x:v>0</x:v>
      </x:c>
      <x:c r="F640" s="6">
        <x:v>0</x:v>
      </x:c>
      <x:c r="G640" s="6">
        <x:v>0</x:v>
      </x:c>
      <x:c r="H640" s="6">
        <x:f t="shared" si="30"/>
        <x:v>0</x:v>
      </x:c>
      <x:c r="I640" s="6">
        <x:v>28.2</x:v>
      </x:c>
      <x:c r="J640" s="6">
        <x:v>0</x:v>
      </x:c>
      <x:c r="K640" s="6">
        <x:f t="shared" si="31"/>
        <x:v>28.2</x:v>
      </x:c>
      <x:c r="L640" s="6">
        <x:v>0</x:v>
      </x:c>
      <x:c r="M640" s="6">
        <x:v>0</x:v>
      </x:c>
      <x:c r="N640" s="6">
        <x:f t="shared" si="32"/>
        <x:v>28.2</x:v>
      </x:c>
    </x:row>
    <x:row r="641" spans="1:14" x14ac:dyDescent="0.25">
      <x:c r="A641" t="s">
        <x:v>10</x:v>
      </x:c>
      <x:c r="B641" s="3" t="s">
        <x:v>140</x:v>
      </x:c>
      <x:c r="C641" s="3" t="s">
        <x:v>457</x:v>
      </x:c>
      <x:c r="D641" t="s">
        <x:v>677</x:v>
      </x:c>
      <x:c r="E641" s="6">
        <x:v>0</x:v>
      </x:c>
      <x:c r="F641" s="6">
        <x:v>0</x:v>
      </x:c>
      <x:c r="G641" s="6">
        <x:v>0</x:v>
      </x:c>
      <x:c r="H641" s="6">
        <x:f t="shared" si="30"/>
        <x:v>0</x:v>
      </x:c>
      <x:c r="I641" s="6">
        <x:v>760716.73999999987</x:v>
      </x:c>
      <x:c r="J641" s="6">
        <x:v>0</x:v>
      </x:c>
      <x:c r="K641" s="6">
        <x:f t="shared" si="31"/>
        <x:v>760716.73999999987</x:v>
      </x:c>
      <x:c r="L641" s="6">
        <x:v>0</x:v>
      </x:c>
      <x:c r="M641" s="6">
        <x:v>0</x:v>
      </x:c>
      <x:c r="N641" s="6">
        <x:f t="shared" si="32"/>
        <x:v>760716.73999999987</x:v>
      </x:c>
    </x:row>
    <x:row r="642" spans="1:14" x14ac:dyDescent="0.25">
      <x:c r="A642" t="s">
        <x:v>10</x:v>
      </x:c>
      <x:c r="B642" s="3" t="s">
        <x:v>141</x:v>
      </x:c>
      <x:c r="C642" s="3" t="s">
        <x:v>458</x:v>
      </x:c>
      <x:c r="D642" t="s">
        <x:v>677</x:v>
      </x:c>
      <x:c r="E642" s="6">
        <x:v>0</x:v>
      </x:c>
      <x:c r="F642" s="6">
        <x:v>0</x:v>
      </x:c>
      <x:c r="G642" s="6">
        <x:v>0</x:v>
      </x:c>
      <x:c r="H642" s="6">
        <x:f t="shared" si="30"/>
        <x:v>0</x:v>
      </x:c>
      <x:c r="I642" s="6">
        <x:v>521795.11000000004</x:v>
      </x:c>
      <x:c r="J642" s="6">
        <x:v>0</x:v>
      </x:c>
      <x:c r="K642" s="6">
        <x:f t="shared" si="31"/>
        <x:v>521795.11000000004</x:v>
      </x:c>
      <x:c r="L642" s="6">
        <x:v>0</x:v>
      </x:c>
      <x:c r="M642" s="6">
        <x:v>0</x:v>
      </x:c>
      <x:c r="N642" s="6">
        <x:f t="shared" si="32"/>
        <x:v>521795.11000000004</x:v>
      </x:c>
    </x:row>
    <x:row r="643" spans="1:14" x14ac:dyDescent="0.25">
      <x:c r="A643" t="s">
        <x:v>10</x:v>
      </x:c>
      <x:c r="B643" s="3" t="s">
        <x:v>143</x:v>
      </x:c>
      <x:c r="C643" s="3" t="s">
        <x:v>460</x:v>
      </x:c>
      <x:c r="D643" t="s">
        <x:v>677</x:v>
      </x:c>
      <x:c r="E643" s="6">
        <x:v>0</x:v>
      </x:c>
      <x:c r="F643" s="6">
        <x:v>0</x:v>
      </x:c>
      <x:c r="G643" s="6">
        <x:v>0</x:v>
      </x:c>
      <x:c r="H643" s="6">
        <x:f t="shared" si="30"/>
        <x:v>0</x:v>
      </x:c>
      <x:c r="I643" s="6">
        <x:v>11086.15</x:v>
      </x:c>
      <x:c r="J643" s="6">
        <x:v>0</x:v>
      </x:c>
      <x:c r="K643" s="6">
        <x:f t="shared" si="31"/>
        <x:v>11086.15</x:v>
      </x:c>
      <x:c r="L643" s="6">
        <x:v>0</x:v>
      </x:c>
      <x:c r="M643" s="6">
        <x:v>0</x:v>
      </x:c>
      <x:c r="N643" s="6">
        <x:f t="shared" si="32"/>
        <x:v>11086.15</x:v>
      </x:c>
    </x:row>
    <x:row r="644" spans="1:14" x14ac:dyDescent="0.25">
      <x:c r="A644" t="s">
        <x:v>10</x:v>
      </x:c>
      <x:c r="B644" s="3" t="s">
        <x:v>151</x:v>
      </x:c>
      <x:c r="C644" s="3" t="s">
        <x:v>468</x:v>
      </x:c>
      <x:c r="D644" t="s">
        <x:v>677</x:v>
      </x:c>
      <x:c r="E644" s="6">
        <x:v>0</x:v>
      </x:c>
      <x:c r="F644" s="6">
        <x:v>0</x:v>
      </x:c>
      <x:c r="G644" s="6">
        <x:v>0</x:v>
      </x:c>
      <x:c r="H644" s="6">
        <x:f t="shared" si="30"/>
        <x:v>0</x:v>
      </x:c>
      <x:c r="I644" s="6">
        <x:v>4948.0899999999992</x:v>
      </x:c>
      <x:c r="J644" s="6">
        <x:v>0</x:v>
      </x:c>
      <x:c r="K644" s="6">
        <x:f t="shared" si="31"/>
        <x:v>4948.0899999999992</x:v>
      </x:c>
      <x:c r="L644" s="6">
        <x:v>0</x:v>
      </x:c>
      <x:c r="M644" s="6">
        <x:v>0</x:v>
      </x:c>
      <x:c r="N644" s="6">
        <x:f t="shared" si="32"/>
        <x:v>4948.0899999999992</x:v>
      </x:c>
    </x:row>
    <x:row r="645" spans="1:14" x14ac:dyDescent="0.25">
      <x:c r="A645" t="s">
        <x:v>10</x:v>
      </x:c>
      <x:c r="B645" s="3" t="s">
        <x:v>163</x:v>
      </x:c>
      <x:c r="C645" s="3" t="s">
        <x:v>480</x:v>
      </x:c>
      <x:c r="D645" t="s">
        <x:v>677</x:v>
      </x:c>
      <x:c r="E645" s="6">
        <x:v>0</x:v>
      </x:c>
      <x:c r="F645" s="6">
        <x:v>0</x:v>
      </x:c>
      <x:c r="G645" s="6">
        <x:v>0</x:v>
      </x:c>
      <x:c r="H645" s="6">
        <x:f t="shared" si="30"/>
        <x:v>0</x:v>
      </x:c>
      <x:c r="I645" s="6">
        <x:v>12838.91</x:v>
      </x:c>
      <x:c r="J645" s="6">
        <x:v>0</x:v>
      </x:c>
      <x:c r="K645" s="6">
        <x:f t="shared" si="31"/>
        <x:v>12838.91</x:v>
      </x:c>
      <x:c r="L645" s="6">
        <x:v>0</x:v>
      </x:c>
      <x:c r="M645" s="6">
        <x:v>0</x:v>
      </x:c>
      <x:c r="N645" s="6">
        <x:f t="shared" si="32"/>
        <x:v>12838.91</x:v>
      </x:c>
    </x:row>
    <x:row r="646" spans="1:14" x14ac:dyDescent="0.25">
      <x:c r="A646" t="s">
        <x:v>10</x:v>
      </x:c>
      <x:c r="B646" s="3" t="s">
        <x:v>227</x:v>
      </x:c>
      <x:c r="C646" s="3" t="s">
        <x:v>485</x:v>
      </x:c>
      <x:c r="D646" t="s">
        <x:v>677</x:v>
      </x:c>
      <x:c r="E646" s="6">
        <x:v>0</x:v>
      </x:c>
      <x:c r="F646" s="6">
        <x:v>0</x:v>
      </x:c>
      <x:c r="G646" s="6">
        <x:v>0</x:v>
      </x:c>
      <x:c r="H646" s="6">
        <x:f t="shared" si="30"/>
        <x:v>0</x:v>
      </x:c>
      <x:c r="I646" s="6">
        <x:v>5690866.4500000011</x:v>
      </x:c>
      <x:c r="J646" s="6">
        <x:v>0</x:v>
      </x:c>
      <x:c r="K646" s="6">
        <x:f t="shared" si="31"/>
        <x:v>5690866.4500000011</x:v>
      </x:c>
      <x:c r="L646" s="6">
        <x:v>0</x:v>
      </x:c>
      <x:c r="M646" s="6">
        <x:v>0</x:v>
      </x:c>
      <x:c r="N646" s="6">
        <x:f t="shared" si="32"/>
        <x:v>5690866.4500000011</x:v>
      </x:c>
    </x:row>
    <x:row r="647" spans="1:14" x14ac:dyDescent="0.25">
      <x:c r="A647" t="s">
        <x:v>10</x:v>
      </x:c>
      <x:c r="B647" s="3" t="s">
        <x:v>168</x:v>
      </x:c>
      <x:c r="C647" s="3" t="s">
        <x:v>460</x:v>
      </x:c>
      <x:c r="D647" t="s">
        <x:v>677</x:v>
      </x:c>
      <x:c r="E647" s="6">
        <x:v>0</x:v>
      </x:c>
      <x:c r="F647" s="6">
        <x:v>0</x:v>
      </x:c>
      <x:c r="G647" s="6">
        <x:v>0</x:v>
      </x:c>
      <x:c r="H647" s="6">
        <x:f t="shared" si="30"/>
        <x:v>0</x:v>
      </x:c>
      <x:c r="I647" s="6">
        <x:v>68528.03</x:v>
      </x:c>
      <x:c r="J647" s="6">
        <x:v>0</x:v>
      </x:c>
      <x:c r="K647" s="6">
        <x:f t="shared" si="31"/>
        <x:v>68528.03</x:v>
      </x:c>
      <x:c r="L647" s="6">
        <x:v>0</x:v>
      </x:c>
      <x:c r="M647" s="6">
        <x:v>0</x:v>
      </x:c>
      <x:c r="N647" s="6">
        <x:f t="shared" si="32"/>
        <x:v>68528.03</x:v>
      </x:c>
    </x:row>
    <x:row r="648" spans="1:14" x14ac:dyDescent="0.25">
      <x:c r="A648" t="s">
        <x:v>10</x:v>
      </x:c>
      <x:c r="B648" s="3" t="s">
        <x:v>169</x:v>
      </x:c>
      <x:c r="C648" s="3" t="s">
        <x:v>485</x:v>
      </x:c>
      <x:c r="D648" t="s">
        <x:v>677</x:v>
      </x:c>
      <x:c r="E648" s="6">
        <x:v>0</x:v>
      </x:c>
      <x:c r="F648" s="6">
        <x:v>0</x:v>
      </x:c>
      <x:c r="G648" s="6">
        <x:v>0</x:v>
      </x:c>
      <x:c r="H648" s="6">
        <x:f t="shared" si="30"/>
        <x:v>0</x:v>
      </x:c>
      <x:c r="I648" s="6">
        <x:v>5888929.3900000006</x:v>
      </x:c>
      <x:c r="J648" s="6">
        <x:v>0</x:v>
      </x:c>
      <x:c r="K648" s="6">
        <x:f t="shared" si="31"/>
        <x:v>5888929.3900000006</x:v>
      </x:c>
      <x:c r="L648" s="6">
        <x:v>0</x:v>
      </x:c>
      <x:c r="M648" s="6">
        <x:v>0</x:v>
      </x:c>
      <x:c r="N648" s="6">
        <x:f t="shared" si="32"/>
        <x:v>5888929.3900000006</x:v>
      </x:c>
    </x:row>
    <x:row r="649" spans="1:14" x14ac:dyDescent="0.25">
      <x:c r="A649" t="s">
        <x:v>10</x:v>
      </x:c>
      <x:c r="B649" s="3" t="s">
        <x:v>206</x:v>
      </x:c>
      <x:c r="C649" s="3" t="s">
        <x:v>522</x:v>
      </x:c>
      <x:c r="D649" t="s">
        <x:v>677</x:v>
      </x:c>
      <x:c r="E649" s="6">
        <x:v>0</x:v>
      </x:c>
      <x:c r="F649" s="6">
        <x:v>0</x:v>
      </x:c>
      <x:c r="G649" s="6">
        <x:v>0</x:v>
      </x:c>
      <x:c r="H649" s="6">
        <x:f t="shared" si="30"/>
        <x:v>0</x:v>
      </x:c>
      <x:c r="I649" s="6">
        <x:v>-475.08000000000004</x:v>
      </x:c>
      <x:c r="J649" s="6">
        <x:v>0</x:v>
      </x:c>
      <x:c r="K649" s="6">
        <x:f t="shared" si="31"/>
        <x:v>-475.08000000000004</x:v>
      </x:c>
      <x:c r="L649" s="6">
        <x:v>0</x:v>
      </x:c>
      <x:c r="M649" s="6">
        <x:v>0</x:v>
      </x:c>
      <x:c r="N649" s="6">
        <x:f t="shared" si="32"/>
        <x:v>-475.08000000000004</x:v>
      </x:c>
    </x:row>
    <x:row r="650" spans="1:14" x14ac:dyDescent="0.25">
      <x:c r="A650" t="s">
        <x:v>10</x:v>
      </x:c>
      <x:c r="B650" t="s">
        <x:v>760</x:v>
      </x:c>
      <x:c r="C650" t="s">
        <x:v>761</x:v>
      </x:c>
      <x:c r="D650" t="s">
        <x:v>677</x:v>
      </x:c>
      <x:c r="E650" s="6">
        <x:v>0</x:v>
      </x:c>
      <x:c r="F650" s="6">
        <x:v>0</x:v>
      </x:c>
      <x:c r="G650" s="6">
        <x:v>0</x:v>
      </x:c>
      <x:c r="H650" s="6">
        <x:f t="shared" si="30"/>
        <x:v>0</x:v>
      </x:c>
      <x:c r="I650" s="6">
        <x:v>128.88</x:v>
      </x:c>
      <x:c r="J650" s="6">
        <x:v>0</x:v>
      </x:c>
      <x:c r="K650" s="6">
        <x:f t="shared" si="31"/>
        <x:v>128.88</x:v>
      </x:c>
      <x:c r="L650" s="6">
        <x:v>0</x:v>
      </x:c>
      <x:c r="M650" s="6">
        <x:v>0</x:v>
      </x:c>
      <x:c r="N650" s="6">
        <x:f t="shared" si="32"/>
        <x:v>128.88</x:v>
      </x:c>
    </x:row>
    <x:row r="651" spans="1:14" x14ac:dyDescent="0.25">
      <x:c r="A651" t="s">
        <x:v>11</x:v>
      </x:c>
      <x:c r="B651" t="s">
        <x:v>692</x:v>
      </x:c>
      <x:c r="C651" t="s">
        <x:v>693</x:v>
      </x:c>
      <x:c r="D651" t="s">
        <x:v>832</x:v>
      </x:c>
      <x:c r="E651" s="6">
        <x:v>26592.390000000003</x:v>
      </x:c>
      <x:c r="F651" s="6">
        <x:v>0</x:v>
      </x:c>
      <x:c r="G651" s="6">
        <x:v>0</x:v>
      </x:c>
      <x:c r="H651" s="6">
        <x:f t="shared" si="30"/>
        <x:v>26592.390000000003</x:v>
      </x:c>
      <x:c r="I651" s="6">
        <x:v>605969.41000000015</x:v>
      </x:c>
      <x:c r="J651" s="6">
        <x:v>0</x:v>
      </x:c>
      <x:c r="K651" s="6">
        <x:f t="shared" si="31"/>
        <x:v>605969.41000000015</x:v>
      </x:c>
      <x:c r="L651" s="6">
        <x:v>0</x:v>
      </x:c>
      <x:c r="M651" s="6">
        <x:v>0</x:v>
      </x:c>
      <x:c r="N651" s="6">
        <x:f t="shared" si="32"/>
        <x:v>632561.80000000016</x:v>
      </x:c>
    </x:row>
    <x:row r="652" spans="1:14" x14ac:dyDescent="0.25">
      <x:c r="A652" t="s">
        <x:v>11</x:v>
      </x:c>
      <x:c r="B652" t="s">
        <x:v>694</x:v>
      </x:c>
      <x:c r="C652" t="s">
        <x:v>695</x:v>
      </x:c>
      <x:c r="D652" t="s">
        <x:v>832</x:v>
      </x:c>
      <x:c r="E652" s="6">
        <x:v>0</x:v>
      </x:c>
      <x:c r="F652" s="6">
        <x:v>0</x:v>
      </x:c>
      <x:c r="G652" s="6">
        <x:v>0</x:v>
      </x:c>
      <x:c r="H652" s="6">
        <x:f t="shared" si="30"/>
        <x:v>0</x:v>
      </x:c>
      <x:c r="I652" s="6">
        <x:v>64391.280000000006</x:v>
      </x:c>
      <x:c r="J652" s="6">
        <x:v>0</x:v>
      </x:c>
      <x:c r="K652" s="6">
        <x:f t="shared" si="31"/>
        <x:v>64391.280000000006</x:v>
      </x:c>
      <x:c r="L652" s="6">
        <x:v>0</x:v>
      </x:c>
      <x:c r="M652" s="6">
        <x:v>0</x:v>
      </x:c>
      <x:c r="N652" s="6">
        <x:f t="shared" si="32"/>
        <x:v>64391.280000000006</x:v>
      </x:c>
    </x:row>
    <x:row r="653" spans="1:14" x14ac:dyDescent="0.25">
      <x:c r="A653" t="s">
        <x:v>11</x:v>
      </x:c>
      <x:c r="B653" t="s">
        <x:v>696</x:v>
      </x:c>
      <x:c r="C653" t="s">
        <x:v>697</x:v>
      </x:c>
      <x:c r="D653" t="s">
        <x:v>832</x:v>
      </x:c>
      <x:c r="E653" s="6">
        <x:v>4624.1100000000006</x:v>
      </x:c>
      <x:c r="F653" s="6">
        <x:v>0</x:v>
      </x:c>
      <x:c r="G653" s="6">
        <x:v>0</x:v>
      </x:c>
      <x:c r="H653" s="6">
        <x:f t="shared" si="30"/>
        <x:v>4624.1100000000006</x:v>
      </x:c>
      <x:c r="I653" s="6">
        <x:v>165249.42000000004</x:v>
      </x:c>
      <x:c r="J653" s="6">
        <x:v>0</x:v>
      </x:c>
      <x:c r="K653" s="6">
        <x:f t="shared" si="31"/>
        <x:v>165249.42000000004</x:v>
      </x:c>
      <x:c r="L653" s="6">
        <x:v>0</x:v>
      </x:c>
      <x:c r="M653" s="6">
        <x:v>0</x:v>
      </x:c>
      <x:c r="N653" s="6">
        <x:f t="shared" si="32"/>
        <x:v>169873.53000000003</x:v>
      </x:c>
    </x:row>
    <x:row r="654" spans="1:14" x14ac:dyDescent="0.25">
      <x:c r="A654" t="s">
        <x:v>11</x:v>
      </x:c>
      <x:c r="B654" t="s">
        <x:v>782</x:v>
      </x:c>
      <x:c r="C654" t="s">
        <x:v>783</x:v>
      </x:c>
      <x:c r="D654" t="s">
        <x:v>832</x:v>
      </x:c>
      <x:c r="E654" s="6">
        <x:v>1450.74</x:v>
      </x:c>
      <x:c r="F654" s="6">
        <x:v>0</x:v>
      </x:c>
      <x:c r="G654" s="6">
        <x:v>0</x:v>
      </x:c>
      <x:c r="H654" s="6">
        <x:f t="shared" ref="H654:H717" si="33">SUM(E654:G654)</x:f>
        <x:v>1450.74</x:v>
      </x:c>
      <x:c r="I654" s="6">
        <x:v>69470.55</x:v>
      </x:c>
      <x:c r="J654" s="6">
        <x:v>0</x:v>
      </x:c>
      <x:c r="K654" s="6">
        <x:f t="shared" ref="K654:K717" si="34">SUM(I654:J654)</x:f>
        <x:v>69470.55</x:v>
      </x:c>
      <x:c r="L654" s="6">
        <x:v>0</x:v>
      </x:c>
      <x:c r="M654" s="6">
        <x:v>0</x:v>
      </x:c>
      <x:c r="N654" s="6">
        <x:f t="shared" ref="N654:N717" si="35">+E654+F654+G654+I654+J654+L654+M654</x:f>
        <x:v>70921.290000000008</x:v>
      </x:c>
    </x:row>
    <x:row r="655" spans="1:14" x14ac:dyDescent="0.25">
      <x:c r="A655" t="s">
        <x:v>11</x:v>
      </x:c>
      <x:c r="B655" t="s">
        <x:v>784</x:v>
      </x:c>
      <x:c r="C655" t="s">
        <x:v>785</x:v>
      </x:c>
      <x:c r="D655" t="s">
        <x:v>832</x:v>
      </x:c>
      <x:c r="E655" s="6">
        <x:v>11159.630000000001</x:v>
      </x:c>
      <x:c r="F655" s="6">
        <x:v>0</x:v>
      </x:c>
      <x:c r="G655" s="6">
        <x:v>0</x:v>
      </x:c>
      <x:c r="H655" s="6">
        <x:f t="shared" si="33"/>
        <x:v>11159.630000000001</x:v>
      </x:c>
      <x:c r="I655" s="6">
        <x:v>124720.5</x:v>
      </x:c>
      <x:c r="J655" s="6">
        <x:v>0</x:v>
      </x:c>
      <x:c r="K655" s="6">
        <x:f t="shared" si="34"/>
        <x:v>124720.5</x:v>
      </x:c>
      <x:c r="L655" s="6">
        <x:v>0</x:v>
      </x:c>
      <x:c r="M655" s="6">
        <x:v>0</x:v>
      </x:c>
      <x:c r="N655" s="6">
        <x:f t="shared" si="35"/>
        <x:v>135880.13</x:v>
      </x:c>
    </x:row>
    <x:row r="656" spans="1:14" x14ac:dyDescent="0.25">
      <x:c r="A656" t="s">
        <x:v>11</x:v>
      </x:c>
      <x:c r="B656" t="s">
        <x:v>786</x:v>
      </x:c>
      <x:c r="C656" t="s">
        <x:v>787</x:v>
      </x:c>
      <x:c r="D656" t="s">
        <x:v>832</x:v>
      </x:c>
      <x:c r="E656" s="6">
        <x:v>1755.9</x:v>
      </x:c>
      <x:c r="F656" s="6">
        <x:v>0</x:v>
      </x:c>
      <x:c r="G656" s="6">
        <x:v>0</x:v>
      </x:c>
      <x:c r="H656" s="6">
        <x:f t="shared" si="33"/>
        <x:v>1755.9</x:v>
      </x:c>
      <x:c r="I656" s="6">
        <x:v>121449.92</x:v>
      </x:c>
      <x:c r="J656" s="6">
        <x:v>0</x:v>
      </x:c>
      <x:c r="K656" s="6">
        <x:f t="shared" si="34"/>
        <x:v>121449.92</x:v>
      </x:c>
      <x:c r="L656" s="6">
        <x:v>0</x:v>
      </x:c>
      <x:c r="M656" s="6">
        <x:v>0</x:v>
      </x:c>
      <x:c r="N656" s="6">
        <x:f t="shared" si="35"/>
        <x:v>123205.81999999999</x:v>
      </x:c>
    </x:row>
    <x:row r="657" spans="1:14" x14ac:dyDescent="0.25">
      <x:c r="A657" t="s">
        <x:v>11</x:v>
      </x:c>
      <x:c r="B657" t="s">
        <x:v>700</x:v>
      </x:c>
      <x:c r="C657" t="s">
        <x:v>701</x:v>
      </x:c>
      <x:c r="D657" t="s">
        <x:v>832</x:v>
      </x:c>
      <x:c r="E657" s="6">
        <x:v>3448.2400000000002</x:v>
      </x:c>
      <x:c r="F657" s="6">
        <x:v>0</x:v>
      </x:c>
      <x:c r="G657" s="6">
        <x:v>0</x:v>
      </x:c>
      <x:c r="H657" s="6">
        <x:f t="shared" si="33"/>
        <x:v>3448.2400000000002</x:v>
      </x:c>
      <x:c r="I657" s="6">
        <x:v>382005.39</x:v>
      </x:c>
      <x:c r="J657" s="6">
        <x:v>0</x:v>
      </x:c>
      <x:c r="K657" s="6">
        <x:f t="shared" si="34"/>
        <x:v>382005.39</x:v>
      </x:c>
      <x:c r="L657" s="6">
        <x:v>0</x:v>
      </x:c>
      <x:c r="M657" s="6">
        <x:v>0</x:v>
      </x:c>
      <x:c r="N657" s="6">
        <x:f t="shared" si="35"/>
        <x:v>385453.63</x:v>
      </x:c>
    </x:row>
    <x:row r="658" spans="1:14" x14ac:dyDescent="0.25">
      <x:c r="A658" t="s">
        <x:v>11</x:v>
      </x:c>
      <x:c r="B658" t="s">
        <x:v>702</x:v>
      </x:c>
      <x:c r="C658" t="s">
        <x:v>703</x:v>
      </x:c>
      <x:c r="D658" t="s">
        <x:v>832</x:v>
      </x:c>
      <x:c r="E658" s="6">
        <x:v>8808.5999999999985</x:v>
      </x:c>
      <x:c r="F658" s="6">
        <x:v>0</x:v>
      </x:c>
      <x:c r="G658" s="6">
        <x:v>0</x:v>
      </x:c>
      <x:c r="H658" s="6">
        <x:f t="shared" si="33"/>
        <x:v>8808.5999999999985</x:v>
      </x:c>
      <x:c r="I658" s="6">
        <x:v>141847.78</x:v>
      </x:c>
      <x:c r="J658" s="6">
        <x:v>0</x:v>
      </x:c>
      <x:c r="K658" s="6">
        <x:f t="shared" si="34"/>
        <x:v>141847.78</x:v>
      </x:c>
      <x:c r="L658" s="6">
        <x:v>0</x:v>
      </x:c>
      <x:c r="M658" s="6">
        <x:v>0</x:v>
      </x:c>
      <x:c r="N658" s="6">
        <x:f t="shared" si="35"/>
        <x:v>150656.38</x:v>
      </x:c>
    </x:row>
    <x:row r="659" spans="1:14" x14ac:dyDescent="0.25">
      <x:c r="A659" t="s">
        <x:v>11</x:v>
      </x:c>
      <x:c r="B659" t="s">
        <x:v>704</x:v>
      </x:c>
      <x:c r="C659" t="s">
        <x:v>705</x:v>
      </x:c>
      <x:c r="D659" t="s">
        <x:v>832</x:v>
      </x:c>
      <x:c r="E659" s="6">
        <x:v>535.55000000000007</x:v>
      </x:c>
      <x:c r="F659" s="6">
        <x:v>0</x:v>
      </x:c>
      <x:c r="G659" s="6">
        <x:v>0</x:v>
      </x:c>
      <x:c r="H659" s="6">
        <x:f t="shared" si="33"/>
        <x:v>535.55000000000007</x:v>
      </x:c>
      <x:c r="I659" s="6">
        <x:v>75087.75</x:v>
      </x:c>
      <x:c r="J659" s="6">
        <x:v>0</x:v>
      </x:c>
      <x:c r="K659" s="6">
        <x:f t="shared" si="34"/>
        <x:v>75087.75</x:v>
      </x:c>
      <x:c r="L659" s="6">
        <x:v>0</x:v>
      </x:c>
      <x:c r="M659" s="6">
        <x:v>0</x:v>
      </x:c>
      <x:c r="N659" s="6">
        <x:f t="shared" si="35"/>
        <x:v>75623.3</x:v>
      </x:c>
    </x:row>
    <x:row r="660" spans="1:14" x14ac:dyDescent="0.25">
      <x:c r="A660" t="s">
        <x:v>11</x:v>
      </x:c>
      <x:c r="B660" t="s">
        <x:v>706</x:v>
      </x:c>
      <x:c r="C660" t="s">
        <x:v>707</x:v>
      </x:c>
      <x:c r="D660" t="s">
        <x:v>832</x:v>
      </x:c>
      <x:c r="E660" s="6">
        <x:v>0</x:v>
      </x:c>
      <x:c r="F660" s="6">
        <x:v>0</x:v>
      </x:c>
      <x:c r="G660" s="6">
        <x:v>0</x:v>
      </x:c>
      <x:c r="H660" s="6">
        <x:f t="shared" si="33"/>
        <x:v>0</x:v>
      </x:c>
      <x:c r="I660" s="6">
        <x:v>77.42</x:v>
      </x:c>
      <x:c r="J660" s="6">
        <x:v>0</x:v>
      </x:c>
      <x:c r="K660" s="6">
        <x:f t="shared" si="34"/>
        <x:v>77.42</x:v>
      </x:c>
      <x:c r="L660" s="6">
        <x:v>0</x:v>
      </x:c>
      <x:c r="M660" s="6">
        <x:v>0</x:v>
      </x:c>
      <x:c r="N660" s="6">
        <x:f t="shared" si="35"/>
        <x:v>77.42</x:v>
      </x:c>
    </x:row>
    <x:row r="661" spans="1:14" x14ac:dyDescent="0.25">
      <x:c r="A661" t="s">
        <x:v>11</x:v>
      </x:c>
      <x:c r="B661" t="s">
        <x:v>708</x:v>
      </x:c>
      <x:c r="C661" t="s">
        <x:v>709</x:v>
      </x:c>
      <x:c r="D661" t="s">
        <x:v>832</x:v>
      </x:c>
      <x:c r="E661" s="6">
        <x:v>0</x:v>
      </x:c>
      <x:c r="F661" s="6">
        <x:v>0</x:v>
      </x:c>
      <x:c r="G661" s="6">
        <x:v>0</x:v>
      </x:c>
      <x:c r="H661" s="6">
        <x:f t="shared" si="33"/>
        <x:v>0</x:v>
      </x:c>
      <x:c r="I661" s="6">
        <x:v>37864.54</x:v>
      </x:c>
      <x:c r="J661" s="6">
        <x:v>0</x:v>
      </x:c>
      <x:c r="K661" s="6">
        <x:f t="shared" si="34"/>
        <x:v>37864.54</x:v>
      </x:c>
      <x:c r="L661" s="6">
        <x:v>0</x:v>
      </x:c>
      <x:c r="M661" s="6">
        <x:v>0</x:v>
      </x:c>
      <x:c r="N661" s="6">
        <x:f t="shared" si="35"/>
        <x:v>37864.54</x:v>
      </x:c>
    </x:row>
    <x:row r="662" spans="1:14" x14ac:dyDescent="0.25">
      <x:c r="A662" t="s">
        <x:v>11</x:v>
      </x:c>
      <x:c r="B662" t="s">
        <x:v>712</x:v>
      </x:c>
      <x:c r="C662" t="s">
        <x:v>713</x:v>
      </x:c>
      <x:c r="D662" t="s">
        <x:v>832</x:v>
      </x:c>
      <x:c r="E662" s="6">
        <x:v>239.47</x:v>
      </x:c>
      <x:c r="F662" s="6">
        <x:v>0</x:v>
      </x:c>
      <x:c r="G662" s="6">
        <x:v>0</x:v>
      </x:c>
      <x:c r="H662" s="6">
        <x:f t="shared" si="33"/>
        <x:v>239.47</x:v>
      </x:c>
      <x:c r="I662" s="6">
        <x:v>201397.05000000002</x:v>
      </x:c>
      <x:c r="J662" s="6">
        <x:v>0</x:v>
      </x:c>
      <x:c r="K662" s="6">
        <x:f t="shared" si="34"/>
        <x:v>201397.05000000002</x:v>
      </x:c>
      <x:c r="L662" s="6">
        <x:v>0</x:v>
      </x:c>
      <x:c r="M662" s="6">
        <x:v>0</x:v>
      </x:c>
      <x:c r="N662" s="6">
        <x:f t="shared" si="35"/>
        <x:v>201636.52000000002</x:v>
      </x:c>
    </x:row>
    <x:row r="663" spans="1:14" x14ac:dyDescent="0.25">
      <x:c r="A663" t="s">
        <x:v>11</x:v>
      </x:c>
      <x:c r="B663" t="s">
        <x:v>788</x:v>
      </x:c>
      <x:c r="C663" t="s">
        <x:v>789</x:v>
      </x:c>
      <x:c r="D663" t="s">
        <x:v>832</x:v>
      </x:c>
      <x:c r="E663" s="6">
        <x:v>1054.97</x:v>
      </x:c>
      <x:c r="F663" s="6">
        <x:v>0</x:v>
      </x:c>
      <x:c r="G663" s="6">
        <x:v>0</x:v>
      </x:c>
      <x:c r="H663" s="6">
        <x:f t="shared" si="33"/>
        <x:v>1054.97</x:v>
      </x:c>
      <x:c r="I663" s="6">
        <x:v>122043.97</x:v>
      </x:c>
      <x:c r="J663" s="6">
        <x:v>0</x:v>
      </x:c>
      <x:c r="K663" s="6">
        <x:f t="shared" si="34"/>
        <x:v>122043.97</x:v>
      </x:c>
      <x:c r="L663" s="6">
        <x:v>0</x:v>
      </x:c>
      <x:c r="M663" s="6">
        <x:v>0</x:v>
      </x:c>
      <x:c r="N663" s="6">
        <x:f t="shared" si="35"/>
        <x:v>123098.94</x:v>
      </x:c>
    </x:row>
    <x:row r="664" spans="1:14" x14ac:dyDescent="0.25">
      <x:c r="A664" t="s">
        <x:v>11</x:v>
      </x:c>
      <x:c r="B664" t="s">
        <x:v>790</x:v>
      </x:c>
      <x:c r="C664" t="s">
        <x:v>791</x:v>
      </x:c>
      <x:c r="D664" t="s">
        <x:v>832</x:v>
      </x:c>
      <x:c r="E664" s="6">
        <x:v>953.97</x:v>
      </x:c>
      <x:c r="F664" s="6">
        <x:v>0</x:v>
      </x:c>
      <x:c r="G664" s="6">
        <x:v>0</x:v>
      </x:c>
      <x:c r="H664" s="6">
        <x:f t="shared" si="33"/>
        <x:v>953.97</x:v>
      </x:c>
      <x:c r="I664" s="6">
        <x:v>65005.05</x:v>
      </x:c>
      <x:c r="J664" s="6">
        <x:v>0</x:v>
      </x:c>
      <x:c r="K664" s="6">
        <x:f t="shared" si="34"/>
        <x:v>65005.05</x:v>
      </x:c>
      <x:c r="L664" s="6">
        <x:v>0</x:v>
      </x:c>
      <x:c r="M664" s="6">
        <x:v>0</x:v>
      </x:c>
      <x:c r="N664" s="6">
        <x:f t="shared" si="35"/>
        <x:v>65959.02</x:v>
      </x:c>
    </x:row>
    <x:row r="665" spans="1:14" x14ac:dyDescent="0.25">
      <x:c r="A665" t="s">
        <x:v>11</x:v>
      </x:c>
      <x:c r="B665" t="s">
        <x:v>714</x:v>
      </x:c>
      <x:c r="C665" t="s">
        <x:v>715</x:v>
      </x:c>
      <x:c r="D665" t="s">
        <x:v>832</x:v>
      </x:c>
      <x:c r="E665" s="6">
        <x:v>186.26</x:v>
      </x:c>
      <x:c r="F665" s="6">
        <x:v>0</x:v>
      </x:c>
      <x:c r="G665" s="6">
        <x:v>0</x:v>
      </x:c>
      <x:c r="H665" s="6">
        <x:f t="shared" si="33"/>
        <x:v>186.26</x:v>
      </x:c>
      <x:c r="I665" s="6">
        <x:v>59361.54</x:v>
      </x:c>
      <x:c r="J665" s="6">
        <x:v>0</x:v>
      </x:c>
      <x:c r="K665" s="6">
        <x:f t="shared" si="34"/>
        <x:v>59361.54</x:v>
      </x:c>
      <x:c r="L665" s="6">
        <x:v>0</x:v>
      </x:c>
      <x:c r="M665" s="6">
        <x:v>0</x:v>
      </x:c>
      <x:c r="N665" s="6">
        <x:f t="shared" si="35"/>
        <x:v>59547.8</x:v>
      </x:c>
    </x:row>
    <x:row r="666" spans="1:14" x14ac:dyDescent="0.25">
      <x:c r="A666" t="s">
        <x:v>11</x:v>
      </x:c>
      <x:c r="B666" t="s">
        <x:v>716</x:v>
      </x:c>
      <x:c r="C666" t="s">
        <x:v>717</x:v>
      </x:c>
      <x:c r="D666" t="s">
        <x:v>832</x:v>
      </x:c>
      <x:c r="E666" s="6">
        <x:v>15168.56</x:v>
      </x:c>
      <x:c r="F666" s="6">
        <x:v>0</x:v>
      </x:c>
      <x:c r="G666" s="6">
        <x:v>0</x:v>
      </x:c>
      <x:c r="H666" s="6">
        <x:f t="shared" si="33"/>
        <x:v>15168.56</x:v>
      </x:c>
      <x:c r="I666" s="6">
        <x:v>181808.67</x:v>
      </x:c>
      <x:c r="J666" s="6">
        <x:v>0</x:v>
      </x:c>
      <x:c r="K666" s="6">
        <x:f t="shared" si="34"/>
        <x:v>181808.67</x:v>
      </x:c>
      <x:c r="L666" s="6">
        <x:v>0</x:v>
      </x:c>
      <x:c r="M666" s="6">
        <x:v>0</x:v>
      </x:c>
      <x:c r="N666" s="6">
        <x:f t="shared" si="35"/>
        <x:v>196977.23</x:v>
      </x:c>
    </x:row>
    <x:row r="667" spans="1:14" x14ac:dyDescent="0.25">
      <x:c r="A667" t="s">
        <x:v>11</x:v>
      </x:c>
      <x:c r="B667" t="s">
        <x:v>792</x:v>
      </x:c>
      <x:c r="C667" t="s">
        <x:v>793</x:v>
      </x:c>
      <x:c r="D667" t="s">
        <x:v>832</x:v>
      </x:c>
      <x:c r="E667" s="6">
        <x:v>0</x:v>
      </x:c>
      <x:c r="F667" s="6">
        <x:v>0</x:v>
      </x:c>
      <x:c r="G667" s="6">
        <x:v>0</x:v>
      </x:c>
      <x:c r="H667" s="6">
        <x:f t="shared" si="33"/>
        <x:v>0</x:v>
      </x:c>
      <x:c r="I667" s="6">
        <x:v>180798.94</x:v>
      </x:c>
      <x:c r="J667" s="6">
        <x:v>0</x:v>
      </x:c>
      <x:c r="K667" s="6">
        <x:f t="shared" si="34"/>
        <x:v>180798.94</x:v>
      </x:c>
      <x:c r="L667" s="6">
        <x:v>0</x:v>
      </x:c>
      <x:c r="M667" s="6">
        <x:v>0</x:v>
      </x:c>
      <x:c r="N667" s="6">
        <x:f t="shared" si="35"/>
        <x:v>180798.94</x:v>
      </x:c>
    </x:row>
    <x:row r="668" spans="1:14" x14ac:dyDescent="0.25">
      <x:c r="A668" t="s">
        <x:v>11</x:v>
      </x:c>
      <x:c r="B668" t="s">
        <x:v>718</x:v>
      </x:c>
      <x:c r="C668" t="s">
        <x:v>719</x:v>
      </x:c>
      <x:c r="D668" t="s">
        <x:v>832</x:v>
      </x:c>
      <x:c r="E668" s="6">
        <x:v>0</x:v>
      </x:c>
      <x:c r="F668" s="6">
        <x:v>0</x:v>
      </x:c>
      <x:c r="G668" s="6">
        <x:v>0</x:v>
      </x:c>
      <x:c r="H668" s="6">
        <x:f t="shared" si="33"/>
        <x:v>0</x:v>
      </x:c>
      <x:c r="I668" s="6">
        <x:v>19099.489999999998</x:v>
      </x:c>
      <x:c r="J668" s="6">
        <x:v>0</x:v>
      </x:c>
      <x:c r="K668" s="6">
        <x:f t="shared" si="34"/>
        <x:v>19099.489999999998</x:v>
      </x:c>
      <x:c r="L668" s="6">
        <x:v>0</x:v>
      </x:c>
      <x:c r="M668" s="6">
        <x:v>0</x:v>
      </x:c>
      <x:c r="N668" s="6">
        <x:f t="shared" si="35"/>
        <x:v>19099.489999999998</x:v>
      </x:c>
    </x:row>
    <x:row r="669" spans="1:14" x14ac:dyDescent="0.25">
      <x:c r="A669" t="s">
        <x:v>11</x:v>
      </x:c>
      <x:c r="B669" t="s">
        <x:v>722</x:v>
      </x:c>
      <x:c r="C669" t="s">
        <x:v>723</x:v>
      </x:c>
      <x:c r="D669" t="s">
        <x:v>677</x:v>
      </x:c>
      <x:c r="E669" s="6">
        <x:v>0</x:v>
      </x:c>
      <x:c r="F669" s="6">
        <x:v>0</x:v>
      </x:c>
      <x:c r="G669" s="6">
        <x:v>0</x:v>
      </x:c>
      <x:c r="H669" s="6">
        <x:f t="shared" si="33"/>
        <x:v>0</x:v>
      </x:c>
      <x:c r="I669" s="6">
        <x:v>327.24</x:v>
      </x:c>
      <x:c r="J669" s="6">
        <x:v>0</x:v>
      </x:c>
      <x:c r="K669" s="6">
        <x:f t="shared" si="34"/>
        <x:v>327.24</x:v>
      </x:c>
      <x:c r="L669" s="6">
        <x:v>0</x:v>
      </x:c>
      <x:c r="M669" s="6">
        <x:v>0</x:v>
      </x:c>
      <x:c r="N669" s="6">
        <x:f t="shared" si="35"/>
        <x:v>327.24</x:v>
      </x:c>
    </x:row>
    <x:row r="670" spans="1:14" x14ac:dyDescent="0.25">
      <x:c r="A670" t="s">
        <x:v>11</x:v>
      </x:c>
      <x:c r="B670" t="s">
        <x:v>722</x:v>
      </x:c>
      <x:c r="C670" t="s">
        <x:v>723</x:v>
      </x:c>
      <x:c r="D670" t="s">
        <x:v>832</x:v>
      </x:c>
      <x:c r="E670" s="6">
        <x:v>44140.12</x:v>
      </x:c>
      <x:c r="F670" s="6">
        <x:v>0</x:v>
      </x:c>
      <x:c r="G670" s="6">
        <x:v>0</x:v>
      </x:c>
      <x:c r="H670" s="6">
        <x:f t="shared" si="33"/>
        <x:v>44140.12</x:v>
      </x:c>
      <x:c r="I670" s="6">
        <x:v>581627.22000000009</x:v>
      </x:c>
      <x:c r="J670" s="6">
        <x:v>0</x:v>
      </x:c>
      <x:c r="K670" s="6">
        <x:f t="shared" si="34"/>
        <x:v>581627.22000000009</x:v>
      </x:c>
      <x:c r="L670" s="6">
        <x:v>0</x:v>
      </x:c>
      <x:c r="M670" s="6">
        <x:v>0</x:v>
      </x:c>
      <x:c r="N670" s="6">
        <x:f t="shared" si="35"/>
        <x:v>625767.34000000008</x:v>
      </x:c>
    </x:row>
    <x:row r="671" spans="1:14" x14ac:dyDescent="0.25">
      <x:c r="A671" t="s">
        <x:v>11</x:v>
      </x:c>
      <x:c r="B671" t="s">
        <x:v>724</x:v>
      </x:c>
      <x:c r="C671" t="s">
        <x:v>725</x:v>
      </x:c>
      <x:c r="D671" t="s">
        <x:v>832</x:v>
      </x:c>
      <x:c r="E671" s="6">
        <x:v>47437.93</x:v>
      </x:c>
      <x:c r="F671" s="6">
        <x:v>0</x:v>
      </x:c>
      <x:c r="G671" s="6">
        <x:v>0</x:v>
      </x:c>
      <x:c r="H671" s="6">
        <x:f t="shared" si="33"/>
        <x:v>47437.93</x:v>
      </x:c>
      <x:c r="I671" s="6">
        <x:v>154429.32</x:v>
      </x:c>
      <x:c r="J671" s="6">
        <x:v>0</x:v>
      </x:c>
      <x:c r="K671" s="6">
        <x:f t="shared" si="34"/>
        <x:v>154429.32</x:v>
      </x:c>
      <x:c r="L671" s="6">
        <x:v>0</x:v>
      </x:c>
      <x:c r="M671" s="6">
        <x:v>0</x:v>
      </x:c>
      <x:c r="N671" s="6">
        <x:f t="shared" si="35"/>
        <x:v>201867.25</x:v>
      </x:c>
    </x:row>
    <x:row r="672" spans="1:14" x14ac:dyDescent="0.25">
      <x:c r="A672" t="s">
        <x:v>11</x:v>
      </x:c>
      <x:c r="B672" t="s">
        <x:v>794</x:v>
      </x:c>
      <x:c r="C672" t="s">
        <x:v>795</x:v>
      </x:c>
      <x:c r="D672" t="s">
        <x:v>832</x:v>
      </x:c>
      <x:c r="E672" s="6">
        <x:v>317.47000000000003</x:v>
      </x:c>
      <x:c r="F672" s="6">
        <x:v>0</x:v>
      </x:c>
      <x:c r="G672" s="6">
        <x:v>0</x:v>
      </x:c>
      <x:c r="H672" s="6">
        <x:f t="shared" si="33"/>
        <x:v>317.47000000000003</x:v>
      </x:c>
      <x:c r="I672" s="6">
        <x:v>121305.90000000001</x:v>
      </x:c>
      <x:c r="J672" s="6">
        <x:v>0</x:v>
      </x:c>
      <x:c r="K672" s="6">
        <x:f t="shared" si="34"/>
        <x:v>121305.90000000001</x:v>
      </x:c>
      <x:c r="L672" s="6">
        <x:v>0</x:v>
      </x:c>
      <x:c r="M672" s="6">
        <x:v>0</x:v>
      </x:c>
      <x:c r="N672" s="6">
        <x:f t="shared" si="35"/>
        <x:v>121623.37000000001</x:v>
      </x:c>
    </x:row>
    <x:row r="673" spans="1:14" x14ac:dyDescent="0.25">
      <x:c r="A673" t="s">
        <x:v>11</x:v>
      </x:c>
      <x:c r="B673" t="s">
        <x:v>796</x:v>
      </x:c>
      <x:c r="C673" t="s">
        <x:v>797</x:v>
      </x:c>
      <x:c r="D673" t="s">
        <x:v>832</x:v>
      </x:c>
      <x:c r="E673" s="6">
        <x:v>845.31</x:v>
      </x:c>
      <x:c r="F673" s="6">
        <x:v>0</x:v>
      </x:c>
      <x:c r="G673" s="6">
        <x:v>0</x:v>
      </x:c>
      <x:c r="H673" s="6">
        <x:f t="shared" si="33"/>
        <x:v>845.31</x:v>
      </x:c>
      <x:c r="I673" s="6">
        <x:v>161439.34</x:v>
      </x:c>
      <x:c r="J673" s="6">
        <x:v>0</x:v>
      </x:c>
      <x:c r="K673" s="6">
        <x:f t="shared" si="34"/>
        <x:v>161439.34</x:v>
      </x:c>
      <x:c r="L673" s="6">
        <x:v>0</x:v>
      </x:c>
      <x:c r="M673" s="6">
        <x:v>0</x:v>
      </x:c>
      <x:c r="N673" s="6">
        <x:f t="shared" si="35"/>
        <x:v>162284.65</x:v>
      </x:c>
    </x:row>
    <x:row r="674" spans="1:14" x14ac:dyDescent="0.25">
      <x:c r="A674" t="s">
        <x:v>11</x:v>
      </x:c>
      <x:c r="B674" t="s">
        <x:v>726</x:v>
      </x:c>
      <x:c r="C674" t="s">
        <x:v>727</x:v>
      </x:c>
      <x:c r="D674" t="s">
        <x:v>832</x:v>
      </x:c>
      <x:c r="E674" s="6">
        <x:v>575.67999999999995</x:v>
      </x:c>
      <x:c r="F674" s="6">
        <x:v>0</x:v>
      </x:c>
      <x:c r="G674" s="6">
        <x:v>0</x:v>
      </x:c>
      <x:c r="H674" s="6">
        <x:f t="shared" si="33"/>
        <x:v>575.67999999999995</x:v>
      </x:c>
      <x:c r="I674" s="6">
        <x:v>493605.71</x:v>
      </x:c>
      <x:c r="J674" s="6">
        <x:v>0</x:v>
      </x:c>
      <x:c r="K674" s="6">
        <x:f t="shared" si="34"/>
        <x:v>493605.71</x:v>
      </x:c>
      <x:c r="L674" s="6">
        <x:v>0</x:v>
      </x:c>
      <x:c r="M674" s="6">
        <x:v>0</x:v>
      </x:c>
      <x:c r="N674" s="6">
        <x:f t="shared" si="35"/>
        <x:v>494181.39</x:v>
      </x:c>
    </x:row>
    <x:row r="675" spans="1:14" x14ac:dyDescent="0.25">
      <x:c r="A675" t="s">
        <x:v>11</x:v>
      </x:c>
      <x:c r="B675" t="s">
        <x:v>740</x:v>
      </x:c>
      <x:c r="C675" t="s">
        <x:v>741</x:v>
      </x:c>
      <x:c r="D675" t="s">
        <x:v>832</x:v>
      </x:c>
      <x:c r="E675" s="6">
        <x:v>0</x:v>
      </x:c>
      <x:c r="F675" s="6">
        <x:v>0</x:v>
      </x:c>
      <x:c r="G675" s="6">
        <x:v>0</x:v>
      </x:c>
      <x:c r="H675" s="6">
        <x:f t="shared" si="33"/>
        <x:v>0</x:v>
      </x:c>
      <x:c r="I675" s="6">
        <x:v>970092.53</x:v>
      </x:c>
      <x:c r="J675" s="6">
        <x:v>0</x:v>
      </x:c>
      <x:c r="K675" s="6">
        <x:f t="shared" si="34"/>
        <x:v>970092.53</x:v>
      </x:c>
      <x:c r="L675" s="6">
        <x:v>0</x:v>
      </x:c>
      <x:c r="M675" s="6">
        <x:v>0</x:v>
      </x:c>
      <x:c r="N675" s="6">
        <x:f t="shared" si="35"/>
        <x:v>970092.53</x:v>
      </x:c>
    </x:row>
    <x:row r="676" spans="1:14" x14ac:dyDescent="0.25">
      <x:c r="A676" t="s">
        <x:v>11</x:v>
      </x:c>
      <x:c r="B676" s="3" t="s">
        <x:v>47</x:v>
      </x:c>
      <x:c r="C676" s="3" t="s">
        <x:v>364</x:v>
      </x:c>
      <x:c r="D676" t="s">
        <x:v>676</x:v>
      </x:c>
      <x:c r="E676" s="6">
        <x:v>0</x:v>
      </x:c>
      <x:c r="F676" s="6">
        <x:v>0</x:v>
      </x:c>
      <x:c r="G676" s="6">
        <x:v>0</x:v>
      </x:c>
      <x:c r="H676" s="6">
        <x:f t="shared" si="33"/>
        <x:v>0</x:v>
      </x:c>
      <x:c r="I676" s="6">
        <x:v>2838233.33</x:v>
      </x:c>
      <x:c r="J676" s="6">
        <x:v>0</x:v>
      </x:c>
      <x:c r="K676" s="6">
        <x:f t="shared" si="34"/>
        <x:v>2838233.33</x:v>
      </x:c>
      <x:c r="L676" s="6">
        <x:v>0</x:v>
      </x:c>
      <x:c r="M676" s="6">
        <x:v>0</x:v>
      </x:c>
      <x:c r="N676" s="6">
        <x:f t="shared" si="35"/>
        <x:v>2838233.33</x:v>
      </x:c>
    </x:row>
    <x:row r="677" spans="1:14" x14ac:dyDescent="0.25">
      <x:c r="A677" t="s">
        <x:v>11</x:v>
      </x:c>
      <x:c r="B677" t="s">
        <x:v>839</x:v>
      </x:c>
      <x:c r="C677" t="s">
        <x:v>840</x:v>
      </x:c>
      <x:c r="D677" t="s">
        <x:v>841</x:v>
      </x:c>
      <x:c r="E677" s="6">
        <x:v>0</x:v>
      </x:c>
      <x:c r="F677" s="6">
        <x:v>3680.51</x:v>
      </x:c>
      <x:c r="G677" s="6">
        <x:v>0</x:v>
      </x:c>
      <x:c r="H677" s="6">
        <x:f t="shared" si="33"/>
        <x:v>3680.51</x:v>
      </x:c>
      <x:c r="I677" s="6">
        <x:v>0</x:v>
      </x:c>
      <x:c r="J677" s="6">
        <x:v>211486.5</x:v>
      </x:c>
      <x:c r="K677" s="6">
        <x:f t="shared" si="34"/>
        <x:v>211486.5</x:v>
      </x:c>
      <x:c r="L677" s="6">
        <x:v>0</x:v>
      </x:c>
      <x:c r="M677" s="6">
        <x:v>0</x:v>
      </x:c>
      <x:c r="N677" s="6">
        <x:f t="shared" si="35"/>
        <x:v>215167.01</x:v>
      </x:c>
    </x:row>
    <x:row r="678" spans="1:14" x14ac:dyDescent="0.25">
      <x:c r="A678" t="s">
        <x:v>12</x:v>
      </x:c>
      <x:c r="B678" s="3" t="s">
        <x:v>55</x:v>
      </x:c>
      <x:c r="C678" s="3" t="s">
        <x:v>372</x:v>
      </x:c>
      <x:c r="D678" t="s">
        <x:v>677</x:v>
      </x:c>
      <x:c r="E678" s="6">
        <x:v>0</x:v>
      </x:c>
      <x:c r="F678" s="6">
        <x:v>0</x:v>
      </x:c>
      <x:c r="G678" s="6">
        <x:v>0</x:v>
      </x:c>
      <x:c r="H678" s="6">
        <x:f t="shared" si="33"/>
        <x:v>0</x:v>
      </x:c>
      <x:c r="I678" s="6">
        <x:v>1200.74</x:v>
      </x:c>
      <x:c r="J678" s="6">
        <x:v>0</x:v>
      </x:c>
      <x:c r="K678" s="6">
        <x:f t="shared" si="34"/>
        <x:v>1200.74</x:v>
      </x:c>
      <x:c r="L678" s="6">
        <x:v>0</x:v>
      </x:c>
      <x:c r="M678" s="6">
        <x:v>0</x:v>
      </x:c>
      <x:c r="N678" s="6">
        <x:f t="shared" si="35"/>
        <x:v>1200.74</x:v>
      </x:c>
    </x:row>
    <x:row r="679" spans="1:14" x14ac:dyDescent="0.25">
      <x:c r="A679" t="s">
        <x:v>12</x:v>
      </x:c>
      <x:c r="B679" s="3" t="s">
        <x:v>78</x:v>
      </x:c>
      <x:c r="C679" s="3" t="s">
        <x:v>395</x:v>
      </x:c>
      <x:c r="D679" t="s">
        <x:v>677</x:v>
      </x:c>
      <x:c r="E679" s="6">
        <x:v>0</x:v>
      </x:c>
      <x:c r="F679" s="6">
        <x:v>0</x:v>
      </x:c>
      <x:c r="G679" s="6">
        <x:v>0</x:v>
      </x:c>
      <x:c r="H679" s="6">
        <x:f t="shared" si="33"/>
        <x:v>0</x:v>
      </x:c>
      <x:c r="I679" s="6">
        <x:v>655520.54</x:v>
      </x:c>
      <x:c r="J679" s="6">
        <x:v>0</x:v>
      </x:c>
      <x:c r="K679" s="6">
        <x:f t="shared" si="34"/>
        <x:v>655520.54</x:v>
      </x:c>
      <x:c r="L679" s="6">
        <x:v>0</x:v>
      </x:c>
      <x:c r="M679" s="6">
        <x:v>0</x:v>
      </x:c>
      <x:c r="N679" s="6">
        <x:f t="shared" si="35"/>
        <x:v>655520.54</x:v>
      </x:c>
    </x:row>
    <x:row r="680" spans="1:14" x14ac:dyDescent="0.25">
      <x:c r="A680" t="s">
        <x:v>12</x:v>
      </x:c>
      <x:c r="B680" s="3" t="s">
        <x:v>79</x:v>
      </x:c>
      <x:c r="C680" s="3" t="s">
        <x:v>396</x:v>
      </x:c>
      <x:c r="D680" t="s">
        <x:v>677</x:v>
      </x:c>
      <x:c r="E680" s="6">
        <x:v>0</x:v>
      </x:c>
      <x:c r="F680" s="6">
        <x:v>0</x:v>
      </x:c>
      <x:c r="G680" s="6">
        <x:v>0</x:v>
      </x:c>
      <x:c r="H680" s="6">
        <x:f t="shared" si="33"/>
        <x:v>0</x:v>
      </x:c>
      <x:c r="I680" s="6">
        <x:v>4034.84</x:v>
      </x:c>
      <x:c r="J680" s="6">
        <x:v>0</x:v>
      </x:c>
      <x:c r="K680" s="6">
        <x:f t="shared" si="34"/>
        <x:v>4034.84</x:v>
      </x:c>
      <x:c r="L680" s="6">
        <x:v>0</x:v>
      </x:c>
      <x:c r="M680" s="6">
        <x:v>0</x:v>
      </x:c>
      <x:c r="N680" s="6">
        <x:f t="shared" si="35"/>
        <x:v>4034.84</x:v>
      </x:c>
    </x:row>
    <x:row r="681" spans="1:14" x14ac:dyDescent="0.25">
      <x:c r="A681" t="s">
        <x:v>12</x:v>
      </x:c>
      <x:c r="B681" s="3" t="s">
        <x:v>56</x:v>
      </x:c>
      <x:c r="C681" s="3" t="s">
        <x:v>373</x:v>
      </x:c>
      <x:c r="D681" t="s">
        <x:v>677</x:v>
      </x:c>
      <x:c r="E681" s="6">
        <x:v>0</x:v>
      </x:c>
      <x:c r="F681" s="6">
        <x:v>0</x:v>
      </x:c>
      <x:c r="G681" s="6">
        <x:v>0</x:v>
      </x:c>
      <x:c r="H681" s="6">
        <x:f t="shared" si="33"/>
        <x:v>0</x:v>
      </x:c>
      <x:c r="I681" s="6">
        <x:v>201.66000000000003</x:v>
      </x:c>
      <x:c r="J681" s="6">
        <x:v>0</x:v>
      </x:c>
      <x:c r="K681" s="6">
        <x:f t="shared" si="34"/>
        <x:v>201.66000000000003</x:v>
      </x:c>
      <x:c r="L681" s="6">
        <x:v>0</x:v>
      </x:c>
      <x:c r="M681" s="6">
        <x:v>0</x:v>
      </x:c>
      <x:c r="N681" s="6">
        <x:f t="shared" si="35"/>
        <x:v>201.66000000000003</x:v>
      </x:c>
    </x:row>
    <x:row r="682" spans="1:14" x14ac:dyDescent="0.25">
      <x:c r="A682" t="s">
        <x:v>12</x:v>
      </x:c>
      <x:c r="B682" s="3" t="s">
        <x:v>82</x:v>
      </x:c>
      <x:c r="C682" s="3" t="s">
        <x:v>399</x:v>
      </x:c>
      <x:c r="D682" t="s">
        <x:v>677</x:v>
      </x:c>
      <x:c r="E682" s="6">
        <x:v>0</x:v>
      </x:c>
      <x:c r="F682" s="6">
        <x:v>0</x:v>
      </x:c>
      <x:c r="G682" s="6">
        <x:v>0</x:v>
      </x:c>
      <x:c r="H682" s="6">
        <x:f t="shared" si="33"/>
        <x:v>0</x:v>
      </x:c>
      <x:c r="I682" s="6">
        <x:v>21.99</x:v>
      </x:c>
      <x:c r="J682" s="6">
        <x:v>0</x:v>
      </x:c>
      <x:c r="K682" s="6">
        <x:f t="shared" si="34"/>
        <x:v>21.99</x:v>
      </x:c>
      <x:c r="L682" s="6">
        <x:v>0</x:v>
      </x:c>
      <x:c r="M682" s="6">
        <x:v>0</x:v>
      </x:c>
      <x:c r="N682" s="6">
        <x:f t="shared" si="35"/>
        <x:v>21.99</x:v>
      </x:c>
    </x:row>
    <x:row r="683" spans="1:14" x14ac:dyDescent="0.25">
      <x:c r="A683" t="s">
        <x:v>12</x:v>
      </x:c>
      <x:c r="B683" s="3" t="s">
        <x:v>87</x:v>
      </x:c>
      <x:c r="C683" s="3" t="s">
        <x:v>404</x:v>
      </x:c>
      <x:c r="D683" t="s">
        <x:v>677</x:v>
      </x:c>
      <x:c r="E683" s="6">
        <x:v>0</x:v>
      </x:c>
      <x:c r="F683" s="6">
        <x:v>0</x:v>
      </x:c>
      <x:c r="G683" s="6">
        <x:v>0</x:v>
      </x:c>
      <x:c r="H683" s="6">
        <x:f t="shared" si="33"/>
        <x:v>0</x:v>
      </x:c>
      <x:c r="I683" s="6">
        <x:v>35.14</x:v>
      </x:c>
      <x:c r="J683" s="6">
        <x:v>0</x:v>
      </x:c>
      <x:c r="K683" s="6">
        <x:f t="shared" si="34"/>
        <x:v>35.14</x:v>
      </x:c>
      <x:c r="L683" s="6">
        <x:v>0</x:v>
      </x:c>
      <x:c r="M683" s="6">
        <x:v>0</x:v>
      </x:c>
      <x:c r="N683" s="6">
        <x:f t="shared" si="35"/>
        <x:v>35.14</x:v>
      </x:c>
    </x:row>
    <x:row r="684" spans="1:14" x14ac:dyDescent="0.25">
      <x:c r="A684" t="s">
        <x:v>12</x:v>
      </x:c>
      <x:c r="B684" s="3" t="s">
        <x:v>88</x:v>
      </x:c>
      <x:c r="C684" s="3" t="s">
        <x:v>405</x:v>
      </x:c>
      <x:c r="D684" t="s">
        <x:v>677</x:v>
      </x:c>
      <x:c r="E684" s="6">
        <x:v>0</x:v>
      </x:c>
      <x:c r="F684" s="6">
        <x:v>0</x:v>
      </x:c>
      <x:c r="G684" s="6">
        <x:v>0</x:v>
      </x:c>
      <x:c r="H684" s="6">
        <x:f t="shared" si="33"/>
        <x:v>0</x:v>
      </x:c>
      <x:c r="I684" s="6">
        <x:v>4666.4799999999996</x:v>
      </x:c>
      <x:c r="J684" s="6">
        <x:v>0</x:v>
      </x:c>
      <x:c r="K684" s="6">
        <x:f t="shared" si="34"/>
        <x:v>4666.4799999999996</x:v>
      </x:c>
      <x:c r="L684" s="6">
        <x:v>0</x:v>
      </x:c>
      <x:c r="M684" s="6">
        <x:v>0</x:v>
      </x:c>
      <x:c r="N684" s="6">
        <x:f t="shared" si="35"/>
        <x:v>4666.4799999999996</x:v>
      </x:c>
    </x:row>
    <x:row r="685" spans="1:14" x14ac:dyDescent="0.25">
      <x:c r="A685" t="s">
        <x:v>12</x:v>
      </x:c>
      <x:c r="B685" s="3" t="s">
        <x:v>89</x:v>
      </x:c>
      <x:c r="C685" s="3" t="s">
        <x:v>406</x:v>
      </x:c>
      <x:c r="D685" t="s">
        <x:v>677</x:v>
      </x:c>
      <x:c r="E685" s="6">
        <x:v>0</x:v>
      </x:c>
      <x:c r="F685" s="6">
        <x:v>0</x:v>
      </x:c>
      <x:c r="G685" s="6">
        <x:v>0</x:v>
      </x:c>
      <x:c r="H685" s="6">
        <x:f t="shared" si="33"/>
        <x:v>0</x:v>
      </x:c>
      <x:c r="I685" s="6">
        <x:v>1.73</x:v>
      </x:c>
      <x:c r="J685" s="6">
        <x:v>0</x:v>
      </x:c>
      <x:c r="K685" s="6">
        <x:f t="shared" si="34"/>
        <x:v>1.73</x:v>
      </x:c>
      <x:c r="L685" s="6">
        <x:v>0</x:v>
      </x:c>
      <x:c r="M685" s="6">
        <x:v>0</x:v>
      </x:c>
      <x:c r="N685" s="6">
        <x:f t="shared" si="35"/>
        <x:v>1.73</x:v>
      </x:c>
    </x:row>
    <x:row r="686" spans="1:14" x14ac:dyDescent="0.25">
      <x:c r="A686" t="s">
        <x:v>12</x:v>
      </x:c>
      <x:c r="B686" s="3" t="s">
        <x:v>90</x:v>
      </x:c>
      <x:c r="C686" s="3" t="s">
        <x:v>407</x:v>
      </x:c>
      <x:c r="D686" t="s">
        <x:v>677</x:v>
      </x:c>
      <x:c r="E686" s="6">
        <x:v>0</x:v>
      </x:c>
      <x:c r="F686" s="6">
        <x:v>0</x:v>
      </x:c>
      <x:c r="G686" s="6">
        <x:v>0</x:v>
      </x:c>
      <x:c r="H686" s="6">
        <x:f t="shared" si="33"/>
        <x:v>0</x:v>
      </x:c>
      <x:c r="I686" s="6">
        <x:v>41.38</x:v>
      </x:c>
      <x:c r="J686" s="6">
        <x:v>0</x:v>
      </x:c>
      <x:c r="K686" s="6">
        <x:f t="shared" si="34"/>
        <x:v>41.38</x:v>
      </x:c>
      <x:c r="L686" s="6">
        <x:v>0</x:v>
      </x:c>
      <x:c r="M686" s="6">
        <x:v>0</x:v>
      </x:c>
      <x:c r="N686" s="6">
        <x:f t="shared" si="35"/>
        <x:v>41.38</x:v>
      </x:c>
    </x:row>
    <x:row r="687" spans="1:14" x14ac:dyDescent="0.25">
      <x:c r="A687" t="s">
        <x:v>12</x:v>
      </x:c>
      <x:c r="B687" s="3" t="s">
        <x:v>99</x:v>
      </x:c>
      <x:c r="C687" s="3" t="s">
        <x:v>416</x:v>
      </x:c>
      <x:c r="D687" t="s">
        <x:v>677</x:v>
      </x:c>
      <x:c r="E687" s="6">
        <x:v>0</x:v>
      </x:c>
      <x:c r="F687" s="6">
        <x:v>0</x:v>
      </x:c>
      <x:c r="G687" s="6">
        <x:v>0</x:v>
      </x:c>
      <x:c r="H687" s="6">
        <x:f t="shared" si="33"/>
        <x:v>0</x:v>
      </x:c>
      <x:c r="I687" s="6">
        <x:v>289.16000000000003</x:v>
      </x:c>
      <x:c r="J687" s="6">
        <x:v>0</x:v>
      </x:c>
      <x:c r="K687" s="6">
        <x:f t="shared" si="34"/>
        <x:v>289.16000000000003</x:v>
      </x:c>
      <x:c r="L687" s="6">
        <x:v>0</x:v>
      </x:c>
      <x:c r="M687" s="6">
        <x:v>0</x:v>
      </x:c>
      <x:c r="N687" s="6">
        <x:f t="shared" si="35"/>
        <x:v>289.16000000000003</x:v>
      </x:c>
    </x:row>
    <x:row r="688" spans="1:14" x14ac:dyDescent="0.25">
      <x:c r="A688" t="s">
        <x:v>12</x:v>
      </x:c>
      <x:c r="B688" s="3" t="s">
        <x:v>103</x:v>
      </x:c>
      <x:c r="C688" s="3" t="s">
        <x:v>420</x:v>
      </x:c>
      <x:c r="D688" t="s">
        <x:v>677</x:v>
      </x:c>
      <x:c r="E688" s="6">
        <x:v>0</x:v>
      </x:c>
      <x:c r="F688" s="6">
        <x:v>0</x:v>
      </x:c>
      <x:c r="G688" s="6">
        <x:v>0</x:v>
      </x:c>
      <x:c r="H688" s="6">
        <x:f t="shared" si="33"/>
        <x:v>0</x:v>
      </x:c>
      <x:c r="I688" s="6">
        <x:v>2800</x:v>
      </x:c>
      <x:c r="J688" s="6">
        <x:v>0</x:v>
      </x:c>
      <x:c r="K688" s="6">
        <x:f t="shared" si="34"/>
        <x:v>2800</x:v>
      </x:c>
      <x:c r="L688" s="6">
        <x:v>0</x:v>
      </x:c>
      <x:c r="M688" s="6">
        <x:v>0</x:v>
      </x:c>
      <x:c r="N688" s="6">
        <x:f t="shared" si="35"/>
        <x:v>2800</x:v>
      </x:c>
    </x:row>
    <x:row r="689" spans="1:14" x14ac:dyDescent="0.25">
      <x:c r="A689" t="s">
        <x:v>12</x:v>
      </x:c>
      <x:c r="B689" s="3" t="s">
        <x:v>105</x:v>
      </x:c>
      <x:c r="C689" s="3" t="s">
        <x:v>422</x:v>
      </x:c>
      <x:c r="D689" t="s">
        <x:v>677</x:v>
      </x:c>
      <x:c r="E689" s="6">
        <x:v>0</x:v>
      </x:c>
      <x:c r="F689" s="6">
        <x:v>0</x:v>
      </x:c>
      <x:c r="G689" s="6">
        <x:v>0</x:v>
      </x:c>
      <x:c r="H689" s="6">
        <x:f t="shared" si="33"/>
        <x:v>0</x:v>
      </x:c>
      <x:c r="I689" s="6">
        <x:v>191.91</x:v>
      </x:c>
      <x:c r="J689" s="6">
        <x:v>0</x:v>
      </x:c>
      <x:c r="K689" s="6">
        <x:f t="shared" si="34"/>
        <x:v>191.91</x:v>
      </x:c>
      <x:c r="L689" s="6">
        <x:v>0</x:v>
      </x:c>
      <x:c r="M689" s="6">
        <x:v>0</x:v>
      </x:c>
      <x:c r="N689" s="6">
        <x:f t="shared" si="35"/>
        <x:v>191.91</x:v>
      </x:c>
    </x:row>
    <x:row r="690" spans="1:14" x14ac:dyDescent="0.25">
      <x:c r="A690" t="s">
        <x:v>12</x:v>
      </x:c>
      <x:c r="B690" s="3" t="s">
        <x:v>110</x:v>
      </x:c>
      <x:c r="C690" s="3" t="s">
        <x:v>427</x:v>
      </x:c>
      <x:c r="D690" t="s">
        <x:v>677</x:v>
      </x:c>
      <x:c r="E690" s="6">
        <x:v>0</x:v>
      </x:c>
      <x:c r="F690" s="6">
        <x:v>0</x:v>
      </x:c>
      <x:c r="G690" s="6">
        <x:v>0</x:v>
      </x:c>
      <x:c r="H690" s="6">
        <x:f t="shared" si="33"/>
        <x:v>0</x:v>
      </x:c>
      <x:c r="I690" s="6">
        <x:v>693.87</x:v>
      </x:c>
      <x:c r="J690" s="6">
        <x:v>0</x:v>
      </x:c>
      <x:c r="K690" s="6">
        <x:f t="shared" si="34"/>
        <x:v>693.87</x:v>
      </x:c>
      <x:c r="L690" s="6">
        <x:v>0</x:v>
      </x:c>
      <x:c r="M690" s="6">
        <x:v>0</x:v>
      </x:c>
      <x:c r="N690" s="6">
        <x:f t="shared" si="35"/>
        <x:v>693.87</x:v>
      </x:c>
    </x:row>
    <x:row r="691" spans="1:14" x14ac:dyDescent="0.25">
      <x:c r="A691" t="s">
        <x:v>12</x:v>
      </x:c>
      <x:c r="B691" s="3" t="s">
        <x:v>112</x:v>
      </x:c>
      <x:c r="C691" s="3" t="s">
        <x:v>429</x:v>
      </x:c>
      <x:c r="D691" t="s">
        <x:v>676</x:v>
      </x:c>
      <x:c r="E691" s="6">
        <x:v>0</x:v>
      </x:c>
      <x:c r="F691" s="6">
        <x:v>0</x:v>
      </x:c>
      <x:c r="G691" s="6">
        <x:v>0</x:v>
      </x:c>
      <x:c r="H691" s="6">
        <x:f t="shared" si="33"/>
        <x:v>0</x:v>
      </x:c>
      <x:c r="I691" s="6">
        <x:v>0</x:v>
      </x:c>
      <x:c r="J691" s="6">
        <x:v>0</x:v>
      </x:c>
      <x:c r="K691" s="6">
        <x:f t="shared" si="34"/>
        <x:v>0</x:v>
      </x:c>
      <x:c r="L691" s="6">
        <x:v>1769.1000000000004</x:v>
      </x:c>
      <x:c r="M691" s="6">
        <x:v>0</x:v>
      </x:c>
      <x:c r="N691" s="6">
        <x:f t="shared" si="35"/>
        <x:v>1769.1000000000004</x:v>
      </x:c>
    </x:row>
    <x:row r="692" spans="1:14" x14ac:dyDescent="0.25">
      <x:c r="A692" t="s">
        <x:v>12</x:v>
      </x:c>
      <x:c r="B692" s="3" t="s">
        <x:v>115</x:v>
      </x:c>
      <x:c r="C692" s="3" t="s">
        <x:v>432</x:v>
      </x:c>
      <x:c r="D692" t="s">
        <x:v>676</x:v>
      </x:c>
      <x:c r="E692" s="6">
        <x:v>0</x:v>
      </x:c>
      <x:c r="F692" s="6">
        <x:v>0</x:v>
      </x:c>
      <x:c r="G692" s="6">
        <x:v>0</x:v>
      </x:c>
      <x:c r="H692" s="6">
        <x:f t="shared" si="33"/>
        <x:v>0</x:v>
      </x:c>
      <x:c r="I692" s="6">
        <x:v>0</x:v>
      </x:c>
      <x:c r="J692" s="6">
        <x:v>0</x:v>
      </x:c>
      <x:c r="K692" s="6">
        <x:f t="shared" si="34"/>
        <x:v>0</x:v>
      </x:c>
      <x:c r="L692" s="6">
        <x:v>3389.4700000000007</x:v>
      </x:c>
      <x:c r="M692" s="6">
        <x:v>0</x:v>
      </x:c>
      <x:c r="N692" s="6">
        <x:f t="shared" si="35"/>
        <x:v>3389.4700000000007</x:v>
      </x:c>
    </x:row>
    <x:row r="693" spans="1:14" x14ac:dyDescent="0.25">
      <x:c r="A693" t="s">
        <x:v>12</x:v>
      </x:c>
      <x:c r="B693" s="3" t="s">
        <x:v>116</x:v>
      </x:c>
      <x:c r="C693" s="3" t="s">
        <x:v>433</x:v>
      </x:c>
      <x:c r="D693" t="s">
        <x:v>676</x:v>
      </x:c>
      <x:c r="E693" s="6">
        <x:v>0</x:v>
      </x:c>
      <x:c r="F693" s="6">
        <x:v>0</x:v>
      </x:c>
      <x:c r="G693" s="6">
        <x:v>0</x:v>
      </x:c>
      <x:c r="H693" s="6">
        <x:f t="shared" si="33"/>
        <x:v>0</x:v>
      </x:c>
      <x:c r="I693" s="6">
        <x:v>0</x:v>
      </x:c>
      <x:c r="J693" s="6">
        <x:v>0</x:v>
      </x:c>
      <x:c r="K693" s="6">
        <x:f t="shared" si="34"/>
        <x:v>0</x:v>
      </x:c>
      <x:c r="L693" s="6">
        <x:v>5371.7199999999993</x:v>
      </x:c>
      <x:c r="M693" s="6">
        <x:v>0</x:v>
      </x:c>
      <x:c r="N693" s="6">
        <x:f t="shared" si="35"/>
        <x:v>5371.7199999999993</x:v>
      </x:c>
    </x:row>
    <x:row r="694" spans="1:14" x14ac:dyDescent="0.25">
      <x:c r="A694" t="s">
        <x:v>12</x:v>
      </x:c>
      <x:c r="B694" s="3" t="s">
        <x:v>228</x:v>
      </x:c>
      <x:c r="C694" s="3" t="s">
        <x:v>543</x:v>
      </x:c>
      <x:c r="D694" t="s">
        <x:v>676</x:v>
      </x:c>
      <x:c r="E694" s="6">
        <x:v>0</x:v>
      </x:c>
      <x:c r="F694" s="6">
        <x:v>0</x:v>
      </x:c>
      <x:c r="G694" s="6">
        <x:v>0</x:v>
      </x:c>
      <x:c r="H694" s="6">
        <x:f t="shared" si="33"/>
        <x:v>0</x:v>
      </x:c>
      <x:c r="I694" s="6">
        <x:v>0</x:v>
      </x:c>
      <x:c r="J694" s="6">
        <x:v>0</x:v>
      </x:c>
      <x:c r="K694" s="6">
        <x:f t="shared" si="34"/>
        <x:v>0</x:v>
      </x:c>
      <x:c r="L694" s="6">
        <x:v>113.97</x:v>
      </x:c>
      <x:c r="M694" s="6">
        <x:v>0</x:v>
      </x:c>
      <x:c r="N694" s="6">
        <x:f t="shared" si="35"/>
        <x:v>113.97</x:v>
      </x:c>
    </x:row>
    <x:row r="695" spans="1:14" x14ac:dyDescent="0.25">
      <x:c r="A695" t="s">
        <x:v>12</x:v>
      </x:c>
      <x:c r="B695" s="3" t="s">
        <x:v>117</x:v>
      </x:c>
      <x:c r="C695" s="3" t="s">
        <x:v>434</x:v>
      </x:c>
      <x:c r="D695" t="s">
        <x:v>676</x:v>
      </x:c>
      <x:c r="E695" s="6">
        <x:v>0</x:v>
      </x:c>
      <x:c r="F695" s="6">
        <x:v>0</x:v>
      </x:c>
      <x:c r="G695" s="6">
        <x:v>0</x:v>
      </x:c>
      <x:c r="H695" s="6">
        <x:f t="shared" si="33"/>
        <x:v>0</x:v>
      </x:c>
      <x:c r="I695" s="6">
        <x:v>0</x:v>
      </x:c>
      <x:c r="J695" s="6">
        <x:v>0</x:v>
      </x:c>
      <x:c r="K695" s="6">
        <x:f t="shared" si="34"/>
        <x:v>0</x:v>
      </x:c>
      <x:c r="L695" s="6">
        <x:v>2354.3399999999997</x:v>
      </x:c>
      <x:c r="M695" s="6">
        <x:v>0</x:v>
      </x:c>
      <x:c r="N695" s="6">
        <x:f t="shared" si="35"/>
        <x:v>2354.3399999999997</x:v>
      </x:c>
    </x:row>
    <x:row r="696" spans="1:14" x14ac:dyDescent="0.25">
      <x:c r="A696" t="s">
        <x:v>12</x:v>
      </x:c>
      <x:c r="B696" s="3" t="s">
        <x:v>229</x:v>
      </x:c>
      <x:c r="C696" s="3" t="s">
        <x:v>544</x:v>
      </x:c>
      <x:c r="D696" t="s">
        <x:v>677</x:v>
      </x:c>
      <x:c r="E696" s="6">
        <x:v>0</x:v>
      </x:c>
      <x:c r="F696" s="6">
        <x:v>0</x:v>
      </x:c>
      <x:c r="G696" s="6">
        <x:v>0</x:v>
      </x:c>
      <x:c r="H696" s="6">
        <x:f t="shared" si="33"/>
        <x:v>0</x:v>
      </x:c>
      <x:c r="I696" s="6">
        <x:v>145.62</x:v>
      </x:c>
      <x:c r="J696" s="6">
        <x:v>0</x:v>
      </x:c>
      <x:c r="K696" s="6">
        <x:f t="shared" si="34"/>
        <x:v>145.62</x:v>
      </x:c>
      <x:c r="L696" s="6">
        <x:v>0</x:v>
      </x:c>
      <x:c r="M696" s="6">
        <x:v>0</x:v>
      </x:c>
      <x:c r="N696" s="6">
        <x:f t="shared" si="35"/>
        <x:v>145.62</x:v>
      </x:c>
    </x:row>
    <x:row r="697" spans="1:14" x14ac:dyDescent="0.25">
      <x:c r="A697" t="s">
        <x:v>12</x:v>
      </x:c>
      <x:c r="B697" s="3" t="s">
        <x:v>121</x:v>
      </x:c>
      <x:c r="C697" s="3" t="s">
        <x:v>438</x:v>
      </x:c>
      <x:c r="D697" t="s">
        <x:v>677</x:v>
      </x:c>
      <x:c r="E697" s="6">
        <x:v>0</x:v>
      </x:c>
      <x:c r="F697" s="6">
        <x:v>0</x:v>
      </x:c>
      <x:c r="G697" s="6">
        <x:v>0</x:v>
      </x:c>
      <x:c r="H697" s="6">
        <x:f t="shared" si="33"/>
        <x:v>0</x:v>
      </x:c>
      <x:c r="I697" s="6">
        <x:v>6161.5199999999995</x:v>
      </x:c>
      <x:c r="J697" s="6">
        <x:v>0</x:v>
      </x:c>
      <x:c r="K697" s="6">
        <x:f t="shared" si="34"/>
        <x:v>6161.5199999999995</x:v>
      </x:c>
      <x:c r="L697" s="6">
        <x:v>0</x:v>
      </x:c>
      <x:c r="M697" s="6">
        <x:v>0</x:v>
      </x:c>
      <x:c r="N697" s="6">
        <x:f t="shared" si="35"/>
        <x:v>6161.5199999999995</x:v>
      </x:c>
    </x:row>
    <x:row r="698" spans="1:14" x14ac:dyDescent="0.25">
      <x:c r="A698" t="s">
        <x:v>12</x:v>
      </x:c>
      <x:c r="B698" s="3" t="s">
        <x:v>122</x:v>
      </x:c>
      <x:c r="C698" s="3" t="s">
        <x:v>439</x:v>
      </x:c>
      <x:c r="D698" t="s">
        <x:v>677</x:v>
      </x:c>
      <x:c r="E698" s="6">
        <x:v>0</x:v>
      </x:c>
      <x:c r="F698" s="6">
        <x:v>0</x:v>
      </x:c>
      <x:c r="G698" s="6">
        <x:v>0</x:v>
      </x:c>
      <x:c r="H698" s="6">
        <x:f t="shared" si="33"/>
        <x:v>0</x:v>
      </x:c>
      <x:c r="I698" s="6">
        <x:v>27897.239999999998</x:v>
      </x:c>
      <x:c r="J698" s="6">
        <x:v>0</x:v>
      </x:c>
      <x:c r="K698" s="6">
        <x:f t="shared" si="34"/>
        <x:v>27897.239999999998</x:v>
      </x:c>
      <x:c r="L698" s="6">
        <x:v>0</x:v>
      </x:c>
      <x:c r="M698" s="6">
        <x:v>0</x:v>
      </x:c>
      <x:c r="N698" s="6">
        <x:f t="shared" si="35"/>
        <x:v>27897.239999999998</x:v>
      </x:c>
    </x:row>
    <x:row r="699" spans="1:14" x14ac:dyDescent="0.25">
      <x:c r="A699" t="s">
        <x:v>12</x:v>
      </x:c>
      <x:c r="B699" s="3" t="s">
        <x:v>126</x:v>
      </x:c>
      <x:c r="C699" s="3" t="s">
        <x:v>443</x:v>
      </x:c>
      <x:c r="D699" t="s">
        <x:v>677</x:v>
      </x:c>
      <x:c r="E699" s="6">
        <x:v>0</x:v>
      </x:c>
      <x:c r="F699" s="6">
        <x:v>0</x:v>
      </x:c>
      <x:c r="G699" s="6">
        <x:v>0</x:v>
      </x:c>
      <x:c r="H699" s="6">
        <x:f t="shared" si="33"/>
        <x:v>0</x:v>
      </x:c>
      <x:c r="I699" s="6">
        <x:v>3164.0000000000009</x:v>
      </x:c>
      <x:c r="J699" s="6">
        <x:v>0</x:v>
      </x:c>
      <x:c r="K699" s="6">
        <x:f t="shared" si="34"/>
        <x:v>3164.0000000000009</x:v>
      </x:c>
      <x:c r="L699" s="6">
        <x:v>0</x:v>
      </x:c>
      <x:c r="M699" s="6">
        <x:v>0</x:v>
      </x:c>
      <x:c r="N699" s="6">
        <x:f t="shared" si="35"/>
        <x:v>3164.0000000000009</x:v>
      </x:c>
    </x:row>
    <x:row r="700" spans="1:14" x14ac:dyDescent="0.25">
      <x:c r="A700" t="s">
        <x:v>12</x:v>
      </x:c>
      <x:c r="B700" s="3" t="s">
        <x:v>230</x:v>
      </x:c>
      <x:c r="C700" s="3" t="s">
        <x:v>545</x:v>
      </x:c>
      <x:c r="D700" t="s">
        <x:v>677</x:v>
      </x:c>
      <x:c r="E700" s="6">
        <x:v>0</x:v>
      </x:c>
      <x:c r="F700" s="6">
        <x:v>0</x:v>
      </x:c>
      <x:c r="G700" s="6">
        <x:v>0</x:v>
      </x:c>
      <x:c r="H700" s="6">
        <x:f t="shared" si="33"/>
        <x:v>0</x:v>
      </x:c>
      <x:c r="I700" s="6">
        <x:v>8110.5400000000009</x:v>
      </x:c>
      <x:c r="J700" s="6">
        <x:v>0</x:v>
      </x:c>
      <x:c r="K700" s="6">
        <x:f t="shared" si="34"/>
        <x:v>8110.5400000000009</x:v>
      </x:c>
      <x:c r="L700" s="6">
        <x:v>0</x:v>
      </x:c>
      <x:c r="M700" s="6">
        <x:v>0</x:v>
      </x:c>
      <x:c r="N700" s="6">
        <x:f t="shared" si="35"/>
        <x:v>8110.5400000000009</x:v>
      </x:c>
    </x:row>
    <x:row r="701" spans="1:14" x14ac:dyDescent="0.25">
      <x:c r="A701" t="s">
        <x:v>12</x:v>
      </x:c>
      <x:c r="B701" s="3" t="s">
        <x:v>127</x:v>
      </x:c>
      <x:c r="C701" s="3" t="s">
        <x:v>444</x:v>
      </x:c>
      <x:c r="D701" t="s">
        <x:v>677</x:v>
      </x:c>
      <x:c r="E701" s="6">
        <x:v>0</x:v>
      </x:c>
      <x:c r="F701" s="6">
        <x:v>0</x:v>
      </x:c>
      <x:c r="G701" s="6">
        <x:v>0</x:v>
      </x:c>
      <x:c r="H701" s="6">
        <x:f t="shared" si="33"/>
        <x:v>0</x:v>
      </x:c>
      <x:c r="I701" s="6">
        <x:v>182.80999999999997</x:v>
      </x:c>
      <x:c r="J701" s="6">
        <x:v>0</x:v>
      </x:c>
      <x:c r="K701" s="6">
        <x:f t="shared" si="34"/>
        <x:v>182.80999999999997</x:v>
      </x:c>
      <x:c r="L701" s="6">
        <x:v>0</x:v>
      </x:c>
      <x:c r="M701" s="6">
        <x:v>0</x:v>
      </x:c>
      <x:c r="N701" s="6">
        <x:f t="shared" si="35"/>
        <x:v>182.80999999999997</x:v>
      </x:c>
    </x:row>
    <x:row r="702" spans="1:14" x14ac:dyDescent="0.25">
      <x:c r="A702" t="s">
        <x:v>12</x:v>
      </x:c>
      <x:c r="B702" s="3" t="s">
        <x:v>231</x:v>
      </x:c>
      <x:c r="C702" s="3" t="s">
        <x:v>546</x:v>
      </x:c>
      <x:c r="D702" t="s">
        <x:v>677</x:v>
      </x:c>
      <x:c r="E702" s="6">
        <x:v>0</x:v>
      </x:c>
      <x:c r="F702" s="6">
        <x:v>0</x:v>
      </x:c>
      <x:c r="G702" s="6">
        <x:v>0</x:v>
      </x:c>
      <x:c r="H702" s="6">
        <x:f t="shared" si="33"/>
        <x:v>0</x:v>
      </x:c>
      <x:c r="I702" s="6">
        <x:v>8924.0699999999979</x:v>
      </x:c>
      <x:c r="J702" s="6">
        <x:v>0</x:v>
      </x:c>
      <x:c r="K702" s="6">
        <x:f t="shared" si="34"/>
        <x:v>8924.0699999999979</x:v>
      </x:c>
      <x:c r="L702" s="6">
        <x:v>0</x:v>
      </x:c>
      <x:c r="M702" s="6">
        <x:v>0</x:v>
      </x:c>
      <x:c r="N702" s="6">
        <x:f t="shared" si="35"/>
        <x:v>8924.0699999999979</x:v>
      </x:c>
    </x:row>
    <x:row r="703" spans="1:14" x14ac:dyDescent="0.25">
      <x:c r="A703" t="s">
        <x:v>12</x:v>
      </x:c>
      <x:c r="B703" s="3" t="s">
        <x:v>128</x:v>
      </x:c>
      <x:c r="C703" s="3" t="s">
        <x:v>445</x:v>
      </x:c>
      <x:c r="D703" t="s">
        <x:v>677</x:v>
      </x:c>
      <x:c r="E703" s="6">
        <x:v>0</x:v>
      </x:c>
      <x:c r="F703" s="6">
        <x:v>0</x:v>
      </x:c>
      <x:c r="G703" s="6">
        <x:v>0</x:v>
      </x:c>
      <x:c r="H703" s="6">
        <x:f t="shared" si="33"/>
        <x:v>0</x:v>
      </x:c>
      <x:c r="I703" s="6">
        <x:v>3034.4599999999991</x:v>
      </x:c>
      <x:c r="J703" s="6">
        <x:v>0</x:v>
      </x:c>
      <x:c r="K703" s="6">
        <x:f t="shared" si="34"/>
        <x:v>3034.4599999999991</x:v>
      </x:c>
      <x:c r="L703" s="6">
        <x:v>0</x:v>
      </x:c>
      <x:c r="M703" s="6">
        <x:v>0</x:v>
      </x:c>
      <x:c r="N703" s="6">
        <x:f t="shared" si="35"/>
        <x:v>3034.4599999999991</x:v>
      </x:c>
    </x:row>
    <x:row r="704" spans="1:14" x14ac:dyDescent="0.25">
      <x:c r="A704" t="s">
        <x:v>12</x:v>
      </x:c>
      <x:c r="B704" s="3" t="s">
        <x:v>129</x:v>
      </x:c>
      <x:c r="C704" s="3" t="s">
        <x:v>446</x:v>
      </x:c>
      <x:c r="D704" t="s">
        <x:v>677</x:v>
      </x:c>
      <x:c r="E704" s="6">
        <x:v>0</x:v>
      </x:c>
      <x:c r="F704" s="6">
        <x:v>0</x:v>
      </x:c>
      <x:c r="G704" s="6">
        <x:v>0</x:v>
      </x:c>
      <x:c r="H704" s="6">
        <x:f t="shared" si="33"/>
        <x:v>0</x:v>
      </x:c>
      <x:c r="I704" s="6">
        <x:v>3631.41</x:v>
      </x:c>
      <x:c r="J704" s="6">
        <x:v>0</x:v>
      </x:c>
      <x:c r="K704" s="6">
        <x:f t="shared" si="34"/>
        <x:v>3631.41</x:v>
      </x:c>
      <x:c r="L704" s="6">
        <x:v>0</x:v>
      </x:c>
      <x:c r="M704" s="6">
        <x:v>0</x:v>
      </x:c>
      <x:c r="N704" s="6">
        <x:f t="shared" si="35"/>
        <x:v>3631.41</x:v>
      </x:c>
    </x:row>
    <x:row r="705" spans="1:14" x14ac:dyDescent="0.25">
      <x:c r="A705" t="s">
        <x:v>12</x:v>
      </x:c>
      <x:c r="B705" s="3" t="s">
        <x:v>131</x:v>
      </x:c>
      <x:c r="C705" s="3" t="s">
        <x:v>448</x:v>
      </x:c>
      <x:c r="D705" t="s">
        <x:v>677</x:v>
      </x:c>
      <x:c r="E705" s="6">
        <x:v>0</x:v>
      </x:c>
      <x:c r="F705" s="6">
        <x:v>0</x:v>
      </x:c>
      <x:c r="G705" s="6">
        <x:v>0</x:v>
      </x:c>
      <x:c r="H705" s="6">
        <x:f t="shared" si="33"/>
        <x:v>0</x:v>
      </x:c>
      <x:c r="I705" s="6">
        <x:v>108.25</x:v>
      </x:c>
      <x:c r="J705" s="6">
        <x:v>0</x:v>
      </x:c>
      <x:c r="K705" s="6">
        <x:f t="shared" si="34"/>
        <x:v>108.25</x:v>
      </x:c>
      <x:c r="L705" s="6">
        <x:v>0</x:v>
      </x:c>
      <x:c r="M705" s="6">
        <x:v>0</x:v>
      </x:c>
      <x:c r="N705" s="6">
        <x:f t="shared" si="35"/>
        <x:v>108.25</x:v>
      </x:c>
    </x:row>
    <x:row r="706" spans="1:14" x14ac:dyDescent="0.25">
      <x:c r="A706" t="s">
        <x:v>12</x:v>
      </x:c>
      <x:c r="B706" s="3" t="s">
        <x:v>132</x:v>
      </x:c>
      <x:c r="C706" s="3" t="s">
        <x:v>449</x:v>
      </x:c>
      <x:c r="D706" t="s">
        <x:v>677</x:v>
      </x:c>
      <x:c r="E706" s="6">
        <x:v>0</x:v>
      </x:c>
      <x:c r="F706" s="6">
        <x:v>0</x:v>
      </x:c>
      <x:c r="G706" s="6">
        <x:v>0</x:v>
      </x:c>
      <x:c r="H706" s="6">
        <x:f t="shared" si="33"/>
        <x:v>0</x:v>
      </x:c>
      <x:c r="I706" s="6">
        <x:v>-1235.9599999999994</x:v>
      </x:c>
      <x:c r="J706" s="6">
        <x:v>0</x:v>
      </x:c>
      <x:c r="K706" s="6">
        <x:f t="shared" si="34"/>
        <x:v>-1235.9599999999994</x:v>
      </x:c>
      <x:c r="L706" s="6">
        <x:v>0</x:v>
      </x:c>
      <x:c r="M706" s="6">
        <x:v>0</x:v>
      </x:c>
      <x:c r="N706" s="6">
        <x:f t="shared" si="35"/>
        <x:v>-1235.9599999999994</x:v>
      </x:c>
    </x:row>
    <x:row r="707" spans="1:14" x14ac:dyDescent="0.25">
      <x:c r="A707" t="s">
        <x:v>12</x:v>
      </x:c>
      <x:c r="B707" s="3" t="s">
        <x:v>133</x:v>
      </x:c>
      <x:c r="C707" s="3" t="s">
        <x:v>450</x:v>
      </x:c>
      <x:c r="D707" t="s">
        <x:v>677</x:v>
      </x:c>
      <x:c r="E707" s="6">
        <x:v>0</x:v>
      </x:c>
      <x:c r="F707" s="6">
        <x:v>0</x:v>
      </x:c>
      <x:c r="G707" s="6">
        <x:v>0</x:v>
      </x:c>
      <x:c r="H707" s="6">
        <x:f t="shared" si="33"/>
        <x:v>0</x:v>
      </x:c>
      <x:c r="I707" s="6">
        <x:v>32073.799999999996</x:v>
      </x:c>
      <x:c r="J707" s="6">
        <x:v>0</x:v>
      </x:c>
      <x:c r="K707" s="6">
        <x:f t="shared" si="34"/>
        <x:v>32073.799999999996</x:v>
      </x:c>
      <x:c r="L707" s="6">
        <x:v>0</x:v>
      </x:c>
      <x:c r="M707" s="6">
        <x:v>0</x:v>
      </x:c>
      <x:c r="N707" s="6">
        <x:f t="shared" si="35"/>
        <x:v>32073.799999999996</x:v>
      </x:c>
    </x:row>
    <x:row r="708" spans="1:14" x14ac:dyDescent="0.25">
      <x:c r="A708" t="s">
        <x:v>12</x:v>
      </x:c>
      <x:c r="B708" s="3" t="s">
        <x:v>134</x:v>
      </x:c>
      <x:c r="C708" s="3" t="s">
        <x:v>451</x:v>
      </x:c>
      <x:c r="D708" t="s">
        <x:v>677</x:v>
      </x:c>
      <x:c r="E708" s="6">
        <x:v>0</x:v>
      </x:c>
      <x:c r="F708" s="6">
        <x:v>0</x:v>
      </x:c>
      <x:c r="G708" s="6">
        <x:v>0</x:v>
      </x:c>
      <x:c r="H708" s="6">
        <x:f t="shared" si="33"/>
        <x:v>0</x:v>
      </x:c>
      <x:c r="I708" s="6">
        <x:v>988942.88999999932</x:v>
      </x:c>
      <x:c r="J708" s="6">
        <x:v>0</x:v>
      </x:c>
      <x:c r="K708" s="6">
        <x:f t="shared" si="34"/>
        <x:v>988942.88999999932</x:v>
      </x:c>
      <x:c r="L708" s="6">
        <x:v>0</x:v>
      </x:c>
      <x:c r="M708" s="6">
        <x:v>0</x:v>
      </x:c>
      <x:c r="N708" s="6">
        <x:f t="shared" si="35"/>
        <x:v>988942.88999999932</x:v>
      </x:c>
    </x:row>
    <x:row r="709" spans="1:14" x14ac:dyDescent="0.25">
      <x:c r="A709" t="s">
        <x:v>12</x:v>
      </x:c>
      <x:c r="B709" s="3" t="s">
        <x:v>135</x:v>
      </x:c>
      <x:c r="C709" s="3" t="s">
        <x:v>452</x:v>
      </x:c>
      <x:c r="D709" t="s">
        <x:v>677</x:v>
      </x:c>
      <x:c r="E709" s="6">
        <x:v>0</x:v>
      </x:c>
      <x:c r="F709" s="6">
        <x:v>0</x:v>
      </x:c>
      <x:c r="G709" s="6">
        <x:v>0</x:v>
      </x:c>
      <x:c r="H709" s="6">
        <x:f t="shared" si="33"/>
        <x:v>0</x:v>
      </x:c>
      <x:c r="I709" s="6">
        <x:v>-75279.81</x:v>
      </x:c>
      <x:c r="J709" s="6">
        <x:v>0</x:v>
      </x:c>
      <x:c r="K709" s="6">
        <x:f t="shared" si="34"/>
        <x:v>-75279.81</x:v>
      </x:c>
      <x:c r="L709" s="6">
        <x:v>0</x:v>
      </x:c>
      <x:c r="M709" s="6">
        <x:v>0</x:v>
      </x:c>
      <x:c r="N709" s="6">
        <x:f t="shared" si="35"/>
        <x:v>-75279.81</x:v>
      </x:c>
    </x:row>
    <x:row r="710" spans="1:14" x14ac:dyDescent="0.25">
      <x:c r="A710" t="s">
        <x:v>12</x:v>
      </x:c>
      <x:c r="B710" s="3" t="s">
        <x:v>136</x:v>
      </x:c>
      <x:c r="C710" s="3" t="s">
        <x:v>453</x:v>
      </x:c>
      <x:c r="D710" t="s">
        <x:v>677</x:v>
      </x:c>
      <x:c r="E710" s="6">
        <x:v>0</x:v>
      </x:c>
      <x:c r="F710" s="6">
        <x:v>0</x:v>
      </x:c>
      <x:c r="G710" s="6">
        <x:v>0</x:v>
      </x:c>
      <x:c r="H710" s="6">
        <x:f t="shared" si="33"/>
        <x:v>0</x:v>
      </x:c>
      <x:c r="I710" s="6">
        <x:v>37539.090000000004</x:v>
      </x:c>
      <x:c r="J710" s="6">
        <x:v>0</x:v>
      </x:c>
      <x:c r="K710" s="6">
        <x:f t="shared" si="34"/>
        <x:v>37539.090000000004</x:v>
      </x:c>
      <x:c r="L710" s="6">
        <x:v>0</x:v>
      </x:c>
      <x:c r="M710" s="6">
        <x:v>0</x:v>
      </x:c>
      <x:c r="N710" s="6">
        <x:f t="shared" si="35"/>
        <x:v>37539.090000000004</x:v>
      </x:c>
    </x:row>
    <x:row r="711" spans="1:14" x14ac:dyDescent="0.25">
      <x:c r="A711" t="s">
        <x:v>12</x:v>
      </x:c>
      <x:c r="B711" s="3" t="s">
        <x:v>137</x:v>
      </x:c>
      <x:c r="C711" s="3" t="s">
        <x:v>454</x:v>
      </x:c>
      <x:c r="D711" t="s">
        <x:v>677</x:v>
      </x:c>
      <x:c r="E711" s="6">
        <x:v>0</x:v>
      </x:c>
      <x:c r="F711" s="6">
        <x:v>0</x:v>
      </x:c>
      <x:c r="G711" s="6">
        <x:v>0</x:v>
      </x:c>
      <x:c r="H711" s="6">
        <x:f t="shared" si="33"/>
        <x:v>0</x:v>
      </x:c>
      <x:c r="I711" s="6">
        <x:v>6635.12</x:v>
      </x:c>
      <x:c r="J711" s="6">
        <x:v>0</x:v>
      </x:c>
      <x:c r="K711" s="6">
        <x:f t="shared" si="34"/>
        <x:v>6635.12</x:v>
      </x:c>
      <x:c r="L711" s="6">
        <x:v>0</x:v>
      </x:c>
      <x:c r="M711" s="6">
        <x:v>0</x:v>
      </x:c>
      <x:c r="N711" s="6">
        <x:f t="shared" si="35"/>
        <x:v>6635.12</x:v>
      </x:c>
    </x:row>
    <x:row r="712" spans="1:14" x14ac:dyDescent="0.25">
      <x:c r="A712" t="s">
        <x:v>12</x:v>
      </x:c>
      <x:c r="B712" s="3" t="s">
        <x:v>138</x:v>
      </x:c>
      <x:c r="C712" s="3" t="s">
        <x:v>455</x:v>
      </x:c>
      <x:c r="D712" t="s">
        <x:v>677</x:v>
      </x:c>
      <x:c r="E712" s="6">
        <x:v>0</x:v>
      </x:c>
      <x:c r="F712" s="6">
        <x:v>0</x:v>
      </x:c>
      <x:c r="G712" s="6">
        <x:v>0</x:v>
      </x:c>
      <x:c r="H712" s="6">
        <x:f t="shared" si="33"/>
        <x:v>0</x:v>
      </x:c>
      <x:c r="I712" s="6">
        <x:v>39.29</x:v>
      </x:c>
      <x:c r="J712" s="6">
        <x:v>0</x:v>
      </x:c>
      <x:c r="K712" s="6">
        <x:f t="shared" si="34"/>
        <x:v>39.29</x:v>
      </x:c>
      <x:c r="L712" s="6">
        <x:v>0</x:v>
      </x:c>
      <x:c r="M712" s="6">
        <x:v>0</x:v>
      </x:c>
      <x:c r="N712" s="6">
        <x:f t="shared" si="35"/>
        <x:v>39.29</x:v>
      </x:c>
    </x:row>
    <x:row r="713" spans="1:14" x14ac:dyDescent="0.25">
      <x:c r="A713" t="s">
        <x:v>12</x:v>
      </x:c>
      <x:c r="B713" s="3" t="s">
        <x:v>146</x:v>
      </x:c>
      <x:c r="C713" s="3" t="s">
        <x:v>463</x:v>
      </x:c>
      <x:c r="D713" t="s">
        <x:v>677</x:v>
      </x:c>
      <x:c r="E713" s="6">
        <x:v>0</x:v>
      </x:c>
      <x:c r="F713" s="6">
        <x:v>0</x:v>
      </x:c>
      <x:c r="G713" s="6">
        <x:v>0</x:v>
      </x:c>
      <x:c r="H713" s="6">
        <x:f t="shared" si="33"/>
        <x:v>0</x:v>
      </x:c>
      <x:c r="I713" s="6">
        <x:v>2202826.2499999995</x:v>
      </x:c>
      <x:c r="J713" s="6">
        <x:v>0</x:v>
      </x:c>
      <x:c r="K713" s="6">
        <x:f t="shared" si="34"/>
        <x:v>2202826.2499999995</x:v>
      </x:c>
      <x:c r="L713" s="6">
        <x:v>0</x:v>
      </x:c>
      <x:c r="M713" s="6">
        <x:v>0</x:v>
      </x:c>
      <x:c r="N713" s="6">
        <x:f t="shared" si="35"/>
        <x:v>2202826.2499999995</x:v>
      </x:c>
    </x:row>
    <x:row r="714" spans="1:14" x14ac:dyDescent="0.25">
      <x:c r="A714" t="s">
        <x:v>12</x:v>
      </x:c>
      <x:c r="B714" s="3" t="s">
        <x:v>232</x:v>
      </x:c>
      <x:c r="C714" s="3" t="s">
        <x:v>547</x:v>
      </x:c>
      <x:c r="D714" t="s">
        <x:v>677</x:v>
      </x:c>
      <x:c r="E714" s="6">
        <x:v>0</x:v>
      </x:c>
      <x:c r="F714" s="6">
        <x:v>0</x:v>
      </x:c>
      <x:c r="G714" s="6">
        <x:v>0</x:v>
      </x:c>
      <x:c r="H714" s="6">
        <x:f t="shared" si="33"/>
        <x:v>0</x:v>
      </x:c>
      <x:c r="I714" s="6">
        <x:v>1475028.49</x:v>
      </x:c>
      <x:c r="J714" s="6">
        <x:v>0</x:v>
      </x:c>
      <x:c r="K714" s="6">
        <x:f t="shared" si="34"/>
        <x:v>1475028.49</x:v>
      </x:c>
      <x:c r="L714" s="6">
        <x:v>0</x:v>
      </x:c>
      <x:c r="M714" s="6">
        <x:v>0</x:v>
      </x:c>
      <x:c r="N714" s="6">
        <x:f t="shared" si="35"/>
        <x:v>1475028.49</x:v>
      </x:c>
    </x:row>
    <x:row r="715" spans="1:14" x14ac:dyDescent="0.25">
      <x:c r="A715" t="s">
        <x:v>12</x:v>
      </x:c>
      <x:c r="B715" s="3" t="s">
        <x:v>147</x:v>
      </x:c>
      <x:c r="C715" s="3" t="s">
        <x:v>464</x:v>
      </x:c>
      <x:c r="D715" t="s">
        <x:v>677</x:v>
      </x:c>
      <x:c r="E715" s="6">
        <x:v>0</x:v>
      </x:c>
      <x:c r="F715" s="6">
        <x:v>0</x:v>
      </x:c>
      <x:c r="G715" s="6">
        <x:v>0</x:v>
      </x:c>
      <x:c r="H715" s="6">
        <x:f t="shared" si="33"/>
        <x:v>0</x:v>
      </x:c>
      <x:c r="I715" s="6">
        <x:v>1365532.9000000011</x:v>
      </x:c>
      <x:c r="J715" s="6">
        <x:v>0</x:v>
      </x:c>
      <x:c r="K715" s="6">
        <x:f t="shared" si="34"/>
        <x:v>1365532.9000000011</x:v>
      </x:c>
      <x:c r="L715" s="6">
        <x:v>0</x:v>
      </x:c>
      <x:c r="M715" s="6">
        <x:v>0</x:v>
      </x:c>
      <x:c r="N715" s="6">
        <x:f t="shared" si="35"/>
        <x:v>1365532.9000000011</x:v>
      </x:c>
    </x:row>
    <x:row r="716" spans="1:14" x14ac:dyDescent="0.25">
      <x:c r="A716" t="s">
        <x:v>12</x:v>
      </x:c>
      <x:c r="B716" s="3" t="s">
        <x:v>148</x:v>
      </x:c>
      <x:c r="C716" s="3" t="s">
        <x:v>465</x:v>
      </x:c>
      <x:c r="D716" t="s">
        <x:v>677</x:v>
      </x:c>
      <x:c r="E716" s="6">
        <x:v>0</x:v>
      </x:c>
      <x:c r="F716" s="6">
        <x:v>0</x:v>
      </x:c>
      <x:c r="G716" s="6">
        <x:v>0</x:v>
      </x:c>
      <x:c r="H716" s="6">
        <x:f t="shared" si="33"/>
        <x:v>0</x:v>
      </x:c>
      <x:c r="I716" s="6">
        <x:v>1228277.8300000005</x:v>
      </x:c>
      <x:c r="J716" s="6">
        <x:v>0</x:v>
      </x:c>
      <x:c r="K716" s="6">
        <x:f t="shared" si="34"/>
        <x:v>1228277.8300000005</x:v>
      </x:c>
      <x:c r="L716" s="6">
        <x:v>0</x:v>
      </x:c>
      <x:c r="M716" s="6">
        <x:v>0</x:v>
      </x:c>
      <x:c r="N716" s="6">
        <x:f t="shared" si="35"/>
        <x:v>1228277.8300000005</x:v>
      </x:c>
    </x:row>
    <x:row r="717" spans="1:14" x14ac:dyDescent="0.25">
      <x:c r="A717" t="s">
        <x:v>12</x:v>
      </x:c>
      <x:c r="B717" s="3" t="s">
        <x:v>149</x:v>
      </x:c>
      <x:c r="C717" s="3" t="s">
        <x:v>466</x:v>
      </x:c>
      <x:c r="D717" t="s">
        <x:v>677</x:v>
      </x:c>
      <x:c r="E717" s="6">
        <x:v>0</x:v>
      </x:c>
      <x:c r="F717" s="6">
        <x:v>0</x:v>
      </x:c>
      <x:c r="G717" s="6">
        <x:v>0</x:v>
      </x:c>
      <x:c r="H717" s="6">
        <x:f t="shared" si="33"/>
        <x:v>0</x:v>
      </x:c>
      <x:c r="I717" s="6">
        <x:v>281278.3</x:v>
      </x:c>
      <x:c r="J717" s="6">
        <x:v>0</x:v>
      </x:c>
      <x:c r="K717" s="6">
        <x:f t="shared" si="34"/>
        <x:v>281278.3</x:v>
      </x:c>
      <x:c r="L717" s="6">
        <x:v>0</x:v>
      </x:c>
      <x:c r="M717" s="6">
        <x:v>0</x:v>
      </x:c>
      <x:c r="N717" s="6">
        <x:f t="shared" si="35"/>
        <x:v>281278.3</x:v>
      </x:c>
    </x:row>
    <x:row r="718" spans="1:14" x14ac:dyDescent="0.25">
      <x:c r="A718" t="s">
        <x:v>12</x:v>
      </x:c>
      <x:c r="B718" s="3" t="s">
        <x:v>150</x:v>
      </x:c>
      <x:c r="C718" s="3" t="s">
        <x:v>467</x:v>
      </x:c>
      <x:c r="D718" t="s">
        <x:v>677</x:v>
      </x:c>
      <x:c r="E718" s="6">
        <x:v>0</x:v>
      </x:c>
      <x:c r="F718" s="6">
        <x:v>0</x:v>
      </x:c>
      <x:c r="G718" s="6">
        <x:v>0</x:v>
      </x:c>
      <x:c r="H718" s="6">
        <x:f t="shared" ref="H718:H781" si="36">SUM(E718:G718)</x:f>
        <x:v>0</x:v>
      </x:c>
      <x:c r="I718" s="6">
        <x:v>599875.38000000012</x:v>
      </x:c>
      <x:c r="J718" s="6">
        <x:v>0</x:v>
      </x:c>
      <x:c r="K718" s="6">
        <x:f t="shared" ref="K718:K781" si="37">SUM(I718:J718)</x:f>
        <x:v>599875.38000000012</x:v>
      </x:c>
      <x:c r="L718" s="6">
        <x:v>0</x:v>
      </x:c>
      <x:c r="M718" s="6">
        <x:v>0</x:v>
      </x:c>
      <x:c r="N718" s="6">
        <x:f t="shared" ref="N718:N781" si="38">+E718+F718+G718+I718+J718+L718+M718</x:f>
        <x:v>599875.38000000012</x:v>
      </x:c>
    </x:row>
    <x:row r="719" spans="1:14" x14ac:dyDescent="0.25">
      <x:c r="A719" t="s">
        <x:v>12</x:v>
      </x:c>
      <x:c r="B719" s="3" t="s">
        <x:v>151</x:v>
      </x:c>
      <x:c r="C719" s="3" t="s">
        <x:v>468</x:v>
      </x:c>
      <x:c r="D719" t="s">
        <x:v>677</x:v>
      </x:c>
      <x:c r="E719" s="6">
        <x:v>0</x:v>
      </x:c>
      <x:c r="F719" s="6">
        <x:v>0</x:v>
      </x:c>
      <x:c r="G719" s="6">
        <x:v>0</x:v>
      </x:c>
      <x:c r="H719" s="6">
        <x:f t="shared" si="36"/>
        <x:v>0</x:v>
      </x:c>
      <x:c r="I719" s="6">
        <x:v>8240.51</x:v>
      </x:c>
      <x:c r="J719" s="6">
        <x:v>0</x:v>
      </x:c>
      <x:c r="K719" s="6">
        <x:f t="shared" si="37"/>
        <x:v>8240.51</x:v>
      </x:c>
      <x:c r="L719" s="6">
        <x:v>0</x:v>
      </x:c>
      <x:c r="M719" s="6">
        <x:v>0</x:v>
      </x:c>
      <x:c r="N719" s="6">
        <x:f t="shared" si="38"/>
        <x:v>8240.51</x:v>
      </x:c>
    </x:row>
    <x:row r="720" spans="1:14" x14ac:dyDescent="0.25">
      <x:c r="A720" t="s">
        <x:v>12</x:v>
      </x:c>
      <x:c r="B720" s="3" t="s">
        <x:v>152</x:v>
      </x:c>
      <x:c r="C720" s="3" t="s">
        <x:v>469</x:v>
      </x:c>
      <x:c r="D720" t="s">
        <x:v>677</x:v>
      </x:c>
      <x:c r="E720" s="6">
        <x:v>0</x:v>
      </x:c>
      <x:c r="F720" s="6">
        <x:v>0</x:v>
      </x:c>
      <x:c r="G720" s="6">
        <x:v>0</x:v>
      </x:c>
      <x:c r="H720" s="6">
        <x:f t="shared" si="36"/>
        <x:v>0</x:v>
      </x:c>
      <x:c r="I720" s="6">
        <x:v>93368.820000000051</x:v>
      </x:c>
      <x:c r="J720" s="6">
        <x:v>0</x:v>
      </x:c>
      <x:c r="K720" s="6">
        <x:f t="shared" si="37"/>
        <x:v>93368.820000000051</x:v>
      </x:c>
      <x:c r="L720" s="6">
        <x:v>0</x:v>
      </x:c>
      <x:c r="M720" s="6">
        <x:v>0</x:v>
      </x:c>
      <x:c r="N720" s="6">
        <x:f t="shared" si="38"/>
        <x:v>93368.820000000051</x:v>
      </x:c>
    </x:row>
    <x:row r="721" spans="1:14" x14ac:dyDescent="0.25">
      <x:c r="A721" t="s">
        <x:v>12</x:v>
      </x:c>
      <x:c r="B721" s="3" t="s">
        <x:v>153</x:v>
      </x:c>
      <x:c r="C721" s="3" t="s">
        <x:v>470</x:v>
      </x:c>
      <x:c r="D721" t="s">
        <x:v>677</x:v>
      </x:c>
      <x:c r="E721" s="6">
        <x:v>0</x:v>
      </x:c>
      <x:c r="F721" s="6">
        <x:v>0</x:v>
      </x:c>
      <x:c r="G721" s="6">
        <x:v>0</x:v>
      </x:c>
      <x:c r="H721" s="6">
        <x:f t="shared" si="36"/>
        <x:v>0</x:v>
      </x:c>
      <x:c r="I721" s="6">
        <x:v>1088822.4000000001</x:v>
      </x:c>
      <x:c r="J721" s="6">
        <x:v>0</x:v>
      </x:c>
      <x:c r="K721" s="6">
        <x:f t="shared" si="37"/>
        <x:v>1088822.4000000001</x:v>
      </x:c>
      <x:c r="L721" s="6">
        <x:v>0</x:v>
      </x:c>
      <x:c r="M721" s="6">
        <x:v>0</x:v>
      </x:c>
      <x:c r="N721" s="6">
        <x:f t="shared" si="38"/>
        <x:v>1088822.4000000001</x:v>
      </x:c>
    </x:row>
    <x:row r="722" spans="1:14" x14ac:dyDescent="0.25">
      <x:c r="A722" t="s">
        <x:v>12</x:v>
      </x:c>
      <x:c r="B722" s="3" t="s">
        <x:v>154</x:v>
      </x:c>
      <x:c r="C722" s="3" t="s">
        <x:v>471</x:v>
      </x:c>
      <x:c r="D722" t="s">
        <x:v>677</x:v>
      </x:c>
      <x:c r="E722" s="6">
        <x:v>0</x:v>
      </x:c>
      <x:c r="F722" s="6">
        <x:v>0</x:v>
      </x:c>
      <x:c r="G722" s="6">
        <x:v>0</x:v>
      </x:c>
      <x:c r="H722" s="6">
        <x:f t="shared" si="36"/>
        <x:v>0</x:v>
      </x:c>
      <x:c r="I722" s="6">
        <x:v>736689.94000000018</x:v>
      </x:c>
      <x:c r="J722" s="6">
        <x:v>0</x:v>
      </x:c>
      <x:c r="K722" s="6">
        <x:f t="shared" si="37"/>
        <x:v>736689.94000000018</x:v>
      </x:c>
      <x:c r="L722" s="6">
        <x:v>0</x:v>
      </x:c>
      <x:c r="M722" s="6">
        <x:v>0</x:v>
      </x:c>
      <x:c r="N722" s="6">
        <x:f t="shared" si="38"/>
        <x:v>736689.94000000018</x:v>
      </x:c>
    </x:row>
    <x:row r="723" spans="1:14" x14ac:dyDescent="0.25">
      <x:c r="A723" t="s">
        <x:v>12</x:v>
      </x:c>
      <x:c r="B723" s="3" t="s">
        <x:v>155</x:v>
      </x:c>
      <x:c r="C723" s="3" t="s">
        <x:v>472</x:v>
      </x:c>
      <x:c r="D723" t="s">
        <x:v>677</x:v>
      </x:c>
      <x:c r="E723" s="6">
        <x:v>0</x:v>
      </x:c>
      <x:c r="F723" s="6">
        <x:v>0</x:v>
      </x:c>
      <x:c r="G723" s="6">
        <x:v>0</x:v>
      </x:c>
      <x:c r="H723" s="6">
        <x:f t="shared" si="36"/>
        <x:v>0</x:v>
      </x:c>
      <x:c r="I723" s="6">
        <x:v>342149.05000000005</x:v>
      </x:c>
      <x:c r="J723" s="6">
        <x:v>0</x:v>
      </x:c>
      <x:c r="K723" s="6">
        <x:f t="shared" si="37"/>
        <x:v>342149.05000000005</x:v>
      </x:c>
      <x:c r="L723" s="6">
        <x:v>0</x:v>
      </x:c>
      <x:c r="M723" s="6">
        <x:v>0</x:v>
      </x:c>
      <x:c r="N723" s="6">
        <x:f t="shared" si="38"/>
        <x:v>342149.05000000005</x:v>
      </x:c>
    </x:row>
    <x:row r="724" spans="1:14" x14ac:dyDescent="0.25">
      <x:c r="A724" t="s">
        <x:v>12</x:v>
      </x:c>
      <x:c r="B724" s="3" t="s">
        <x:v>45</x:v>
      </x:c>
      <x:c r="C724" s="3" t="s">
        <x:v>362</x:v>
      </x:c>
      <x:c r="D724" t="s">
        <x:v>677</x:v>
      </x:c>
      <x:c r="E724" s="6">
        <x:v>0</x:v>
      </x:c>
      <x:c r="F724" s="6">
        <x:v>0</x:v>
      </x:c>
      <x:c r="G724" s="6">
        <x:v>0</x:v>
      </x:c>
      <x:c r="H724" s="6">
        <x:f t="shared" si="36"/>
        <x:v>0</x:v>
      </x:c>
      <x:c r="I724" s="6">
        <x:v>188.89</x:v>
      </x:c>
      <x:c r="J724" s="6">
        <x:v>0</x:v>
      </x:c>
      <x:c r="K724" s="6">
        <x:f t="shared" si="37"/>
        <x:v>188.89</x:v>
      </x:c>
      <x:c r="L724" s="6">
        <x:v>0</x:v>
      </x:c>
      <x:c r="M724" s="6">
        <x:v>0</x:v>
      </x:c>
      <x:c r="N724" s="6">
        <x:f t="shared" si="38"/>
        <x:v>188.89</x:v>
      </x:c>
    </x:row>
    <x:row r="725" spans="1:14" x14ac:dyDescent="0.25">
      <x:c r="A725" t="s">
        <x:v>12</x:v>
      </x:c>
      <x:c r="B725" s="3" t="s">
        <x:v>156</x:v>
      </x:c>
      <x:c r="C725" s="3" t="s">
        <x:v>473</x:v>
      </x:c>
      <x:c r="D725" t="s">
        <x:v>677</x:v>
      </x:c>
      <x:c r="E725" s="6">
        <x:v>0</x:v>
      </x:c>
      <x:c r="F725" s="6">
        <x:v>0</x:v>
      </x:c>
      <x:c r="G725" s="6">
        <x:v>0</x:v>
      </x:c>
      <x:c r="H725" s="6">
        <x:f t="shared" si="36"/>
        <x:v>0</x:v>
      </x:c>
      <x:c r="I725" s="6">
        <x:v>245541.47000000006</x:v>
      </x:c>
      <x:c r="J725" s="6">
        <x:v>0</x:v>
      </x:c>
      <x:c r="K725" s="6">
        <x:f t="shared" si="37"/>
        <x:v>245541.47000000006</x:v>
      </x:c>
      <x:c r="L725" s="6">
        <x:v>0</x:v>
      </x:c>
      <x:c r="M725" s="6">
        <x:v>0</x:v>
      </x:c>
      <x:c r="N725" s="6">
        <x:f t="shared" si="38"/>
        <x:v>245541.47000000006</x:v>
      </x:c>
    </x:row>
    <x:row r="726" spans="1:14" x14ac:dyDescent="0.25">
      <x:c r="A726" t="s">
        <x:v>12</x:v>
      </x:c>
      <x:c r="B726" s="3" t="s">
        <x:v>158</x:v>
      </x:c>
      <x:c r="C726" s="3" t="s">
        <x:v>475</x:v>
      </x:c>
      <x:c r="D726" t="s">
        <x:v>677</x:v>
      </x:c>
      <x:c r="E726" s="6">
        <x:v>0</x:v>
      </x:c>
      <x:c r="F726" s="6">
        <x:v>0</x:v>
      </x:c>
      <x:c r="G726" s="6">
        <x:v>0</x:v>
      </x:c>
      <x:c r="H726" s="6">
        <x:f t="shared" si="36"/>
        <x:v>0</x:v>
      </x:c>
      <x:c r="I726" s="6">
        <x:v>16562.47</x:v>
      </x:c>
      <x:c r="J726" s="6">
        <x:v>0</x:v>
      </x:c>
      <x:c r="K726" s="6">
        <x:f t="shared" si="37"/>
        <x:v>16562.47</x:v>
      </x:c>
      <x:c r="L726" s="6">
        <x:v>0</x:v>
      </x:c>
      <x:c r="M726" s="6">
        <x:v>0</x:v>
      </x:c>
      <x:c r="N726" s="6">
        <x:f t="shared" si="38"/>
        <x:v>16562.47</x:v>
      </x:c>
    </x:row>
    <x:row r="727" spans="1:14" x14ac:dyDescent="0.25">
      <x:c r="A727" t="s">
        <x:v>12</x:v>
      </x:c>
      <x:c r="B727" s="3" t="s">
        <x:v>162</x:v>
      </x:c>
      <x:c r="C727" s="3" t="s">
        <x:v>479</x:v>
      </x:c>
      <x:c r="D727" t="s">
        <x:v>677</x:v>
      </x:c>
      <x:c r="E727" s="6">
        <x:v>0</x:v>
      </x:c>
      <x:c r="F727" s="6">
        <x:v>0</x:v>
      </x:c>
      <x:c r="G727" s="6">
        <x:v>0</x:v>
      </x:c>
      <x:c r="H727" s="6">
        <x:f t="shared" si="36"/>
        <x:v>0</x:v>
      </x:c>
      <x:c r="I727" s="6">
        <x:v>761278.48999999987</x:v>
      </x:c>
      <x:c r="J727" s="6">
        <x:v>0</x:v>
      </x:c>
      <x:c r="K727" s="6">
        <x:f t="shared" si="37"/>
        <x:v>761278.48999999987</x:v>
      </x:c>
      <x:c r="L727" s="6">
        <x:v>0</x:v>
      </x:c>
      <x:c r="M727" s="6">
        <x:v>0</x:v>
      </x:c>
      <x:c r="N727" s="6">
        <x:f t="shared" si="38"/>
        <x:v>761278.48999999987</x:v>
      </x:c>
    </x:row>
    <x:row r="728" spans="1:14" x14ac:dyDescent="0.25">
      <x:c r="A728" t="s">
        <x:v>12</x:v>
      </x:c>
      <x:c r="B728" s="3" t="s">
        <x:v>163</x:v>
      </x:c>
      <x:c r="C728" s="3" t="s">
        <x:v>480</x:v>
      </x:c>
      <x:c r="D728" t="s">
        <x:v>677</x:v>
      </x:c>
      <x:c r="E728" s="6">
        <x:v>0</x:v>
      </x:c>
      <x:c r="F728" s="6">
        <x:v>0</x:v>
      </x:c>
      <x:c r="G728" s="6">
        <x:v>0</x:v>
      </x:c>
      <x:c r="H728" s="6">
        <x:f t="shared" si="36"/>
        <x:v>0</x:v>
      </x:c>
      <x:c r="I728" s="6">
        <x:v>1052922.0599999994</x:v>
      </x:c>
      <x:c r="J728" s="6">
        <x:v>0</x:v>
      </x:c>
      <x:c r="K728" s="6">
        <x:f t="shared" si="37"/>
        <x:v>1052922.0599999994</x:v>
      </x:c>
      <x:c r="L728" s="6">
        <x:v>0</x:v>
      </x:c>
      <x:c r="M728" s="6">
        <x:v>0</x:v>
      </x:c>
      <x:c r="N728" s="6">
        <x:f t="shared" si="38"/>
        <x:v>1052922.0599999994</x:v>
      </x:c>
    </x:row>
    <x:row r="729" spans="1:14" x14ac:dyDescent="0.25">
      <x:c r="A729" t="s">
        <x:v>12</x:v>
      </x:c>
      <x:c r="B729" s="3" t="s">
        <x:v>164</x:v>
      </x:c>
      <x:c r="C729" s="3" t="s">
        <x:v>481</x:v>
      </x:c>
      <x:c r="D729" t="s">
        <x:v>677</x:v>
      </x:c>
      <x:c r="E729" s="6">
        <x:v>0</x:v>
      </x:c>
      <x:c r="F729" s="6">
        <x:v>0</x:v>
      </x:c>
      <x:c r="G729" s="6">
        <x:v>0</x:v>
      </x:c>
      <x:c r="H729" s="6">
        <x:f t="shared" si="36"/>
        <x:v>0</x:v>
      </x:c>
      <x:c r="I729" s="6">
        <x:v>537377.80000000005</x:v>
      </x:c>
      <x:c r="J729" s="6">
        <x:v>0</x:v>
      </x:c>
      <x:c r="K729" s="6">
        <x:f t="shared" si="37"/>
        <x:v>537377.80000000005</x:v>
      </x:c>
      <x:c r="L729" s="6">
        <x:v>0</x:v>
      </x:c>
      <x:c r="M729" s="6">
        <x:v>0</x:v>
      </x:c>
      <x:c r="N729" s="6">
        <x:f t="shared" si="38"/>
        <x:v>537377.80000000005</x:v>
      </x:c>
    </x:row>
    <x:row r="730" spans="1:14" x14ac:dyDescent="0.25">
      <x:c r="A730" t="s">
        <x:v>12</x:v>
      </x:c>
      <x:c r="B730" s="3" t="s">
        <x:v>49</x:v>
      </x:c>
      <x:c r="C730" s="3" t="s">
        <x:v>366</x:v>
      </x:c>
      <x:c r="D730" t="s">
        <x:v>677</x:v>
      </x:c>
      <x:c r="E730" s="6">
        <x:v>0</x:v>
      </x:c>
      <x:c r="F730" s="6">
        <x:v>0</x:v>
      </x:c>
      <x:c r="G730" s="6">
        <x:v>0</x:v>
      </x:c>
      <x:c r="H730" s="6">
        <x:f t="shared" si="36"/>
        <x:v>0</x:v>
      </x:c>
      <x:c r="I730" s="6">
        <x:v>1407631.9000000001</x:v>
      </x:c>
      <x:c r="J730" s="6">
        <x:v>0</x:v>
      </x:c>
      <x:c r="K730" s="6">
        <x:f t="shared" si="37"/>
        <x:v>1407631.9000000001</x:v>
      </x:c>
      <x:c r="L730" s="6">
        <x:v>0</x:v>
      </x:c>
      <x:c r="M730" s="6">
        <x:v>0</x:v>
      </x:c>
      <x:c r="N730" s="6">
        <x:f t="shared" si="38"/>
        <x:v>1407631.9000000001</x:v>
      </x:c>
    </x:row>
    <x:row r="731" spans="1:14" x14ac:dyDescent="0.25">
      <x:c r="A731" t="s">
        <x:v>12</x:v>
      </x:c>
      <x:c r="B731" s="3" t="s">
        <x:v>165</x:v>
      </x:c>
      <x:c r="C731" s="3" t="s">
        <x:v>482</x:v>
      </x:c>
      <x:c r="D731" t="s">
        <x:v>677</x:v>
      </x:c>
      <x:c r="E731" s="6">
        <x:v>0</x:v>
      </x:c>
      <x:c r="F731" s="6">
        <x:v>0</x:v>
      </x:c>
      <x:c r="G731" s="6">
        <x:v>0</x:v>
      </x:c>
      <x:c r="H731" s="6">
        <x:f t="shared" si="36"/>
        <x:v>0</x:v>
      </x:c>
      <x:c r="I731" s="6">
        <x:v>308881.24000000005</x:v>
      </x:c>
      <x:c r="J731" s="6">
        <x:v>0</x:v>
      </x:c>
      <x:c r="K731" s="6">
        <x:f t="shared" si="37"/>
        <x:v>308881.24000000005</x:v>
      </x:c>
      <x:c r="L731" s="6">
        <x:v>0</x:v>
      </x:c>
      <x:c r="M731" s="6">
        <x:v>0</x:v>
      </x:c>
      <x:c r="N731" s="6">
        <x:f t="shared" si="38"/>
        <x:v>308881.24000000005</x:v>
      </x:c>
    </x:row>
    <x:row r="732" spans="1:14" x14ac:dyDescent="0.25">
      <x:c r="A732" t="s">
        <x:v>12</x:v>
      </x:c>
      <x:c r="B732" s="3" t="s">
        <x:v>233</x:v>
      </x:c>
      <x:c r="C732" s="3" t="s">
        <x:v>548</x:v>
      </x:c>
      <x:c r="D732" t="s">
        <x:v>677</x:v>
      </x:c>
      <x:c r="E732" s="6">
        <x:v>0</x:v>
      </x:c>
      <x:c r="F732" s="6">
        <x:v>0</x:v>
      </x:c>
      <x:c r="G732" s="6">
        <x:v>0</x:v>
      </x:c>
      <x:c r="H732" s="6">
        <x:f t="shared" si="36"/>
        <x:v>0</x:v>
      </x:c>
      <x:c r="I732" s="6">
        <x:v>6073.02</x:v>
      </x:c>
      <x:c r="J732" s="6">
        <x:v>0</x:v>
      </x:c>
      <x:c r="K732" s="6">
        <x:f t="shared" si="37"/>
        <x:v>6073.02</x:v>
      </x:c>
      <x:c r="L732" s="6">
        <x:v>0</x:v>
      </x:c>
      <x:c r="M732" s="6">
        <x:v>0</x:v>
      </x:c>
      <x:c r="N732" s="6">
        <x:f t="shared" si="38"/>
        <x:v>6073.02</x:v>
      </x:c>
    </x:row>
    <x:row r="733" spans="1:14" x14ac:dyDescent="0.25">
      <x:c r="A733" t="s">
        <x:v>12</x:v>
      </x:c>
      <x:c r="B733" s="3" t="s">
        <x:v>166</x:v>
      </x:c>
      <x:c r="C733" s="3" t="s">
        <x:v>483</x:v>
      </x:c>
      <x:c r="D733" t="s">
        <x:v>677</x:v>
      </x:c>
      <x:c r="E733" s="6">
        <x:v>0</x:v>
      </x:c>
      <x:c r="F733" s="6">
        <x:v>0</x:v>
      </x:c>
      <x:c r="G733" s="6">
        <x:v>0</x:v>
      </x:c>
      <x:c r="H733" s="6">
        <x:f t="shared" si="36"/>
        <x:v>0</x:v>
      </x:c>
      <x:c r="I733" s="6">
        <x:v>2063.25</x:v>
      </x:c>
      <x:c r="J733" s="6">
        <x:v>0</x:v>
      </x:c>
      <x:c r="K733" s="6">
        <x:f t="shared" si="37"/>
        <x:v>2063.25</x:v>
      </x:c>
      <x:c r="L733" s="6">
        <x:v>0</x:v>
      </x:c>
      <x:c r="M733" s="6">
        <x:v>0</x:v>
      </x:c>
      <x:c r="N733" s="6">
        <x:f t="shared" si="38"/>
        <x:v>2063.25</x:v>
      </x:c>
    </x:row>
    <x:row r="734" spans="1:14" x14ac:dyDescent="0.25">
      <x:c r="A734" t="s">
        <x:v>12</x:v>
      </x:c>
      <x:c r="B734" s="3" t="s">
        <x:v>167</x:v>
      </x:c>
      <x:c r="C734" s="3" t="s">
        <x:v>484</x:v>
      </x:c>
      <x:c r="D734" t="s">
        <x:v>677</x:v>
      </x:c>
      <x:c r="E734" s="6">
        <x:v>0</x:v>
      </x:c>
      <x:c r="F734" s="6">
        <x:v>0</x:v>
      </x:c>
      <x:c r="G734" s="6">
        <x:v>0</x:v>
      </x:c>
      <x:c r="H734" s="6">
        <x:f t="shared" si="36"/>
        <x:v>0</x:v>
      </x:c>
      <x:c r="I734" s="6">
        <x:v>120860.99</x:v>
      </x:c>
      <x:c r="J734" s="6">
        <x:v>0</x:v>
      </x:c>
      <x:c r="K734" s="6">
        <x:f t="shared" si="37"/>
        <x:v>120860.99</x:v>
      </x:c>
      <x:c r="L734" s="6">
        <x:v>0</x:v>
      </x:c>
      <x:c r="M734" s="6">
        <x:v>0</x:v>
      </x:c>
      <x:c r="N734" s="6">
        <x:f t="shared" si="38"/>
        <x:v>120860.99</x:v>
      </x:c>
    </x:row>
    <x:row r="735" spans="1:14" x14ac:dyDescent="0.25">
      <x:c r="A735" t="s">
        <x:v>12</x:v>
      </x:c>
      <x:c r="B735" s="3" t="s">
        <x:v>234</x:v>
      </x:c>
      <x:c r="C735" s="3" t="s">
        <x:v>549</x:v>
      </x:c>
      <x:c r="D735" t="s">
        <x:v>677</x:v>
      </x:c>
      <x:c r="E735" s="6">
        <x:v>0</x:v>
      </x:c>
      <x:c r="F735" s="6">
        <x:v>0</x:v>
      </x:c>
      <x:c r="G735" s="6">
        <x:v>0</x:v>
      </x:c>
      <x:c r="H735" s="6">
        <x:f t="shared" si="36"/>
        <x:v>0</x:v>
      </x:c>
      <x:c r="I735" s="6">
        <x:v>1736.18</x:v>
      </x:c>
      <x:c r="J735" s="6">
        <x:v>0</x:v>
      </x:c>
      <x:c r="K735" s="6">
        <x:f t="shared" si="37"/>
        <x:v>1736.18</x:v>
      </x:c>
      <x:c r="L735" s="6">
        <x:v>0</x:v>
      </x:c>
      <x:c r="M735" s="6">
        <x:v>0</x:v>
      </x:c>
      <x:c r="N735" s="6">
        <x:f t="shared" si="38"/>
        <x:v>1736.18</x:v>
      </x:c>
    </x:row>
    <x:row r="736" spans="1:14" x14ac:dyDescent="0.25">
      <x:c r="A736" t="s">
        <x:v>12</x:v>
      </x:c>
      <x:c r="B736" s="3" t="s">
        <x:v>169</x:v>
      </x:c>
      <x:c r="C736" s="3" t="s">
        <x:v>485</x:v>
      </x:c>
      <x:c r="D736" t="s">
        <x:v>677</x:v>
      </x:c>
      <x:c r="E736" s="6">
        <x:v>0</x:v>
      </x:c>
      <x:c r="F736" s="6">
        <x:v>0</x:v>
      </x:c>
      <x:c r="G736" s="6">
        <x:v>0</x:v>
      </x:c>
      <x:c r="H736" s="6">
        <x:f t="shared" si="36"/>
        <x:v>0</x:v>
      </x:c>
      <x:c r="I736" s="6">
        <x:v>1135.8500000000001</x:v>
      </x:c>
      <x:c r="J736" s="6">
        <x:v>0</x:v>
      </x:c>
      <x:c r="K736" s="6">
        <x:f t="shared" si="37"/>
        <x:v>1135.8500000000001</x:v>
      </x:c>
      <x:c r="L736" s="6">
        <x:v>0</x:v>
      </x:c>
      <x:c r="M736" s="6">
        <x:v>0</x:v>
      </x:c>
      <x:c r="N736" s="6">
        <x:f t="shared" si="38"/>
        <x:v>1135.8500000000001</x:v>
      </x:c>
    </x:row>
    <x:row r="737" spans="1:14" x14ac:dyDescent="0.25">
      <x:c r="A737" t="s">
        <x:v>12</x:v>
      </x:c>
      <x:c r="B737" s="3" t="s">
        <x:v>172</x:v>
      </x:c>
      <x:c r="C737" s="3" t="s">
        <x:v>488</x:v>
      </x:c>
      <x:c r="D737" t="s">
        <x:v>677</x:v>
      </x:c>
      <x:c r="E737" s="6">
        <x:v>0</x:v>
      </x:c>
      <x:c r="F737" s="6">
        <x:v>0</x:v>
      </x:c>
      <x:c r="G737" s="6">
        <x:v>0</x:v>
      </x:c>
      <x:c r="H737" s="6">
        <x:f t="shared" si="36"/>
        <x:v>0</x:v>
      </x:c>
      <x:c r="I737" s="6">
        <x:v>401205.70999999996</x:v>
      </x:c>
      <x:c r="J737" s="6">
        <x:v>0</x:v>
      </x:c>
      <x:c r="K737" s="6">
        <x:f t="shared" si="37"/>
        <x:v>401205.70999999996</x:v>
      </x:c>
      <x:c r="L737" s="6">
        <x:v>0</x:v>
      </x:c>
      <x:c r="M737" s="6">
        <x:v>0</x:v>
      </x:c>
      <x:c r="N737" s="6">
        <x:f t="shared" si="38"/>
        <x:v>401205.70999999996</x:v>
      </x:c>
    </x:row>
    <x:row r="738" spans="1:14" x14ac:dyDescent="0.25">
      <x:c r="A738" t="s">
        <x:v>12</x:v>
      </x:c>
      <x:c r="B738" s="3" t="s">
        <x:v>173</x:v>
      </x:c>
      <x:c r="C738" s="3" t="s">
        <x:v>489</x:v>
      </x:c>
      <x:c r="D738" t="s">
        <x:v>677</x:v>
      </x:c>
      <x:c r="E738" s="6">
        <x:v>0</x:v>
      </x:c>
      <x:c r="F738" s="6">
        <x:v>0</x:v>
      </x:c>
      <x:c r="G738" s="6">
        <x:v>0</x:v>
      </x:c>
      <x:c r="H738" s="6">
        <x:f t="shared" si="36"/>
        <x:v>0</x:v>
      </x:c>
      <x:c r="I738" s="6">
        <x:v>408695.09000000008</x:v>
      </x:c>
      <x:c r="J738" s="6">
        <x:v>0</x:v>
      </x:c>
      <x:c r="K738" s="6">
        <x:f t="shared" si="37"/>
        <x:v>408695.09000000008</x:v>
      </x:c>
      <x:c r="L738" s="6">
        <x:v>0</x:v>
      </x:c>
      <x:c r="M738" s="6">
        <x:v>0</x:v>
      </x:c>
      <x:c r="N738" s="6">
        <x:f t="shared" si="38"/>
        <x:v>408695.09000000008</x:v>
      </x:c>
    </x:row>
    <x:row r="739" spans="1:14" x14ac:dyDescent="0.25">
      <x:c r="A739" t="s">
        <x:v>12</x:v>
      </x:c>
      <x:c r="B739" s="3" t="s">
        <x:v>174</x:v>
      </x:c>
      <x:c r="C739" s="3" t="s">
        <x:v>490</x:v>
      </x:c>
      <x:c r="D739" t="s">
        <x:v>677</x:v>
      </x:c>
      <x:c r="E739" s="6">
        <x:v>0</x:v>
      </x:c>
      <x:c r="F739" s="6">
        <x:v>0</x:v>
      </x:c>
      <x:c r="G739" s="6">
        <x:v>0</x:v>
      </x:c>
      <x:c r="H739" s="6">
        <x:f t="shared" si="36"/>
        <x:v>0</x:v>
      </x:c>
      <x:c r="I739" s="6">
        <x:v>327564.53000000014</x:v>
      </x:c>
      <x:c r="J739" s="6">
        <x:v>0</x:v>
      </x:c>
      <x:c r="K739" s="6">
        <x:f t="shared" si="37"/>
        <x:v>327564.53000000014</x:v>
      </x:c>
      <x:c r="L739" s="6">
        <x:v>0</x:v>
      </x:c>
      <x:c r="M739" s="6">
        <x:v>0</x:v>
      </x:c>
      <x:c r="N739" s="6">
        <x:f t="shared" si="38"/>
        <x:v>327564.53000000014</x:v>
      </x:c>
    </x:row>
    <x:row r="740" spans="1:14" x14ac:dyDescent="0.25">
      <x:c r="A740" t="s">
        <x:v>12</x:v>
      </x:c>
      <x:c r="B740" s="3" t="s">
        <x:v>61</x:v>
      </x:c>
      <x:c r="C740" s="3" t="s">
        <x:v>378</x:v>
      </x:c>
      <x:c r="D740" t="s">
        <x:v>676</x:v>
      </x:c>
      <x:c r="E740" s="6">
        <x:v>0</x:v>
      </x:c>
      <x:c r="F740" s="6">
        <x:v>0</x:v>
      </x:c>
      <x:c r="G740" s="6">
        <x:v>0</x:v>
      </x:c>
      <x:c r="H740" s="6">
        <x:f t="shared" si="36"/>
        <x:v>0</x:v>
      </x:c>
      <x:c r="I740" s="6">
        <x:v>0</x:v>
      </x:c>
      <x:c r="J740" s="6">
        <x:v>0</x:v>
      </x:c>
      <x:c r="K740" s="6">
        <x:f t="shared" si="37"/>
        <x:v>0</x:v>
      </x:c>
      <x:c r="L740" s="6">
        <x:v>527.04999999999995</x:v>
      </x:c>
      <x:c r="M740" s="6">
        <x:v>0</x:v>
      </x:c>
      <x:c r="N740" s="6">
        <x:f t="shared" si="38"/>
        <x:v>527.04999999999995</x:v>
      </x:c>
    </x:row>
    <x:row r="741" spans="1:14" x14ac:dyDescent="0.25">
      <x:c r="A741" t="s">
        <x:v>12</x:v>
      </x:c>
      <x:c r="B741" s="3" t="s">
        <x:v>176</x:v>
      </x:c>
      <x:c r="C741" s="3" t="s">
        <x:v>492</x:v>
      </x:c>
      <x:c r="D741" t="s">
        <x:v>677</x:v>
      </x:c>
      <x:c r="E741" s="6">
        <x:v>0</x:v>
      </x:c>
      <x:c r="F741" s="6">
        <x:v>0</x:v>
      </x:c>
      <x:c r="G741" s="6">
        <x:v>0</x:v>
      </x:c>
      <x:c r="H741" s="6">
        <x:f t="shared" si="36"/>
        <x:v>0</x:v>
      </x:c>
      <x:c r="I741" s="6">
        <x:v>1832537.71</x:v>
      </x:c>
      <x:c r="J741" s="6">
        <x:v>0</x:v>
      </x:c>
      <x:c r="K741" s="6">
        <x:f t="shared" si="37"/>
        <x:v>1832537.71</x:v>
      </x:c>
      <x:c r="L741" s="6">
        <x:v>0</x:v>
      </x:c>
      <x:c r="M741" s="6">
        <x:v>0</x:v>
      </x:c>
      <x:c r="N741" s="6">
        <x:f t="shared" si="38"/>
        <x:v>1832537.71</x:v>
      </x:c>
    </x:row>
    <x:row r="742" spans="1:14" x14ac:dyDescent="0.25">
      <x:c r="A742" t="s">
        <x:v>12</x:v>
      </x:c>
      <x:c r="B742" s="3" t="s">
        <x:v>177</x:v>
      </x:c>
      <x:c r="C742" s="3" t="s">
        <x:v>493</x:v>
      </x:c>
      <x:c r="D742" t="s">
        <x:v>677</x:v>
      </x:c>
      <x:c r="E742" s="6">
        <x:v>0</x:v>
      </x:c>
      <x:c r="F742" s="6">
        <x:v>0</x:v>
      </x:c>
      <x:c r="G742" s="6">
        <x:v>0</x:v>
      </x:c>
      <x:c r="H742" s="6">
        <x:f t="shared" si="36"/>
        <x:v>0</x:v>
      </x:c>
      <x:c r="I742" s="6">
        <x:v>287293.07999999996</x:v>
      </x:c>
      <x:c r="J742" s="6">
        <x:v>0</x:v>
      </x:c>
      <x:c r="K742" s="6">
        <x:f t="shared" si="37"/>
        <x:v>287293.07999999996</x:v>
      </x:c>
      <x:c r="L742" s="6">
        <x:v>0</x:v>
      </x:c>
      <x:c r="M742" s="6">
        <x:v>0</x:v>
      </x:c>
      <x:c r="N742" s="6">
        <x:f t="shared" si="38"/>
        <x:v>287293.07999999996</x:v>
      </x:c>
    </x:row>
    <x:row r="743" spans="1:14" x14ac:dyDescent="0.25">
      <x:c r="A743" t="s">
        <x:v>12</x:v>
      </x:c>
      <x:c r="B743" s="3" t="s">
        <x:v>178</x:v>
      </x:c>
      <x:c r="C743" s="3" t="s">
        <x:v>494</x:v>
      </x:c>
      <x:c r="D743" t="s">
        <x:v>677</x:v>
      </x:c>
      <x:c r="E743" s="6">
        <x:v>0</x:v>
      </x:c>
      <x:c r="F743" s="6">
        <x:v>0</x:v>
      </x:c>
      <x:c r="G743" s="6">
        <x:v>0</x:v>
      </x:c>
      <x:c r="H743" s="6">
        <x:f t="shared" si="36"/>
        <x:v>0</x:v>
      </x:c>
      <x:c r="I743" s="6">
        <x:v>462141.81999999995</x:v>
      </x:c>
      <x:c r="J743" s="6">
        <x:v>0</x:v>
      </x:c>
      <x:c r="K743" s="6">
        <x:f t="shared" si="37"/>
        <x:v>462141.81999999995</x:v>
      </x:c>
      <x:c r="L743" s="6">
        <x:v>0</x:v>
      </x:c>
      <x:c r="M743" s="6">
        <x:v>0</x:v>
      </x:c>
      <x:c r="N743" s="6">
        <x:f t="shared" si="38"/>
        <x:v>462141.81999999995</x:v>
      </x:c>
    </x:row>
    <x:row r="744" spans="1:14" x14ac:dyDescent="0.25">
      <x:c r="A744" t="s">
        <x:v>12</x:v>
      </x:c>
      <x:c r="B744" s="3" t="s">
        <x:v>179</x:v>
      </x:c>
      <x:c r="C744" s="3" t="s">
        <x:v>495</x:v>
      </x:c>
      <x:c r="D744" t="s">
        <x:v>677</x:v>
      </x:c>
      <x:c r="E744" s="6">
        <x:v>0</x:v>
      </x:c>
      <x:c r="F744" s="6">
        <x:v>0</x:v>
      </x:c>
      <x:c r="G744" s="6">
        <x:v>0</x:v>
      </x:c>
      <x:c r="H744" s="6">
        <x:f t="shared" si="36"/>
        <x:v>0</x:v>
      </x:c>
      <x:c r="I744" s="6">
        <x:v>1532582.1199999989</x:v>
      </x:c>
      <x:c r="J744" s="6">
        <x:v>0</x:v>
      </x:c>
      <x:c r="K744" s="6">
        <x:f t="shared" si="37"/>
        <x:v>1532582.1199999989</x:v>
      </x:c>
      <x:c r="L744" s="6">
        <x:v>0</x:v>
      </x:c>
      <x:c r="M744" s="6">
        <x:v>0</x:v>
      </x:c>
      <x:c r="N744" s="6">
        <x:f t="shared" si="38"/>
        <x:v>1532582.1199999989</x:v>
      </x:c>
    </x:row>
    <x:row r="745" spans="1:14" x14ac:dyDescent="0.25">
      <x:c r="A745" t="s">
        <x:v>12</x:v>
      </x:c>
      <x:c r="B745" s="3" t="s">
        <x:v>180</x:v>
      </x:c>
      <x:c r="C745" s="3" t="s">
        <x:v>496</x:v>
      </x:c>
      <x:c r="D745" t="s">
        <x:v>677</x:v>
      </x:c>
      <x:c r="E745" s="6">
        <x:v>0</x:v>
      </x:c>
      <x:c r="F745" s="6">
        <x:v>0</x:v>
      </x:c>
      <x:c r="G745" s="6">
        <x:v>0</x:v>
      </x:c>
      <x:c r="H745" s="6">
        <x:f t="shared" si="36"/>
        <x:v>0</x:v>
      </x:c>
      <x:c r="I745" s="6">
        <x:v>824985.4800000001</x:v>
      </x:c>
      <x:c r="J745" s="6">
        <x:v>0</x:v>
      </x:c>
      <x:c r="K745" s="6">
        <x:f t="shared" si="37"/>
        <x:v>824985.4800000001</x:v>
      </x:c>
      <x:c r="L745" s="6">
        <x:v>0</x:v>
      </x:c>
      <x:c r="M745" s="6">
        <x:v>0</x:v>
      </x:c>
      <x:c r="N745" s="6">
        <x:f t="shared" si="38"/>
        <x:v>824985.4800000001</x:v>
      </x:c>
    </x:row>
    <x:row r="746" spans="1:14" x14ac:dyDescent="0.25">
      <x:c r="A746" t="s">
        <x:v>12</x:v>
      </x:c>
      <x:c r="B746" s="3" t="s">
        <x:v>181</x:v>
      </x:c>
      <x:c r="C746" s="3" t="s">
        <x:v>497</x:v>
      </x:c>
      <x:c r="D746" t="s">
        <x:v>677</x:v>
      </x:c>
      <x:c r="E746" s="6">
        <x:v>0</x:v>
      </x:c>
      <x:c r="F746" s="6">
        <x:v>0</x:v>
      </x:c>
      <x:c r="G746" s="6">
        <x:v>0</x:v>
      </x:c>
      <x:c r="H746" s="6">
        <x:f t="shared" si="36"/>
        <x:v>0</x:v>
      </x:c>
      <x:c r="I746" s="6">
        <x:v>457753.94</x:v>
      </x:c>
      <x:c r="J746" s="6">
        <x:v>0</x:v>
      </x:c>
      <x:c r="K746" s="6">
        <x:f t="shared" si="37"/>
        <x:v>457753.94</x:v>
      </x:c>
      <x:c r="L746" s="6">
        <x:v>0</x:v>
      </x:c>
      <x:c r="M746" s="6">
        <x:v>0</x:v>
      </x:c>
      <x:c r="N746" s="6">
        <x:f t="shared" si="38"/>
        <x:v>457753.94</x:v>
      </x:c>
    </x:row>
    <x:row r="747" spans="1:14" x14ac:dyDescent="0.25">
      <x:c r="A747" t="s">
        <x:v>12</x:v>
      </x:c>
      <x:c r="B747" s="3" t="s">
        <x:v>182</x:v>
      </x:c>
      <x:c r="C747" s="3" t="s">
        <x:v>498</x:v>
      </x:c>
      <x:c r="D747" t="s">
        <x:v>677</x:v>
      </x:c>
      <x:c r="E747" s="6">
        <x:v>0</x:v>
      </x:c>
      <x:c r="F747" s="6">
        <x:v>0</x:v>
      </x:c>
      <x:c r="G747" s="6">
        <x:v>0</x:v>
      </x:c>
      <x:c r="H747" s="6">
        <x:f t="shared" si="36"/>
        <x:v>0</x:v>
      </x:c>
      <x:c r="I747" s="6">
        <x:v>620.28</x:v>
      </x:c>
      <x:c r="J747" s="6">
        <x:v>0</x:v>
      </x:c>
      <x:c r="K747" s="6">
        <x:f t="shared" si="37"/>
        <x:v>620.28</x:v>
      </x:c>
      <x:c r="L747" s="6">
        <x:v>0</x:v>
      </x:c>
      <x:c r="M747" s="6">
        <x:v>0</x:v>
      </x:c>
      <x:c r="N747" s="6">
        <x:f t="shared" si="38"/>
        <x:v>620.28</x:v>
      </x:c>
    </x:row>
    <x:row r="748" spans="1:14" x14ac:dyDescent="0.25">
      <x:c r="A748" t="s">
        <x:v>12</x:v>
      </x:c>
      <x:c r="B748" s="3" t="s">
        <x:v>235</x:v>
      </x:c>
      <x:c r="C748" s="3" t="s">
        <x:v>550</x:v>
      </x:c>
      <x:c r="D748" t="s">
        <x:v>677</x:v>
      </x:c>
      <x:c r="E748" s="6">
        <x:v>0</x:v>
      </x:c>
      <x:c r="F748" s="6">
        <x:v>0</x:v>
      </x:c>
      <x:c r="G748" s="6">
        <x:v>0</x:v>
      </x:c>
      <x:c r="H748" s="6">
        <x:f t="shared" si="36"/>
        <x:v>0</x:v>
      </x:c>
      <x:c r="I748" s="6">
        <x:v>211298.68999999997</x:v>
      </x:c>
      <x:c r="J748" s="6">
        <x:v>0</x:v>
      </x:c>
      <x:c r="K748" s="6">
        <x:f t="shared" si="37"/>
        <x:v>211298.68999999997</x:v>
      </x:c>
      <x:c r="L748" s="6">
        <x:v>0</x:v>
      </x:c>
      <x:c r="M748" s="6">
        <x:v>0</x:v>
      </x:c>
      <x:c r="N748" s="6">
        <x:f t="shared" si="38"/>
        <x:v>211298.68999999997</x:v>
      </x:c>
    </x:row>
    <x:row r="749" spans="1:14" x14ac:dyDescent="0.25">
      <x:c r="A749" t="s">
        <x:v>12</x:v>
      </x:c>
      <x:c r="B749" s="3" t="s">
        <x:v>183</x:v>
      </x:c>
      <x:c r="C749" s="3" t="s">
        <x:v>499</x:v>
      </x:c>
      <x:c r="D749" t="s">
        <x:v>677</x:v>
      </x:c>
      <x:c r="E749" s="6">
        <x:v>0</x:v>
      </x:c>
      <x:c r="F749" s="6">
        <x:v>0</x:v>
      </x:c>
      <x:c r="G749" s="6">
        <x:v>0</x:v>
      </x:c>
      <x:c r="H749" s="6">
        <x:f t="shared" si="36"/>
        <x:v>0</x:v>
      </x:c>
      <x:c r="I749" s="6">
        <x:v>718646.82</x:v>
      </x:c>
      <x:c r="J749" s="6">
        <x:v>0</x:v>
      </x:c>
      <x:c r="K749" s="6">
        <x:f t="shared" si="37"/>
        <x:v>718646.82</x:v>
      </x:c>
      <x:c r="L749" s="6">
        <x:v>0</x:v>
      </x:c>
      <x:c r="M749" s="6">
        <x:v>0</x:v>
      </x:c>
      <x:c r="N749" s="6">
        <x:f t="shared" si="38"/>
        <x:v>718646.82</x:v>
      </x:c>
    </x:row>
    <x:row r="750" spans="1:14" x14ac:dyDescent="0.25">
      <x:c r="A750" t="s">
        <x:v>12</x:v>
      </x:c>
      <x:c r="B750" s="3" t="s">
        <x:v>184</x:v>
      </x:c>
      <x:c r="C750" s="3" t="s">
        <x:v>500</x:v>
      </x:c>
      <x:c r="D750" t="s">
        <x:v>677</x:v>
      </x:c>
      <x:c r="E750" s="6">
        <x:v>0</x:v>
      </x:c>
      <x:c r="F750" s="6">
        <x:v>0</x:v>
      </x:c>
      <x:c r="G750" s="6">
        <x:v>0</x:v>
      </x:c>
      <x:c r="H750" s="6">
        <x:f t="shared" si="36"/>
        <x:v>0</x:v>
      </x:c>
      <x:c r="I750" s="6">
        <x:v>498015.60999999993</x:v>
      </x:c>
      <x:c r="J750" s="6">
        <x:v>0</x:v>
      </x:c>
      <x:c r="K750" s="6">
        <x:f t="shared" si="37"/>
        <x:v>498015.60999999993</x:v>
      </x:c>
      <x:c r="L750" s="6">
        <x:v>0</x:v>
      </x:c>
      <x:c r="M750" s="6">
        <x:v>0</x:v>
      </x:c>
      <x:c r="N750" s="6">
        <x:f t="shared" si="38"/>
        <x:v>498015.60999999993</x:v>
      </x:c>
    </x:row>
    <x:row r="751" spans="1:14" x14ac:dyDescent="0.25">
      <x:c r="A751" t="s">
        <x:v>12</x:v>
      </x:c>
      <x:c r="B751" s="3" t="s">
        <x:v>186</x:v>
      </x:c>
      <x:c r="C751" s="3" t="s">
        <x:v>502</x:v>
      </x:c>
      <x:c r="D751" t="s">
        <x:v>677</x:v>
      </x:c>
      <x:c r="E751" s="6">
        <x:v>0</x:v>
      </x:c>
      <x:c r="F751" s="6">
        <x:v>0</x:v>
      </x:c>
      <x:c r="G751" s="6">
        <x:v>0</x:v>
      </x:c>
      <x:c r="H751" s="6">
        <x:f t="shared" si="36"/>
        <x:v>0</x:v>
      </x:c>
      <x:c r="I751" s="6">
        <x:v>1556437.65</x:v>
      </x:c>
      <x:c r="J751" s="6">
        <x:v>0</x:v>
      </x:c>
      <x:c r="K751" s="6">
        <x:f t="shared" si="37"/>
        <x:v>1556437.65</x:v>
      </x:c>
      <x:c r="L751" s="6">
        <x:v>0</x:v>
      </x:c>
      <x:c r="M751" s="6">
        <x:v>0</x:v>
      </x:c>
      <x:c r="N751" s="6">
        <x:f t="shared" si="38"/>
        <x:v>1556437.65</x:v>
      </x:c>
    </x:row>
    <x:row r="752" spans="1:14" x14ac:dyDescent="0.25">
      <x:c r="A752" t="s">
        <x:v>12</x:v>
      </x:c>
      <x:c r="B752" s="3" t="s">
        <x:v>187</x:v>
      </x:c>
      <x:c r="C752" s="3" t="s">
        <x:v>503</x:v>
      </x:c>
      <x:c r="D752" t="s">
        <x:v>677</x:v>
      </x:c>
      <x:c r="E752" s="6">
        <x:v>0</x:v>
      </x:c>
      <x:c r="F752" s="6">
        <x:v>0</x:v>
      </x:c>
      <x:c r="G752" s="6">
        <x:v>0</x:v>
      </x:c>
      <x:c r="H752" s="6">
        <x:f t="shared" si="36"/>
        <x:v>0</x:v>
      </x:c>
      <x:c r="I752" s="6">
        <x:v>224369.59000000003</x:v>
      </x:c>
      <x:c r="J752" s="6">
        <x:v>0</x:v>
      </x:c>
      <x:c r="K752" s="6">
        <x:f t="shared" si="37"/>
        <x:v>224369.59000000003</x:v>
      </x:c>
      <x:c r="L752" s="6">
        <x:v>0</x:v>
      </x:c>
      <x:c r="M752" s="6">
        <x:v>0</x:v>
      </x:c>
      <x:c r="N752" s="6">
        <x:f t="shared" si="38"/>
        <x:v>224369.59000000003</x:v>
      </x:c>
    </x:row>
    <x:row r="753" spans="1:14" x14ac:dyDescent="0.25">
      <x:c r="A753" t="s">
        <x:v>12</x:v>
      </x:c>
      <x:c r="B753" s="3" t="s">
        <x:v>188</x:v>
      </x:c>
      <x:c r="C753" s="3" t="s">
        <x:v>504</x:v>
      </x:c>
      <x:c r="D753" t="s">
        <x:v>677</x:v>
      </x:c>
      <x:c r="E753" s="6">
        <x:v>0</x:v>
      </x:c>
      <x:c r="F753" s="6">
        <x:v>0</x:v>
      </x:c>
      <x:c r="G753" s="6">
        <x:v>0</x:v>
      </x:c>
      <x:c r="H753" s="6">
        <x:f t="shared" si="36"/>
        <x:v>0</x:v>
      </x:c>
      <x:c r="I753" s="6">
        <x:v>818894.81999999972</x:v>
      </x:c>
      <x:c r="J753" s="6">
        <x:v>0</x:v>
      </x:c>
      <x:c r="K753" s="6">
        <x:f t="shared" si="37"/>
        <x:v>818894.81999999972</x:v>
      </x:c>
      <x:c r="L753" s="6">
        <x:v>0</x:v>
      </x:c>
      <x:c r="M753" s="6">
        <x:v>0</x:v>
      </x:c>
      <x:c r="N753" s="6">
        <x:f t="shared" si="38"/>
        <x:v>818894.81999999972</x:v>
      </x:c>
    </x:row>
    <x:row r="754" spans="1:14" x14ac:dyDescent="0.25">
      <x:c r="A754" t="s">
        <x:v>12</x:v>
      </x:c>
      <x:c r="B754" s="3" t="s">
        <x:v>189</x:v>
      </x:c>
      <x:c r="C754" s="3" t="s">
        <x:v>505</x:v>
      </x:c>
      <x:c r="D754" t="s">
        <x:v>677</x:v>
      </x:c>
      <x:c r="E754" s="6">
        <x:v>0</x:v>
      </x:c>
      <x:c r="F754" s="6">
        <x:v>0</x:v>
      </x:c>
      <x:c r="G754" s="6">
        <x:v>0</x:v>
      </x:c>
      <x:c r="H754" s="6">
        <x:f t="shared" si="36"/>
        <x:v>0</x:v>
      </x:c>
      <x:c r="I754" s="6">
        <x:v>521995.26999999979</x:v>
      </x:c>
      <x:c r="J754" s="6">
        <x:v>0</x:v>
      </x:c>
      <x:c r="K754" s="6">
        <x:f t="shared" si="37"/>
        <x:v>521995.26999999979</x:v>
      </x:c>
      <x:c r="L754" s="6">
        <x:v>0</x:v>
      </x:c>
      <x:c r="M754" s="6">
        <x:v>0</x:v>
      </x:c>
      <x:c r="N754" s="6">
        <x:f t="shared" si="38"/>
        <x:v>521995.26999999979</x:v>
      </x:c>
    </x:row>
    <x:row r="755" spans="1:14" x14ac:dyDescent="0.25">
      <x:c r="A755" t="s">
        <x:v>12</x:v>
      </x:c>
      <x:c r="B755" s="3" t="s">
        <x:v>236</x:v>
      </x:c>
      <x:c r="C755" s="3" t="s">
        <x:v>551</x:v>
      </x:c>
      <x:c r="D755" t="s">
        <x:v>677</x:v>
      </x:c>
      <x:c r="E755" s="6">
        <x:v>0</x:v>
      </x:c>
      <x:c r="F755" s="6">
        <x:v>0</x:v>
      </x:c>
      <x:c r="G755" s="6">
        <x:v>0</x:v>
      </x:c>
      <x:c r="H755" s="6">
        <x:f t="shared" si="36"/>
        <x:v>0</x:v>
      </x:c>
      <x:c r="I755" s="6">
        <x:v>119250.88999999998</x:v>
      </x:c>
      <x:c r="J755" s="6">
        <x:v>0</x:v>
      </x:c>
      <x:c r="K755" s="6">
        <x:f t="shared" si="37"/>
        <x:v>119250.88999999998</x:v>
      </x:c>
      <x:c r="L755" s="6">
        <x:v>0</x:v>
      </x:c>
      <x:c r="M755" s="6">
        <x:v>0</x:v>
      </x:c>
      <x:c r="N755" s="6">
        <x:f t="shared" si="38"/>
        <x:v>119250.88999999998</x:v>
      </x:c>
    </x:row>
    <x:row r="756" spans="1:14" x14ac:dyDescent="0.25">
      <x:c r="A756" t="s">
        <x:v>12</x:v>
      </x:c>
      <x:c r="B756" s="3" t="s">
        <x:v>190</x:v>
      </x:c>
      <x:c r="C756" s="3" t="s">
        <x:v>506</x:v>
      </x:c>
      <x:c r="D756" t="s">
        <x:v>677</x:v>
      </x:c>
      <x:c r="E756" s="6">
        <x:v>0</x:v>
      </x:c>
      <x:c r="F756" s="6">
        <x:v>0</x:v>
      </x:c>
      <x:c r="G756" s="6">
        <x:v>0</x:v>
      </x:c>
      <x:c r="H756" s="6">
        <x:f t="shared" si="36"/>
        <x:v>0</x:v>
      </x:c>
      <x:c r="I756" s="6">
        <x:v>6135.72</x:v>
      </x:c>
      <x:c r="J756" s="6">
        <x:v>0</x:v>
      </x:c>
      <x:c r="K756" s="6">
        <x:f t="shared" si="37"/>
        <x:v>6135.72</x:v>
      </x:c>
      <x:c r="L756" s="6">
        <x:v>0</x:v>
      </x:c>
      <x:c r="M756" s="6">
        <x:v>0</x:v>
      </x:c>
      <x:c r="N756" s="6">
        <x:f t="shared" si="38"/>
        <x:v>6135.72</x:v>
      </x:c>
    </x:row>
    <x:row r="757" spans="1:14" x14ac:dyDescent="0.25">
      <x:c r="A757" t="s">
        <x:v>12</x:v>
      </x:c>
      <x:c r="B757" s="3" t="s">
        <x:v>192</x:v>
      </x:c>
      <x:c r="C757" s="3" t="s">
        <x:v>508</x:v>
      </x:c>
      <x:c r="D757" t="s">
        <x:v>677</x:v>
      </x:c>
      <x:c r="E757" s="6">
        <x:v>0</x:v>
      </x:c>
      <x:c r="F757" s="6">
        <x:v>0</x:v>
      </x:c>
      <x:c r="G757" s="6">
        <x:v>0</x:v>
      </x:c>
      <x:c r="H757" s="6">
        <x:f t="shared" si="36"/>
        <x:v>0</x:v>
      </x:c>
      <x:c r="I757" s="6">
        <x:v>25.32</x:v>
      </x:c>
      <x:c r="J757" s="6">
        <x:v>0</x:v>
      </x:c>
      <x:c r="K757" s="6">
        <x:f t="shared" si="37"/>
        <x:v>25.32</x:v>
      </x:c>
      <x:c r="L757" s="6">
        <x:v>0</x:v>
      </x:c>
      <x:c r="M757" s="6">
        <x:v>0</x:v>
      </x:c>
      <x:c r="N757" s="6">
        <x:f t="shared" si="38"/>
        <x:v>25.32</x:v>
      </x:c>
    </x:row>
    <x:row r="758" spans="1:14" x14ac:dyDescent="0.25">
      <x:c r="A758" t="s">
        <x:v>12</x:v>
      </x:c>
      <x:c r="B758" s="3" t="s">
        <x:v>193</x:v>
      </x:c>
      <x:c r="C758" s="3" t="s">
        <x:v>509</x:v>
      </x:c>
      <x:c r="D758" t="s">
        <x:v>677</x:v>
      </x:c>
      <x:c r="E758" s="6">
        <x:v>0</x:v>
      </x:c>
      <x:c r="F758" s="6">
        <x:v>0</x:v>
      </x:c>
      <x:c r="G758" s="6">
        <x:v>0</x:v>
      </x:c>
      <x:c r="H758" s="6">
        <x:f t="shared" si="36"/>
        <x:v>0</x:v>
      </x:c>
      <x:c r="I758" s="6">
        <x:v>1834702.2500000002</x:v>
      </x:c>
      <x:c r="J758" s="6">
        <x:v>0</x:v>
      </x:c>
      <x:c r="K758" s="6">
        <x:f t="shared" si="37"/>
        <x:v>1834702.2500000002</x:v>
      </x:c>
      <x:c r="L758" s="6">
        <x:v>0</x:v>
      </x:c>
      <x:c r="M758" s="6">
        <x:v>0</x:v>
      </x:c>
      <x:c r="N758" s="6">
        <x:f t="shared" si="38"/>
        <x:v>1834702.2500000002</x:v>
      </x:c>
    </x:row>
    <x:row r="759" spans="1:14" x14ac:dyDescent="0.25">
      <x:c r="A759" t="s">
        <x:v>12</x:v>
      </x:c>
      <x:c r="B759" s="3" t="s">
        <x:v>194</x:v>
      </x:c>
      <x:c r="C759" s="3" t="s">
        <x:v>510</x:v>
      </x:c>
      <x:c r="D759" t="s">
        <x:v>677</x:v>
      </x:c>
      <x:c r="E759" s="6">
        <x:v>0</x:v>
      </x:c>
      <x:c r="F759" s="6">
        <x:v>0</x:v>
      </x:c>
      <x:c r="G759" s="6">
        <x:v>0</x:v>
      </x:c>
      <x:c r="H759" s="6">
        <x:f t="shared" si="36"/>
        <x:v>0</x:v>
      </x:c>
      <x:c r="I759" s="6">
        <x:v>128650.74000000003</x:v>
      </x:c>
      <x:c r="J759" s="6">
        <x:v>0</x:v>
      </x:c>
      <x:c r="K759" s="6">
        <x:f t="shared" si="37"/>
        <x:v>128650.74000000003</x:v>
      </x:c>
      <x:c r="L759" s="6">
        <x:v>0</x:v>
      </x:c>
      <x:c r="M759" s="6">
        <x:v>0</x:v>
      </x:c>
      <x:c r="N759" s="6">
        <x:f t="shared" si="38"/>
        <x:v>128650.74000000003</x:v>
      </x:c>
    </x:row>
    <x:row r="760" spans="1:14" x14ac:dyDescent="0.25">
      <x:c r="A760" t="s">
        <x:v>12</x:v>
      </x:c>
      <x:c r="B760" s="3" t="s">
        <x:v>46</x:v>
      </x:c>
      <x:c r="C760" s="3" t="s">
        <x:v>363</x:v>
      </x:c>
      <x:c r="D760" t="s">
        <x:v>676</x:v>
      </x:c>
      <x:c r="E760" s="6">
        <x:v>0</x:v>
      </x:c>
      <x:c r="F760" s="6">
        <x:v>0</x:v>
      </x:c>
      <x:c r="G760" s="6">
        <x:v>0</x:v>
      </x:c>
      <x:c r="H760" s="6">
        <x:f t="shared" si="36"/>
        <x:v>0</x:v>
      </x:c>
      <x:c r="I760" s="6">
        <x:v>0</x:v>
      </x:c>
      <x:c r="J760" s="6">
        <x:v>0</x:v>
      </x:c>
      <x:c r="K760" s="6">
        <x:f t="shared" si="37"/>
        <x:v>0</x:v>
      </x:c>
      <x:c r="L760" s="6">
        <x:v>11.97</x:v>
      </x:c>
      <x:c r="M760" s="6">
        <x:v>0</x:v>
      </x:c>
      <x:c r="N760" s="6">
        <x:f t="shared" si="38"/>
        <x:v>11.97</x:v>
      </x:c>
    </x:row>
    <x:row r="761" spans="1:14" x14ac:dyDescent="0.25">
      <x:c r="A761" t="s">
        <x:v>12</x:v>
      </x:c>
      <x:c r="B761" s="3" t="s">
        <x:v>195</x:v>
      </x:c>
      <x:c r="C761" s="3" t="s">
        <x:v>511</x:v>
      </x:c>
      <x:c r="D761" t="s">
        <x:v>677</x:v>
      </x:c>
      <x:c r="E761" s="6">
        <x:v>0</x:v>
      </x:c>
      <x:c r="F761" s="6">
        <x:v>0</x:v>
      </x:c>
      <x:c r="G761" s="6">
        <x:v>0</x:v>
      </x:c>
      <x:c r="H761" s="6">
        <x:f t="shared" si="36"/>
        <x:v>0</x:v>
      </x:c>
      <x:c r="I761" s="6">
        <x:v>147703.70000000001</x:v>
      </x:c>
      <x:c r="J761" s="6">
        <x:v>0</x:v>
      </x:c>
      <x:c r="K761" s="6">
        <x:f t="shared" si="37"/>
        <x:v>147703.70000000001</x:v>
      </x:c>
      <x:c r="L761" s="6">
        <x:v>0</x:v>
      </x:c>
      <x:c r="M761" s="6">
        <x:v>0</x:v>
      </x:c>
      <x:c r="N761" s="6">
        <x:f t="shared" si="38"/>
        <x:v>147703.70000000001</x:v>
      </x:c>
    </x:row>
    <x:row r="762" spans="1:14" x14ac:dyDescent="0.25">
      <x:c r="A762" t="s">
        <x:v>12</x:v>
      </x:c>
      <x:c r="B762" s="3" t="s">
        <x:v>237</x:v>
      </x:c>
      <x:c r="C762" s="3" t="s">
        <x:v>552</x:v>
      </x:c>
      <x:c r="D762" t="s">
        <x:v>677</x:v>
      </x:c>
      <x:c r="E762" s="6">
        <x:v>0</x:v>
      </x:c>
      <x:c r="F762" s="6">
        <x:v>0</x:v>
      </x:c>
      <x:c r="G762" s="6">
        <x:v>0</x:v>
      </x:c>
      <x:c r="H762" s="6">
        <x:f t="shared" si="36"/>
        <x:v>0</x:v>
      </x:c>
      <x:c r="I762" s="6">
        <x:v>63183.179999999993</x:v>
      </x:c>
      <x:c r="J762" s="6">
        <x:v>0</x:v>
      </x:c>
      <x:c r="K762" s="6">
        <x:f t="shared" si="37"/>
        <x:v>63183.179999999993</x:v>
      </x:c>
      <x:c r="L762" s="6">
        <x:v>0</x:v>
      </x:c>
      <x:c r="M762" s="6">
        <x:v>0</x:v>
      </x:c>
      <x:c r="N762" s="6">
        <x:f t="shared" si="38"/>
        <x:v>63183.179999999993</x:v>
      </x:c>
    </x:row>
    <x:row r="763" spans="1:14" x14ac:dyDescent="0.25">
      <x:c r="A763" t="s">
        <x:v>12</x:v>
      </x:c>
      <x:c r="B763" s="3" t="s">
        <x:v>238</x:v>
      </x:c>
      <x:c r="C763" s="3" t="s">
        <x:v>553</x:v>
      </x:c>
      <x:c r="D763" t="s">
        <x:v>677</x:v>
      </x:c>
      <x:c r="E763" s="6">
        <x:v>0</x:v>
      </x:c>
      <x:c r="F763" s="6">
        <x:v>0</x:v>
      </x:c>
      <x:c r="G763" s="6">
        <x:v>0</x:v>
      </x:c>
      <x:c r="H763" s="6">
        <x:f t="shared" si="36"/>
        <x:v>0</x:v>
      </x:c>
      <x:c r="I763" s="6">
        <x:v>860.1</x:v>
      </x:c>
      <x:c r="J763" s="6">
        <x:v>0</x:v>
      </x:c>
      <x:c r="K763" s="6">
        <x:f t="shared" si="37"/>
        <x:v>860.1</x:v>
      </x:c>
      <x:c r="L763" s="6">
        <x:v>0</x:v>
      </x:c>
      <x:c r="M763" s="6">
        <x:v>0</x:v>
      </x:c>
      <x:c r="N763" s="6">
        <x:f t="shared" si="38"/>
        <x:v>860.1</x:v>
      </x:c>
    </x:row>
    <x:row r="764" spans="1:14" x14ac:dyDescent="0.25">
      <x:c r="A764" t="s">
        <x:v>12</x:v>
      </x:c>
      <x:c r="B764" s="3" t="s">
        <x:v>196</x:v>
      </x:c>
      <x:c r="C764" s="3" t="s">
        <x:v>512</x:v>
      </x:c>
      <x:c r="D764" t="s">
        <x:v>677</x:v>
      </x:c>
      <x:c r="E764" s="6">
        <x:v>0</x:v>
      </x:c>
      <x:c r="F764" s="6">
        <x:v>0</x:v>
      </x:c>
      <x:c r="G764" s="6">
        <x:v>0</x:v>
      </x:c>
      <x:c r="H764" s="6">
        <x:f t="shared" si="36"/>
        <x:v>0</x:v>
      </x:c>
      <x:c r="I764" s="6">
        <x:v>912675.52000000014</x:v>
      </x:c>
      <x:c r="J764" s="6">
        <x:v>0</x:v>
      </x:c>
      <x:c r="K764" s="6">
        <x:f t="shared" si="37"/>
        <x:v>912675.52000000014</x:v>
      </x:c>
      <x:c r="L764" s="6">
        <x:v>0</x:v>
      </x:c>
      <x:c r="M764" s="6">
        <x:v>0</x:v>
      </x:c>
      <x:c r="N764" s="6">
        <x:f t="shared" si="38"/>
        <x:v>912675.52000000014</x:v>
      </x:c>
    </x:row>
    <x:row r="765" spans="1:14" x14ac:dyDescent="0.25">
      <x:c r="A765" t="s">
        <x:v>12</x:v>
      </x:c>
      <x:c r="B765" s="3" t="s">
        <x:v>63</x:v>
      </x:c>
      <x:c r="C765" s="3" t="s">
        <x:v>380</x:v>
      </x:c>
      <x:c r="D765" t="s">
        <x:v>677</x:v>
      </x:c>
      <x:c r="E765" s="6">
        <x:v>0</x:v>
      </x:c>
      <x:c r="F765" s="6">
        <x:v>0</x:v>
      </x:c>
      <x:c r="G765" s="6">
        <x:v>0</x:v>
      </x:c>
      <x:c r="H765" s="6">
        <x:f t="shared" si="36"/>
        <x:v>0</x:v>
      </x:c>
      <x:c r="I765" s="6">
        <x:v>753654.85000000044</x:v>
      </x:c>
      <x:c r="J765" s="6">
        <x:v>0</x:v>
      </x:c>
      <x:c r="K765" s="6">
        <x:f t="shared" si="37"/>
        <x:v>753654.85000000044</x:v>
      </x:c>
      <x:c r="L765" s="6">
        <x:v>0</x:v>
      </x:c>
      <x:c r="M765" s="6">
        <x:v>0</x:v>
      </x:c>
      <x:c r="N765" s="6">
        <x:f t="shared" si="38"/>
        <x:v>753654.85000000044</x:v>
      </x:c>
    </x:row>
    <x:row r="766" spans="1:14" x14ac:dyDescent="0.25">
      <x:c r="A766" t="s">
        <x:v>12</x:v>
      </x:c>
      <x:c r="B766" s="3" t="s">
        <x:v>199</x:v>
      </x:c>
      <x:c r="C766" s="3" t="s">
        <x:v>515</x:v>
      </x:c>
      <x:c r="D766" t="s">
        <x:v>677</x:v>
      </x:c>
      <x:c r="E766" s="6">
        <x:v>0</x:v>
      </x:c>
      <x:c r="F766" s="6">
        <x:v>0</x:v>
      </x:c>
      <x:c r="G766" s="6">
        <x:v>0</x:v>
      </x:c>
      <x:c r="H766" s="6">
        <x:f t="shared" si="36"/>
        <x:v>0</x:v>
      </x:c>
      <x:c r="I766" s="6">
        <x:v>734201.39999999979</x:v>
      </x:c>
      <x:c r="J766" s="6">
        <x:v>0</x:v>
      </x:c>
      <x:c r="K766" s="6">
        <x:f t="shared" si="37"/>
        <x:v>734201.39999999979</x:v>
      </x:c>
      <x:c r="L766" s="6">
        <x:v>0</x:v>
      </x:c>
      <x:c r="M766" s="6">
        <x:v>0</x:v>
      </x:c>
      <x:c r="N766" s="6">
        <x:f t="shared" si="38"/>
        <x:v>734201.39999999979</x:v>
      </x:c>
    </x:row>
    <x:row r="767" spans="1:14" x14ac:dyDescent="0.25">
      <x:c r="A767" t="s">
        <x:v>12</x:v>
      </x:c>
      <x:c r="B767" s="3" t="s">
        <x:v>200</x:v>
      </x:c>
      <x:c r="C767" s="3" t="s">
        <x:v>516</x:v>
      </x:c>
      <x:c r="D767" t="s">
        <x:v>677</x:v>
      </x:c>
      <x:c r="E767" s="6">
        <x:v>0</x:v>
      </x:c>
      <x:c r="F767" s="6">
        <x:v>0</x:v>
      </x:c>
      <x:c r="G767" s="6">
        <x:v>0</x:v>
      </x:c>
      <x:c r="H767" s="6">
        <x:f t="shared" si="36"/>
        <x:v>0</x:v>
      </x:c>
      <x:c r="I767" s="6">
        <x:v>2656109.0900000008</x:v>
      </x:c>
      <x:c r="J767" s="6">
        <x:v>0</x:v>
      </x:c>
      <x:c r="K767" s="6">
        <x:f t="shared" si="37"/>
        <x:v>2656109.0900000008</x:v>
      </x:c>
      <x:c r="L767" s="6">
        <x:v>0</x:v>
      </x:c>
      <x:c r="M767" s="6">
        <x:v>0</x:v>
      </x:c>
      <x:c r="N767" s="6">
        <x:f t="shared" si="38"/>
        <x:v>2656109.0900000008</x:v>
      </x:c>
    </x:row>
    <x:row r="768" spans="1:14" x14ac:dyDescent="0.25">
      <x:c r="A768" t="s">
        <x:v>12</x:v>
      </x:c>
      <x:c r="B768" s="3" t="s">
        <x:v>201</x:v>
      </x:c>
      <x:c r="C768" s="3" t="s">
        <x:v>517</x:v>
      </x:c>
      <x:c r="D768" t="s">
        <x:v>676</x:v>
      </x:c>
      <x:c r="E768" s="6">
        <x:v>0</x:v>
      </x:c>
      <x:c r="F768" s="6">
        <x:v>0</x:v>
      </x:c>
      <x:c r="G768" s="6">
        <x:v>0</x:v>
      </x:c>
      <x:c r="H768" s="6">
        <x:f t="shared" si="36"/>
        <x:v>0</x:v>
      </x:c>
      <x:c r="I768" s="6">
        <x:v>0</x:v>
      </x:c>
      <x:c r="J768" s="6">
        <x:v>0</x:v>
      </x:c>
      <x:c r="K768" s="6">
        <x:f t="shared" si="37"/>
        <x:v>0</x:v>
      </x:c>
      <x:c r="L768" s="6">
        <x:v>6.83</x:v>
      </x:c>
      <x:c r="M768" s="6">
        <x:v>0</x:v>
      </x:c>
      <x:c r="N768" s="6">
        <x:f t="shared" si="38"/>
        <x:v>6.83</x:v>
      </x:c>
    </x:row>
    <x:row r="769" spans="1:14" x14ac:dyDescent="0.25">
      <x:c r="A769" t="s">
        <x:v>12</x:v>
      </x:c>
      <x:c r="B769" s="3" t="s">
        <x:v>203</x:v>
      </x:c>
      <x:c r="C769" s="3" t="s">
        <x:v>519</x:v>
      </x:c>
      <x:c r="D769" t="s">
        <x:v>677</x:v>
      </x:c>
      <x:c r="E769" s="6">
        <x:v>0</x:v>
      </x:c>
      <x:c r="F769" s="6">
        <x:v>0</x:v>
      </x:c>
      <x:c r="G769" s="6">
        <x:v>0</x:v>
      </x:c>
      <x:c r="H769" s="6">
        <x:f t="shared" si="36"/>
        <x:v>0</x:v>
      </x:c>
      <x:c r="I769" s="6">
        <x:v>1419445.04</x:v>
      </x:c>
      <x:c r="J769" s="6">
        <x:v>0</x:v>
      </x:c>
      <x:c r="K769" s="6">
        <x:f t="shared" si="37"/>
        <x:v>1419445.04</x:v>
      </x:c>
      <x:c r="L769" s="6">
        <x:v>0</x:v>
      </x:c>
      <x:c r="M769" s="6">
        <x:v>0</x:v>
      </x:c>
      <x:c r="N769" s="6">
        <x:f t="shared" si="38"/>
        <x:v>1419445.04</x:v>
      </x:c>
    </x:row>
    <x:row r="770" spans="1:14" x14ac:dyDescent="0.25">
      <x:c r="A770" t="s">
        <x:v>12</x:v>
      </x:c>
      <x:c r="B770" s="3" t="s">
        <x:v>50</x:v>
      </x:c>
      <x:c r="C770" s="3" t="s">
        <x:v>367</x:v>
      </x:c>
      <x:c r="D770" t="s">
        <x:v>677</x:v>
      </x:c>
      <x:c r="E770" s="6">
        <x:v>0</x:v>
      </x:c>
      <x:c r="F770" s="6">
        <x:v>0</x:v>
      </x:c>
      <x:c r="G770" s="6">
        <x:v>0</x:v>
      </x:c>
      <x:c r="H770" s="6">
        <x:f t="shared" si="36"/>
        <x:v>0</x:v>
      </x:c>
      <x:c r="I770" s="6">
        <x:v>758797.35999999987</x:v>
      </x:c>
      <x:c r="J770" s="6">
        <x:v>0</x:v>
      </x:c>
      <x:c r="K770" s="6">
        <x:f t="shared" si="37"/>
        <x:v>758797.35999999987</x:v>
      </x:c>
      <x:c r="L770" s="6">
        <x:v>0</x:v>
      </x:c>
      <x:c r="M770" s="6">
        <x:v>0</x:v>
      </x:c>
      <x:c r="N770" s="6">
        <x:f t="shared" si="38"/>
        <x:v>758797.35999999987</x:v>
      </x:c>
    </x:row>
    <x:row r="771" spans="1:14" x14ac:dyDescent="0.25">
      <x:c r="A771" t="s">
        <x:v>12</x:v>
      </x:c>
      <x:c r="B771" s="3" t="s">
        <x:v>239</x:v>
      </x:c>
      <x:c r="C771" s="3" t="s">
        <x:v>554</x:v>
      </x:c>
      <x:c r="D771" t="s">
        <x:v>677</x:v>
      </x:c>
      <x:c r="E771" s="6">
        <x:v>0</x:v>
      </x:c>
      <x:c r="F771" s="6">
        <x:v>0</x:v>
      </x:c>
      <x:c r="G771" s="6">
        <x:v>0</x:v>
      </x:c>
      <x:c r="H771" s="6">
        <x:f t="shared" si="36"/>
        <x:v>0</x:v>
      </x:c>
      <x:c r="I771" s="6">
        <x:v>1162593.2499999995</x:v>
      </x:c>
      <x:c r="J771" s="6">
        <x:v>0</x:v>
      </x:c>
      <x:c r="K771" s="6">
        <x:f t="shared" si="37"/>
        <x:v>1162593.2499999995</x:v>
      </x:c>
      <x:c r="L771" s="6">
        <x:v>0</x:v>
      </x:c>
      <x:c r="M771" s="6">
        <x:v>0</x:v>
      </x:c>
      <x:c r="N771" s="6">
        <x:f t="shared" si="38"/>
        <x:v>1162593.2499999995</x:v>
      </x:c>
    </x:row>
    <x:row r="772" spans="1:14" x14ac:dyDescent="0.25">
      <x:c r="A772" t="s">
        <x:v>12</x:v>
      </x:c>
      <x:c r="B772" s="3" t="s">
        <x:v>204</x:v>
      </x:c>
      <x:c r="C772" s="3" t="s">
        <x:v>520</x:v>
      </x:c>
      <x:c r="D772" t="s">
        <x:v>677</x:v>
      </x:c>
      <x:c r="E772" s="6">
        <x:v>0</x:v>
      </x:c>
      <x:c r="F772" s="6">
        <x:v>0</x:v>
      </x:c>
      <x:c r="G772" s="6">
        <x:v>0</x:v>
      </x:c>
      <x:c r="H772" s="6">
        <x:f t="shared" si="36"/>
        <x:v>0</x:v>
      </x:c>
      <x:c r="I772" s="6">
        <x:v>6866.9699999999993</x:v>
      </x:c>
      <x:c r="J772" s="6">
        <x:v>0</x:v>
      </x:c>
      <x:c r="K772" s="6">
        <x:f t="shared" si="37"/>
        <x:v>6866.9699999999993</x:v>
      </x:c>
      <x:c r="L772" s="6">
        <x:v>0</x:v>
      </x:c>
      <x:c r="M772" s="6">
        <x:v>0</x:v>
      </x:c>
      <x:c r="N772" s="6">
        <x:f t="shared" si="38"/>
        <x:v>6866.9699999999993</x:v>
      </x:c>
    </x:row>
    <x:row r="773" spans="1:14" x14ac:dyDescent="0.25">
      <x:c r="A773" t="s">
        <x:v>12</x:v>
      </x:c>
      <x:c r="B773" s="3" t="s">
        <x:v>205</x:v>
      </x:c>
      <x:c r="C773" s="3" t="s">
        <x:v>521</x:v>
      </x:c>
      <x:c r="D773" t="s">
        <x:v>677</x:v>
      </x:c>
      <x:c r="E773" s="6">
        <x:v>0</x:v>
      </x:c>
      <x:c r="F773" s="6">
        <x:v>0</x:v>
      </x:c>
      <x:c r="G773" s="6">
        <x:v>0</x:v>
      </x:c>
      <x:c r="H773" s="6">
        <x:f t="shared" si="36"/>
        <x:v>0</x:v>
      </x:c>
      <x:c r="I773" s="6">
        <x:v>542395.23999999976</x:v>
      </x:c>
      <x:c r="J773" s="6">
        <x:v>0</x:v>
      </x:c>
      <x:c r="K773" s="6">
        <x:f t="shared" si="37"/>
        <x:v>542395.23999999976</x:v>
      </x:c>
      <x:c r="L773" s="6">
        <x:v>0</x:v>
      </x:c>
      <x:c r="M773" s="6">
        <x:v>0</x:v>
      </x:c>
      <x:c r="N773" s="6">
        <x:f t="shared" si="38"/>
        <x:v>542395.23999999976</x:v>
      </x:c>
    </x:row>
    <x:row r="774" spans="1:14" x14ac:dyDescent="0.25">
      <x:c r="A774" t="s">
        <x:v>12</x:v>
      </x:c>
      <x:c r="B774" s="3" t="s">
        <x:v>240</x:v>
      </x:c>
      <x:c r="C774" s="3" t="s">
        <x:v>555</x:v>
      </x:c>
      <x:c r="D774" t="s">
        <x:v>677</x:v>
      </x:c>
      <x:c r="E774" s="6">
        <x:v>0</x:v>
      </x:c>
      <x:c r="F774" s="6">
        <x:v>0</x:v>
      </x:c>
      <x:c r="G774" s="6">
        <x:v>0</x:v>
      </x:c>
      <x:c r="H774" s="6">
        <x:f t="shared" si="36"/>
        <x:v>0</x:v>
      </x:c>
      <x:c r="I774" s="6">
        <x:v>86577.790000000023</x:v>
      </x:c>
      <x:c r="J774" s="6">
        <x:v>0</x:v>
      </x:c>
      <x:c r="K774" s="6">
        <x:f t="shared" si="37"/>
        <x:v>86577.790000000023</x:v>
      </x:c>
      <x:c r="L774" s="6">
        <x:v>0</x:v>
      </x:c>
      <x:c r="M774" s="6">
        <x:v>0</x:v>
      </x:c>
      <x:c r="N774" s="6">
        <x:f t="shared" si="38"/>
        <x:v>86577.790000000023</x:v>
      </x:c>
    </x:row>
    <x:row r="775" spans="1:14" x14ac:dyDescent="0.25">
      <x:c r="A775" t="s">
        <x:v>12</x:v>
      </x:c>
      <x:c r="B775" s="3" t="s">
        <x:v>206</x:v>
      </x:c>
      <x:c r="C775" s="3" t="s">
        <x:v>522</x:v>
      </x:c>
      <x:c r="D775" t="s">
        <x:v>677</x:v>
      </x:c>
      <x:c r="E775" s="6">
        <x:v>0</x:v>
      </x:c>
      <x:c r="F775" s="6">
        <x:v>0</x:v>
      </x:c>
      <x:c r="G775" s="6">
        <x:v>0</x:v>
      </x:c>
      <x:c r="H775" s="6">
        <x:f t="shared" si="36"/>
        <x:v>0</x:v>
      </x:c>
      <x:c r="I775" s="6">
        <x:v>843610.51999999967</x:v>
      </x:c>
      <x:c r="J775" s="6">
        <x:v>0</x:v>
      </x:c>
      <x:c r="K775" s="6">
        <x:f t="shared" si="37"/>
        <x:v>843610.51999999967</x:v>
      </x:c>
      <x:c r="L775" s="6">
        <x:v>0</x:v>
      </x:c>
      <x:c r="M775" s="6">
        <x:v>0</x:v>
      </x:c>
      <x:c r="N775" s="6">
        <x:f t="shared" si="38"/>
        <x:v>843610.51999999967</x:v>
      </x:c>
    </x:row>
    <x:row r="776" spans="1:14" x14ac:dyDescent="0.25">
      <x:c r="A776" t="s">
        <x:v>12</x:v>
      </x:c>
      <x:c r="B776" s="3" t="s">
        <x:v>208</x:v>
      </x:c>
      <x:c r="C776" s="3" t="s">
        <x:v>524</x:v>
      </x:c>
      <x:c r="D776" t="s">
        <x:v>677</x:v>
      </x:c>
      <x:c r="E776" s="6">
        <x:v>0</x:v>
      </x:c>
      <x:c r="F776" s="6">
        <x:v>0</x:v>
      </x:c>
      <x:c r="G776" s="6">
        <x:v>0</x:v>
      </x:c>
      <x:c r="H776" s="6">
        <x:f t="shared" si="36"/>
        <x:v>0</x:v>
      </x:c>
      <x:c r="I776" s="6">
        <x:v>4909.92</x:v>
      </x:c>
      <x:c r="J776" s="6">
        <x:v>0</x:v>
      </x:c>
      <x:c r="K776" s="6">
        <x:f t="shared" si="37"/>
        <x:v>4909.92</x:v>
      </x:c>
      <x:c r="L776" s="6">
        <x:v>0</x:v>
      </x:c>
      <x:c r="M776" s="6">
        <x:v>0</x:v>
      </x:c>
      <x:c r="N776" s="6">
        <x:f t="shared" si="38"/>
        <x:v>4909.92</x:v>
      </x:c>
    </x:row>
    <x:row r="777" spans="1:14" x14ac:dyDescent="0.25">
      <x:c r="A777" t="s">
        <x:v>12</x:v>
      </x:c>
      <x:c r="B777" s="3" t="s">
        <x:v>209</x:v>
      </x:c>
      <x:c r="C777" s="3" t="s">
        <x:v>525</x:v>
      </x:c>
      <x:c r="D777" t="s">
        <x:v>677</x:v>
      </x:c>
      <x:c r="E777" s="6">
        <x:v>0</x:v>
      </x:c>
      <x:c r="F777" s="6">
        <x:v>0</x:v>
      </x:c>
      <x:c r="G777" s="6">
        <x:v>0</x:v>
      </x:c>
      <x:c r="H777" s="6">
        <x:f t="shared" si="36"/>
        <x:v>0</x:v>
      </x:c>
      <x:c r="I777" s="6">
        <x:v>537105.30000000028</x:v>
      </x:c>
      <x:c r="J777" s="6">
        <x:v>0</x:v>
      </x:c>
      <x:c r="K777" s="6">
        <x:f t="shared" si="37"/>
        <x:v>537105.30000000028</x:v>
      </x:c>
      <x:c r="L777" s="6">
        <x:v>0</x:v>
      </x:c>
      <x:c r="M777" s="6">
        <x:v>0</x:v>
      </x:c>
      <x:c r="N777" s="6">
        <x:f t="shared" si="38"/>
        <x:v>537105.30000000028</x:v>
      </x:c>
    </x:row>
    <x:row r="778" spans="1:14" x14ac:dyDescent="0.25">
      <x:c r="A778" t="s">
        <x:v>12</x:v>
      </x:c>
      <x:c r="B778" s="3" t="s">
        <x:v>210</x:v>
      </x:c>
      <x:c r="C778" s="3" t="s">
        <x:v>526</x:v>
      </x:c>
      <x:c r="D778" t="s">
        <x:v>677</x:v>
      </x:c>
      <x:c r="E778" s="6">
        <x:v>0</x:v>
      </x:c>
      <x:c r="F778" s="6">
        <x:v>0</x:v>
      </x:c>
      <x:c r="G778" s="6">
        <x:v>0</x:v>
      </x:c>
      <x:c r="H778" s="6">
        <x:f t="shared" si="36"/>
        <x:v>0</x:v>
      </x:c>
      <x:c r="I778" s="6">
        <x:v>268624.44999999995</x:v>
      </x:c>
      <x:c r="J778" s="6">
        <x:v>0</x:v>
      </x:c>
      <x:c r="K778" s="6">
        <x:f t="shared" si="37"/>
        <x:v>268624.44999999995</x:v>
      </x:c>
      <x:c r="L778" s="6">
        <x:v>0</x:v>
      </x:c>
      <x:c r="M778" s="6">
        <x:v>0</x:v>
      </x:c>
      <x:c r="N778" s="6">
        <x:f t="shared" si="38"/>
        <x:v>268624.44999999995</x:v>
      </x:c>
    </x:row>
    <x:row r="779" spans="1:14" x14ac:dyDescent="0.25">
      <x:c r="A779" t="s">
        <x:v>12</x:v>
      </x:c>
      <x:c r="B779" s="3" t="s">
        <x:v>211</x:v>
      </x:c>
      <x:c r="C779" s="3" t="s">
        <x:v>527</x:v>
      </x:c>
      <x:c r="D779" t="s">
        <x:v>677</x:v>
      </x:c>
      <x:c r="E779" s="6">
        <x:v>0</x:v>
      </x:c>
      <x:c r="F779" s="6">
        <x:v>0</x:v>
      </x:c>
      <x:c r="G779" s="6">
        <x:v>0</x:v>
      </x:c>
      <x:c r="H779" s="6">
        <x:f t="shared" si="36"/>
        <x:v>0</x:v>
      </x:c>
      <x:c r="I779" s="6">
        <x:v>691010.16</x:v>
      </x:c>
      <x:c r="J779" s="6">
        <x:v>0</x:v>
      </x:c>
      <x:c r="K779" s="6">
        <x:f t="shared" si="37"/>
        <x:v>691010.16</x:v>
      </x:c>
      <x:c r="L779" s="6">
        <x:v>0</x:v>
      </x:c>
      <x:c r="M779" s="6">
        <x:v>0</x:v>
      </x:c>
      <x:c r="N779" s="6">
        <x:f t="shared" si="38"/>
        <x:v>691010.16</x:v>
      </x:c>
    </x:row>
    <x:row r="780" spans="1:14" x14ac:dyDescent="0.25">
      <x:c r="A780" t="s">
        <x:v>12</x:v>
      </x:c>
      <x:c r="B780" s="3" t="s">
        <x:v>212</x:v>
      </x:c>
      <x:c r="C780" s="3" t="s">
        <x:v>528</x:v>
      </x:c>
      <x:c r="D780" t="s">
        <x:v>677</x:v>
      </x:c>
      <x:c r="E780" s="6">
        <x:v>0</x:v>
      </x:c>
      <x:c r="F780" s="6">
        <x:v>0</x:v>
      </x:c>
      <x:c r="G780" s="6">
        <x:v>0</x:v>
      </x:c>
      <x:c r="H780" s="6">
        <x:f t="shared" si="36"/>
        <x:v>0</x:v>
      </x:c>
      <x:c r="I780" s="6">
        <x:v>510049.22999999986</x:v>
      </x:c>
      <x:c r="J780" s="6">
        <x:v>0</x:v>
      </x:c>
      <x:c r="K780" s="6">
        <x:f t="shared" si="37"/>
        <x:v>510049.22999999986</x:v>
      </x:c>
      <x:c r="L780" s="6">
        <x:v>0</x:v>
      </x:c>
      <x:c r="M780" s="6">
        <x:v>0</x:v>
      </x:c>
      <x:c r="N780" s="6">
        <x:f t="shared" si="38"/>
        <x:v>510049.22999999986</x:v>
      </x:c>
    </x:row>
    <x:row r="781" spans="1:14" x14ac:dyDescent="0.25">
      <x:c r="A781" t="s">
        <x:v>12</x:v>
      </x:c>
      <x:c r="B781" s="3" t="s">
        <x:v>64</x:v>
      </x:c>
      <x:c r="C781" s="3" t="s">
        <x:v>381</x:v>
      </x:c>
      <x:c r="D781" t="s">
        <x:v>677</x:v>
      </x:c>
      <x:c r="E781" s="6">
        <x:v>0</x:v>
      </x:c>
      <x:c r="F781" s="6">
        <x:v>0</x:v>
      </x:c>
      <x:c r="G781" s="6">
        <x:v>0</x:v>
      </x:c>
      <x:c r="H781" s="6">
        <x:f t="shared" si="36"/>
        <x:v>0</x:v>
      </x:c>
      <x:c r="I781" s="6">
        <x:v>462933.79999999987</x:v>
      </x:c>
      <x:c r="J781" s="6">
        <x:v>0</x:v>
      </x:c>
      <x:c r="K781" s="6">
        <x:f t="shared" si="37"/>
        <x:v>462933.79999999987</x:v>
      </x:c>
      <x:c r="L781" s="6">
        <x:v>0</x:v>
      </x:c>
      <x:c r="M781" s="6">
        <x:v>0</x:v>
      </x:c>
      <x:c r="N781" s="6">
        <x:f t="shared" si="38"/>
        <x:v>462933.79999999987</x:v>
      </x:c>
    </x:row>
    <x:row r="782" spans="1:14" x14ac:dyDescent="0.25">
      <x:c r="A782" t="s">
        <x:v>12</x:v>
      </x:c>
      <x:c r="B782" s="3" t="s">
        <x:v>213</x:v>
      </x:c>
      <x:c r="C782" s="3" t="s">
        <x:v>529</x:v>
      </x:c>
      <x:c r="D782" t="s">
        <x:v>677</x:v>
      </x:c>
      <x:c r="E782" s="6">
        <x:v>0</x:v>
      </x:c>
      <x:c r="F782" s="6">
        <x:v>0</x:v>
      </x:c>
      <x:c r="G782" s="6">
        <x:v>0</x:v>
      </x:c>
      <x:c r="H782" s="6">
        <x:f t="shared" ref="H782:H845" si="39">SUM(E782:G782)</x:f>
        <x:v>0</x:v>
      </x:c>
      <x:c r="I782" s="6">
        <x:v>312225.11</x:v>
      </x:c>
      <x:c r="J782" s="6">
        <x:v>0</x:v>
      </x:c>
      <x:c r="K782" s="6">
        <x:f t="shared" ref="K782:K845" si="40">SUM(I782:J782)</x:f>
        <x:v>312225.11</x:v>
      </x:c>
      <x:c r="L782" s="6">
        <x:v>0</x:v>
      </x:c>
      <x:c r="M782" s="6">
        <x:v>0</x:v>
      </x:c>
      <x:c r="N782" s="6">
        <x:f t="shared" ref="N782:N845" si="41">+E782+F782+G782+I782+J782+L782+M782</x:f>
        <x:v>312225.11</x:v>
      </x:c>
    </x:row>
    <x:row r="783" spans="1:14" x14ac:dyDescent="0.25">
      <x:c r="A783" t="s">
        <x:v>12</x:v>
      </x:c>
      <x:c r="B783" s="3" t="s">
        <x:v>214</x:v>
      </x:c>
      <x:c r="C783" s="3" t="s">
        <x:v>530</x:v>
      </x:c>
      <x:c r="D783" t="s">
        <x:v>677</x:v>
      </x:c>
      <x:c r="E783" s="6">
        <x:v>0</x:v>
      </x:c>
      <x:c r="F783" s="6">
        <x:v>0</x:v>
      </x:c>
      <x:c r="G783" s="6">
        <x:v>0</x:v>
      </x:c>
      <x:c r="H783" s="6">
        <x:f t="shared" si="39"/>
        <x:v>0</x:v>
      </x:c>
      <x:c r="I783" s="6">
        <x:v>825.95</x:v>
      </x:c>
      <x:c r="J783" s="6">
        <x:v>0</x:v>
      </x:c>
      <x:c r="K783" s="6">
        <x:f t="shared" si="40"/>
        <x:v>825.95</x:v>
      </x:c>
      <x:c r="L783" s="6">
        <x:v>0</x:v>
      </x:c>
      <x:c r="M783" s="6">
        <x:v>0</x:v>
      </x:c>
      <x:c r="N783" s="6">
        <x:f t="shared" si="41"/>
        <x:v>825.95</x:v>
      </x:c>
    </x:row>
    <x:row r="784" spans="1:14" x14ac:dyDescent="0.25">
      <x:c r="A784" t="s">
        <x:v>12</x:v>
      </x:c>
      <x:c r="B784" s="3" t="s">
        <x:v>215</x:v>
      </x:c>
      <x:c r="C784" s="3" t="s">
        <x:v>531</x:v>
      </x:c>
      <x:c r="D784" t="s">
        <x:v>677</x:v>
      </x:c>
      <x:c r="E784" s="6">
        <x:v>0</x:v>
      </x:c>
      <x:c r="F784" s="6">
        <x:v>0</x:v>
      </x:c>
      <x:c r="G784" s="6">
        <x:v>0</x:v>
      </x:c>
      <x:c r="H784" s="6">
        <x:f t="shared" si="39"/>
        <x:v>0</x:v>
      </x:c>
      <x:c r="I784" s="6">
        <x:v>1566676.6099999994</x:v>
      </x:c>
      <x:c r="J784" s="6">
        <x:v>0</x:v>
      </x:c>
      <x:c r="K784" s="6">
        <x:f t="shared" si="40"/>
        <x:v>1566676.6099999994</x:v>
      </x:c>
      <x:c r="L784" s="6">
        <x:v>0</x:v>
      </x:c>
      <x:c r="M784" s="6">
        <x:v>0</x:v>
      </x:c>
      <x:c r="N784" s="6">
        <x:f t="shared" si="41"/>
        <x:v>1566676.6099999994</x:v>
      </x:c>
    </x:row>
    <x:row r="785" spans="1:14" x14ac:dyDescent="0.25">
      <x:c r="A785" t="s">
        <x:v>12</x:v>
      </x:c>
      <x:c r="B785" s="3" t="s">
        <x:v>216</x:v>
      </x:c>
      <x:c r="C785" s="3" t="s">
        <x:v>532</x:v>
      </x:c>
      <x:c r="D785" t="s">
        <x:v>677</x:v>
      </x:c>
      <x:c r="E785" s="6">
        <x:v>0</x:v>
      </x:c>
      <x:c r="F785" s="6">
        <x:v>0</x:v>
      </x:c>
      <x:c r="G785" s="6">
        <x:v>0</x:v>
      </x:c>
      <x:c r="H785" s="6">
        <x:f t="shared" si="39"/>
        <x:v>0</x:v>
      </x:c>
      <x:c r="I785" s="6">
        <x:v>198165.19000000003</x:v>
      </x:c>
      <x:c r="J785" s="6">
        <x:v>0</x:v>
      </x:c>
      <x:c r="K785" s="6">
        <x:f t="shared" si="40"/>
        <x:v>198165.19000000003</x:v>
      </x:c>
      <x:c r="L785" s="6">
        <x:v>0</x:v>
      </x:c>
      <x:c r="M785" s="6">
        <x:v>0</x:v>
      </x:c>
      <x:c r="N785" s="6">
        <x:f t="shared" si="41"/>
        <x:v>198165.19000000003</x:v>
      </x:c>
    </x:row>
    <x:row r="786" spans="1:14" x14ac:dyDescent="0.25">
      <x:c r="A786" t="s">
        <x:v>12</x:v>
      </x:c>
      <x:c r="B786" s="3" t="s">
        <x:v>65</x:v>
      </x:c>
      <x:c r="C786" s="3" t="s">
        <x:v>382</x:v>
      </x:c>
      <x:c r="D786" t="s">
        <x:v>677</x:v>
      </x:c>
      <x:c r="E786" s="6">
        <x:v>0</x:v>
      </x:c>
      <x:c r="F786" s="6">
        <x:v>0</x:v>
      </x:c>
      <x:c r="G786" s="6">
        <x:v>0</x:v>
      </x:c>
      <x:c r="H786" s="6">
        <x:f t="shared" si="39"/>
        <x:v>0</x:v>
      </x:c>
      <x:c r="I786" s="6">
        <x:v>837035.1099999994</x:v>
      </x:c>
      <x:c r="J786" s="6">
        <x:v>0</x:v>
      </x:c>
      <x:c r="K786" s="6">
        <x:f t="shared" si="40"/>
        <x:v>837035.1099999994</x:v>
      </x:c>
      <x:c r="L786" s="6">
        <x:v>0</x:v>
      </x:c>
      <x:c r="M786" s="6">
        <x:v>0</x:v>
      </x:c>
      <x:c r="N786" s="6">
        <x:f t="shared" si="41"/>
        <x:v>837035.1099999994</x:v>
      </x:c>
    </x:row>
    <x:row r="787" spans="1:14" x14ac:dyDescent="0.25">
      <x:c r="A787" t="s">
        <x:v>12</x:v>
      </x:c>
      <x:c r="B787" s="3" t="s">
        <x:v>217</x:v>
      </x:c>
      <x:c r="C787" s="3" t="s">
        <x:v>533</x:v>
      </x:c>
      <x:c r="D787" t="s">
        <x:v>677</x:v>
      </x:c>
      <x:c r="E787" s="6">
        <x:v>0</x:v>
      </x:c>
      <x:c r="F787" s="6">
        <x:v>0</x:v>
      </x:c>
      <x:c r="G787" s="6">
        <x:v>0</x:v>
      </x:c>
      <x:c r="H787" s="6">
        <x:f t="shared" si="39"/>
        <x:v>0</x:v>
      </x:c>
      <x:c r="I787" s="6">
        <x:v>380203.7300000001</x:v>
      </x:c>
      <x:c r="J787" s="6">
        <x:v>0</x:v>
      </x:c>
      <x:c r="K787" s="6">
        <x:f t="shared" si="40"/>
        <x:v>380203.7300000001</x:v>
      </x:c>
      <x:c r="L787" s="6">
        <x:v>0</x:v>
      </x:c>
      <x:c r="M787" s="6">
        <x:v>0</x:v>
      </x:c>
      <x:c r="N787" s="6">
        <x:f t="shared" si="41"/>
        <x:v>380203.7300000001</x:v>
      </x:c>
    </x:row>
    <x:row r="788" spans="1:14" x14ac:dyDescent="0.25">
      <x:c r="A788" t="s">
        <x:v>12</x:v>
      </x:c>
      <x:c r="B788" s="3" t="s">
        <x:v>241</x:v>
      </x:c>
      <x:c r="C788" s="3" t="s">
        <x:v>556</x:v>
      </x:c>
      <x:c r="D788" t="s">
        <x:v>676</x:v>
      </x:c>
      <x:c r="E788" s="6">
        <x:v>0</x:v>
      </x:c>
      <x:c r="F788" s="6">
        <x:v>0</x:v>
      </x:c>
      <x:c r="G788" s="6">
        <x:v>0</x:v>
      </x:c>
      <x:c r="H788" s="6">
        <x:f t="shared" si="39"/>
        <x:v>0</x:v>
      </x:c>
      <x:c r="I788" s="6">
        <x:v>0</x:v>
      </x:c>
      <x:c r="J788" s="6">
        <x:v>0</x:v>
      </x:c>
      <x:c r="K788" s="6">
        <x:f t="shared" si="40"/>
        <x:v>0</x:v>
      </x:c>
      <x:c r="L788" s="6">
        <x:v>46.74</x:v>
      </x:c>
      <x:c r="M788" s="6">
        <x:v>0</x:v>
      </x:c>
      <x:c r="N788" s="6">
        <x:f t="shared" si="41"/>
        <x:v>46.74</x:v>
      </x:c>
    </x:row>
    <x:row r="789" spans="1:14" x14ac:dyDescent="0.25">
      <x:c r="A789" t="s">
        <x:v>12</x:v>
      </x:c>
      <x:c r="B789" s="3" t="s">
        <x:v>218</x:v>
      </x:c>
      <x:c r="C789" s="3" t="s">
        <x:v>534</x:v>
      </x:c>
      <x:c r="D789" t="s">
        <x:v>677</x:v>
      </x:c>
      <x:c r="E789" s="6">
        <x:v>0</x:v>
      </x:c>
      <x:c r="F789" s="6">
        <x:v>0</x:v>
      </x:c>
      <x:c r="G789" s="6">
        <x:v>0</x:v>
      </x:c>
      <x:c r="H789" s="6">
        <x:f t="shared" si="39"/>
        <x:v>0</x:v>
      </x:c>
      <x:c r="I789" s="6">
        <x:v>2152348.830000001</x:v>
      </x:c>
      <x:c r="J789" s="6">
        <x:v>0</x:v>
      </x:c>
      <x:c r="K789" s="6">
        <x:f t="shared" si="40"/>
        <x:v>2152348.830000001</x:v>
      </x:c>
      <x:c r="L789" s="6">
        <x:v>0</x:v>
      </x:c>
      <x:c r="M789" s="6">
        <x:v>0</x:v>
      </x:c>
      <x:c r="N789" s="6">
        <x:f t="shared" si="41"/>
        <x:v>2152348.830000001</x:v>
      </x:c>
    </x:row>
    <x:row r="790" spans="1:14" x14ac:dyDescent="0.25">
      <x:c r="A790" t="s">
        <x:v>12</x:v>
      </x:c>
      <x:c r="B790" s="3" t="s">
        <x:v>219</x:v>
      </x:c>
      <x:c r="C790" s="3" t="s">
        <x:v>535</x:v>
      </x:c>
      <x:c r="D790" t="s">
        <x:v>677</x:v>
      </x:c>
      <x:c r="E790" s="6">
        <x:v>0</x:v>
      </x:c>
      <x:c r="F790" s="6">
        <x:v>0</x:v>
      </x:c>
      <x:c r="G790" s="6">
        <x:v>0</x:v>
      </x:c>
      <x:c r="H790" s="6">
        <x:f t="shared" si="39"/>
        <x:v>0</x:v>
      </x:c>
      <x:c r="I790" s="6">
        <x:v>334119</x:v>
      </x:c>
      <x:c r="J790" s="6">
        <x:v>0</x:v>
      </x:c>
      <x:c r="K790" s="6">
        <x:f t="shared" si="40"/>
        <x:v>334119</x:v>
      </x:c>
      <x:c r="L790" s="6">
        <x:v>0</x:v>
      </x:c>
      <x:c r="M790" s="6">
        <x:v>0</x:v>
      </x:c>
      <x:c r="N790" s="6">
        <x:f t="shared" si="41"/>
        <x:v>334119</x:v>
      </x:c>
    </x:row>
    <x:row r="791" spans="1:14" x14ac:dyDescent="0.25">
      <x:c r="A791" t="s">
        <x:v>12</x:v>
      </x:c>
      <x:c r="B791" s="3" t="s">
        <x:v>220</x:v>
      </x:c>
      <x:c r="C791" s="3" t="s">
        <x:v>536</x:v>
      </x:c>
      <x:c r="D791" t="s">
        <x:v>677</x:v>
      </x:c>
      <x:c r="E791" s="6">
        <x:v>0</x:v>
      </x:c>
      <x:c r="F791" s="6">
        <x:v>0</x:v>
      </x:c>
      <x:c r="G791" s="6">
        <x:v>0</x:v>
      </x:c>
      <x:c r="H791" s="6">
        <x:f t="shared" si="39"/>
        <x:v>0</x:v>
      </x:c>
      <x:c r="I791" s="6">
        <x:v>300173.49000000028</x:v>
      </x:c>
      <x:c r="J791" s="6">
        <x:v>0</x:v>
      </x:c>
      <x:c r="K791" s="6">
        <x:f t="shared" si="40"/>
        <x:v>300173.49000000028</x:v>
      </x:c>
      <x:c r="L791" s="6">
        <x:v>0</x:v>
      </x:c>
      <x:c r="M791" s="6">
        <x:v>0</x:v>
      </x:c>
      <x:c r="N791" s="6">
        <x:f t="shared" si="41"/>
        <x:v>300173.49000000028</x:v>
      </x:c>
    </x:row>
    <x:row r="792" spans="1:14" x14ac:dyDescent="0.25">
      <x:c r="A792" t="s">
        <x:v>12</x:v>
      </x:c>
      <x:c r="B792" s="3" t="s">
        <x:v>242</x:v>
      </x:c>
      <x:c r="C792" s="3" t="s">
        <x:v>557</x:v>
      </x:c>
      <x:c r="D792" t="s">
        <x:v>677</x:v>
      </x:c>
      <x:c r="E792" s="6">
        <x:v>0</x:v>
      </x:c>
      <x:c r="F792" s="6">
        <x:v>0</x:v>
      </x:c>
      <x:c r="G792" s="6">
        <x:v>0</x:v>
      </x:c>
      <x:c r="H792" s="6">
        <x:f t="shared" si="39"/>
        <x:v>0</x:v>
      </x:c>
      <x:c r="I792" s="6">
        <x:v>-25583083.390000001</x:v>
      </x:c>
      <x:c r="J792" s="6">
        <x:v>0</x:v>
      </x:c>
      <x:c r="K792" s="6">
        <x:f t="shared" si="40"/>
        <x:v>-25583083.390000001</x:v>
      </x:c>
      <x:c r="L792" s="6">
        <x:v>0</x:v>
      </x:c>
      <x:c r="M792" s="6">
        <x:v>0</x:v>
      </x:c>
      <x:c r="N792" s="6">
        <x:f t="shared" si="41"/>
        <x:v>-25583083.390000001</x:v>
      </x:c>
    </x:row>
    <x:row r="793" spans="1:14" x14ac:dyDescent="0.25">
      <x:c r="A793" t="s">
        <x:v>12</x:v>
      </x:c>
      <x:c r="B793" s="3" t="s">
        <x:v>47</x:v>
      </x:c>
      <x:c r="C793" s="3" t="s">
        <x:v>364</x:v>
      </x:c>
      <x:c r="D793" t="s">
        <x:v>676</x:v>
      </x:c>
      <x:c r="E793" s="6">
        <x:v>0</x:v>
      </x:c>
      <x:c r="F793" s="6">
        <x:v>0</x:v>
      </x:c>
      <x:c r="G793" s="6">
        <x:v>0</x:v>
      </x:c>
      <x:c r="H793" s="6">
        <x:f t="shared" si="39"/>
        <x:v>0</x:v>
      </x:c>
      <x:c r="I793" s="6">
        <x:v>121556.79</x:v>
      </x:c>
      <x:c r="J793" s="6">
        <x:v>0</x:v>
      </x:c>
      <x:c r="K793" s="6">
        <x:f t="shared" si="40"/>
        <x:v>121556.79</x:v>
      </x:c>
      <x:c r="L793" s="6">
        <x:v>0</x:v>
      </x:c>
      <x:c r="M793" s="6">
        <x:v>0</x:v>
      </x:c>
      <x:c r="N793" s="6">
        <x:f t="shared" si="41"/>
        <x:v>121556.79</x:v>
      </x:c>
    </x:row>
    <x:row r="794" spans="1:14" x14ac:dyDescent="0.25">
      <x:c r="A794" t="s">
        <x:v>12</x:v>
      </x:c>
      <x:c r="B794" s="3" t="s">
        <x:v>226</x:v>
      </x:c>
      <x:c r="C794" s="3" t="s">
        <x:v>542</x:v>
      </x:c>
      <x:c r="D794" t="s">
        <x:v>677</x:v>
      </x:c>
      <x:c r="E794" s="6">
        <x:v>0</x:v>
      </x:c>
      <x:c r="F794" s="6">
        <x:v>0</x:v>
      </x:c>
      <x:c r="G794" s="6">
        <x:v>0</x:v>
      </x:c>
      <x:c r="H794" s="6">
        <x:f t="shared" si="39"/>
        <x:v>0</x:v>
      </x:c>
      <x:c r="I794" s="6">
        <x:v>49092.5</x:v>
      </x:c>
      <x:c r="J794" s="6">
        <x:v>0</x:v>
      </x:c>
      <x:c r="K794" s="6">
        <x:f t="shared" si="40"/>
        <x:v>49092.5</x:v>
      </x:c>
      <x:c r="L794" s="6">
        <x:v>0</x:v>
      </x:c>
      <x:c r="M794" s="6">
        <x:v>0</x:v>
      </x:c>
      <x:c r="N794" s="6">
        <x:f t="shared" si="41"/>
        <x:v>49092.5</x:v>
      </x:c>
    </x:row>
    <x:row r="795" spans="1:14" x14ac:dyDescent="0.25">
      <x:c r="A795" t="s">
        <x:v>12</x:v>
      </x:c>
      <x:c r="B795" s="3" t="s">
        <x:v>243</x:v>
      </x:c>
      <x:c r="C795" s="3" t="s">
        <x:v>558</x:v>
      </x:c>
      <x:c r="D795" t="s">
        <x:v>677</x:v>
      </x:c>
      <x:c r="E795" s="6">
        <x:v>0</x:v>
      </x:c>
      <x:c r="F795" s="6">
        <x:v>0</x:v>
      </x:c>
      <x:c r="G795" s="6">
        <x:v>0</x:v>
      </x:c>
      <x:c r="H795" s="6">
        <x:f t="shared" si="39"/>
        <x:v>0</x:v>
      </x:c>
      <x:c r="I795" s="6">
        <x:v>2.58</x:v>
      </x:c>
      <x:c r="J795" s="6">
        <x:v>0</x:v>
      </x:c>
      <x:c r="K795" s="6">
        <x:f t="shared" si="40"/>
        <x:v>2.58</x:v>
      </x:c>
      <x:c r="L795" s="6">
        <x:v>0</x:v>
      </x:c>
      <x:c r="M795" s="6">
        <x:v>0</x:v>
      </x:c>
      <x:c r="N795" s="6">
        <x:f t="shared" si="41"/>
        <x:v>2.58</x:v>
      </x:c>
    </x:row>
    <x:row r="796" spans="1:14" x14ac:dyDescent="0.25">
      <x:c r="A796" t="s">
        <x:v>13</x:v>
      </x:c>
      <x:c r="B796" s="3" t="s">
        <x:v>55</x:v>
      </x:c>
      <x:c r="C796" s="3" t="s">
        <x:v>372</x:v>
      </x:c>
      <x:c r="D796" t="s">
        <x:v>677</x:v>
      </x:c>
      <x:c r="E796" s="6">
        <x:v>0</x:v>
      </x:c>
      <x:c r="F796" s="6">
        <x:v>0</x:v>
      </x:c>
      <x:c r="G796" s="6">
        <x:v>0</x:v>
      </x:c>
      <x:c r="H796" s="6">
        <x:f t="shared" si="39"/>
        <x:v>0</x:v>
      </x:c>
      <x:c r="I796" s="6">
        <x:v>137.15</x:v>
      </x:c>
      <x:c r="J796" s="6">
        <x:v>0</x:v>
      </x:c>
      <x:c r="K796" s="6">
        <x:f t="shared" si="40"/>
        <x:v>137.15</x:v>
      </x:c>
      <x:c r="L796" s="6">
        <x:v>0</x:v>
      </x:c>
      <x:c r="M796" s="6">
        <x:v>0</x:v>
      </x:c>
      <x:c r="N796" s="6">
        <x:f t="shared" si="41"/>
        <x:v>137.15</x:v>
      </x:c>
    </x:row>
    <x:row r="797" spans="1:14" x14ac:dyDescent="0.25">
      <x:c r="A797" t="s">
        <x:v>13</x:v>
      </x:c>
      <x:c r="B797" s="3" t="s">
        <x:v>78</x:v>
      </x:c>
      <x:c r="C797" s="3" t="s">
        <x:v>395</x:v>
      </x:c>
      <x:c r="D797" t="s">
        <x:v>677</x:v>
      </x:c>
      <x:c r="E797" s="6">
        <x:v>0</x:v>
      </x:c>
      <x:c r="F797" s="6">
        <x:v>0</x:v>
      </x:c>
      <x:c r="G797" s="6">
        <x:v>0</x:v>
      </x:c>
      <x:c r="H797" s="6">
        <x:f t="shared" si="39"/>
        <x:v>0</x:v>
      </x:c>
      <x:c r="I797" s="6">
        <x:v>21401.519999999997</x:v>
      </x:c>
      <x:c r="J797" s="6">
        <x:v>0</x:v>
      </x:c>
      <x:c r="K797" s="6">
        <x:f t="shared" si="40"/>
        <x:v>21401.519999999997</x:v>
      </x:c>
      <x:c r="L797" s="6">
        <x:v>0</x:v>
      </x:c>
      <x:c r="M797" s="6">
        <x:v>0</x:v>
      </x:c>
      <x:c r="N797" s="6">
        <x:f t="shared" si="41"/>
        <x:v>21401.519999999997</x:v>
      </x:c>
    </x:row>
    <x:row r="798" spans="1:14" x14ac:dyDescent="0.25">
      <x:c r="A798" t="s">
        <x:v>13</x:v>
      </x:c>
      <x:c r="B798" s="3" t="s">
        <x:v>56</x:v>
      </x:c>
      <x:c r="C798" s="3" t="s">
        <x:v>373</x:v>
      </x:c>
      <x:c r="D798" t="s">
        <x:v>677</x:v>
      </x:c>
      <x:c r="E798" s="6">
        <x:v>0</x:v>
      </x:c>
      <x:c r="F798" s="6">
        <x:v>0</x:v>
      </x:c>
      <x:c r="G798" s="6">
        <x:v>0</x:v>
      </x:c>
      <x:c r="H798" s="6">
        <x:f t="shared" si="39"/>
        <x:v>0</x:v>
      </x:c>
      <x:c r="I798" s="6">
        <x:v>4.8499999999999996</x:v>
      </x:c>
      <x:c r="J798" s="6">
        <x:v>0</x:v>
      </x:c>
      <x:c r="K798" s="6">
        <x:f t="shared" si="40"/>
        <x:v>4.8499999999999996</x:v>
      </x:c>
      <x:c r="L798" s="6">
        <x:v>0</x:v>
      </x:c>
      <x:c r="M798" s="6">
        <x:v>0</x:v>
      </x:c>
      <x:c r="N798" s="6">
        <x:f t="shared" si="41"/>
        <x:v>4.8499999999999996</x:v>
      </x:c>
    </x:row>
    <x:row r="799" spans="1:14" x14ac:dyDescent="0.25">
      <x:c r="A799" t="s">
        <x:v>13</x:v>
      </x:c>
      <x:c r="B799" s="3" t="s">
        <x:v>87</x:v>
      </x:c>
      <x:c r="C799" s="3" t="s">
        <x:v>404</x:v>
      </x:c>
      <x:c r="D799" t="s">
        <x:v>677</x:v>
      </x:c>
      <x:c r="E799" s="6">
        <x:v>0</x:v>
      </x:c>
      <x:c r="F799" s="6">
        <x:v>0</x:v>
      </x:c>
      <x:c r="G799" s="6">
        <x:v>0</x:v>
      </x:c>
      <x:c r="H799" s="6">
        <x:f t="shared" si="39"/>
        <x:v>0</x:v>
      </x:c>
      <x:c r="I799" s="6">
        <x:v>3.24</x:v>
      </x:c>
      <x:c r="J799" s="6">
        <x:v>0</x:v>
      </x:c>
      <x:c r="K799" s="6">
        <x:f t="shared" si="40"/>
        <x:v>3.24</x:v>
      </x:c>
      <x:c r="L799" s="6">
        <x:v>0</x:v>
      </x:c>
      <x:c r="M799" s="6">
        <x:v>0</x:v>
      </x:c>
      <x:c r="N799" s="6">
        <x:f t="shared" si="41"/>
        <x:v>3.24</x:v>
      </x:c>
    </x:row>
    <x:row r="800" spans="1:14" x14ac:dyDescent="0.25">
      <x:c r="A800" t="s">
        <x:v>13</x:v>
      </x:c>
      <x:c r="B800" s="3" t="s">
        <x:v>88</x:v>
      </x:c>
      <x:c r="C800" s="3" t="s">
        <x:v>405</x:v>
      </x:c>
      <x:c r="D800" t="s">
        <x:v>677</x:v>
      </x:c>
      <x:c r="E800" s="6">
        <x:v>0</x:v>
      </x:c>
      <x:c r="F800" s="6">
        <x:v>0</x:v>
      </x:c>
      <x:c r="G800" s="6">
        <x:v>0</x:v>
      </x:c>
      <x:c r="H800" s="6">
        <x:f t="shared" si="39"/>
        <x:v>0</x:v>
      </x:c>
      <x:c r="I800" s="6">
        <x:v>35184.009999999995</x:v>
      </x:c>
      <x:c r="J800" s="6">
        <x:v>0</x:v>
      </x:c>
      <x:c r="K800" s="6">
        <x:f t="shared" si="40"/>
        <x:v>35184.009999999995</x:v>
      </x:c>
      <x:c r="L800" s="6">
        <x:v>0</x:v>
      </x:c>
      <x:c r="M800" s="6">
        <x:v>0</x:v>
      </x:c>
      <x:c r="N800" s="6">
        <x:f t="shared" si="41"/>
        <x:v>35184.009999999995</x:v>
      </x:c>
    </x:row>
    <x:row r="801" spans="1:14" x14ac:dyDescent="0.25">
      <x:c r="A801" t="s">
        <x:v>13</x:v>
      </x:c>
      <x:c r="B801" s="3" t="s">
        <x:v>90</x:v>
      </x:c>
      <x:c r="C801" s="3" t="s">
        <x:v>407</x:v>
      </x:c>
      <x:c r="D801" t="s">
        <x:v>677</x:v>
      </x:c>
      <x:c r="E801" s="6">
        <x:v>0</x:v>
      </x:c>
      <x:c r="F801" s="6">
        <x:v>0</x:v>
      </x:c>
      <x:c r="G801" s="6">
        <x:v>0</x:v>
      </x:c>
      <x:c r="H801" s="6">
        <x:f t="shared" si="39"/>
        <x:v>0</x:v>
      </x:c>
      <x:c r="I801" s="6">
        <x:v>3209.7</x:v>
      </x:c>
      <x:c r="J801" s="6">
        <x:v>0</x:v>
      </x:c>
      <x:c r="K801" s="6">
        <x:f t="shared" si="40"/>
        <x:v>3209.7</x:v>
      </x:c>
      <x:c r="L801" s="6">
        <x:v>0</x:v>
      </x:c>
      <x:c r="M801" s="6">
        <x:v>0</x:v>
      </x:c>
      <x:c r="N801" s="6">
        <x:f t="shared" si="41"/>
        <x:v>3209.7</x:v>
      </x:c>
    </x:row>
    <x:row r="802" spans="1:14" x14ac:dyDescent="0.25">
      <x:c r="A802" t="s">
        <x:v>13</x:v>
      </x:c>
      <x:c r="B802" s="3" t="s">
        <x:v>99</x:v>
      </x:c>
      <x:c r="C802" s="3" t="s">
        <x:v>416</x:v>
      </x:c>
      <x:c r="D802" t="s">
        <x:v>677</x:v>
      </x:c>
      <x:c r="E802" s="6">
        <x:v>0</x:v>
      </x:c>
      <x:c r="F802" s="6">
        <x:v>0</x:v>
      </x:c>
      <x:c r="G802" s="6">
        <x:v>0</x:v>
      </x:c>
      <x:c r="H802" s="6">
        <x:f t="shared" si="39"/>
        <x:v>0</x:v>
      </x:c>
      <x:c r="I802" s="6">
        <x:v>4219.09</x:v>
      </x:c>
      <x:c r="J802" s="6">
        <x:v>0</x:v>
      </x:c>
      <x:c r="K802" s="6">
        <x:f t="shared" si="40"/>
        <x:v>4219.09</x:v>
      </x:c>
      <x:c r="L802" s="6">
        <x:v>0</x:v>
      </x:c>
      <x:c r="M802" s="6">
        <x:v>0</x:v>
      </x:c>
      <x:c r="N802" s="6">
        <x:f t="shared" si="41"/>
        <x:v>4219.09</x:v>
      </x:c>
    </x:row>
    <x:row r="803" spans="1:14" x14ac:dyDescent="0.25">
      <x:c r="A803" t="s">
        <x:v>13</x:v>
      </x:c>
      <x:c r="B803" s="3" t="s">
        <x:v>105</x:v>
      </x:c>
      <x:c r="C803" s="3" t="s">
        <x:v>422</x:v>
      </x:c>
      <x:c r="D803" t="s">
        <x:v>677</x:v>
      </x:c>
      <x:c r="E803" s="6">
        <x:v>0</x:v>
      </x:c>
      <x:c r="F803" s="6">
        <x:v>0</x:v>
      </x:c>
      <x:c r="G803" s="6">
        <x:v>0</x:v>
      </x:c>
      <x:c r="H803" s="6">
        <x:f t="shared" si="39"/>
        <x:v>0</x:v>
      </x:c>
      <x:c r="I803" s="6">
        <x:v>6151.4400000000005</x:v>
      </x:c>
      <x:c r="J803" s="6">
        <x:v>0</x:v>
      </x:c>
      <x:c r="K803" s="6">
        <x:f t="shared" si="40"/>
        <x:v>6151.4400000000005</x:v>
      </x:c>
      <x:c r="L803" s="6">
        <x:v>0</x:v>
      </x:c>
      <x:c r="M803" s="6">
        <x:v>0</x:v>
      </x:c>
      <x:c r="N803" s="6">
        <x:f t="shared" si="41"/>
        <x:v>6151.4400000000005</x:v>
      </x:c>
    </x:row>
    <x:row r="804" spans="1:14" x14ac:dyDescent="0.25">
      <x:c r="A804" t="s">
        <x:v>13</x:v>
      </x:c>
      <x:c r="B804" s="3" t="s">
        <x:v>110</x:v>
      </x:c>
      <x:c r="C804" s="3" t="s">
        <x:v>427</x:v>
      </x:c>
      <x:c r="D804" t="s">
        <x:v>677</x:v>
      </x:c>
      <x:c r="E804" s="6">
        <x:v>0</x:v>
      </x:c>
      <x:c r="F804" s="6">
        <x:v>0</x:v>
      </x:c>
      <x:c r="G804" s="6">
        <x:v>0</x:v>
      </x:c>
      <x:c r="H804" s="6">
        <x:f t="shared" si="39"/>
        <x:v>0</x:v>
      </x:c>
      <x:c r="I804" s="6">
        <x:v>3072.99</x:v>
      </x:c>
      <x:c r="J804" s="6">
        <x:v>0</x:v>
      </x:c>
      <x:c r="K804" s="6">
        <x:f t="shared" si="40"/>
        <x:v>3072.99</x:v>
      </x:c>
      <x:c r="L804" s="6">
        <x:v>0</x:v>
      </x:c>
      <x:c r="M804" s="6">
        <x:v>0</x:v>
      </x:c>
      <x:c r="N804" s="6">
        <x:f t="shared" si="41"/>
        <x:v>3072.99</x:v>
      </x:c>
    </x:row>
    <x:row r="805" spans="1:14" x14ac:dyDescent="0.25">
      <x:c r="A805" t="s">
        <x:v>13</x:v>
      </x:c>
      <x:c r="B805" s="3" t="s">
        <x:v>112</x:v>
      </x:c>
      <x:c r="C805" s="3" t="s">
        <x:v>429</x:v>
      </x:c>
      <x:c r="D805" t="s">
        <x:v>676</x:v>
      </x:c>
      <x:c r="E805" s="6">
        <x:v>0</x:v>
      </x:c>
      <x:c r="F805" s="6">
        <x:v>0</x:v>
      </x:c>
      <x:c r="G805" s="6">
        <x:v>0</x:v>
      </x:c>
      <x:c r="H805" s="6">
        <x:f t="shared" si="39"/>
        <x:v>0</x:v>
      </x:c>
      <x:c r="I805" s="6">
        <x:v>0</x:v>
      </x:c>
      <x:c r="J805" s="6">
        <x:v>0</x:v>
      </x:c>
      <x:c r="K805" s="6">
        <x:f t="shared" si="40"/>
        <x:v>0</x:v>
      </x:c>
      <x:c r="L805" s="6">
        <x:v>9320.7999999999975</x:v>
      </x:c>
      <x:c r="M805" s="6">
        <x:v>0</x:v>
      </x:c>
      <x:c r="N805" s="6">
        <x:f t="shared" si="41"/>
        <x:v>9320.7999999999975</x:v>
      </x:c>
    </x:row>
    <x:row r="806" spans="1:14" x14ac:dyDescent="0.25">
      <x:c r="A806" t="s">
        <x:v>13</x:v>
      </x:c>
      <x:c r="B806" s="3" t="s">
        <x:v>115</x:v>
      </x:c>
      <x:c r="C806" s="3" t="s">
        <x:v>432</x:v>
      </x:c>
      <x:c r="D806" t="s">
        <x:v>676</x:v>
      </x:c>
      <x:c r="E806" s="6">
        <x:v>0</x:v>
      </x:c>
      <x:c r="F806" s="6">
        <x:v>0</x:v>
      </x:c>
      <x:c r="G806" s="6">
        <x:v>0</x:v>
      </x:c>
      <x:c r="H806" s="6">
        <x:f t="shared" si="39"/>
        <x:v>0</x:v>
      </x:c>
      <x:c r="I806" s="6">
        <x:v>0</x:v>
      </x:c>
      <x:c r="J806" s="6">
        <x:v>0</x:v>
      </x:c>
      <x:c r="K806" s="6">
        <x:f t="shared" si="40"/>
        <x:v>0</x:v>
      </x:c>
      <x:c r="L806" s="6">
        <x:v>5022.22</x:v>
      </x:c>
      <x:c r="M806" s="6">
        <x:v>0</x:v>
      </x:c>
      <x:c r="N806" s="6">
        <x:f t="shared" si="41"/>
        <x:v>5022.22</x:v>
      </x:c>
    </x:row>
    <x:row r="807" spans="1:14" x14ac:dyDescent="0.25">
      <x:c r="A807" t="s">
        <x:v>13</x:v>
      </x:c>
      <x:c r="B807" s="3" t="s">
        <x:v>116</x:v>
      </x:c>
      <x:c r="C807" s="3" t="s">
        <x:v>433</x:v>
      </x:c>
      <x:c r="D807" t="s">
        <x:v>676</x:v>
      </x:c>
      <x:c r="E807" s="6">
        <x:v>0</x:v>
      </x:c>
      <x:c r="F807" s="6">
        <x:v>0</x:v>
      </x:c>
      <x:c r="G807" s="6">
        <x:v>0</x:v>
      </x:c>
      <x:c r="H807" s="6">
        <x:f t="shared" si="39"/>
        <x:v>0</x:v>
      </x:c>
      <x:c r="I807" s="6">
        <x:v>0</x:v>
      </x:c>
      <x:c r="J807" s="6">
        <x:v>0</x:v>
      </x:c>
      <x:c r="K807" s="6">
        <x:f t="shared" si="40"/>
        <x:v>0</x:v>
      </x:c>
      <x:c r="L807" s="6">
        <x:v>2832.8</x:v>
      </x:c>
      <x:c r="M807" s="6">
        <x:v>0</x:v>
      </x:c>
      <x:c r="N807" s="6">
        <x:f t="shared" si="41"/>
        <x:v>2832.8</x:v>
      </x:c>
    </x:row>
    <x:row r="808" spans="1:14" x14ac:dyDescent="0.25">
      <x:c r="A808" t="s">
        <x:v>13</x:v>
      </x:c>
      <x:c r="B808" s="3" t="s">
        <x:v>117</x:v>
      </x:c>
      <x:c r="C808" s="3" t="s">
        <x:v>434</x:v>
      </x:c>
      <x:c r="D808" t="s">
        <x:v>676</x:v>
      </x:c>
      <x:c r="E808" s="6">
        <x:v>0</x:v>
      </x:c>
      <x:c r="F808" s="6">
        <x:v>0</x:v>
      </x:c>
      <x:c r="G808" s="6">
        <x:v>0</x:v>
      </x:c>
      <x:c r="H808" s="6">
        <x:f t="shared" si="39"/>
        <x:v>0</x:v>
      </x:c>
      <x:c r="I808" s="6">
        <x:v>0</x:v>
      </x:c>
      <x:c r="J808" s="6">
        <x:v>0</x:v>
      </x:c>
      <x:c r="K808" s="6">
        <x:f t="shared" si="40"/>
        <x:v>0</x:v>
      </x:c>
      <x:c r="L808" s="6">
        <x:v>1352.07</x:v>
      </x:c>
      <x:c r="M808" s="6">
        <x:v>0</x:v>
      </x:c>
      <x:c r="N808" s="6">
        <x:f t="shared" si="41"/>
        <x:v>1352.07</x:v>
      </x:c>
    </x:row>
    <x:row r="809" spans="1:14" x14ac:dyDescent="0.25">
      <x:c r="A809" t="s">
        <x:v>13</x:v>
      </x:c>
      <x:c r="B809" s="3" t="s">
        <x:v>229</x:v>
      </x:c>
      <x:c r="C809" s="3" t="s">
        <x:v>544</x:v>
      </x:c>
      <x:c r="D809" t="s">
        <x:v>677</x:v>
      </x:c>
      <x:c r="E809" s="6">
        <x:v>0</x:v>
      </x:c>
      <x:c r="F809" s="6">
        <x:v>0</x:v>
      </x:c>
      <x:c r="G809" s="6">
        <x:v>0</x:v>
      </x:c>
      <x:c r="H809" s="6">
        <x:f t="shared" si="39"/>
        <x:v>0</x:v>
      </x:c>
      <x:c r="I809" s="6">
        <x:v>-1</x:v>
      </x:c>
      <x:c r="J809" s="6">
        <x:v>0</x:v>
      </x:c>
      <x:c r="K809" s="6">
        <x:f t="shared" si="40"/>
        <x:v>-1</x:v>
      </x:c>
      <x:c r="L809" s="6">
        <x:v>0</x:v>
      </x:c>
      <x:c r="M809" s="6">
        <x:v>0</x:v>
      </x:c>
      <x:c r="N809" s="6">
        <x:f t="shared" si="41"/>
        <x:v>-1</x:v>
      </x:c>
    </x:row>
    <x:row r="810" spans="1:14" x14ac:dyDescent="0.25">
      <x:c r="A810" t="s">
        <x:v>13</x:v>
      </x:c>
      <x:c r="B810" s="3" t="s">
        <x:v>122</x:v>
      </x:c>
      <x:c r="C810" s="3" t="s">
        <x:v>439</x:v>
      </x:c>
      <x:c r="D810" t="s">
        <x:v>677</x:v>
      </x:c>
      <x:c r="E810" s="6">
        <x:v>0</x:v>
      </x:c>
      <x:c r="F810" s="6">
        <x:v>0</x:v>
      </x:c>
      <x:c r="G810" s="6">
        <x:v>0</x:v>
      </x:c>
      <x:c r="H810" s="6">
        <x:f t="shared" si="39"/>
        <x:v>0</x:v>
      </x:c>
      <x:c r="I810" s="6">
        <x:v>-2011755.37</x:v>
      </x:c>
      <x:c r="J810" s="6">
        <x:v>0</x:v>
      </x:c>
      <x:c r="K810" s="6">
        <x:f t="shared" si="40"/>
        <x:v>-2011755.37</x:v>
      </x:c>
      <x:c r="L810" s="6">
        <x:v>0</x:v>
      </x:c>
      <x:c r="M810" s="6">
        <x:v>0</x:v>
      </x:c>
      <x:c r="N810" s="6">
        <x:f t="shared" si="41"/>
        <x:v>-2011755.37</x:v>
      </x:c>
    </x:row>
    <x:row r="811" spans="1:14" x14ac:dyDescent="0.25">
      <x:c r="A811" t="s">
        <x:v>13</x:v>
      </x:c>
      <x:c r="B811" s="3" t="s">
        <x:v>126</x:v>
      </x:c>
      <x:c r="C811" s="3" t="s">
        <x:v>443</x:v>
      </x:c>
      <x:c r="D811" t="s">
        <x:v>677</x:v>
      </x:c>
      <x:c r="E811" s="6">
        <x:v>0</x:v>
      </x:c>
      <x:c r="F811" s="6">
        <x:v>0</x:v>
      </x:c>
      <x:c r="G811" s="6">
        <x:v>0</x:v>
      </x:c>
      <x:c r="H811" s="6">
        <x:f t="shared" si="39"/>
        <x:v>0</x:v>
      </x:c>
      <x:c r="I811" s="6">
        <x:v>13740.53</x:v>
      </x:c>
      <x:c r="J811" s="6">
        <x:v>0</x:v>
      </x:c>
      <x:c r="K811" s="6">
        <x:f t="shared" si="40"/>
        <x:v>13740.53</x:v>
      </x:c>
      <x:c r="L811" s="6">
        <x:v>0</x:v>
      </x:c>
      <x:c r="M811" s="6">
        <x:v>0</x:v>
      </x:c>
      <x:c r="N811" s="6">
        <x:f t="shared" si="41"/>
        <x:v>13740.53</x:v>
      </x:c>
    </x:row>
    <x:row r="812" spans="1:14" x14ac:dyDescent="0.25">
      <x:c r="A812" t="s">
        <x:v>13</x:v>
      </x:c>
      <x:c r="B812" s="3" t="s">
        <x:v>230</x:v>
      </x:c>
      <x:c r="C812" s="3" t="s">
        <x:v>545</x:v>
      </x:c>
      <x:c r="D812" t="s">
        <x:v>677</x:v>
      </x:c>
      <x:c r="E812" s="6">
        <x:v>0</x:v>
      </x:c>
      <x:c r="F812" s="6">
        <x:v>0</x:v>
      </x:c>
      <x:c r="G812" s="6">
        <x:v>0</x:v>
      </x:c>
      <x:c r="H812" s="6">
        <x:f t="shared" si="39"/>
        <x:v>0</x:v>
      </x:c>
      <x:c r="I812" s="6">
        <x:v>3760.6399999999994</x:v>
      </x:c>
      <x:c r="J812" s="6">
        <x:v>0</x:v>
      </x:c>
      <x:c r="K812" s="6">
        <x:f t="shared" si="40"/>
        <x:v>3760.6399999999994</x:v>
      </x:c>
      <x:c r="L812" s="6">
        <x:v>0</x:v>
      </x:c>
      <x:c r="M812" s="6">
        <x:v>0</x:v>
      </x:c>
      <x:c r="N812" s="6">
        <x:f t="shared" si="41"/>
        <x:v>3760.6399999999994</x:v>
      </x:c>
    </x:row>
    <x:row r="813" spans="1:14" x14ac:dyDescent="0.25">
      <x:c r="A813" t="s">
        <x:v>13</x:v>
      </x:c>
      <x:c r="B813" s="3" t="s">
        <x:v>127</x:v>
      </x:c>
      <x:c r="C813" s="3" t="s">
        <x:v>444</x:v>
      </x:c>
      <x:c r="D813" t="s">
        <x:v>677</x:v>
      </x:c>
      <x:c r="E813" s="6">
        <x:v>0</x:v>
      </x:c>
      <x:c r="F813" s="6">
        <x:v>0</x:v>
      </x:c>
      <x:c r="G813" s="6">
        <x:v>0</x:v>
      </x:c>
      <x:c r="H813" s="6">
        <x:f t="shared" si="39"/>
        <x:v>0</x:v>
      </x:c>
      <x:c r="I813" s="6">
        <x:v>18.509999999999998</x:v>
      </x:c>
      <x:c r="J813" s="6">
        <x:v>0</x:v>
      </x:c>
      <x:c r="K813" s="6">
        <x:f t="shared" si="40"/>
        <x:v>18.509999999999998</x:v>
      </x:c>
      <x:c r="L813" s="6">
        <x:v>0</x:v>
      </x:c>
      <x:c r="M813" s="6">
        <x:v>0</x:v>
      </x:c>
      <x:c r="N813" s="6">
        <x:f t="shared" si="41"/>
        <x:v>18.509999999999998</x:v>
      </x:c>
    </x:row>
    <x:row r="814" spans="1:14" x14ac:dyDescent="0.25">
      <x:c r="A814" t="s">
        <x:v>13</x:v>
      </x:c>
      <x:c r="B814" s="3" t="s">
        <x:v>231</x:v>
      </x:c>
      <x:c r="C814" s="3" t="s">
        <x:v>546</x:v>
      </x:c>
      <x:c r="D814" t="s">
        <x:v>677</x:v>
      </x:c>
      <x:c r="E814" s="6">
        <x:v>0</x:v>
      </x:c>
      <x:c r="F814" s="6">
        <x:v>0</x:v>
      </x:c>
      <x:c r="G814" s="6">
        <x:v>0</x:v>
      </x:c>
      <x:c r="H814" s="6">
        <x:f t="shared" si="39"/>
        <x:v>0</x:v>
      </x:c>
      <x:c r="I814" s="6">
        <x:v>12825.039999999999</x:v>
      </x:c>
      <x:c r="J814" s="6">
        <x:v>0</x:v>
      </x:c>
      <x:c r="K814" s="6">
        <x:f t="shared" si="40"/>
        <x:v>12825.039999999999</x:v>
      </x:c>
      <x:c r="L814" s="6">
        <x:v>0</x:v>
      </x:c>
      <x:c r="M814" s="6">
        <x:v>0</x:v>
      </x:c>
      <x:c r="N814" s="6">
        <x:f t="shared" si="41"/>
        <x:v>12825.039999999999</x:v>
      </x:c>
    </x:row>
    <x:row r="815" spans="1:14" x14ac:dyDescent="0.25">
      <x:c r="A815" t="s">
        <x:v>13</x:v>
      </x:c>
      <x:c r="B815" s="3" t="s">
        <x:v>128</x:v>
      </x:c>
      <x:c r="C815" s="3" t="s">
        <x:v>445</x:v>
      </x:c>
      <x:c r="D815" t="s">
        <x:v>677</x:v>
      </x:c>
      <x:c r="E815" s="6">
        <x:v>0</x:v>
      </x:c>
      <x:c r="F815" s="6">
        <x:v>0</x:v>
      </x:c>
      <x:c r="G815" s="6">
        <x:v>0</x:v>
      </x:c>
      <x:c r="H815" s="6">
        <x:f t="shared" si="39"/>
        <x:v>0</x:v>
      </x:c>
      <x:c r="I815" s="6">
        <x:v>10473.369999999999</x:v>
      </x:c>
      <x:c r="J815" s="6">
        <x:v>0</x:v>
      </x:c>
      <x:c r="K815" s="6">
        <x:f t="shared" si="40"/>
        <x:v>10473.369999999999</x:v>
      </x:c>
      <x:c r="L815" s="6">
        <x:v>0</x:v>
      </x:c>
      <x:c r="M815" s="6">
        <x:v>0</x:v>
      </x:c>
      <x:c r="N815" s="6">
        <x:f t="shared" si="41"/>
        <x:v>10473.369999999999</x:v>
      </x:c>
    </x:row>
    <x:row r="816" spans="1:14" x14ac:dyDescent="0.25">
      <x:c r="A816" t="s">
        <x:v>13</x:v>
      </x:c>
      <x:c r="B816" s="3" t="s">
        <x:v>129</x:v>
      </x:c>
      <x:c r="C816" s="3" t="s">
        <x:v>446</x:v>
      </x:c>
      <x:c r="D816" t="s">
        <x:v>677</x:v>
      </x:c>
      <x:c r="E816" s="6">
        <x:v>0</x:v>
      </x:c>
      <x:c r="F816" s="6">
        <x:v>0</x:v>
      </x:c>
      <x:c r="G816" s="6">
        <x:v>0</x:v>
      </x:c>
      <x:c r="H816" s="6">
        <x:f t="shared" si="39"/>
        <x:v>0</x:v>
      </x:c>
      <x:c r="I816" s="6">
        <x:v>27450.799999999999</x:v>
      </x:c>
      <x:c r="J816" s="6">
        <x:v>0</x:v>
      </x:c>
      <x:c r="K816" s="6">
        <x:f t="shared" si="40"/>
        <x:v>27450.799999999999</x:v>
      </x:c>
      <x:c r="L816" s="6">
        <x:v>0</x:v>
      </x:c>
      <x:c r="M816" s="6">
        <x:v>0</x:v>
      </x:c>
      <x:c r="N816" s="6">
        <x:f t="shared" si="41"/>
        <x:v>27450.799999999999</x:v>
      </x:c>
    </x:row>
    <x:row r="817" spans="1:14" x14ac:dyDescent="0.25">
      <x:c r="A817" t="s">
        <x:v>13</x:v>
      </x:c>
      <x:c r="B817" s="3" t="s">
        <x:v>131</x:v>
      </x:c>
      <x:c r="C817" s="3" t="s">
        <x:v>448</x:v>
      </x:c>
      <x:c r="D817" t="s">
        <x:v>677</x:v>
      </x:c>
      <x:c r="E817" s="6">
        <x:v>0</x:v>
      </x:c>
      <x:c r="F817" s="6">
        <x:v>0</x:v>
      </x:c>
      <x:c r="G817" s="6">
        <x:v>0</x:v>
      </x:c>
      <x:c r="H817" s="6">
        <x:f t="shared" si="39"/>
        <x:v>0</x:v>
      </x:c>
      <x:c r="I817" s="6">
        <x:v>2382.79</x:v>
      </x:c>
      <x:c r="J817" s="6">
        <x:v>0</x:v>
      </x:c>
      <x:c r="K817" s="6">
        <x:f t="shared" si="40"/>
        <x:v>2382.79</x:v>
      </x:c>
      <x:c r="L817" s="6">
        <x:v>0</x:v>
      </x:c>
      <x:c r="M817" s="6">
        <x:v>0</x:v>
      </x:c>
      <x:c r="N817" s="6">
        <x:f t="shared" si="41"/>
        <x:v>2382.79</x:v>
      </x:c>
    </x:row>
    <x:row r="818" spans="1:14" x14ac:dyDescent="0.25">
      <x:c r="A818" t="s">
        <x:v>13</x:v>
      </x:c>
      <x:c r="B818" s="3" t="s">
        <x:v>132</x:v>
      </x:c>
      <x:c r="C818" s="3" t="s">
        <x:v>449</x:v>
      </x:c>
      <x:c r="D818" t="s">
        <x:v>677</x:v>
      </x:c>
      <x:c r="E818" s="6">
        <x:v>0</x:v>
      </x:c>
      <x:c r="F818" s="6">
        <x:v>0</x:v>
      </x:c>
      <x:c r="G818" s="6">
        <x:v>0</x:v>
      </x:c>
      <x:c r="H818" s="6">
        <x:f t="shared" si="39"/>
        <x:v>0</x:v>
      </x:c>
      <x:c r="I818" s="6">
        <x:v>494938.02</x:v>
      </x:c>
      <x:c r="J818" s="6">
        <x:v>0</x:v>
      </x:c>
      <x:c r="K818" s="6">
        <x:f t="shared" si="40"/>
        <x:v>494938.02</x:v>
      </x:c>
      <x:c r="L818" s="6">
        <x:v>0</x:v>
      </x:c>
      <x:c r="M818" s="6">
        <x:v>0</x:v>
      </x:c>
      <x:c r="N818" s="6">
        <x:f t="shared" si="41"/>
        <x:v>494938.02</x:v>
      </x:c>
    </x:row>
    <x:row r="819" spans="1:14" x14ac:dyDescent="0.25">
      <x:c r="A819" t="s">
        <x:v>13</x:v>
      </x:c>
      <x:c r="B819" s="3" t="s">
        <x:v>133</x:v>
      </x:c>
      <x:c r="C819" s="3" t="s">
        <x:v>450</x:v>
      </x:c>
      <x:c r="D819" t="s">
        <x:v>677</x:v>
      </x:c>
      <x:c r="E819" s="6">
        <x:v>0</x:v>
      </x:c>
      <x:c r="F819" s="6">
        <x:v>0</x:v>
      </x:c>
      <x:c r="G819" s="6">
        <x:v>0</x:v>
      </x:c>
      <x:c r="H819" s="6">
        <x:f t="shared" si="39"/>
        <x:v>0</x:v>
      </x:c>
      <x:c r="I819" s="6">
        <x:v>12986.599999999999</x:v>
      </x:c>
      <x:c r="J819" s="6">
        <x:v>0</x:v>
      </x:c>
      <x:c r="K819" s="6">
        <x:f t="shared" si="40"/>
        <x:v>12986.599999999999</x:v>
      </x:c>
      <x:c r="L819" s="6">
        <x:v>0</x:v>
      </x:c>
      <x:c r="M819" s="6">
        <x:v>0</x:v>
      </x:c>
      <x:c r="N819" s="6">
        <x:f t="shared" si="41"/>
        <x:v>12986.599999999999</x:v>
      </x:c>
    </x:row>
    <x:row r="820" spans="1:14" x14ac:dyDescent="0.25">
      <x:c r="A820" t="s">
        <x:v>13</x:v>
      </x:c>
      <x:c r="B820" s="3" t="s">
        <x:v>134</x:v>
      </x:c>
      <x:c r="C820" s="3" t="s">
        <x:v>451</x:v>
      </x:c>
      <x:c r="D820" t="s">
        <x:v>677</x:v>
      </x:c>
      <x:c r="E820" s="6">
        <x:v>0</x:v>
      </x:c>
      <x:c r="F820" s="6">
        <x:v>0</x:v>
      </x:c>
      <x:c r="G820" s="6">
        <x:v>0</x:v>
      </x:c>
      <x:c r="H820" s="6">
        <x:f t="shared" si="39"/>
        <x:v>0</x:v>
      </x:c>
      <x:c r="I820" s="6">
        <x:v>508079.72</x:v>
      </x:c>
      <x:c r="J820" s="6">
        <x:v>0</x:v>
      </x:c>
      <x:c r="K820" s="6">
        <x:f t="shared" si="40"/>
        <x:v>508079.72</x:v>
      </x:c>
      <x:c r="L820" s="6">
        <x:v>0</x:v>
      </x:c>
      <x:c r="M820" s="6">
        <x:v>0</x:v>
      </x:c>
      <x:c r="N820" s="6">
        <x:f t="shared" si="41"/>
        <x:v>508079.72</x:v>
      </x:c>
    </x:row>
    <x:row r="821" spans="1:14" x14ac:dyDescent="0.25">
      <x:c r="A821" t="s">
        <x:v>13</x:v>
      </x:c>
      <x:c r="B821" s="3" t="s">
        <x:v>135</x:v>
      </x:c>
      <x:c r="C821" s="3" t="s">
        <x:v>452</x:v>
      </x:c>
      <x:c r="D821" t="s">
        <x:v>677</x:v>
      </x:c>
      <x:c r="E821" s="6">
        <x:v>0</x:v>
      </x:c>
      <x:c r="F821" s="6">
        <x:v>0</x:v>
      </x:c>
      <x:c r="G821" s="6">
        <x:v>0</x:v>
      </x:c>
      <x:c r="H821" s="6">
        <x:f t="shared" si="39"/>
        <x:v>0</x:v>
      </x:c>
      <x:c r="I821" s="6">
        <x:v>12960.24</x:v>
      </x:c>
      <x:c r="J821" s="6">
        <x:v>0</x:v>
      </x:c>
      <x:c r="K821" s="6">
        <x:f t="shared" si="40"/>
        <x:v>12960.24</x:v>
      </x:c>
      <x:c r="L821" s="6">
        <x:v>0</x:v>
      </x:c>
      <x:c r="M821" s="6">
        <x:v>0</x:v>
      </x:c>
      <x:c r="N821" s="6">
        <x:f t="shared" si="41"/>
        <x:v>12960.24</x:v>
      </x:c>
    </x:row>
    <x:row r="822" spans="1:14" x14ac:dyDescent="0.25">
      <x:c r="A822" t="s">
        <x:v>13</x:v>
      </x:c>
      <x:c r="B822" s="3" t="s">
        <x:v>136</x:v>
      </x:c>
      <x:c r="C822" s="3" t="s">
        <x:v>453</x:v>
      </x:c>
      <x:c r="D822" t="s">
        <x:v>677</x:v>
      </x:c>
      <x:c r="E822" s="6">
        <x:v>0</x:v>
      </x:c>
      <x:c r="F822" s="6">
        <x:v>0</x:v>
      </x:c>
      <x:c r="G822" s="6">
        <x:v>0</x:v>
      </x:c>
      <x:c r="H822" s="6">
        <x:f t="shared" si="39"/>
        <x:v>0</x:v>
      </x:c>
      <x:c r="I822" s="6">
        <x:v>37538.530000000006</x:v>
      </x:c>
      <x:c r="J822" s="6">
        <x:v>0</x:v>
      </x:c>
      <x:c r="K822" s="6">
        <x:f t="shared" si="40"/>
        <x:v>37538.530000000006</x:v>
      </x:c>
      <x:c r="L822" s="6">
        <x:v>0</x:v>
      </x:c>
      <x:c r="M822" s="6">
        <x:v>0</x:v>
      </x:c>
      <x:c r="N822" s="6">
        <x:f t="shared" si="41"/>
        <x:v>37538.530000000006</x:v>
      </x:c>
    </x:row>
    <x:row r="823" spans="1:14" x14ac:dyDescent="0.25">
      <x:c r="A823" t="s">
        <x:v>13</x:v>
      </x:c>
      <x:c r="B823" s="3" t="s">
        <x:v>137</x:v>
      </x:c>
      <x:c r="C823" s="3" t="s">
        <x:v>454</x:v>
      </x:c>
      <x:c r="D823" t="s">
        <x:v>677</x:v>
      </x:c>
      <x:c r="E823" s="6">
        <x:v>0</x:v>
      </x:c>
      <x:c r="F823" s="6">
        <x:v>0</x:v>
      </x:c>
      <x:c r="G823" s="6">
        <x:v>0</x:v>
      </x:c>
      <x:c r="H823" s="6">
        <x:f t="shared" si="39"/>
        <x:v>0</x:v>
      </x:c>
      <x:c r="I823" s="6">
        <x:v>20960.75</x:v>
      </x:c>
      <x:c r="J823" s="6">
        <x:v>0</x:v>
      </x:c>
      <x:c r="K823" s="6">
        <x:f t="shared" si="40"/>
        <x:v>20960.75</x:v>
      </x:c>
      <x:c r="L823" s="6">
        <x:v>0</x:v>
      </x:c>
      <x:c r="M823" s="6">
        <x:v>0</x:v>
      </x:c>
      <x:c r="N823" s="6">
        <x:f t="shared" si="41"/>
        <x:v>20960.75</x:v>
      </x:c>
    </x:row>
    <x:row r="824" spans="1:14" x14ac:dyDescent="0.25">
      <x:c r="A824" t="s">
        <x:v>13</x:v>
      </x:c>
      <x:c r="B824" s="3" t="s">
        <x:v>138</x:v>
      </x:c>
      <x:c r="C824" s="3" t="s">
        <x:v>455</x:v>
      </x:c>
      <x:c r="D824" t="s">
        <x:v>677</x:v>
      </x:c>
      <x:c r="E824" s="6">
        <x:v>0</x:v>
      </x:c>
      <x:c r="F824" s="6">
        <x:v>0</x:v>
      </x:c>
      <x:c r="G824" s="6">
        <x:v>0</x:v>
      </x:c>
      <x:c r="H824" s="6">
        <x:f t="shared" si="39"/>
        <x:v>0</x:v>
      </x:c>
      <x:c r="I824" s="6">
        <x:v>-1051.7700000000004</x:v>
      </x:c>
      <x:c r="J824" s="6">
        <x:v>0</x:v>
      </x:c>
      <x:c r="K824" s="6">
        <x:f t="shared" si="40"/>
        <x:v>-1051.7700000000004</x:v>
      </x:c>
      <x:c r="L824" s="6">
        <x:v>0</x:v>
      </x:c>
      <x:c r="M824" s="6">
        <x:v>0</x:v>
      </x:c>
      <x:c r="N824" s="6">
        <x:f t="shared" si="41"/>
        <x:v>-1051.7700000000004</x:v>
      </x:c>
    </x:row>
    <x:row r="825" spans="1:14" x14ac:dyDescent="0.25">
      <x:c r="A825" t="s">
        <x:v>13</x:v>
      </x:c>
      <x:c r="B825" s="3" t="s">
        <x:v>141</x:v>
      </x:c>
      <x:c r="C825" s="3" t="s">
        <x:v>458</x:v>
      </x:c>
      <x:c r="D825" t="s">
        <x:v>677</x:v>
      </x:c>
      <x:c r="E825" s="6">
        <x:v>0</x:v>
      </x:c>
      <x:c r="F825" s="6">
        <x:v>0</x:v>
      </x:c>
      <x:c r="G825" s="6">
        <x:v>0</x:v>
      </x:c>
      <x:c r="H825" s="6">
        <x:f t="shared" si="39"/>
        <x:v>0</x:v>
      </x:c>
      <x:c r="I825" s="6">
        <x:v>7612.33</x:v>
      </x:c>
      <x:c r="J825" s="6">
        <x:v>0</x:v>
      </x:c>
      <x:c r="K825" s="6">
        <x:f t="shared" si="40"/>
        <x:v>7612.33</x:v>
      </x:c>
      <x:c r="L825" s="6">
        <x:v>0</x:v>
      </x:c>
      <x:c r="M825" s="6">
        <x:v>0</x:v>
      </x:c>
      <x:c r="N825" s="6">
        <x:f t="shared" si="41"/>
        <x:v>7612.33</x:v>
      </x:c>
    </x:row>
    <x:row r="826" spans="1:14" x14ac:dyDescent="0.25">
      <x:c r="A826" t="s">
        <x:v>13</x:v>
      </x:c>
      <x:c r="B826" s="3" t="s">
        <x:v>143</x:v>
      </x:c>
      <x:c r="C826" s="3" t="s">
        <x:v>460</x:v>
      </x:c>
      <x:c r="D826" t="s">
        <x:v>677</x:v>
      </x:c>
      <x:c r="E826" s="6">
        <x:v>0</x:v>
      </x:c>
      <x:c r="F826" s="6">
        <x:v>0</x:v>
      </x:c>
      <x:c r="G826" s="6">
        <x:v>0</x:v>
      </x:c>
      <x:c r="H826" s="6">
        <x:f t="shared" si="39"/>
        <x:v>0</x:v>
      </x:c>
      <x:c r="I826" s="6">
        <x:v>5924.83</x:v>
      </x:c>
      <x:c r="J826" s="6">
        <x:v>0</x:v>
      </x:c>
      <x:c r="K826" s="6">
        <x:f t="shared" si="40"/>
        <x:v>5924.83</x:v>
      </x:c>
      <x:c r="L826" s="6">
        <x:v>0</x:v>
      </x:c>
      <x:c r="M826" s="6">
        <x:v>0</x:v>
      </x:c>
      <x:c r="N826" s="6">
        <x:f t="shared" si="41"/>
        <x:v>5924.83</x:v>
      </x:c>
    </x:row>
    <x:row r="827" spans="1:14" x14ac:dyDescent="0.25">
      <x:c r="A827" t="s">
        <x:v>13</x:v>
      </x:c>
      <x:c r="B827" s="3" t="s">
        <x:v>146</x:v>
      </x:c>
      <x:c r="C827" s="3" t="s">
        <x:v>463</x:v>
      </x:c>
      <x:c r="D827" t="s">
        <x:v>677</x:v>
      </x:c>
      <x:c r="E827" s="6">
        <x:v>0</x:v>
      </x:c>
      <x:c r="F827" s="6">
        <x:v>0</x:v>
      </x:c>
      <x:c r="G827" s="6">
        <x:v>0</x:v>
      </x:c>
      <x:c r="H827" s="6">
        <x:f t="shared" si="39"/>
        <x:v>0</x:v>
      </x:c>
      <x:c r="I827" s="6">
        <x:v>2308094.2599999998</x:v>
      </x:c>
      <x:c r="J827" s="6">
        <x:v>0</x:v>
      </x:c>
      <x:c r="K827" s="6">
        <x:f t="shared" si="40"/>
        <x:v>2308094.2599999998</x:v>
      </x:c>
      <x:c r="L827" s="6">
        <x:v>0</x:v>
      </x:c>
      <x:c r="M827" s="6">
        <x:v>0</x:v>
      </x:c>
      <x:c r="N827" s="6">
        <x:f t="shared" si="41"/>
        <x:v>2308094.2599999998</x:v>
      </x:c>
    </x:row>
    <x:row r="828" spans="1:14" x14ac:dyDescent="0.25">
      <x:c r="A828" t="s">
        <x:v>13</x:v>
      </x:c>
      <x:c r="B828" s="3" t="s">
        <x:v>232</x:v>
      </x:c>
      <x:c r="C828" s="3" t="s">
        <x:v>547</x:v>
      </x:c>
      <x:c r="D828" t="s">
        <x:v>677</x:v>
      </x:c>
      <x:c r="E828" s="6">
        <x:v>0</x:v>
      </x:c>
      <x:c r="F828" s="6">
        <x:v>0</x:v>
      </x:c>
      <x:c r="G828" s="6">
        <x:v>0</x:v>
      </x:c>
      <x:c r="H828" s="6">
        <x:f t="shared" si="39"/>
        <x:v>0</x:v>
      </x:c>
      <x:c r="I828" s="6">
        <x:v>1576438.1400000001</x:v>
      </x:c>
      <x:c r="J828" s="6">
        <x:v>0</x:v>
      </x:c>
      <x:c r="K828" s="6">
        <x:f t="shared" si="40"/>
        <x:v>1576438.1400000001</x:v>
      </x:c>
      <x:c r="L828" s="6">
        <x:v>0</x:v>
      </x:c>
      <x:c r="M828" s="6">
        <x:v>0</x:v>
      </x:c>
      <x:c r="N828" s="6">
        <x:f t="shared" si="41"/>
        <x:v>1576438.1400000001</x:v>
      </x:c>
    </x:row>
    <x:row r="829" spans="1:14" x14ac:dyDescent="0.25">
      <x:c r="A829" t="s">
        <x:v>13</x:v>
      </x:c>
      <x:c r="B829" s="3" t="s">
        <x:v>147</x:v>
      </x:c>
      <x:c r="C829" s="3" t="s">
        <x:v>464</x:v>
      </x:c>
      <x:c r="D829" t="s">
        <x:v>677</x:v>
      </x:c>
      <x:c r="E829" s="6">
        <x:v>0</x:v>
      </x:c>
      <x:c r="F829" s="6">
        <x:v>0</x:v>
      </x:c>
      <x:c r="G829" s="6">
        <x:v>0</x:v>
      </x:c>
      <x:c r="H829" s="6">
        <x:f t="shared" si="39"/>
        <x:v>0</x:v>
      </x:c>
      <x:c r="I829" s="6">
        <x:v>414443.66000000015</x:v>
      </x:c>
      <x:c r="J829" s="6">
        <x:v>0</x:v>
      </x:c>
      <x:c r="K829" s="6">
        <x:f t="shared" si="40"/>
        <x:v>414443.66000000015</x:v>
      </x:c>
      <x:c r="L829" s="6">
        <x:v>0</x:v>
      </x:c>
      <x:c r="M829" s="6">
        <x:v>0</x:v>
      </x:c>
      <x:c r="N829" s="6">
        <x:f t="shared" si="41"/>
        <x:v>414443.66000000015</x:v>
      </x:c>
    </x:row>
    <x:row r="830" spans="1:14" x14ac:dyDescent="0.25">
      <x:c r="A830" t="s">
        <x:v>13</x:v>
      </x:c>
      <x:c r="B830" s="3" t="s">
        <x:v>148</x:v>
      </x:c>
      <x:c r="C830" s="3" t="s">
        <x:v>465</x:v>
      </x:c>
      <x:c r="D830" t="s">
        <x:v>677</x:v>
      </x:c>
      <x:c r="E830" s="6">
        <x:v>0</x:v>
      </x:c>
      <x:c r="F830" s="6">
        <x:v>0</x:v>
      </x:c>
      <x:c r="G830" s="6">
        <x:v>0</x:v>
      </x:c>
      <x:c r="H830" s="6">
        <x:f t="shared" si="39"/>
        <x:v>0</x:v>
      </x:c>
      <x:c r="I830" s="6">
        <x:v>179465.54999999987</x:v>
      </x:c>
      <x:c r="J830" s="6">
        <x:v>0</x:v>
      </x:c>
      <x:c r="K830" s="6">
        <x:f t="shared" si="40"/>
        <x:v>179465.54999999987</x:v>
      </x:c>
      <x:c r="L830" s="6">
        <x:v>0</x:v>
      </x:c>
      <x:c r="M830" s="6">
        <x:v>0</x:v>
      </x:c>
      <x:c r="N830" s="6">
        <x:f t="shared" si="41"/>
        <x:v>179465.54999999987</x:v>
      </x:c>
    </x:row>
    <x:row r="831" spans="1:14" x14ac:dyDescent="0.25">
      <x:c r="A831" t="s">
        <x:v>13</x:v>
      </x:c>
      <x:c r="B831" s="3" t="s">
        <x:v>149</x:v>
      </x:c>
      <x:c r="C831" s="3" t="s">
        <x:v>466</x:v>
      </x:c>
      <x:c r="D831" t="s">
        <x:v>677</x:v>
      </x:c>
      <x:c r="E831" s="6">
        <x:v>0</x:v>
      </x:c>
      <x:c r="F831" s="6">
        <x:v>0</x:v>
      </x:c>
      <x:c r="G831" s="6">
        <x:v>0</x:v>
      </x:c>
      <x:c r="H831" s="6">
        <x:f t="shared" si="39"/>
        <x:v>0</x:v>
      </x:c>
      <x:c r="I831" s="6">
        <x:v>7765.930000000003</x:v>
      </x:c>
      <x:c r="J831" s="6">
        <x:v>0</x:v>
      </x:c>
      <x:c r="K831" s="6">
        <x:f t="shared" si="40"/>
        <x:v>7765.930000000003</x:v>
      </x:c>
      <x:c r="L831" s="6">
        <x:v>0</x:v>
      </x:c>
      <x:c r="M831" s="6">
        <x:v>0</x:v>
      </x:c>
      <x:c r="N831" s="6">
        <x:f t="shared" si="41"/>
        <x:v>7765.930000000003</x:v>
      </x:c>
    </x:row>
    <x:row r="832" spans="1:14" x14ac:dyDescent="0.25">
      <x:c r="A832" t="s">
        <x:v>13</x:v>
      </x:c>
      <x:c r="B832" s="3" t="s">
        <x:v>150</x:v>
      </x:c>
      <x:c r="C832" s="3" t="s">
        <x:v>467</x:v>
      </x:c>
      <x:c r="D832" t="s">
        <x:v>677</x:v>
      </x:c>
      <x:c r="E832" s="6">
        <x:v>0</x:v>
      </x:c>
      <x:c r="F832" s="6">
        <x:v>0</x:v>
      </x:c>
      <x:c r="G832" s="6">
        <x:v>0</x:v>
      </x:c>
      <x:c r="H832" s="6">
        <x:f t="shared" si="39"/>
        <x:v>0</x:v>
      </x:c>
      <x:c r="I832" s="6">
        <x:v>441595.7199999998</x:v>
      </x:c>
      <x:c r="J832" s="6">
        <x:v>0</x:v>
      </x:c>
      <x:c r="K832" s="6">
        <x:f t="shared" si="40"/>
        <x:v>441595.7199999998</x:v>
      </x:c>
      <x:c r="L832" s="6">
        <x:v>0</x:v>
      </x:c>
      <x:c r="M832" s="6">
        <x:v>0</x:v>
      </x:c>
      <x:c r="N832" s="6">
        <x:f t="shared" si="41"/>
        <x:v>441595.7199999998</x:v>
      </x:c>
    </x:row>
    <x:row r="833" spans="1:14" x14ac:dyDescent="0.25">
      <x:c r="A833" t="s">
        <x:v>13</x:v>
      </x:c>
      <x:c r="B833" s="3" t="s">
        <x:v>151</x:v>
      </x:c>
      <x:c r="C833" s="3" t="s">
        <x:v>468</x:v>
      </x:c>
      <x:c r="D833" t="s">
        <x:v>677</x:v>
      </x:c>
      <x:c r="E833" s="6">
        <x:v>0</x:v>
      </x:c>
      <x:c r="F833" s="6">
        <x:v>0</x:v>
      </x:c>
      <x:c r="G833" s="6">
        <x:v>0</x:v>
      </x:c>
      <x:c r="H833" s="6">
        <x:f t="shared" si="39"/>
        <x:v>0</x:v>
      </x:c>
      <x:c r="I833" s="6">
        <x:v>911802.44</x:v>
      </x:c>
      <x:c r="J833" s="6">
        <x:v>0</x:v>
      </x:c>
      <x:c r="K833" s="6">
        <x:f t="shared" si="40"/>
        <x:v>911802.44</x:v>
      </x:c>
      <x:c r="L833" s="6">
        <x:v>0</x:v>
      </x:c>
      <x:c r="M833" s="6">
        <x:v>0</x:v>
      </x:c>
      <x:c r="N833" s="6">
        <x:f t="shared" si="41"/>
        <x:v>911802.44</x:v>
      </x:c>
    </x:row>
    <x:row r="834" spans="1:14" x14ac:dyDescent="0.25">
      <x:c r="A834" t="s">
        <x:v>13</x:v>
      </x:c>
      <x:c r="B834" s="3" t="s">
        <x:v>152</x:v>
      </x:c>
      <x:c r="C834" s="3" t="s">
        <x:v>469</x:v>
      </x:c>
      <x:c r="D834" t="s">
        <x:v>677</x:v>
      </x:c>
      <x:c r="E834" s="6">
        <x:v>0</x:v>
      </x:c>
      <x:c r="F834" s="6">
        <x:v>0</x:v>
      </x:c>
      <x:c r="G834" s="6">
        <x:v>0</x:v>
      </x:c>
      <x:c r="H834" s="6">
        <x:f t="shared" si="39"/>
        <x:v>0</x:v>
      </x:c>
      <x:c r="I834" s="6">
        <x:v>328034.11999999994</x:v>
      </x:c>
      <x:c r="J834" s="6">
        <x:v>0</x:v>
      </x:c>
      <x:c r="K834" s="6">
        <x:f t="shared" si="40"/>
        <x:v>328034.11999999994</x:v>
      </x:c>
      <x:c r="L834" s="6">
        <x:v>0</x:v>
      </x:c>
      <x:c r="M834" s="6">
        <x:v>0</x:v>
      </x:c>
      <x:c r="N834" s="6">
        <x:f t="shared" si="41"/>
        <x:v>328034.11999999994</x:v>
      </x:c>
    </x:row>
    <x:row r="835" spans="1:14" x14ac:dyDescent="0.25">
      <x:c r="A835" t="s">
        <x:v>13</x:v>
      </x:c>
      <x:c r="B835" s="3" t="s">
        <x:v>153</x:v>
      </x:c>
      <x:c r="C835" s="3" t="s">
        <x:v>470</x:v>
      </x:c>
      <x:c r="D835" t="s">
        <x:v>677</x:v>
      </x:c>
      <x:c r="E835" s="6">
        <x:v>0</x:v>
      </x:c>
      <x:c r="F835" s="6">
        <x:v>0</x:v>
      </x:c>
      <x:c r="G835" s="6">
        <x:v>0</x:v>
      </x:c>
      <x:c r="H835" s="6">
        <x:f t="shared" si="39"/>
        <x:v>0</x:v>
      </x:c>
      <x:c r="I835" s="6">
        <x:v>196876.81000000003</x:v>
      </x:c>
      <x:c r="J835" s="6">
        <x:v>0</x:v>
      </x:c>
      <x:c r="K835" s="6">
        <x:f t="shared" si="40"/>
        <x:v>196876.81000000003</x:v>
      </x:c>
      <x:c r="L835" s="6">
        <x:v>0</x:v>
      </x:c>
      <x:c r="M835" s="6">
        <x:v>0</x:v>
      </x:c>
      <x:c r="N835" s="6">
        <x:f t="shared" si="41"/>
        <x:v>196876.81000000003</x:v>
      </x:c>
    </x:row>
    <x:row r="836" spans="1:14" x14ac:dyDescent="0.25">
      <x:c r="A836" t="s">
        <x:v>13</x:v>
      </x:c>
      <x:c r="B836" s="3" t="s">
        <x:v>154</x:v>
      </x:c>
      <x:c r="C836" s="3" t="s">
        <x:v>471</x:v>
      </x:c>
      <x:c r="D836" t="s">
        <x:v>677</x:v>
      </x:c>
      <x:c r="E836" s="6">
        <x:v>0</x:v>
      </x:c>
      <x:c r="F836" s="6">
        <x:v>0</x:v>
      </x:c>
      <x:c r="G836" s="6">
        <x:v>0</x:v>
      </x:c>
      <x:c r="H836" s="6">
        <x:f t="shared" si="39"/>
        <x:v>0</x:v>
      </x:c>
      <x:c r="I836" s="6">
        <x:v>589475.55999999994</x:v>
      </x:c>
      <x:c r="J836" s="6">
        <x:v>0</x:v>
      </x:c>
      <x:c r="K836" s="6">
        <x:f t="shared" si="40"/>
        <x:v>589475.55999999994</x:v>
      </x:c>
      <x:c r="L836" s="6">
        <x:v>0</x:v>
      </x:c>
      <x:c r="M836" s="6">
        <x:v>0</x:v>
      </x:c>
      <x:c r="N836" s="6">
        <x:f t="shared" si="41"/>
        <x:v>589475.55999999994</x:v>
      </x:c>
    </x:row>
    <x:row r="837" spans="1:14" x14ac:dyDescent="0.25">
      <x:c r="A837" t="s">
        <x:v>13</x:v>
      </x:c>
      <x:c r="B837" s="3" t="s">
        <x:v>155</x:v>
      </x:c>
      <x:c r="C837" s="3" t="s">
        <x:v>472</x:v>
      </x:c>
      <x:c r="D837" t="s">
        <x:v>677</x:v>
      </x:c>
      <x:c r="E837" s="6">
        <x:v>0</x:v>
      </x:c>
      <x:c r="F837" s="6">
        <x:v>0</x:v>
      </x:c>
      <x:c r="G837" s="6">
        <x:v>0</x:v>
      </x:c>
      <x:c r="H837" s="6">
        <x:f t="shared" si="39"/>
        <x:v>0</x:v>
      </x:c>
      <x:c r="I837" s="6">
        <x:v>9761.2100000000046</x:v>
      </x:c>
      <x:c r="J837" s="6">
        <x:v>0</x:v>
      </x:c>
      <x:c r="K837" s="6">
        <x:f t="shared" si="40"/>
        <x:v>9761.2100000000046</x:v>
      </x:c>
      <x:c r="L837" s="6">
        <x:v>0</x:v>
      </x:c>
      <x:c r="M837" s="6">
        <x:v>0</x:v>
      </x:c>
      <x:c r="N837" s="6">
        <x:f t="shared" si="41"/>
        <x:v>9761.2100000000046</x:v>
      </x:c>
    </x:row>
    <x:row r="838" spans="1:14" x14ac:dyDescent="0.25">
      <x:c r="A838" t="s">
        <x:v>13</x:v>
      </x:c>
      <x:c r="B838" s="3" t="s">
        <x:v>45</x:v>
      </x:c>
      <x:c r="C838" s="3" t="s">
        <x:v>362</x:v>
      </x:c>
      <x:c r="D838" t="s">
        <x:v>677</x:v>
      </x:c>
      <x:c r="E838" s="6">
        <x:v>0</x:v>
      </x:c>
      <x:c r="F838" s="6">
        <x:v>0</x:v>
      </x:c>
      <x:c r="G838" s="6">
        <x:v>0</x:v>
      </x:c>
      <x:c r="H838" s="6">
        <x:f t="shared" si="39"/>
        <x:v>0</x:v>
      </x:c>
      <x:c r="I838" s="6">
        <x:v>4.6900000000000004</x:v>
      </x:c>
      <x:c r="J838" s="6">
        <x:v>0</x:v>
      </x:c>
      <x:c r="K838" s="6">
        <x:f t="shared" si="40"/>
        <x:v>4.6900000000000004</x:v>
      </x:c>
      <x:c r="L838" s="6">
        <x:v>0</x:v>
      </x:c>
      <x:c r="M838" s="6">
        <x:v>0</x:v>
      </x:c>
      <x:c r="N838" s="6">
        <x:f t="shared" si="41"/>
        <x:v>4.6900000000000004</x:v>
      </x:c>
    </x:row>
    <x:row r="839" spans="1:14" x14ac:dyDescent="0.25">
      <x:c r="A839" t="s">
        <x:v>13</x:v>
      </x:c>
      <x:c r="B839" s="3" t="s">
        <x:v>156</x:v>
      </x:c>
      <x:c r="C839" s="3" t="s">
        <x:v>473</x:v>
      </x:c>
      <x:c r="D839" t="s">
        <x:v>677</x:v>
      </x:c>
      <x:c r="E839" s="6">
        <x:v>0</x:v>
      </x:c>
      <x:c r="F839" s="6">
        <x:v>0</x:v>
      </x:c>
      <x:c r="G839" s="6">
        <x:v>0</x:v>
      </x:c>
      <x:c r="H839" s="6">
        <x:f t="shared" si="39"/>
        <x:v>0</x:v>
      </x:c>
      <x:c r="I839" s="6">
        <x:v>8542.5599999999977</x:v>
      </x:c>
      <x:c r="J839" s="6">
        <x:v>0</x:v>
      </x:c>
      <x:c r="K839" s="6">
        <x:f t="shared" si="40"/>
        <x:v>8542.5599999999977</x:v>
      </x:c>
      <x:c r="L839" s="6">
        <x:v>0</x:v>
      </x:c>
      <x:c r="M839" s="6">
        <x:v>0</x:v>
      </x:c>
      <x:c r="N839" s="6">
        <x:f t="shared" si="41"/>
        <x:v>8542.5599999999977</x:v>
      </x:c>
    </x:row>
    <x:row r="840" spans="1:14" x14ac:dyDescent="0.25">
      <x:c r="A840" t="s">
        <x:v>13</x:v>
      </x:c>
      <x:c r="B840" s="3" t="s">
        <x:v>158</x:v>
      </x:c>
      <x:c r="C840" s="3" t="s">
        <x:v>475</x:v>
      </x:c>
      <x:c r="D840" t="s">
        <x:v>677</x:v>
      </x:c>
      <x:c r="E840" s="6">
        <x:v>0</x:v>
      </x:c>
      <x:c r="F840" s="6">
        <x:v>0</x:v>
      </x:c>
      <x:c r="G840" s="6">
        <x:v>0</x:v>
      </x:c>
      <x:c r="H840" s="6">
        <x:f t="shared" si="39"/>
        <x:v>0</x:v>
      </x:c>
      <x:c r="I840" s="6">
        <x:v>1810.33</x:v>
      </x:c>
      <x:c r="J840" s="6">
        <x:v>0</x:v>
      </x:c>
      <x:c r="K840" s="6">
        <x:f t="shared" si="40"/>
        <x:v>1810.33</x:v>
      </x:c>
      <x:c r="L840" s="6">
        <x:v>0</x:v>
      </x:c>
      <x:c r="M840" s="6">
        <x:v>0</x:v>
      </x:c>
      <x:c r="N840" s="6">
        <x:f t="shared" si="41"/>
        <x:v>1810.33</x:v>
      </x:c>
    </x:row>
    <x:row r="841" spans="1:14" x14ac:dyDescent="0.25">
      <x:c r="A841" t="s">
        <x:v>13</x:v>
      </x:c>
      <x:c r="B841" s="3" t="s">
        <x:v>159</x:v>
      </x:c>
      <x:c r="C841" s="3" t="s">
        <x:v>476</x:v>
      </x:c>
      <x:c r="D841" t="s">
        <x:v>677</x:v>
      </x:c>
      <x:c r="E841" s="6">
        <x:v>0</x:v>
      </x:c>
      <x:c r="F841" s="6">
        <x:v>0</x:v>
      </x:c>
      <x:c r="G841" s="6">
        <x:v>0</x:v>
      </x:c>
      <x:c r="H841" s="6">
        <x:f t="shared" si="39"/>
        <x:v>0</x:v>
      </x:c>
      <x:c r="I841" s="6">
        <x:v>665507.6</x:v>
      </x:c>
      <x:c r="J841" s="6">
        <x:v>0</x:v>
      </x:c>
      <x:c r="K841" s="6">
        <x:f t="shared" si="40"/>
        <x:v>665507.6</x:v>
      </x:c>
      <x:c r="L841" s="6">
        <x:v>0</x:v>
      </x:c>
      <x:c r="M841" s="6">
        <x:v>0</x:v>
      </x:c>
      <x:c r="N841" s="6">
        <x:f t="shared" si="41"/>
        <x:v>665507.6</x:v>
      </x:c>
    </x:row>
    <x:row r="842" spans="1:14" x14ac:dyDescent="0.25">
      <x:c r="A842" t="s">
        <x:v>13</x:v>
      </x:c>
      <x:c r="B842" s="3" t="s">
        <x:v>162</x:v>
      </x:c>
      <x:c r="C842" s="3" t="s">
        <x:v>479</x:v>
      </x:c>
      <x:c r="D842" t="s">
        <x:v>677</x:v>
      </x:c>
      <x:c r="E842" s="6">
        <x:v>0</x:v>
      </x:c>
      <x:c r="F842" s="6">
        <x:v>0</x:v>
      </x:c>
      <x:c r="G842" s="6">
        <x:v>0</x:v>
      </x:c>
      <x:c r="H842" s="6">
        <x:f t="shared" si="39"/>
        <x:v>0</x:v>
      </x:c>
      <x:c r="I842" s="6">
        <x:v>101762.34999999999</x:v>
      </x:c>
      <x:c r="J842" s="6">
        <x:v>0</x:v>
      </x:c>
      <x:c r="K842" s="6">
        <x:f t="shared" si="40"/>
        <x:v>101762.34999999999</x:v>
      </x:c>
      <x:c r="L842" s="6">
        <x:v>0</x:v>
      </x:c>
      <x:c r="M842" s="6">
        <x:v>0</x:v>
      </x:c>
      <x:c r="N842" s="6">
        <x:f t="shared" si="41"/>
        <x:v>101762.34999999999</x:v>
      </x:c>
    </x:row>
    <x:row r="843" spans="1:14" x14ac:dyDescent="0.25">
      <x:c r="A843" t="s">
        <x:v>13</x:v>
      </x:c>
      <x:c r="B843" s="3" t="s">
        <x:v>163</x:v>
      </x:c>
      <x:c r="C843" s="3" t="s">
        <x:v>480</x:v>
      </x:c>
      <x:c r="D843" t="s">
        <x:v>677</x:v>
      </x:c>
      <x:c r="E843" s="6">
        <x:v>0</x:v>
      </x:c>
      <x:c r="F843" s="6">
        <x:v>0</x:v>
      </x:c>
      <x:c r="G843" s="6">
        <x:v>0</x:v>
      </x:c>
      <x:c r="H843" s="6">
        <x:f t="shared" si="39"/>
        <x:v>0</x:v>
      </x:c>
      <x:c r="I843" s="6">
        <x:v>362048.29999999993</x:v>
      </x:c>
      <x:c r="J843" s="6">
        <x:v>0</x:v>
      </x:c>
      <x:c r="K843" s="6">
        <x:f t="shared" si="40"/>
        <x:v>362048.29999999993</x:v>
      </x:c>
      <x:c r="L843" s="6">
        <x:v>0</x:v>
      </x:c>
      <x:c r="M843" s="6">
        <x:v>0</x:v>
      </x:c>
      <x:c r="N843" s="6">
        <x:f t="shared" si="41"/>
        <x:v>362048.29999999993</x:v>
      </x:c>
    </x:row>
    <x:row r="844" spans="1:14" x14ac:dyDescent="0.25">
      <x:c r="A844" t="s">
        <x:v>13</x:v>
      </x:c>
      <x:c r="B844" s="3" t="s">
        <x:v>164</x:v>
      </x:c>
      <x:c r="C844" s="3" t="s">
        <x:v>481</x:v>
      </x:c>
      <x:c r="D844" t="s">
        <x:v>677</x:v>
      </x:c>
      <x:c r="E844" s="6">
        <x:v>0</x:v>
      </x:c>
      <x:c r="F844" s="6">
        <x:v>0</x:v>
      </x:c>
      <x:c r="G844" s="6">
        <x:v>0</x:v>
      </x:c>
      <x:c r="H844" s="6">
        <x:f t="shared" si="39"/>
        <x:v>0</x:v>
      </x:c>
      <x:c r="I844" s="6">
        <x:v>471576.99000000011</x:v>
      </x:c>
      <x:c r="J844" s="6">
        <x:v>0</x:v>
      </x:c>
      <x:c r="K844" s="6">
        <x:f t="shared" si="40"/>
        <x:v>471576.99000000011</x:v>
      </x:c>
      <x:c r="L844" s="6">
        <x:v>0</x:v>
      </x:c>
      <x:c r="M844" s="6">
        <x:v>0</x:v>
      </x:c>
      <x:c r="N844" s="6">
        <x:f t="shared" si="41"/>
        <x:v>471576.99000000011</x:v>
      </x:c>
    </x:row>
    <x:row r="845" spans="1:14" x14ac:dyDescent="0.25">
      <x:c r="A845" t="s">
        <x:v>13</x:v>
      </x:c>
      <x:c r="B845" s="3" t="s">
        <x:v>49</x:v>
      </x:c>
      <x:c r="C845" s="3" t="s">
        <x:v>366</x:v>
      </x:c>
      <x:c r="D845" t="s">
        <x:v>677</x:v>
      </x:c>
      <x:c r="E845" s="6">
        <x:v>0</x:v>
      </x:c>
      <x:c r="F845" s="6">
        <x:v>0</x:v>
      </x:c>
      <x:c r="G845" s="6">
        <x:v>0</x:v>
      </x:c>
      <x:c r="H845" s="6">
        <x:f t="shared" si="39"/>
        <x:v>0</x:v>
      </x:c>
      <x:c r="I845" s="6">
        <x:v>373377.77999999985</x:v>
      </x:c>
      <x:c r="J845" s="6">
        <x:v>0</x:v>
      </x:c>
      <x:c r="K845" s="6">
        <x:f t="shared" si="40"/>
        <x:v>373377.77999999985</x:v>
      </x:c>
      <x:c r="L845" s="6">
        <x:v>0</x:v>
      </x:c>
      <x:c r="M845" s="6">
        <x:v>0</x:v>
      </x:c>
      <x:c r="N845" s="6">
        <x:f t="shared" si="41"/>
        <x:v>373377.77999999985</x:v>
      </x:c>
    </x:row>
    <x:row r="846" spans="1:14" x14ac:dyDescent="0.25">
      <x:c r="A846" t="s">
        <x:v>13</x:v>
      </x:c>
      <x:c r="B846" s="3" t="s">
        <x:v>165</x:v>
      </x:c>
      <x:c r="C846" s="3" t="s">
        <x:v>482</x:v>
      </x:c>
      <x:c r="D846" t="s">
        <x:v>677</x:v>
      </x:c>
      <x:c r="E846" s="6">
        <x:v>0</x:v>
      </x:c>
      <x:c r="F846" s="6">
        <x:v>0</x:v>
      </x:c>
      <x:c r="G846" s="6">
        <x:v>0</x:v>
      </x:c>
      <x:c r="H846" s="6">
        <x:f t="shared" ref="H846:H909" si="42">SUM(E846:G846)</x:f>
        <x:v>0</x:v>
      </x:c>
      <x:c r="I846" s="6">
        <x:v>20696.060000000012</x:v>
      </x:c>
      <x:c r="J846" s="6">
        <x:v>0</x:v>
      </x:c>
      <x:c r="K846" s="6">
        <x:f t="shared" ref="K846:K909" si="43">SUM(I846:J846)</x:f>
        <x:v>20696.060000000012</x:v>
      </x:c>
      <x:c r="L846" s="6">
        <x:v>0</x:v>
      </x:c>
      <x:c r="M846" s="6">
        <x:v>0</x:v>
      </x:c>
      <x:c r="N846" s="6">
        <x:f t="shared" ref="N846:N909" si="44">+E846+F846+G846+I846+J846+L846+M846</x:f>
        <x:v>20696.060000000012</x:v>
      </x:c>
    </x:row>
    <x:row r="847" spans="1:14" x14ac:dyDescent="0.25">
      <x:c r="A847" t="s">
        <x:v>13</x:v>
      </x:c>
      <x:c r="B847" s="3" t="s">
        <x:v>233</x:v>
      </x:c>
      <x:c r="C847" s="3" t="s">
        <x:v>548</x:v>
      </x:c>
      <x:c r="D847" t="s">
        <x:v>677</x:v>
      </x:c>
      <x:c r="E847" s="6">
        <x:v>0</x:v>
      </x:c>
      <x:c r="F847" s="6">
        <x:v>0</x:v>
      </x:c>
      <x:c r="G847" s="6">
        <x:v>0</x:v>
      </x:c>
      <x:c r="H847" s="6">
        <x:f t="shared" si="42"/>
        <x:v>0</x:v>
      </x:c>
      <x:c r="I847" s="6">
        <x:v>5587.2399999999989</x:v>
      </x:c>
      <x:c r="J847" s="6">
        <x:v>0</x:v>
      </x:c>
      <x:c r="K847" s="6">
        <x:f t="shared" si="43"/>
        <x:v>5587.2399999999989</x:v>
      </x:c>
      <x:c r="L847" s="6">
        <x:v>0</x:v>
      </x:c>
      <x:c r="M847" s="6">
        <x:v>0</x:v>
      </x:c>
      <x:c r="N847" s="6">
        <x:f t="shared" si="44"/>
        <x:v>5587.2399999999989</x:v>
      </x:c>
    </x:row>
    <x:row r="848" spans="1:14" x14ac:dyDescent="0.25">
      <x:c r="A848" t="s">
        <x:v>13</x:v>
      </x:c>
      <x:c r="B848" s="3" t="s">
        <x:v>166</x:v>
      </x:c>
      <x:c r="C848" s="3" t="s">
        <x:v>483</x:v>
      </x:c>
      <x:c r="D848" t="s">
        <x:v>677</x:v>
      </x:c>
      <x:c r="E848" s="6">
        <x:v>0</x:v>
      </x:c>
      <x:c r="F848" s="6">
        <x:v>0</x:v>
      </x:c>
      <x:c r="G848" s="6">
        <x:v>0</x:v>
      </x:c>
      <x:c r="H848" s="6">
        <x:f t="shared" si="42"/>
        <x:v>0</x:v>
      </x:c>
      <x:c r="I848" s="6">
        <x:v>125.74</x:v>
      </x:c>
      <x:c r="J848" s="6">
        <x:v>0</x:v>
      </x:c>
      <x:c r="K848" s="6">
        <x:f t="shared" si="43"/>
        <x:v>125.74</x:v>
      </x:c>
      <x:c r="L848" s="6">
        <x:v>0</x:v>
      </x:c>
      <x:c r="M848" s="6">
        <x:v>0</x:v>
      </x:c>
      <x:c r="N848" s="6">
        <x:f t="shared" si="44"/>
        <x:v>125.74</x:v>
      </x:c>
    </x:row>
    <x:row r="849" spans="1:14" x14ac:dyDescent="0.25">
      <x:c r="A849" t="s">
        <x:v>13</x:v>
      </x:c>
      <x:c r="B849" s="3" t="s">
        <x:v>167</x:v>
      </x:c>
      <x:c r="C849" s="3" t="s">
        <x:v>484</x:v>
      </x:c>
      <x:c r="D849" t="s">
        <x:v>677</x:v>
      </x:c>
      <x:c r="E849" s="6">
        <x:v>0</x:v>
      </x:c>
      <x:c r="F849" s="6">
        <x:v>0</x:v>
      </x:c>
      <x:c r="G849" s="6">
        <x:v>0</x:v>
      </x:c>
      <x:c r="H849" s="6">
        <x:f t="shared" si="42"/>
        <x:v>0</x:v>
      </x:c>
      <x:c r="I849" s="6">
        <x:v>60408.459999999985</x:v>
      </x:c>
      <x:c r="J849" s="6">
        <x:v>0</x:v>
      </x:c>
      <x:c r="K849" s="6">
        <x:f t="shared" si="43"/>
        <x:v>60408.459999999985</x:v>
      </x:c>
      <x:c r="L849" s="6">
        <x:v>0</x:v>
      </x:c>
      <x:c r="M849" s="6">
        <x:v>0</x:v>
      </x:c>
      <x:c r="N849" s="6">
        <x:f t="shared" si="44"/>
        <x:v>60408.459999999985</x:v>
      </x:c>
    </x:row>
    <x:row r="850" spans="1:14" x14ac:dyDescent="0.25">
      <x:c r="A850" t="s">
        <x:v>13</x:v>
      </x:c>
      <x:c r="B850" s="3" t="s">
        <x:v>168</x:v>
      </x:c>
      <x:c r="C850" s="3" t="s">
        <x:v>460</x:v>
      </x:c>
      <x:c r="D850" t="s">
        <x:v>677</x:v>
      </x:c>
      <x:c r="E850" s="6">
        <x:v>0</x:v>
      </x:c>
      <x:c r="F850" s="6">
        <x:v>0</x:v>
      </x:c>
      <x:c r="G850" s="6">
        <x:v>0</x:v>
      </x:c>
      <x:c r="H850" s="6">
        <x:f t="shared" si="42"/>
        <x:v>0</x:v>
      </x:c>
      <x:c r="I850" s="6">
        <x:v>46406.53</x:v>
      </x:c>
      <x:c r="J850" s="6">
        <x:v>0</x:v>
      </x:c>
      <x:c r="K850" s="6">
        <x:f t="shared" si="43"/>
        <x:v>46406.53</x:v>
      </x:c>
      <x:c r="L850" s="6">
        <x:v>0</x:v>
      </x:c>
      <x:c r="M850" s="6">
        <x:v>0</x:v>
      </x:c>
      <x:c r="N850" s="6">
        <x:f t="shared" si="44"/>
        <x:v>46406.53</x:v>
      </x:c>
    </x:row>
    <x:row r="851" spans="1:14" x14ac:dyDescent="0.25">
      <x:c r="A851" t="s">
        <x:v>13</x:v>
      </x:c>
      <x:c r="B851" s="3" t="s">
        <x:v>234</x:v>
      </x:c>
      <x:c r="C851" s="3" t="s">
        <x:v>549</x:v>
      </x:c>
      <x:c r="D851" t="s">
        <x:v>677</x:v>
      </x:c>
      <x:c r="E851" s="6">
        <x:v>0</x:v>
      </x:c>
      <x:c r="F851" s="6">
        <x:v>0</x:v>
      </x:c>
      <x:c r="G851" s="6">
        <x:v>0</x:v>
      </x:c>
      <x:c r="H851" s="6">
        <x:f t="shared" si="42"/>
        <x:v>0</x:v>
      </x:c>
      <x:c r="I851" s="6">
        <x:v>142.30000000000001</x:v>
      </x:c>
      <x:c r="J851" s="6">
        <x:v>0</x:v>
      </x:c>
      <x:c r="K851" s="6">
        <x:f t="shared" si="43"/>
        <x:v>142.30000000000001</x:v>
      </x:c>
      <x:c r="L851" s="6">
        <x:v>0</x:v>
      </x:c>
      <x:c r="M851" s="6">
        <x:v>0</x:v>
      </x:c>
      <x:c r="N851" s="6">
        <x:f t="shared" si="44"/>
        <x:v>142.30000000000001</x:v>
      </x:c>
    </x:row>
    <x:row r="852" spans="1:14" x14ac:dyDescent="0.25">
      <x:c r="A852" t="s">
        <x:v>13</x:v>
      </x:c>
      <x:c r="B852" s="3" t="s">
        <x:v>169</x:v>
      </x:c>
      <x:c r="C852" s="3" t="s">
        <x:v>485</x:v>
      </x:c>
      <x:c r="D852" t="s">
        <x:v>677</x:v>
      </x:c>
      <x:c r="E852" s="6">
        <x:v>0</x:v>
      </x:c>
      <x:c r="F852" s="6">
        <x:v>0</x:v>
      </x:c>
      <x:c r="G852" s="6">
        <x:v>0</x:v>
      </x:c>
      <x:c r="H852" s="6">
        <x:f t="shared" si="42"/>
        <x:v>0</x:v>
      </x:c>
      <x:c r="I852" s="6">
        <x:v>102.01</x:v>
      </x:c>
      <x:c r="J852" s="6">
        <x:v>0</x:v>
      </x:c>
      <x:c r="K852" s="6">
        <x:f t="shared" si="43"/>
        <x:v>102.01</x:v>
      </x:c>
      <x:c r="L852" s="6">
        <x:v>0</x:v>
      </x:c>
      <x:c r="M852" s="6">
        <x:v>0</x:v>
      </x:c>
      <x:c r="N852" s="6">
        <x:f t="shared" si="44"/>
        <x:v>102.01</x:v>
      </x:c>
    </x:row>
    <x:row r="853" spans="1:14" x14ac:dyDescent="0.25">
      <x:c r="A853" t="s">
        <x:v>13</x:v>
      </x:c>
      <x:c r="B853" s="3" t="s">
        <x:v>172</x:v>
      </x:c>
      <x:c r="C853" s="3" t="s">
        <x:v>488</x:v>
      </x:c>
      <x:c r="D853" t="s">
        <x:v>677</x:v>
      </x:c>
      <x:c r="E853" s="6">
        <x:v>0</x:v>
      </x:c>
      <x:c r="F853" s="6">
        <x:v>0</x:v>
      </x:c>
      <x:c r="G853" s="6">
        <x:v>0</x:v>
      </x:c>
      <x:c r="H853" s="6">
        <x:f t="shared" si="42"/>
        <x:v>0</x:v>
      </x:c>
      <x:c r="I853" s="6">
        <x:v>34898.840000000004</x:v>
      </x:c>
      <x:c r="J853" s="6">
        <x:v>0</x:v>
      </x:c>
      <x:c r="K853" s="6">
        <x:f t="shared" si="43"/>
        <x:v>34898.840000000004</x:v>
      </x:c>
      <x:c r="L853" s="6">
        <x:v>0</x:v>
      </x:c>
      <x:c r="M853" s="6">
        <x:v>0</x:v>
      </x:c>
      <x:c r="N853" s="6">
        <x:f t="shared" si="44"/>
        <x:v>34898.840000000004</x:v>
      </x:c>
    </x:row>
    <x:row r="854" spans="1:14" x14ac:dyDescent="0.25">
      <x:c r="A854" t="s">
        <x:v>13</x:v>
      </x:c>
      <x:c r="B854" s="3" t="s">
        <x:v>173</x:v>
      </x:c>
      <x:c r="C854" s="3" t="s">
        <x:v>489</x:v>
      </x:c>
      <x:c r="D854" t="s">
        <x:v>677</x:v>
      </x:c>
      <x:c r="E854" s="6">
        <x:v>0</x:v>
      </x:c>
      <x:c r="F854" s="6">
        <x:v>0</x:v>
      </x:c>
      <x:c r="G854" s="6">
        <x:v>0</x:v>
      </x:c>
      <x:c r="H854" s="6">
        <x:f t="shared" si="42"/>
        <x:v>0</x:v>
      </x:c>
      <x:c r="I854" s="6">
        <x:v>13638.979999999996</x:v>
      </x:c>
      <x:c r="J854" s="6">
        <x:v>0</x:v>
      </x:c>
      <x:c r="K854" s="6">
        <x:f t="shared" si="43"/>
        <x:v>13638.979999999996</x:v>
      </x:c>
      <x:c r="L854" s="6">
        <x:v>0</x:v>
      </x:c>
      <x:c r="M854" s="6">
        <x:v>0</x:v>
      </x:c>
      <x:c r="N854" s="6">
        <x:f t="shared" si="44"/>
        <x:v>13638.979999999996</x:v>
      </x:c>
    </x:row>
    <x:row r="855" spans="1:14" x14ac:dyDescent="0.25">
      <x:c r="A855" t="s">
        <x:v>13</x:v>
      </x:c>
      <x:c r="B855" s="3" t="s">
        <x:v>174</x:v>
      </x:c>
      <x:c r="C855" s="3" t="s">
        <x:v>490</x:v>
      </x:c>
      <x:c r="D855" t="s">
        <x:v>677</x:v>
      </x:c>
      <x:c r="E855" s="6">
        <x:v>0</x:v>
      </x:c>
      <x:c r="F855" s="6">
        <x:v>0</x:v>
      </x:c>
      <x:c r="G855" s="6">
        <x:v>0</x:v>
      </x:c>
      <x:c r="H855" s="6">
        <x:f t="shared" si="42"/>
        <x:v>0</x:v>
      </x:c>
      <x:c r="I855" s="6">
        <x:v>7933.11</x:v>
      </x:c>
      <x:c r="J855" s="6">
        <x:v>0</x:v>
      </x:c>
      <x:c r="K855" s="6">
        <x:f t="shared" si="43"/>
        <x:v>7933.11</x:v>
      </x:c>
      <x:c r="L855" s="6">
        <x:v>0</x:v>
      </x:c>
      <x:c r="M855" s="6">
        <x:v>0</x:v>
      </x:c>
      <x:c r="N855" s="6">
        <x:f t="shared" si="44"/>
        <x:v>7933.11</x:v>
      </x:c>
    </x:row>
    <x:row r="856" spans="1:14" x14ac:dyDescent="0.25">
      <x:c r="A856" t="s">
        <x:v>13</x:v>
      </x:c>
      <x:c r="B856" s="3" t="s">
        <x:v>176</x:v>
      </x:c>
      <x:c r="C856" s="3" t="s">
        <x:v>492</x:v>
      </x:c>
      <x:c r="D856" t="s">
        <x:v>677</x:v>
      </x:c>
      <x:c r="E856" s="6">
        <x:v>0</x:v>
      </x:c>
      <x:c r="F856" s="6">
        <x:v>0</x:v>
      </x:c>
      <x:c r="G856" s="6">
        <x:v>0</x:v>
      </x:c>
      <x:c r="H856" s="6">
        <x:f t="shared" si="42"/>
        <x:v>0</x:v>
      </x:c>
      <x:c r="I856" s="6">
        <x:v>213204.90000000002</x:v>
      </x:c>
      <x:c r="J856" s="6">
        <x:v>0</x:v>
      </x:c>
      <x:c r="K856" s="6">
        <x:f t="shared" si="43"/>
        <x:v>213204.90000000002</x:v>
      </x:c>
      <x:c r="L856" s="6">
        <x:v>0</x:v>
      </x:c>
      <x:c r="M856" s="6">
        <x:v>0</x:v>
      </x:c>
      <x:c r="N856" s="6">
        <x:f t="shared" si="44"/>
        <x:v>213204.90000000002</x:v>
      </x:c>
    </x:row>
    <x:row r="857" spans="1:14" x14ac:dyDescent="0.25">
      <x:c r="A857" t="s">
        <x:v>13</x:v>
      </x:c>
      <x:c r="B857" s="3" t="s">
        <x:v>177</x:v>
      </x:c>
      <x:c r="C857" s="3" t="s">
        <x:v>493</x:v>
      </x:c>
      <x:c r="D857" t="s">
        <x:v>677</x:v>
      </x:c>
      <x:c r="E857" s="6">
        <x:v>0</x:v>
      </x:c>
      <x:c r="F857" s="6">
        <x:v>0</x:v>
      </x:c>
      <x:c r="G857" s="6">
        <x:v>0</x:v>
      </x:c>
      <x:c r="H857" s="6">
        <x:f t="shared" si="42"/>
        <x:v>0</x:v>
      </x:c>
      <x:c r="I857" s="6">
        <x:v>9717.32</x:v>
      </x:c>
      <x:c r="J857" s="6">
        <x:v>0</x:v>
      </x:c>
      <x:c r="K857" s="6">
        <x:f t="shared" si="43"/>
        <x:v>9717.32</x:v>
      </x:c>
      <x:c r="L857" s="6">
        <x:v>0</x:v>
      </x:c>
      <x:c r="M857" s="6">
        <x:v>0</x:v>
      </x:c>
      <x:c r="N857" s="6">
        <x:f t="shared" si="44"/>
        <x:v>9717.32</x:v>
      </x:c>
    </x:row>
    <x:row r="858" spans="1:14" x14ac:dyDescent="0.25">
      <x:c r="A858" t="s">
        <x:v>13</x:v>
      </x:c>
      <x:c r="B858" s="3" t="s">
        <x:v>178</x:v>
      </x:c>
      <x:c r="C858" s="3" t="s">
        <x:v>494</x:v>
      </x:c>
      <x:c r="D858" t="s">
        <x:v>677</x:v>
      </x:c>
      <x:c r="E858" s="6">
        <x:v>0</x:v>
      </x:c>
      <x:c r="F858" s="6">
        <x:v>0</x:v>
      </x:c>
      <x:c r="G858" s="6">
        <x:v>0</x:v>
      </x:c>
      <x:c r="H858" s="6">
        <x:f t="shared" si="42"/>
        <x:v>0</x:v>
      </x:c>
      <x:c r="I858" s="6">
        <x:v>6771.01</x:v>
      </x:c>
      <x:c r="J858" s="6">
        <x:v>0</x:v>
      </x:c>
      <x:c r="K858" s="6">
        <x:f t="shared" si="43"/>
        <x:v>6771.01</x:v>
      </x:c>
      <x:c r="L858" s="6">
        <x:v>0</x:v>
      </x:c>
      <x:c r="M858" s="6">
        <x:v>0</x:v>
      </x:c>
      <x:c r="N858" s="6">
        <x:f t="shared" si="44"/>
        <x:v>6771.01</x:v>
      </x:c>
    </x:row>
    <x:row r="859" spans="1:14" x14ac:dyDescent="0.25">
      <x:c r="A859" t="s">
        <x:v>13</x:v>
      </x:c>
      <x:c r="B859" s="3" t="s">
        <x:v>179</x:v>
      </x:c>
      <x:c r="C859" s="3" t="s">
        <x:v>495</x:v>
      </x:c>
      <x:c r="D859" t="s">
        <x:v>677</x:v>
      </x:c>
      <x:c r="E859" s="6">
        <x:v>0</x:v>
      </x:c>
      <x:c r="F859" s="6">
        <x:v>0</x:v>
      </x:c>
      <x:c r="G859" s="6">
        <x:v>0</x:v>
      </x:c>
      <x:c r="H859" s="6">
        <x:f t="shared" si="42"/>
        <x:v>0</x:v>
      </x:c>
      <x:c r="I859" s="6">
        <x:v>20038.980000000003</x:v>
      </x:c>
      <x:c r="J859" s="6">
        <x:v>0</x:v>
      </x:c>
      <x:c r="K859" s="6">
        <x:f t="shared" si="43"/>
        <x:v>20038.980000000003</x:v>
      </x:c>
      <x:c r="L859" s="6">
        <x:v>0</x:v>
      </x:c>
      <x:c r="M859" s="6">
        <x:v>0</x:v>
      </x:c>
      <x:c r="N859" s="6">
        <x:f t="shared" si="44"/>
        <x:v>20038.980000000003</x:v>
      </x:c>
    </x:row>
    <x:row r="860" spans="1:14" x14ac:dyDescent="0.25">
      <x:c r="A860" t="s">
        <x:v>13</x:v>
      </x:c>
      <x:c r="B860" s="3" t="s">
        <x:v>180</x:v>
      </x:c>
      <x:c r="C860" s="3" t="s">
        <x:v>496</x:v>
      </x:c>
      <x:c r="D860" t="s">
        <x:v>677</x:v>
      </x:c>
      <x:c r="E860" s="6">
        <x:v>0</x:v>
      </x:c>
      <x:c r="F860" s="6">
        <x:v>0</x:v>
      </x:c>
      <x:c r="G860" s="6">
        <x:v>0</x:v>
      </x:c>
      <x:c r="H860" s="6">
        <x:f t="shared" si="42"/>
        <x:v>0</x:v>
      </x:c>
      <x:c r="I860" s="6">
        <x:v>28400.18</x:v>
      </x:c>
      <x:c r="J860" s="6">
        <x:v>0</x:v>
      </x:c>
      <x:c r="K860" s="6">
        <x:f t="shared" si="43"/>
        <x:v>28400.18</x:v>
      </x:c>
      <x:c r="L860" s="6">
        <x:v>0</x:v>
      </x:c>
      <x:c r="M860" s="6">
        <x:v>0</x:v>
      </x:c>
      <x:c r="N860" s="6">
        <x:f t="shared" si="44"/>
        <x:v>28400.18</x:v>
      </x:c>
    </x:row>
    <x:row r="861" spans="1:14" x14ac:dyDescent="0.25">
      <x:c r="A861" t="s">
        <x:v>13</x:v>
      </x:c>
      <x:c r="B861" s="3" t="s">
        <x:v>181</x:v>
      </x:c>
      <x:c r="C861" s="3" t="s">
        <x:v>497</x:v>
      </x:c>
      <x:c r="D861" t="s">
        <x:v>677</x:v>
      </x:c>
      <x:c r="E861" s="6">
        <x:v>0</x:v>
      </x:c>
      <x:c r="F861" s="6">
        <x:v>0</x:v>
      </x:c>
      <x:c r="G861" s="6">
        <x:v>0</x:v>
      </x:c>
      <x:c r="H861" s="6">
        <x:f t="shared" si="42"/>
        <x:v>0</x:v>
      </x:c>
      <x:c r="I861" s="6">
        <x:v>12635.64</x:v>
      </x:c>
      <x:c r="J861" s="6">
        <x:v>0</x:v>
      </x:c>
      <x:c r="K861" s="6">
        <x:f t="shared" si="43"/>
        <x:v>12635.64</x:v>
      </x:c>
      <x:c r="L861" s="6">
        <x:v>0</x:v>
      </x:c>
      <x:c r="M861" s="6">
        <x:v>0</x:v>
      </x:c>
      <x:c r="N861" s="6">
        <x:f t="shared" si="44"/>
        <x:v>12635.64</x:v>
      </x:c>
    </x:row>
    <x:row r="862" spans="1:14" x14ac:dyDescent="0.25">
      <x:c r="A862" t="s">
        <x:v>13</x:v>
      </x:c>
      <x:c r="B862" s="3" t="s">
        <x:v>182</x:v>
      </x:c>
      <x:c r="C862" s="3" t="s">
        <x:v>498</x:v>
      </x:c>
      <x:c r="D862" t="s">
        <x:v>677</x:v>
      </x:c>
      <x:c r="E862" s="6">
        <x:v>0</x:v>
      </x:c>
      <x:c r="F862" s="6">
        <x:v>0</x:v>
      </x:c>
      <x:c r="G862" s="6">
        <x:v>0</x:v>
      </x:c>
      <x:c r="H862" s="6">
        <x:f t="shared" si="42"/>
        <x:v>0</x:v>
      </x:c>
      <x:c r="I862" s="6">
        <x:v>3116.52</x:v>
      </x:c>
      <x:c r="J862" s="6">
        <x:v>0</x:v>
      </x:c>
      <x:c r="K862" s="6">
        <x:f t="shared" si="43"/>
        <x:v>3116.52</x:v>
      </x:c>
      <x:c r="L862" s="6">
        <x:v>0</x:v>
      </x:c>
      <x:c r="M862" s="6">
        <x:v>0</x:v>
      </x:c>
      <x:c r="N862" s="6">
        <x:f t="shared" si="44"/>
        <x:v>3116.52</x:v>
      </x:c>
    </x:row>
    <x:row r="863" spans="1:14" x14ac:dyDescent="0.25">
      <x:c r="A863" t="s">
        <x:v>13</x:v>
      </x:c>
      <x:c r="B863" s="3" t="s">
        <x:v>235</x:v>
      </x:c>
      <x:c r="C863" s="3" t="s">
        <x:v>550</x:v>
      </x:c>
      <x:c r="D863" t="s">
        <x:v>677</x:v>
      </x:c>
      <x:c r="E863" s="6">
        <x:v>0</x:v>
      </x:c>
      <x:c r="F863" s="6">
        <x:v>0</x:v>
      </x:c>
      <x:c r="G863" s="6">
        <x:v>0</x:v>
      </x:c>
      <x:c r="H863" s="6">
        <x:f t="shared" si="42"/>
        <x:v>0</x:v>
      </x:c>
      <x:c r="I863" s="6">
        <x:v>81698.209999999992</x:v>
      </x:c>
      <x:c r="J863" s="6">
        <x:v>0</x:v>
      </x:c>
      <x:c r="K863" s="6">
        <x:f t="shared" si="43"/>
        <x:v>81698.209999999992</x:v>
      </x:c>
      <x:c r="L863" s="6">
        <x:v>0</x:v>
      </x:c>
      <x:c r="M863" s="6">
        <x:v>0</x:v>
      </x:c>
      <x:c r="N863" s="6">
        <x:f t="shared" si="44"/>
        <x:v>81698.209999999992</x:v>
      </x:c>
    </x:row>
    <x:row r="864" spans="1:14" x14ac:dyDescent="0.25">
      <x:c r="A864" t="s">
        <x:v>13</x:v>
      </x:c>
      <x:c r="B864" s="3" t="s">
        <x:v>183</x:v>
      </x:c>
      <x:c r="C864" s="3" t="s">
        <x:v>499</x:v>
      </x:c>
      <x:c r="D864" t="s">
        <x:v>677</x:v>
      </x:c>
      <x:c r="E864" s="6">
        <x:v>0</x:v>
      </x:c>
      <x:c r="F864" s="6">
        <x:v>0</x:v>
      </x:c>
      <x:c r="G864" s="6">
        <x:v>0</x:v>
      </x:c>
      <x:c r="H864" s="6">
        <x:f t="shared" si="42"/>
        <x:v>0</x:v>
      </x:c>
      <x:c r="I864" s="6">
        <x:v>45860.30000000001</x:v>
      </x:c>
      <x:c r="J864" s="6">
        <x:v>0</x:v>
      </x:c>
      <x:c r="K864" s="6">
        <x:f t="shared" si="43"/>
        <x:v>45860.30000000001</x:v>
      </x:c>
      <x:c r="L864" s="6">
        <x:v>0</x:v>
      </x:c>
      <x:c r="M864" s="6">
        <x:v>0</x:v>
      </x:c>
      <x:c r="N864" s="6">
        <x:f t="shared" si="44"/>
        <x:v>45860.30000000001</x:v>
      </x:c>
    </x:row>
    <x:row r="865" spans="1:14" x14ac:dyDescent="0.25">
      <x:c r="A865" t="s">
        <x:v>13</x:v>
      </x:c>
      <x:c r="B865" s="3" t="s">
        <x:v>184</x:v>
      </x:c>
      <x:c r="C865" s="3" t="s">
        <x:v>500</x:v>
      </x:c>
      <x:c r="D865" t="s">
        <x:v>677</x:v>
      </x:c>
      <x:c r="E865" s="6">
        <x:v>0</x:v>
      </x:c>
      <x:c r="F865" s="6">
        <x:v>0</x:v>
      </x:c>
      <x:c r="G865" s="6">
        <x:v>0</x:v>
      </x:c>
      <x:c r="H865" s="6">
        <x:f t="shared" si="42"/>
        <x:v>0</x:v>
      </x:c>
      <x:c r="I865" s="6">
        <x:v>199094.74999999994</x:v>
      </x:c>
      <x:c r="J865" s="6">
        <x:v>0</x:v>
      </x:c>
      <x:c r="K865" s="6">
        <x:f t="shared" si="43"/>
        <x:v>199094.74999999994</x:v>
      </x:c>
      <x:c r="L865" s="6">
        <x:v>0</x:v>
      </x:c>
      <x:c r="M865" s="6">
        <x:v>0</x:v>
      </x:c>
      <x:c r="N865" s="6">
        <x:f t="shared" si="44"/>
        <x:v>199094.74999999994</x:v>
      </x:c>
    </x:row>
    <x:row r="866" spans="1:14" x14ac:dyDescent="0.25">
      <x:c r="A866" t="s">
        <x:v>13</x:v>
      </x:c>
      <x:c r="B866" s="3" t="s">
        <x:v>186</x:v>
      </x:c>
      <x:c r="C866" s="3" t="s">
        <x:v>502</x:v>
      </x:c>
      <x:c r="D866" t="s">
        <x:v>677</x:v>
      </x:c>
      <x:c r="E866" s="6">
        <x:v>0</x:v>
      </x:c>
      <x:c r="F866" s="6">
        <x:v>0</x:v>
      </x:c>
      <x:c r="G866" s="6">
        <x:v>0</x:v>
      </x:c>
      <x:c r="H866" s="6">
        <x:f t="shared" si="42"/>
        <x:v>0</x:v>
      </x:c>
      <x:c r="I866" s="6">
        <x:v>88278.48000000001</x:v>
      </x:c>
      <x:c r="J866" s="6">
        <x:v>0</x:v>
      </x:c>
      <x:c r="K866" s="6">
        <x:f t="shared" si="43"/>
        <x:v>88278.48000000001</x:v>
      </x:c>
      <x:c r="L866" s="6">
        <x:v>0</x:v>
      </x:c>
      <x:c r="M866" s="6">
        <x:v>0</x:v>
      </x:c>
      <x:c r="N866" s="6">
        <x:f t="shared" si="44"/>
        <x:v>88278.48000000001</x:v>
      </x:c>
    </x:row>
    <x:row r="867" spans="1:14" x14ac:dyDescent="0.25">
      <x:c r="A867" t="s">
        <x:v>13</x:v>
      </x:c>
      <x:c r="B867" s="3" t="s">
        <x:v>187</x:v>
      </x:c>
      <x:c r="C867" s="3" t="s">
        <x:v>503</x:v>
      </x:c>
      <x:c r="D867" t="s">
        <x:v>677</x:v>
      </x:c>
      <x:c r="E867" s="6">
        <x:v>0</x:v>
      </x:c>
      <x:c r="F867" s="6">
        <x:v>0</x:v>
      </x:c>
      <x:c r="G867" s="6">
        <x:v>0</x:v>
      </x:c>
      <x:c r="H867" s="6">
        <x:f t="shared" si="42"/>
        <x:v>0</x:v>
      </x:c>
      <x:c r="I867" s="6">
        <x:v>3795.07</x:v>
      </x:c>
      <x:c r="J867" s="6">
        <x:v>0</x:v>
      </x:c>
      <x:c r="K867" s="6">
        <x:f t="shared" si="43"/>
        <x:v>3795.07</x:v>
      </x:c>
      <x:c r="L867" s="6">
        <x:v>0</x:v>
      </x:c>
      <x:c r="M867" s="6">
        <x:v>0</x:v>
      </x:c>
      <x:c r="N867" s="6">
        <x:f t="shared" si="44"/>
        <x:v>3795.07</x:v>
      </x:c>
    </x:row>
    <x:row r="868" spans="1:14" x14ac:dyDescent="0.25">
      <x:c r="A868" t="s">
        <x:v>13</x:v>
      </x:c>
      <x:c r="B868" s="3" t="s">
        <x:v>188</x:v>
      </x:c>
      <x:c r="C868" s="3" t="s">
        <x:v>504</x:v>
      </x:c>
      <x:c r="D868" t="s">
        <x:v>677</x:v>
      </x:c>
      <x:c r="E868" s="6">
        <x:v>0</x:v>
      </x:c>
      <x:c r="F868" s="6">
        <x:v>0</x:v>
      </x:c>
      <x:c r="G868" s="6">
        <x:v>0</x:v>
      </x:c>
      <x:c r="H868" s="6">
        <x:f t="shared" si="42"/>
        <x:v>0</x:v>
      </x:c>
      <x:c r="I868" s="6">
        <x:v>51847.490000000013</x:v>
      </x:c>
      <x:c r="J868" s="6">
        <x:v>0</x:v>
      </x:c>
      <x:c r="K868" s="6">
        <x:f t="shared" si="43"/>
        <x:v>51847.490000000013</x:v>
      </x:c>
      <x:c r="L868" s="6">
        <x:v>0</x:v>
      </x:c>
      <x:c r="M868" s="6">
        <x:v>0</x:v>
      </x:c>
      <x:c r="N868" s="6">
        <x:f t="shared" si="44"/>
        <x:v>51847.490000000013</x:v>
      </x:c>
    </x:row>
    <x:row r="869" spans="1:14" x14ac:dyDescent="0.25">
      <x:c r="A869" t="s">
        <x:v>13</x:v>
      </x:c>
      <x:c r="B869" s="3" t="s">
        <x:v>189</x:v>
      </x:c>
      <x:c r="C869" s="3" t="s">
        <x:v>505</x:v>
      </x:c>
      <x:c r="D869" t="s">
        <x:v>677</x:v>
      </x:c>
      <x:c r="E869" s="6">
        <x:v>0</x:v>
      </x:c>
      <x:c r="F869" s="6">
        <x:v>0</x:v>
      </x:c>
      <x:c r="G869" s="6">
        <x:v>0</x:v>
      </x:c>
      <x:c r="H869" s="6">
        <x:f t="shared" si="42"/>
        <x:v>0</x:v>
      </x:c>
      <x:c r="I869" s="6">
        <x:v>48382.7</x:v>
      </x:c>
      <x:c r="J869" s="6">
        <x:v>0</x:v>
      </x:c>
      <x:c r="K869" s="6">
        <x:f t="shared" si="43"/>
        <x:v>48382.7</x:v>
      </x:c>
      <x:c r="L869" s="6">
        <x:v>0</x:v>
      </x:c>
      <x:c r="M869" s="6">
        <x:v>0</x:v>
      </x:c>
      <x:c r="N869" s="6">
        <x:f t="shared" si="44"/>
        <x:v>48382.7</x:v>
      </x:c>
    </x:row>
    <x:row r="870" spans="1:14" x14ac:dyDescent="0.25">
      <x:c r="A870" t="s">
        <x:v>13</x:v>
      </x:c>
      <x:c r="B870" s="3" t="s">
        <x:v>236</x:v>
      </x:c>
      <x:c r="C870" s="3" t="s">
        <x:v>551</x:v>
      </x:c>
      <x:c r="D870" t="s">
        <x:v>677</x:v>
      </x:c>
      <x:c r="E870" s="6">
        <x:v>0</x:v>
      </x:c>
      <x:c r="F870" s="6">
        <x:v>0</x:v>
      </x:c>
      <x:c r="G870" s="6">
        <x:v>0</x:v>
      </x:c>
      <x:c r="H870" s="6">
        <x:f t="shared" si="42"/>
        <x:v>0</x:v>
      </x:c>
      <x:c r="I870" s="6">
        <x:v>15635.619999999999</x:v>
      </x:c>
      <x:c r="J870" s="6">
        <x:v>0</x:v>
      </x:c>
      <x:c r="K870" s="6">
        <x:f t="shared" si="43"/>
        <x:v>15635.619999999999</x:v>
      </x:c>
      <x:c r="L870" s="6">
        <x:v>0</x:v>
      </x:c>
      <x:c r="M870" s="6">
        <x:v>0</x:v>
      </x:c>
      <x:c r="N870" s="6">
        <x:f t="shared" si="44"/>
        <x:v>15635.619999999999</x:v>
      </x:c>
    </x:row>
    <x:row r="871" spans="1:14" x14ac:dyDescent="0.25">
      <x:c r="A871" t="s">
        <x:v>13</x:v>
      </x:c>
      <x:c r="B871" s="3" t="s">
        <x:v>190</x:v>
      </x:c>
      <x:c r="C871" s="3" t="s">
        <x:v>506</x:v>
      </x:c>
      <x:c r="D871" t="s">
        <x:v>677</x:v>
      </x:c>
      <x:c r="E871" s="6">
        <x:v>0</x:v>
      </x:c>
      <x:c r="F871" s="6">
        <x:v>0</x:v>
      </x:c>
      <x:c r="G871" s="6">
        <x:v>0</x:v>
      </x:c>
      <x:c r="H871" s="6">
        <x:f t="shared" si="42"/>
        <x:v>0</x:v>
      </x:c>
      <x:c r="I871" s="6">
        <x:v>6135.69</x:v>
      </x:c>
      <x:c r="J871" s="6">
        <x:v>0</x:v>
      </x:c>
      <x:c r="K871" s="6">
        <x:f t="shared" si="43"/>
        <x:v>6135.69</x:v>
      </x:c>
      <x:c r="L871" s="6">
        <x:v>0</x:v>
      </x:c>
      <x:c r="M871" s="6">
        <x:v>0</x:v>
      </x:c>
      <x:c r="N871" s="6">
        <x:f t="shared" si="44"/>
        <x:v>6135.69</x:v>
      </x:c>
    </x:row>
    <x:row r="872" spans="1:14" x14ac:dyDescent="0.25">
      <x:c r="A872" t="s">
        <x:v>13</x:v>
      </x:c>
      <x:c r="B872" s="3" t="s">
        <x:v>193</x:v>
      </x:c>
      <x:c r="C872" s="3" t="s">
        <x:v>509</x:v>
      </x:c>
      <x:c r="D872" t="s">
        <x:v>677</x:v>
      </x:c>
      <x:c r="E872" s="6">
        <x:v>0</x:v>
      </x:c>
      <x:c r="F872" s="6">
        <x:v>0</x:v>
      </x:c>
      <x:c r="G872" s="6">
        <x:v>0</x:v>
      </x:c>
      <x:c r="H872" s="6">
        <x:f t="shared" si="42"/>
        <x:v>0</x:v>
      </x:c>
      <x:c r="I872" s="6">
        <x:v>112177.61</x:v>
      </x:c>
      <x:c r="J872" s="6">
        <x:v>0</x:v>
      </x:c>
      <x:c r="K872" s="6">
        <x:f t="shared" si="43"/>
        <x:v>112177.61</x:v>
      </x:c>
      <x:c r="L872" s="6">
        <x:v>0</x:v>
      </x:c>
      <x:c r="M872" s="6">
        <x:v>0</x:v>
      </x:c>
      <x:c r="N872" s="6">
        <x:f t="shared" si="44"/>
        <x:v>112177.61</x:v>
      </x:c>
    </x:row>
    <x:row r="873" spans="1:14" x14ac:dyDescent="0.25">
      <x:c r="A873" t="s">
        <x:v>13</x:v>
      </x:c>
      <x:c r="B873" s="3" t="s">
        <x:v>194</x:v>
      </x:c>
      <x:c r="C873" s="3" t="s">
        <x:v>510</x:v>
      </x:c>
      <x:c r="D873" t="s">
        <x:v>677</x:v>
      </x:c>
      <x:c r="E873" s="6">
        <x:v>0</x:v>
      </x:c>
      <x:c r="F873" s="6">
        <x:v>0</x:v>
      </x:c>
      <x:c r="G873" s="6">
        <x:v>0</x:v>
      </x:c>
      <x:c r="H873" s="6">
        <x:f t="shared" si="42"/>
        <x:v>0</x:v>
      </x:c>
      <x:c r="I873" s="6">
        <x:v>1857.2199999999998</x:v>
      </x:c>
      <x:c r="J873" s="6">
        <x:v>0</x:v>
      </x:c>
      <x:c r="K873" s="6">
        <x:f t="shared" si="43"/>
        <x:v>1857.2199999999998</x:v>
      </x:c>
      <x:c r="L873" s="6">
        <x:v>0</x:v>
      </x:c>
      <x:c r="M873" s="6">
        <x:v>0</x:v>
      </x:c>
      <x:c r="N873" s="6">
        <x:f t="shared" si="44"/>
        <x:v>1857.2199999999998</x:v>
      </x:c>
    </x:row>
    <x:row r="874" spans="1:14" x14ac:dyDescent="0.25">
      <x:c r="A874" t="s">
        <x:v>13</x:v>
      </x:c>
      <x:c r="B874" s="3" t="s">
        <x:v>195</x:v>
      </x:c>
      <x:c r="C874" s="3" t="s">
        <x:v>511</x:v>
      </x:c>
      <x:c r="D874" t="s">
        <x:v>677</x:v>
      </x:c>
      <x:c r="E874" s="6">
        <x:v>0</x:v>
      </x:c>
      <x:c r="F874" s="6">
        <x:v>0</x:v>
      </x:c>
      <x:c r="G874" s="6">
        <x:v>0</x:v>
      </x:c>
      <x:c r="H874" s="6">
        <x:f t="shared" si="42"/>
        <x:v>0</x:v>
      </x:c>
      <x:c r="I874" s="6">
        <x:v>5312.1799999999994</x:v>
      </x:c>
      <x:c r="J874" s="6">
        <x:v>0</x:v>
      </x:c>
      <x:c r="K874" s="6">
        <x:f t="shared" si="43"/>
        <x:v>5312.1799999999994</x:v>
      </x:c>
      <x:c r="L874" s="6">
        <x:v>0</x:v>
      </x:c>
      <x:c r="M874" s="6">
        <x:v>0</x:v>
      </x:c>
      <x:c r="N874" s="6">
        <x:f t="shared" si="44"/>
        <x:v>5312.1799999999994</x:v>
      </x:c>
    </x:row>
    <x:row r="875" spans="1:14" x14ac:dyDescent="0.25">
      <x:c r="A875" t="s">
        <x:v>13</x:v>
      </x:c>
      <x:c r="B875" s="3" t="s">
        <x:v>237</x:v>
      </x:c>
      <x:c r="C875" s="3" t="s">
        <x:v>552</x:v>
      </x:c>
      <x:c r="D875" t="s">
        <x:v>677</x:v>
      </x:c>
      <x:c r="E875" s="6">
        <x:v>0</x:v>
      </x:c>
      <x:c r="F875" s="6">
        <x:v>0</x:v>
      </x:c>
      <x:c r="G875" s="6">
        <x:v>0</x:v>
      </x:c>
      <x:c r="H875" s="6">
        <x:f t="shared" si="42"/>
        <x:v>0</x:v>
      </x:c>
      <x:c r="I875" s="6">
        <x:v>2335.8199999999997</x:v>
      </x:c>
      <x:c r="J875" s="6">
        <x:v>0</x:v>
      </x:c>
      <x:c r="K875" s="6">
        <x:f t="shared" si="43"/>
        <x:v>2335.8199999999997</x:v>
      </x:c>
      <x:c r="L875" s="6">
        <x:v>0</x:v>
      </x:c>
      <x:c r="M875" s="6">
        <x:v>0</x:v>
      </x:c>
      <x:c r="N875" s="6">
        <x:f t="shared" si="44"/>
        <x:v>2335.8199999999997</x:v>
      </x:c>
    </x:row>
    <x:row r="876" spans="1:14" x14ac:dyDescent="0.25">
      <x:c r="A876" t="s">
        <x:v>13</x:v>
      </x:c>
      <x:c r="B876" s="3" t="s">
        <x:v>196</x:v>
      </x:c>
      <x:c r="C876" s="3" t="s">
        <x:v>512</x:v>
      </x:c>
      <x:c r="D876" t="s">
        <x:v>677</x:v>
      </x:c>
      <x:c r="E876" s="6">
        <x:v>0</x:v>
      </x:c>
      <x:c r="F876" s="6">
        <x:v>0</x:v>
      </x:c>
      <x:c r="G876" s="6">
        <x:v>0</x:v>
      </x:c>
      <x:c r="H876" s="6">
        <x:f t="shared" si="42"/>
        <x:v>0</x:v>
      </x:c>
      <x:c r="I876" s="6">
        <x:v>301108.23</x:v>
      </x:c>
      <x:c r="J876" s="6">
        <x:v>0</x:v>
      </x:c>
      <x:c r="K876" s="6">
        <x:f t="shared" si="43"/>
        <x:v>301108.23</x:v>
      </x:c>
      <x:c r="L876" s="6">
        <x:v>0</x:v>
      </x:c>
      <x:c r="M876" s="6">
        <x:v>0</x:v>
      </x:c>
      <x:c r="N876" s="6">
        <x:f t="shared" si="44"/>
        <x:v>301108.23</x:v>
      </x:c>
    </x:row>
    <x:row r="877" spans="1:14" x14ac:dyDescent="0.25">
      <x:c r="A877" t="s">
        <x:v>13</x:v>
      </x:c>
      <x:c r="B877" s="3" t="s">
        <x:v>63</x:v>
      </x:c>
      <x:c r="C877" s="3" t="s">
        <x:v>380</x:v>
      </x:c>
      <x:c r="D877" t="s">
        <x:v>677</x:v>
      </x:c>
      <x:c r="E877" s="6">
        <x:v>0</x:v>
      </x:c>
      <x:c r="F877" s="6">
        <x:v>0</x:v>
      </x:c>
      <x:c r="G877" s="6">
        <x:v>0</x:v>
      </x:c>
      <x:c r="H877" s="6">
        <x:f t="shared" si="42"/>
        <x:v>0</x:v>
      </x:c>
      <x:c r="I877" s="6">
        <x:v>195301.81000000003</x:v>
      </x:c>
      <x:c r="J877" s="6">
        <x:v>0</x:v>
      </x:c>
      <x:c r="K877" s="6">
        <x:f t="shared" si="43"/>
        <x:v>195301.81000000003</x:v>
      </x:c>
      <x:c r="L877" s="6">
        <x:v>0</x:v>
      </x:c>
      <x:c r="M877" s="6">
        <x:v>0</x:v>
      </x:c>
      <x:c r="N877" s="6">
        <x:f t="shared" si="44"/>
        <x:v>195301.81000000003</x:v>
      </x:c>
    </x:row>
    <x:row r="878" spans="1:14" x14ac:dyDescent="0.25">
      <x:c r="A878" t="s">
        <x:v>13</x:v>
      </x:c>
      <x:c r="B878" s="3" t="s">
        <x:v>199</x:v>
      </x:c>
      <x:c r="C878" s="3" t="s">
        <x:v>515</x:v>
      </x:c>
      <x:c r="D878" t="s">
        <x:v>677</x:v>
      </x:c>
      <x:c r="E878" s="6">
        <x:v>0</x:v>
      </x:c>
      <x:c r="F878" s="6">
        <x:v>0</x:v>
      </x:c>
      <x:c r="G878" s="6">
        <x:v>0</x:v>
      </x:c>
      <x:c r="H878" s="6">
        <x:f t="shared" si="42"/>
        <x:v>0</x:v>
      </x:c>
      <x:c r="I878" s="6">
        <x:v>221626.29999999993</x:v>
      </x:c>
      <x:c r="J878" s="6">
        <x:v>0</x:v>
      </x:c>
      <x:c r="K878" s="6">
        <x:f t="shared" si="43"/>
        <x:v>221626.29999999993</x:v>
      </x:c>
      <x:c r="L878" s="6">
        <x:v>0</x:v>
      </x:c>
      <x:c r="M878" s="6">
        <x:v>0</x:v>
      </x:c>
      <x:c r="N878" s="6">
        <x:f t="shared" si="44"/>
        <x:v>221626.29999999993</x:v>
      </x:c>
    </x:row>
    <x:row r="879" spans="1:14" x14ac:dyDescent="0.25">
      <x:c r="A879" t="s">
        <x:v>13</x:v>
      </x:c>
      <x:c r="B879" s="3" t="s">
        <x:v>200</x:v>
      </x:c>
      <x:c r="C879" s="3" t="s">
        <x:v>516</x:v>
      </x:c>
      <x:c r="D879" t="s">
        <x:v>677</x:v>
      </x:c>
      <x:c r="E879" s="6">
        <x:v>0</x:v>
      </x:c>
      <x:c r="F879" s="6">
        <x:v>0</x:v>
      </x:c>
      <x:c r="G879" s="6">
        <x:v>0</x:v>
      </x:c>
      <x:c r="H879" s="6">
        <x:f t="shared" si="42"/>
        <x:v>0</x:v>
      </x:c>
      <x:c r="I879" s="6">
        <x:v>251739.37000000005</x:v>
      </x:c>
      <x:c r="J879" s="6">
        <x:v>0</x:v>
      </x:c>
      <x:c r="K879" s="6">
        <x:f t="shared" si="43"/>
        <x:v>251739.37000000005</x:v>
      </x:c>
      <x:c r="L879" s="6">
        <x:v>0</x:v>
      </x:c>
      <x:c r="M879" s="6">
        <x:v>0</x:v>
      </x:c>
      <x:c r="N879" s="6">
        <x:f t="shared" si="44"/>
        <x:v>251739.37000000005</x:v>
      </x:c>
    </x:row>
    <x:row r="880" spans="1:14" x14ac:dyDescent="0.25">
      <x:c r="A880" t="s">
        <x:v>13</x:v>
      </x:c>
      <x:c r="B880" s="3" t="s">
        <x:v>202</x:v>
      </x:c>
      <x:c r="C880" s="3" t="s">
        <x:v>518</x:v>
      </x:c>
      <x:c r="D880" t="s">
        <x:v>677</x:v>
      </x:c>
      <x:c r="E880" s="6">
        <x:v>0</x:v>
      </x:c>
      <x:c r="F880" s="6">
        <x:v>0</x:v>
      </x:c>
      <x:c r="G880" s="6">
        <x:v>0</x:v>
      </x:c>
      <x:c r="H880" s="6">
        <x:f t="shared" si="42"/>
        <x:v>0</x:v>
      </x:c>
      <x:c r="I880" s="6">
        <x:v>4732.29</x:v>
      </x:c>
      <x:c r="J880" s="6">
        <x:v>0</x:v>
      </x:c>
      <x:c r="K880" s="6">
        <x:f t="shared" si="43"/>
        <x:v>4732.29</x:v>
      </x:c>
      <x:c r="L880" s="6">
        <x:v>0</x:v>
      </x:c>
      <x:c r="M880" s="6">
        <x:v>0</x:v>
      </x:c>
      <x:c r="N880" s="6">
        <x:f t="shared" si="44"/>
        <x:v>4732.29</x:v>
      </x:c>
    </x:row>
    <x:row r="881" spans="1:14" x14ac:dyDescent="0.25">
      <x:c r="A881" t="s">
        <x:v>13</x:v>
      </x:c>
      <x:c r="B881" s="3" t="s">
        <x:v>203</x:v>
      </x:c>
      <x:c r="C881" s="3" t="s">
        <x:v>519</x:v>
      </x:c>
      <x:c r="D881" t="s">
        <x:v>677</x:v>
      </x:c>
      <x:c r="E881" s="6">
        <x:v>0</x:v>
      </x:c>
      <x:c r="F881" s="6">
        <x:v>0</x:v>
      </x:c>
      <x:c r="G881" s="6">
        <x:v>0</x:v>
      </x:c>
      <x:c r="H881" s="6">
        <x:f t="shared" si="42"/>
        <x:v>0</x:v>
      </x:c>
      <x:c r="I881" s="6">
        <x:v>144190.79000000012</x:v>
      </x:c>
      <x:c r="J881" s="6">
        <x:v>0</x:v>
      </x:c>
      <x:c r="K881" s="6">
        <x:f t="shared" si="43"/>
        <x:v>144190.79000000012</x:v>
      </x:c>
      <x:c r="L881" s="6">
        <x:v>0</x:v>
      </x:c>
      <x:c r="M881" s="6">
        <x:v>0</x:v>
      </x:c>
      <x:c r="N881" s="6">
        <x:f t="shared" si="44"/>
        <x:v>144190.79000000012</x:v>
      </x:c>
    </x:row>
    <x:row r="882" spans="1:14" x14ac:dyDescent="0.25">
      <x:c r="A882" t="s">
        <x:v>13</x:v>
      </x:c>
      <x:c r="B882" s="3" t="s">
        <x:v>50</x:v>
      </x:c>
      <x:c r="C882" s="3" t="s">
        <x:v>367</x:v>
      </x:c>
      <x:c r="D882" t="s">
        <x:v>677</x:v>
      </x:c>
      <x:c r="E882" s="6">
        <x:v>0</x:v>
      </x:c>
      <x:c r="F882" s="6">
        <x:v>0</x:v>
      </x:c>
      <x:c r="G882" s="6">
        <x:v>0</x:v>
      </x:c>
      <x:c r="H882" s="6">
        <x:f t="shared" si="42"/>
        <x:v>0</x:v>
      </x:c>
      <x:c r="I882" s="6">
        <x:v>166193.44</x:v>
      </x:c>
      <x:c r="J882" s="6">
        <x:v>0</x:v>
      </x:c>
      <x:c r="K882" s="6">
        <x:f t="shared" si="43"/>
        <x:v>166193.44</x:v>
      </x:c>
      <x:c r="L882" s="6">
        <x:v>0</x:v>
      </x:c>
      <x:c r="M882" s="6">
        <x:v>0</x:v>
      </x:c>
      <x:c r="N882" s="6">
        <x:f t="shared" si="44"/>
        <x:v>166193.44</x:v>
      </x:c>
    </x:row>
    <x:row r="883" spans="1:14" x14ac:dyDescent="0.25">
      <x:c r="A883" t="s">
        <x:v>13</x:v>
      </x:c>
      <x:c r="B883" s="3" t="s">
        <x:v>239</x:v>
      </x:c>
      <x:c r="C883" s="3" t="s">
        <x:v>554</x:v>
      </x:c>
      <x:c r="D883" t="s">
        <x:v>677</x:v>
      </x:c>
      <x:c r="E883" s="6">
        <x:v>0</x:v>
      </x:c>
      <x:c r="F883" s="6">
        <x:v>0</x:v>
      </x:c>
      <x:c r="G883" s="6">
        <x:v>0</x:v>
      </x:c>
      <x:c r="H883" s="6">
        <x:f t="shared" si="42"/>
        <x:v>0</x:v>
      </x:c>
      <x:c r="I883" s="6">
        <x:v>345292.10999999987</x:v>
      </x:c>
      <x:c r="J883" s="6">
        <x:v>0</x:v>
      </x:c>
      <x:c r="K883" s="6">
        <x:f t="shared" si="43"/>
        <x:v>345292.10999999987</x:v>
      </x:c>
      <x:c r="L883" s="6">
        <x:v>0</x:v>
      </x:c>
      <x:c r="M883" s="6">
        <x:v>0</x:v>
      </x:c>
      <x:c r="N883" s="6">
        <x:f t="shared" si="44"/>
        <x:v>345292.10999999987</x:v>
      </x:c>
    </x:row>
    <x:row r="884" spans="1:14" x14ac:dyDescent="0.25">
      <x:c r="A884" t="s">
        <x:v>13</x:v>
      </x:c>
      <x:c r="B884" s="3" t="s">
        <x:v>204</x:v>
      </x:c>
      <x:c r="C884" s="3" t="s">
        <x:v>520</x:v>
      </x:c>
      <x:c r="D884" t="s">
        <x:v>677</x:v>
      </x:c>
      <x:c r="E884" s="6">
        <x:v>0</x:v>
      </x:c>
      <x:c r="F884" s="6">
        <x:v>0</x:v>
      </x:c>
      <x:c r="G884" s="6">
        <x:v>0</x:v>
      </x:c>
      <x:c r="H884" s="6">
        <x:f t="shared" si="42"/>
        <x:v>0</x:v>
      </x:c>
      <x:c r="I884" s="6">
        <x:v>27684.39</x:v>
      </x:c>
      <x:c r="J884" s="6">
        <x:v>0</x:v>
      </x:c>
      <x:c r="K884" s="6">
        <x:f t="shared" si="43"/>
        <x:v>27684.39</x:v>
      </x:c>
      <x:c r="L884" s="6">
        <x:v>0</x:v>
      </x:c>
      <x:c r="M884" s="6">
        <x:v>0</x:v>
      </x:c>
      <x:c r="N884" s="6">
        <x:f t="shared" si="44"/>
        <x:v>27684.39</x:v>
      </x:c>
    </x:row>
    <x:row r="885" spans="1:14" x14ac:dyDescent="0.25">
      <x:c r="A885" t="s">
        <x:v>13</x:v>
      </x:c>
      <x:c r="B885" s="3" t="s">
        <x:v>205</x:v>
      </x:c>
      <x:c r="C885" s="3" t="s">
        <x:v>521</x:v>
      </x:c>
      <x:c r="D885" t="s">
        <x:v>677</x:v>
      </x:c>
      <x:c r="E885" s="6">
        <x:v>0</x:v>
      </x:c>
      <x:c r="F885" s="6">
        <x:v>0</x:v>
      </x:c>
      <x:c r="G885" s="6">
        <x:v>0</x:v>
      </x:c>
      <x:c r="H885" s="6">
        <x:f t="shared" si="42"/>
        <x:v>0</x:v>
      </x:c>
      <x:c r="I885" s="6">
        <x:v>34126.340000000004</x:v>
      </x:c>
      <x:c r="J885" s="6">
        <x:v>0</x:v>
      </x:c>
      <x:c r="K885" s="6">
        <x:f t="shared" si="43"/>
        <x:v>34126.340000000004</x:v>
      </x:c>
      <x:c r="L885" s="6">
        <x:v>0</x:v>
      </x:c>
      <x:c r="M885" s="6">
        <x:v>0</x:v>
      </x:c>
      <x:c r="N885" s="6">
        <x:f t="shared" si="44"/>
        <x:v>34126.340000000004</x:v>
      </x:c>
    </x:row>
    <x:row r="886" spans="1:14" x14ac:dyDescent="0.25">
      <x:c r="A886" t="s">
        <x:v>13</x:v>
      </x:c>
      <x:c r="B886" s="3" t="s">
        <x:v>240</x:v>
      </x:c>
      <x:c r="C886" s="3" t="s">
        <x:v>555</x:v>
      </x:c>
      <x:c r="D886" t="s">
        <x:v>677</x:v>
      </x:c>
      <x:c r="E886" s="6">
        <x:v>0</x:v>
      </x:c>
      <x:c r="F886" s="6">
        <x:v>0</x:v>
      </x:c>
      <x:c r="G886" s="6">
        <x:v>0</x:v>
      </x:c>
      <x:c r="H886" s="6">
        <x:f t="shared" si="42"/>
        <x:v>0</x:v>
      </x:c>
      <x:c r="I886" s="6">
        <x:v>27489.57</x:v>
      </x:c>
      <x:c r="J886" s="6">
        <x:v>0</x:v>
      </x:c>
      <x:c r="K886" s="6">
        <x:f t="shared" si="43"/>
        <x:v>27489.57</x:v>
      </x:c>
      <x:c r="L886" s="6">
        <x:v>0</x:v>
      </x:c>
      <x:c r="M886" s="6">
        <x:v>0</x:v>
      </x:c>
      <x:c r="N886" s="6">
        <x:f t="shared" si="44"/>
        <x:v>27489.57</x:v>
      </x:c>
    </x:row>
    <x:row r="887" spans="1:14" x14ac:dyDescent="0.25">
      <x:c r="A887" t="s">
        <x:v>13</x:v>
      </x:c>
      <x:c r="B887" s="3" t="s">
        <x:v>206</x:v>
      </x:c>
      <x:c r="C887" s="3" t="s">
        <x:v>522</x:v>
      </x:c>
      <x:c r="D887" t="s">
        <x:v>677</x:v>
      </x:c>
      <x:c r="E887" s="6">
        <x:v>0</x:v>
      </x:c>
      <x:c r="F887" s="6">
        <x:v>0</x:v>
      </x:c>
      <x:c r="G887" s="6">
        <x:v>0</x:v>
      </x:c>
      <x:c r="H887" s="6">
        <x:f t="shared" si="42"/>
        <x:v>0</x:v>
      </x:c>
      <x:c r="I887" s="6">
        <x:v>315518.95</x:v>
      </x:c>
      <x:c r="J887" s="6">
        <x:v>0</x:v>
      </x:c>
      <x:c r="K887" s="6">
        <x:f t="shared" si="43"/>
        <x:v>315518.95</x:v>
      </x:c>
      <x:c r="L887" s="6">
        <x:v>0</x:v>
      </x:c>
      <x:c r="M887" s="6">
        <x:v>0</x:v>
      </x:c>
      <x:c r="N887" s="6">
        <x:f t="shared" si="44"/>
        <x:v>315518.95</x:v>
      </x:c>
    </x:row>
    <x:row r="888" spans="1:14" x14ac:dyDescent="0.25">
      <x:c r="A888" t="s">
        <x:v>13</x:v>
      </x:c>
      <x:c r="B888" s="3" t="s">
        <x:v>209</x:v>
      </x:c>
      <x:c r="C888" s="3" t="s">
        <x:v>525</x:v>
      </x:c>
      <x:c r="D888" t="s">
        <x:v>677</x:v>
      </x:c>
      <x:c r="E888" s="6">
        <x:v>0</x:v>
      </x:c>
      <x:c r="F888" s="6">
        <x:v>0</x:v>
      </x:c>
      <x:c r="G888" s="6">
        <x:v>0</x:v>
      </x:c>
      <x:c r="H888" s="6">
        <x:f t="shared" si="42"/>
        <x:v>0</x:v>
      </x:c>
      <x:c r="I888" s="6">
        <x:v>34518.659999999996</x:v>
      </x:c>
      <x:c r="J888" s="6">
        <x:v>0</x:v>
      </x:c>
      <x:c r="K888" s="6">
        <x:f t="shared" si="43"/>
        <x:v>34518.659999999996</x:v>
      </x:c>
      <x:c r="L888" s="6">
        <x:v>0</x:v>
      </x:c>
      <x:c r="M888" s="6">
        <x:v>0</x:v>
      </x:c>
      <x:c r="N888" s="6">
        <x:f t="shared" si="44"/>
        <x:v>34518.659999999996</x:v>
      </x:c>
    </x:row>
    <x:row r="889" spans="1:14" x14ac:dyDescent="0.25">
      <x:c r="A889" t="s">
        <x:v>13</x:v>
      </x:c>
      <x:c r="B889" s="3" t="s">
        <x:v>210</x:v>
      </x:c>
      <x:c r="C889" s="3" t="s">
        <x:v>526</x:v>
      </x:c>
      <x:c r="D889" t="s">
        <x:v>677</x:v>
      </x:c>
      <x:c r="E889" s="6">
        <x:v>0</x:v>
      </x:c>
      <x:c r="F889" s="6">
        <x:v>0</x:v>
      </x:c>
      <x:c r="G889" s="6">
        <x:v>0</x:v>
      </x:c>
      <x:c r="H889" s="6">
        <x:f t="shared" si="42"/>
        <x:v>0</x:v>
      </x:c>
      <x:c r="I889" s="6">
        <x:v>15429.740000000002</x:v>
      </x:c>
      <x:c r="J889" s="6">
        <x:v>0</x:v>
      </x:c>
      <x:c r="K889" s="6">
        <x:f t="shared" si="43"/>
        <x:v>15429.740000000002</x:v>
      </x:c>
      <x:c r="L889" s="6">
        <x:v>0</x:v>
      </x:c>
      <x:c r="M889" s="6">
        <x:v>0</x:v>
      </x:c>
      <x:c r="N889" s="6">
        <x:f t="shared" si="44"/>
        <x:v>15429.740000000002</x:v>
      </x:c>
    </x:row>
    <x:row r="890" spans="1:14" x14ac:dyDescent="0.25">
      <x:c r="A890" t="s">
        <x:v>13</x:v>
      </x:c>
      <x:c r="B890" s="3" t="s">
        <x:v>211</x:v>
      </x:c>
      <x:c r="C890" s="3" t="s">
        <x:v>527</x:v>
      </x:c>
      <x:c r="D890" t="s">
        <x:v>677</x:v>
      </x:c>
      <x:c r="E890" s="6">
        <x:v>0</x:v>
      </x:c>
      <x:c r="F890" s="6">
        <x:v>0</x:v>
      </x:c>
      <x:c r="G890" s="6">
        <x:v>0</x:v>
      </x:c>
      <x:c r="H890" s="6">
        <x:f t="shared" si="42"/>
        <x:v>0</x:v>
      </x:c>
      <x:c r="I890" s="6">
        <x:v>27622.260000000002</x:v>
      </x:c>
      <x:c r="J890" s="6">
        <x:v>0</x:v>
      </x:c>
      <x:c r="K890" s="6">
        <x:f t="shared" si="43"/>
        <x:v>27622.260000000002</x:v>
      </x:c>
      <x:c r="L890" s="6">
        <x:v>0</x:v>
      </x:c>
      <x:c r="M890" s="6">
        <x:v>0</x:v>
      </x:c>
      <x:c r="N890" s="6">
        <x:f t="shared" si="44"/>
        <x:v>27622.260000000002</x:v>
      </x:c>
    </x:row>
    <x:row r="891" spans="1:14" x14ac:dyDescent="0.25">
      <x:c r="A891" t="s">
        <x:v>13</x:v>
      </x:c>
      <x:c r="B891" s="3" t="s">
        <x:v>212</x:v>
      </x:c>
      <x:c r="C891" s="3" t="s">
        <x:v>528</x:v>
      </x:c>
      <x:c r="D891" t="s">
        <x:v>677</x:v>
      </x:c>
      <x:c r="E891" s="6">
        <x:v>0</x:v>
      </x:c>
      <x:c r="F891" s="6">
        <x:v>0</x:v>
      </x:c>
      <x:c r="G891" s="6">
        <x:v>0</x:v>
      </x:c>
      <x:c r="H891" s="6">
        <x:f t="shared" si="42"/>
        <x:v>0</x:v>
      </x:c>
      <x:c r="I891" s="6">
        <x:v>36206.020000000004</x:v>
      </x:c>
      <x:c r="J891" s="6">
        <x:v>0</x:v>
      </x:c>
      <x:c r="K891" s="6">
        <x:f t="shared" si="43"/>
        <x:v>36206.020000000004</x:v>
      </x:c>
      <x:c r="L891" s="6">
        <x:v>0</x:v>
      </x:c>
      <x:c r="M891" s="6">
        <x:v>0</x:v>
      </x:c>
      <x:c r="N891" s="6">
        <x:f t="shared" si="44"/>
        <x:v>36206.020000000004</x:v>
      </x:c>
    </x:row>
    <x:row r="892" spans="1:14" x14ac:dyDescent="0.25">
      <x:c r="A892" t="s">
        <x:v>13</x:v>
      </x:c>
      <x:c r="B892" s="3" t="s">
        <x:v>64</x:v>
      </x:c>
      <x:c r="C892" s="3" t="s">
        <x:v>381</x:v>
      </x:c>
      <x:c r="D892" t="s">
        <x:v>677</x:v>
      </x:c>
      <x:c r="E892" s="6">
        <x:v>0</x:v>
      </x:c>
      <x:c r="F892" s="6">
        <x:v>0</x:v>
      </x:c>
      <x:c r="G892" s="6">
        <x:v>0</x:v>
      </x:c>
      <x:c r="H892" s="6">
        <x:f t="shared" si="42"/>
        <x:v>0</x:v>
      </x:c>
      <x:c r="I892" s="6">
        <x:v>60567.77</x:v>
      </x:c>
      <x:c r="J892" s="6">
        <x:v>0</x:v>
      </x:c>
      <x:c r="K892" s="6">
        <x:f t="shared" si="43"/>
        <x:v>60567.77</x:v>
      </x:c>
      <x:c r="L892" s="6">
        <x:v>0</x:v>
      </x:c>
      <x:c r="M892" s="6">
        <x:v>0</x:v>
      </x:c>
      <x:c r="N892" s="6">
        <x:f t="shared" si="44"/>
        <x:v>60567.77</x:v>
      </x:c>
    </x:row>
    <x:row r="893" spans="1:14" x14ac:dyDescent="0.25">
      <x:c r="A893" t="s">
        <x:v>13</x:v>
      </x:c>
      <x:c r="B893" s="3" t="s">
        <x:v>213</x:v>
      </x:c>
      <x:c r="C893" s="3" t="s">
        <x:v>529</x:v>
      </x:c>
      <x:c r="D893" t="s">
        <x:v>677</x:v>
      </x:c>
      <x:c r="E893" s="6">
        <x:v>0</x:v>
      </x:c>
      <x:c r="F893" s="6">
        <x:v>0</x:v>
      </x:c>
      <x:c r="G893" s="6">
        <x:v>0</x:v>
      </x:c>
      <x:c r="H893" s="6">
        <x:f t="shared" si="42"/>
        <x:v>0</x:v>
      </x:c>
      <x:c r="I893" s="6">
        <x:v>21906.269999999997</x:v>
      </x:c>
      <x:c r="J893" s="6">
        <x:v>0</x:v>
      </x:c>
      <x:c r="K893" s="6">
        <x:f t="shared" si="43"/>
        <x:v>21906.269999999997</x:v>
      </x:c>
      <x:c r="L893" s="6">
        <x:v>0</x:v>
      </x:c>
      <x:c r="M893" s="6">
        <x:v>0</x:v>
      </x:c>
      <x:c r="N893" s="6">
        <x:f t="shared" si="44"/>
        <x:v>21906.269999999997</x:v>
      </x:c>
    </x:row>
    <x:row r="894" spans="1:14" x14ac:dyDescent="0.25">
      <x:c r="A894" t="s">
        <x:v>13</x:v>
      </x:c>
      <x:c r="B894" s="3" t="s">
        <x:v>215</x:v>
      </x:c>
      <x:c r="C894" s="3" t="s">
        <x:v>531</x:v>
      </x:c>
      <x:c r="D894" t="s">
        <x:v>677</x:v>
      </x:c>
      <x:c r="E894" s="6">
        <x:v>0</x:v>
      </x:c>
      <x:c r="F894" s="6">
        <x:v>0</x:v>
      </x:c>
      <x:c r="G894" s="6">
        <x:v>0</x:v>
      </x:c>
      <x:c r="H894" s="6">
        <x:f t="shared" si="42"/>
        <x:v>0</x:v>
      </x:c>
      <x:c r="I894" s="6">
        <x:v>151779.11999999991</x:v>
      </x:c>
      <x:c r="J894" s="6">
        <x:v>0</x:v>
      </x:c>
      <x:c r="K894" s="6">
        <x:f t="shared" si="43"/>
        <x:v>151779.11999999991</x:v>
      </x:c>
      <x:c r="L894" s="6">
        <x:v>0</x:v>
      </x:c>
      <x:c r="M894" s="6">
        <x:v>0</x:v>
      </x:c>
      <x:c r="N894" s="6">
        <x:f t="shared" si="44"/>
        <x:v>151779.11999999991</x:v>
      </x:c>
    </x:row>
    <x:row r="895" spans="1:14" x14ac:dyDescent="0.25">
      <x:c r="A895" t="s">
        <x:v>13</x:v>
      </x:c>
      <x:c r="B895" s="3" t="s">
        <x:v>216</x:v>
      </x:c>
      <x:c r="C895" s="3" t="s">
        <x:v>532</x:v>
      </x:c>
      <x:c r="D895" t="s">
        <x:v>677</x:v>
      </x:c>
      <x:c r="E895" s="6">
        <x:v>0</x:v>
      </x:c>
      <x:c r="F895" s="6">
        <x:v>0</x:v>
      </x:c>
      <x:c r="G895" s="6">
        <x:v>0</x:v>
      </x:c>
      <x:c r="H895" s="6">
        <x:f t="shared" si="42"/>
        <x:v>0</x:v>
      </x:c>
      <x:c r="I895" s="6">
        <x:v>1520.49</x:v>
      </x:c>
      <x:c r="J895" s="6">
        <x:v>0</x:v>
      </x:c>
      <x:c r="K895" s="6">
        <x:f t="shared" si="43"/>
        <x:v>1520.49</x:v>
      </x:c>
      <x:c r="L895" s="6">
        <x:v>0</x:v>
      </x:c>
      <x:c r="M895" s="6">
        <x:v>0</x:v>
      </x:c>
      <x:c r="N895" s="6">
        <x:f t="shared" si="44"/>
        <x:v>1520.49</x:v>
      </x:c>
    </x:row>
    <x:row r="896" spans="1:14" x14ac:dyDescent="0.25">
      <x:c r="A896" t="s">
        <x:v>13</x:v>
      </x:c>
      <x:c r="B896" s="3" t="s">
        <x:v>65</x:v>
      </x:c>
      <x:c r="C896" s="3" t="s">
        <x:v>382</x:v>
      </x:c>
      <x:c r="D896" t="s">
        <x:v>677</x:v>
      </x:c>
      <x:c r="E896" s="6">
        <x:v>0</x:v>
      </x:c>
      <x:c r="F896" s="6">
        <x:v>0</x:v>
      </x:c>
      <x:c r="G896" s="6">
        <x:v>0</x:v>
      </x:c>
      <x:c r="H896" s="6">
        <x:f t="shared" si="42"/>
        <x:v>0</x:v>
      </x:c>
      <x:c r="I896" s="6">
        <x:v>126056.38999999998</x:v>
      </x:c>
      <x:c r="J896" s="6">
        <x:v>0</x:v>
      </x:c>
      <x:c r="K896" s="6">
        <x:f t="shared" si="43"/>
        <x:v>126056.38999999998</x:v>
      </x:c>
      <x:c r="L896" s="6">
        <x:v>0</x:v>
      </x:c>
      <x:c r="M896" s="6">
        <x:v>0</x:v>
      </x:c>
      <x:c r="N896" s="6">
        <x:f t="shared" si="44"/>
        <x:v>126056.38999999998</x:v>
      </x:c>
    </x:row>
    <x:row r="897" spans="1:14" x14ac:dyDescent="0.25">
      <x:c r="A897" t="s">
        <x:v>13</x:v>
      </x:c>
      <x:c r="B897" s="3" t="s">
        <x:v>217</x:v>
      </x:c>
      <x:c r="C897" s="3" t="s">
        <x:v>533</x:v>
      </x:c>
      <x:c r="D897" t="s">
        <x:v>677</x:v>
      </x:c>
      <x:c r="E897" s="6">
        <x:v>0</x:v>
      </x:c>
      <x:c r="F897" s="6">
        <x:v>0</x:v>
      </x:c>
      <x:c r="G897" s="6">
        <x:v>0</x:v>
      </x:c>
      <x:c r="H897" s="6">
        <x:f t="shared" si="42"/>
        <x:v>0</x:v>
      </x:c>
      <x:c r="I897" s="6">
        <x:v>12346.18</x:v>
      </x:c>
      <x:c r="J897" s="6">
        <x:v>0</x:v>
      </x:c>
      <x:c r="K897" s="6">
        <x:f t="shared" si="43"/>
        <x:v>12346.18</x:v>
      </x:c>
      <x:c r="L897" s="6">
        <x:v>0</x:v>
      </x:c>
      <x:c r="M897" s="6">
        <x:v>0</x:v>
      </x:c>
      <x:c r="N897" s="6">
        <x:f t="shared" si="44"/>
        <x:v>12346.18</x:v>
      </x:c>
    </x:row>
    <x:row r="898" spans="1:14" x14ac:dyDescent="0.25">
      <x:c r="A898" t="s">
        <x:v>13</x:v>
      </x:c>
      <x:c r="B898" s="3" t="s">
        <x:v>218</x:v>
      </x:c>
      <x:c r="C898" s="3" t="s">
        <x:v>534</x:v>
      </x:c>
      <x:c r="D898" t="s">
        <x:v>677</x:v>
      </x:c>
      <x:c r="E898" s="6">
        <x:v>0</x:v>
      </x:c>
      <x:c r="F898" s="6">
        <x:v>0</x:v>
      </x:c>
      <x:c r="G898" s="6">
        <x:v>0</x:v>
      </x:c>
      <x:c r="H898" s="6">
        <x:f t="shared" si="42"/>
        <x:v>0</x:v>
      </x:c>
      <x:c r="I898" s="6">
        <x:v>416243.57000000012</x:v>
      </x:c>
      <x:c r="J898" s="6">
        <x:v>0</x:v>
      </x:c>
      <x:c r="K898" s="6">
        <x:f t="shared" si="43"/>
        <x:v>416243.57000000012</x:v>
      </x:c>
      <x:c r="L898" s="6">
        <x:v>0</x:v>
      </x:c>
      <x:c r="M898" s="6">
        <x:v>0</x:v>
      </x:c>
      <x:c r="N898" s="6">
        <x:f t="shared" si="44"/>
        <x:v>416243.57000000012</x:v>
      </x:c>
    </x:row>
    <x:row r="899" spans="1:14" x14ac:dyDescent="0.25">
      <x:c r="A899" t="s">
        <x:v>13</x:v>
      </x:c>
      <x:c r="B899" s="3" t="s">
        <x:v>219</x:v>
      </x:c>
      <x:c r="C899" s="3" t="s">
        <x:v>535</x:v>
      </x:c>
      <x:c r="D899" t="s">
        <x:v>677</x:v>
      </x:c>
      <x:c r="E899" s="6">
        <x:v>0</x:v>
      </x:c>
      <x:c r="F899" s="6">
        <x:v>0</x:v>
      </x:c>
      <x:c r="G899" s="6">
        <x:v>0</x:v>
      </x:c>
      <x:c r="H899" s="6">
        <x:f t="shared" si="42"/>
        <x:v>0</x:v>
      </x:c>
      <x:c r="I899" s="6">
        <x:v>17974.019999999993</x:v>
      </x:c>
      <x:c r="J899" s="6">
        <x:v>0</x:v>
      </x:c>
      <x:c r="K899" s="6">
        <x:f t="shared" si="43"/>
        <x:v>17974.019999999993</x:v>
      </x:c>
      <x:c r="L899" s="6">
        <x:v>0</x:v>
      </x:c>
      <x:c r="M899" s="6">
        <x:v>0</x:v>
      </x:c>
      <x:c r="N899" s="6">
        <x:f t="shared" si="44"/>
        <x:v>17974.019999999993</x:v>
      </x:c>
    </x:row>
    <x:row r="900" spans="1:14" x14ac:dyDescent="0.25">
      <x:c r="A900" t="s">
        <x:v>13</x:v>
      </x:c>
      <x:c r="B900" s="3" t="s">
        <x:v>220</x:v>
      </x:c>
      <x:c r="C900" s="3" t="s">
        <x:v>536</x:v>
      </x:c>
      <x:c r="D900" t="s">
        <x:v>677</x:v>
      </x:c>
      <x:c r="E900" s="6">
        <x:v>0</x:v>
      </x:c>
      <x:c r="F900" s="6">
        <x:v>0</x:v>
      </x:c>
      <x:c r="G900" s="6">
        <x:v>0</x:v>
      </x:c>
      <x:c r="H900" s="6">
        <x:f t="shared" si="42"/>
        <x:v>0</x:v>
      </x:c>
      <x:c r="I900" s="6">
        <x:v>46806.250000000015</x:v>
      </x:c>
      <x:c r="J900" s="6">
        <x:v>0</x:v>
      </x:c>
      <x:c r="K900" s="6">
        <x:f t="shared" si="43"/>
        <x:v>46806.250000000015</x:v>
      </x:c>
      <x:c r="L900" s="6">
        <x:v>0</x:v>
      </x:c>
      <x:c r="M900" s="6">
        <x:v>0</x:v>
      </x:c>
      <x:c r="N900" s="6">
        <x:f t="shared" si="44"/>
        <x:v>46806.250000000015</x:v>
      </x:c>
    </x:row>
    <x:row r="901" spans="1:14" x14ac:dyDescent="0.25">
      <x:c r="A901" t="s">
        <x:v>13</x:v>
      </x:c>
      <x:c r="B901" s="3" t="s">
        <x:v>242</x:v>
      </x:c>
      <x:c r="C901" s="3" t="s">
        <x:v>557</x:v>
      </x:c>
      <x:c r="D901" t="s">
        <x:v>677</x:v>
      </x:c>
      <x:c r="E901" s="6">
        <x:v>0</x:v>
      </x:c>
      <x:c r="F901" s="6">
        <x:v>0</x:v>
      </x:c>
      <x:c r="G901" s="6">
        <x:v>0</x:v>
      </x:c>
      <x:c r="H901" s="6">
        <x:f t="shared" si="42"/>
        <x:v>0</x:v>
      </x:c>
      <x:c r="I901" s="6">
        <x:v>-2674952.86</x:v>
      </x:c>
      <x:c r="J901" s="6">
        <x:v>0</x:v>
      </x:c>
      <x:c r="K901" s="6">
        <x:f t="shared" si="43"/>
        <x:v>-2674952.86</x:v>
      </x:c>
      <x:c r="L901" s="6">
        <x:v>0</x:v>
      </x:c>
      <x:c r="M901" s="6">
        <x:v>0</x:v>
      </x:c>
      <x:c r="N901" s="6">
        <x:f t="shared" si="44"/>
        <x:v>-2674952.86</x:v>
      </x:c>
    </x:row>
    <x:row r="902" spans="1:14" x14ac:dyDescent="0.25">
      <x:c r="A902" t="s">
        <x:v>13</x:v>
      </x:c>
      <x:c r="B902" s="3" t="s">
        <x:v>226</x:v>
      </x:c>
      <x:c r="C902" s="3" t="s">
        <x:v>542</x:v>
      </x:c>
      <x:c r="D902" t="s">
        <x:v>677</x:v>
      </x:c>
      <x:c r="E902" s="6">
        <x:v>0</x:v>
      </x:c>
      <x:c r="F902" s="6">
        <x:v>0</x:v>
      </x:c>
      <x:c r="G902" s="6">
        <x:v>0</x:v>
      </x:c>
      <x:c r="H902" s="6">
        <x:f t="shared" si="42"/>
        <x:v>0</x:v>
      </x:c>
      <x:c r="I902" s="6">
        <x:v>267.60999999999996</x:v>
      </x:c>
      <x:c r="J902" s="6">
        <x:v>0</x:v>
      </x:c>
      <x:c r="K902" s="6">
        <x:f t="shared" si="43"/>
        <x:v>267.60999999999996</x:v>
      </x:c>
      <x:c r="L902" s="6">
        <x:v>0</x:v>
      </x:c>
      <x:c r="M902" s="6">
        <x:v>0</x:v>
      </x:c>
      <x:c r="N902" s="6">
        <x:f t="shared" si="44"/>
        <x:v>267.60999999999996</x:v>
      </x:c>
    </x:row>
    <x:row r="903" spans="1:14" x14ac:dyDescent="0.25">
      <x:c r="A903" t="s">
        <x:v>13</x:v>
      </x:c>
      <x:c r="B903" s="3" t="s">
        <x:v>243</x:v>
      </x:c>
      <x:c r="C903" s="3" t="s">
        <x:v>558</x:v>
      </x:c>
      <x:c r="D903" t="s">
        <x:v>677</x:v>
      </x:c>
      <x:c r="E903" s="6">
        <x:v>0</x:v>
      </x:c>
      <x:c r="F903" s="6">
        <x:v>0</x:v>
      </x:c>
      <x:c r="G903" s="6">
        <x:v>0</x:v>
      </x:c>
      <x:c r="H903" s="6">
        <x:f t="shared" si="42"/>
        <x:v>0</x:v>
      </x:c>
      <x:c r="I903" s="6">
        <x:v>1.95</x:v>
      </x:c>
      <x:c r="J903" s="6">
        <x:v>0</x:v>
      </x:c>
      <x:c r="K903" s="6">
        <x:f t="shared" si="43"/>
        <x:v>1.95</x:v>
      </x:c>
      <x:c r="L903" s="6">
        <x:v>0</x:v>
      </x:c>
      <x:c r="M903" s="6">
        <x:v>0</x:v>
      </x:c>
      <x:c r="N903" s="6">
        <x:f t="shared" si="44"/>
        <x:v>1.95</x:v>
      </x:c>
    </x:row>
    <x:row r="904" spans="1:14" x14ac:dyDescent="0.25">
      <x:c r="A904" t="s">
        <x:v>14</x:v>
      </x:c>
      <x:c r="B904" s="3" t="s">
        <x:v>45</x:v>
      </x:c>
      <x:c r="C904" s="3" t="s">
        <x:v>362</x:v>
      </x:c>
      <x:c r="D904" t="s">
        <x:v>677</x:v>
      </x:c>
      <x:c r="E904" s="6">
        <x:v>0</x:v>
      </x:c>
      <x:c r="F904" s="6">
        <x:v>0</x:v>
      </x:c>
      <x:c r="G904" s="6">
        <x:v>0</x:v>
      </x:c>
      <x:c r="H904" s="6">
        <x:f t="shared" si="42"/>
        <x:v>0</x:v>
      </x:c>
      <x:c r="I904" s="6">
        <x:v>-6.73</x:v>
      </x:c>
      <x:c r="J904" s="6">
        <x:v>0</x:v>
      </x:c>
      <x:c r="K904" s="6">
        <x:f t="shared" si="43"/>
        <x:v>-6.73</x:v>
      </x:c>
      <x:c r="L904" s="6">
        <x:v>0</x:v>
      </x:c>
      <x:c r="M904" s="6">
        <x:v>0</x:v>
      </x:c>
      <x:c r="N904" s="6">
        <x:f t="shared" si="44"/>
        <x:v>-6.73</x:v>
      </x:c>
    </x:row>
    <x:row r="905" spans="1:14" x14ac:dyDescent="0.25">
      <x:c r="A905" t="s">
        <x:v>14</x:v>
      </x:c>
      <x:c r="B905" s="3" t="s">
        <x:v>193</x:v>
      </x:c>
      <x:c r="C905" s="3" t="s">
        <x:v>509</x:v>
      </x:c>
      <x:c r="D905" t="s">
        <x:v>677</x:v>
      </x:c>
      <x:c r="E905" s="6">
        <x:v>0</x:v>
      </x:c>
      <x:c r="F905" s="6">
        <x:v>0</x:v>
      </x:c>
      <x:c r="G905" s="6">
        <x:v>0</x:v>
      </x:c>
      <x:c r="H905" s="6">
        <x:f t="shared" si="42"/>
        <x:v>0</x:v>
      </x:c>
      <x:c r="I905" s="6">
        <x:v>164.33</x:v>
      </x:c>
      <x:c r="J905" s="6">
        <x:v>0</x:v>
      </x:c>
      <x:c r="K905" s="6">
        <x:f t="shared" si="43"/>
        <x:v>164.33</x:v>
      </x:c>
      <x:c r="L905" s="6">
        <x:v>0</x:v>
      </x:c>
      <x:c r="M905" s="6">
        <x:v>0</x:v>
      </x:c>
      <x:c r="N905" s="6">
        <x:f t="shared" si="44"/>
        <x:v>164.33</x:v>
      </x:c>
    </x:row>
    <x:row r="906" spans="1:14" x14ac:dyDescent="0.25">
      <x:c r="A906" t="s">
        <x:v>15</x:v>
      </x:c>
      <x:c r="B906" s="3" t="s">
        <x:v>244</x:v>
      </x:c>
      <x:c r="C906" s="3" t="s">
        <x:v>559</x:v>
      </x:c>
      <x:c r="D906" t="s">
        <x:v>677</x:v>
      </x:c>
      <x:c r="E906" s="6">
        <x:v>0</x:v>
      </x:c>
      <x:c r="F906" s="6">
        <x:v>0</x:v>
      </x:c>
      <x:c r="G906" s="6">
        <x:v>0</x:v>
      </x:c>
      <x:c r="H906" s="6">
        <x:f t="shared" si="42"/>
        <x:v>0</x:v>
      </x:c>
      <x:c r="I906" s="6">
        <x:v>0</x:v>
      </x:c>
      <x:c r="J906" s="6">
        <x:v>0</x:v>
      </x:c>
      <x:c r="K906" s="6">
        <x:f t="shared" si="43"/>
        <x:v>0</x:v>
      </x:c>
      <x:c r="L906" s="6">
        <x:v>441566.22</x:v>
      </x:c>
      <x:c r="M906" s="6">
        <x:v>0</x:v>
      </x:c>
      <x:c r="N906" s="6">
        <x:f t="shared" si="44"/>
        <x:v>441566.22</x:v>
      </x:c>
    </x:row>
    <x:row r="907" spans="1:14" x14ac:dyDescent="0.25">
      <x:c r="A907" t="s">
        <x:v>15</x:v>
      </x:c>
      <x:c r="B907" s="3" t="s">
        <x:v>72</x:v>
      </x:c>
      <x:c r="C907" s="3" t="s">
        <x:v>389</x:v>
      </x:c>
      <x:c r="D907" t="s">
        <x:v>677</x:v>
      </x:c>
      <x:c r="E907" s="6">
        <x:v>0</x:v>
      </x:c>
      <x:c r="F907" s="6">
        <x:v>0</x:v>
      </x:c>
      <x:c r="G907" s="6">
        <x:v>0</x:v>
      </x:c>
      <x:c r="H907" s="6">
        <x:f t="shared" si="42"/>
        <x:v>0</x:v>
      </x:c>
      <x:c r="I907" s="6">
        <x:v>0</x:v>
      </x:c>
      <x:c r="J907" s="6">
        <x:v>0</x:v>
      </x:c>
      <x:c r="K907" s="6">
        <x:f t="shared" si="43"/>
        <x:v>0</x:v>
      </x:c>
      <x:c r="L907" s="6">
        <x:v>613.05999999999995</x:v>
      </x:c>
      <x:c r="M907" s="6">
        <x:v>0</x:v>
      </x:c>
      <x:c r="N907" s="6">
        <x:f t="shared" si="44"/>
        <x:v>613.05999999999995</x:v>
      </x:c>
    </x:row>
    <x:row r="908" spans="1:14" x14ac:dyDescent="0.25">
      <x:c r="A908" t="s">
        <x:v>15</x:v>
      </x:c>
      <x:c r="B908" s="3" t="s">
        <x:v>78</x:v>
      </x:c>
      <x:c r="C908" s="3" t="s">
        <x:v>395</x:v>
      </x:c>
      <x:c r="D908" t="s">
        <x:v>677</x:v>
      </x:c>
      <x:c r="E908" s="6">
        <x:v>0</x:v>
      </x:c>
      <x:c r="F908" s="6">
        <x:v>0</x:v>
      </x:c>
      <x:c r="G908" s="6">
        <x:v>0</x:v>
      </x:c>
      <x:c r="H908" s="6">
        <x:f t="shared" si="42"/>
        <x:v>0</x:v>
      </x:c>
      <x:c r="I908" s="6">
        <x:v>0</x:v>
      </x:c>
      <x:c r="J908" s="6">
        <x:v>0</x:v>
      </x:c>
      <x:c r="K908" s="6">
        <x:f t="shared" si="43"/>
        <x:v>0</x:v>
      </x:c>
      <x:c r="L908" s="6">
        <x:v>68.599999999999994</x:v>
      </x:c>
      <x:c r="M908" s="6">
        <x:v>0</x:v>
      </x:c>
      <x:c r="N908" s="6">
        <x:f t="shared" si="44"/>
        <x:v>68.599999999999994</x:v>
      </x:c>
    </x:row>
    <x:row r="909" spans="1:14" x14ac:dyDescent="0.25">
      <x:c r="A909" t="s">
        <x:v>15</x:v>
      </x:c>
      <x:c r="B909" s="3" t="s">
        <x:v>56</x:v>
      </x:c>
      <x:c r="C909" s="3" t="s">
        <x:v>373</x:v>
      </x:c>
      <x:c r="D909" t="s">
        <x:v>677</x:v>
      </x:c>
      <x:c r="E909" s="6">
        <x:v>0</x:v>
      </x:c>
      <x:c r="F909" s="6">
        <x:v>0</x:v>
      </x:c>
      <x:c r="G909" s="6">
        <x:v>0</x:v>
      </x:c>
      <x:c r="H909" s="6">
        <x:f t="shared" si="42"/>
        <x:v>0</x:v>
      </x:c>
      <x:c r="I909" s="6">
        <x:v>0</x:v>
      </x:c>
      <x:c r="J909" s="6">
        <x:v>0</x:v>
      </x:c>
      <x:c r="K909" s="6">
        <x:f t="shared" si="43"/>
        <x:v>0</x:v>
      </x:c>
      <x:c r="L909" s="6">
        <x:v>0.43</x:v>
      </x:c>
      <x:c r="M909" s="6">
        <x:v>0</x:v>
      </x:c>
      <x:c r="N909" s="6">
        <x:f t="shared" si="44"/>
        <x:v>0.43</x:v>
      </x:c>
    </x:row>
    <x:row r="910" spans="1:14" x14ac:dyDescent="0.25">
      <x:c r="A910" t="s">
        <x:v>15</x:v>
      </x:c>
      <x:c r="B910" s="3" t="s">
        <x:v>88</x:v>
      </x:c>
      <x:c r="C910" s="3" t="s">
        <x:v>405</x:v>
      </x:c>
      <x:c r="D910" t="s">
        <x:v>677</x:v>
      </x:c>
      <x:c r="E910" s="6">
        <x:v>0</x:v>
      </x:c>
      <x:c r="F910" s="6">
        <x:v>0</x:v>
      </x:c>
      <x:c r="G910" s="6">
        <x:v>0</x:v>
      </x:c>
      <x:c r="H910" s="6">
        <x:f t="shared" ref="H910:H973" si="45">SUM(E910:G910)</x:f>
        <x:v>0</x:v>
      </x:c>
      <x:c r="I910" s="6">
        <x:v>0</x:v>
      </x:c>
      <x:c r="J910" s="6">
        <x:v>0</x:v>
      </x:c>
      <x:c r="K910" s="6">
        <x:f t="shared" ref="K910:K973" si="46">SUM(I910:J910)</x:f>
        <x:v>0</x:v>
      </x:c>
      <x:c r="L910" s="6">
        <x:v>498.30000000000007</x:v>
      </x:c>
      <x:c r="M910" s="6">
        <x:v>0</x:v>
      </x:c>
      <x:c r="N910" s="6">
        <x:f t="shared" ref="N910:N973" si="47">+E910+F910+G910+I910+J910+L910+M910</x:f>
        <x:v>498.30000000000007</x:v>
      </x:c>
    </x:row>
    <x:row r="911" spans="1:14" x14ac:dyDescent="0.25">
      <x:c r="A911" t="s">
        <x:v>15</x:v>
      </x:c>
      <x:c r="B911" s="3" t="s">
        <x:v>90</x:v>
      </x:c>
      <x:c r="C911" s="3" t="s">
        <x:v>407</x:v>
      </x:c>
      <x:c r="D911" t="s">
        <x:v>677</x:v>
      </x:c>
      <x:c r="E911" s="6">
        <x:v>0</x:v>
      </x:c>
      <x:c r="F911" s="6">
        <x:v>0</x:v>
      </x:c>
      <x:c r="G911" s="6">
        <x:v>0</x:v>
      </x:c>
      <x:c r="H911" s="6">
        <x:f t="shared" si="45"/>
        <x:v>0</x:v>
      </x:c>
      <x:c r="I911" s="6">
        <x:v>0</x:v>
      </x:c>
      <x:c r="J911" s="6">
        <x:v>0</x:v>
      </x:c>
      <x:c r="K911" s="6">
        <x:f t="shared" si="46"/>
        <x:v>0</x:v>
      </x:c>
      <x:c r="L911" s="6">
        <x:v>16808.46</x:v>
      </x:c>
      <x:c r="M911" s="6">
        <x:v>0</x:v>
      </x:c>
      <x:c r="N911" s="6">
        <x:f t="shared" si="47"/>
        <x:v>16808.46</x:v>
      </x:c>
    </x:row>
    <x:row r="912" spans="1:14" x14ac:dyDescent="0.25">
      <x:c r="A912" t="s">
        <x:v>15</x:v>
      </x:c>
      <x:c r="B912" s="3" t="s">
        <x:v>94</x:v>
      </x:c>
      <x:c r="C912" s="3" t="s">
        <x:v>411</x:v>
      </x:c>
      <x:c r="D912" t="s">
        <x:v>677</x:v>
      </x:c>
      <x:c r="E912" s="6">
        <x:v>0</x:v>
      </x:c>
      <x:c r="F912" s="6">
        <x:v>0</x:v>
      </x:c>
      <x:c r="G912" s="6">
        <x:v>0</x:v>
      </x:c>
      <x:c r="H912" s="6">
        <x:f t="shared" si="45"/>
        <x:v>0</x:v>
      </x:c>
      <x:c r="I912" s="6">
        <x:v>0</x:v>
      </x:c>
      <x:c r="J912" s="6">
        <x:v>0</x:v>
      </x:c>
      <x:c r="K912" s="6">
        <x:f t="shared" si="46"/>
        <x:v>0</x:v>
      </x:c>
      <x:c r="L912" s="6">
        <x:v>35678.980000000003</x:v>
      </x:c>
      <x:c r="M912" s="6">
        <x:v>0</x:v>
      </x:c>
      <x:c r="N912" s="6">
        <x:f t="shared" si="47"/>
        <x:v>35678.980000000003</x:v>
      </x:c>
    </x:row>
    <x:row r="913" spans="1:14" x14ac:dyDescent="0.25">
      <x:c r="A913" t="s">
        <x:v>15</x:v>
      </x:c>
      <x:c r="B913" s="3" t="s">
        <x:v>99</x:v>
      </x:c>
      <x:c r="C913" s="3" t="s">
        <x:v>416</x:v>
      </x:c>
      <x:c r="D913" t="s">
        <x:v>677</x:v>
      </x:c>
      <x:c r="E913" s="6">
        <x:v>0</x:v>
      </x:c>
      <x:c r="F913" s="6">
        <x:v>0</x:v>
      </x:c>
      <x:c r="G913" s="6">
        <x:v>0</x:v>
      </x:c>
      <x:c r="H913" s="6">
        <x:f t="shared" si="45"/>
        <x:v>0</x:v>
      </x:c>
      <x:c r="I913" s="6">
        <x:v>0</x:v>
      </x:c>
      <x:c r="J913" s="6">
        <x:v>0</x:v>
      </x:c>
      <x:c r="K913" s="6">
        <x:f t="shared" si="46"/>
        <x:v>0</x:v>
      </x:c>
      <x:c r="L913" s="6">
        <x:v>34.83</x:v>
      </x:c>
      <x:c r="M913" s="6">
        <x:v>0</x:v>
      </x:c>
      <x:c r="N913" s="6">
        <x:f t="shared" si="47"/>
        <x:v>34.83</x:v>
      </x:c>
    </x:row>
    <x:row r="914" spans="1:14" x14ac:dyDescent="0.25">
      <x:c r="A914" t="s">
        <x:v>15</x:v>
      </x:c>
      <x:c r="B914" s="3" t="s">
        <x:v>102</x:v>
      </x:c>
      <x:c r="C914" s="3" t="s">
        <x:v>419</x:v>
      </x:c>
      <x:c r="D914" t="s">
        <x:v>677</x:v>
      </x:c>
      <x:c r="E914" s="6">
        <x:v>0</x:v>
      </x:c>
      <x:c r="F914" s="6">
        <x:v>0</x:v>
      </x:c>
      <x:c r="G914" s="6">
        <x:v>0</x:v>
      </x:c>
      <x:c r="H914" s="6">
        <x:f t="shared" si="45"/>
        <x:v>0</x:v>
      </x:c>
      <x:c r="I914" s="6">
        <x:v>0</x:v>
      </x:c>
      <x:c r="J914" s="6">
        <x:v>0</x:v>
      </x:c>
      <x:c r="K914" s="6">
        <x:f t="shared" si="46"/>
        <x:v>0</x:v>
      </x:c>
      <x:c r="L914" s="6">
        <x:v>20964.29</x:v>
      </x:c>
      <x:c r="M914" s="6">
        <x:v>0</x:v>
      </x:c>
      <x:c r="N914" s="6">
        <x:f t="shared" si="47"/>
        <x:v>20964.29</x:v>
      </x:c>
    </x:row>
    <x:row r="915" spans="1:14" x14ac:dyDescent="0.25">
      <x:c r="A915" t="s">
        <x:v>15</x:v>
      </x:c>
      <x:c r="B915" s="3" t="s">
        <x:v>105</x:v>
      </x:c>
      <x:c r="C915" s="3" t="s">
        <x:v>422</x:v>
      </x:c>
      <x:c r="D915" t="s">
        <x:v>677</x:v>
      </x:c>
      <x:c r="E915" s="6">
        <x:v>0</x:v>
      </x:c>
      <x:c r="F915" s="6">
        <x:v>0</x:v>
      </x:c>
      <x:c r="G915" s="6">
        <x:v>0</x:v>
      </x:c>
      <x:c r="H915" s="6">
        <x:f t="shared" si="45"/>
        <x:v>0</x:v>
      </x:c>
      <x:c r="I915" s="6">
        <x:v>0</x:v>
      </x:c>
      <x:c r="J915" s="6">
        <x:v>0</x:v>
      </x:c>
      <x:c r="K915" s="6">
        <x:f t="shared" si="46"/>
        <x:v>0</x:v>
      </x:c>
      <x:c r="L915" s="6">
        <x:v>70.78</x:v>
      </x:c>
      <x:c r="M915" s="6">
        <x:v>0</x:v>
      </x:c>
      <x:c r="N915" s="6">
        <x:f t="shared" si="47"/>
        <x:v>70.78</x:v>
      </x:c>
    </x:row>
    <x:row r="916" spans="1:14" x14ac:dyDescent="0.25">
      <x:c r="A916" t="s">
        <x:v>15</x:v>
      </x:c>
      <x:c r="B916" s="3" t="s">
        <x:v>245</x:v>
      </x:c>
      <x:c r="C916" s="3" t="s">
        <x:v>560</x:v>
      </x:c>
      <x:c r="D916" t="s">
        <x:v>676</x:v>
      </x:c>
      <x:c r="E916" s="6">
        <x:v>0</x:v>
      </x:c>
      <x:c r="F916" s="6">
        <x:v>0</x:v>
      </x:c>
      <x:c r="G916" s="6">
        <x:v>0</x:v>
      </x:c>
      <x:c r="H916" s="6">
        <x:f t="shared" si="45"/>
        <x:v>0</x:v>
      </x:c>
      <x:c r="I916" s="6">
        <x:v>0</x:v>
      </x:c>
      <x:c r="J916" s="6">
        <x:v>0</x:v>
      </x:c>
      <x:c r="K916" s="6">
        <x:f t="shared" si="46"/>
        <x:v>0</x:v>
      </x:c>
      <x:c r="L916" s="6">
        <x:v>871183.97000000009</x:v>
      </x:c>
      <x:c r="M916" s="6">
        <x:v>0</x:v>
      </x:c>
      <x:c r="N916" s="6">
        <x:f t="shared" si="47"/>
        <x:v>871183.97000000009</x:v>
      </x:c>
    </x:row>
    <x:row r="917" spans="1:14" x14ac:dyDescent="0.25">
      <x:c r="A917" t="s">
        <x:v>15</x:v>
      </x:c>
      <x:c r="B917" s="3" t="s">
        <x:v>246</x:v>
      </x:c>
      <x:c r="C917" s="3" t="s">
        <x:v>561</x:v>
      </x:c>
      <x:c r="D917" t="s">
        <x:v>676</x:v>
      </x:c>
      <x:c r="E917" s="6">
        <x:v>0</x:v>
      </x:c>
      <x:c r="F917" s="6">
        <x:v>0</x:v>
      </x:c>
      <x:c r="G917" s="6">
        <x:v>0</x:v>
      </x:c>
      <x:c r="H917" s="6">
        <x:f t="shared" si="45"/>
        <x:v>0</x:v>
      </x:c>
      <x:c r="I917" s="6">
        <x:v>0</x:v>
      </x:c>
      <x:c r="J917" s="6">
        <x:v>0</x:v>
      </x:c>
      <x:c r="K917" s="6">
        <x:f t="shared" si="46"/>
        <x:v>0</x:v>
      </x:c>
      <x:c r="L917" s="6">
        <x:v>-12135288.950000001</x:v>
      </x:c>
      <x:c r="M917" s="6">
        <x:v>0</x:v>
      </x:c>
      <x:c r="N917" s="6">
        <x:f t="shared" si="47"/>
        <x:v>-12135288.950000001</x:v>
      </x:c>
    </x:row>
    <x:row r="918" spans="1:14" x14ac:dyDescent="0.25">
      <x:c r="A918" t="s">
        <x:v>15</x:v>
      </x:c>
      <x:c r="B918" s="3" t="s">
        <x:v>247</x:v>
      </x:c>
      <x:c r="C918" s="3" t="s">
        <x:v>562</x:v>
      </x:c>
      <x:c r="D918" t="s">
        <x:v>676</x:v>
      </x:c>
      <x:c r="E918" s="6">
        <x:v>0</x:v>
      </x:c>
      <x:c r="F918" s="6">
        <x:v>0</x:v>
      </x:c>
      <x:c r="G918" s="6">
        <x:v>0</x:v>
      </x:c>
      <x:c r="H918" s="6">
        <x:f t="shared" si="45"/>
        <x:v>0</x:v>
      </x:c>
      <x:c r="I918" s="6">
        <x:v>0</x:v>
      </x:c>
      <x:c r="J918" s="6">
        <x:v>0</x:v>
      </x:c>
      <x:c r="K918" s="6">
        <x:f t="shared" si="46"/>
        <x:v>0</x:v>
      </x:c>
      <x:c r="L918" s="6">
        <x:v>575541.33999999985</x:v>
      </x:c>
      <x:c r="M918" s="6">
        <x:v>0</x:v>
      </x:c>
      <x:c r="N918" s="6">
        <x:f t="shared" si="47"/>
        <x:v>575541.33999999985</x:v>
      </x:c>
    </x:row>
    <x:row r="919" spans="1:14" x14ac:dyDescent="0.25">
      <x:c r="A919" t="s">
        <x:v>15</x:v>
      </x:c>
      <x:c r="B919" s="3" t="s">
        <x:v>248</x:v>
      </x:c>
      <x:c r="C919" s="3" t="s">
        <x:v>563</x:v>
      </x:c>
      <x:c r="D919" t="s">
        <x:v>676</x:v>
      </x:c>
      <x:c r="E919" s="6">
        <x:v>0</x:v>
      </x:c>
      <x:c r="F919" s="6">
        <x:v>0</x:v>
      </x:c>
      <x:c r="G919" s="6">
        <x:v>0</x:v>
      </x:c>
      <x:c r="H919" s="6">
        <x:f t="shared" si="45"/>
        <x:v>0</x:v>
      </x:c>
      <x:c r="I919" s="6">
        <x:v>0</x:v>
      </x:c>
      <x:c r="J919" s="6">
        <x:v>0</x:v>
      </x:c>
      <x:c r="K919" s="6">
        <x:f t="shared" si="46"/>
        <x:v>0</x:v>
      </x:c>
      <x:c r="L919" s="6">
        <x:v>1611955.4999999998</x:v>
      </x:c>
      <x:c r="M919" s="6">
        <x:v>0</x:v>
      </x:c>
      <x:c r="N919" s="6">
        <x:f t="shared" si="47"/>
        <x:v>1611955.4999999998</x:v>
      </x:c>
    </x:row>
    <x:row r="920" spans="1:14" x14ac:dyDescent="0.25">
      <x:c r="A920" t="s">
        <x:v>15</x:v>
      </x:c>
      <x:c r="B920" s="3" t="s">
        <x:v>112</x:v>
      </x:c>
      <x:c r="C920" s="3" t="s">
        <x:v>429</x:v>
      </x:c>
      <x:c r="D920" t="s">
        <x:v>676</x:v>
      </x:c>
      <x:c r="E920" s="6">
        <x:v>0</x:v>
      </x:c>
      <x:c r="F920" s="6">
        <x:v>0</x:v>
      </x:c>
      <x:c r="G920" s="6">
        <x:v>0</x:v>
      </x:c>
      <x:c r="H920" s="6">
        <x:f t="shared" si="45"/>
        <x:v>0</x:v>
      </x:c>
      <x:c r="I920" s="6">
        <x:v>0</x:v>
      </x:c>
      <x:c r="J920" s="6">
        <x:v>0</x:v>
      </x:c>
      <x:c r="K920" s="6">
        <x:f t="shared" si="46"/>
        <x:v>0</x:v>
      </x:c>
      <x:c r="L920" s="6">
        <x:v>530351.7200000002</x:v>
      </x:c>
      <x:c r="M920" s="6">
        <x:v>0</x:v>
      </x:c>
      <x:c r="N920" s="6">
        <x:f t="shared" si="47"/>
        <x:v>530351.7200000002</x:v>
      </x:c>
    </x:row>
    <x:row r="921" spans="1:14" x14ac:dyDescent="0.25">
      <x:c r="A921" t="s">
        <x:v>15</x:v>
      </x:c>
      <x:c r="B921" s="3" t="s">
        <x:v>113</x:v>
      </x:c>
      <x:c r="C921" s="3" t="s">
        <x:v>430</x:v>
      </x:c>
      <x:c r="D921" t="s">
        <x:v>676</x:v>
      </x:c>
      <x:c r="E921" s="6">
        <x:v>0</x:v>
      </x:c>
      <x:c r="F921" s="6">
        <x:v>0</x:v>
      </x:c>
      <x:c r="G921" s="6">
        <x:v>0</x:v>
      </x:c>
      <x:c r="H921" s="6">
        <x:f t="shared" si="45"/>
        <x:v>0</x:v>
      </x:c>
      <x:c r="I921" s="6">
        <x:v>0</x:v>
      </x:c>
      <x:c r="J921" s="6">
        <x:v>0</x:v>
      </x:c>
      <x:c r="K921" s="6">
        <x:f t="shared" si="46"/>
        <x:v>0</x:v>
      </x:c>
      <x:c r="L921" s="6">
        <x:v>281724.28000000003</x:v>
      </x:c>
      <x:c r="M921" s="6">
        <x:v>0</x:v>
      </x:c>
      <x:c r="N921" s="6">
        <x:f t="shared" si="47"/>
        <x:v>281724.28000000003</x:v>
      </x:c>
    </x:row>
    <x:row r="922" spans="1:14" x14ac:dyDescent="0.25">
      <x:c r="A922" t="s">
        <x:v>15</x:v>
      </x:c>
      <x:c r="B922" s="3" t="s">
        <x:v>249</x:v>
      </x:c>
      <x:c r="C922" s="3" t="s">
        <x:v>564</x:v>
      </x:c>
      <x:c r="D922" t="s">
        <x:v>676</x:v>
      </x:c>
      <x:c r="E922" s="6">
        <x:v>0</x:v>
      </x:c>
      <x:c r="F922" s="6">
        <x:v>0</x:v>
      </x:c>
      <x:c r="G922" s="6">
        <x:v>0</x:v>
      </x:c>
      <x:c r="H922" s="6">
        <x:f t="shared" si="45"/>
        <x:v>0</x:v>
      </x:c>
      <x:c r="I922" s="6">
        <x:v>0</x:v>
      </x:c>
      <x:c r="J922" s="6">
        <x:v>0</x:v>
      </x:c>
      <x:c r="K922" s="6">
        <x:f t="shared" si="46"/>
        <x:v>0</x:v>
      </x:c>
      <x:c r="L922" s="6">
        <x:v>2245032.5000000005</x:v>
      </x:c>
      <x:c r="M922" s="6">
        <x:v>0</x:v>
      </x:c>
      <x:c r="N922" s="6">
        <x:f t="shared" si="47"/>
        <x:v>2245032.5000000005</x:v>
      </x:c>
    </x:row>
    <x:row r="923" spans="1:14" x14ac:dyDescent="0.25">
      <x:c r="A923" t="s">
        <x:v>15</x:v>
      </x:c>
      <x:c r="B923" s="3" t="s">
        <x:v>44</x:v>
      </x:c>
      <x:c r="C923" s="3" t="s">
        <x:v>361</x:v>
      </x:c>
      <x:c r="D923" t="s">
        <x:v>676</x:v>
      </x:c>
      <x:c r="E923" s="6">
        <x:v>0</x:v>
      </x:c>
      <x:c r="F923" s="6">
        <x:v>0</x:v>
      </x:c>
      <x:c r="G923" s="6">
        <x:v>0</x:v>
      </x:c>
      <x:c r="H923" s="6">
        <x:f t="shared" si="45"/>
        <x:v>0</x:v>
      </x:c>
      <x:c r="I923" s="6">
        <x:v>0</x:v>
      </x:c>
      <x:c r="J923" s="6">
        <x:v>0</x:v>
      </x:c>
      <x:c r="K923" s="6">
        <x:f t="shared" si="46"/>
        <x:v>0</x:v>
      </x:c>
      <x:c r="L923" s="6">
        <x:v>176664.25999999998</x:v>
      </x:c>
      <x:c r="M923" s="6">
        <x:v>0</x:v>
      </x:c>
      <x:c r="N923" s="6">
        <x:f t="shared" si="47"/>
        <x:v>176664.25999999998</x:v>
      </x:c>
    </x:row>
    <x:row r="924" spans="1:14" x14ac:dyDescent="0.25">
      <x:c r="A924" t="s">
        <x:v>15</x:v>
      </x:c>
      <x:c r="B924" s="3" t="s">
        <x:v>250</x:v>
      </x:c>
      <x:c r="C924" s="3" t="s">
        <x:v>565</x:v>
      </x:c>
      <x:c r="D924" t="s">
        <x:v>676</x:v>
      </x:c>
      <x:c r="E924" s="6">
        <x:v>0</x:v>
      </x:c>
      <x:c r="F924" s="6">
        <x:v>0</x:v>
      </x:c>
      <x:c r="G924" s="6">
        <x:v>0</x:v>
      </x:c>
      <x:c r="H924" s="6">
        <x:f t="shared" si="45"/>
        <x:v>0</x:v>
      </x:c>
      <x:c r="I924" s="6">
        <x:v>0</x:v>
      </x:c>
      <x:c r="J924" s="6">
        <x:v>0</x:v>
      </x:c>
      <x:c r="K924" s="6">
        <x:f t="shared" si="46"/>
        <x:v>0</x:v>
      </x:c>
      <x:c r="L924" s="6">
        <x:v>877.5</x:v>
      </x:c>
      <x:c r="M924" s="6">
        <x:v>0</x:v>
      </x:c>
      <x:c r="N924" s="6">
        <x:f t="shared" si="47"/>
        <x:v>877.5</x:v>
      </x:c>
    </x:row>
    <x:row r="925" spans="1:14" x14ac:dyDescent="0.25">
      <x:c r="A925" t="s">
        <x:v>15</x:v>
      </x:c>
      <x:c r="B925" s="3" t="s">
        <x:v>251</x:v>
      </x:c>
      <x:c r="C925" s="3" t="s">
        <x:v>566</x:v>
      </x:c>
      <x:c r="D925" t="s">
        <x:v>676</x:v>
      </x:c>
      <x:c r="E925" s="6">
        <x:v>0</x:v>
      </x:c>
      <x:c r="F925" s="6">
        <x:v>0</x:v>
      </x:c>
      <x:c r="G925" s="6">
        <x:v>0</x:v>
      </x:c>
      <x:c r="H925" s="6">
        <x:f t="shared" si="45"/>
        <x:v>0</x:v>
      </x:c>
      <x:c r="I925" s="6">
        <x:v>0</x:v>
      </x:c>
      <x:c r="J925" s="6">
        <x:v>0</x:v>
      </x:c>
      <x:c r="K925" s="6">
        <x:f t="shared" si="46"/>
        <x:v>0</x:v>
      </x:c>
      <x:c r="L925" s="6">
        <x:v>66723.3</x:v>
      </x:c>
      <x:c r="M925" s="6">
        <x:v>0</x:v>
      </x:c>
      <x:c r="N925" s="6">
        <x:f t="shared" si="47"/>
        <x:v>66723.3</x:v>
      </x:c>
    </x:row>
    <x:row r="926" spans="1:14" x14ac:dyDescent="0.25">
      <x:c r="A926" t="s">
        <x:v>15</x:v>
      </x:c>
      <x:c r="B926" s="3" t="s">
        <x:v>252</x:v>
      </x:c>
      <x:c r="C926" s="3" t="s">
        <x:v>567</x:v>
      </x:c>
      <x:c r="D926" t="s">
        <x:v>676</x:v>
      </x:c>
      <x:c r="E926" s="6">
        <x:v>0</x:v>
      </x:c>
      <x:c r="F926" s="6">
        <x:v>0</x:v>
      </x:c>
      <x:c r="G926" s="6">
        <x:v>0</x:v>
      </x:c>
      <x:c r="H926" s="6">
        <x:f t="shared" si="45"/>
        <x:v>0</x:v>
      </x:c>
      <x:c r="I926" s="6">
        <x:v>0</x:v>
      </x:c>
      <x:c r="J926" s="6">
        <x:v>0</x:v>
      </x:c>
      <x:c r="K926" s="6">
        <x:f t="shared" si="46"/>
        <x:v>0</x:v>
      </x:c>
      <x:c r="L926" s="6">
        <x:v>11460.43</x:v>
      </x:c>
      <x:c r="M926" s="6">
        <x:v>0</x:v>
      </x:c>
      <x:c r="N926" s="6">
        <x:f t="shared" si="47"/>
        <x:v>11460.43</x:v>
      </x:c>
    </x:row>
    <x:row r="927" spans="1:14" x14ac:dyDescent="0.25">
      <x:c r="A927" t="s">
        <x:v>15</x:v>
      </x:c>
      <x:c r="B927" s="3" t="s">
        <x:v>114</x:v>
      </x:c>
      <x:c r="C927" s="3" t="s">
        <x:v>431</x:v>
      </x:c>
      <x:c r="D927" t="s">
        <x:v>676</x:v>
      </x:c>
      <x:c r="E927" s="6">
        <x:v>0</x:v>
      </x:c>
      <x:c r="F927" s="6">
        <x:v>0</x:v>
      </x:c>
      <x:c r="G927" s="6">
        <x:v>0</x:v>
      </x:c>
      <x:c r="H927" s="6">
        <x:f t="shared" si="45"/>
        <x:v>0</x:v>
      </x:c>
      <x:c r="I927" s="6">
        <x:v>0</x:v>
      </x:c>
      <x:c r="J927" s="6">
        <x:v>0</x:v>
      </x:c>
      <x:c r="K927" s="6">
        <x:f t="shared" si="46"/>
        <x:v>0</x:v>
      </x:c>
      <x:c r="L927" s="6">
        <x:v>26199.84</x:v>
      </x:c>
      <x:c r="M927" s="6">
        <x:v>0</x:v>
      </x:c>
      <x:c r="N927" s="6">
        <x:f t="shared" si="47"/>
        <x:v>26199.84</x:v>
      </x:c>
    </x:row>
    <x:row r="928" spans="1:14" x14ac:dyDescent="0.25">
      <x:c r="A928" t="s">
        <x:v>15</x:v>
      </x:c>
      <x:c r="B928" s="3" t="s">
        <x:v>253</x:v>
      </x:c>
      <x:c r="C928" s="3" t="s">
        <x:v>568</x:v>
      </x:c>
      <x:c r="D928" t="s">
        <x:v>676</x:v>
      </x:c>
      <x:c r="E928" s="6">
        <x:v>0</x:v>
      </x:c>
      <x:c r="F928" s="6">
        <x:v>0</x:v>
      </x:c>
      <x:c r="G928" s="6">
        <x:v>0</x:v>
      </x:c>
      <x:c r="H928" s="6">
        <x:f t="shared" si="45"/>
        <x:v>0</x:v>
      </x:c>
      <x:c r="I928" s="6">
        <x:v>0</x:v>
      </x:c>
      <x:c r="J928" s="6">
        <x:v>0</x:v>
      </x:c>
      <x:c r="K928" s="6">
        <x:f t="shared" si="46"/>
        <x:v>0</x:v>
      </x:c>
      <x:c r="L928" s="6">
        <x:v>23236.149999999998</x:v>
      </x:c>
      <x:c r="M928" s="6">
        <x:v>0</x:v>
      </x:c>
      <x:c r="N928" s="6">
        <x:f t="shared" si="47"/>
        <x:v>23236.149999999998</x:v>
      </x:c>
    </x:row>
    <x:row r="929" spans="1:14" x14ac:dyDescent="0.25">
      <x:c r="A929" t="s">
        <x:v>15</x:v>
      </x:c>
      <x:c r="B929" s="3" t="s">
        <x:v>254</x:v>
      </x:c>
      <x:c r="C929" s="3" t="s">
        <x:v>569</x:v>
      </x:c>
      <x:c r="D929" t="s">
        <x:v>676</x:v>
      </x:c>
      <x:c r="E929" s="6">
        <x:v>0</x:v>
      </x:c>
      <x:c r="F929" s="6">
        <x:v>0</x:v>
      </x:c>
      <x:c r="G929" s="6">
        <x:v>0</x:v>
      </x:c>
      <x:c r="H929" s="6">
        <x:f t="shared" si="45"/>
        <x:v>0</x:v>
      </x:c>
      <x:c r="I929" s="6">
        <x:v>0</x:v>
      </x:c>
      <x:c r="J929" s="6">
        <x:v>0</x:v>
      </x:c>
      <x:c r="K929" s="6">
        <x:f t="shared" si="46"/>
        <x:v>0</x:v>
      </x:c>
      <x:c r="L929" s="6">
        <x:v>46098.58</x:v>
      </x:c>
      <x:c r="M929" s="6">
        <x:v>0</x:v>
      </x:c>
      <x:c r="N929" s="6">
        <x:f t="shared" si="47"/>
        <x:v>46098.58</x:v>
      </x:c>
    </x:row>
    <x:row r="930" spans="1:14" x14ac:dyDescent="0.25">
      <x:c r="A930" t="s">
        <x:v>15</x:v>
      </x:c>
      <x:c r="B930" s="3" t="s">
        <x:v>115</x:v>
      </x:c>
      <x:c r="C930" s="3" t="s">
        <x:v>432</x:v>
      </x:c>
      <x:c r="D930" t="s">
        <x:v>676</x:v>
      </x:c>
      <x:c r="E930" s="6">
        <x:v>0</x:v>
      </x:c>
      <x:c r="F930" s="6">
        <x:v>0</x:v>
      </x:c>
      <x:c r="G930" s="6">
        <x:v>0</x:v>
      </x:c>
      <x:c r="H930" s="6">
        <x:f t="shared" si="45"/>
        <x:v>0</x:v>
      </x:c>
      <x:c r="I930" s="6">
        <x:v>0</x:v>
      </x:c>
      <x:c r="J930" s="6">
        <x:v>0</x:v>
      </x:c>
      <x:c r="K930" s="6">
        <x:f t="shared" si="46"/>
        <x:v>0</x:v>
      </x:c>
      <x:c r="L930" s="6">
        <x:v>691267.81</x:v>
      </x:c>
      <x:c r="M930" s="6">
        <x:v>0</x:v>
      </x:c>
      <x:c r="N930" s="6">
        <x:f t="shared" si="47"/>
        <x:v>691267.81</x:v>
      </x:c>
    </x:row>
    <x:row r="931" spans="1:14" x14ac:dyDescent="0.25">
      <x:c r="A931" t="s">
        <x:v>15</x:v>
      </x:c>
      <x:c r="B931" s="3" t="s">
        <x:v>116</x:v>
      </x:c>
      <x:c r="C931" s="3" t="s">
        <x:v>433</x:v>
      </x:c>
      <x:c r="D931" t="s">
        <x:v>676</x:v>
      </x:c>
      <x:c r="E931" s="6">
        <x:v>0</x:v>
      </x:c>
      <x:c r="F931" s="6">
        <x:v>0</x:v>
      </x:c>
      <x:c r="G931" s="6">
        <x:v>0</x:v>
      </x:c>
      <x:c r="H931" s="6">
        <x:f t="shared" si="45"/>
        <x:v>0</x:v>
      </x:c>
      <x:c r="I931" s="6">
        <x:v>0</x:v>
      </x:c>
      <x:c r="J931" s="6">
        <x:v>0</x:v>
      </x:c>
      <x:c r="K931" s="6">
        <x:f t="shared" si="46"/>
        <x:v>0</x:v>
      </x:c>
      <x:c r="L931" s="6">
        <x:v>855591.55000000016</x:v>
      </x:c>
      <x:c r="M931" s="6">
        <x:v>0</x:v>
      </x:c>
      <x:c r="N931" s="6">
        <x:f t="shared" si="47"/>
        <x:v>855591.55000000016</x:v>
      </x:c>
    </x:row>
    <x:row r="932" spans="1:14" x14ac:dyDescent="0.25">
      <x:c r="A932" t="s">
        <x:v>15</x:v>
      </x:c>
      <x:c r="B932" s="3" t="s">
        <x:v>255</x:v>
      </x:c>
      <x:c r="C932" s="3" t="s">
        <x:v>570</x:v>
      </x:c>
      <x:c r="D932" t="s">
        <x:v>676</x:v>
      </x:c>
      <x:c r="E932" s="6">
        <x:v>0</x:v>
      </x:c>
      <x:c r="F932" s="6">
        <x:v>0</x:v>
      </x:c>
      <x:c r="G932" s="6">
        <x:v>0</x:v>
      </x:c>
      <x:c r="H932" s="6">
        <x:f t="shared" si="45"/>
        <x:v>0</x:v>
      </x:c>
      <x:c r="I932" s="6">
        <x:v>0</x:v>
      </x:c>
      <x:c r="J932" s="6">
        <x:v>0</x:v>
      </x:c>
      <x:c r="K932" s="6">
        <x:f t="shared" si="46"/>
        <x:v>0</x:v>
      </x:c>
      <x:c r="L932" s="6">
        <x:v>244315.59000000003</x:v>
      </x:c>
      <x:c r="M932" s="6">
        <x:v>0</x:v>
      </x:c>
      <x:c r="N932" s="6">
        <x:f t="shared" si="47"/>
        <x:v>244315.59000000003</x:v>
      </x:c>
    </x:row>
    <x:row r="933" spans="1:14" x14ac:dyDescent="0.25">
      <x:c r="A933" t="s">
        <x:v>15</x:v>
      </x:c>
      <x:c r="B933" s="3" t="s">
        <x:v>256</x:v>
      </x:c>
      <x:c r="C933" s="3" t="s">
        <x:v>571</x:v>
      </x:c>
      <x:c r="D933" t="s">
        <x:v>676</x:v>
      </x:c>
      <x:c r="E933" s="6">
        <x:v>0</x:v>
      </x:c>
      <x:c r="F933" s="6">
        <x:v>0</x:v>
      </x:c>
      <x:c r="G933" s="6">
        <x:v>0</x:v>
      </x:c>
      <x:c r="H933" s="6">
        <x:f t="shared" si="45"/>
        <x:v>0</x:v>
      </x:c>
      <x:c r="I933" s="6">
        <x:v>0</x:v>
      </x:c>
      <x:c r="J933" s="6">
        <x:v>0</x:v>
      </x:c>
      <x:c r="K933" s="6">
        <x:f t="shared" si="46"/>
        <x:v>0</x:v>
      </x:c>
      <x:c r="L933" s="6">
        <x:v>3103324.12</x:v>
      </x:c>
      <x:c r="M933" s="6">
        <x:v>0</x:v>
      </x:c>
      <x:c r="N933" s="6">
        <x:f t="shared" si="47"/>
        <x:v>3103324.12</x:v>
      </x:c>
    </x:row>
    <x:row r="934" spans="1:14" x14ac:dyDescent="0.25">
      <x:c r="A934" t="s">
        <x:v>15</x:v>
      </x:c>
      <x:c r="B934" s="3" t="s">
        <x:v>257</x:v>
      </x:c>
      <x:c r="C934" s="3" t="s">
        <x:v>572</x:v>
      </x:c>
      <x:c r="D934" t="s">
        <x:v>676</x:v>
      </x:c>
      <x:c r="E934" s="6">
        <x:v>0</x:v>
      </x:c>
      <x:c r="F934" s="6">
        <x:v>0</x:v>
      </x:c>
      <x:c r="G934" s="6">
        <x:v>0</x:v>
      </x:c>
      <x:c r="H934" s="6">
        <x:f t="shared" si="45"/>
        <x:v>0</x:v>
      </x:c>
      <x:c r="I934" s="6">
        <x:v>0</x:v>
      </x:c>
      <x:c r="J934" s="6">
        <x:v>0</x:v>
      </x:c>
      <x:c r="K934" s="6">
        <x:f t="shared" si="46"/>
        <x:v>0</x:v>
      </x:c>
      <x:c r="L934" s="6">
        <x:v>1660824.6900000002</x:v>
      </x:c>
      <x:c r="M934" s="6">
        <x:v>0</x:v>
      </x:c>
      <x:c r="N934" s="6">
        <x:f t="shared" si="47"/>
        <x:v>1660824.6900000002</x:v>
      </x:c>
    </x:row>
    <x:row r="935" spans="1:14" x14ac:dyDescent="0.25">
      <x:c r="A935" t="s">
        <x:v>15</x:v>
      </x:c>
      <x:c r="B935" s="3" t="s">
        <x:v>258</x:v>
      </x:c>
      <x:c r="C935" s="3" t="s">
        <x:v>573</x:v>
      </x:c>
      <x:c r="D935" t="s">
        <x:v>676</x:v>
      </x:c>
      <x:c r="E935" s="6">
        <x:v>0</x:v>
      </x:c>
      <x:c r="F935" s="6">
        <x:v>0</x:v>
      </x:c>
      <x:c r="G935" s="6">
        <x:v>0</x:v>
      </x:c>
      <x:c r="H935" s="6">
        <x:f t="shared" si="45"/>
        <x:v>0</x:v>
      </x:c>
      <x:c r="I935" s="6">
        <x:v>0</x:v>
      </x:c>
      <x:c r="J935" s="6">
        <x:v>0</x:v>
      </x:c>
      <x:c r="K935" s="6">
        <x:f t="shared" si="46"/>
        <x:v>0</x:v>
      </x:c>
      <x:c r="L935" s="6">
        <x:v>1501725.28</x:v>
      </x:c>
      <x:c r="M935" s="6">
        <x:v>0</x:v>
      </x:c>
      <x:c r="N935" s="6">
        <x:f t="shared" si="47"/>
        <x:v>1501725.28</x:v>
      </x:c>
    </x:row>
    <x:row r="936" spans="1:14" x14ac:dyDescent="0.25">
      <x:c r="A936" t="s">
        <x:v>15</x:v>
      </x:c>
      <x:c r="B936" s="3" t="s">
        <x:v>228</x:v>
      </x:c>
      <x:c r="C936" s="3" t="s">
        <x:v>543</x:v>
      </x:c>
      <x:c r="D936" t="s">
        <x:v>676</x:v>
      </x:c>
      <x:c r="E936" s="6">
        <x:v>0</x:v>
      </x:c>
      <x:c r="F936" s="6">
        <x:v>0</x:v>
      </x:c>
      <x:c r="G936" s="6">
        <x:v>0</x:v>
      </x:c>
      <x:c r="H936" s="6">
        <x:f t="shared" si="45"/>
        <x:v>0</x:v>
      </x:c>
      <x:c r="I936" s="6">
        <x:v>0</x:v>
      </x:c>
      <x:c r="J936" s="6">
        <x:v>0</x:v>
      </x:c>
      <x:c r="K936" s="6">
        <x:f t="shared" si="46"/>
        <x:v>0</x:v>
      </x:c>
      <x:c r="L936" s="6">
        <x:v>1460748.8500000003</x:v>
      </x:c>
      <x:c r="M936" s="6">
        <x:v>0</x:v>
      </x:c>
      <x:c r="N936" s="6">
        <x:f t="shared" si="47"/>
        <x:v>1460748.8500000003</x:v>
      </x:c>
    </x:row>
    <x:row r="937" spans="1:14" x14ac:dyDescent="0.25">
      <x:c r="A937" t="s">
        <x:v>15</x:v>
      </x:c>
      <x:c r="B937" s="3" t="s">
        <x:v>259</x:v>
      </x:c>
      <x:c r="C937" s="3" t="s">
        <x:v>574</x:v>
      </x:c>
      <x:c r="D937" t="s">
        <x:v>676</x:v>
      </x:c>
      <x:c r="E937" s="6">
        <x:v>0</x:v>
      </x:c>
      <x:c r="F937" s="6">
        <x:v>0</x:v>
      </x:c>
      <x:c r="G937" s="6">
        <x:v>0</x:v>
      </x:c>
      <x:c r="H937" s="6">
        <x:f t="shared" si="45"/>
        <x:v>0</x:v>
      </x:c>
      <x:c r="I937" s="6">
        <x:v>0</x:v>
      </x:c>
      <x:c r="J937" s="6">
        <x:v>0</x:v>
      </x:c>
      <x:c r="K937" s="6">
        <x:f t="shared" si="46"/>
        <x:v>0</x:v>
      </x:c>
      <x:c r="L937" s="6">
        <x:v>1539688.6299999997</x:v>
      </x:c>
      <x:c r="M937" s="6">
        <x:v>0</x:v>
      </x:c>
      <x:c r="N937" s="6">
        <x:f t="shared" si="47"/>
        <x:v>1539688.6299999997</x:v>
      </x:c>
    </x:row>
    <x:row r="938" spans="1:14" x14ac:dyDescent="0.25">
      <x:c r="A938" t="s">
        <x:v>15</x:v>
      </x:c>
      <x:c r="B938" s="3" t="s">
        <x:v>260</x:v>
      </x:c>
      <x:c r="C938" s="3" t="s">
        <x:v>575</x:v>
      </x:c>
      <x:c r="D938" t="s">
        <x:v>676</x:v>
      </x:c>
      <x:c r="E938" s="6">
        <x:v>0</x:v>
      </x:c>
      <x:c r="F938" s="6">
        <x:v>0</x:v>
      </x:c>
      <x:c r="G938" s="6">
        <x:v>0</x:v>
      </x:c>
      <x:c r="H938" s="6">
        <x:f t="shared" si="45"/>
        <x:v>0</x:v>
      </x:c>
      <x:c r="I938" s="6">
        <x:v>0</x:v>
      </x:c>
      <x:c r="J938" s="6">
        <x:v>0</x:v>
      </x:c>
      <x:c r="K938" s="6">
        <x:f t="shared" si="46"/>
        <x:v>0</x:v>
      </x:c>
      <x:c r="L938" s="6">
        <x:v>1810315.2299999995</x:v>
      </x:c>
      <x:c r="M938" s="6">
        <x:v>0</x:v>
      </x:c>
      <x:c r="N938" s="6">
        <x:f t="shared" si="47"/>
        <x:v>1810315.2299999995</x:v>
      </x:c>
    </x:row>
    <x:row r="939" spans="1:14" x14ac:dyDescent="0.25">
      <x:c r="A939" t="s">
        <x:v>15</x:v>
      </x:c>
      <x:c r="B939" s="3" t="s">
        <x:v>117</x:v>
      </x:c>
      <x:c r="C939" s="3" t="s">
        <x:v>434</x:v>
      </x:c>
      <x:c r="D939" t="s">
        <x:v>676</x:v>
      </x:c>
      <x:c r="E939" s="6">
        <x:v>0</x:v>
      </x:c>
      <x:c r="F939" s="6">
        <x:v>0</x:v>
      </x:c>
      <x:c r="G939" s="6">
        <x:v>0</x:v>
      </x:c>
      <x:c r="H939" s="6">
        <x:f t="shared" si="45"/>
        <x:v>0</x:v>
      </x:c>
      <x:c r="I939" s="6">
        <x:v>0</x:v>
      </x:c>
      <x:c r="J939" s="6">
        <x:v>0</x:v>
      </x:c>
      <x:c r="K939" s="6">
        <x:f t="shared" si="46"/>
        <x:v>0</x:v>
      </x:c>
      <x:c r="L939" s="6">
        <x:v>754363.75000000023</x:v>
      </x:c>
      <x:c r="M939" s="6">
        <x:v>0</x:v>
      </x:c>
      <x:c r="N939" s="6">
        <x:f t="shared" si="47"/>
        <x:v>754363.75000000023</x:v>
      </x:c>
    </x:row>
    <x:row r="940" spans="1:14" x14ac:dyDescent="0.25">
      <x:c r="A940" t="s">
        <x:v>15</x:v>
      </x:c>
      <x:c r="B940" s="3" t="s">
        <x:v>229</x:v>
      </x:c>
      <x:c r="C940" s="3" t="s">
        <x:v>544</x:v>
      </x:c>
      <x:c r="D940" t="s">
        <x:v>677</x:v>
      </x:c>
      <x:c r="E940" s="6">
        <x:v>0</x:v>
      </x:c>
      <x:c r="F940" s="6">
        <x:v>0</x:v>
      </x:c>
      <x:c r="G940" s="6">
        <x:v>0</x:v>
      </x:c>
      <x:c r="H940" s="6">
        <x:f t="shared" si="45"/>
        <x:v>0</x:v>
      </x:c>
      <x:c r="I940" s="6">
        <x:v>0</x:v>
      </x:c>
      <x:c r="J940" s="6">
        <x:v>0</x:v>
      </x:c>
      <x:c r="K940" s="6">
        <x:f t="shared" si="46"/>
        <x:v>0</x:v>
      </x:c>
      <x:c r="L940" s="6">
        <x:v>12.41</x:v>
      </x:c>
      <x:c r="M940" s="6">
        <x:v>0</x:v>
      </x:c>
      <x:c r="N940" s="6">
        <x:f t="shared" si="47"/>
        <x:v>12.41</x:v>
      </x:c>
    </x:row>
    <x:row r="941" spans="1:14" x14ac:dyDescent="0.25">
      <x:c r="A941" t="s">
        <x:v>15</x:v>
      </x:c>
      <x:c r="B941" s="3" t="s">
        <x:v>261</x:v>
      </x:c>
      <x:c r="C941" s="3" t="s">
        <x:v>576</x:v>
      </x:c>
      <x:c r="D941" t="s">
        <x:v>676</x:v>
      </x:c>
      <x:c r="E941" s="6">
        <x:v>0</x:v>
      </x:c>
      <x:c r="F941" s="6">
        <x:v>0</x:v>
      </x:c>
      <x:c r="G941" s="6">
        <x:v>0</x:v>
      </x:c>
      <x:c r="H941" s="6">
        <x:f t="shared" si="45"/>
        <x:v>0</x:v>
      </x:c>
      <x:c r="I941" s="6">
        <x:v>0</x:v>
      </x:c>
      <x:c r="J941" s="6">
        <x:v>0</x:v>
      </x:c>
      <x:c r="K941" s="6">
        <x:f t="shared" si="46"/>
        <x:v>0</x:v>
      </x:c>
      <x:c r="L941" s="6">
        <x:v>271770.63</x:v>
      </x:c>
      <x:c r="M941" s="6">
        <x:v>0</x:v>
      </x:c>
      <x:c r="N941" s="6">
        <x:f t="shared" si="47"/>
        <x:v>271770.63</x:v>
      </x:c>
    </x:row>
    <x:row r="942" spans="1:14" x14ac:dyDescent="0.25">
      <x:c r="A942" t="s">
        <x:v>15</x:v>
      </x:c>
      <x:c r="B942" s="3" t="s">
        <x:v>122</x:v>
      </x:c>
      <x:c r="C942" s="3" t="s">
        <x:v>439</x:v>
      </x:c>
      <x:c r="D942" t="s">
        <x:v>677</x:v>
      </x:c>
      <x:c r="E942" s="6">
        <x:v>0</x:v>
      </x:c>
      <x:c r="F942" s="6">
        <x:v>0</x:v>
      </x:c>
      <x:c r="G942" s="6">
        <x:v>0</x:v>
      </x:c>
      <x:c r="H942" s="6">
        <x:f t="shared" si="45"/>
        <x:v>0</x:v>
      </x:c>
      <x:c r="I942" s="6">
        <x:v>0</x:v>
      </x:c>
      <x:c r="J942" s="6">
        <x:v>0</x:v>
      </x:c>
      <x:c r="K942" s="6">
        <x:f t="shared" si="46"/>
        <x:v>0</x:v>
      </x:c>
      <x:c r="L942" s="6">
        <x:v>14820014.949999999</x:v>
      </x:c>
      <x:c r="M942" s="6">
        <x:v>0</x:v>
      </x:c>
      <x:c r="N942" s="6">
        <x:f t="shared" si="47"/>
        <x:v>14820014.949999999</x:v>
      </x:c>
    </x:row>
    <x:row r="943" spans="1:14" x14ac:dyDescent="0.25">
      <x:c r="A943" t="s">
        <x:v>15</x:v>
      </x:c>
      <x:c r="B943" s="3" t="s">
        <x:v>126</x:v>
      </x:c>
      <x:c r="C943" s="3" t="s">
        <x:v>443</x:v>
      </x:c>
      <x:c r="D943" t="s">
        <x:v>677</x:v>
      </x:c>
      <x:c r="E943" s="6">
        <x:v>0</x:v>
      </x:c>
      <x:c r="F943" s="6">
        <x:v>0</x:v>
      </x:c>
      <x:c r="G943" s="6">
        <x:v>0</x:v>
      </x:c>
      <x:c r="H943" s="6">
        <x:f t="shared" si="45"/>
        <x:v>0</x:v>
      </x:c>
      <x:c r="I943" s="6">
        <x:v>0</x:v>
      </x:c>
      <x:c r="J943" s="6">
        <x:v>0</x:v>
      </x:c>
      <x:c r="K943" s="6">
        <x:f t="shared" si="46"/>
        <x:v>0</x:v>
      </x:c>
      <x:c r="L943" s="6">
        <x:v>10.09</x:v>
      </x:c>
      <x:c r="M943" s="6">
        <x:v>0</x:v>
      </x:c>
      <x:c r="N943" s="6">
        <x:f t="shared" si="47"/>
        <x:v>10.09</x:v>
      </x:c>
    </x:row>
    <x:row r="944" spans="1:14" x14ac:dyDescent="0.25">
      <x:c r="A944" t="s">
        <x:v>15</x:v>
      </x:c>
      <x:c r="B944" s="3" t="s">
        <x:v>230</x:v>
      </x:c>
      <x:c r="C944" s="3" t="s">
        <x:v>545</x:v>
      </x:c>
      <x:c r="D944" t="s">
        <x:v>677</x:v>
      </x:c>
      <x:c r="E944" s="6">
        <x:v>0</x:v>
      </x:c>
      <x:c r="F944" s="6">
        <x:v>0</x:v>
      </x:c>
      <x:c r="G944" s="6">
        <x:v>0</x:v>
      </x:c>
      <x:c r="H944" s="6">
        <x:f t="shared" si="45"/>
        <x:v>0</x:v>
      </x:c>
      <x:c r="I944" s="6">
        <x:v>0</x:v>
      </x:c>
      <x:c r="J944" s="6">
        <x:v>0</x:v>
      </x:c>
      <x:c r="K944" s="6">
        <x:f t="shared" si="46"/>
        <x:v>0</x:v>
      </x:c>
      <x:c r="L944" s="6">
        <x:v>49.910000000000004</x:v>
      </x:c>
      <x:c r="M944" s="6">
        <x:v>0</x:v>
      </x:c>
      <x:c r="N944" s="6">
        <x:f t="shared" si="47"/>
        <x:v>49.910000000000004</x:v>
      </x:c>
    </x:row>
    <x:row r="945" spans="1:14" x14ac:dyDescent="0.25">
      <x:c r="A945" t="s">
        <x:v>15</x:v>
      </x:c>
      <x:c r="B945" s="3" t="s">
        <x:v>127</x:v>
      </x:c>
      <x:c r="C945" s="3" t="s">
        <x:v>444</x:v>
      </x:c>
      <x:c r="D945" t="s">
        <x:v>677</x:v>
      </x:c>
      <x:c r="E945" s="6">
        <x:v>0</x:v>
      </x:c>
      <x:c r="F945" s="6">
        <x:v>0</x:v>
      </x:c>
      <x:c r="G945" s="6">
        <x:v>0</x:v>
      </x:c>
      <x:c r="H945" s="6">
        <x:f t="shared" si="45"/>
        <x:v>0</x:v>
      </x:c>
      <x:c r="I945" s="6">
        <x:v>0</x:v>
      </x:c>
      <x:c r="J945" s="6">
        <x:v>0</x:v>
      </x:c>
      <x:c r="K945" s="6">
        <x:f t="shared" si="46"/>
        <x:v>0</x:v>
      </x:c>
      <x:c r="L945" s="6">
        <x:v>0.28999999999999998</x:v>
      </x:c>
      <x:c r="M945" s="6">
        <x:v>0</x:v>
      </x:c>
      <x:c r="N945" s="6">
        <x:f t="shared" si="47"/>
        <x:v>0.28999999999999998</x:v>
      </x:c>
    </x:row>
    <x:row r="946" spans="1:14" x14ac:dyDescent="0.25">
      <x:c r="A946" t="s">
        <x:v>15</x:v>
      </x:c>
      <x:c r="B946" s="3" t="s">
        <x:v>231</x:v>
      </x:c>
      <x:c r="C946" s="3" t="s">
        <x:v>546</x:v>
      </x:c>
      <x:c r="D946" t="s">
        <x:v>677</x:v>
      </x:c>
      <x:c r="E946" s="6">
        <x:v>0</x:v>
      </x:c>
      <x:c r="F946" s="6">
        <x:v>0</x:v>
      </x:c>
      <x:c r="G946" s="6">
        <x:v>0</x:v>
      </x:c>
      <x:c r="H946" s="6">
        <x:f t="shared" si="45"/>
        <x:v>0</x:v>
      </x:c>
      <x:c r="I946" s="6">
        <x:v>0</x:v>
      </x:c>
      <x:c r="J946" s="6">
        <x:v>0</x:v>
      </x:c>
      <x:c r="K946" s="6">
        <x:f t="shared" si="46"/>
        <x:v>0</x:v>
      </x:c>
      <x:c r="L946" s="6">
        <x:v>12.289999999999997</x:v>
      </x:c>
      <x:c r="M946" s="6">
        <x:v>0</x:v>
      </x:c>
      <x:c r="N946" s="6">
        <x:f t="shared" si="47"/>
        <x:v>12.289999999999997</x:v>
      </x:c>
    </x:row>
    <x:row r="947" spans="1:14" x14ac:dyDescent="0.25">
      <x:c r="A947" t="s">
        <x:v>15</x:v>
      </x:c>
      <x:c r="B947" s="3" t="s">
        <x:v>128</x:v>
      </x:c>
      <x:c r="C947" s="3" t="s">
        <x:v>445</x:v>
      </x:c>
      <x:c r="D947" t="s">
        <x:v>677</x:v>
      </x:c>
      <x:c r="E947" s="6">
        <x:v>0</x:v>
      </x:c>
      <x:c r="F947" s="6">
        <x:v>0</x:v>
      </x:c>
      <x:c r="G947" s="6">
        <x:v>0</x:v>
      </x:c>
      <x:c r="H947" s="6">
        <x:f t="shared" si="45"/>
        <x:v>0</x:v>
      </x:c>
      <x:c r="I947" s="6">
        <x:v>0</x:v>
      </x:c>
      <x:c r="J947" s="6">
        <x:v>0</x:v>
      </x:c>
      <x:c r="K947" s="6">
        <x:f t="shared" si="46"/>
        <x:v>0</x:v>
      </x:c>
      <x:c r="L947" s="6">
        <x:v>1.98</x:v>
      </x:c>
      <x:c r="M947" s="6">
        <x:v>0</x:v>
      </x:c>
      <x:c r="N947" s="6">
        <x:f t="shared" si="47"/>
        <x:v>1.98</x:v>
      </x:c>
    </x:row>
    <x:row r="948" spans="1:14" x14ac:dyDescent="0.25">
      <x:c r="A948" t="s">
        <x:v>15</x:v>
      </x:c>
      <x:c r="B948" s="3" t="s">
        <x:v>129</x:v>
      </x:c>
      <x:c r="C948" s="3" t="s">
        <x:v>446</x:v>
      </x:c>
      <x:c r="D948" t="s">
        <x:v>677</x:v>
      </x:c>
      <x:c r="E948" s="6">
        <x:v>0</x:v>
      </x:c>
      <x:c r="F948" s="6">
        <x:v>0</x:v>
      </x:c>
      <x:c r="G948" s="6">
        <x:v>0</x:v>
      </x:c>
      <x:c r="H948" s="6">
        <x:f t="shared" si="45"/>
        <x:v>0</x:v>
      </x:c>
      <x:c r="I948" s="6">
        <x:v>0</x:v>
      </x:c>
      <x:c r="J948" s="6">
        <x:v>0</x:v>
      </x:c>
      <x:c r="K948" s="6">
        <x:f t="shared" si="46"/>
        <x:v>0</x:v>
      </x:c>
      <x:c r="L948" s="6">
        <x:v>2.02</x:v>
      </x:c>
      <x:c r="M948" s="6">
        <x:v>0</x:v>
      </x:c>
      <x:c r="N948" s="6">
        <x:f t="shared" si="47"/>
        <x:v>2.02</x:v>
      </x:c>
    </x:row>
    <x:row r="949" spans="1:14" x14ac:dyDescent="0.25">
      <x:c r="A949" t="s">
        <x:v>15</x:v>
      </x:c>
      <x:c r="B949" s="3" t="s">
        <x:v>132</x:v>
      </x:c>
      <x:c r="C949" s="3" t="s">
        <x:v>449</x:v>
      </x:c>
      <x:c r="D949" t="s">
        <x:v>677</x:v>
      </x:c>
      <x:c r="E949" s="6">
        <x:v>0</x:v>
      </x:c>
      <x:c r="F949" s="6">
        <x:v>0</x:v>
      </x:c>
      <x:c r="G949" s="6">
        <x:v>0</x:v>
      </x:c>
      <x:c r="H949" s="6">
        <x:f t="shared" si="45"/>
        <x:v>0</x:v>
      </x:c>
      <x:c r="I949" s="6">
        <x:v>0</x:v>
      </x:c>
      <x:c r="J949" s="6">
        <x:v>0</x:v>
      </x:c>
      <x:c r="K949" s="6">
        <x:f t="shared" si="46"/>
        <x:v>0</x:v>
      </x:c>
      <x:c r="L949" s="6">
        <x:v>8845.1500000000015</x:v>
      </x:c>
      <x:c r="M949" s="6">
        <x:v>0</x:v>
      </x:c>
      <x:c r="N949" s="6">
        <x:f t="shared" si="47"/>
        <x:v>8845.1500000000015</x:v>
      </x:c>
    </x:row>
    <x:row r="950" spans="1:14" x14ac:dyDescent="0.25">
      <x:c r="A950" t="s">
        <x:v>15</x:v>
      </x:c>
      <x:c r="B950" s="3" t="s">
        <x:v>133</x:v>
      </x:c>
      <x:c r="C950" s="3" t="s">
        <x:v>450</x:v>
      </x:c>
      <x:c r="D950" t="s">
        <x:v>677</x:v>
      </x:c>
      <x:c r="E950" s="6">
        <x:v>0</x:v>
      </x:c>
      <x:c r="F950" s="6">
        <x:v>0</x:v>
      </x:c>
      <x:c r="G950" s="6">
        <x:v>0</x:v>
      </x:c>
      <x:c r="H950" s="6">
        <x:f t="shared" si="45"/>
        <x:v>0</x:v>
      </x:c>
      <x:c r="I950" s="6">
        <x:v>0</x:v>
      </x:c>
      <x:c r="J950" s="6">
        <x:v>0</x:v>
      </x:c>
      <x:c r="K950" s="6">
        <x:f t="shared" si="46"/>
        <x:v>0</x:v>
      </x:c>
      <x:c r="L950" s="6">
        <x:v>579.51</x:v>
      </x:c>
      <x:c r="M950" s="6">
        <x:v>0</x:v>
      </x:c>
      <x:c r="N950" s="6">
        <x:f t="shared" si="47"/>
        <x:v>579.51</x:v>
      </x:c>
    </x:row>
    <x:row r="951" spans="1:14" x14ac:dyDescent="0.25">
      <x:c r="A951" t="s">
        <x:v>15</x:v>
      </x:c>
      <x:c r="B951" s="3" t="s">
        <x:v>134</x:v>
      </x:c>
      <x:c r="C951" s="3" t="s">
        <x:v>451</x:v>
      </x:c>
      <x:c r="D951" t="s">
        <x:v>677</x:v>
      </x:c>
      <x:c r="E951" s="6">
        <x:v>0</x:v>
      </x:c>
      <x:c r="F951" s="6">
        <x:v>0</x:v>
      </x:c>
      <x:c r="G951" s="6">
        <x:v>0</x:v>
      </x:c>
      <x:c r="H951" s="6">
        <x:f t="shared" si="45"/>
        <x:v>0</x:v>
      </x:c>
      <x:c r="I951" s="6">
        <x:v>0</x:v>
      </x:c>
      <x:c r="J951" s="6">
        <x:v>0</x:v>
      </x:c>
      <x:c r="K951" s="6">
        <x:f t="shared" si="46"/>
        <x:v>0</x:v>
      </x:c>
      <x:c r="L951" s="6">
        <x:v>3332.9900000000002</x:v>
      </x:c>
      <x:c r="M951" s="6">
        <x:v>0</x:v>
      </x:c>
      <x:c r="N951" s="6">
        <x:f t="shared" si="47"/>
        <x:v>3332.9900000000002</x:v>
      </x:c>
    </x:row>
    <x:row r="952" spans="1:14" x14ac:dyDescent="0.25">
      <x:c r="A952" t="s">
        <x:v>15</x:v>
      </x:c>
      <x:c r="B952" s="3" t="s">
        <x:v>135</x:v>
      </x:c>
      <x:c r="C952" s="3" t="s">
        <x:v>452</x:v>
      </x:c>
      <x:c r="D952" t="s">
        <x:v>677</x:v>
      </x:c>
      <x:c r="E952" s="6">
        <x:v>0</x:v>
      </x:c>
      <x:c r="F952" s="6">
        <x:v>0</x:v>
      </x:c>
      <x:c r="G952" s="6">
        <x:v>0</x:v>
      </x:c>
      <x:c r="H952" s="6">
        <x:f t="shared" si="45"/>
        <x:v>0</x:v>
      </x:c>
      <x:c r="I952" s="6">
        <x:v>0</x:v>
      </x:c>
      <x:c r="J952" s="6">
        <x:v>0</x:v>
      </x:c>
      <x:c r="K952" s="6">
        <x:f t="shared" si="46"/>
        <x:v>0</x:v>
      </x:c>
      <x:c r="L952" s="6">
        <x:v>2241.69</x:v>
      </x:c>
      <x:c r="M952" s="6">
        <x:v>0</x:v>
      </x:c>
      <x:c r="N952" s="6">
        <x:f t="shared" si="47"/>
        <x:v>2241.69</x:v>
      </x:c>
    </x:row>
    <x:row r="953" spans="1:14" x14ac:dyDescent="0.25">
      <x:c r="A953" t="s">
        <x:v>15</x:v>
      </x:c>
      <x:c r="B953" s="3" t="s">
        <x:v>137</x:v>
      </x:c>
      <x:c r="C953" s="3" t="s">
        <x:v>454</x:v>
      </x:c>
      <x:c r="D953" t="s">
        <x:v>677</x:v>
      </x:c>
      <x:c r="E953" s="6">
        <x:v>0</x:v>
      </x:c>
      <x:c r="F953" s="6">
        <x:v>0</x:v>
      </x:c>
      <x:c r="G953" s="6">
        <x:v>0</x:v>
      </x:c>
      <x:c r="H953" s="6">
        <x:f t="shared" si="45"/>
        <x:v>0</x:v>
      </x:c>
      <x:c r="I953" s="6">
        <x:v>0</x:v>
      </x:c>
      <x:c r="J953" s="6">
        <x:v>0</x:v>
      </x:c>
      <x:c r="K953" s="6">
        <x:f t="shared" si="46"/>
        <x:v>0</x:v>
      </x:c>
      <x:c r="L953" s="6">
        <x:v>937.66</x:v>
      </x:c>
      <x:c r="M953" s="6">
        <x:v>0</x:v>
      </x:c>
      <x:c r="N953" s="6">
        <x:f t="shared" si="47"/>
        <x:v>937.66</x:v>
      </x:c>
    </x:row>
    <x:row r="954" spans="1:14" x14ac:dyDescent="0.25">
      <x:c r="A954" t="s">
        <x:v>15</x:v>
      </x:c>
      <x:c r="B954" s="3" t="s">
        <x:v>138</x:v>
      </x:c>
      <x:c r="C954" s="3" t="s">
        <x:v>455</x:v>
      </x:c>
      <x:c r="D954" t="s">
        <x:v>677</x:v>
      </x:c>
      <x:c r="E954" s="6">
        <x:v>0</x:v>
      </x:c>
      <x:c r="F954" s="6">
        <x:v>0</x:v>
      </x:c>
      <x:c r="G954" s="6">
        <x:v>0</x:v>
      </x:c>
      <x:c r="H954" s="6">
        <x:f t="shared" si="45"/>
        <x:v>0</x:v>
      </x:c>
      <x:c r="I954" s="6">
        <x:v>0</x:v>
      </x:c>
      <x:c r="J954" s="6">
        <x:v>0</x:v>
      </x:c>
      <x:c r="K954" s="6">
        <x:f t="shared" si="46"/>
        <x:v>0</x:v>
      </x:c>
      <x:c r="L954" s="6">
        <x:v>28023.400000000005</x:v>
      </x:c>
      <x:c r="M954" s="6">
        <x:v>0</x:v>
      </x:c>
      <x:c r="N954" s="6">
        <x:f t="shared" si="47"/>
        <x:v>28023.400000000005</x:v>
      </x:c>
    </x:row>
    <x:row r="955" spans="1:14" x14ac:dyDescent="0.25">
      <x:c r="A955" t="s">
        <x:v>15</x:v>
      </x:c>
      <x:c r="B955" s="3" t="s">
        <x:v>139</x:v>
      </x:c>
      <x:c r="C955" s="3" t="s">
        <x:v>456</x:v>
      </x:c>
      <x:c r="D955" t="s">
        <x:v>677</x:v>
      </x:c>
      <x:c r="E955" s="6">
        <x:v>0</x:v>
      </x:c>
      <x:c r="F955" s="6">
        <x:v>0</x:v>
      </x:c>
      <x:c r="G955" s="6">
        <x:v>0</x:v>
      </x:c>
      <x:c r="H955" s="6">
        <x:f t="shared" si="45"/>
        <x:v>0</x:v>
      </x:c>
      <x:c r="I955" s="6">
        <x:v>0</x:v>
      </x:c>
      <x:c r="J955" s="6">
        <x:v>0</x:v>
      </x:c>
      <x:c r="K955" s="6">
        <x:f t="shared" si="46"/>
        <x:v>0</x:v>
      </x:c>
      <x:c r="L955" s="6">
        <x:v>6608.49</x:v>
      </x:c>
      <x:c r="M955" s="6">
        <x:v>0</x:v>
      </x:c>
      <x:c r="N955" s="6">
        <x:f t="shared" si="47"/>
        <x:v>6608.49</x:v>
      </x:c>
    </x:row>
    <x:row r="956" spans="1:14" x14ac:dyDescent="0.25">
      <x:c r="A956" t="s">
        <x:v>15</x:v>
      </x:c>
      <x:c r="B956" s="3" t="s">
        <x:v>146</x:v>
      </x:c>
      <x:c r="C956" s="3" t="s">
        <x:v>463</x:v>
      </x:c>
      <x:c r="D956" t="s">
        <x:v>677</x:v>
      </x:c>
      <x:c r="E956" s="6">
        <x:v>0</x:v>
      </x:c>
      <x:c r="F956" s="6">
        <x:v>0</x:v>
      </x:c>
      <x:c r="G956" s="6">
        <x:v>0</x:v>
      </x:c>
      <x:c r="H956" s="6">
        <x:f t="shared" si="45"/>
        <x:v>0</x:v>
      </x:c>
      <x:c r="I956" s="6">
        <x:v>0</x:v>
      </x:c>
      <x:c r="J956" s="6">
        <x:v>0</x:v>
      </x:c>
      <x:c r="K956" s="6">
        <x:f t="shared" si="46"/>
        <x:v>0</x:v>
      </x:c>
      <x:c r="L956" s="6">
        <x:v>29624.839999999997</x:v>
      </x:c>
      <x:c r="M956" s="6">
        <x:v>0</x:v>
      </x:c>
      <x:c r="N956" s="6">
        <x:f t="shared" si="47"/>
        <x:v>29624.839999999997</x:v>
      </x:c>
    </x:row>
    <x:row r="957" spans="1:14" x14ac:dyDescent="0.25">
      <x:c r="A957" t="s">
        <x:v>15</x:v>
      </x:c>
      <x:c r="B957" s="3" t="s">
        <x:v>147</x:v>
      </x:c>
      <x:c r="C957" s="3" t="s">
        <x:v>464</x:v>
      </x:c>
      <x:c r="D957" t="s">
        <x:v>677</x:v>
      </x:c>
      <x:c r="E957" s="6">
        <x:v>0</x:v>
      </x:c>
      <x:c r="F957" s="6">
        <x:v>0</x:v>
      </x:c>
      <x:c r="G957" s="6">
        <x:v>0</x:v>
      </x:c>
      <x:c r="H957" s="6">
        <x:f t="shared" si="45"/>
        <x:v>0</x:v>
      </x:c>
      <x:c r="I957" s="6">
        <x:v>0</x:v>
      </x:c>
      <x:c r="J957" s="6">
        <x:v>0</x:v>
      </x:c>
      <x:c r="K957" s="6">
        <x:f t="shared" si="46"/>
        <x:v>0</x:v>
      </x:c>
      <x:c r="L957" s="6">
        <x:v>-2698.46</x:v>
      </x:c>
      <x:c r="M957" s="6">
        <x:v>0</x:v>
      </x:c>
      <x:c r="N957" s="6">
        <x:f t="shared" si="47"/>
        <x:v>-2698.46</x:v>
      </x:c>
    </x:row>
    <x:row r="958" spans="1:14" x14ac:dyDescent="0.25">
      <x:c r="A958" t="s">
        <x:v>15</x:v>
      </x:c>
      <x:c r="B958" s="3" t="s">
        <x:v>148</x:v>
      </x:c>
      <x:c r="C958" s="3" t="s">
        <x:v>465</x:v>
      </x:c>
      <x:c r="D958" t="s">
        <x:v>677</x:v>
      </x:c>
      <x:c r="E958" s="6">
        <x:v>0</x:v>
      </x:c>
      <x:c r="F958" s="6">
        <x:v>0</x:v>
      </x:c>
      <x:c r="G958" s="6">
        <x:v>0</x:v>
      </x:c>
      <x:c r="H958" s="6">
        <x:f t="shared" si="45"/>
        <x:v>0</x:v>
      </x:c>
      <x:c r="I958" s="6">
        <x:v>0</x:v>
      </x:c>
      <x:c r="J958" s="6">
        <x:v>0</x:v>
      </x:c>
      <x:c r="K958" s="6">
        <x:f t="shared" si="46"/>
        <x:v>0</x:v>
      </x:c>
      <x:c r="L958" s="6">
        <x:v>5990.5199999999995</x:v>
      </x:c>
      <x:c r="M958" s="6">
        <x:v>0</x:v>
      </x:c>
      <x:c r="N958" s="6">
        <x:f t="shared" si="47"/>
        <x:v>5990.5199999999995</x:v>
      </x:c>
    </x:row>
    <x:row r="959" spans="1:14" x14ac:dyDescent="0.25">
      <x:c r="A959" t="s">
        <x:v>15</x:v>
      </x:c>
      <x:c r="B959" s="3" t="s">
        <x:v>149</x:v>
      </x:c>
      <x:c r="C959" s="3" t="s">
        <x:v>466</x:v>
      </x:c>
      <x:c r="D959" t="s">
        <x:v>677</x:v>
      </x:c>
      <x:c r="E959" s="6">
        <x:v>0</x:v>
      </x:c>
      <x:c r="F959" s="6">
        <x:v>0</x:v>
      </x:c>
      <x:c r="G959" s="6">
        <x:v>0</x:v>
      </x:c>
      <x:c r="H959" s="6">
        <x:f t="shared" si="45"/>
        <x:v>0</x:v>
      </x:c>
      <x:c r="I959" s="6">
        <x:v>0</x:v>
      </x:c>
      <x:c r="J959" s="6">
        <x:v>0</x:v>
      </x:c>
      <x:c r="K959" s="6">
        <x:f t="shared" si="46"/>
        <x:v>0</x:v>
      </x:c>
      <x:c r="L959" s="6">
        <x:v>169.22</x:v>
      </x:c>
      <x:c r="M959" s="6">
        <x:v>0</x:v>
      </x:c>
      <x:c r="N959" s="6">
        <x:f t="shared" si="47"/>
        <x:v>169.22</x:v>
      </x:c>
    </x:row>
    <x:row r="960" spans="1:14" x14ac:dyDescent="0.25">
      <x:c r="A960" t="s">
        <x:v>15</x:v>
      </x:c>
      <x:c r="B960" s="3" t="s">
        <x:v>150</x:v>
      </x:c>
      <x:c r="C960" s="3" t="s">
        <x:v>467</x:v>
      </x:c>
      <x:c r="D960" t="s">
        <x:v>677</x:v>
      </x:c>
      <x:c r="E960" s="6">
        <x:v>0</x:v>
      </x:c>
      <x:c r="F960" s="6">
        <x:v>0</x:v>
      </x:c>
      <x:c r="G960" s="6">
        <x:v>0</x:v>
      </x:c>
      <x:c r="H960" s="6">
        <x:f t="shared" si="45"/>
        <x:v>0</x:v>
      </x:c>
      <x:c r="I960" s="6">
        <x:v>0</x:v>
      </x:c>
      <x:c r="J960" s="6">
        <x:v>0</x:v>
      </x:c>
      <x:c r="K960" s="6">
        <x:f t="shared" si="46"/>
        <x:v>0</x:v>
      </x:c>
      <x:c r="L960" s="6">
        <x:v>2404.0700000000006</x:v>
      </x:c>
      <x:c r="M960" s="6">
        <x:v>0</x:v>
      </x:c>
      <x:c r="N960" s="6">
        <x:f t="shared" si="47"/>
        <x:v>2404.0700000000006</x:v>
      </x:c>
    </x:row>
    <x:row r="961" spans="1:14" x14ac:dyDescent="0.25">
      <x:c r="A961" t="s">
        <x:v>15</x:v>
      </x:c>
      <x:c r="B961" s="3" t="s">
        <x:v>151</x:v>
      </x:c>
      <x:c r="C961" s="3" t="s">
        <x:v>468</x:v>
      </x:c>
      <x:c r="D961" t="s">
        <x:v>677</x:v>
      </x:c>
      <x:c r="E961" s="6">
        <x:v>0</x:v>
      </x:c>
      <x:c r="F961" s="6">
        <x:v>0</x:v>
      </x:c>
      <x:c r="G961" s="6">
        <x:v>0</x:v>
      </x:c>
      <x:c r="H961" s="6">
        <x:f t="shared" si="45"/>
        <x:v>0</x:v>
      </x:c>
      <x:c r="I961" s="6">
        <x:v>0</x:v>
      </x:c>
      <x:c r="J961" s="6">
        <x:v>0</x:v>
      </x:c>
      <x:c r="K961" s="6">
        <x:f t="shared" si="46"/>
        <x:v>0</x:v>
      </x:c>
      <x:c r="L961" s="6">
        <x:v>57658.74</x:v>
      </x:c>
      <x:c r="M961" s="6">
        <x:v>0</x:v>
      </x:c>
      <x:c r="N961" s="6">
        <x:f t="shared" si="47"/>
        <x:v>57658.74</x:v>
      </x:c>
    </x:row>
    <x:row r="962" spans="1:14" x14ac:dyDescent="0.25">
      <x:c r="A962" t="s">
        <x:v>15</x:v>
      </x:c>
      <x:c r="B962" s="3" t="s">
        <x:v>152</x:v>
      </x:c>
      <x:c r="C962" s="3" t="s">
        <x:v>469</x:v>
      </x:c>
      <x:c r="D962" t="s">
        <x:v>677</x:v>
      </x:c>
      <x:c r="E962" s="6">
        <x:v>0</x:v>
      </x:c>
      <x:c r="F962" s="6">
        <x:v>0</x:v>
      </x:c>
      <x:c r="G962" s="6">
        <x:v>0</x:v>
      </x:c>
      <x:c r="H962" s="6">
        <x:f t="shared" si="45"/>
        <x:v>0</x:v>
      </x:c>
      <x:c r="I962" s="6">
        <x:v>0</x:v>
      </x:c>
      <x:c r="J962" s="6">
        <x:v>0</x:v>
      </x:c>
      <x:c r="K962" s="6">
        <x:f t="shared" si="46"/>
        <x:v>0</x:v>
      </x:c>
      <x:c r="L962" s="6">
        <x:v>2054.65</x:v>
      </x:c>
      <x:c r="M962" s="6">
        <x:v>0</x:v>
      </x:c>
      <x:c r="N962" s="6">
        <x:f t="shared" si="47"/>
        <x:v>2054.65</x:v>
      </x:c>
    </x:row>
    <x:row r="963" spans="1:14" x14ac:dyDescent="0.25">
      <x:c r="A963" t="s">
        <x:v>15</x:v>
      </x:c>
      <x:c r="B963" s="3" t="s">
        <x:v>153</x:v>
      </x:c>
      <x:c r="C963" s="3" t="s">
        <x:v>470</x:v>
      </x:c>
      <x:c r="D963" t="s">
        <x:v>677</x:v>
      </x:c>
      <x:c r="E963" s="6">
        <x:v>0</x:v>
      </x:c>
      <x:c r="F963" s="6">
        <x:v>0</x:v>
      </x:c>
      <x:c r="G963" s="6">
        <x:v>0</x:v>
      </x:c>
      <x:c r="H963" s="6">
        <x:f t="shared" si="45"/>
        <x:v>0</x:v>
      </x:c>
      <x:c r="I963" s="6">
        <x:v>0</x:v>
      </x:c>
      <x:c r="J963" s="6">
        <x:v>0</x:v>
      </x:c>
      <x:c r="K963" s="6">
        <x:f t="shared" si="46"/>
        <x:v>0</x:v>
      </x:c>
      <x:c r="L963" s="6">
        <x:v>7290.75</x:v>
      </x:c>
      <x:c r="M963" s="6">
        <x:v>0</x:v>
      </x:c>
      <x:c r="N963" s="6">
        <x:f t="shared" si="47"/>
        <x:v>7290.75</x:v>
      </x:c>
    </x:row>
    <x:row r="964" spans="1:14" x14ac:dyDescent="0.25">
      <x:c r="A964" t="s">
        <x:v>15</x:v>
      </x:c>
      <x:c r="B964" s="3" t="s">
        <x:v>154</x:v>
      </x:c>
      <x:c r="C964" s="3" t="s">
        <x:v>471</x:v>
      </x:c>
      <x:c r="D964" t="s">
        <x:v>677</x:v>
      </x:c>
      <x:c r="E964" s="6">
        <x:v>0</x:v>
      </x:c>
      <x:c r="F964" s="6">
        <x:v>0</x:v>
      </x:c>
      <x:c r="G964" s="6">
        <x:v>0</x:v>
      </x:c>
      <x:c r="H964" s="6">
        <x:f t="shared" si="45"/>
        <x:v>0</x:v>
      </x:c>
      <x:c r="I964" s="6">
        <x:v>0</x:v>
      </x:c>
      <x:c r="J964" s="6">
        <x:v>0</x:v>
      </x:c>
      <x:c r="K964" s="6">
        <x:f t="shared" si="46"/>
        <x:v>0</x:v>
      </x:c>
      <x:c r="L964" s="6">
        <x:v>2675.89</x:v>
      </x:c>
      <x:c r="M964" s="6">
        <x:v>0</x:v>
      </x:c>
      <x:c r="N964" s="6">
        <x:f t="shared" si="47"/>
        <x:v>2675.89</x:v>
      </x:c>
    </x:row>
    <x:row r="965" spans="1:14" x14ac:dyDescent="0.25">
      <x:c r="A965" t="s">
        <x:v>15</x:v>
      </x:c>
      <x:c r="B965" s="3" t="s">
        <x:v>155</x:v>
      </x:c>
      <x:c r="C965" s="3" t="s">
        <x:v>472</x:v>
      </x:c>
      <x:c r="D965" t="s">
        <x:v>677</x:v>
      </x:c>
      <x:c r="E965" s="6">
        <x:v>0</x:v>
      </x:c>
      <x:c r="F965" s="6">
        <x:v>0</x:v>
      </x:c>
      <x:c r="G965" s="6">
        <x:v>0</x:v>
      </x:c>
      <x:c r="H965" s="6">
        <x:f t="shared" si="45"/>
        <x:v>0</x:v>
      </x:c>
      <x:c r="I965" s="6">
        <x:v>0</x:v>
      </x:c>
      <x:c r="J965" s="6">
        <x:v>0</x:v>
      </x:c>
      <x:c r="K965" s="6">
        <x:f t="shared" si="46"/>
        <x:v>0</x:v>
      </x:c>
      <x:c r="L965" s="6">
        <x:v>375.15000000000003</x:v>
      </x:c>
      <x:c r="M965" s="6">
        <x:v>0</x:v>
      </x:c>
      <x:c r="N965" s="6">
        <x:f t="shared" si="47"/>
        <x:v>375.15000000000003</x:v>
      </x:c>
    </x:row>
    <x:row r="966" spans="1:14" x14ac:dyDescent="0.25">
      <x:c r="A966" t="s">
        <x:v>15</x:v>
      </x:c>
      <x:c r="B966" s="3" t="s">
        <x:v>156</x:v>
      </x:c>
      <x:c r="C966" s="3" t="s">
        <x:v>473</x:v>
      </x:c>
      <x:c r="D966" t="s">
        <x:v>677</x:v>
      </x:c>
      <x:c r="E966" s="6">
        <x:v>0</x:v>
      </x:c>
      <x:c r="F966" s="6">
        <x:v>0</x:v>
      </x:c>
      <x:c r="G966" s="6">
        <x:v>0</x:v>
      </x:c>
      <x:c r="H966" s="6">
        <x:f t="shared" si="45"/>
        <x:v>0</x:v>
      </x:c>
      <x:c r="I966" s="6">
        <x:v>0</x:v>
      </x:c>
      <x:c r="J966" s="6">
        <x:v>0</x:v>
      </x:c>
      <x:c r="K966" s="6">
        <x:f t="shared" si="46"/>
        <x:v>0</x:v>
      </x:c>
      <x:c r="L966" s="6">
        <x:v>195.93</x:v>
      </x:c>
      <x:c r="M966" s="6">
        <x:v>0</x:v>
      </x:c>
      <x:c r="N966" s="6">
        <x:f t="shared" si="47"/>
        <x:v>195.93</x:v>
      </x:c>
    </x:row>
    <x:row r="967" spans="1:14" x14ac:dyDescent="0.25">
      <x:c r="A967" t="s">
        <x:v>15</x:v>
      </x:c>
      <x:c r="B967" s="3" t="s">
        <x:v>158</x:v>
      </x:c>
      <x:c r="C967" s="3" t="s">
        <x:v>475</x:v>
      </x:c>
      <x:c r="D967" t="s">
        <x:v>677</x:v>
      </x:c>
      <x:c r="E967" s="6">
        <x:v>0</x:v>
      </x:c>
      <x:c r="F967" s="6">
        <x:v>0</x:v>
      </x:c>
      <x:c r="G967" s="6">
        <x:v>0</x:v>
      </x:c>
      <x:c r="H967" s="6">
        <x:f t="shared" si="45"/>
        <x:v>0</x:v>
      </x:c>
      <x:c r="I967" s="6">
        <x:v>0</x:v>
      </x:c>
      <x:c r="J967" s="6">
        <x:v>0</x:v>
      </x:c>
      <x:c r="K967" s="6">
        <x:f t="shared" si="46"/>
        <x:v>0</x:v>
      </x:c>
      <x:c r="L967" s="6">
        <x:v>38142.300000000003</x:v>
      </x:c>
      <x:c r="M967" s="6">
        <x:v>0</x:v>
      </x:c>
      <x:c r="N967" s="6">
        <x:f t="shared" si="47"/>
        <x:v>38142.300000000003</x:v>
      </x:c>
    </x:row>
    <x:row r="968" spans="1:14" x14ac:dyDescent="0.25">
      <x:c r="A968" t="s">
        <x:v>15</x:v>
      </x:c>
      <x:c r="B968" s="3" t="s">
        <x:v>162</x:v>
      </x:c>
      <x:c r="C968" s="3" t="s">
        <x:v>479</x:v>
      </x:c>
      <x:c r="D968" t="s">
        <x:v>677</x:v>
      </x:c>
      <x:c r="E968" s="6">
        <x:v>0</x:v>
      </x:c>
      <x:c r="F968" s="6">
        <x:v>0</x:v>
      </x:c>
      <x:c r="G968" s="6">
        <x:v>0</x:v>
      </x:c>
      <x:c r="H968" s="6">
        <x:f t="shared" si="45"/>
        <x:v>0</x:v>
      </x:c>
      <x:c r="I968" s="6">
        <x:v>0</x:v>
      </x:c>
      <x:c r="J968" s="6">
        <x:v>0</x:v>
      </x:c>
      <x:c r="K968" s="6">
        <x:f t="shared" si="46"/>
        <x:v>0</x:v>
      </x:c>
      <x:c r="L968" s="6">
        <x:v>4548.66</x:v>
      </x:c>
      <x:c r="M968" s="6">
        <x:v>0</x:v>
      </x:c>
      <x:c r="N968" s="6">
        <x:f t="shared" si="47"/>
        <x:v>4548.66</x:v>
      </x:c>
    </x:row>
    <x:row r="969" spans="1:14" x14ac:dyDescent="0.25">
      <x:c r="A969" t="s">
        <x:v>15</x:v>
      </x:c>
      <x:c r="B969" s="3" t="s">
        <x:v>163</x:v>
      </x:c>
      <x:c r="C969" s="3" t="s">
        <x:v>480</x:v>
      </x:c>
      <x:c r="D969" t="s">
        <x:v>677</x:v>
      </x:c>
      <x:c r="E969" s="6">
        <x:v>0</x:v>
      </x:c>
      <x:c r="F969" s="6">
        <x:v>0</x:v>
      </x:c>
      <x:c r="G969" s="6">
        <x:v>0</x:v>
      </x:c>
      <x:c r="H969" s="6">
        <x:f t="shared" si="45"/>
        <x:v>0</x:v>
      </x:c>
      <x:c r="I969" s="6">
        <x:v>0</x:v>
      </x:c>
      <x:c r="J969" s="6">
        <x:v>0</x:v>
      </x:c>
      <x:c r="K969" s="6">
        <x:f t="shared" si="46"/>
        <x:v>0</x:v>
      </x:c>
      <x:c r="L969" s="6">
        <x:v>5614.68</x:v>
      </x:c>
      <x:c r="M969" s="6">
        <x:v>0</x:v>
      </x:c>
      <x:c r="N969" s="6">
        <x:f t="shared" si="47"/>
        <x:v>5614.68</x:v>
      </x:c>
    </x:row>
    <x:row r="970" spans="1:14" x14ac:dyDescent="0.25">
      <x:c r="A970" t="s">
        <x:v>15</x:v>
      </x:c>
      <x:c r="B970" s="3" t="s">
        <x:v>164</x:v>
      </x:c>
      <x:c r="C970" s="3" t="s">
        <x:v>481</x:v>
      </x:c>
      <x:c r="D970" t="s">
        <x:v>677</x:v>
      </x:c>
      <x:c r="E970" s="6">
        <x:v>0</x:v>
      </x:c>
      <x:c r="F970" s="6">
        <x:v>0</x:v>
      </x:c>
      <x:c r="G970" s="6">
        <x:v>0</x:v>
      </x:c>
      <x:c r="H970" s="6">
        <x:f t="shared" si="45"/>
        <x:v>0</x:v>
      </x:c>
      <x:c r="I970" s="6">
        <x:v>0</x:v>
      </x:c>
      <x:c r="J970" s="6">
        <x:v>0</x:v>
      </x:c>
      <x:c r="K970" s="6">
        <x:f t="shared" si="46"/>
        <x:v>0</x:v>
      </x:c>
      <x:c r="L970" s="6">
        <x:v>10568.27</x:v>
      </x:c>
      <x:c r="M970" s="6">
        <x:v>0</x:v>
      </x:c>
      <x:c r="N970" s="6">
        <x:f t="shared" si="47"/>
        <x:v>10568.27</x:v>
      </x:c>
    </x:row>
    <x:row r="971" spans="1:14" x14ac:dyDescent="0.25">
      <x:c r="A971" t="s">
        <x:v>15</x:v>
      </x:c>
      <x:c r="B971" s="3" t="s">
        <x:v>49</x:v>
      </x:c>
      <x:c r="C971" s="3" t="s">
        <x:v>366</x:v>
      </x:c>
      <x:c r="D971" t="s">
        <x:v>677</x:v>
      </x:c>
      <x:c r="E971" s="6">
        <x:v>0</x:v>
      </x:c>
      <x:c r="F971" s="6">
        <x:v>0</x:v>
      </x:c>
      <x:c r="G971" s="6">
        <x:v>0</x:v>
      </x:c>
      <x:c r="H971" s="6">
        <x:f t="shared" si="45"/>
        <x:v>0</x:v>
      </x:c>
      <x:c r="I971" s="6">
        <x:v>0</x:v>
      </x:c>
      <x:c r="J971" s="6">
        <x:v>0</x:v>
      </x:c>
      <x:c r="K971" s="6">
        <x:f t="shared" si="46"/>
        <x:v>0</x:v>
      </x:c>
      <x:c r="L971" s="6">
        <x:v>5839.1200000000008</x:v>
      </x:c>
      <x:c r="M971" s="6">
        <x:v>0</x:v>
      </x:c>
      <x:c r="N971" s="6">
        <x:f t="shared" si="47"/>
        <x:v>5839.1200000000008</x:v>
      </x:c>
    </x:row>
    <x:row r="972" spans="1:14" x14ac:dyDescent="0.25">
      <x:c r="A972" t="s">
        <x:v>15</x:v>
      </x:c>
      <x:c r="B972" s="3" t="s">
        <x:v>165</x:v>
      </x:c>
      <x:c r="C972" s="3" t="s">
        <x:v>482</x:v>
      </x:c>
      <x:c r="D972" t="s">
        <x:v>677</x:v>
      </x:c>
      <x:c r="E972" s="6">
        <x:v>0</x:v>
      </x:c>
      <x:c r="F972" s="6">
        <x:v>0</x:v>
      </x:c>
      <x:c r="G972" s="6">
        <x:v>0</x:v>
      </x:c>
      <x:c r="H972" s="6">
        <x:f t="shared" si="45"/>
        <x:v>0</x:v>
      </x:c>
      <x:c r="I972" s="6">
        <x:v>0</x:v>
      </x:c>
      <x:c r="J972" s="6">
        <x:v>0</x:v>
      </x:c>
      <x:c r="K972" s="6">
        <x:f t="shared" si="46"/>
        <x:v>0</x:v>
      </x:c>
      <x:c r="L972" s="6">
        <x:v>9.57</x:v>
      </x:c>
      <x:c r="M972" s="6">
        <x:v>0</x:v>
      </x:c>
      <x:c r="N972" s="6">
        <x:f t="shared" si="47"/>
        <x:v>9.57</x:v>
      </x:c>
    </x:row>
    <x:row r="973" spans="1:14" x14ac:dyDescent="0.25">
      <x:c r="A973" t="s">
        <x:v>15</x:v>
      </x:c>
      <x:c r="B973" s="3" t="s">
        <x:v>233</x:v>
      </x:c>
      <x:c r="C973" s="3" t="s">
        <x:v>548</x:v>
      </x:c>
      <x:c r="D973" t="s">
        <x:v>677</x:v>
      </x:c>
      <x:c r="E973" s="6">
        <x:v>0</x:v>
      </x:c>
      <x:c r="F973" s="6">
        <x:v>0</x:v>
      </x:c>
      <x:c r="G973" s="6">
        <x:v>0</x:v>
      </x:c>
      <x:c r="H973" s="6">
        <x:f t="shared" si="45"/>
        <x:v>0</x:v>
      </x:c>
      <x:c r="I973" s="6">
        <x:v>0</x:v>
      </x:c>
      <x:c r="J973" s="6">
        <x:v>0</x:v>
      </x:c>
      <x:c r="K973" s="6">
        <x:f t="shared" si="46"/>
        <x:v>0</x:v>
      </x:c>
      <x:c r="L973" s="6">
        <x:v>31.59</x:v>
      </x:c>
      <x:c r="M973" s="6">
        <x:v>0</x:v>
      </x:c>
      <x:c r="N973" s="6">
        <x:f t="shared" si="47"/>
        <x:v>31.59</x:v>
      </x:c>
    </x:row>
    <x:row r="974" spans="1:14" x14ac:dyDescent="0.25">
      <x:c r="A974" t="s">
        <x:v>15</x:v>
      </x:c>
      <x:c r="B974" s="3" t="s">
        <x:v>166</x:v>
      </x:c>
      <x:c r="C974" s="3" t="s">
        <x:v>483</x:v>
      </x:c>
      <x:c r="D974" t="s">
        <x:v>677</x:v>
      </x:c>
      <x:c r="E974" s="6">
        <x:v>0</x:v>
      </x:c>
      <x:c r="F974" s="6">
        <x:v>0</x:v>
      </x:c>
      <x:c r="G974" s="6">
        <x:v>0</x:v>
      </x:c>
      <x:c r="H974" s="6">
        <x:f t="shared" ref="H974:H1037" si="48">SUM(E974:G974)</x:f>
        <x:v>0</x:v>
      </x:c>
      <x:c r="I974" s="6">
        <x:v>0</x:v>
      </x:c>
      <x:c r="J974" s="6">
        <x:v>0</x:v>
      </x:c>
      <x:c r="K974" s="6">
        <x:f t="shared" ref="K974:K1037" si="49">SUM(I974:J974)</x:f>
        <x:v>0</x:v>
      </x:c>
      <x:c r="L974" s="6">
        <x:v>74007.950000000012</x:v>
      </x:c>
      <x:c r="M974" s="6">
        <x:v>0</x:v>
      </x:c>
      <x:c r="N974" s="6">
        <x:f t="shared" ref="N974:N1037" si="50">+E974+F974+G974+I974+J974+L974+M974</x:f>
        <x:v>74007.950000000012</x:v>
      </x:c>
    </x:row>
    <x:row r="975" spans="1:14" x14ac:dyDescent="0.25">
      <x:c r="A975" t="s">
        <x:v>15</x:v>
      </x:c>
      <x:c r="B975" s="3" t="s">
        <x:v>167</x:v>
      </x:c>
      <x:c r="C975" s="3" t="s">
        <x:v>484</x:v>
      </x:c>
      <x:c r="D975" t="s">
        <x:v>677</x:v>
      </x:c>
      <x:c r="E975" s="6">
        <x:v>0</x:v>
      </x:c>
      <x:c r="F975" s="6">
        <x:v>0</x:v>
      </x:c>
      <x:c r="G975" s="6">
        <x:v>0</x:v>
      </x:c>
      <x:c r="H975" s="6">
        <x:f t="shared" si="48"/>
        <x:v>0</x:v>
      </x:c>
      <x:c r="I975" s="6">
        <x:v>0</x:v>
      </x:c>
      <x:c r="J975" s="6">
        <x:v>0</x:v>
      </x:c>
      <x:c r="K975" s="6">
        <x:f t="shared" si="49"/>
        <x:v>0</x:v>
      </x:c>
      <x:c r="L975" s="6">
        <x:v>511.69</x:v>
      </x:c>
      <x:c r="M975" s="6">
        <x:v>0</x:v>
      </x:c>
      <x:c r="N975" s="6">
        <x:f t="shared" si="50"/>
        <x:v>511.69</x:v>
      </x:c>
    </x:row>
    <x:row r="976" spans="1:14" x14ac:dyDescent="0.25">
      <x:c r="A976" t="s">
        <x:v>15</x:v>
      </x:c>
      <x:c r="B976" s="3" t="s">
        <x:v>234</x:v>
      </x:c>
      <x:c r="C976" s="3" t="s">
        <x:v>549</x:v>
      </x:c>
      <x:c r="D976" t="s">
        <x:v>677</x:v>
      </x:c>
      <x:c r="E976" s="6">
        <x:v>0</x:v>
      </x:c>
      <x:c r="F976" s="6">
        <x:v>0</x:v>
      </x:c>
      <x:c r="G976" s="6">
        <x:v>0</x:v>
      </x:c>
      <x:c r="H976" s="6">
        <x:f t="shared" si="48"/>
        <x:v>0</x:v>
      </x:c>
      <x:c r="I976" s="6">
        <x:v>0</x:v>
      </x:c>
      <x:c r="J976" s="6">
        <x:v>0</x:v>
      </x:c>
      <x:c r="K976" s="6">
        <x:f t="shared" si="49"/>
        <x:v>0</x:v>
      </x:c>
      <x:c r="L976" s="6">
        <x:v>27324.510000000006</x:v>
      </x:c>
      <x:c r="M976" s="6">
        <x:v>0</x:v>
      </x:c>
      <x:c r="N976" s="6">
        <x:f t="shared" si="50"/>
        <x:v>27324.510000000006</x:v>
      </x:c>
    </x:row>
    <x:row r="977" spans="1:14" x14ac:dyDescent="0.25">
      <x:c r="A977" t="s">
        <x:v>15</x:v>
      </x:c>
      <x:c r="B977" s="3" t="s">
        <x:v>170</x:v>
      </x:c>
      <x:c r="C977" s="3" t="s">
        <x:v>486</x:v>
      </x:c>
      <x:c r="D977" t="s">
        <x:v>677</x:v>
      </x:c>
      <x:c r="E977" s="6">
        <x:v>0</x:v>
      </x:c>
      <x:c r="F977" s="6">
        <x:v>0</x:v>
      </x:c>
      <x:c r="G977" s="6">
        <x:v>0</x:v>
      </x:c>
      <x:c r="H977" s="6">
        <x:f t="shared" si="48"/>
        <x:v>0</x:v>
      </x:c>
      <x:c r="I977" s="6">
        <x:v>0</x:v>
      </x:c>
      <x:c r="J977" s="6">
        <x:v>0</x:v>
      </x:c>
      <x:c r="K977" s="6">
        <x:f t="shared" si="49"/>
        <x:v>0</x:v>
      </x:c>
      <x:c r="L977" s="6">
        <x:v>2136.88</x:v>
      </x:c>
      <x:c r="M977" s="6">
        <x:v>0</x:v>
      </x:c>
      <x:c r="N977" s="6">
        <x:f t="shared" si="50"/>
        <x:v>2136.88</x:v>
      </x:c>
    </x:row>
    <x:row r="978" spans="1:14" x14ac:dyDescent="0.25">
      <x:c r="A978" t="s">
        <x:v>15</x:v>
      </x:c>
      <x:c r="B978" s="3" t="s">
        <x:v>171</x:v>
      </x:c>
      <x:c r="C978" s="3" t="s">
        <x:v>487</x:v>
      </x:c>
      <x:c r="D978" t="s">
        <x:v>677</x:v>
      </x:c>
      <x:c r="E978" s="6">
        <x:v>0</x:v>
      </x:c>
      <x:c r="F978" s="6">
        <x:v>0</x:v>
      </x:c>
      <x:c r="G978" s="6">
        <x:v>0</x:v>
      </x:c>
      <x:c r="H978" s="6">
        <x:f t="shared" si="48"/>
        <x:v>0</x:v>
      </x:c>
      <x:c r="I978" s="6">
        <x:v>0</x:v>
      </x:c>
      <x:c r="J978" s="6">
        <x:v>0</x:v>
      </x:c>
      <x:c r="K978" s="6">
        <x:f t="shared" si="49"/>
        <x:v>0</x:v>
      </x:c>
      <x:c r="L978" s="6">
        <x:v>12468.509999999998</x:v>
      </x:c>
      <x:c r="M978" s="6">
        <x:v>0</x:v>
      </x:c>
      <x:c r="N978" s="6">
        <x:f t="shared" si="50"/>
        <x:v>12468.509999999998</x:v>
      </x:c>
    </x:row>
    <x:row r="979" spans="1:14" x14ac:dyDescent="0.25">
      <x:c r="A979" t="s">
        <x:v>15</x:v>
      </x:c>
      <x:c r="B979" s="3" t="s">
        <x:v>172</x:v>
      </x:c>
      <x:c r="C979" s="3" t="s">
        <x:v>488</x:v>
      </x:c>
      <x:c r="D979" t="s">
        <x:v>677</x:v>
      </x:c>
      <x:c r="E979" s="6">
        <x:v>0</x:v>
      </x:c>
      <x:c r="F979" s="6">
        <x:v>0</x:v>
      </x:c>
      <x:c r="G979" s="6">
        <x:v>0</x:v>
      </x:c>
      <x:c r="H979" s="6">
        <x:f t="shared" si="48"/>
        <x:v>0</x:v>
      </x:c>
      <x:c r="I979" s="6">
        <x:v>0</x:v>
      </x:c>
      <x:c r="J979" s="6">
        <x:v>0</x:v>
      </x:c>
      <x:c r="K979" s="6">
        <x:f t="shared" si="49"/>
        <x:v>0</x:v>
      </x:c>
      <x:c r="L979" s="6">
        <x:v>4530.6000000000004</x:v>
      </x:c>
      <x:c r="M979" s="6">
        <x:v>0</x:v>
      </x:c>
      <x:c r="N979" s="6">
        <x:f t="shared" si="50"/>
        <x:v>4530.6000000000004</x:v>
      </x:c>
    </x:row>
    <x:row r="980" spans="1:14" x14ac:dyDescent="0.25">
      <x:c r="A980" t="s">
        <x:v>15</x:v>
      </x:c>
      <x:c r="B980" s="3" t="s">
        <x:v>173</x:v>
      </x:c>
      <x:c r="C980" s="3" t="s">
        <x:v>489</x:v>
      </x:c>
      <x:c r="D980" t="s">
        <x:v>677</x:v>
      </x:c>
      <x:c r="E980" s="6">
        <x:v>0</x:v>
      </x:c>
      <x:c r="F980" s="6">
        <x:v>0</x:v>
      </x:c>
      <x:c r="G980" s="6">
        <x:v>0</x:v>
      </x:c>
      <x:c r="H980" s="6">
        <x:f t="shared" si="48"/>
        <x:v>0</x:v>
      </x:c>
      <x:c r="I980" s="6">
        <x:v>0</x:v>
      </x:c>
      <x:c r="J980" s="6">
        <x:v>0</x:v>
      </x:c>
      <x:c r="K980" s="6">
        <x:f t="shared" si="49"/>
        <x:v>0</x:v>
      </x:c>
      <x:c r="L980" s="6">
        <x:v>4548.170000000001</x:v>
      </x:c>
      <x:c r="M980" s="6">
        <x:v>0</x:v>
      </x:c>
      <x:c r="N980" s="6">
        <x:f t="shared" si="50"/>
        <x:v>4548.170000000001</x:v>
      </x:c>
    </x:row>
    <x:row r="981" spans="1:14" x14ac:dyDescent="0.25">
      <x:c r="A981" t="s">
        <x:v>15</x:v>
      </x:c>
      <x:c r="B981" s="3" t="s">
        <x:v>174</x:v>
      </x:c>
      <x:c r="C981" s="3" t="s">
        <x:v>490</x:v>
      </x:c>
      <x:c r="D981" t="s">
        <x:v>677</x:v>
      </x:c>
      <x:c r="E981" s="6">
        <x:v>0</x:v>
      </x:c>
      <x:c r="F981" s="6">
        <x:v>0</x:v>
      </x:c>
      <x:c r="G981" s="6">
        <x:v>0</x:v>
      </x:c>
      <x:c r="H981" s="6">
        <x:f t="shared" si="48"/>
        <x:v>0</x:v>
      </x:c>
      <x:c r="I981" s="6">
        <x:v>0</x:v>
      </x:c>
      <x:c r="J981" s="6">
        <x:v>0</x:v>
      </x:c>
      <x:c r="K981" s="6">
        <x:f t="shared" si="49"/>
        <x:v>0</x:v>
      </x:c>
      <x:c r="L981" s="6">
        <x:v>1233.28</x:v>
      </x:c>
      <x:c r="M981" s="6">
        <x:v>0</x:v>
      </x:c>
      <x:c r="N981" s="6">
        <x:f t="shared" si="50"/>
        <x:v>1233.28</x:v>
      </x:c>
    </x:row>
    <x:row r="982" spans="1:14" x14ac:dyDescent="0.25">
      <x:c r="A982" t="s">
        <x:v>15</x:v>
      </x:c>
      <x:c r="B982" s="3" t="s">
        <x:v>61</x:v>
      </x:c>
      <x:c r="C982" s="3" t="s">
        <x:v>378</x:v>
      </x:c>
      <x:c r="D982" t="s">
        <x:v>676</x:v>
      </x:c>
      <x:c r="E982" s="6">
        <x:v>0</x:v>
      </x:c>
      <x:c r="F982" s="6">
        <x:v>0</x:v>
      </x:c>
      <x:c r="G982" s="6">
        <x:v>0</x:v>
      </x:c>
      <x:c r="H982" s="6">
        <x:f t="shared" si="48"/>
        <x:v>0</x:v>
      </x:c>
      <x:c r="I982" s="6">
        <x:v>0</x:v>
      </x:c>
      <x:c r="J982" s="6">
        <x:v>0</x:v>
      </x:c>
      <x:c r="K982" s="6">
        <x:f t="shared" si="49"/>
        <x:v>0</x:v>
      </x:c>
      <x:c r="L982" s="6">
        <x:v>1358981.81</x:v>
      </x:c>
      <x:c r="M982" s="6">
        <x:v>0</x:v>
      </x:c>
      <x:c r="N982" s="6">
        <x:f t="shared" si="50"/>
        <x:v>1358981.81</x:v>
      </x:c>
    </x:row>
    <x:row r="983" spans="1:14" x14ac:dyDescent="0.25">
      <x:c r="A983" t="s">
        <x:v>15</x:v>
      </x:c>
      <x:c r="B983" s="3" t="s">
        <x:v>262</x:v>
      </x:c>
      <x:c r="C983" s="3" t="s">
        <x:v>577</x:v>
      </x:c>
      <x:c r="D983" t="s">
        <x:v>676</x:v>
      </x:c>
      <x:c r="E983" s="6">
        <x:v>0</x:v>
      </x:c>
      <x:c r="F983" s="6">
        <x:v>0</x:v>
      </x:c>
      <x:c r="G983" s="6">
        <x:v>0</x:v>
      </x:c>
      <x:c r="H983" s="6">
        <x:f t="shared" si="48"/>
        <x:v>0</x:v>
      </x:c>
      <x:c r="I983" s="6">
        <x:v>0</x:v>
      </x:c>
      <x:c r="J983" s="6">
        <x:v>0</x:v>
      </x:c>
      <x:c r="K983" s="6">
        <x:f t="shared" si="49"/>
        <x:v>0</x:v>
      </x:c>
      <x:c r="L983" s="6">
        <x:v>-0.06</x:v>
      </x:c>
      <x:c r="M983" s="6">
        <x:v>0</x:v>
      </x:c>
      <x:c r="N983" s="6">
        <x:f t="shared" si="50"/>
        <x:v>-0.06</x:v>
      </x:c>
    </x:row>
    <x:row r="984" spans="1:14" x14ac:dyDescent="0.25">
      <x:c r="A984" t="s">
        <x:v>15</x:v>
      </x:c>
      <x:c r="B984" s="3" t="s">
        <x:v>175</x:v>
      </x:c>
      <x:c r="C984" s="3" t="s">
        <x:v>491</x:v>
      </x:c>
      <x:c r="D984" t="s">
        <x:v>677</x:v>
      </x:c>
      <x:c r="E984" s="6">
        <x:v>0</x:v>
      </x:c>
      <x:c r="F984" s="6">
        <x:v>0</x:v>
      </x:c>
      <x:c r="G984" s="6">
        <x:v>0</x:v>
      </x:c>
      <x:c r="H984" s="6">
        <x:f t="shared" si="48"/>
        <x:v>0</x:v>
      </x:c>
      <x:c r="I984" s="6">
        <x:v>0</x:v>
      </x:c>
      <x:c r="J984" s="6">
        <x:v>0</x:v>
      </x:c>
      <x:c r="K984" s="6">
        <x:f t="shared" si="49"/>
        <x:v>0</x:v>
      </x:c>
      <x:c r="L984" s="6">
        <x:v>70624.600000000006</x:v>
      </x:c>
      <x:c r="M984" s="6">
        <x:v>0</x:v>
      </x:c>
      <x:c r="N984" s="6">
        <x:f t="shared" si="50"/>
        <x:v>70624.600000000006</x:v>
      </x:c>
    </x:row>
    <x:row r="985" spans="1:14" x14ac:dyDescent="0.25">
      <x:c r="A985" t="s">
        <x:v>15</x:v>
      </x:c>
      <x:c r="B985" s="3" t="s">
        <x:v>176</x:v>
      </x:c>
      <x:c r="C985" s="3" t="s">
        <x:v>492</x:v>
      </x:c>
      <x:c r="D985" t="s">
        <x:v>677</x:v>
      </x:c>
      <x:c r="E985" s="6">
        <x:v>0</x:v>
      </x:c>
      <x:c r="F985" s="6">
        <x:v>0</x:v>
      </x:c>
      <x:c r="G985" s="6">
        <x:v>0</x:v>
      </x:c>
      <x:c r="H985" s="6">
        <x:f t="shared" si="48"/>
        <x:v>0</x:v>
      </x:c>
      <x:c r="I985" s="6">
        <x:v>0</x:v>
      </x:c>
      <x:c r="J985" s="6">
        <x:v>0</x:v>
      </x:c>
      <x:c r="K985" s="6">
        <x:f t="shared" si="49"/>
        <x:v>0</x:v>
      </x:c>
      <x:c r="L985" s="6">
        <x:v>98248.130000000019</x:v>
      </x:c>
      <x:c r="M985" s="6">
        <x:v>0</x:v>
      </x:c>
      <x:c r="N985" s="6">
        <x:f t="shared" si="50"/>
        <x:v>98248.130000000019</x:v>
      </x:c>
    </x:row>
    <x:row r="986" spans="1:14" x14ac:dyDescent="0.25">
      <x:c r="A986" t="s">
        <x:v>15</x:v>
      </x:c>
      <x:c r="B986" s="3" t="s">
        <x:v>177</x:v>
      </x:c>
      <x:c r="C986" s="3" t="s">
        <x:v>493</x:v>
      </x:c>
      <x:c r="D986" t="s">
        <x:v>677</x:v>
      </x:c>
      <x:c r="E986" s="6">
        <x:v>0</x:v>
      </x:c>
      <x:c r="F986" s="6">
        <x:v>0</x:v>
      </x:c>
      <x:c r="G986" s="6">
        <x:v>0</x:v>
      </x:c>
      <x:c r="H986" s="6">
        <x:f t="shared" si="48"/>
        <x:v>0</x:v>
      </x:c>
      <x:c r="I986" s="6">
        <x:v>0</x:v>
      </x:c>
      <x:c r="J986" s="6">
        <x:v>0</x:v>
      </x:c>
      <x:c r="K986" s="6">
        <x:f t="shared" si="49"/>
        <x:v>0</x:v>
      </x:c>
      <x:c r="L986" s="6">
        <x:v>743.98000000000013</x:v>
      </x:c>
      <x:c r="M986" s="6">
        <x:v>0</x:v>
      </x:c>
      <x:c r="N986" s="6">
        <x:f t="shared" si="50"/>
        <x:v>743.98000000000013</x:v>
      </x:c>
    </x:row>
    <x:row r="987" spans="1:14" x14ac:dyDescent="0.25">
      <x:c r="A987" t="s">
        <x:v>15</x:v>
      </x:c>
      <x:c r="B987" s="3" t="s">
        <x:v>263</x:v>
      </x:c>
      <x:c r="C987" s="3" t="s">
        <x:v>578</x:v>
      </x:c>
      <x:c r="D987" t="s">
        <x:v>676</x:v>
      </x:c>
      <x:c r="E987" s="6">
        <x:v>0</x:v>
      </x:c>
      <x:c r="F987" s="6">
        <x:v>0</x:v>
      </x:c>
      <x:c r="G987" s="6">
        <x:v>0</x:v>
      </x:c>
      <x:c r="H987" s="6">
        <x:f t="shared" si="48"/>
        <x:v>0</x:v>
      </x:c>
      <x:c r="I987" s="6">
        <x:v>0</x:v>
      </x:c>
      <x:c r="J987" s="6">
        <x:v>0</x:v>
      </x:c>
      <x:c r="K987" s="6">
        <x:f t="shared" si="49"/>
        <x:v>0</x:v>
      </x:c>
      <x:c r="L987" s="6">
        <x:v>1238882.7</x:v>
      </x:c>
      <x:c r="M987" s="6">
        <x:v>0</x:v>
      </x:c>
      <x:c r="N987" s="6">
        <x:f t="shared" si="50"/>
        <x:v>1238882.7</x:v>
      </x:c>
    </x:row>
    <x:row r="988" spans="1:14" x14ac:dyDescent="0.25">
      <x:c r="A988" t="s">
        <x:v>15</x:v>
      </x:c>
      <x:c r="B988" s="3" t="s">
        <x:v>178</x:v>
      </x:c>
      <x:c r="C988" s="3" t="s">
        <x:v>494</x:v>
      </x:c>
      <x:c r="D988" t="s">
        <x:v>677</x:v>
      </x:c>
      <x:c r="E988" s="6">
        <x:v>0</x:v>
      </x:c>
      <x:c r="F988" s="6">
        <x:v>0</x:v>
      </x:c>
      <x:c r="G988" s="6">
        <x:v>0</x:v>
      </x:c>
      <x:c r="H988" s="6">
        <x:f t="shared" si="48"/>
        <x:v>0</x:v>
      </x:c>
      <x:c r="I988" s="6">
        <x:v>0</x:v>
      </x:c>
      <x:c r="J988" s="6">
        <x:v>0</x:v>
      </x:c>
      <x:c r="K988" s="6">
        <x:f t="shared" si="49"/>
        <x:v>0</x:v>
      </x:c>
      <x:c r="L988" s="6">
        <x:v>1759.1</x:v>
      </x:c>
      <x:c r="M988" s="6">
        <x:v>0</x:v>
      </x:c>
      <x:c r="N988" s="6">
        <x:f t="shared" si="50"/>
        <x:v>1759.1</x:v>
      </x:c>
    </x:row>
    <x:row r="989" spans="1:14" x14ac:dyDescent="0.25">
      <x:c r="A989" t="s">
        <x:v>15</x:v>
      </x:c>
      <x:c r="B989" s="3" t="s">
        <x:v>179</x:v>
      </x:c>
      <x:c r="C989" s="3" t="s">
        <x:v>495</x:v>
      </x:c>
      <x:c r="D989" t="s">
        <x:v>677</x:v>
      </x:c>
      <x:c r="E989" s="6">
        <x:v>0</x:v>
      </x:c>
      <x:c r="F989" s="6">
        <x:v>0</x:v>
      </x:c>
      <x:c r="G989" s="6">
        <x:v>0</x:v>
      </x:c>
      <x:c r="H989" s="6">
        <x:f t="shared" si="48"/>
        <x:v>0</x:v>
      </x:c>
      <x:c r="I989" s="6">
        <x:v>0</x:v>
      </x:c>
      <x:c r="J989" s="6">
        <x:v>0</x:v>
      </x:c>
      <x:c r="K989" s="6">
        <x:f t="shared" si="49"/>
        <x:v>0</x:v>
      </x:c>
      <x:c r="L989" s="6">
        <x:v>102791.11</x:v>
      </x:c>
      <x:c r="M989" s="6">
        <x:v>0</x:v>
      </x:c>
      <x:c r="N989" s="6">
        <x:f t="shared" si="50"/>
        <x:v>102791.11</x:v>
      </x:c>
    </x:row>
    <x:row r="990" spans="1:14" x14ac:dyDescent="0.25">
      <x:c r="A990" t="s">
        <x:v>15</x:v>
      </x:c>
      <x:c r="B990" s="3" t="s">
        <x:v>62</x:v>
      </x:c>
      <x:c r="C990" s="3" t="s">
        <x:v>379</x:v>
      </x:c>
      <x:c r="D990" t="s">
        <x:v>676</x:v>
      </x:c>
      <x:c r="E990" s="6">
        <x:v>0</x:v>
      </x:c>
      <x:c r="F990" s="6">
        <x:v>0</x:v>
      </x:c>
      <x:c r="G990" s="6">
        <x:v>0</x:v>
      </x:c>
      <x:c r="H990" s="6">
        <x:f t="shared" si="48"/>
        <x:v>0</x:v>
      </x:c>
      <x:c r="I990" s="6">
        <x:v>0</x:v>
      </x:c>
      <x:c r="J990" s="6">
        <x:v>0</x:v>
      </x:c>
      <x:c r="K990" s="6">
        <x:f t="shared" si="49"/>
        <x:v>0</x:v>
      </x:c>
      <x:c r="L990" s="6">
        <x:v>1358123.1099999999</x:v>
      </x:c>
      <x:c r="M990" s="6">
        <x:v>0</x:v>
      </x:c>
      <x:c r="N990" s="6">
        <x:f t="shared" si="50"/>
        <x:v>1358123.1099999999</x:v>
      </x:c>
    </x:row>
    <x:row r="991" spans="1:14" x14ac:dyDescent="0.25">
      <x:c r="A991" t="s">
        <x:v>15</x:v>
      </x:c>
      <x:c r="B991" s="3" t="s">
        <x:v>180</x:v>
      </x:c>
      <x:c r="C991" s="3" t="s">
        <x:v>496</x:v>
      </x:c>
      <x:c r="D991" t="s">
        <x:v>677</x:v>
      </x:c>
      <x:c r="E991" s="6">
        <x:v>0</x:v>
      </x:c>
      <x:c r="F991" s="6">
        <x:v>0</x:v>
      </x:c>
      <x:c r="G991" s="6">
        <x:v>0</x:v>
      </x:c>
      <x:c r="H991" s="6">
        <x:f t="shared" si="48"/>
        <x:v>0</x:v>
      </x:c>
      <x:c r="I991" s="6">
        <x:v>0</x:v>
      </x:c>
      <x:c r="J991" s="6">
        <x:v>0</x:v>
      </x:c>
      <x:c r="K991" s="6">
        <x:f t="shared" si="49"/>
        <x:v>0</x:v>
      </x:c>
      <x:c r="L991" s="6">
        <x:v>37841.500000000007</x:v>
      </x:c>
      <x:c r="M991" s="6">
        <x:v>0</x:v>
      </x:c>
      <x:c r="N991" s="6">
        <x:f t="shared" si="50"/>
        <x:v>37841.500000000007</x:v>
      </x:c>
    </x:row>
    <x:row r="992" spans="1:14" x14ac:dyDescent="0.25">
      <x:c r="A992" t="s">
        <x:v>15</x:v>
      </x:c>
      <x:c r="B992" s="3" t="s">
        <x:v>181</x:v>
      </x:c>
      <x:c r="C992" s="3" t="s">
        <x:v>497</x:v>
      </x:c>
      <x:c r="D992" t="s">
        <x:v>677</x:v>
      </x:c>
      <x:c r="E992" s="6">
        <x:v>0</x:v>
      </x:c>
      <x:c r="F992" s="6">
        <x:v>0</x:v>
      </x:c>
      <x:c r="G992" s="6">
        <x:v>0</x:v>
      </x:c>
      <x:c r="H992" s="6">
        <x:f t="shared" si="48"/>
        <x:v>0</x:v>
      </x:c>
      <x:c r="I992" s="6">
        <x:v>0</x:v>
      </x:c>
      <x:c r="J992" s="6">
        <x:v>0</x:v>
      </x:c>
      <x:c r="K992" s="6">
        <x:f t="shared" si="49"/>
        <x:v>0</x:v>
      </x:c>
      <x:c r="L992" s="6">
        <x:v>7289.21</x:v>
      </x:c>
      <x:c r="M992" s="6">
        <x:v>0</x:v>
      </x:c>
      <x:c r="N992" s="6">
        <x:f t="shared" si="50"/>
        <x:v>7289.21</x:v>
      </x:c>
    </x:row>
    <x:row r="993" spans="1:14" x14ac:dyDescent="0.25">
      <x:c r="A993" t="s">
        <x:v>15</x:v>
      </x:c>
      <x:c r="B993" s="3" t="s">
        <x:v>235</x:v>
      </x:c>
      <x:c r="C993" s="3" t="s">
        <x:v>550</x:v>
      </x:c>
      <x:c r="D993" t="s">
        <x:v>677</x:v>
      </x:c>
      <x:c r="E993" s="6">
        <x:v>0</x:v>
      </x:c>
      <x:c r="F993" s="6">
        <x:v>0</x:v>
      </x:c>
      <x:c r="G993" s="6">
        <x:v>0</x:v>
      </x:c>
      <x:c r="H993" s="6">
        <x:f t="shared" si="48"/>
        <x:v>0</x:v>
      </x:c>
      <x:c r="I993" s="6">
        <x:v>0</x:v>
      </x:c>
      <x:c r="J993" s="6">
        <x:v>0</x:v>
      </x:c>
      <x:c r="K993" s="6">
        <x:f t="shared" si="49"/>
        <x:v>0</x:v>
      </x:c>
      <x:c r="L993" s="6">
        <x:v>802.17000000000007</x:v>
      </x:c>
      <x:c r="M993" s="6">
        <x:v>0</x:v>
      </x:c>
      <x:c r="N993" s="6">
        <x:f t="shared" si="50"/>
        <x:v>802.17000000000007</x:v>
      </x:c>
    </x:row>
    <x:row r="994" spans="1:14" x14ac:dyDescent="0.25">
      <x:c r="A994" t="s">
        <x:v>15</x:v>
      </x:c>
      <x:c r="B994" s="3" t="s">
        <x:v>183</x:v>
      </x:c>
      <x:c r="C994" s="3" t="s">
        <x:v>499</x:v>
      </x:c>
      <x:c r="D994" t="s">
        <x:v>677</x:v>
      </x:c>
      <x:c r="E994" s="6">
        <x:v>0</x:v>
      </x:c>
      <x:c r="F994" s="6">
        <x:v>0</x:v>
      </x:c>
      <x:c r="G994" s="6">
        <x:v>0</x:v>
      </x:c>
      <x:c r="H994" s="6">
        <x:f t="shared" si="48"/>
        <x:v>0</x:v>
      </x:c>
      <x:c r="I994" s="6">
        <x:v>0</x:v>
      </x:c>
      <x:c r="J994" s="6">
        <x:v>0</x:v>
      </x:c>
      <x:c r="K994" s="6">
        <x:f t="shared" si="49"/>
        <x:v>0</x:v>
      </x:c>
      <x:c r="L994" s="6">
        <x:v>3638.16</x:v>
      </x:c>
      <x:c r="M994" s="6">
        <x:v>0</x:v>
      </x:c>
      <x:c r="N994" s="6">
        <x:f t="shared" si="50"/>
        <x:v>3638.16</x:v>
      </x:c>
    </x:row>
    <x:row r="995" spans="1:14" x14ac:dyDescent="0.25">
      <x:c r="A995" t="s">
        <x:v>15</x:v>
      </x:c>
      <x:c r="B995" s="3" t="s">
        <x:v>184</x:v>
      </x:c>
      <x:c r="C995" s="3" t="s">
        <x:v>500</x:v>
      </x:c>
      <x:c r="D995" t="s">
        <x:v>677</x:v>
      </x:c>
      <x:c r="E995" s="6">
        <x:v>0</x:v>
      </x:c>
      <x:c r="F995" s="6">
        <x:v>0</x:v>
      </x:c>
      <x:c r="G995" s="6">
        <x:v>0</x:v>
      </x:c>
      <x:c r="H995" s="6">
        <x:f t="shared" si="48"/>
        <x:v>0</x:v>
      </x:c>
      <x:c r="I995" s="6">
        <x:v>0</x:v>
      </x:c>
      <x:c r="J995" s="6">
        <x:v>0</x:v>
      </x:c>
      <x:c r="K995" s="6">
        <x:f t="shared" si="49"/>
        <x:v>0</x:v>
      </x:c>
      <x:c r="L995" s="6">
        <x:v>2396.39</x:v>
      </x:c>
      <x:c r="M995" s="6">
        <x:v>0</x:v>
      </x:c>
      <x:c r="N995" s="6">
        <x:f t="shared" si="50"/>
        <x:v>2396.39</x:v>
      </x:c>
    </x:row>
    <x:row r="996" spans="1:14" x14ac:dyDescent="0.25">
      <x:c r="A996" t="s">
        <x:v>15</x:v>
      </x:c>
      <x:c r="B996" s="3" t="s">
        <x:v>186</x:v>
      </x:c>
      <x:c r="C996" s="3" t="s">
        <x:v>502</x:v>
      </x:c>
      <x:c r="D996" t="s">
        <x:v>677</x:v>
      </x:c>
      <x:c r="E996" s="6">
        <x:v>0</x:v>
      </x:c>
      <x:c r="F996" s="6">
        <x:v>0</x:v>
      </x:c>
      <x:c r="G996" s="6">
        <x:v>0</x:v>
      </x:c>
      <x:c r="H996" s="6">
        <x:f t="shared" si="48"/>
        <x:v>0</x:v>
      </x:c>
      <x:c r="I996" s="6">
        <x:v>0</x:v>
      </x:c>
      <x:c r="J996" s="6">
        <x:v>0</x:v>
      </x:c>
      <x:c r="K996" s="6">
        <x:f t="shared" si="49"/>
        <x:v>0</x:v>
      </x:c>
      <x:c r="L996" s="6">
        <x:v>74154.689999999988</x:v>
      </x:c>
      <x:c r="M996" s="6">
        <x:v>0</x:v>
      </x:c>
      <x:c r="N996" s="6">
        <x:f t="shared" si="50"/>
        <x:v>74154.689999999988</x:v>
      </x:c>
    </x:row>
    <x:row r="997" spans="1:14" x14ac:dyDescent="0.25">
      <x:c r="A997" t="s">
        <x:v>15</x:v>
      </x:c>
      <x:c r="B997" s="3" t="s">
        <x:v>187</x:v>
      </x:c>
      <x:c r="C997" s="3" t="s">
        <x:v>503</x:v>
      </x:c>
      <x:c r="D997" t="s">
        <x:v>677</x:v>
      </x:c>
      <x:c r="E997" s="6">
        <x:v>0</x:v>
      </x:c>
      <x:c r="F997" s="6">
        <x:v>0</x:v>
      </x:c>
      <x:c r="G997" s="6">
        <x:v>0</x:v>
      </x:c>
      <x:c r="H997" s="6">
        <x:f t="shared" si="48"/>
        <x:v>0</x:v>
      </x:c>
      <x:c r="I997" s="6">
        <x:v>0</x:v>
      </x:c>
      <x:c r="J997" s="6">
        <x:v>0</x:v>
      </x:c>
      <x:c r="K997" s="6">
        <x:f t="shared" si="49"/>
        <x:v>0</x:v>
      </x:c>
      <x:c r="L997" s="6">
        <x:v>438.43000000000006</x:v>
      </x:c>
      <x:c r="M997" s="6">
        <x:v>0</x:v>
      </x:c>
      <x:c r="N997" s="6">
        <x:f t="shared" si="50"/>
        <x:v>438.43000000000006</x:v>
      </x:c>
    </x:row>
    <x:row r="998" spans="1:14" x14ac:dyDescent="0.25">
      <x:c r="A998" t="s">
        <x:v>15</x:v>
      </x:c>
      <x:c r="B998" s="3" t="s">
        <x:v>188</x:v>
      </x:c>
      <x:c r="C998" s="3" t="s">
        <x:v>504</x:v>
      </x:c>
      <x:c r="D998" t="s">
        <x:v>677</x:v>
      </x:c>
      <x:c r="E998" s="6">
        <x:v>0</x:v>
      </x:c>
      <x:c r="F998" s="6">
        <x:v>0</x:v>
      </x:c>
      <x:c r="G998" s="6">
        <x:v>0</x:v>
      </x:c>
      <x:c r="H998" s="6">
        <x:f t="shared" si="48"/>
        <x:v>0</x:v>
      </x:c>
      <x:c r="I998" s="6">
        <x:v>0</x:v>
      </x:c>
      <x:c r="J998" s="6">
        <x:v>0</x:v>
      </x:c>
      <x:c r="K998" s="6">
        <x:f t="shared" si="49"/>
        <x:v>0</x:v>
      </x:c>
      <x:c r="L998" s="6">
        <x:v>4855.4400000000023</x:v>
      </x:c>
      <x:c r="M998" s="6">
        <x:v>0</x:v>
      </x:c>
      <x:c r="N998" s="6">
        <x:f t="shared" si="50"/>
        <x:v>4855.4400000000023</x:v>
      </x:c>
    </x:row>
    <x:row r="999" spans="1:14" x14ac:dyDescent="0.25">
      <x:c r="A999" t="s">
        <x:v>15</x:v>
      </x:c>
      <x:c r="B999" s="3" t="s">
        <x:v>189</x:v>
      </x:c>
      <x:c r="C999" s="3" t="s">
        <x:v>505</x:v>
      </x:c>
      <x:c r="D999" t="s">
        <x:v>677</x:v>
      </x:c>
      <x:c r="E999" s="6">
        <x:v>0</x:v>
      </x:c>
      <x:c r="F999" s="6">
        <x:v>0</x:v>
      </x:c>
      <x:c r="G999" s="6">
        <x:v>0</x:v>
      </x:c>
      <x:c r="H999" s="6">
        <x:f t="shared" si="48"/>
        <x:v>0</x:v>
      </x:c>
      <x:c r="I999" s="6">
        <x:v>0</x:v>
      </x:c>
      <x:c r="J999" s="6">
        <x:v>0</x:v>
      </x:c>
      <x:c r="K999" s="6">
        <x:f t="shared" si="49"/>
        <x:v>0</x:v>
      </x:c>
      <x:c r="L999" s="6">
        <x:v>1581.93</x:v>
      </x:c>
      <x:c r="M999" s="6">
        <x:v>0</x:v>
      </x:c>
      <x:c r="N999" s="6">
        <x:f t="shared" si="50"/>
        <x:v>1581.93</x:v>
      </x:c>
    </x:row>
    <x:row r="1000" spans="1:14" x14ac:dyDescent="0.25">
      <x:c r="A1000" t="s">
        <x:v>15</x:v>
      </x:c>
      <x:c r="B1000" s="3" t="s">
        <x:v>264</x:v>
      </x:c>
      <x:c r="C1000" s="3" t="s">
        <x:v>579</x:v>
      </x:c>
      <x:c r="D1000" t="s">
        <x:v>676</x:v>
      </x:c>
      <x:c r="E1000" s="6">
        <x:v>0</x:v>
      </x:c>
      <x:c r="F1000" s="6">
        <x:v>0</x:v>
      </x:c>
      <x:c r="G1000" s="6">
        <x:v>0</x:v>
      </x:c>
      <x:c r="H1000" s="6">
        <x:f t="shared" si="48"/>
        <x:v>0</x:v>
      </x:c>
      <x:c r="I1000" s="6">
        <x:v>0</x:v>
      </x:c>
      <x:c r="J1000" s="6">
        <x:v>0</x:v>
      </x:c>
      <x:c r="K1000" s="6">
        <x:f t="shared" si="49"/>
        <x:v>0</x:v>
      </x:c>
      <x:c r="L1000" s="6">
        <x:v>583665.83000000007</x:v>
      </x:c>
      <x:c r="M1000" s="6">
        <x:v>0</x:v>
      </x:c>
      <x:c r="N1000" s="6">
        <x:f t="shared" si="50"/>
        <x:v>583665.83000000007</x:v>
      </x:c>
    </x:row>
    <x:row r="1001" spans="1:14" x14ac:dyDescent="0.25">
      <x:c r="A1001" t="s">
        <x:v>15</x:v>
      </x:c>
      <x:c r="B1001" s="3" t="s">
        <x:v>192</x:v>
      </x:c>
      <x:c r="C1001" s="3" t="s">
        <x:v>508</x:v>
      </x:c>
      <x:c r="D1001" t="s">
        <x:v>677</x:v>
      </x:c>
      <x:c r="E1001" s="6">
        <x:v>0</x:v>
      </x:c>
      <x:c r="F1001" s="6">
        <x:v>0</x:v>
      </x:c>
      <x:c r="G1001" s="6">
        <x:v>0</x:v>
      </x:c>
      <x:c r="H1001" s="6">
        <x:f t="shared" si="48"/>
        <x:v>0</x:v>
      </x:c>
      <x:c r="I1001" s="6">
        <x:v>0</x:v>
      </x:c>
      <x:c r="J1001" s="6">
        <x:v>0</x:v>
      </x:c>
      <x:c r="K1001" s="6">
        <x:f t="shared" si="49"/>
        <x:v>0</x:v>
      </x:c>
      <x:c r="L1001" s="6">
        <x:v>5449.26</x:v>
      </x:c>
      <x:c r="M1001" s="6">
        <x:v>0</x:v>
      </x:c>
      <x:c r="N1001" s="6">
        <x:f t="shared" si="50"/>
        <x:v>5449.26</x:v>
      </x:c>
    </x:row>
    <x:row r="1002" spans="1:14" x14ac:dyDescent="0.25">
      <x:c r="A1002" t="s">
        <x:v>15</x:v>
      </x:c>
      <x:c r="B1002" s="3" t="s">
        <x:v>193</x:v>
      </x:c>
      <x:c r="C1002" s="3" t="s">
        <x:v>509</x:v>
      </x:c>
      <x:c r="D1002" t="s">
        <x:v>677</x:v>
      </x:c>
      <x:c r="E1002" s="6">
        <x:v>0</x:v>
      </x:c>
      <x:c r="F1002" s="6">
        <x:v>0</x:v>
      </x:c>
      <x:c r="G1002" s="6">
        <x:v>0</x:v>
      </x:c>
      <x:c r="H1002" s="6">
        <x:f t="shared" si="48"/>
        <x:v>0</x:v>
      </x:c>
      <x:c r="I1002" s="6">
        <x:v>0</x:v>
      </x:c>
      <x:c r="J1002" s="6">
        <x:v>0</x:v>
      </x:c>
      <x:c r="K1002" s="6">
        <x:f t="shared" si="49"/>
        <x:v>0</x:v>
      </x:c>
      <x:c r="L1002" s="6">
        <x:v>11627.76</x:v>
      </x:c>
      <x:c r="M1002" s="6">
        <x:v>0</x:v>
      </x:c>
      <x:c r="N1002" s="6">
        <x:f t="shared" si="50"/>
        <x:v>11627.76</x:v>
      </x:c>
    </x:row>
    <x:row r="1003" spans="1:14" x14ac:dyDescent="0.25">
      <x:c r="A1003" t="s">
        <x:v>15</x:v>
      </x:c>
      <x:c r="B1003" s="3" t="s">
        <x:v>194</x:v>
      </x:c>
      <x:c r="C1003" s="3" t="s">
        <x:v>510</x:v>
      </x:c>
      <x:c r="D1003" t="s">
        <x:v>677</x:v>
      </x:c>
      <x:c r="E1003" s="6">
        <x:v>0</x:v>
      </x:c>
      <x:c r="F1003" s="6">
        <x:v>0</x:v>
      </x:c>
      <x:c r="G1003" s="6">
        <x:v>0</x:v>
      </x:c>
      <x:c r="H1003" s="6">
        <x:f t="shared" si="48"/>
        <x:v>0</x:v>
      </x:c>
      <x:c r="I1003" s="6">
        <x:v>0</x:v>
      </x:c>
      <x:c r="J1003" s="6">
        <x:v>0</x:v>
      </x:c>
      <x:c r="K1003" s="6">
        <x:f t="shared" si="49"/>
        <x:v>0</x:v>
      </x:c>
      <x:c r="L1003" s="6">
        <x:v>1270.26</x:v>
      </x:c>
      <x:c r="M1003" s="6">
        <x:v>0</x:v>
      </x:c>
      <x:c r="N1003" s="6">
        <x:f t="shared" si="50"/>
        <x:v>1270.26</x:v>
      </x:c>
    </x:row>
    <x:row r="1004" spans="1:14" x14ac:dyDescent="0.25">
      <x:c r="A1004" t="s">
        <x:v>15</x:v>
      </x:c>
      <x:c r="B1004" s="3" t="s">
        <x:v>46</x:v>
      </x:c>
      <x:c r="C1004" s="3" t="s">
        <x:v>363</x:v>
      </x:c>
      <x:c r="D1004" t="s">
        <x:v>676</x:v>
      </x:c>
      <x:c r="E1004" s="6">
        <x:v>0</x:v>
      </x:c>
      <x:c r="F1004" s="6">
        <x:v>0</x:v>
      </x:c>
      <x:c r="G1004" s="6">
        <x:v>0</x:v>
      </x:c>
      <x:c r="H1004" s="6">
        <x:f t="shared" si="48"/>
        <x:v>0</x:v>
      </x:c>
      <x:c r="I1004" s="6">
        <x:v>0</x:v>
      </x:c>
      <x:c r="J1004" s="6">
        <x:v>0</x:v>
      </x:c>
      <x:c r="K1004" s="6">
        <x:f t="shared" si="49"/>
        <x:v>0</x:v>
      </x:c>
      <x:c r="L1004" s="6">
        <x:v>1052650.8400000001</x:v>
      </x:c>
      <x:c r="M1004" s="6">
        <x:v>0</x:v>
      </x:c>
      <x:c r="N1004" s="6">
        <x:f t="shared" si="50"/>
        <x:v>1052650.8400000001</x:v>
      </x:c>
    </x:row>
    <x:row r="1005" spans="1:14" x14ac:dyDescent="0.25">
      <x:c r="A1005" t="s">
        <x:v>15</x:v>
      </x:c>
      <x:c r="B1005" s="3" t="s">
        <x:v>195</x:v>
      </x:c>
      <x:c r="C1005" s="3" t="s">
        <x:v>511</x:v>
      </x:c>
      <x:c r="D1005" t="s">
        <x:v>677</x:v>
      </x:c>
      <x:c r="E1005" s="6">
        <x:v>0</x:v>
      </x:c>
      <x:c r="F1005" s="6">
        <x:v>0</x:v>
      </x:c>
      <x:c r="G1005" s="6">
        <x:v>0</x:v>
      </x:c>
      <x:c r="H1005" s="6">
        <x:f t="shared" si="48"/>
        <x:v>0</x:v>
      </x:c>
      <x:c r="I1005" s="6">
        <x:v>0</x:v>
      </x:c>
      <x:c r="J1005" s="6">
        <x:v>0</x:v>
      </x:c>
      <x:c r="K1005" s="6">
        <x:f t="shared" si="49"/>
        <x:v>0</x:v>
      </x:c>
      <x:c r="L1005" s="6">
        <x:v>1125.8399999999999</x:v>
      </x:c>
      <x:c r="M1005" s="6">
        <x:v>0</x:v>
      </x:c>
      <x:c r="N1005" s="6">
        <x:f t="shared" si="50"/>
        <x:v>1125.8399999999999</x:v>
      </x:c>
    </x:row>
    <x:row r="1006" spans="1:14" x14ac:dyDescent="0.25">
      <x:c r="A1006" t="s">
        <x:v>15</x:v>
      </x:c>
      <x:c r="B1006" s="3" t="s">
        <x:v>237</x:v>
      </x:c>
      <x:c r="C1006" s="3" t="s">
        <x:v>552</x:v>
      </x:c>
      <x:c r="D1006" t="s">
        <x:v>677</x:v>
      </x:c>
      <x:c r="E1006" s="6">
        <x:v>0</x:v>
      </x:c>
      <x:c r="F1006" s="6">
        <x:v>0</x:v>
      </x:c>
      <x:c r="G1006" s="6">
        <x:v>0</x:v>
      </x:c>
      <x:c r="H1006" s="6">
        <x:f t="shared" si="48"/>
        <x:v>0</x:v>
      </x:c>
      <x:c r="I1006" s="6">
        <x:v>0</x:v>
      </x:c>
      <x:c r="J1006" s="6">
        <x:v>0</x:v>
      </x:c>
      <x:c r="K1006" s="6">
        <x:f t="shared" si="49"/>
        <x:v>0</x:v>
      </x:c>
      <x:c r="L1006" s="6">
        <x:v>3786</x:v>
      </x:c>
      <x:c r="M1006" s="6">
        <x:v>0</x:v>
      </x:c>
      <x:c r="N1006" s="6">
        <x:f t="shared" si="50"/>
        <x:v>3786</x:v>
      </x:c>
    </x:row>
    <x:row r="1007" spans="1:14" x14ac:dyDescent="0.25">
      <x:c r="A1007" t="s">
        <x:v>15</x:v>
      </x:c>
      <x:c r="B1007" s="3" t="s">
        <x:v>196</x:v>
      </x:c>
      <x:c r="C1007" s="3" t="s">
        <x:v>512</x:v>
      </x:c>
      <x:c r="D1007" t="s">
        <x:v>677</x:v>
      </x:c>
      <x:c r="E1007" s="6">
        <x:v>0</x:v>
      </x:c>
      <x:c r="F1007" s="6">
        <x:v>0</x:v>
      </x:c>
      <x:c r="G1007" s="6">
        <x:v>0</x:v>
      </x:c>
      <x:c r="H1007" s="6">
        <x:f t="shared" si="48"/>
        <x:v>0</x:v>
      </x:c>
      <x:c r="I1007" s="6">
        <x:v>0</x:v>
      </x:c>
      <x:c r="J1007" s="6">
        <x:v>0</x:v>
      </x:c>
      <x:c r="K1007" s="6">
        <x:f t="shared" si="49"/>
        <x:v>0</x:v>
      </x:c>
      <x:c r="L1007" s="6">
        <x:v>5403.38</x:v>
      </x:c>
      <x:c r="M1007" s="6">
        <x:v>0</x:v>
      </x:c>
      <x:c r="N1007" s="6">
        <x:f t="shared" si="50"/>
        <x:v>5403.38</x:v>
      </x:c>
    </x:row>
    <x:row r="1008" spans="1:14" x14ac:dyDescent="0.25">
      <x:c r="A1008" t="s">
        <x:v>15</x:v>
      </x:c>
      <x:c r="B1008" s="3" t="s">
        <x:v>197</x:v>
      </x:c>
      <x:c r="C1008" s="3" t="s">
        <x:v>513</x:v>
      </x:c>
      <x:c r="D1008" t="s">
        <x:v>676</x:v>
      </x:c>
      <x:c r="E1008" s="6">
        <x:v>0</x:v>
      </x:c>
      <x:c r="F1008" s="6">
        <x:v>0</x:v>
      </x:c>
      <x:c r="G1008" s="6">
        <x:v>0</x:v>
      </x:c>
      <x:c r="H1008" s="6">
        <x:f t="shared" si="48"/>
        <x:v>0</x:v>
      </x:c>
      <x:c r="I1008" s="6">
        <x:v>0</x:v>
      </x:c>
      <x:c r="J1008" s="6">
        <x:v>0</x:v>
      </x:c>
      <x:c r="K1008" s="6">
        <x:f t="shared" si="49"/>
        <x:v>0</x:v>
      </x:c>
      <x:c r="L1008" s="6">
        <x:v>947510.25000000012</x:v>
      </x:c>
      <x:c r="M1008" s="6">
        <x:v>0</x:v>
      </x:c>
      <x:c r="N1008" s="6">
        <x:f t="shared" si="50"/>
        <x:v>947510.25000000012</x:v>
      </x:c>
    </x:row>
    <x:row r="1009" spans="1:14" x14ac:dyDescent="0.25">
      <x:c r="A1009" t="s">
        <x:v>15</x:v>
      </x:c>
      <x:c r="B1009" s="3" t="s">
        <x:v>63</x:v>
      </x:c>
      <x:c r="C1009" s="3" t="s">
        <x:v>380</x:v>
      </x:c>
      <x:c r="D1009" t="s">
        <x:v>677</x:v>
      </x:c>
      <x:c r="E1009" s="6">
        <x:v>0</x:v>
      </x:c>
      <x:c r="F1009" s="6">
        <x:v>0</x:v>
      </x:c>
      <x:c r="G1009" s="6">
        <x:v>0</x:v>
      </x:c>
      <x:c r="H1009" s="6">
        <x:f t="shared" si="48"/>
        <x:v>0</x:v>
      </x:c>
      <x:c r="I1009" s="6">
        <x:v>0</x:v>
      </x:c>
      <x:c r="J1009" s="6">
        <x:v>0</x:v>
      </x:c>
      <x:c r="K1009" s="6">
        <x:f t="shared" si="49"/>
        <x:v>0</x:v>
      </x:c>
      <x:c r="L1009" s="6">
        <x:v>4839.9299999999994</x:v>
      </x:c>
      <x:c r="M1009" s="6">
        <x:v>0</x:v>
      </x:c>
      <x:c r="N1009" s="6">
        <x:f t="shared" si="50"/>
        <x:v>4839.9299999999994</x:v>
      </x:c>
    </x:row>
    <x:row r="1010" spans="1:14" x14ac:dyDescent="0.25">
      <x:c r="A1010" t="s">
        <x:v>15</x:v>
      </x:c>
      <x:c r="B1010" s="3" t="s">
        <x:v>199</x:v>
      </x:c>
      <x:c r="C1010" s="3" t="s">
        <x:v>515</x:v>
      </x:c>
      <x:c r="D1010" t="s">
        <x:v>677</x:v>
      </x:c>
      <x:c r="E1010" s="6">
        <x:v>0</x:v>
      </x:c>
      <x:c r="F1010" s="6">
        <x:v>0</x:v>
      </x:c>
      <x:c r="G1010" s="6">
        <x:v>0</x:v>
      </x:c>
      <x:c r="H1010" s="6">
        <x:f t="shared" si="48"/>
        <x:v>0</x:v>
      </x:c>
      <x:c r="I1010" s="6">
        <x:v>0</x:v>
      </x:c>
      <x:c r="J1010" s="6">
        <x:v>0</x:v>
      </x:c>
      <x:c r="K1010" s="6">
        <x:f t="shared" si="49"/>
        <x:v>0</x:v>
      </x:c>
      <x:c r="L1010" s="6">
        <x:v>172.85000000000002</x:v>
      </x:c>
      <x:c r="M1010" s="6">
        <x:v>0</x:v>
      </x:c>
      <x:c r="N1010" s="6">
        <x:f t="shared" si="50"/>
        <x:v>172.85000000000002</x:v>
      </x:c>
    </x:row>
    <x:row r="1011" spans="1:14" x14ac:dyDescent="0.25">
      <x:c r="A1011" t="s">
        <x:v>15</x:v>
      </x:c>
      <x:c r="B1011" s="3" t="s">
        <x:v>200</x:v>
      </x:c>
      <x:c r="C1011" s="3" t="s">
        <x:v>516</x:v>
      </x:c>
      <x:c r="D1011" t="s">
        <x:v>677</x:v>
      </x:c>
      <x:c r="E1011" s="6">
        <x:v>0</x:v>
      </x:c>
      <x:c r="F1011" s="6">
        <x:v>0</x:v>
      </x:c>
      <x:c r="G1011" s="6">
        <x:v>0</x:v>
      </x:c>
      <x:c r="H1011" s="6">
        <x:f t="shared" si="48"/>
        <x:v>0</x:v>
      </x:c>
      <x:c r="I1011" s="6">
        <x:v>0</x:v>
      </x:c>
      <x:c r="J1011" s="6">
        <x:v>0</x:v>
      </x:c>
      <x:c r="K1011" s="6">
        <x:f t="shared" si="49"/>
        <x:v>0</x:v>
      </x:c>
      <x:c r="L1011" s="6">
        <x:v>63313.85</x:v>
      </x:c>
      <x:c r="M1011" s="6">
        <x:v>0</x:v>
      </x:c>
      <x:c r="N1011" s="6">
        <x:f t="shared" si="50"/>
        <x:v>63313.85</x:v>
      </x:c>
    </x:row>
    <x:row r="1012" spans="1:14" x14ac:dyDescent="0.25">
      <x:c r="A1012" t="s">
        <x:v>15</x:v>
      </x:c>
      <x:c r="B1012" s="3" t="s">
        <x:v>201</x:v>
      </x:c>
      <x:c r="C1012" s="3" t="s">
        <x:v>517</x:v>
      </x:c>
      <x:c r="D1012" t="s">
        <x:v>676</x:v>
      </x:c>
      <x:c r="E1012" s="6">
        <x:v>0</x:v>
      </x:c>
      <x:c r="F1012" s="6">
        <x:v>0</x:v>
      </x:c>
      <x:c r="G1012" s="6">
        <x:v>0</x:v>
      </x:c>
      <x:c r="H1012" s="6">
        <x:f t="shared" si="48"/>
        <x:v>0</x:v>
      </x:c>
      <x:c r="I1012" s="6">
        <x:v>0</x:v>
      </x:c>
      <x:c r="J1012" s="6">
        <x:v>0</x:v>
      </x:c>
      <x:c r="K1012" s="6">
        <x:f t="shared" si="49"/>
        <x:v>0</x:v>
      </x:c>
      <x:c r="L1012" s="6">
        <x:v>687733.28999999992</x:v>
      </x:c>
      <x:c r="M1012" s="6">
        <x:v>0</x:v>
      </x:c>
      <x:c r="N1012" s="6">
        <x:f t="shared" si="50"/>
        <x:v>687733.28999999992</x:v>
      </x:c>
    </x:row>
    <x:row r="1013" spans="1:14" x14ac:dyDescent="0.25">
      <x:c r="A1013" t="s">
        <x:v>15</x:v>
      </x:c>
      <x:c r="B1013" s="3" t="s">
        <x:v>203</x:v>
      </x:c>
      <x:c r="C1013" s="3" t="s">
        <x:v>519</x:v>
      </x:c>
      <x:c r="D1013" t="s">
        <x:v>677</x:v>
      </x:c>
      <x:c r="E1013" s="6">
        <x:v>0</x:v>
      </x:c>
      <x:c r="F1013" s="6">
        <x:v>0</x:v>
      </x:c>
      <x:c r="G1013" s="6">
        <x:v>0</x:v>
      </x:c>
      <x:c r="H1013" s="6">
        <x:f t="shared" si="48"/>
        <x:v>0</x:v>
      </x:c>
      <x:c r="I1013" s="6">
        <x:v>0</x:v>
      </x:c>
      <x:c r="J1013" s="6">
        <x:v>0</x:v>
      </x:c>
      <x:c r="K1013" s="6">
        <x:f t="shared" si="49"/>
        <x:v>0</x:v>
      </x:c>
      <x:c r="L1013" s="6">
        <x:v>1476.1599999999999</x:v>
      </x:c>
      <x:c r="M1013" s="6">
        <x:v>0</x:v>
      </x:c>
      <x:c r="N1013" s="6">
        <x:f t="shared" si="50"/>
        <x:v>1476.1599999999999</x:v>
      </x:c>
    </x:row>
    <x:row r="1014" spans="1:14" x14ac:dyDescent="0.25">
      <x:c r="A1014" t="s">
        <x:v>15</x:v>
      </x:c>
      <x:c r="B1014" s="3" t="s">
        <x:v>50</x:v>
      </x:c>
      <x:c r="C1014" s="3" t="s">
        <x:v>367</x:v>
      </x:c>
      <x:c r="D1014" t="s">
        <x:v>677</x:v>
      </x:c>
      <x:c r="E1014" s="6">
        <x:v>0</x:v>
      </x:c>
      <x:c r="F1014" s="6">
        <x:v>0</x:v>
      </x:c>
      <x:c r="G1014" s="6">
        <x:v>0</x:v>
      </x:c>
      <x:c r="H1014" s="6">
        <x:f t="shared" si="48"/>
        <x:v>0</x:v>
      </x:c>
      <x:c r="I1014" s="6">
        <x:v>0</x:v>
      </x:c>
      <x:c r="J1014" s="6">
        <x:v>0</x:v>
      </x:c>
      <x:c r="K1014" s="6">
        <x:f t="shared" si="49"/>
        <x:v>0</x:v>
      </x:c>
      <x:c r="L1014" s="6">
        <x:v>3195.7000000000003</x:v>
      </x:c>
      <x:c r="M1014" s="6">
        <x:v>0</x:v>
      </x:c>
      <x:c r="N1014" s="6">
        <x:f t="shared" si="50"/>
        <x:v>3195.7000000000003</x:v>
      </x:c>
    </x:row>
    <x:row r="1015" spans="1:14" x14ac:dyDescent="0.25">
      <x:c r="A1015" t="s">
        <x:v>15</x:v>
      </x:c>
      <x:c r="B1015" s="3" t="s">
        <x:v>239</x:v>
      </x:c>
      <x:c r="C1015" s="3" t="s">
        <x:v>554</x:v>
      </x:c>
      <x:c r="D1015" t="s">
        <x:v>677</x:v>
      </x:c>
      <x:c r="E1015" s="6">
        <x:v>0</x:v>
      </x:c>
      <x:c r="F1015" s="6">
        <x:v>0</x:v>
      </x:c>
      <x:c r="G1015" s="6">
        <x:v>0</x:v>
      </x:c>
      <x:c r="H1015" s="6">
        <x:f t="shared" si="48"/>
        <x:v>0</x:v>
      </x:c>
      <x:c r="I1015" s="6">
        <x:v>0</x:v>
      </x:c>
      <x:c r="J1015" s="6">
        <x:v>0</x:v>
      </x:c>
      <x:c r="K1015" s="6">
        <x:f t="shared" si="49"/>
        <x:v>0</x:v>
      </x:c>
      <x:c r="L1015" s="6">
        <x:v>9292.619999999999</x:v>
      </x:c>
      <x:c r="M1015" s="6">
        <x:v>0</x:v>
      </x:c>
      <x:c r="N1015" s="6">
        <x:f t="shared" si="50"/>
        <x:v>9292.619999999999</x:v>
      </x:c>
    </x:row>
    <x:row r="1016" spans="1:14" x14ac:dyDescent="0.25">
      <x:c r="A1016" t="s">
        <x:v>15</x:v>
      </x:c>
      <x:c r="B1016" s="3" t="s">
        <x:v>204</x:v>
      </x:c>
      <x:c r="C1016" s="3" t="s">
        <x:v>520</x:v>
      </x:c>
      <x:c r="D1016" t="s">
        <x:v>677</x:v>
      </x:c>
      <x:c r="E1016" s="6">
        <x:v>0</x:v>
      </x:c>
      <x:c r="F1016" s="6">
        <x:v>0</x:v>
      </x:c>
      <x:c r="G1016" s="6">
        <x:v>0</x:v>
      </x:c>
      <x:c r="H1016" s="6">
        <x:f t="shared" si="48"/>
        <x:v>0</x:v>
      </x:c>
      <x:c r="I1016" s="6">
        <x:v>0</x:v>
      </x:c>
      <x:c r="J1016" s="6">
        <x:v>0</x:v>
      </x:c>
      <x:c r="K1016" s="6">
        <x:f t="shared" si="49"/>
        <x:v>0</x:v>
      </x:c>
      <x:c r="L1016" s="6">
        <x:v>1221.5999999999999</x:v>
      </x:c>
      <x:c r="M1016" s="6">
        <x:v>0</x:v>
      </x:c>
      <x:c r="N1016" s="6">
        <x:f t="shared" si="50"/>
        <x:v>1221.5999999999999</x:v>
      </x:c>
    </x:row>
    <x:row r="1017" spans="1:14" x14ac:dyDescent="0.25">
      <x:c r="A1017" t="s">
        <x:v>15</x:v>
      </x:c>
      <x:c r="B1017" s="3" t="s">
        <x:v>205</x:v>
      </x:c>
      <x:c r="C1017" s="3" t="s">
        <x:v>521</x:v>
      </x:c>
      <x:c r="D1017" t="s">
        <x:v>677</x:v>
      </x:c>
      <x:c r="E1017" s="6">
        <x:v>0</x:v>
      </x:c>
      <x:c r="F1017" s="6">
        <x:v>0</x:v>
      </x:c>
      <x:c r="G1017" s="6">
        <x:v>0</x:v>
      </x:c>
      <x:c r="H1017" s="6">
        <x:f t="shared" si="48"/>
        <x:v>0</x:v>
      </x:c>
      <x:c r="I1017" s="6">
        <x:v>0</x:v>
      </x:c>
      <x:c r="J1017" s="6">
        <x:v>0</x:v>
      </x:c>
      <x:c r="K1017" s="6">
        <x:f t="shared" si="49"/>
        <x:v>0</x:v>
      </x:c>
      <x:c r="L1017" s="6">
        <x:v>12347.98</x:v>
      </x:c>
      <x:c r="M1017" s="6">
        <x:v>0</x:v>
      </x:c>
      <x:c r="N1017" s="6">
        <x:f t="shared" si="50"/>
        <x:v>12347.98</x:v>
      </x:c>
    </x:row>
    <x:row r="1018" spans="1:14" x14ac:dyDescent="0.25">
      <x:c r="A1018" t="s">
        <x:v>15</x:v>
      </x:c>
      <x:c r="B1018" s="3" t="s">
        <x:v>240</x:v>
      </x:c>
      <x:c r="C1018" s="3" t="s">
        <x:v>555</x:v>
      </x:c>
      <x:c r="D1018" t="s">
        <x:v>677</x:v>
      </x:c>
      <x:c r="E1018" s="6">
        <x:v>0</x:v>
      </x:c>
      <x:c r="F1018" s="6">
        <x:v>0</x:v>
      </x:c>
      <x:c r="G1018" s="6">
        <x:v>0</x:v>
      </x:c>
      <x:c r="H1018" s="6">
        <x:f t="shared" si="48"/>
        <x:v>0</x:v>
      </x:c>
      <x:c r="I1018" s="6">
        <x:v>0</x:v>
      </x:c>
      <x:c r="J1018" s="6">
        <x:v>0</x:v>
      </x:c>
      <x:c r="K1018" s="6">
        <x:f t="shared" si="49"/>
        <x:v>0</x:v>
      </x:c>
      <x:c r="L1018" s="6">
        <x:v>481.24</x:v>
      </x:c>
      <x:c r="M1018" s="6">
        <x:v>0</x:v>
      </x:c>
      <x:c r="N1018" s="6">
        <x:f t="shared" si="50"/>
        <x:v>481.24</x:v>
      </x:c>
    </x:row>
    <x:row r="1019" spans="1:14" x14ac:dyDescent="0.25">
      <x:c r="A1019" t="s">
        <x:v>15</x:v>
      </x:c>
      <x:c r="B1019" s="3" t="s">
        <x:v>206</x:v>
      </x:c>
      <x:c r="C1019" s="3" t="s">
        <x:v>522</x:v>
      </x:c>
      <x:c r="D1019" t="s">
        <x:v>677</x:v>
      </x:c>
      <x:c r="E1019" s="6">
        <x:v>0</x:v>
      </x:c>
      <x:c r="F1019" s="6">
        <x:v>0</x:v>
      </x:c>
      <x:c r="G1019" s="6">
        <x:v>0</x:v>
      </x:c>
      <x:c r="H1019" s="6">
        <x:f t="shared" si="48"/>
        <x:v>0</x:v>
      </x:c>
      <x:c r="I1019" s="6">
        <x:v>0</x:v>
      </x:c>
      <x:c r="J1019" s="6">
        <x:v>0</x:v>
      </x:c>
      <x:c r="K1019" s="6">
        <x:f t="shared" si="49"/>
        <x:v>0</x:v>
      </x:c>
      <x:c r="L1019" s="6">
        <x:v>7635.33</x:v>
      </x:c>
      <x:c r="M1019" s="6">
        <x:v>0</x:v>
      </x:c>
      <x:c r="N1019" s="6">
        <x:f t="shared" si="50"/>
        <x:v>7635.33</x:v>
      </x:c>
    </x:row>
    <x:row r="1020" spans="1:14" x14ac:dyDescent="0.25">
      <x:c r="A1020" t="s">
        <x:v>15</x:v>
      </x:c>
      <x:c r="B1020" s="3" t="s">
        <x:v>207</x:v>
      </x:c>
      <x:c r="C1020" s="3" t="s">
        <x:v>523</x:v>
      </x:c>
      <x:c r="D1020" t="s">
        <x:v>677</x:v>
      </x:c>
      <x:c r="E1020" s="6">
        <x:v>0</x:v>
      </x:c>
      <x:c r="F1020" s="6">
        <x:v>0</x:v>
      </x:c>
      <x:c r="G1020" s="6">
        <x:v>0</x:v>
      </x:c>
      <x:c r="H1020" s="6">
        <x:f t="shared" si="48"/>
        <x:v>0</x:v>
      </x:c>
      <x:c r="I1020" s="6">
        <x:v>0</x:v>
      </x:c>
      <x:c r="J1020" s="6">
        <x:v>0</x:v>
      </x:c>
      <x:c r="K1020" s="6">
        <x:f t="shared" si="49"/>
        <x:v>0</x:v>
      </x:c>
      <x:c r="L1020" s="6">
        <x:v>22922.3</x:v>
      </x:c>
      <x:c r="M1020" s="6">
        <x:v>0</x:v>
      </x:c>
      <x:c r="N1020" s="6">
        <x:f t="shared" si="50"/>
        <x:v>22922.3</x:v>
      </x:c>
    </x:row>
    <x:row r="1021" spans="1:14" x14ac:dyDescent="0.25">
      <x:c r="A1021" t="s">
        <x:v>15</x:v>
      </x:c>
      <x:c r="B1021" s="3" t="s">
        <x:v>209</x:v>
      </x:c>
      <x:c r="C1021" s="3" t="s">
        <x:v>525</x:v>
      </x:c>
      <x:c r="D1021" t="s">
        <x:v>677</x:v>
      </x:c>
      <x:c r="E1021" s="6">
        <x:v>0</x:v>
      </x:c>
      <x:c r="F1021" s="6">
        <x:v>0</x:v>
      </x:c>
      <x:c r="G1021" s="6">
        <x:v>0</x:v>
      </x:c>
      <x:c r="H1021" s="6">
        <x:f t="shared" si="48"/>
        <x:v>0</x:v>
      </x:c>
      <x:c r="I1021" s="6">
        <x:v>0</x:v>
      </x:c>
      <x:c r="J1021" s="6">
        <x:v>0</x:v>
      </x:c>
      <x:c r="K1021" s="6">
        <x:f t="shared" si="49"/>
        <x:v>0</x:v>
      </x:c>
      <x:c r="L1021" s="6">
        <x:v>26275.759999999998</x:v>
      </x:c>
      <x:c r="M1021" s="6">
        <x:v>0</x:v>
      </x:c>
      <x:c r="N1021" s="6">
        <x:f t="shared" si="50"/>
        <x:v>26275.759999999998</x:v>
      </x:c>
    </x:row>
    <x:row r="1022" spans="1:14" x14ac:dyDescent="0.25">
      <x:c r="A1022" t="s">
        <x:v>15</x:v>
      </x:c>
      <x:c r="B1022" s="3" t="s">
        <x:v>210</x:v>
      </x:c>
      <x:c r="C1022" s="3" t="s">
        <x:v>526</x:v>
      </x:c>
      <x:c r="D1022" t="s">
        <x:v>677</x:v>
      </x:c>
      <x:c r="E1022" s="6">
        <x:v>0</x:v>
      </x:c>
      <x:c r="F1022" s="6">
        <x:v>0</x:v>
      </x:c>
      <x:c r="G1022" s="6">
        <x:v>0</x:v>
      </x:c>
      <x:c r="H1022" s="6">
        <x:f t="shared" si="48"/>
        <x:v>0</x:v>
      </x:c>
      <x:c r="I1022" s="6">
        <x:v>0</x:v>
      </x:c>
      <x:c r="J1022" s="6">
        <x:v>0</x:v>
      </x:c>
      <x:c r="K1022" s="6">
        <x:f t="shared" si="49"/>
        <x:v>0</x:v>
      </x:c>
      <x:c r="L1022" s="6">
        <x:v>3499.2</x:v>
      </x:c>
      <x:c r="M1022" s="6">
        <x:v>0</x:v>
      </x:c>
      <x:c r="N1022" s="6">
        <x:f t="shared" si="50"/>
        <x:v>3499.2</x:v>
      </x:c>
    </x:row>
    <x:row r="1023" spans="1:14" x14ac:dyDescent="0.25">
      <x:c r="A1023" t="s">
        <x:v>15</x:v>
      </x:c>
      <x:c r="B1023" s="3" t="s">
        <x:v>265</x:v>
      </x:c>
      <x:c r="C1023" s="3" t="s">
        <x:v>580</x:v>
      </x:c>
      <x:c r="D1023" t="s">
        <x:v>676</x:v>
      </x:c>
      <x:c r="E1023" s="6">
        <x:v>0</x:v>
      </x:c>
      <x:c r="F1023" s="6">
        <x:v>0</x:v>
      </x:c>
      <x:c r="G1023" s="6">
        <x:v>0</x:v>
      </x:c>
      <x:c r="H1023" s="6">
        <x:f t="shared" si="48"/>
        <x:v>0</x:v>
      </x:c>
      <x:c r="I1023" s="6">
        <x:v>0</x:v>
      </x:c>
      <x:c r="J1023" s="6">
        <x:v>0</x:v>
      </x:c>
      <x:c r="K1023" s="6">
        <x:f t="shared" si="49"/>
        <x:v>0</x:v>
      </x:c>
      <x:c r="L1023" s="6">
        <x:v>874651.33</x:v>
      </x:c>
      <x:c r="M1023" s="6">
        <x:v>0</x:v>
      </x:c>
      <x:c r="N1023" s="6">
        <x:f t="shared" si="50"/>
        <x:v>874651.33</x:v>
      </x:c>
    </x:row>
    <x:row r="1024" spans="1:14" x14ac:dyDescent="0.25">
      <x:c r="A1024" t="s">
        <x:v>15</x:v>
      </x:c>
      <x:c r="B1024" s="3" t="s">
        <x:v>211</x:v>
      </x:c>
      <x:c r="C1024" s="3" t="s">
        <x:v>527</x:v>
      </x:c>
      <x:c r="D1024" t="s">
        <x:v>677</x:v>
      </x:c>
      <x:c r="E1024" s="6">
        <x:v>0</x:v>
      </x:c>
      <x:c r="F1024" s="6">
        <x:v>0</x:v>
      </x:c>
      <x:c r="G1024" s="6">
        <x:v>0</x:v>
      </x:c>
      <x:c r="H1024" s="6">
        <x:f t="shared" si="48"/>
        <x:v>0</x:v>
      </x:c>
      <x:c r="I1024" s="6">
        <x:v>0</x:v>
      </x:c>
      <x:c r="J1024" s="6">
        <x:v>0</x:v>
      </x:c>
      <x:c r="K1024" s="6">
        <x:f t="shared" si="49"/>
        <x:v>0</x:v>
      </x:c>
      <x:c r="L1024" s="6">
        <x:v>2948.85</x:v>
      </x:c>
      <x:c r="M1024" s="6">
        <x:v>0</x:v>
      </x:c>
      <x:c r="N1024" s="6">
        <x:f t="shared" si="50"/>
        <x:v>2948.85</x:v>
      </x:c>
    </x:row>
    <x:row r="1025" spans="1:14" x14ac:dyDescent="0.25">
      <x:c r="A1025" t="s">
        <x:v>15</x:v>
      </x:c>
      <x:c r="B1025" s="3" t="s">
        <x:v>266</x:v>
      </x:c>
      <x:c r="C1025" s="3" t="s">
        <x:v>581</x:v>
      </x:c>
      <x:c r="D1025" t="s">
        <x:v>676</x:v>
      </x:c>
      <x:c r="E1025" s="6">
        <x:v>0</x:v>
      </x:c>
      <x:c r="F1025" s="6">
        <x:v>0</x:v>
      </x:c>
      <x:c r="G1025" s="6">
        <x:v>0</x:v>
      </x:c>
      <x:c r="H1025" s="6">
        <x:f t="shared" si="48"/>
        <x:v>0</x:v>
      </x:c>
      <x:c r="I1025" s="6">
        <x:v>0</x:v>
      </x:c>
      <x:c r="J1025" s="6">
        <x:v>0</x:v>
      </x:c>
      <x:c r="K1025" s="6">
        <x:f t="shared" si="49"/>
        <x:v>0</x:v>
      </x:c>
      <x:c r="L1025" s="6">
        <x:v>277.12</x:v>
      </x:c>
      <x:c r="M1025" s="6">
        <x:v>0</x:v>
      </x:c>
      <x:c r="N1025" s="6">
        <x:f t="shared" si="50"/>
        <x:v>277.12</x:v>
      </x:c>
    </x:row>
    <x:row r="1026" spans="1:14" x14ac:dyDescent="0.25">
      <x:c r="A1026" t="s">
        <x:v>15</x:v>
      </x:c>
      <x:c r="B1026" s="3" t="s">
        <x:v>212</x:v>
      </x:c>
      <x:c r="C1026" s="3" t="s">
        <x:v>528</x:v>
      </x:c>
      <x:c r="D1026" t="s">
        <x:v>677</x:v>
      </x:c>
      <x:c r="E1026" s="6">
        <x:v>0</x:v>
      </x:c>
      <x:c r="F1026" s="6">
        <x:v>0</x:v>
      </x:c>
      <x:c r="G1026" s="6">
        <x:v>0</x:v>
      </x:c>
      <x:c r="H1026" s="6">
        <x:f t="shared" si="48"/>
        <x:v>0</x:v>
      </x:c>
      <x:c r="I1026" s="6">
        <x:v>0</x:v>
      </x:c>
      <x:c r="J1026" s="6">
        <x:v>0</x:v>
      </x:c>
      <x:c r="K1026" s="6">
        <x:f t="shared" si="49"/>
        <x:v>0</x:v>
      </x:c>
      <x:c r="L1026" s="6">
        <x:v>7982.91</x:v>
      </x:c>
      <x:c r="M1026" s="6">
        <x:v>0</x:v>
      </x:c>
      <x:c r="N1026" s="6">
        <x:f t="shared" si="50"/>
        <x:v>7982.91</x:v>
      </x:c>
    </x:row>
    <x:row r="1027" spans="1:14" x14ac:dyDescent="0.25">
      <x:c r="A1027" t="s">
        <x:v>15</x:v>
      </x:c>
      <x:c r="B1027" s="3" t="s">
        <x:v>64</x:v>
      </x:c>
      <x:c r="C1027" s="3" t="s">
        <x:v>381</x:v>
      </x:c>
      <x:c r="D1027" t="s">
        <x:v>677</x:v>
      </x:c>
      <x:c r="E1027" s="6">
        <x:v>0</x:v>
      </x:c>
      <x:c r="F1027" s="6">
        <x:v>0</x:v>
      </x:c>
      <x:c r="G1027" s="6">
        <x:v>0</x:v>
      </x:c>
      <x:c r="H1027" s="6">
        <x:f t="shared" si="48"/>
        <x:v>0</x:v>
      </x:c>
      <x:c r="I1027" s="6">
        <x:v>0</x:v>
      </x:c>
      <x:c r="J1027" s="6">
        <x:v>0</x:v>
      </x:c>
      <x:c r="K1027" s="6">
        <x:f t="shared" si="49"/>
        <x:v>0</x:v>
      </x:c>
      <x:c r="L1027" s="6">
        <x:v>4074.05</x:v>
      </x:c>
      <x:c r="M1027" s="6">
        <x:v>0</x:v>
      </x:c>
      <x:c r="N1027" s="6">
        <x:f t="shared" si="50"/>
        <x:v>4074.05</x:v>
      </x:c>
    </x:row>
    <x:row r="1028" spans="1:14" x14ac:dyDescent="0.25">
      <x:c r="A1028" t="s">
        <x:v>15</x:v>
      </x:c>
      <x:c r="B1028" s="3" t="s">
        <x:v>213</x:v>
      </x:c>
      <x:c r="C1028" s="3" t="s">
        <x:v>529</x:v>
      </x:c>
      <x:c r="D1028" t="s">
        <x:v>677</x:v>
      </x:c>
      <x:c r="E1028" s="6">
        <x:v>0</x:v>
      </x:c>
      <x:c r="F1028" s="6">
        <x:v>0</x:v>
      </x:c>
      <x:c r="G1028" s="6">
        <x:v>0</x:v>
      </x:c>
      <x:c r="H1028" s="6">
        <x:f t="shared" si="48"/>
        <x:v>0</x:v>
      </x:c>
      <x:c r="I1028" s="6">
        <x:v>0</x:v>
      </x:c>
      <x:c r="J1028" s="6">
        <x:v>0</x:v>
      </x:c>
      <x:c r="K1028" s="6">
        <x:f t="shared" si="49"/>
        <x:v>0</x:v>
      </x:c>
      <x:c r="L1028" s="6">
        <x:v>1171.6300000000001</x:v>
      </x:c>
      <x:c r="M1028" s="6">
        <x:v>0</x:v>
      </x:c>
      <x:c r="N1028" s="6">
        <x:f t="shared" si="50"/>
        <x:v>1171.6300000000001</x:v>
      </x:c>
    </x:row>
    <x:row r="1029" spans="1:14" x14ac:dyDescent="0.25">
      <x:c r="A1029" t="s">
        <x:v>15</x:v>
      </x:c>
      <x:c r="B1029" s="3" t="s">
        <x:v>214</x:v>
      </x:c>
      <x:c r="C1029" s="3" t="s">
        <x:v>530</x:v>
      </x:c>
      <x:c r="D1029" t="s">
        <x:v>677</x:v>
      </x:c>
      <x:c r="E1029" s="6">
        <x:v>0</x:v>
      </x:c>
      <x:c r="F1029" s="6">
        <x:v>0</x:v>
      </x:c>
      <x:c r="G1029" s="6">
        <x:v>0</x:v>
      </x:c>
      <x:c r="H1029" s="6">
        <x:f t="shared" si="48"/>
        <x:v>0</x:v>
      </x:c>
      <x:c r="I1029" s="6">
        <x:v>0</x:v>
      </x:c>
      <x:c r="J1029" s="6">
        <x:v>0</x:v>
      </x:c>
      <x:c r="K1029" s="6">
        <x:f t="shared" si="49"/>
        <x:v>0</x:v>
      </x:c>
      <x:c r="L1029" s="6">
        <x:v>55988.859999999993</x:v>
      </x:c>
      <x:c r="M1029" s="6">
        <x:v>0</x:v>
      </x:c>
      <x:c r="N1029" s="6">
        <x:f t="shared" si="50"/>
        <x:v>55988.859999999993</x:v>
      </x:c>
    </x:row>
    <x:row r="1030" spans="1:14" x14ac:dyDescent="0.25">
      <x:c r="A1030" t="s">
        <x:v>15</x:v>
      </x:c>
      <x:c r="B1030" s="3" t="s">
        <x:v>215</x:v>
      </x:c>
      <x:c r="C1030" s="3" t="s">
        <x:v>531</x:v>
      </x:c>
      <x:c r="D1030" t="s">
        <x:v>677</x:v>
      </x:c>
      <x:c r="E1030" s="6">
        <x:v>0</x:v>
      </x:c>
      <x:c r="F1030" s="6">
        <x:v>0</x:v>
      </x:c>
      <x:c r="G1030" s="6">
        <x:v>0</x:v>
      </x:c>
      <x:c r="H1030" s="6">
        <x:f t="shared" si="48"/>
        <x:v>0</x:v>
      </x:c>
      <x:c r="I1030" s="6">
        <x:v>0</x:v>
      </x:c>
      <x:c r="J1030" s="6">
        <x:v>0</x:v>
      </x:c>
      <x:c r="K1030" s="6">
        <x:f t="shared" si="49"/>
        <x:v>0</x:v>
      </x:c>
      <x:c r="L1030" s="6">
        <x:v>10643.409999999996</x:v>
      </x:c>
      <x:c r="M1030" s="6">
        <x:v>0</x:v>
      </x:c>
      <x:c r="N1030" s="6">
        <x:f t="shared" si="50"/>
        <x:v>10643.409999999996</x:v>
      </x:c>
    </x:row>
    <x:row r="1031" spans="1:14" x14ac:dyDescent="0.25">
      <x:c r="A1031" t="s">
        <x:v>15</x:v>
      </x:c>
      <x:c r="B1031" s="3" t="s">
        <x:v>216</x:v>
      </x:c>
      <x:c r="C1031" s="3" t="s">
        <x:v>532</x:v>
      </x:c>
      <x:c r="D1031" t="s">
        <x:v>677</x:v>
      </x:c>
      <x:c r="E1031" s="6">
        <x:v>0</x:v>
      </x:c>
      <x:c r="F1031" s="6">
        <x:v>0</x:v>
      </x:c>
      <x:c r="G1031" s="6">
        <x:v>0</x:v>
      </x:c>
      <x:c r="H1031" s="6">
        <x:f t="shared" si="48"/>
        <x:v>0</x:v>
      </x:c>
      <x:c r="I1031" s="6">
        <x:v>0</x:v>
      </x:c>
      <x:c r="J1031" s="6">
        <x:v>0</x:v>
      </x:c>
      <x:c r="K1031" s="6">
        <x:f t="shared" si="49"/>
        <x:v>0</x:v>
      </x:c>
      <x:c r="L1031" s="6">
        <x:v>102.28000000000002</x:v>
      </x:c>
      <x:c r="M1031" s="6">
        <x:v>0</x:v>
      </x:c>
      <x:c r="N1031" s="6">
        <x:f t="shared" si="50"/>
        <x:v>102.28000000000002</x:v>
      </x:c>
    </x:row>
    <x:row r="1032" spans="1:14" x14ac:dyDescent="0.25">
      <x:c r="A1032" t="s">
        <x:v>15</x:v>
      </x:c>
      <x:c r="B1032" s="3" t="s">
        <x:v>267</x:v>
      </x:c>
      <x:c r="C1032" s="3" t="s">
        <x:v>582</x:v>
      </x:c>
      <x:c r="D1032" t="s">
        <x:v>676</x:v>
      </x:c>
      <x:c r="E1032" s="6">
        <x:v>0</x:v>
      </x:c>
      <x:c r="F1032" s="6">
        <x:v>0</x:v>
      </x:c>
      <x:c r="G1032" s="6">
        <x:v>0</x:v>
      </x:c>
      <x:c r="H1032" s="6">
        <x:f t="shared" si="48"/>
        <x:v>0</x:v>
      </x:c>
      <x:c r="I1032" s="6">
        <x:v>0</x:v>
      </x:c>
      <x:c r="J1032" s="6">
        <x:v>0</x:v>
      </x:c>
      <x:c r="K1032" s="6">
        <x:f t="shared" si="49"/>
        <x:v>0</x:v>
      </x:c>
      <x:c r="L1032" s="6">
        <x:v>901958.35999999987</x:v>
      </x:c>
      <x:c r="M1032" s="6">
        <x:v>0</x:v>
      </x:c>
      <x:c r="N1032" s="6">
        <x:f t="shared" si="50"/>
        <x:v>901958.35999999987</x:v>
      </x:c>
    </x:row>
    <x:row r="1033" spans="1:14" x14ac:dyDescent="0.25">
      <x:c r="A1033" t="s">
        <x:v>15</x:v>
      </x:c>
      <x:c r="B1033" s="3" t="s">
        <x:v>65</x:v>
      </x:c>
      <x:c r="C1033" s="3" t="s">
        <x:v>382</x:v>
      </x:c>
      <x:c r="D1033" t="s">
        <x:v>677</x:v>
      </x:c>
      <x:c r="E1033" s="6">
        <x:v>0</x:v>
      </x:c>
      <x:c r="F1033" s="6">
        <x:v>0</x:v>
      </x:c>
      <x:c r="G1033" s="6">
        <x:v>0</x:v>
      </x:c>
      <x:c r="H1033" s="6">
        <x:f t="shared" si="48"/>
        <x:v>0</x:v>
      </x:c>
      <x:c r="I1033" s="6">
        <x:v>0</x:v>
      </x:c>
      <x:c r="J1033" s="6">
        <x:v>0</x:v>
      </x:c>
      <x:c r="K1033" s="6">
        <x:f t="shared" si="49"/>
        <x:v>0</x:v>
      </x:c>
      <x:c r="L1033" s="6">
        <x:v>6688.3899999999994</x:v>
      </x:c>
      <x:c r="M1033" s="6">
        <x:v>0</x:v>
      </x:c>
      <x:c r="N1033" s="6">
        <x:f t="shared" si="50"/>
        <x:v>6688.3899999999994</x:v>
      </x:c>
    </x:row>
    <x:row r="1034" spans="1:14" x14ac:dyDescent="0.25">
      <x:c r="A1034" t="s">
        <x:v>15</x:v>
      </x:c>
      <x:c r="B1034" s="3" t="s">
        <x:v>217</x:v>
      </x:c>
      <x:c r="C1034" s="3" t="s">
        <x:v>533</x:v>
      </x:c>
      <x:c r="D1034" t="s">
        <x:v>677</x:v>
      </x:c>
      <x:c r="E1034" s="6">
        <x:v>0</x:v>
      </x:c>
      <x:c r="F1034" s="6">
        <x:v>0</x:v>
      </x:c>
      <x:c r="G1034" s="6">
        <x:v>0</x:v>
      </x:c>
      <x:c r="H1034" s="6">
        <x:f t="shared" si="48"/>
        <x:v>0</x:v>
      </x:c>
      <x:c r="I1034" s="6">
        <x:v>0</x:v>
      </x:c>
      <x:c r="J1034" s="6">
        <x:v>0</x:v>
      </x:c>
      <x:c r="K1034" s="6">
        <x:f t="shared" si="49"/>
        <x:v>0</x:v>
      </x:c>
      <x:c r="L1034" s="6">
        <x:v>1930.31</x:v>
      </x:c>
      <x:c r="M1034" s="6">
        <x:v>0</x:v>
      </x:c>
      <x:c r="N1034" s="6">
        <x:f t="shared" si="50"/>
        <x:v>1930.31</x:v>
      </x:c>
    </x:row>
    <x:row r="1035" spans="1:14" x14ac:dyDescent="0.25">
      <x:c r="A1035" t="s">
        <x:v>15</x:v>
      </x:c>
      <x:c r="B1035" s="3" t="s">
        <x:v>241</x:v>
      </x:c>
      <x:c r="C1035" s="3" t="s">
        <x:v>556</x:v>
      </x:c>
      <x:c r="D1035" t="s">
        <x:v>676</x:v>
      </x:c>
      <x:c r="E1035" s="6">
        <x:v>0</x:v>
      </x:c>
      <x:c r="F1035" s="6">
        <x:v>0</x:v>
      </x:c>
      <x:c r="G1035" s="6">
        <x:v>0</x:v>
      </x:c>
      <x:c r="H1035" s="6">
        <x:f t="shared" si="48"/>
        <x:v>0</x:v>
      </x:c>
      <x:c r="I1035" s="6">
        <x:v>0</x:v>
      </x:c>
      <x:c r="J1035" s="6">
        <x:v>0</x:v>
      </x:c>
      <x:c r="K1035" s="6">
        <x:f t="shared" si="49"/>
        <x:v>0</x:v>
      </x:c>
      <x:c r="L1035" s="6">
        <x:v>1000218.6999999996</x:v>
      </x:c>
      <x:c r="M1035" s="6">
        <x:v>0</x:v>
      </x:c>
      <x:c r="N1035" s="6">
        <x:f t="shared" si="50"/>
        <x:v>1000218.6999999996</x:v>
      </x:c>
    </x:row>
    <x:row r="1036" spans="1:14" x14ac:dyDescent="0.25">
      <x:c r="A1036" t="s">
        <x:v>15</x:v>
      </x:c>
      <x:c r="B1036" s="3" t="s">
        <x:v>218</x:v>
      </x:c>
      <x:c r="C1036" s="3" t="s">
        <x:v>534</x:v>
      </x:c>
      <x:c r="D1036" t="s">
        <x:v>677</x:v>
      </x:c>
      <x:c r="E1036" s="6">
        <x:v>0</x:v>
      </x:c>
      <x:c r="F1036" s="6">
        <x:v>0</x:v>
      </x:c>
      <x:c r="G1036" s="6">
        <x:v>0</x:v>
      </x:c>
      <x:c r="H1036" s="6">
        <x:f t="shared" si="48"/>
        <x:v>0</x:v>
      </x:c>
      <x:c r="I1036" s="6">
        <x:v>0</x:v>
      </x:c>
      <x:c r="J1036" s="6">
        <x:v>0</x:v>
      </x:c>
      <x:c r="K1036" s="6">
        <x:f t="shared" si="49"/>
        <x:v>0</x:v>
      </x:c>
      <x:c r="L1036" s="6">
        <x:v>15142.12</x:v>
      </x:c>
      <x:c r="M1036" s="6">
        <x:v>0</x:v>
      </x:c>
      <x:c r="N1036" s="6">
        <x:f t="shared" si="50"/>
        <x:v>15142.12</x:v>
      </x:c>
    </x:row>
    <x:row r="1037" spans="1:14" x14ac:dyDescent="0.25">
      <x:c r="A1037" t="s">
        <x:v>15</x:v>
      </x:c>
      <x:c r="B1037" s="3" t="s">
        <x:v>219</x:v>
      </x:c>
      <x:c r="C1037" s="3" t="s">
        <x:v>535</x:v>
      </x:c>
      <x:c r="D1037" t="s">
        <x:v>677</x:v>
      </x:c>
      <x:c r="E1037" s="6">
        <x:v>0</x:v>
      </x:c>
      <x:c r="F1037" s="6">
        <x:v>0</x:v>
      </x:c>
      <x:c r="G1037" s="6">
        <x:v>0</x:v>
      </x:c>
      <x:c r="H1037" s="6">
        <x:f t="shared" si="48"/>
        <x:v>0</x:v>
      </x:c>
      <x:c r="I1037" s="6">
        <x:v>0</x:v>
      </x:c>
      <x:c r="J1037" s="6">
        <x:v>0</x:v>
      </x:c>
      <x:c r="K1037" s="6">
        <x:f t="shared" si="49"/>
        <x:v>0</x:v>
      </x:c>
      <x:c r="L1037" s="6">
        <x:v>6.4700000000000006</x:v>
      </x:c>
      <x:c r="M1037" s="6">
        <x:v>0</x:v>
      </x:c>
      <x:c r="N1037" s="6">
        <x:f t="shared" si="50"/>
        <x:v>6.4700000000000006</x:v>
      </x:c>
    </x:row>
    <x:row r="1038" spans="1:14" x14ac:dyDescent="0.25">
      <x:c r="A1038" t="s">
        <x:v>15</x:v>
      </x:c>
      <x:c r="B1038" s="3" t="s">
        <x:v>220</x:v>
      </x:c>
      <x:c r="C1038" s="3" t="s">
        <x:v>536</x:v>
      </x:c>
      <x:c r="D1038" t="s">
        <x:v>677</x:v>
      </x:c>
      <x:c r="E1038" s="6">
        <x:v>0</x:v>
      </x:c>
      <x:c r="F1038" s="6">
        <x:v>0</x:v>
      </x:c>
      <x:c r="G1038" s="6">
        <x:v>0</x:v>
      </x:c>
      <x:c r="H1038" s="6">
        <x:f t="shared" ref="H1038:H1101" si="51">SUM(E1038:G1038)</x:f>
        <x:v>0</x:v>
      </x:c>
      <x:c r="I1038" s="6">
        <x:v>0</x:v>
      </x:c>
      <x:c r="J1038" s="6">
        <x:v>0</x:v>
      </x:c>
      <x:c r="K1038" s="6">
        <x:f t="shared" ref="K1038:K1101" si="52">SUM(I1038:J1038)</x:f>
        <x:v>0</x:v>
      </x:c>
      <x:c r="L1038" s="6">
        <x:v>19931.599999999999</x:v>
      </x:c>
      <x:c r="M1038" s="6">
        <x:v>0</x:v>
      </x:c>
      <x:c r="N1038" s="6">
        <x:f t="shared" ref="N1038:N1101" si="53">+E1038+F1038+G1038+I1038+J1038+L1038+M1038</x:f>
        <x:v>19931.599999999999</x:v>
      </x:c>
    </x:row>
    <x:row r="1039" spans="1:14" x14ac:dyDescent="0.25">
      <x:c r="A1039" t="s">
        <x:v>15</x:v>
      </x:c>
      <x:c r="B1039" s="3" t="s">
        <x:v>268</x:v>
      </x:c>
      <x:c r="C1039" s="3" t="s">
        <x:v>583</x:v>
      </x:c>
      <x:c r="D1039" t="s">
        <x:v>676</x:v>
      </x:c>
      <x:c r="E1039" s="6">
        <x:v>0</x:v>
      </x:c>
      <x:c r="F1039" s="6">
        <x:v>0</x:v>
      </x:c>
      <x:c r="G1039" s="6">
        <x:v>0</x:v>
      </x:c>
      <x:c r="H1039" s="6">
        <x:f t="shared" si="51"/>
        <x:v>0</x:v>
      </x:c>
      <x:c r="I1039" s="6">
        <x:v>0</x:v>
      </x:c>
      <x:c r="J1039" s="6">
        <x:v>0</x:v>
      </x:c>
      <x:c r="K1039" s="6">
        <x:f t="shared" si="52"/>
        <x:v>0</x:v>
      </x:c>
      <x:c r="L1039" s="6">
        <x:v>29272.920000000002</x:v>
      </x:c>
      <x:c r="M1039" s="6">
        <x:v>0</x:v>
      </x:c>
      <x:c r="N1039" s="6">
        <x:f t="shared" si="53"/>
        <x:v>29272.920000000002</x:v>
      </x:c>
    </x:row>
    <x:row r="1040" spans="1:14" x14ac:dyDescent="0.25">
      <x:c r="A1040" t="s">
        <x:v>15</x:v>
      </x:c>
      <x:c r="B1040" s="3" t="s">
        <x:v>269</x:v>
      </x:c>
      <x:c r="C1040" s="3" t="s">
        <x:v>584</x:v>
      </x:c>
      <x:c r="D1040" t="s">
        <x:v>676</x:v>
      </x:c>
      <x:c r="E1040" s="6">
        <x:v>0</x:v>
      </x:c>
      <x:c r="F1040" s="6">
        <x:v>0</x:v>
      </x:c>
      <x:c r="G1040" s="6">
        <x:v>0</x:v>
      </x:c>
      <x:c r="H1040" s="6">
        <x:f t="shared" si="51"/>
        <x:v>0</x:v>
      </x:c>
      <x:c r="I1040" s="6">
        <x:v>0</x:v>
      </x:c>
      <x:c r="J1040" s="6">
        <x:v>0</x:v>
      </x:c>
      <x:c r="K1040" s="6">
        <x:f t="shared" si="52"/>
        <x:v>0</x:v>
      </x:c>
      <x:c r="L1040" s="6">
        <x:v>139145.74</x:v>
      </x:c>
      <x:c r="M1040" s="6">
        <x:v>0</x:v>
      </x:c>
      <x:c r="N1040" s="6">
        <x:f t="shared" si="53"/>
        <x:v>139145.74</x:v>
      </x:c>
    </x:row>
    <x:row r="1041" spans="1:14" x14ac:dyDescent="0.25">
      <x:c r="A1041" t="s">
        <x:v>15</x:v>
      </x:c>
      <x:c r="B1041" s="3" t="s">
        <x:v>226</x:v>
      </x:c>
      <x:c r="C1041" s="3" t="s">
        <x:v>542</x:v>
      </x:c>
      <x:c r="D1041" t="s">
        <x:v>677</x:v>
      </x:c>
      <x:c r="E1041" s="6">
        <x:v>0</x:v>
      </x:c>
      <x:c r="F1041" s="6">
        <x:v>0</x:v>
      </x:c>
      <x:c r="G1041" s="6">
        <x:v>0</x:v>
      </x:c>
      <x:c r="H1041" s="6">
        <x:f t="shared" si="51"/>
        <x:v>0</x:v>
      </x:c>
      <x:c r="I1041" s="6">
        <x:v>0</x:v>
      </x:c>
      <x:c r="J1041" s="6">
        <x:v>0</x:v>
      </x:c>
      <x:c r="K1041" s="6">
        <x:f t="shared" si="52"/>
        <x:v>0</x:v>
      </x:c>
      <x:c r="L1041" s="6">
        <x:v>30278.390000000003</x:v>
      </x:c>
      <x:c r="M1041" s="6">
        <x:v>0</x:v>
      </x:c>
      <x:c r="N1041" s="6">
        <x:f t="shared" si="53"/>
        <x:v>30278.390000000003</x:v>
      </x:c>
    </x:row>
    <x:row r="1042" spans="1:14" x14ac:dyDescent="0.25">
      <x:c r="A1042" t="s">
        <x:v>15</x:v>
      </x:c>
      <x:c r="B1042" s="3" t="s">
        <x:v>243</x:v>
      </x:c>
      <x:c r="C1042" s="3" t="s">
        <x:v>558</x:v>
      </x:c>
      <x:c r="D1042" t="s">
        <x:v>677</x:v>
      </x:c>
      <x:c r="E1042" s="6">
        <x:v>0</x:v>
      </x:c>
      <x:c r="F1042" s="6">
        <x:v>0</x:v>
      </x:c>
      <x:c r="G1042" s="6">
        <x:v>0</x:v>
      </x:c>
      <x:c r="H1042" s="6">
        <x:f t="shared" si="51"/>
        <x:v>0</x:v>
      </x:c>
      <x:c r="I1042" s="6">
        <x:v>0</x:v>
      </x:c>
      <x:c r="J1042" s="6">
        <x:v>0</x:v>
      </x:c>
      <x:c r="K1042" s="6">
        <x:f t="shared" si="52"/>
        <x:v>0</x:v>
      </x:c>
      <x:c r="L1042" s="6">
        <x:v>0.04</x:v>
      </x:c>
      <x:c r="M1042" s="6">
        <x:v>0</x:v>
      </x:c>
      <x:c r="N1042" s="6">
        <x:f t="shared" si="53"/>
        <x:v>0.04</x:v>
      </x:c>
    </x:row>
    <x:row r="1043" spans="1:14" x14ac:dyDescent="0.25">
      <x:c r="A1043" t="s">
        <x:v>16</x:v>
      </x:c>
      <x:c r="B1043" s="3" t="s">
        <x:v>78</x:v>
      </x:c>
      <x:c r="C1043" s="3" t="s">
        <x:v>395</x:v>
      </x:c>
      <x:c r="D1043" t="s">
        <x:v>677</x:v>
      </x:c>
      <x:c r="E1043" s="6">
        <x:v>0</x:v>
      </x:c>
      <x:c r="F1043" s="6">
        <x:v>0</x:v>
      </x:c>
      <x:c r="G1043" s="6">
        <x:v>0</x:v>
      </x:c>
      <x:c r="H1043" s="6">
        <x:f t="shared" si="51"/>
        <x:v>0</x:v>
      </x:c>
      <x:c r="I1043" s="6">
        <x:v>38046.630000000005</x:v>
      </x:c>
      <x:c r="J1043" s="6">
        <x:v>0</x:v>
      </x:c>
      <x:c r="K1043" s="6">
        <x:f t="shared" si="52"/>
        <x:v>38046.630000000005</x:v>
      </x:c>
      <x:c r="L1043" s="6">
        <x:v>0</x:v>
      </x:c>
      <x:c r="M1043" s="6">
        <x:v>0</x:v>
      </x:c>
      <x:c r="N1043" s="6">
        <x:f t="shared" si="53"/>
        <x:v>38046.630000000005</x:v>
      </x:c>
    </x:row>
    <x:row r="1044" spans="1:14" x14ac:dyDescent="0.25">
      <x:c r="A1044" t="s">
        <x:v>16</x:v>
      </x:c>
      <x:c r="B1044" s="3" t="s">
        <x:v>131</x:v>
      </x:c>
      <x:c r="C1044" s="3" t="s">
        <x:v>448</x:v>
      </x:c>
      <x:c r="D1044" t="s">
        <x:v>677</x:v>
      </x:c>
      <x:c r="E1044" s="6">
        <x:v>0</x:v>
      </x:c>
      <x:c r="F1044" s="6">
        <x:v>0</x:v>
      </x:c>
      <x:c r="G1044" s="6">
        <x:v>0</x:v>
      </x:c>
      <x:c r="H1044" s="6">
        <x:f t="shared" si="51"/>
        <x:v>0</x:v>
      </x:c>
      <x:c r="I1044" s="6">
        <x:v>545.17999999999995</x:v>
      </x:c>
      <x:c r="J1044" s="6">
        <x:v>0</x:v>
      </x:c>
      <x:c r="K1044" s="6">
        <x:f t="shared" si="52"/>
        <x:v>545.17999999999995</x:v>
      </x:c>
      <x:c r="L1044" s="6">
        <x:v>0</x:v>
      </x:c>
      <x:c r="M1044" s="6">
        <x:v>0</x:v>
      </x:c>
      <x:c r="N1044" s="6">
        <x:f t="shared" si="53"/>
        <x:v>545.17999999999995</x:v>
      </x:c>
    </x:row>
    <x:row r="1045" spans="1:14" x14ac:dyDescent="0.25">
      <x:c r="A1045" t="s">
        <x:v>16</x:v>
      </x:c>
      <x:c r="B1045" s="3" t="s">
        <x:v>134</x:v>
      </x:c>
      <x:c r="C1045" s="3" t="s">
        <x:v>451</x:v>
      </x:c>
      <x:c r="D1045" t="s">
        <x:v>677</x:v>
      </x:c>
      <x:c r="E1045" s="6">
        <x:v>0</x:v>
      </x:c>
      <x:c r="F1045" s="6">
        <x:v>0</x:v>
      </x:c>
      <x:c r="G1045" s="6">
        <x:v>0</x:v>
      </x:c>
      <x:c r="H1045" s="6">
        <x:f t="shared" si="51"/>
        <x:v>0</x:v>
      </x:c>
      <x:c r="I1045" s="6">
        <x:v>350.14</x:v>
      </x:c>
      <x:c r="J1045" s="6">
        <x:v>0</x:v>
      </x:c>
      <x:c r="K1045" s="6">
        <x:f t="shared" si="52"/>
        <x:v>350.14</x:v>
      </x:c>
      <x:c r="L1045" s="6">
        <x:v>0</x:v>
      </x:c>
      <x:c r="M1045" s="6">
        <x:v>0</x:v>
      </x:c>
      <x:c r="N1045" s="6">
        <x:f t="shared" si="53"/>
        <x:v>350.14</x:v>
      </x:c>
    </x:row>
    <x:row r="1046" spans="1:14" x14ac:dyDescent="0.25">
      <x:c r="A1046" t="s">
        <x:v>16</x:v>
      </x:c>
      <x:c r="B1046" s="3" t="s">
        <x:v>147</x:v>
      </x:c>
      <x:c r="C1046" s="3" t="s">
        <x:v>464</x:v>
      </x:c>
      <x:c r="D1046" t="s">
        <x:v>677</x:v>
      </x:c>
      <x:c r="E1046" s="6">
        <x:v>0</x:v>
      </x:c>
      <x:c r="F1046" s="6">
        <x:v>0</x:v>
      </x:c>
      <x:c r="G1046" s="6">
        <x:v>0</x:v>
      </x:c>
      <x:c r="H1046" s="6">
        <x:f t="shared" si="51"/>
        <x:v>0</x:v>
      </x:c>
      <x:c r="I1046" s="6">
        <x:v>8670.43</x:v>
      </x:c>
      <x:c r="J1046" s="6">
        <x:v>0</x:v>
      </x:c>
      <x:c r="K1046" s="6">
        <x:f t="shared" si="52"/>
        <x:v>8670.43</x:v>
      </x:c>
      <x:c r="L1046" s="6">
        <x:v>0</x:v>
      </x:c>
      <x:c r="M1046" s="6">
        <x:v>0</x:v>
      </x:c>
      <x:c r="N1046" s="6">
        <x:f t="shared" si="53"/>
        <x:v>8670.43</x:v>
      </x:c>
    </x:row>
    <x:row r="1047" spans="1:14" x14ac:dyDescent="0.25">
      <x:c r="A1047" t="s">
        <x:v>16</x:v>
      </x:c>
      <x:c r="B1047" s="3" t="s">
        <x:v>148</x:v>
      </x:c>
      <x:c r="C1047" s="3" t="s">
        <x:v>465</x:v>
      </x:c>
      <x:c r="D1047" t="s">
        <x:v>677</x:v>
      </x:c>
      <x:c r="E1047" s="6">
        <x:v>0</x:v>
      </x:c>
      <x:c r="F1047" s="6">
        <x:v>0</x:v>
      </x:c>
      <x:c r="G1047" s="6">
        <x:v>0</x:v>
      </x:c>
      <x:c r="H1047" s="6">
        <x:f t="shared" si="51"/>
        <x:v>0</x:v>
      </x:c>
      <x:c r="I1047" s="6">
        <x:v>76541.58</x:v>
      </x:c>
      <x:c r="J1047" s="6">
        <x:v>0</x:v>
      </x:c>
      <x:c r="K1047" s="6">
        <x:f t="shared" si="52"/>
        <x:v>76541.58</x:v>
      </x:c>
      <x:c r="L1047" s="6">
        <x:v>0</x:v>
      </x:c>
      <x:c r="M1047" s="6">
        <x:v>0</x:v>
      </x:c>
      <x:c r="N1047" s="6">
        <x:f t="shared" si="53"/>
        <x:v>76541.58</x:v>
      </x:c>
    </x:row>
    <x:row r="1048" spans="1:14" x14ac:dyDescent="0.25">
      <x:c r="A1048" t="s">
        <x:v>16</x:v>
      </x:c>
      <x:c r="B1048" s="3" t="s">
        <x:v>149</x:v>
      </x:c>
      <x:c r="C1048" s="3" t="s">
        <x:v>466</x:v>
      </x:c>
      <x:c r="D1048" t="s">
        <x:v>677</x:v>
      </x:c>
      <x:c r="E1048" s="6">
        <x:v>0</x:v>
      </x:c>
      <x:c r="F1048" s="6">
        <x:v>0</x:v>
      </x:c>
      <x:c r="G1048" s="6">
        <x:v>0</x:v>
      </x:c>
      <x:c r="H1048" s="6">
        <x:f t="shared" si="51"/>
        <x:v>0</x:v>
      </x:c>
      <x:c r="I1048" s="6">
        <x:v>178309.76000000007</x:v>
      </x:c>
      <x:c r="J1048" s="6">
        <x:v>0</x:v>
      </x:c>
      <x:c r="K1048" s="6">
        <x:f t="shared" si="52"/>
        <x:v>178309.76000000007</x:v>
      </x:c>
      <x:c r="L1048" s="6">
        <x:v>0</x:v>
      </x:c>
      <x:c r="M1048" s="6">
        <x:v>0</x:v>
      </x:c>
      <x:c r="N1048" s="6">
        <x:f t="shared" si="53"/>
        <x:v>178309.76000000007</x:v>
      </x:c>
    </x:row>
    <x:row r="1049" spans="1:14" x14ac:dyDescent="0.25">
      <x:c r="A1049" t="s">
        <x:v>16</x:v>
      </x:c>
      <x:c r="B1049" s="3" t="s">
        <x:v>150</x:v>
      </x:c>
      <x:c r="C1049" s="3" t="s">
        <x:v>467</x:v>
      </x:c>
      <x:c r="D1049" t="s">
        <x:v>677</x:v>
      </x:c>
      <x:c r="E1049" s="6">
        <x:v>0</x:v>
      </x:c>
      <x:c r="F1049" s="6">
        <x:v>0</x:v>
      </x:c>
      <x:c r="G1049" s="6">
        <x:v>0</x:v>
      </x:c>
      <x:c r="H1049" s="6">
        <x:f t="shared" si="51"/>
        <x:v>0</x:v>
      </x:c>
      <x:c r="I1049" s="6">
        <x:v>11806.460000000001</x:v>
      </x:c>
      <x:c r="J1049" s="6">
        <x:v>0</x:v>
      </x:c>
      <x:c r="K1049" s="6">
        <x:f t="shared" si="52"/>
        <x:v>11806.460000000001</x:v>
      </x:c>
      <x:c r="L1049" s="6">
        <x:v>0</x:v>
      </x:c>
      <x:c r="M1049" s="6">
        <x:v>0</x:v>
      </x:c>
      <x:c r="N1049" s="6">
        <x:f t="shared" si="53"/>
        <x:v>11806.460000000001</x:v>
      </x:c>
    </x:row>
    <x:row r="1050" spans="1:14" x14ac:dyDescent="0.25">
      <x:c r="A1050" t="s">
        <x:v>16</x:v>
      </x:c>
      <x:c r="B1050" s="3" t="s">
        <x:v>151</x:v>
      </x:c>
      <x:c r="C1050" s="3" t="s">
        <x:v>468</x:v>
      </x:c>
      <x:c r="D1050" t="s">
        <x:v>677</x:v>
      </x:c>
      <x:c r="E1050" s="6">
        <x:v>0</x:v>
      </x:c>
      <x:c r="F1050" s="6">
        <x:v>0</x:v>
      </x:c>
      <x:c r="G1050" s="6">
        <x:v>0</x:v>
      </x:c>
      <x:c r="H1050" s="6">
        <x:f t="shared" si="51"/>
        <x:v>0</x:v>
      </x:c>
      <x:c r="I1050" s="6">
        <x:v>2061.8199999999997</x:v>
      </x:c>
      <x:c r="J1050" s="6">
        <x:v>0</x:v>
      </x:c>
      <x:c r="K1050" s="6">
        <x:f t="shared" si="52"/>
        <x:v>2061.8199999999997</x:v>
      </x:c>
      <x:c r="L1050" s="6">
        <x:v>0</x:v>
      </x:c>
      <x:c r="M1050" s="6">
        <x:v>0</x:v>
      </x:c>
      <x:c r="N1050" s="6">
        <x:f t="shared" si="53"/>
        <x:v>2061.8199999999997</x:v>
      </x:c>
    </x:row>
    <x:row r="1051" spans="1:14" x14ac:dyDescent="0.25">
      <x:c r="A1051" t="s">
        <x:v>16</x:v>
      </x:c>
      <x:c r="B1051" s="3" t="s">
        <x:v>152</x:v>
      </x:c>
      <x:c r="C1051" s="3" t="s">
        <x:v>469</x:v>
      </x:c>
      <x:c r="D1051" t="s">
        <x:v>677</x:v>
      </x:c>
      <x:c r="E1051" s="6">
        <x:v>0</x:v>
      </x:c>
      <x:c r="F1051" s="6">
        <x:v>0</x:v>
      </x:c>
      <x:c r="G1051" s="6">
        <x:v>0</x:v>
      </x:c>
      <x:c r="H1051" s="6">
        <x:f t="shared" si="51"/>
        <x:v>0</x:v>
      </x:c>
      <x:c r="I1051" s="6">
        <x:v>1423.1</x:v>
      </x:c>
      <x:c r="J1051" s="6">
        <x:v>0</x:v>
      </x:c>
      <x:c r="K1051" s="6">
        <x:f t="shared" si="52"/>
        <x:v>1423.1</x:v>
      </x:c>
      <x:c r="L1051" s="6">
        <x:v>0</x:v>
      </x:c>
      <x:c r="M1051" s="6">
        <x:v>0</x:v>
      </x:c>
      <x:c r="N1051" s="6">
        <x:f t="shared" si="53"/>
        <x:v>1423.1</x:v>
      </x:c>
    </x:row>
    <x:row r="1052" spans="1:14" x14ac:dyDescent="0.25">
      <x:c r="A1052" t="s">
        <x:v>16</x:v>
      </x:c>
      <x:c r="B1052" s="3" t="s">
        <x:v>153</x:v>
      </x:c>
      <x:c r="C1052" s="3" t="s">
        <x:v>470</x:v>
      </x:c>
      <x:c r="D1052" t="s">
        <x:v>677</x:v>
      </x:c>
      <x:c r="E1052" s="6">
        <x:v>0</x:v>
      </x:c>
      <x:c r="F1052" s="6">
        <x:v>0</x:v>
      </x:c>
      <x:c r="G1052" s="6">
        <x:v>0</x:v>
      </x:c>
      <x:c r="H1052" s="6">
        <x:f t="shared" si="51"/>
        <x:v>0</x:v>
      </x:c>
      <x:c r="I1052" s="6">
        <x:v>5053.66</x:v>
      </x:c>
      <x:c r="J1052" s="6">
        <x:v>0</x:v>
      </x:c>
      <x:c r="K1052" s="6">
        <x:f t="shared" si="52"/>
        <x:v>5053.66</x:v>
      </x:c>
      <x:c r="L1052" s="6">
        <x:v>0</x:v>
      </x:c>
      <x:c r="M1052" s="6">
        <x:v>0</x:v>
      </x:c>
      <x:c r="N1052" s="6">
        <x:f t="shared" si="53"/>
        <x:v>5053.66</x:v>
      </x:c>
    </x:row>
    <x:row r="1053" spans="1:14" x14ac:dyDescent="0.25">
      <x:c r="A1053" t="s">
        <x:v>16</x:v>
      </x:c>
      <x:c r="B1053" s="3" t="s">
        <x:v>154</x:v>
      </x:c>
      <x:c r="C1053" s="3" t="s">
        <x:v>471</x:v>
      </x:c>
      <x:c r="D1053" t="s">
        <x:v>677</x:v>
      </x:c>
      <x:c r="E1053" s="6">
        <x:v>0</x:v>
      </x:c>
      <x:c r="F1053" s="6">
        <x:v>0</x:v>
      </x:c>
      <x:c r="G1053" s="6">
        <x:v>0</x:v>
      </x:c>
      <x:c r="H1053" s="6">
        <x:f t="shared" si="51"/>
        <x:v>0</x:v>
      </x:c>
      <x:c r="I1053" s="6">
        <x:v>6530.8</x:v>
      </x:c>
      <x:c r="J1053" s="6">
        <x:v>0</x:v>
      </x:c>
      <x:c r="K1053" s="6">
        <x:f t="shared" si="52"/>
        <x:v>6530.8</x:v>
      </x:c>
      <x:c r="L1053" s="6">
        <x:v>0</x:v>
      </x:c>
      <x:c r="M1053" s="6">
        <x:v>0</x:v>
      </x:c>
      <x:c r="N1053" s="6">
        <x:f t="shared" si="53"/>
        <x:v>6530.8</x:v>
      </x:c>
    </x:row>
    <x:row r="1054" spans="1:14" x14ac:dyDescent="0.25">
      <x:c r="A1054" t="s">
        <x:v>16</x:v>
      </x:c>
      <x:c r="B1054" s="3" t="s">
        <x:v>155</x:v>
      </x:c>
      <x:c r="C1054" s="3" t="s">
        <x:v>472</x:v>
      </x:c>
      <x:c r="D1054" t="s">
        <x:v>677</x:v>
      </x:c>
      <x:c r="E1054" s="6">
        <x:v>0</x:v>
      </x:c>
      <x:c r="F1054" s="6">
        <x:v>0</x:v>
      </x:c>
      <x:c r="G1054" s="6">
        <x:v>0</x:v>
      </x:c>
      <x:c r="H1054" s="6">
        <x:f t="shared" si="51"/>
        <x:v>0</x:v>
      </x:c>
      <x:c r="I1054" s="6">
        <x:v>45047.509999999995</x:v>
      </x:c>
      <x:c r="J1054" s="6">
        <x:v>0</x:v>
      </x:c>
      <x:c r="K1054" s="6">
        <x:f t="shared" si="52"/>
        <x:v>45047.509999999995</x:v>
      </x:c>
      <x:c r="L1054" s="6">
        <x:v>0</x:v>
      </x:c>
      <x:c r="M1054" s="6">
        <x:v>0</x:v>
      </x:c>
      <x:c r="N1054" s="6">
        <x:f t="shared" si="53"/>
        <x:v>45047.509999999995</x:v>
      </x:c>
    </x:row>
    <x:row r="1055" spans="1:14" x14ac:dyDescent="0.25">
      <x:c r="A1055" t="s">
        <x:v>16</x:v>
      </x:c>
      <x:c r="B1055" s="3" t="s">
        <x:v>156</x:v>
      </x:c>
      <x:c r="C1055" s="3" t="s">
        <x:v>473</x:v>
      </x:c>
      <x:c r="D1055" t="s">
        <x:v>677</x:v>
      </x:c>
      <x:c r="E1055" s="6">
        <x:v>0</x:v>
      </x:c>
      <x:c r="F1055" s="6">
        <x:v>0</x:v>
      </x:c>
      <x:c r="G1055" s="6">
        <x:v>0</x:v>
      </x:c>
      <x:c r="H1055" s="6">
        <x:f t="shared" si="51"/>
        <x:v>0</x:v>
      </x:c>
      <x:c r="I1055" s="6">
        <x:v>38726.289999999994</x:v>
      </x:c>
      <x:c r="J1055" s="6">
        <x:v>0</x:v>
      </x:c>
      <x:c r="K1055" s="6">
        <x:f t="shared" si="52"/>
        <x:v>38726.289999999994</x:v>
      </x:c>
      <x:c r="L1055" s="6">
        <x:v>0</x:v>
      </x:c>
      <x:c r="M1055" s="6">
        <x:v>0</x:v>
      </x:c>
      <x:c r="N1055" s="6">
        <x:f t="shared" si="53"/>
        <x:v>38726.289999999994</x:v>
      </x:c>
    </x:row>
    <x:row r="1056" spans="1:14" x14ac:dyDescent="0.25">
      <x:c r="A1056" t="s">
        <x:v>16</x:v>
      </x:c>
      <x:c r="B1056" s="3" t="s">
        <x:v>162</x:v>
      </x:c>
      <x:c r="C1056" s="3" t="s">
        <x:v>479</x:v>
      </x:c>
      <x:c r="D1056" t="s">
        <x:v>677</x:v>
      </x:c>
      <x:c r="E1056" s="6">
        <x:v>0</x:v>
      </x:c>
      <x:c r="F1056" s="6">
        <x:v>0</x:v>
      </x:c>
      <x:c r="G1056" s="6">
        <x:v>0</x:v>
      </x:c>
      <x:c r="H1056" s="6">
        <x:f t="shared" si="51"/>
        <x:v>0</x:v>
      </x:c>
      <x:c r="I1056" s="6">
        <x:v>77580.860000000015</x:v>
      </x:c>
      <x:c r="J1056" s="6">
        <x:v>0</x:v>
      </x:c>
      <x:c r="K1056" s="6">
        <x:f t="shared" si="52"/>
        <x:v>77580.860000000015</x:v>
      </x:c>
      <x:c r="L1056" s="6">
        <x:v>0</x:v>
      </x:c>
      <x:c r="M1056" s="6">
        <x:v>0</x:v>
      </x:c>
      <x:c r="N1056" s="6">
        <x:f t="shared" si="53"/>
        <x:v>77580.860000000015</x:v>
      </x:c>
    </x:row>
    <x:row r="1057" spans="1:14" x14ac:dyDescent="0.25">
      <x:c r="A1057" t="s">
        <x:v>16</x:v>
      </x:c>
      <x:c r="B1057" s="3" t="s">
        <x:v>163</x:v>
      </x:c>
      <x:c r="C1057" s="3" t="s">
        <x:v>480</x:v>
      </x:c>
      <x:c r="D1057" t="s">
        <x:v>677</x:v>
      </x:c>
      <x:c r="E1057" s="6">
        <x:v>0</x:v>
      </x:c>
      <x:c r="F1057" s="6">
        <x:v>0</x:v>
      </x:c>
      <x:c r="G1057" s="6">
        <x:v>0</x:v>
      </x:c>
      <x:c r="H1057" s="6">
        <x:f t="shared" si="51"/>
        <x:v>0</x:v>
      </x:c>
      <x:c r="I1057" s="6">
        <x:v>109840.96000000002</x:v>
      </x:c>
      <x:c r="J1057" s="6">
        <x:v>0</x:v>
      </x:c>
      <x:c r="K1057" s="6">
        <x:f t="shared" si="52"/>
        <x:v>109840.96000000002</x:v>
      </x:c>
      <x:c r="L1057" s="6">
        <x:v>0</x:v>
      </x:c>
      <x:c r="M1057" s="6">
        <x:v>0</x:v>
      </x:c>
      <x:c r="N1057" s="6">
        <x:f t="shared" si="53"/>
        <x:v>109840.96000000002</x:v>
      </x:c>
    </x:row>
    <x:row r="1058" spans="1:14" x14ac:dyDescent="0.25">
      <x:c r="A1058" t="s">
        <x:v>16</x:v>
      </x:c>
      <x:c r="B1058" s="3" t="s">
        <x:v>164</x:v>
      </x:c>
      <x:c r="C1058" s="3" t="s">
        <x:v>481</x:v>
      </x:c>
      <x:c r="D1058" t="s">
        <x:v>677</x:v>
      </x:c>
      <x:c r="E1058" s="6">
        <x:v>0</x:v>
      </x:c>
      <x:c r="F1058" s="6">
        <x:v>0</x:v>
      </x:c>
      <x:c r="G1058" s="6">
        <x:v>0</x:v>
      </x:c>
      <x:c r="H1058" s="6">
        <x:f t="shared" si="51"/>
        <x:v>0</x:v>
      </x:c>
      <x:c r="I1058" s="6">
        <x:v>1979.87</x:v>
      </x:c>
      <x:c r="J1058" s="6">
        <x:v>0</x:v>
      </x:c>
      <x:c r="K1058" s="6">
        <x:f t="shared" si="52"/>
        <x:v>1979.87</x:v>
      </x:c>
      <x:c r="L1058" s="6">
        <x:v>0</x:v>
      </x:c>
      <x:c r="M1058" s="6">
        <x:v>0</x:v>
      </x:c>
      <x:c r="N1058" s="6">
        <x:f t="shared" si="53"/>
        <x:v>1979.87</x:v>
      </x:c>
    </x:row>
    <x:row r="1059" spans="1:14" x14ac:dyDescent="0.25">
      <x:c r="A1059" t="s">
        <x:v>16</x:v>
      </x:c>
      <x:c r="B1059" s="3" t="s">
        <x:v>49</x:v>
      </x:c>
      <x:c r="C1059" s="3" t="s">
        <x:v>366</x:v>
      </x:c>
      <x:c r="D1059" t="s">
        <x:v>677</x:v>
      </x:c>
      <x:c r="E1059" s="6">
        <x:v>0</x:v>
      </x:c>
      <x:c r="F1059" s="6">
        <x:v>0</x:v>
      </x:c>
      <x:c r="G1059" s="6">
        <x:v>0</x:v>
      </x:c>
      <x:c r="H1059" s="6">
        <x:f t="shared" si="51"/>
        <x:v>0</x:v>
      </x:c>
      <x:c r="I1059" s="6">
        <x:v>36280.699999999997</x:v>
      </x:c>
      <x:c r="J1059" s="6">
        <x:v>0</x:v>
      </x:c>
      <x:c r="K1059" s="6">
        <x:f t="shared" si="52"/>
        <x:v>36280.699999999997</x:v>
      </x:c>
      <x:c r="L1059" s="6">
        <x:v>0</x:v>
      </x:c>
      <x:c r="M1059" s="6">
        <x:v>0</x:v>
      </x:c>
      <x:c r="N1059" s="6">
        <x:f t="shared" si="53"/>
        <x:v>36280.699999999997</x:v>
      </x:c>
    </x:row>
    <x:row r="1060" spans="1:14" x14ac:dyDescent="0.25">
      <x:c r="A1060" t="s">
        <x:v>16</x:v>
      </x:c>
      <x:c r="B1060" s="3" t="s">
        <x:v>165</x:v>
      </x:c>
      <x:c r="C1060" s="3" t="s">
        <x:v>482</x:v>
      </x:c>
      <x:c r="D1060" t="s">
        <x:v>677</x:v>
      </x:c>
      <x:c r="E1060" s="6">
        <x:v>0</x:v>
      </x:c>
      <x:c r="F1060" s="6">
        <x:v>0</x:v>
      </x:c>
      <x:c r="G1060" s="6">
        <x:v>0</x:v>
      </x:c>
      <x:c r="H1060" s="6">
        <x:f t="shared" si="51"/>
        <x:v>0</x:v>
      </x:c>
      <x:c r="I1060" s="6">
        <x:v>91522.679999999978</x:v>
      </x:c>
      <x:c r="J1060" s="6">
        <x:v>0</x:v>
      </x:c>
      <x:c r="K1060" s="6">
        <x:f t="shared" si="52"/>
        <x:v>91522.679999999978</x:v>
      </x:c>
      <x:c r="L1060" s="6">
        <x:v>0</x:v>
      </x:c>
      <x:c r="M1060" s="6">
        <x:v>0</x:v>
      </x:c>
      <x:c r="N1060" s="6">
        <x:f t="shared" si="53"/>
        <x:v>91522.679999999978</x:v>
      </x:c>
    </x:row>
    <x:row r="1061" spans="1:14" x14ac:dyDescent="0.25">
      <x:c r="A1061" t="s">
        <x:v>16</x:v>
      </x:c>
      <x:c r="B1061" s="3" t="s">
        <x:v>167</x:v>
      </x:c>
      <x:c r="C1061" s="3" t="s">
        <x:v>484</x:v>
      </x:c>
      <x:c r="D1061" t="s">
        <x:v>677</x:v>
      </x:c>
      <x:c r="E1061" s="6">
        <x:v>0</x:v>
      </x:c>
      <x:c r="F1061" s="6">
        <x:v>0</x:v>
      </x:c>
      <x:c r="G1061" s="6">
        <x:v>0</x:v>
      </x:c>
      <x:c r="H1061" s="6">
        <x:f t="shared" si="51"/>
        <x:v>0</x:v>
      </x:c>
      <x:c r="I1061" s="6">
        <x:v>28090.559999999998</x:v>
      </x:c>
      <x:c r="J1061" s="6">
        <x:v>0</x:v>
      </x:c>
      <x:c r="K1061" s="6">
        <x:f t="shared" si="52"/>
        <x:v>28090.559999999998</x:v>
      </x:c>
      <x:c r="L1061" s="6">
        <x:v>0</x:v>
      </x:c>
      <x:c r="M1061" s="6">
        <x:v>0</x:v>
      </x:c>
      <x:c r="N1061" s="6">
        <x:f t="shared" si="53"/>
        <x:v>28090.559999999998</x:v>
      </x:c>
    </x:row>
    <x:row r="1062" spans="1:14" x14ac:dyDescent="0.25">
      <x:c r="A1062" t="s">
        <x:v>16</x:v>
      </x:c>
      <x:c r="B1062" s="3" t="s">
        <x:v>172</x:v>
      </x:c>
      <x:c r="C1062" s="3" t="s">
        <x:v>488</x:v>
      </x:c>
      <x:c r="D1062" t="s">
        <x:v>677</x:v>
      </x:c>
      <x:c r="E1062" s="6">
        <x:v>0</x:v>
      </x:c>
      <x:c r="F1062" s="6">
        <x:v>0</x:v>
      </x:c>
      <x:c r="G1062" s="6">
        <x:v>0</x:v>
      </x:c>
      <x:c r="H1062" s="6">
        <x:f t="shared" si="51"/>
        <x:v>0</x:v>
      </x:c>
      <x:c r="I1062" s="6">
        <x:v>212.09</x:v>
      </x:c>
      <x:c r="J1062" s="6">
        <x:v>0</x:v>
      </x:c>
      <x:c r="K1062" s="6">
        <x:f t="shared" si="52"/>
        <x:v>212.09</x:v>
      </x:c>
      <x:c r="L1062" s="6">
        <x:v>0</x:v>
      </x:c>
      <x:c r="M1062" s="6">
        <x:v>0</x:v>
      </x:c>
      <x:c r="N1062" s="6">
        <x:f t="shared" si="53"/>
        <x:v>212.09</x:v>
      </x:c>
    </x:row>
    <x:row r="1063" spans="1:14" x14ac:dyDescent="0.25">
      <x:c r="A1063" t="s">
        <x:v>16</x:v>
      </x:c>
      <x:c r="B1063" s="3" t="s">
        <x:v>173</x:v>
      </x:c>
      <x:c r="C1063" s="3" t="s">
        <x:v>489</x:v>
      </x:c>
      <x:c r="D1063" t="s">
        <x:v>677</x:v>
      </x:c>
      <x:c r="E1063" s="6">
        <x:v>0</x:v>
      </x:c>
      <x:c r="F1063" s="6">
        <x:v>0</x:v>
      </x:c>
      <x:c r="G1063" s="6">
        <x:v>0</x:v>
      </x:c>
      <x:c r="H1063" s="6">
        <x:f t="shared" si="51"/>
        <x:v>0</x:v>
      </x:c>
      <x:c r="I1063" s="6">
        <x:v>2191.3200000000002</x:v>
      </x:c>
      <x:c r="J1063" s="6">
        <x:v>0</x:v>
      </x:c>
      <x:c r="K1063" s="6">
        <x:f t="shared" si="52"/>
        <x:v>2191.3200000000002</x:v>
      </x:c>
      <x:c r="L1063" s="6">
        <x:v>0</x:v>
      </x:c>
      <x:c r="M1063" s="6">
        <x:v>0</x:v>
      </x:c>
      <x:c r="N1063" s="6">
        <x:f t="shared" si="53"/>
        <x:v>2191.3200000000002</x:v>
      </x:c>
    </x:row>
    <x:row r="1064" spans="1:14" x14ac:dyDescent="0.25">
      <x:c r="A1064" t="s">
        <x:v>16</x:v>
      </x:c>
      <x:c r="B1064" s="3" t="s">
        <x:v>174</x:v>
      </x:c>
      <x:c r="C1064" s="3" t="s">
        <x:v>490</x:v>
      </x:c>
      <x:c r="D1064" t="s">
        <x:v>677</x:v>
      </x:c>
      <x:c r="E1064" s="6">
        <x:v>0</x:v>
      </x:c>
      <x:c r="F1064" s="6">
        <x:v>0</x:v>
      </x:c>
      <x:c r="G1064" s="6">
        <x:v>0</x:v>
      </x:c>
      <x:c r="H1064" s="6">
        <x:f t="shared" si="51"/>
        <x:v>0</x:v>
      </x:c>
      <x:c r="I1064" s="6">
        <x:v>80524.73</x:v>
      </x:c>
      <x:c r="J1064" s="6">
        <x:v>0</x:v>
      </x:c>
      <x:c r="K1064" s="6">
        <x:f t="shared" si="52"/>
        <x:v>80524.73</x:v>
      </x:c>
      <x:c r="L1064" s="6">
        <x:v>0</x:v>
      </x:c>
      <x:c r="M1064" s="6">
        <x:v>0</x:v>
      </x:c>
      <x:c r="N1064" s="6">
        <x:f t="shared" si="53"/>
        <x:v>80524.73</x:v>
      </x:c>
    </x:row>
    <x:row r="1065" spans="1:14" x14ac:dyDescent="0.25">
      <x:c r="A1065" t="s">
        <x:v>16</x:v>
      </x:c>
      <x:c r="B1065" s="3" t="s">
        <x:v>176</x:v>
      </x:c>
      <x:c r="C1065" s="3" t="s">
        <x:v>492</x:v>
      </x:c>
      <x:c r="D1065" t="s">
        <x:v>677</x:v>
      </x:c>
      <x:c r="E1065" s="6">
        <x:v>0</x:v>
      </x:c>
      <x:c r="F1065" s="6">
        <x:v>0</x:v>
      </x:c>
      <x:c r="G1065" s="6">
        <x:v>0</x:v>
      </x:c>
      <x:c r="H1065" s="6">
        <x:f t="shared" si="51"/>
        <x:v>0</x:v>
      </x:c>
      <x:c r="I1065" s="6">
        <x:v>17743.86</x:v>
      </x:c>
      <x:c r="J1065" s="6">
        <x:v>0</x:v>
      </x:c>
      <x:c r="K1065" s="6">
        <x:f t="shared" si="52"/>
        <x:v>17743.86</x:v>
      </x:c>
      <x:c r="L1065" s="6">
        <x:v>0</x:v>
      </x:c>
      <x:c r="M1065" s="6">
        <x:v>0</x:v>
      </x:c>
      <x:c r="N1065" s="6">
        <x:f t="shared" si="53"/>
        <x:v>17743.86</x:v>
      </x:c>
    </x:row>
    <x:row r="1066" spans="1:14" x14ac:dyDescent="0.25">
      <x:c r="A1066" t="s">
        <x:v>16</x:v>
      </x:c>
      <x:c r="B1066" s="3" t="s">
        <x:v>177</x:v>
      </x:c>
      <x:c r="C1066" s="3" t="s">
        <x:v>493</x:v>
      </x:c>
      <x:c r="D1066" t="s">
        <x:v>677</x:v>
      </x:c>
      <x:c r="E1066" s="6">
        <x:v>0</x:v>
      </x:c>
      <x:c r="F1066" s="6">
        <x:v>0</x:v>
      </x:c>
      <x:c r="G1066" s="6">
        <x:v>0</x:v>
      </x:c>
      <x:c r="H1066" s="6">
        <x:f t="shared" si="51"/>
        <x:v>0</x:v>
      </x:c>
      <x:c r="I1066" s="6">
        <x:v>149996.1</x:v>
      </x:c>
      <x:c r="J1066" s="6">
        <x:v>0</x:v>
      </x:c>
      <x:c r="K1066" s="6">
        <x:f t="shared" si="52"/>
        <x:v>149996.1</x:v>
      </x:c>
      <x:c r="L1066" s="6">
        <x:v>0</x:v>
      </x:c>
      <x:c r="M1066" s="6">
        <x:v>0</x:v>
      </x:c>
      <x:c r="N1066" s="6">
        <x:f t="shared" si="53"/>
        <x:v>149996.1</x:v>
      </x:c>
    </x:row>
    <x:row r="1067" spans="1:14" x14ac:dyDescent="0.25">
      <x:c r="A1067" t="s">
        <x:v>16</x:v>
      </x:c>
      <x:c r="B1067" s="3" t="s">
        <x:v>178</x:v>
      </x:c>
      <x:c r="C1067" s="3" t="s">
        <x:v>494</x:v>
      </x:c>
      <x:c r="D1067" t="s">
        <x:v>677</x:v>
      </x:c>
      <x:c r="E1067" s="6">
        <x:v>0</x:v>
      </x:c>
      <x:c r="F1067" s="6">
        <x:v>0</x:v>
      </x:c>
      <x:c r="G1067" s="6">
        <x:v>0</x:v>
      </x:c>
      <x:c r="H1067" s="6">
        <x:f t="shared" si="51"/>
        <x:v>0</x:v>
      </x:c>
      <x:c r="I1067" s="6">
        <x:v>55433.26999999999</x:v>
      </x:c>
      <x:c r="J1067" s="6">
        <x:v>0</x:v>
      </x:c>
      <x:c r="K1067" s="6">
        <x:f t="shared" si="52"/>
        <x:v>55433.26999999999</x:v>
      </x:c>
      <x:c r="L1067" s="6">
        <x:v>0</x:v>
      </x:c>
      <x:c r="M1067" s="6">
        <x:v>0</x:v>
      </x:c>
      <x:c r="N1067" s="6">
        <x:f t="shared" si="53"/>
        <x:v>55433.26999999999</x:v>
      </x:c>
    </x:row>
    <x:row r="1068" spans="1:14" x14ac:dyDescent="0.25">
      <x:c r="A1068" t="s">
        <x:v>16</x:v>
      </x:c>
      <x:c r="B1068" s="3" t="s">
        <x:v>180</x:v>
      </x:c>
      <x:c r="C1068" s="3" t="s">
        <x:v>496</x:v>
      </x:c>
      <x:c r="D1068" t="s">
        <x:v>677</x:v>
      </x:c>
      <x:c r="E1068" s="6">
        <x:v>0</x:v>
      </x:c>
      <x:c r="F1068" s="6">
        <x:v>0</x:v>
      </x:c>
      <x:c r="G1068" s="6">
        <x:v>0</x:v>
      </x:c>
      <x:c r="H1068" s="6">
        <x:f t="shared" si="51"/>
        <x:v>0</x:v>
      </x:c>
      <x:c r="I1068" s="6">
        <x:v>32290.33</x:v>
      </x:c>
      <x:c r="J1068" s="6">
        <x:v>0</x:v>
      </x:c>
      <x:c r="K1068" s="6">
        <x:f t="shared" si="52"/>
        <x:v>32290.33</x:v>
      </x:c>
      <x:c r="L1068" s="6">
        <x:v>0</x:v>
      </x:c>
      <x:c r="M1068" s="6">
        <x:v>0</x:v>
      </x:c>
      <x:c r="N1068" s="6">
        <x:f t="shared" si="53"/>
        <x:v>32290.33</x:v>
      </x:c>
    </x:row>
    <x:row r="1069" spans="1:14" x14ac:dyDescent="0.25">
      <x:c r="A1069" t="s">
        <x:v>16</x:v>
      </x:c>
      <x:c r="B1069" s="3" t="s">
        <x:v>181</x:v>
      </x:c>
      <x:c r="C1069" s="3" t="s">
        <x:v>497</x:v>
      </x:c>
      <x:c r="D1069" t="s">
        <x:v>677</x:v>
      </x:c>
      <x:c r="E1069" s="6">
        <x:v>0</x:v>
      </x:c>
      <x:c r="F1069" s="6">
        <x:v>0</x:v>
      </x:c>
      <x:c r="G1069" s="6">
        <x:v>0</x:v>
      </x:c>
      <x:c r="H1069" s="6">
        <x:f t="shared" si="51"/>
        <x:v>0</x:v>
      </x:c>
      <x:c r="I1069" s="6">
        <x:v>23988.46</x:v>
      </x:c>
      <x:c r="J1069" s="6">
        <x:v>0</x:v>
      </x:c>
      <x:c r="K1069" s="6">
        <x:f t="shared" si="52"/>
        <x:v>23988.46</x:v>
      </x:c>
      <x:c r="L1069" s="6">
        <x:v>0</x:v>
      </x:c>
      <x:c r="M1069" s="6">
        <x:v>0</x:v>
      </x:c>
      <x:c r="N1069" s="6">
        <x:f t="shared" si="53"/>
        <x:v>23988.46</x:v>
      </x:c>
    </x:row>
    <x:row r="1070" spans="1:14" x14ac:dyDescent="0.25">
      <x:c r="A1070" t="s">
        <x:v>16</x:v>
      </x:c>
      <x:c r="B1070" s="3" t="s">
        <x:v>183</x:v>
      </x:c>
      <x:c r="C1070" s="3" t="s">
        <x:v>499</x:v>
      </x:c>
      <x:c r="D1070" t="s">
        <x:v>677</x:v>
      </x:c>
      <x:c r="E1070" s="6">
        <x:v>0</x:v>
      </x:c>
      <x:c r="F1070" s="6">
        <x:v>0</x:v>
      </x:c>
      <x:c r="G1070" s="6">
        <x:v>0</x:v>
      </x:c>
      <x:c r="H1070" s="6">
        <x:f t="shared" si="51"/>
        <x:v>0</x:v>
      </x:c>
      <x:c r="I1070" s="6">
        <x:v>53795.12000000001</x:v>
      </x:c>
      <x:c r="J1070" s="6">
        <x:v>0</x:v>
      </x:c>
      <x:c r="K1070" s="6">
        <x:f t="shared" si="52"/>
        <x:v>53795.12000000001</x:v>
      </x:c>
      <x:c r="L1070" s="6">
        <x:v>0</x:v>
      </x:c>
      <x:c r="M1070" s="6">
        <x:v>0</x:v>
      </x:c>
      <x:c r="N1070" s="6">
        <x:f t="shared" si="53"/>
        <x:v>53795.12000000001</x:v>
      </x:c>
    </x:row>
    <x:row r="1071" spans="1:14" x14ac:dyDescent="0.25">
      <x:c r="A1071" t="s">
        <x:v>16</x:v>
      </x:c>
      <x:c r="B1071" s="3" t="s">
        <x:v>184</x:v>
      </x:c>
      <x:c r="C1071" s="3" t="s">
        <x:v>500</x:v>
      </x:c>
      <x:c r="D1071" t="s">
        <x:v>677</x:v>
      </x:c>
      <x:c r="E1071" s="6">
        <x:v>0</x:v>
      </x:c>
      <x:c r="F1071" s="6">
        <x:v>0</x:v>
      </x:c>
      <x:c r="G1071" s="6">
        <x:v>0</x:v>
      </x:c>
      <x:c r="H1071" s="6">
        <x:f t="shared" si="51"/>
        <x:v>0</x:v>
      </x:c>
      <x:c r="I1071" s="6">
        <x:v>178.67</x:v>
      </x:c>
      <x:c r="J1071" s="6">
        <x:v>0</x:v>
      </x:c>
      <x:c r="K1071" s="6">
        <x:f t="shared" si="52"/>
        <x:v>178.67</x:v>
      </x:c>
      <x:c r="L1071" s="6">
        <x:v>0</x:v>
      </x:c>
      <x:c r="M1071" s="6">
        <x:v>0</x:v>
      </x:c>
      <x:c r="N1071" s="6">
        <x:f t="shared" si="53"/>
        <x:v>178.67</x:v>
      </x:c>
    </x:row>
    <x:row r="1072" spans="1:14" x14ac:dyDescent="0.25">
      <x:c r="A1072" t="s">
        <x:v>16</x:v>
      </x:c>
      <x:c r="B1072" s="3" t="s">
        <x:v>186</x:v>
      </x:c>
      <x:c r="C1072" s="3" t="s">
        <x:v>502</x:v>
      </x:c>
      <x:c r="D1072" t="s">
        <x:v>677</x:v>
      </x:c>
      <x:c r="E1072" s="6">
        <x:v>0</x:v>
      </x:c>
      <x:c r="F1072" s="6">
        <x:v>0</x:v>
      </x:c>
      <x:c r="G1072" s="6">
        <x:v>0</x:v>
      </x:c>
      <x:c r="H1072" s="6">
        <x:f t="shared" si="51"/>
        <x:v>0</x:v>
      </x:c>
      <x:c r="I1072" s="6">
        <x:v>361.75</x:v>
      </x:c>
      <x:c r="J1072" s="6">
        <x:v>0</x:v>
      </x:c>
      <x:c r="K1072" s="6">
        <x:f t="shared" si="52"/>
        <x:v>361.75</x:v>
      </x:c>
      <x:c r="L1072" s="6">
        <x:v>0</x:v>
      </x:c>
      <x:c r="M1072" s="6">
        <x:v>0</x:v>
      </x:c>
      <x:c r="N1072" s="6">
        <x:f t="shared" si="53"/>
        <x:v>361.75</x:v>
      </x:c>
    </x:row>
    <x:row r="1073" spans="1:14" x14ac:dyDescent="0.25">
      <x:c r="A1073" t="s">
        <x:v>16</x:v>
      </x:c>
      <x:c r="B1073" s="3" t="s">
        <x:v>187</x:v>
      </x:c>
      <x:c r="C1073" s="3" t="s">
        <x:v>503</x:v>
      </x:c>
      <x:c r="D1073" t="s">
        <x:v>677</x:v>
      </x:c>
      <x:c r="E1073" s="6">
        <x:v>0</x:v>
      </x:c>
      <x:c r="F1073" s="6">
        <x:v>0</x:v>
      </x:c>
      <x:c r="G1073" s="6">
        <x:v>0</x:v>
      </x:c>
      <x:c r="H1073" s="6">
        <x:f t="shared" si="51"/>
        <x:v>0</x:v>
      </x:c>
      <x:c r="I1073" s="6">
        <x:v>229897.24</x:v>
      </x:c>
      <x:c r="J1073" s="6">
        <x:v>0</x:v>
      </x:c>
      <x:c r="K1073" s="6">
        <x:f t="shared" si="52"/>
        <x:v>229897.24</x:v>
      </x:c>
      <x:c r="L1073" s="6">
        <x:v>0</x:v>
      </x:c>
      <x:c r="M1073" s="6">
        <x:v>0</x:v>
      </x:c>
      <x:c r="N1073" s="6">
        <x:f t="shared" si="53"/>
        <x:v>229897.24</x:v>
      </x:c>
    </x:row>
    <x:row r="1074" spans="1:14" x14ac:dyDescent="0.25">
      <x:c r="A1074" t="s">
        <x:v>16</x:v>
      </x:c>
      <x:c r="B1074" s="3" t="s">
        <x:v>188</x:v>
      </x:c>
      <x:c r="C1074" s="3" t="s">
        <x:v>504</x:v>
      </x:c>
      <x:c r="D1074" t="s">
        <x:v>677</x:v>
      </x:c>
      <x:c r="E1074" s="6">
        <x:v>0</x:v>
      </x:c>
      <x:c r="F1074" s="6">
        <x:v>0</x:v>
      </x:c>
      <x:c r="G1074" s="6">
        <x:v>0</x:v>
      </x:c>
      <x:c r="H1074" s="6">
        <x:f t="shared" si="51"/>
        <x:v>0</x:v>
      </x:c>
      <x:c r="I1074" s="6">
        <x:v>2581.09</x:v>
      </x:c>
      <x:c r="J1074" s="6">
        <x:v>0</x:v>
      </x:c>
      <x:c r="K1074" s="6">
        <x:f t="shared" si="52"/>
        <x:v>2581.09</x:v>
      </x:c>
      <x:c r="L1074" s="6">
        <x:v>0</x:v>
      </x:c>
      <x:c r="M1074" s="6">
        <x:v>0</x:v>
      </x:c>
      <x:c r="N1074" s="6">
        <x:f t="shared" si="53"/>
        <x:v>2581.09</x:v>
      </x:c>
    </x:row>
    <x:row r="1075" spans="1:14" x14ac:dyDescent="0.25">
      <x:c r="A1075" t="s">
        <x:v>16</x:v>
      </x:c>
      <x:c r="B1075" s="3" t="s">
        <x:v>189</x:v>
      </x:c>
      <x:c r="C1075" s="3" t="s">
        <x:v>505</x:v>
      </x:c>
      <x:c r="D1075" t="s">
        <x:v>677</x:v>
      </x:c>
      <x:c r="E1075" s="6">
        <x:v>0</x:v>
      </x:c>
      <x:c r="F1075" s="6">
        <x:v>0</x:v>
      </x:c>
      <x:c r="G1075" s="6">
        <x:v>0</x:v>
      </x:c>
      <x:c r="H1075" s="6">
        <x:f t="shared" si="51"/>
        <x:v>0</x:v>
      </x:c>
      <x:c r="I1075" s="6">
        <x:v>2791.4800000000005</x:v>
      </x:c>
      <x:c r="J1075" s="6">
        <x:v>0</x:v>
      </x:c>
      <x:c r="K1075" s="6">
        <x:f t="shared" si="52"/>
        <x:v>2791.4800000000005</x:v>
      </x:c>
      <x:c r="L1075" s="6">
        <x:v>0</x:v>
      </x:c>
      <x:c r="M1075" s="6">
        <x:v>0</x:v>
      </x:c>
      <x:c r="N1075" s="6">
        <x:f t="shared" si="53"/>
        <x:v>2791.4800000000005</x:v>
      </x:c>
    </x:row>
    <x:row r="1076" spans="1:14" x14ac:dyDescent="0.25">
      <x:c r="A1076" t="s">
        <x:v>16</x:v>
      </x:c>
      <x:c r="B1076" s="3" t="s">
        <x:v>236</x:v>
      </x:c>
      <x:c r="C1076" s="3" t="s">
        <x:v>551</x:v>
      </x:c>
      <x:c r="D1076" t="s">
        <x:v>677</x:v>
      </x:c>
      <x:c r="E1076" s="6">
        <x:v>0</x:v>
      </x:c>
      <x:c r="F1076" s="6">
        <x:v>0</x:v>
      </x:c>
      <x:c r="G1076" s="6">
        <x:v>0</x:v>
      </x:c>
      <x:c r="H1076" s="6">
        <x:f t="shared" si="51"/>
        <x:v>0</x:v>
      </x:c>
      <x:c r="I1076" s="6">
        <x:v>130747.53</x:v>
      </x:c>
      <x:c r="J1076" s="6">
        <x:v>0</x:v>
      </x:c>
      <x:c r="K1076" s="6">
        <x:f t="shared" si="52"/>
        <x:v>130747.53</x:v>
      </x:c>
      <x:c r="L1076" s="6">
        <x:v>0</x:v>
      </x:c>
      <x:c r="M1076" s="6">
        <x:v>0</x:v>
      </x:c>
      <x:c r="N1076" s="6">
        <x:f t="shared" si="53"/>
        <x:v>130747.53</x:v>
      </x:c>
    </x:row>
    <x:row r="1077" spans="1:14" x14ac:dyDescent="0.25">
      <x:c r="A1077" t="s">
        <x:v>16</x:v>
      </x:c>
      <x:c r="B1077" s="3" t="s">
        <x:v>193</x:v>
      </x:c>
      <x:c r="C1077" s="3" t="s">
        <x:v>509</x:v>
      </x:c>
      <x:c r="D1077" t="s">
        <x:v>677</x:v>
      </x:c>
      <x:c r="E1077" s="6">
        <x:v>0</x:v>
      </x:c>
      <x:c r="F1077" s="6">
        <x:v>0</x:v>
      </x:c>
      <x:c r="G1077" s="6">
        <x:v>0</x:v>
      </x:c>
      <x:c r="H1077" s="6">
        <x:f t="shared" si="51"/>
        <x:v>0</x:v>
      </x:c>
      <x:c r="I1077" s="6">
        <x:v>7661.1200000000008</x:v>
      </x:c>
      <x:c r="J1077" s="6">
        <x:v>0</x:v>
      </x:c>
      <x:c r="K1077" s="6">
        <x:f t="shared" si="52"/>
        <x:v>7661.1200000000008</x:v>
      </x:c>
      <x:c r="L1077" s="6">
        <x:v>0</x:v>
      </x:c>
      <x:c r="M1077" s="6">
        <x:v>0</x:v>
      </x:c>
      <x:c r="N1077" s="6">
        <x:f t="shared" si="53"/>
        <x:v>7661.1200000000008</x:v>
      </x:c>
    </x:row>
    <x:row r="1078" spans="1:14" x14ac:dyDescent="0.25">
      <x:c r="A1078" t="s">
        <x:v>16</x:v>
      </x:c>
      <x:c r="B1078" s="3" t="s">
        <x:v>194</x:v>
      </x:c>
      <x:c r="C1078" s="3" t="s">
        <x:v>510</x:v>
      </x:c>
      <x:c r="D1078" t="s">
        <x:v>677</x:v>
      </x:c>
      <x:c r="E1078" s="6">
        <x:v>0</x:v>
      </x:c>
      <x:c r="F1078" s="6">
        <x:v>0</x:v>
      </x:c>
      <x:c r="G1078" s="6">
        <x:v>0</x:v>
      </x:c>
      <x:c r="H1078" s="6">
        <x:f t="shared" si="51"/>
        <x:v>0</x:v>
      </x:c>
      <x:c r="I1078" s="6">
        <x:v>247738.74999999997</x:v>
      </x:c>
      <x:c r="J1078" s="6">
        <x:v>0</x:v>
      </x:c>
      <x:c r="K1078" s="6">
        <x:f t="shared" si="52"/>
        <x:v>247738.74999999997</x:v>
      </x:c>
      <x:c r="L1078" s="6">
        <x:v>0</x:v>
      </x:c>
      <x:c r="M1078" s="6">
        <x:v>0</x:v>
      </x:c>
      <x:c r="N1078" s="6">
        <x:f t="shared" si="53"/>
        <x:v>247738.74999999997</x:v>
      </x:c>
    </x:row>
    <x:row r="1079" spans="1:14" x14ac:dyDescent="0.25">
      <x:c r="A1079" t="s">
        <x:v>16</x:v>
      </x:c>
      <x:c r="B1079" s="3" t="s">
        <x:v>196</x:v>
      </x:c>
      <x:c r="C1079" s="3" t="s">
        <x:v>512</x:v>
      </x:c>
      <x:c r="D1079" t="s">
        <x:v>677</x:v>
      </x:c>
      <x:c r="E1079" s="6">
        <x:v>0</x:v>
      </x:c>
      <x:c r="F1079" s="6">
        <x:v>0</x:v>
      </x:c>
      <x:c r="G1079" s="6">
        <x:v>0</x:v>
      </x:c>
      <x:c r="H1079" s="6">
        <x:f t="shared" si="51"/>
        <x:v>0</x:v>
      </x:c>
      <x:c r="I1079" s="6">
        <x:v>113286.40000000001</x:v>
      </x:c>
      <x:c r="J1079" s="6">
        <x:v>0</x:v>
      </x:c>
      <x:c r="K1079" s="6">
        <x:f t="shared" si="52"/>
        <x:v>113286.40000000001</x:v>
      </x:c>
      <x:c r="L1079" s="6">
        <x:v>0</x:v>
      </x:c>
      <x:c r="M1079" s="6">
        <x:v>0</x:v>
      </x:c>
      <x:c r="N1079" s="6">
        <x:f t="shared" si="53"/>
        <x:v>113286.40000000001</x:v>
      </x:c>
    </x:row>
    <x:row r="1080" spans="1:14" x14ac:dyDescent="0.25">
      <x:c r="A1080" t="s">
        <x:v>16</x:v>
      </x:c>
      <x:c r="B1080" s="3" t="s">
        <x:v>63</x:v>
      </x:c>
      <x:c r="C1080" s="3" t="s">
        <x:v>380</x:v>
      </x:c>
      <x:c r="D1080" t="s">
        <x:v>677</x:v>
      </x:c>
      <x:c r="E1080" s="6">
        <x:v>0</x:v>
      </x:c>
      <x:c r="F1080" s="6">
        <x:v>0</x:v>
      </x:c>
      <x:c r="G1080" s="6">
        <x:v>0</x:v>
      </x:c>
      <x:c r="H1080" s="6">
        <x:f t="shared" si="51"/>
        <x:v>0</x:v>
      </x:c>
      <x:c r="I1080" s="6">
        <x:v>9169.68</x:v>
      </x:c>
      <x:c r="J1080" s="6">
        <x:v>0</x:v>
      </x:c>
      <x:c r="K1080" s="6">
        <x:f t="shared" si="52"/>
        <x:v>9169.68</x:v>
      </x:c>
      <x:c r="L1080" s="6">
        <x:v>0</x:v>
      </x:c>
      <x:c r="M1080" s="6">
        <x:v>0</x:v>
      </x:c>
      <x:c r="N1080" s="6">
        <x:f t="shared" si="53"/>
        <x:v>9169.68</x:v>
      </x:c>
    </x:row>
    <x:row r="1081" spans="1:14" x14ac:dyDescent="0.25">
      <x:c r="A1081" t="s">
        <x:v>16</x:v>
      </x:c>
      <x:c r="B1081" s="3" t="s">
        <x:v>199</x:v>
      </x:c>
      <x:c r="C1081" s="3" t="s">
        <x:v>515</x:v>
      </x:c>
      <x:c r="D1081" t="s">
        <x:v>677</x:v>
      </x:c>
      <x:c r="E1081" s="6">
        <x:v>0</x:v>
      </x:c>
      <x:c r="F1081" s="6">
        <x:v>0</x:v>
      </x:c>
      <x:c r="G1081" s="6">
        <x:v>0</x:v>
      </x:c>
      <x:c r="H1081" s="6">
        <x:f t="shared" si="51"/>
        <x:v>0</x:v>
      </x:c>
      <x:c r="I1081" s="6">
        <x:v>4411.21</x:v>
      </x:c>
      <x:c r="J1081" s="6">
        <x:v>0</x:v>
      </x:c>
      <x:c r="K1081" s="6">
        <x:f t="shared" si="52"/>
        <x:v>4411.21</x:v>
      </x:c>
      <x:c r="L1081" s="6">
        <x:v>0</x:v>
      </x:c>
      <x:c r="M1081" s="6">
        <x:v>0</x:v>
      </x:c>
      <x:c r="N1081" s="6">
        <x:f t="shared" si="53"/>
        <x:v>4411.21</x:v>
      </x:c>
    </x:row>
    <x:row r="1082" spans="1:14" x14ac:dyDescent="0.25">
      <x:c r="A1082" t="s">
        <x:v>16</x:v>
      </x:c>
      <x:c r="B1082" s="3" t="s">
        <x:v>200</x:v>
      </x:c>
      <x:c r="C1082" s="3" t="s">
        <x:v>516</x:v>
      </x:c>
      <x:c r="D1082" t="s">
        <x:v>677</x:v>
      </x:c>
      <x:c r="E1082" s="6">
        <x:v>0</x:v>
      </x:c>
      <x:c r="F1082" s="6">
        <x:v>0</x:v>
      </x:c>
      <x:c r="G1082" s="6">
        <x:v>0</x:v>
      </x:c>
      <x:c r="H1082" s="6">
        <x:f t="shared" si="51"/>
        <x:v>0</x:v>
      </x:c>
      <x:c r="I1082" s="6">
        <x:v>31467</x:v>
      </x:c>
      <x:c r="J1082" s="6">
        <x:v>0</x:v>
      </x:c>
      <x:c r="K1082" s="6">
        <x:f t="shared" si="52"/>
        <x:v>31467</x:v>
      </x:c>
      <x:c r="L1082" s="6">
        <x:v>0</x:v>
      </x:c>
      <x:c r="M1082" s="6">
        <x:v>0</x:v>
      </x:c>
      <x:c r="N1082" s="6">
        <x:f t="shared" si="53"/>
        <x:v>31467</x:v>
      </x:c>
    </x:row>
    <x:row r="1083" spans="1:14" x14ac:dyDescent="0.25">
      <x:c r="A1083" t="s">
        <x:v>16</x:v>
      </x:c>
      <x:c r="B1083" s="3" t="s">
        <x:v>203</x:v>
      </x:c>
      <x:c r="C1083" s="3" t="s">
        <x:v>519</x:v>
      </x:c>
      <x:c r="D1083" t="s">
        <x:v>677</x:v>
      </x:c>
      <x:c r="E1083" s="6">
        <x:v>0</x:v>
      </x:c>
      <x:c r="F1083" s="6">
        <x:v>0</x:v>
      </x:c>
      <x:c r="G1083" s="6">
        <x:v>0</x:v>
      </x:c>
      <x:c r="H1083" s="6">
        <x:f t="shared" si="51"/>
        <x:v>0</x:v>
      </x:c>
      <x:c r="I1083" s="6">
        <x:v>5094.96</x:v>
      </x:c>
      <x:c r="J1083" s="6">
        <x:v>0</x:v>
      </x:c>
      <x:c r="K1083" s="6">
        <x:f t="shared" si="52"/>
        <x:v>5094.96</x:v>
      </x:c>
      <x:c r="L1083" s="6">
        <x:v>0</x:v>
      </x:c>
      <x:c r="M1083" s="6">
        <x:v>0</x:v>
      </x:c>
      <x:c r="N1083" s="6">
        <x:f t="shared" si="53"/>
        <x:v>5094.96</x:v>
      </x:c>
    </x:row>
    <x:row r="1084" spans="1:14" x14ac:dyDescent="0.25">
      <x:c r="A1084" t="s">
        <x:v>16</x:v>
      </x:c>
      <x:c r="B1084" s="3" t="s">
        <x:v>50</x:v>
      </x:c>
      <x:c r="C1084" s="3" t="s">
        <x:v>367</x:v>
      </x:c>
      <x:c r="D1084" t="s">
        <x:v>677</x:v>
      </x:c>
      <x:c r="E1084" s="6">
        <x:v>0</x:v>
      </x:c>
      <x:c r="F1084" s="6">
        <x:v>0</x:v>
      </x:c>
      <x:c r="G1084" s="6">
        <x:v>0</x:v>
      </x:c>
      <x:c r="H1084" s="6">
        <x:f t="shared" si="51"/>
        <x:v>0</x:v>
      </x:c>
      <x:c r="I1084" s="6">
        <x:v>4122.37</x:v>
      </x:c>
      <x:c r="J1084" s="6">
        <x:v>0</x:v>
      </x:c>
      <x:c r="K1084" s="6">
        <x:f t="shared" si="52"/>
        <x:v>4122.37</x:v>
      </x:c>
      <x:c r="L1084" s="6">
        <x:v>0</x:v>
      </x:c>
      <x:c r="M1084" s="6">
        <x:v>0</x:v>
      </x:c>
      <x:c r="N1084" s="6">
        <x:f t="shared" si="53"/>
        <x:v>4122.37</x:v>
      </x:c>
    </x:row>
    <x:row r="1085" spans="1:14" x14ac:dyDescent="0.25">
      <x:c r="A1085" t="s">
        <x:v>16</x:v>
      </x:c>
      <x:c r="B1085" s="3" t="s">
        <x:v>239</x:v>
      </x:c>
      <x:c r="C1085" s="3" t="s">
        <x:v>554</x:v>
      </x:c>
      <x:c r="D1085" t="s">
        <x:v>677</x:v>
      </x:c>
      <x:c r="E1085" s="6">
        <x:v>0</x:v>
      </x:c>
      <x:c r="F1085" s="6">
        <x:v>0</x:v>
      </x:c>
      <x:c r="G1085" s="6">
        <x:v>0</x:v>
      </x:c>
      <x:c r="H1085" s="6">
        <x:f t="shared" si="51"/>
        <x:v>0</x:v>
      </x:c>
      <x:c r="I1085" s="6">
        <x:v>5052.5199999999995</x:v>
      </x:c>
      <x:c r="J1085" s="6">
        <x:v>0</x:v>
      </x:c>
      <x:c r="K1085" s="6">
        <x:f t="shared" si="52"/>
        <x:v>5052.5199999999995</x:v>
      </x:c>
      <x:c r="L1085" s="6">
        <x:v>0</x:v>
      </x:c>
      <x:c r="M1085" s="6">
        <x:v>0</x:v>
      </x:c>
      <x:c r="N1085" s="6">
        <x:f t="shared" si="53"/>
        <x:v>5052.5199999999995</x:v>
      </x:c>
    </x:row>
    <x:row r="1086" spans="1:14" x14ac:dyDescent="0.25">
      <x:c r="A1086" t="s">
        <x:v>16</x:v>
      </x:c>
      <x:c r="B1086" s="3" t="s">
        <x:v>205</x:v>
      </x:c>
      <x:c r="C1086" s="3" t="s">
        <x:v>521</x:v>
      </x:c>
      <x:c r="D1086" t="s">
        <x:v>677</x:v>
      </x:c>
      <x:c r="E1086" s="6">
        <x:v>0</x:v>
      </x:c>
      <x:c r="F1086" s="6">
        <x:v>0</x:v>
      </x:c>
      <x:c r="G1086" s="6">
        <x:v>0</x:v>
      </x:c>
      <x:c r="H1086" s="6">
        <x:f t="shared" si="51"/>
        <x:v>0</x:v>
      </x:c>
      <x:c r="I1086" s="6">
        <x:v>6041.3499999999995</x:v>
      </x:c>
      <x:c r="J1086" s="6">
        <x:v>0</x:v>
      </x:c>
      <x:c r="K1086" s="6">
        <x:f t="shared" si="52"/>
        <x:v>6041.3499999999995</x:v>
      </x:c>
      <x:c r="L1086" s="6">
        <x:v>0</x:v>
      </x:c>
      <x:c r="M1086" s="6">
        <x:v>0</x:v>
      </x:c>
      <x:c r="N1086" s="6">
        <x:f t="shared" si="53"/>
        <x:v>6041.3499999999995</x:v>
      </x:c>
    </x:row>
    <x:row r="1087" spans="1:14" x14ac:dyDescent="0.25">
      <x:c r="A1087" t="s">
        <x:v>16</x:v>
      </x:c>
      <x:c r="B1087" s="3" t="s">
        <x:v>240</x:v>
      </x:c>
      <x:c r="C1087" s="3" t="s">
        <x:v>555</x:v>
      </x:c>
      <x:c r="D1087" t="s">
        <x:v>677</x:v>
      </x:c>
      <x:c r="E1087" s="6">
        <x:v>0</x:v>
      </x:c>
      <x:c r="F1087" s="6">
        <x:v>0</x:v>
      </x:c>
      <x:c r="G1087" s="6">
        <x:v>0</x:v>
      </x:c>
      <x:c r="H1087" s="6">
        <x:f t="shared" si="51"/>
        <x:v>0</x:v>
      </x:c>
      <x:c r="I1087" s="6">
        <x:v>11207.279999999999</x:v>
      </x:c>
      <x:c r="J1087" s="6">
        <x:v>0</x:v>
      </x:c>
      <x:c r="K1087" s="6">
        <x:f t="shared" si="52"/>
        <x:v>11207.279999999999</x:v>
      </x:c>
      <x:c r="L1087" s="6">
        <x:v>0</x:v>
      </x:c>
      <x:c r="M1087" s="6">
        <x:v>0</x:v>
      </x:c>
      <x:c r="N1087" s="6">
        <x:f t="shared" si="53"/>
        <x:v>11207.279999999999</x:v>
      </x:c>
    </x:row>
    <x:row r="1088" spans="1:14" x14ac:dyDescent="0.25">
      <x:c r="A1088" t="s">
        <x:v>16</x:v>
      </x:c>
      <x:c r="B1088" s="3" t="s">
        <x:v>206</x:v>
      </x:c>
      <x:c r="C1088" s="3" t="s">
        <x:v>522</x:v>
      </x:c>
      <x:c r="D1088" t="s">
        <x:v>677</x:v>
      </x:c>
      <x:c r="E1088" s="6">
        <x:v>0</x:v>
      </x:c>
      <x:c r="F1088" s="6">
        <x:v>0</x:v>
      </x:c>
      <x:c r="G1088" s="6">
        <x:v>0</x:v>
      </x:c>
      <x:c r="H1088" s="6">
        <x:f t="shared" si="51"/>
        <x:v>0</x:v>
      </x:c>
      <x:c r="I1088" s="6">
        <x:v>4002.55</x:v>
      </x:c>
      <x:c r="J1088" s="6">
        <x:v>0</x:v>
      </x:c>
      <x:c r="K1088" s="6">
        <x:f t="shared" si="52"/>
        <x:v>4002.55</x:v>
      </x:c>
      <x:c r="L1088" s="6">
        <x:v>0</x:v>
      </x:c>
      <x:c r="M1088" s="6">
        <x:v>0</x:v>
      </x:c>
      <x:c r="N1088" s="6">
        <x:f t="shared" si="53"/>
        <x:v>4002.55</x:v>
      </x:c>
    </x:row>
    <x:row r="1089" spans="1:14" x14ac:dyDescent="0.25">
      <x:c r="A1089" t="s">
        <x:v>16</x:v>
      </x:c>
      <x:c r="B1089" s="3" t="s">
        <x:v>209</x:v>
      </x:c>
      <x:c r="C1089" s="3" t="s">
        <x:v>525</x:v>
      </x:c>
      <x:c r="D1089" t="s">
        <x:v>677</x:v>
      </x:c>
      <x:c r="E1089" s="6">
        <x:v>0</x:v>
      </x:c>
      <x:c r="F1089" s="6">
        <x:v>0</x:v>
      </x:c>
      <x:c r="G1089" s="6">
        <x:v>0</x:v>
      </x:c>
      <x:c r="H1089" s="6">
        <x:f t="shared" si="51"/>
        <x:v>0</x:v>
      </x:c>
      <x:c r="I1089" s="6">
        <x:v>3436.9300000000003</x:v>
      </x:c>
      <x:c r="J1089" s="6">
        <x:v>0</x:v>
      </x:c>
      <x:c r="K1089" s="6">
        <x:f t="shared" si="52"/>
        <x:v>3436.9300000000003</x:v>
      </x:c>
      <x:c r="L1089" s="6">
        <x:v>0</x:v>
      </x:c>
      <x:c r="M1089" s="6">
        <x:v>0</x:v>
      </x:c>
      <x:c r="N1089" s="6">
        <x:f t="shared" si="53"/>
        <x:v>3436.9300000000003</x:v>
      </x:c>
    </x:row>
    <x:row r="1090" spans="1:14" x14ac:dyDescent="0.25">
      <x:c r="A1090" t="s">
        <x:v>16</x:v>
      </x:c>
      <x:c r="B1090" s="3" t="s">
        <x:v>210</x:v>
      </x:c>
      <x:c r="C1090" s="3" t="s">
        <x:v>526</x:v>
      </x:c>
      <x:c r="D1090" t="s">
        <x:v>677</x:v>
      </x:c>
      <x:c r="E1090" s="6">
        <x:v>0</x:v>
      </x:c>
      <x:c r="F1090" s="6">
        <x:v>0</x:v>
      </x:c>
      <x:c r="G1090" s="6">
        <x:v>0</x:v>
      </x:c>
      <x:c r="H1090" s="6">
        <x:f t="shared" si="51"/>
        <x:v>0</x:v>
      </x:c>
      <x:c r="I1090" s="6">
        <x:v>24068.22</x:v>
      </x:c>
      <x:c r="J1090" s="6">
        <x:v>0</x:v>
      </x:c>
      <x:c r="K1090" s="6">
        <x:f t="shared" si="52"/>
        <x:v>24068.22</x:v>
      </x:c>
      <x:c r="L1090" s="6">
        <x:v>0</x:v>
      </x:c>
      <x:c r="M1090" s="6">
        <x:v>0</x:v>
      </x:c>
      <x:c r="N1090" s="6">
        <x:f t="shared" si="53"/>
        <x:v>24068.22</x:v>
      </x:c>
    </x:row>
    <x:row r="1091" spans="1:14" x14ac:dyDescent="0.25">
      <x:c r="A1091" t="s">
        <x:v>16</x:v>
      </x:c>
      <x:c r="B1091" s="3" t="s">
        <x:v>211</x:v>
      </x:c>
      <x:c r="C1091" s="3" t="s">
        <x:v>527</x:v>
      </x:c>
      <x:c r="D1091" t="s">
        <x:v>677</x:v>
      </x:c>
      <x:c r="E1091" s="6">
        <x:v>0</x:v>
      </x:c>
      <x:c r="F1091" s="6">
        <x:v>0</x:v>
      </x:c>
      <x:c r="G1091" s="6">
        <x:v>0</x:v>
      </x:c>
      <x:c r="H1091" s="6">
        <x:f t="shared" si="51"/>
        <x:v>0</x:v>
      </x:c>
      <x:c r="I1091" s="6">
        <x:v>27282.92</x:v>
      </x:c>
      <x:c r="J1091" s="6">
        <x:v>0</x:v>
      </x:c>
      <x:c r="K1091" s="6">
        <x:f t="shared" si="52"/>
        <x:v>27282.92</x:v>
      </x:c>
      <x:c r="L1091" s="6">
        <x:v>0</x:v>
      </x:c>
      <x:c r="M1091" s="6">
        <x:v>0</x:v>
      </x:c>
      <x:c r="N1091" s="6">
        <x:f t="shared" si="53"/>
        <x:v>27282.92</x:v>
      </x:c>
    </x:row>
    <x:row r="1092" spans="1:14" x14ac:dyDescent="0.25">
      <x:c r="A1092" t="s">
        <x:v>16</x:v>
      </x:c>
      <x:c r="B1092" s="3" t="s">
        <x:v>212</x:v>
      </x:c>
      <x:c r="C1092" s="3" t="s">
        <x:v>528</x:v>
      </x:c>
      <x:c r="D1092" t="s">
        <x:v>677</x:v>
      </x:c>
      <x:c r="E1092" s="6">
        <x:v>0</x:v>
      </x:c>
      <x:c r="F1092" s="6">
        <x:v>0</x:v>
      </x:c>
      <x:c r="G1092" s="6">
        <x:v>0</x:v>
      </x:c>
      <x:c r="H1092" s="6">
        <x:f t="shared" si="51"/>
        <x:v>0</x:v>
      </x:c>
      <x:c r="I1092" s="6">
        <x:v>8233.02</x:v>
      </x:c>
      <x:c r="J1092" s="6">
        <x:v>0</x:v>
      </x:c>
      <x:c r="K1092" s="6">
        <x:f t="shared" si="52"/>
        <x:v>8233.02</x:v>
      </x:c>
      <x:c r="L1092" s="6">
        <x:v>0</x:v>
      </x:c>
      <x:c r="M1092" s="6">
        <x:v>0</x:v>
      </x:c>
      <x:c r="N1092" s="6">
        <x:f t="shared" si="53"/>
        <x:v>8233.02</x:v>
      </x:c>
    </x:row>
    <x:row r="1093" spans="1:14" x14ac:dyDescent="0.25">
      <x:c r="A1093" t="s">
        <x:v>16</x:v>
      </x:c>
      <x:c r="B1093" s="3" t="s">
        <x:v>64</x:v>
      </x:c>
      <x:c r="C1093" s="3" t="s">
        <x:v>381</x:v>
      </x:c>
      <x:c r="D1093" t="s">
        <x:v>677</x:v>
      </x:c>
      <x:c r="E1093" s="6">
        <x:v>0</x:v>
      </x:c>
      <x:c r="F1093" s="6">
        <x:v>0</x:v>
      </x:c>
      <x:c r="G1093" s="6">
        <x:v>0</x:v>
      </x:c>
      <x:c r="H1093" s="6">
        <x:f t="shared" si="51"/>
        <x:v>0</x:v>
      </x:c>
      <x:c r="I1093" s="6">
        <x:v>459.75</x:v>
      </x:c>
      <x:c r="J1093" s="6">
        <x:v>0</x:v>
      </x:c>
      <x:c r="K1093" s="6">
        <x:f t="shared" si="52"/>
        <x:v>459.75</x:v>
      </x:c>
      <x:c r="L1093" s="6">
        <x:v>0</x:v>
      </x:c>
      <x:c r="M1093" s="6">
        <x:v>0</x:v>
      </x:c>
      <x:c r="N1093" s="6">
        <x:f t="shared" si="53"/>
        <x:v>459.75</x:v>
      </x:c>
    </x:row>
    <x:row r="1094" spans="1:14" x14ac:dyDescent="0.25">
      <x:c r="A1094" t="s">
        <x:v>16</x:v>
      </x:c>
      <x:c r="B1094" s="3" t="s">
        <x:v>213</x:v>
      </x:c>
      <x:c r="C1094" s="3" t="s">
        <x:v>529</x:v>
      </x:c>
      <x:c r="D1094" t="s">
        <x:v>677</x:v>
      </x:c>
      <x:c r="E1094" s="6">
        <x:v>0</x:v>
      </x:c>
      <x:c r="F1094" s="6">
        <x:v>0</x:v>
      </x:c>
      <x:c r="G1094" s="6">
        <x:v>0</x:v>
      </x:c>
      <x:c r="H1094" s="6">
        <x:f t="shared" si="51"/>
        <x:v>0</x:v>
      </x:c>
      <x:c r="I1094" s="6">
        <x:v>2874.77</x:v>
      </x:c>
      <x:c r="J1094" s="6">
        <x:v>0</x:v>
      </x:c>
      <x:c r="K1094" s="6">
        <x:f t="shared" si="52"/>
        <x:v>2874.77</x:v>
      </x:c>
      <x:c r="L1094" s="6">
        <x:v>0</x:v>
      </x:c>
      <x:c r="M1094" s="6">
        <x:v>0</x:v>
      </x:c>
      <x:c r="N1094" s="6">
        <x:f t="shared" si="53"/>
        <x:v>2874.77</x:v>
      </x:c>
    </x:row>
    <x:row r="1095" spans="1:14" x14ac:dyDescent="0.25">
      <x:c r="A1095" t="s">
        <x:v>16</x:v>
      </x:c>
      <x:c r="B1095" s="3" t="s">
        <x:v>215</x:v>
      </x:c>
      <x:c r="C1095" s="3" t="s">
        <x:v>531</x:v>
      </x:c>
      <x:c r="D1095" t="s">
        <x:v>677</x:v>
      </x:c>
      <x:c r="E1095" s="6">
        <x:v>0</x:v>
      </x:c>
      <x:c r="F1095" s="6">
        <x:v>0</x:v>
      </x:c>
      <x:c r="G1095" s="6">
        <x:v>0</x:v>
      </x:c>
      <x:c r="H1095" s="6">
        <x:f t="shared" si="51"/>
        <x:v>0</x:v>
      </x:c>
      <x:c r="I1095" s="6">
        <x:v>458.88</x:v>
      </x:c>
      <x:c r="J1095" s="6">
        <x:v>0</x:v>
      </x:c>
      <x:c r="K1095" s="6">
        <x:f t="shared" si="52"/>
        <x:v>458.88</x:v>
      </x:c>
      <x:c r="L1095" s="6">
        <x:v>0</x:v>
      </x:c>
      <x:c r="M1095" s="6">
        <x:v>0</x:v>
      </x:c>
      <x:c r="N1095" s="6">
        <x:f t="shared" si="53"/>
        <x:v>458.88</x:v>
      </x:c>
    </x:row>
    <x:row r="1096" spans="1:14" x14ac:dyDescent="0.25">
      <x:c r="A1096" t="s">
        <x:v>16</x:v>
      </x:c>
      <x:c r="B1096" s="3" t="s">
        <x:v>216</x:v>
      </x:c>
      <x:c r="C1096" s="3" t="s">
        <x:v>532</x:v>
      </x:c>
      <x:c r="D1096" t="s">
        <x:v>677</x:v>
      </x:c>
      <x:c r="E1096" s="6">
        <x:v>0</x:v>
      </x:c>
      <x:c r="F1096" s="6">
        <x:v>0</x:v>
      </x:c>
      <x:c r="G1096" s="6">
        <x:v>0</x:v>
      </x:c>
      <x:c r="H1096" s="6">
        <x:f t="shared" si="51"/>
        <x:v>0</x:v>
      </x:c>
      <x:c r="I1096" s="6">
        <x:v>101282.95000000001</x:v>
      </x:c>
      <x:c r="J1096" s="6">
        <x:v>0</x:v>
      </x:c>
      <x:c r="K1096" s="6">
        <x:f t="shared" si="52"/>
        <x:v>101282.95000000001</x:v>
      </x:c>
      <x:c r="L1096" s="6">
        <x:v>0</x:v>
      </x:c>
      <x:c r="M1096" s="6">
        <x:v>0</x:v>
      </x:c>
      <x:c r="N1096" s="6">
        <x:f t="shared" si="53"/>
        <x:v>101282.95000000001</x:v>
      </x:c>
    </x:row>
    <x:row r="1097" spans="1:14" x14ac:dyDescent="0.25">
      <x:c r="A1097" t="s">
        <x:v>16</x:v>
      </x:c>
      <x:c r="B1097" s="3" t="s">
        <x:v>65</x:v>
      </x:c>
      <x:c r="C1097" s="3" t="s">
        <x:v>382</x:v>
      </x:c>
      <x:c r="D1097" t="s">
        <x:v>677</x:v>
      </x:c>
      <x:c r="E1097" s="6">
        <x:v>0</x:v>
      </x:c>
      <x:c r="F1097" s="6">
        <x:v>0</x:v>
      </x:c>
      <x:c r="G1097" s="6">
        <x:v>0</x:v>
      </x:c>
      <x:c r="H1097" s="6">
        <x:f t="shared" si="51"/>
        <x:v>0</x:v>
      </x:c>
      <x:c r="I1097" s="6">
        <x:v>197727.59</x:v>
      </x:c>
      <x:c r="J1097" s="6">
        <x:v>0</x:v>
      </x:c>
      <x:c r="K1097" s="6">
        <x:f t="shared" si="52"/>
        <x:v>197727.59</x:v>
      </x:c>
      <x:c r="L1097" s="6">
        <x:v>0</x:v>
      </x:c>
      <x:c r="M1097" s="6">
        <x:v>0</x:v>
      </x:c>
      <x:c r="N1097" s="6">
        <x:f t="shared" si="53"/>
        <x:v>197727.59</x:v>
      </x:c>
    </x:row>
    <x:row r="1098" spans="1:14" x14ac:dyDescent="0.25">
      <x:c r="A1098" t="s">
        <x:v>16</x:v>
      </x:c>
      <x:c r="B1098" s="3" t="s">
        <x:v>217</x:v>
      </x:c>
      <x:c r="C1098" s="3" t="s">
        <x:v>533</x:v>
      </x:c>
      <x:c r="D1098" t="s">
        <x:v>677</x:v>
      </x:c>
      <x:c r="E1098" s="6">
        <x:v>0</x:v>
      </x:c>
      <x:c r="F1098" s="6">
        <x:v>0</x:v>
      </x:c>
      <x:c r="G1098" s="6">
        <x:v>0</x:v>
      </x:c>
      <x:c r="H1098" s="6">
        <x:f t="shared" si="51"/>
        <x:v>0</x:v>
      </x:c>
      <x:c r="I1098" s="6">
        <x:v>165629.26</x:v>
      </x:c>
      <x:c r="J1098" s="6">
        <x:v>0</x:v>
      </x:c>
      <x:c r="K1098" s="6">
        <x:f t="shared" si="52"/>
        <x:v>165629.26</x:v>
      </x:c>
      <x:c r="L1098" s="6">
        <x:v>0</x:v>
      </x:c>
      <x:c r="M1098" s="6">
        <x:v>0</x:v>
      </x:c>
      <x:c r="N1098" s="6">
        <x:f t="shared" si="53"/>
        <x:v>165629.26</x:v>
      </x:c>
    </x:row>
    <x:row r="1099" spans="1:14" x14ac:dyDescent="0.25">
      <x:c r="A1099" t="s">
        <x:v>16</x:v>
      </x:c>
      <x:c r="B1099" s="3" t="s">
        <x:v>218</x:v>
      </x:c>
      <x:c r="C1099" s="3" t="s">
        <x:v>534</x:v>
      </x:c>
      <x:c r="D1099" t="s">
        <x:v>677</x:v>
      </x:c>
      <x:c r="E1099" s="6">
        <x:v>0</x:v>
      </x:c>
      <x:c r="F1099" s="6">
        <x:v>0</x:v>
      </x:c>
      <x:c r="G1099" s="6">
        <x:v>0</x:v>
      </x:c>
      <x:c r="H1099" s="6">
        <x:f t="shared" si="51"/>
        <x:v>0</x:v>
      </x:c>
      <x:c r="I1099" s="6">
        <x:v>2872.0699999999997</x:v>
      </x:c>
      <x:c r="J1099" s="6">
        <x:v>0</x:v>
      </x:c>
      <x:c r="K1099" s="6">
        <x:f t="shared" si="52"/>
        <x:v>2872.0699999999997</x:v>
      </x:c>
      <x:c r="L1099" s="6">
        <x:v>0</x:v>
      </x:c>
      <x:c r="M1099" s="6">
        <x:v>0</x:v>
      </x:c>
      <x:c r="N1099" s="6">
        <x:f t="shared" si="53"/>
        <x:v>2872.0699999999997</x:v>
      </x:c>
    </x:row>
    <x:row r="1100" spans="1:14" x14ac:dyDescent="0.25">
      <x:c r="A1100" t="s">
        <x:v>16</x:v>
      </x:c>
      <x:c r="B1100" s="3" t="s">
        <x:v>219</x:v>
      </x:c>
      <x:c r="C1100" s="3" t="s">
        <x:v>535</x:v>
      </x:c>
      <x:c r="D1100" t="s">
        <x:v>677</x:v>
      </x:c>
      <x:c r="E1100" s="6">
        <x:v>0</x:v>
      </x:c>
      <x:c r="F1100" s="6">
        <x:v>0</x:v>
      </x:c>
      <x:c r="G1100" s="6">
        <x:v>0</x:v>
      </x:c>
      <x:c r="H1100" s="6">
        <x:f t="shared" si="51"/>
        <x:v>0</x:v>
      </x:c>
      <x:c r="I1100" s="6">
        <x:v>98714.489999999991</x:v>
      </x:c>
      <x:c r="J1100" s="6">
        <x:v>0</x:v>
      </x:c>
      <x:c r="K1100" s="6">
        <x:f t="shared" si="52"/>
        <x:v>98714.489999999991</x:v>
      </x:c>
      <x:c r="L1100" s="6">
        <x:v>0</x:v>
      </x:c>
      <x:c r="M1100" s="6">
        <x:v>0</x:v>
      </x:c>
      <x:c r="N1100" s="6">
        <x:f t="shared" si="53"/>
        <x:v>98714.489999999991</x:v>
      </x:c>
    </x:row>
    <x:row r="1101" spans="1:14" x14ac:dyDescent="0.25">
      <x:c r="A1101" t="s">
        <x:v>16</x:v>
      </x:c>
      <x:c r="B1101" s="3" t="s">
        <x:v>220</x:v>
      </x:c>
      <x:c r="C1101" s="3" t="s">
        <x:v>536</x:v>
      </x:c>
      <x:c r="D1101" t="s">
        <x:v>677</x:v>
      </x:c>
      <x:c r="E1101" s="6">
        <x:v>0</x:v>
      </x:c>
      <x:c r="F1101" s="6">
        <x:v>0</x:v>
      </x:c>
      <x:c r="G1101" s="6">
        <x:v>0</x:v>
      </x:c>
      <x:c r="H1101" s="6">
        <x:f t="shared" si="51"/>
        <x:v>0</x:v>
      </x:c>
      <x:c r="I1101" s="6">
        <x:v>32182.780000000002</x:v>
      </x:c>
      <x:c r="J1101" s="6">
        <x:v>0</x:v>
      </x:c>
      <x:c r="K1101" s="6">
        <x:f t="shared" si="52"/>
        <x:v>32182.780000000002</x:v>
      </x:c>
      <x:c r="L1101" s="6">
        <x:v>0</x:v>
      </x:c>
      <x:c r="M1101" s="6">
        <x:v>0</x:v>
      </x:c>
      <x:c r="N1101" s="6">
        <x:f t="shared" si="53"/>
        <x:v>32182.780000000002</x:v>
      </x:c>
    </x:row>
    <x:row r="1102" spans="1:14" x14ac:dyDescent="0.25">
      <x:c r="A1102" t="s">
        <x:v>17</x:v>
      </x:c>
      <x:c r="B1102" s="3" t="s">
        <x:v>71</x:v>
      </x:c>
      <x:c r="C1102" s="3" t="s">
        <x:v>388</x:v>
      </x:c>
      <x:c r="D1102" t="s">
        <x:v>677</x:v>
      </x:c>
      <x:c r="E1102" s="6">
        <x:v>0</x:v>
      </x:c>
      <x:c r="F1102" s="6">
        <x:v>0</x:v>
      </x:c>
      <x:c r="G1102" s="6">
        <x:v>0</x:v>
      </x:c>
      <x:c r="H1102" s="6">
        <x:f t="shared" ref="H1102:H1165" si="54">SUM(E1102:G1102)</x:f>
        <x:v>0</x:v>
      </x:c>
      <x:c r="I1102" s="6">
        <x:v>319145.62</x:v>
      </x:c>
      <x:c r="J1102" s="6">
        <x:v>0</x:v>
      </x:c>
      <x:c r="K1102" s="6">
        <x:f t="shared" ref="K1102:K1165" si="55">SUM(I1102:J1102)</x:f>
        <x:v>319145.62</x:v>
      </x:c>
      <x:c r="L1102" s="6">
        <x:v>0</x:v>
      </x:c>
      <x:c r="M1102" s="6">
        <x:v>0</x:v>
      </x:c>
      <x:c r="N1102" s="6">
        <x:f t="shared" ref="N1102:N1165" si="56">+E1102+F1102+G1102+I1102+J1102+L1102+M1102</x:f>
        <x:v>319145.62</x:v>
      </x:c>
    </x:row>
    <x:row r="1103" spans="1:14" x14ac:dyDescent="0.25">
      <x:c r="A1103" t="s">
        <x:v>17</x:v>
      </x:c>
      <x:c r="B1103" s="3" t="s">
        <x:v>244</x:v>
      </x:c>
      <x:c r="C1103" s="3" t="s">
        <x:v>559</x:v>
      </x:c>
      <x:c r="D1103" t="s">
        <x:v>677</x:v>
      </x:c>
      <x:c r="E1103" s="6">
        <x:v>0</x:v>
      </x:c>
      <x:c r="F1103" s="6">
        <x:v>0</x:v>
      </x:c>
      <x:c r="G1103" s="6">
        <x:v>0</x:v>
      </x:c>
      <x:c r="H1103" s="6">
        <x:f t="shared" si="54"/>
        <x:v>0</x:v>
      </x:c>
      <x:c r="I1103" s="6">
        <x:v>782561.09</x:v>
      </x:c>
      <x:c r="J1103" s="6">
        <x:v>0</x:v>
      </x:c>
      <x:c r="K1103" s="6">
        <x:f t="shared" si="55"/>
        <x:v>782561.09</x:v>
      </x:c>
      <x:c r="L1103" s="6">
        <x:v>0</x:v>
      </x:c>
      <x:c r="M1103" s="6">
        <x:v>0</x:v>
      </x:c>
      <x:c r="N1103" s="6">
        <x:f t="shared" si="56"/>
        <x:v>782561.09</x:v>
      </x:c>
    </x:row>
    <x:row r="1104" spans="1:14" x14ac:dyDescent="0.25">
      <x:c r="A1104" t="s">
        <x:v>17</x:v>
      </x:c>
      <x:c r="B1104" s="3" t="s">
        <x:v>270</x:v>
      </x:c>
      <x:c r="C1104" s="3" t="s">
        <x:v>585</x:v>
      </x:c>
      <x:c r="D1104" t="s">
        <x:v>677</x:v>
      </x:c>
      <x:c r="E1104" s="6">
        <x:v>0</x:v>
      </x:c>
      <x:c r="F1104" s="6">
        <x:v>0</x:v>
      </x:c>
      <x:c r="G1104" s="6">
        <x:v>0</x:v>
      </x:c>
      <x:c r="H1104" s="6">
        <x:f t="shared" si="54"/>
        <x:v>0</x:v>
      </x:c>
      <x:c r="I1104" s="6">
        <x:v>173979.36999999994</x:v>
      </x:c>
      <x:c r="J1104" s="6">
        <x:v>0</x:v>
      </x:c>
      <x:c r="K1104" s="6">
        <x:f t="shared" si="55"/>
        <x:v>173979.36999999994</x:v>
      </x:c>
      <x:c r="L1104" s="6">
        <x:v>0</x:v>
      </x:c>
      <x:c r="M1104" s="6">
        <x:v>0</x:v>
      </x:c>
      <x:c r="N1104" s="6">
        <x:f t="shared" si="56"/>
        <x:v>173979.36999999994</x:v>
      </x:c>
    </x:row>
    <x:row r="1105" spans="1:14" x14ac:dyDescent="0.25">
      <x:c r="A1105" t="s">
        <x:v>17</x:v>
      </x:c>
      <x:c r="B1105" s="3" t="s">
        <x:v>271</x:v>
      </x:c>
      <x:c r="C1105" s="3" t="s">
        <x:v>586</x:v>
      </x:c>
      <x:c r="D1105" t="s">
        <x:v>677</x:v>
      </x:c>
      <x:c r="E1105" s="6">
        <x:v>0</x:v>
      </x:c>
      <x:c r="F1105" s="6">
        <x:v>0</x:v>
      </x:c>
      <x:c r="G1105" s="6">
        <x:v>0</x:v>
      </x:c>
      <x:c r="H1105" s="6">
        <x:f t="shared" si="54"/>
        <x:v>0</x:v>
      </x:c>
      <x:c r="I1105" s="6">
        <x:v>71915.909999999989</x:v>
      </x:c>
      <x:c r="J1105" s="6">
        <x:v>0</x:v>
      </x:c>
      <x:c r="K1105" s="6">
        <x:f t="shared" si="55"/>
        <x:v>71915.909999999989</x:v>
      </x:c>
      <x:c r="L1105" s="6">
        <x:v>0</x:v>
      </x:c>
      <x:c r="M1105" s="6">
        <x:v>0</x:v>
      </x:c>
      <x:c r="N1105" s="6">
        <x:f t="shared" si="56"/>
        <x:v>71915.909999999989</x:v>
      </x:c>
    </x:row>
    <x:row r="1106" spans="1:14" x14ac:dyDescent="0.25">
      <x:c r="A1106" t="s">
        <x:v>17</x:v>
      </x:c>
      <x:c r="B1106" s="3" t="s">
        <x:v>272</x:v>
      </x:c>
      <x:c r="C1106" s="3" t="s">
        <x:v>587</x:v>
      </x:c>
      <x:c r="D1106" t="s">
        <x:v>677</x:v>
      </x:c>
      <x:c r="E1106" s="6">
        <x:v>0</x:v>
      </x:c>
      <x:c r="F1106" s="6">
        <x:v>0</x:v>
      </x:c>
      <x:c r="G1106" s="6">
        <x:v>0</x:v>
      </x:c>
      <x:c r="H1106" s="6">
        <x:f t="shared" si="54"/>
        <x:v>0</x:v>
      </x:c>
      <x:c r="I1106" s="6">
        <x:v>275423.00999999995</x:v>
      </x:c>
      <x:c r="J1106" s="6">
        <x:v>0</x:v>
      </x:c>
      <x:c r="K1106" s="6">
        <x:f t="shared" si="55"/>
        <x:v>275423.00999999995</x:v>
      </x:c>
      <x:c r="L1106" s="6">
        <x:v>0</x:v>
      </x:c>
      <x:c r="M1106" s="6">
        <x:v>0</x:v>
      </x:c>
      <x:c r="N1106" s="6">
        <x:f t="shared" si="56"/>
        <x:v>275423.00999999995</x:v>
      </x:c>
    </x:row>
    <x:row r="1107" spans="1:14" x14ac:dyDescent="0.25">
      <x:c r="A1107" t="s">
        <x:v>17</x:v>
      </x:c>
      <x:c r="B1107" s="3" t="s">
        <x:v>273</x:v>
      </x:c>
      <x:c r="C1107" s="3" t="s">
        <x:v>588</x:v>
      </x:c>
      <x:c r="D1107" t="s">
        <x:v>677</x:v>
      </x:c>
      <x:c r="E1107" s="6">
        <x:v>0</x:v>
      </x:c>
      <x:c r="F1107" s="6">
        <x:v>0</x:v>
      </x:c>
      <x:c r="G1107" s="6">
        <x:v>0</x:v>
      </x:c>
      <x:c r="H1107" s="6">
        <x:f t="shared" si="54"/>
        <x:v>0</x:v>
      </x:c>
      <x:c r="I1107" s="6">
        <x:v>111017.67</x:v>
      </x:c>
      <x:c r="J1107" s="6">
        <x:v>0</x:v>
      </x:c>
      <x:c r="K1107" s="6">
        <x:f t="shared" si="55"/>
        <x:v>111017.67</x:v>
      </x:c>
      <x:c r="L1107" s="6">
        <x:v>0</x:v>
      </x:c>
      <x:c r="M1107" s="6">
        <x:v>0</x:v>
      </x:c>
      <x:c r="N1107" s="6">
        <x:f t="shared" si="56"/>
        <x:v>111017.67</x:v>
      </x:c>
    </x:row>
    <x:row r="1108" spans="1:14" x14ac:dyDescent="0.25">
      <x:c r="A1108" t="s">
        <x:v>17</x:v>
      </x:c>
      <x:c r="B1108" s="3" t="s">
        <x:v>52</x:v>
      </x:c>
      <x:c r="C1108" s="3" t="s">
        <x:v>369</x:v>
      </x:c>
      <x:c r="D1108" t="s">
        <x:v>677</x:v>
      </x:c>
      <x:c r="E1108" s="6">
        <x:v>0</x:v>
      </x:c>
      <x:c r="F1108" s="6">
        <x:v>0</x:v>
      </x:c>
      <x:c r="G1108" s="6">
        <x:v>0</x:v>
      </x:c>
      <x:c r="H1108" s="6">
        <x:f t="shared" si="54"/>
        <x:v>0</x:v>
      </x:c>
      <x:c r="I1108" s="6">
        <x:v>361943.66000000009</x:v>
      </x:c>
      <x:c r="J1108" s="6">
        <x:v>0</x:v>
      </x:c>
      <x:c r="K1108" s="6">
        <x:f t="shared" si="55"/>
        <x:v>361943.66000000009</x:v>
      </x:c>
      <x:c r="L1108" s="6">
        <x:v>0</x:v>
      </x:c>
      <x:c r="M1108" s="6">
        <x:v>0</x:v>
      </x:c>
      <x:c r="N1108" s="6">
        <x:f t="shared" si="56"/>
        <x:v>361943.66000000009</x:v>
      </x:c>
    </x:row>
    <x:row r="1109" spans="1:14" x14ac:dyDescent="0.25">
      <x:c r="A1109" t="s">
        <x:v>17</x:v>
      </x:c>
      <x:c r="B1109" s="3" t="s">
        <x:v>53</x:v>
      </x:c>
      <x:c r="C1109" s="3" t="s">
        <x:v>370</x:v>
      </x:c>
      <x:c r="D1109" t="s">
        <x:v>677</x:v>
      </x:c>
      <x:c r="E1109" s="6">
        <x:v>0</x:v>
      </x:c>
      <x:c r="F1109" s="6">
        <x:v>0</x:v>
      </x:c>
      <x:c r="G1109" s="6">
        <x:v>0</x:v>
      </x:c>
      <x:c r="H1109" s="6">
        <x:f t="shared" si="54"/>
        <x:v>0</x:v>
      </x:c>
      <x:c r="I1109" s="6">
        <x:v>1020391.92</x:v>
      </x:c>
      <x:c r="J1109" s="6">
        <x:v>0</x:v>
      </x:c>
      <x:c r="K1109" s="6">
        <x:f t="shared" si="55"/>
        <x:v>1020391.92</x:v>
      </x:c>
      <x:c r="L1109" s="6">
        <x:v>0</x:v>
      </x:c>
      <x:c r="M1109" s="6">
        <x:v>0</x:v>
      </x:c>
      <x:c r="N1109" s="6">
        <x:f t="shared" si="56"/>
        <x:v>1020391.92</x:v>
      </x:c>
    </x:row>
    <x:row r="1110" spans="1:14" x14ac:dyDescent="0.25">
      <x:c r="A1110" t="s">
        <x:v>17</x:v>
      </x:c>
      <x:c r="B1110" s="3" t="s">
        <x:v>72</x:v>
      </x:c>
      <x:c r="C1110" s="3" t="s">
        <x:v>389</x:v>
      </x:c>
      <x:c r="D1110" t="s">
        <x:v>677</x:v>
      </x:c>
      <x:c r="E1110" s="6">
        <x:v>0</x:v>
      </x:c>
      <x:c r="F1110" s="6">
        <x:v>0</x:v>
      </x:c>
      <x:c r="G1110" s="6">
        <x:v>0</x:v>
      </x:c>
      <x:c r="H1110" s="6">
        <x:f t="shared" si="54"/>
        <x:v>0</x:v>
      </x:c>
      <x:c r="I1110" s="6">
        <x:v>31125.230000000003</x:v>
      </x:c>
      <x:c r="J1110" s="6">
        <x:v>0</x:v>
      </x:c>
      <x:c r="K1110" s="6">
        <x:f t="shared" si="55"/>
        <x:v>31125.230000000003</x:v>
      </x:c>
      <x:c r="L1110" s="6">
        <x:v>0</x:v>
      </x:c>
      <x:c r="M1110" s="6">
        <x:v>0</x:v>
      </x:c>
      <x:c r="N1110" s="6">
        <x:f t="shared" si="56"/>
        <x:v>31125.230000000003</x:v>
      </x:c>
    </x:row>
    <x:row r="1111" spans="1:14" x14ac:dyDescent="0.25">
      <x:c r="A1111" t="s">
        <x:v>17</x:v>
      </x:c>
      <x:c r="B1111" s="3" t="s">
        <x:v>73</x:v>
      </x:c>
      <x:c r="C1111" s="3" t="s">
        <x:v>390</x:v>
      </x:c>
      <x:c r="D1111" t="s">
        <x:v>677</x:v>
      </x:c>
      <x:c r="E1111" s="6">
        <x:v>0</x:v>
      </x:c>
      <x:c r="F1111" s="6">
        <x:v>0</x:v>
      </x:c>
      <x:c r="G1111" s="6">
        <x:v>0</x:v>
      </x:c>
      <x:c r="H1111" s="6">
        <x:f t="shared" si="54"/>
        <x:v>0</x:v>
      </x:c>
      <x:c r="I1111" s="6">
        <x:v>238970.19999999998</x:v>
      </x:c>
      <x:c r="J1111" s="6">
        <x:v>0</x:v>
      </x:c>
      <x:c r="K1111" s="6">
        <x:f t="shared" si="55"/>
        <x:v>238970.19999999998</x:v>
      </x:c>
      <x:c r="L1111" s="6">
        <x:v>0</x:v>
      </x:c>
      <x:c r="M1111" s="6">
        <x:v>0</x:v>
      </x:c>
      <x:c r="N1111" s="6">
        <x:f t="shared" si="56"/>
        <x:v>238970.19999999998</x:v>
      </x:c>
    </x:row>
    <x:row r="1112" spans="1:14" x14ac:dyDescent="0.25">
      <x:c r="A1112" t="s">
        <x:v>17</x:v>
      </x:c>
      <x:c r="B1112" s="3" t="s">
        <x:v>74</x:v>
      </x:c>
      <x:c r="C1112" s="3" t="s">
        <x:v>391</x:v>
      </x:c>
      <x:c r="D1112" t="s">
        <x:v>677</x:v>
      </x:c>
      <x:c r="E1112" s="6">
        <x:v>0</x:v>
      </x:c>
      <x:c r="F1112" s="6">
        <x:v>0</x:v>
      </x:c>
      <x:c r="G1112" s="6">
        <x:v>0</x:v>
      </x:c>
      <x:c r="H1112" s="6">
        <x:f t="shared" si="54"/>
        <x:v>0</x:v>
      </x:c>
      <x:c r="I1112" s="6">
        <x:v>11153.95</x:v>
      </x:c>
      <x:c r="J1112" s="6">
        <x:v>0</x:v>
      </x:c>
      <x:c r="K1112" s="6">
        <x:f t="shared" si="55"/>
        <x:v>11153.95</x:v>
      </x:c>
      <x:c r="L1112" s="6">
        <x:v>0</x:v>
      </x:c>
      <x:c r="M1112" s="6">
        <x:v>0</x:v>
      </x:c>
      <x:c r="N1112" s="6">
        <x:f t="shared" si="56"/>
        <x:v>11153.95</x:v>
      </x:c>
    </x:row>
    <x:row r="1113" spans="1:14" x14ac:dyDescent="0.25">
      <x:c r="A1113" t="s">
        <x:v>17</x:v>
      </x:c>
      <x:c r="B1113" s="3" t="s">
        <x:v>75</x:v>
      </x:c>
      <x:c r="C1113" s="3" t="s">
        <x:v>392</x:v>
      </x:c>
      <x:c r="D1113" t="s">
        <x:v>677</x:v>
      </x:c>
      <x:c r="E1113" s="6">
        <x:v>0</x:v>
      </x:c>
      <x:c r="F1113" s="6">
        <x:v>0</x:v>
      </x:c>
      <x:c r="G1113" s="6">
        <x:v>0</x:v>
      </x:c>
      <x:c r="H1113" s="6">
        <x:f t="shared" si="54"/>
        <x:v>0</x:v>
      </x:c>
      <x:c r="I1113" s="6">
        <x:v>84293.69</x:v>
      </x:c>
      <x:c r="J1113" s="6">
        <x:v>0</x:v>
      </x:c>
      <x:c r="K1113" s="6">
        <x:f t="shared" si="55"/>
        <x:v>84293.69</x:v>
      </x:c>
      <x:c r="L1113" s="6">
        <x:v>0</x:v>
      </x:c>
      <x:c r="M1113" s="6">
        <x:v>0</x:v>
      </x:c>
      <x:c r="N1113" s="6">
        <x:f t="shared" si="56"/>
        <x:v>84293.69</x:v>
      </x:c>
    </x:row>
    <x:row r="1114" spans="1:14" x14ac:dyDescent="0.25">
      <x:c r="A1114" t="s">
        <x:v>17</x:v>
      </x:c>
      <x:c r="B1114" s="3" t="s">
        <x:v>55</x:v>
      </x:c>
      <x:c r="C1114" s="3" t="s">
        <x:v>372</x:v>
      </x:c>
      <x:c r="D1114" t="s">
        <x:v>677</x:v>
      </x:c>
      <x:c r="E1114" s="6">
        <x:v>0</x:v>
      </x:c>
      <x:c r="F1114" s="6">
        <x:v>0</x:v>
      </x:c>
      <x:c r="G1114" s="6">
        <x:v>0</x:v>
      </x:c>
      <x:c r="H1114" s="6">
        <x:f t="shared" si="54"/>
        <x:v>0</x:v>
      </x:c>
      <x:c r="I1114" s="6">
        <x:v>627202.1399999999</x:v>
      </x:c>
      <x:c r="J1114" s="6">
        <x:v>0</x:v>
      </x:c>
      <x:c r="K1114" s="6">
        <x:f t="shared" si="55"/>
        <x:v>627202.1399999999</x:v>
      </x:c>
      <x:c r="L1114" s="6">
        <x:v>0</x:v>
      </x:c>
      <x:c r="M1114" s="6">
        <x:v>0</x:v>
      </x:c>
      <x:c r="N1114" s="6">
        <x:f t="shared" si="56"/>
        <x:v>627202.1399999999</x:v>
      </x:c>
    </x:row>
    <x:row r="1115" spans="1:14" x14ac:dyDescent="0.25">
      <x:c r="A1115" t="s">
        <x:v>17</x:v>
      </x:c>
      <x:c r="B1115" s="3" t="s">
        <x:v>274</x:v>
      </x:c>
      <x:c r="C1115" s="3" t="s">
        <x:v>589</x:v>
      </x:c>
      <x:c r="D1115" t="s">
        <x:v>677</x:v>
      </x:c>
      <x:c r="E1115" s="6">
        <x:v>0</x:v>
      </x:c>
      <x:c r="F1115" s="6">
        <x:v>0</x:v>
      </x:c>
      <x:c r="G1115" s="6">
        <x:v>0</x:v>
      </x:c>
      <x:c r="H1115" s="6">
        <x:f t="shared" si="54"/>
        <x:v>0</x:v>
      </x:c>
      <x:c r="I1115" s="6">
        <x:v>256315.94000000003</x:v>
      </x:c>
      <x:c r="J1115" s="6">
        <x:v>0</x:v>
      </x:c>
      <x:c r="K1115" s="6">
        <x:f t="shared" si="55"/>
        <x:v>256315.94000000003</x:v>
      </x:c>
      <x:c r="L1115" s="6">
        <x:v>0</x:v>
      </x:c>
      <x:c r="M1115" s="6">
        <x:v>0</x:v>
      </x:c>
      <x:c r="N1115" s="6">
        <x:f t="shared" si="56"/>
        <x:v>256315.94000000003</x:v>
      </x:c>
    </x:row>
    <x:row r="1116" spans="1:14" x14ac:dyDescent="0.25">
      <x:c r="A1116" t="s">
        <x:v>17</x:v>
      </x:c>
      <x:c r="B1116" s="3" t="s">
        <x:v>76</x:v>
      </x:c>
      <x:c r="C1116" s="3" t="s">
        <x:v>393</x:v>
      </x:c>
      <x:c r="D1116" t="s">
        <x:v>677</x:v>
      </x:c>
      <x:c r="E1116" s="6">
        <x:v>0</x:v>
      </x:c>
      <x:c r="F1116" s="6">
        <x:v>0</x:v>
      </x:c>
      <x:c r="G1116" s="6">
        <x:v>0</x:v>
      </x:c>
      <x:c r="H1116" s="6">
        <x:f t="shared" si="54"/>
        <x:v>0</x:v>
      </x:c>
      <x:c r="I1116" s="6">
        <x:v>359727.12000000005</x:v>
      </x:c>
      <x:c r="J1116" s="6">
        <x:v>0</x:v>
      </x:c>
      <x:c r="K1116" s="6">
        <x:f t="shared" si="55"/>
        <x:v>359727.12000000005</x:v>
      </x:c>
      <x:c r="L1116" s="6">
        <x:v>0</x:v>
      </x:c>
      <x:c r="M1116" s="6">
        <x:v>0</x:v>
      </x:c>
      <x:c r="N1116" s="6">
        <x:f t="shared" si="56"/>
        <x:v>359727.12000000005</x:v>
      </x:c>
    </x:row>
    <x:row r="1117" spans="1:14" x14ac:dyDescent="0.25">
      <x:c r="A1117" t="s">
        <x:v>17</x:v>
      </x:c>
      <x:c r="B1117" s="3" t="s">
        <x:v>77</x:v>
      </x:c>
      <x:c r="C1117" s="3" t="s">
        <x:v>394</x:v>
      </x:c>
      <x:c r="D1117" t="s">
        <x:v>677</x:v>
      </x:c>
      <x:c r="E1117" s="6">
        <x:v>0</x:v>
      </x:c>
      <x:c r="F1117" s="6">
        <x:v>0</x:v>
      </x:c>
      <x:c r="G1117" s="6">
        <x:v>0</x:v>
      </x:c>
      <x:c r="H1117" s="6">
        <x:f t="shared" si="54"/>
        <x:v>0</x:v>
      </x:c>
      <x:c r="I1117" s="6">
        <x:v>16184.949999999997</x:v>
      </x:c>
      <x:c r="J1117" s="6">
        <x:v>0</x:v>
      </x:c>
      <x:c r="K1117" s="6">
        <x:f t="shared" si="55"/>
        <x:v>16184.949999999997</x:v>
      </x:c>
      <x:c r="L1117" s="6">
        <x:v>0</x:v>
      </x:c>
      <x:c r="M1117" s="6">
        <x:v>0</x:v>
      </x:c>
      <x:c r="N1117" s="6">
        <x:f t="shared" si="56"/>
        <x:v>16184.949999999997</x:v>
      </x:c>
    </x:row>
    <x:row r="1118" spans="1:14" x14ac:dyDescent="0.25">
      <x:c r="A1118" t="s">
        <x:v>17</x:v>
      </x:c>
      <x:c r="B1118" s="3" t="s">
        <x:v>78</x:v>
      </x:c>
      <x:c r="C1118" s="3" t="s">
        <x:v>395</x:v>
      </x:c>
      <x:c r="D1118" t="s">
        <x:v>677</x:v>
      </x:c>
      <x:c r="E1118" s="6">
        <x:v>0</x:v>
      </x:c>
      <x:c r="F1118" s="6">
        <x:v>0</x:v>
      </x:c>
      <x:c r="G1118" s="6">
        <x:v>0</x:v>
      </x:c>
      <x:c r="H1118" s="6">
        <x:f t="shared" si="54"/>
        <x:v>0</x:v>
      </x:c>
      <x:c r="I1118" s="6">
        <x:v>474983.52999999974</x:v>
      </x:c>
      <x:c r="J1118" s="6">
        <x:v>0</x:v>
      </x:c>
      <x:c r="K1118" s="6">
        <x:f t="shared" si="55"/>
        <x:v>474983.52999999974</x:v>
      </x:c>
      <x:c r="L1118" s="6">
        <x:v>0</x:v>
      </x:c>
      <x:c r="M1118" s="6">
        <x:v>0</x:v>
      </x:c>
      <x:c r="N1118" s="6">
        <x:f t="shared" si="56"/>
        <x:v>474983.52999999974</x:v>
      </x:c>
    </x:row>
    <x:row r="1119" spans="1:14" x14ac:dyDescent="0.25">
      <x:c r="A1119" t="s">
        <x:v>17</x:v>
      </x:c>
      <x:c r="B1119" s="3" t="s">
        <x:v>79</x:v>
      </x:c>
      <x:c r="C1119" s="3" t="s">
        <x:v>396</x:v>
      </x:c>
      <x:c r="D1119" t="s">
        <x:v>677</x:v>
      </x:c>
      <x:c r="E1119" s="6">
        <x:v>0</x:v>
      </x:c>
      <x:c r="F1119" s="6">
        <x:v>0</x:v>
      </x:c>
      <x:c r="G1119" s="6">
        <x:v>0</x:v>
      </x:c>
      <x:c r="H1119" s="6">
        <x:f t="shared" si="54"/>
        <x:v>0</x:v>
      </x:c>
      <x:c r="I1119" s="6">
        <x:v>13396.39</x:v>
      </x:c>
      <x:c r="J1119" s="6">
        <x:v>0</x:v>
      </x:c>
      <x:c r="K1119" s="6">
        <x:f t="shared" si="55"/>
        <x:v>13396.39</x:v>
      </x:c>
      <x:c r="L1119" s="6">
        <x:v>0</x:v>
      </x:c>
      <x:c r="M1119" s="6">
        <x:v>0</x:v>
      </x:c>
      <x:c r="N1119" s="6">
        <x:f t="shared" si="56"/>
        <x:v>13396.39</x:v>
      </x:c>
    </x:row>
    <x:row r="1120" spans="1:14" x14ac:dyDescent="0.25">
      <x:c r="A1120" t="s">
        <x:v>17</x:v>
      </x:c>
      <x:c r="B1120" s="3" t="s">
        <x:v>56</x:v>
      </x:c>
      <x:c r="C1120" s="3" t="s">
        <x:v>373</x:v>
      </x:c>
      <x:c r="D1120" t="s">
        <x:v>677</x:v>
      </x:c>
      <x:c r="E1120" s="6">
        <x:v>0</x:v>
      </x:c>
      <x:c r="F1120" s="6">
        <x:v>0</x:v>
      </x:c>
      <x:c r="G1120" s="6">
        <x:v>0</x:v>
      </x:c>
      <x:c r="H1120" s="6">
        <x:f t="shared" si="54"/>
        <x:v>0</x:v>
      </x:c>
      <x:c r="I1120" s="6">
        <x:v>54797.16</x:v>
      </x:c>
      <x:c r="J1120" s="6">
        <x:v>0</x:v>
      </x:c>
      <x:c r="K1120" s="6">
        <x:f t="shared" si="55"/>
        <x:v>54797.16</x:v>
      </x:c>
      <x:c r="L1120" s="6">
        <x:v>0</x:v>
      </x:c>
      <x:c r="M1120" s="6">
        <x:v>0</x:v>
      </x:c>
      <x:c r="N1120" s="6">
        <x:f t="shared" si="56"/>
        <x:v>54797.16</x:v>
      </x:c>
    </x:row>
    <x:row r="1121" spans="1:14" x14ac:dyDescent="0.25">
      <x:c r="A1121" t="s">
        <x:v>17</x:v>
      </x:c>
      <x:c r="B1121" s="3" t="s">
        <x:v>80</x:v>
      </x:c>
      <x:c r="C1121" s="3" t="s">
        <x:v>397</x:v>
      </x:c>
      <x:c r="D1121" t="s">
        <x:v>677</x:v>
      </x:c>
      <x:c r="E1121" s="6">
        <x:v>0</x:v>
      </x:c>
      <x:c r="F1121" s="6">
        <x:v>0</x:v>
      </x:c>
      <x:c r="G1121" s="6">
        <x:v>0</x:v>
      </x:c>
      <x:c r="H1121" s="6">
        <x:f t="shared" si="54"/>
        <x:v>0</x:v>
      </x:c>
      <x:c r="I1121" s="6">
        <x:v>27860.57</x:v>
      </x:c>
      <x:c r="J1121" s="6">
        <x:v>0</x:v>
      </x:c>
      <x:c r="K1121" s="6">
        <x:f t="shared" si="55"/>
        <x:v>27860.57</x:v>
      </x:c>
      <x:c r="L1121" s="6">
        <x:v>0</x:v>
      </x:c>
      <x:c r="M1121" s="6">
        <x:v>0</x:v>
      </x:c>
      <x:c r="N1121" s="6">
        <x:f t="shared" si="56"/>
        <x:v>27860.57</x:v>
      </x:c>
    </x:row>
    <x:row r="1122" spans="1:14" x14ac:dyDescent="0.25">
      <x:c r="A1122" t="s">
        <x:v>17</x:v>
      </x:c>
      <x:c r="B1122" s="3" t="s">
        <x:v>81</x:v>
      </x:c>
      <x:c r="C1122" s="3" t="s">
        <x:v>398</x:v>
      </x:c>
      <x:c r="D1122" t="s">
        <x:v>677</x:v>
      </x:c>
      <x:c r="E1122" s="6">
        <x:v>0</x:v>
      </x:c>
      <x:c r="F1122" s="6">
        <x:v>0</x:v>
      </x:c>
      <x:c r="G1122" s="6">
        <x:v>0</x:v>
      </x:c>
      <x:c r="H1122" s="6">
        <x:f t="shared" si="54"/>
        <x:v>0</x:v>
      </x:c>
      <x:c r="I1122" s="6">
        <x:v>3274.77</x:v>
      </x:c>
      <x:c r="J1122" s="6">
        <x:v>0</x:v>
      </x:c>
      <x:c r="K1122" s="6">
        <x:f t="shared" si="55"/>
        <x:v>3274.77</x:v>
      </x:c>
      <x:c r="L1122" s="6">
        <x:v>0</x:v>
      </x:c>
      <x:c r="M1122" s="6">
        <x:v>0</x:v>
      </x:c>
      <x:c r="N1122" s="6">
        <x:f t="shared" si="56"/>
        <x:v>3274.77</x:v>
      </x:c>
    </x:row>
    <x:row r="1123" spans="1:14" x14ac:dyDescent="0.25">
      <x:c r="A1123" t="s">
        <x:v>17</x:v>
      </x:c>
      <x:c r="B1123" s="3" t="s">
        <x:v>82</x:v>
      </x:c>
      <x:c r="C1123" s="3" t="s">
        <x:v>399</x:v>
      </x:c>
      <x:c r="D1123" t="s">
        <x:v>677</x:v>
      </x:c>
      <x:c r="E1123" s="6">
        <x:v>0</x:v>
      </x:c>
      <x:c r="F1123" s="6">
        <x:v>0</x:v>
      </x:c>
      <x:c r="G1123" s="6">
        <x:v>0</x:v>
      </x:c>
      <x:c r="H1123" s="6">
        <x:f t="shared" si="54"/>
        <x:v>0</x:v>
      </x:c>
      <x:c r="I1123" s="6">
        <x:v>273979.14999999991</x:v>
      </x:c>
      <x:c r="J1123" s="6">
        <x:v>0</x:v>
      </x:c>
      <x:c r="K1123" s="6">
        <x:f t="shared" si="55"/>
        <x:v>273979.14999999991</x:v>
      </x:c>
      <x:c r="L1123" s="6">
        <x:v>0</x:v>
      </x:c>
      <x:c r="M1123" s="6">
        <x:v>0</x:v>
      </x:c>
      <x:c r="N1123" s="6">
        <x:f t="shared" si="56"/>
        <x:v>273979.14999999991</x:v>
      </x:c>
    </x:row>
    <x:row r="1124" spans="1:14" x14ac:dyDescent="0.25">
      <x:c r="A1124" t="s">
        <x:v>17</x:v>
      </x:c>
      <x:c r="B1124" s="3" t="s">
        <x:v>83</x:v>
      </x:c>
      <x:c r="C1124" s="3" t="s">
        <x:v>400</x:v>
      </x:c>
      <x:c r="D1124" t="s">
        <x:v>677</x:v>
      </x:c>
      <x:c r="E1124" s="6">
        <x:v>0</x:v>
      </x:c>
      <x:c r="F1124" s="6">
        <x:v>0</x:v>
      </x:c>
      <x:c r="G1124" s="6">
        <x:v>0</x:v>
      </x:c>
      <x:c r="H1124" s="6">
        <x:f t="shared" si="54"/>
        <x:v>0</x:v>
      </x:c>
      <x:c r="I1124" s="6">
        <x:v>89554.87000000001</x:v>
      </x:c>
      <x:c r="J1124" s="6">
        <x:v>0</x:v>
      </x:c>
      <x:c r="K1124" s="6">
        <x:f t="shared" si="55"/>
        <x:v>89554.87000000001</x:v>
      </x:c>
      <x:c r="L1124" s="6">
        <x:v>0</x:v>
      </x:c>
      <x:c r="M1124" s="6">
        <x:v>0</x:v>
      </x:c>
      <x:c r="N1124" s="6">
        <x:f t="shared" si="56"/>
        <x:v>89554.87000000001</x:v>
      </x:c>
    </x:row>
    <x:row r="1125" spans="1:14" x14ac:dyDescent="0.25">
      <x:c r="A1125" t="s">
        <x:v>17</x:v>
      </x:c>
      <x:c r="B1125" s="3" t="s">
        <x:v>84</x:v>
      </x:c>
      <x:c r="C1125" s="3" t="s">
        <x:v>401</x:v>
      </x:c>
      <x:c r="D1125" t="s">
        <x:v>677</x:v>
      </x:c>
      <x:c r="E1125" s="6">
        <x:v>0</x:v>
      </x:c>
      <x:c r="F1125" s="6">
        <x:v>0</x:v>
      </x:c>
      <x:c r="G1125" s="6">
        <x:v>0</x:v>
      </x:c>
      <x:c r="H1125" s="6">
        <x:f t="shared" si="54"/>
        <x:v>0</x:v>
      </x:c>
      <x:c r="I1125" s="6">
        <x:v>32884.33</x:v>
      </x:c>
      <x:c r="J1125" s="6">
        <x:v>0</x:v>
      </x:c>
      <x:c r="K1125" s="6">
        <x:f t="shared" si="55"/>
        <x:v>32884.33</x:v>
      </x:c>
      <x:c r="L1125" s="6">
        <x:v>0</x:v>
      </x:c>
      <x:c r="M1125" s="6">
        <x:v>0</x:v>
      </x:c>
      <x:c r="N1125" s="6">
        <x:f t="shared" si="56"/>
        <x:v>32884.33</x:v>
      </x:c>
    </x:row>
    <x:row r="1126" spans="1:14" x14ac:dyDescent="0.25">
      <x:c r="A1126" t="s">
        <x:v>17</x:v>
      </x:c>
      <x:c r="B1126" s="3" t="s">
        <x:v>85</x:v>
      </x:c>
      <x:c r="C1126" s="3" t="s">
        <x:v>402</x:v>
      </x:c>
      <x:c r="D1126" t="s">
        <x:v>677</x:v>
      </x:c>
      <x:c r="E1126" s="6">
        <x:v>0</x:v>
      </x:c>
      <x:c r="F1126" s="6">
        <x:v>0</x:v>
      </x:c>
      <x:c r="G1126" s="6">
        <x:v>0</x:v>
      </x:c>
      <x:c r="H1126" s="6">
        <x:f t="shared" si="54"/>
        <x:v>0</x:v>
      </x:c>
      <x:c r="I1126" s="6">
        <x:v>9017.33</x:v>
      </x:c>
      <x:c r="J1126" s="6">
        <x:v>0</x:v>
      </x:c>
      <x:c r="K1126" s="6">
        <x:f t="shared" si="55"/>
        <x:v>9017.33</x:v>
      </x:c>
      <x:c r="L1126" s="6">
        <x:v>0</x:v>
      </x:c>
      <x:c r="M1126" s="6">
        <x:v>0</x:v>
      </x:c>
      <x:c r="N1126" s="6">
        <x:f t="shared" si="56"/>
        <x:v>9017.33</x:v>
      </x:c>
    </x:row>
    <x:row r="1127" spans="1:14" x14ac:dyDescent="0.25">
      <x:c r="A1127" t="s">
        <x:v>17</x:v>
      </x:c>
      <x:c r="B1127" s="3" t="s">
        <x:v>86</x:v>
      </x:c>
      <x:c r="C1127" s="3" t="s">
        <x:v>403</x:v>
      </x:c>
      <x:c r="D1127" t="s">
        <x:v>677</x:v>
      </x:c>
      <x:c r="E1127" s="6">
        <x:v>0</x:v>
      </x:c>
      <x:c r="F1127" s="6">
        <x:v>0</x:v>
      </x:c>
      <x:c r="G1127" s="6">
        <x:v>0</x:v>
      </x:c>
      <x:c r="H1127" s="6">
        <x:f t="shared" si="54"/>
        <x:v>0</x:v>
      </x:c>
      <x:c r="I1127" s="6">
        <x:v>3905.17</x:v>
      </x:c>
      <x:c r="J1127" s="6">
        <x:v>0</x:v>
      </x:c>
      <x:c r="K1127" s="6">
        <x:f t="shared" si="55"/>
        <x:v>3905.17</x:v>
      </x:c>
      <x:c r="L1127" s="6">
        <x:v>0</x:v>
      </x:c>
      <x:c r="M1127" s="6">
        <x:v>0</x:v>
      </x:c>
      <x:c r="N1127" s="6">
        <x:f t="shared" si="56"/>
        <x:v>3905.17</x:v>
      </x:c>
    </x:row>
    <x:row r="1128" spans="1:14" x14ac:dyDescent="0.25">
      <x:c r="A1128" t="s">
        <x:v>17</x:v>
      </x:c>
      <x:c r="B1128" s="3" t="s">
        <x:v>87</x:v>
      </x:c>
      <x:c r="C1128" s="3" t="s">
        <x:v>404</x:v>
      </x:c>
      <x:c r="D1128" t="s">
        <x:v>677</x:v>
      </x:c>
      <x:c r="E1128" s="6">
        <x:v>0</x:v>
      </x:c>
      <x:c r="F1128" s="6">
        <x:v>0</x:v>
      </x:c>
      <x:c r="G1128" s="6">
        <x:v>0</x:v>
      </x:c>
      <x:c r="H1128" s="6">
        <x:f t="shared" si="54"/>
        <x:v>0</x:v>
      </x:c>
      <x:c r="I1128" s="6">
        <x:v>23057.949999999997</x:v>
      </x:c>
      <x:c r="J1128" s="6">
        <x:v>0</x:v>
      </x:c>
      <x:c r="K1128" s="6">
        <x:f t="shared" si="55"/>
        <x:v>23057.949999999997</x:v>
      </x:c>
      <x:c r="L1128" s="6">
        <x:v>0</x:v>
      </x:c>
      <x:c r="M1128" s="6">
        <x:v>0</x:v>
      </x:c>
      <x:c r="N1128" s="6">
        <x:f t="shared" si="56"/>
        <x:v>23057.949999999997</x:v>
      </x:c>
    </x:row>
    <x:row r="1129" spans="1:14" x14ac:dyDescent="0.25">
      <x:c r="A1129" t="s">
        <x:v>17</x:v>
      </x:c>
      <x:c r="B1129" s="3" t="s">
        <x:v>88</x:v>
      </x:c>
      <x:c r="C1129" s="3" t="s">
        <x:v>405</x:v>
      </x:c>
      <x:c r="D1129" t="s">
        <x:v>677</x:v>
      </x:c>
      <x:c r="E1129" s="6">
        <x:v>0</x:v>
      </x:c>
      <x:c r="F1129" s="6">
        <x:v>0</x:v>
      </x:c>
      <x:c r="G1129" s="6">
        <x:v>0</x:v>
      </x:c>
      <x:c r="H1129" s="6">
        <x:f t="shared" si="54"/>
        <x:v>0</x:v>
      </x:c>
      <x:c r="I1129" s="6">
        <x:v>137379.21</x:v>
      </x:c>
      <x:c r="J1129" s="6">
        <x:v>0</x:v>
      </x:c>
      <x:c r="K1129" s="6">
        <x:f t="shared" si="55"/>
        <x:v>137379.21</x:v>
      </x:c>
      <x:c r="L1129" s="6">
        <x:v>0</x:v>
      </x:c>
      <x:c r="M1129" s="6">
        <x:v>0</x:v>
      </x:c>
      <x:c r="N1129" s="6">
        <x:f t="shared" si="56"/>
        <x:v>137379.21</x:v>
      </x:c>
    </x:row>
    <x:row r="1130" spans="1:14" x14ac:dyDescent="0.25">
      <x:c r="A1130" t="s">
        <x:v>17</x:v>
      </x:c>
      <x:c r="B1130" s="3" t="s">
        <x:v>89</x:v>
      </x:c>
      <x:c r="C1130" s="3" t="s">
        <x:v>406</x:v>
      </x:c>
      <x:c r="D1130" t="s">
        <x:v>677</x:v>
      </x:c>
      <x:c r="E1130" s="6">
        <x:v>0</x:v>
      </x:c>
      <x:c r="F1130" s="6">
        <x:v>0</x:v>
      </x:c>
      <x:c r="G1130" s="6">
        <x:v>0</x:v>
      </x:c>
      <x:c r="H1130" s="6">
        <x:f t="shared" si="54"/>
        <x:v>0</x:v>
      </x:c>
      <x:c r="I1130" s="6">
        <x:v>38881.970000000016</x:v>
      </x:c>
      <x:c r="J1130" s="6">
        <x:v>0</x:v>
      </x:c>
      <x:c r="K1130" s="6">
        <x:f t="shared" si="55"/>
        <x:v>38881.970000000016</x:v>
      </x:c>
      <x:c r="L1130" s="6">
        <x:v>0</x:v>
      </x:c>
      <x:c r="M1130" s="6">
        <x:v>0</x:v>
      </x:c>
      <x:c r="N1130" s="6">
        <x:f t="shared" si="56"/>
        <x:v>38881.970000000016</x:v>
      </x:c>
    </x:row>
    <x:row r="1131" spans="1:14" x14ac:dyDescent="0.25">
      <x:c r="A1131" t="s">
        <x:v>17</x:v>
      </x:c>
      <x:c r="B1131" s="3" t="s">
        <x:v>90</x:v>
      </x:c>
      <x:c r="C1131" s="3" t="s">
        <x:v>407</x:v>
      </x:c>
      <x:c r="D1131" t="s">
        <x:v>677</x:v>
      </x:c>
      <x:c r="E1131" s="6">
        <x:v>0</x:v>
      </x:c>
      <x:c r="F1131" s="6">
        <x:v>0</x:v>
      </x:c>
      <x:c r="G1131" s="6">
        <x:v>0</x:v>
      </x:c>
      <x:c r="H1131" s="6">
        <x:f t="shared" si="54"/>
        <x:v>0</x:v>
      </x:c>
      <x:c r="I1131" s="6">
        <x:v>59298.619999999988</x:v>
      </x:c>
      <x:c r="J1131" s="6">
        <x:v>0</x:v>
      </x:c>
      <x:c r="K1131" s="6">
        <x:f t="shared" si="55"/>
        <x:v>59298.619999999988</x:v>
      </x:c>
      <x:c r="L1131" s="6">
        <x:v>0</x:v>
      </x:c>
      <x:c r="M1131" s="6">
        <x:v>0</x:v>
      </x:c>
      <x:c r="N1131" s="6">
        <x:f t="shared" si="56"/>
        <x:v>59298.619999999988</x:v>
      </x:c>
    </x:row>
    <x:row r="1132" spans="1:14" x14ac:dyDescent="0.25">
      <x:c r="A1132" t="s">
        <x:v>17</x:v>
      </x:c>
      <x:c r="B1132" s="3" t="s">
        <x:v>91</x:v>
      </x:c>
      <x:c r="C1132" s="3" t="s">
        <x:v>408</x:v>
      </x:c>
      <x:c r="D1132" t="s">
        <x:v>677</x:v>
      </x:c>
      <x:c r="E1132" s="6">
        <x:v>0</x:v>
      </x:c>
      <x:c r="F1132" s="6">
        <x:v>0</x:v>
      </x:c>
      <x:c r="G1132" s="6">
        <x:v>0</x:v>
      </x:c>
      <x:c r="H1132" s="6">
        <x:f t="shared" si="54"/>
        <x:v>0</x:v>
      </x:c>
      <x:c r="I1132" s="6">
        <x:v>841.15</x:v>
      </x:c>
      <x:c r="J1132" s="6">
        <x:v>0</x:v>
      </x:c>
      <x:c r="K1132" s="6">
        <x:f t="shared" si="55"/>
        <x:v>841.15</x:v>
      </x:c>
      <x:c r="L1132" s="6">
        <x:v>0</x:v>
      </x:c>
      <x:c r="M1132" s="6">
        <x:v>0</x:v>
      </x:c>
      <x:c r="N1132" s="6">
        <x:f t="shared" si="56"/>
        <x:v>841.15</x:v>
      </x:c>
    </x:row>
    <x:row r="1133" spans="1:14" x14ac:dyDescent="0.25">
      <x:c r="A1133" t="s">
        <x:v>17</x:v>
      </x:c>
      <x:c r="B1133" s="3" t="s">
        <x:v>92</x:v>
      </x:c>
      <x:c r="C1133" s="3" t="s">
        <x:v>409</x:v>
      </x:c>
      <x:c r="D1133" t="s">
        <x:v>677</x:v>
      </x:c>
      <x:c r="E1133" s="6">
        <x:v>0</x:v>
      </x:c>
      <x:c r="F1133" s="6">
        <x:v>0</x:v>
      </x:c>
      <x:c r="G1133" s="6">
        <x:v>0</x:v>
      </x:c>
      <x:c r="H1133" s="6">
        <x:f t="shared" si="54"/>
        <x:v>0</x:v>
      </x:c>
      <x:c r="I1133" s="6">
        <x:v>17632.310000000001</x:v>
      </x:c>
      <x:c r="J1133" s="6">
        <x:v>0</x:v>
      </x:c>
      <x:c r="K1133" s="6">
        <x:f t="shared" si="55"/>
        <x:v>17632.310000000001</x:v>
      </x:c>
      <x:c r="L1133" s="6">
        <x:v>0</x:v>
      </x:c>
      <x:c r="M1133" s="6">
        <x:v>0</x:v>
      </x:c>
      <x:c r="N1133" s="6">
        <x:f t="shared" si="56"/>
        <x:v>17632.310000000001</x:v>
      </x:c>
    </x:row>
    <x:row r="1134" spans="1:14" x14ac:dyDescent="0.25">
      <x:c r="A1134" t="s">
        <x:v>17</x:v>
      </x:c>
      <x:c r="B1134" s="3" t="s">
        <x:v>93</x:v>
      </x:c>
      <x:c r="C1134" s="3" t="s">
        <x:v>410</x:v>
      </x:c>
      <x:c r="D1134" t="s">
        <x:v>677</x:v>
      </x:c>
      <x:c r="E1134" s="6">
        <x:v>0</x:v>
      </x:c>
      <x:c r="F1134" s="6">
        <x:v>0</x:v>
      </x:c>
      <x:c r="G1134" s="6">
        <x:v>0</x:v>
      </x:c>
      <x:c r="H1134" s="6">
        <x:f t="shared" si="54"/>
        <x:v>0</x:v>
      </x:c>
      <x:c r="I1134" s="6">
        <x:v>8710.6</x:v>
      </x:c>
      <x:c r="J1134" s="6">
        <x:v>0</x:v>
      </x:c>
      <x:c r="K1134" s="6">
        <x:f t="shared" si="55"/>
        <x:v>8710.6</x:v>
      </x:c>
      <x:c r="L1134" s="6">
        <x:v>0</x:v>
      </x:c>
      <x:c r="M1134" s="6">
        <x:v>0</x:v>
      </x:c>
      <x:c r="N1134" s="6">
        <x:f t="shared" si="56"/>
        <x:v>8710.6</x:v>
      </x:c>
    </x:row>
    <x:row r="1135" spans="1:14" x14ac:dyDescent="0.25">
      <x:c r="A1135" t="s">
        <x:v>17</x:v>
      </x:c>
      <x:c r="B1135" s="3" t="s">
        <x:v>94</x:v>
      </x:c>
      <x:c r="C1135" s="3" t="s">
        <x:v>411</x:v>
      </x:c>
      <x:c r="D1135" t="s">
        <x:v>677</x:v>
      </x:c>
      <x:c r="E1135" s="6">
        <x:v>0</x:v>
      </x:c>
      <x:c r="F1135" s="6">
        <x:v>0</x:v>
      </x:c>
      <x:c r="G1135" s="6">
        <x:v>0</x:v>
      </x:c>
      <x:c r="H1135" s="6">
        <x:f t="shared" si="54"/>
        <x:v>0</x:v>
      </x:c>
      <x:c r="I1135" s="6">
        <x:v>82159.61</x:v>
      </x:c>
      <x:c r="J1135" s="6">
        <x:v>0</x:v>
      </x:c>
      <x:c r="K1135" s="6">
        <x:f t="shared" si="55"/>
        <x:v>82159.61</x:v>
      </x:c>
      <x:c r="L1135" s="6">
        <x:v>0</x:v>
      </x:c>
      <x:c r="M1135" s="6">
        <x:v>0</x:v>
      </x:c>
      <x:c r="N1135" s="6">
        <x:f t="shared" si="56"/>
        <x:v>82159.61</x:v>
      </x:c>
    </x:row>
    <x:row r="1136" spans="1:14" x14ac:dyDescent="0.25">
      <x:c r="A1136" t="s">
        <x:v>17</x:v>
      </x:c>
      <x:c r="B1136" s="3" t="s">
        <x:v>95</x:v>
      </x:c>
      <x:c r="C1136" s="3" t="s">
        <x:v>412</x:v>
      </x:c>
      <x:c r="D1136" t="s">
        <x:v>677</x:v>
      </x:c>
      <x:c r="E1136" s="6">
        <x:v>0</x:v>
      </x:c>
      <x:c r="F1136" s="6">
        <x:v>0</x:v>
      </x:c>
      <x:c r="G1136" s="6">
        <x:v>0</x:v>
      </x:c>
      <x:c r="H1136" s="6">
        <x:f t="shared" si="54"/>
        <x:v>0</x:v>
      </x:c>
      <x:c r="I1136" s="6">
        <x:v>13753.01</x:v>
      </x:c>
      <x:c r="J1136" s="6">
        <x:v>0</x:v>
      </x:c>
      <x:c r="K1136" s="6">
        <x:f t="shared" si="55"/>
        <x:v>13753.01</x:v>
      </x:c>
      <x:c r="L1136" s="6">
        <x:v>0</x:v>
      </x:c>
      <x:c r="M1136" s="6">
        <x:v>0</x:v>
      </x:c>
      <x:c r="N1136" s="6">
        <x:f t="shared" si="56"/>
        <x:v>13753.01</x:v>
      </x:c>
    </x:row>
    <x:row r="1137" spans="1:14" x14ac:dyDescent="0.25">
      <x:c r="A1137" t="s">
        <x:v>17</x:v>
      </x:c>
      <x:c r="B1137" s="3" t="s">
        <x:v>96</x:v>
      </x:c>
      <x:c r="C1137" s="3" t="s">
        <x:v>413</x:v>
      </x:c>
      <x:c r="D1137" t="s">
        <x:v>677</x:v>
      </x:c>
      <x:c r="E1137" s="6">
        <x:v>0</x:v>
      </x:c>
      <x:c r="F1137" s="6">
        <x:v>0</x:v>
      </x:c>
      <x:c r="G1137" s="6">
        <x:v>0</x:v>
      </x:c>
      <x:c r="H1137" s="6">
        <x:f t="shared" si="54"/>
        <x:v>0</x:v>
      </x:c>
      <x:c r="I1137" s="6">
        <x:v>2609.0400000000004</x:v>
      </x:c>
      <x:c r="J1137" s="6">
        <x:v>0</x:v>
      </x:c>
      <x:c r="K1137" s="6">
        <x:f t="shared" si="55"/>
        <x:v>2609.0400000000004</x:v>
      </x:c>
      <x:c r="L1137" s="6">
        <x:v>0</x:v>
      </x:c>
      <x:c r="M1137" s="6">
        <x:v>0</x:v>
      </x:c>
      <x:c r="N1137" s="6">
        <x:f t="shared" si="56"/>
        <x:v>2609.0400000000004</x:v>
      </x:c>
    </x:row>
    <x:row r="1138" spans="1:14" x14ac:dyDescent="0.25">
      <x:c r="A1138" t="s">
        <x:v>17</x:v>
      </x:c>
      <x:c r="B1138" s="3" t="s">
        <x:v>97</x:v>
      </x:c>
      <x:c r="C1138" s="3" t="s">
        <x:v>414</x:v>
      </x:c>
      <x:c r="D1138" t="s">
        <x:v>677</x:v>
      </x:c>
      <x:c r="E1138" s="6">
        <x:v>0</x:v>
      </x:c>
      <x:c r="F1138" s="6">
        <x:v>0</x:v>
      </x:c>
      <x:c r="G1138" s="6">
        <x:v>0</x:v>
      </x:c>
      <x:c r="H1138" s="6">
        <x:f t="shared" si="54"/>
        <x:v>0</x:v>
      </x:c>
      <x:c r="I1138" s="6">
        <x:v>40707.130000000005</x:v>
      </x:c>
      <x:c r="J1138" s="6">
        <x:v>0</x:v>
      </x:c>
      <x:c r="K1138" s="6">
        <x:f t="shared" si="55"/>
        <x:v>40707.130000000005</x:v>
      </x:c>
      <x:c r="L1138" s="6">
        <x:v>0</x:v>
      </x:c>
      <x:c r="M1138" s="6">
        <x:v>0</x:v>
      </x:c>
      <x:c r="N1138" s="6">
        <x:f t="shared" si="56"/>
        <x:v>40707.130000000005</x:v>
      </x:c>
    </x:row>
    <x:row r="1139" spans="1:14" x14ac:dyDescent="0.25">
      <x:c r="A1139" t="s">
        <x:v>17</x:v>
      </x:c>
      <x:c r="B1139" s="3" t="s">
        <x:v>98</x:v>
      </x:c>
      <x:c r="C1139" s="3" t="s">
        <x:v>415</x:v>
      </x:c>
      <x:c r="D1139" t="s">
        <x:v>677</x:v>
      </x:c>
      <x:c r="E1139" s="6">
        <x:v>0</x:v>
      </x:c>
      <x:c r="F1139" s="6">
        <x:v>0</x:v>
      </x:c>
      <x:c r="G1139" s="6">
        <x:v>0</x:v>
      </x:c>
      <x:c r="H1139" s="6">
        <x:f t="shared" si="54"/>
        <x:v>0</x:v>
      </x:c>
      <x:c r="I1139" s="6">
        <x:v>9958.31</x:v>
      </x:c>
      <x:c r="J1139" s="6">
        <x:v>0</x:v>
      </x:c>
      <x:c r="K1139" s="6">
        <x:f t="shared" si="55"/>
        <x:v>9958.31</x:v>
      </x:c>
      <x:c r="L1139" s="6">
        <x:v>0</x:v>
      </x:c>
      <x:c r="M1139" s="6">
        <x:v>0</x:v>
      </x:c>
      <x:c r="N1139" s="6">
        <x:f t="shared" si="56"/>
        <x:v>9958.31</x:v>
      </x:c>
    </x:row>
    <x:row r="1140" spans="1:14" x14ac:dyDescent="0.25">
      <x:c r="A1140" t="s">
        <x:v>17</x:v>
      </x:c>
      <x:c r="B1140" s="3" t="s">
        <x:v>99</x:v>
      </x:c>
      <x:c r="C1140" s="3" t="s">
        <x:v>416</x:v>
      </x:c>
      <x:c r="D1140" t="s">
        <x:v>677</x:v>
      </x:c>
      <x:c r="E1140" s="6">
        <x:v>0</x:v>
      </x:c>
      <x:c r="F1140" s="6">
        <x:v>0</x:v>
      </x:c>
      <x:c r="G1140" s="6">
        <x:v>0</x:v>
      </x:c>
      <x:c r="H1140" s="6">
        <x:f t="shared" si="54"/>
        <x:v>0</x:v>
      </x:c>
      <x:c r="I1140" s="6">
        <x:v>11401.929999999997</x:v>
      </x:c>
      <x:c r="J1140" s="6">
        <x:v>0</x:v>
      </x:c>
      <x:c r="K1140" s="6">
        <x:f t="shared" si="55"/>
        <x:v>11401.929999999997</x:v>
      </x:c>
      <x:c r="L1140" s="6">
        <x:v>0</x:v>
      </x:c>
      <x:c r="M1140" s="6">
        <x:v>0</x:v>
      </x:c>
      <x:c r="N1140" s="6">
        <x:f t="shared" si="56"/>
        <x:v>11401.929999999997</x:v>
      </x:c>
    </x:row>
    <x:row r="1141" spans="1:14" x14ac:dyDescent="0.25">
      <x:c r="A1141" t="s">
        <x:v>17</x:v>
      </x:c>
      <x:c r="B1141" s="3" t="s">
        <x:v>100</x:v>
      </x:c>
      <x:c r="C1141" s="3" t="s">
        <x:v>417</x:v>
      </x:c>
      <x:c r="D1141" t="s">
        <x:v>677</x:v>
      </x:c>
      <x:c r="E1141" s="6">
        <x:v>0</x:v>
      </x:c>
      <x:c r="F1141" s="6">
        <x:v>0</x:v>
      </x:c>
      <x:c r="G1141" s="6">
        <x:v>0</x:v>
      </x:c>
      <x:c r="H1141" s="6">
        <x:f t="shared" si="54"/>
        <x:v>0</x:v>
      </x:c>
      <x:c r="I1141" s="6">
        <x:v>4262.79</x:v>
      </x:c>
      <x:c r="J1141" s="6">
        <x:v>0</x:v>
      </x:c>
      <x:c r="K1141" s="6">
        <x:f t="shared" si="55"/>
        <x:v>4262.79</x:v>
      </x:c>
      <x:c r="L1141" s="6">
        <x:v>0</x:v>
      </x:c>
      <x:c r="M1141" s="6">
        <x:v>0</x:v>
      </x:c>
      <x:c r="N1141" s="6">
        <x:f t="shared" si="56"/>
        <x:v>4262.79</x:v>
      </x:c>
    </x:row>
    <x:row r="1142" spans="1:14" x14ac:dyDescent="0.25">
      <x:c r="A1142" t="s">
        <x:v>17</x:v>
      </x:c>
      <x:c r="B1142" s="3" t="s">
        <x:v>57</x:v>
      </x:c>
      <x:c r="C1142" s="3" t="s">
        <x:v>374</x:v>
      </x:c>
      <x:c r="D1142" t="s">
        <x:v>677</x:v>
      </x:c>
      <x:c r="E1142" s="6">
        <x:v>0</x:v>
      </x:c>
      <x:c r="F1142" s="6">
        <x:v>0</x:v>
      </x:c>
      <x:c r="G1142" s="6">
        <x:v>0</x:v>
      </x:c>
      <x:c r="H1142" s="6">
        <x:f t="shared" si="54"/>
        <x:v>0</x:v>
      </x:c>
      <x:c r="I1142" s="6">
        <x:v>290141.58999999997</x:v>
      </x:c>
      <x:c r="J1142" s="6">
        <x:v>0</x:v>
      </x:c>
      <x:c r="K1142" s="6">
        <x:f t="shared" si="55"/>
        <x:v>290141.58999999997</x:v>
      </x:c>
      <x:c r="L1142" s="6">
        <x:v>0</x:v>
      </x:c>
      <x:c r="M1142" s="6">
        <x:v>0</x:v>
      </x:c>
      <x:c r="N1142" s="6">
        <x:f t="shared" si="56"/>
        <x:v>290141.58999999997</x:v>
      </x:c>
    </x:row>
    <x:row r="1143" spans="1:14" x14ac:dyDescent="0.25">
      <x:c r="A1143" t="s">
        <x:v>17</x:v>
      </x:c>
      <x:c r="B1143" s="3" t="s">
        <x:v>101</x:v>
      </x:c>
      <x:c r="C1143" s="3" t="s">
        <x:v>418</x:v>
      </x:c>
      <x:c r="D1143" t="s">
        <x:v>677</x:v>
      </x:c>
      <x:c r="E1143" s="6">
        <x:v>0</x:v>
      </x:c>
      <x:c r="F1143" s="6">
        <x:v>0</x:v>
      </x:c>
      <x:c r="G1143" s="6">
        <x:v>0</x:v>
      </x:c>
      <x:c r="H1143" s="6">
        <x:f t="shared" si="54"/>
        <x:v>0</x:v>
      </x:c>
      <x:c r="I1143" s="6">
        <x:v>320.89999999999998</x:v>
      </x:c>
      <x:c r="J1143" s="6">
        <x:v>0</x:v>
      </x:c>
      <x:c r="K1143" s="6">
        <x:f t="shared" si="55"/>
        <x:v>320.89999999999998</x:v>
      </x:c>
      <x:c r="L1143" s="6">
        <x:v>0</x:v>
      </x:c>
      <x:c r="M1143" s="6">
        <x:v>0</x:v>
      </x:c>
      <x:c r="N1143" s="6">
        <x:f t="shared" si="56"/>
        <x:v>320.89999999999998</x:v>
      </x:c>
    </x:row>
    <x:row r="1144" spans="1:14" x14ac:dyDescent="0.25">
      <x:c r="A1144" t="s">
        <x:v>17</x:v>
      </x:c>
      <x:c r="B1144" s="3" t="s">
        <x:v>102</x:v>
      </x:c>
      <x:c r="C1144" s="3" t="s">
        <x:v>419</x:v>
      </x:c>
      <x:c r="D1144" t="s">
        <x:v>677</x:v>
      </x:c>
      <x:c r="E1144" s="6">
        <x:v>0</x:v>
      </x:c>
      <x:c r="F1144" s="6">
        <x:v>0</x:v>
      </x:c>
      <x:c r="G1144" s="6">
        <x:v>0</x:v>
      </x:c>
      <x:c r="H1144" s="6">
        <x:f t="shared" si="54"/>
        <x:v>0</x:v>
      </x:c>
      <x:c r="I1144" s="6">
        <x:v>11798.429999999998</x:v>
      </x:c>
      <x:c r="J1144" s="6">
        <x:v>0</x:v>
      </x:c>
      <x:c r="K1144" s="6">
        <x:f t="shared" si="55"/>
        <x:v>11798.429999999998</x:v>
      </x:c>
      <x:c r="L1144" s="6">
        <x:v>0</x:v>
      </x:c>
      <x:c r="M1144" s="6">
        <x:v>0</x:v>
      </x:c>
      <x:c r="N1144" s="6">
        <x:f t="shared" si="56"/>
        <x:v>11798.429999999998</x:v>
      </x:c>
    </x:row>
    <x:row r="1145" spans="1:14" x14ac:dyDescent="0.25">
      <x:c r="A1145" t="s">
        <x:v>17</x:v>
      </x:c>
      <x:c r="B1145" s="3" t="s">
        <x:v>103</x:v>
      </x:c>
      <x:c r="C1145" s="3" t="s">
        <x:v>420</x:v>
      </x:c>
      <x:c r="D1145" t="s">
        <x:v>677</x:v>
      </x:c>
      <x:c r="E1145" s="6">
        <x:v>0</x:v>
      </x:c>
      <x:c r="F1145" s="6">
        <x:v>0</x:v>
      </x:c>
      <x:c r="G1145" s="6">
        <x:v>0</x:v>
      </x:c>
      <x:c r="H1145" s="6">
        <x:f t="shared" si="54"/>
        <x:v>0</x:v>
      </x:c>
      <x:c r="I1145" s="6">
        <x:v>18009.63</x:v>
      </x:c>
      <x:c r="J1145" s="6">
        <x:v>0</x:v>
      </x:c>
      <x:c r="K1145" s="6">
        <x:f t="shared" si="55"/>
        <x:v>18009.63</x:v>
      </x:c>
      <x:c r="L1145" s="6">
        <x:v>0</x:v>
      </x:c>
      <x:c r="M1145" s="6">
        <x:v>0</x:v>
      </x:c>
      <x:c r="N1145" s="6">
        <x:f t="shared" si="56"/>
        <x:v>18009.63</x:v>
      </x:c>
    </x:row>
    <x:row r="1146" spans="1:14" x14ac:dyDescent="0.25">
      <x:c r="A1146" t="s">
        <x:v>17</x:v>
      </x:c>
      <x:c r="B1146" s="3" t="s">
        <x:v>104</x:v>
      </x:c>
      <x:c r="C1146" s="3" t="s">
        <x:v>421</x:v>
      </x:c>
      <x:c r="D1146" t="s">
        <x:v>677</x:v>
      </x:c>
      <x:c r="E1146" s="6">
        <x:v>0</x:v>
      </x:c>
      <x:c r="F1146" s="6">
        <x:v>0</x:v>
      </x:c>
      <x:c r="G1146" s="6">
        <x:v>0</x:v>
      </x:c>
      <x:c r="H1146" s="6">
        <x:f t="shared" si="54"/>
        <x:v>0</x:v>
      </x:c>
      <x:c r="I1146" s="6">
        <x:v>18375.979999999996</x:v>
      </x:c>
      <x:c r="J1146" s="6">
        <x:v>0</x:v>
      </x:c>
      <x:c r="K1146" s="6">
        <x:f t="shared" si="55"/>
        <x:v>18375.979999999996</x:v>
      </x:c>
      <x:c r="L1146" s="6">
        <x:v>0</x:v>
      </x:c>
      <x:c r="M1146" s="6">
        <x:v>0</x:v>
      </x:c>
      <x:c r="N1146" s="6">
        <x:f t="shared" si="56"/>
        <x:v>18375.979999999996</x:v>
      </x:c>
    </x:row>
    <x:row r="1147" spans="1:14" x14ac:dyDescent="0.25">
      <x:c r="A1147" t="s">
        <x:v>17</x:v>
      </x:c>
      <x:c r="B1147" s="3" t="s">
        <x:v>105</x:v>
      </x:c>
      <x:c r="C1147" s="3" t="s">
        <x:v>422</x:v>
      </x:c>
      <x:c r="D1147" t="s">
        <x:v>677</x:v>
      </x:c>
      <x:c r="E1147" s="6">
        <x:v>0</x:v>
      </x:c>
      <x:c r="F1147" s="6">
        <x:v>0</x:v>
      </x:c>
      <x:c r="G1147" s="6">
        <x:v>0</x:v>
      </x:c>
      <x:c r="H1147" s="6">
        <x:f t="shared" si="54"/>
        <x:v>0</x:v>
      </x:c>
      <x:c r="I1147" s="6">
        <x:v>17661.07</x:v>
      </x:c>
      <x:c r="J1147" s="6">
        <x:v>0</x:v>
      </x:c>
      <x:c r="K1147" s="6">
        <x:f t="shared" si="55"/>
        <x:v>17661.07</x:v>
      </x:c>
      <x:c r="L1147" s="6">
        <x:v>0</x:v>
      </x:c>
      <x:c r="M1147" s="6">
        <x:v>0</x:v>
      </x:c>
      <x:c r="N1147" s="6">
        <x:f t="shared" si="56"/>
        <x:v>17661.07</x:v>
      </x:c>
    </x:row>
    <x:row r="1148" spans="1:14" x14ac:dyDescent="0.25">
      <x:c r="A1148" t="s">
        <x:v>17</x:v>
      </x:c>
      <x:c r="B1148" s="3" t="s">
        <x:v>106</x:v>
      </x:c>
      <x:c r="C1148" s="3" t="s">
        <x:v>423</x:v>
      </x:c>
      <x:c r="D1148" t="s">
        <x:v>677</x:v>
      </x:c>
      <x:c r="E1148" s="6">
        <x:v>0</x:v>
      </x:c>
      <x:c r="F1148" s="6">
        <x:v>0</x:v>
      </x:c>
      <x:c r="G1148" s="6">
        <x:v>0</x:v>
      </x:c>
      <x:c r="H1148" s="6">
        <x:f t="shared" si="54"/>
        <x:v>0</x:v>
      </x:c>
      <x:c r="I1148" s="6">
        <x:v>2546.96</x:v>
      </x:c>
      <x:c r="J1148" s="6">
        <x:v>0</x:v>
      </x:c>
      <x:c r="K1148" s="6">
        <x:f t="shared" si="55"/>
        <x:v>2546.96</x:v>
      </x:c>
      <x:c r="L1148" s="6">
        <x:v>0</x:v>
      </x:c>
      <x:c r="M1148" s="6">
        <x:v>0</x:v>
      </x:c>
      <x:c r="N1148" s="6">
        <x:f t="shared" si="56"/>
        <x:v>2546.96</x:v>
      </x:c>
    </x:row>
    <x:row r="1149" spans="1:14" x14ac:dyDescent="0.25">
      <x:c r="A1149" t="s">
        <x:v>17</x:v>
      </x:c>
      <x:c r="B1149" s="3" t="s">
        <x:v>107</x:v>
      </x:c>
      <x:c r="C1149" s="3" t="s">
        <x:v>424</x:v>
      </x:c>
      <x:c r="D1149" t="s">
        <x:v>677</x:v>
      </x:c>
      <x:c r="E1149" s="6">
        <x:v>0</x:v>
      </x:c>
      <x:c r="F1149" s="6">
        <x:v>0</x:v>
      </x:c>
      <x:c r="G1149" s="6">
        <x:v>0</x:v>
      </x:c>
      <x:c r="H1149" s="6">
        <x:f t="shared" si="54"/>
        <x:v>0</x:v>
      </x:c>
      <x:c r="I1149" s="6">
        <x:v>8289.619999999999</x:v>
      </x:c>
      <x:c r="J1149" s="6">
        <x:v>0</x:v>
      </x:c>
      <x:c r="K1149" s="6">
        <x:f t="shared" si="55"/>
        <x:v>8289.619999999999</x:v>
      </x:c>
      <x:c r="L1149" s="6">
        <x:v>0</x:v>
      </x:c>
      <x:c r="M1149" s="6">
        <x:v>0</x:v>
      </x:c>
      <x:c r="N1149" s="6">
        <x:f t="shared" si="56"/>
        <x:v>8289.619999999999</x:v>
      </x:c>
    </x:row>
    <x:row r="1150" spans="1:14" x14ac:dyDescent="0.25">
      <x:c r="A1150" t="s">
        <x:v>17</x:v>
      </x:c>
      <x:c r="B1150" s="3" t="s">
        <x:v>108</x:v>
      </x:c>
      <x:c r="C1150" s="3" t="s">
        <x:v>425</x:v>
      </x:c>
      <x:c r="D1150" t="s">
        <x:v>677</x:v>
      </x:c>
      <x:c r="E1150" s="6">
        <x:v>0</x:v>
      </x:c>
      <x:c r="F1150" s="6">
        <x:v>0</x:v>
      </x:c>
      <x:c r="G1150" s="6">
        <x:v>0</x:v>
      </x:c>
      <x:c r="H1150" s="6">
        <x:f t="shared" si="54"/>
        <x:v>0</x:v>
      </x:c>
      <x:c r="I1150" s="6">
        <x:v>43710.320000000022</x:v>
      </x:c>
      <x:c r="J1150" s="6">
        <x:v>0</x:v>
      </x:c>
      <x:c r="K1150" s="6">
        <x:f t="shared" si="55"/>
        <x:v>43710.320000000022</x:v>
      </x:c>
      <x:c r="L1150" s="6">
        <x:v>0</x:v>
      </x:c>
      <x:c r="M1150" s="6">
        <x:v>0</x:v>
      </x:c>
      <x:c r="N1150" s="6">
        <x:f t="shared" si="56"/>
        <x:v>43710.320000000022</x:v>
      </x:c>
    </x:row>
    <x:row r="1151" spans="1:14" x14ac:dyDescent="0.25">
      <x:c r="A1151" t="s">
        <x:v>17</x:v>
      </x:c>
      <x:c r="B1151" s="3" t="s">
        <x:v>109</x:v>
      </x:c>
      <x:c r="C1151" s="3" t="s">
        <x:v>426</x:v>
      </x:c>
      <x:c r="D1151" t="s">
        <x:v>677</x:v>
      </x:c>
      <x:c r="E1151" s="6">
        <x:v>0</x:v>
      </x:c>
      <x:c r="F1151" s="6">
        <x:v>0</x:v>
      </x:c>
      <x:c r="G1151" s="6">
        <x:v>0</x:v>
      </x:c>
      <x:c r="H1151" s="6">
        <x:f t="shared" si="54"/>
        <x:v>0</x:v>
      </x:c>
      <x:c r="I1151" s="6">
        <x:v>16624.919999999998</x:v>
      </x:c>
      <x:c r="J1151" s="6">
        <x:v>0</x:v>
      </x:c>
      <x:c r="K1151" s="6">
        <x:f t="shared" si="55"/>
        <x:v>16624.919999999998</x:v>
      </x:c>
      <x:c r="L1151" s="6">
        <x:v>0</x:v>
      </x:c>
      <x:c r="M1151" s="6">
        <x:v>0</x:v>
      </x:c>
      <x:c r="N1151" s="6">
        <x:f t="shared" si="56"/>
        <x:v>16624.919999999998</x:v>
      </x:c>
    </x:row>
    <x:row r="1152" spans="1:14" x14ac:dyDescent="0.25">
      <x:c r="A1152" t="s">
        <x:v>17</x:v>
      </x:c>
      <x:c r="B1152" s="3" t="s">
        <x:v>110</x:v>
      </x:c>
      <x:c r="C1152" s="3" t="s">
        <x:v>427</x:v>
      </x:c>
      <x:c r="D1152" t="s">
        <x:v>677</x:v>
      </x:c>
      <x:c r="E1152" s="6">
        <x:v>0</x:v>
      </x:c>
      <x:c r="F1152" s="6">
        <x:v>0</x:v>
      </x:c>
      <x:c r="G1152" s="6">
        <x:v>0</x:v>
      </x:c>
      <x:c r="H1152" s="6">
        <x:f t="shared" si="54"/>
        <x:v>0</x:v>
      </x:c>
      <x:c r="I1152" s="6">
        <x:v>34945.539999999994</x:v>
      </x:c>
      <x:c r="J1152" s="6">
        <x:v>0</x:v>
      </x:c>
      <x:c r="K1152" s="6">
        <x:f t="shared" si="55"/>
        <x:v>34945.539999999994</x:v>
      </x:c>
      <x:c r="L1152" s="6">
        <x:v>0</x:v>
      </x:c>
      <x:c r="M1152" s="6">
        <x:v>0</x:v>
      </x:c>
      <x:c r="N1152" s="6">
        <x:f t="shared" si="56"/>
        <x:v>34945.539999999994</x:v>
      </x:c>
    </x:row>
    <x:row r="1153" spans="1:14" x14ac:dyDescent="0.25">
      <x:c r="A1153" t="s">
        <x:v>17</x:v>
      </x:c>
      <x:c r="B1153" s="3" t="s">
        <x:v>245</x:v>
      </x:c>
      <x:c r="C1153" s="3" t="s">
        <x:v>560</x:v>
      </x:c>
      <x:c r="D1153" t="s">
        <x:v>676</x:v>
      </x:c>
      <x:c r="E1153" s="6">
        <x:v>0</x:v>
      </x:c>
      <x:c r="F1153" s="6">
        <x:v>0</x:v>
      </x:c>
      <x:c r="G1153" s="6">
        <x:v>0</x:v>
      </x:c>
      <x:c r="H1153" s="6">
        <x:f t="shared" si="54"/>
        <x:v>0</x:v>
      </x:c>
      <x:c r="I1153" s="6">
        <x:v>0</x:v>
      </x:c>
      <x:c r="J1153" s="6">
        <x:v>0</x:v>
      </x:c>
      <x:c r="K1153" s="6">
        <x:f t="shared" si="55"/>
        <x:v>0</x:v>
      </x:c>
      <x:c r="L1153" s="6">
        <x:v>-6364.21</x:v>
      </x:c>
      <x:c r="M1153" s="6">
        <x:v>0</x:v>
      </x:c>
      <x:c r="N1153" s="6">
        <x:f t="shared" si="56"/>
        <x:v>-6364.21</x:v>
      </x:c>
    </x:row>
    <x:row r="1154" spans="1:14" x14ac:dyDescent="0.25">
      <x:c r="A1154" t="s">
        <x:v>17</x:v>
      </x:c>
      <x:c r="B1154" s="3" t="s">
        <x:v>248</x:v>
      </x:c>
      <x:c r="C1154" s="3" t="s">
        <x:v>563</x:v>
      </x:c>
      <x:c r="D1154" t="s">
        <x:v>676</x:v>
      </x:c>
      <x:c r="E1154" s="6">
        <x:v>0</x:v>
      </x:c>
      <x:c r="F1154" s="6">
        <x:v>0</x:v>
      </x:c>
      <x:c r="G1154" s="6">
        <x:v>0</x:v>
      </x:c>
      <x:c r="H1154" s="6">
        <x:f t="shared" si="54"/>
        <x:v>0</x:v>
      </x:c>
      <x:c r="I1154" s="6">
        <x:v>0</x:v>
      </x:c>
      <x:c r="J1154" s="6">
        <x:v>0</x:v>
      </x:c>
      <x:c r="K1154" s="6">
        <x:f t="shared" si="55"/>
        <x:v>0</x:v>
      </x:c>
      <x:c r="L1154" s="6">
        <x:v>1267.72</x:v>
      </x:c>
      <x:c r="M1154" s="6">
        <x:v>0</x:v>
      </x:c>
      <x:c r="N1154" s="6">
        <x:f t="shared" si="56"/>
        <x:v>1267.72</x:v>
      </x:c>
    </x:row>
    <x:row r="1155" spans="1:14" x14ac:dyDescent="0.25">
      <x:c r="A1155" t="s">
        <x:v>17</x:v>
      </x:c>
      <x:c r="B1155" s="3" t="s">
        <x:v>112</x:v>
      </x:c>
      <x:c r="C1155" s="3" t="s">
        <x:v>429</x:v>
      </x:c>
      <x:c r="D1155" t="s">
        <x:v>676</x:v>
      </x:c>
      <x:c r="E1155" s="6">
        <x:v>0</x:v>
      </x:c>
      <x:c r="F1155" s="6">
        <x:v>0</x:v>
      </x:c>
      <x:c r="G1155" s="6">
        <x:v>0</x:v>
      </x:c>
      <x:c r="H1155" s="6">
        <x:f t="shared" si="54"/>
        <x:v>0</x:v>
      </x:c>
      <x:c r="I1155" s="6">
        <x:v>0</x:v>
      </x:c>
      <x:c r="J1155" s="6">
        <x:v>0</x:v>
      </x:c>
      <x:c r="K1155" s="6">
        <x:f t="shared" si="55"/>
        <x:v>0</x:v>
      </x:c>
      <x:c r="L1155" s="6">
        <x:v>67833.69</x:v>
      </x:c>
      <x:c r="M1155" s="6">
        <x:v>0</x:v>
      </x:c>
      <x:c r="N1155" s="6">
        <x:f t="shared" si="56"/>
        <x:v>67833.69</x:v>
      </x:c>
    </x:row>
    <x:row r="1156" spans="1:14" x14ac:dyDescent="0.25">
      <x:c r="A1156" t="s">
        <x:v>17</x:v>
      </x:c>
      <x:c r="B1156" s="3" t="s">
        <x:v>113</x:v>
      </x:c>
      <x:c r="C1156" s="3" t="s">
        <x:v>430</x:v>
      </x:c>
      <x:c r="D1156" t="s">
        <x:v>676</x:v>
      </x:c>
      <x:c r="E1156" s="6">
        <x:v>0</x:v>
      </x:c>
      <x:c r="F1156" s="6">
        <x:v>0</x:v>
      </x:c>
      <x:c r="G1156" s="6">
        <x:v>0</x:v>
      </x:c>
      <x:c r="H1156" s="6">
        <x:f t="shared" si="54"/>
        <x:v>0</x:v>
      </x:c>
      <x:c r="I1156" s="6">
        <x:v>0</x:v>
      </x:c>
      <x:c r="J1156" s="6">
        <x:v>0</x:v>
      </x:c>
      <x:c r="K1156" s="6">
        <x:f t="shared" si="55"/>
        <x:v>0</x:v>
      </x:c>
      <x:c r="L1156" s="6">
        <x:v>55673.070000000007</x:v>
      </x:c>
      <x:c r="M1156" s="6">
        <x:v>0</x:v>
      </x:c>
      <x:c r="N1156" s="6">
        <x:f t="shared" si="56"/>
        <x:v>55673.070000000007</x:v>
      </x:c>
    </x:row>
    <x:row r="1157" spans="1:14" x14ac:dyDescent="0.25">
      <x:c r="A1157" t="s">
        <x:v>17</x:v>
      </x:c>
      <x:c r="B1157" s="3" t="s">
        <x:v>44</x:v>
      </x:c>
      <x:c r="C1157" s="3" t="s">
        <x:v>361</x:v>
      </x:c>
      <x:c r="D1157" t="s">
        <x:v>676</x:v>
      </x:c>
      <x:c r="E1157" s="6">
        <x:v>0</x:v>
      </x:c>
      <x:c r="F1157" s="6">
        <x:v>0</x:v>
      </x:c>
      <x:c r="G1157" s="6">
        <x:v>0</x:v>
      </x:c>
      <x:c r="H1157" s="6">
        <x:f t="shared" si="54"/>
        <x:v>0</x:v>
      </x:c>
      <x:c r="I1157" s="6">
        <x:v>0</x:v>
      </x:c>
      <x:c r="J1157" s="6">
        <x:v>0</x:v>
      </x:c>
      <x:c r="K1157" s="6">
        <x:f t="shared" si="55"/>
        <x:v>0</x:v>
      </x:c>
      <x:c r="L1157" s="6">
        <x:v>2271.4599999999996</x:v>
      </x:c>
      <x:c r="M1157" s="6">
        <x:v>0</x:v>
      </x:c>
      <x:c r="N1157" s="6">
        <x:f t="shared" si="56"/>
        <x:v>2271.4599999999996</x:v>
      </x:c>
    </x:row>
    <x:row r="1158" spans="1:14" x14ac:dyDescent="0.25">
      <x:c r="A1158" t="s">
        <x:v>17</x:v>
      </x:c>
      <x:c r="B1158" s="3" t="s">
        <x:v>251</x:v>
      </x:c>
      <x:c r="C1158" s="3" t="s">
        <x:v>566</x:v>
      </x:c>
      <x:c r="D1158" t="s">
        <x:v>676</x:v>
      </x:c>
      <x:c r="E1158" s="6">
        <x:v>0</x:v>
      </x:c>
      <x:c r="F1158" s="6">
        <x:v>0</x:v>
      </x:c>
      <x:c r="G1158" s="6">
        <x:v>0</x:v>
      </x:c>
      <x:c r="H1158" s="6">
        <x:f t="shared" si="54"/>
        <x:v>0</x:v>
      </x:c>
      <x:c r="I1158" s="6">
        <x:v>0</x:v>
      </x:c>
      <x:c r="J1158" s="6">
        <x:v>0</x:v>
      </x:c>
      <x:c r="K1158" s="6">
        <x:f t="shared" si="55"/>
        <x:v>0</x:v>
      </x:c>
      <x:c r="L1158" s="6">
        <x:v>2956.08</x:v>
      </x:c>
      <x:c r="M1158" s="6">
        <x:v>0</x:v>
      </x:c>
      <x:c r="N1158" s="6">
        <x:f t="shared" si="56"/>
        <x:v>2956.08</x:v>
      </x:c>
    </x:row>
    <x:row r="1159" spans="1:14" x14ac:dyDescent="0.25">
      <x:c r="A1159" t="s">
        <x:v>17</x:v>
      </x:c>
      <x:c r="B1159" s="3" t="s">
        <x:v>252</x:v>
      </x:c>
      <x:c r="C1159" s="3" t="s">
        <x:v>567</x:v>
      </x:c>
      <x:c r="D1159" t="s">
        <x:v>676</x:v>
      </x:c>
      <x:c r="E1159" s="6">
        <x:v>0</x:v>
      </x:c>
      <x:c r="F1159" s="6">
        <x:v>0</x:v>
      </x:c>
      <x:c r="G1159" s="6">
        <x:v>0</x:v>
      </x:c>
      <x:c r="H1159" s="6">
        <x:f t="shared" si="54"/>
        <x:v>0</x:v>
      </x:c>
      <x:c r="I1159" s="6">
        <x:v>0</x:v>
      </x:c>
      <x:c r="J1159" s="6">
        <x:v>0</x:v>
      </x:c>
      <x:c r="K1159" s="6">
        <x:f t="shared" si="55"/>
        <x:v>0</x:v>
      </x:c>
      <x:c r="L1159" s="6">
        <x:v>0.02</x:v>
      </x:c>
      <x:c r="M1159" s="6">
        <x:v>0</x:v>
      </x:c>
      <x:c r="N1159" s="6">
        <x:f t="shared" si="56"/>
        <x:v>0.02</x:v>
      </x:c>
    </x:row>
    <x:row r="1160" spans="1:14" x14ac:dyDescent="0.25">
      <x:c r="A1160" t="s">
        <x:v>17</x:v>
      </x:c>
      <x:c r="B1160" s="3" t="s">
        <x:v>114</x:v>
      </x:c>
      <x:c r="C1160" s="3" t="s">
        <x:v>431</x:v>
      </x:c>
      <x:c r="D1160" t="s">
        <x:v>676</x:v>
      </x:c>
      <x:c r="E1160" s="6">
        <x:v>0</x:v>
      </x:c>
      <x:c r="F1160" s="6">
        <x:v>0</x:v>
      </x:c>
      <x:c r="G1160" s="6">
        <x:v>0</x:v>
      </x:c>
      <x:c r="H1160" s="6">
        <x:f t="shared" si="54"/>
        <x:v>0</x:v>
      </x:c>
      <x:c r="I1160" s="6">
        <x:v>0</x:v>
      </x:c>
      <x:c r="J1160" s="6">
        <x:v>0</x:v>
      </x:c>
      <x:c r="K1160" s="6">
        <x:f t="shared" si="55"/>
        <x:v>0</x:v>
      </x:c>
      <x:c r="L1160" s="6">
        <x:v>32685.209999999995</x:v>
      </x:c>
      <x:c r="M1160" s="6">
        <x:v>0</x:v>
      </x:c>
      <x:c r="N1160" s="6">
        <x:f t="shared" si="56"/>
        <x:v>32685.209999999995</x:v>
      </x:c>
    </x:row>
    <x:row r="1161" spans="1:14" x14ac:dyDescent="0.25">
      <x:c r="A1161" t="s">
        <x:v>17</x:v>
      </x:c>
      <x:c r="B1161" s="3" t="s">
        <x:v>253</x:v>
      </x:c>
      <x:c r="C1161" s="3" t="s">
        <x:v>568</x:v>
      </x:c>
      <x:c r="D1161" t="s">
        <x:v>676</x:v>
      </x:c>
      <x:c r="E1161" s="6">
        <x:v>0</x:v>
      </x:c>
      <x:c r="F1161" s="6">
        <x:v>0</x:v>
      </x:c>
      <x:c r="G1161" s="6">
        <x:v>0</x:v>
      </x:c>
      <x:c r="H1161" s="6">
        <x:f t="shared" si="54"/>
        <x:v>0</x:v>
      </x:c>
      <x:c r="I1161" s="6">
        <x:v>0</x:v>
      </x:c>
      <x:c r="J1161" s="6">
        <x:v>0</x:v>
      </x:c>
      <x:c r="K1161" s="6">
        <x:f t="shared" si="55"/>
        <x:v>0</x:v>
      </x:c>
      <x:c r="L1161" s="6">
        <x:v>2759.66</x:v>
      </x:c>
      <x:c r="M1161" s="6">
        <x:v>0</x:v>
      </x:c>
      <x:c r="N1161" s="6">
        <x:f t="shared" si="56"/>
        <x:v>2759.66</x:v>
      </x:c>
    </x:row>
    <x:row r="1162" spans="1:14" x14ac:dyDescent="0.25">
      <x:c r="A1162" t="s">
        <x:v>17</x:v>
      </x:c>
      <x:c r="B1162" s="3" t="s">
        <x:v>254</x:v>
      </x:c>
      <x:c r="C1162" s="3" t="s">
        <x:v>569</x:v>
      </x:c>
      <x:c r="D1162" t="s">
        <x:v>676</x:v>
      </x:c>
      <x:c r="E1162" s="6">
        <x:v>0</x:v>
      </x:c>
      <x:c r="F1162" s="6">
        <x:v>0</x:v>
      </x:c>
      <x:c r="G1162" s="6">
        <x:v>0</x:v>
      </x:c>
      <x:c r="H1162" s="6">
        <x:f t="shared" si="54"/>
        <x:v>0</x:v>
      </x:c>
      <x:c r="I1162" s="6">
        <x:v>0</x:v>
      </x:c>
      <x:c r="J1162" s="6">
        <x:v>0</x:v>
      </x:c>
      <x:c r="K1162" s="6">
        <x:f t="shared" si="55"/>
        <x:v>0</x:v>
      </x:c>
      <x:c r="L1162" s="6">
        <x:v>3089.31</x:v>
      </x:c>
      <x:c r="M1162" s="6">
        <x:v>0</x:v>
      </x:c>
      <x:c r="N1162" s="6">
        <x:f t="shared" si="56"/>
        <x:v>3089.31</x:v>
      </x:c>
    </x:row>
    <x:row r="1163" spans="1:14" x14ac:dyDescent="0.25">
      <x:c r="A1163" t="s">
        <x:v>17</x:v>
      </x:c>
      <x:c r="B1163" s="3" t="s">
        <x:v>115</x:v>
      </x:c>
      <x:c r="C1163" s="3" t="s">
        <x:v>432</x:v>
      </x:c>
      <x:c r="D1163" t="s">
        <x:v>676</x:v>
      </x:c>
      <x:c r="E1163" s="6">
        <x:v>0</x:v>
      </x:c>
      <x:c r="F1163" s="6">
        <x:v>0</x:v>
      </x:c>
      <x:c r="G1163" s="6">
        <x:v>0</x:v>
      </x:c>
      <x:c r="H1163" s="6">
        <x:f t="shared" si="54"/>
        <x:v>0</x:v>
      </x:c>
      <x:c r="I1163" s="6">
        <x:v>0</x:v>
      </x:c>
      <x:c r="J1163" s="6">
        <x:v>0</x:v>
      </x:c>
      <x:c r="K1163" s="6">
        <x:f t="shared" si="55"/>
        <x:v>0</x:v>
      </x:c>
      <x:c r="L1163" s="6">
        <x:v>78927.320000000007</x:v>
      </x:c>
      <x:c r="M1163" s="6">
        <x:v>0</x:v>
      </x:c>
      <x:c r="N1163" s="6">
        <x:f t="shared" si="56"/>
        <x:v>78927.320000000007</x:v>
      </x:c>
    </x:row>
    <x:row r="1164" spans="1:14" x14ac:dyDescent="0.25">
      <x:c r="A1164" t="s">
        <x:v>17</x:v>
      </x:c>
      <x:c r="B1164" s="3" t="s">
        <x:v>116</x:v>
      </x:c>
      <x:c r="C1164" s="3" t="s">
        <x:v>433</x:v>
      </x:c>
      <x:c r="D1164" t="s">
        <x:v>676</x:v>
      </x:c>
      <x:c r="E1164" s="6">
        <x:v>0</x:v>
      </x:c>
      <x:c r="F1164" s="6">
        <x:v>0</x:v>
      </x:c>
      <x:c r="G1164" s="6">
        <x:v>0</x:v>
      </x:c>
      <x:c r="H1164" s="6">
        <x:f t="shared" si="54"/>
        <x:v>0</x:v>
      </x:c>
      <x:c r="I1164" s="6">
        <x:v>0</x:v>
      </x:c>
      <x:c r="J1164" s="6">
        <x:v>0</x:v>
      </x:c>
      <x:c r="K1164" s="6">
        <x:f t="shared" si="55"/>
        <x:v>0</x:v>
      </x:c>
      <x:c r="L1164" s="6">
        <x:v>31938.119999999995</x:v>
      </x:c>
      <x:c r="M1164" s="6">
        <x:v>0</x:v>
      </x:c>
      <x:c r="N1164" s="6">
        <x:f t="shared" si="56"/>
        <x:v>31938.119999999995</x:v>
      </x:c>
    </x:row>
    <x:row r="1165" spans="1:14" x14ac:dyDescent="0.25">
      <x:c r="A1165" t="s">
        <x:v>17</x:v>
      </x:c>
      <x:c r="B1165" s="3" t="s">
        <x:v>257</x:v>
      </x:c>
      <x:c r="C1165" s="3" t="s">
        <x:v>572</x:v>
      </x:c>
      <x:c r="D1165" t="s">
        <x:v>676</x:v>
      </x:c>
      <x:c r="E1165" s="6">
        <x:v>0</x:v>
      </x:c>
      <x:c r="F1165" s="6">
        <x:v>0</x:v>
      </x:c>
      <x:c r="G1165" s="6">
        <x:v>0</x:v>
      </x:c>
      <x:c r="H1165" s="6">
        <x:f t="shared" si="54"/>
        <x:v>0</x:v>
      </x:c>
      <x:c r="I1165" s="6">
        <x:v>0</x:v>
      </x:c>
      <x:c r="J1165" s="6">
        <x:v>0</x:v>
      </x:c>
      <x:c r="K1165" s="6">
        <x:f t="shared" si="55"/>
        <x:v>0</x:v>
      </x:c>
      <x:c r="L1165" s="6">
        <x:v>135813.74</x:v>
      </x:c>
      <x:c r="M1165" s="6">
        <x:v>0</x:v>
      </x:c>
      <x:c r="N1165" s="6">
        <x:f t="shared" si="56"/>
        <x:v>135813.74</x:v>
      </x:c>
    </x:row>
    <x:row r="1166" spans="1:14" x14ac:dyDescent="0.25">
      <x:c r="A1166" t="s">
        <x:v>17</x:v>
      </x:c>
      <x:c r="B1166" s="3" t="s">
        <x:v>258</x:v>
      </x:c>
      <x:c r="C1166" s="3" t="s">
        <x:v>573</x:v>
      </x:c>
      <x:c r="D1166" t="s">
        <x:v>676</x:v>
      </x:c>
      <x:c r="E1166" s="6">
        <x:v>0</x:v>
      </x:c>
      <x:c r="F1166" s="6">
        <x:v>0</x:v>
      </x:c>
      <x:c r="G1166" s="6">
        <x:v>0</x:v>
      </x:c>
      <x:c r="H1166" s="6">
        <x:f t="shared" ref="H1166:H1229" si="57">SUM(E1166:G1166)</x:f>
        <x:v>0</x:v>
      </x:c>
      <x:c r="I1166" s="6">
        <x:v>0</x:v>
      </x:c>
      <x:c r="J1166" s="6">
        <x:v>0</x:v>
      </x:c>
      <x:c r="K1166" s="6">
        <x:f t="shared" ref="K1166:K1229" si="58">SUM(I1166:J1166)</x:f>
        <x:v>0</x:v>
      </x:c>
      <x:c r="L1166" s="6">
        <x:v>120252.11</x:v>
      </x:c>
      <x:c r="M1166" s="6">
        <x:v>0</x:v>
      </x:c>
      <x:c r="N1166" s="6">
        <x:f t="shared" ref="N1166:N1229" si="59">+E1166+F1166+G1166+I1166+J1166+L1166+M1166</x:f>
        <x:v>120252.11</x:v>
      </x:c>
    </x:row>
    <x:row r="1167" spans="1:14" x14ac:dyDescent="0.25">
      <x:c r="A1167" t="s">
        <x:v>17</x:v>
      </x:c>
      <x:c r="B1167" s="3" t="s">
        <x:v>228</x:v>
      </x:c>
      <x:c r="C1167" s="3" t="s">
        <x:v>543</x:v>
      </x:c>
      <x:c r="D1167" t="s">
        <x:v>676</x:v>
      </x:c>
      <x:c r="E1167" s="6">
        <x:v>0</x:v>
      </x:c>
      <x:c r="F1167" s="6">
        <x:v>0</x:v>
      </x:c>
      <x:c r="G1167" s="6">
        <x:v>0</x:v>
      </x:c>
      <x:c r="H1167" s="6">
        <x:f t="shared" si="57"/>
        <x:v>0</x:v>
      </x:c>
      <x:c r="I1167" s="6">
        <x:v>0</x:v>
      </x:c>
      <x:c r="J1167" s="6">
        <x:v>0</x:v>
      </x:c>
      <x:c r="K1167" s="6">
        <x:f t="shared" si="58"/>
        <x:v>0</x:v>
      </x:c>
      <x:c r="L1167" s="6">
        <x:v>157889.17000000001</x:v>
      </x:c>
      <x:c r="M1167" s="6">
        <x:v>0</x:v>
      </x:c>
      <x:c r="N1167" s="6">
        <x:f t="shared" si="59"/>
        <x:v>157889.17000000001</x:v>
      </x:c>
    </x:row>
    <x:row r="1168" spans="1:14" x14ac:dyDescent="0.25">
      <x:c r="A1168" t="s">
        <x:v>17</x:v>
      </x:c>
      <x:c r="B1168" s="3" t="s">
        <x:v>259</x:v>
      </x:c>
      <x:c r="C1168" s="3" t="s">
        <x:v>574</x:v>
      </x:c>
      <x:c r="D1168" t="s">
        <x:v>676</x:v>
      </x:c>
      <x:c r="E1168" s="6">
        <x:v>0</x:v>
      </x:c>
      <x:c r="F1168" s="6">
        <x:v>0</x:v>
      </x:c>
      <x:c r="G1168" s="6">
        <x:v>0</x:v>
      </x:c>
      <x:c r="H1168" s="6">
        <x:f t="shared" si="57"/>
        <x:v>0</x:v>
      </x:c>
      <x:c r="I1168" s="6">
        <x:v>0</x:v>
      </x:c>
      <x:c r="J1168" s="6">
        <x:v>0</x:v>
      </x:c>
      <x:c r="K1168" s="6">
        <x:f t="shared" si="58"/>
        <x:v>0</x:v>
      </x:c>
      <x:c r="L1168" s="6">
        <x:v>95886.26999999999</x:v>
      </x:c>
      <x:c r="M1168" s="6">
        <x:v>0</x:v>
      </x:c>
      <x:c r="N1168" s="6">
        <x:f t="shared" si="59"/>
        <x:v>95886.26999999999</x:v>
      </x:c>
    </x:row>
    <x:row r="1169" spans="1:14" x14ac:dyDescent="0.25">
      <x:c r="A1169" t="s">
        <x:v>17</x:v>
      </x:c>
      <x:c r="B1169" s="3" t="s">
        <x:v>260</x:v>
      </x:c>
      <x:c r="C1169" s="3" t="s">
        <x:v>575</x:v>
      </x:c>
      <x:c r="D1169" t="s">
        <x:v>676</x:v>
      </x:c>
      <x:c r="E1169" s="6">
        <x:v>0</x:v>
      </x:c>
      <x:c r="F1169" s="6">
        <x:v>0</x:v>
      </x:c>
      <x:c r="G1169" s="6">
        <x:v>0</x:v>
      </x:c>
      <x:c r="H1169" s="6">
        <x:f t="shared" si="57"/>
        <x:v>0</x:v>
      </x:c>
      <x:c r="I1169" s="6">
        <x:v>0</x:v>
      </x:c>
      <x:c r="J1169" s="6">
        <x:v>0</x:v>
      </x:c>
      <x:c r="K1169" s="6">
        <x:f t="shared" si="58"/>
        <x:v>0</x:v>
      </x:c>
      <x:c r="L1169" s="6">
        <x:v>230021.15999999997</x:v>
      </x:c>
      <x:c r="M1169" s="6">
        <x:v>0</x:v>
      </x:c>
      <x:c r="N1169" s="6">
        <x:f t="shared" si="59"/>
        <x:v>230021.15999999997</x:v>
      </x:c>
    </x:row>
    <x:row r="1170" spans="1:14" x14ac:dyDescent="0.25">
      <x:c r="A1170" t="s">
        <x:v>17</x:v>
      </x:c>
      <x:c r="B1170" s="3" t="s">
        <x:v>117</x:v>
      </x:c>
      <x:c r="C1170" s="3" t="s">
        <x:v>434</x:v>
      </x:c>
      <x:c r="D1170" t="s">
        <x:v>676</x:v>
      </x:c>
      <x:c r="E1170" s="6">
        <x:v>0</x:v>
      </x:c>
      <x:c r="F1170" s="6">
        <x:v>0</x:v>
      </x:c>
      <x:c r="G1170" s="6">
        <x:v>0</x:v>
      </x:c>
      <x:c r="H1170" s="6">
        <x:f t="shared" si="57"/>
        <x:v>0</x:v>
      </x:c>
      <x:c r="I1170" s="6">
        <x:v>0</x:v>
      </x:c>
      <x:c r="J1170" s="6">
        <x:v>0</x:v>
      </x:c>
      <x:c r="K1170" s="6">
        <x:f t="shared" si="58"/>
        <x:v>0</x:v>
      </x:c>
      <x:c r="L1170" s="6">
        <x:v>69743.25</x:v>
      </x:c>
      <x:c r="M1170" s="6">
        <x:v>0</x:v>
      </x:c>
      <x:c r="N1170" s="6">
        <x:f t="shared" si="59"/>
        <x:v>69743.25</x:v>
      </x:c>
    </x:row>
    <x:row r="1171" spans="1:14" x14ac:dyDescent="0.25">
      <x:c r="A1171" t="s">
        <x:v>17</x:v>
      </x:c>
      <x:c r="B1171" s="3" t="s">
        <x:v>275</x:v>
      </x:c>
      <x:c r="C1171" s="3" t="s">
        <x:v>590</x:v>
      </x:c>
      <x:c r="D1171" t="s">
        <x:v>677</x:v>
      </x:c>
      <x:c r="E1171" s="6">
        <x:v>0</x:v>
      </x:c>
      <x:c r="F1171" s="6">
        <x:v>0</x:v>
      </x:c>
      <x:c r="G1171" s="6">
        <x:v>0</x:v>
      </x:c>
      <x:c r="H1171" s="6">
        <x:f t="shared" si="57"/>
        <x:v>0</x:v>
      </x:c>
      <x:c r="I1171" s="6">
        <x:v>5113.1899999999996</x:v>
      </x:c>
      <x:c r="J1171" s="6">
        <x:v>0</x:v>
      </x:c>
      <x:c r="K1171" s="6">
        <x:f t="shared" si="58"/>
        <x:v>5113.1899999999996</x:v>
      </x:c>
      <x:c r="L1171" s="6">
        <x:v>0</x:v>
      </x:c>
      <x:c r="M1171" s="6">
        <x:v>0</x:v>
      </x:c>
      <x:c r="N1171" s="6">
        <x:f t="shared" si="59"/>
        <x:v>5113.1899999999996</x:v>
      </x:c>
    </x:row>
    <x:row r="1172" spans="1:14" x14ac:dyDescent="0.25">
      <x:c r="A1172" t="s">
        <x:v>17</x:v>
      </x:c>
      <x:c r="B1172" s="3" t="s">
        <x:v>118</x:v>
      </x:c>
      <x:c r="C1172" s="3" t="s">
        <x:v>435</x:v>
      </x:c>
      <x:c r="D1172" t="s">
        <x:v>677</x:v>
      </x:c>
      <x:c r="E1172" s="6">
        <x:v>0</x:v>
      </x:c>
      <x:c r="F1172" s="6">
        <x:v>0</x:v>
      </x:c>
      <x:c r="G1172" s="6">
        <x:v>0</x:v>
      </x:c>
      <x:c r="H1172" s="6">
        <x:f t="shared" si="57"/>
        <x:v>0</x:v>
      </x:c>
      <x:c r="I1172" s="6">
        <x:v>166733.68000000002</x:v>
      </x:c>
      <x:c r="J1172" s="6">
        <x:v>0</x:v>
      </x:c>
      <x:c r="K1172" s="6">
        <x:f t="shared" si="58"/>
        <x:v>166733.68000000002</x:v>
      </x:c>
      <x:c r="L1172" s="6">
        <x:v>0</x:v>
      </x:c>
      <x:c r="M1172" s="6">
        <x:v>0</x:v>
      </x:c>
      <x:c r="N1172" s="6">
        <x:f t="shared" si="59"/>
        <x:v>166733.68000000002</x:v>
      </x:c>
    </x:row>
    <x:row r="1173" spans="1:14" x14ac:dyDescent="0.25">
      <x:c r="A1173" t="s">
        <x:v>17</x:v>
      </x:c>
      <x:c r="B1173" s="3" t="s">
        <x:v>229</x:v>
      </x:c>
      <x:c r="C1173" s="3" t="s">
        <x:v>544</x:v>
      </x:c>
      <x:c r="D1173" t="s">
        <x:v>677</x:v>
      </x:c>
      <x:c r="E1173" s="6">
        <x:v>0</x:v>
      </x:c>
      <x:c r="F1173" s="6">
        <x:v>0</x:v>
      </x:c>
      <x:c r="G1173" s="6">
        <x:v>0</x:v>
      </x:c>
      <x:c r="H1173" s="6">
        <x:f t="shared" si="57"/>
        <x:v>0</x:v>
      </x:c>
      <x:c r="I1173" s="6">
        <x:v>47939.23000000001</x:v>
      </x:c>
      <x:c r="J1173" s="6">
        <x:v>0</x:v>
      </x:c>
      <x:c r="K1173" s="6">
        <x:f t="shared" si="58"/>
        <x:v>47939.23000000001</x:v>
      </x:c>
      <x:c r="L1173" s="6">
        <x:v>0</x:v>
      </x:c>
      <x:c r="M1173" s="6">
        <x:v>0</x:v>
      </x:c>
      <x:c r="N1173" s="6">
        <x:f t="shared" si="59"/>
        <x:v>47939.23000000001</x:v>
      </x:c>
    </x:row>
    <x:row r="1174" spans="1:14" x14ac:dyDescent="0.25">
      <x:c r="A1174" t="s">
        <x:v>17</x:v>
      </x:c>
      <x:c r="B1174" s="3" t="s">
        <x:v>261</x:v>
      </x:c>
      <x:c r="C1174" s="3" t="s">
        <x:v>576</x:v>
      </x:c>
      <x:c r="D1174" t="s">
        <x:v>676</x:v>
      </x:c>
      <x:c r="E1174" s="6">
        <x:v>0</x:v>
      </x:c>
      <x:c r="F1174" s="6">
        <x:v>0</x:v>
      </x:c>
      <x:c r="G1174" s="6">
        <x:v>0</x:v>
      </x:c>
      <x:c r="H1174" s="6">
        <x:f t="shared" si="57"/>
        <x:v>0</x:v>
      </x:c>
      <x:c r="I1174" s="6">
        <x:v>0</x:v>
      </x:c>
      <x:c r="J1174" s="6">
        <x:v>0</x:v>
      </x:c>
      <x:c r="K1174" s="6">
        <x:f t="shared" si="58"/>
        <x:v>0</x:v>
      </x:c>
      <x:c r="L1174" s="6">
        <x:v>246.64</x:v>
      </x:c>
      <x:c r="M1174" s="6">
        <x:v>0</x:v>
      </x:c>
      <x:c r="N1174" s="6">
        <x:f t="shared" si="59"/>
        <x:v>246.64</x:v>
      </x:c>
    </x:row>
    <x:row r="1175" spans="1:14" x14ac:dyDescent="0.25">
      <x:c r="A1175" t="s">
        <x:v>17</x:v>
      </x:c>
      <x:c r="B1175" s="3" t="s">
        <x:v>120</x:v>
      </x:c>
      <x:c r="C1175" s="3" t="s">
        <x:v>437</x:v>
      </x:c>
      <x:c r="D1175" t="s">
        <x:v>677</x:v>
      </x:c>
      <x:c r="E1175" s="6">
        <x:v>0</x:v>
      </x:c>
      <x:c r="F1175" s="6">
        <x:v>0</x:v>
      </x:c>
      <x:c r="G1175" s="6">
        <x:v>0</x:v>
      </x:c>
      <x:c r="H1175" s="6">
        <x:f t="shared" si="57"/>
        <x:v>0</x:v>
      </x:c>
      <x:c r="I1175" s="6">
        <x:v>162017.65000000005</x:v>
      </x:c>
      <x:c r="J1175" s="6">
        <x:v>0</x:v>
      </x:c>
      <x:c r="K1175" s="6">
        <x:f t="shared" si="58"/>
        <x:v>162017.65000000005</x:v>
      </x:c>
      <x:c r="L1175" s="6">
        <x:v>0</x:v>
      </x:c>
      <x:c r="M1175" s="6">
        <x:v>0</x:v>
      </x:c>
      <x:c r="N1175" s="6">
        <x:f t="shared" si="59"/>
        <x:v>162017.65000000005</x:v>
      </x:c>
    </x:row>
    <x:row r="1176" spans="1:14" x14ac:dyDescent="0.25">
      <x:c r="A1176" t="s">
        <x:v>17</x:v>
      </x:c>
      <x:c r="B1176" s="3" t="s">
        <x:v>121</x:v>
      </x:c>
      <x:c r="C1176" s="3" t="s">
        <x:v>438</x:v>
      </x:c>
      <x:c r="D1176" t="s">
        <x:v>677</x:v>
      </x:c>
      <x:c r="E1176" s="6">
        <x:v>0</x:v>
      </x:c>
      <x:c r="F1176" s="6">
        <x:v>0</x:v>
      </x:c>
      <x:c r="G1176" s="6">
        <x:v>0</x:v>
      </x:c>
      <x:c r="H1176" s="6">
        <x:f t="shared" si="57"/>
        <x:v>0</x:v>
      </x:c>
      <x:c r="I1176" s="6">
        <x:v>145307.05999999997</x:v>
      </x:c>
      <x:c r="J1176" s="6">
        <x:v>0</x:v>
      </x:c>
      <x:c r="K1176" s="6">
        <x:f t="shared" si="58"/>
        <x:v>145307.05999999997</x:v>
      </x:c>
      <x:c r="L1176" s="6">
        <x:v>0</x:v>
      </x:c>
      <x:c r="M1176" s="6">
        <x:v>0</x:v>
      </x:c>
      <x:c r="N1176" s="6">
        <x:f t="shared" si="59"/>
        <x:v>145307.05999999997</x:v>
      </x:c>
    </x:row>
    <x:row r="1177" spans="1:14" x14ac:dyDescent="0.25">
      <x:c r="A1177" t="s">
        <x:v>17</x:v>
      </x:c>
      <x:c r="B1177" t="s">
        <x:v>801</x:v>
      </x:c>
      <x:c r="C1177" t="s">
        <x:v>802</x:v>
      </x:c>
      <x:c r="D1177" t="s">
        <x:v>677</x:v>
      </x:c>
      <x:c r="E1177" s="6">
        <x:v>0</x:v>
      </x:c>
      <x:c r="F1177" s="6">
        <x:v>0</x:v>
      </x:c>
      <x:c r="G1177" s="6">
        <x:v>0</x:v>
      </x:c>
      <x:c r="H1177" s="6">
        <x:f t="shared" si="57"/>
        <x:v>0</x:v>
      </x:c>
      <x:c r="I1177" s="6">
        <x:v>1047.49</x:v>
      </x:c>
      <x:c r="J1177" s="6">
        <x:v>0</x:v>
      </x:c>
      <x:c r="K1177" s="6">
        <x:f t="shared" si="58"/>
        <x:v>1047.49</x:v>
      </x:c>
      <x:c r="L1177" s="6">
        <x:v>0</x:v>
      </x:c>
      <x:c r="M1177" s="6">
        <x:v>0</x:v>
      </x:c>
      <x:c r="N1177" s="6">
        <x:f t="shared" si="59"/>
        <x:v>1047.49</x:v>
      </x:c>
    </x:row>
    <x:row r="1178" spans="1:14" x14ac:dyDescent="0.25">
      <x:c r="A1178" t="s">
        <x:v>17</x:v>
      </x:c>
      <x:c r="B1178" t="s">
        <x:v>801</x:v>
      </x:c>
      <x:c r="C1178" t="s">
        <x:v>802</x:v>
      </x:c>
      <x:c r="D1178" t="s">
        <x:v>832</x:v>
      </x:c>
      <x:c r="E1178" s="6">
        <x:v>12056.78</x:v>
      </x:c>
      <x:c r="F1178" s="6">
        <x:v>0</x:v>
      </x:c>
      <x:c r="G1178" s="6">
        <x:v>0</x:v>
      </x:c>
      <x:c r="H1178" s="6">
        <x:f t="shared" si="57"/>
        <x:v>12056.78</x:v>
      </x:c>
      <x:c r="I1178" s="6">
        <x:v>0</x:v>
      </x:c>
      <x:c r="J1178" s="6">
        <x:v>0</x:v>
      </x:c>
      <x:c r="K1178" s="6">
        <x:f t="shared" si="58"/>
        <x:v>0</x:v>
      </x:c>
      <x:c r="L1178" s="6">
        <x:v>0</x:v>
      </x:c>
      <x:c r="M1178" s="6">
        <x:v>0</x:v>
      </x:c>
      <x:c r="N1178" s="6">
        <x:f t="shared" si="59"/>
        <x:v>12056.78</x:v>
      </x:c>
    </x:row>
    <x:row r="1179" spans="1:14" x14ac:dyDescent="0.25">
      <x:c r="A1179" t="s">
        <x:v>17</x:v>
      </x:c>
      <x:c r="B1179" t="s">
        <x:v>692</x:v>
      </x:c>
      <x:c r="C1179" t="s">
        <x:v>693</x:v>
      </x:c>
      <x:c r="D1179" t="s">
        <x:v>832</x:v>
      </x:c>
      <x:c r="E1179" s="6">
        <x:v>51.14</x:v>
      </x:c>
      <x:c r="F1179" s="6">
        <x:v>0</x:v>
      </x:c>
      <x:c r="G1179" s="6">
        <x:v>0</x:v>
      </x:c>
      <x:c r="H1179" s="6">
        <x:f t="shared" si="57"/>
        <x:v>51.14</x:v>
      </x:c>
      <x:c r="I1179" s="6">
        <x:v>7693.3600000000006</x:v>
      </x:c>
      <x:c r="J1179" s="6">
        <x:v>0</x:v>
      </x:c>
      <x:c r="K1179" s="6">
        <x:f t="shared" si="58"/>
        <x:v>7693.3600000000006</x:v>
      </x:c>
      <x:c r="L1179" s="6">
        <x:v>0</x:v>
      </x:c>
      <x:c r="M1179" s="6">
        <x:v>0</x:v>
      </x:c>
      <x:c r="N1179" s="6">
        <x:f t="shared" si="59"/>
        <x:v>7744.5000000000009</x:v>
      </x:c>
    </x:row>
    <x:row r="1180" spans="1:14" x14ac:dyDescent="0.25">
      <x:c r="A1180" t="s">
        <x:v>17</x:v>
      </x:c>
      <x:c r="B1180" t="s">
        <x:v>694</x:v>
      </x:c>
      <x:c r="C1180" t="s">
        <x:v>695</x:v>
      </x:c>
      <x:c r="D1180" t="s">
        <x:v>832</x:v>
      </x:c>
      <x:c r="E1180" s="6">
        <x:v>0</x:v>
      </x:c>
      <x:c r="F1180" s="6">
        <x:v>0</x:v>
      </x:c>
      <x:c r="G1180" s="6">
        <x:v>0</x:v>
      </x:c>
      <x:c r="H1180" s="6">
        <x:f t="shared" si="57"/>
        <x:v>0</x:v>
      </x:c>
      <x:c r="I1180" s="6">
        <x:v>177.16</x:v>
      </x:c>
      <x:c r="J1180" s="6">
        <x:v>0</x:v>
      </x:c>
      <x:c r="K1180" s="6">
        <x:f t="shared" si="58"/>
        <x:v>177.16</x:v>
      </x:c>
      <x:c r="L1180" s="6">
        <x:v>0</x:v>
      </x:c>
      <x:c r="M1180" s="6">
        <x:v>0</x:v>
      </x:c>
      <x:c r="N1180" s="6">
        <x:f t="shared" si="59"/>
        <x:v>177.16</x:v>
      </x:c>
    </x:row>
    <x:row r="1181" spans="1:14" x14ac:dyDescent="0.25">
      <x:c r="A1181" t="s">
        <x:v>17</x:v>
      </x:c>
      <x:c r="B1181" t="s">
        <x:v>696</x:v>
      </x:c>
      <x:c r="C1181" t="s">
        <x:v>697</x:v>
      </x:c>
      <x:c r="D1181" t="s">
        <x:v>832</x:v>
      </x:c>
      <x:c r="E1181" s="6">
        <x:v>0</x:v>
      </x:c>
      <x:c r="F1181" s="6">
        <x:v>0</x:v>
      </x:c>
      <x:c r="G1181" s="6">
        <x:v>0</x:v>
      </x:c>
      <x:c r="H1181" s="6">
        <x:f t="shared" si="57"/>
        <x:v>0</x:v>
      </x:c>
      <x:c r="I1181" s="6">
        <x:v>7700.63</x:v>
      </x:c>
      <x:c r="J1181" s="6">
        <x:v>0</x:v>
      </x:c>
      <x:c r="K1181" s="6">
        <x:f t="shared" si="58"/>
        <x:v>7700.63</x:v>
      </x:c>
      <x:c r="L1181" s="6">
        <x:v>0</x:v>
      </x:c>
      <x:c r="M1181" s="6">
        <x:v>0</x:v>
      </x:c>
      <x:c r="N1181" s="6">
        <x:f t="shared" si="59"/>
        <x:v>7700.63</x:v>
      </x:c>
    </x:row>
    <x:row r="1182" spans="1:14" x14ac:dyDescent="0.25">
      <x:c r="A1182" t="s">
        <x:v>17</x:v>
      </x:c>
      <x:c r="B1182" t="s">
        <x:v>782</x:v>
      </x:c>
      <x:c r="C1182" t="s">
        <x:v>783</x:v>
      </x:c>
      <x:c r="D1182" t="s">
        <x:v>832</x:v>
      </x:c>
      <x:c r="E1182" s="6">
        <x:v>2168.92</x:v>
      </x:c>
      <x:c r="F1182" s="6">
        <x:v>0</x:v>
      </x:c>
      <x:c r="G1182" s="6">
        <x:v>0</x:v>
      </x:c>
      <x:c r="H1182" s="6">
        <x:f t="shared" si="57"/>
        <x:v>2168.92</x:v>
      </x:c>
      <x:c r="I1182" s="6">
        <x:v>523.54</x:v>
      </x:c>
      <x:c r="J1182" s="6">
        <x:v>0</x:v>
      </x:c>
      <x:c r="K1182" s="6">
        <x:f t="shared" si="58"/>
        <x:v>523.54</x:v>
      </x:c>
      <x:c r="L1182" s="6">
        <x:v>0</x:v>
      </x:c>
      <x:c r="M1182" s="6">
        <x:v>0</x:v>
      </x:c>
      <x:c r="N1182" s="6">
        <x:f t="shared" si="59"/>
        <x:v>2692.46</x:v>
      </x:c>
    </x:row>
    <x:row r="1183" spans="1:14" x14ac:dyDescent="0.25">
      <x:c r="A1183" t="s">
        <x:v>17</x:v>
      </x:c>
      <x:c r="B1183" t="s">
        <x:v>784</x:v>
      </x:c>
      <x:c r="C1183" t="s">
        <x:v>785</x:v>
      </x:c>
      <x:c r="D1183" t="s">
        <x:v>832</x:v>
      </x:c>
      <x:c r="E1183" s="6">
        <x:v>0</x:v>
      </x:c>
      <x:c r="F1183" s="6">
        <x:v>0</x:v>
      </x:c>
      <x:c r="G1183" s="6">
        <x:v>0</x:v>
      </x:c>
      <x:c r="H1183" s="6">
        <x:f t="shared" si="57"/>
        <x:v>0</x:v>
      </x:c>
      <x:c r="I1183" s="6">
        <x:v>2531.6</x:v>
      </x:c>
      <x:c r="J1183" s="6">
        <x:v>0</x:v>
      </x:c>
      <x:c r="K1183" s="6">
        <x:f t="shared" si="58"/>
        <x:v>2531.6</x:v>
      </x:c>
      <x:c r="L1183" s="6">
        <x:v>0</x:v>
      </x:c>
      <x:c r="M1183" s="6">
        <x:v>0</x:v>
      </x:c>
      <x:c r="N1183" s="6">
        <x:f t="shared" si="59"/>
        <x:v>2531.6</x:v>
      </x:c>
    </x:row>
    <x:row r="1184" spans="1:14" x14ac:dyDescent="0.25">
      <x:c r="A1184" t="s">
        <x:v>17</x:v>
      </x:c>
      <x:c r="B1184" t="s">
        <x:v>700</x:v>
      </x:c>
      <x:c r="C1184" t="s">
        <x:v>701</x:v>
      </x:c>
      <x:c r="D1184" t="s">
        <x:v>832</x:v>
      </x:c>
      <x:c r="E1184" s="6">
        <x:v>11335.08</x:v>
      </x:c>
      <x:c r="F1184" s="6">
        <x:v>0</x:v>
      </x:c>
      <x:c r="G1184" s="6">
        <x:v>0</x:v>
      </x:c>
      <x:c r="H1184" s="6">
        <x:f t="shared" si="57"/>
        <x:v>11335.08</x:v>
      </x:c>
      <x:c r="I1184" s="6">
        <x:v>140634.04</x:v>
      </x:c>
      <x:c r="J1184" s="6">
        <x:v>0</x:v>
      </x:c>
      <x:c r="K1184" s="6">
        <x:f t="shared" si="58"/>
        <x:v>140634.04</x:v>
      </x:c>
      <x:c r="L1184" s="6">
        <x:v>0</x:v>
      </x:c>
      <x:c r="M1184" s="6">
        <x:v>0</x:v>
      </x:c>
      <x:c r="N1184" s="6">
        <x:f t="shared" si="59"/>
        <x:v>151969.12</x:v>
      </x:c>
    </x:row>
    <x:row r="1185" spans="1:14" x14ac:dyDescent="0.25">
      <x:c r="A1185" t="s">
        <x:v>17</x:v>
      </x:c>
      <x:c r="B1185" t="s">
        <x:v>704</x:v>
      </x:c>
      <x:c r="C1185" t="s">
        <x:v>705</x:v>
      </x:c>
      <x:c r="D1185" t="s">
        <x:v>832</x:v>
      </x:c>
      <x:c r="E1185" s="6">
        <x:v>0</x:v>
      </x:c>
      <x:c r="F1185" s="6">
        <x:v>0</x:v>
      </x:c>
      <x:c r="G1185" s="6">
        <x:v>0</x:v>
      </x:c>
      <x:c r="H1185" s="6">
        <x:f t="shared" si="57"/>
        <x:v>0</x:v>
      </x:c>
      <x:c r="I1185" s="6">
        <x:v>11368.699999999997</x:v>
      </x:c>
      <x:c r="J1185" s="6">
        <x:v>0</x:v>
      </x:c>
      <x:c r="K1185" s="6">
        <x:f t="shared" si="58"/>
        <x:v>11368.699999999997</x:v>
      </x:c>
      <x:c r="L1185" s="6">
        <x:v>0</x:v>
      </x:c>
      <x:c r="M1185" s="6">
        <x:v>0</x:v>
      </x:c>
      <x:c r="N1185" s="6">
        <x:f t="shared" si="59"/>
        <x:v>11368.699999999997</x:v>
      </x:c>
    </x:row>
    <x:row r="1186" spans="1:14" x14ac:dyDescent="0.25">
      <x:c r="A1186" t="s">
        <x:v>17</x:v>
      </x:c>
      <x:c r="B1186" t="s">
        <x:v>708</x:v>
      </x:c>
      <x:c r="C1186" t="s">
        <x:v>709</x:v>
      </x:c>
      <x:c r="D1186" t="s">
        <x:v>832</x:v>
      </x:c>
      <x:c r="E1186" s="6">
        <x:v>0</x:v>
      </x:c>
      <x:c r="F1186" s="6">
        <x:v>0</x:v>
      </x:c>
      <x:c r="G1186" s="6">
        <x:v>0</x:v>
      </x:c>
      <x:c r="H1186" s="6">
        <x:f t="shared" si="57"/>
        <x:v>0</x:v>
      </x:c>
      <x:c r="I1186" s="6">
        <x:v>5131.01</x:v>
      </x:c>
      <x:c r="J1186" s="6">
        <x:v>0</x:v>
      </x:c>
      <x:c r="K1186" s="6">
        <x:f t="shared" si="58"/>
        <x:v>5131.01</x:v>
      </x:c>
      <x:c r="L1186" s="6">
        <x:v>0</x:v>
      </x:c>
      <x:c r="M1186" s="6">
        <x:v>0</x:v>
      </x:c>
      <x:c r="N1186" s="6">
        <x:f t="shared" si="59"/>
        <x:v>5131.01</x:v>
      </x:c>
    </x:row>
    <x:row r="1187" spans="1:14" x14ac:dyDescent="0.25">
      <x:c r="A1187" t="s">
        <x:v>17</x:v>
      </x:c>
      <x:c r="B1187" t="s">
        <x:v>710</x:v>
      </x:c>
      <x:c r="C1187" t="s">
        <x:v>711</x:v>
      </x:c>
      <x:c r="D1187" t="s">
        <x:v>832</x:v>
      </x:c>
      <x:c r="E1187" s="6">
        <x:v>0</x:v>
      </x:c>
      <x:c r="F1187" s="6">
        <x:v>0</x:v>
      </x:c>
      <x:c r="G1187" s="6">
        <x:v>0</x:v>
      </x:c>
      <x:c r="H1187" s="6">
        <x:f t="shared" si="57"/>
        <x:v>0</x:v>
      </x:c>
      <x:c r="I1187" s="6">
        <x:v>12.37</x:v>
      </x:c>
      <x:c r="J1187" s="6">
        <x:v>0</x:v>
      </x:c>
      <x:c r="K1187" s="6">
        <x:f t="shared" si="58"/>
        <x:v>12.37</x:v>
      </x:c>
      <x:c r="L1187" s="6">
        <x:v>0</x:v>
      </x:c>
      <x:c r="M1187" s="6">
        <x:v>0</x:v>
      </x:c>
      <x:c r="N1187" s="6">
        <x:f t="shared" si="59"/>
        <x:v>12.37</x:v>
      </x:c>
    </x:row>
    <x:row r="1188" spans="1:14" x14ac:dyDescent="0.25">
      <x:c r="A1188" t="s">
        <x:v>17</x:v>
      </x:c>
      <x:c r="B1188" t="s">
        <x:v>712</x:v>
      </x:c>
      <x:c r="C1188" t="s">
        <x:v>713</x:v>
      </x:c>
      <x:c r="D1188" t="s">
        <x:v>832</x:v>
      </x:c>
      <x:c r="E1188" s="6">
        <x:v>699.26</x:v>
      </x:c>
      <x:c r="F1188" s="6">
        <x:v>0</x:v>
      </x:c>
      <x:c r="G1188" s="6">
        <x:v>0</x:v>
      </x:c>
      <x:c r="H1188" s="6">
        <x:f t="shared" si="57"/>
        <x:v>699.26</x:v>
      </x:c>
      <x:c r="I1188" s="6">
        <x:v>11419.970000000001</x:v>
      </x:c>
      <x:c r="J1188" s="6">
        <x:v>0</x:v>
      </x:c>
      <x:c r="K1188" s="6">
        <x:f t="shared" si="58"/>
        <x:v>11419.970000000001</x:v>
      </x:c>
      <x:c r="L1188" s="6">
        <x:v>0</x:v>
      </x:c>
      <x:c r="M1188" s="6">
        <x:v>0</x:v>
      </x:c>
      <x:c r="N1188" s="6">
        <x:f t="shared" si="59"/>
        <x:v>12119.230000000001</x:v>
      </x:c>
    </x:row>
    <x:row r="1189" spans="1:14" x14ac:dyDescent="0.25">
      <x:c r="A1189" t="s">
        <x:v>17</x:v>
      </x:c>
      <x:c r="B1189" t="s">
        <x:v>788</x:v>
      </x:c>
      <x:c r="C1189" t="s">
        <x:v>789</x:v>
      </x:c>
      <x:c r="D1189" t="s">
        <x:v>677</x:v>
      </x:c>
      <x:c r="E1189" s="6">
        <x:v>0</x:v>
      </x:c>
      <x:c r="F1189" s="6">
        <x:v>0</x:v>
      </x:c>
      <x:c r="G1189" s="6">
        <x:v>0</x:v>
      </x:c>
      <x:c r="H1189" s="6">
        <x:f t="shared" si="57"/>
        <x:v>0</x:v>
      </x:c>
      <x:c r="I1189" s="6">
        <x:v>4220</x:v>
      </x:c>
      <x:c r="J1189" s="6">
        <x:v>0</x:v>
      </x:c>
      <x:c r="K1189" s="6">
        <x:f t="shared" si="58"/>
        <x:v>4220</x:v>
      </x:c>
      <x:c r="L1189" s="6">
        <x:v>0</x:v>
      </x:c>
      <x:c r="M1189" s="6">
        <x:v>0</x:v>
      </x:c>
      <x:c r="N1189" s="6">
        <x:f t="shared" si="59"/>
        <x:v>4220</x:v>
      </x:c>
    </x:row>
    <x:row r="1190" spans="1:14" x14ac:dyDescent="0.25">
      <x:c r="A1190" t="s">
        <x:v>17</x:v>
      </x:c>
      <x:c r="B1190" t="s">
        <x:v>788</x:v>
      </x:c>
      <x:c r="C1190" t="s">
        <x:v>789</x:v>
      </x:c>
      <x:c r="D1190" t="s">
        <x:v>832</x:v>
      </x:c>
      <x:c r="E1190" s="6">
        <x:v>0</x:v>
      </x:c>
      <x:c r="F1190" s="6">
        <x:v>0</x:v>
      </x:c>
      <x:c r="G1190" s="6">
        <x:v>0</x:v>
      </x:c>
      <x:c r="H1190" s="6">
        <x:f t="shared" si="57"/>
        <x:v>0</x:v>
      </x:c>
      <x:c r="I1190" s="6">
        <x:v>-702.64</x:v>
      </x:c>
      <x:c r="J1190" s="6">
        <x:v>0</x:v>
      </x:c>
      <x:c r="K1190" s="6">
        <x:f t="shared" si="58"/>
        <x:v>-702.64</x:v>
      </x:c>
      <x:c r="L1190" s="6">
        <x:v>0</x:v>
      </x:c>
      <x:c r="M1190" s="6">
        <x:v>0</x:v>
      </x:c>
      <x:c r="N1190" s="6">
        <x:f t="shared" si="59"/>
        <x:v>-702.64</x:v>
      </x:c>
    </x:row>
    <x:row r="1191" spans="1:14" x14ac:dyDescent="0.25">
      <x:c r="A1191" t="s">
        <x:v>17</x:v>
      </x:c>
      <x:c r="B1191" t="s">
        <x:v>790</x:v>
      </x:c>
      <x:c r="C1191" t="s">
        <x:v>791</x:v>
      </x:c>
      <x:c r="D1191" t="s">
        <x:v>677</x:v>
      </x:c>
      <x:c r="E1191" s="6">
        <x:v>0</x:v>
      </x:c>
      <x:c r="F1191" s="6">
        <x:v>0</x:v>
      </x:c>
      <x:c r="G1191" s="6">
        <x:v>0</x:v>
      </x:c>
      <x:c r="H1191" s="6">
        <x:f t="shared" si="57"/>
        <x:v>0</x:v>
      </x:c>
      <x:c r="I1191" s="6">
        <x:v>30.74</x:v>
      </x:c>
      <x:c r="J1191" s="6">
        <x:v>0</x:v>
      </x:c>
      <x:c r="K1191" s="6">
        <x:f t="shared" si="58"/>
        <x:v>30.74</x:v>
      </x:c>
      <x:c r="L1191" s="6">
        <x:v>0</x:v>
      </x:c>
      <x:c r="M1191" s="6">
        <x:v>0</x:v>
      </x:c>
      <x:c r="N1191" s="6">
        <x:f t="shared" si="59"/>
        <x:v>30.74</x:v>
      </x:c>
    </x:row>
    <x:row r="1192" spans="1:14" x14ac:dyDescent="0.25">
      <x:c r="A1192" t="s">
        <x:v>17</x:v>
      </x:c>
      <x:c r="B1192" t="s">
        <x:v>790</x:v>
      </x:c>
      <x:c r="C1192" t="s">
        <x:v>791</x:v>
      </x:c>
      <x:c r="D1192" t="s">
        <x:v>832</x:v>
      </x:c>
      <x:c r="E1192" s="6">
        <x:v>1059.25</x:v>
      </x:c>
      <x:c r="F1192" s="6">
        <x:v>0</x:v>
      </x:c>
      <x:c r="G1192" s="6">
        <x:v>0</x:v>
      </x:c>
      <x:c r="H1192" s="6">
        <x:f t="shared" si="57"/>
        <x:v>1059.25</x:v>
      </x:c>
      <x:c r="I1192" s="6">
        <x:v>97.08</x:v>
      </x:c>
      <x:c r="J1192" s="6">
        <x:v>0</x:v>
      </x:c>
      <x:c r="K1192" s="6">
        <x:f t="shared" si="58"/>
        <x:v>97.08</x:v>
      </x:c>
      <x:c r="L1192" s="6">
        <x:v>0</x:v>
      </x:c>
      <x:c r="M1192" s="6">
        <x:v>0</x:v>
      </x:c>
      <x:c r="N1192" s="6">
        <x:f t="shared" si="59"/>
        <x:v>1156.33</x:v>
      </x:c>
    </x:row>
    <x:row r="1193" spans="1:14" x14ac:dyDescent="0.25">
      <x:c r="A1193" t="s">
        <x:v>17</x:v>
      </x:c>
      <x:c r="B1193" t="s">
        <x:v>714</x:v>
      </x:c>
      <x:c r="C1193" t="s">
        <x:v>715</x:v>
      </x:c>
      <x:c r="D1193" t="s">
        <x:v>832</x:v>
      </x:c>
      <x:c r="E1193" s="6">
        <x:v>7.03</x:v>
      </x:c>
      <x:c r="F1193" s="6">
        <x:v>0</x:v>
      </x:c>
      <x:c r="G1193" s="6">
        <x:v>0</x:v>
      </x:c>
      <x:c r="H1193" s="6">
        <x:f t="shared" si="57"/>
        <x:v>7.03</x:v>
      </x:c>
      <x:c r="I1193" s="6">
        <x:v>949.87</x:v>
      </x:c>
      <x:c r="J1193" s="6">
        <x:v>0</x:v>
      </x:c>
      <x:c r="K1193" s="6">
        <x:f t="shared" si="58"/>
        <x:v>949.87</x:v>
      </x:c>
      <x:c r="L1193" s="6">
        <x:v>0</x:v>
      </x:c>
      <x:c r="M1193" s="6">
        <x:v>0</x:v>
      </x:c>
      <x:c r="N1193" s="6">
        <x:f t="shared" si="59"/>
        <x:v>956.9</x:v>
      </x:c>
    </x:row>
    <x:row r="1194" spans="1:14" x14ac:dyDescent="0.25">
      <x:c r="A1194" t="s">
        <x:v>17</x:v>
      </x:c>
      <x:c r="B1194" t="s">
        <x:v>716</x:v>
      </x:c>
      <x:c r="C1194" t="s">
        <x:v>717</x:v>
      </x:c>
      <x:c r="D1194" t="s">
        <x:v>832</x:v>
      </x:c>
      <x:c r="E1194" s="6">
        <x:v>48785.77</x:v>
      </x:c>
      <x:c r="F1194" s="6">
        <x:v>0</x:v>
      </x:c>
      <x:c r="G1194" s="6">
        <x:v>0</x:v>
      </x:c>
      <x:c r="H1194" s="6">
        <x:f t="shared" si="57"/>
        <x:v>48785.77</x:v>
      </x:c>
      <x:c r="I1194" s="6">
        <x:v>4660.9299999999994</x:v>
      </x:c>
      <x:c r="J1194" s="6">
        <x:v>0</x:v>
      </x:c>
      <x:c r="K1194" s="6">
        <x:f t="shared" si="58"/>
        <x:v>4660.9299999999994</x:v>
      </x:c>
      <x:c r="L1194" s="6">
        <x:v>0</x:v>
      </x:c>
      <x:c r="M1194" s="6">
        <x:v>0</x:v>
      </x:c>
      <x:c r="N1194" s="6">
        <x:f t="shared" si="59"/>
        <x:v>53446.7</x:v>
      </x:c>
    </x:row>
    <x:row r="1195" spans="1:14" x14ac:dyDescent="0.25">
      <x:c r="A1195" t="s">
        <x:v>17</x:v>
      </x:c>
      <x:c r="B1195" t="s">
        <x:v>792</x:v>
      </x:c>
      <x:c r="C1195" t="s">
        <x:v>793</x:v>
      </x:c>
      <x:c r="D1195" t="s">
        <x:v>677</x:v>
      </x:c>
      <x:c r="E1195" s="6">
        <x:v>0</x:v>
      </x:c>
      <x:c r="F1195" s="6">
        <x:v>0</x:v>
      </x:c>
      <x:c r="G1195" s="6">
        <x:v>0</x:v>
      </x:c>
      <x:c r="H1195" s="6">
        <x:f t="shared" si="57"/>
        <x:v>0</x:v>
      </x:c>
      <x:c r="I1195" s="6">
        <x:v>1414.35</x:v>
      </x:c>
      <x:c r="J1195" s="6">
        <x:v>0</x:v>
      </x:c>
      <x:c r="K1195" s="6">
        <x:f t="shared" si="58"/>
        <x:v>1414.35</x:v>
      </x:c>
      <x:c r="L1195" s="6">
        <x:v>0</x:v>
      </x:c>
      <x:c r="M1195" s="6">
        <x:v>0</x:v>
      </x:c>
      <x:c r="N1195" s="6">
        <x:f t="shared" si="59"/>
        <x:v>1414.35</x:v>
      </x:c>
    </x:row>
    <x:row r="1196" spans="1:14" x14ac:dyDescent="0.25">
      <x:c r="A1196" t="s">
        <x:v>17</x:v>
      </x:c>
      <x:c r="B1196" t="s">
        <x:v>792</x:v>
      </x:c>
      <x:c r="C1196" t="s">
        <x:v>793</x:v>
      </x:c>
      <x:c r="D1196" t="s">
        <x:v>832</x:v>
      </x:c>
      <x:c r="E1196" s="6">
        <x:v>414.44</x:v>
      </x:c>
      <x:c r="F1196" s="6">
        <x:v>0</x:v>
      </x:c>
      <x:c r="G1196" s="6">
        <x:v>0</x:v>
      </x:c>
      <x:c r="H1196" s="6">
        <x:f t="shared" si="57"/>
        <x:v>414.44</x:v>
      </x:c>
      <x:c r="I1196" s="6">
        <x:v>2238.6400000000003</x:v>
      </x:c>
      <x:c r="J1196" s="6">
        <x:v>0</x:v>
      </x:c>
      <x:c r="K1196" s="6">
        <x:f t="shared" si="58"/>
        <x:v>2238.6400000000003</x:v>
      </x:c>
      <x:c r="L1196" s="6">
        <x:v>0</x:v>
      </x:c>
      <x:c r="M1196" s="6">
        <x:v>0</x:v>
      </x:c>
      <x:c r="N1196" s="6">
        <x:f t="shared" si="59"/>
        <x:v>2653.0800000000004</x:v>
      </x:c>
    </x:row>
    <x:row r="1197" spans="1:14" x14ac:dyDescent="0.25">
      <x:c r="A1197" t="s">
        <x:v>17</x:v>
      </x:c>
      <x:c r="B1197" t="s">
        <x:v>718</x:v>
      </x:c>
      <x:c r="C1197" t="s">
        <x:v>719</x:v>
      </x:c>
      <x:c r="D1197" t="s">
        <x:v>832</x:v>
      </x:c>
      <x:c r="E1197" s="6">
        <x:v>0</x:v>
      </x:c>
      <x:c r="F1197" s="6">
        <x:v>0</x:v>
      </x:c>
      <x:c r="G1197" s="6">
        <x:v>0</x:v>
      </x:c>
      <x:c r="H1197" s="6">
        <x:f t="shared" si="57"/>
        <x:v>0</x:v>
      </x:c>
      <x:c r="I1197" s="6">
        <x:v>654.80999999999995</x:v>
      </x:c>
      <x:c r="J1197" s="6">
        <x:v>0</x:v>
      </x:c>
      <x:c r="K1197" s="6">
        <x:f t="shared" si="58"/>
        <x:v>654.80999999999995</x:v>
      </x:c>
      <x:c r="L1197" s="6">
        <x:v>0</x:v>
      </x:c>
      <x:c r="M1197" s="6">
        <x:v>0</x:v>
      </x:c>
      <x:c r="N1197" s="6">
        <x:f t="shared" si="59"/>
        <x:v>654.80999999999995</x:v>
      </x:c>
    </x:row>
    <x:row r="1198" spans="1:14" x14ac:dyDescent="0.25">
      <x:c r="A1198" t="s">
        <x:v>17</x:v>
      </x:c>
      <x:c r="B1198" t="s">
        <x:v>722</x:v>
      </x:c>
      <x:c r="C1198" t="s">
        <x:v>723</x:v>
      </x:c>
      <x:c r="D1198" t="s">
        <x:v>832</x:v>
      </x:c>
      <x:c r="E1198" s="6">
        <x:v>267.64999999999998</x:v>
      </x:c>
      <x:c r="F1198" s="6">
        <x:v>0</x:v>
      </x:c>
      <x:c r="G1198" s="6">
        <x:v>0</x:v>
      </x:c>
      <x:c r="H1198" s="6">
        <x:f t="shared" si="57"/>
        <x:v>267.64999999999998</x:v>
      </x:c>
      <x:c r="I1198" s="6">
        <x:v>3776.55</x:v>
      </x:c>
      <x:c r="J1198" s="6">
        <x:v>0</x:v>
      </x:c>
      <x:c r="K1198" s="6">
        <x:f t="shared" si="58"/>
        <x:v>3776.55</x:v>
      </x:c>
      <x:c r="L1198" s="6">
        <x:v>0</x:v>
      </x:c>
      <x:c r="M1198" s="6">
        <x:v>0</x:v>
      </x:c>
      <x:c r="N1198" s="6">
        <x:f t="shared" si="59"/>
        <x:v>4044.2000000000003</x:v>
      </x:c>
    </x:row>
    <x:row r="1199" spans="1:14" x14ac:dyDescent="0.25">
      <x:c r="A1199" t="s">
        <x:v>17</x:v>
      </x:c>
      <x:c r="B1199" t="s">
        <x:v>724</x:v>
      </x:c>
      <x:c r="C1199" t="s">
        <x:v>725</x:v>
      </x:c>
      <x:c r="D1199" t="s">
        <x:v>832</x:v>
      </x:c>
      <x:c r="E1199" s="6">
        <x:v>24.26</x:v>
      </x:c>
      <x:c r="F1199" s="6">
        <x:v>0</x:v>
      </x:c>
      <x:c r="G1199" s="6">
        <x:v>0</x:v>
      </x:c>
      <x:c r="H1199" s="6">
        <x:f t="shared" si="57"/>
        <x:v>24.26</x:v>
      </x:c>
      <x:c r="I1199" s="6">
        <x:v>1806.15</x:v>
      </x:c>
      <x:c r="J1199" s="6">
        <x:v>0</x:v>
      </x:c>
      <x:c r="K1199" s="6">
        <x:f t="shared" si="58"/>
        <x:v>1806.15</x:v>
      </x:c>
      <x:c r="L1199" s="6">
        <x:v>0</x:v>
      </x:c>
      <x:c r="M1199" s="6">
        <x:v>0</x:v>
      </x:c>
      <x:c r="N1199" s="6">
        <x:f t="shared" si="59"/>
        <x:v>1830.41</x:v>
      </x:c>
    </x:row>
    <x:row r="1200" spans="1:14" x14ac:dyDescent="0.25">
      <x:c r="A1200" t="s">
        <x:v>17</x:v>
      </x:c>
      <x:c r="B1200" t="s">
        <x:v>794</x:v>
      </x:c>
      <x:c r="C1200" t="s">
        <x:v>795</x:v>
      </x:c>
      <x:c r="D1200" t="s">
        <x:v>832</x:v>
      </x:c>
      <x:c r="E1200" s="6">
        <x:v>17387.62</x:v>
      </x:c>
      <x:c r="F1200" s="6">
        <x:v>0</x:v>
      </x:c>
      <x:c r="G1200" s="6">
        <x:v>0</x:v>
      </x:c>
      <x:c r="H1200" s="6">
        <x:f t="shared" si="57"/>
        <x:v>17387.62</x:v>
      </x:c>
      <x:c r="I1200" s="6">
        <x:v>334.16</x:v>
      </x:c>
      <x:c r="J1200" s="6">
        <x:v>0</x:v>
      </x:c>
      <x:c r="K1200" s="6">
        <x:f t="shared" si="58"/>
        <x:v>334.16</x:v>
      </x:c>
      <x:c r="L1200" s="6">
        <x:v>0</x:v>
      </x:c>
      <x:c r="M1200" s="6">
        <x:v>0</x:v>
      </x:c>
      <x:c r="N1200" s="6">
        <x:f t="shared" si="59"/>
        <x:v>17721.78</x:v>
      </x:c>
    </x:row>
    <x:row r="1201" spans="1:14" x14ac:dyDescent="0.25">
      <x:c r="A1201" t="s">
        <x:v>17</x:v>
      </x:c>
      <x:c r="B1201" t="s">
        <x:v>726</x:v>
      </x:c>
      <x:c r="C1201" t="s">
        <x:v>727</x:v>
      </x:c>
      <x:c r="D1201" t="s">
        <x:v>832</x:v>
      </x:c>
      <x:c r="E1201" s="6">
        <x:v>5181.45</x:v>
      </x:c>
      <x:c r="F1201" s="6">
        <x:v>0</x:v>
      </x:c>
      <x:c r="G1201" s="6">
        <x:v>0</x:v>
      </x:c>
      <x:c r="H1201" s="6">
        <x:f t="shared" si="57"/>
        <x:v>5181.45</x:v>
      </x:c>
      <x:c r="I1201" s="6">
        <x:v>78031.919999999984</x:v>
      </x:c>
      <x:c r="J1201" s="6">
        <x:v>0</x:v>
      </x:c>
      <x:c r="K1201" s="6">
        <x:f t="shared" si="58"/>
        <x:v>78031.919999999984</x:v>
      </x:c>
      <x:c r="L1201" s="6">
        <x:v>0</x:v>
      </x:c>
      <x:c r="M1201" s="6">
        <x:v>0</x:v>
      </x:c>
      <x:c r="N1201" s="6">
        <x:f t="shared" si="59"/>
        <x:v>83213.369999999981</x:v>
      </x:c>
    </x:row>
    <x:row r="1202" spans="1:14" x14ac:dyDescent="0.25">
      <x:c r="A1202" t="s">
        <x:v>17</x:v>
      </x:c>
      <x:c r="B1202" t="s">
        <x:v>807</x:v>
      </x:c>
      <x:c r="C1202" t="s">
        <x:v>808</x:v>
      </x:c>
      <x:c r="D1202" t="s">
        <x:v>832</x:v>
      </x:c>
      <x:c r="E1202" s="6">
        <x:v>803.95</x:v>
      </x:c>
      <x:c r="F1202" s="6">
        <x:v>0</x:v>
      </x:c>
      <x:c r="G1202" s="6">
        <x:v>0</x:v>
      </x:c>
      <x:c r="H1202" s="6">
        <x:f t="shared" si="57"/>
        <x:v>803.95</x:v>
      </x:c>
      <x:c r="I1202" s="6">
        <x:v>0</x:v>
      </x:c>
      <x:c r="J1202" s="6">
        <x:v>0</x:v>
      </x:c>
      <x:c r="K1202" s="6">
        <x:f t="shared" si="58"/>
        <x:v>0</x:v>
      </x:c>
      <x:c r="L1202" s="6">
        <x:v>0</x:v>
      </x:c>
      <x:c r="M1202" s="6">
        <x:v>0</x:v>
      </x:c>
      <x:c r="N1202" s="6">
        <x:f t="shared" si="59"/>
        <x:v>803.95</x:v>
      </x:c>
    </x:row>
    <x:row r="1203" spans="1:14" x14ac:dyDescent="0.25">
      <x:c r="A1203" t="s">
        <x:v>17</x:v>
      </x:c>
      <x:c r="B1203" t="s">
        <x:v>730</x:v>
      </x:c>
      <x:c r="C1203" t="s">
        <x:v>731</x:v>
      </x:c>
      <x:c r="D1203" t="s">
        <x:v>832</x:v>
      </x:c>
      <x:c r="E1203" s="6">
        <x:v>636.29999999999995</x:v>
      </x:c>
      <x:c r="F1203" s="6">
        <x:v>0</x:v>
      </x:c>
      <x:c r="G1203" s="6">
        <x:v>0</x:v>
      </x:c>
      <x:c r="H1203" s="6">
        <x:f t="shared" si="57"/>
        <x:v>636.29999999999995</x:v>
      </x:c>
      <x:c r="I1203" s="6">
        <x:v>0</x:v>
      </x:c>
      <x:c r="J1203" s="6">
        <x:v>0</x:v>
      </x:c>
      <x:c r="K1203" s="6">
        <x:f t="shared" si="58"/>
        <x:v>0</x:v>
      </x:c>
      <x:c r="L1203" s="6">
        <x:v>0</x:v>
      </x:c>
      <x:c r="M1203" s="6">
        <x:v>0</x:v>
      </x:c>
      <x:c r="N1203" s="6">
        <x:f t="shared" si="59"/>
        <x:v>636.29999999999995</x:v>
      </x:c>
    </x:row>
    <x:row r="1204" spans="1:14" x14ac:dyDescent="0.25">
      <x:c r="A1204" t="s">
        <x:v>17</x:v>
      </x:c>
      <x:c r="B1204" t="s">
        <x:v>732</x:v>
      </x:c>
      <x:c r="C1204" t="s">
        <x:v>733</x:v>
      </x:c>
      <x:c r="D1204" t="s">
        <x:v>832</x:v>
      </x:c>
      <x:c r="E1204" s="6">
        <x:v>0</x:v>
      </x:c>
      <x:c r="F1204" s="6">
        <x:v>0</x:v>
      </x:c>
      <x:c r="G1204" s="6">
        <x:v>0</x:v>
      </x:c>
      <x:c r="H1204" s="6">
        <x:f t="shared" si="57"/>
        <x:v>0</x:v>
      </x:c>
      <x:c r="I1204" s="6">
        <x:v>37.5</x:v>
      </x:c>
      <x:c r="J1204" s="6">
        <x:v>0</x:v>
      </x:c>
      <x:c r="K1204" s="6">
        <x:f t="shared" si="58"/>
        <x:v>37.5</x:v>
      </x:c>
      <x:c r="L1204" s="6">
        <x:v>0</x:v>
      </x:c>
      <x:c r="M1204" s="6">
        <x:v>0</x:v>
      </x:c>
      <x:c r="N1204" s="6">
        <x:f t="shared" si="59"/>
        <x:v>37.5</x:v>
      </x:c>
    </x:row>
    <x:row r="1205" spans="1:14" x14ac:dyDescent="0.25">
      <x:c r="A1205" t="s">
        <x:v>17</x:v>
      </x:c>
      <x:c r="B1205" t="s">
        <x:v>740</x:v>
      </x:c>
      <x:c r="C1205" t="s">
        <x:v>741</x:v>
      </x:c>
      <x:c r="D1205" t="s">
        <x:v>832</x:v>
      </x:c>
      <x:c r="E1205" s="6">
        <x:v>0</x:v>
      </x:c>
      <x:c r="F1205" s="6">
        <x:v>0</x:v>
      </x:c>
      <x:c r="G1205" s="6">
        <x:v>0</x:v>
      </x:c>
      <x:c r="H1205" s="6">
        <x:f t="shared" si="57"/>
        <x:v>0</x:v>
      </x:c>
      <x:c r="I1205" s="6">
        <x:v>375146.21</x:v>
      </x:c>
      <x:c r="J1205" s="6">
        <x:v>0</x:v>
      </x:c>
      <x:c r="K1205" s="6">
        <x:f t="shared" si="58"/>
        <x:v>375146.21</x:v>
      </x:c>
      <x:c r="L1205" s="6">
        <x:v>0</x:v>
      </x:c>
      <x:c r="M1205" s="6">
        <x:v>0</x:v>
      </x:c>
      <x:c r="N1205" s="6">
        <x:f t="shared" si="59"/>
        <x:v>375146.21</x:v>
      </x:c>
    </x:row>
    <x:row r="1206" spans="1:14" x14ac:dyDescent="0.25">
      <x:c r="A1206" t="s">
        <x:v>17</x:v>
      </x:c>
      <x:c r="B1206" s="3" t="s">
        <x:v>122</x:v>
      </x:c>
      <x:c r="C1206" s="3" t="s">
        <x:v>439</x:v>
      </x:c>
      <x:c r="D1206" t="s">
        <x:v>677</x:v>
      </x:c>
      <x:c r="E1206" s="6">
        <x:v>0</x:v>
      </x:c>
      <x:c r="F1206" s="6">
        <x:v>0</x:v>
      </x:c>
      <x:c r="G1206" s="6">
        <x:v>0</x:v>
      </x:c>
      <x:c r="H1206" s="6">
        <x:f t="shared" si="57"/>
        <x:v>0</x:v>
      </x:c>
      <x:c r="I1206" s="6">
        <x:v>3576835.4399999995</x:v>
      </x:c>
      <x:c r="J1206" s="6">
        <x:v>0</x:v>
      </x:c>
      <x:c r="K1206" s="6">
        <x:f t="shared" si="58"/>
        <x:v>3576835.4399999995</x:v>
      </x:c>
      <x:c r="L1206" s="6">
        <x:v>0</x:v>
      </x:c>
      <x:c r="M1206" s="6">
        <x:v>0</x:v>
      </x:c>
      <x:c r="N1206" s="6">
        <x:f t="shared" si="59"/>
        <x:v>3576835.4399999995</x:v>
      </x:c>
    </x:row>
    <x:row r="1207" spans="1:14" x14ac:dyDescent="0.25">
      <x:c r="A1207" t="s">
        <x:v>17</x:v>
      </x:c>
      <x:c r="B1207" s="3" t="s">
        <x:v>276</x:v>
      </x:c>
      <x:c r="C1207" s="3" t="s">
        <x:v>591</x:v>
      </x:c>
      <x:c r="D1207" t="s">
        <x:v>677</x:v>
      </x:c>
      <x:c r="E1207" s="6">
        <x:v>0</x:v>
      </x:c>
      <x:c r="F1207" s="6">
        <x:v>0</x:v>
      </x:c>
      <x:c r="G1207" s="6">
        <x:v>0</x:v>
      </x:c>
      <x:c r="H1207" s="6">
        <x:f t="shared" si="57"/>
        <x:v>0</x:v>
      </x:c>
      <x:c r="I1207" s="6">
        <x:v>1093866.01</x:v>
      </x:c>
      <x:c r="J1207" s="6">
        <x:v>0</x:v>
      </x:c>
      <x:c r="K1207" s="6">
        <x:f t="shared" si="58"/>
        <x:v>1093866.01</x:v>
      </x:c>
      <x:c r="L1207" s="6">
        <x:v>0</x:v>
      </x:c>
      <x:c r="M1207" s="6">
        <x:v>0</x:v>
      </x:c>
      <x:c r="N1207" s="6">
        <x:f t="shared" si="59"/>
        <x:v>1093866.01</x:v>
      </x:c>
    </x:row>
    <x:row r="1208" spans="1:14" x14ac:dyDescent="0.25">
      <x:c r="A1208" t="s">
        <x:v>17</x:v>
      </x:c>
      <x:c r="B1208" s="3" t="s">
        <x:v>123</x:v>
      </x:c>
      <x:c r="C1208" s="3" t="s">
        <x:v>440</x:v>
      </x:c>
      <x:c r="D1208" t="s">
        <x:v>677</x:v>
      </x:c>
      <x:c r="E1208" s="6">
        <x:v>0</x:v>
      </x:c>
      <x:c r="F1208" s="6">
        <x:v>0</x:v>
      </x:c>
      <x:c r="G1208" s="6">
        <x:v>0</x:v>
      </x:c>
      <x:c r="H1208" s="6">
        <x:f t="shared" si="57"/>
        <x:v>0</x:v>
      </x:c>
      <x:c r="I1208" s="6">
        <x:v>198085.22</x:v>
      </x:c>
      <x:c r="J1208" s="6">
        <x:v>0</x:v>
      </x:c>
      <x:c r="K1208" s="6">
        <x:f t="shared" si="58"/>
        <x:v>198085.22</x:v>
      </x:c>
      <x:c r="L1208" s="6">
        <x:v>0</x:v>
      </x:c>
      <x:c r="M1208" s="6">
        <x:v>0</x:v>
      </x:c>
      <x:c r="N1208" s="6">
        <x:f t="shared" si="59"/>
        <x:v>198085.22</x:v>
      </x:c>
    </x:row>
    <x:row r="1209" spans="1:14" x14ac:dyDescent="0.25">
      <x:c r="A1209" t="s">
        <x:v>17</x:v>
      </x:c>
      <x:c r="B1209" s="3" t="s">
        <x:v>124</x:v>
      </x:c>
      <x:c r="C1209" s="3" t="s">
        <x:v>441</x:v>
      </x:c>
      <x:c r="D1209" t="s">
        <x:v>677</x:v>
      </x:c>
      <x:c r="E1209" s="6">
        <x:v>0</x:v>
      </x:c>
      <x:c r="F1209" s="6">
        <x:v>0</x:v>
      </x:c>
      <x:c r="G1209" s="6">
        <x:v>0</x:v>
      </x:c>
      <x:c r="H1209" s="6">
        <x:f t="shared" si="57"/>
        <x:v>0</x:v>
      </x:c>
      <x:c r="I1209" s="6">
        <x:v>296294.02999999985</x:v>
      </x:c>
      <x:c r="J1209" s="6">
        <x:v>0</x:v>
      </x:c>
      <x:c r="K1209" s="6">
        <x:f t="shared" si="58"/>
        <x:v>296294.02999999985</x:v>
      </x:c>
      <x:c r="L1209" s="6">
        <x:v>0</x:v>
      </x:c>
      <x:c r="M1209" s="6">
        <x:v>0</x:v>
      </x:c>
      <x:c r="N1209" s="6">
        <x:f t="shared" si="59"/>
        <x:v>296294.02999999985</x:v>
      </x:c>
    </x:row>
    <x:row r="1210" spans="1:14" x14ac:dyDescent="0.25">
      <x:c r="A1210" t="s">
        <x:v>17</x:v>
      </x:c>
      <x:c r="B1210" s="3" t="s">
        <x:v>125</x:v>
      </x:c>
      <x:c r="C1210" s="3" t="s">
        <x:v>442</x:v>
      </x:c>
      <x:c r="D1210" t="s">
        <x:v>676</x:v>
      </x:c>
      <x:c r="E1210" s="6">
        <x:v>0</x:v>
      </x:c>
      <x:c r="F1210" s="6">
        <x:v>0</x:v>
      </x:c>
      <x:c r="G1210" s="6">
        <x:v>0</x:v>
      </x:c>
      <x:c r="H1210" s="6">
        <x:f t="shared" si="57"/>
        <x:v>0</x:v>
      </x:c>
      <x:c r="I1210" s="6">
        <x:v>0</x:v>
      </x:c>
      <x:c r="J1210" s="6">
        <x:v>0</x:v>
      </x:c>
      <x:c r="K1210" s="6">
        <x:f t="shared" si="58"/>
        <x:v>0</x:v>
      </x:c>
      <x:c r="L1210" s="6">
        <x:v>0</x:v>
      </x:c>
      <x:c r="M1210" s="6">
        <x:v>1474.3600000000001</x:v>
      </x:c>
      <x:c r="N1210" s="6">
        <x:f t="shared" si="59"/>
        <x:v>1474.3600000000001</x:v>
      </x:c>
    </x:row>
    <x:row r="1211" spans="1:14" x14ac:dyDescent="0.25">
      <x:c r="A1211" t="s">
        <x:v>17</x:v>
      </x:c>
      <x:c r="B1211" s="3" t="s">
        <x:v>126</x:v>
      </x:c>
      <x:c r="C1211" s="3" t="s">
        <x:v>443</x:v>
      </x:c>
      <x:c r="D1211" t="s">
        <x:v>677</x:v>
      </x:c>
      <x:c r="E1211" s="6">
        <x:v>0</x:v>
      </x:c>
      <x:c r="F1211" s="6">
        <x:v>0</x:v>
      </x:c>
      <x:c r="G1211" s="6">
        <x:v>0</x:v>
      </x:c>
      <x:c r="H1211" s="6">
        <x:f t="shared" si="57"/>
        <x:v>0</x:v>
      </x:c>
      <x:c r="I1211" s="6">
        <x:v>81738.489999999991</x:v>
      </x:c>
      <x:c r="J1211" s="6">
        <x:v>0</x:v>
      </x:c>
      <x:c r="K1211" s="6">
        <x:f t="shared" si="58"/>
        <x:v>81738.489999999991</x:v>
      </x:c>
      <x:c r="L1211" s="6">
        <x:v>0</x:v>
      </x:c>
      <x:c r="M1211" s="6">
        <x:v>0</x:v>
      </x:c>
      <x:c r="N1211" s="6">
        <x:f t="shared" si="59"/>
        <x:v>81738.489999999991</x:v>
      </x:c>
    </x:row>
    <x:row r="1212" spans="1:14" x14ac:dyDescent="0.25">
      <x:c r="A1212" t="s">
        <x:v>17</x:v>
      </x:c>
      <x:c r="B1212" s="3" t="s">
        <x:v>230</x:v>
      </x:c>
      <x:c r="C1212" s="3" t="s">
        <x:v>545</x:v>
      </x:c>
      <x:c r="D1212" t="s">
        <x:v>677</x:v>
      </x:c>
      <x:c r="E1212" s="6">
        <x:v>0</x:v>
      </x:c>
      <x:c r="F1212" s="6">
        <x:v>0</x:v>
      </x:c>
      <x:c r="G1212" s="6">
        <x:v>0</x:v>
      </x:c>
      <x:c r="H1212" s="6">
        <x:f t="shared" si="57"/>
        <x:v>0</x:v>
      </x:c>
      <x:c r="I1212" s="6">
        <x:v>111118.54</x:v>
      </x:c>
      <x:c r="J1212" s="6">
        <x:v>0</x:v>
      </x:c>
      <x:c r="K1212" s="6">
        <x:f t="shared" si="58"/>
        <x:v>111118.54</x:v>
      </x:c>
      <x:c r="L1212" s="6">
        <x:v>0</x:v>
      </x:c>
      <x:c r="M1212" s="6">
        <x:v>0</x:v>
      </x:c>
      <x:c r="N1212" s="6">
        <x:f t="shared" si="59"/>
        <x:v>111118.54</x:v>
      </x:c>
    </x:row>
    <x:row r="1213" spans="1:14" x14ac:dyDescent="0.25">
      <x:c r="A1213" t="s">
        <x:v>17</x:v>
      </x:c>
      <x:c r="B1213" s="3" t="s">
        <x:v>127</x:v>
      </x:c>
      <x:c r="C1213" s="3" t="s">
        <x:v>444</x:v>
      </x:c>
      <x:c r="D1213" t="s">
        <x:v>677</x:v>
      </x:c>
      <x:c r="E1213" s="6">
        <x:v>0</x:v>
      </x:c>
      <x:c r="F1213" s="6">
        <x:v>0</x:v>
      </x:c>
      <x:c r="G1213" s="6">
        <x:v>0</x:v>
      </x:c>
      <x:c r="H1213" s="6">
        <x:f t="shared" si="57"/>
        <x:v>0</x:v>
      </x:c>
      <x:c r="I1213" s="6">
        <x:v>269312.53000000003</x:v>
      </x:c>
      <x:c r="J1213" s="6">
        <x:v>0</x:v>
      </x:c>
      <x:c r="K1213" s="6">
        <x:f t="shared" si="58"/>
        <x:v>269312.53000000003</x:v>
      </x:c>
      <x:c r="L1213" s="6">
        <x:v>0</x:v>
      </x:c>
      <x:c r="M1213" s="6">
        <x:v>0</x:v>
      </x:c>
      <x:c r="N1213" s="6">
        <x:f t="shared" si="59"/>
        <x:v>269312.53000000003</x:v>
      </x:c>
    </x:row>
    <x:row r="1214" spans="1:14" x14ac:dyDescent="0.25">
      <x:c r="A1214" t="s">
        <x:v>17</x:v>
      </x:c>
      <x:c r="B1214" s="3" t="s">
        <x:v>231</x:v>
      </x:c>
      <x:c r="C1214" s="3" t="s">
        <x:v>546</x:v>
      </x:c>
      <x:c r="D1214" t="s">
        <x:v>677</x:v>
      </x:c>
      <x:c r="E1214" s="6">
        <x:v>0</x:v>
      </x:c>
      <x:c r="F1214" s="6">
        <x:v>0</x:v>
      </x:c>
      <x:c r="G1214" s="6">
        <x:v>0</x:v>
      </x:c>
      <x:c r="H1214" s="6">
        <x:f t="shared" si="57"/>
        <x:v>0</x:v>
      </x:c>
      <x:c r="I1214" s="6">
        <x:v>89358.920000000013</x:v>
      </x:c>
      <x:c r="J1214" s="6">
        <x:v>0</x:v>
      </x:c>
      <x:c r="K1214" s="6">
        <x:f t="shared" si="58"/>
        <x:v>89358.920000000013</x:v>
      </x:c>
      <x:c r="L1214" s="6">
        <x:v>0</x:v>
      </x:c>
      <x:c r="M1214" s="6">
        <x:v>0</x:v>
      </x:c>
      <x:c r="N1214" s="6">
        <x:f t="shared" si="59"/>
        <x:v>89358.920000000013</x:v>
      </x:c>
    </x:row>
    <x:row r="1215" spans="1:14" x14ac:dyDescent="0.25">
      <x:c r="A1215" t="s">
        <x:v>17</x:v>
      </x:c>
      <x:c r="B1215" s="3" t="s">
        <x:v>128</x:v>
      </x:c>
      <x:c r="C1215" s="3" t="s">
        <x:v>445</x:v>
      </x:c>
      <x:c r="D1215" t="s">
        <x:v>677</x:v>
      </x:c>
      <x:c r="E1215" s="6">
        <x:v>0</x:v>
      </x:c>
      <x:c r="F1215" s="6">
        <x:v>0</x:v>
      </x:c>
      <x:c r="G1215" s="6">
        <x:v>0</x:v>
      </x:c>
      <x:c r="H1215" s="6">
        <x:f t="shared" si="57"/>
        <x:v>0</x:v>
      </x:c>
      <x:c r="I1215" s="6">
        <x:v>116719.21999999997</x:v>
      </x:c>
      <x:c r="J1215" s="6">
        <x:v>0</x:v>
      </x:c>
      <x:c r="K1215" s="6">
        <x:f t="shared" si="58"/>
        <x:v>116719.21999999997</x:v>
      </x:c>
      <x:c r="L1215" s="6">
        <x:v>0</x:v>
      </x:c>
      <x:c r="M1215" s="6">
        <x:v>0</x:v>
      </x:c>
      <x:c r="N1215" s="6">
        <x:f t="shared" si="59"/>
        <x:v>116719.21999999997</x:v>
      </x:c>
    </x:row>
    <x:row r="1216" spans="1:14" x14ac:dyDescent="0.25">
      <x:c r="A1216" t="s">
        <x:v>17</x:v>
      </x:c>
      <x:c r="B1216" s="3" t="s">
        <x:v>129</x:v>
      </x:c>
      <x:c r="C1216" s="3" t="s">
        <x:v>446</x:v>
      </x:c>
      <x:c r="D1216" t="s">
        <x:v>677</x:v>
      </x:c>
      <x:c r="E1216" s="6">
        <x:v>0</x:v>
      </x:c>
      <x:c r="F1216" s="6">
        <x:v>0</x:v>
      </x:c>
      <x:c r="G1216" s="6">
        <x:v>0</x:v>
      </x:c>
      <x:c r="H1216" s="6">
        <x:f t="shared" si="57"/>
        <x:v>0</x:v>
      </x:c>
      <x:c r="I1216" s="6">
        <x:v>66748.350000000006</x:v>
      </x:c>
      <x:c r="J1216" s="6">
        <x:v>0</x:v>
      </x:c>
      <x:c r="K1216" s="6">
        <x:f t="shared" si="58"/>
        <x:v>66748.350000000006</x:v>
      </x:c>
      <x:c r="L1216" s="6">
        <x:v>0</x:v>
      </x:c>
      <x:c r="M1216" s="6">
        <x:v>0</x:v>
      </x:c>
      <x:c r="N1216" s="6">
        <x:f t="shared" si="59"/>
        <x:v>66748.350000000006</x:v>
      </x:c>
    </x:row>
    <x:row r="1217" spans="1:14" x14ac:dyDescent="0.25">
      <x:c r="A1217" t="s">
        <x:v>17</x:v>
      </x:c>
      <x:c r="B1217" s="3" t="s">
        <x:v>130</x:v>
      </x:c>
      <x:c r="C1217" s="3" t="s">
        <x:v>447</x:v>
      </x:c>
      <x:c r="D1217" t="s">
        <x:v>677</x:v>
      </x:c>
      <x:c r="E1217" s="6">
        <x:v>0</x:v>
      </x:c>
      <x:c r="F1217" s="6">
        <x:v>0</x:v>
      </x:c>
      <x:c r="G1217" s="6">
        <x:v>0</x:v>
      </x:c>
      <x:c r="H1217" s="6">
        <x:f t="shared" si="57"/>
        <x:v>0</x:v>
      </x:c>
      <x:c r="I1217" s="6">
        <x:v>16729.569999999996</x:v>
      </x:c>
      <x:c r="J1217" s="6">
        <x:v>0</x:v>
      </x:c>
      <x:c r="K1217" s="6">
        <x:f t="shared" si="58"/>
        <x:v>16729.569999999996</x:v>
      </x:c>
      <x:c r="L1217" s="6">
        <x:v>0</x:v>
      </x:c>
      <x:c r="M1217" s="6">
        <x:v>0</x:v>
      </x:c>
      <x:c r="N1217" s="6">
        <x:f t="shared" si="59"/>
        <x:v>16729.569999999996</x:v>
      </x:c>
    </x:row>
    <x:row r="1218" spans="1:14" x14ac:dyDescent="0.25">
      <x:c r="A1218" t="s">
        <x:v>17</x:v>
      </x:c>
      <x:c r="B1218" s="3" t="s">
        <x:v>131</x:v>
      </x:c>
      <x:c r="C1218" s="3" t="s">
        <x:v>448</x:v>
      </x:c>
      <x:c r="D1218" t="s">
        <x:v>677</x:v>
      </x:c>
      <x:c r="E1218" s="6">
        <x:v>0</x:v>
      </x:c>
      <x:c r="F1218" s="6">
        <x:v>0</x:v>
      </x:c>
      <x:c r="G1218" s="6">
        <x:v>0</x:v>
      </x:c>
      <x:c r="H1218" s="6">
        <x:f t="shared" si="57"/>
        <x:v>0</x:v>
      </x:c>
      <x:c r="I1218" s="6">
        <x:v>410697.1</x:v>
      </x:c>
      <x:c r="J1218" s="6">
        <x:v>0</x:v>
      </x:c>
      <x:c r="K1218" s="6">
        <x:f t="shared" si="58"/>
        <x:v>410697.1</x:v>
      </x:c>
      <x:c r="L1218" s="6">
        <x:v>0</x:v>
      </x:c>
      <x:c r="M1218" s="6">
        <x:v>0</x:v>
      </x:c>
      <x:c r="N1218" s="6">
        <x:f t="shared" si="59"/>
        <x:v>410697.1</x:v>
      </x:c>
    </x:row>
    <x:row r="1219" spans="1:14" x14ac:dyDescent="0.25">
      <x:c r="A1219" t="s">
        <x:v>17</x:v>
      </x:c>
      <x:c r="B1219" s="3" t="s">
        <x:v>132</x:v>
      </x:c>
      <x:c r="C1219" s="3" t="s">
        <x:v>449</x:v>
      </x:c>
      <x:c r="D1219" t="s">
        <x:v>677</x:v>
      </x:c>
      <x:c r="E1219" s="6">
        <x:v>0</x:v>
      </x:c>
      <x:c r="F1219" s="6">
        <x:v>0</x:v>
      </x:c>
      <x:c r="G1219" s="6">
        <x:v>0</x:v>
      </x:c>
      <x:c r="H1219" s="6">
        <x:f t="shared" si="57"/>
        <x:v>0</x:v>
      </x:c>
      <x:c r="I1219" s="6">
        <x:v>649319.32999999973</x:v>
      </x:c>
      <x:c r="J1219" s="6">
        <x:v>0</x:v>
      </x:c>
      <x:c r="K1219" s="6">
        <x:f t="shared" si="58"/>
        <x:v>649319.32999999973</x:v>
      </x:c>
      <x:c r="L1219" s="6">
        <x:v>0</x:v>
      </x:c>
      <x:c r="M1219" s="6">
        <x:v>0</x:v>
      </x:c>
      <x:c r="N1219" s="6">
        <x:f t="shared" si="59"/>
        <x:v>649319.32999999973</x:v>
      </x:c>
    </x:row>
    <x:row r="1220" spans="1:14" x14ac:dyDescent="0.25">
      <x:c r="A1220" t="s">
        <x:v>17</x:v>
      </x:c>
      <x:c r="B1220" s="3" t="s">
        <x:v>133</x:v>
      </x:c>
      <x:c r="C1220" s="3" t="s">
        <x:v>450</x:v>
      </x:c>
      <x:c r="D1220" t="s">
        <x:v>677</x:v>
      </x:c>
      <x:c r="E1220" s="6">
        <x:v>0</x:v>
      </x:c>
      <x:c r="F1220" s="6">
        <x:v>0</x:v>
      </x:c>
      <x:c r="G1220" s="6">
        <x:v>0</x:v>
      </x:c>
      <x:c r="H1220" s="6">
        <x:f t="shared" si="57"/>
        <x:v>0</x:v>
      </x:c>
      <x:c r="I1220" s="6">
        <x:v>388572.35000000009</x:v>
      </x:c>
      <x:c r="J1220" s="6">
        <x:v>0</x:v>
      </x:c>
      <x:c r="K1220" s="6">
        <x:f t="shared" si="58"/>
        <x:v>388572.35000000009</x:v>
      </x:c>
      <x:c r="L1220" s="6">
        <x:v>0</x:v>
      </x:c>
      <x:c r="M1220" s="6">
        <x:v>0</x:v>
      </x:c>
      <x:c r="N1220" s="6">
        <x:f t="shared" si="59"/>
        <x:v>388572.35000000009</x:v>
      </x:c>
    </x:row>
    <x:row r="1221" spans="1:14" x14ac:dyDescent="0.25">
      <x:c r="A1221" t="s">
        <x:v>17</x:v>
      </x:c>
      <x:c r="B1221" s="3" t="s">
        <x:v>134</x:v>
      </x:c>
      <x:c r="C1221" s="3" t="s">
        <x:v>451</x:v>
      </x:c>
      <x:c r="D1221" t="s">
        <x:v>677</x:v>
      </x:c>
      <x:c r="E1221" s="6">
        <x:v>0</x:v>
      </x:c>
      <x:c r="F1221" s="6">
        <x:v>0</x:v>
      </x:c>
      <x:c r="G1221" s="6">
        <x:v>0</x:v>
      </x:c>
      <x:c r="H1221" s="6">
        <x:f t="shared" si="57"/>
        <x:v>0</x:v>
      </x:c>
      <x:c r="I1221" s="6">
        <x:v>619662.96000000043</x:v>
      </x:c>
      <x:c r="J1221" s="6">
        <x:v>0</x:v>
      </x:c>
      <x:c r="K1221" s="6">
        <x:f t="shared" si="58"/>
        <x:v>619662.96000000043</x:v>
      </x:c>
      <x:c r="L1221" s="6">
        <x:v>0</x:v>
      </x:c>
      <x:c r="M1221" s="6">
        <x:v>0</x:v>
      </x:c>
      <x:c r="N1221" s="6">
        <x:f t="shared" si="59"/>
        <x:v>619662.96000000043</x:v>
      </x:c>
    </x:row>
    <x:row r="1222" spans="1:14" x14ac:dyDescent="0.25">
      <x:c r="A1222" t="s">
        <x:v>17</x:v>
      </x:c>
      <x:c r="B1222" s="3" t="s">
        <x:v>135</x:v>
      </x:c>
      <x:c r="C1222" s="3" t="s">
        <x:v>452</x:v>
      </x:c>
      <x:c r="D1222" t="s">
        <x:v>677</x:v>
      </x:c>
      <x:c r="E1222" s="6">
        <x:v>0</x:v>
      </x:c>
      <x:c r="F1222" s="6">
        <x:v>0</x:v>
      </x:c>
      <x:c r="G1222" s="6">
        <x:v>0</x:v>
      </x:c>
      <x:c r="H1222" s="6">
        <x:f t="shared" si="57"/>
        <x:v>0</x:v>
      </x:c>
      <x:c r="I1222" s="6">
        <x:v>176047.50999999995</x:v>
      </x:c>
      <x:c r="J1222" s="6">
        <x:v>0</x:v>
      </x:c>
      <x:c r="K1222" s="6">
        <x:f t="shared" si="58"/>
        <x:v>176047.50999999995</x:v>
      </x:c>
      <x:c r="L1222" s="6">
        <x:v>0</x:v>
      </x:c>
      <x:c r="M1222" s="6">
        <x:v>0</x:v>
      </x:c>
      <x:c r="N1222" s="6">
        <x:f t="shared" si="59"/>
        <x:v>176047.50999999995</x:v>
      </x:c>
    </x:row>
    <x:row r="1223" spans="1:14" x14ac:dyDescent="0.25">
      <x:c r="A1223" t="s">
        <x:v>17</x:v>
      </x:c>
      <x:c r="B1223" s="3" t="s">
        <x:v>136</x:v>
      </x:c>
      <x:c r="C1223" s="3" t="s">
        <x:v>453</x:v>
      </x:c>
      <x:c r="D1223" t="s">
        <x:v>677</x:v>
      </x:c>
      <x:c r="E1223" s="6">
        <x:v>0</x:v>
      </x:c>
      <x:c r="F1223" s="6">
        <x:v>0</x:v>
      </x:c>
      <x:c r="G1223" s="6">
        <x:v>0</x:v>
      </x:c>
      <x:c r="H1223" s="6">
        <x:f t="shared" si="57"/>
        <x:v>0</x:v>
      </x:c>
      <x:c r="I1223" s="6">
        <x:v>29774.49</x:v>
      </x:c>
      <x:c r="J1223" s="6">
        <x:v>0</x:v>
      </x:c>
      <x:c r="K1223" s="6">
        <x:f t="shared" si="58"/>
        <x:v>29774.49</x:v>
      </x:c>
      <x:c r="L1223" s="6">
        <x:v>0</x:v>
      </x:c>
      <x:c r="M1223" s="6">
        <x:v>0</x:v>
      </x:c>
      <x:c r="N1223" s="6">
        <x:f t="shared" si="59"/>
        <x:v>29774.49</x:v>
      </x:c>
    </x:row>
    <x:row r="1224" spans="1:14" x14ac:dyDescent="0.25">
      <x:c r="A1224" t="s">
        <x:v>17</x:v>
      </x:c>
      <x:c r="B1224" s="3" t="s">
        <x:v>137</x:v>
      </x:c>
      <x:c r="C1224" s="3" t="s">
        <x:v>454</x:v>
      </x:c>
      <x:c r="D1224" t="s">
        <x:v>677</x:v>
      </x:c>
      <x:c r="E1224" s="6">
        <x:v>0</x:v>
      </x:c>
      <x:c r="F1224" s="6">
        <x:v>0</x:v>
      </x:c>
      <x:c r="G1224" s="6">
        <x:v>0</x:v>
      </x:c>
      <x:c r="H1224" s="6">
        <x:f t="shared" si="57"/>
        <x:v>0</x:v>
      </x:c>
      <x:c r="I1224" s="6">
        <x:v>175948.93000000002</x:v>
      </x:c>
      <x:c r="J1224" s="6">
        <x:v>0</x:v>
      </x:c>
      <x:c r="K1224" s="6">
        <x:f t="shared" si="58"/>
        <x:v>175948.93000000002</x:v>
      </x:c>
      <x:c r="L1224" s="6">
        <x:v>0</x:v>
      </x:c>
      <x:c r="M1224" s="6">
        <x:v>0</x:v>
      </x:c>
      <x:c r="N1224" s="6">
        <x:f t="shared" si="59"/>
        <x:v>175948.93000000002</x:v>
      </x:c>
    </x:row>
    <x:row r="1225" spans="1:14" x14ac:dyDescent="0.25">
      <x:c r="A1225" t="s">
        <x:v>17</x:v>
      </x:c>
      <x:c r="B1225" s="3" t="s">
        <x:v>138</x:v>
      </x:c>
      <x:c r="C1225" s="3" t="s">
        <x:v>455</x:v>
      </x:c>
      <x:c r="D1225" t="s">
        <x:v>677</x:v>
      </x:c>
      <x:c r="E1225" s="6">
        <x:v>0</x:v>
      </x:c>
      <x:c r="F1225" s="6">
        <x:v>0</x:v>
      </x:c>
      <x:c r="G1225" s="6">
        <x:v>0</x:v>
      </x:c>
      <x:c r="H1225" s="6">
        <x:f t="shared" si="57"/>
        <x:v>0</x:v>
      </x:c>
      <x:c r="I1225" s="6">
        <x:v>378141.49000000011</x:v>
      </x:c>
      <x:c r="J1225" s="6">
        <x:v>0</x:v>
      </x:c>
      <x:c r="K1225" s="6">
        <x:f t="shared" si="58"/>
        <x:v>378141.49000000011</x:v>
      </x:c>
      <x:c r="L1225" s="6">
        <x:v>0</x:v>
      </x:c>
      <x:c r="M1225" s="6">
        <x:v>0</x:v>
      </x:c>
      <x:c r="N1225" s="6">
        <x:f t="shared" si="59"/>
        <x:v>378141.49000000011</x:v>
      </x:c>
    </x:row>
    <x:row r="1226" spans="1:14" x14ac:dyDescent="0.25">
      <x:c r="A1226" t="s">
        <x:v>17</x:v>
      </x:c>
      <x:c r="B1226" s="3" t="s">
        <x:v>139</x:v>
      </x:c>
      <x:c r="C1226" s="3" t="s">
        <x:v>456</x:v>
      </x:c>
      <x:c r="D1226" t="s">
        <x:v>677</x:v>
      </x:c>
      <x:c r="E1226" s="6">
        <x:v>0</x:v>
      </x:c>
      <x:c r="F1226" s="6">
        <x:v>0</x:v>
      </x:c>
      <x:c r="G1226" s="6">
        <x:v>0</x:v>
      </x:c>
      <x:c r="H1226" s="6">
        <x:f t="shared" si="57"/>
        <x:v>0</x:v>
      </x:c>
      <x:c r="I1226" s="6">
        <x:v>666076.00999999978</x:v>
      </x:c>
      <x:c r="J1226" s="6">
        <x:v>0</x:v>
      </x:c>
      <x:c r="K1226" s="6">
        <x:f t="shared" si="58"/>
        <x:v>666076.00999999978</x:v>
      </x:c>
      <x:c r="L1226" s="6">
        <x:v>0</x:v>
      </x:c>
      <x:c r="M1226" s="6">
        <x:v>0</x:v>
      </x:c>
      <x:c r="N1226" s="6">
        <x:f t="shared" si="59"/>
        <x:v>666076.00999999978</x:v>
      </x:c>
    </x:row>
    <x:row r="1227" spans="1:14" x14ac:dyDescent="0.25">
      <x:c r="A1227" t="s">
        <x:v>17</x:v>
      </x:c>
      <x:c r="B1227" s="3" t="s">
        <x:v>140</x:v>
      </x:c>
      <x:c r="C1227" s="3" t="s">
        <x:v>457</x:v>
      </x:c>
      <x:c r="D1227" t="s">
        <x:v>677</x:v>
      </x:c>
      <x:c r="E1227" s="6">
        <x:v>0</x:v>
      </x:c>
      <x:c r="F1227" s="6">
        <x:v>0</x:v>
      </x:c>
      <x:c r="G1227" s="6">
        <x:v>0</x:v>
      </x:c>
      <x:c r="H1227" s="6">
        <x:f t="shared" si="57"/>
        <x:v>0</x:v>
      </x:c>
      <x:c r="I1227" s="6">
        <x:v>753786.82999999984</x:v>
      </x:c>
      <x:c r="J1227" s="6">
        <x:v>0</x:v>
      </x:c>
      <x:c r="K1227" s="6">
        <x:f t="shared" si="58"/>
        <x:v>753786.82999999984</x:v>
      </x:c>
      <x:c r="L1227" s="6">
        <x:v>0</x:v>
      </x:c>
      <x:c r="M1227" s="6">
        <x:v>0</x:v>
      </x:c>
      <x:c r="N1227" s="6">
        <x:f t="shared" si="59"/>
        <x:v>753786.82999999984</x:v>
      </x:c>
    </x:row>
    <x:row r="1228" spans="1:14" x14ac:dyDescent="0.25">
      <x:c r="A1228" t="s">
        <x:v>17</x:v>
      </x:c>
      <x:c r="B1228" s="3" t="s">
        <x:v>141</x:v>
      </x:c>
      <x:c r="C1228" s="3" t="s">
        <x:v>458</x:v>
      </x:c>
      <x:c r="D1228" t="s">
        <x:v>677</x:v>
      </x:c>
      <x:c r="E1228" s="6">
        <x:v>0</x:v>
      </x:c>
      <x:c r="F1228" s="6">
        <x:v>0</x:v>
      </x:c>
      <x:c r="G1228" s="6">
        <x:v>0</x:v>
      </x:c>
      <x:c r="H1228" s="6">
        <x:f t="shared" si="57"/>
        <x:v>0</x:v>
      </x:c>
      <x:c r="I1228" s="6">
        <x:v>697315.10000000009</x:v>
      </x:c>
      <x:c r="J1228" s="6">
        <x:v>0</x:v>
      </x:c>
      <x:c r="K1228" s="6">
        <x:f t="shared" si="58"/>
        <x:v>697315.10000000009</x:v>
      </x:c>
      <x:c r="L1228" s="6">
        <x:v>0</x:v>
      </x:c>
      <x:c r="M1228" s="6">
        <x:v>0</x:v>
      </x:c>
      <x:c r="N1228" s="6">
        <x:f t="shared" si="59"/>
        <x:v>697315.10000000009</x:v>
      </x:c>
    </x:row>
    <x:row r="1229" spans="1:14" x14ac:dyDescent="0.25">
      <x:c r="A1229" t="s">
        <x:v>17</x:v>
      </x:c>
      <x:c r="B1229" s="3" t="s">
        <x:v>142</x:v>
      </x:c>
      <x:c r="C1229" s="3" t="s">
        <x:v>459</x:v>
      </x:c>
      <x:c r="D1229" t="s">
        <x:v>677</x:v>
      </x:c>
      <x:c r="E1229" s="6">
        <x:v>0</x:v>
      </x:c>
      <x:c r="F1229" s="6">
        <x:v>0</x:v>
      </x:c>
      <x:c r="G1229" s="6">
        <x:v>0</x:v>
      </x:c>
      <x:c r="H1229" s="6">
        <x:f t="shared" si="57"/>
        <x:v>0</x:v>
      </x:c>
      <x:c r="I1229" s="6">
        <x:v>355345.89</x:v>
      </x:c>
      <x:c r="J1229" s="6">
        <x:v>0</x:v>
      </x:c>
      <x:c r="K1229" s="6">
        <x:f t="shared" si="58"/>
        <x:v>355345.89</x:v>
      </x:c>
      <x:c r="L1229" s="6">
        <x:v>0</x:v>
      </x:c>
      <x:c r="M1229" s="6">
        <x:v>0</x:v>
      </x:c>
      <x:c r="N1229" s="6">
        <x:f t="shared" si="59"/>
        <x:v>355345.89</x:v>
      </x:c>
    </x:row>
    <x:row r="1230" spans="1:14" x14ac:dyDescent="0.25">
      <x:c r="A1230" t="s">
        <x:v>17</x:v>
      </x:c>
      <x:c r="B1230" s="3" t="s">
        <x:v>143</x:v>
      </x:c>
      <x:c r="C1230" s="3" t="s">
        <x:v>460</x:v>
      </x:c>
      <x:c r="D1230" t="s">
        <x:v>677</x:v>
      </x:c>
      <x:c r="E1230" s="6">
        <x:v>0</x:v>
      </x:c>
      <x:c r="F1230" s="6">
        <x:v>0</x:v>
      </x:c>
      <x:c r="G1230" s="6">
        <x:v>0</x:v>
      </x:c>
      <x:c r="H1230" s="6">
        <x:f t="shared" ref="H1230:H1293" si="60">SUM(E1230:G1230)</x:f>
        <x:v>0</x:v>
      </x:c>
      <x:c r="I1230" s="6">
        <x:v>448953.36</x:v>
      </x:c>
      <x:c r="J1230" s="6">
        <x:v>0</x:v>
      </x:c>
      <x:c r="K1230" s="6">
        <x:f t="shared" ref="K1230:K1293" si="61">SUM(I1230:J1230)</x:f>
        <x:v>448953.36</x:v>
      </x:c>
      <x:c r="L1230" s="6">
        <x:v>0</x:v>
      </x:c>
      <x:c r="M1230" s="6">
        <x:v>0</x:v>
      </x:c>
      <x:c r="N1230" s="6">
        <x:f t="shared" ref="N1230:N1293" si="62">+E1230+F1230+G1230+I1230+J1230+L1230+M1230</x:f>
        <x:v>448953.36</x:v>
      </x:c>
    </x:row>
    <x:row r="1231" spans="1:14" x14ac:dyDescent="0.25">
      <x:c r="A1231" t="s">
        <x:v>17</x:v>
      </x:c>
      <x:c r="B1231" s="3" t="s">
        <x:v>144</x:v>
      </x:c>
      <x:c r="C1231" s="3" t="s">
        <x:v>461</x:v>
      </x:c>
      <x:c r="D1231" t="s">
        <x:v>677</x:v>
      </x:c>
      <x:c r="E1231" s="6">
        <x:v>0</x:v>
      </x:c>
      <x:c r="F1231" s="6">
        <x:v>0</x:v>
      </x:c>
      <x:c r="G1231" s="6">
        <x:v>0</x:v>
      </x:c>
      <x:c r="H1231" s="6">
        <x:f t="shared" si="60"/>
        <x:v>0</x:v>
      </x:c>
      <x:c r="I1231" s="6">
        <x:v>322216.77999999991</x:v>
      </x:c>
      <x:c r="J1231" s="6">
        <x:v>0</x:v>
      </x:c>
      <x:c r="K1231" s="6">
        <x:f t="shared" si="61"/>
        <x:v>322216.77999999991</x:v>
      </x:c>
      <x:c r="L1231" s="6">
        <x:v>0</x:v>
      </x:c>
      <x:c r="M1231" s="6">
        <x:v>0</x:v>
      </x:c>
      <x:c r="N1231" s="6">
        <x:f t="shared" si="62"/>
        <x:v>322216.77999999991</x:v>
      </x:c>
    </x:row>
    <x:row r="1232" spans="1:14" x14ac:dyDescent="0.25">
      <x:c r="A1232" t="s">
        <x:v>17</x:v>
      </x:c>
      <x:c r="B1232" s="3" t="s">
        <x:v>145</x:v>
      </x:c>
      <x:c r="C1232" s="3" t="s">
        <x:v>462</x:v>
      </x:c>
      <x:c r="D1232" t="s">
        <x:v>677</x:v>
      </x:c>
      <x:c r="E1232" s="6">
        <x:v>0</x:v>
      </x:c>
      <x:c r="F1232" s="6">
        <x:v>0</x:v>
      </x:c>
      <x:c r="G1232" s="6">
        <x:v>0</x:v>
      </x:c>
      <x:c r="H1232" s="6">
        <x:f t="shared" si="60"/>
        <x:v>0</x:v>
      </x:c>
      <x:c r="I1232" s="6">
        <x:v>1156.58</x:v>
      </x:c>
      <x:c r="J1232" s="6">
        <x:v>0</x:v>
      </x:c>
      <x:c r="K1232" s="6">
        <x:f t="shared" si="61"/>
        <x:v>1156.58</x:v>
      </x:c>
      <x:c r="L1232" s="6">
        <x:v>0</x:v>
      </x:c>
      <x:c r="M1232" s="6">
        <x:v>0</x:v>
      </x:c>
      <x:c r="N1232" s="6">
        <x:f t="shared" si="62"/>
        <x:v>1156.58</x:v>
      </x:c>
    </x:row>
    <x:row r="1233" spans="1:14" x14ac:dyDescent="0.25">
      <x:c r="A1233" t="s">
        <x:v>17</x:v>
      </x:c>
      <x:c r="B1233" s="3" t="s">
        <x:v>146</x:v>
      </x:c>
      <x:c r="C1233" s="3" t="s">
        <x:v>463</x:v>
      </x:c>
      <x:c r="D1233" t="s">
        <x:v>677</x:v>
      </x:c>
      <x:c r="E1233" s="6">
        <x:v>0</x:v>
      </x:c>
      <x:c r="F1233" s="6">
        <x:v>0</x:v>
      </x:c>
      <x:c r="G1233" s="6">
        <x:v>0</x:v>
      </x:c>
      <x:c r="H1233" s="6">
        <x:f t="shared" si="60"/>
        <x:v>0</x:v>
      </x:c>
      <x:c r="I1233" s="6">
        <x:v>379652.38999999996</x:v>
      </x:c>
      <x:c r="J1233" s="6">
        <x:v>0</x:v>
      </x:c>
      <x:c r="K1233" s="6">
        <x:f t="shared" si="61"/>
        <x:v>379652.38999999996</x:v>
      </x:c>
      <x:c r="L1233" s="6">
        <x:v>0</x:v>
      </x:c>
      <x:c r="M1233" s="6">
        <x:v>0</x:v>
      </x:c>
      <x:c r="N1233" s="6">
        <x:f t="shared" si="62"/>
        <x:v>379652.38999999996</x:v>
      </x:c>
    </x:row>
    <x:row r="1234" spans="1:14" x14ac:dyDescent="0.25">
      <x:c r="A1234" t="s">
        <x:v>17</x:v>
      </x:c>
      <x:c r="B1234" s="3" t="s">
        <x:v>232</x:v>
      </x:c>
      <x:c r="C1234" s="3" t="s">
        <x:v>547</x:v>
      </x:c>
      <x:c r="D1234" t="s">
        <x:v>677</x:v>
      </x:c>
      <x:c r="E1234" s="6">
        <x:v>0</x:v>
      </x:c>
      <x:c r="F1234" s="6">
        <x:v>0</x:v>
      </x:c>
      <x:c r="G1234" s="6">
        <x:v>0</x:v>
      </x:c>
      <x:c r="H1234" s="6">
        <x:f t="shared" si="60"/>
        <x:v>0</x:v>
      </x:c>
      <x:c r="I1234" s="6">
        <x:v>267834.96999999997</x:v>
      </x:c>
      <x:c r="J1234" s="6">
        <x:v>0</x:v>
      </x:c>
      <x:c r="K1234" s="6">
        <x:f t="shared" si="61"/>
        <x:v>267834.96999999997</x:v>
      </x:c>
      <x:c r="L1234" s="6">
        <x:v>0</x:v>
      </x:c>
      <x:c r="M1234" s="6">
        <x:v>0</x:v>
      </x:c>
      <x:c r="N1234" s="6">
        <x:f t="shared" si="62"/>
        <x:v>267834.96999999997</x:v>
      </x:c>
    </x:row>
    <x:row r="1235" spans="1:14" x14ac:dyDescent="0.25">
      <x:c r="A1235" t="s">
        <x:v>17</x:v>
      </x:c>
      <x:c r="B1235" s="3" t="s">
        <x:v>147</x:v>
      </x:c>
      <x:c r="C1235" s="3" t="s">
        <x:v>464</x:v>
      </x:c>
      <x:c r="D1235" t="s">
        <x:v>677</x:v>
      </x:c>
      <x:c r="E1235" s="6">
        <x:v>0</x:v>
      </x:c>
      <x:c r="F1235" s="6">
        <x:v>0</x:v>
      </x:c>
      <x:c r="G1235" s="6">
        <x:v>0</x:v>
      </x:c>
      <x:c r="H1235" s="6">
        <x:f t="shared" si="60"/>
        <x:v>0</x:v>
      </x:c>
      <x:c r="I1235" s="6">
        <x:v>765486.37000000011</x:v>
      </x:c>
      <x:c r="J1235" s="6">
        <x:v>0</x:v>
      </x:c>
      <x:c r="K1235" s="6">
        <x:f t="shared" si="61"/>
        <x:v>765486.37000000011</x:v>
      </x:c>
      <x:c r="L1235" s="6">
        <x:v>0</x:v>
      </x:c>
      <x:c r="M1235" s="6">
        <x:v>0</x:v>
      </x:c>
      <x:c r="N1235" s="6">
        <x:f t="shared" si="62"/>
        <x:v>765486.37000000011</x:v>
      </x:c>
    </x:row>
    <x:row r="1236" spans="1:14" x14ac:dyDescent="0.25">
      <x:c r="A1236" t="s">
        <x:v>17</x:v>
      </x:c>
      <x:c r="B1236" s="3" t="s">
        <x:v>148</x:v>
      </x:c>
      <x:c r="C1236" s="3" t="s">
        <x:v>465</x:v>
      </x:c>
      <x:c r="D1236" t="s">
        <x:v>677</x:v>
      </x:c>
      <x:c r="E1236" s="6">
        <x:v>0</x:v>
      </x:c>
      <x:c r="F1236" s="6">
        <x:v>0</x:v>
      </x:c>
      <x:c r="G1236" s="6">
        <x:v>0</x:v>
      </x:c>
      <x:c r="H1236" s="6">
        <x:f t="shared" si="60"/>
        <x:v>0</x:v>
      </x:c>
      <x:c r="I1236" s="6">
        <x:v>634177.53</x:v>
      </x:c>
      <x:c r="J1236" s="6">
        <x:v>0</x:v>
      </x:c>
      <x:c r="K1236" s="6">
        <x:f t="shared" si="61"/>
        <x:v>634177.53</x:v>
      </x:c>
      <x:c r="L1236" s="6">
        <x:v>0</x:v>
      </x:c>
      <x:c r="M1236" s="6">
        <x:v>0</x:v>
      </x:c>
      <x:c r="N1236" s="6">
        <x:f t="shared" si="62"/>
        <x:v>634177.53</x:v>
      </x:c>
    </x:row>
    <x:row r="1237" spans="1:14" x14ac:dyDescent="0.25">
      <x:c r="A1237" t="s">
        <x:v>17</x:v>
      </x:c>
      <x:c r="B1237" s="3" t="s">
        <x:v>149</x:v>
      </x:c>
      <x:c r="C1237" s="3" t="s">
        <x:v>466</x:v>
      </x:c>
      <x:c r="D1237" t="s">
        <x:v>677</x:v>
      </x:c>
      <x:c r="E1237" s="6">
        <x:v>0</x:v>
      </x:c>
      <x:c r="F1237" s="6">
        <x:v>0</x:v>
      </x:c>
      <x:c r="G1237" s="6">
        <x:v>0</x:v>
      </x:c>
      <x:c r="H1237" s="6">
        <x:f t="shared" si="60"/>
        <x:v>0</x:v>
      </x:c>
      <x:c r="I1237" s="6">
        <x:v>459899.70000000013</x:v>
      </x:c>
      <x:c r="J1237" s="6">
        <x:v>0</x:v>
      </x:c>
      <x:c r="K1237" s="6">
        <x:f t="shared" si="61"/>
        <x:v>459899.70000000013</x:v>
      </x:c>
      <x:c r="L1237" s="6">
        <x:v>0</x:v>
      </x:c>
      <x:c r="M1237" s="6">
        <x:v>0</x:v>
      </x:c>
      <x:c r="N1237" s="6">
        <x:f t="shared" si="62"/>
        <x:v>459899.70000000013</x:v>
      </x:c>
    </x:row>
    <x:row r="1238" spans="1:14" x14ac:dyDescent="0.25">
      <x:c r="A1238" t="s">
        <x:v>17</x:v>
      </x:c>
      <x:c r="B1238" s="3" t="s">
        <x:v>150</x:v>
      </x:c>
      <x:c r="C1238" s="3" t="s">
        <x:v>467</x:v>
      </x:c>
      <x:c r="D1238" t="s">
        <x:v>677</x:v>
      </x:c>
      <x:c r="E1238" s="6">
        <x:v>0</x:v>
      </x:c>
      <x:c r="F1238" s="6">
        <x:v>0</x:v>
      </x:c>
      <x:c r="G1238" s="6">
        <x:v>0</x:v>
      </x:c>
      <x:c r="H1238" s="6">
        <x:f t="shared" si="60"/>
        <x:v>0</x:v>
      </x:c>
      <x:c r="I1238" s="6">
        <x:v>352337.99</x:v>
      </x:c>
      <x:c r="J1238" s="6">
        <x:v>0</x:v>
      </x:c>
      <x:c r="K1238" s="6">
        <x:f t="shared" si="61"/>
        <x:v>352337.99</x:v>
      </x:c>
      <x:c r="L1238" s="6">
        <x:v>0</x:v>
      </x:c>
      <x:c r="M1238" s="6">
        <x:v>0</x:v>
      </x:c>
      <x:c r="N1238" s="6">
        <x:f t="shared" si="62"/>
        <x:v>352337.99</x:v>
      </x:c>
    </x:row>
    <x:row r="1239" spans="1:14" x14ac:dyDescent="0.25">
      <x:c r="A1239" t="s">
        <x:v>17</x:v>
      </x:c>
      <x:c r="B1239" s="3" t="s">
        <x:v>151</x:v>
      </x:c>
      <x:c r="C1239" s="3" t="s">
        <x:v>468</x:v>
      </x:c>
      <x:c r="D1239" t="s">
        <x:v>677</x:v>
      </x:c>
      <x:c r="E1239" s="6">
        <x:v>0</x:v>
      </x:c>
      <x:c r="F1239" s="6">
        <x:v>0</x:v>
      </x:c>
      <x:c r="G1239" s="6">
        <x:v>0</x:v>
      </x:c>
      <x:c r="H1239" s="6">
        <x:f t="shared" si="60"/>
        <x:v>0</x:v>
      </x:c>
      <x:c r="I1239" s="6">
        <x:v>321132.64999999997</x:v>
      </x:c>
      <x:c r="J1239" s="6">
        <x:v>0</x:v>
      </x:c>
      <x:c r="K1239" s="6">
        <x:f t="shared" si="61"/>
        <x:v>321132.64999999997</x:v>
      </x:c>
      <x:c r="L1239" s="6">
        <x:v>0</x:v>
      </x:c>
      <x:c r="M1239" s="6">
        <x:v>0</x:v>
      </x:c>
      <x:c r="N1239" s="6">
        <x:f t="shared" si="62"/>
        <x:v>321132.64999999997</x:v>
      </x:c>
    </x:row>
    <x:row r="1240" spans="1:14" x14ac:dyDescent="0.25">
      <x:c r="A1240" t="s">
        <x:v>17</x:v>
      </x:c>
      <x:c r="B1240" s="3" t="s">
        <x:v>277</x:v>
      </x:c>
      <x:c r="C1240" s="3" t="s">
        <x:v>592</x:v>
      </x:c>
      <x:c r="D1240" t="s">
        <x:v>677</x:v>
      </x:c>
      <x:c r="E1240" s="6">
        <x:v>0</x:v>
      </x:c>
      <x:c r="F1240" s="6">
        <x:v>0</x:v>
      </x:c>
      <x:c r="G1240" s="6">
        <x:v>0</x:v>
      </x:c>
      <x:c r="H1240" s="6">
        <x:f t="shared" si="60"/>
        <x:v>0</x:v>
      </x:c>
      <x:c r="I1240" s="6">
        <x:v>25301.86</x:v>
      </x:c>
      <x:c r="J1240" s="6">
        <x:v>0</x:v>
      </x:c>
      <x:c r="K1240" s="6">
        <x:f t="shared" si="61"/>
        <x:v>25301.86</x:v>
      </x:c>
      <x:c r="L1240" s="6">
        <x:v>0</x:v>
      </x:c>
      <x:c r="M1240" s="6">
        <x:v>0</x:v>
      </x:c>
      <x:c r="N1240" s="6">
        <x:f t="shared" si="62"/>
        <x:v>25301.86</x:v>
      </x:c>
    </x:row>
    <x:row r="1241" spans="1:14" x14ac:dyDescent="0.25">
      <x:c r="A1241" t="s">
        <x:v>17</x:v>
      </x:c>
      <x:c r="B1241" s="3" t="s">
        <x:v>278</x:v>
      </x:c>
      <x:c r="C1241" s="3" t="s">
        <x:v>593</x:v>
      </x:c>
      <x:c r="D1241" t="s">
        <x:v>677</x:v>
      </x:c>
      <x:c r="E1241" s="6">
        <x:v>0</x:v>
      </x:c>
      <x:c r="F1241" s="6">
        <x:v>0</x:v>
      </x:c>
      <x:c r="G1241" s="6">
        <x:v>0</x:v>
      </x:c>
      <x:c r="H1241" s="6">
        <x:f t="shared" si="60"/>
        <x:v>0</x:v>
      </x:c>
      <x:c r="I1241" s="6">
        <x:v>171385.47</x:v>
      </x:c>
      <x:c r="J1241" s="6">
        <x:v>0</x:v>
      </x:c>
      <x:c r="K1241" s="6">
        <x:f t="shared" si="61"/>
        <x:v>171385.47</x:v>
      </x:c>
      <x:c r="L1241" s="6">
        <x:v>0</x:v>
      </x:c>
      <x:c r="M1241" s="6">
        <x:v>0</x:v>
      </x:c>
      <x:c r="N1241" s="6">
        <x:f t="shared" si="62"/>
        <x:v>171385.47</x:v>
      </x:c>
    </x:row>
    <x:row r="1242" spans="1:14" x14ac:dyDescent="0.25">
      <x:c r="A1242" t="s">
        <x:v>17</x:v>
      </x:c>
      <x:c r="B1242" s="3" t="s">
        <x:v>152</x:v>
      </x:c>
      <x:c r="C1242" s="3" t="s">
        <x:v>469</x:v>
      </x:c>
      <x:c r="D1242" t="s">
        <x:v>677</x:v>
      </x:c>
      <x:c r="E1242" s="6">
        <x:v>0</x:v>
      </x:c>
      <x:c r="F1242" s="6">
        <x:v>0</x:v>
      </x:c>
      <x:c r="G1242" s="6">
        <x:v>0</x:v>
      </x:c>
      <x:c r="H1242" s="6">
        <x:f t="shared" si="60"/>
        <x:v>0</x:v>
      </x:c>
      <x:c r="I1242" s="6">
        <x:v>1359129.8800000004</x:v>
      </x:c>
      <x:c r="J1242" s="6">
        <x:v>0</x:v>
      </x:c>
      <x:c r="K1242" s="6">
        <x:f t="shared" si="61"/>
        <x:v>1359129.8800000004</x:v>
      </x:c>
      <x:c r="L1242" s="6">
        <x:v>0</x:v>
      </x:c>
      <x:c r="M1242" s="6">
        <x:v>0</x:v>
      </x:c>
      <x:c r="N1242" s="6">
        <x:f t="shared" si="62"/>
        <x:v>1359129.8800000004</x:v>
      </x:c>
    </x:row>
    <x:row r="1243" spans="1:14" x14ac:dyDescent="0.25">
      <x:c r="A1243" t="s">
        <x:v>17</x:v>
      </x:c>
      <x:c r="B1243" s="3" t="s">
        <x:v>153</x:v>
      </x:c>
      <x:c r="C1243" s="3" t="s">
        <x:v>470</x:v>
      </x:c>
      <x:c r="D1243" t="s">
        <x:v>677</x:v>
      </x:c>
      <x:c r="E1243" s="6">
        <x:v>0</x:v>
      </x:c>
      <x:c r="F1243" s="6">
        <x:v>0</x:v>
      </x:c>
      <x:c r="G1243" s="6">
        <x:v>0</x:v>
      </x:c>
      <x:c r="H1243" s="6">
        <x:f t="shared" si="60"/>
        <x:v>0</x:v>
      </x:c>
      <x:c r="I1243" s="6">
        <x:v>769137.05999999971</x:v>
      </x:c>
      <x:c r="J1243" s="6">
        <x:v>0</x:v>
      </x:c>
      <x:c r="K1243" s="6">
        <x:f t="shared" si="61"/>
        <x:v>769137.05999999971</x:v>
      </x:c>
      <x:c r="L1243" s="6">
        <x:v>0</x:v>
      </x:c>
      <x:c r="M1243" s="6">
        <x:v>0</x:v>
      </x:c>
      <x:c r="N1243" s="6">
        <x:f t="shared" si="62"/>
        <x:v>769137.05999999971</x:v>
      </x:c>
    </x:row>
    <x:row r="1244" spans="1:14" x14ac:dyDescent="0.25">
      <x:c r="A1244" t="s">
        <x:v>17</x:v>
      </x:c>
      <x:c r="B1244" s="3" t="s">
        <x:v>154</x:v>
      </x:c>
      <x:c r="C1244" s="3" t="s">
        <x:v>471</x:v>
      </x:c>
      <x:c r="D1244" t="s">
        <x:v>677</x:v>
      </x:c>
      <x:c r="E1244" s="6">
        <x:v>0</x:v>
      </x:c>
      <x:c r="F1244" s="6">
        <x:v>0</x:v>
      </x:c>
      <x:c r="G1244" s="6">
        <x:v>0</x:v>
      </x:c>
      <x:c r="H1244" s="6">
        <x:f t="shared" si="60"/>
        <x:v>0</x:v>
      </x:c>
      <x:c r="I1244" s="6">
        <x:v>633332.4700000002</x:v>
      </x:c>
      <x:c r="J1244" s="6">
        <x:v>0</x:v>
      </x:c>
      <x:c r="K1244" s="6">
        <x:f t="shared" si="61"/>
        <x:v>633332.4700000002</x:v>
      </x:c>
      <x:c r="L1244" s="6">
        <x:v>0</x:v>
      </x:c>
      <x:c r="M1244" s="6">
        <x:v>0</x:v>
      </x:c>
      <x:c r="N1244" s="6">
        <x:f t="shared" si="62"/>
        <x:v>633332.4700000002</x:v>
      </x:c>
    </x:row>
    <x:row r="1245" spans="1:14" x14ac:dyDescent="0.25">
      <x:c r="A1245" t="s">
        <x:v>17</x:v>
      </x:c>
      <x:c r="B1245" s="3" t="s">
        <x:v>155</x:v>
      </x:c>
      <x:c r="C1245" s="3" t="s">
        <x:v>472</x:v>
      </x:c>
      <x:c r="D1245" t="s">
        <x:v>677</x:v>
      </x:c>
      <x:c r="E1245" s="6">
        <x:v>0</x:v>
      </x:c>
      <x:c r="F1245" s="6">
        <x:v>0</x:v>
      </x:c>
      <x:c r="G1245" s="6">
        <x:v>0</x:v>
      </x:c>
      <x:c r="H1245" s="6">
        <x:f t="shared" si="60"/>
        <x:v>0</x:v>
      </x:c>
      <x:c r="I1245" s="6">
        <x:v>833944.98999999987</x:v>
      </x:c>
      <x:c r="J1245" s="6">
        <x:v>0</x:v>
      </x:c>
      <x:c r="K1245" s="6">
        <x:f t="shared" si="61"/>
        <x:v>833944.98999999987</x:v>
      </x:c>
      <x:c r="L1245" s="6">
        <x:v>0</x:v>
      </x:c>
      <x:c r="M1245" s="6">
        <x:v>0</x:v>
      </x:c>
      <x:c r="N1245" s="6">
        <x:f t="shared" si="62"/>
        <x:v>833944.98999999987</x:v>
      </x:c>
    </x:row>
    <x:row r="1246" spans="1:14" x14ac:dyDescent="0.25">
      <x:c r="A1246" t="s">
        <x:v>17</x:v>
      </x:c>
      <x:c r="B1246" s="3" t="s">
        <x:v>45</x:v>
      </x:c>
      <x:c r="C1246" s="3" t="s">
        <x:v>362</x:v>
      </x:c>
      <x:c r="D1246" t="s">
        <x:v>677</x:v>
      </x:c>
      <x:c r="E1246" s="6">
        <x:v>0</x:v>
      </x:c>
      <x:c r="F1246" s="6">
        <x:v>0</x:v>
      </x:c>
      <x:c r="G1246" s="6">
        <x:v>0</x:v>
      </x:c>
      <x:c r="H1246" s="6">
        <x:f t="shared" si="60"/>
        <x:v>0</x:v>
      </x:c>
      <x:c r="I1246" s="6">
        <x:v>75788.050000000017</x:v>
      </x:c>
      <x:c r="J1246" s="6">
        <x:v>0</x:v>
      </x:c>
      <x:c r="K1246" s="6">
        <x:f t="shared" si="61"/>
        <x:v>75788.050000000017</x:v>
      </x:c>
      <x:c r="L1246" s="6">
        <x:v>0</x:v>
      </x:c>
      <x:c r="M1246" s="6">
        <x:v>0</x:v>
      </x:c>
      <x:c r="N1246" s="6">
        <x:f t="shared" si="62"/>
        <x:v>75788.050000000017</x:v>
      </x:c>
    </x:row>
    <x:row r="1247" spans="1:14" x14ac:dyDescent="0.25">
      <x:c r="A1247" t="s">
        <x:v>17</x:v>
      </x:c>
      <x:c r="B1247" s="3" t="s">
        <x:v>279</x:v>
      </x:c>
      <x:c r="C1247" s="3" t="s">
        <x:v>594</x:v>
      </x:c>
      <x:c r="D1247" t="s">
        <x:v>677</x:v>
      </x:c>
      <x:c r="E1247" s="6">
        <x:v>0</x:v>
      </x:c>
      <x:c r="F1247" s="6">
        <x:v>0</x:v>
      </x:c>
      <x:c r="G1247" s="6">
        <x:v>0</x:v>
      </x:c>
      <x:c r="H1247" s="6">
        <x:f t="shared" si="60"/>
        <x:v>0</x:v>
      </x:c>
      <x:c r="I1247" s="6">
        <x:v>23156.800000000003</x:v>
      </x:c>
      <x:c r="J1247" s="6">
        <x:v>0</x:v>
      </x:c>
      <x:c r="K1247" s="6">
        <x:f t="shared" si="61"/>
        <x:v>23156.800000000003</x:v>
      </x:c>
      <x:c r="L1247" s="6">
        <x:v>0</x:v>
      </x:c>
      <x:c r="M1247" s="6">
        <x:v>0</x:v>
      </x:c>
      <x:c r="N1247" s="6">
        <x:f t="shared" si="62"/>
        <x:v>23156.800000000003</x:v>
      </x:c>
    </x:row>
    <x:row r="1248" spans="1:14" x14ac:dyDescent="0.25">
      <x:c r="A1248" t="s">
        <x:v>17</x:v>
      </x:c>
      <x:c r="B1248" s="3" t="s">
        <x:v>156</x:v>
      </x:c>
      <x:c r="C1248" s="3" t="s">
        <x:v>473</x:v>
      </x:c>
      <x:c r="D1248" t="s">
        <x:v>677</x:v>
      </x:c>
      <x:c r="E1248" s="6">
        <x:v>0</x:v>
      </x:c>
      <x:c r="F1248" s="6">
        <x:v>0</x:v>
      </x:c>
      <x:c r="G1248" s="6">
        <x:v>0</x:v>
      </x:c>
      <x:c r="H1248" s="6">
        <x:f t="shared" si="60"/>
        <x:v>0</x:v>
      </x:c>
      <x:c r="I1248" s="6">
        <x:v>509328.9499999999</x:v>
      </x:c>
      <x:c r="J1248" s="6">
        <x:v>0</x:v>
      </x:c>
      <x:c r="K1248" s="6">
        <x:f t="shared" si="61"/>
        <x:v>509328.9499999999</x:v>
      </x:c>
      <x:c r="L1248" s="6">
        <x:v>0</x:v>
      </x:c>
      <x:c r="M1248" s="6">
        <x:v>0</x:v>
      </x:c>
      <x:c r="N1248" s="6">
        <x:f t="shared" si="62"/>
        <x:v>509328.9499999999</x:v>
      </x:c>
    </x:row>
    <x:row r="1249" spans="1:14" x14ac:dyDescent="0.25">
      <x:c r="A1249" t="s">
        <x:v>17</x:v>
      </x:c>
      <x:c r="B1249" s="3" t="s">
        <x:v>280</x:v>
      </x:c>
      <x:c r="C1249" s="3" t="s">
        <x:v>595</x:v>
      </x:c>
      <x:c r="D1249" t="s">
        <x:v>677</x:v>
      </x:c>
      <x:c r="E1249" s="6">
        <x:v>0</x:v>
      </x:c>
      <x:c r="F1249" s="6">
        <x:v>0</x:v>
      </x:c>
      <x:c r="G1249" s="6">
        <x:v>0</x:v>
      </x:c>
      <x:c r="H1249" s="6">
        <x:f t="shared" si="60"/>
        <x:v>0</x:v>
      </x:c>
      <x:c r="I1249" s="6">
        <x:v>2318.71</x:v>
      </x:c>
      <x:c r="J1249" s="6">
        <x:v>0</x:v>
      </x:c>
      <x:c r="K1249" s="6">
        <x:f t="shared" si="61"/>
        <x:v>2318.71</x:v>
      </x:c>
      <x:c r="L1249" s="6">
        <x:v>0</x:v>
      </x:c>
      <x:c r="M1249" s="6">
        <x:v>0</x:v>
      </x:c>
      <x:c r="N1249" s="6">
        <x:f t="shared" si="62"/>
        <x:v>2318.71</x:v>
      </x:c>
    </x:row>
    <x:row r="1250" spans="1:14" x14ac:dyDescent="0.25">
      <x:c r="A1250" t="s">
        <x:v>17</x:v>
      </x:c>
      <x:c r="B1250" s="3" t="s">
        <x:v>157</x:v>
      </x:c>
      <x:c r="C1250" s="3" t="s">
        <x:v>474</x:v>
      </x:c>
      <x:c r="D1250" t="s">
        <x:v>677</x:v>
      </x:c>
      <x:c r="E1250" s="6">
        <x:v>0</x:v>
      </x:c>
      <x:c r="F1250" s="6">
        <x:v>0</x:v>
      </x:c>
      <x:c r="G1250" s="6">
        <x:v>0</x:v>
      </x:c>
      <x:c r="H1250" s="6">
        <x:f t="shared" si="60"/>
        <x:v>0</x:v>
      </x:c>
      <x:c r="I1250" s="6">
        <x:v>163863.96999999997</x:v>
      </x:c>
      <x:c r="J1250" s="6">
        <x:v>0</x:v>
      </x:c>
      <x:c r="K1250" s="6">
        <x:f t="shared" si="61"/>
        <x:v>163863.96999999997</x:v>
      </x:c>
      <x:c r="L1250" s="6">
        <x:v>0</x:v>
      </x:c>
      <x:c r="M1250" s="6">
        <x:v>0</x:v>
      </x:c>
      <x:c r="N1250" s="6">
        <x:f t="shared" si="62"/>
        <x:v>163863.96999999997</x:v>
      </x:c>
    </x:row>
    <x:row r="1251" spans="1:14" x14ac:dyDescent="0.25">
      <x:c r="A1251" t="s">
        <x:v>17</x:v>
      </x:c>
      <x:c r="B1251" s="3" t="s">
        <x:v>158</x:v>
      </x:c>
      <x:c r="C1251" s="3" t="s">
        <x:v>475</x:v>
      </x:c>
      <x:c r="D1251" t="s">
        <x:v>677</x:v>
      </x:c>
      <x:c r="E1251" s="6">
        <x:v>0</x:v>
      </x:c>
      <x:c r="F1251" s="6">
        <x:v>0</x:v>
      </x:c>
      <x:c r="G1251" s="6">
        <x:v>0</x:v>
      </x:c>
      <x:c r="H1251" s="6">
        <x:f t="shared" si="60"/>
        <x:v>0</x:v>
      </x:c>
      <x:c r="I1251" s="6">
        <x:v>243599.63000000009</x:v>
      </x:c>
      <x:c r="J1251" s="6">
        <x:v>0</x:v>
      </x:c>
      <x:c r="K1251" s="6">
        <x:f t="shared" si="61"/>
        <x:v>243599.63000000009</x:v>
      </x:c>
      <x:c r="L1251" s="6">
        <x:v>0</x:v>
      </x:c>
      <x:c r="M1251" s="6">
        <x:v>0</x:v>
      </x:c>
      <x:c r="N1251" s="6">
        <x:f t="shared" si="62"/>
        <x:v>243599.63000000009</x:v>
      </x:c>
    </x:row>
    <x:row r="1252" spans="1:14" x14ac:dyDescent="0.25">
      <x:c r="A1252" t="s">
        <x:v>17</x:v>
      </x:c>
      <x:c r="B1252" s="3" t="s">
        <x:v>159</x:v>
      </x:c>
      <x:c r="C1252" s="3" t="s">
        <x:v>476</x:v>
      </x:c>
      <x:c r="D1252" t="s">
        <x:v>677</x:v>
      </x:c>
      <x:c r="E1252" s="6">
        <x:v>0</x:v>
      </x:c>
      <x:c r="F1252" s="6">
        <x:v>0</x:v>
      </x:c>
      <x:c r="G1252" s="6">
        <x:v>0</x:v>
      </x:c>
      <x:c r="H1252" s="6">
        <x:f t="shared" si="60"/>
        <x:v>0</x:v>
      </x:c>
      <x:c r="I1252" s="6">
        <x:v>25326.430000000004</x:v>
      </x:c>
      <x:c r="J1252" s="6">
        <x:v>0</x:v>
      </x:c>
      <x:c r="K1252" s="6">
        <x:f t="shared" si="61"/>
        <x:v>25326.430000000004</x:v>
      </x:c>
      <x:c r="L1252" s="6">
        <x:v>0</x:v>
      </x:c>
      <x:c r="M1252" s="6">
        <x:v>0</x:v>
      </x:c>
      <x:c r="N1252" s="6">
        <x:f t="shared" si="62"/>
        <x:v>25326.430000000004</x:v>
      </x:c>
    </x:row>
    <x:row r="1253" spans="1:14" x14ac:dyDescent="0.25">
      <x:c r="A1253" t="s">
        <x:v>17</x:v>
      </x:c>
      <x:c r="B1253" s="3" t="s">
        <x:v>160</x:v>
      </x:c>
      <x:c r="C1253" s="3" t="s">
        <x:v>477</x:v>
      </x:c>
      <x:c r="D1253" t="s">
        <x:v>677</x:v>
      </x:c>
      <x:c r="E1253" s="6">
        <x:v>0</x:v>
      </x:c>
      <x:c r="F1253" s="6">
        <x:v>0</x:v>
      </x:c>
      <x:c r="G1253" s="6">
        <x:v>0</x:v>
      </x:c>
      <x:c r="H1253" s="6">
        <x:f t="shared" si="60"/>
        <x:v>0</x:v>
      </x:c>
      <x:c r="I1253" s="6">
        <x:v>671027.98</x:v>
      </x:c>
      <x:c r="J1253" s="6">
        <x:v>0</x:v>
      </x:c>
      <x:c r="K1253" s="6">
        <x:f t="shared" si="61"/>
        <x:v>671027.98</x:v>
      </x:c>
      <x:c r="L1253" s="6">
        <x:v>0</x:v>
      </x:c>
      <x:c r="M1253" s="6">
        <x:v>0</x:v>
      </x:c>
      <x:c r="N1253" s="6">
        <x:f t="shared" si="62"/>
        <x:v>671027.98</x:v>
      </x:c>
    </x:row>
    <x:row r="1254" spans="1:14" x14ac:dyDescent="0.25">
      <x:c r="A1254" t="s">
        <x:v>17</x:v>
      </x:c>
      <x:c r="B1254" s="3" t="s">
        <x:v>161</x:v>
      </x:c>
      <x:c r="C1254" s="3" t="s">
        <x:v>478</x:v>
      </x:c>
      <x:c r="D1254" t="s">
        <x:v>677</x:v>
      </x:c>
      <x:c r="E1254" s="6">
        <x:v>0</x:v>
      </x:c>
      <x:c r="F1254" s="6">
        <x:v>0</x:v>
      </x:c>
      <x:c r="G1254" s="6">
        <x:v>0</x:v>
      </x:c>
      <x:c r="H1254" s="6">
        <x:f t="shared" si="60"/>
        <x:v>0</x:v>
      </x:c>
      <x:c r="I1254" s="6">
        <x:v>85.850000000000009</x:v>
      </x:c>
      <x:c r="J1254" s="6">
        <x:v>0</x:v>
      </x:c>
      <x:c r="K1254" s="6">
        <x:f t="shared" si="61"/>
        <x:v>85.850000000000009</x:v>
      </x:c>
      <x:c r="L1254" s="6">
        <x:v>0</x:v>
      </x:c>
      <x:c r="M1254" s="6">
        <x:v>0</x:v>
      </x:c>
      <x:c r="N1254" s="6">
        <x:f t="shared" si="62"/>
        <x:v>85.850000000000009</x:v>
      </x:c>
    </x:row>
    <x:row r="1255" spans="1:14" x14ac:dyDescent="0.25">
      <x:c r="A1255" t="s">
        <x:v>17</x:v>
      </x:c>
      <x:c r="B1255" s="3" t="s">
        <x:v>162</x:v>
      </x:c>
      <x:c r="C1255" s="3" t="s">
        <x:v>479</x:v>
      </x:c>
      <x:c r="D1255" t="s">
        <x:v>677</x:v>
      </x:c>
      <x:c r="E1255" s="6">
        <x:v>0</x:v>
      </x:c>
      <x:c r="F1255" s="6">
        <x:v>0</x:v>
      </x:c>
      <x:c r="G1255" s="6">
        <x:v>0</x:v>
      </x:c>
      <x:c r="H1255" s="6">
        <x:f t="shared" si="60"/>
        <x:v>0</x:v>
      </x:c>
      <x:c r="I1255" s="6">
        <x:v>671929.66999999981</x:v>
      </x:c>
      <x:c r="J1255" s="6">
        <x:v>0</x:v>
      </x:c>
      <x:c r="K1255" s="6">
        <x:f t="shared" si="61"/>
        <x:v>671929.66999999981</x:v>
      </x:c>
      <x:c r="L1255" s="6">
        <x:v>0</x:v>
      </x:c>
      <x:c r="M1255" s="6">
        <x:v>0</x:v>
      </x:c>
      <x:c r="N1255" s="6">
        <x:f t="shared" si="62"/>
        <x:v>671929.66999999981</x:v>
      </x:c>
    </x:row>
    <x:row r="1256" spans="1:14" x14ac:dyDescent="0.25">
      <x:c r="A1256" t="s">
        <x:v>17</x:v>
      </x:c>
      <x:c r="B1256" s="3" t="s">
        <x:v>163</x:v>
      </x:c>
      <x:c r="C1256" s="3" t="s">
        <x:v>480</x:v>
      </x:c>
      <x:c r="D1256" t="s">
        <x:v>677</x:v>
      </x:c>
      <x:c r="E1256" s="6">
        <x:v>0</x:v>
      </x:c>
      <x:c r="F1256" s="6">
        <x:v>0</x:v>
      </x:c>
      <x:c r="G1256" s="6">
        <x:v>0</x:v>
      </x:c>
      <x:c r="H1256" s="6">
        <x:f t="shared" si="60"/>
        <x:v>0</x:v>
      </x:c>
      <x:c r="I1256" s="6">
        <x:v>521271.95000000036</x:v>
      </x:c>
      <x:c r="J1256" s="6">
        <x:v>0</x:v>
      </x:c>
      <x:c r="K1256" s="6">
        <x:f t="shared" si="61"/>
        <x:v>521271.95000000036</x:v>
      </x:c>
      <x:c r="L1256" s="6">
        <x:v>0</x:v>
      </x:c>
      <x:c r="M1256" s="6">
        <x:v>0</x:v>
      </x:c>
      <x:c r="N1256" s="6">
        <x:f t="shared" si="62"/>
        <x:v>521271.95000000036</x:v>
      </x:c>
    </x:row>
    <x:row r="1257" spans="1:14" x14ac:dyDescent="0.25">
      <x:c r="A1257" t="s">
        <x:v>17</x:v>
      </x:c>
      <x:c r="B1257" s="3" t="s">
        <x:v>164</x:v>
      </x:c>
      <x:c r="C1257" s="3" t="s">
        <x:v>481</x:v>
      </x:c>
      <x:c r="D1257" t="s">
        <x:v>677</x:v>
      </x:c>
      <x:c r="E1257" s="6">
        <x:v>0</x:v>
      </x:c>
      <x:c r="F1257" s="6">
        <x:v>0</x:v>
      </x:c>
      <x:c r="G1257" s="6">
        <x:v>0</x:v>
      </x:c>
      <x:c r="H1257" s="6">
        <x:f t="shared" si="60"/>
        <x:v>0</x:v>
      </x:c>
      <x:c r="I1257" s="6">
        <x:v>512725.04000000004</x:v>
      </x:c>
      <x:c r="J1257" s="6">
        <x:v>0</x:v>
      </x:c>
      <x:c r="K1257" s="6">
        <x:f t="shared" si="61"/>
        <x:v>512725.04000000004</x:v>
      </x:c>
      <x:c r="L1257" s="6">
        <x:v>0</x:v>
      </x:c>
      <x:c r="M1257" s="6">
        <x:v>0</x:v>
      </x:c>
      <x:c r="N1257" s="6">
        <x:f t="shared" si="62"/>
        <x:v>512725.04000000004</x:v>
      </x:c>
    </x:row>
    <x:row r="1258" spans="1:14" x14ac:dyDescent="0.25">
      <x:c r="A1258" t="s">
        <x:v>17</x:v>
      </x:c>
      <x:c r="B1258" s="3" t="s">
        <x:v>49</x:v>
      </x:c>
      <x:c r="C1258" s="3" t="s">
        <x:v>366</x:v>
      </x:c>
      <x:c r="D1258" t="s">
        <x:v>677</x:v>
      </x:c>
      <x:c r="E1258" s="6">
        <x:v>0</x:v>
      </x:c>
      <x:c r="F1258" s="6">
        <x:v>0</x:v>
      </x:c>
      <x:c r="G1258" s="6">
        <x:v>0</x:v>
      </x:c>
      <x:c r="H1258" s="6">
        <x:f t="shared" si="60"/>
        <x:v>0</x:v>
      </x:c>
      <x:c r="I1258" s="6">
        <x:v>697862.94</x:v>
      </x:c>
      <x:c r="J1258" s="6">
        <x:v>0</x:v>
      </x:c>
      <x:c r="K1258" s="6">
        <x:f t="shared" si="61"/>
        <x:v>697862.94</x:v>
      </x:c>
      <x:c r="L1258" s="6">
        <x:v>0</x:v>
      </x:c>
      <x:c r="M1258" s="6">
        <x:v>0</x:v>
      </x:c>
      <x:c r="N1258" s="6">
        <x:f t="shared" si="62"/>
        <x:v>697862.94</x:v>
      </x:c>
    </x:row>
    <x:row r="1259" spans="1:14" x14ac:dyDescent="0.25">
      <x:c r="A1259" t="s">
        <x:v>17</x:v>
      </x:c>
      <x:c r="B1259" s="3" t="s">
        <x:v>165</x:v>
      </x:c>
      <x:c r="C1259" s="3" t="s">
        <x:v>482</x:v>
      </x:c>
      <x:c r="D1259" t="s">
        <x:v>677</x:v>
      </x:c>
      <x:c r="E1259" s="6">
        <x:v>0</x:v>
      </x:c>
      <x:c r="F1259" s="6">
        <x:v>0</x:v>
      </x:c>
      <x:c r="G1259" s="6">
        <x:v>0</x:v>
      </x:c>
      <x:c r="H1259" s="6">
        <x:f t="shared" si="60"/>
        <x:v>0</x:v>
      </x:c>
      <x:c r="I1259" s="6">
        <x:v>480491.74000000022</x:v>
      </x:c>
      <x:c r="J1259" s="6">
        <x:v>0</x:v>
      </x:c>
      <x:c r="K1259" s="6">
        <x:f t="shared" si="61"/>
        <x:v>480491.74000000022</x:v>
      </x:c>
      <x:c r="L1259" s="6">
        <x:v>0</x:v>
      </x:c>
      <x:c r="M1259" s="6">
        <x:v>0</x:v>
      </x:c>
      <x:c r="N1259" s="6">
        <x:f t="shared" si="62"/>
        <x:v>480491.74000000022</x:v>
      </x:c>
    </x:row>
    <x:row r="1260" spans="1:14" x14ac:dyDescent="0.25">
      <x:c r="A1260" t="s">
        <x:v>17</x:v>
      </x:c>
      <x:c r="B1260" s="3" t="s">
        <x:v>233</x:v>
      </x:c>
      <x:c r="C1260" s="3" t="s">
        <x:v>548</x:v>
      </x:c>
      <x:c r="D1260" t="s">
        <x:v>677</x:v>
      </x:c>
      <x:c r="E1260" s="6">
        <x:v>0</x:v>
      </x:c>
      <x:c r="F1260" s="6">
        <x:v>0</x:v>
      </x:c>
      <x:c r="G1260" s="6">
        <x:v>0</x:v>
      </x:c>
      <x:c r="H1260" s="6">
        <x:f t="shared" si="60"/>
        <x:v>0</x:v>
      </x:c>
      <x:c r="I1260" s="6">
        <x:v>59642.990000000013</x:v>
      </x:c>
      <x:c r="J1260" s="6">
        <x:v>0</x:v>
      </x:c>
      <x:c r="K1260" s="6">
        <x:f t="shared" si="61"/>
        <x:v>59642.990000000013</x:v>
      </x:c>
      <x:c r="L1260" s="6">
        <x:v>0</x:v>
      </x:c>
      <x:c r="M1260" s="6">
        <x:v>0</x:v>
      </x:c>
      <x:c r="N1260" s="6">
        <x:f t="shared" si="62"/>
        <x:v>59642.990000000013</x:v>
      </x:c>
    </x:row>
    <x:row r="1261" spans="1:14" x14ac:dyDescent="0.25">
      <x:c r="A1261" t="s">
        <x:v>17</x:v>
      </x:c>
      <x:c r="B1261" s="3" t="s">
        <x:v>166</x:v>
      </x:c>
      <x:c r="C1261" s="3" t="s">
        <x:v>483</x:v>
      </x:c>
      <x:c r="D1261" t="s">
        <x:v>677</x:v>
      </x:c>
      <x:c r="E1261" s="6">
        <x:v>0</x:v>
      </x:c>
      <x:c r="F1261" s="6">
        <x:v>0</x:v>
      </x:c>
      <x:c r="G1261" s="6">
        <x:v>0</x:v>
      </x:c>
      <x:c r="H1261" s="6">
        <x:f t="shared" si="60"/>
        <x:v>0</x:v>
      </x:c>
      <x:c r="I1261" s="6">
        <x:v>287129.52999999997</x:v>
      </x:c>
      <x:c r="J1261" s="6">
        <x:v>0</x:v>
      </x:c>
      <x:c r="K1261" s="6">
        <x:f t="shared" si="61"/>
        <x:v>287129.52999999997</x:v>
      </x:c>
      <x:c r="L1261" s="6">
        <x:v>0</x:v>
      </x:c>
      <x:c r="M1261" s="6">
        <x:v>0</x:v>
      </x:c>
      <x:c r="N1261" s="6">
        <x:f t="shared" si="62"/>
        <x:v>287129.52999999997</x:v>
      </x:c>
    </x:row>
    <x:row r="1262" spans="1:14" x14ac:dyDescent="0.25">
      <x:c r="A1262" t="s">
        <x:v>17</x:v>
      </x:c>
      <x:c r="B1262" s="3" t="s">
        <x:v>167</x:v>
      </x:c>
      <x:c r="C1262" s="3" t="s">
        <x:v>484</x:v>
      </x:c>
      <x:c r="D1262" t="s">
        <x:v>677</x:v>
      </x:c>
      <x:c r="E1262" s="6">
        <x:v>0</x:v>
      </x:c>
      <x:c r="F1262" s="6">
        <x:v>0</x:v>
      </x:c>
      <x:c r="G1262" s="6">
        <x:v>0</x:v>
      </x:c>
      <x:c r="H1262" s="6">
        <x:f t="shared" si="60"/>
        <x:v>0</x:v>
      </x:c>
      <x:c r="I1262" s="6">
        <x:v>435312.69999999995</x:v>
      </x:c>
      <x:c r="J1262" s="6">
        <x:v>0</x:v>
      </x:c>
      <x:c r="K1262" s="6">
        <x:f t="shared" si="61"/>
        <x:v>435312.69999999995</x:v>
      </x:c>
      <x:c r="L1262" s="6">
        <x:v>0</x:v>
      </x:c>
      <x:c r="M1262" s="6">
        <x:v>0</x:v>
      </x:c>
      <x:c r="N1262" s="6">
        <x:f t="shared" si="62"/>
        <x:v>435312.69999999995</x:v>
      </x:c>
    </x:row>
    <x:row r="1263" spans="1:14" x14ac:dyDescent="0.25">
      <x:c r="A1263" t="s">
        <x:v>17</x:v>
      </x:c>
      <x:c r="B1263" s="3" t="s">
        <x:v>281</x:v>
      </x:c>
      <x:c r="C1263" s="3" t="s">
        <x:v>596</x:v>
      </x:c>
      <x:c r="D1263" t="s">
        <x:v>677</x:v>
      </x:c>
      <x:c r="E1263" s="6">
        <x:v>0</x:v>
      </x:c>
      <x:c r="F1263" s="6">
        <x:v>0</x:v>
      </x:c>
      <x:c r="G1263" s="6">
        <x:v>0</x:v>
      </x:c>
      <x:c r="H1263" s="6">
        <x:f t="shared" si="60"/>
        <x:v>0</x:v>
      </x:c>
      <x:c r="I1263" s="6">
        <x:v>1309.17</x:v>
      </x:c>
      <x:c r="J1263" s="6">
        <x:v>0</x:v>
      </x:c>
      <x:c r="K1263" s="6">
        <x:f t="shared" si="61"/>
        <x:v>1309.17</x:v>
      </x:c>
      <x:c r="L1263" s="6">
        <x:v>0</x:v>
      </x:c>
      <x:c r="M1263" s="6">
        <x:v>0</x:v>
      </x:c>
      <x:c r="N1263" s="6">
        <x:f t="shared" si="62"/>
        <x:v>1309.17</x:v>
      </x:c>
    </x:row>
    <x:row r="1264" spans="1:14" x14ac:dyDescent="0.25">
      <x:c r="A1264" t="s">
        <x:v>17</x:v>
      </x:c>
      <x:c r="B1264" s="3" t="s">
        <x:v>227</x:v>
      </x:c>
      <x:c r="C1264" s="3" t="s">
        <x:v>485</x:v>
      </x:c>
      <x:c r="D1264" t="s">
        <x:v>677</x:v>
      </x:c>
      <x:c r="E1264" s="6">
        <x:v>0</x:v>
      </x:c>
      <x:c r="F1264" s="6">
        <x:v>0</x:v>
      </x:c>
      <x:c r="G1264" s="6">
        <x:v>0</x:v>
      </x:c>
      <x:c r="H1264" s="6">
        <x:f t="shared" si="60"/>
        <x:v>0</x:v>
      </x:c>
      <x:c r="I1264" s="6">
        <x:v>35118.910000000003</x:v>
      </x:c>
      <x:c r="J1264" s="6">
        <x:v>0</x:v>
      </x:c>
      <x:c r="K1264" s="6">
        <x:f t="shared" si="61"/>
        <x:v>35118.910000000003</x:v>
      </x:c>
      <x:c r="L1264" s="6">
        <x:v>0</x:v>
      </x:c>
      <x:c r="M1264" s="6">
        <x:v>0</x:v>
      </x:c>
      <x:c r="N1264" s="6">
        <x:f t="shared" si="62"/>
        <x:v>35118.910000000003</x:v>
      </x:c>
    </x:row>
    <x:row r="1265" spans="1:14" x14ac:dyDescent="0.25">
      <x:c r="A1265" t="s">
        <x:v>17</x:v>
      </x:c>
      <x:c r="B1265" s="3" t="s">
        <x:v>58</x:v>
      </x:c>
      <x:c r="C1265" s="3" t="s">
        <x:v>375</x:v>
      </x:c>
      <x:c r="D1265" t="s">
        <x:v>677</x:v>
      </x:c>
      <x:c r="E1265" s="6">
        <x:v>0</x:v>
      </x:c>
      <x:c r="F1265" s="6">
        <x:v>0</x:v>
      </x:c>
      <x:c r="G1265" s="6">
        <x:v>0</x:v>
      </x:c>
      <x:c r="H1265" s="6">
        <x:f t="shared" si="60"/>
        <x:v>0</x:v>
      </x:c>
      <x:c r="I1265" s="6">
        <x:v>528444.07999999984</x:v>
      </x:c>
      <x:c r="J1265" s="6">
        <x:v>0</x:v>
      </x:c>
      <x:c r="K1265" s="6">
        <x:f t="shared" si="61"/>
        <x:v>528444.07999999984</x:v>
      </x:c>
      <x:c r="L1265" s="6">
        <x:v>0</x:v>
      </x:c>
      <x:c r="M1265" s="6">
        <x:v>0</x:v>
      </x:c>
      <x:c r="N1265" s="6">
        <x:f t="shared" si="62"/>
        <x:v>528444.07999999984</x:v>
      </x:c>
    </x:row>
    <x:row r="1266" spans="1:14" x14ac:dyDescent="0.25">
      <x:c r="A1266" t="s">
        <x:v>17</x:v>
      </x:c>
      <x:c r="B1266" s="3" t="s">
        <x:v>168</x:v>
      </x:c>
      <x:c r="C1266" s="3" t="s">
        <x:v>460</x:v>
      </x:c>
      <x:c r="D1266" t="s">
        <x:v>677</x:v>
      </x:c>
      <x:c r="E1266" s="6">
        <x:v>0</x:v>
      </x:c>
      <x:c r="F1266" s="6">
        <x:v>0</x:v>
      </x:c>
      <x:c r="G1266" s="6">
        <x:v>0</x:v>
      </x:c>
      <x:c r="H1266" s="6">
        <x:f t="shared" si="60"/>
        <x:v>0</x:v>
      </x:c>
      <x:c r="I1266" s="6">
        <x:v>661309.63</x:v>
      </x:c>
      <x:c r="J1266" s="6">
        <x:v>0</x:v>
      </x:c>
      <x:c r="K1266" s="6">
        <x:f t="shared" si="61"/>
        <x:v>661309.63</x:v>
      </x:c>
      <x:c r="L1266" s="6">
        <x:v>0</x:v>
      </x:c>
      <x:c r="M1266" s="6">
        <x:v>0</x:v>
      </x:c>
      <x:c r="N1266" s="6">
        <x:f t="shared" si="62"/>
        <x:v>661309.63</x:v>
      </x:c>
    </x:row>
    <x:row r="1267" spans="1:14" x14ac:dyDescent="0.25">
      <x:c r="A1267" t="s">
        <x:v>17</x:v>
      </x:c>
      <x:c r="B1267" s="3" t="s">
        <x:v>234</x:v>
      </x:c>
      <x:c r="C1267" s="3" t="s">
        <x:v>549</x:v>
      </x:c>
      <x:c r="D1267" t="s">
        <x:v>677</x:v>
      </x:c>
      <x:c r="E1267" s="6">
        <x:v>0</x:v>
      </x:c>
      <x:c r="F1267" s="6">
        <x:v>0</x:v>
      </x:c>
      <x:c r="G1267" s="6">
        <x:v>0</x:v>
      </x:c>
      <x:c r="H1267" s="6">
        <x:f t="shared" si="60"/>
        <x:v>0</x:v>
      </x:c>
      <x:c r="I1267" s="6">
        <x:v>200769.97999999998</x:v>
      </x:c>
      <x:c r="J1267" s="6">
        <x:v>0</x:v>
      </x:c>
      <x:c r="K1267" s="6">
        <x:f t="shared" si="61"/>
        <x:v>200769.97999999998</x:v>
      </x:c>
      <x:c r="L1267" s="6">
        <x:v>0</x:v>
      </x:c>
      <x:c r="M1267" s="6">
        <x:v>0</x:v>
      </x:c>
      <x:c r="N1267" s="6">
        <x:f t="shared" si="62"/>
        <x:v>200769.97999999998</x:v>
      </x:c>
    </x:row>
    <x:row r="1268" spans="1:14" x14ac:dyDescent="0.25">
      <x:c r="A1268" t="s">
        <x:v>17</x:v>
      </x:c>
      <x:c r="B1268" s="3" t="s">
        <x:v>282</x:v>
      </x:c>
      <x:c r="C1268" s="3" t="s">
        <x:v>597</x:v>
      </x:c>
      <x:c r="D1268" t="s">
        <x:v>677</x:v>
      </x:c>
      <x:c r="E1268" s="6">
        <x:v>0</x:v>
      </x:c>
      <x:c r="F1268" s="6">
        <x:v>0</x:v>
      </x:c>
      <x:c r="G1268" s="6">
        <x:v>0</x:v>
      </x:c>
      <x:c r="H1268" s="6">
        <x:f t="shared" si="60"/>
        <x:v>0</x:v>
      </x:c>
      <x:c r="I1268" s="6">
        <x:v>20290.91</x:v>
      </x:c>
      <x:c r="J1268" s="6">
        <x:v>0</x:v>
      </x:c>
      <x:c r="K1268" s="6">
        <x:f t="shared" si="61"/>
        <x:v>20290.91</x:v>
      </x:c>
      <x:c r="L1268" s="6">
        <x:v>0</x:v>
      </x:c>
      <x:c r="M1268" s="6">
        <x:v>0</x:v>
      </x:c>
      <x:c r="N1268" s="6">
        <x:f t="shared" si="62"/>
        <x:v>20290.91</x:v>
      </x:c>
    </x:row>
    <x:row r="1269" spans="1:14" x14ac:dyDescent="0.25">
      <x:c r="A1269" t="s">
        <x:v>17</x:v>
      </x:c>
      <x:c r="B1269" s="3" t="s">
        <x:v>283</x:v>
      </x:c>
      <x:c r="C1269" s="3" t="s">
        <x:v>598</x:v>
      </x:c>
      <x:c r="D1269" t="s">
        <x:v>677</x:v>
      </x:c>
      <x:c r="E1269" s="6">
        <x:v>0</x:v>
      </x:c>
      <x:c r="F1269" s="6">
        <x:v>0</x:v>
      </x:c>
      <x:c r="G1269" s="6">
        <x:v>0</x:v>
      </x:c>
      <x:c r="H1269" s="6">
        <x:f t="shared" si="60"/>
        <x:v>0</x:v>
      </x:c>
      <x:c r="I1269" s="6">
        <x:v>1245.3200000000002</x:v>
      </x:c>
      <x:c r="J1269" s="6">
        <x:v>0</x:v>
      </x:c>
      <x:c r="K1269" s="6">
        <x:f t="shared" si="61"/>
        <x:v>1245.3200000000002</x:v>
      </x:c>
      <x:c r="L1269" s="6">
        <x:v>0</x:v>
      </x:c>
      <x:c r="M1269" s="6">
        <x:v>0</x:v>
      </x:c>
      <x:c r="N1269" s="6">
        <x:f t="shared" si="62"/>
        <x:v>1245.3200000000002</x:v>
      </x:c>
    </x:row>
    <x:row r="1270" spans="1:14" x14ac:dyDescent="0.25">
      <x:c r="A1270" t="s">
        <x:v>17</x:v>
      </x:c>
      <x:c r="B1270" s="3" t="s">
        <x:v>59</x:v>
      </x:c>
      <x:c r="C1270" s="3" t="s">
        <x:v>376</x:v>
      </x:c>
      <x:c r="D1270" t="s">
        <x:v>677</x:v>
      </x:c>
      <x:c r="E1270" s="6">
        <x:v>0</x:v>
      </x:c>
      <x:c r="F1270" s="6">
        <x:v>0</x:v>
      </x:c>
      <x:c r="G1270" s="6">
        <x:v>0</x:v>
      </x:c>
      <x:c r="H1270" s="6">
        <x:f t="shared" si="60"/>
        <x:v>0</x:v>
      </x:c>
      <x:c r="I1270" s="6">
        <x:v>1004096.1000000001</x:v>
      </x:c>
      <x:c r="J1270" s="6">
        <x:v>0</x:v>
      </x:c>
      <x:c r="K1270" s="6">
        <x:f t="shared" si="61"/>
        <x:v>1004096.1000000001</x:v>
      </x:c>
      <x:c r="L1270" s="6">
        <x:v>0</x:v>
      </x:c>
      <x:c r="M1270" s="6">
        <x:v>0</x:v>
      </x:c>
      <x:c r="N1270" s="6">
        <x:f t="shared" si="62"/>
        <x:v>1004096.1000000001</x:v>
      </x:c>
    </x:row>
    <x:row r="1271" spans="1:14" x14ac:dyDescent="0.25">
      <x:c r="A1271" t="s">
        <x:v>17</x:v>
      </x:c>
      <x:c r="B1271" s="3" t="s">
        <x:v>60</x:v>
      </x:c>
      <x:c r="C1271" s="3" t="s">
        <x:v>377</x:v>
      </x:c>
      <x:c r="D1271" t="s">
        <x:v>677</x:v>
      </x:c>
      <x:c r="E1271" s="6">
        <x:v>0</x:v>
      </x:c>
      <x:c r="F1271" s="6">
        <x:v>0</x:v>
      </x:c>
      <x:c r="G1271" s="6">
        <x:v>0</x:v>
      </x:c>
      <x:c r="H1271" s="6">
        <x:f t="shared" si="60"/>
        <x:v>0</x:v>
      </x:c>
      <x:c r="I1271" s="6">
        <x:v>123004.18000000001</x:v>
      </x:c>
      <x:c r="J1271" s="6">
        <x:v>0</x:v>
      </x:c>
      <x:c r="K1271" s="6">
        <x:f t="shared" si="61"/>
        <x:v>123004.18000000001</x:v>
      </x:c>
      <x:c r="L1271" s="6">
        <x:v>0</x:v>
      </x:c>
      <x:c r="M1271" s="6">
        <x:v>0</x:v>
      </x:c>
      <x:c r="N1271" s="6">
        <x:f t="shared" si="62"/>
        <x:v>123004.18000000001</x:v>
      </x:c>
    </x:row>
    <x:row r="1272" spans="1:14" x14ac:dyDescent="0.25">
      <x:c r="A1272" t="s">
        <x:v>17</x:v>
      </x:c>
      <x:c r="B1272" s="3" t="s">
        <x:v>169</x:v>
      </x:c>
      <x:c r="C1272" s="3" t="s">
        <x:v>485</x:v>
      </x:c>
      <x:c r="D1272" t="s">
        <x:v>677</x:v>
      </x:c>
      <x:c r="E1272" s="6">
        <x:v>0</x:v>
      </x:c>
      <x:c r="F1272" s="6">
        <x:v>0</x:v>
      </x:c>
      <x:c r="G1272" s="6">
        <x:v>0</x:v>
      </x:c>
      <x:c r="H1272" s="6">
        <x:f t="shared" si="60"/>
        <x:v>0</x:v>
      </x:c>
      <x:c r="I1272" s="6">
        <x:v>21676.04</x:v>
      </x:c>
      <x:c r="J1272" s="6">
        <x:v>0</x:v>
      </x:c>
      <x:c r="K1272" s="6">
        <x:f t="shared" si="61"/>
        <x:v>21676.04</x:v>
      </x:c>
      <x:c r="L1272" s="6">
        <x:v>0</x:v>
      </x:c>
      <x:c r="M1272" s="6">
        <x:v>0</x:v>
      </x:c>
      <x:c r="N1272" s="6">
        <x:f t="shared" si="62"/>
        <x:v>21676.04</x:v>
      </x:c>
    </x:row>
    <x:row r="1273" spans="1:14" x14ac:dyDescent="0.25">
      <x:c r="A1273" t="s">
        <x:v>17</x:v>
      </x:c>
      <x:c r="B1273" s="3" t="s">
        <x:v>170</x:v>
      </x:c>
      <x:c r="C1273" s="3" t="s">
        <x:v>486</x:v>
      </x:c>
      <x:c r="D1273" t="s">
        <x:v>677</x:v>
      </x:c>
      <x:c r="E1273" s="6">
        <x:v>0</x:v>
      </x:c>
      <x:c r="F1273" s="6">
        <x:v>0</x:v>
      </x:c>
      <x:c r="G1273" s="6">
        <x:v>0</x:v>
      </x:c>
      <x:c r="H1273" s="6">
        <x:f t="shared" si="60"/>
        <x:v>0</x:v>
      </x:c>
      <x:c r="I1273" s="6">
        <x:v>56763.729999999996</x:v>
      </x:c>
      <x:c r="J1273" s="6">
        <x:v>0</x:v>
      </x:c>
      <x:c r="K1273" s="6">
        <x:f t="shared" si="61"/>
        <x:v>56763.729999999996</x:v>
      </x:c>
      <x:c r="L1273" s="6">
        <x:v>0</x:v>
      </x:c>
      <x:c r="M1273" s="6">
        <x:v>0</x:v>
      </x:c>
      <x:c r="N1273" s="6">
        <x:f t="shared" si="62"/>
        <x:v>56763.729999999996</x:v>
      </x:c>
    </x:row>
    <x:row r="1274" spans="1:14" x14ac:dyDescent="0.25">
      <x:c r="A1274" t="s">
        <x:v>17</x:v>
      </x:c>
      <x:c r="B1274" s="3" t="s">
        <x:v>284</x:v>
      </x:c>
      <x:c r="C1274" s="3" t="s">
        <x:v>599</x:v>
      </x:c>
      <x:c r="D1274" t="s">
        <x:v>677</x:v>
      </x:c>
      <x:c r="E1274" s="6">
        <x:v>0</x:v>
      </x:c>
      <x:c r="F1274" s="6">
        <x:v>0</x:v>
      </x:c>
      <x:c r="G1274" s="6">
        <x:v>0</x:v>
      </x:c>
      <x:c r="H1274" s="6">
        <x:f t="shared" si="60"/>
        <x:v>0</x:v>
      </x:c>
      <x:c r="I1274" s="6">
        <x:v>18.16</x:v>
      </x:c>
      <x:c r="J1274" s="6">
        <x:v>0</x:v>
      </x:c>
      <x:c r="K1274" s="6">
        <x:f t="shared" si="61"/>
        <x:v>18.16</x:v>
      </x:c>
      <x:c r="L1274" s="6">
        <x:v>0</x:v>
      </x:c>
      <x:c r="M1274" s="6">
        <x:v>0</x:v>
      </x:c>
      <x:c r="N1274" s="6">
        <x:f t="shared" si="62"/>
        <x:v>18.16</x:v>
      </x:c>
    </x:row>
    <x:row r="1275" spans="1:14" x14ac:dyDescent="0.25">
      <x:c r="A1275" t="s">
        <x:v>17</x:v>
      </x:c>
      <x:c r="B1275" s="3" t="s">
        <x:v>171</x:v>
      </x:c>
      <x:c r="C1275" s="3" t="s">
        <x:v>487</x:v>
      </x:c>
      <x:c r="D1275" t="s">
        <x:v>677</x:v>
      </x:c>
      <x:c r="E1275" s="6">
        <x:v>0</x:v>
      </x:c>
      <x:c r="F1275" s="6">
        <x:v>0</x:v>
      </x:c>
      <x:c r="G1275" s="6">
        <x:v>0</x:v>
      </x:c>
      <x:c r="H1275" s="6">
        <x:f t="shared" si="60"/>
        <x:v>0</x:v>
      </x:c>
      <x:c r="I1275" s="6">
        <x:v>152412</x:v>
      </x:c>
      <x:c r="J1275" s="6">
        <x:v>0</x:v>
      </x:c>
      <x:c r="K1275" s="6">
        <x:f t="shared" si="61"/>
        <x:v>152412</x:v>
      </x:c>
      <x:c r="L1275" s="6">
        <x:v>0</x:v>
      </x:c>
      <x:c r="M1275" s="6">
        <x:v>0</x:v>
      </x:c>
      <x:c r="N1275" s="6">
        <x:f t="shared" si="62"/>
        <x:v>152412</x:v>
      </x:c>
    </x:row>
    <x:row r="1276" spans="1:14" x14ac:dyDescent="0.25">
      <x:c r="A1276" t="s">
        <x:v>17</x:v>
      </x:c>
      <x:c r="B1276" s="3" t="s">
        <x:v>172</x:v>
      </x:c>
      <x:c r="C1276" s="3" t="s">
        <x:v>488</x:v>
      </x:c>
      <x:c r="D1276" t="s">
        <x:v>677</x:v>
      </x:c>
      <x:c r="E1276" s="6">
        <x:v>0</x:v>
      </x:c>
      <x:c r="F1276" s="6">
        <x:v>0</x:v>
      </x:c>
      <x:c r="G1276" s="6">
        <x:v>0</x:v>
      </x:c>
      <x:c r="H1276" s="6">
        <x:f t="shared" si="60"/>
        <x:v>0</x:v>
      </x:c>
      <x:c r="I1276" s="6">
        <x:v>287807.58999999997</x:v>
      </x:c>
      <x:c r="J1276" s="6">
        <x:v>0</x:v>
      </x:c>
      <x:c r="K1276" s="6">
        <x:f t="shared" si="61"/>
        <x:v>287807.58999999997</x:v>
      </x:c>
      <x:c r="L1276" s="6">
        <x:v>0</x:v>
      </x:c>
      <x:c r="M1276" s="6">
        <x:v>0</x:v>
      </x:c>
      <x:c r="N1276" s="6">
        <x:f t="shared" si="62"/>
        <x:v>287807.58999999997</x:v>
      </x:c>
    </x:row>
    <x:row r="1277" spans="1:14" x14ac:dyDescent="0.25">
      <x:c r="A1277" t="s">
        <x:v>17</x:v>
      </x:c>
      <x:c r="B1277" s="3" t="s">
        <x:v>285</x:v>
      </x:c>
      <x:c r="C1277" s="3" t="s">
        <x:v>600</x:v>
      </x:c>
      <x:c r="D1277" t="s">
        <x:v>677</x:v>
      </x:c>
      <x:c r="E1277" s="6">
        <x:v>0</x:v>
      </x:c>
      <x:c r="F1277" s="6">
        <x:v>0</x:v>
      </x:c>
      <x:c r="G1277" s="6">
        <x:v>0</x:v>
      </x:c>
      <x:c r="H1277" s="6">
        <x:f t="shared" si="60"/>
        <x:v>0</x:v>
      </x:c>
      <x:c r="I1277" s="6">
        <x:v>303.44</x:v>
      </x:c>
      <x:c r="J1277" s="6">
        <x:v>0</x:v>
      </x:c>
      <x:c r="K1277" s="6">
        <x:f t="shared" si="61"/>
        <x:v>303.44</x:v>
      </x:c>
      <x:c r="L1277" s="6">
        <x:v>0</x:v>
      </x:c>
      <x:c r="M1277" s="6">
        <x:v>0</x:v>
      </x:c>
      <x:c r="N1277" s="6">
        <x:f t="shared" si="62"/>
        <x:v>303.44</x:v>
      </x:c>
    </x:row>
    <x:row r="1278" spans="1:14" x14ac:dyDescent="0.25">
      <x:c r="A1278" t="s">
        <x:v>17</x:v>
      </x:c>
      <x:c r="B1278" s="3" t="s">
        <x:v>173</x:v>
      </x:c>
      <x:c r="C1278" s="3" t="s">
        <x:v>489</x:v>
      </x:c>
      <x:c r="D1278" t="s">
        <x:v>677</x:v>
      </x:c>
      <x:c r="E1278" s="6">
        <x:v>0</x:v>
      </x:c>
      <x:c r="F1278" s="6">
        <x:v>0</x:v>
      </x:c>
      <x:c r="G1278" s="6">
        <x:v>0</x:v>
      </x:c>
      <x:c r="H1278" s="6">
        <x:f t="shared" si="60"/>
        <x:v>0</x:v>
      </x:c>
      <x:c r="I1278" s="6">
        <x:v>792214.95000000007</x:v>
      </x:c>
      <x:c r="J1278" s="6">
        <x:v>0</x:v>
      </x:c>
      <x:c r="K1278" s="6">
        <x:f t="shared" si="61"/>
        <x:v>792214.95000000007</x:v>
      </x:c>
      <x:c r="L1278" s="6">
        <x:v>0</x:v>
      </x:c>
      <x:c r="M1278" s="6">
        <x:v>0</x:v>
      </x:c>
      <x:c r="N1278" s="6">
        <x:f t="shared" si="62"/>
        <x:v>792214.95000000007</x:v>
      </x:c>
    </x:row>
    <x:row r="1279" spans="1:14" x14ac:dyDescent="0.25">
      <x:c r="A1279" t="s">
        <x:v>17</x:v>
      </x:c>
      <x:c r="B1279" s="3" t="s">
        <x:v>174</x:v>
      </x:c>
      <x:c r="C1279" s="3" t="s">
        <x:v>490</x:v>
      </x:c>
      <x:c r="D1279" t="s">
        <x:v>677</x:v>
      </x:c>
      <x:c r="E1279" s="6">
        <x:v>0</x:v>
      </x:c>
      <x:c r="F1279" s="6">
        <x:v>0</x:v>
      </x:c>
      <x:c r="G1279" s="6">
        <x:v>0</x:v>
      </x:c>
      <x:c r="H1279" s="6">
        <x:f t="shared" si="60"/>
        <x:v>0</x:v>
      </x:c>
      <x:c r="I1279" s="6">
        <x:v>434277.27</x:v>
      </x:c>
      <x:c r="J1279" s="6">
        <x:v>0</x:v>
      </x:c>
      <x:c r="K1279" s="6">
        <x:f t="shared" si="61"/>
        <x:v>434277.27</x:v>
      </x:c>
      <x:c r="L1279" s="6">
        <x:v>0</x:v>
      </x:c>
      <x:c r="M1279" s="6">
        <x:v>0</x:v>
      </x:c>
      <x:c r="N1279" s="6">
        <x:f t="shared" si="62"/>
        <x:v>434277.27</x:v>
      </x:c>
    </x:row>
    <x:row r="1280" spans="1:14" x14ac:dyDescent="0.25">
      <x:c r="A1280" t="s">
        <x:v>17</x:v>
      </x:c>
      <x:c r="B1280" s="3" t="s">
        <x:v>61</x:v>
      </x:c>
      <x:c r="C1280" s="3" t="s">
        <x:v>378</x:v>
      </x:c>
      <x:c r="D1280" t="s">
        <x:v>676</x:v>
      </x:c>
      <x:c r="E1280" s="6">
        <x:v>0</x:v>
      </x:c>
      <x:c r="F1280" s="6">
        <x:v>0</x:v>
      </x:c>
      <x:c r="G1280" s="6">
        <x:v>0</x:v>
      </x:c>
      <x:c r="H1280" s="6">
        <x:f t="shared" si="60"/>
        <x:v>0</x:v>
      </x:c>
      <x:c r="I1280" s="6">
        <x:v>0</x:v>
      </x:c>
      <x:c r="J1280" s="6">
        <x:v>0</x:v>
      </x:c>
      <x:c r="K1280" s="6">
        <x:f t="shared" si="61"/>
        <x:v>0</x:v>
      </x:c>
      <x:c r="L1280" s="6">
        <x:v>130478.96</x:v>
      </x:c>
      <x:c r="M1280" s="6">
        <x:v>0</x:v>
      </x:c>
      <x:c r="N1280" s="6">
        <x:f t="shared" si="62"/>
        <x:v>130478.96</x:v>
      </x:c>
    </x:row>
    <x:row r="1281" spans="1:14" x14ac:dyDescent="0.25">
      <x:c r="A1281" t="s">
        <x:v>17</x:v>
      </x:c>
      <x:c r="B1281" s="3" t="s">
        <x:v>175</x:v>
      </x:c>
      <x:c r="C1281" s="3" t="s">
        <x:v>491</x:v>
      </x:c>
      <x:c r="D1281" t="s">
        <x:v>677</x:v>
      </x:c>
      <x:c r="E1281" s="6">
        <x:v>0</x:v>
      </x:c>
      <x:c r="F1281" s="6">
        <x:v>0</x:v>
      </x:c>
      <x:c r="G1281" s="6">
        <x:v>0</x:v>
      </x:c>
      <x:c r="H1281" s="6">
        <x:f t="shared" si="60"/>
        <x:v>0</x:v>
      </x:c>
      <x:c r="I1281" s="6">
        <x:v>481335.18</x:v>
      </x:c>
      <x:c r="J1281" s="6">
        <x:v>0</x:v>
      </x:c>
      <x:c r="K1281" s="6">
        <x:f t="shared" si="61"/>
        <x:v>481335.18</x:v>
      </x:c>
      <x:c r="L1281" s="6">
        <x:v>0</x:v>
      </x:c>
      <x:c r="M1281" s="6">
        <x:v>0</x:v>
      </x:c>
      <x:c r="N1281" s="6">
        <x:f t="shared" si="62"/>
        <x:v>481335.18</x:v>
      </x:c>
    </x:row>
    <x:row r="1282" spans="1:14" x14ac:dyDescent="0.25">
      <x:c r="A1282" t="s">
        <x:v>17</x:v>
      </x:c>
      <x:c r="B1282" s="3" t="s">
        <x:v>176</x:v>
      </x:c>
      <x:c r="C1282" s="3" t="s">
        <x:v>492</x:v>
      </x:c>
      <x:c r="D1282" t="s">
        <x:v>677</x:v>
      </x:c>
      <x:c r="E1282" s="6">
        <x:v>0</x:v>
      </x:c>
      <x:c r="F1282" s="6">
        <x:v>0</x:v>
      </x:c>
      <x:c r="G1282" s="6">
        <x:v>0</x:v>
      </x:c>
      <x:c r="H1282" s="6">
        <x:f t="shared" si="60"/>
        <x:v>0</x:v>
      </x:c>
      <x:c r="I1282" s="6">
        <x:v>678175.2300000001</x:v>
      </x:c>
      <x:c r="J1282" s="6">
        <x:v>0</x:v>
      </x:c>
      <x:c r="K1282" s="6">
        <x:f t="shared" si="61"/>
        <x:v>678175.2300000001</x:v>
      </x:c>
      <x:c r="L1282" s="6">
        <x:v>0</x:v>
      </x:c>
      <x:c r="M1282" s="6">
        <x:v>0</x:v>
      </x:c>
      <x:c r="N1282" s="6">
        <x:f t="shared" si="62"/>
        <x:v>678175.2300000001</x:v>
      </x:c>
    </x:row>
    <x:row r="1283" spans="1:14" x14ac:dyDescent="0.25">
      <x:c r="A1283" t="s">
        <x:v>17</x:v>
      </x:c>
      <x:c r="B1283" s="3" t="s">
        <x:v>177</x:v>
      </x:c>
      <x:c r="C1283" s="3" t="s">
        <x:v>493</x:v>
      </x:c>
      <x:c r="D1283" t="s">
        <x:v>677</x:v>
      </x:c>
      <x:c r="E1283" s="6">
        <x:v>0</x:v>
      </x:c>
      <x:c r="F1283" s="6">
        <x:v>0</x:v>
      </x:c>
      <x:c r="G1283" s="6">
        <x:v>0</x:v>
      </x:c>
      <x:c r="H1283" s="6">
        <x:f t="shared" si="60"/>
        <x:v>0</x:v>
      </x:c>
      <x:c r="I1283" s="6">
        <x:v>293996.94000000012</x:v>
      </x:c>
      <x:c r="J1283" s="6">
        <x:v>0</x:v>
      </x:c>
      <x:c r="K1283" s="6">
        <x:f t="shared" si="61"/>
        <x:v>293996.94000000012</x:v>
      </x:c>
      <x:c r="L1283" s="6">
        <x:v>0</x:v>
      </x:c>
      <x:c r="M1283" s="6">
        <x:v>0</x:v>
      </x:c>
      <x:c r="N1283" s="6">
        <x:f t="shared" si="62"/>
        <x:v>293996.94000000012</x:v>
      </x:c>
    </x:row>
    <x:row r="1284" spans="1:14" x14ac:dyDescent="0.25">
      <x:c r="A1284" t="s">
        <x:v>17</x:v>
      </x:c>
      <x:c r="B1284" s="3" t="s">
        <x:v>263</x:v>
      </x:c>
      <x:c r="C1284" s="3" t="s">
        <x:v>578</x:v>
      </x:c>
      <x:c r="D1284" t="s">
        <x:v>676</x:v>
      </x:c>
      <x:c r="E1284" s="6">
        <x:v>0</x:v>
      </x:c>
      <x:c r="F1284" s="6">
        <x:v>0</x:v>
      </x:c>
      <x:c r="G1284" s="6">
        <x:v>0</x:v>
      </x:c>
      <x:c r="H1284" s="6">
        <x:f t="shared" si="60"/>
        <x:v>0</x:v>
      </x:c>
      <x:c r="I1284" s="6">
        <x:v>0</x:v>
      </x:c>
      <x:c r="J1284" s="6">
        <x:v>0</x:v>
      </x:c>
      <x:c r="K1284" s="6">
        <x:f t="shared" si="61"/>
        <x:v>0</x:v>
      </x:c>
      <x:c r="L1284" s="6">
        <x:v>102963.91</x:v>
      </x:c>
      <x:c r="M1284" s="6">
        <x:v>0</x:v>
      </x:c>
      <x:c r="N1284" s="6">
        <x:f t="shared" si="62"/>
        <x:v>102963.91</x:v>
      </x:c>
    </x:row>
    <x:row r="1285" spans="1:14" x14ac:dyDescent="0.25">
      <x:c r="A1285" t="s">
        <x:v>17</x:v>
      </x:c>
      <x:c r="B1285" s="3" t="s">
        <x:v>178</x:v>
      </x:c>
      <x:c r="C1285" s="3" t="s">
        <x:v>494</x:v>
      </x:c>
      <x:c r="D1285" t="s">
        <x:v>677</x:v>
      </x:c>
      <x:c r="E1285" s="6">
        <x:v>0</x:v>
      </x:c>
      <x:c r="F1285" s="6">
        <x:v>0</x:v>
      </x:c>
      <x:c r="G1285" s="6">
        <x:v>0</x:v>
      </x:c>
      <x:c r="H1285" s="6">
        <x:f t="shared" si="60"/>
        <x:v>0</x:v>
      </x:c>
      <x:c r="I1285" s="6">
        <x:v>525782.27999999991</x:v>
      </x:c>
      <x:c r="J1285" s="6">
        <x:v>0</x:v>
      </x:c>
      <x:c r="K1285" s="6">
        <x:f t="shared" si="61"/>
        <x:v>525782.27999999991</x:v>
      </x:c>
      <x:c r="L1285" s="6">
        <x:v>0</x:v>
      </x:c>
      <x:c r="M1285" s="6">
        <x:v>0</x:v>
      </x:c>
      <x:c r="N1285" s="6">
        <x:f t="shared" si="62"/>
        <x:v>525782.27999999991</x:v>
      </x:c>
    </x:row>
    <x:row r="1286" spans="1:14" x14ac:dyDescent="0.25">
      <x:c r="A1286" t="s">
        <x:v>17</x:v>
      </x:c>
      <x:c r="B1286" s="3" t="s">
        <x:v>179</x:v>
      </x:c>
      <x:c r="C1286" s="3" t="s">
        <x:v>495</x:v>
      </x:c>
      <x:c r="D1286" t="s">
        <x:v>677</x:v>
      </x:c>
      <x:c r="E1286" s="6">
        <x:v>0</x:v>
      </x:c>
      <x:c r="F1286" s="6">
        <x:v>0</x:v>
      </x:c>
      <x:c r="G1286" s="6">
        <x:v>0</x:v>
      </x:c>
      <x:c r="H1286" s="6">
        <x:f t="shared" si="60"/>
        <x:v>0</x:v>
      </x:c>
      <x:c r="I1286" s="6">
        <x:v>281239.35000000003</x:v>
      </x:c>
      <x:c r="J1286" s="6">
        <x:v>0</x:v>
      </x:c>
      <x:c r="K1286" s="6">
        <x:f t="shared" si="61"/>
        <x:v>281239.35000000003</x:v>
      </x:c>
      <x:c r="L1286" s="6">
        <x:v>0</x:v>
      </x:c>
      <x:c r="M1286" s="6">
        <x:v>0</x:v>
      </x:c>
      <x:c r="N1286" s="6">
        <x:f t="shared" si="62"/>
        <x:v>281239.35000000003</x:v>
      </x:c>
    </x:row>
    <x:row r="1287" spans="1:14" x14ac:dyDescent="0.25">
      <x:c r="A1287" t="s">
        <x:v>17</x:v>
      </x:c>
      <x:c r="B1287" s="3" t="s">
        <x:v>62</x:v>
      </x:c>
      <x:c r="C1287" s="3" t="s">
        <x:v>379</x:v>
      </x:c>
      <x:c r="D1287" t="s">
        <x:v>676</x:v>
      </x:c>
      <x:c r="E1287" s="6">
        <x:v>0</x:v>
      </x:c>
      <x:c r="F1287" s="6">
        <x:v>0</x:v>
      </x:c>
      <x:c r="G1287" s="6">
        <x:v>0</x:v>
      </x:c>
      <x:c r="H1287" s="6">
        <x:f t="shared" si="60"/>
        <x:v>0</x:v>
      </x:c>
      <x:c r="I1287" s="6">
        <x:v>0</x:v>
      </x:c>
      <x:c r="J1287" s="6">
        <x:v>0</x:v>
      </x:c>
      <x:c r="K1287" s="6">
        <x:f t="shared" si="61"/>
        <x:v>0</x:v>
      </x:c>
      <x:c r="L1287" s="6">
        <x:v>99760.11</x:v>
      </x:c>
      <x:c r="M1287" s="6">
        <x:v>0</x:v>
      </x:c>
      <x:c r="N1287" s="6">
        <x:f t="shared" si="62"/>
        <x:v>99760.11</x:v>
      </x:c>
    </x:row>
    <x:row r="1288" spans="1:14" x14ac:dyDescent="0.25">
      <x:c r="A1288" t="s">
        <x:v>17</x:v>
      </x:c>
      <x:c r="B1288" s="3" t="s">
        <x:v>286</x:v>
      </x:c>
      <x:c r="C1288" s="3" t="s">
        <x:v>601</x:v>
      </x:c>
      <x:c r="D1288" t="s">
        <x:v>677</x:v>
      </x:c>
      <x:c r="E1288" s="6">
        <x:v>0</x:v>
      </x:c>
      <x:c r="F1288" s="6">
        <x:v>0</x:v>
      </x:c>
      <x:c r="G1288" s="6">
        <x:v>0</x:v>
      </x:c>
      <x:c r="H1288" s="6">
        <x:f t="shared" si="60"/>
        <x:v>0</x:v>
      </x:c>
      <x:c r="I1288" s="6">
        <x:v>57.51</x:v>
      </x:c>
      <x:c r="J1288" s="6">
        <x:v>0</x:v>
      </x:c>
      <x:c r="K1288" s="6">
        <x:f t="shared" si="61"/>
        <x:v>57.51</x:v>
      </x:c>
      <x:c r="L1288" s="6">
        <x:v>0</x:v>
      </x:c>
      <x:c r="M1288" s="6">
        <x:v>0</x:v>
      </x:c>
      <x:c r="N1288" s="6">
        <x:f t="shared" si="62"/>
        <x:v>57.51</x:v>
      </x:c>
    </x:row>
    <x:row r="1289" spans="1:14" x14ac:dyDescent="0.25">
      <x:c r="A1289" t="s">
        <x:v>17</x:v>
      </x:c>
      <x:c r="B1289" s="3" t="s">
        <x:v>180</x:v>
      </x:c>
      <x:c r="C1289" s="3" t="s">
        <x:v>496</x:v>
      </x:c>
      <x:c r="D1289" t="s">
        <x:v>677</x:v>
      </x:c>
      <x:c r="E1289" s="6">
        <x:v>0</x:v>
      </x:c>
      <x:c r="F1289" s="6">
        <x:v>0</x:v>
      </x:c>
      <x:c r="G1289" s="6">
        <x:v>0</x:v>
      </x:c>
      <x:c r="H1289" s="6">
        <x:f t="shared" si="60"/>
        <x:v>0</x:v>
      </x:c>
      <x:c r="I1289" s="6">
        <x:v>277172.06999999995</x:v>
      </x:c>
      <x:c r="J1289" s="6">
        <x:v>0</x:v>
      </x:c>
      <x:c r="K1289" s="6">
        <x:f t="shared" si="61"/>
        <x:v>277172.06999999995</x:v>
      </x:c>
      <x:c r="L1289" s="6">
        <x:v>0</x:v>
      </x:c>
      <x:c r="M1289" s="6">
        <x:v>0</x:v>
      </x:c>
      <x:c r="N1289" s="6">
        <x:f t="shared" si="62"/>
        <x:v>277172.06999999995</x:v>
      </x:c>
    </x:row>
    <x:row r="1290" spans="1:14" x14ac:dyDescent="0.25">
      <x:c r="A1290" t="s">
        <x:v>17</x:v>
      </x:c>
      <x:c r="B1290" s="3" t="s">
        <x:v>181</x:v>
      </x:c>
      <x:c r="C1290" s="3" t="s">
        <x:v>497</x:v>
      </x:c>
      <x:c r="D1290" t="s">
        <x:v>677</x:v>
      </x:c>
      <x:c r="E1290" s="6">
        <x:v>0</x:v>
      </x:c>
      <x:c r="F1290" s="6">
        <x:v>0</x:v>
      </x:c>
      <x:c r="G1290" s="6">
        <x:v>0</x:v>
      </x:c>
      <x:c r="H1290" s="6">
        <x:f t="shared" si="60"/>
        <x:v>0</x:v>
      </x:c>
      <x:c r="I1290" s="6">
        <x:v>408241.98999999987</x:v>
      </x:c>
      <x:c r="J1290" s="6">
        <x:v>0</x:v>
      </x:c>
      <x:c r="K1290" s="6">
        <x:f t="shared" si="61"/>
        <x:v>408241.98999999987</x:v>
      </x:c>
      <x:c r="L1290" s="6">
        <x:v>0</x:v>
      </x:c>
      <x:c r="M1290" s="6">
        <x:v>0</x:v>
      </x:c>
      <x:c r="N1290" s="6">
        <x:f t="shared" si="62"/>
        <x:v>408241.98999999987</x:v>
      </x:c>
    </x:row>
    <x:row r="1291" spans="1:14" x14ac:dyDescent="0.25">
      <x:c r="A1291" t="s">
        <x:v>17</x:v>
      </x:c>
      <x:c r="B1291" s="3" t="s">
        <x:v>182</x:v>
      </x:c>
      <x:c r="C1291" s="3" t="s">
        <x:v>498</x:v>
      </x:c>
      <x:c r="D1291" t="s">
        <x:v>677</x:v>
      </x:c>
      <x:c r="E1291" s="6">
        <x:v>0</x:v>
      </x:c>
      <x:c r="F1291" s="6">
        <x:v>0</x:v>
      </x:c>
      <x:c r="G1291" s="6">
        <x:v>0</x:v>
      </x:c>
      <x:c r="H1291" s="6">
        <x:f t="shared" si="60"/>
        <x:v>0</x:v>
      </x:c>
      <x:c r="I1291" s="6">
        <x:v>41186.15</x:v>
      </x:c>
      <x:c r="J1291" s="6">
        <x:v>0</x:v>
      </x:c>
      <x:c r="K1291" s="6">
        <x:f t="shared" si="61"/>
        <x:v>41186.15</x:v>
      </x:c>
      <x:c r="L1291" s="6">
        <x:v>0</x:v>
      </x:c>
      <x:c r="M1291" s="6">
        <x:v>0</x:v>
      </x:c>
      <x:c r="N1291" s="6">
        <x:f t="shared" si="62"/>
        <x:v>41186.15</x:v>
      </x:c>
    </x:row>
    <x:row r="1292" spans="1:14" x14ac:dyDescent="0.25">
      <x:c r="A1292" t="s">
        <x:v>17</x:v>
      </x:c>
      <x:c r="B1292" s="3" t="s">
        <x:v>235</x:v>
      </x:c>
      <x:c r="C1292" s="3" t="s">
        <x:v>550</x:v>
      </x:c>
      <x:c r="D1292" t="s">
        <x:v>677</x:v>
      </x:c>
      <x:c r="E1292" s="6">
        <x:v>0</x:v>
      </x:c>
      <x:c r="F1292" s="6">
        <x:v>0</x:v>
      </x:c>
      <x:c r="G1292" s="6">
        <x:v>0</x:v>
      </x:c>
      <x:c r="H1292" s="6">
        <x:f t="shared" si="60"/>
        <x:v>0</x:v>
      </x:c>
      <x:c r="I1292" s="6">
        <x:v>632320.83000000007</x:v>
      </x:c>
      <x:c r="J1292" s="6">
        <x:v>0</x:v>
      </x:c>
      <x:c r="K1292" s="6">
        <x:f t="shared" si="61"/>
        <x:v>632320.83000000007</x:v>
      </x:c>
      <x:c r="L1292" s="6">
        <x:v>0</x:v>
      </x:c>
      <x:c r="M1292" s="6">
        <x:v>0</x:v>
      </x:c>
      <x:c r="N1292" s="6">
        <x:f t="shared" si="62"/>
        <x:v>632320.83000000007</x:v>
      </x:c>
    </x:row>
    <x:row r="1293" spans="1:14" x14ac:dyDescent="0.25">
      <x:c r="A1293" t="s">
        <x:v>17</x:v>
      </x:c>
      <x:c r="B1293" s="3" t="s">
        <x:v>183</x:v>
      </x:c>
      <x:c r="C1293" s="3" t="s">
        <x:v>499</x:v>
      </x:c>
      <x:c r="D1293" t="s">
        <x:v>677</x:v>
      </x:c>
      <x:c r="E1293" s="6">
        <x:v>0</x:v>
      </x:c>
      <x:c r="F1293" s="6">
        <x:v>0</x:v>
      </x:c>
      <x:c r="G1293" s="6">
        <x:v>0</x:v>
      </x:c>
      <x:c r="H1293" s="6">
        <x:f t="shared" si="60"/>
        <x:v>0</x:v>
      </x:c>
      <x:c r="I1293" s="6">
        <x:v>441678.12999999995</x:v>
      </x:c>
      <x:c r="J1293" s="6">
        <x:v>0</x:v>
      </x:c>
      <x:c r="K1293" s="6">
        <x:f t="shared" si="61"/>
        <x:v>441678.12999999995</x:v>
      </x:c>
      <x:c r="L1293" s="6">
        <x:v>0</x:v>
      </x:c>
      <x:c r="M1293" s="6">
        <x:v>0</x:v>
      </x:c>
      <x:c r="N1293" s="6">
        <x:f t="shared" si="62"/>
        <x:v>441678.12999999995</x:v>
      </x:c>
    </x:row>
    <x:row r="1294" spans="1:14" x14ac:dyDescent="0.25">
      <x:c r="A1294" t="s">
        <x:v>17</x:v>
      </x:c>
      <x:c r="B1294" s="3" t="s">
        <x:v>184</x:v>
      </x:c>
      <x:c r="C1294" s="3" t="s">
        <x:v>500</x:v>
      </x:c>
      <x:c r="D1294" t="s">
        <x:v>677</x:v>
      </x:c>
      <x:c r="E1294" s="6">
        <x:v>0</x:v>
      </x:c>
      <x:c r="F1294" s="6">
        <x:v>0</x:v>
      </x:c>
      <x:c r="G1294" s="6">
        <x:v>0</x:v>
      </x:c>
      <x:c r="H1294" s="6">
        <x:f t="shared" ref="H1294:H1357" si="63">SUM(E1294:G1294)</x:f>
        <x:v>0</x:v>
      </x:c>
      <x:c r="I1294" s="6">
        <x:v>468969.95999999996</x:v>
      </x:c>
      <x:c r="J1294" s="6">
        <x:v>0</x:v>
      </x:c>
      <x:c r="K1294" s="6">
        <x:f t="shared" ref="K1294:K1357" si="64">SUM(I1294:J1294)</x:f>
        <x:v>468969.95999999996</x:v>
      </x:c>
      <x:c r="L1294" s="6">
        <x:v>0</x:v>
      </x:c>
      <x:c r="M1294" s="6">
        <x:v>0</x:v>
      </x:c>
      <x:c r="N1294" s="6">
        <x:f t="shared" ref="N1294:N1357" si="65">+E1294+F1294+G1294+I1294+J1294+L1294+M1294</x:f>
        <x:v>468969.95999999996</x:v>
      </x:c>
    </x:row>
    <x:row r="1295" spans="1:14" x14ac:dyDescent="0.25">
      <x:c r="A1295" t="s">
        <x:v>17</x:v>
      </x:c>
      <x:c r="B1295" s="3" t="s">
        <x:v>185</x:v>
      </x:c>
      <x:c r="C1295" s="3" t="s">
        <x:v>501</x:v>
      </x:c>
      <x:c r="D1295" t="s">
        <x:v>677</x:v>
      </x:c>
      <x:c r="E1295" s="6">
        <x:v>0</x:v>
      </x:c>
      <x:c r="F1295" s="6">
        <x:v>0</x:v>
      </x:c>
      <x:c r="G1295" s="6">
        <x:v>0</x:v>
      </x:c>
      <x:c r="H1295" s="6">
        <x:f t="shared" si="63"/>
        <x:v>0</x:v>
      </x:c>
      <x:c r="I1295" s="6">
        <x:v>27219.820000000007</x:v>
      </x:c>
      <x:c r="J1295" s="6">
        <x:v>0</x:v>
      </x:c>
      <x:c r="K1295" s="6">
        <x:f t="shared" si="64"/>
        <x:v>27219.820000000007</x:v>
      </x:c>
      <x:c r="L1295" s="6">
        <x:v>0</x:v>
      </x:c>
      <x:c r="M1295" s="6">
        <x:v>0</x:v>
      </x:c>
      <x:c r="N1295" s="6">
        <x:f t="shared" si="65"/>
        <x:v>27219.820000000007</x:v>
      </x:c>
    </x:row>
    <x:row r="1296" spans="1:14" x14ac:dyDescent="0.25">
      <x:c r="A1296" t="s">
        <x:v>17</x:v>
      </x:c>
      <x:c r="B1296" s="3" t="s">
        <x:v>186</x:v>
      </x:c>
      <x:c r="C1296" s="3" t="s">
        <x:v>502</x:v>
      </x:c>
      <x:c r="D1296" t="s">
        <x:v>677</x:v>
      </x:c>
      <x:c r="E1296" s="6">
        <x:v>0</x:v>
      </x:c>
      <x:c r="F1296" s="6">
        <x:v>0</x:v>
      </x:c>
      <x:c r="G1296" s="6">
        <x:v>0</x:v>
      </x:c>
      <x:c r="H1296" s="6">
        <x:f t="shared" si="63"/>
        <x:v>0</x:v>
      </x:c>
      <x:c r="I1296" s="6">
        <x:v>760757.84</x:v>
      </x:c>
      <x:c r="J1296" s="6">
        <x:v>0</x:v>
      </x:c>
      <x:c r="K1296" s="6">
        <x:f t="shared" si="64"/>
        <x:v>760757.84</x:v>
      </x:c>
      <x:c r="L1296" s="6">
        <x:v>0</x:v>
      </x:c>
      <x:c r="M1296" s="6">
        <x:v>0</x:v>
      </x:c>
      <x:c r="N1296" s="6">
        <x:f t="shared" si="65"/>
        <x:v>760757.84</x:v>
      </x:c>
    </x:row>
    <x:row r="1297" spans="1:14" x14ac:dyDescent="0.25">
      <x:c r="A1297" t="s">
        <x:v>17</x:v>
      </x:c>
      <x:c r="B1297" s="3" t="s">
        <x:v>187</x:v>
      </x:c>
      <x:c r="C1297" s="3" t="s">
        <x:v>503</x:v>
      </x:c>
      <x:c r="D1297" t="s">
        <x:v>677</x:v>
      </x:c>
      <x:c r="E1297" s="6">
        <x:v>0</x:v>
      </x:c>
      <x:c r="F1297" s="6">
        <x:v>0</x:v>
      </x:c>
      <x:c r="G1297" s="6">
        <x:v>0</x:v>
      </x:c>
      <x:c r="H1297" s="6">
        <x:f t="shared" si="63"/>
        <x:v>0</x:v>
      </x:c>
      <x:c r="I1297" s="6">
        <x:v>471855.79000000004</x:v>
      </x:c>
      <x:c r="J1297" s="6">
        <x:v>0</x:v>
      </x:c>
      <x:c r="K1297" s="6">
        <x:f t="shared" si="64"/>
        <x:v>471855.79000000004</x:v>
      </x:c>
      <x:c r="L1297" s="6">
        <x:v>0</x:v>
      </x:c>
      <x:c r="M1297" s="6">
        <x:v>0</x:v>
      </x:c>
      <x:c r="N1297" s="6">
        <x:f t="shared" si="65"/>
        <x:v>471855.79000000004</x:v>
      </x:c>
    </x:row>
    <x:row r="1298" spans="1:14" x14ac:dyDescent="0.25">
      <x:c r="A1298" t="s">
        <x:v>17</x:v>
      </x:c>
      <x:c r="B1298" s="3" t="s">
        <x:v>188</x:v>
      </x:c>
      <x:c r="C1298" s="3" t="s">
        <x:v>504</x:v>
      </x:c>
      <x:c r="D1298" t="s">
        <x:v>677</x:v>
      </x:c>
      <x:c r="E1298" s="6">
        <x:v>0</x:v>
      </x:c>
      <x:c r="F1298" s="6">
        <x:v>0</x:v>
      </x:c>
      <x:c r="G1298" s="6">
        <x:v>0</x:v>
      </x:c>
      <x:c r="H1298" s="6">
        <x:f t="shared" si="63"/>
        <x:v>0</x:v>
      </x:c>
      <x:c r="I1298" s="6">
        <x:v>334536.73</x:v>
      </x:c>
      <x:c r="J1298" s="6">
        <x:v>0</x:v>
      </x:c>
      <x:c r="K1298" s="6">
        <x:f t="shared" si="64"/>
        <x:v>334536.73</x:v>
      </x:c>
      <x:c r="L1298" s="6">
        <x:v>0</x:v>
      </x:c>
      <x:c r="M1298" s="6">
        <x:v>0</x:v>
      </x:c>
      <x:c r="N1298" s="6">
        <x:f t="shared" si="65"/>
        <x:v>334536.73</x:v>
      </x:c>
    </x:row>
    <x:row r="1299" spans="1:14" x14ac:dyDescent="0.25">
      <x:c r="A1299" t="s">
        <x:v>17</x:v>
      </x:c>
      <x:c r="B1299" s="3" t="s">
        <x:v>287</x:v>
      </x:c>
      <x:c r="C1299" s="3" t="s">
        <x:v>602</x:v>
      </x:c>
      <x:c r="D1299" t="s">
        <x:v>677</x:v>
      </x:c>
      <x:c r="E1299" s="6">
        <x:v>0</x:v>
      </x:c>
      <x:c r="F1299" s="6">
        <x:v>0</x:v>
      </x:c>
      <x:c r="G1299" s="6">
        <x:v>0</x:v>
      </x:c>
      <x:c r="H1299" s="6">
        <x:f t="shared" si="63"/>
        <x:v>0</x:v>
      </x:c>
      <x:c r="I1299" s="6">
        <x:v>155998.09999999998</x:v>
      </x:c>
      <x:c r="J1299" s="6">
        <x:v>0</x:v>
      </x:c>
      <x:c r="K1299" s="6">
        <x:f t="shared" si="64"/>
        <x:v>155998.09999999998</x:v>
      </x:c>
      <x:c r="L1299" s="6">
        <x:v>0</x:v>
      </x:c>
      <x:c r="M1299" s="6">
        <x:v>0</x:v>
      </x:c>
      <x:c r="N1299" s="6">
        <x:f t="shared" si="65"/>
        <x:v>155998.09999999998</x:v>
      </x:c>
    </x:row>
    <x:row r="1300" spans="1:14" x14ac:dyDescent="0.25">
      <x:c r="A1300" t="s">
        <x:v>17</x:v>
      </x:c>
      <x:c r="B1300" s="3" t="s">
        <x:v>189</x:v>
      </x:c>
      <x:c r="C1300" s="3" t="s">
        <x:v>505</x:v>
      </x:c>
      <x:c r="D1300" t="s">
        <x:v>677</x:v>
      </x:c>
      <x:c r="E1300" s="6">
        <x:v>0</x:v>
      </x:c>
      <x:c r="F1300" s="6">
        <x:v>0</x:v>
      </x:c>
      <x:c r="G1300" s="6">
        <x:v>0</x:v>
      </x:c>
      <x:c r="H1300" s="6">
        <x:f t="shared" si="63"/>
        <x:v>0</x:v>
      </x:c>
      <x:c r="I1300" s="6">
        <x:v>547984.14</x:v>
      </x:c>
      <x:c r="J1300" s="6">
        <x:v>0</x:v>
      </x:c>
      <x:c r="K1300" s="6">
        <x:f t="shared" si="64"/>
        <x:v>547984.14</x:v>
      </x:c>
      <x:c r="L1300" s="6">
        <x:v>0</x:v>
      </x:c>
      <x:c r="M1300" s="6">
        <x:v>0</x:v>
      </x:c>
      <x:c r="N1300" s="6">
        <x:f t="shared" si="65"/>
        <x:v>547984.14</x:v>
      </x:c>
    </x:row>
    <x:row r="1301" spans="1:14" x14ac:dyDescent="0.25">
      <x:c r="A1301" t="s">
        <x:v>17</x:v>
      </x:c>
      <x:c r="B1301" s="3" t="s">
        <x:v>236</x:v>
      </x:c>
      <x:c r="C1301" s="3" t="s">
        <x:v>551</x:v>
      </x:c>
      <x:c r="D1301" t="s">
        <x:v>677</x:v>
      </x:c>
      <x:c r="E1301" s="6">
        <x:v>0</x:v>
      </x:c>
      <x:c r="F1301" s="6">
        <x:v>0</x:v>
      </x:c>
      <x:c r="G1301" s="6">
        <x:v>0</x:v>
      </x:c>
      <x:c r="H1301" s="6">
        <x:f t="shared" si="63"/>
        <x:v>0</x:v>
      </x:c>
      <x:c r="I1301" s="6">
        <x:v>390423.78000000014</x:v>
      </x:c>
      <x:c r="J1301" s="6">
        <x:v>0</x:v>
      </x:c>
      <x:c r="K1301" s="6">
        <x:f t="shared" si="64"/>
        <x:v>390423.78000000014</x:v>
      </x:c>
      <x:c r="L1301" s="6">
        <x:v>0</x:v>
      </x:c>
      <x:c r="M1301" s="6">
        <x:v>0</x:v>
      </x:c>
      <x:c r="N1301" s="6">
        <x:f t="shared" si="65"/>
        <x:v>390423.78000000014</x:v>
      </x:c>
    </x:row>
    <x:row r="1302" spans="1:14" x14ac:dyDescent="0.25">
      <x:c r="A1302" t="s">
        <x:v>17</x:v>
      </x:c>
      <x:c r="B1302" s="3" t="s">
        <x:v>264</x:v>
      </x:c>
      <x:c r="C1302" s="3" t="s">
        <x:v>579</x:v>
      </x:c>
      <x:c r="D1302" t="s">
        <x:v>676</x:v>
      </x:c>
      <x:c r="E1302" s="6">
        <x:v>0</x:v>
      </x:c>
      <x:c r="F1302" s="6">
        <x:v>0</x:v>
      </x:c>
      <x:c r="G1302" s="6">
        <x:v>0</x:v>
      </x:c>
      <x:c r="H1302" s="6">
        <x:f t="shared" si="63"/>
        <x:v>0</x:v>
      </x:c>
      <x:c r="I1302" s="6">
        <x:v>0</x:v>
      </x:c>
      <x:c r="J1302" s="6">
        <x:v>0</x:v>
      </x:c>
      <x:c r="K1302" s="6">
        <x:f t="shared" si="64"/>
        <x:v>0</x:v>
      </x:c>
      <x:c r="L1302" s="6">
        <x:v>34048.15</x:v>
      </x:c>
      <x:c r="M1302" s="6">
        <x:v>0</x:v>
      </x:c>
      <x:c r="N1302" s="6">
        <x:f t="shared" si="65"/>
        <x:v>34048.15</x:v>
      </x:c>
    </x:row>
    <x:row r="1303" spans="1:14" x14ac:dyDescent="0.25">
      <x:c r="A1303" t="s">
        <x:v>17</x:v>
      </x:c>
      <x:c r="B1303" s="3" t="s">
        <x:v>190</x:v>
      </x:c>
      <x:c r="C1303" s="3" t="s">
        <x:v>506</x:v>
      </x:c>
      <x:c r="D1303" t="s">
        <x:v>677</x:v>
      </x:c>
      <x:c r="E1303" s="6">
        <x:v>0</x:v>
      </x:c>
      <x:c r="F1303" s="6">
        <x:v>0</x:v>
      </x:c>
      <x:c r="G1303" s="6">
        <x:v>0</x:v>
      </x:c>
      <x:c r="H1303" s="6">
        <x:f t="shared" si="63"/>
        <x:v>0</x:v>
      </x:c>
      <x:c r="I1303" s="6">
        <x:v>256495.32000000007</x:v>
      </x:c>
      <x:c r="J1303" s="6">
        <x:v>0</x:v>
      </x:c>
      <x:c r="K1303" s="6">
        <x:f t="shared" si="64"/>
        <x:v>256495.32000000007</x:v>
      </x:c>
      <x:c r="L1303" s="6">
        <x:v>0</x:v>
      </x:c>
      <x:c r="M1303" s="6">
        <x:v>0</x:v>
      </x:c>
      <x:c r="N1303" s="6">
        <x:f t="shared" si="65"/>
        <x:v>256495.32000000007</x:v>
      </x:c>
    </x:row>
    <x:row r="1304" spans="1:14" x14ac:dyDescent="0.25">
      <x:c r="A1304" t="s">
        <x:v>17</x:v>
      </x:c>
      <x:c r="B1304" s="3" t="s">
        <x:v>191</x:v>
      </x:c>
      <x:c r="C1304" s="3" t="s">
        <x:v>507</x:v>
      </x:c>
      <x:c r="D1304" t="s">
        <x:v>677</x:v>
      </x:c>
      <x:c r="E1304" s="6">
        <x:v>0</x:v>
      </x:c>
      <x:c r="F1304" s="6">
        <x:v>0</x:v>
      </x:c>
      <x:c r="G1304" s="6">
        <x:v>0</x:v>
      </x:c>
      <x:c r="H1304" s="6">
        <x:f t="shared" si="63"/>
        <x:v>0</x:v>
      </x:c>
      <x:c r="I1304" s="6">
        <x:v>20592.299999999996</x:v>
      </x:c>
      <x:c r="J1304" s="6">
        <x:v>0</x:v>
      </x:c>
      <x:c r="K1304" s="6">
        <x:f t="shared" si="64"/>
        <x:v>20592.299999999996</x:v>
      </x:c>
      <x:c r="L1304" s="6">
        <x:v>0</x:v>
      </x:c>
      <x:c r="M1304" s="6">
        <x:v>0</x:v>
      </x:c>
      <x:c r="N1304" s="6">
        <x:f t="shared" si="65"/>
        <x:v>20592.299999999996</x:v>
      </x:c>
    </x:row>
    <x:row r="1305" spans="1:14" x14ac:dyDescent="0.25">
      <x:c r="A1305" t="s">
        <x:v>17</x:v>
      </x:c>
      <x:c r="B1305" s="3" t="s">
        <x:v>192</x:v>
      </x:c>
      <x:c r="C1305" s="3" t="s">
        <x:v>508</x:v>
      </x:c>
      <x:c r="D1305" t="s">
        <x:v>677</x:v>
      </x:c>
      <x:c r="E1305" s="6">
        <x:v>0</x:v>
      </x:c>
      <x:c r="F1305" s="6">
        <x:v>0</x:v>
      </x:c>
      <x:c r="G1305" s="6">
        <x:v>0</x:v>
      </x:c>
      <x:c r="H1305" s="6">
        <x:f t="shared" si="63"/>
        <x:v>0</x:v>
      </x:c>
      <x:c r="I1305" s="6">
        <x:v>239039.96999999997</x:v>
      </x:c>
      <x:c r="J1305" s="6">
        <x:v>0</x:v>
      </x:c>
      <x:c r="K1305" s="6">
        <x:f t="shared" si="64"/>
        <x:v>239039.96999999997</x:v>
      </x:c>
      <x:c r="L1305" s="6">
        <x:v>0</x:v>
      </x:c>
      <x:c r="M1305" s="6">
        <x:v>0</x:v>
      </x:c>
      <x:c r="N1305" s="6">
        <x:f t="shared" si="65"/>
        <x:v>239039.96999999997</x:v>
      </x:c>
    </x:row>
    <x:row r="1306" spans="1:14" x14ac:dyDescent="0.25">
      <x:c r="A1306" t="s">
        <x:v>17</x:v>
      </x:c>
      <x:c r="B1306" s="3" t="s">
        <x:v>193</x:v>
      </x:c>
      <x:c r="C1306" s="3" t="s">
        <x:v>509</x:v>
      </x:c>
      <x:c r="D1306" t="s">
        <x:v>677</x:v>
      </x:c>
      <x:c r="E1306" s="6">
        <x:v>0</x:v>
      </x:c>
      <x:c r="F1306" s="6">
        <x:v>0</x:v>
      </x:c>
      <x:c r="G1306" s="6">
        <x:v>0</x:v>
      </x:c>
      <x:c r="H1306" s="6">
        <x:f t="shared" si="63"/>
        <x:v>0</x:v>
      </x:c>
      <x:c r="I1306" s="6">
        <x:v>658996.76</x:v>
      </x:c>
      <x:c r="J1306" s="6">
        <x:v>0</x:v>
      </x:c>
      <x:c r="K1306" s="6">
        <x:f t="shared" si="64"/>
        <x:v>658996.76</x:v>
      </x:c>
      <x:c r="L1306" s="6">
        <x:v>0</x:v>
      </x:c>
      <x:c r="M1306" s="6">
        <x:v>0</x:v>
      </x:c>
      <x:c r="N1306" s="6">
        <x:f t="shared" si="65"/>
        <x:v>658996.76</x:v>
      </x:c>
    </x:row>
    <x:row r="1307" spans="1:14" x14ac:dyDescent="0.25">
      <x:c r="A1307" t="s">
        <x:v>17</x:v>
      </x:c>
      <x:c r="B1307" s="3" t="s">
        <x:v>194</x:v>
      </x:c>
      <x:c r="C1307" s="3" t="s">
        <x:v>510</x:v>
      </x:c>
      <x:c r="D1307" t="s">
        <x:v>677</x:v>
      </x:c>
      <x:c r="E1307" s="6">
        <x:v>0</x:v>
      </x:c>
      <x:c r="F1307" s="6">
        <x:v>0</x:v>
      </x:c>
      <x:c r="G1307" s="6">
        <x:v>0</x:v>
      </x:c>
      <x:c r="H1307" s="6">
        <x:f t="shared" si="63"/>
        <x:v>0</x:v>
      </x:c>
      <x:c r="I1307" s="6">
        <x:v>435584.64999999991</x:v>
      </x:c>
      <x:c r="J1307" s="6">
        <x:v>0</x:v>
      </x:c>
      <x:c r="K1307" s="6">
        <x:f t="shared" si="64"/>
        <x:v>435584.64999999991</x:v>
      </x:c>
      <x:c r="L1307" s="6">
        <x:v>0</x:v>
      </x:c>
      <x:c r="M1307" s="6">
        <x:v>0</x:v>
      </x:c>
      <x:c r="N1307" s="6">
        <x:f t="shared" si="65"/>
        <x:v>435584.64999999991</x:v>
      </x:c>
    </x:row>
    <x:row r="1308" spans="1:14" x14ac:dyDescent="0.25">
      <x:c r="A1308" t="s">
        <x:v>17</x:v>
      </x:c>
      <x:c r="B1308" s="3" t="s">
        <x:v>46</x:v>
      </x:c>
      <x:c r="C1308" s="3" t="s">
        <x:v>363</x:v>
      </x:c>
      <x:c r="D1308" t="s">
        <x:v>676</x:v>
      </x:c>
      <x:c r="E1308" s="6">
        <x:v>0</x:v>
      </x:c>
      <x:c r="F1308" s="6">
        <x:v>0</x:v>
      </x:c>
      <x:c r="G1308" s="6">
        <x:v>0</x:v>
      </x:c>
      <x:c r="H1308" s="6">
        <x:f t="shared" si="63"/>
        <x:v>0</x:v>
      </x:c>
      <x:c r="I1308" s="6">
        <x:v>0</x:v>
      </x:c>
      <x:c r="J1308" s="6">
        <x:v>0</x:v>
      </x:c>
      <x:c r="K1308" s="6">
        <x:f t="shared" si="64"/>
        <x:v>0</x:v>
      </x:c>
      <x:c r="L1308" s="6">
        <x:v>76991.48</x:v>
      </x:c>
      <x:c r="M1308" s="6">
        <x:v>0</x:v>
      </x:c>
      <x:c r="N1308" s="6">
        <x:f t="shared" si="65"/>
        <x:v>76991.48</x:v>
      </x:c>
    </x:row>
    <x:row r="1309" spans="1:14" x14ac:dyDescent="0.25">
      <x:c r="A1309" t="s">
        <x:v>17</x:v>
      </x:c>
      <x:c r="B1309" s="3" t="s">
        <x:v>195</x:v>
      </x:c>
      <x:c r="C1309" s="3" t="s">
        <x:v>511</x:v>
      </x:c>
      <x:c r="D1309" t="s">
        <x:v>677</x:v>
      </x:c>
      <x:c r="E1309" s="6">
        <x:v>0</x:v>
      </x:c>
      <x:c r="F1309" s="6">
        <x:v>0</x:v>
      </x:c>
      <x:c r="G1309" s="6">
        <x:v>0</x:v>
      </x:c>
      <x:c r="H1309" s="6">
        <x:f t="shared" si="63"/>
        <x:v>0</x:v>
      </x:c>
      <x:c r="I1309" s="6">
        <x:v>221449.50000000006</x:v>
      </x:c>
      <x:c r="J1309" s="6">
        <x:v>0</x:v>
      </x:c>
      <x:c r="K1309" s="6">
        <x:f t="shared" si="64"/>
        <x:v>221449.50000000006</x:v>
      </x:c>
      <x:c r="L1309" s="6">
        <x:v>0</x:v>
      </x:c>
      <x:c r="M1309" s="6">
        <x:v>0</x:v>
      </x:c>
      <x:c r="N1309" s="6">
        <x:f t="shared" si="65"/>
        <x:v>221449.50000000006</x:v>
      </x:c>
    </x:row>
    <x:row r="1310" spans="1:14" x14ac:dyDescent="0.25">
      <x:c r="A1310" t="s">
        <x:v>17</x:v>
      </x:c>
      <x:c r="B1310" s="3" t="s">
        <x:v>288</x:v>
      </x:c>
      <x:c r="C1310" s="3" t="s">
        <x:v>603</x:v>
      </x:c>
      <x:c r="D1310" t="s">
        <x:v>677</x:v>
      </x:c>
      <x:c r="E1310" s="6">
        <x:v>0</x:v>
      </x:c>
      <x:c r="F1310" s="6">
        <x:v>0</x:v>
      </x:c>
      <x:c r="G1310" s="6">
        <x:v>0</x:v>
      </x:c>
      <x:c r="H1310" s="6">
        <x:f t="shared" si="63"/>
        <x:v>0</x:v>
      </x:c>
      <x:c r="I1310" s="6">
        <x:v>3741.94</x:v>
      </x:c>
      <x:c r="J1310" s="6">
        <x:v>0</x:v>
      </x:c>
      <x:c r="K1310" s="6">
        <x:f t="shared" si="64"/>
        <x:v>3741.94</x:v>
      </x:c>
      <x:c r="L1310" s="6">
        <x:v>0</x:v>
      </x:c>
      <x:c r="M1310" s="6">
        <x:v>0</x:v>
      </x:c>
      <x:c r="N1310" s="6">
        <x:f t="shared" si="65"/>
        <x:v>3741.94</x:v>
      </x:c>
    </x:row>
    <x:row r="1311" spans="1:14" x14ac:dyDescent="0.25">
      <x:c r="A1311" t="s">
        <x:v>17</x:v>
      </x:c>
      <x:c r="B1311" s="3" t="s">
        <x:v>237</x:v>
      </x:c>
      <x:c r="C1311" s="3" t="s">
        <x:v>552</x:v>
      </x:c>
      <x:c r="D1311" t="s">
        <x:v>677</x:v>
      </x:c>
      <x:c r="E1311" s="6">
        <x:v>0</x:v>
      </x:c>
      <x:c r="F1311" s="6">
        <x:v>0</x:v>
      </x:c>
      <x:c r="G1311" s="6">
        <x:v>0</x:v>
      </x:c>
      <x:c r="H1311" s="6">
        <x:f t="shared" si="63"/>
        <x:v>0</x:v>
      </x:c>
      <x:c r="I1311" s="6">
        <x:v>2727.55</x:v>
      </x:c>
      <x:c r="J1311" s="6">
        <x:v>0</x:v>
      </x:c>
      <x:c r="K1311" s="6">
        <x:f t="shared" si="64"/>
        <x:v>2727.55</x:v>
      </x:c>
      <x:c r="L1311" s="6">
        <x:v>0</x:v>
      </x:c>
      <x:c r="M1311" s="6">
        <x:v>0</x:v>
      </x:c>
      <x:c r="N1311" s="6">
        <x:f t="shared" si="65"/>
        <x:v>2727.55</x:v>
      </x:c>
    </x:row>
    <x:row r="1312" spans="1:14" x14ac:dyDescent="0.25">
      <x:c r="A1312" t="s">
        <x:v>17</x:v>
      </x:c>
      <x:c r="B1312" s="3" t="s">
        <x:v>196</x:v>
      </x:c>
      <x:c r="C1312" s="3" t="s">
        <x:v>512</x:v>
      </x:c>
      <x:c r="D1312" t="s">
        <x:v>677</x:v>
      </x:c>
      <x:c r="E1312" s="6">
        <x:v>0</x:v>
      </x:c>
      <x:c r="F1312" s="6">
        <x:v>0</x:v>
      </x:c>
      <x:c r="G1312" s="6">
        <x:v>0</x:v>
      </x:c>
      <x:c r="H1312" s="6">
        <x:f t="shared" si="63"/>
        <x:v>0</x:v>
      </x:c>
      <x:c r="I1312" s="6">
        <x:v>880028.42000000027</x:v>
      </x:c>
      <x:c r="J1312" s="6">
        <x:v>0</x:v>
      </x:c>
      <x:c r="K1312" s="6">
        <x:f t="shared" si="64"/>
        <x:v>880028.42000000027</x:v>
      </x:c>
      <x:c r="L1312" s="6">
        <x:v>0</x:v>
      </x:c>
      <x:c r="M1312" s="6">
        <x:v>0</x:v>
      </x:c>
      <x:c r="N1312" s="6">
        <x:f t="shared" si="65"/>
        <x:v>880028.42000000027</x:v>
      </x:c>
    </x:row>
    <x:row r="1313" spans="1:14" x14ac:dyDescent="0.25">
      <x:c r="A1313" t="s">
        <x:v>17</x:v>
      </x:c>
      <x:c r="B1313" s="3" t="s">
        <x:v>197</x:v>
      </x:c>
      <x:c r="C1313" s="3" t="s">
        <x:v>513</x:v>
      </x:c>
      <x:c r="D1313" t="s">
        <x:v>676</x:v>
      </x:c>
      <x:c r="E1313" s="6">
        <x:v>0</x:v>
      </x:c>
      <x:c r="F1313" s="6">
        <x:v>0</x:v>
      </x:c>
      <x:c r="G1313" s="6">
        <x:v>0</x:v>
      </x:c>
      <x:c r="H1313" s="6">
        <x:f t="shared" si="63"/>
        <x:v>0</x:v>
      </x:c>
      <x:c r="I1313" s="6">
        <x:v>0</x:v>
      </x:c>
      <x:c r="J1313" s="6">
        <x:v>0</x:v>
      </x:c>
      <x:c r="K1313" s="6">
        <x:f t="shared" si="64"/>
        <x:v>0</x:v>
      </x:c>
      <x:c r="L1313" s="6">
        <x:v>62546.94</x:v>
      </x:c>
      <x:c r="M1313" s="6">
        <x:v>0</x:v>
      </x:c>
      <x:c r="N1313" s="6">
        <x:f t="shared" si="65"/>
        <x:v>62546.94</x:v>
      </x:c>
    </x:row>
    <x:row r="1314" spans="1:14" x14ac:dyDescent="0.25">
      <x:c r="A1314" t="s">
        <x:v>17</x:v>
      </x:c>
      <x:c r="B1314" s="3" t="s">
        <x:v>198</x:v>
      </x:c>
      <x:c r="C1314" s="3" t="s">
        <x:v>514</x:v>
      </x:c>
      <x:c r="D1314" t="s">
        <x:v>677</x:v>
      </x:c>
      <x:c r="E1314" s="6">
        <x:v>0</x:v>
      </x:c>
      <x:c r="F1314" s="6">
        <x:v>0</x:v>
      </x:c>
      <x:c r="G1314" s="6">
        <x:v>0</x:v>
      </x:c>
      <x:c r="H1314" s="6">
        <x:f t="shared" si="63"/>
        <x:v>0</x:v>
      </x:c>
      <x:c r="I1314" s="6">
        <x:v>122156.59000000003</x:v>
      </x:c>
      <x:c r="J1314" s="6">
        <x:v>0</x:v>
      </x:c>
      <x:c r="K1314" s="6">
        <x:f t="shared" si="64"/>
        <x:v>122156.59000000003</x:v>
      </x:c>
      <x:c r="L1314" s="6">
        <x:v>0</x:v>
      </x:c>
      <x:c r="M1314" s="6">
        <x:v>0</x:v>
      </x:c>
      <x:c r="N1314" s="6">
        <x:f t="shared" si="65"/>
        <x:v>122156.59000000003</x:v>
      </x:c>
    </x:row>
    <x:row r="1315" spans="1:14" x14ac:dyDescent="0.25">
      <x:c r="A1315" t="s">
        <x:v>17</x:v>
      </x:c>
      <x:c r="B1315" s="3" t="s">
        <x:v>63</x:v>
      </x:c>
      <x:c r="C1315" s="3" t="s">
        <x:v>380</x:v>
      </x:c>
      <x:c r="D1315" t="s">
        <x:v>677</x:v>
      </x:c>
      <x:c r="E1315" s="6">
        <x:v>0</x:v>
      </x:c>
      <x:c r="F1315" s="6">
        <x:v>0</x:v>
      </x:c>
      <x:c r="G1315" s="6">
        <x:v>0</x:v>
      </x:c>
      <x:c r="H1315" s="6">
        <x:f t="shared" si="63"/>
        <x:v>0</x:v>
      </x:c>
      <x:c r="I1315" s="6">
        <x:v>462856.56000000006</x:v>
      </x:c>
      <x:c r="J1315" s="6">
        <x:v>0</x:v>
      </x:c>
      <x:c r="K1315" s="6">
        <x:f t="shared" si="64"/>
        <x:v>462856.56000000006</x:v>
      </x:c>
      <x:c r="L1315" s="6">
        <x:v>0</x:v>
      </x:c>
      <x:c r="M1315" s="6">
        <x:v>0</x:v>
      </x:c>
      <x:c r="N1315" s="6">
        <x:f t="shared" si="65"/>
        <x:v>462856.56000000006</x:v>
      </x:c>
    </x:row>
    <x:row r="1316" spans="1:14" x14ac:dyDescent="0.25">
      <x:c r="A1316" t="s">
        <x:v>17</x:v>
      </x:c>
      <x:c r="B1316" s="3" t="s">
        <x:v>199</x:v>
      </x:c>
      <x:c r="C1316" s="3" t="s">
        <x:v>515</x:v>
      </x:c>
      <x:c r="D1316" t="s">
        <x:v>677</x:v>
      </x:c>
      <x:c r="E1316" s="6">
        <x:v>0</x:v>
      </x:c>
      <x:c r="F1316" s="6">
        <x:v>0</x:v>
      </x:c>
      <x:c r="G1316" s="6">
        <x:v>0</x:v>
      </x:c>
      <x:c r="H1316" s="6">
        <x:f t="shared" si="63"/>
        <x:v>0</x:v>
      </x:c>
      <x:c r="I1316" s="6">
        <x:v>510159.4499999999</x:v>
      </x:c>
      <x:c r="J1316" s="6">
        <x:v>0</x:v>
      </x:c>
      <x:c r="K1316" s="6">
        <x:f t="shared" si="64"/>
        <x:v>510159.4499999999</x:v>
      </x:c>
      <x:c r="L1316" s="6">
        <x:v>0</x:v>
      </x:c>
      <x:c r="M1316" s="6">
        <x:v>0</x:v>
      </x:c>
      <x:c r="N1316" s="6">
        <x:f t="shared" si="65"/>
        <x:v>510159.4499999999</x:v>
      </x:c>
    </x:row>
    <x:row r="1317" spans="1:14" x14ac:dyDescent="0.25">
      <x:c r="A1317" t="s">
        <x:v>17</x:v>
      </x:c>
      <x:c r="B1317" s="3" t="s">
        <x:v>200</x:v>
      </x:c>
      <x:c r="C1317" s="3" t="s">
        <x:v>516</x:v>
      </x:c>
      <x:c r="D1317" t="s">
        <x:v>677</x:v>
      </x:c>
      <x:c r="E1317" s="6">
        <x:v>0</x:v>
      </x:c>
      <x:c r="F1317" s="6">
        <x:v>0</x:v>
      </x:c>
      <x:c r="G1317" s="6">
        <x:v>0</x:v>
      </x:c>
      <x:c r="H1317" s="6">
        <x:f t="shared" si="63"/>
        <x:v>0</x:v>
      </x:c>
      <x:c r="I1317" s="6">
        <x:v>896452.2100000002</x:v>
      </x:c>
      <x:c r="J1317" s="6">
        <x:v>0</x:v>
      </x:c>
      <x:c r="K1317" s="6">
        <x:f t="shared" si="64"/>
        <x:v>896452.2100000002</x:v>
      </x:c>
      <x:c r="L1317" s="6">
        <x:v>0</x:v>
      </x:c>
      <x:c r="M1317" s="6">
        <x:v>0</x:v>
      </x:c>
      <x:c r="N1317" s="6">
        <x:f t="shared" si="65"/>
        <x:v>896452.2100000002</x:v>
      </x:c>
    </x:row>
    <x:row r="1318" spans="1:14" x14ac:dyDescent="0.25">
      <x:c r="A1318" t="s">
        <x:v>17</x:v>
      </x:c>
      <x:c r="B1318" s="3" t="s">
        <x:v>201</x:v>
      </x:c>
      <x:c r="C1318" s="3" t="s">
        <x:v>517</x:v>
      </x:c>
      <x:c r="D1318" t="s">
        <x:v>676</x:v>
      </x:c>
      <x:c r="E1318" s="6">
        <x:v>0</x:v>
      </x:c>
      <x:c r="F1318" s="6">
        <x:v>0</x:v>
      </x:c>
      <x:c r="G1318" s="6">
        <x:v>0</x:v>
      </x:c>
      <x:c r="H1318" s="6">
        <x:f t="shared" si="63"/>
        <x:v>0</x:v>
      </x:c>
      <x:c r="I1318" s="6">
        <x:v>0</x:v>
      </x:c>
      <x:c r="J1318" s="6">
        <x:v>0</x:v>
      </x:c>
      <x:c r="K1318" s="6">
        <x:f t="shared" si="64"/>
        <x:v>0</x:v>
      </x:c>
      <x:c r="L1318" s="6">
        <x:v>65992.87</x:v>
      </x:c>
      <x:c r="M1318" s="6">
        <x:v>0</x:v>
      </x:c>
      <x:c r="N1318" s="6">
        <x:f t="shared" si="65"/>
        <x:v>65992.87</x:v>
      </x:c>
    </x:row>
    <x:row r="1319" spans="1:14" x14ac:dyDescent="0.25">
      <x:c r="A1319" t="s">
        <x:v>17</x:v>
      </x:c>
      <x:c r="B1319" s="3" t="s">
        <x:v>202</x:v>
      </x:c>
      <x:c r="C1319" s="3" t="s">
        <x:v>518</x:v>
      </x:c>
      <x:c r="D1319" t="s">
        <x:v>677</x:v>
      </x:c>
      <x:c r="E1319" s="6">
        <x:v>0</x:v>
      </x:c>
      <x:c r="F1319" s="6">
        <x:v>0</x:v>
      </x:c>
      <x:c r="G1319" s="6">
        <x:v>0</x:v>
      </x:c>
      <x:c r="H1319" s="6">
        <x:f t="shared" si="63"/>
        <x:v>0</x:v>
      </x:c>
      <x:c r="I1319" s="6">
        <x:v>331820.59000000003</x:v>
      </x:c>
      <x:c r="J1319" s="6">
        <x:v>0</x:v>
      </x:c>
      <x:c r="K1319" s="6">
        <x:f t="shared" si="64"/>
        <x:v>331820.59000000003</x:v>
      </x:c>
      <x:c r="L1319" s="6">
        <x:v>0</x:v>
      </x:c>
      <x:c r="M1319" s="6">
        <x:v>0</x:v>
      </x:c>
      <x:c r="N1319" s="6">
        <x:f t="shared" si="65"/>
        <x:v>331820.59000000003</x:v>
      </x:c>
    </x:row>
    <x:row r="1320" spans="1:14" x14ac:dyDescent="0.25">
      <x:c r="A1320" t="s">
        <x:v>17</x:v>
      </x:c>
      <x:c r="B1320" s="3" t="s">
        <x:v>203</x:v>
      </x:c>
      <x:c r="C1320" s="3" t="s">
        <x:v>519</x:v>
      </x:c>
      <x:c r="D1320" t="s">
        <x:v>677</x:v>
      </x:c>
      <x:c r="E1320" s="6">
        <x:v>0</x:v>
      </x:c>
      <x:c r="F1320" s="6">
        <x:v>0</x:v>
      </x:c>
      <x:c r="G1320" s="6">
        <x:v>0</x:v>
      </x:c>
      <x:c r="H1320" s="6">
        <x:f t="shared" si="63"/>
        <x:v>0</x:v>
      </x:c>
      <x:c r="I1320" s="6">
        <x:v>396998.84</x:v>
      </x:c>
      <x:c r="J1320" s="6">
        <x:v>0</x:v>
      </x:c>
      <x:c r="K1320" s="6">
        <x:f t="shared" si="64"/>
        <x:v>396998.84</x:v>
      </x:c>
      <x:c r="L1320" s="6">
        <x:v>0</x:v>
      </x:c>
      <x:c r="M1320" s="6">
        <x:v>0</x:v>
      </x:c>
      <x:c r="N1320" s="6">
        <x:f t="shared" si="65"/>
        <x:v>396998.84</x:v>
      </x:c>
    </x:row>
    <x:row r="1321" spans="1:14" x14ac:dyDescent="0.25">
      <x:c r="A1321" t="s">
        <x:v>17</x:v>
      </x:c>
      <x:c r="B1321" s="3" t="s">
        <x:v>50</x:v>
      </x:c>
      <x:c r="C1321" s="3" t="s">
        <x:v>367</x:v>
      </x:c>
      <x:c r="D1321" t="s">
        <x:v>677</x:v>
      </x:c>
      <x:c r="E1321" s="6">
        <x:v>0</x:v>
      </x:c>
      <x:c r="F1321" s="6">
        <x:v>0</x:v>
      </x:c>
      <x:c r="G1321" s="6">
        <x:v>0</x:v>
      </x:c>
      <x:c r="H1321" s="6">
        <x:f t="shared" si="63"/>
        <x:v>0</x:v>
      </x:c>
      <x:c r="I1321" s="6">
        <x:v>450422.54000000004</x:v>
      </x:c>
      <x:c r="J1321" s="6">
        <x:v>0</x:v>
      </x:c>
      <x:c r="K1321" s="6">
        <x:f t="shared" si="64"/>
        <x:v>450422.54000000004</x:v>
      </x:c>
      <x:c r="L1321" s="6">
        <x:v>0</x:v>
      </x:c>
      <x:c r="M1321" s="6">
        <x:v>0</x:v>
      </x:c>
      <x:c r="N1321" s="6">
        <x:f t="shared" si="65"/>
        <x:v>450422.54000000004</x:v>
      </x:c>
    </x:row>
    <x:row r="1322" spans="1:14" x14ac:dyDescent="0.25">
      <x:c r="A1322" t="s">
        <x:v>17</x:v>
      </x:c>
      <x:c r="B1322" s="3" t="s">
        <x:v>239</x:v>
      </x:c>
      <x:c r="C1322" s="3" t="s">
        <x:v>554</x:v>
      </x:c>
      <x:c r="D1322" t="s">
        <x:v>677</x:v>
      </x:c>
      <x:c r="E1322" s="6">
        <x:v>0</x:v>
      </x:c>
      <x:c r="F1322" s="6">
        <x:v>0</x:v>
      </x:c>
      <x:c r="G1322" s="6">
        <x:v>0</x:v>
      </x:c>
      <x:c r="H1322" s="6">
        <x:f t="shared" si="63"/>
        <x:v>0</x:v>
      </x:c>
      <x:c r="I1322" s="6">
        <x:v>1276269.92</x:v>
      </x:c>
      <x:c r="J1322" s="6">
        <x:v>0</x:v>
      </x:c>
      <x:c r="K1322" s="6">
        <x:f t="shared" si="64"/>
        <x:v>1276269.92</x:v>
      </x:c>
      <x:c r="L1322" s="6">
        <x:v>0</x:v>
      </x:c>
      <x:c r="M1322" s="6">
        <x:v>0</x:v>
      </x:c>
      <x:c r="N1322" s="6">
        <x:f t="shared" si="65"/>
        <x:v>1276269.92</x:v>
      </x:c>
    </x:row>
    <x:row r="1323" spans="1:14" x14ac:dyDescent="0.25">
      <x:c r="A1323" t="s">
        <x:v>17</x:v>
      </x:c>
      <x:c r="B1323" s="3" t="s">
        <x:v>204</x:v>
      </x:c>
      <x:c r="C1323" s="3" t="s">
        <x:v>520</x:v>
      </x:c>
      <x:c r="D1323" t="s">
        <x:v>677</x:v>
      </x:c>
      <x:c r="E1323" s="6">
        <x:v>0</x:v>
      </x:c>
      <x:c r="F1323" s="6">
        <x:v>0</x:v>
      </x:c>
      <x:c r="G1323" s="6">
        <x:v>0</x:v>
      </x:c>
      <x:c r="H1323" s="6">
        <x:f t="shared" si="63"/>
        <x:v>0</x:v>
      </x:c>
      <x:c r="I1323" s="6">
        <x:v>187169.86</x:v>
      </x:c>
      <x:c r="J1323" s="6">
        <x:v>0</x:v>
      </x:c>
      <x:c r="K1323" s="6">
        <x:f t="shared" si="64"/>
        <x:v>187169.86</x:v>
      </x:c>
      <x:c r="L1323" s="6">
        <x:v>0</x:v>
      </x:c>
      <x:c r="M1323" s="6">
        <x:v>0</x:v>
      </x:c>
      <x:c r="N1323" s="6">
        <x:f t="shared" si="65"/>
        <x:v>187169.86</x:v>
      </x:c>
    </x:row>
    <x:row r="1324" spans="1:14" x14ac:dyDescent="0.25">
      <x:c r="A1324" t="s">
        <x:v>17</x:v>
      </x:c>
      <x:c r="B1324" s="3" t="s">
        <x:v>205</x:v>
      </x:c>
      <x:c r="C1324" s="3" t="s">
        <x:v>521</x:v>
      </x:c>
      <x:c r="D1324" t="s">
        <x:v>677</x:v>
      </x:c>
      <x:c r="E1324" s="6">
        <x:v>0</x:v>
      </x:c>
      <x:c r="F1324" s="6">
        <x:v>0</x:v>
      </x:c>
      <x:c r="G1324" s="6">
        <x:v>0</x:v>
      </x:c>
      <x:c r="H1324" s="6">
        <x:f t="shared" si="63"/>
        <x:v>0</x:v>
      </x:c>
      <x:c r="I1324" s="6">
        <x:v>548245.9800000001</x:v>
      </x:c>
      <x:c r="J1324" s="6">
        <x:v>0</x:v>
      </x:c>
      <x:c r="K1324" s="6">
        <x:f t="shared" si="64"/>
        <x:v>548245.9800000001</x:v>
      </x:c>
      <x:c r="L1324" s="6">
        <x:v>0</x:v>
      </x:c>
      <x:c r="M1324" s="6">
        <x:v>0</x:v>
      </x:c>
      <x:c r="N1324" s="6">
        <x:f t="shared" si="65"/>
        <x:v>548245.9800000001</x:v>
      </x:c>
    </x:row>
    <x:row r="1325" spans="1:14" x14ac:dyDescent="0.25">
      <x:c r="A1325" t="s">
        <x:v>17</x:v>
      </x:c>
      <x:c r="B1325" s="3" t="s">
        <x:v>240</x:v>
      </x:c>
      <x:c r="C1325" s="3" t="s">
        <x:v>555</x:v>
      </x:c>
      <x:c r="D1325" t="s">
        <x:v>677</x:v>
      </x:c>
      <x:c r="E1325" s="6">
        <x:v>0</x:v>
      </x:c>
      <x:c r="F1325" s="6">
        <x:v>0</x:v>
      </x:c>
      <x:c r="G1325" s="6">
        <x:v>0</x:v>
      </x:c>
      <x:c r="H1325" s="6">
        <x:f t="shared" si="63"/>
        <x:v>0</x:v>
      </x:c>
      <x:c r="I1325" s="6">
        <x:v>98188.060000000012</x:v>
      </x:c>
      <x:c r="J1325" s="6">
        <x:v>0</x:v>
      </x:c>
      <x:c r="K1325" s="6">
        <x:f t="shared" si="64"/>
        <x:v>98188.060000000012</x:v>
      </x:c>
      <x:c r="L1325" s="6">
        <x:v>0</x:v>
      </x:c>
      <x:c r="M1325" s="6">
        <x:v>0</x:v>
      </x:c>
      <x:c r="N1325" s="6">
        <x:f t="shared" si="65"/>
        <x:v>98188.060000000012</x:v>
      </x:c>
    </x:row>
    <x:row r="1326" spans="1:14" x14ac:dyDescent="0.25">
      <x:c r="A1326" t="s">
        <x:v>17</x:v>
      </x:c>
      <x:c r="B1326" s="3" t="s">
        <x:v>206</x:v>
      </x:c>
      <x:c r="C1326" s="3" t="s">
        <x:v>522</x:v>
      </x:c>
      <x:c r="D1326" t="s">
        <x:v>677</x:v>
      </x:c>
      <x:c r="E1326" s="6">
        <x:v>0</x:v>
      </x:c>
      <x:c r="F1326" s="6">
        <x:v>0</x:v>
      </x:c>
      <x:c r="G1326" s="6">
        <x:v>0</x:v>
      </x:c>
      <x:c r="H1326" s="6">
        <x:f t="shared" si="63"/>
        <x:v>0</x:v>
      </x:c>
      <x:c r="I1326" s="6">
        <x:v>1041954.67</x:v>
      </x:c>
      <x:c r="J1326" s="6">
        <x:v>0</x:v>
      </x:c>
      <x:c r="K1326" s="6">
        <x:f t="shared" si="64"/>
        <x:v>1041954.67</x:v>
      </x:c>
      <x:c r="L1326" s="6">
        <x:v>0</x:v>
      </x:c>
      <x:c r="M1326" s="6">
        <x:v>0</x:v>
      </x:c>
      <x:c r="N1326" s="6">
        <x:f t="shared" si="65"/>
        <x:v>1041954.67</x:v>
      </x:c>
    </x:row>
    <x:row r="1327" spans="1:14" x14ac:dyDescent="0.25">
      <x:c r="A1327" t="s">
        <x:v>17</x:v>
      </x:c>
      <x:c r="B1327" s="3" t="s">
        <x:v>207</x:v>
      </x:c>
      <x:c r="C1327" s="3" t="s">
        <x:v>523</x:v>
      </x:c>
      <x:c r="D1327" t="s">
        <x:v>677</x:v>
      </x:c>
      <x:c r="E1327" s="6">
        <x:v>0</x:v>
      </x:c>
      <x:c r="F1327" s="6">
        <x:v>0</x:v>
      </x:c>
      <x:c r="G1327" s="6">
        <x:v>0</x:v>
      </x:c>
      <x:c r="H1327" s="6">
        <x:f t="shared" si="63"/>
        <x:v>0</x:v>
      </x:c>
      <x:c r="I1327" s="6">
        <x:v>116695.32999999997</x:v>
      </x:c>
      <x:c r="J1327" s="6">
        <x:v>0</x:v>
      </x:c>
      <x:c r="K1327" s="6">
        <x:f t="shared" si="64"/>
        <x:v>116695.32999999997</x:v>
      </x:c>
      <x:c r="L1327" s="6">
        <x:v>0</x:v>
      </x:c>
      <x:c r="M1327" s="6">
        <x:v>0</x:v>
      </x:c>
      <x:c r="N1327" s="6">
        <x:f t="shared" si="65"/>
        <x:v>116695.32999999997</x:v>
      </x:c>
    </x:row>
    <x:row r="1328" spans="1:14" x14ac:dyDescent="0.25">
      <x:c r="A1328" t="s">
        <x:v>17</x:v>
      </x:c>
      <x:c r="B1328" s="3" t="s">
        <x:v>208</x:v>
      </x:c>
      <x:c r="C1328" s="3" t="s">
        <x:v>524</x:v>
      </x:c>
      <x:c r="D1328" t="s">
        <x:v>677</x:v>
      </x:c>
      <x:c r="E1328" s="6">
        <x:v>0</x:v>
      </x:c>
      <x:c r="F1328" s="6">
        <x:v>0</x:v>
      </x:c>
      <x:c r="G1328" s="6">
        <x:v>0</x:v>
      </x:c>
      <x:c r="H1328" s="6">
        <x:f t="shared" si="63"/>
        <x:v>0</x:v>
      </x:c>
      <x:c r="I1328" s="6">
        <x:v>61267.12</x:v>
      </x:c>
      <x:c r="J1328" s="6">
        <x:v>0</x:v>
      </x:c>
      <x:c r="K1328" s="6">
        <x:f t="shared" si="64"/>
        <x:v>61267.12</x:v>
      </x:c>
      <x:c r="L1328" s="6">
        <x:v>0</x:v>
      </x:c>
      <x:c r="M1328" s="6">
        <x:v>0</x:v>
      </x:c>
      <x:c r="N1328" s="6">
        <x:f t="shared" si="65"/>
        <x:v>61267.12</x:v>
      </x:c>
    </x:row>
    <x:row r="1329" spans="1:14" x14ac:dyDescent="0.25">
      <x:c r="A1329" t="s">
        <x:v>17</x:v>
      </x:c>
      <x:c r="B1329" s="3" t="s">
        <x:v>209</x:v>
      </x:c>
      <x:c r="C1329" s="3" t="s">
        <x:v>525</x:v>
      </x:c>
      <x:c r="D1329" t="s">
        <x:v>677</x:v>
      </x:c>
      <x:c r="E1329" s="6">
        <x:v>0</x:v>
      </x:c>
      <x:c r="F1329" s="6">
        <x:v>0</x:v>
      </x:c>
      <x:c r="G1329" s="6">
        <x:v>0</x:v>
      </x:c>
      <x:c r="H1329" s="6">
        <x:f t="shared" si="63"/>
        <x:v>0</x:v>
      </x:c>
      <x:c r="I1329" s="6">
        <x:v>324673.34000000003</x:v>
      </x:c>
      <x:c r="J1329" s="6">
        <x:v>0</x:v>
      </x:c>
      <x:c r="K1329" s="6">
        <x:f t="shared" si="64"/>
        <x:v>324673.34000000003</x:v>
      </x:c>
      <x:c r="L1329" s="6">
        <x:v>0</x:v>
      </x:c>
      <x:c r="M1329" s="6">
        <x:v>0</x:v>
      </x:c>
      <x:c r="N1329" s="6">
        <x:f t="shared" si="65"/>
        <x:v>324673.34000000003</x:v>
      </x:c>
    </x:row>
    <x:row r="1330" spans="1:14" x14ac:dyDescent="0.25">
      <x:c r="A1330" t="s">
        <x:v>17</x:v>
      </x:c>
      <x:c r="B1330" s="3" t="s">
        <x:v>210</x:v>
      </x:c>
      <x:c r="C1330" s="3" t="s">
        <x:v>526</x:v>
      </x:c>
      <x:c r="D1330" t="s">
        <x:v>677</x:v>
      </x:c>
      <x:c r="E1330" s="6">
        <x:v>0</x:v>
      </x:c>
      <x:c r="F1330" s="6">
        <x:v>0</x:v>
      </x:c>
      <x:c r="G1330" s="6">
        <x:v>0</x:v>
      </x:c>
      <x:c r="H1330" s="6">
        <x:f t="shared" si="63"/>
        <x:v>0</x:v>
      </x:c>
      <x:c r="I1330" s="6">
        <x:v>377456.71000000008</x:v>
      </x:c>
      <x:c r="J1330" s="6">
        <x:v>0</x:v>
      </x:c>
      <x:c r="K1330" s="6">
        <x:f t="shared" si="64"/>
        <x:v>377456.71000000008</x:v>
      </x:c>
      <x:c r="L1330" s="6">
        <x:v>0</x:v>
      </x:c>
      <x:c r="M1330" s="6">
        <x:v>0</x:v>
      </x:c>
      <x:c r="N1330" s="6">
        <x:f t="shared" si="65"/>
        <x:v>377456.71000000008</x:v>
      </x:c>
    </x:row>
    <x:row r="1331" spans="1:14" x14ac:dyDescent="0.25">
      <x:c r="A1331" t="s">
        <x:v>17</x:v>
      </x:c>
      <x:c r="B1331" s="3" t="s">
        <x:v>265</x:v>
      </x:c>
      <x:c r="C1331" s="3" t="s">
        <x:v>580</x:v>
      </x:c>
      <x:c r="D1331" t="s">
        <x:v>676</x:v>
      </x:c>
      <x:c r="E1331" s="6">
        <x:v>0</x:v>
      </x:c>
      <x:c r="F1331" s="6">
        <x:v>0</x:v>
      </x:c>
      <x:c r="G1331" s="6">
        <x:v>0</x:v>
      </x:c>
      <x:c r="H1331" s="6">
        <x:f t="shared" si="63"/>
        <x:v>0</x:v>
      </x:c>
      <x:c r="I1331" s="6">
        <x:v>0</x:v>
      </x:c>
      <x:c r="J1331" s="6">
        <x:v>0</x:v>
      </x:c>
      <x:c r="K1331" s="6">
        <x:f t="shared" si="64"/>
        <x:v>0</x:v>
      </x:c>
      <x:c r="L1331" s="6">
        <x:v>101807.63</x:v>
      </x:c>
      <x:c r="M1331" s="6">
        <x:v>0</x:v>
      </x:c>
      <x:c r="N1331" s="6">
        <x:f t="shared" si="65"/>
        <x:v>101807.63</x:v>
      </x:c>
    </x:row>
    <x:row r="1332" spans="1:14" x14ac:dyDescent="0.25">
      <x:c r="A1332" t="s">
        <x:v>17</x:v>
      </x:c>
      <x:c r="B1332" s="3" t="s">
        <x:v>289</x:v>
      </x:c>
      <x:c r="C1332" s="3" t="s">
        <x:v>604</x:v>
      </x:c>
      <x:c r="D1332" t="s">
        <x:v>677</x:v>
      </x:c>
      <x:c r="E1332" s="6">
        <x:v>0</x:v>
      </x:c>
      <x:c r="F1332" s="6">
        <x:v>0</x:v>
      </x:c>
      <x:c r="G1332" s="6">
        <x:v>0</x:v>
      </x:c>
      <x:c r="H1332" s="6">
        <x:f t="shared" si="63"/>
        <x:v>0</x:v>
      </x:c>
      <x:c r="I1332" s="6">
        <x:v>59.05</x:v>
      </x:c>
      <x:c r="J1332" s="6">
        <x:v>0</x:v>
      </x:c>
      <x:c r="K1332" s="6">
        <x:f t="shared" si="64"/>
        <x:v>59.05</x:v>
      </x:c>
      <x:c r="L1332" s="6">
        <x:v>0</x:v>
      </x:c>
      <x:c r="M1332" s="6">
        <x:v>0</x:v>
      </x:c>
      <x:c r="N1332" s="6">
        <x:f t="shared" si="65"/>
        <x:v>59.05</x:v>
      </x:c>
    </x:row>
    <x:row r="1333" spans="1:14" x14ac:dyDescent="0.25">
      <x:c r="A1333" t="s">
        <x:v>17</x:v>
      </x:c>
      <x:c r="B1333" s="3" t="s">
        <x:v>211</x:v>
      </x:c>
      <x:c r="C1333" s="3" t="s">
        <x:v>527</x:v>
      </x:c>
      <x:c r="D1333" t="s">
        <x:v>677</x:v>
      </x:c>
      <x:c r="E1333" s="6">
        <x:v>0</x:v>
      </x:c>
      <x:c r="F1333" s="6">
        <x:v>0</x:v>
      </x:c>
      <x:c r="G1333" s="6">
        <x:v>0</x:v>
      </x:c>
      <x:c r="H1333" s="6">
        <x:f t="shared" si="63"/>
        <x:v>0</x:v>
      </x:c>
      <x:c r="I1333" s="6">
        <x:v>417964.98</x:v>
      </x:c>
      <x:c r="J1333" s="6">
        <x:v>0</x:v>
      </x:c>
      <x:c r="K1333" s="6">
        <x:f t="shared" si="64"/>
        <x:v>417964.98</x:v>
      </x:c>
      <x:c r="L1333" s="6">
        <x:v>0</x:v>
      </x:c>
      <x:c r="M1333" s="6">
        <x:v>0</x:v>
      </x:c>
      <x:c r="N1333" s="6">
        <x:f t="shared" si="65"/>
        <x:v>417964.98</x:v>
      </x:c>
    </x:row>
    <x:row r="1334" spans="1:14" x14ac:dyDescent="0.25">
      <x:c r="A1334" t="s">
        <x:v>17</x:v>
      </x:c>
      <x:c r="B1334" s="3" t="s">
        <x:v>212</x:v>
      </x:c>
      <x:c r="C1334" s="3" t="s">
        <x:v>528</x:v>
      </x:c>
      <x:c r="D1334" t="s">
        <x:v>677</x:v>
      </x:c>
      <x:c r="E1334" s="6">
        <x:v>0</x:v>
      </x:c>
      <x:c r="F1334" s="6">
        <x:v>0</x:v>
      </x:c>
      <x:c r="G1334" s="6">
        <x:v>0</x:v>
      </x:c>
      <x:c r="H1334" s="6">
        <x:f t="shared" si="63"/>
        <x:v>0</x:v>
      </x:c>
      <x:c r="I1334" s="6">
        <x:v>492289.25</x:v>
      </x:c>
      <x:c r="J1334" s="6">
        <x:v>0</x:v>
      </x:c>
      <x:c r="K1334" s="6">
        <x:f t="shared" si="64"/>
        <x:v>492289.25</x:v>
      </x:c>
      <x:c r="L1334" s="6">
        <x:v>0</x:v>
      </x:c>
      <x:c r="M1334" s="6">
        <x:v>0</x:v>
      </x:c>
      <x:c r="N1334" s="6">
        <x:f t="shared" si="65"/>
        <x:v>492289.25</x:v>
      </x:c>
    </x:row>
    <x:row r="1335" spans="1:14" x14ac:dyDescent="0.25">
      <x:c r="A1335" t="s">
        <x:v>17</x:v>
      </x:c>
      <x:c r="B1335" s="3" t="s">
        <x:v>64</x:v>
      </x:c>
      <x:c r="C1335" s="3" t="s">
        <x:v>381</x:v>
      </x:c>
      <x:c r="D1335" t="s">
        <x:v>677</x:v>
      </x:c>
      <x:c r="E1335" s="6">
        <x:v>0</x:v>
      </x:c>
      <x:c r="F1335" s="6">
        <x:v>0</x:v>
      </x:c>
      <x:c r="G1335" s="6">
        <x:v>0</x:v>
      </x:c>
      <x:c r="H1335" s="6">
        <x:f t="shared" si="63"/>
        <x:v>0</x:v>
      </x:c>
      <x:c r="I1335" s="6">
        <x:v>186893.77999999997</x:v>
      </x:c>
      <x:c r="J1335" s="6">
        <x:v>0</x:v>
      </x:c>
      <x:c r="K1335" s="6">
        <x:f t="shared" si="64"/>
        <x:v>186893.77999999997</x:v>
      </x:c>
      <x:c r="L1335" s="6">
        <x:v>0</x:v>
      </x:c>
      <x:c r="M1335" s="6">
        <x:v>0</x:v>
      </x:c>
      <x:c r="N1335" s="6">
        <x:f t="shared" si="65"/>
        <x:v>186893.77999999997</x:v>
      </x:c>
    </x:row>
    <x:row r="1336" spans="1:14" x14ac:dyDescent="0.25">
      <x:c r="A1336" t="s">
        <x:v>17</x:v>
      </x:c>
      <x:c r="B1336" s="3" t="s">
        <x:v>213</x:v>
      </x:c>
      <x:c r="C1336" s="3" t="s">
        <x:v>529</x:v>
      </x:c>
      <x:c r="D1336" t="s">
        <x:v>677</x:v>
      </x:c>
      <x:c r="E1336" s="6">
        <x:v>0</x:v>
      </x:c>
      <x:c r="F1336" s="6">
        <x:v>0</x:v>
      </x:c>
      <x:c r="G1336" s="6">
        <x:v>0</x:v>
      </x:c>
      <x:c r="H1336" s="6">
        <x:f t="shared" si="63"/>
        <x:v>0</x:v>
      </x:c>
      <x:c r="I1336" s="6">
        <x:v>252545.99999999997</x:v>
      </x:c>
      <x:c r="J1336" s="6">
        <x:v>0</x:v>
      </x:c>
      <x:c r="K1336" s="6">
        <x:f t="shared" si="64"/>
        <x:v>252545.99999999997</x:v>
      </x:c>
      <x:c r="L1336" s="6">
        <x:v>0</x:v>
      </x:c>
      <x:c r="M1336" s="6">
        <x:v>0</x:v>
      </x:c>
      <x:c r="N1336" s="6">
        <x:f t="shared" si="65"/>
        <x:v>252545.99999999997</x:v>
      </x:c>
    </x:row>
    <x:row r="1337" spans="1:14" x14ac:dyDescent="0.25">
      <x:c r="A1337" t="s">
        <x:v>17</x:v>
      </x:c>
      <x:c r="B1337" s="3" t="s">
        <x:v>214</x:v>
      </x:c>
      <x:c r="C1337" s="3" t="s">
        <x:v>530</x:v>
      </x:c>
      <x:c r="D1337" t="s">
        <x:v>677</x:v>
      </x:c>
      <x:c r="E1337" s="6">
        <x:v>0</x:v>
      </x:c>
      <x:c r="F1337" s="6">
        <x:v>0</x:v>
      </x:c>
      <x:c r="G1337" s="6">
        <x:v>0</x:v>
      </x:c>
      <x:c r="H1337" s="6">
        <x:f t="shared" si="63"/>
        <x:v>0</x:v>
      </x:c>
      <x:c r="I1337" s="6">
        <x:v>182502.39</x:v>
      </x:c>
      <x:c r="J1337" s="6">
        <x:v>0</x:v>
      </x:c>
      <x:c r="K1337" s="6">
        <x:f t="shared" si="64"/>
        <x:v>182502.39</x:v>
      </x:c>
      <x:c r="L1337" s="6">
        <x:v>0</x:v>
      </x:c>
      <x:c r="M1337" s="6">
        <x:v>0</x:v>
      </x:c>
      <x:c r="N1337" s="6">
        <x:f t="shared" si="65"/>
        <x:v>182502.39</x:v>
      </x:c>
    </x:row>
    <x:row r="1338" spans="1:14" x14ac:dyDescent="0.25">
      <x:c r="A1338" t="s">
        <x:v>17</x:v>
      </x:c>
      <x:c r="B1338" s="3" t="s">
        <x:v>215</x:v>
      </x:c>
      <x:c r="C1338" s="3" t="s">
        <x:v>531</x:v>
      </x:c>
      <x:c r="D1338" t="s">
        <x:v>677</x:v>
      </x:c>
      <x:c r="E1338" s="6">
        <x:v>0</x:v>
      </x:c>
      <x:c r="F1338" s="6">
        <x:v>0</x:v>
      </x:c>
      <x:c r="G1338" s="6">
        <x:v>0</x:v>
      </x:c>
      <x:c r="H1338" s="6">
        <x:f t="shared" si="63"/>
        <x:v>0</x:v>
      </x:c>
      <x:c r="I1338" s="6">
        <x:v>430898.13000000006</x:v>
      </x:c>
      <x:c r="J1338" s="6">
        <x:v>0</x:v>
      </x:c>
      <x:c r="K1338" s="6">
        <x:f t="shared" si="64"/>
        <x:v>430898.13000000006</x:v>
      </x:c>
      <x:c r="L1338" s="6">
        <x:v>0</x:v>
      </x:c>
      <x:c r="M1338" s="6">
        <x:v>0</x:v>
      </x:c>
      <x:c r="N1338" s="6">
        <x:f t="shared" si="65"/>
        <x:v>430898.13000000006</x:v>
      </x:c>
    </x:row>
    <x:row r="1339" spans="1:14" x14ac:dyDescent="0.25">
      <x:c r="A1339" t="s">
        <x:v>17</x:v>
      </x:c>
      <x:c r="B1339" s="3" t="s">
        <x:v>216</x:v>
      </x:c>
      <x:c r="C1339" s="3" t="s">
        <x:v>532</x:v>
      </x:c>
      <x:c r="D1339" t="s">
        <x:v>677</x:v>
      </x:c>
      <x:c r="E1339" s="6">
        <x:v>0</x:v>
      </x:c>
      <x:c r="F1339" s="6">
        <x:v>0</x:v>
      </x:c>
      <x:c r="G1339" s="6">
        <x:v>0</x:v>
      </x:c>
      <x:c r="H1339" s="6">
        <x:f t="shared" si="63"/>
        <x:v>0</x:v>
      </x:c>
      <x:c r="I1339" s="6">
        <x:v>292313.47000000003</x:v>
      </x:c>
      <x:c r="J1339" s="6">
        <x:v>0</x:v>
      </x:c>
      <x:c r="K1339" s="6">
        <x:f t="shared" si="64"/>
        <x:v>292313.47000000003</x:v>
      </x:c>
      <x:c r="L1339" s="6">
        <x:v>0</x:v>
      </x:c>
      <x:c r="M1339" s="6">
        <x:v>0</x:v>
      </x:c>
      <x:c r="N1339" s="6">
        <x:f t="shared" si="65"/>
        <x:v>292313.47000000003</x:v>
      </x:c>
    </x:row>
    <x:row r="1340" spans="1:14" x14ac:dyDescent="0.25">
      <x:c r="A1340" t="s">
        <x:v>17</x:v>
      </x:c>
      <x:c r="B1340" s="3" t="s">
        <x:v>267</x:v>
      </x:c>
      <x:c r="C1340" s="3" t="s">
        <x:v>582</x:v>
      </x:c>
      <x:c r="D1340" t="s">
        <x:v>676</x:v>
      </x:c>
      <x:c r="E1340" s="6">
        <x:v>0</x:v>
      </x:c>
      <x:c r="F1340" s="6">
        <x:v>0</x:v>
      </x:c>
      <x:c r="G1340" s="6">
        <x:v>0</x:v>
      </x:c>
      <x:c r="H1340" s="6">
        <x:f t="shared" si="63"/>
        <x:v>0</x:v>
      </x:c>
      <x:c r="I1340" s="6">
        <x:v>0</x:v>
      </x:c>
      <x:c r="J1340" s="6">
        <x:v>0</x:v>
      </x:c>
      <x:c r="K1340" s="6">
        <x:f t="shared" si="64"/>
        <x:v>0</x:v>
      </x:c>
      <x:c r="L1340" s="6">
        <x:v>93717.5</x:v>
      </x:c>
      <x:c r="M1340" s="6">
        <x:v>0</x:v>
      </x:c>
      <x:c r="N1340" s="6">
        <x:f t="shared" si="65"/>
        <x:v>93717.5</x:v>
      </x:c>
    </x:row>
    <x:row r="1341" spans="1:14" x14ac:dyDescent="0.25">
      <x:c r="A1341" t="s">
        <x:v>17</x:v>
      </x:c>
      <x:c r="B1341" s="3" t="s">
        <x:v>65</x:v>
      </x:c>
      <x:c r="C1341" s="3" t="s">
        <x:v>382</x:v>
      </x:c>
      <x:c r="D1341" t="s">
        <x:v>677</x:v>
      </x:c>
      <x:c r="E1341" s="6">
        <x:v>0</x:v>
      </x:c>
      <x:c r="F1341" s="6">
        <x:v>0</x:v>
      </x:c>
      <x:c r="G1341" s="6">
        <x:v>0</x:v>
      </x:c>
      <x:c r="H1341" s="6">
        <x:f t="shared" si="63"/>
        <x:v>0</x:v>
      </x:c>
      <x:c r="I1341" s="6">
        <x:v>526179.47</x:v>
      </x:c>
      <x:c r="J1341" s="6">
        <x:v>0</x:v>
      </x:c>
      <x:c r="K1341" s="6">
        <x:f t="shared" si="64"/>
        <x:v>526179.47</x:v>
      </x:c>
      <x:c r="L1341" s="6">
        <x:v>0</x:v>
      </x:c>
      <x:c r="M1341" s="6">
        <x:v>0</x:v>
      </x:c>
      <x:c r="N1341" s="6">
        <x:f t="shared" si="65"/>
        <x:v>526179.47</x:v>
      </x:c>
    </x:row>
    <x:row r="1342" spans="1:14" x14ac:dyDescent="0.25">
      <x:c r="A1342" t="s">
        <x:v>17</x:v>
      </x:c>
      <x:c r="B1342" s="3" t="s">
        <x:v>217</x:v>
      </x:c>
      <x:c r="C1342" s="3" t="s">
        <x:v>533</x:v>
      </x:c>
      <x:c r="D1342" t="s">
        <x:v>677</x:v>
      </x:c>
      <x:c r="E1342" s="6">
        <x:v>0</x:v>
      </x:c>
      <x:c r="F1342" s="6">
        <x:v>0</x:v>
      </x:c>
      <x:c r="G1342" s="6">
        <x:v>0</x:v>
      </x:c>
      <x:c r="H1342" s="6">
        <x:f t="shared" si="63"/>
        <x:v>0</x:v>
      </x:c>
      <x:c r="I1342" s="6">
        <x:v>424463.6500000002</x:v>
      </x:c>
      <x:c r="J1342" s="6">
        <x:v>0</x:v>
      </x:c>
      <x:c r="K1342" s="6">
        <x:f t="shared" si="64"/>
        <x:v>424463.6500000002</x:v>
      </x:c>
      <x:c r="L1342" s="6">
        <x:v>0</x:v>
      </x:c>
      <x:c r="M1342" s="6">
        <x:v>0</x:v>
      </x:c>
      <x:c r="N1342" s="6">
        <x:f t="shared" si="65"/>
        <x:v>424463.6500000002</x:v>
      </x:c>
    </x:row>
    <x:row r="1343" spans="1:14" x14ac:dyDescent="0.25">
      <x:c r="A1343" t="s">
        <x:v>17</x:v>
      </x:c>
      <x:c r="B1343" s="3" t="s">
        <x:v>241</x:v>
      </x:c>
      <x:c r="C1343" s="3" t="s">
        <x:v>556</x:v>
      </x:c>
      <x:c r="D1343" t="s">
        <x:v>676</x:v>
      </x:c>
      <x:c r="E1343" s="6">
        <x:v>0</x:v>
      </x:c>
      <x:c r="F1343" s="6">
        <x:v>0</x:v>
      </x:c>
      <x:c r="G1343" s="6">
        <x:v>0</x:v>
      </x:c>
      <x:c r="H1343" s="6">
        <x:f t="shared" si="63"/>
        <x:v>0</x:v>
      </x:c>
      <x:c r="I1343" s="6">
        <x:v>0</x:v>
      </x:c>
      <x:c r="J1343" s="6">
        <x:v>0</x:v>
      </x:c>
      <x:c r="K1343" s="6">
        <x:f t="shared" si="64"/>
        <x:v>0</x:v>
      </x:c>
      <x:c r="L1343" s="6">
        <x:v>32676.07</x:v>
      </x:c>
      <x:c r="M1343" s="6">
        <x:v>0</x:v>
      </x:c>
      <x:c r="N1343" s="6">
        <x:f t="shared" si="65"/>
        <x:v>32676.07</x:v>
      </x:c>
    </x:row>
    <x:row r="1344" spans="1:14" x14ac:dyDescent="0.25">
      <x:c r="A1344" t="s">
        <x:v>17</x:v>
      </x:c>
      <x:c r="B1344" s="3" t="s">
        <x:v>218</x:v>
      </x:c>
      <x:c r="C1344" s="3" t="s">
        <x:v>534</x:v>
      </x:c>
      <x:c r="D1344" t="s">
        <x:v>677</x:v>
      </x:c>
      <x:c r="E1344" s="6">
        <x:v>0</x:v>
      </x:c>
      <x:c r="F1344" s="6">
        <x:v>0</x:v>
      </x:c>
      <x:c r="G1344" s="6">
        <x:v>0</x:v>
      </x:c>
      <x:c r="H1344" s="6">
        <x:f t="shared" si="63"/>
        <x:v>0</x:v>
      </x:c>
      <x:c r="I1344" s="6">
        <x:v>920852.39000000036</x:v>
      </x:c>
      <x:c r="J1344" s="6">
        <x:v>0</x:v>
      </x:c>
      <x:c r="K1344" s="6">
        <x:f t="shared" si="64"/>
        <x:v>920852.39000000036</x:v>
      </x:c>
      <x:c r="L1344" s="6">
        <x:v>0</x:v>
      </x:c>
      <x:c r="M1344" s="6">
        <x:v>0</x:v>
      </x:c>
      <x:c r="N1344" s="6">
        <x:f t="shared" si="65"/>
        <x:v>920852.39000000036</x:v>
      </x:c>
    </x:row>
    <x:row r="1345" spans="1:14" x14ac:dyDescent="0.25">
      <x:c r="A1345" t="s">
        <x:v>17</x:v>
      </x:c>
      <x:c r="B1345" s="3" t="s">
        <x:v>219</x:v>
      </x:c>
      <x:c r="C1345" s="3" t="s">
        <x:v>535</x:v>
      </x:c>
      <x:c r="D1345" t="s">
        <x:v>677</x:v>
      </x:c>
      <x:c r="E1345" s="6">
        <x:v>0</x:v>
      </x:c>
      <x:c r="F1345" s="6">
        <x:v>0</x:v>
      </x:c>
      <x:c r="G1345" s="6">
        <x:v>0</x:v>
      </x:c>
      <x:c r="H1345" s="6">
        <x:f t="shared" si="63"/>
        <x:v>0</x:v>
      </x:c>
      <x:c r="I1345" s="6">
        <x:v>288902.91000000003</x:v>
      </x:c>
      <x:c r="J1345" s="6">
        <x:v>0</x:v>
      </x:c>
      <x:c r="K1345" s="6">
        <x:f t="shared" si="64"/>
        <x:v>288902.91000000003</x:v>
      </x:c>
      <x:c r="L1345" s="6">
        <x:v>0</x:v>
      </x:c>
      <x:c r="M1345" s="6">
        <x:v>0</x:v>
      </x:c>
      <x:c r="N1345" s="6">
        <x:f t="shared" si="65"/>
        <x:v>288902.91000000003</x:v>
      </x:c>
    </x:row>
    <x:row r="1346" spans="1:14" x14ac:dyDescent="0.25">
      <x:c r="A1346" t="s">
        <x:v>17</x:v>
      </x:c>
      <x:c r="B1346" s="3" t="s">
        <x:v>220</x:v>
      </x:c>
      <x:c r="C1346" s="3" t="s">
        <x:v>536</x:v>
      </x:c>
      <x:c r="D1346" t="s">
        <x:v>677</x:v>
      </x:c>
      <x:c r="E1346" s="6">
        <x:v>0</x:v>
      </x:c>
      <x:c r="F1346" s="6">
        <x:v>0</x:v>
      </x:c>
      <x:c r="G1346" s="6">
        <x:v>0</x:v>
      </x:c>
      <x:c r="H1346" s="6">
        <x:f t="shared" si="63"/>
        <x:v>0</x:v>
      </x:c>
      <x:c r="I1346" s="6">
        <x:v>415609.12</x:v>
      </x:c>
      <x:c r="J1346" s="6">
        <x:v>0</x:v>
      </x:c>
      <x:c r="K1346" s="6">
        <x:f t="shared" si="64"/>
        <x:v>415609.12</x:v>
      </x:c>
      <x:c r="L1346" s="6">
        <x:v>0</x:v>
      </x:c>
      <x:c r="M1346" s="6">
        <x:v>0</x:v>
      </x:c>
      <x:c r="N1346" s="6">
        <x:f t="shared" si="65"/>
        <x:v>415609.12</x:v>
      </x:c>
    </x:row>
    <x:row r="1347" spans="1:14" x14ac:dyDescent="0.25">
      <x:c r="A1347" t="s">
        <x:v>17</x:v>
      </x:c>
      <x:c r="B1347" s="3" t="s">
        <x:v>66</x:v>
      </x:c>
      <x:c r="C1347" s="3" t="s">
        <x:v>383</x:v>
      </x:c>
      <x:c r="D1347" t="s">
        <x:v>677</x:v>
      </x:c>
      <x:c r="E1347" s="6">
        <x:v>0</x:v>
      </x:c>
      <x:c r="F1347" s="6">
        <x:v>0</x:v>
      </x:c>
      <x:c r="G1347" s="6">
        <x:v>0</x:v>
      </x:c>
      <x:c r="H1347" s="6">
        <x:f t="shared" si="63"/>
        <x:v>0</x:v>
      </x:c>
      <x:c r="I1347" s="6">
        <x:v>798501.04</x:v>
      </x:c>
      <x:c r="J1347" s="6">
        <x:v>0</x:v>
      </x:c>
      <x:c r="K1347" s="6">
        <x:f t="shared" si="64"/>
        <x:v>798501.04</x:v>
      </x:c>
      <x:c r="L1347" s="6">
        <x:v>0</x:v>
      </x:c>
      <x:c r="M1347" s="6">
        <x:v>0</x:v>
      </x:c>
      <x:c r="N1347" s="6">
        <x:f t="shared" si="65"/>
        <x:v>798501.04</x:v>
      </x:c>
    </x:row>
    <x:row r="1348" spans="1:14" x14ac:dyDescent="0.25">
      <x:c r="A1348" t="s">
        <x:v>17</x:v>
      </x:c>
      <x:c r="B1348" s="3" t="s">
        <x:v>67</x:v>
      </x:c>
      <x:c r="C1348" s="3" t="s">
        <x:v>384</x:v>
      </x:c>
      <x:c r="D1348" t="s">
        <x:v>677</x:v>
      </x:c>
      <x:c r="E1348" s="6">
        <x:v>0</x:v>
      </x:c>
      <x:c r="F1348" s="6">
        <x:v>0</x:v>
      </x:c>
      <x:c r="G1348" s="6">
        <x:v>0</x:v>
      </x:c>
      <x:c r="H1348" s="6">
        <x:f t="shared" si="63"/>
        <x:v>0</x:v>
      </x:c>
      <x:c r="I1348" s="6">
        <x:v>86.58</x:v>
      </x:c>
      <x:c r="J1348" s="6">
        <x:v>0</x:v>
      </x:c>
      <x:c r="K1348" s="6">
        <x:f t="shared" si="64"/>
        <x:v>86.58</x:v>
      </x:c>
      <x:c r="L1348" s="6">
        <x:v>0</x:v>
      </x:c>
      <x:c r="M1348" s="6">
        <x:v>0</x:v>
      </x:c>
      <x:c r="N1348" s="6">
        <x:f t="shared" si="65"/>
        <x:v>86.58</x:v>
      </x:c>
    </x:row>
    <x:row r="1349" spans="1:14" x14ac:dyDescent="0.25">
      <x:c r="A1349" t="s">
        <x:v>17</x:v>
      </x:c>
      <x:c r="B1349" s="3" t="s">
        <x:v>290</x:v>
      </x:c>
      <x:c r="C1349" s="3" t="s">
        <x:v>605</x:v>
      </x:c>
      <x:c r="D1349" t="s">
        <x:v>677</x:v>
      </x:c>
      <x:c r="E1349" s="6">
        <x:v>0</x:v>
      </x:c>
      <x:c r="F1349" s="6">
        <x:v>0</x:v>
      </x:c>
      <x:c r="G1349" s="6">
        <x:v>0</x:v>
      </x:c>
      <x:c r="H1349" s="6">
        <x:f t="shared" si="63"/>
        <x:v>0</x:v>
      </x:c>
      <x:c r="I1349" s="6">
        <x:v>1013001.9400000001</x:v>
      </x:c>
      <x:c r="J1349" s="6">
        <x:v>0</x:v>
      </x:c>
      <x:c r="K1349" s="6">
        <x:f t="shared" si="64"/>
        <x:v>1013001.9400000001</x:v>
      </x:c>
      <x:c r="L1349" s="6">
        <x:v>0</x:v>
      </x:c>
      <x:c r="M1349" s="6">
        <x:v>0</x:v>
      </x:c>
      <x:c r="N1349" s="6">
        <x:f t="shared" si="65"/>
        <x:v>1013001.9400000001</x:v>
      </x:c>
    </x:row>
    <x:row r="1350" spans="1:14" x14ac:dyDescent="0.25">
      <x:c r="A1350" t="s">
        <x:v>17</x:v>
      </x:c>
      <x:c r="B1350" s="3" t="s">
        <x:v>221</x:v>
      </x:c>
      <x:c r="C1350" s="3" t="s">
        <x:v>537</x:v>
      </x:c>
      <x:c r="D1350" t="s">
        <x:v>677</x:v>
      </x:c>
      <x:c r="E1350" s="6">
        <x:v>0</x:v>
      </x:c>
      <x:c r="F1350" s="6">
        <x:v>0</x:v>
      </x:c>
      <x:c r="G1350" s="6">
        <x:v>0</x:v>
      </x:c>
      <x:c r="H1350" s="6">
        <x:f t="shared" si="63"/>
        <x:v>0</x:v>
      </x:c>
      <x:c r="I1350" s="6">
        <x:v>680803.27000000014</x:v>
      </x:c>
      <x:c r="J1350" s="6">
        <x:v>0</x:v>
      </x:c>
      <x:c r="K1350" s="6">
        <x:f t="shared" si="64"/>
        <x:v>680803.27000000014</x:v>
      </x:c>
      <x:c r="L1350" s="6">
        <x:v>0</x:v>
      </x:c>
      <x:c r="M1350" s="6">
        <x:v>0</x:v>
      </x:c>
      <x:c r="N1350" s="6">
        <x:f t="shared" si="65"/>
        <x:v>680803.27000000014</x:v>
      </x:c>
    </x:row>
    <x:row r="1351" spans="1:14" x14ac:dyDescent="0.25">
      <x:c r="A1351" t="s">
        <x:v>17</x:v>
      </x:c>
      <x:c r="B1351" s="3" t="s">
        <x:v>291</x:v>
      </x:c>
      <x:c r="C1351" s="3" t="s">
        <x:v>606</x:v>
      </x:c>
      <x:c r="D1351" t="s">
        <x:v>677</x:v>
      </x:c>
      <x:c r="E1351" s="6">
        <x:v>0</x:v>
      </x:c>
      <x:c r="F1351" s="6">
        <x:v>0</x:v>
      </x:c>
      <x:c r="G1351" s="6">
        <x:v>0</x:v>
      </x:c>
      <x:c r="H1351" s="6">
        <x:f t="shared" si="63"/>
        <x:v>0</x:v>
      </x:c>
      <x:c r="I1351" s="6">
        <x:v>65700.990000000005</x:v>
      </x:c>
      <x:c r="J1351" s="6">
        <x:v>0</x:v>
      </x:c>
      <x:c r="K1351" s="6">
        <x:f t="shared" si="64"/>
        <x:v>65700.990000000005</x:v>
      </x:c>
      <x:c r="L1351" s="6">
        <x:v>0</x:v>
      </x:c>
      <x:c r="M1351" s="6">
        <x:v>0</x:v>
      </x:c>
      <x:c r="N1351" s="6">
        <x:f t="shared" si="65"/>
        <x:v>65700.990000000005</x:v>
      </x:c>
    </x:row>
    <x:row r="1352" spans="1:14" x14ac:dyDescent="0.25">
      <x:c r="A1352" t="s">
        <x:v>17</x:v>
      </x:c>
      <x:c r="B1352" s="3" t="s">
        <x:v>47</x:v>
      </x:c>
      <x:c r="C1352" s="3" t="s">
        <x:v>364</x:v>
      </x:c>
      <x:c r="D1352" t="s">
        <x:v>676</x:v>
      </x:c>
      <x:c r="E1352" s="6">
        <x:v>0</x:v>
      </x:c>
      <x:c r="F1352" s="6">
        <x:v>0</x:v>
      </x:c>
      <x:c r="G1352" s="6">
        <x:v>0</x:v>
      </x:c>
      <x:c r="H1352" s="6">
        <x:f t="shared" si="63"/>
        <x:v>0</x:v>
      </x:c>
      <x:c r="I1352" s="6">
        <x:v>33053404.169999998</x:v>
      </x:c>
      <x:c r="J1352" s="6">
        <x:v>0</x:v>
      </x:c>
      <x:c r="K1352" s="6">
        <x:f t="shared" si="64"/>
        <x:v>33053404.169999998</x:v>
      </x:c>
      <x:c r="L1352" s="6">
        <x:v>0</x:v>
      </x:c>
      <x:c r="M1352" s="6">
        <x:v>0</x:v>
      </x:c>
      <x:c r="N1352" s="6">
        <x:f t="shared" si="65"/>
        <x:v>33053404.169999998</x:v>
      </x:c>
    </x:row>
    <x:row r="1353" spans="1:14" x14ac:dyDescent="0.25">
      <x:c r="A1353" t="s">
        <x:v>17</x:v>
      </x:c>
      <x:c r="B1353" s="3" t="s">
        <x:v>268</x:v>
      </x:c>
      <x:c r="C1353" s="3" t="s">
        <x:v>583</x:v>
      </x:c>
      <x:c r="D1353" t="s">
        <x:v>676</x:v>
      </x:c>
      <x:c r="E1353" s="6">
        <x:v>0</x:v>
      </x:c>
      <x:c r="F1353" s="6">
        <x:v>0</x:v>
      </x:c>
      <x:c r="G1353" s="6">
        <x:v>0</x:v>
      </x:c>
      <x:c r="H1353" s="6">
        <x:f t="shared" si="63"/>
        <x:v>0</x:v>
      </x:c>
      <x:c r="I1353" s="6">
        <x:v>0</x:v>
      </x:c>
      <x:c r="J1353" s="6">
        <x:v>0</x:v>
      </x:c>
      <x:c r="K1353" s="6">
        <x:f t="shared" si="64"/>
        <x:v>0</x:v>
      </x:c>
      <x:c r="L1353" s="6">
        <x:v>0.03</x:v>
      </x:c>
      <x:c r="M1353" s="6">
        <x:v>0</x:v>
      </x:c>
      <x:c r="N1353" s="6">
        <x:f t="shared" si="65"/>
        <x:v>0.03</x:v>
      </x:c>
    </x:row>
    <x:row r="1354" spans="1:14" x14ac:dyDescent="0.25">
      <x:c r="A1354" t="s">
        <x:v>17</x:v>
      </x:c>
      <x:c r="B1354" s="3" t="s">
        <x:v>292</x:v>
      </x:c>
      <x:c r="C1354" s="3" t="s">
        <x:v>607</x:v>
      </x:c>
      <x:c r="D1354" t="s">
        <x:v>676</x:v>
      </x:c>
      <x:c r="E1354" s="6">
        <x:v>0</x:v>
      </x:c>
      <x:c r="F1354" s="6">
        <x:v>0</x:v>
      </x:c>
      <x:c r="G1354" s="6">
        <x:v>0</x:v>
      </x:c>
      <x:c r="H1354" s="6">
        <x:f t="shared" si="63"/>
        <x:v>0</x:v>
      </x:c>
      <x:c r="I1354" s="6">
        <x:v>0</x:v>
      </x:c>
      <x:c r="J1354" s="6">
        <x:v>0</x:v>
      </x:c>
      <x:c r="K1354" s="6">
        <x:f t="shared" si="64"/>
        <x:v>0</x:v>
      </x:c>
      <x:c r="L1354" s="6">
        <x:v>229.81</x:v>
      </x:c>
      <x:c r="M1354" s="6">
        <x:v>0</x:v>
      </x:c>
      <x:c r="N1354" s="6">
        <x:f t="shared" si="65"/>
        <x:v>229.81</x:v>
      </x:c>
    </x:row>
    <x:row r="1355" spans="1:14" x14ac:dyDescent="0.25">
      <x:c r="A1355" t="s">
        <x:v>17</x:v>
      </x:c>
      <x:c r="B1355" s="3" t="s">
        <x:v>293</x:v>
      </x:c>
      <x:c r="C1355" s="3" t="s">
        <x:v>608</x:v>
      </x:c>
      <x:c r="D1355" t="s">
        <x:v>676</x:v>
      </x:c>
      <x:c r="E1355" s="6">
        <x:v>0</x:v>
      </x:c>
      <x:c r="F1355" s="6">
        <x:v>0</x:v>
      </x:c>
      <x:c r="G1355" s="6">
        <x:v>0</x:v>
      </x:c>
      <x:c r="H1355" s="6">
        <x:f t="shared" si="63"/>
        <x:v>0</x:v>
      </x:c>
      <x:c r="I1355" s="6">
        <x:v>0</x:v>
      </x:c>
      <x:c r="J1355" s="6">
        <x:v>0</x:v>
      </x:c>
      <x:c r="K1355" s="6">
        <x:f t="shared" si="64"/>
        <x:v>0</x:v>
      </x:c>
      <x:c r="L1355" s="6">
        <x:v>0</x:v>
      </x:c>
      <x:c r="M1355" s="6">
        <x:v>47144.97</x:v>
      </x:c>
      <x:c r="N1355" s="6">
        <x:f t="shared" si="65"/>
        <x:v>47144.97</x:v>
      </x:c>
    </x:row>
    <x:row r="1356" spans="1:14" x14ac:dyDescent="0.25">
      <x:c r="A1356" t="s">
        <x:v>17</x:v>
      </x:c>
      <x:c r="B1356" t="s">
        <x:v>746</x:v>
      </x:c>
      <x:c r="C1356" t="s">
        <x:v>747</x:v>
      </x:c>
      <x:c r="D1356" t="s">
        <x:v>677</x:v>
      </x:c>
      <x:c r="E1356" s="6">
        <x:v>0</x:v>
      </x:c>
      <x:c r="F1356" s="6">
        <x:v>0</x:v>
      </x:c>
      <x:c r="G1356" s="6">
        <x:v>0</x:v>
      </x:c>
      <x:c r="H1356" s="6">
        <x:f t="shared" si="63"/>
        <x:v>0</x:v>
      </x:c>
      <x:c r="I1356" s="6">
        <x:v>961.1400000000001</x:v>
      </x:c>
      <x:c r="J1356" s="6">
        <x:v>0</x:v>
      </x:c>
      <x:c r="K1356" s="6">
        <x:f t="shared" si="64"/>
        <x:v>961.1400000000001</x:v>
      </x:c>
      <x:c r="L1356" s="6">
        <x:v>0</x:v>
      </x:c>
      <x:c r="M1356" s="6">
        <x:v>0</x:v>
      </x:c>
      <x:c r="N1356" s="6">
        <x:f t="shared" si="65"/>
        <x:v>961.1400000000001</x:v>
      </x:c>
    </x:row>
    <x:row r="1357" spans="1:14" x14ac:dyDescent="0.25">
      <x:c r="A1357" t="s">
        <x:v>17</x:v>
      </x:c>
      <x:c r="B1357" t="s">
        <x:v>746</x:v>
      </x:c>
      <x:c r="C1357" t="s">
        <x:v>747</x:v>
      </x:c>
      <x:c r="D1357" t="s">
        <x:v>832</x:v>
      </x:c>
      <x:c r="E1357" s="6">
        <x:v>308.39</x:v>
      </x:c>
      <x:c r="F1357" s="6">
        <x:v>0</x:v>
      </x:c>
      <x:c r="G1357" s="6">
        <x:v>0</x:v>
      </x:c>
      <x:c r="H1357" s="6">
        <x:f t="shared" si="63"/>
        <x:v>308.39</x:v>
      </x:c>
      <x:c r="I1357" s="6">
        <x:v>0</x:v>
      </x:c>
      <x:c r="J1357" s="6">
        <x:v>0</x:v>
      </x:c>
      <x:c r="K1357" s="6">
        <x:f t="shared" si="64"/>
        <x:v>0</x:v>
      </x:c>
      <x:c r="L1357" s="6">
        <x:v>0</x:v>
      </x:c>
      <x:c r="M1357" s="6">
        <x:v>0</x:v>
      </x:c>
      <x:c r="N1357" s="6">
        <x:f t="shared" si="65"/>
        <x:v>308.39</x:v>
      </x:c>
    </x:row>
    <x:row r="1358" spans="1:14" x14ac:dyDescent="0.25">
      <x:c r="A1358" t="s">
        <x:v>17</x:v>
      </x:c>
      <x:c r="B1358" t="s">
        <x:v>760</x:v>
      </x:c>
      <x:c r="C1358" t="s">
        <x:v>761</x:v>
      </x:c>
      <x:c r="D1358" t="s">
        <x:v>677</x:v>
      </x:c>
      <x:c r="E1358" s="6">
        <x:v>0</x:v>
      </x:c>
      <x:c r="F1358" s="6">
        <x:v>0</x:v>
      </x:c>
      <x:c r="G1358" s="6">
        <x:v>0</x:v>
      </x:c>
      <x:c r="H1358" s="6">
        <x:f t="shared" ref="H1358:H1425" si="66">SUM(E1358:G1358)</x:f>
        <x:v>0</x:v>
      </x:c>
      <x:c r="I1358" s="6">
        <x:v>209.56</x:v>
      </x:c>
      <x:c r="J1358" s="6">
        <x:v>0</x:v>
      </x:c>
      <x:c r="K1358" s="6">
        <x:f t="shared" ref="K1358:K1425" si="67">SUM(I1358:J1358)</x:f>
        <x:v>209.56</x:v>
      </x:c>
      <x:c r="L1358" s="6">
        <x:v>0</x:v>
      </x:c>
      <x:c r="M1358" s="6">
        <x:v>0</x:v>
      </x:c>
      <x:c r="N1358" s="6">
        <x:f t="shared" ref="N1358:N1425" si="68">+E1358+F1358+G1358+I1358+J1358+L1358+M1358</x:f>
        <x:v>209.56</x:v>
      </x:c>
    </x:row>
    <x:row r="1359" spans="1:14" x14ac:dyDescent="0.25">
      <x:c r="A1359" t="s">
        <x:v>17</x:v>
      </x:c>
      <x:c r="B1359" t="s">
        <x:v>768</x:v>
      </x:c>
      <x:c r="C1359" t="s">
        <x:v>769</x:v>
      </x:c>
      <x:c r="D1359" t="s">
        <x:v>677</x:v>
      </x:c>
      <x:c r="E1359" s="6">
        <x:v>0</x:v>
      </x:c>
      <x:c r="F1359" s="6">
        <x:v>0</x:v>
      </x:c>
      <x:c r="G1359" s="6">
        <x:v>0</x:v>
      </x:c>
      <x:c r="H1359" s="6">
        <x:f t="shared" si="66"/>
        <x:v>0</x:v>
      </x:c>
      <x:c r="I1359" s="6">
        <x:v>765.35</x:v>
      </x:c>
      <x:c r="J1359" s="6">
        <x:v>0</x:v>
      </x:c>
      <x:c r="K1359" s="6">
        <x:f t="shared" si="67"/>
        <x:v>765.35</x:v>
      </x:c>
      <x:c r="L1359" s="6">
        <x:v>0</x:v>
      </x:c>
      <x:c r="M1359" s="6">
        <x:v>0</x:v>
      </x:c>
      <x:c r="N1359" s="6">
        <x:f t="shared" si="68"/>
        <x:v>765.35</x:v>
      </x:c>
    </x:row>
    <x:row r="1360" spans="1:14" x14ac:dyDescent="0.25">
      <x:c r="A1360" t="s">
        <x:v>17</x:v>
      </x:c>
      <x:c r="B1360" t="s">
        <x:v>749</x:v>
      </x:c>
      <x:c r="C1360" t="s">
        <x:v>750</x:v>
      </x:c>
      <x:c r="D1360" t="s">
        <x:v>832</x:v>
      </x:c>
      <x:c r="E1360" s="6">
        <x:v>293.70999999999998</x:v>
      </x:c>
      <x:c r="F1360" s="6">
        <x:v>0</x:v>
      </x:c>
      <x:c r="G1360" s="6">
        <x:v>0</x:v>
      </x:c>
      <x:c r="H1360" s="6">
        <x:f t="shared" si="66"/>
        <x:v>293.70999999999998</x:v>
      </x:c>
      <x:c r="I1360" s="6">
        <x:v>0</x:v>
      </x:c>
      <x:c r="J1360" s="6">
        <x:v>0</x:v>
      </x:c>
      <x:c r="K1360" s="6">
        <x:f t="shared" si="67"/>
        <x:v>0</x:v>
      </x:c>
      <x:c r="L1360" s="6">
        <x:v>0</x:v>
      </x:c>
      <x:c r="M1360" s="6">
        <x:v>0</x:v>
      </x:c>
      <x:c r="N1360" s="6">
        <x:f t="shared" si="68"/>
        <x:v>293.70999999999998</x:v>
      </x:c>
    </x:row>
    <x:row r="1361" spans="1:14" x14ac:dyDescent="0.25">
      <x:c r="A1361" t="s">
        <x:v>17</x:v>
      </x:c>
      <x:c r="B1361" t="s">
        <x:v>751</x:v>
      </x:c>
      <x:c r="C1361" t="s">
        <x:v>752</x:v>
      </x:c>
      <x:c r="D1361" t="s">
        <x:v>832</x:v>
      </x:c>
      <x:c r="E1361" s="6">
        <x:v>180.85</x:v>
      </x:c>
      <x:c r="F1361" s="6">
        <x:v>0</x:v>
      </x:c>
      <x:c r="G1361" s="6">
        <x:v>0</x:v>
      </x:c>
      <x:c r="H1361" s="6">
        <x:f t="shared" si="66"/>
        <x:v>180.85</x:v>
      </x:c>
      <x:c r="I1361" s="6">
        <x:v>0</x:v>
      </x:c>
      <x:c r="J1361" s="6">
        <x:v>0</x:v>
      </x:c>
      <x:c r="K1361" s="6">
        <x:f t="shared" si="67"/>
        <x:v>0</x:v>
      </x:c>
      <x:c r="L1361" s="6">
        <x:v>0</x:v>
      </x:c>
      <x:c r="M1361" s="6">
        <x:v>0</x:v>
      </x:c>
      <x:c r="N1361" s="6">
        <x:f t="shared" si="68"/>
        <x:v>180.85</x:v>
      </x:c>
    </x:row>
    <x:row r="1362" spans="1:14" x14ac:dyDescent="0.25">
      <x:c r="A1362" t="s">
        <x:v>17</x:v>
      </x:c>
      <x:c r="B1362" t="s">
        <x:v>753</x:v>
      </x:c>
      <x:c r="C1362" t="s">
        <x:v>754</x:v>
      </x:c>
      <x:c r="D1362" t="s">
        <x:v>677</x:v>
      </x:c>
      <x:c r="E1362" s="6">
        <x:v>0</x:v>
      </x:c>
      <x:c r="F1362" s="6">
        <x:v>0</x:v>
      </x:c>
      <x:c r="G1362" s="6">
        <x:v>0</x:v>
      </x:c>
      <x:c r="H1362" s="6">
        <x:f t="shared" si="66"/>
        <x:v>0</x:v>
      </x:c>
      <x:c r="I1362" s="6">
        <x:v>1290.83</x:v>
      </x:c>
      <x:c r="J1362" s="6">
        <x:v>0</x:v>
      </x:c>
      <x:c r="K1362" s="6">
        <x:f t="shared" si="67"/>
        <x:v>1290.83</x:v>
      </x:c>
      <x:c r="L1362" s="6">
        <x:v>0</x:v>
      </x:c>
      <x:c r="M1362" s="6">
        <x:v>0</x:v>
      </x:c>
      <x:c r="N1362" s="6">
        <x:f t="shared" si="68"/>
        <x:v>1290.83</x:v>
      </x:c>
    </x:row>
    <x:row r="1363" spans="1:14" x14ac:dyDescent="0.25">
      <x:c r="A1363" t="s">
        <x:v>17</x:v>
      </x:c>
      <x:c r="B1363" s="3" t="s">
        <x:v>222</x:v>
      </x:c>
      <x:c r="C1363" s="3" t="s">
        <x:v>538</x:v>
      </x:c>
      <x:c r="D1363" t="s">
        <x:v>677</x:v>
      </x:c>
      <x:c r="E1363" s="6">
        <x:v>0</x:v>
      </x:c>
      <x:c r="F1363" s="6">
        <x:v>0</x:v>
      </x:c>
      <x:c r="G1363" s="6">
        <x:v>0</x:v>
      </x:c>
      <x:c r="H1363" s="6">
        <x:f t="shared" si="66"/>
        <x:v>0</x:v>
      </x:c>
      <x:c r="I1363" s="6">
        <x:v>204830.96</x:v>
      </x:c>
      <x:c r="J1363" s="6">
        <x:v>0</x:v>
      </x:c>
      <x:c r="K1363" s="6">
        <x:f t="shared" si="67"/>
        <x:v>204830.96</x:v>
      </x:c>
      <x:c r="L1363" s="6">
        <x:v>0</x:v>
      </x:c>
      <x:c r="M1363" s="6">
        <x:v>0</x:v>
      </x:c>
      <x:c r="N1363" s="6">
        <x:f t="shared" si="68"/>
        <x:v>204830.96</x:v>
      </x:c>
    </x:row>
    <x:row r="1364" spans="1:14" x14ac:dyDescent="0.25">
      <x:c r="A1364" t="s">
        <x:v>17</x:v>
      </x:c>
      <x:c r="B1364" s="3" t="s">
        <x:v>51</x:v>
      </x:c>
      <x:c r="C1364" s="3" t="s">
        <x:v>368</x:v>
      </x:c>
      <x:c r="D1364" t="s">
        <x:v>677</x:v>
      </x:c>
      <x:c r="E1364" s="6">
        <x:v>0</x:v>
      </x:c>
      <x:c r="F1364" s="6">
        <x:v>0</x:v>
      </x:c>
      <x:c r="G1364" s="6">
        <x:v>0</x:v>
      </x:c>
      <x:c r="H1364" s="6">
        <x:f t="shared" si="66"/>
        <x:v>0</x:v>
      </x:c>
      <x:c r="I1364" s="6">
        <x:v>1543.82</x:v>
      </x:c>
      <x:c r="J1364" s="6">
        <x:v>0</x:v>
      </x:c>
      <x:c r="K1364" s="6">
        <x:f t="shared" si="67"/>
        <x:v>1543.82</x:v>
      </x:c>
      <x:c r="L1364" s="6">
        <x:v>0</x:v>
      </x:c>
      <x:c r="M1364" s="6">
        <x:v>0</x:v>
      </x:c>
      <x:c r="N1364" s="6">
        <x:f t="shared" si="68"/>
        <x:v>1543.82</x:v>
      </x:c>
    </x:row>
    <x:row r="1365" spans="1:14" x14ac:dyDescent="0.25">
      <x:c r="A1365" t="s">
        <x:v>17</x:v>
      </x:c>
      <x:c r="B1365" s="3" t="s">
        <x:v>294</x:v>
      </x:c>
      <x:c r="C1365" s="3" t="s">
        <x:v>609</x:v>
      </x:c>
      <x:c r="D1365" t="s">
        <x:v>676</x:v>
      </x:c>
      <x:c r="E1365" s="6">
        <x:v>0</x:v>
      </x:c>
      <x:c r="F1365" s="6">
        <x:v>0</x:v>
      </x:c>
      <x:c r="G1365" s="6">
        <x:v>0</x:v>
      </x:c>
      <x:c r="H1365" s="6">
        <x:f t="shared" si="66"/>
        <x:v>0</x:v>
      </x:c>
      <x:c r="I1365" s="6">
        <x:v>0</x:v>
      </x:c>
      <x:c r="J1365" s="6">
        <x:v>0</x:v>
      </x:c>
      <x:c r="K1365" s="6">
        <x:f t="shared" si="67"/>
        <x:v>0</x:v>
      </x:c>
      <x:c r="L1365" s="6">
        <x:v>0</x:v>
      </x:c>
      <x:c r="M1365" s="6">
        <x:v>376.64</x:v>
      </x:c>
      <x:c r="N1365" s="6">
        <x:f t="shared" si="68"/>
        <x:v>376.64</x:v>
      </x:c>
    </x:row>
    <x:row r="1366" spans="1:14" x14ac:dyDescent="0.25">
      <x:c r="A1366" t="s">
        <x:v>17</x:v>
      </x:c>
      <x:c r="B1366" s="3" t="s">
        <x:v>295</x:v>
      </x:c>
      <x:c r="C1366" s="3" t="s">
        <x:v>610</x:v>
      </x:c>
      <x:c r="D1366" t="s">
        <x:v>677</x:v>
      </x:c>
      <x:c r="E1366" s="6">
        <x:v>0</x:v>
      </x:c>
      <x:c r="F1366" s="6">
        <x:v>0</x:v>
      </x:c>
      <x:c r="G1366" s="6">
        <x:v>0</x:v>
      </x:c>
      <x:c r="H1366" s="6">
        <x:f t="shared" si="66"/>
        <x:v>0</x:v>
      </x:c>
      <x:c r="I1366" s="6">
        <x:v>0</x:v>
      </x:c>
      <x:c r="J1366" s="6">
        <x:v>0</x:v>
      </x:c>
      <x:c r="K1366" s="6">
        <x:f t="shared" si="67"/>
        <x:v>0</x:v>
      </x:c>
      <x:c r="L1366" s="6">
        <x:v>0</x:v>
      </x:c>
      <x:c r="M1366" s="6">
        <x:v>66.25</x:v>
      </x:c>
      <x:c r="N1366" s="6">
        <x:f t="shared" si="68"/>
        <x:v>66.25</x:v>
      </x:c>
    </x:row>
    <x:row r="1367" spans="1:14" x14ac:dyDescent="0.25">
      <x:c r="A1367" t="s">
        <x:v>17</x:v>
      </x:c>
      <x:c r="B1367" s="3" t="s">
        <x:v>296</x:v>
      </x:c>
      <x:c r="C1367" s="3" t="s">
        <x:v>611</x:v>
      </x:c>
      <x:c r="D1367" t="s">
        <x:v>677</x:v>
      </x:c>
      <x:c r="E1367" s="6">
        <x:v>0</x:v>
      </x:c>
      <x:c r="F1367" s="6">
        <x:v>0</x:v>
      </x:c>
      <x:c r="G1367" s="6">
        <x:v>0</x:v>
      </x:c>
      <x:c r="H1367" s="6">
        <x:f t="shared" si="66"/>
        <x:v>0</x:v>
      </x:c>
      <x:c r="I1367" s="6">
        <x:v>-5754.54</x:v>
      </x:c>
      <x:c r="J1367" s="6">
        <x:v>0</x:v>
      </x:c>
      <x:c r="K1367" s="6">
        <x:f t="shared" si="67"/>
        <x:v>-5754.54</x:v>
      </x:c>
      <x:c r="L1367" s="6">
        <x:v>0</x:v>
      </x:c>
      <x:c r="M1367" s="6">
        <x:v>0</x:v>
      </x:c>
      <x:c r="N1367" s="6">
        <x:f t="shared" si="68"/>
        <x:v>-5754.54</x:v>
      </x:c>
    </x:row>
    <x:row r="1368" spans="1:14" x14ac:dyDescent="0.25">
      <x:c r="A1368" t="s">
        <x:v>17</x:v>
      </x:c>
      <x:c r="B1368" s="3" t="s">
        <x:v>223</x:v>
      </x:c>
      <x:c r="C1368" s="3" t="s">
        <x:v>539</x:v>
      </x:c>
      <x:c r="D1368" t="s">
        <x:v>676</x:v>
      </x:c>
      <x:c r="E1368" s="6">
        <x:v>0</x:v>
      </x:c>
      <x:c r="F1368" s="6">
        <x:v>0</x:v>
      </x:c>
      <x:c r="G1368" s="6">
        <x:v>0</x:v>
      </x:c>
      <x:c r="H1368" s="6">
        <x:f t="shared" si="66"/>
        <x:v>0</x:v>
      </x:c>
      <x:c r="I1368" s="6">
        <x:v>0</x:v>
      </x:c>
      <x:c r="J1368" s="6">
        <x:v>0</x:v>
      </x:c>
      <x:c r="K1368" s="6">
        <x:f t="shared" si="67"/>
        <x:v>0</x:v>
      </x:c>
      <x:c r="L1368" s="6">
        <x:v>0</x:v>
      </x:c>
      <x:c r="M1368" s="6">
        <x:v>59673.739999999991</x:v>
      </x:c>
      <x:c r="N1368" s="6">
        <x:f t="shared" si="68"/>
        <x:v>59673.739999999991</x:v>
      </x:c>
    </x:row>
    <x:row r="1369" spans="1:14" x14ac:dyDescent="0.25">
      <x:c r="A1369" t="s">
        <x:v>17</x:v>
      </x:c>
      <x:c r="B1369" s="3" t="s">
        <x:v>297</x:v>
      </x:c>
      <x:c r="C1369" s="3" t="s">
        <x:v>612</x:v>
      </x:c>
      <x:c r="D1369" t="s">
        <x:v>676</x:v>
      </x:c>
      <x:c r="E1369" s="6">
        <x:v>0</x:v>
      </x:c>
      <x:c r="F1369" s="6">
        <x:v>0</x:v>
      </x:c>
      <x:c r="G1369" s="6">
        <x:v>0</x:v>
      </x:c>
      <x:c r="H1369" s="6">
        <x:f t="shared" si="66"/>
        <x:v>0</x:v>
      </x:c>
      <x:c r="I1369" s="6">
        <x:v>0</x:v>
      </x:c>
      <x:c r="J1369" s="6">
        <x:v>0</x:v>
      </x:c>
      <x:c r="K1369" s="6">
        <x:f t="shared" si="67"/>
        <x:v>0</x:v>
      </x:c>
      <x:c r="L1369" s="6">
        <x:v>0</x:v>
      </x:c>
      <x:c r="M1369" s="6">
        <x:v>750.31999999999994</x:v>
      </x:c>
      <x:c r="N1369" s="6">
        <x:f t="shared" si="68"/>
        <x:v>750.31999999999994</x:v>
      </x:c>
    </x:row>
    <x:row r="1370" spans="1:14" x14ac:dyDescent="0.25">
      <x:c r="A1370" t="s">
        <x:v>17</x:v>
      </x:c>
      <x:c r="B1370" s="3" t="s">
        <x:v>298</x:v>
      </x:c>
      <x:c r="C1370" s="3" t="s">
        <x:v>613</x:v>
      </x:c>
      <x:c r="D1370" t="s">
        <x:v>677</x:v>
      </x:c>
      <x:c r="E1370" s="6">
        <x:v>0</x:v>
      </x:c>
      <x:c r="F1370" s="6">
        <x:v>0</x:v>
      </x:c>
      <x:c r="G1370" s="6">
        <x:v>0</x:v>
      </x:c>
      <x:c r="H1370" s="6">
        <x:f t="shared" si="66"/>
        <x:v>0</x:v>
      </x:c>
      <x:c r="I1370" s="6">
        <x:v>284.47000000000003</x:v>
      </x:c>
      <x:c r="J1370" s="6">
        <x:v>0</x:v>
      </x:c>
      <x:c r="K1370" s="6">
        <x:f t="shared" si="67"/>
        <x:v>284.47000000000003</x:v>
      </x:c>
      <x:c r="L1370" s="6">
        <x:v>0</x:v>
      </x:c>
      <x:c r="M1370" s="6">
        <x:v>0</x:v>
      </x:c>
      <x:c r="N1370" s="6">
        <x:f t="shared" si="68"/>
        <x:v>284.47000000000003</x:v>
      </x:c>
    </x:row>
    <x:row r="1371" spans="1:14" x14ac:dyDescent="0.25">
      <x:c r="A1371" t="s">
        <x:v>17</x:v>
      </x:c>
      <x:c r="B1371" s="3" t="s">
        <x:v>299</x:v>
      </x:c>
      <x:c r="C1371" s="3" t="s">
        <x:v>614</x:v>
      </x:c>
      <x:c r="D1371" t="s">
        <x:v>677</x:v>
      </x:c>
      <x:c r="E1371" s="6">
        <x:v>0</x:v>
      </x:c>
      <x:c r="F1371" s="6">
        <x:v>0</x:v>
      </x:c>
      <x:c r="G1371" s="6">
        <x:v>0</x:v>
      </x:c>
      <x:c r="H1371" s="6">
        <x:f t="shared" si="66"/>
        <x:v>0</x:v>
      </x:c>
      <x:c r="I1371" s="6">
        <x:v>698.94</x:v>
      </x:c>
      <x:c r="J1371" s="6">
        <x:v>0</x:v>
      </x:c>
      <x:c r="K1371" s="6">
        <x:f t="shared" si="67"/>
        <x:v>698.94</x:v>
      </x:c>
      <x:c r="L1371" s="6">
        <x:v>0</x:v>
      </x:c>
      <x:c r="M1371" s="6">
        <x:v>0</x:v>
      </x:c>
      <x:c r="N1371" s="6">
        <x:f t="shared" si="68"/>
        <x:v>698.94</x:v>
      </x:c>
    </x:row>
    <x:row r="1372" spans="1:14" x14ac:dyDescent="0.25">
      <x:c r="A1372" t="s">
        <x:v>17</x:v>
      </x:c>
      <x:c r="B1372" s="3" t="s">
        <x:v>300</x:v>
      </x:c>
      <x:c r="C1372" s="3" t="s">
        <x:v>615</x:v>
      </x:c>
      <x:c r="D1372" t="s">
        <x:v>677</x:v>
      </x:c>
      <x:c r="E1372" s="6">
        <x:v>0</x:v>
      </x:c>
      <x:c r="F1372" s="6">
        <x:v>0</x:v>
      </x:c>
      <x:c r="G1372" s="6">
        <x:v>0</x:v>
      </x:c>
      <x:c r="H1372" s="6">
        <x:f t="shared" si="66"/>
        <x:v>0</x:v>
      </x:c>
      <x:c r="I1372" s="6">
        <x:v>562.04999999999995</x:v>
      </x:c>
      <x:c r="J1372" s="6">
        <x:v>0</x:v>
      </x:c>
      <x:c r="K1372" s="6">
        <x:f t="shared" si="67"/>
        <x:v>562.04999999999995</x:v>
      </x:c>
      <x:c r="L1372" s="6">
        <x:v>0</x:v>
      </x:c>
      <x:c r="M1372" s="6">
        <x:v>0</x:v>
      </x:c>
      <x:c r="N1372" s="6">
        <x:f t="shared" si="68"/>
        <x:v>562.04999999999995</x:v>
      </x:c>
    </x:row>
    <x:row r="1373" spans="1:14" x14ac:dyDescent="0.25">
      <x:c r="A1373" t="s">
        <x:v>17</x:v>
      </x:c>
      <x:c r="B1373" s="3" t="s">
        <x:v>301</x:v>
      </x:c>
      <x:c r="C1373" s="3" t="s">
        <x:v>616</x:v>
      </x:c>
      <x:c r="D1373" t="s">
        <x:v>677</x:v>
      </x:c>
      <x:c r="E1373" s="6">
        <x:v>0</x:v>
      </x:c>
      <x:c r="F1373" s="6">
        <x:v>0</x:v>
      </x:c>
      <x:c r="G1373" s="6">
        <x:v>0</x:v>
      </x:c>
      <x:c r="H1373" s="6">
        <x:f t="shared" si="66"/>
        <x:v>0</x:v>
      </x:c>
      <x:c r="I1373" s="6">
        <x:v>91.91</x:v>
      </x:c>
      <x:c r="J1373" s="6">
        <x:v>0</x:v>
      </x:c>
      <x:c r="K1373" s="6">
        <x:f t="shared" si="67"/>
        <x:v>91.91</x:v>
      </x:c>
      <x:c r="L1373" s="6">
        <x:v>0</x:v>
      </x:c>
      <x:c r="M1373" s="6">
        <x:v>0</x:v>
      </x:c>
      <x:c r="N1373" s="6">
        <x:f t="shared" si="68"/>
        <x:v>91.91</x:v>
      </x:c>
    </x:row>
    <x:row r="1374" spans="1:14" x14ac:dyDescent="0.25">
      <x:c r="A1374" t="s">
        <x:v>17</x:v>
      </x:c>
      <x:c r="B1374" s="3" t="s">
        <x:v>302</x:v>
      </x:c>
      <x:c r="C1374" s="3" t="s">
        <x:v>617</x:v>
      </x:c>
      <x:c r="D1374" t="s">
        <x:v>677</x:v>
      </x:c>
      <x:c r="E1374" s="6">
        <x:v>0</x:v>
      </x:c>
      <x:c r="F1374" s="6">
        <x:v>0</x:v>
      </x:c>
      <x:c r="G1374" s="6">
        <x:v>0</x:v>
      </x:c>
      <x:c r="H1374" s="6">
        <x:f t="shared" si="66"/>
        <x:v>0</x:v>
      </x:c>
      <x:c r="I1374" s="6">
        <x:v>160</x:v>
      </x:c>
      <x:c r="J1374" s="6">
        <x:v>0</x:v>
      </x:c>
      <x:c r="K1374" s="6">
        <x:f t="shared" si="67"/>
        <x:v>160</x:v>
      </x:c>
      <x:c r="L1374" s="6">
        <x:v>0</x:v>
      </x:c>
      <x:c r="M1374" s="6">
        <x:v>0</x:v>
      </x:c>
      <x:c r="N1374" s="6">
        <x:f t="shared" si="68"/>
        <x:v>160</x:v>
      </x:c>
    </x:row>
    <x:row r="1375" spans="1:14" x14ac:dyDescent="0.25">
      <x:c r="A1375" t="s">
        <x:v>17</x:v>
      </x:c>
      <x:c r="B1375" s="3" t="s">
        <x:v>269</x:v>
      </x:c>
      <x:c r="C1375" s="3" t="s">
        <x:v>584</x:v>
      </x:c>
      <x:c r="D1375" t="s">
        <x:v>676</x:v>
      </x:c>
      <x:c r="E1375" s="6">
        <x:v>0</x:v>
      </x:c>
      <x:c r="F1375" s="6">
        <x:v>0</x:v>
      </x:c>
      <x:c r="G1375" s="6">
        <x:v>0</x:v>
      </x:c>
      <x:c r="H1375" s="6">
        <x:f t="shared" si="66"/>
        <x:v>0</x:v>
      </x:c>
      <x:c r="I1375" s="6">
        <x:v>0</x:v>
      </x:c>
      <x:c r="J1375" s="6">
        <x:v>0</x:v>
      </x:c>
      <x:c r="K1375" s="6">
        <x:f t="shared" si="67"/>
        <x:v>0</x:v>
      </x:c>
      <x:c r="L1375" s="6">
        <x:v>152724</x:v>
      </x:c>
      <x:c r="M1375" s="6">
        <x:v>0</x:v>
      </x:c>
      <x:c r="N1375" s="6">
        <x:f t="shared" si="68"/>
        <x:v>152724</x:v>
      </x:c>
    </x:row>
    <x:row r="1376" spans="1:14" x14ac:dyDescent="0.25">
      <x:c r="A1376" t="s">
        <x:v>17</x:v>
      </x:c>
      <x:c r="B1376" s="3" t="s">
        <x:v>226</x:v>
      </x:c>
      <x:c r="C1376" s="3" t="s">
        <x:v>542</x:v>
      </x:c>
      <x:c r="D1376" t="s">
        <x:v>677</x:v>
      </x:c>
      <x:c r="E1376" s="6">
        <x:v>0</x:v>
      </x:c>
      <x:c r="F1376" s="6">
        <x:v>0</x:v>
      </x:c>
      <x:c r="G1376" s="6">
        <x:v>0</x:v>
      </x:c>
      <x:c r="H1376" s="6">
        <x:f t="shared" si="66"/>
        <x:v>0</x:v>
      </x:c>
      <x:c r="I1376" s="6">
        <x:v>529151.3600000001</x:v>
      </x:c>
      <x:c r="J1376" s="6">
        <x:v>0</x:v>
      </x:c>
      <x:c r="K1376" s="6">
        <x:f t="shared" si="67"/>
        <x:v>529151.3600000001</x:v>
      </x:c>
      <x:c r="L1376" s="6">
        <x:v>0</x:v>
      </x:c>
      <x:c r="M1376" s="6">
        <x:v>0</x:v>
      </x:c>
      <x:c r="N1376" s="6">
        <x:f t="shared" si="68"/>
        <x:v>529151.3600000001</x:v>
      </x:c>
    </x:row>
    <x:row r="1377" spans="1:14" x14ac:dyDescent="0.25">
      <x:c r="A1377" t="s">
        <x:v>17</x:v>
      </x:c>
      <x:c r="B1377" s="3" t="s">
        <x:v>303</x:v>
      </x:c>
      <x:c r="C1377" s="3" t="s">
        <x:v>618</x:v>
      </x:c>
      <x:c r="D1377" t="s">
        <x:v>677</x:v>
      </x:c>
      <x:c r="E1377" s="6">
        <x:v>0</x:v>
      </x:c>
      <x:c r="F1377" s="6">
        <x:v>0</x:v>
      </x:c>
      <x:c r="G1377" s="6">
        <x:v>0</x:v>
      </x:c>
      <x:c r="H1377" s="6">
        <x:f t="shared" si="66"/>
        <x:v>0</x:v>
      </x:c>
      <x:c r="I1377" s="6">
        <x:v>78.599999999999994</x:v>
      </x:c>
      <x:c r="J1377" s="6">
        <x:v>0</x:v>
      </x:c>
      <x:c r="K1377" s="6">
        <x:f t="shared" si="67"/>
        <x:v>78.599999999999994</x:v>
      </x:c>
      <x:c r="L1377" s="6">
        <x:v>0</x:v>
      </x:c>
      <x:c r="M1377" s="6">
        <x:v>0</x:v>
      </x:c>
      <x:c r="N1377" s="6">
        <x:f t="shared" si="68"/>
        <x:v>78.599999999999994</x:v>
      </x:c>
    </x:row>
    <x:row r="1378" spans="1:14" x14ac:dyDescent="0.25">
      <x:c r="A1378" t="s">
        <x:v>17</x:v>
      </x:c>
      <x:c r="B1378" s="3" t="s">
        <x:v>304</x:v>
      </x:c>
      <x:c r="C1378" s="3" t="s">
        <x:v>619</x:v>
      </x:c>
      <x:c r="D1378" t="s">
        <x:v>677</x:v>
      </x:c>
      <x:c r="E1378" s="6">
        <x:v>0</x:v>
      </x:c>
      <x:c r="F1378" s="6">
        <x:v>0</x:v>
      </x:c>
      <x:c r="G1378" s="6">
        <x:v>0</x:v>
      </x:c>
      <x:c r="H1378" s="6">
        <x:f t="shared" si="66"/>
        <x:v>0</x:v>
      </x:c>
      <x:c r="I1378" s="6">
        <x:v>40892.049999999996</x:v>
      </x:c>
      <x:c r="J1378" s="6">
        <x:v>0</x:v>
      </x:c>
      <x:c r="K1378" s="6">
        <x:f t="shared" si="67"/>
        <x:v>40892.049999999996</x:v>
      </x:c>
      <x:c r="L1378" s="6">
        <x:v>0</x:v>
      </x:c>
      <x:c r="M1378" s="6">
        <x:v>0</x:v>
      </x:c>
      <x:c r="N1378" s="6">
        <x:f t="shared" si="68"/>
        <x:v>40892.049999999996</x:v>
      </x:c>
    </x:row>
    <x:row r="1379" spans="1:14" x14ac:dyDescent="0.25">
      <x:c r="A1379" t="s">
        <x:v>17</x:v>
      </x:c>
      <x:c r="B1379" t="s">
        <x:v>817</x:v>
      </x:c>
      <x:c r="C1379" t="s">
        <x:v>818</x:v>
      </x:c>
      <x:c r="D1379" t="s">
        <x:v>677</x:v>
      </x:c>
      <x:c r="E1379" s="6">
        <x:v>0</x:v>
      </x:c>
      <x:c r="F1379" s="6">
        <x:v>0</x:v>
      </x:c>
      <x:c r="G1379" s="6">
        <x:v>0</x:v>
      </x:c>
      <x:c r="H1379" s="6">
        <x:f t="shared" si="66"/>
        <x:v>0</x:v>
      </x:c>
      <x:c r="I1379" s="6">
        <x:v>28175.79</x:v>
      </x:c>
      <x:c r="J1379" s="6">
        <x:v>0</x:v>
      </x:c>
      <x:c r="K1379" s="6">
        <x:f t="shared" si="67"/>
        <x:v>28175.79</x:v>
      </x:c>
      <x:c r="L1379" s="6">
        <x:v>0</x:v>
      </x:c>
      <x:c r="M1379" s="6">
        <x:v>0</x:v>
      </x:c>
      <x:c r="N1379" s="6">
        <x:f t="shared" si="68"/>
        <x:v>28175.79</x:v>
      </x:c>
    </x:row>
    <x:row r="1380" spans="1:14" x14ac:dyDescent="0.25">
      <x:c r="A1380" t="s">
        <x:v>17</x:v>
      </x:c>
      <x:c r="B1380" t="s">
        <x:v>815</x:v>
      </x:c>
      <x:c r="C1380" t="s">
        <x:v>558</x:v>
      </x:c>
      <x:c r="D1380" t="s">
        <x:v>833</x:v>
      </x:c>
      <x:c r="E1380" s="6">
        <x:v>-187.95</x:v>
      </x:c>
      <x:c r="F1380" s="6">
        <x:v>0</x:v>
      </x:c>
      <x:c r="G1380" s="6">
        <x:v>0</x:v>
      </x:c>
      <x:c r="H1380" s="6">
        <x:f t="shared" si="66"/>
        <x:v>-187.95</x:v>
      </x:c>
      <x:c r="I1380" s="6">
        <x:v>0</x:v>
      </x:c>
      <x:c r="J1380" s="6">
        <x:v>0</x:v>
      </x:c>
      <x:c r="K1380" s="6">
        <x:f t="shared" si="67"/>
        <x:v>0</x:v>
      </x:c>
      <x:c r="L1380" s="6">
        <x:v>0</x:v>
      </x:c>
      <x:c r="M1380" s="6">
        <x:v>0</x:v>
      </x:c>
      <x:c r="N1380" s="6">
        <x:f t="shared" si="68"/>
        <x:v>-187.95</x:v>
      </x:c>
    </x:row>
    <x:row r="1381" spans="1:14" x14ac:dyDescent="0.25">
      <x:c r="A1381" t="s">
        <x:v>17</x:v>
      </x:c>
      <x:c r="B1381" t="s">
        <x:v>819</x:v>
      </x:c>
      <x:c r="C1381" t="s">
        <x:v>820</x:v>
      </x:c>
      <x:c r="D1381" t="s">
        <x:v>677</x:v>
      </x:c>
      <x:c r="E1381" s="6">
        <x:v>0</x:v>
      </x:c>
      <x:c r="F1381" s="6">
        <x:v>0</x:v>
      </x:c>
      <x:c r="G1381" s="6">
        <x:v>0</x:v>
      </x:c>
      <x:c r="H1381" s="6">
        <x:f t="shared" si="66"/>
        <x:v>0</x:v>
      </x:c>
      <x:c r="I1381" s="6">
        <x:v>3158.21</x:v>
      </x:c>
      <x:c r="J1381" s="6">
        <x:v>0</x:v>
      </x:c>
      <x:c r="K1381" s="6">
        <x:f t="shared" si="67"/>
        <x:v>3158.21</x:v>
      </x:c>
      <x:c r="L1381" s="6">
        <x:v>0</x:v>
      </x:c>
      <x:c r="M1381" s="6">
        <x:v>0</x:v>
      </x:c>
      <x:c r="N1381" s="6">
        <x:f t="shared" si="68"/>
        <x:v>3158.21</x:v>
      </x:c>
    </x:row>
    <x:row r="1382" spans="1:14" x14ac:dyDescent="0.25">
      <x:c r="A1382" t="s">
        <x:v>17</x:v>
      </x:c>
      <x:c r="B1382" t="s">
        <x:v>816</x:v>
      </x:c>
      <x:c r="C1382" t="s">
        <x:v>383</x:v>
      </x:c>
      <x:c r="D1382" t="s">
        <x:v>677</x:v>
      </x:c>
      <x:c r="E1382" s="6">
        <x:v>0</x:v>
      </x:c>
      <x:c r="F1382" s="6">
        <x:v>0</x:v>
      </x:c>
      <x:c r="G1382" s="6">
        <x:v>0</x:v>
      </x:c>
      <x:c r="H1382" s="6">
        <x:f t="shared" si="66"/>
        <x:v>0</x:v>
      </x:c>
      <x:c r="I1382" s="6">
        <x:v>145.35</x:v>
      </x:c>
      <x:c r="J1382" s="6">
        <x:v>0</x:v>
      </x:c>
      <x:c r="K1382" s="6">
        <x:f t="shared" si="67"/>
        <x:v>145.35</x:v>
      </x:c>
      <x:c r="L1382" s="6">
        <x:v>0</x:v>
      </x:c>
      <x:c r="M1382" s="6">
        <x:v>0</x:v>
      </x:c>
      <x:c r="N1382" s="6">
        <x:f t="shared" si="68"/>
        <x:v>145.35</x:v>
      </x:c>
    </x:row>
    <x:row r="1383" spans="1:14" x14ac:dyDescent="0.25">
      <x:c r="A1383" t="s">
        <x:v>17</x:v>
      </x:c>
      <x:c r="B1383" s="3" t="s">
        <x:v>305</x:v>
      </x:c>
      <x:c r="C1383" s="3" t="s">
        <x:v>620</x:v>
      </x:c>
      <x:c r="D1383" t="s">
        <x:v>677</x:v>
      </x:c>
      <x:c r="E1383" s="6">
        <x:v>0</x:v>
      </x:c>
      <x:c r="F1383" s="6">
        <x:v>0</x:v>
      </x:c>
      <x:c r="G1383" s="6">
        <x:v>0</x:v>
      </x:c>
      <x:c r="H1383" s="6">
        <x:f t="shared" si="66"/>
        <x:v>0</x:v>
      </x:c>
      <x:c r="I1383" s="6">
        <x:v>136237.88</x:v>
      </x:c>
      <x:c r="J1383" s="6">
        <x:v>0</x:v>
      </x:c>
      <x:c r="K1383" s="6">
        <x:f t="shared" si="67"/>
        <x:v>136237.88</x:v>
      </x:c>
      <x:c r="L1383" s="6">
        <x:v>0</x:v>
      </x:c>
      <x:c r="M1383" s="6">
        <x:v>0</x:v>
      </x:c>
      <x:c r="N1383" s="6">
        <x:f t="shared" si="68"/>
        <x:v>136237.88</x:v>
      </x:c>
    </x:row>
    <x:row r="1384" spans="1:14" x14ac:dyDescent="0.25">
      <x:c r="A1384" t="s">
        <x:v>17</x:v>
      </x:c>
      <x:c r="B1384" s="3" t="s">
        <x:v>306</x:v>
      </x:c>
      <x:c r="C1384" s="3" t="s">
        <x:v>621</x:v>
      </x:c>
      <x:c r="D1384" t="s">
        <x:v>677</x:v>
      </x:c>
      <x:c r="E1384" s="6">
        <x:v>0</x:v>
      </x:c>
      <x:c r="F1384" s="6">
        <x:v>0</x:v>
      </x:c>
      <x:c r="G1384" s="6">
        <x:v>0</x:v>
      </x:c>
      <x:c r="H1384" s="6">
        <x:f t="shared" si="66"/>
        <x:v>0</x:v>
      </x:c>
      <x:c r="I1384" s="6">
        <x:v>24744.11</x:v>
      </x:c>
      <x:c r="J1384" s="6">
        <x:v>0</x:v>
      </x:c>
      <x:c r="K1384" s="6">
        <x:f t="shared" si="67"/>
        <x:v>24744.11</x:v>
      </x:c>
      <x:c r="L1384" s="6">
        <x:v>0</x:v>
      </x:c>
      <x:c r="M1384" s="6">
        <x:v>0</x:v>
      </x:c>
      <x:c r="N1384" s="6">
        <x:f t="shared" si="68"/>
        <x:v>24744.11</x:v>
      </x:c>
    </x:row>
    <x:row r="1385" spans="1:14" x14ac:dyDescent="0.25">
      <x:c r="A1385" t="s">
        <x:v>17</x:v>
      </x:c>
      <x:c r="B1385" s="3" t="s">
        <x:v>243</x:v>
      </x:c>
      <x:c r="C1385" s="3" t="s">
        <x:v>558</x:v>
      </x:c>
      <x:c r="D1385" t="s">
        <x:v>677</x:v>
      </x:c>
      <x:c r="E1385" s="6">
        <x:v>0</x:v>
      </x:c>
      <x:c r="F1385" s="6">
        <x:v>0</x:v>
      </x:c>
      <x:c r="G1385" s="6">
        <x:v>0</x:v>
      </x:c>
      <x:c r="H1385" s="6">
        <x:f t="shared" si="66"/>
        <x:v>0</x:v>
      </x:c>
      <x:c r="I1385" s="6">
        <x:v>128923.71</x:v>
      </x:c>
      <x:c r="J1385" s="6">
        <x:v>0</x:v>
      </x:c>
      <x:c r="K1385" s="6">
        <x:f t="shared" si="67"/>
        <x:v>128923.71</x:v>
      </x:c>
      <x:c r="L1385" s="6">
        <x:v>0</x:v>
      </x:c>
      <x:c r="M1385" s="6">
        <x:v>0</x:v>
      </x:c>
      <x:c r="N1385" s="6">
        <x:f t="shared" si="68"/>
        <x:v>128923.71</x:v>
      </x:c>
    </x:row>
    <x:row r="1386" spans="1:14" x14ac:dyDescent="0.25">
      <x:c r="A1386" t="s">
        <x:v>17</x:v>
      </x:c>
      <x:c r="B1386" s="3" t="s">
        <x:v>307</x:v>
      </x:c>
      <x:c r="C1386" s="3" t="s">
        <x:v>622</x:v>
      </x:c>
      <x:c r="D1386" t="s">
        <x:v>677</x:v>
      </x:c>
      <x:c r="E1386" s="6">
        <x:v>0</x:v>
      </x:c>
      <x:c r="F1386" s="6">
        <x:v>0</x:v>
      </x:c>
      <x:c r="G1386" s="6">
        <x:v>0</x:v>
      </x:c>
      <x:c r="H1386" s="6">
        <x:f t="shared" si="66"/>
        <x:v>0</x:v>
      </x:c>
      <x:c r="I1386" s="6">
        <x:v>16182.11</x:v>
      </x:c>
      <x:c r="J1386" s="6">
        <x:v>0</x:v>
      </x:c>
      <x:c r="K1386" s="6">
        <x:f t="shared" si="67"/>
        <x:v>16182.11</x:v>
      </x:c>
      <x:c r="L1386" s="6">
        <x:v>0</x:v>
      </x:c>
      <x:c r="M1386" s="6">
        <x:v>0</x:v>
      </x:c>
      <x:c r="N1386" s="6">
        <x:f t="shared" si="68"/>
        <x:v>16182.11</x:v>
      </x:c>
    </x:row>
    <x:row r="1387" spans="1:14" x14ac:dyDescent="0.25">
      <x:c r="A1387" t="s">
        <x:v>17</x:v>
      </x:c>
      <x:c r="B1387" s="3" t="s">
        <x:v>308</x:v>
      </x:c>
      <x:c r="C1387" s="3" t="s">
        <x:v>623</x:v>
      </x:c>
      <x:c r="D1387" t="s">
        <x:v>677</x:v>
      </x:c>
      <x:c r="E1387" s="6">
        <x:v>0</x:v>
      </x:c>
      <x:c r="F1387" s="6">
        <x:v>0</x:v>
      </x:c>
      <x:c r="G1387" s="6">
        <x:v>0</x:v>
      </x:c>
      <x:c r="H1387" s="6">
        <x:f t="shared" si="66"/>
        <x:v>0</x:v>
      </x:c>
      <x:c r="I1387" s="6">
        <x:v>369.44</x:v>
      </x:c>
      <x:c r="J1387" s="6">
        <x:v>0</x:v>
      </x:c>
      <x:c r="K1387" s="6">
        <x:f t="shared" si="67"/>
        <x:v>369.44</x:v>
      </x:c>
      <x:c r="L1387" s="6">
        <x:v>0</x:v>
      </x:c>
      <x:c r="M1387" s="6">
        <x:v>0</x:v>
      </x:c>
      <x:c r="N1387" s="6">
        <x:f t="shared" si="68"/>
        <x:v>369.44</x:v>
      </x:c>
    </x:row>
    <x:row r="1388" spans="1:14" x14ac:dyDescent="0.25">
      <x:c r="A1388" t="s">
        <x:v>17</x:v>
      </x:c>
      <x:c r="B1388" t="s">
        <x:v>839</x:v>
      </x:c>
      <x:c r="C1388" t="s">
        <x:v>840</x:v>
      </x:c>
      <x:c r="D1388" t="s">
        <x:v>677</x:v>
      </x:c>
      <x:c r="E1388" s="6">
        <x:v>0</x:v>
      </x:c>
      <x:c r="F1388" s="6">
        <x:v>0</x:v>
      </x:c>
      <x:c r="G1388" s="6">
        <x:v>0</x:v>
      </x:c>
      <x:c r="H1388" s="6">
        <x:f t="shared" si="66"/>
        <x:v>0</x:v>
      </x:c>
      <x:c r="I1388" s="6">
        <x:v>0</x:v>
      </x:c>
      <x:c r="J1388" s="6">
        <x:v>86.210000000000008</x:v>
      </x:c>
      <x:c r="K1388" s="6">
        <x:f t="shared" si="67"/>
        <x:v>86.210000000000008</x:v>
      </x:c>
      <x:c r="L1388" s="6">
        <x:v>0</x:v>
      </x:c>
      <x:c r="M1388" s="6">
        <x:v>0</x:v>
      </x:c>
      <x:c r="N1388" s="6">
        <x:f t="shared" si="68"/>
        <x:v>86.210000000000008</x:v>
      </x:c>
    </x:row>
    <x:row r="1389" spans="1:14" x14ac:dyDescent="0.25">
      <x:c r="A1389" t="s">
        <x:v>17</x:v>
      </x:c>
      <x:c r="B1389" t="s">
        <x:v>839</x:v>
      </x:c>
      <x:c r="C1389" t="s">
        <x:v>840</x:v>
      </x:c>
      <x:c r="D1389" t="s">
        <x:v>841</x:v>
      </x:c>
      <x:c r="E1389" s="6">
        <x:v>0</x:v>
      </x:c>
      <x:c r="F1389" s="6">
        <x:v>64.52</x:v>
      </x:c>
      <x:c r="G1389" s="6">
        <x:v>0</x:v>
      </x:c>
      <x:c r="H1389" s="6">
        <x:f t="shared" si="66"/>
        <x:v>64.52</x:v>
      </x:c>
      <x:c r="I1389" s="6">
        <x:v>0</x:v>
      </x:c>
      <x:c r="J1389" s="6">
        <x:v>17056.04</x:v>
      </x:c>
      <x:c r="K1389" s="6">
        <x:f t="shared" si="67"/>
        <x:v>17056.04</x:v>
      </x:c>
      <x:c r="L1389" s="6">
        <x:v>0</x:v>
      </x:c>
      <x:c r="M1389" s="6">
        <x:v>0</x:v>
      </x:c>
      <x:c r="N1389" s="6">
        <x:f t="shared" si="68"/>
        <x:v>17120.560000000001</x:v>
      </x:c>
    </x:row>
    <x:row r="1390" spans="1:14" x14ac:dyDescent="0.25">
      <x:c r="A1390" t="s">
        <x:v>18</x:v>
      </x:c>
      <x:c r="B1390" s="3" t="s">
        <x:v>72</x:v>
      </x:c>
      <x:c r="C1390" s="3" t="s">
        <x:v>389</x:v>
      </x:c>
      <x:c r="D1390" t="s">
        <x:v>677</x:v>
      </x:c>
      <x:c r="E1390" s="6">
        <x:v>0</x:v>
      </x:c>
      <x:c r="F1390" s="6">
        <x:v>0</x:v>
      </x:c>
      <x:c r="G1390" s="6">
        <x:v>0</x:v>
      </x:c>
      <x:c r="H1390" s="6">
        <x:f t="shared" si="66"/>
        <x:v>0</x:v>
      </x:c>
      <x:c r="I1390" s="6">
        <x:v>111330.05</x:v>
      </x:c>
      <x:c r="J1390" s="6">
        <x:v>0</x:v>
      </x:c>
      <x:c r="K1390" s="6">
        <x:f t="shared" si="67"/>
        <x:v>111330.05</x:v>
      </x:c>
      <x:c r="L1390" s="6">
        <x:v>0</x:v>
      </x:c>
      <x:c r="M1390" s="6">
        <x:v>0</x:v>
      </x:c>
      <x:c r="N1390" s="6">
        <x:f t="shared" si="68"/>
        <x:v>111330.05</x:v>
      </x:c>
    </x:row>
    <x:row r="1391" spans="1:14" x14ac:dyDescent="0.25">
      <x:c r="A1391" t="s">
        <x:v>18</x:v>
      </x:c>
      <x:c r="B1391" s="3" t="s">
        <x:v>57</x:v>
      </x:c>
      <x:c r="C1391" s="3" t="s">
        <x:v>374</x:v>
      </x:c>
      <x:c r="D1391" t="s">
        <x:v>677</x:v>
      </x:c>
      <x:c r="E1391" s="6">
        <x:v>0</x:v>
      </x:c>
      <x:c r="F1391" s="6">
        <x:v>0</x:v>
      </x:c>
      <x:c r="G1391" s="6">
        <x:v>0</x:v>
      </x:c>
      <x:c r="H1391" s="6">
        <x:f t="shared" si="66"/>
        <x:v>0</x:v>
      </x:c>
      <x:c r="I1391" s="6">
        <x:v>77463.19</x:v>
      </x:c>
      <x:c r="J1391" s="6">
        <x:v>0</x:v>
      </x:c>
      <x:c r="K1391" s="6">
        <x:f t="shared" si="67"/>
        <x:v>77463.19</x:v>
      </x:c>
      <x:c r="L1391" s="6">
        <x:v>0</x:v>
      </x:c>
      <x:c r="M1391" s="6">
        <x:v>0</x:v>
      </x:c>
      <x:c r="N1391" s="6">
        <x:f t="shared" si="68"/>
        <x:v>77463.19</x:v>
      </x:c>
    </x:row>
    <x:row r="1392" spans="1:14" x14ac:dyDescent="0.25">
      <x:c r="A1392" t="s">
        <x:v>18</x:v>
      </x:c>
      <x:c r="B1392" s="3" t="s">
        <x:v>131</x:v>
      </x:c>
      <x:c r="C1392" s="3" t="s">
        <x:v>448</x:v>
      </x:c>
      <x:c r="D1392" t="s">
        <x:v>677</x:v>
      </x:c>
      <x:c r="E1392" s="6">
        <x:v>0</x:v>
      </x:c>
      <x:c r="F1392" s="6">
        <x:v>0</x:v>
      </x:c>
      <x:c r="G1392" s="6">
        <x:v>0</x:v>
      </x:c>
      <x:c r="H1392" s="6">
        <x:f t="shared" si="66"/>
        <x:v>0</x:v>
      </x:c>
      <x:c r="I1392" s="6">
        <x:v>1478</x:v>
      </x:c>
      <x:c r="J1392" s="6">
        <x:v>0</x:v>
      </x:c>
      <x:c r="K1392" s="6">
        <x:f t="shared" si="67"/>
        <x:v>1478</x:v>
      </x:c>
      <x:c r="L1392" s="6">
        <x:v>0</x:v>
      </x:c>
      <x:c r="M1392" s="6">
        <x:v>0</x:v>
      </x:c>
      <x:c r="N1392" s="6">
        <x:f t="shared" si="68"/>
        <x:v>1478</x:v>
      </x:c>
    </x:row>
    <x:row r="1393" spans="1:14" x14ac:dyDescent="0.25">
      <x:c r="A1393" t="s">
        <x:v>18</x:v>
      </x:c>
      <x:c r="B1393" s="3" t="s">
        <x:v>139</x:v>
      </x:c>
      <x:c r="C1393" s="3" t="s">
        <x:v>456</x:v>
      </x:c>
      <x:c r="D1393" t="s">
        <x:v>677</x:v>
      </x:c>
      <x:c r="E1393" s="6">
        <x:v>0</x:v>
      </x:c>
      <x:c r="F1393" s="6">
        <x:v>0</x:v>
      </x:c>
      <x:c r="G1393" s="6">
        <x:v>0</x:v>
      </x:c>
      <x:c r="H1393" s="6">
        <x:f t="shared" si="66"/>
        <x:v>0</x:v>
      </x:c>
      <x:c r="I1393" s="6">
        <x:v>1443.98</x:v>
      </x:c>
      <x:c r="J1393" s="6">
        <x:v>0</x:v>
      </x:c>
      <x:c r="K1393" s="6">
        <x:f t="shared" si="67"/>
        <x:v>1443.98</x:v>
      </x:c>
      <x:c r="L1393" s="6">
        <x:v>0</x:v>
      </x:c>
      <x:c r="M1393" s="6">
        <x:v>0</x:v>
      </x:c>
      <x:c r="N1393" s="6">
        <x:f t="shared" si="68"/>
        <x:v>1443.98</x:v>
      </x:c>
    </x:row>
    <x:row r="1394" spans="1:14" x14ac:dyDescent="0.25">
      <x:c r="A1394" t="s">
        <x:v>18</x:v>
      </x:c>
      <x:c r="B1394" s="3" t="s">
        <x:v>163</x:v>
      </x:c>
      <x:c r="C1394" s="3" t="s">
        <x:v>480</x:v>
      </x:c>
      <x:c r="D1394" t="s">
        <x:v>677</x:v>
      </x:c>
      <x:c r="E1394" s="6">
        <x:v>0</x:v>
      </x:c>
      <x:c r="F1394" s="6">
        <x:v>0</x:v>
      </x:c>
      <x:c r="G1394" s="6">
        <x:v>0</x:v>
      </x:c>
      <x:c r="H1394" s="6">
        <x:f t="shared" si="66"/>
        <x:v>0</x:v>
      </x:c>
      <x:c r="I1394" s="6">
        <x:v>2799.9</x:v>
      </x:c>
      <x:c r="J1394" s="6">
        <x:v>0</x:v>
      </x:c>
      <x:c r="K1394" s="6">
        <x:f t="shared" si="67"/>
        <x:v>2799.9</x:v>
      </x:c>
      <x:c r="L1394" s="6">
        <x:v>0</x:v>
      </x:c>
      <x:c r="M1394" s="6">
        <x:v>0</x:v>
      </x:c>
      <x:c r="N1394" s="6">
        <x:f t="shared" si="68"/>
        <x:v>2799.9</x:v>
      </x:c>
    </x:row>
    <x:row r="1395" spans="1:14" x14ac:dyDescent="0.25">
      <x:c r="A1395" t="s">
        <x:v>18</x:v>
      </x:c>
      <x:c r="B1395" s="3" t="s">
        <x:v>196</x:v>
      </x:c>
      <x:c r="C1395" s="3" t="s">
        <x:v>512</x:v>
      </x:c>
      <x:c r="D1395" t="s">
        <x:v>677</x:v>
      </x:c>
      <x:c r="E1395" s="6">
        <x:v>0</x:v>
      </x:c>
      <x:c r="F1395" s="6">
        <x:v>0</x:v>
      </x:c>
      <x:c r="G1395" s="6">
        <x:v>0</x:v>
      </x:c>
      <x:c r="H1395" s="6">
        <x:f t="shared" si="66"/>
        <x:v>0</x:v>
      </x:c>
      <x:c r="I1395" s="6">
        <x:v>5931.78</x:v>
      </x:c>
      <x:c r="J1395" s="6">
        <x:v>0</x:v>
      </x:c>
      <x:c r="K1395" s="6">
        <x:f t="shared" si="67"/>
        <x:v>5931.78</x:v>
      </x:c>
      <x:c r="L1395" s="6">
        <x:v>0</x:v>
      </x:c>
      <x:c r="M1395" s="6">
        <x:v>0</x:v>
      </x:c>
      <x:c r="N1395" s="6">
        <x:f t="shared" si="68"/>
        <x:v>5931.78</x:v>
      </x:c>
    </x:row>
    <x:row r="1396" spans="1:14" x14ac:dyDescent="0.25">
      <x:c r="A1396" t="s">
        <x:v>18</x:v>
      </x:c>
      <x:c r="B1396" s="3" t="s">
        <x:v>64</x:v>
      </x:c>
      <x:c r="C1396" s="3" t="s">
        <x:v>381</x:v>
      </x:c>
      <x:c r="D1396" t="s">
        <x:v>677</x:v>
      </x:c>
      <x:c r="E1396" s="6">
        <x:v>0</x:v>
      </x:c>
      <x:c r="F1396" s="6">
        <x:v>0</x:v>
      </x:c>
      <x:c r="G1396" s="6">
        <x:v>0</x:v>
      </x:c>
      <x:c r="H1396" s="6">
        <x:f t="shared" si="66"/>
        <x:v>0</x:v>
      </x:c>
      <x:c r="I1396" s="6">
        <x:v>729</x:v>
      </x:c>
      <x:c r="J1396" s="6">
        <x:v>0</x:v>
      </x:c>
      <x:c r="K1396" s="6">
        <x:f t="shared" si="67"/>
        <x:v>729</x:v>
      </x:c>
      <x:c r="L1396" s="6">
        <x:v>0</x:v>
      </x:c>
      <x:c r="M1396" s="6">
        <x:v>0</x:v>
      </x:c>
      <x:c r="N1396" s="6">
        <x:f t="shared" si="68"/>
        <x:v>729</x:v>
      </x:c>
    </x:row>
    <x:row r="1397" spans="1:14" x14ac:dyDescent="0.25">
      <x:c r="A1397" t="s">
        <x:v>18</x:v>
      </x:c>
      <x:c r="B1397" s="3" t="s">
        <x:v>47</x:v>
      </x:c>
      <x:c r="C1397" s="3" t="s">
        <x:v>364</x:v>
      </x:c>
      <x:c r="D1397" t="s">
        <x:v>676</x:v>
      </x:c>
      <x:c r="E1397" s="6">
        <x:v>0</x:v>
      </x:c>
      <x:c r="F1397" s="6">
        <x:v>0</x:v>
      </x:c>
      <x:c r="G1397" s="6">
        <x:v>0</x:v>
      </x:c>
      <x:c r="H1397" s="6">
        <x:f t="shared" si="66"/>
        <x:v>0</x:v>
      </x:c>
      <x:c r="I1397" s="6">
        <x:v>2609865.7999999998</x:v>
      </x:c>
      <x:c r="J1397" s="6">
        <x:v>0</x:v>
      </x:c>
      <x:c r="K1397" s="6">
        <x:f t="shared" si="67"/>
        <x:v>2609865.7999999998</x:v>
      </x:c>
      <x:c r="L1397" s="6">
        <x:v>0</x:v>
      </x:c>
      <x:c r="M1397" s="6">
        <x:v>0</x:v>
      </x:c>
      <x:c r="N1397" s="6">
        <x:f t="shared" si="68"/>
        <x:v>2609865.7999999998</x:v>
      </x:c>
    </x:row>
    <x:row r="1398" spans="1:14" ht="15.75" thickBot="1" x14ac:dyDescent="0.3">
      <x:c r="B1398" s="3"/>
      <x:c r="C1398" s="11" t="s">
        <x:v>861</x:v>
      </x:c>
      <x:c r="E1398" s="9">
        <x:f>SUM(E456:E1397)</x:f>
        <x:v>317128.09000000008</x:v>
      </x:c>
      <x:c r="F1398" s="9">
        <x:f t="shared" ref="F1398:N1398" si="69">SUM(F456:F1397)</x:f>
        <x:v>3769.36</x:v>
      </x:c>
      <x:c r="G1398" s="9">
        <x:f t="shared" si="69"/>
        <x:v>0</x:v>
      </x:c>
      <x:c r="H1398" s="9">
        <x:f t="shared" si="69"/>
        <x:v>320897.45000000007</x:v>
      </x:c>
      <x:c r="I1398" s="9">
        <x:f t="shared" si="69"/>
        <x:v>164922575.69000015</x:v>
      </x:c>
      <x:c r="J1398" s="9">
        <x:f t="shared" si="69"/>
        <x:v>249023.65</x:v>
      </x:c>
      <x:c r="K1398" s="9">
        <x:f t="shared" si="69"/>
        <x:v>165171599.34000012</x:v>
      </x:c>
      <x:c r="L1398" s="9">
        <x:f t="shared" si="69"/>
        <x:v>37552475.530000009</x:v>
      </x:c>
      <x:c r="M1398" s="9">
        <x:f t="shared" si="69"/>
        <x:v>173732.86</x:v>
      </x:c>
      <x:c r="N1398" s="9">
        <x:f t="shared" si="69"/>
        <x:v>203218705.17999992</x:v>
      </x:c>
    </x:row>
    <x:row r="1399" spans="1:14" ht="15.75" thickTop="1" x14ac:dyDescent="0.25">
      <x:c r="B1399" s="3"/>
      <x:c r="C1399" s="3"/>
      <x:c r="E1399" s="6"/>
      <x:c r="F1399" s="6"/>
      <x:c r="G1399" s="6"/>
      <x:c r="H1399" s="6"/>
      <x:c r="I1399" s="6"/>
      <x:c r="J1399" s="6"/>
      <x:c r="K1399" s="6"/>
      <x:c r="L1399" s="6"/>
      <x:c r="M1399" s="6"/>
      <x:c r="N1399" s="6"/>
    </x:row>
    <x:row r="1400" spans="1:14" x14ac:dyDescent="0.25">
      <x:c r="B1400" s="3"/>
      <x:c r="C1400" s="3"/>
      <x:c r="E1400" s="6"/>
      <x:c r="F1400" s="6"/>
      <x:c r="G1400" s="6"/>
      <x:c r="H1400" s="6"/>
      <x:c r="I1400" s="6"/>
      <x:c r="J1400" s="6"/>
      <x:c r="K1400" s="6"/>
      <x:c r="L1400" s="6"/>
      <x:c r="M1400" s="6"/>
      <x:c r="N1400" s="6"/>
    </x:row>
    <x:row r="1401" spans="1:14" x14ac:dyDescent="0.25">
      <x:c r="A1401" s="8" t="s">
        <x:v>862</x:v>
      </x:c>
      <x:c r="B1401" s="3"/>
      <x:c r="C1401" s="3"/>
      <x:c r="E1401" s="6"/>
      <x:c r="F1401" s="6"/>
      <x:c r="G1401" s="6"/>
      <x:c r="H1401" s="6"/>
      <x:c r="I1401" s="6"/>
      <x:c r="J1401" s="6"/>
      <x:c r="K1401" s="6"/>
      <x:c r="L1401" s="6"/>
      <x:c r="M1401" s="6"/>
      <x:c r="N1401" s="6"/>
    </x:row>
    <x:row r="1402" spans="1:14" x14ac:dyDescent="0.25">
      <x:c r="A1402" t="s">
        <x:v>19</x:v>
      </x:c>
      <x:c r="B1402" s="3" t="s">
        <x:v>74</x:v>
      </x:c>
      <x:c r="C1402" s="3" t="s">
        <x:v>391</x:v>
      </x:c>
      <x:c r="D1402" t="s">
        <x:v>677</x:v>
      </x:c>
      <x:c r="E1402" s="5">
        <x:v>0</x:v>
      </x:c>
      <x:c r="F1402" s="5">
        <x:v>0</x:v>
      </x:c>
      <x:c r="G1402" s="5">
        <x:v>0</x:v>
      </x:c>
      <x:c r="H1402" s="5">
        <x:f t="shared" si="66"/>
        <x:v>0</x:v>
      </x:c>
      <x:c r="I1402" s="5">
        <x:v>52.84</x:v>
      </x:c>
      <x:c r="J1402" s="5">
        <x:v>0</x:v>
      </x:c>
      <x:c r="K1402" s="5">
        <x:f t="shared" si="67"/>
        <x:v>52.84</x:v>
      </x:c>
      <x:c r="L1402" s="5">
        <x:v>0</x:v>
      </x:c>
      <x:c r="M1402" s="5">
        <x:v>0</x:v>
      </x:c>
      <x:c r="N1402" s="5">
        <x:f t="shared" si="68"/>
        <x:v>52.84</x:v>
      </x:c>
    </x:row>
    <x:row r="1403" spans="1:14" x14ac:dyDescent="0.25">
      <x:c r="A1403" t="s">
        <x:v>19</x:v>
      </x:c>
      <x:c r="B1403" s="3" t="s">
        <x:v>82</x:v>
      </x:c>
      <x:c r="C1403" s="3" t="s">
        <x:v>399</x:v>
      </x:c>
      <x:c r="D1403" t="s">
        <x:v>677</x:v>
      </x:c>
      <x:c r="E1403" s="6">
        <x:v>0</x:v>
      </x:c>
      <x:c r="F1403" s="6">
        <x:v>0</x:v>
      </x:c>
      <x:c r="G1403" s="6">
        <x:v>0</x:v>
      </x:c>
      <x:c r="H1403" s="6">
        <x:f t="shared" si="66"/>
        <x:v>0</x:v>
      </x:c>
      <x:c r="I1403" s="6">
        <x:v>67887.579999999987</x:v>
      </x:c>
      <x:c r="J1403" s="6">
        <x:v>0</x:v>
      </x:c>
      <x:c r="K1403" s="6">
        <x:f t="shared" si="67"/>
        <x:v>67887.579999999987</x:v>
      </x:c>
      <x:c r="L1403" s="6">
        <x:v>0</x:v>
      </x:c>
      <x:c r="M1403" s="6">
        <x:v>0</x:v>
      </x:c>
      <x:c r="N1403" s="6">
        <x:f t="shared" si="68"/>
        <x:v>67887.579999999987</x:v>
      </x:c>
    </x:row>
    <x:row r="1404" spans="1:14" x14ac:dyDescent="0.25">
      <x:c r="A1404" t="s">
        <x:v>19</x:v>
      </x:c>
      <x:c r="B1404" s="3" t="s">
        <x:v>83</x:v>
      </x:c>
      <x:c r="C1404" s="3" t="s">
        <x:v>400</x:v>
      </x:c>
      <x:c r="D1404" t="s">
        <x:v>677</x:v>
      </x:c>
      <x:c r="E1404" s="6">
        <x:v>0</x:v>
      </x:c>
      <x:c r="F1404" s="6">
        <x:v>0</x:v>
      </x:c>
      <x:c r="G1404" s="6">
        <x:v>0</x:v>
      </x:c>
      <x:c r="H1404" s="6">
        <x:f t="shared" si="66"/>
        <x:v>0</x:v>
      </x:c>
      <x:c r="I1404" s="6">
        <x:v>115.84</x:v>
      </x:c>
      <x:c r="J1404" s="6">
        <x:v>0</x:v>
      </x:c>
      <x:c r="K1404" s="6">
        <x:f t="shared" si="67"/>
        <x:v>115.84</x:v>
      </x:c>
      <x:c r="L1404" s="6">
        <x:v>0</x:v>
      </x:c>
      <x:c r="M1404" s="6">
        <x:v>0</x:v>
      </x:c>
      <x:c r="N1404" s="6">
        <x:f t="shared" si="68"/>
        <x:v>115.84</x:v>
      </x:c>
    </x:row>
    <x:row r="1405" spans="1:14" x14ac:dyDescent="0.25">
      <x:c r="A1405" t="s">
        <x:v>19</x:v>
      </x:c>
      <x:c r="B1405" s="3" t="s">
        <x:v>86</x:v>
      </x:c>
      <x:c r="C1405" s="3" t="s">
        <x:v>403</x:v>
      </x:c>
      <x:c r="D1405" t="s">
        <x:v>677</x:v>
      </x:c>
      <x:c r="E1405" s="6">
        <x:v>0</x:v>
      </x:c>
      <x:c r="F1405" s="6">
        <x:v>0</x:v>
      </x:c>
      <x:c r="G1405" s="6">
        <x:v>0</x:v>
      </x:c>
      <x:c r="H1405" s="6">
        <x:f t="shared" si="66"/>
        <x:v>0</x:v>
      </x:c>
      <x:c r="I1405" s="6">
        <x:v>18.850000000000001</x:v>
      </x:c>
      <x:c r="J1405" s="6">
        <x:v>0</x:v>
      </x:c>
      <x:c r="K1405" s="6">
        <x:f t="shared" si="67"/>
        <x:v>18.850000000000001</x:v>
      </x:c>
      <x:c r="L1405" s="6">
        <x:v>0</x:v>
      </x:c>
      <x:c r="M1405" s="6">
        <x:v>0</x:v>
      </x:c>
      <x:c r="N1405" s="6">
        <x:f t="shared" si="68"/>
        <x:v>18.850000000000001</x:v>
      </x:c>
    </x:row>
    <x:row r="1406" spans="1:14" x14ac:dyDescent="0.25">
      <x:c r="A1406" t="s">
        <x:v>19</x:v>
      </x:c>
      <x:c r="B1406" s="3" t="s">
        <x:v>88</x:v>
      </x:c>
      <x:c r="C1406" s="3" t="s">
        <x:v>405</x:v>
      </x:c>
      <x:c r="D1406" t="s">
        <x:v>677</x:v>
      </x:c>
      <x:c r="E1406" s="6">
        <x:v>0</x:v>
      </x:c>
      <x:c r="F1406" s="6">
        <x:v>0</x:v>
      </x:c>
      <x:c r="G1406" s="6">
        <x:v>0</x:v>
      </x:c>
      <x:c r="H1406" s="6">
        <x:f t="shared" si="66"/>
        <x:v>0</x:v>
      </x:c>
      <x:c r="I1406" s="6">
        <x:v>57460.369999999995</x:v>
      </x:c>
      <x:c r="J1406" s="6">
        <x:v>0</x:v>
      </x:c>
      <x:c r="K1406" s="6">
        <x:f t="shared" si="67"/>
        <x:v>57460.369999999995</x:v>
      </x:c>
      <x:c r="L1406" s="6">
        <x:v>0</x:v>
      </x:c>
      <x:c r="M1406" s="6">
        <x:v>0</x:v>
      </x:c>
      <x:c r="N1406" s="6">
        <x:f t="shared" si="68"/>
        <x:v>57460.369999999995</x:v>
      </x:c>
    </x:row>
    <x:row r="1407" spans="1:14" x14ac:dyDescent="0.25">
      <x:c r="A1407" t="s">
        <x:v>19</x:v>
      </x:c>
      <x:c r="B1407" s="3" t="s">
        <x:v>93</x:v>
      </x:c>
      <x:c r="C1407" s="3" t="s">
        <x:v>410</x:v>
      </x:c>
      <x:c r="D1407" t="s">
        <x:v>677</x:v>
      </x:c>
      <x:c r="E1407" s="6">
        <x:v>0</x:v>
      </x:c>
      <x:c r="F1407" s="6">
        <x:v>0</x:v>
      </x:c>
      <x:c r="G1407" s="6">
        <x:v>0</x:v>
      </x:c>
      <x:c r="H1407" s="6">
        <x:f t="shared" si="66"/>
        <x:v>0</x:v>
      </x:c>
      <x:c r="I1407" s="6">
        <x:v>442.46</x:v>
      </x:c>
      <x:c r="J1407" s="6">
        <x:v>0</x:v>
      </x:c>
      <x:c r="K1407" s="6">
        <x:f t="shared" si="67"/>
        <x:v>442.46</x:v>
      </x:c>
      <x:c r="L1407" s="6">
        <x:v>0</x:v>
      </x:c>
      <x:c r="M1407" s="6">
        <x:v>0</x:v>
      </x:c>
      <x:c r="N1407" s="6">
        <x:f t="shared" si="68"/>
        <x:v>442.46</x:v>
      </x:c>
    </x:row>
    <x:row r="1408" spans="1:14" x14ac:dyDescent="0.25">
      <x:c r="A1408" t="s">
        <x:v>19</x:v>
      </x:c>
      <x:c r="B1408" s="3" t="s">
        <x:v>94</x:v>
      </x:c>
      <x:c r="C1408" s="3" t="s">
        <x:v>411</x:v>
      </x:c>
      <x:c r="D1408" t="s">
        <x:v>677</x:v>
      </x:c>
      <x:c r="E1408" s="6">
        <x:v>0</x:v>
      </x:c>
      <x:c r="F1408" s="6">
        <x:v>0</x:v>
      </x:c>
      <x:c r="G1408" s="6">
        <x:v>0</x:v>
      </x:c>
      <x:c r="H1408" s="6">
        <x:f t="shared" si="66"/>
        <x:v>0</x:v>
      </x:c>
      <x:c r="I1408" s="6">
        <x:v>1039.01</x:v>
      </x:c>
      <x:c r="J1408" s="6">
        <x:v>0</x:v>
      </x:c>
      <x:c r="K1408" s="6">
        <x:f t="shared" si="67"/>
        <x:v>1039.01</x:v>
      </x:c>
      <x:c r="L1408" s="6">
        <x:v>0</x:v>
      </x:c>
      <x:c r="M1408" s="6">
        <x:v>0</x:v>
      </x:c>
      <x:c r="N1408" s="6">
        <x:f t="shared" si="68"/>
        <x:v>1039.01</x:v>
      </x:c>
    </x:row>
    <x:row r="1409" spans="1:14" x14ac:dyDescent="0.25">
      <x:c r="A1409" t="s">
        <x:v>19</x:v>
      </x:c>
      <x:c r="B1409" s="3" t="s">
        <x:v>100</x:v>
      </x:c>
      <x:c r="C1409" s="3" t="s">
        <x:v>417</x:v>
      </x:c>
      <x:c r="D1409" t="s">
        <x:v>677</x:v>
      </x:c>
      <x:c r="E1409" s="6">
        <x:v>0</x:v>
      </x:c>
      <x:c r="F1409" s="6">
        <x:v>0</x:v>
      </x:c>
      <x:c r="G1409" s="6">
        <x:v>0</x:v>
      </x:c>
      <x:c r="H1409" s="6">
        <x:f t="shared" si="66"/>
        <x:v>0</x:v>
      </x:c>
      <x:c r="I1409" s="6">
        <x:v>15.61</x:v>
      </x:c>
      <x:c r="J1409" s="6">
        <x:v>0</x:v>
      </x:c>
      <x:c r="K1409" s="6">
        <x:f t="shared" si="67"/>
        <x:v>15.61</x:v>
      </x:c>
      <x:c r="L1409" s="6">
        <x:v>0</x:v>
      </x:c>
      <x:c r="M1409" s="6">
        <x:v>0</x:v>
      </x:c>
      <x:c r="N1409" s="6">
        <x:f t="shared" si="68"/>
        <x:v>15.61</x:v>
      </x:c>
    </x:row>
    <x:row r="1410" spans="1:14" x14ac:dyDescent="0.25">
      <x:c r="A1410" t="s">
        <x:v>19</x:v>
      </x:c>
      <x:c r="B1410" s="3" t="s">
        <x:v>104</x:v>
      </x:c>
      <x:c r="C1410" s="3" t="s">
        <x:v>421</x:v>
      </x:c>
      <x:c r="D1410" t="s">
        <x:v>677</x:v>
      </x:c>
      <x:c r="E1410" s="6">
        <x:v>0</x:v>
      </x:c>
      <x:c r="F1410" s="6">
        <x:v>0</x:v>
      </x:c>
      <x:c r="G1410" s="6">
        <x:v>0</x:v>
      </x:c>
      <x:c r="H1410" s="6">
        <x:f t="shared" si="66"/>
        <x:v>0</x:v>
      </x:c>
      <x:c r="I1410" s="6">
        <x:v>165.65</x:v>
      </x:c>
      <x:c r="J1410" s="6">
        <x:v>0</x:v>
      </x:c>
      <x:c r="K1410" s="6">
        <x:f t="shared" si="67"/>
        <x:v>165.65</x:v>
      </x:c>
      <x:c r="L1410" s="6">
        <x:v>0</x:v>
      </x:c>
      <x:c r="M1410" s="6">
        <x:v>0</x:v>
      </x:c>
      <x:c r="N1410" s="6">
        <x:f t="shared" si="68"/>
        <x:v>165.65</x:v>
      </x:c>
    </x:row>
    <x:row r="1411" spans="1:14" x14ac:dyDescent="0.25">
      <x:c r="A1411" t="s">
        <x:v>19</x:v>
      </x:c>
      <x:c r="B1411" s="3" t="s">
        <x:v>107</x:v>
      </x:c>
      <x:c r="C1411" s="3" t="s">
        <x:v>424</x:v>
      </x:c>
      <x:c r="D1411" t="s">
        <x:v>677</x:v>
      </x:c>
      <x:c r="E1411" s="6">
        <x:v>0</x:v>
      </x:c>
      <x:c r="F1411" s="6">
        <x:v>0</x:v>
      </x:c>
      <x:c r="G1411" s="6">
        <x:v>0</x:v>
      </x:c>
      <x:c r="H1411" s="6">
        <x:f t="shared" si="66"/>
        <x:v>0</x:v>
      </x:c>
      <x:c r="I1411" s="6">
        <x:v>1989.0299999999997</x:v>
      </x:c>
      <x:c r="J1411" s="6">
        <x:v>0</x:v>
      </x:c>
      <x:c r="K1411" s="6">
        <x:f t="shared" si="67"/>
        <x:v>1989.0299999999997</x:v>
      </x:c>
      <x:c r="L1411" s="6">
        <x:v>0</x:v>
      </x:c>
      <x:c r="M1411" s="6">
        <x:v>0</x:v>
      </x:c>
      <x:c r="N1411" s="6">
        <x:f t="shared" si="68"/>
        <x:v>1989.0299999999997</x:v>
      </x:c>
    </x:row>
    <x:row r="1412" spans="1:14" x14ac:dyDescent="0.25">
      <x:c r="A1412" t="s">
        <x:v>19</x:v>
      </x:c>
      <x:c r="B1412" s="3" t="s">
        <x:v>109</x:v>
      </x:c>
      <x:c r="C1412" s="3" t="s">
        <x:v>426</x:v>
      </x:c>
      <x:c r="D1412" t="s">
        <x:v>677</x:v>
      </x:c>
      <x:c r="E1412" s="6">
        <x:v>0</x:v>
      </x:c>
      <x:c r="F1412" s="6">
        <x:v>0</x:v>
      </x:c>
      <x:c r="G1412" s="6">
        <x:v>0</x:v>
      </x:c>
      <x:c r="H1412" s="6">
        <x:f t="shared" si="66"/>
        <x:v>0</x:v>
      </x:c>
      <x:c r="I1412" s="6">
        <x:v>70.64</x:v>
      </x:c>
      <x:c r="J1412" s="6">
        <x:v>0</x:v>
      </x:c>
      <x:c r="K1412" s="6">
        <x:f t="shared" si="67"/>
        <x:v>70.64</x:v>
      </x:c>
      <x:c r="L1412" s="6">
        <x:v>0</x:v>
      </x:c>
      <x:c r="M1412" s="6">
        <x:v>0</x:v>
      </x:c>
      <x:c r="N1412" s="6">
        <x:f t="shared" si="68"/>
        <x:v>70.64</x:v>
      </x:c>
    </x:row>
    <x:row r="1413" spans="1:14" x14ac:dyDescent="0.25">
      <x:c r="A1413" t="s">
        <x:v>19</x:v>
      </x:c>
      <x:c r="B1413" s="3" t="s">
        <x:v>113</x:v>
      </x:c>
      <x:c r="C1413" s="3" t="s">
        <x:v>430</x:v>
      </x:c>
      <x:c r="D1413" t="s">
        <x:v>676</x:v>
      </x:c>
      <x:c r="E1413" s="6">
        <x:v>0</x:v>
      </x:c>
      <x:c r="F1413" s="6">
        <x:v>0</x:v>
      </x:c>
      <x:c r="G1413" s="6">
        <x:v>0</x:v>
      </x:c>
      <x:c r="H1413" s="6">
        <x:f t="shared" si="66"/>
        <x:v>0</x:v>
      </x:c>
      <x:c r="I1413" s="6">
        <x:v>0</x:v>
      </x:c>
      <x:c r="J1413" s="6">
        <x:v>0</x:v>
      </x:c>
      <x:c r="K1413" s="6">
        <x:f t="shared" si="67"/>
        <x:v>0</x:v>
      </x:c>
      <x:c r="L1413" s="6">
        <x:v>86533.440000000017</x:v>
      </x:c>
      <x:c r="M1413" s="6">
        <x:v>0</x:v>
      </x:c>
      <x:c r="N1413" s="6">
        <x:f t="shared" si="68"/>
        <x:v>86533.440000000017</x:v>
      </x:c>
    </x:row>
    <x:row r="1414" spans="1:14" x14ac:dyDescent="0.25">
      <x:c r="A1414" t="s">
        <x:v>19</x:v>
      </x:c>
      <x:c r="B1414" s="3" t="s">
        <x:v>44</x:v>
      </x:c>
      <x:c r="C1414" s="3" t="s">
        <x:v>361</x:v>
      </x:c>
      <x:c r="D1414" t="s">
        <x:v>676</x:v>
      </x:c>
      <x:c r="E1414" s="6">
        <x:v>0</x:v>
      </x:c>
      <x:c r="F1414" s="6">
        <x:v>0</x:v>
      </x:c>
      <x:c r="G1414" s="6">
        <x:v>0</x:v>
      </x:c>
      <x:c r="H1414" s="6">
        <x:f t="shared" si="66"/>
        <x:v>0</x:v>
      </x:c>
      <x:c r="I1414" s="6">
        <x:v>0</x:v>
      </x:c>
      <x:c r="J1414" s="6">
        <x:v>0</x:v>
      </x:c>
      <x:c r="K1414" s="6">
        <x:f t="shared" si="67"/>
        <x:v>0</x:v>
      </x:c>
      <x:c r="L1414" s="6">
        <x:v>588307.52000000014</x:v>
      </x:c>
      <x:c r="M1414" s="6">
        <x:v>0</x:v>
      </x:c>
      <x:c r="N1414" s="6">
        <x:f t="shared" si="68"/>
        <x:v>588307.52000000014</x:v>
      </x:c>
    </x:row>
    <x:row r="1415" spans="1:14" x14ac:dyDescent="0.25">
      <x:c r="A1415" t="s">
        <x:v>19</x:v>
      </x:c>
      <x:c r="B1415" s="3" t="s">
        <x:v>115</x:v>
      </x:c>
      <x:c r="C1415" s="3" t="s">
        <x:v>432</x:v>
      </x:c>
      <x:c r="D1415" t="s">
        <x:v>676</x:v>
      </x:c>
      <x:c r="E1415" s="6">
        <x:v>0</x:v>
      </x:c>
      <x:c r="F1415" s="6">
        <x:v>0</x:v>
      </x:c>
      <x:c r="G1415" s="6">
        <x:v>0</x:v>
      </x:c>
      <x:c r="H1415" s="6">
        <x:f t="shared" si="66"/>
        <x:v>0</x:v>
      </x:c>
      <x:c r="I1415" s="6">
        <x:v>0</x:v>
      </x:c>
      <x:c r="J1415" s="6">
        <x:v>0</x:v>
      </x:c>
      <x:c r="K1415" s="6">
        <x:f t="shared" si="67"/>
        <x:v>0</x:v>
      </x:c>
      <x:c r="L1415" s="6">
        <x:v>378.4</x:v>
      </x:c>
      <x:c r="M1415" s="6">
        <x:v>0</x:v>
      </x:c>
      <x:c r="N1415" s="6">
        <x:f t="shared" si="68"/>
        <x:v>378.4</x:v>
      </x:c>
    </x:row>
    <x:row r="1416" spans="1:14" x14ac:dyDescent="0.25">
      <x:c r="A1416" t="s">
        <x:v>19</x:v>
      </x:c>
      <x:c r="B1416" s="3" t="s">
        <x:v>118</x:v>
      </x:c>
      <x:c r="C1416" s="3" t="s">
        <x:v>435</x:v>
      </x:c>
      <x:c r="D1416" t="s">
        <x:v>677</x:v>
      </x:c>
      <x:c r="E1416" s="6">
        <x:v>0</x:v>
      </x:c>
      <x:c r="F1416" s="6">
        <x:v>0</x:v>
      </x:c>
      <x:c r="G1416" s="6">
        <x:v>0</x:v>
      </x:c>
      <x:c r="H1416" s="6">
        <x:f t="shared" si="66"/>
        <x:v>0</x:v>
      </x:c>
      <x:c r="I1416" s="6">
        <x:v>78.03</x:v>
      </x:c>
      <x:c r="J1416" s="6">
        <x:v>0</x:v>
      </x:c>
      <x:c r="K1416" s="6">
        <x:f t="shared" si="67"/>
        <x:v>78.03</x:v>
      </x:c>
      <x:c r="L1416" s="6">
        <x:v>0</x:v>
      </x:c>
      <x:c r="M1416" s="6">
        <x:v>0</x:v>
      </x:c>
      <x:c r="N1416" s="6">
        <x:f t="shared" si="68"/>
        <x:v>78.03</x:v>
      </x:c>
    </x:row>
    <x:row r="1417" spans="1:14" x14ac:dyDescent="0.25">
      <x:c r="A1417" t="s">
        <x:v>19</x:v>
      </x:c>
      <x:c r="B1417" s="3" t="s">
        <x:v>229</x:v>
      </x:c>
      <x:c r="C1417" s="3" t="s">
        <x:v>544</x:v>
      </x:c>
      <x:c r="D1417" t="s">
        <x:v>677</x:v>
      </x:c>
      <x:c r="E1417" s="6">
        <x:v>0</x:v>
      </x:c>
      <x:c r="F1417" s="6">
        <x:v>0</x:v>
      </x:c>
      <x:c r="G1417" s="6">
        <x:v>0</x:v>
      </x:c>
      <x:c r="H1417" s="6">
        <x:f t="shared" si="66"/>
        <x:v>0</x:v>
      </x:c>
      <x:c r="I1417" s="6">
        <x:v>227.57</x:v>
      </x:c>
      <x:c r="J1417" s="6">
        <x:v>0</x:v>
      </x:c>
      <x:c r="K1417" s="6">
        <x:f t="shared" si="67"/>
        <x:v>227.57</x:v>
      </x:c>
      <x:c r="L1417" s="6">
        <x:v>0</x:v>
      </x:c>
      <x:c r="M1417" s="6">
        <x:v>0</x:v>
      </x:c>
      <x:c r="N1417" s="6">
        <x:f t="shared" si="68"/>
        <x:v>227.57</x:v>
      </x:c>
    </x:row>
    <x:row r="1418" spans="1:14" x14ac:dyDescent="0.25">
      <x:c r="A1418" t="s">
        <x:v>19</x:v>
      </x:c>
      <x:c r="B1418" t="s">
        <x:v>708</x:v>
      </x:c>
      <x:c r="C1418" t="s">
        <x:v>709</x:v>
      </x:c>
      <x:c r="D1418" t="s">
        <x:v>832</x:v>
      </x:c>
      <x:c r="E1418" s="6">
        <x:v>0</x:v>
      </x:c>
      <x:c r="F1418" s="6">
        <x:v>0</x:v>
      </x:c>
      <x:c r="G1418" s="6">
        <x:v>0</x:v>
      </x:c>
      <x:c r="H1418" s="6">
        <x:f t="shared" si="66"/>
        <x:v>0</x:v>
      </x:c>
      <x:c r="I1418" s="6">
        <x:v>434.32</x:v>
      </x:c>
      <x:c r="J1418" s="6">
        <x:v>0</x:v>
      </x:c>
      <x:c r="K1418" s="6">
        <x:f t="shared" si="67"/>
        <x:v>434.32</x:v>
      </x:c>
      <x:c r="L1418" s="6">
        <x:v>0</x:v>
      </x:c>
      <x:c r="M1418" s="6">
        <x:v>0</x:v>
      </x:c>
      <x:c r="N1418" s="6">
        <x:f t="shared" si="68"/>
        <x:v>434.32</x:v>
      </x:c>
    </x:row>
    <x:row r="1419" spans="1:14" x14ac:dyDescent="0.25">
      <x:c r="A1419" t="s">
        <x:v>19</x:v>
      </x:c>
      <x:c r="B1419" t="s">
        <x:v>730</x:v>
      </x:c>
      <x:c r="C1419" t="s">
        <x:v>731</x:v>
      </x:c>
      <x:c r="D1419" t="s">
        <x:v>677</x:v>
      </x:c>
      <x:c r="E1419" s="6">
        <x:v>0</x:v>
      </x:c>
      <x:c r="F1419" s="6">
        <x:v>0</x:v>
      </x:c>
      <x:c r="G1419" s="6">
        <x:v>0</x:v>
      </x:c>
      <x:c r="H1419" s="6">
        <x:f t="shared" si="66"/>
        <x:v>0</x:v>
      </x:c>
      <x:c r="I1419" s="6">
        <x:v>53.82</x:v>
      </x:c>
      <x:c r="J1419" s="6">
        <x:v>0</x:v>
      </x:c>
      <x:c r="K1419" s="6">
        <x:f t="shared" si="67"/>
        <x:v>53.82</x:v>
      </x:c>
      <x:c r="L1419" s="6">
        <x:v>0</x:v>
      </x:c>
      <x:c r="M1419" s="6">
        <x:v>0</x:v>
      </x:c>
      <x:c r="N1419" s="6">
        <x:f t="shared" si="68"/>
        <x:v>53.82</x:v>
      </x:c>
    </x:row>
    <x:row r="1420" spans="1:14" x14ac:dyDescent="0.25">
      <x:c r="A1420" t="s">
        <x:v>19</x:v>
      </x:c>
      <x:c r="B1420" t="s">
        <x:v>730</x:v>
      </x:c>
      <x:c r="C1420" t="s">
        <x:v>731</x:v>
      </x:c>
      <x:c r="D1420" t="s">
        <x:v>832</x:v>
      </x:c>
      <x:c r="E1420" s="6">
        <x:v>299.75</x:v>
      </x:c>
      <x:c r="F1420" s="6">
        <x:v>0</x:v>
      </x:c>
      <x:c r="G1420" s="6">
        <x:v>0</x:v>
      </x:c>
      <x:c r="H1420" s="6">
        <x:f t="shared" si="66"/>
        <x:v>299.75</x:v>
      </x:c>
      <x:c r="I1420" s="6">
        <x:v>0</x:v>
      </x:c>
      <x:c r="J1420" s="6">
        <x:v>0</x:v>
      </x:c>
      <x:c r="K1420" s="6">
        <x:f t="shared" si="67"/>
        <x:v>0</x:v>
      </x:c>
      <x:c r="L1420" s="6">
        <x:v>0</x:v>
      </x:c>
      <x:c r="M1420" s="6">
        <x:v>0</x:v>
      </x:c>
      <x:c r="N1420" s="6">
        <x:f t="shared" si="68"/>
        <x:v>299.75</x:v>
      </x:c>
    </x:row>
    <x:row r="1421" spans="1:14" x14ac:dyDescent="0.25">
      <x:c r="A1421" t="s">
        <x:v>19</x:v>
      </x:c>
      <x:c r="B1421" t="s">
        <x:v>738</x:v>
      </x:c>
      <x:c r="C1421" t="s">
        <x:v>739</x:v>
      </x:c>
      <x:c r="D1421" t="s">
        <x:v>832</x:v>
      </x:c>
      <x:c r="E1421" s="6">
        <x:v>6693.52</x:v>
      </x:c>
      <x:c r="F1421" s="6">
        <x:v>0</x:v>
      </x:c>
      <x:c r="G1421" s="6">
        <x:v>0</x:v>
      </x:c>
      <x:c r="H1421" s="6">
        <x:f t="shared" si="66"/>
        <x:v>6693.52</x:v>
      </x:c>
      <x:c r="I1421" s="6">
        <x:v>266.75</x:v>
      </x:c>
      <x:c r="J1421" s="6">
        <x:v>0</x:v>
      </x:c>
      <x:c r="K1421" s="6">
        <x:f t="shared" si="67"/>
        <x:v>266.75</x:v>
      </x:c>
      <x:c r="L1421" s="6">
        <x:v>0</x:v>
      </x:c>
      <x:c r="M1421" s="6">
        <x:v>0</x:v>
      </x:c>
      <x:c r="N1421" s="6">
        <x:f t="shared" si="68"/>
        <x:v>6960.27</x:v>
      </x:c>
    </x:row>
    <x:row r="1422" spans="1:14" x14ac:dyDescent="0.25">
      <x:c r="A1422" t="s">
        <x:v>19</x:v>
      </x:c>
      <x:c r="B1422" s="3" t="s">
        <x:v>122</x:v>
      </x:c>
      <x:c r="C1422" s="3" t="s">
        <x:v>439</x:v>
      </x:c>
      <x:c r="D1422" t="s">
        <x:v>677</x:v>
      </x:c>
      <x:c r="E1422" s="6">
        <x:v>0</x:v>
      </x:c>
      <x:c r="F1422" s="6">
        <x:v>0</x:v>
      </x:c>
      <x:c r="G1422" s="6">
        <x:v>0</x:v>
      </x:c>
      <x:c r="H1422" s="6">
        <x:f t="shared" si="66"/>
        <x:v>0</x:v>
      </x:c>
      <x:c r="I1422" s="6">
        <x:v>-27.17</x:v>
      </x:c>
      <x:c r="J1422" s="6">
        <x:v>0</x:v>
      </x:c>
      <x:c r="K1422" s="6">
        <x:f t="shared" si="67"/>
        <x:v>-27.17</x:v>
      </x:c>
      <x:c r="L1422" s="6">
        <x:v>0</x:v>
      </x:c>
      <x:c r="M1422" s="6">
        <x:v>0</x:v>
      </x:c>
      <x:c r="N1422" s="6">
        <x:f t="shared" si="68"/>
        <x:v>-27.17</x:v>
      </x:c>
    </x:row>
    <x:row r="1423" spans="1:14" x14ac:dyDescent="0.25">
      <x:c r="A1423" t="s">
        <x:v>19</x:v>
      </x:c>
      <x:c r="B1423" s="3" t="s">
        <x:v>124</x:v>
      </x:c>
      <x:c r="C1423" s="3" t="s">
        <x:v>441</x:v>
      </x:c>
      <x:c r="D1423" t="s">
        <x:v>677</x:v>
      </x:c>
      <x:c r="E1423" s="6">
        <x:v>0</x:v>
      </x:c>
      <x:c r="F1423" s="6">
        <x:v>0</x:v>
      </x:c>
      <x:c r="G1423" s="6">
        <x:v>0</x:v>
      </x:c>
      <x:c r="H1423" s="6">
        <x:f t="shared" si="66"/>
        <x:v>0</x:v>
      </x:c>
      <x:c r="I1423" s="6">
        <x:v>152.06</x:v>
      </x:c>
      <x:c r="J1423" s="6">
        <x:v>0</x:v>
      </x:c>
      <x:c r="K1423" s="6">
        <x:f t="shared" si="67"/>
        <x:v>152.06</x:v>
      </x:c>
      <x:c r="L1423" s="6">
        <x:v>0</x:v>
      </x:c>
      <x:c r="M1423" s="6">
        <x:v>0</x:v>
      </x:c>
      <x:c r="N1423" s="6">
        <x:f t="shared" si="68"/>
        <x:v>152.06</x:v>
      </x:c>
    </x:row>
    <x:row r="1424" spans="1:14" x14ac:dyDescent="0.25">
      <x:c r="A1424" t="s">
        <x:v>19</x:v>
      </x:c>
      <x:c r="B1424" s="3" t="s">
        <x:v>126</x:v>
      </x:c>
      <x:c r="C1424" s="3" t="s">
        <x:v>443</x:v>
      </x:c>
      <x:c r="D1424" t="s">
        <x:v>677</x:v>
      </x:c>
      <x:c r="E1424" s="6">
        <x:v>0</x:v>
      </x:c>
      <x:c r="F1424" s="6">
        <x:v>0</x:v>
      </x:c>
      <x:c r="G1424" s="6">
        <x:v>0</x:v>
      </x:c>
      <x:c r="H1424" s="6">
        <x:f t="shared" si="66"/>
        <x:v>0</x:v>
      </x:c>
      <x:c r="I1424" s="6">
        <x:v>12.14</x:v>
      </x:c>
      <x:c r="J1424" s="6">
        <x:v>0</x:v>
      </x:c>
      <x:c r="K1424" s="6">
        <x:f t="shared" si="67"/>
        <x:v>12.14</x:v>
      </x:c>
      <x:c r="L1424" s="6">
        <x:v>0</x:v>
      </x:c>
      <x:c r="M1424" s="6">
        <x:v>0</x:v>
      </x:c>
      <x:c r="N1424" s="6">
        <x:f t="shared" si="68"/>
        <x:v>12.14</x:v>
      </x:c>
    </x:row>
    <x:row r="1425" spans="1:14" x14ac:dyDescent="0.25">
      <x:c r="A1425" t="s">
        <x:v>19</x:v>
      </x:c>
      <x:c r="B1425" s="3" t="s">
        <x:v>230</x:v>
      </x:c>
      <x:c r="C1425" s="3" t="s">
        <x:v>545</x:v>
      </x:c>
      <x:c r="D1425" t="s">
        <x:v>677</x:v>
      </x:c>
      <x:c r="E1425" s="6">
        <x:v>0</x:v>
      </x:c>
      <x:c r="F1425" s="6">
        <x:v>0</x:v>
      </x:c>
      <x:c r="G1425" s="6">
        <x:v>0</x:v>
      </x:c>
      <x:c r="H1425" s="6">
        <x:f t="shared" si="66"/>
        <x:v>0</x:v>
      </x:c>
      <x:c r="I1425" s="6">
        <x:v>17.02</x:v>
      </x:c>
      <x:c r="J1425" s="6">
        <x:v>0</x:v>
      </x:c>
      <x:c r="K1425" s="6">
        <x:f t="shared" si="67"/>
        <x:v>17.02</x:v>
      </x:c>
      <x:c r="L1425" s="6">
        <x:v>0</x:v>
      </x:c>
      <x:c r="M1425" s="6">
        <x:v>0</x:v>
      </x:c>
      <x:c r="N1425" s="6">
        <x:f t="shared" si="68"/>
        <x:v>17.02</x:v>
      </x:c>
    </x:row>
    <x:row r="1426" spans="1:14" x14ac:dyDescent="0.25">
      <x:c r="A1426" t="s">
        <x:v>19</x:v>
      </x:c>
      <x:c r="B1426" s="3" t="s">
        <x:v>127</x:v>
      </x:c>
      <x:c r="C1426" s="3" t="s">
        <x:v>444</x:v>
      </x:c>
      <x:c r="D1426" t="s">
        <x:v>677</x:v>
      </x:c>
      <x:c r="E1426" s="6">
        <x:v>0</x:v>
      </x:c>
      <x:c r="F1426" s="6">
        <x:v>0</x:v>
      </x:c>
      <x:c r="G1426" s="6">
        <x:v>0</x:v>
      </x:c>
      <x:c r="H1426" s="6">
        <x:f t="shared" ref="H1426:H1489" si="70">SUM(E1426:G1426)</x:f>
        <x:v>0</x:v>
      </x:c>
      <x:c r="I1426" s="6">
        <x:v>383.75</x:v>
      </x:c>
      <x:c r="J1426" s="6">
        <x:v>0</x:v>
      </x:c>
      <x:c r="K1426" s="6">
        <x:f t="shared" ref="K1426:K1489" si="71">SUM(I1426:J1426)</x:f>
        <x:v>383.75</x:v>
      </x:c>
      <x:c r="L1426" s="6">
        <x:v>0</x:v>
      </x:c>
      <x:c r="M1426" s="6">
        <x:v>0</x:v>
      </x:c>
      <x:c r="N1426" s="6">
        <x:f t="shared" ref="N1426:N1489" si="72">+E1426+F1426+G1426+I1426+J1426+L1426+M1426</x:f>
        <x:v>383.75</x:v>
      </x:c>
    </x:row>
    <x:row r="1427" spans="1:14" x14ac:dyDescent="0.25">
      <x:c r="A1427" t="s">
        <x:v>19</x:v>
      </x:c>
      <x:c r="B1427" s="3" t="s">
        <x:v>131</x:v>
      </x:c>
      <x:c r="C1427" s="3" t="s">
        <x:v>448</x:v>
      </x:c>
      <x:c r="D1427" t="s">
        <x:v>677</x:v>
      </x:c>
      <x:c r="E1427" s="6">
        <x:v>0</x:v>
      </x:c>
      <x:c r="F1427" s="6">
        <x:v>0</x:v>
      </x:c>
      <x:c r="G1427" s="6">
        <x:v>0</x:v>
      </x:c>
      <x:c r="H1427" s="6">
        <x:f t="shared" si="70"/>
        <x:v>0</x:v>
      </x:c>
      <x:c r="I1427" s="6">
        <x:v>5910.3</x:v>
      </x:c>
      <x:c r="J1427" s="6">
        <x:v>0</x:v>
      </x:c>
      <x:c r="K1427" s="6">
        <x:f t="shared" si="71"/>
        <x:v>5910.3</x:v>
      </x:c>
      <x:c r="L1427" s="6">
        <x:v>0</x:v>
      </x:c>
      <x:c r="M1427" s="6">
        <x:v>0</x:v>
      </x:c>
      <x:c r="N1427" s="6">
        <x:f t="shared" si="72"/>
        <x:v>5910.3</x:v>
      </x:c>
    </x:row>
    <x:row r="1428" spans="1:14" x14ac:dyDescent="0.25">
      <x:c r="A1428" t="s">
        <x:v>19</x:v>
      </x:c>
      <x:c r="B1428" s="3" t="s">
        <x:v>134</x:v>
      </x:c>
      <x:c r="C1428" s="3" t="s">
        <x:v>451</x:v>
      </x:c>
      <x:c r="D1428" t="s">
        <x:v>677</x:v>
      </x:c>
      <x:c r="E1428" s="6">
        <x:v>0</x:v>
      </x:c>
      <x:c r="F1428" s="6">
        <x:v>0</x:v>
      </x:c>
      <x:c r="G1428" s="6">
        <x:v>0</x:v>
      </x:c>
      <x:c r="H1428" s="6">
        <x:f t="shared" si="70"/>
        <x:v>0</x:v>
      </x:c>
      <x:c r="I1428" s="6">
        <x:v>17886.32</x:v>
      </x:c>
      <x:c r="J1428" s="6">
        <x:v>0</x:v>
      </x:c>
      <x:c r="K1428" s="6">
        <x:f t="shared" si="71"/>
        <x:v>17886.32</x:v>
      </x:c>
      <x:c r="L1428" s="6">
        <x:v>0</x:v>
      </x:c>
      <x:c r="M1428" s="6">
        <x:v>0</x:v>
      </x:c>
      <x:c r="N1428" s="6">
        <x:f t="shared" si="72"/>
        <x:v>17886.32</x:v>
      </x:c>
    </x:row>
    <x:row r="1429" spans="1:14" x14ac:dyDescent="0.25">
      <x:c r="A1429" t="s">
        <x:v>19</x:v>
      </x:c>
      <x:c r="B1429" s="3" t="s">
        <x:v>137</x:v>
      </x:c>
      <x:c r="C1429" s="3" t="s">
        <x:v>454</x:v>
      </x:c>
      <x:c r="D1429" t="s">
        <x:v>677</x:v>
      </x:c>
      <x:c r="E1429" s="6">
        <x:v>0</x:v>
      </x:c>
      <x:c r="F1429" s="6">
        <x:v>0</x:v>
      </x:c>
      <x:c r="G1429" s="6">
        <x:v>0</x:v>
      </x:c>
      <x:c r="H1429" s="6">
        <x:f t="shared" si="70"/>
        <x:v>0</x:v>
      </x:c>
      <x:c r="I1429" s="6">
        <x:v>7034.4400000000005</x:v>
      </x:c>
      <x:c r="J1429" s="6">
        <x:v>0</x:v>
      </x:c>
      <x:c r="K1429" s="6">
        <x:f t="shared" si="71"/>
        <x:v>7034.4400000000005</x:v>
      </x:c>
      <x:c r="L1429" s="6">
        <x:v>0</x:v>
      </x:c>
      <x:c r="M1429" s="6">
        <x:v>0</x:v>
      </x:c>
      <x:c r="N1429" s="6">
        <x:f t="shared" si="72"/>
        <x:v>7034.4400000000005</x:v>
      </x:c>
    </x:row>
    <x:row r="1430" spans="1:14" x14ac:dyDescent="0.25">
      <x:c r="A1430" t="s">
        <x:v>19</x:v>
      </x:c>
      <x:c r="B1430" s="3" t="s">
        <x:v>138</x:v>
      </x:c>
      <x:c r="C1430" s="3" t="s">
        <x:v>455</x:v>
      </x:c>
      <x:c r="D1430" t="s">
        <x:v>677</x:v>
      </x:c>
      <x:c r="E1430" s="6">
        <x:v>0</x:v>
      </x:c>
      <x:c r="F1430" s="6">
        <x:v>0</x:v>
      </x:c>
      <x:c r="G1430" s="6">
        <x:v>0</x:v>
      </x:c>
      <x:c r="H1430" s="6">
        <x:f t="shared" si="70"/>
        <x:v>0</x:v>
      </x:c>
      <x:c r="I1430" s="6">
        <x:v>89.95</x:v>
      </x:c>
      <x:c r="J1430" s="6">
        <x:v>0</x:v>
      </x:c>
      <x:c r="K1430" s="6">
        <x:f t="shared" si="71"/>
        <x:v>89.95</x:v>
      </x:c>
      <x:c r="L1430" s="6">
        <x:v>0</x:v>
      </x:c>
      <x:c r="M1430" s="6">
        <x:v>0</x:v>
      </x:c>
      <x:c r="N1430" s="6">
        <x:f t="shared" si="72"/>
        <x:v>89.95</x:v>
      </x:c>
    </x:row>
    <x:row r="1431" spans="1:14" x14ac:dyDescent="0.25">
      <x:c r="A1431" t="s">
        <x:v>19</x:v>
      </x:c>
      <x:c r="B1431" s="3" t="s">
        <x:v>144</x:v>
      </x:c>
      <x:c r="C1431" s="3" t="s">
        <x:v>461</x:v>
      </x:c>
      <x:c r="D1431" t="s">
        <x:v>677</x:v>
      </x:c>
      <x:c r="E1431" s="6">
        <x:v>0</x:v>
      </x:c>
      <x:c r="F1431" s="6">
        <x:v>0</x:v>
      </x:c>
      <x:c r="G1431" s="6">
        <x:v>0</x:v>
      </x:c>
      <x:c r="H1431" s="6">
        <x:f t="shared" si="70"/>
        <x:v>0</x:v>
      </x:c>
      <x:c r="I1431" s="6">
        <x:v>5467.74</x:v>
      </x:c>
      <x:c r="J1431" s="6">
        <x:v>0</x:v>
      </x:c>
      <x:c r="K1431" s="6">
        <x:f t="shared" si="71"/>
        <x:v>5467.74</x:v>
      </x:c>
      <x:c r="L1431" s="6">
        <x:v>0</x:v>
      </x:c>
      <x:c r="M1431" s="6">
        <x:v>0</x:v>
      </x:c>
      <x:c r="N1431" s="6">
        <x:f t="shared" si="72"/>
        <x:v>5467.74</x:v>
      </x:c>
    </x:row>
    <x:row r="1432" spans="1:14" x14ac:dyDescent="0.25">
      <x:c r="A1432" t="s">
        <x:v>19</x:v>
      </x:c>
      <x:c r="B1432" s="3" t="s">
        <x:v>146</x:v>
      </x:c>
      <x:c r="C1432" s="3" t="s">
        <x:v>463</x:v>
      </x:c>
      <x:c r="D1432" t="s">
        <x:v>677</x:v>
      </x:c>
      <x:c r="E1432" s="6">
        <x:v>0</x:v>
      </x:c>
      <x:c r="F1432" s="6">
        <x:v>0</x:v>
      </x:c>
      <x:c r="G1432" s="6">
        <x:v>0</x:v>
      </x:c>
      <x:c r="H1432" s="6">
        <x:f t="shared" si="70"/>
        <x:v>0</x:v>
      </x:c>
      <x:c r="I1432" s="6">
        <x:v>349.11</x:v>
      </x:c>
      <x:c r="J1432" s="6">
        <x:v>0</x:v>
      </x:c>
      <x:c r="K1432" s="6">
        <x:f t="shared" si="71"/>
        <x:v>349.11</x:v>
      </x:c>
      <x:c r="L1432" s="6">
        <x:v>0</x:v>
      </x:c>
      <x:c r="M1432" s="6">
        <x:v>0</x:v>
      </x:c>
      <x:c r="N1432" s="6">
        <x:f t="shared" si="72"/>
        <x:v>349.11</x:v>
      </x:c>
    </x:row>
    <x:row r="1433" spans="1:14" x14ac:dyDescent="0.25">
      <x:c r="A1433" t="s">
        <x:v>19</x:v>
      </x:c>
      <x:c r="B1433" s="3" t="s">
        <x:v>147</x:v>
      </x:c>
      <x:c r="C1433" s="3" t="s">
        <x:v>464</x:v>
      </x:c>
      <x:c r="D1433" t="s">
        <x:v>677</x:v>
      </x:c>
      <x:c r="E1433" s="6">
        <x:v>0</x:v>
      </x:c>
      <x:c r="F1433" s="6">
        <x:v>0</x:v>
      </x:c>
      <x:c r="G1433" s="6">
        <x:v>0</x:v>
      </x:c>
      <x:c r="H1433" s="6">
        <x:f t="shared" si="70"/>
        <x:v>0</x:v>
      </x:c>
      <x:c r="I1433" s="6">
        <x:v>26.8</x:v>
      </x:c>
      <x:c r="J1433" s="6">
        <x:v>0</x:v>
      </x:c>
      <x:c r="K1433" s="6">
        <x:f t="shared" si="71"/>
        <x:v>26.8</x:v>
      </x:c>
      <x:c r="L1433" s="6">
        <x:v>0</x:v>
      </x:c>
      <x:c r="M1433" s="6">
        <x:v>0</x:v>
      </x:c>
      <x:c r="N1433" s="6">
        <x:f t="shared" si="72"/>
        <x:v>26.8</x:v>
      </x:c>
    </x:row>
    <x:row r="1434" spans="1:14" x14ac:dyDescent="0.25">
      <x:c r="A1434" t="s">
        <x:v>19</x:v>
      </x:c>
      <x:c r="B1434" s="3" t="s">
        <x:v>149</x:v>
      </x:c>
      <x:c r="C1434" s="3" t="s">
        <x:v>466</x:v>
      </x:c>
      <x:c r="D1434" t="s">
        <x:v>677</x:v>
      </x:c>
      <x:c r="E1434" s="6">
        <x:v>0</x:v>
      </x:c>
      <x:c r="F1434" s="6">
        <x:v>0</x:v>
      </x:c>
      <x:c r="G1434" s="6">
        <x:v>0</x:v>
      </x:c>
      <x:c r="H1434" s="6">
        <x:f t="shared" si="70"/>
        <x:v>0</x:v>
      </x:c>
      <x:c r="I1434" s="6">
        <x:v>41578.57</x:v>
      </x:c>
      <x:c r="J1434" s="6">
        <x:v>0</x:v>
      </x:c>
      <x:c r="K1434" s="6">
        <x:f t="shared" si="71"/>
        <x:v>41578.57</x:v>
      </x:c>
      <x:c r="L1434" s="6">
        <x:v>0</x:v>
      </x:c>
      <x:c r="M1434" s="6">
        <x:v>0</x:v>
      </x:c>
      <x:c r="N1434" s="6">
        <x:f t="shared" si="72"/>
        <x:v>41578.57</x:v>
      </x:c>
    </x:row>
    <x:row r="1435" spans="1:14" x14ac:dyDescent="0.25">
      <x:c r="A1435" t="s">
        <x:v>19</x:v>
      </x:c>
      <x:c r="B1435" s="3" t="s">
        <x:v>150</x:v>
      </x:c>
      <x:c r="C1435" s="3" t="s">
        <x:v>467</x:v>
      </x:c>
      <x:c r="D1435" t="s">
        <x:v>677</x:v>
      </x:c>
      <x:c r="E1435" s="6">
        <x:v>0</x:v>
      </x:c>
      <x:c r="F1435" s="6">
        <x:v>0</x:v>
      </x:c>
      <x:c r="G1435" s="6">
        <x:v>0</x:v>
      </x:c>
      <x:c r="H1435" s="6">
        <x:f t="shared" si="70"/>
        <x:v>0</x:v>
      </x:c>
      <x:c r="I1435" s="6">
        <x:v>107.58</x:v>
      </x:c>
      <x:c r="J1435" s="6">
        <x:v>0</x:v>
      </x:c>
      <x:c r="K1435" s="6">
        <x:f t="shared" si="71"/>
        <x:v>107.58</x:v>
      </x:c>
      <x:c r="L1435" s="6">
        <x:v>0</x:v>
      </x:c>
      <x:c r="M1435" s="6">
        <x:v>0</x:v>
      </x:c>
      <x:c r="N1435" s="6">
        <x:f t="shared" si="72"/>
        <x:v>107.58</x:v>
      </x:c>
    </x:row>
    <x:row r="1436" spans="1:14" x14ac:dyDescent="0.25">
      <x:c r="A1436" t="s">
        <x:v>19</x:v>
      </x:c>
      <x:c r="B1436" s="3" t="s">
        <x:v>152</x:v>
      </x:c>
      <x:c r="C1436" s="3" t="s">
        <x:v>469</x:v>
      </x:c>
      <x:c r="D1436" t="s">
        <x:v>677</x:v>
      </x:c>
      <x:c r="E1436" s="6">
        <x:v>0</x:v>
      </x:c>
      <x:c r="F1436" s="6">
        <x:v>0</x:v>
      </x:c>
      <x:c r="G1436" s="6">
        <x:v>0</x:v>
      </x:c>
      <x:c r="H1436" s="6">
        <x:f t="shared" si="70"/>
        <x:v>0</x:v>
      </x:c>
      <x:c r="I1436" s="6">
        <x:v>4310.6499999999996</x:v>
      </x:c>
      <x:c r="J1436" s="6">
        <x:v>0</x:v>
      </x:c>
      <x:c r="K1436" s="6">
        <x:f t="shared" si="71"/>
        <x:v>4310.6499999999996</x:v>
      </x:c>
      <x:c r="L1436" s="6">
        <x:v>0</x:v>
      </x:c>
      <x:c r="M1436" s="6">
        <x:v>0</x:v>
      </x:c>
      <x:c r="N1436" s="6">
        <x:f t="shared" si="72"/>
        <x:v>4310.6499999999996</x:v>
      </x:c>
    </x:row>
    <x:row r="1437" spans="1:14" x14ac:dyDescent="0.25">
      <x:c r="A1437" t="s">
        <x:v>19</x:v>
      </x:c>
      <x:c r="B1437" s="3" t="s">
        <x:v>153</x:v>
      </x:c>
      <x:c r="C1437" s="3" t="s">
        <x:v>470</x:v>
      </x:c>
      <x:c r="D1437" t="s">
        <x:v>677</x:v>
      </x:c>
      <x:c r="E1437" s="6">
        <x:v>0</x:v>
      </x:c>
      <x:c r="F1437" s="6">
        <x:v>0</x:v>
      </x:c>
      <x:c r="G1437" s="6">
        <x:v>0</x:v>
      </x:c>
      <x:c r="H1437" s="6">
        <x:f t="shared" si="70"/>
        <x:v>0</x:v>
      </x:c>
      <x:c r="I1437" s="6">
        <x:v>100928.45</x:v>
      </x:c>
      <x:c r="J1437" s="6">
        <x:v>0</x:v>
      </x:c>
      <x:c r="K1437" s="6">
        <x:f t="shared" si="71"/>
        <x:v>100928.45</x:v>
      </x:c>
      <x:c r="L1437" s="6">
        <x:v>0</x:v>
      </x:c>
      <x:c r="M1437" s="6">
        <x:v>0</x:v>
      </x:c>
      <x:c r="N1437" s="6">
        <x:f t="shared" si="72"/>
        <x:v>100928.45</x:v>
      </x:c>
    </x:row>
    <x:row r="1438" spans="1:14" x14ac:dyDescent="0.25">
      <x:c r="A1438" t="s">
        <x:v>19</x:v>
      </x:c>
      <x:c r="B1438" s="3" t="s">
        <x:v>155</x:v>
      </x:c>
      <x:c r="C1438" s="3" t="s">
        <x:v>472</x:v>
      </x:c>
      <x:c r="D1438" t="s">
        <x:v>677</x:v>
      </x:c>
      <x:c r="E1438" s="6">
        <x:v>0</x:v>
      </x:c>
      <x:c r="F1438" s="6">
        <x:v>0</x:v>
      </x:c>
      <x:c r="G1438" s="6">
        <x:v>0</x:v>
      </x:c>
      <x:c r="H1438" s="6">
        <x:f t="shared" si="70"/>
        <x:v>0</x:v>
      </x:c>
      <x:c r="I1438" s="6">
        <x:v>8575.59</x:v>
      </x:c>
      <x:c r="J1438" s="6">
        <x:v>0</x:v>
      </x:c>
      <x:c r="K1438" s="6">
        <x:f t="shared" si="71"/>
        <x:v>8575.59</x:v>
      </x:c>
      <x:c r="L1438" s="6">
        <x:v>0</x:v>
      </x:c>
      <x:c r="M1438" s="6">
        <x:v>0</x:v>
      </x:c>
      <x:c r="N1438" s="6">
        <x:f t="shared" si="72"/>
        <x:v>8575.59</x:v>
      </x:c>
    </x:row>
    <x:row r="1439" spans="1:14" x14ac:dyDescent="0.25">
      <x:c r="A1439" t="s">
        <x:v>19</x:v>
      </x:c>
      <x:c r="B1439" s="3" t="s">
        <x:v>45</x:v>
      </x:c>
      <x:c r="C1439" s="3" t="s">
        <x:v>362</x:v>
      </x:c>
      <x:c r="D1439" t="s">
        <x:v>677</x:v>
      </x:c>
      <x:c r="E1439" s="6">
        <x:v>0</x:v>
      </x:c>
      <x:c r="F1439" s="6">
        <x:v>0</x:v>
      </x:c>
      <x:c r="G1439" s="6">
        <x:v>0</x:v>
      </x:c>
      <x:c r="H1439" s="6">
        <x:f t="shared" si="70"/>
        <x:v>0</x:v>
      </x:c>
      <x:c r="I1439" s="6">
        <x:v>236135.36</x:v>
      </x:c>
      <x:c r="J1439" s="6">
        <x:v>0</x:v>
      </x:c>
      <x:c r="K1439" s="6">
        <x:f t="shared" si="71"/>
        <x:v>236135.36</x:v>
      </x:c>
      <x:c r="L1439" s="6">
        <x:v>0</x:v>
      </x:c>
      <x:c r="M1439" s="6">
        <x:v>0</x:v>
      </x:c>
      <x:c r="N1439" s="6">
        <x:f t="shared" si="72"/>
        <x:v>236135.36</x:v>
      </x:c>
    </x:row>
    <x:row r="1440" spans="1:14" x14ac:dyDescent="0.25">
      <x:c r="A1440" t="s">
        <x:v>19</x:v>
      </x:c>
      <x:c r="B1440" s="3" t="s">
        <x:v>156</x:v>
      </x:c>
      <x:c r="C1440" s="3" t="s">
        <x:v>473</x:v>
      </x:c>
      <x:c r="D1440" t="s">
        <x:v>677</x:v>
      </x:c>
      <x:c r="E1440" s="6">
        <x:v>0</x:v>
      </x:c>
      <x:c r="F1440" s="6">
        <x:v>0</x:v>
      </x:c>
      <x:c r="G1440" s="6">
        <x:v>0</x:v>
      </x:c>
      <x:c r="H1440" s="6">
        <x:f t="shared" si="70"/>
        <x:v>0</x:v>
      </x:c>
      <x:c r="I1440" s="6">
        <x:v>12.8</x:v>
      </x:c>
      <x:c r="J1440" s="6">
        <x:v>0</x:v>
      </x:c>
      <x:c r="K1440" s="6">
        <x:f t="shared" si="71"/>
        <x:v>12.8</x:v>
      </x:c>
      <x:c r="L1440" s="6">
        <x:v>0</x:v>
      </x:c>
      <x:c r="M1440" s="6">
        <x:v>0</x:v>
      </x:c>
      <x:c r="N1440" s="6">
        <x:f t="shared" si="72"/>
        <x:v>12.8</x:v>
      </x:c>
    </x:row>
    <x:row r="1441" spans="1:14" x14ac:dyDescent="0.25">
      <x:c r="A1441" t="s">
        <x:v>19</x:v>
      </x:c>
      <x:c r="B1441" s="3" t="s">
        <x:v>162</x:v>
      </x:c>
      <x:c r="C1441" s="3" t="s">
        <x:v>479</x:v>
      </x:c>
      <x:c r="D1441" t="s">
        <x:v>677</x:v>
      </x:c>
      <x:c r="E1441" s="6">
        <x:v>0</x:v>
      </x:c>
      <x:c r="F1441" s="6">
        <x:v>0</x:v>
      </x:c>
      <x:c r="G1441" s="6">
        <x:v>0</x:v>
      </x:c>
      <x:c r="H1441" s="6">
        <x:f t="shared" si="70"/>
        <x:v>0</x:v>
      </x:c>
      <x:c r="I1441" s="6">
        <x:v>115483.63999999998</x:v>
      </x:c>
      <x:c r="J1441" s="6">
        <x:v>0</x:v>
      </x:c>
      <x:c r="K1441" s="6">
        <x:f t="shared" si="71"/>
        <x:v>115483.63999999998</x:v>
      </x:c>
      <x:c r="L1441" s="6">
        <x:v>0</x:v>
      </x:c>
      <x:c r="M1441" s="6">
        <x:v>0</x:v>
      </x:c>
      <x:c r="N1441" s="6">
        <x:f t="shared" si="72"/>
        <x:v>115483.63999999998</x:v>
      </x:c>
    </x:row>
    <x:row r="1442" spans="1:14" x14ac:dyDescent="0.25">
      <x:c r="A1442" t="s">
        <x:v>19</x:v>
      </x:c>
      <x:c r="B1442" s="3" t="s">
        <x:v>164</x:v>
      </x:c>
      <x:c r="C1442" s="3" t="s">
        <x:v>481</x:v>
      </x:c>
      <x:c r="D1442" t="s">
        <x:v>677</x:v>
      </x:c>
      <x:c r="E1442" s="6">
        <x:v>0</x:v>
      </x:c>
      <x:c r="F1442" s="6">
        <x:v>0</x:v>
      </x:c>
      <x:c r="G1442" s="6">
        <x:v>0</x:v>
      </x:c>
      <x:c r="H1442" s="6">
        <x:f t="shared" si="70"/>
        <x:v>0</x:v>
      </x:c>
      <x:c r="I1442" s="6">
        <x:v>394.62</x:v>
      </x:c>
      <x:c r="J1442" s="6">
        <x:v>0</x:v>
      </x:c>
      <x:c r="K1442" s="6">
        <x:f t="shared" si="71"/>
        <x:v>394.62</x:v>
      </x:c>
      <x:c r="L1442" s="6">
        <x:v>0</x:v>
      </x:c>
      <x:c r="M1442" s="6">
        <x:v>0</x:v>
      </x:c>
      <x:c r="N1442" s="6">
        <x:f t="shared" si="72"/>
        <x:v>394.62</x:v>
      </x:c>
    </x:row>
    <x:row r="1443" spans="1:14" x14ac:dyDescent="0.25">
      <x:c r="A1443" t="s">
        <x:v>19</x:v>
      </x:c>
      <x:c r="B1443" s="3" t="s">
        <x:v>49</x:v>
      </x:c>
      <x:c r="C1443" s="3" t="s">
        <x:v>366</x:v>
      </x:c>
      <x:c r="D1443" t="s">
        <x:v>677</x:v>
      </x:c>
      <x:c r="E1443" s="6">
        <x:v>0</x:v>
      </x:c>
      <x:c r="F1443" s="6">
        <x:v>0</x:v>
      </x:c>
      <x:c r="G1443" s="6">
        <x:v>0</x:v>
      </x:c>
      <x:c r="H1443" s="6">
        <x:f t="shared" si="70"/>
        <x:v>0</x:v>
      </x:c>
      <x:c r="I1443" s="6">
        <x:v>37218.920000000013</x:v>
      </x:c>
      <x:c r="J1443" s="6">
        <x:v>0</x:v>
      </x:c>
      <x:c r="K1443" s="6">
        <x:f t="shared" si="71"/>
        <x:v>37218.920000000013</x:v>
      </x:c>
      <x:c r="L1443" s="6">
        <x:v>0</x:v>
      </x:c>
      <x:c r="M1443" s="6">
        <x:v>0</x:v>
      </x:c>
      <x:c r="N1443" s="6">
        <x:f t="shared" si="72"/>
        <x:v>37218.920000000013</x:v>
      </x:c>
    </x:row>
    <x:row r="1444" spans="1:14" x14ac:dyDescent="0.25">
      <x:c r="A1444" t="s">
        <x:v>19</x:v>
      </x:c>
      <x:c r="B1444" s="3" t="s">
        <x:v>59</x:v>
      </x:c>
      <x:c r="C1444" s="3" t="s">
        <x:v>376</x:v>
      </x:c>
      <x:c r="D1444" t="s">
        <x:v>677</x:v>
      </x:c>
      <x:c r="E1444" s="6">
        <x:v>0</x:v>
      </x:c>
      <x:c r="F1444" s="6">
        <x:v>0</x:v>
      </x:c>
      <x:c r="G1444" s="6">
        <x:v>0</x:v>
      </x:c>
      <x:c r="H1444" s="6">
        <x:f t="shared" si="70"/>
        <x:v>0</x:v>
      </x:c>
      <x:c r="I1444" s="6">
        <x:v>26565.14</x:v>
      </x:c>
      <x:c r="J1444" s="6">
        <x:v>0</x:v>
      </x:c>
      <x:c r="K1444" s="6">
        <x:f t="shared" si="71"/>
        <x:v>26565.14</x:v>
      </x:c>
      <x:c r="L1444" s="6">
        <x:v>0</x:v>
      </x:c>
      <x:c r="M1444" s="6">
        <x:v>0</x:v>
      </x:c>
      <x:c r="N1444" s="6">
        <x:f t="shared" si="72"/>
        <x:v>26565.14</x:v>
      </x:c>
    </x:row>
    <x:row r="1445" spans="1:14" x14ac:dyDescent="0.25">
      <x:c r="A1445" t="s">
        <x:v>19</x:v>
      </x:c>
      <x:c r="B1445" s="3" t="s">
        <x:v>169</x:v>
      </x:c>
      <x:c r="C1445" s="3" t="s">
        <x:v>485</x:v>
      </x:c>
      <x:c r="D1445" t="s">
        <x:v>677</x:v>
      </x:c>
      <x:c r="E1445" s="6">
        <x:v>0</x:v>
      </x:c>
      <x:c r="F1445" s="6">
        <x:v>0</x:v>
      </x:c>
      <x:c r="G1445" s="6">
        <x:v>0</x:v>
      </x:c>
      <x:c r="H1445" s="6">
        <x:f t="shared" si="70"/>
        <x:v>0</x:v>
      </x:c>
      <x:c r="I1445" s="6">
        <x:v>37.39</x:v>
      </x:c>
      <x:c r="J1445" s="6">
        <x:v>0</x:v>
      </x:c>
      <x:c r="K1445" s="6">
        <x:f t="shared" si="71"/>
        <x:v>37.39</x:v>
      </x:c>
      <x:c r="L1445" s="6">
        <x:v>0</x:v>
      </x:c>
      <x:c r="M1445" s="6">
        <x:v>0</x:v>
      </x:c>
      <x:c r="N1445" s="6">
        <x:f t="shared" si="72"/>
        <x:v>37.39</x:v>
      </x:c>
    </x:row>
    <x:row r="1446" spans="1:14" x14ac:dyDescent="0.25">
      <x:c r="A1446" t="s">
        <x:v>19</x:v>
      </x:c>
      <x:c r="B1446" s="3" t="s">
        <x:v>171</x:v>
      </x:c>
      <x:c r="C1446" s="3" t="s">
        <x:v>487</x:v>
      </x:c>
      <x:c r="D1446" t="s">
        <x:v>677</x:v>
      </x:c>
      <x:c r="E1446" s="6">
        <x:v>0</x:v>
      </x:c>
      <x:c r="F1446" s="6">
        <x:v>0</x:v>
      </x:c>
      <x:c r="G1446" s="6">
        <x:v>0</x:v>
      </x:c>
      <x:c r="H1446" s="6">
        <x:f t="shared" si="70"/>
        <x:v>0</x:v>
      </x:c>
      <x:c r="I1446" s="6">
        <x:v>21494.2</x:v>
      </x:c>
      <x:c r="J1446" s="6">
        <x:v>0</x:v>
      </x:c>
      <x:c r="K1446" s="6">
        <x:f t="shared" si="71"/>
        <x:v>21494.2</x:v>
      </x:c>
      <x:c r="L1446" s="6">
        <x:v>0</x:v>
      </x:c>
      <x:c r="M1446" s="6">
        <x:v>0</x:v>
      </x:c>
      <x:c r="N1446" s="6">
        <x:f t="shared" si="72"/>
        <x:v>21494.2</x:v>
      </x:c>
    </x:row>
    <x:row r="1447" spans="1:14" x14ac:dyDescent="0.25">
      <x:c r="A1447" t="s">
        <x:v>19</x:v>
      </x:c>
      <x:c r="B1447" s="3" t="s">
        <x:v>172</x:v>
      </x:c>
      <x:c r="C1447" s="3" t="s">
        <x:v>488</x:v>
      </x:c>
      <x:c r="D1447" t="s">
        <x:v>677</x:v>
      </x:c>
      <x:c r="E1447" s="6">
        <x:v>0</x:v>
      </x:c>
      <x:c r="F1447" s="6">
        <x:v>0</x:v>
      </x:c>
      <x:c r="G1447" s="6">
        <x:v>0</x:v>
      </x:c>
      <x:c r="H1447" s="6">
        <x:f t="shared" si="70"/>
        <x:v>0</x:v>
      </x:c>
      <x:c r="I1447" s="6">
        <x:v>76305.170000000013</x:v>
      </x:c>
      <x:c r="J1447" s="6">
        <x:v>0</x:v>
      </x:c>
      <x:c r="K1447" s="6">
        <x:f t="shared" si="71"/>
        <x:v>76305.170000000013</x:v>
      </x:c>
      <x:c r="L1447" s="6">
        <x:v>0</x:v>
      </x:c>
      <x:c r="M1447" s="6">
        <x:v>0</x:v>
      </x:c>
      <x:c r="N1447" s="6">
        <x:f t="shared" si="72"/>
        <x:v>76305.170000000013</x:v>
      </x:c>
    </x:row>
    <x:row r="1448" spans="1:14" x14ac:dyDescent="0.25">
      <x:c r="A1448" t="s">
        <x:v>19</x:v>
      </x:c>
      <x:c r="B1448" s="3" t="s">
        <x:v>173</x:v>
      </x:c>
      <x:c r="C1448" s="3" t="s">
        <x:v>489</x:v>
      </x:c>
      <x:c r="D1448" t="s">
        <x:v>677</x:v>
      </x:c>
      <x:c r="E1448" s="6">
        <x:v>0</x:v>
      </x:c>
      <x:c r="F1448" s="6">
        <x:v>0</x:v>
      </x:c>
      <x:c r="G1448" s="6">
        <x:v>0</x:v>
      </x:c>
      <x:c r="H1448" s="6">
        <x:f t="shared" si="70"/>
        <x:v>0</x:v>
      </x:c>
      <x:c r="I1448" s="6">
        <x:v>86563.650000000009</x:v>
      </x:c>
      <x:c r="J1448" s="6">
        <x:v>0</x:v>
      </x:c>
      <x:c r="K1448" s="6">
        <x:f t="shared" si="71"/>
        <x:v>86563.650000000009</x:v>
      </x:c>
      <x:c r="L1448" s="6">
        <x:v>0</x:v>
      </x:c>
      <x:c r="M1448" s="6">
        <x:v>0</x:v>
      </x:c>
      <x:c r="N1448" s="6">
        <x:f t="shared" si="72"/>
        <x:v>86563.650000000009</x:v>
      </x:c>
    </x:row>
    <x:row r="1449" spans="1:14" x14ac:dyDescent="0.25">
      <x:c r="A1449" t="s">
        <x:v>19</x:v>
      </x:c>
      <x:c r="B1449" s="3" t="s">
        <x:v>174</x:v>
      </x:c>
      <x:c r="C1449" s="3" t="s">
        <x:v>490</x:v>
      </x:c>
      <x:c r="D1449" t="s">
        <x:v>677</x:v>
      </x:c>
      <x:c r="E1449" s="6">
        <x:v>0</x:v>
      </x:c>
      <x:c r="F1449" s="6">
        <x:v>0</x:v>
      </x:c>
      <x:c r="G1449" s="6">
        <x:v>0</x:v>
      </x:c>
      <x:c r="H1449" s="6">
        <x:f t="shared" si="70"/>
        <x:v>0</x:v>
      </x:c>
      <x:c r="I1449" s="6">
        <x:v>133172.13</x:v>
      </x:c>
      <x:c r="J1449" s="6">
        <x:v>0</x:v>
      </x:c>
      <x:c r="K1449" s="6">
        <x:f t="shared" si="71"/>
        <x:v>133172.13</x:v>
      </x:c>
      <x:c r="L1449" s="6">
        <x:v>0</x:v>
      </x:c>
      <x:c r="M1449" s="6">
        <x:v>0</x:v>
      </x:c>
      <x:c r="N1449" s="6">
        <x:f t="shared" si="72"/>
        <x:v>133172.13</x:v>
      </x:c>
    </x:row>
    <x:row r="1450" spans="1:14" x14ac:dyDescent="0.25">
      <x:c r="A1450" t="s">
        <x:v>19</x:v>
      </x:c>
      <x:c r="B1450" s="3" t="s">
        <x:v>176</x:v>
      </x:c>
      <x:c r="C1450" s="3" t="s">
        <x:v>492</x:v>
      </x:c>
      <x:c r="D1450" t="s">
        <x:v>677</x:v>
      </x:c>
      <x:c r="E1450" s="6">
        <x:v>0</x:v>
      </x:c>
      <x:c r="F1450" s="6">
        <x:v>0</x:v>
      </x:c>
      <x:c r="G1450" s="6">
        <x:v>0</x:v>
      </x:c>
      <x:c r="H1450" s="6">
        <x:f t="shared" si="70"/>
        <x:v>0</x:v>
      </x:c>
      <x:c r="I1450" s="6">
        <x:v>67583.650000000009</x:v>
      </x:c>
      <x:c r="J1450" s="6">
        <x:v>0</x:v>
      </x:c>
      <x:c r="K1450" s="6">
        <x:f t="shared" si="71"/>
        <x:v>67583.650000000009</x:v>
      </x:c>
      <x:c r="L1450" s="6">
        <x:v>0</x:v>
      </x:c>
      <x:c r="M1450" s="6">
        <x:v>0</x:v>
      </x:c>
      <x:c r="N1450" s="6">
        <x:f t="shared" si="72"/>
        <x:v>67583.650000000009</x:v>
      </x:c>
    </x:row>
    <x:row r="1451" spans="1:14" x14ac:dyDescent="0.25">
      <x:c r="A1451" t="s">
        <x:v>19</x:v>
      </x:c>
      <x:c r="B1451" s="3" t="s">
        <x:v>177</x:v>
      </x:c>
      <x:c r="C1451" s="3" t="s">
        <x:v>493</x:v>
      </x:c>
      <x:c r="D1451" t="s">
        <x:v>677</x:v>
      </x:c>
      <x:c r="E1451" s="6">
        <x:v>0</x:v>
      </x:c>
      <x:c r="F1451" s="6">
        <x:v>0</x:v>
      </x:c>
      <x:c r="G1451" s="6">
        <x:v>0</x:v>
      </x:c>
      <x:c r="H1451" s="6">
        <x:f t="shared" si="70"/>
        <x:v>0</x:v>
      </x:c>
      <x:c r="I1451" s="6">
        <x:v>-214.04</x:v>
      </x:c>
      <x:c r="J1451" s="6">
        <x:v>0</x:v>
      </x:c>
      <x:c r="K1451" s="6">
        <x:f t="shared" si="71"/>
        <x:v>-214.04</x:v>
      </x:c>
      <x:c r="L1451" s="6">
        <x:v>0</x:v>
      </x:c>
      <x:c r="M1451" s="6">
        <x:v>0</x:v>
      </x:c>
      <x:c r="N1451" s="6">
        <x:f t="shared" si="72"/>
        <x:v>-214.04</x:v>
      </x:c>
    </x:row>
    <x:row r="1452" spans="1:14" x14ac:dyDescent="0.25">
      <x:c r="A1452" t="s">
        <x:v>19</x:v>
      </x:c>
      <x:c r="B1452" s="3" t="s">
        <x:v>178</x:v>
      </x:c>
      <x:c r="C1452" s="3" t="s">
        <x:v>494</x:v>
      </x:c>
      <x:c r="D1452" t="s">
        <x:v>677</x:v>
      </x:c>
      <x:c r="E1452" s="6">
        <x:v>0</x:v>
      </x:c>
      <x:c r="F1452" s="6">
        <x:v>0</x:v>
      </x:c>
      <x:c r="G1452" s="6">
        <x:v>0</x:v>
      </x:c>
      <x:c r="H1452" s="6">
        <x:f t="shared" si="70"/>
        <x:v>0</x:v>
      </x:c>
      <x:c r="I1452" s="6">
        <x:v>111.74</x:v>
      </x:c>
      <x:c r="J1452" s="6">
        <x:v>0</x:v>
      </x:c>
      <x:c r="K1452" s="6">
        <x:f t="shared" si="71"/>
        <x:v>111.74</x:v>
      </x:c>
      <x:c r="L1452" s="6">
        <x:v>0</x:v>
      </x:c>
      <x:c r="M1452" s="6">
        <x:v>0</x:v>
      </x:c>
      <x:c r="N1452" s="6">
        <x:f t="shared" si="72"/>
        <x:v>111.74</x:v>
      </x:c>
    </x:row>
    <x:row r="1453" spans="1:14" x14ac:dyDescent="0.25">
      <x:c r="A1453" t="s">
        <x:v>19</x:v>
      </x:c>
      <x:c r="B1453" s="3" t="s">
        <x:v>179</x:v>
      </x:c>
      <x:c r="C1453" s="3" t="s">
        <x:v>495</x:v>
      </x:c>
      <x:c r="D1453" t="s">
        <x:v>677</x:v>
      </x:c>
      <x:c r="E1453" s="6">
        <x:v>0</x:v>
      </x:c>
      <x:c r="F1453" s="6">
        <x:v>0</x:v>
      </x:c>
      <x:c r="G1453" s="6">
        <x:v>0</x:v>
      </x:c>
      <x:c r="H1453" s="6">
        <x:f t="shared" si="70"/>
        <x:v>0</x:v>
      </x:c>
      <x:c r="I1453" s="6">
        <x:v>57210.99</x:v>
      </x:c>
      <x:c r="J1453" s="6">
        <x:v>0</x:v>
      </x:c>
      <x:c r="K1453" s="6">
        <x:f t="shared" si="71"/>
        <x:v>57210.99</x:v>
      </x:c>
      <x:c r="L1453" s="6">
        <x:v>0</x:v>
      </x:c>
      <x:c r="M1453" s="6">
        <x:v>0</x:v>
      </x:c>
      <x:c r="N1453" s="6">
        <x:f t="shared" si="72"/>
        <x:v>57210.99</x:v>
      </x:c>
    </x:row>
    <x:row r="1454" spans="1:14" x14ac:dyDescent="0.25">
      <x:c r="A1454" t="s">
        <x:v>19</x:v>
      </x:c>
      <x:c r="B1454" s="3" t="s">
        <x:v>180</x:v>
      </x:c>
      <x:c r="C1454" s="3" t="s">
        <x:v>496</x:v>
      </x:c>
      <x:c r="D1454" t="s">
        <x:v>677</x:v>
      </x:c>
      <x:c r="E1454" s="6">
        <x:v>0</x:v>
      </x:c>
      <x:c r="F1454" s="6">
        <x:v>0</x:v>
      </x:c>
      <x:c r="G1454" s="6">
        <x:v>0</x:v>
      </x:c>
      <x:c r="H1454" s="6">
        <x:f t="shared" si="70"/>
        <x:v>0</x:v>
      </x:c>
      <x:c r="I1454" s="6">
        <x:v>46538.559999999998</x:v>
      </x:c>
      <x:c r="J1454" s="6">
        <x:v>0</x:v>
      </x:c>
      <x:c r="K1454" s="6">
        <x:f t="shared" si="71"/>
        <x:v>46538.559999999998</x:v>
      </x:c>
      <x:c r="L1454" s="6">
        <x:v>0</x:v>
      </x:c>
      <x:c r="M1454" s="6">
        <x:v>0</x:v>
      </x:c>
      <x:c r="N1454" s="6">
        <x:f t="shared" si="72"/>
        <x:v>46538.559999999998</x:v>
      </x:c>
    </x:row>
    <x:row r="1455" spans="1:14" x14ac:dyDescent="0.25">
      <x:c r="A1455" t="s">
        <x:v>19</x:v>
      </x:c>
      <x:c r="B1455" s="3" t="s">
        <x:v>181</x:v>
      </x:c>
      <x:c r="C1455" s="3" t="s">
        <x:v>497</x:v>
      </x:c>
      <x:c r="D1455" t="s">
        <x:v>677</x:v>
      </x:c>
      <x:c r="E1455" s="6">
        <x:v>0</x:v>
      </x:c>
      <x:c r="F1455" s="6">
        <x:v>0</x:v>
      </x:c>
      <x:c r="G1455" s="6">
        <x:v>0</x:v>
      </x:c>
      <x:c r="H1455" s="6">
        <x:f t="shared" si="70"/>
        <x:v>0</x:v>
      </x:c>
      <x:c r="I1455" s="6">
        <x:v>1351.35</x:v>
      </x:c>
      <x:c r="J1455" s="6">
        <x:v>0</x:v>
      </x:c>
      <x:c r="K1455" s="6">
        <x:f t="shared" si="71"/>
        <x:v>1351.35</x:v>
      </x:c>
      <x:c r="L1455" s="6">
        <x:v>0</x:v>
      </x:c>
      <x:c r="M1455" s="6">
        <x:v>0</x:v>
      </x:c>
      <x:c r="N1455" s="6">
        <x:f t="shared" si="72"/>
        <x:v>1351.35</x:v>
      </x:c>
    </x:row>
    <x:row r="1456" spans="1:14" x14ac:dyDescent="0.25">
      <x:c r="A1456" t="s">
        <x:v>19</x:v>
      </x:c>
      <x:c r="B1456" s="3" t="s">
        <x:v>183</x:v>
      </x:c>
      <x:c r="C1456" s="3" t="s">
        <x:v>499</x:v>
      </x:c>
      <x:c r="D1456" t="s">
        <x:v>677</x:v>
      </x:c>
      <x:c r="E1456" s="6">
        <x:v>0</x:v>
      </x:c>
      <x:c r="F1456" s="6">
        <x:v>0</x:v>
      </x:c>
      <x:c r="G1456" s="6">
        <x:v>0</x:v>
      </x:c>
      <x:c r="H1456" s="6">
        <x:f t="shared" si="70"/>
        <x:v>0</x:v>
      </x:c>
      <x:c r="I1456" s="6">
        <x:v>75621.319999999992</x:v>
      </x:c>
      <x:c r="J1456" s="6">
        <x:v>0</x:v>
      </x:c>
      <x:c r="K1456" s="6">
        <x:f t="shared" si="71"/>
        <x:v>75621.319999999992</x:v>
      </x:c>
      <x:c r="L1456" s="6">
        <x:v>0</x:v>
      </x:c>
      <x:c r="M1456" s="6">
        <x:v>0</x:v>
      </x:c>
      <x:c r="N1456" s="6">
        <x:f t="shared" si="72"/>
        <x:v>75621.319999999992</x:v>
      </x:c>
    </x:row>
    <x:row r="1457" spans="1:14" x14ac:dyDescent="0.25">
      <x:c r="A1457" t="s">
        <x:v>19</x:v>
      </x:c>
      <x:c r="B1457" s="3" t="s">
        <x:v>185</x:v>
      </x:c>
      <x:c r="C1457" s="3" t="s">
        <x:v>501</x:v>
      </x:c>
      <x:c r="D1457" t="s">
        <x:v>677</x:v>
      </x:c>
      <x:c r="E1457" s="6">
        <x:v>0</x:v>
      </x:c>
      <x:c r="F1457" s="6">
        <x:v>0</x:v>
      </x:c>
      <x:c r="G1457" s="6">
        <x:v>0</x:v>
      </x:c>
      <x:c r="H1457" s="6">
        <x:f t="shared" si="70"/>
        <x:v>0</x:v>
      </x:c>
      <x:c r="I1457" s="6">
        <x:v>39.57</x:v>
      </x:c>
      <x:c r="J1457" s="6">
        <x:v>0</x:v>
      </x:c>
      <x:c r="K1457" s="6">
        <x:f t="shared" si="71"/>
        <x:v>39.57</x:v>
      </x:c>
      <x:c r="L1457" s="6">
        <x:v>0</x:v>
      </x:c>
      <x:c r="M1457" s="6">
        <x:v>0</x:v>
      </x:c>
      <x:c r="N1457" s="6">
        <x:f t="shared" si="72"/>
        <x:v>39.57</x:v>
      </x:c>
    </x:row>
    <x:row r="1458" spans="1:14" x14ac:dyDescent="0.25">
      <x:c r="A1458" t="s">
        <x:v>19</x:v>
      </x:c>
      <x:c r="B1458" s="3" t="s">
        <x:v>186</x:v>
      </x:c>
      <x:c r="C1458" s="3" t="s">
        <x:v>502</x:v>
      </x:c>
      <x:c r="D1458" t="s">
        <x:v>677</x:v>
      </x:c>
      <x:c r="E1458" s="6">
        <x:v>0</x:v>
      </x:c>
      <x:c r="F1458" s="6">
        <x:v>0</x:v>
      </x:c>
      <x:c r="G1458" s="6">
        <x:v>0</x:v>
      </x:c>
      <x:c r="H1458" s="6">
        <x:f t="shared" si="70"/>
        <x:v>0</x:v>
      </x:c>
      <x:c r="I1458" s="6">
        <x:v>86767.96</x:v>
      </x:c>
      <x:c r="J1458" s="6">
        <x:v>0</x:v>
      </x:c>
      <x:c r="K1458" s="6">
        <x:f t="shared" si="71"/>
        <x:v>86767.96</x:v>
      </x:c>
      <x:c r="L1458" s="6">
        <x:v>0</x:v>
      </x:c>
      <x:c r="M1458" s="6">
        <x:v>0</x:v>
      </x:c>
      <x:c r="N1458" s="6">
        <x:f t="shared" si="72"/>
        <x:v>86767.96</x:v>
      </x:c>
    </x:row>
    <x:row r="1459" spans="1:14" x14ac:dyDescent="0.25">
      <x:c r="A1459" t="s">
        <x:v>19</x:v>
      </x:c>
      <x:c r="B1459" s="3" t="s">
        <x:v>188</x:v>
      </x:c>
      <x:c r="C1459" s="3" t="s">
        <x:v>504</x:v>
      </x:c>
      <x:c r="D1459" t="s">
        <x:v>677</x:v>
      </x:c>
      <x:c r="E1459" s="6">
        <x:v>0</x:v>
      </x:c>
      <x:c r="F1459" s="6">
        <x:v>0</x:v>
      </x:c>
      <x:c r="G1459" s="6">
        <x:v>0</x:v>
      </x:c>
      <x:c r="H1459" s="6">
        <x:f t="shared" si="70"/>
        <x:v>0</x:v>
      </x:c>
      <x:c r="I1459" s="6">
        <x:v>50563.67</x:v>
      </x:c>
      <x:c r="J1459" s="6">
        <x:v>0</x:v>
      </x:c>
      <x:c r="K1459" s="6">
        <x:f t="shared" si="71"/>
        <x:v>50563.67</x:v>
      </x:c>
      <x:c r="L1459" s="6">
        <x:v>0</x:v>
      </x:c>
      <x:c r="M1459" s="6">
        <x:v>0</x:v>
      </x:c>
      <x:c r="N1459" s="6">
        <x:f t="shared" si="72"/>
        <x:v>50563.67</x:v>
      </x:c>
    </x:row>
    <x:row r="1460" spans="1:14" x14ac:dyDescent="0.25">
      <x:c r="A1460" t="s">
        <x:v>19</x:v>
      </x:c>
      <x:c r="B1460" s="3" t="s">
        <x:v>236</x:v>
      </x:c>
      <x:c r="C1460" s="3" t="s">
        <x:v>551</x:v>
      </x:c>
      <x:c r="D1460" t="s">
        <x:v>677</x:v>
      </x:c>
      <x:c r="E1460" s="6">
        <x:v>0</x:v>
      </x:c>
      <x:c r="F1460" s="6">
        <x:v>0</x:v>
      </x:c>
      <x:c r="G1460" s="6">
        <x:v>0</x:v>
      </x:c>
      <x:c r="H1460" s="6">
        <x:f t="shared" si="70"/>
        <x:v>0</x:v>
      </x:c>
      <x:c r="I1460" s="6">
        <x:v>622.5</x:v>
      </x:c>
      <x:c r="J1460" s="6">
        <x:v>0</x:v>
      </x:c>
      <x:c r="K1460" s="6">
        <x:f t="shared" si="71"/>
        <x:v>622.5</x:v>
      </x:c>
      <x:c r="L1460" s="6">
        <x:v>0</x:v>
      </x:c>
      <x:c r="M1460" s="6">
        <x:v>0</x:v>
      </x:c>
      <x:c r="N1460" s="6">
        <x:f t="shared" si="72"/>
        <x:v>622.5</x:v>
      </x:c>
    </x:row>
    <x:row r="1461" spans="1:14" x14ac:dyDescent="0.25">
      <x:c r="A1461" t="s">
        <x:v>19</x:v>
      </x:c>
      <x:c r="B1461" s="3" t="s">
        <x:v>192</x:v>
      </x:c>
      <x:c r="C1461" s="3" t="s">
        <x:v>508</x:v>
      </x:c>
      <x:c r="D1461" t="s">
        <x:v>677</x:v>
      </x:c>
      <x:c r="E1461" s="6">
        <x:v>0</x:v>
      </x:c>
      <x:c r="F1461" s="6">
        <x:v>0</x:v>
      </x:c>
      <x:c r="G1461" s="6">
        <x:v>0</x:v>
      </x:c>
      <x:c r="H1461" s="6">
        <x:f t="shared" si="70"/>
        <x:v>0</x:v>
      </x:c>
      <x:c r="I1461" s="6">
        <x:v>3100.32</x:v>
      </x:c>
      <x:c r="J1461" s="6">
        <x:v>0</x:v>
      </x:c>
      <x:c r="K1461" s="6">
        <x:f t="shared" si="71"/>
        <x:v>3100.32</x:v>
      </x:c>
      <x:c r="L1461" s="6">
        <x:v>0</x:v>
      </x:c>
      <x:c r="M1461" s="6">
        <x:v>0</x:v>
      </x:c>
      <x:c r="N1461" s="6">
        <x:f t="shared" si="72"/>
        <x:v>3100.32</x:v>
      </x:c>
    </x:row>
    <x:row r="1462" spans="1:14" x14ac:dyDescent="0.25">
      <x:c r="A1462" t="s">
        <x:v>19</x:v>
      </x:c>
      <x:c r="B1462" s="3" t="s">
        <x:v>193</x:v>
      </x:c>
      <x:c r="C1462" s="3" t="s">
        <x:v>509</x:v>
      </x:c>
      <x:c r="D1462" t="s">
        <x:v>677</x:v>
      </x:c>
      <x:c r="E1462" s="6">
        <x:v>0</x:v>
      </x:c>
      <x:c r="F1462" s="6">
        <x:v>0</x:v>
      </x:c>
      <x:c r="G1462" s="6">
        <x:v>0</x:v>
      </x:c>
      <x:c r="H1462" s="6">
        <x:f t="shared" si="70"/>
        <x:v>0</x:v>
      </x:c>
      <x:c r="I1462" s="6">
        <x:v>227.88</x:v>
      </x:c>
      <x:c r="J1462" s="6">
        <x:v>0</x:v>
      </x:c>
      <x:c r="K1462" s="6">
        <x:f t="shared" si="71"/>
        <x:v>227.88</x:v>
      </x:c>
      <x:c r="L1462" s="6">
        <x:v>0</x:v>
      </x:c>
      <x:c r="M1462" s="6">
        <x:v>0</x:v>
      </x:c>
      <x:c r="N1462" s="6">
        <x:f t="shared" si="72"/>
        <x:v>227.88</x:v>
      </x:c>
    </x:row>
    <x:row r="1463" spans="1:14" x14ac:dyDescent="0.25">
      <x:c r="A1463" t="s">
        <x:v>19</x:v>
      </x:c>
      <x:c r="B1463" s="3" t="s">
        <x:v>194</x:v>
      </x:c>
      <x:c r="C1463" s="3" t="s">
        <x:v>510</x:v>
      </x:c>
      <x:c r="D1463" t="s">
        <x:v>677</x:v>
      </x:c>
      <x:c r="E1463" s="6">
        <x:v>0</x:v>
      </x:c>
      <x:c r="F1463" s="6">
        <x:v>0</x:v>
      </x:c>
      <x:c r="G1463" s="6">
        <x:v>0</x:v>
      </x:c>
      <x:c r="H1463" s="6">
        <x:f t="shared" si="70"/>
        <x:v>0</x:v>
      </x:c>
      <x:c r="I1463" s="6">
        <x:v>470.40999999999997</x:v>
      </x:c>
      <x:c r="J1463" s="6">
        <x:v>0</x:v>
      </x:c>
      <x:c r="K1463" s="6">
        <x:f t="shared" si="71"/>
        <x:v>470.40999999999997</x:v>
      </x:c>
      <x:c r="L1463" s="6">
        <x:v>0</x:v>
      </x:c>
      <x:c r="M1463" s="6">
        <x:v>0</x:v>
      </x:c>
      <x:c r="N1463" s="6">
        <x:f t="shared" si="72"/>
        <x:v>470.40999999999997</x:v>
      </x:c>
    </x:row>
    <x:row r="1464" spans="1:14" x14ac:dyDescent="0.25">
      <x:c r="A1464" t="s">
        <x:v>19</x:v>
      </x:c>
      <x:c r="B1464" s="3" t="s">
        <x:v>196</x:v>
      </x:c>
      <x:c r="C1464" s="3" t="s">
        <x:v>512</x:v>
      </x:c>
      <x:c r="D1464" t="s">
        <x:v>677</x:v>
      </x:c>
      <x:c r="E1464" s="6">
        <x:v>0</x:v>
      </x:c>
      <x:c r="F1464" s="6">
        <x:v>0</x:v>
      </x:c>
      <x:c r="G1464" s="6">
        <x:v>0</x:v>
      </x:c>
      <x:c r="H1464" s="6">
        <x:f t="shared" si="70"/>
        <x:v>0</x:v>
      </x:c>
      <x:c r="I1464" s="6">
        <x:v>723.22</x:v>
      </x:c>
      <x:c r="J1464" s="6">
        <x:v>0</x:v>
      </x:c>
      <x:c r="K1464" s="6">
        <x:f t="shared" si="71"/>
        <x:v>723.22</x:v>
      </x:c>
      <x:c r="L1464" s="6">
        <x:v>0</x:v>
      </x:c>
      <x:c r="M1464" s="6">
        <x:v>0</x:v>
      </x:c>
      <x:c r="N1464" s="6">
        <x:f t="shared" si="72"/>
        <x:v>723.22</x:v>
      </x:c>
    </x:row>
    <x:row r="1465" spans="1:14" x14ac:dyDescent="0.25">
      <x:c r="A1465" t="s">
        <x:v>19</x:v>
      </x:c>
      <x:c r="B1465" s="3" t="s">
        <x:v>63</x:v>
      </x:c>
      <x:c r="C1465" s="3" t="s">
        <x:v>380</x:v>
      </x:c>
      <x:c r="D1465" t="s">
        <x:v>677</x:v>
      </x:c>
      <x:c r="E1465" s="6">
        <x:v>0</x:v>
      </x:c>
      <x:c r="F1465" s="6">
        <x:v>0</x:v>
      </x:c>
      <x:c r="G1465" s="6">
        <x:v>0</x:v>
      </x:c>
      <x:c r="H1465" s="6">
        <x:f t="shared" si="70"/>
        <x:v>0</x:v>
      </x:c>
      <x:c r="I1465" s="6">
        <x:v>16408.64</x:v>
      </x:c>
      <x:c r="J1465" s="6">
        <x:v>0</x:v>
      </x:c>
      <x:c r="K1465" s="6">
        <x:f t="shared" si="71"/>
        <x:v>16408.64</x:v>
      </x:c>
      <x:c r="L1465" s="6">
        <x:v>0</x:v>
      </x:c>
      <x:c r="M1465" s="6">
        <x:v>0</x:v>
      </x:c>
      <x:c r="N1465" s="6">
        <x:f t="shared" si="72"/>
        <x:v>16408.64</x:v>
      </x:c>
    </x:row>
    <x:row r="1466" spans="1:14" x14ac:dyDescent="0.25">
      <x:c r="A1466" t="s">
        <x:v>19</x:v>
      </x:c>
      <x:c r="B1466" s="3" t="s">
        <x:v>199</x:v>
      </x:c>
      <x:c r="C1466" s="3" t="s">
        <x:v>515</x:v>
      </x:c>
      <x:c r="D1466" t="s">
        <x:v>677</x:v>
      </x:c>
      <x:c r="E1466" s="6">
        <x:v>0</x:v>
      </x:c>
      <x:c r="F1466" s="6">
        <x:v>0</x:v>
      </x:c>
      <x:c r="G1466" s="6">
        <x:v>0</x:v>
      </x:c>
      <x:c r="H1466" s="6">
        <x:f t="shared" si="70"/>
        <x:v>0</x:v>
      </x:c>
      <x:c r="I1466" s="6">
        <x:v>32531.72</x:v>
      </x:c>
      <x:c r="J1466" s="6">
        <x:v>0</x:v>
      </x:c>
      <x:c r="K1466" s="6">
        <x:f t="shared" si="71"/>
        <x:v>32531.72</x:v>
      </x:c>
      <x:c r="L1466" s="6">
        <x:v>0</x:v>
      </x:c>
      <x:c r="M1466" s="6">
        <x:v>0</x:v>
      </x:c>
      <x:c r="N1466" s="6">
        <x:f t="shared" si="72"/>
        <x:v>32531.72</x:v>
      </x:c>
    </x:row>
    <x:row r="1467" spans="1:14" x14ac:dyDescent="0.25">
      <x:c r="A1467" t="s">
        <x:v>19</x:v>
      </x:c>
      <x:c r="B1467" s="3" t="s">
        <x:v>200</x:v>
      </x:c>
      <x:c r="C1467" s="3" t="s">
        <x:v>516</x:v>
      </x:c>
      <x:c r="D1467" t="s">
        <x:v>677</x:v>
      </x:c>
      <x:c r="E1467" s="6">
        <x:v>0</x:v>
      </x:c>
      <x:c r="F1467" s="6">
        <x:v>0</x:v>
      </x:c>
      <x:c r="G1467" s="6">
        <x:v>0</x:v>
      </x:c>
      <x:c r="H1467" s="6">
        <x:f t="shared" si="70"/>
        <x:v>0</x:v>
      </x:c>
      <x:c r="I1467" s="6">
        <x:v>708.24</x:v>
      </x:c>
      <x:c r="J1467" s="6">
        <x:v>0</x:v>
      </x:c>
      <x:c r="K1467" s="6">
        <x:f t="shared" si="71"/>
        <x:v>708.24</x:v>
      </x:c>
      <x:c r="L1467" s="6">
        <x:v>0</x:v>
      </x:c>
      <x:c r="M1467" s="6">
        <x:v>0</x:v>
      </x:c>
      <x:c r="N1467" s="6">
        <x:f t="shared" si="72"/>
        <x:v>708.24</x:v>
      </x:c>
    </x:row>
    <x:row r="1468" spans="1:14" x14ac:dyDescent="0.25">
      <x:c r="A1468" t="s">
        <x:v>19</x:v>
      </x:c>
      <x:c r="B1468" s="3" t="s">
        <x:v>202</x:v>
      </x:c>
      <x:c r="C1468" s="3" t="s">
        <x:v>518</x:v>
      </x:c>
      <x:c r="D1468" t="s">
        <x:v>677</x:v>
      </x:c>
      <x:c r="E1468" s="6">
        <x:v>0</x:v>
      </x:c>
      <x:c r="F1468" s="6">
        <x:v>0</x:v>
      </x:c>
      <x:c r="G1468" s="6">
        <x:v>0</x:v>
      </x:c>
      <x:c r="H1468" s="6">
        <x:f t="shared" si="70"/>
        <x:v>0</x:v>
      </x:c>
      <x:c r="I1468" s="6">
        <x:v>5405.84</x:v>
      </x:c>
      <x:c r="J1468" s="6">
        <x:v>0</x:v>
      </x:c>
      <x:c r="K1468" s="6">
        <x:f t="shared" si="71"/>
        <x:v>5405.84</x:v>
      </x:c>
      <x:c r="L1468" s="6">
        <x:v>0</x:v>
      </x:c>
      <x:c r="M1468" s="6">
        <x:v>0</x:v>
      </x:c>
      <x:c r="N1468" s="6">
        <x:f t="shared" si="72"/>
        <x:v>5405.84</x:v>
      </x:c>
    </x:row>
    <x:row r="1469" spans="1:14" x14ac:dyDescent="0.25">
      <x:c r="A1469" t="s">
        <x:v>19</x:v>
      </x:c>
      <x:c r="B1469" s="3" t="s">
        <x:v>203</x:v>
      </x:c>
      <x:c r="C1469" s="3" t="s">
        <x:v>519</x:v>
      </x:c>
      <x:c r="D1469" t="s">
        <x:v>677</x:v>
      </x:c>
      <x:c r="E1469" s="6">
        <x:v>0</x:v>
      </x:c>
      <x:c r="F1469" s="6">
        <x:v>0</x:v>
      </x:c>
      <x:c r="G1469" s="6">
        <x:v>0</x:v>
      </x:c>
      <x:c r="H1469" s="6">
        <x:f t="shared" si="70"/>
        <x:v>0</x:v>
      </x:c>
      <x:c r="I1469" s="6">
        <x:v>79.3</x:v>
      </x:c>
      <x:c r="J1469" s="6">
        <x:v>0</x:v>
      </x:c>
      <x:c r="K1469" s="6">
        <x:f t="shared" si="71"/>
        <x:v>79.3</x:v>
      </x:c>
      <x:c r="L1469" s="6">
        <x:v>0</x:v>
      </x:c>
      <x:c r="M1469" s="6">
        <x:v>0</x:v>
      </x:c>
      <x:c r="N1469" s="6">
        <x:f t="shared" si="72"/>
        <x:v>79.3</x:v>
      </x:c>
    </x:row>
    <x:row r="1470" spans="1:14" x14ac:dyDescent="0.25">
      <x:c r="A1470" t="s">
        <x:v>19</x:v>
      </x:c>
      <x:c r="B1470" s="3" t="s">
        <x:v>50</x:v>
      </x:c>
      <x:c r="C1470" s="3" t="s">
        <x:v>367</x:v>
      </x:c>
      <x:c r="D1470" t="s">
        <x:v>677</x:v>
      </x:c>
      <x:c r="E1470" s="6">
        <x:v>0</x:v>
      </x:c>
      <x:c r="F1470" s="6">
        <x:v>0</x:v>
      </x:c>
      <x:c r="G1470" s="6">
        <x:v>0</x:v>
      </x:c>
      <x:c r="H1470" s="6">
        <x:f t="shared" si="70"/>
        <x:v>0</x:v>
      </x:c>
      <x:c r="I1470" s="6">
        <x:v>62287.81</x:v>
      </x:c>
      <x:c r="J1470" s="6">
        <x:v>0</x:v>
      </x:c>
      <x:c r="K1470" s="6">
        <x:f t="shared" si="71"/>
        <x:v>62287.81</x:v>
      </x:c>
      <x:c r="L1470" s="6">
        <x:v>0</x:v>
      </x:c>
      <x:c r="M1470" s="6">
        <x:v>0</x:v>
      </x:c>
      <x:c r="N1470" s="6">
        <x:f t="shared" si="72"/>
        <x:v>62287.81</x:v>
      </x:c>
    </x:row>
    <x:row r="1471" spans="1:14" x14ac:dyDescent="0.25">
      <x:c r="A1471" t="s">
        <x:v>19</x:v>
      </x:c>
      <x:c r="B1471" s="3" t="s">
        <x:v>239</x:v>
      </x:c>
      <x:c r="C1471" s="3" t="s">
        <x:v>554</x:v>
      </x:c>
      <x:c r="D1471" t="s">
        <x:v>677</x:v>
      </x:c>
      <x:c r="E1471" s="6">
        <x:v>0</x:v>
      </x:c>
      <x:c r="F1471" s="6">
        <x:v>0</x:v>
      </x:c>
      <x:c r="G1471" s="6">
        <x:v>0</x:v>
      </x:c>
      <x:c r="H1471" s="6">
        <x:f t="shared" si="70"/>
        <x:v>0</x:v>
      </x:c>
      <x:c r="I1471" s="6">
        <x:v>8817.2000000000007</x:v>
      </x:c>
      <x:c r="J1471" s="6">
        <x:v>0</x:v>
      </x:c>
      <x:c r="K1471" s="6">
        <x:f t="shared" si="71"/>
        <x:v>8817.2000000000007</x:v>
      </x:c>
      <x:c r="L1471" s="6">
        <x:v>0</x:v>
      </x:c>
      <x:c r="M1471" s="6">
        <x:v>0</x:v>
      </x:c>
      <x:c r="N1471" s="6">
        <x:f t="shared" si="72"/>
        <x:v>8817.2000000000007</x:v>
      </x:c>
    </x:row>
    <x:row r="1472" spans="1:14" x14ac:dyDescent="0.25">
      <x:c r="A1472" t="s">
        <x:v>19</x:v>
      </x:c>
      <x:c r="B1472" s="3" t="s">
        <x:v>204</x:v>
      </x:c>
      <x:c r="C1472" s="3" t="s">
        <x:v>520</x:v>
      </x:c>
      <x:c r="D1472" t="s">
        <x:v>677</x:v>
      </x:c>
      <x:c r="E1472" s="6">
        <x:v>0</x:v>
      </x:c>
      <x:c r="F1472" s="6">
        <x:v>0</x:v>
      </x:c>
      <x:c r="G1472" s="6">
        <x:v>0</x:v>
      </x:c>
      <x:c r="H1472" s="6">
        <x:f t="shared" si="70"/>
        <x:v>0</x:v>
      </x:c>
      <x:c r="I1472" s="6">
        <x:v>61951.170000000006</x:v>
      </x:c>
      <x:c r="J1472" s="6">
        <x:v>0</x:v>
      </x:c>
      <x:c r="K1472" s="6">
        <x:f t="shared" si="71"/>
        <x:v>61951.170000000006</x:v>
      </x:c>
      <x:c r="L1472" s="6">
        <x:v>0</x:v>
      </x:c>
      <x:c r="M1472" s="6">
        <x:v>0</x:v>
      </x:c>
      <x:c r="N1472" s="6">
        <x:f t="shared" si="72"/>
        <x:v>61951.170000000006</x:v>
      </x:c>
    </x:row>
    <x:row r="1473" spans="1:14" x14ac:dyDescent="0.25">
      <x:c r="A1473" t="s">
        <x:v>19</x:v>
      </x:c>
      <x:c r="B1473" s="3" t="s">
        <x:v>206</x:v>
      </x:c>
      <x:c r="C1473" s="3" t="s">
        <x:v>522</x:v>
      </x:c>
      <x:c r="D1473" t="s">
        <x:v>677</x:v>
      </x:c>
      <x:c r="E1473" s="6">
        <x:v>0</x:v>
      </x:c>
      <x:c r="F1473" s="6">
        <x:v>0</x:v>
      </x:c>
      <x:c r="G1473" s="6">
        <x:v>0</x:v>
      </x:c>
      <x:c r="H1473" s="6">
        <x:f t="shared" si="70"/>
        <x:v>0</x:v>
      </x:c>
      <x:c r="I1473" s="6">
        <x:v>170.74</x:v>
      </x:c>
      <x:c r="J1473" s="6">
        <x:v>0</x:v>
      </x:c>
      <x:c r="K1473" s="6">
        <x:f t="shared" si="71"/>
        <x:v>170.74</x:v>
      </x:c>
      <x:c r="L1473" s="6">
        <x:v>0</x:v>
      </x:c>
      <x:c r="M1473" s="6">
        <x:v>0</x:v>
      </x:c>
      <x:c r="N1473" s="6">
        <x:f t="shared" si="72"/>
        <x:v>170.74</x:v>
      </x:c>
    </x:row>
    <x:row r="1474" spans="1:14" x14ac:dyDescent="0.25">
      <x:c r="A1474" t="s">
        <x:v>19</x:v>
      </x:c>
      <x:c r="B1474" s="3" t="s">
        <x:v>207</x:v>
      </x:c>
      <x:c r="C1474" s="3" t="s">
        <x:v>523</x:v>
      </x:c>
      <x:c r="D1474" t="s">
        <x:v>677</x:v>
      </x:c>
      <x:c r="E1474" s="6">
        <x:v>0</x:v>
      </x:c>
      <x:c r="F1474" s="6">
        <x:v>0</x:v>
      </x:c>
      <x:c r="G1474" s="6">
        <x:v>0</x:v>
      </x:c>
      <x:c r="H1474" s="6">
        <x:f t="shared" si="70"/>
        <x:v>0</x:v>
      </x:c>
      <x:c r="I1474" s="6">
        <x:v>151425.23000000001</x:v>
      </x:c>
      <x:c r="J1474" s="6">
        <x:v>0</x:v>
      </x:c>
      <x:c r="K1474" s="6">
        <x:f t="shared" si="71"/>
        <x:v>151425.23000000001</x:v>
      </x:c>
      <x:c r="L1474" s="6">
        <x:v>0</x:v>
      </x:c>
      <x:c r="M1474" s="6">
        <x:v>0</x:v>
      </x:c>
      <x:c r="N1474" s="6">
        <x:f t="shared" si="72"/>
        <x:v>151425.23000000001</x:v>
      </x:c>
    </x:row>
    <x:row r="1475" spans="1:14" x14ac:dyDescent="0.25">
      <x:c r="A1475" t="s">
        <x:v>19</x:v>
      </x:c>
      <x:c r="B1475" s="3" t="s">
        <x:v>208</x:v>
      </x:c>
      <x:c r="C1475" s="3" t="s">
        <x:v>524</x:v>
      </x:c>
      <x:c r="D1475" t="s">
        <x:v>677</x:v>
      </x:c>
      <x:c r="E1475" s="6">
        <x:v>0</x:v>
      </x:c>
      <x:c r="F1475" s="6">
        <x:v>0</x:v>
      </x:c>
      <x:c r="G1475" s="6">
        <x:v>0</x:v>
      </x:c>
      <x:c r="H1475" s="6">
        <x:f t="shared" si="70"/>
        <x:v>0</x:v>
      </x:c>
      <x:c r="I1475" s="6">
        <x:v>2206.02</x:v>
      </x:c>
      <x:c r="J1475" s="6">
        <x:v>0</x:v>
      </x:c>
      <x:c r="K1475" s="6">
        <x:f t="shared" si="71"/>
        <x:v>2206.02</x:v>
      </x:c>
      <x:c r="L1475" s="6">
        <x:v>0</x:v>
      </x:c>
      <x:c r="M1475" s="6">
        <x:v>0</x:v>
      </x:c>
      <x:c r="N1475" s="6">
        <x:f t="shared" si="72"/>
        <x:v>2206.02</x:v>
      </x:c>
    </x:row>
    <x:row r="1476" spans="1:14" x14ac:dyDescent="0.25">
      <x:c r="A1476" t="s">
        <x:v>19</x:v>
      </x:c>
      <x:c r="B1476" s="3" t="s">
        <x:v>209</x:v>
      </x:c>
      <x:c r="C1476" s="3" t="s">
        <x:v>525</x:v>
      </x:c>
      <x:c r="D1476" t="s">
        <x:v>677</x:v>
      </x:c>
      <x:c r="E1476" s="6">
        <x:v>0</x:v>
      </x:c>
      <x:c r="F1476" s="6">
        <x:v>0</x:v>
      </x:c>
      <x:c r="G1476" s="6">
        <x:v>0</x:v>
      </x:c>
      <x:c r="H1476" s="6">
        <x:f t="shared" si="70"/>
        <x:v>0</x:v>
      </x:c>
      <x:c r="I1476" s="6">
        <x:v>18160.84</x:v>
      </x:c>
      <x:c r="J1476" s="6">
        <x:v>0</x:v>
      </x:c>
      <x:c r="K1476" s="6">
        <x:f t="shared" si="71"/>
        <x:v>18160.84</x:v>
      </x:c>
      <x:c r="L1476" s="6">
        <x:v>0</x:v>
      </x:c>
      <x:c r="M1476" s="6">
        <x:v>0</x:v>
      </x:c>
      <x:c r="N1476" s="6">
        <x:f t="shared" si="72"/>
        <x:v>18160.84</x:v>
      </x:c>
    </x:row>
    <x:row r="1477" spans="1:14" x14ac:dyDescent="0.25">
      <x:c r="A1477" t="s">
        <x:v>19</x:v>
      </x:c>
      <x:c r="B1477" s="3" t="s">
        <x:v>210</x:v>
      </x:c>
      <x:c r="C1477" s="3" t="s">
        <x:v>526</x:v>
      </x:c>
      <x:c r="D1477" t="s">
        <x:v>677</x:v>
      </x:c>
      <x:c r="E1477" s="6">
        <x:v>0</x:v>
      </x:c>
      <x:c r="F1477" s="6">
        <x:v>0</x:v>
      </x:c>
      <x:c r="G1477" s="6">
        <x:v>0</x:v>
      </x:c>
      <x:c r="H1477" s="6">
        <x:f t="shared" si="70"/>
        <x:v>0</x:v>
      </x:c>
      <x:c r="I1477" s="6">
        <x:v>25596.100000000002</x:v>
      </x:c>
      <x:c r="J1477" s="6">
        <x:v>0</x:v>
      </x:c>
      <x:c r="K1477" s="6">
        <x:f t="shared" si="71"/>
        <x:v>25596.100000000002</x:v>
      </x:c>
      <x:c r="L1477" s="6">
        <x:v>0</x:v>
      </x:c>
      <x:c r="M1477" s="6">
        <x:v>0</x:v>
      </x:c>
      <x:c r="N1477" s="6">
        <x:f t="shared" si="72"/>
        <x:v>25596.100000000002</x:v>
      </x:c>
    </x:row>
    <x:row r="1478" spans="1:14" x14ac:dyDescent="0.25">
      <x:c r="A1478" t="s">
        <x:v>19</x:v>
      </x:c>
      <x:c r="B1478" s="3" t="s">
        <x:v>289</x:v>
      </x:c>
      <x:c r="C1478" s="3" t="s">
        <x:v>604</x:v>
      </x:c>
      <x:c r="D1478" t="s">
        <x:v>677</x:v>
      </x:c>
      <x:c r="E1478" s="6">
        <x:v>0</x:v>
      </x:c>
      <x:c r="F1478" s="6">
        <x:v>0</x:v>
      </x:c>
      <x:c r="G1478" s="6">
        <x:v>0</x:v>
      </x:c>
      <x:c r="H1478" s="6">
        <x:f t="shared" si="70"/>
        <x:v>0</x:v>
      </x:c>
      <x:c r="I1478" s="6">
        <x:v>55.6</x:v>
      </x:c>
      <x:c r="J1478" s="6">
        <x:v>0</x:v>
      </x:c>
      <x:c r="K1478" s="6">
        <x:f t="shared" si="71"/>
        <x:v>55.6</x:v>
      </x:c>
      <x:c r="L1478" s="6">
        <x:v>0</x:v>
      </x:c>
      <x:c r="M1478" s="6">
        <x:v>0</x:v>
      </x:c>
      <x:c r="N1478" s="6">
        <x:f t="shared" si="72"/>
        <x:v>55.6</x:v>
      </x:c>
    </x:row>
    <x:row r="1479" spans="1:14" x14ac:dyDescent="0.25">
      <x:c r="A1479" t="s">
        <x:v>19</x:v>
      </x:c>
      <x:c r="B1479" s="3" t="s">
        <x:v>211</x:v>
      </x:c>
      <x:c r="C1479" s="3" t="s">
        <x:v>527</x:v>
      </x:c>
      <x:c r="D1479" t="s">
        <x:v>677</x:v>
      </x:c>
      <x:c r="E1479" s="6">
        <x:v>0</x:v>
      </x:c>
      <x:c r="F1479" s="6">
        <x:v>0</x:v>
      </x:c>
      <x:c r="G1479" s="6">
        <x:v>0</x:v>
      </x:c>
      <x:c r="H1479" s="6">
        <x:f t="shared" si="70"/>
        <x:v>0</x:v>
      </x:c>
      <x:c r="I1479" s="6">
        <x:v>39335.93</x:v>
      </x:c>
      <x:c r="J1479" s="6">
        <x:v>0</x:v>
      </x:c>
      <x:c r="K1479" s="6">
        <x:f t="shared" si="71"/>
        <x:v>39335.93</x:v>
      </x:c>
      <x:c r="L1479" s="6">
        <x:v>0</x:v>
      </x:c>
      <x:c r="M1479" s="6">
        <x:v>0</x:v>
      </x:c>
      <x:c r="N1479" s="6">
        <x:f t="shared" si="72"/>
        <x:v>39335.93</x:v>
      </x:c>
    </x:row>
    <x:row r="1480" spans="1:14" x14ac:dyDescent="0.25">
      <x:c r="A1480" t="s">
        <x:v>19</x:v>
      </x:c>
      <x:c r="B1480" s="3" t="s">
        <x:v>212</x:v>
      </x:c>
      <x:c r="C1480" s="3" t="s">
        <x:v>528</x:v>
      </x:c>
      <x:c r="D1480" t="s">
        <x:v>677</x:v>
      </x:c>
      <x:c r="E1480" s="6">
        <x:v>0</x:v>
      </x:c>
      <x:c r="F1480" s="6">
        <x:v>0</x:v>
      </x:c>
      <x:c r="G1480" s="6">
        <x:v>0</x:v>
      </x:c>
      <x:c r="H1480" s="6">
        <x:f t="shared" si="70"/>
        <x:v>0</x:v>
      </x:c>
      <x:c r="I1480" s="6">
        <x:v>36071.109999999993</x:v>
      </x:c>
      <x:c r="J1480" s="6">
        <x:v>0</x:v>
      </x:c>
      <x:c r="K1480" s="6">
        <x:f t="shared" si="71"/>
        <x:v>36071.109999999993</x:v>
      </x:c>
      <x:c r="L1480" s="6">
        <x:v>0</x:v>
      </x:c>
      <x:c r="M1480" s="6">
        <x:v>0</x:v>
      </x:c>
      <x:c r="N1480" s="6">
        <x:f t="shared" si="72"/>
        <x:v>36071.109999999993</x:v>
      </x:c>
    </x:row>
    <x:row r="1481" spans="1:14" x14ac:dyDescent="0.25">
      <x:c r="A1481" t="s">
        <x:v>19</x:v>
      </x:c>
      <x:c r="B1481" s="3" t="s">
        <x:v>64</x:v>
      </x:c>
      <x:c r="C1481" s="3" t="s">
        <x:v>381</x:v>
      </x:c>
      <x:c r="D1481" t="s">
        <x:v>677</x:v>
      </x:c>
      <x:c r="E1481" s="6">
        <x:v>0</x:v>
      </x:c>
      <x:c r="F1481" s="6">
        <x:v>0</x:v>
      </x:c>
      <x:c r="G1481" s="6">
        <x:v>0</x:v>
      </x:c>
      <x:c r="H1481" s="6">
        <x:f t="shared" si="70"/>
        <x:v>0</x:v>
      </x:c>
      <x:c r="I1481" s="6">
        <x:v>20408.04</x:v>
      </x:c>
      <x:c r="J1481" s="6">
        <x:v>0</x:v>
      </x:c>
      <x:c r="K1481" s="6">
        <x:f t="shared" si="71"/>
        <x:v>20408.04</x:v>
      </x:c>
      <x:c r="L1481" s="6">
        <x:v>0</x:v>
      </x:c>
      <x:c r="M1481" s="6">
        <x:v>0</x:v>
      </x:c>
      <x:c r="N1481" s="6">
        <x:f t="shared" si="72"/>
        <x:v>20408.04</x:v>
      </x:c>
    </x:row>
    <x:row r="1482" spans="1:14" x14ac:dyDescent="0.25">
      <x:c r="A1482" t="s">
        <x:v>19</x:v>
      </x:c>
      <x:c r="B1482" s="3" t="s">
        <x:v>213</x:v>
      </x:c>
      <x:c r="C1482" s="3" t="s">
        <x:v>529</x:v>
      </x:c>
      <x:c r="D1482" t="s">
        <x:v>677</x:v>
      </x:c>
      <x:c r="E1482" s="6">
        <x:v>0</x:v>
      </x:c>
      <x:c r="F1482" s="6">
        <x:v>0</x:v>
      </x:c>
      <x:c r="G1482" s="6">
        <x:v>0</x:v>
      </x:c>
      <x:c r="H1482" s="6">
        <x:f t="shared" si="70"/>
        <x:v>0</x:v>
      </x:c>
      <x:c r="I1482" s="6">
        <x:v>19215.72</x:v>
      </x:c>
      <x:c r="J1482" s="6">
        <x:v>0</x:v>
      </x:c>
      <x:c r="K1482" s="6">
        <x:f t="shared" si="71"/>
        <x:v>19215.72</x:v>
      </x:c>
      <x:c r="L1482" s="6">
        <x:v>0</x:v>
      </x:c>
      <x:c r="M1482" s="6">
        <x:v>0</x:v>
      </x:c>
      <x:c r="N1482" s="6">
        <x:f t="shared" si="72"/>
        <x:v>19215.72</x:v>
      </x:c>
    </x:row>
    <x:row r="1483" spans="1:14" x14ac:dyDescent="0.25">
      <x:c r="A1483" t="s">
        <x:v>19</x:v>
      </x:c>
      <x:c r="B1483" s="3" t="s">
        <x:v>214</x:v>
      </x:c>
      <x:c r="C1483" s="3" t="s">
        <x:v>530</x:v>
      </x:c>
      <x:c r="D1483" t="s">
        <x:v>677</x:v>
      </x:c>
      <x:c r="E1483" s="6">
        <x:v>0</x:v>
      </x:c>
      <x:c r="F1483" s="6">
        <x:v>0</x:v>
      </x:c>
      <x:c r="G1483" s="6">
        <x:v>0</x:v>
      </x:c>
      <x:c r="H1483" s="6">
        <x:f t="shared" si="70"/>
        <x:v>0</x:v>
      </x:c>
      <x:c r="I1483" s="6">
        <x:v>6251.72</x:v>
      </x:c>
      <x:c r="J1483" s="6">
        <x:v>0</x:v>
      </x:c>
      <x:c r="K1483" s="6">
        <x:f t="shared" si="71"/>
        <x:v>6251.72</x:v>
      </x:c>
      <x:c r="L1483" s="6">
        <x:v>0</x:v>
      </x:c>
      <x:c r="M1483" s="6">
        <x:v>0</x:v>
      </x:c>
      <x:c r="N1483" s="6">
        <x:f t="shared" si="72"/>
        <x:v>6251.72</x:v>
      </x:c>
    </x:row>
    <x:row r="1484" spans="1:14" x14ac:dyDescent="0.25">
      <x:c r="A1484" t="s">
        <x:v>19</x:v>
      </x:c>
      <x:c r="B1484" s="3" t="s">
        <x:v>215</x:v>
      </x:c>
      <x:c r="C1484" s="3" t="s">
        <x:v>531</x:v>
      </x:c>
      <x:c r="D1484" t="s">
        <x:v>677</x:v>
      </x:c>
      <x:c r="E1484" s="6">
        <x:v>0</x:v>
      </x:c>
      <x:c r="F1484" s="6">
        <x:v>0</x:v>
      </x:c>
      <x:c r="G1484" s="6">
        <x:v>0</x:v>
      </x:c>
      <x:c r="H1484" s="6">
        <x:f t="shared" si="70"/>
        <x:v>0</x:v>
      </x:c>
      <x:c r="I1484" s="6">
        <x:v>24663.280000000002</x:v>
      </x:c>
      <x:c r="J1484" s="6">
        <x:v>0</x:v>
      </x:c>
      <x:c r="K1484" s="6">
        <x:f t="shared" si="71"/>
        <x:v>24663.280000000002</x:v>
      </x:c>
      <x:c r="L1484" s="6">
        <x:v>0</x:v>
      </x:c>
      <x:c r="M1484" s="6">
        <x:v>0</x:v>
      </x:c>
      <x:c r="N1484" s="6">
        <x:f t="shared" si="72"/>
        <x:v>24663.280000000002</x:v>
      </x:c>
    </x:row>
    <x:row r="1485" spans="1:14" x14ac:dyDescent="0.25">
      <x:c r="A1485" t="s">
        <x:v>19</x:v>
      </x:c>
      <x:c r="B1485" s="3" t="s">
        <x:v>216</x:v>
      </x:c>
      <x:c r="C1485" s="3" t="s">
        <x:v>532</x:v>
      </x:c>
      <x:c r="D1485" t="s">
        <x:v>677</x:v>
      </x:c>
      <x:c r="E1485" s="6">
        <x:v>0</x:v>
      </x:c>
      <x:c r="F1485" s="6">
        <x:v>0</x:v>
      </x:c>
      <x:c r="G1485" s="6">
        <x:v>0</x:v>
      </x:c>
      <x:c r="H1485" s="6">
        <x:f t="shared" si="70"/>
        <x:v>0</x:v>
      </x:c>
      <x:c r="I1485" s="6">
        <x:v>3159.45</x:v>
      </x:c>
      <x:c r="J1485" s="6">
        <x:v>0</x:v>
      </x:c>
      <x:c r="K1485" s="6">
        <x:f t="shared" si="71"/>
        <x:v>3159.45</x:v>
      </x:c>
      <x:c r="L1485" s="6">
        <x:v>0</x:v>
      </x:c>
      <x:c r="M1485" s="6">
        <x:v>0</x:v>
      </x:c>
      <x:c r="N1485" s="6">
        <x:f t="shared" si="72"/>
        <x:v>3159.45</x:v>
      </x:c>
    </x:row>
    <x:row r="1486" spans="1:14" x14ac:dyDescent="0.25">
      <x:c r="A1486" t="s">
        <x:v>19</x:v>
      </x:c>
      <x:c r="B1486" s="3" t="s">
        <x:v>65</x:v>
      </x:c>
      <x:c r="C1486" s="3" t="s">
        <x:v>382</x:v>
      </x:c>
      <x:c r="D1486" t="s">
        <x:v>677</x:v>
      </x:c>
      <x:c r="E1486" s="6">
        <x:v>0</x:v>
      </x:c>
      <x:c r="F1486" s="6">
        <x:v>0</x:v>
      </x:c>
      <x:c r="G1486" s="6">
        <x:v>0</x:v>
      </x:c>
      <x:c r="H1486" s="6">
        <x:f t="shared" si="70"/>
        <x:v>0</x:v>
      </x:c>
      <x:c r="I1486" s="6">
        <x:v>27087.540000000005</x:v>
      </x:c>
      <x:c r="J1486" s="6">
        <x:v>0</x:v>
      </x:c>
      <x:c r="K1486" s="6">
        <x:f t="shared" si="71"/>
        <x:v>27087.540000000005</x:v>
      </x:c>
      <x:c r="L1486" s="6">
        <x:v>0</x:v>
      </x:c>
      <x:c r="M1486" s="6">
        <x:v>0</x:v>
      </x:c>
      <x:c r="N1486" s="6">
        <x:f t="shared" si="72"/>
        <x:v>27087.540000000005</x:v>
      </x:c>
    </x:row>
    <x:row r="1487" spans="1:14" x14ac:dyDescent="0.25">
      <x:c r="A1487" t="s">
        <x:v>19</x:v>
      </x:c>
      <x:c r="B1487" s="3" t="s">
        <x:v>217</x:v>
      </x:c>
      <x:c r="C1487" s="3" t="s">
        <x:v>533</x:v>
      </x:c>
      <x:c r="D1487" t="s">
        <x:v>677</x:v>
      </x:c>
      <x:c r="E1487" s="6">
        <x:v>0</x:v>
      </x:c>
      <x:c r="F1487" s="6">
        <x:v>0</x:v>
      </x:c>
      <x:c r="G1487" s="6">
        <x:v>0</x:v>
      </x:c>
      <x:c r="H1487" s="6">
        <x:f t="shared" si="70"/>
        <x:v>0</x:v>
      </x:c>
      <x:c r="I1487" s="6">
        <x:v>30158.510000000002</x:v>
      </x:c>
      <x:c r="J1487" s="6">
        <x:v>0</x:v>
      </x:c>
      <x:c r="K1487" s="6">
        <x:f t="shared" si="71"/>
        <x:v>30158.510000000002</x:v>
      </x:c>
      <x:c r="L1487" s="6">
        <x:v>0</x:v>
      </x:c>
      <x:c r="M1487" s="6">
        <x:v>0</x:v>
      </x:c>
      <x:c r="N1487" s="6">
        <x:f t="shared" si="72"/>
        <x:v>30158.510000000002</x:v>
      </x:c>
    </x:row>
    <x:row r="1488" spans="1:14" x14ac:dyDescent="0.25">
      <x:c r="A1488" t="s">
        <x:v>19</x:v>
      </x:c>
      <x:c r="B1488" s="3" t="s">
        <x:v>218</x:v>
      </x:c>
      <x:c r="C1488" s="3" t="s">
        <x:v>534</x:v>
      </x:c>
      <x:c r="D1488" t="s">
        <x:v>677</x:v>
      </x:c>
      <x:c r="E1488" s="6">
        <x:v>0</x:v>
      </x:c>
      <x:c r="F1488" s="6">
        <x:v>0</x:v>
      </x:c>
      <x:c r="G1488" s="6">
        <x:v>0</x:v>
      </x:c>
      <x:c r="H1488" s="6">
        <x:f t="shared" si="70"/>
        <x:v>0</x:v>
      </x:c>
      <x:c r="I1488" s="6">
        <x:v>302.22999999999996</x:v>
      </x:c>
      <x:c r="J1488" s="6">
        <x:v>0</x:v>
      </x:c>
      <x:c r="K1488" s="6">
        <x:f t="shared" si="71"/>
        <x:v>302.22999999999996</x:v>
      </x:c>
      <x:c r="L1488" s="6">
        <x:v>0</x:v>
      </x:c>
      <x:c r="M1488" s="6">
        <x:v>0</x:v>
      </x:c>
      <x:c r="N1488" s="6">
        <x:f t="shared" si="72"/>
        <x:v>302.22999999999996</x:v>
      </x:c>
    </x:row>
    <x:row r="1489" spans="1:14" x14ac:dyDescent="0.25">
      <x:c r="A1489" t="s">
        <x:v>19</x:v>
      </x:c>
      <x:c r="B1489" s="3" t="s">
        <x:v>220</x:v>
      </x:c>
      <x:c r="C1489" s="3" t="s">
        <x:v>536</x:v>
      </x:c>
      <x:c r="D1489" t="s">
        <x:v>677</x:v>
      </x:c>
      <x:c r="E1489" s="6">
        <x:v>0</x:v>
      </x:c>
      <x:c r="F1489" s="6">
        <x:v>0</x:v>
      </x:c>
      <x:c r="G1489" s="6">
        <x:v>0</x:v>
      </x:c>
      <x:c r="H1489" s="6">
        <x:f t="shared" si="70"/>
        <x:v>0</x:v>
      </x:c>
      <x:c r="I1489" s="6">
        <x:v>52758.549999999988</x:v>
      </x:c>
      <x:c r="J1489" s="6">
        <x:v>0</x:v>
      </x:c>
      <x:c r="K1489" s="6">
        <x:f t="shared" si="71"/>
        <x:v>52758.549999999988</x:v>
      </x:c>
      <x:c r="L1489" s="6">
        <x:v>0</x:v>
      </x:c>
      <x:c r="M1489" s="6">
        <x:v>0</x:v>
      </x:c>
      <x:c r="N1489" s="6">
        <x:f t="shared" si="72"/>
        <x:v>52758.549999999988</x:v>
      </x:c>
    </x:row>
    <x:row r="1490" spans="1:14" x14ac:dyDescent="0.25">
      <x:c r="A1490" t="s">
        <x:v>19</x:v>
      </x:c>
      <x:c r="B1490" s="3" t="s">
        <x:v>47</x:v>
      </x:c>
      <x:c r="C1490" s="3" t="s">
        <x:v>364</x:v>
      </x:c>
      <x:c r="D1490" t="s">
        <x:v>676</x:v>
      </x:c>
      <x:c r="E1490" s="6">
        <x:v>0</x:v>
      </x:c>
      <x:c r="F1490" s="6">
        <x:v>0</x:v>
      </x:c>
      <x:c r="G1490" s="6">
        <x:v>0</x:v>
      </x:c>
      <x:c r="H1490" s="6">
        <x:f t="shared" ref="H1490:H1553" si="73">SUM(E1490:G1490)</x:f>
        <x:v>0</x:v>
      </x:c>
      <x:c r="I1490" s="6">
        <x:v>564706.5</x:v>
      </x:c>
      <x:c r="J1490" s="6">
        <x:v>0</x:v>
      </x:c>
      <x:c r="K1490" s="6">
        <x:f t="shared" ref="K1490:K1553" si="74">SUM(I1490:J1490)</x:f>
        <x:v>564706.5</x:v>
      </x:c>
      <x:c r="L1490" s="6">
        <x:v>0</x:v>
      </x:c>
      <x:c r="M1490" s="6">
        <x:v>0</x:v>
      </x:c>
      <x:c r="N1490" s="6">
        <x:f t="shared" ref="N1490:N1553" si="75">+E1490+F1490+G1490+I1490+J1490+L1490+M1490</x:f>
        <x:v>564706.5</x:v>
      </x:c>
    </x:row>
    <x:row r="1491" spans="1:14" x14ac:dyDescent="0.25">
      <x:c r="A1491" t="s">
        <x:v>19</x:v>
      </x:c>
      <x:c r="B1491" s="3" t="s">
        <x:v>224</x:v>
      </x:c>
      <x:c r="C1491" s="3" t="s">
        <x:v>540</x:v>
      </x:c>
      <x:c r="D1491" t="s">
        <x:v>676</x:v>
      </x:c>
      <x:c r="E1491" s="6">
        <x:v>0</x:v>
      </x:c>
      <x:c r="F1491" s="6">
        <x:v>0</x:v>
      </x:c>
      <x:c r="G1491" s="6">
        <x:v>0</x:v>
      </x:c>
      <x:c r="H1491" s="6">
        <x:f t="shared" si="73"/>
        <x:v>0</x:v>
      </x:c>
      <x:c r="I1491" s="6">
        <x:v>0</x:v>
      </x:c>
      <x:c r="J1491" s="6">
        <x:v>0</x:v>
      </x:c>
      <x:c r="K1491" s="6">
        <x:f t="shared" si="74"/>
        <x:v>0</x:v>
      </x:c>
      <x:c r="L1491" s="6">
        <x:v>0</x:v>
      </x:c>
      <x:c r="M1491" s="6">
        <x:v>53.75</x:v>
      </x:c>
      <x:c r="N1491" s="6">
        <x:f t="shared" si="75"/>
        <x:v>53.75</x:v>
      </x:c>
    </x:row>
    <x:row r="1492" spans="1:14" x14ac:dyDescent="0.25">
      <x:c r="A1492" t="s">
        <x:v>19</x:v>
      </x:c>
      <x:c r="B1492" t="s">
        <x:v>755</x:v>
      </x:c>
      <x:c r="C1492" t="s">
        <x:v>756</x:v>
      </x:c>
      <x:c r="D1492" t="s">
        <x:v>676</x:v>
      </x:c>
      <x:c r="E1492" s="6">
        <x:v>27575</x:v>
      </x:c>
      <x:c r="F1492" s="6">
        <x:v>0</x:v>
      </x:c>
      <x:c r="G1492" s="6">
        <x:v>0</x:v>
      </x:c>
      <x:c r="H1492" s="6">
        <x:f t="shared" si="73"/>
        <x:v>27575</x:v>
      </x:c>
      <x:c r="I1492" s="6">
        <x:v>0</x:v>
      </x:c>
      <x:c r="J1492" s="6">
        <x:v>0</x:v>
      </x:c>
      <x:c r="K1492" s="6">
        <x:f t="shared" si="74"/>
        <x:v>0</x:v>
      </x:c>
      <x:c r="L1492" s="6">
        <x:v>0</x:v>
      </x:c>
      <x:c r="M1492" s="6">
        <x:v>0</x:v>
      </x:c>
      <x:c r="N1492" s="6">
        <x:f t="shared" si="75"/>
        <x:v>27575</x:v>
      </x:c>
    </x:row>
    <x:row r="1493" spans="1:14" x14ac:dyDescent="0.25">
      <x:c r="A1493" t="s">
        <x:v>19</x:v>
      </x:c>
      <x:c r="B1493" t="s">
        <x:v>839</x:v>
      </x:c>
      <x:c r="C1493" t="s">
        <x:v>840</x:v>
      </x:c>
      <x:c r="D1493" t="s">
        <x:v>841</x:v>
      </x:c>
      <x:c r="E1493" s="6">
        <x:v>0</x:v>
      </x:c>
      <x:c r="F1493" s="6">
        <x:v>318.04000000000002</x:v>
      </x:c>
      <x:c r="G1493" s="6">
        <x:v>0</x:v>
      </x:c>
      <x:c r="H1493" s="6">
        <x:f t="shared" si="73"/>
        <x:v>318.04000000000002</x:v>
      </x:c>
      <x:c r="I1493" s="6">
        <x:v>0</x:v>
      </x:c>
      <x:c r="J1493" s="6">
        <x:v>12.12</x:v>
      </x:c>
      <x:c r="K1493" s="6">
        <x:f t="shared" si="74"/>
        <x:v>12.12</x:v>
      </x:c>
      <x:c r="L1493" s="6">
        <x:v>0</x:v>
      </x:c>
      <x:c r="M1493" s="6">
        <x:v>0</x:v>
      </x:c>
      <x:c r="N1493" s="6">
        <x:f t="shared" si="75"/>
        <x:v>330.16</x:v>
      </x:c>
    </x:row>
    <x:row r="1494" spans="1:14" x14ac:dyDescent="0.25">
      <x:c r="A1494" t="s">
        <x:v>689</x:v>
      </x:c>
      <x:c r="B1494" t="s">
        <x:v>702</x:v>
      </x:c>
      <x:c r="C1494" t="s">
        <x:v>703</x:v>
      </x:c>
      <x:c r="D1494" t="s">
        <x:v>832</x:v>
      </x:c>
      <x:c r="E1494" s="6">
        <x:v>0</x:v>
      </x:c>
      <x:c r="F1494" s="6">
        <x:v>0</x:v>
      </x:c>
      <x:c r="G1494" s="6">
        <x:v>0</x:v>
      </x:c>
      <x:c r="H1494" s="6">
        <x:f t="shared" si="73"/>
        <x:v>0</x:v>
      </x:c>
      <x:c r="I1494" s="6">
        <x:v>2613.75</x:v>
      </x:c>
      <x:c r="J1494" s="6">
        <x:v>0</x:v>
      </x:c>
      <x:c r="K1494" s="6">
        <x:f t="shared" si="74"/>
        <x:v>2613.75</x:v>
      </x:c>
      <x:c r="L1494" s="6">
        <x:v>0</x:v>
      </x:c>
      <x:c r="M1494" s="6">
        <x:v>0</x:v>
      </x:c>
      <x:c r="N1494" s="6">
        <x:f t="shared" si="75"/>
        <x:v>2613.75</x:v>
      </x:c>
    </x:row>
    <x:row r="1495" spans="1:14" x14ac:dyDescent="0.25">
      <x:c r="A1495" t="s">
        <x:v>689</x:v>
      </x:c>
      <x:c r="B1495" t="s">
        <x:v>716</x:v>
      </x:c>
      <x:c r="C1495" t="s">
        <x:v>717</x:v>
      </x:c>
      <x:c r="D1495" t="s">
        <x:v>832</x:v>
      </x:c>
      <x:c r="E1495" s="6">
        <x:v>331.24</x:v>
      </x:c>
      <x:c r="F1495" s="6">
        <x:v>0</x:v>
      </x:c>
      <x:c r="G1495" s="6">
        <x:v>0</x:v>
      </x:c>
      <x:c r="H1495" s="6">
        <x:f t="shared" si="73"/>
        <x:v>331.24</x:v>
      </x:c>
      <x:c r="I1495" s="6">
        <x:v>3393.88</x:v>
      </x:c>
      <x:c r="J1495" s="6">
        <x:v>0</x:v>
      </x:c>
      <x:c r="K1495" s="6">
        <x:f t="shared" si="74"/>
        <x:v>3393.88</x:v>
      </x:c>
      <x:c r="L1495" s="6">
        <x:v>0</x:v>
      </x:c>
      <x:c r="M1495" s="6">
        <x:v>0</x:v>
      </x:c>
      <x:c r="N1495" s="6">
        <x:f t="shared" si="75"/>
        <x:v>3725.12</x:v>
      </x:c>
    </x:row>
    <x:row r="1496" spans="1:14" x14ac:dyDescent="0.25">
      <x:c r="A1496" t="s">
        <x:v>20</x:v>
      </x:c>
      <x:c r="B1496" t="s">
        <x:v>692</x:v>
      </x:c>
      <x:c r="C1496" t="s">
        <x:v>693</x:v>
      </x:c>
      <x:c r="D1496" t="s">
        <x:v>677</x:v>
      </x:c>
      <x:c r="E1496" s="6">
        <x:v>0</x:v>
      </x:c>
      <x:c r="F1496" s="6">
        <x:v>0</x:v>
      </x:c>
      <x:c r="G1496" s="6">
        <x:v>0</x:v>
      </x:c>
      <x:c r="H1496" s="6">
        <x:f t="shared" si="73"/>
        <x:v>0</x:v>
      </x:c>
      <x:c r="I1496" s="6">
        <x:v>30959.009999999995</x:v>
      </x:c>
      <x:c r="J1496" s="6">
        <x:v>0</x:v>
      </x:c>
      <x:c r="K1496" s="6">
        <x:f t="shared" si="74"/>
        <x:v>30959.009999999995</x:v>
      </x:c>
      <x:c r="L1496" s="6">
        <x:v>0</x:v>
      </x:c>
      <x:c r="M1496" s="6">
        <x:v>0</x:v>
      </x:c>
      <x:c r="N1496" s="6">
        <x:f t="shared" si="75"/>
        <x:v>30959.009999999995</x:v>
      </x:c>
    </x:row>
    <x:row r="1497" spans="1:14" x14ac:dyDescent="0.25">
      <x:c r="A1497" t="s">
        <x:v>20</x:v>
      </x:c>
      <x:c r="B1497" t="s">
        <x:v>692</x:v>
      </x:c>
      <x:c r="C1497" t="s">
        <x:v>693</x:v>
      </x:c>
      <x:c r="D1497" t="s">
        <x:v>832</x:v>
      </x:c>
      <x:c r="E1497" s="6">
        <x:v>115063.67999999999</x:v>
      </x:c>
      <x:c r="F1497" s="6">
        <x:v>0</x:v>
      </x:c>
      <x:c r="G1497" s="6">
        <x:v>0</x:v>
      </x:c>
      <x:c r="H1497" s="6">
        <x:f t="shared" si="73"/>
        <x:v>115063.67999999999</x:v>
      </x:c>
      <x:c r="I1497" s="6">
        <x:v>1853156.6700000009</x:v>
      </x:c>
      <x:c r="J1497" s="6">
        <x:v>0</x:v>
      </x:c>
      <x:c r="K1497" s="6">
        <x:f t="shared" si="74"/>
        <x:v>1853156.6700000009</x:v>
      </x:c>
      <x:c r="L1497" s="6">
        <x:v>0</x:v>
      </x:c>
      <x:c r="M1497" s="6">
        <x:v>0</x:v>
      </x:c>
      <x:c r="N1497" s="6">
        <x:f t="shared" si="75"/>
        <x:v>1968220.3500000008</x:v>
      </x:c>
    </x:row>
    <x:row r="1498" spans="1:14" x14ac:dyDescent="0.25">
      <x:c r="A1498" t="s">
        <x:v>20</x:v>
      </x:c>
      <x:c r="B1498" t="s">
        <x:v>694</x:v>
      </x:c>
      <x:c r="C1498" t="s">
        <x:v>695</x:v>
      </x:c>
      <x:c r="D1498" t="s">
        <x:v>677</x:v>
      </x:c>
      <x:c r="E1498" s="6">
        <x:v>0</x:v>
      </x:c>
      <x:c r="F1498" s="6">
        <x:v>0</x:v>
      </x:c>
      <x:c r="G1498" s="6">
        <x:v>0</x:v>
      </x:c>
      <x:c r="H1498" s="6">
        <x:f t="shared" si="73"/>
        <x:v>0</x:v>
      </x:c>
      <x:c r="I1498" s="6">
        <x:v>15233.560000000001</x:v>
      </x:c>
      <x:c r="J1498" s="6">
        <x:v>0</x:v>
      </x:c>
      <x:c r="K1498" s="6">
        <x:f t="shared" si="74"/>
        <x:v>15233.560000000001</x:v>
      </x:c>
      <x:c r="L1498" s="6">
        <x:v>0</x:v>
      </x:c>
      <x:c r="M1498" s="6">
        <x:v>0</x:v>
      </x:c>
      <x:c r="N1498" s="6">
        <x:f t="shared" si="75"/>
        <x:v>15233.560000000001</x:v>
      </x:c>
    </x:row>
    <x:row r="1499" spans="1:14" x14ac:dyDescent="0.25">
      <x:c r="A1499" t="s">
        <x:v>20</x:v>
      </x:c>
      <x:c r="B1499" t="s">
        <x:v>694</x:v>
      </x:c>
      <x:c r="C1499" t="s">
        <x:v>695</x:v>
      </x:c>
      <x:c r="D1499" t="s">
        <x:v>832</x:v>
      </x:c>
      <x:c r="E1499" s="6">
        <x:v>0</x:v>
      </x:c>
      <x:c r="F1499" s="6">
        <x:v>0</x:v>
      </x:c>
      <x:c r="G1499" s="6">
        <x:v>0</x:v>
      </x:c>
      <x:c r="H1499" s="6">
        <x:f t="shared" si="73"/>
        <x:v>0</x:v>
      </x:c>
      <x:c r="I1499" s="6">
        <x:v>58887.86</x:v>
      </x:c>
      <x:c r="J1499" s="6">
        <x:v>0</x:v>
      </x:c>
      <x:c r="K1499" s="6">
        <x:f t="shared" si="74"/>
        <x:v>58887.86</x:v>
      </x:c>
      <x:c r="L1499" s="6">
        <x:v>0</x:v>
      </x:c>
      <x:c r="M1499" s="6">
        <x:v>0</x:v>
      </x:c>
      <x:c r="N1499" s="6">
        <x:f t="shared" si="75"/>
        <x:v>58887.86</x:v>
      </x:c>
    </x:row>
    <x:row r="1500" spans="1:14" x14ac:dyDescent="0.25">
      <x:c r="A1500" t="s">
        <x:v>20</x:v>
      </x:c>
      <x:c r="B1500" t="s">
        <x:v>696</x:v>
      </x:c>
      <x:c r="C1500" t="s">
        <x:v>697</x:v>
      </x:c>
      <x:c r="D1500" t="s">
        <x:v>677</x:v>
      </x:c>
      <x:c r="E1500" s="6">
        <x:v>0</x:v>
      </x:c>
      <x:c r="F1500" s="6">
        <x:v>0</x:v>
      </x:c>
      <x:c r="G1500" s="6">
        <x:v>0</x:v>
      </x:c>
      <x:c r="H1500" s="6">
        <x:f t="shared" si="73"/>
        <x:v>0</x:v>
      </x:c>
      <x:c r="I1500" s="6">
        <x:v>12746.820000000002</x:v>
      </x:c>
      <x:c r="J1500" s="6">
        <x:v>0</x:v>
      </x:c>
      <x:c r="K1500" s="6">
        <x:f t="shared" si="74"/>
        <x:v>12746.820000000002</x:v>
      </x:c>
      <x:c r="L1500" s="6">
        <x:v>0</x:v>
      </x:c>
      <x:c r="M1500" s="6">
        <x:v>0</x:v>
      </x:c>
      <x:c r="N1500" s="6">
        <x:f t="shared" si="75"/>
        <x:v>12746.820000000002</x:v>
      </x:c>
    </x:row>
    <x:row r="1501" spans="1:14" x14ac:dyDescent="0.25">
      <x:c r="A1501" t="s">
        <x:v>20</x:v>
      </x:c>
      <x:c r="B1501" t="s">
        <x:v>696</x:v>
      </x:c>
      <x:c r="C1501" t="s">
        <x:v>697</x:v>
      </x:c>
      <x:c r="D1501" t="s">
        <x:v>832</x:v>
      </x:c>
      <x:c r="E1501" s="6">
        <x:v>10114.200000000003</x:v>
      </x:c>
      <x:c r="F1501" s="6">
        <x:v>0</x:v>
      </x:c>
      <x:c r="G1501" s="6">
        <x:v>0</x:v>
      </x:c>
      <x:c r="H1501" s="6">
        <x:f t="shared" si="73"/>
        <x:v>10114.200000000003</x:v>
      </x:c>
      <x:c r="I1501" s="6">
        <x:v>206130.99000000002</x:v>
      </x:c>
      <x:c r="J1501" s="6">
        <x:v>0</x:v>
      </x:c>
      <x:c r="K1501" s="6">
        <x:f t="shared" si="74"/>
        <x:v>206130.99000000002</x:v>
      </x:c>
      <x:c r="L1501" s="6">
        <x:v>0</x:v>
      </x:c>
      <x:c r="M1501" s="6">
        <x:v>0</x:v>
      </x:c>
      <x:c r="N1501" s="6">
        <x:f t="shared" si="75"/>
        <x:v>216245.19000000003</x:v>
      </x:c>
    </x:row>
    <x:row r="1502" spans="1:14" x14ac:dyDescent="0.25">
      <x:c r="A1502" t="s">
        <x:v>20</x:v>
      </x:c>
      <x:c r="B1502" t="s">
        <x:v>782</x:v>
      </x:c>
      <x:c r="C1502" t="s">
        <x:v>783</x:v>
      </x:c>
      <x:c r="D1502" t="s">
        <x:v>677</x:v>
      </x:c>
      <x:c r="E1502" s="6">
        <x:v>0</x:v>
      </x:c>
      <x:c r="F1502" s="6">
        <x:v>0</x:v>
      </x:c>
      <x:c r="G1502" s="6">
        <x:v>0</x:v>
      </x:c>
      <x:c r="H1502" s="6">
        <x:f t="shared" si="73"/>
        <x:v>0</x:v>
      </x:c>
      <x:c r="I1502" s="6">
        <x:v>1739.0700000000002</x:v>
      </x:c>
      <x:c r="J1502" s="6">
        <x:v>0</x:v>
      </x:c>
      <x:c r="K1502" s="6">
        <x:f t="shared" si="74"/>
        <x:v>1739.0700000000002</x:v>
      </x:c>
      <x:c r="L1502" s="6">
        <x:v>0</x:v>
      </x:c>
      <x:c r="M1502" s="6">
        <x:v>0</x:v>
      </x:c>
      <x:c r="N1502" s="6">
        <x:f t="shared" si="75"/>
        <x:v>1739.0700000000002</x:v>
      </x:c>
    </x:row>
    <x:row r="1503" spans="1:14" x14ac:dyDescent="0.25">
      <x:c r="A1503" t="s">
        <x:v>20</x:v>
      </x:c>
      <x:c r="B1503" t="s">
        <x:v>782</x:v>
      </x:c>
      <x:c r="C1503" t="s">
        <x:v>783</x:v>
      </x:c>
      <x:c r="D1503" t="s">
        <x:v>832</x:v>
      </x:c>
      <x:c r="E1503" s="6">
        <x:v>3063.1800000000003</x:v>
      </x:c>
      <x:c r="F1503" s="6">
        <x:v>0</x:v>
      </x:c>
      <x:c r="G1503" s="6">
        <x:v>0</x:v>
      </x:c>
      <x:c r="H1503" s="6">
        <x:f t="shared" si="73"/>
        <x:v>3063.1800000000003</x:v>
      </x:c>
      <x:c r="I1503" s="6">
        <x:v>60790.399999999987</x:v>
      </x:c>
      <x:c r="J1503" s="6">
        <x:v>0</x:v>
      </x:c>
      <x:c r="K1503" s="6">
        <x:f t="shared" si="74"/>
        <x:v>60790.399999999987</x:v>
      </x:c>
      <x:c r="L1503" s="6">
        <x:v>0</x:v>
      </x:c>
      <x:c r="M1503" s="6">
        <x:v>0</x:v>
      </x:c>
      <x:c r="N1503" s="6">
        <x:f t="shared" si="75"/>
        <x:v>63853.579999999987</x:v>
      </x:c>
    </x:row>
    <x:row r="1504" spans="1:14" x14ac:dyDescent="0.25">
      <x:c r="A1504" t="s">
        <x:v>20</x:v>
      </x:c>
      <x:c r="B1504" t="s">
        <x:v>784</x:v>
      </x:c>
      <x:c r="C1504" t="s">
        <x:v>785</x:v>
      </x:c>
      <x:c r="D1504" t="s">
        <x:v>677</x:v>
      </x:c>
      <x:c r="E1504" s="6">
        <x:v>0</x:v>
      </x:c>
      <x:c r="F1504" s="6">
        <x:v>0</x:v>
      </x:c>
      <x:c r="G1504" s="6">
        <x:v>0</x:v>
      </x:c>
      <x:c r="H1504" s="6">
        <x:f t="shared" si="73"/>
        <x:v>0</x:v>
      </x:c>
      <x:c r="I1504" s="6">
        <x:v>12433.279999999999</x:v>
      </x:c>
      <x:c r="J1504" s="6">
        <x:v>0</x:v>
      </x:c>
      <x:c r="K1504" s="6">
        <x:f t="shared" si="74"/>
        <x:v>12433.279999999999</x:v>
      </x:c>
      <x:c r="L1504" s="6">
        <x:v>0</x:v>
      </x:c>
      <x:c r="M1504" s="6">
        <x:v>0</x:v>
      </x:c>
      <x:c r="N1504" s="6">
        <x:f t="shared" si="75"/>
        <x:v>12433.279999999999</x:v>
      </x:c>
    </x:row>
    <x:row r="1505" spans="1:14" x14ac:dyDescent="0.25">
      <x:c r="A1505" t="s">
        <x:v>20</x:v>
      </x:c>
      <x:c r="B1505" t="s">
        <x:v>784</x:v>
      </x:c>
      <x:c r="C1505" t="s">
        <x:v>785</x:v>
      </x:c>
      <x:c r="D1505" t="s">
        <x:v>832</x:v>
      </x:c>
      <x:c r="E1505" s="6">
        <x:v>1460.1299999999999</x:v>
      </x:c>
      <x:c r="F1505" s="6">
        <x:v>0</x:v>
      </x:c>
      <x:c r="G1505" s="6">
        <x:v>0</x:v>
      </x:c>
      <x:c r="H1505" s="6">
        <x:f t="shared" si="73"/>
        <x:v>1460.1299999999999</x:v>
      </x:c>
      <x:c r="I1505" s="6">
        <x:v>128313.53000000001</x:v>
      </x:c>
      <x:c r="J1505" s="6">
        <x:v>0</x:v>
      </x:c>
      <x:c r="K1505" s="6">
        <x:f t="shared" si="74"/>
        <x:v>128313.53000000001</x:v>
      </x:c>
      <x:c r="L1505" s="6">
        <x:v>0</x:v>
      </x:c>
      <x:c r="M1505" s="6">
        <x:v>0</x:v>
      </x:c>
      <x:c r="N1505" s="6">
        <x:f t="shared" si="75"/>
        <x:v>129773.66000000002</x:v>
      </x:c>
    </x:row>
    <x:row r="1506" spans="1:14" x14ac:dyDescent="0.25">
      <x:c r="A1506" t="s">
        <x:v>20</x:v>
      </x:c>
      <x:c r="B1506" t="s">
        <x:v>786</x:v>
      </x:c>
      <x:c r="C1506" t="s">
        <x:v>787</x:v>
      </x:c>
      <x:c r="D1506" t="s">
        <x:v>677</x:v>
      </x:c>
      <x:c r="E1506" s="6">
        <x:v>0</x:v>
      </x:c>
      <x:c r="F1506" s="6">
        <x:v>0</x:v>
      </x:c>
      <x:c r="G1506" s="6">
        <x:v>0</x:v>
      </x:c>
      <x:c r="H1506" s="6">
        <x:f t="shared" si="73"/>
        <x:v>0</x:v>
      </x:c>
      <x:c r="I1506" s="6">
        <x:v>11051.85</x:v>
      </x:c>
      <x:c r="J1506" s="6">
        <x:v>0</x:v>
      </x:c>
      <x:c r="K1506" s="6">
        <x:f t="shared" si="74"/>
        <x:v>11051.85</x:v>
      </x:c>
      <x:c r="L1506" s="6">
        <x:v>0</x:v>
      </x:c>
      <x:c r="M1506" s="6">
        <x:v>0</x:v>
      </x:c>
      <x:c r="N1506" s="6">
        <x:f t="shared" si="75"/>
        <x:v>11051.85</x:v>
      </x:c>
    </x:row>
    <x:row r="1507" spans="1:14" x14ac:dyDescent="0.25">
      <x:c r="A1507" t="s">
        <x:v>20</x:v>
      </x:c>
      <x:c r="B1507" t="s">
        <x:v>786</x:v>
      </x:c>
      <x:c r="C1507" t="s">
        <x:v>787</x:v>
      </x:c>
      <x:c r="D1507" t="s">
        <x:v>832</x:v>
      </x:c>
      <x:c r="E1507" s="6">
        <x:v>1247.4100000000001</x:v>
      </x:c>
      <x:c r="F1507" s="6">
        <x:v>0</x:v>
      </x:c>
      <x:c r="G1507" s="6">
        <x:v>0</x:v>
      </x:c>
      <x:c r="H1507" s="6">
        <x:f t="shared" si="73"/>
        <x:v>1247.4100000000001</x:v>
      </x:c>
      <x:c r="I1507" s="6">
        <x:v>109258.21999999999</x:v>
      </x:c>
      <x:c r="J1507" s="6">
        <x:v>0</x:v>
      </x:c>
      <x:c r="K1507" s="6">
        <x:f t="shared" si="74"/>
        <x:v>109258.21999999999</x:v>
      </x:c>
      <x:c r="L1507" s="6">
        <x:v>0</x:v>
      </x:c>
      <x:c r="M1507" s="6">
        <x:v>0</x:v>
      </x:c>
      <x:c r="N1507" s="6">
        <x:f t="shared" si="75"/>
        <x:v>110505.62999999999</x:v>
      </x:c>
    </x:row>
    <x:row r="1508" spans="1:14" x14ac:dyDescent="0.25">
      <x:c r="A1508" t="s">
        <x:v>20</x:v>
      </x:c>
      <x:c r="B1508" t="s">
        <x:v>700</x:v>
      </x:c>
      <x:c r="C1508" t="s">
        <x:v>701</x:v>
      </x:c>
      <x:c r="D1508" t="s">
        <x:v>677</x:v>
      </x:c>
      <x:c r="E1508" s="6">
        <x:v>0</x:v>
      </x:c>
      <x:c r="F1508" s="6">
        <x:v>0</x:v>
      </x:c>
      <x:c r="G1508" s="6">
        <x:v>0</x:v>
      </x:c>
      <x:c r="H1508" s="6">
        <x:f t="shared" si="73"/>
        <x:v>0</x:v>
      </x:c>
      <x:c r="I1508" s="6">
        <x:v>45087.77</x:v>
      </x:c>
      <x:c r="J1508" s="6">
        <x:v>0</x:v>
      </x:c>
      <x:c r="K1508" s="6">
        <x:f t="shared" si="74"/>
        <x:v>45087.77</x:v>
      </x:c>
      <x:c r="L1508" s="6">
        <x:v>0</x:v>
      </x:c>
      <x:c r="M1508" s="6">
        <x:v>0</x:v>
      </x:c>
      <x:c r="N1508" s="6">
        <x:f t="shared" si="75"/>
        <x:v>45087.77</x:v>
      </x:c>
    </x:row>
    <x:row r="1509" spans="1:14" x14ac:dyDescent="0.25">
      <x:c r="A1509" t="s">
        <x:v>20</x:v>
      </x:c>
      <x:c r="B1509" t="s">
        <x:v>700</x:v>
      </x:c>
      <x:c r="C1509" t="s">
        <x:v>701</x:v>
      </x:c>
      <x:c r="D1509" t="s">
        <x:v>832</x:v>
      </x:c>
      <x:c r="E1509" s="6">
        <x:v>2929.75</x:v>
      </x:c>
      <x:c r="F1509" s="6">
        <x:v>0</x:v>
      </x:c>
      <x:c r="G1509" s="6">
        <x:v>0</x:v>
      </x:c>
      <x:c r="H1509" s="6">
        <x:f t="shared" si="73"/>
        <x:v>2929.75</x:v>
      </x:c>
      <x:c r="I1509" s="6">
        <x:v>638033.83000000007</x:v>
      </x:c>
      <x:c r="J1509" s="6">
        <x:v>0</x:v>
      </x:c>
      <x:c r="K1509" s="6">
        <x:f t="shared" si="74"/>
        <x:v>638033.83000000007</x:v>
      </x:c>
      <x:c r="L1509" s="6">
        <x:v>0</x:v>
      </x:c>
      <x:c r="M1509" s="6">
        <x:v>0</x:v>
      </x:c>
      <x:c r="N1509" s="6">
        <x:f t="shared" si="75"/>
        <x:v>640963.58000000007</x:v>
      </x:c>
    </x:row>
    <x:row r="1510" spans="1:14" x14ac:dyDescent="0.25">
      <x:c r="A1510" t="s">
        <x:v>20</x:v>
      </x:c>
      <x:c r="B1510" t="s">
        <x:v>702</x:v>
      </x:c>
      <x:c r="C1510" t="s">
        <x:v>703</x:v>
      </x:c>
      <x:c r="D1510" t="s">
        <x:v>677</x:v>
      </x:c>
      <x:c r="E1510" s="6">
        <x:v>0</x:v>
      </x:c>
      <x:c r="F1510" s="6">
        <x:v>0</x:v>
      </x:c>
      <x:c r="G1510" s="6">
        <x:v>0</x:v>
      </x:c>
      <x:c r="H1510" s="6">
        <x:f t="shared" si="73"/>
        <x:v>0</x:v>
      </x:c>
      <x:c r="I1510" s="6">
        <x:v>4559.6099999999988</x:v>
      </x:c>
      <x:c r="J1510" s="6">
        <x:v>0</x:v>
      </x:c>
      <x:c r="K1510" s="6">
        <x:f t="shared" si="74"/>
        <x:v>4559.6099999999988</x:v>
      </x:c>
      <x:c r="L1510" s="6">
        <x:v>0</x:v>
      </x:c>
      <x:c r="M1510" s="6">
        <x:v>0</x:v>
      </x:c>
      <x:c r="N1510" s="6">
        <x:f t="shared" si="75"/>
        <x:v>4559.6099999999988</x:v>
      </x:c>
    </x:row>
    <x:row r="1511" spans="1:14" x14ac:dyDescent="0.25">
      <x:c r="A1511" t="s">
        <x:v>20</x:v>
      </x:c>
      <x:c r="B1511" t="s">
        <x:v>702</x:v>
      </x:c>
      <x:c r="C1511" t="s">
        <x:v>703</x:v>
      </x:c>
      <x:c r="D1511" t="s">
        <x:v>832</x:v>
      </x:c>
      <x:c r="E1511" s="6">
        <x:v>123.98</x:v>
      </x:c>
      <x:c r="F1511" s="6">
        <x:v>0</x:v>
      </x:c>
      <x:c r="G1511" s="6">
        <x:v>0</x:v>
      </x:c>
      <x:c r="H1511" s="6">
        <x:f t="shared" si="73"/>
        <x:v>123.98</x:v>
      </x:c>
      <x:c r="I1511" s="6">
        <x:v>130431.31999999999</x:v>
      </x:c>
      <x:c r="J1511" s="6">
        <x:v>0</x:v>
      </x:c>
      <x:c r="K1511" s="6">
        <x:f t="shared" si="74"/>
        <x:v>130431.31999999999</x:v>
      </x:c>
      <x:c r="L1511" s="6">
        <x:v>0</x:v>
      </x:c>
      <x:c r="M1511" s="6">
        <x:v>0</x:v>
      </x:c>
      <x:c r="N1511" s="6">
        <x:f t="shared" si="75"/>
        <x:v>130555.29999999999</x:v>
      </x:c>
    </x:row>
    <x:row r="1512" spans="1:14" x14ac:dyDescent="0.25">
      <x:c r="A1512" t="s">
        <x:v>20</x:v>
      </x:c>
      <x:c r="B1512" t="s">
        <x:v>704</x:v>
      </x:c>
      <x:c r="C1512" t="s">
        <x:v>705</x:v>
      </x:c>
      <x:c r="D1512" t="s">
        <x:v>677</x:v>
      </x:c>
      <x:c r="E1512" s="6">
        <x:v>0</x:v>
      </x:c>
      <x:c r="F1512" s="6">
        <x:v>0</x:v>
      </x:c>
      <x:c r="G1512" s="6">
        <x:v>0</x:v>
      </x:c>
      <x:c r="H1512" s="6">
        <x:f t="shared" si="73"/>
        <x:v>0</x:v>
      </x:c>
      <x:c r="I1512" s="6">
        <x:v>13907.900000000001</x:v>
      </x:c>
      <x:c r="J1512" s="6">
        <x:v>0</x:v>
      </x:c>
      <x:c r="K1512" s="6">
        <x:f t="shared" si="74"/>
        <x:v>13907.900000000001</x:v>
      </x:c>
      <x:c r="L1512" s="6">
        <x:v>0</x:v>
      </x:c>
      <x:c r="M1512" s="6">
        <x:v>0</x:v>
      </x:c>
      <x:c r="N1512" s="6">
        <x:f t="shared" si="75"/>
        <x:v>13907.900000000001</x:v>
      </x:c>
    </x:row>
    <x:row r="1513" spans="1:14" x14ac:dyDescent="0.25">
      <x:c r="A1513" t="s">
        <x:v>20</x:v>
      </x:c>
      <x:c r="B1513" t="s">
        <x:v>704</x:v>
      </x:c>
      <x:c r="C1513" t="s">
        <x:v>705</x:v>
      </x:c>
      <x:c r="D1513" t="s">
        <x:v>832</x:v>
      </x:c>
      <x:c r="E1513" s="6">
        <x:v>0</x:v>
      </x:c>
      <x:c r="F1513" s="6">
        <x:v>0</x:v>
      </x:c>
      <x:c r="G1513" s="6">
        <x:v>0</x:v>
      </x:c>
      <x:c r="H1513" s="6">
        <x:f t="shared" si="73"/>
        <x:v>0</x:v>
      </x:c>
      <x:c r="I1513" s="6">
        <x:v>165899.72000000003</x:v>
      </x:c>
      <x:c r="J1513" s="6">
        <x:v>0</x:v>
      </x:c>
      <x:c r="K1513" s="6">
        <x:f t="shared" si="74"/>
        <x:v>165899.72000000003</x:v>
      </x:c>
      <x:c r="L1513" s="6">
        <x:v>0</x:v>
      </x:c>
      <x:c r="M1513" s="6">
        <x:v>0</x:v>
      </x:c>
      <x:c r="N1513" s="6">
        <x:f t="shared" si="75"/>
        <x:v>165899.72000000003</x:v>
      </x:c>
    </x:row>
    <x:row r="1514" spans="1:14" x14ac:dyDescent="0.25">
      <x:c r="A1514" t="s">
        <x:v>20</x:v>
      </x:c>
      <x:c r="B1514" t="s">
        <x:v>706</x:v>
      </x:c>
      <x:c r="C1514" t="s">
        <x:v>707</x:v>
      </x:c>
      <x:c r="D1514" t="s">
        <x:v>832</x:v>
      </x:c>
      <x:c r="E1514" s="6">
        <x:v>0</x:v>
      </x:c>
      <x:c r="F1514" s="6">
        <x:v>0</x:v>
      </x:c>
      <x:c r="G1514" s="6">
        <x:v>0</x:v>
      </x:c>
      <x:c r="H1514" s="6">
        <x:f t="shared" si="73"/>
        <x:v>0</x:v>
      </x:c>
      <x:c r="I1514" s="6">
        <x:v>99.71</x:v>
      </x:c>
      <x:c r="J1514" s="6">
        <x:v>0</x:v>
      </x:c>
      <x:c r="K1514" s="6">
        <x:f t="shared" si="74"/>
        <x:v>99.71</x:v>
      </x:c>
      <x:c r="L1514" s="6">
        <x:v>0</x:v>
      </x:c>
      <x:c r="M1514" s="6">
        <x:v>0</x:v>
      </x:c>
      <x:c r="N1514" s="6">
        <x:f t="shared" si="75"/>
        <x:v>99.71</x:v>
      </x:c>
    </x:row>
    <x:row r="1515" spans="1:14" x14ac:dyDescent="0.25">
      <x:c r="A1515" t="s">
        <x:v>20</x:v>
      </x:c>
      <x:c r="B1515" t="s">
        <x:v>708</x:v>
      </x:c>
      <x:c r="C1515" t="s">
        <x:v>709</x:v>
      </x:c>
      <x:c r="D1515" t="s">
        <x:v>832</x:v>
      </x:c>
      <x:c r="E1515" s="6">
        <x:v>561.56999999999994</x:v>
      </x:c>
      <x:c r="F1515" s="6">
        <x:v>0</x:v>
      </x:c>
      <x:c r="G1515" s="6">
        <x:v>0</x:v>
      </x:c>
      <x:c r="H1515" s="6">
        <x:f t="shared" si="73"/>
        <x:v>561.56999999999994</x:v>
      </x:c>
      <x:c r="I1515" s="6">
        <x:v>73152.660000000018</x:v>
      </x:c>
      <x:c r="J1515" s="6">
        <x:v>0</x:v>
      </x:c>
      <x:c r="K1515" s="6">
        <x:f t="shared" si="74"/>
        <x:v>73152.660000000018</x:v>
      </x:c>
      <x:c r="L1515" s="6">
        <x:v>0</x:v>
      </x:c>
      <x:c r="M1515" s="6">
        <x:v>0</x:v>
      </x:c>
      <x:c r="N1515" s="6">
        <x:f t="shared" si="75"/>
        <x:v>73714.230000000025</x:v>
      </x:c>
    </x:row>
    <x:row r="1516" spans="1:14" x14ac:dyDescent="0.25">
      <x:c r="A1516" t="s">
        <x:v>20</x:v>
      </x:c>
      <x:c r="B1516" t="s">
        <x:v>710</x:v>
      </x:c>
      <x:c r="C1516" t="s">
        <x:v>711</x:v>
      </x:c>
      <x:c r="D1516" t="s">
        <x:v>832</x:v>
      </x:c>
      <x:c r="E1516" s="6">
        <x:v>0</x:v>
      </x:c>
      <x:c r="F1516" s="6">
        <x:v>0</x:v>
      </x:c>
      <x:c r="G1516" s="6">
        <x:v>0</x:v>
      </x:c>
      <x:c r="H1516" s="6">
        <x:f t="shared" si="73"/>
        <x:v>0</x:v>
      </x:c>
      <x:c r="I1516" s="6">
        <x:v>1974.21</x:v>
      </x:c>
      <x:c r="J1516" s="6">
        <x:v>0</x:v>
      </x:c>
      <x:c r="K1516" s="6">
        <x:f t="shared" si="74"/>
        <x:v>1974.21</x:v>
      </x:c>
      <x:c r="L1516" s="6">
        <x:v>0</x:v>
      </x:c>
      <x:c r="M1516" s="6">
        <x:v>0</x:v>
      </x:c>
      <x:c r="N1516" s="6">
        <x:f t="shared" si="75"/>
        <x:v>1974.21</x:v>
      </x:c>
    </x:row>
    <x:row r="1517" spans="1:14" x14ac:dyDescent="0.25">
      <x:c r="A1517" t="s">
        <x:v>20</x:v>
      </x:c>
      <x:c r="B1517" t="s">
        <x:v>712</x:v>
      </x:c>
      <x:c r="C1517" t="s">
        <x:v>713</x:v>
      </x:c>
      <x:c r="D1517" t="s">
        <x:v>677</x:v>
      </x:c>
      <x:c r="E1517" s="6">
        <x:v>0</x:v>
      </x:c>
      <x:c r="F1517" s="6">
        <x:v>0</x:v>
      </x:c>
      <x:c r="G1517" s="6">
        <x:v>0</x:v>
      </x:c>
      <x:c r="H1517" s="6">
        <x:f t="shared" si="73"/>
        <x:v>0</x:v>
      </x:c>
      <x:c r="I1517" s="6">
        <x:v>21840.149999999998</x:v>
      </x:c>
      <x:c r="J1517" s="6">
        <x:v>0</x:v>
      </x:c>
      <x:c r="K1517" s="6">
        <x:f t="shared" si="74"/>
        <x:v>21840.149999999998</x:v>
      </x:c>
      <x:c r="L1517" s="6">
        <x:v>0</x:v>
      </x:c>
      <x:c r="M1517" s="6">
        <x:v>0</x:v>
      </x:c>
      <x:c r="N1517" s="6">
        <x:f t="shared" si="75"/>
        <x:v>21840.149999999998</x:v>
      </x:c>
    </x:row>
    <x:row r="1518" spans="1:14" x14ac:dyDescent="0.25">
      <x:c r="A1518" t="s">
        <x:v>20</x:v>
      </x:c>
      <x:c r="B1518" t="s">
        <x:v>712</x:v>
      </x:c>
      <x:c r="C1518" t="s">
        <x:v>713</x:v>
      </x:c>
      <x:c r="D1518" t="s">
        <x:v>832</x:v>
      </x:c>
      <x:c r="E1518" s="6">
        <x:v>5395.95</x:v>
      </x:c>
      <x:c r="F1518" s="6">
        <x:v>0</x:v>
      </x:c>
      <x:c r="G1518" s="6">
        <x:v>0</x:v>
      </x:c>
      <x:c r="H1518" s="6">
        <x:f t="shared" si="73"/>
        <x:v>5395.95</x:v>
      </x:c>
      <x:c r="I1518" s="6">
        <x:v>270309.71999999997</x:v>
      </x:c>
      <x:c r="J1518" s="6">
        <x:v>0</x:v>
      </x:c>
      <x:c r="K1518" s="6">
        <x:f t="shared" si="74"/>
        <x:v>270309.71999999997</x:v>
      </x:c>
      <x:c r="L1518" s="6">
        <x:v>0</x:v>
      </x:c>
      <x:c r="M1518" s="6">
        <x:v>0</x:v>
      </x:c>
      <x:c r="N1518" s="6">
        <x:f t="shared" si="75"/>
        <x:v>275705.67</x:v>
      </x:c>
    </x:row>
    <x:row r="1519" spans="1:14" x14ac:dyDescent="0.25">
      <x:c r="A1519" t="s">
        <x:v>20</x:v>
      </x:c>
      <x:c r="B1519" t="s">
        <x:v>788</x:v>
      </x:c>
      <x:c r="C1519" t="s">
        <x:v>789</x:v>
      </x:c>
      <x:c r="D1519" t="s">
        <x:v>677</x:v>
      </x:c>
      <x:c r="E1519" s="6">
        <x:v>0</x:v>
      </x:c>
      <x:c r="F1519" s="6">
        <x:v>0</x:v>
      </x:c>
      <x:c r="G1519" s="6">
        <x:v>0</x:v>
      </x:c>
      <x:c r="H1519" s="6">
        <x:f t="shared" si="73"/>
        <x:v>0</x:v>
      </x:c>
      <x:c r="I1519" s="6">
        <x:v>24485.300000000003</x:v>
      </x:c>
      <x:c r="J1519" s="6">
        <x:v>0</x:v>
      </x:c>
      <x:c r="K1519" s="6">
        <x:f t="shared" si="74"/>
        <x:v>24485.300000000003</x:v>
      </x:c>
      <x:c r="L1519" s="6">
        <x:v>0</x:v>
      </x:c>
      <x:c r="M1519" s="6">
        <x:v>0</x:v>
      </x:c>
      <x:c r="N1519" s="6">
        <x:f t="shared" si="75"/>
        <x:v>24485.300000000003</x:v>
      </x:c>
    </x:row>
    <x:row r="1520" spans="1:14" x14ac:dyDescent="0.25">
      <x:c r="A1520" t="s">
        <x:v>20</x:v>
      </x:c>
      <x:c r="B1520" t="s">
        <x:v>788</x:v>
      </x:c>
      <x:c r="C1520" t="s">
        <x:v>789</x:v>
      </x:c>
      <x:c r="D1520" t="s">
        <x:v>832</x:v>
      </x:c>
      <x:c r="E1520" s="6">
        <x:v>7535.71</x:v>
      </x:c>
      <x:c r="F1520" s="6">
        <x:v>0</x:v>
      </x:c>
      <x:c r="G1520" s="6">
        <x:v>0</x:v>
      </x:c>
      <x:c r="H1520" s="6">
        <x:f t="shared" si="73"/>
        <x:v>7535.71</x:v>
      </x:c>
      <x:c r="I1520" s="6">
        <x:v>136614.50999999998</x:v>
      </x:c>
      <x:c r="J1520" s="6">
        <x:v>0</x:v>
      </x:c>
      <x:c r="K1520" s="6">
        <x:f t="shared" si="74"/>
        <x:v>136614.50999999998</x:v>
      </x:c>
      <x:c r="L1520" s="6">
        <x:v>0</x:v>
      </x:c>
      <x:c r="M1520" s="6">
        <x:v>0</x:v>
      </x:c>
      <x:c r="N1520" s="6">
        <x:f t="shared" si="75"/>
        <x:v>144150.21999999997</x:v>
      </x:c>
    </x:row>
    <x:row r="1521" spans="1:14" x14ac:dyDescent="0.25">
      <x:c r="A1521" t="s">
        <x:v>20</x:v>
      </x:c>
      <x:c r="B1521" t="s">
        <x:v>790</x:v>
      </x:c>
      <x:c r="C1521" t="s">
        <x:v>791</x:v>
      </x:c>
      <x:c r="D1521" t="s">
        <x:v>677</x:v>
      </x:c>
      <x:c r="E1521" s="6">
        <x:v>0</x:v>
      </x:c>
      <x:c r="F1521" s="6">
        <x:v>0</x:v>
      </x:c>
      <x:c r="G1521" s="6">
        <x:v>0</x:v>
      </x:c>
      <x:c r="H1521" s="6">
        <x:f t="shared" si="73"/>
        <x:v>0</x:v>
      </x:c>
      <x:c r="I1521" s="6">
        <x:v>2937.02</x:v>
      </x:c>
      <x:c r="J1521" s="6">
        <x:v>0</x:v>
      </x:c>
      <x:c r="K1521" s="6">
        <x:f t="shared" si="74"/>
        <x:v>2937.02</x:v>
      </x:c>
      <x:c r="L1521" s="6">
        <x:v>0</x:v>
      </x:c>
      <x:c r="M1521" s="6">
        <x:v>0</x:v>
      </x:c>
      <x:c r="N1521" s="6">
        <x:f t="shared" si="75"/>
        <x:v>2937.02</x:v>
      </x:c>
    </x:row>
    <x:row r="1522" spans="1:14" x14ac:dyDescent="0.25">
      <x:c r="A1522" t="s">
        <x:v>20</x:v>
      </x:c>
      <x:c r="B1522" t="s">
        <x:v>790</x:v>
      </x:c>
      <x:c r="C1522" t="s">
        <x:v>791</x:v>
      </x:c>
      <x:c r="D1522" t="s">
        <x:v>832</x:v>
      </x:c>
      <x:c r="E1522" s="6">
        <x:v>0</x:v>
      </x:c>
      <x:c r="F1522" s="6">
        <x:v>0</x:v>
      </x:c>
      <x:c r="G1522" s="6">
        <x:v>0</x:v>
      </x:c>
      <x:c r="H1522" s="6">
        <x:f t="shared" si="73"/>
        <x:v>0</x:v>
      </x:c>
      <x:c r="I1522" s="6">
        <x:v>149597.65999999997</x:v>
      </x:c>
      <x:c r="J1522" s="6">
        <x:v>0</x:v>
      </x:c>
      <x:c r="K1522" s="6">
        <x:f t="shared" si="74"/>
        <x:v>149597.65999999997</x:v>
      </x:c>
      <x:c r="L1522" s="6">
        <x:v>0</x:v>
      </x:c>
      <x:c r="M1522" s="6">
        <x:v>0</x:v>
      </x:c>
      <x:c r="N1522" s="6">
        <x:f t="shared" si="75"/>
        <x:v>149597.65999999997</x:v>
      </x:c>
    </x:row>
    <x:row r="1523" spans="1:14" x14ac:dyDescent="0.25">
      <x:c r="A1523" t="s">
        <x:v>20</x:v>
      </x:c>
      <x:c r="B1523" t="s">
        <x:v>714</x:v>
      </x:c>
      <x:c r="C1523" t="s">
        <x:v>715</x:v>
      </x:c>
      <x:c r="D1523" t="s">
        <x:v>677</x:v>
      </x:c>
      <x:c r="E1523" s="6">
        <x:v>0</x:v>
      </x:c>
      <x:c r="F1523" s="6">
        <x:v>0</x:v>
      </x:c>
      <x:c r="G1523" s="6">
        <x:v>0</x:v>
      </x:c>
      <x:c r="H1523" s="6">
        <x:f t="shared" si="73"/>
        <x:v>0</x:v>
      </x:c>
      <x:c r="I1523" s="6">
        <x:v>6378.25</x:v>
      </x:c>
      <x:c r="J1523" s="6">
        <x:v>0</x:v>
      </x:c>
      <x:c r="K1523" s="6">
        <x:f t="shared" si="74"/>
        <x:v>6378.25</x:v>
      </x:c>
      <x:c r="L1523" s="6">
        <x:v>0</x:v>
      </x:c>
      <x:c r="M1523" s="6">
        <x:v>0</x:v>
      </x:c>
      <x:c r="N1523" s="6">
        <x:f t="shared" si="75"/>
        <x:v>6378.25</x:v>
      </x:c>
    </x:row>
    <x:row r="1524" spans="1:14" x14ac:dyDescent="0.25">
      <x:c r="A1524" t="s">
        <x:v>20</x:v>
      </x:c>
      <x:c r="B1524" t="s">
        <x:v>714</x:v>
      </x:c>
      <x:c r="C1524" t="s">
        <x:v>715</x:v>
      </x:c>
      <x:c r="D1524" t="s">
        <x:v>832</x:v>
      </x:c>
      <x:c r="E1524" s="6">
        <x:v>2849.4399999999996</x:v>
      </x:c>
      <x:c r="F1524" s="6">
        <x:v>0</x:v>
      </x:c>
      <x:c r="G1524" s="6">
        <x:v>0</x:v>
      </x:c>
      <x:c r="H1524" s="6">
        <x:f t="shared" si="73"/>
        <x:v>2849.4399999999996</x:v>
      </x:c>
      <x:c r="I1524" s="6">
        <x:v>151325.68</x:v>
      </x:c>
      <x:c r="J1524" s="6">
        <x:v>0</x:v>
      </x:c>
      <x:c r="K1524" s="6">
        <x:f t="shared" si="74"/>
        <x:v>151325.68</x:v>
      </x:c>
      <x:c r="L1524" s="6">
        <x:v>0</x:v>
      </x:c>
      <x:c r="M1524" s="6">
        <x:v>0</x:v>
      </x:c>
      <x:c r="N1524" s="6">
        <x:f t="shared" si="75"/>
        <x:v>154175.12</x:v>
      </x:c>
    </x:row>
    <x:row r="1525" spans="1:14" x14ac:dyDescent="0.25">
      <x:c r="A1525" t="s">
        <x:v>20</x:v>
      </x:c>
      <x:c r="B1525" t="s">
        <x:v>716</x:v>
      </x:c>
      <x:c r="C1525" t="s">
        <x:v>717</x:v>
      </x:c>
      <x:c r="D1525" t="s">
        <x:v>677</x:v>
      </x:c>
      <x:c r="E1525" s="6">
        <x:v>0</x:v>
      </x:c>
      <x:c r="F1525" s="6">
        <x:v>0</x:v>
      </x:c>
      <x:c r="G1525" s="6">
        <x:v>0</x:v>
      </x:c>
      <x:c r="H1525" s="6">
        <x:f t="shared" si="73"/>
        <x:v>0</x:v>
      </x:c>
      <x:c r="I1525" s="6">
        <x:v>6423.1500000000005</x:v>
      </x:c>
      <x:c r="J1525" s="6">
        <x:v>0</x:v>
      </x:c>
      <x:c r="K1525" s="6">
        <x:f t="shared" si="74"/>
        <x:v>6423.1500000000005</x:v>
      </x:c>
      <x:c r="L1525" s="6">
        <x:v>0</x:v>
      </x:c>
      <x:c r="M1525" s="6">
        <x:v>0</x:v>
      </x:c>
      <x:c r="N1525" s="6">
        <x:f t="shared" si="75"/>
        <x:v>6423.1500000000005</x:v>
      </x:c>
    </x:row>
    <x:row r="1526" spans="1:14" x14ac:dyDescent="0.25">
      <x:c r="A1526" t="s">
        <x:v>20</x:v>
      </x:c>
      <x:c r="B1526" t="s">
        <x:v>716</x:v>
      </x:c>
      <x:c r="C1526" t="s">
        <x:v>717</x:v>
      </x:c>
      <x:c r="D1526" t="s">
        <x:v>832</x:v>
      </x:c>
      <x:c r="E1526" s="6">
        <x:v>838.37</x:v>
      </x:c>
      <x:c r="F1526" s="6">
        <x:v>0</x:v>
      </x:c>
      <x:c r="G1526" s="6">
        <x:v>0</x:v>
      </x:c>
      <x:c r="H1526" s="6">
        <x:f t="shared" si="73"/>
        <x:v>838.37</x:v>
      </x:c>
      <x:c r="I1526" s="6">
        <x:v>200778.88000000003</x:v>
      </x:c>
      <x:c r="J1526" s="6">
        <x:v>0</x:v>
      </x:c>
      <x:c r="K1526" s="6">
        <x:f t="shared" si="74"/>
        <x:v>200778.88000000003</x:v>
      </x:c>
      <x:c r="L1526" s="6">
        <x:v>0</x:v>
      </x:c>
      <x:c r="M1526" s="6">
        <x:v>0</x:v>
      </x:c>
      <x:c r="N1526" s="6">
        <x:f t="shared" si="75"/>
        <x:v>201617.25000000003</x:v>
      </x:c>
    </x:row>
    <x:row r="1527" spans="1:14" x14ac:dyDescent="0.25">
      <x:c r="A1527" t="s">
        <x:v>20</x:v>
      </x:c>
      <x:c r="B1527" t="s">
        <x:v>792</x:v>
      </x:c>
      <x:c r="C1527" t="s">
        <x:v>793</x:v>
      </x:c>
      <x:c r="D1527" t="s">
        <x:v>677</x:v>
      </x:c>
      <x:c r="E1527" s="6">
        <x:v>0</x:v>
      </x:c>
      <x:c r="F1527" s="6">
        <x:v>0</x:v>
      </x:c>
      <x:c r="G1527" s="6">
        <x:v>0</x:v>
      </x:c>
      <x:c r="H1527" s="6">
        <x:f t="shared" si="73"/>
        <x:v>0</x:v>
      </x:c>
      <x:c r="I1527" s="6">
        <x:v>10118.959999999999</x:v>
      </x:c>
      <x:c r="J1527" s="6">
        <x:v>0</x:v>
      </x:c>
      <x:c r="K1527" s="6">
        <x:f t="shared" si="74"/>
        <x:v>10118.959999999999</x:v>
      </x:c>
      <x:c r="L1527" s="6">
        <x:v>0</x:v>
      </x:c>
      <x:c r="M1527" s="6">
        <x:v>0</x:v>
      </x:c>
      <x:c r="N1527" s="6">
        <x:f t="shared" si="75"/>
        <x:v>10118.959999999999</x:v>
      </x:c>
    </x:row>
    <x:row r="1528" spans="1:14" x14ac:dyDescent="0.25">
      <x:c r="A1528" t="s">
        <x:v>20</x:v>
      </x:c>
      <x:c r="B1528" t="s">
        <x:v>792</x:v>
      </x:c>
      <x:c r="C1528" t="s">
        <x:v>793</x:v>
      </x:c>
      <x:c r="D1528" t="s">
        <x:v>832</x:v>
      </x:c>
      <x:c r="E1528" s="6">
        <x:v>23303.97</x:v>
      </x:c>
      <x:c r="F1528" s="6">
        <x:v>0</x:v>
      </x:c>
      <x:c r="G1528" s="6">
        <x:v>0</x:v>
      </x:c>
      <x:c r="H1528" s="6">
        <x:f t="shared" si="73"/>
        <x:v>23303.97</x:v>
      </x:c>
      <x:c r="I1528" s="6">
        <x:v>260024.67</x:v>
      </x:c>
      <x:c r="J1528" s="6">
        <x:v>0</x:v>
      </x:c>
      <x:c r="K1528" s="6">
        <x:f t="shared" si="74"/>
        <x:v>260024.67</x:v>
      </x:c>
      <x:c r="L1528" s="6">
        <x:v>0</x:v>
      </x:c>
      <x:c r="M1528" s="6">
        <x:v>0</x:v>
      </x:c>
      <x:c r="N1528" s="6">
        <x:f t="shared" si="75"/>
        <x:v>283328.64000000001</x:v>
      </x:c>
    </x:row>
    <x:row r="1529" spans="1:14" x14ac:dyDescent="0.25">
      <x:c r="A1529" t="s">
        <x:v>20</x:v>
      </x:c>
      <x:c r="B1529" t="s">
        <x:v>718</x:v>
      </x:c>
      <x:c r="C1529" t="s">
        <x:v>719</x:v>
      </x:c>
      <x:c r="D1529" t="s">
        <x:v>832</x:v>
      </x:c>
      <x:c r="E1529" s="6">
        <x:v>19.190000000000001</x:v>
      </x:c>
      <x:c r="F1529" s="6">
        <x:v>0</x:v>
      </x:c>
      <x:c r="G1529" s="6">
        <x:v>0</x:v>
      </x:c>
      <x:c r="H1529" s="6">
        <x:f t="shared" si="73"/>
        <x:v>19.190000000000001</x:v>
      </x:c>
      <x:c r="I1529" s="6">
        <x:v>14153.939999999997</x:v>
      </x:c>
      <x:c r="J1529" s="6">
        <x:v>0</x:v>
      </x:c>
      <x:c r="K1529" s="6">
        <x:f t="shared" si="74"/>
        <x:v>14153.939999999997</x:v>
      </x:c>
      <x:c r="L1529" s="6">
        <x:v>0</x:v>
      </x:c>
      <x:c r="M1529" s="6">
        <x:v>0</x:v>
      </x:c>
      <x:c r="N1529" s="6">
        <x:f t="shared" si="75"/>
        <x:v>14173.129999999997</x:v>
      </x:c>
    </x:row>
    <x:row r="1530" spans="1:14" x14ac:dyDescent="0.25">
      <x:c r="A1530" t="s">
        <x:v>20</x:v>
      </x:c>
      <x:c r="B1530" t="s">
        <x:v>722</x:v>
      </x:c>
      <x:c r="C1530" t="s">
        <x:v>723</x:v>
      </x:c>
      <x:c r="D1530" t="s">
        <x:v>677</x:v>
      </x:c>
      <x:c r="E1530" s="6">
        <x:v>0</x:v>
      </x:c>
      <x:c r="F1530" s="6">
        <x:v>0</x:v>
      </x:c>
      <x:c r="G1530" s="6">
        <x:v>0</x:v>
      </x:c>
      <x:c r="H1530" s="6">
        <x:f t="shared" si="73"/>
        <x:v>0</x:v>
      </x:c>
      <x:c r="I1530" s="6">
        <x:v>59339.159999999982</x:v>
      </x:c>
      <x:c r="J1530" s="6">
        <x:v>0</x:v>
      </x:c>
      <x:c r="K1530" s="6">
        <x:f t="shared" si="74"/>
        <x:v>59339.159999999982</x:v>
      </x:c>
      <x:c r="L1530" s="6">
        <x:v>0</x:v>
      </x:c>
      <x:c r="M1530" s="6">
        <x:v>0</x:v>
      </x:c>
      <x:c r="N1530" s="6">
        <x:f t="shared" si="75"/>
        <x:v>59339.159999999982</x:v>
      </x:c>
    </x:row>
    <x:row r="1531" spans="1:14" x14ac:dyDescent="0.25">
      <x:c r="A1531" t="s">
        <x:v>20</x:v>
      </x:c>
      <x:c r="B1531" t="s">
        <x:v>722</x:v>
      </x:c>
      <x:c r="C1531" t="s">
        <x:v>723</x:v>
      </x:c>
      <x:c r="D1531" t="s">
        <x:v>832</x:v>
      </x:c>
      <x:c r="E1531" s="6">
        <x:v>141508.56</x:v>
      </x:c>
      <x:c r="F1531" s="6">
        <x:v>0</x:v>
      </x:c>
      <x:c r="G1531" s="6">
        <x:v>0</x:v>
      </x:c>
      <x:c r="H1531" s="6">
        <x:f t="shared" si="73"/>
        <x:v>141508.56</x:v>
      </x:c>
      <x:c r="I1531" s="6">
        <x:v>1695963.1900000002</x:v>
      </x:c>
      <x:c r="J1531" s="6">
        <x:v>0</x:v>
      </x:c>
      <x:c r="K1531" s="6">
        <x:f t="shared" si="74"/>
        <x:v>1695963.1900000002</x:v>
      </x:c>
      <x:c r="L1531" s="6">
        <x:v>0</x:v>
      </x:c>
      <x:c r="M1531" s="6">
        <x:v>0</x:v>
      </x:c>
      <x:c r="N1531" s="6">
        <x:f t="shared" si="75"/>
        <x:v>1837471.7500000002</x:v>
      </x:c>
    </x:row>
    <x:row r="1532" spans="1:14" x14ac:dyDescent="0.25">
      <x:c r="A1532" t="s">
        <x:v>20</x:v>
      </x:c>
      <x:c r="B1532" t="s">
        <x:v>724</x:v>
      </x:c>
      <x:c r="C1532" t="s">
        <x:v>725</x:v>
      </x:c>
      <x:c r="D1532" t="s">
        <x:v>677</x:v>
      </x:c>
      <x:c r="E1532" s="6">
        <x:v>0</x:v>
      </x:c>
      <x:c r="F1532" s="6">
        <x:v>0</x:v>
      </x:c>
      <x:c r="G1532" s="6">
        <x:v>0</x:v>
      </x:c>
      <x:c r="H1532" s="6">
        <x:f t="shared" si="73"/>
        <x:v>0</x:v>
      </x:c>
      <x:c r="I1532" s="6">
        <x:v>27570.189999999995</x:v>
      </x:c>
      <x:c r="J1532" s="6">
        <x:v>0</x:v>
      </x:c>
      <x:c r="K1532" s="6">
        <x:f t="shared" si="74"/>
        <x:v>27570.189999999995</x:v>
      </x:c>
      <x:c r="L1532" s="6">
        <x:v>0</x:v>
      </x:c>
      <x:c r="M1532" s="6">
        <x:v>0</x:v>
      </x:c>
      <x:c r="N1532" s="6">
        <x:f t="shared" si="75"/>
        <x:v>27570.189999999995</x:v>
      </x:c>
    </x:row>
    <x:row r="1533" spans="1:14" x14ac:dyDescent="0.25">
      <x:c r="A1533" t="s">
        <x:v>20</x:v>
      </x:c>
      <x:c r="B1533" t="s">
        <x:v>724</x:v>
      </x:c>
      <x:c r="C1533" t="s">
        <x:v>725</x:v>
      </x:c>
      <x:c r="D1533" t="s">
        <x:v>832</x:v>
      </x:c>
      <x:c r="E1533" s="6">
        <x:v>-19683.700000000004</x:v>
      </x:c>
      <x:c r="F1533" s="6">
        <x:v>0</x:v>
      </x:c>
      <x:c r="G1533" s="6">
        <x:v>0</x:v>
      </x:c>
      <x:c r="H1533" s="6">
        <x:f t="shared" si="73"/>
        <x:v>-19683.700000000004</x:v>
      </x:c>
      <x:c r="I1533" s="6">
        <x:v>253668.74000000005</x:v>
      </x:c>
      <x:c r="J1533" s="6">
        <x:v>0</x:v>
      </x:c>
      <x:c r="K1533" s="6">
        <x:f t="shared" si="74"/>
        <x:v>253668.74000000005</x:v>
      </x:c>
      <x:c r="L1533" s="6">
        <x:v>0</x:v>
      </x:c>
      <x:c r="M1533" s="6">
        <x:v>0</x:v>
      </x:c>
      <x:c r="N1533" s="6">
        <x:f t="shared" si="75"/>
        <x:v>233985.04000000004</x:v>
      </x:c>
    </x:row>
    <x:row r="1534" spans="1:14" x14ac:dyDescent="0.25">
      <x:c r="A1534" t="s">
        <x:v>20</x:v>
      </x:c>
      <x:c r="B1534" t="s">
        <x:v>794</x:v>
      </x:c>
      <x:c r="C1534" t="s">
        <x:v>795</x:v>
      </x:c>
      <x:c r="D1534" t="s">
        <x:v>677</x:v>
      </x:c>
      <x:c r="E1534" s="6">
        <x:v>0</x:v>
      </x:c>
      <x:c r="F1534" s="6">
        <x:v>0</x:v>
      </x:c>
      <x:c r="G1534" s="6">
        <x:v>0</x:v>
      </x:c>
      <x:c r="H1534" s="6">
        <x:f t="shared" si="73"/>
        <x:v>0</x:v>
      </x:c>
      <x:c r="I1534" s="6">
        <x:v>28529.67</x:v>
      </x:c>
      <x:c r="J1534" s="6">
        <x:v>0</x:v>
      </x:c>
      <x:c r="K1534" s="6">
        <x:f t="shared" si="74"/>
        <x:v>28529.67</x:v>
      </x:c>
      <x:c r="L1534" s="6">
        <x:v>0</x:v>
      </x:c>
      <x:c r="M1534" s="6">
        <x:v>0</x:v>
      </x:c>
      <x:c r="N1534" s="6">
        <x:f t="shared" si="75"/>
        <x:v>28529.67</x:v>
      </x:c>
    </x:row>
    <x:row r="1535" spans="1:14" x14ac:dyDescent="0.25">
      <x:c r="A1535" t="s">
        <x:v>20</x:v>
      </x:c>
      <x:c r="B1535" t="s">
        <x:v>794</x:v>
      </x:c>
      <x:c r="C1535" t="s">
        <x:v>795</x:v>
      </x:c>
      <x:c r="D1535" t="s">
        <x:v>832</x:v>
      </x:c>
      <x:c r="E1535" s="6">
        <x:v>-770.91</x:v>
      </x:c>
      <x:c r="F1535" s="6">
        <x:v>0</x:v>
      </x:c>
      <x:c r="G1535" s="6">
        <x:v>0</x:v>
      </x:c>
      <x:c r="H1535" s="6">
        <x:f t="shared" si="73"/>
        <x:v>-770.91</x:v>
      </x:c>
      <x:c r="I1535" s="6">
        <x:v>164529.26999999999</x:v>
      </x:c>
      <x:c r="J1535" s="6">
        <x:v>0</x:v>
      </x:c>
      <x:c r="K1535" s="6">
        <x:f t="shared" si="74"/>
        <x:v>164529.26999999999</x:v>
      </x:c>
      <x:c r="L1535" s="6">
        <x:v>0</x:v>
      </x:c>
      <x:c r="M1535" s="6">
        <x:v>0</x:v>
      </x:c>
      <x:c r="N1535" s="6">
        <x:f t="shared" si="75"/>
        <x:v>163758.35999999999</x:v>
      </x:c>
    </x:row>
    <x:row r="1536" spans="1:14" x14ac:dyDescent="0.25">
      <x:c r="A1536" t="s">
        <x:v>20</x:v>
      </x:c>
      <x:c r="B1536" t="s">
        <x:v>796</x:v>
      </x:c>
      <x:c r="C1536" t="s">
        <x:v>797</x:v>
      </x:c>
      <x:c r="D1536" t="s">
        <x:v>677</x:v>
      </x:c>
      <x:c r="E1536" s="6">
        <x:v>0</x:v>
      </x:c>
      <x:c r="F1536" s="6">
        <x:v>0</x:v>
      </x:c>
      <x:c r="G1536" s="6">
        <x:v>0</x:v>
      </x:c>
      <x:c r="H1536" s="6">
        <x:f t="shared" si="73"/>
        <x:v>0</x:v>
      </x:c>
      <x:c r="I1536" s="6">
        <x:v>24052.57</x:v>
      </x:c>
      <x:c r="J1536" s="6">
        <x:v>0</x:v>
      </x:c>
      <x:c r="K1536" s="6">
        <x:f t="shared" si="74"/>
        <x:v>24052.57</x:v>
      </x:c>
      <x:c r="L1536" s="6">
        <x:v>0</x:v>
      </x:c>
      <x:c r="M1536" s="6">
        <x:v>0</x:v>
      </x:c>
      <x:c r="N1536" s="6">
        <x:f t="shared" si="75"/>
        <x:v>24052.57</x:v>
      </x:c>
    </x:row>
    <x:row r="1537" spans="1:14" x14ac:dyDescent="0.25">
      <x:c r="A1537" t="s">
        <x:v>20</x:v>
      </x:c>
      <x:c r="B1537" t="s">
        <x:v>796</x:v>
      </x:c>
      <x:c r="C1537" t="s">
        <x:v>797</x:v>
      </x:c>
      <x:c r="D1537" t="s">
        <x:v>832</x:v>
      </x:c>
      <x:c r="E1537" s="6">
        <x:v>2716.07</x:v>
      </x:c>
      <x:c r="F1537" s="6">
        <x:v>0</x:v>
      </x:c>
      <x:c r="G1537" s="6">
        <x:v>0</x:v>
      </x:c>
      <x:c r="H1537" s="6">
        <x:f t="shared" si="73"/>
        <x:v>2716.07</x:v>
      </x:c>
      <x:c r="I1537" s="6">
        <x:v>246772.23999999993</x:v>
      </x:c>
      <x:c r="J1537" s="6">
        <x:v>0</x:v>
      </x:c>
      <x:c r="K1537" s="6">
        <x:f t="shared" si="74"/>
        <x:v>246772.23999999993</x:v>
      </x:c>
      <x:c r="L1537" s="6">
        <x:v>0</x:v>
      </x:c>
      <x:c r="M1537" s="6">
        <x:v>0</x:v>
      </x:c>
      <x:c r="N1537" s="6">
        <x:f t="shared" si="75"/>
        <x:v>249488.30999999994</x:v>
      </x:c>
    </x:row>
    <x:row r="1538" spans="1:14" x14ac:dyDescent="0.25">
      <x:c r="A1538" t="s">
        <x:v>20</x:v>
      </x:c>
      <x:c r="B1538" t="s">
        <x:v>726</x:v>
      </x:c>
      <x:c r="C1538" t="s">
        <x:v>727</x:v>
      </x:c>
      <x:c r="D1538" t="s">
        <x:v>677</x:v>
      </x:c>
      <x:c r="E1538" s="6">
        <x:v>0</x:v>
      </x:c>
      <x:c r="F1538" s="6">
        <x:v>0</x:v>
      </x:c>
      <x:c r="G1538" s="6">
        <x:v>0</x:v>
      </x:c>
      <x:c r="H1538" s="6">
        <x:f t="shared" si="73"/>
        <x:v>0</x:v>
      </x:c>
      <x:c r="I1538" s="6">
        <x:v>55119.58</x:v>
      </x:c>
      <x:c r="J1538" s="6">
        <x:v>0</x:v>
      </x:c>
      <x:c r="K1538" s="6">
        <x:f t="shared" si="74"/>
        <x:v>55119.58</x:v>
      </x:c>
      <x:c r="L1538" s="6">
        <x:v>0</x:v>
      </x:c>
      <x:c r="M1538" s="6">
        <x:v>0</x:v>
      </x:c>
      <x:c r="N1538" s="6">
        <x:f t="shared" si="75"/>
        <x:v>55119.58</x:v>
      </x:c>
    </x:row>
    <x:row r="1539" spans="1:14" x14ac:dyDescent="0.25">
      <x:c r="A1539" t="s">
        <x:v>20</x:v>
      </x:c>
      <x:c r="B1539" t="s">
        <x:v>726</x:v>
      </x:c>
      <x:c r="C1539" t="s">
        <x:v>727</x:v>
      </x:c>
      <x:c r="D1539" t="s">
        <x:v>832</x:v>
      </x:c>
      <x:c r="E1539" s="6">
        <x:v>41143.509999999995</x:v>
      </x:c>
      <x:c r="F1539" s="6">
        <x:v>0</x:v>
      </x:c>
      <x:c r="G1539" s="6">
        <x:v>0</x:v>
      </x:c>
      <x:c r="H1539" s="6">
        <x:f t="shared" si="73"/>
        <x:v>41143.509999999995</x:v>
      </x:c>
      <x:c r="I1539" s="6">
        <x:v>842621.29000000015</x:v>
      </x:c>
      <x:c r="J1539" s="6">
        <x:v>0</x:v>
      </x:c>
      <x:c r="K1539" s="6">
        <x:f t="shared" si="74"/>
        <x:v>842621.29000000015</x:v>
      </x:c>
      <x:c r="L1539" s="6">
        <x:v>0</x:v>
      </x:c>
      <x:c r="M1539" s="6">
        <x:v>0</x:v>
      </x:c>
      <x:c r="N1539" s="6">
        <x:f t="shared" si="75"/>
        <x:v>883764.80000000016</x:v>
      </x:c>
    </x:row>
    <x:row r="1540" spans="1:14" x14ac:dyDescent="0.25">
      <x:c r="A1540" t="s">
        <x:v>20</x:v>
      </x:c>
      <x:c r="B1540" t="s">
        <x:v>732</x:v>
      </x:c>
      <x:c r="C1540" t="s">
        <x:v>733</x:v>
      </x:c>
      <x:c r="D1540" t="s">
        <x:v>677</x:v>
      </x:c>
      <x:c r="E1540" s="6">
        <x:v>0</x:v>
      </x:c>
      <x:c r="F1540" s="6">
        <x:v>0</x:v>
      </x:c>
      <x:c r="G1540" s="6">
        <x:v>0</x:v>
      </x:c>
      <x:c r="H1540" s="6">
        <x:f t="shared" si="73"/>
        <x:v>0</x:v>
      </x:c>
      <x:c r="I1540" s="6">
        <x:v>13575.21</x:v>
      </x:c>
      <x:c r="J1540" s="6">
        <x:v>0</x:v>
      </x:c>
      <x:c r="K1540" s="6">
        <x:f t="shared" si="74"/>
        <x:v>13575.21</x:v>
      </x:c>
      <x:c r="L1540" s="6">
        <x:v>0</x:v>
      </x:c>
      <x:c r="M1540" s="6">
        <x:v>0</x:v>
      </x:c>
      <x:c r="N1540" s="6">
        <x:f t="shared" si="75"/>
        <x:v>13575.21</x:v>
      </x:c>
    </x:row>
    <x:row r="1541" spans="1:14" x14ac:dyDescent="0.25">
      <x:c r="A1541" t="s">
        <x:v>20</x:v>
      </x:c>
      <x:c r="B1541" t="s">
        <x:v>732</x:v>
      </x:c>
      <x:c r="C1541" t="s">
        <x:v>733</x:v>
      </x:c>
      <x:c r="D1541" t="s">
        <x:v>832</x:v>
      </x:c>
      <x:c r="E1541" s="6">
        <x:v>0</x:v>
      </x:c>
      <x:c r="F1541" s="6">
        <x:v>0</x:v>
      </x:c>
      <x:c r="G1541" s="6">
        <x:v>0</x:v>
      </x:c>
      <x:c r="H1541" s="6">
        <x:f t="shared" si="73"/>
        <x:v>0</x:v>
      </x:c>
      <x:c r="I1541" s="6">
        <x:v>22727.5</x:v>
      </x:c>
      <x:c r="J1541" s="6">
        <x:v>0</x:v>
      </x:c>
      <x:c r="K1541" s="6">
        <x:f t="shared" si="74"/>
        <x:v>22727.5</x:v>
      </x:c>
      <x:c r="L1541" s="6">
        <x:v>0</x:v>
      </x:c>
      <x:c r="M1541" s="6">
        <x:v>0</x:v>
      </x:c>
      <x:c r="N1541" s="6">
        <x:f t="shared" si="75"/>
        <x:v>22727.5</x:v>
      </x:c>
    </x:row>
    <x:row r="1542" spans="1:14" x14ac:dyDescent="0.25">
      <x:c r="A1542" t="s">
        <x:v>20</x:v>
      </x:c>
      <x:c r="B1542" t="s">
        <x:v>738</x:v>
      </x:c>
      <x:c r="C1542" t="s">
        <x:v>739</x:v>
      </x:c>
      <x:c r="D1542" t="s">
        <x:v>832</x:v>
      </x:c>
      <x:c r="E1542" s="6">
        <x:v>1915.36</x:v>
      </x:c>
      <x:c r="F1542" s="6">
        <x:v>0</x:v>
      </x:c>
      <x:c r="G1542" s="6">
        <x:v>0</x:v>
      </x:c>
      <x:c r="H1542" s="6">
        <x:f t="shared" si="73"/>
        <x:v>1915.36</x:v>
      </x:c>
      <x:c r="I1542" s="6">
        <x:v>25611.470000000005</x:v>
      </x:c>
      <x:c r="J1542" s="6">
        <x:v>0</x:v>
      </x:c>
      <x:c r="K1542" s="6">
        <x:f t="shared" si="74"/>
        <x:v>25611.470000000005</x:v>
      </x:c>
      <x:c r="L1542" s="6">
        <x:v>0</x:v>
      </x:c>
      <x:c r="M1542" s="6">
        <x:v>0</x:v>
      </x:c>
      <x:c r="N1542" s="6">
        <x:f t="shared" si="75"/>
        <x:v>27526.830000000005</x:v>
      </x:c>
    </x:row>
    <x:row r="1543" spans="1:14" x14ac:dyDescent="0.25">
      <x:c r="A1543" t="s">
        <x:v>20</x:v>
      </x:c>
      <x:c r="B1543" t="s">
        <x:v>740</x:v>
      </x:c>
      <x:c r="C1543" t="s">
        <x:v>741</x:v>
      </x:c>
      <x:c r="D1543" t="s">
        <x:v>677</x:v>
      </x:c>
      <x:c r="E1543" s="6">
        <x:v>0</x:v>
      </x:c>
      <x:c r="F1543" s="6">
        <x:v>0</x:v>
      </x:c>
      <x:c r="G1543" s="6">
        <x:v>0</x:v>
      </x:c>
      <x:c r="H1543" s="6">
        <x:f t="shared" si="73"/>
        <x:v>0</x:v>
      </x:c>
      <x:c r="I1543" s="6">
        <x:v>1223760.73</x:v>
      </x:c>
      <x:c r="J1543" s="6">
        <x:v>0</x:v>
      </x:c>
      <x:c r="K1543" s="6">
        <x:f t="shared" si="74"/>
        <x:v>1223760.73</x:v>
      </x:c>
      <x:c r="L1543" s="6">
        <x:v>0</x:v>
      </x:c>
      <x:c r="M1543" s="6">
        <x:v>0</x:v>
      </x:c>
      <x:c r="N1543" s="6">
        <x:f t="shared" si="75"/>
        <x:v>1223760.73</x:v>
      </x:c>
    </x:row>
    <x:row r="1544" spans="1:14" x14ac:dyDescent="0.25">
      <x:c r="A1544" t="s">
        <x:v>20</x:v>
      </x:c>
      <x:c r="B1544" t="s">
        <x:v>740</x:v>
      </x:c>
      <x:c r="C1544" t="s">
        <x:v>741</x:v>
      </x:c>
      <x:c r="D1544" t="s">
        <x:v>832</x:v>
      </x:c>
      <x:c r="E1544" s="6">
        <x:v>0</x:v>
      </x:c>
      <x:c r="F1544" s="6">
        <x:v>0</x:v>
      </x:c>
      <x:c r="G1544" s="6">
        <x:v>0</x:v>
      </x:c>
      <x:c r="H1544" s="6">
        <x:f t="shared" si="73"/>
        <x:v>0</x:v>
      </x:c>
      <x:c r="I1544" s="6">
        <x:v>-9000</x:v>
      </x:c>
      <x:c r="J1544" s="6">
        <x:v>0</x:v>
      </x:c>
      <x:c r="K1544" s="6">
        <x:f t="shared" si="74"/>
        <x:v>-9000</x:v>
      </x:c>
      <x:c r="L1544" s="6">
        <x:v>0</x:v>
      </x:c>
      <x:c r="M1544" s="6">
        <x:v>0</x:v>
      </x:c>
      <x:c r="N1544" s="6">
        <x:f t="shared" si="75"/>
        <x:v>-9000</x:v>
      </x:c>
    </x:row>
    <x:row r="1545" spans="1:14" x14ac:dyDescent="0.25">
      <x:c r="A1545" t="s">
        <x:v>20</x:v>
      </x:c>
      <x:c r="B1545" s="3" t="s">
        <x:v>151</x:v>
      </x:c>
      <x:c r="C1545" s="3" t="s">
        <x:v>468</x:v>
      </x:c>
      <x:c r="D1545" t="s">
        <x:v>677</x:v>
      </x:c>
      <x:c r="E1545" s="6">
        <x:v>0</x:v>
      </x:c>
      <x:c r="F1545" s="6">
        <x:v>0</x:v>
      </x:c>
      <x:c r="G1545" s="6">
        <x:v>0</x:v>
      </x:c>
      <x:c r="H1545" s="6">
        <x:f t="shared" si="73"/>
        <x:v>0</x:v>
      </x:c>
      <x:c r="I1545" s="6">
        <x:v>125.65</x:v>
      </x:c>
      <x:c r="J1545" s="6">
        <x:v>0</x:v>
      </x:c>
      <x:c r="K1545" s="6">
        <x:f t="shared" si="74"/>
        <x:v>125.65</x:v>
      </x:c>
      <x:c r="L1545" s="6">
        <x:v>0</x:v>
      </x:c>
      <x:c r="M1545" s="6">
        <x:v>0</x:v>
      </x:c>
      <x:c r="N1545" s="6">
        <x:f t="shared" si="75"/>
        <x:v>125.65</x:v>
      </x:c>
    </x:row>
    <x:row r="1546" spans="1:14" x14ac:dyDescent="0.25">
      <x:c r="A1546" t="s">
        <x:v>20</x:v>
      </x:c>
      <x:c r="B1546" s="3" t="s">
        <x:v>180</x:v>
      </x:c>
      <x:c r="C1546" s="3" t="s">
        <x:v>496</x:v>
      </x:c>
      <x:c r="D1546" t="s">
        <x:v>677</x:v>
      </x:c>
      <x:c r="E1546" s="6">
        <x:v>0</x:v>
      </x:c>
      <x:c r="F1546" s="6">
        <x:v>0</x:v>
      </x:c>
      <x:c r="G1546" s="6">
        <x:v>0</x:v>
      </x:c>
      <x:c r="H1546" s="6">
        <x:f t="shared" si="73"/>
        <x:v>0</x:v>
      </x:c>
      <x:c r="I1546" s="6">
        <x:v>301.68</x:v>
      </x:c>
      <x:c r="J1546" s="6">
        <x:v>0</x:v>
      </x:c>
      <x:c r="K1546" s="6">
        <x:f t="shared" si="74"/>
        <x:v>301.68</x:v>
      </x:c>
      <x:c r="L1546" s="6">
        <x:v>0</x:v>
      </x:c>
      <x:c r="M1546" s="6">
        <x:v>0</x:v>
      </x:c>
      <x:c r="N1546" s="6">
        <x:f t="shared" si="75"/>
        <x:v>301.68</x:v>
      </x:c>
    </x:row>
    <x:row r="1547" spans="1:14" x14ac:dyDescent="0.25">
      <x:c r="A1547" t="s">
        <x:v>20</x:v>
      </x:c>
      <x:c r="B1547" s="3" t="s">
        <x:v>67</x:v>
      </x:c>
      <x:c r="C1547" s="3" t="s">
        <x:v>384</x:v>
      </x:c>
      <x:c r="D1547" t="s">
        <x:v>677</x:v>
      </x:c>
      <x:c r="E1547" s="6">
        <x:v>0</x:v>
      </x:c>
      <x:c r="F1547" s="6">
        <x:v>0</x:v>
      </x:c>
      <x:c r="G1547" s="6">
        <x:v>0</x:v>
      </x:c>
      <x:c r="H1547" s="6">
        <x:f t="shared" si="73"/>
        <x:v>0</x:v>
      </x:c>
      <x:c r="I1547" s="6">
        <x:v>46230.77</x:v>
      </x:c>
      <x:c r="J1547" s="6">
        <x:v>0</x:v>
      </x:c>
      <x:c r="K1547" s="6">
        <x:f t="shared" si="74"/>
        <x:v>46230.77</x:v>
      </x:c>
      <x:c r="L1547" s="6">
        <x:v>0</x:v>
      </x:c>
      <x:c r="M1547" s="6">
        <x:v>0</x:v>
      </x:c>
      <x:c r="N1547" s="6">
        <x:f t="shared" si="75"/>
        <x:v>46230.77</x:v>
      </x:c>
    </x:row>
    <x:row r="1548" spans="1:14" x14ac:dyDescent="0.25">
      <x:c r="A1548" t="s">
        <x:v>20</x:v>
      </x:c>
      <x:c r="B1548" s="3" t="s">
        <x:v>47</x:v>
      </x:c>
      <x:c r="C1548" s="3" t="s">
        <x:v>364</x:v>
      </x:c>
      <x:c r="D1548" t="s">
        <x:v>676</x:v>
      </x:c>
      <x:c r="E1548" s="6">
        <x:v>0</x:v>
      </x:c>
      <x:c r="F1548" s="6">
        <x:v>0</x:v>
      </x:c>
      <x:c r="G1548" s="6">
        <x:v>0</x:v>
      </x:c>
      <x:c r="H1548" s="6">
        <x:f t="shared" si="73"/>
        <x:v>0</x:v>
      </x:c>
      <x:c r="I1548" s="6">
        <x:v>-3033.6399999999994</x:v>
      </x:c>
      <x:c r="J1548" s="6">
        <x:v>0</x:v>
      </x:c>
      <x:c r="K1548" s="6">
        <x:f t="shared" si="74"/>
        <x:v>-3033.6399999999994</x:v>
      </x:c>
      <x:c r="L1548" s="6">
        <x:v>0</x:v>
      </x:c>
      <x:c r="M1548" s="6">
        <x:v>0</x:v>
      </x:c>
      <x:c r="N1548" s="6">
        <x:f t="shared" si="75"/>
        <x:v>-3033.6399999999994</x:v>
      </x:c>
    </x:row>
    <x:row r="1549" spans="1:14" x14ac:dyDescent="0.25">
      <x:c r="A1549" t="s">
        <x:v>20</x:v>
      </x:c>
      <x:c r="B1549" t="s">
        <x:v>746</x:v>
      </x:c>
      <x:c r="C1549" t="s">
        <x:v>747</x:v>
      </x:c>
      <x:c r="D1549" t="s">
        <x:v>832</x:v>
      </x:c>
      <x:c r="E1549" s="6">
        <x:v>0</x:v>
      </x:c>
      <x:c r="F1549" s="6">
        <x:v>0</x:v>
      </x:c>
      <x:c r="G1549" s="6">
        <x:v>0</x:v>
      </x:c>
      <x:c r="H1549" s="6">
        <x:f t="shared" si="73"/>
        <x:v>0</x:v>
      </x:c>
      <x:c r="I1549" s="6">
        <x:v>-28000</x:v>
      </x:c>
      <x:c r="J1549" s="6">
        <x:v>0</x:v>
      </x:c>
      <x:c r="K1549" s="6">
        <x:f t="shared" si="74"/>
        <x:v>-28000</x:v>
      </x:c>
      <x:c r="L1549" s="6">
        <x:v>0</x:v>
      </x:c>
      <x:c r="M1549" s="6">
        <x:v>0</x:v>
      </x:c>
      <x:c r="N1549" s="6">
        <x:f t="shared" si="75"/>
        <x:v>-28000</x:v>
      </x:c>
    </x:row>
    <x:row r="1550" spans="1:14" x14ac:dyDescent="0.25">
      <x:c r="A1550" t="s">
        <x:v>20</x:v>
      </x:c>
      <x:c r="B1550" t="s">
        <x:v>755</x:v>
      </x:c>
      <x:c r="C1550" t="s">
        <x:v>756</x:v>
      </x:c>
      <x:c r="D1550" t="s">
        <x:v>676</x:v>
      </x:c>
      <x:c r="E1550" s="6">
        <x:v>9765.2900000000009</x:v>
      </x:c>
      <x:c r="F1550" s="6">
        <x:v>0</x:v>
      </x:c>
      <x:c r="G1550" s="6">
        <x:v>0</x:v>
      </x:c>
      <x:c r="H1550" s="6">
        <x:f t="shared" si="73"/>
        <x:v>9765.2900000000009</x:v>
      </x:c>
      <x:c r="I1550" s="6">
        <x:v>0</x:v>
      </x:c>
      <x:c r="J1550" s="6">
        <x:v>0</x:v>
      </x:c>
      <x:c r="K1550" s="6">
        <x:f t="shared" si="74"/>
        <x:v>0</x:v>
      </x:c>
      <x:c r="L1550" s="6">
        <x:v>0</x:v>
      </x:c>
      <x:c r="M1550" s="6">
        <x:v>0</x:v>
      </x:c>
      <x:c r="N1550" s="6">
        <x:f t="shared" si="75"/>
        <x:v>9765.2900000000009</x:v>
      </x:c>
    </x:row>
    <x:row r="1551" spans="1:14" x14ac:dyDescent="0.25">
      <x:c r="A1551" t="s">
        <x:v>20</x:v>
      </x:c>
      <x:c r="B1551" t="s">
        <x:v>839</x:v>
      </x:c>
      <x:c r="C1551" t="s">
        <x:v>840</x:v>
      </x:c>
      <x:c r="D1551" t="s">
        <x:v>677</x:v>
      </x:c>
      <x:c r="E1551" s="6">
        <x:v>0</x:v>
      </x:c>
      <x:c r="F1551" s="6">
        <x:v>0</x:v>
      </x:c>
      <x:c r="G1551" s="6">
        <x:v>0</x:v>
      </x:c>
      <x:c r="H1551" s="6">
        <x:f t="shared" si="73"/>
        <x:v>0</x:v>
      </x:c>
      <x:c r="I1551" s="6">
        <x:v>0</x:v>
      </x:c>
      <x:c r="J1551" s="6">
        <x:v>55330.49</x:v>
      </x:c>
      <x:c r="K1551" s="6">
        <x:f t="shared" si="74"/>
        <x:v>55330.49</x:v>
      </x:c>
      <x:c r="L1551" s="6">
        <x:v>0</x:v>
      </x:c>
      <x:c r="M1551" s="6">
        <x:v>0</x:v>
      </x:c>
      <x:c r="N1551" s="6">
        <x:f t="shared" si="75"/>
        <x:v>55330.49</x:v>
      </x:c>
    </x:row>
    <x:row r="1552" spans="1:14" x14ac:dyDescent="0.25">
      <x:c r="A1552" t="s">
        <x:v>20</x:v>
      </x:c>
      <x:c r="B1552" t="s">
        <x:v>839</x:v>
      </x:c>
      <x:c r="C1552" t="s">
        <x:v>840</x:v>
      </x:c>
      <x:c r="D1552" t="s">
        <x:v>841</x:v>
      </x:c>
      <x:c r="E1552" s="6">
        <x:v>0</x:v>
      </x:c>
      <x:c r="F1552" s="6">
        <x:v>86.539999999999992</x:v>
      </x:c>
      <x:c r="G1552" s="6">
        <x:v>0</x:v>
      </x:c>
      <x:c r="H1552" s="6">
        <x:f t="shared" si="73"/>
        <x:v>86.539999999999992</x:v>
      </x:c>
      <x:c r="I1552" s="6">
        <x:v>0</x:v>
      </x:c>
      <x:c r="J1552" s="6">
        <x:v>209054.50999999998</x:v>
      </x:c>
      <x:c r="K1552" s="6">
        <x:f t="shared" si="74"/>
        <x:v>209054.50999999998</x:v>
      </x:c>
      <x:c r="L1552" s="6">
        <x:v>0</x:v>
      </x:c>
      <x:c r="M1552" s="6">
        <x:v>0</x:v>
      </x:c>
      <x:c r="N1552" s="6">
        <x:f t="shared" si="75"/>
        <x:v>209141.05</x:v>
      </x:c>
    </x:row>
    <x:row r="1553" spans="1:14" x14ac:dyDescent="0.25">
      <x:c r="A1553" t="s">
        <x:v>21</x:v>
      </x:c>
      <x:c r="B1553" s="3" t="s">
        <x:v>72</x:v>
      </x:c>
      <x:c r="C1553" s="3" t="s">
        <x:v>389</x:v>
      </x:c>
      <x:c r="D1553" t="s">
        <x:v>677</x:v>
      </x:c>
      <x:c r="E1553" s="6">
        <x:v>0</x:v>
      </x:c>
      <x:c r="F1553" s="6">
        <x:v>0</x:v>
      </x:c>
      <x:c r="G1553" s="6">
        <x:v>0</x:v>
      </x:c>
      <x:c r="H1553" s="6">
        <x:f t="shared" si="73"/>
        <x:v>0</x:v>
      </x:c>
      <x:c r="I1553" s="6">
        <x:v>91311.049999999988</x:v>
      </x:c>
      <x:c r="J1553" s="6">
        <x:v>0</x:v>
      </x:c>
      <x:c r="K1553" s="6">
        <x:f t="shared" si="74"/>
        <x:v>91311.049999999988</x:v>
      </x:c>
      <x:c r="L1553" s="6">
        <x:v>0</x:v>
      </x:c>
      <x:c r="M1553" s="6">
        <x:v>0</x:v>
      </x:c>
      <x:c r="N1553" s="6">
        <x:f t="shared" si="75"/>
        <x:v>91311.049999999988</x:v>
      </x:c>
    </x:row>
    <x:row r="1554" spans="1:14" x14ac:dyDescent="0.25">
      <x:c r="A1554" t="s">
        <x:v>21</x:v>
      </x:c>
      <x:c r="B1554" s="3" t="s">
        <x:v>55</x:v>
      </x:c>
      <x:c r="C1554" s="3" t="s">
        <x:v>372</x:v>
      </x:c>
      <x:c r="D1554" t="s">
        <x:v>677</x:v>
      </x:c>
      <x:c r="E1554" s="6">
        <x:v>0</x:v>
      </x:c>
      <x:c r="F1554" s="6">
        <x:v>0</x:v>
      </x:c>
      <x:c r="G1554" s="6">
        <x:v>0</x:v>
      </x:c>
      <x:c r="H1554" s="6">
        <x:f t="shared" ref="H1554:H1617" si="76">SUM(E1554:G1554)</x:f>
        <x:v>0</x:v>
      </x:c>
      <x:c r="I1554" s="6">
        <x:v>200724.15</x:v>
      </x:c>
      <x:c r="J1554" s="6">
        <x:v>0</x:v>
      </x:c>
      <x:c r="K1554" s="6">
        <x:f t="shared" ref="K1554:K1617" si="77">SUM(I1554:J1554)</x:f>
        <x:v>200724.15</x:v>
      </x:c>
      <x:c r="L1554" s="6">
        <x:v>0</x:v>
      </x:c>
      <x:c r="M1554" s="6">
        <x:v>0</x:v>
      </x:c>
      <x:c r="N1554" s="6">
        <x:f t="shared" ref="N1554:N1617" si="78">+E1554+F1554+G1554+I1554+J1554+L1554+M1554</x:f>
        <x:v>200724.15</x:v>
      </x:c>
    </x:row>
    <x:row r="1555" spans="1:14" x14ac:dyDescent="0.25">
      <x:c r="A1555" t="s">
        <x:v>21</x:v>
      </x:c>
      <x:c r="B1555" s="3" t="s">
        <x:v>76</x:v>
      </x:c>
      <x:c r="C1555" s="3" t="s">
        <x:v>393</x:v>
      </x:c>
      <x:c r="D1555" t="s">
        <x:v>677</x:v>
      </x:c>
      <x:c r="E1555" s="6">
        <x:v>0</x:v>
      </x:c>
      <x:c r="F1555" s="6">
        <x:v>0</x:v>
      </x:c>
      <x:c r="G1555" s="6">
        <x:v>0</x:v>
      </x:c>
      <x:c r="H1555" s="6">
        <x:f t="shared" si="76"/>
        <x:v>0</x:v>
      </x:c>
      <x:c r="I1555" s="6">
        <x:v>187</x:v>
      </x:c>
      <x:c r="J1555" s="6">
        <x:v>0</x:v>
      </x:c>
      <x:c r="K1555" s="6">
        <x:f t="shared" si="77"/>
        <x:v>187</x:v>
      </x:c>
      <x:c r="L1555" s="6">
        <x:v>0</x:v>
      </x:c>
      <x:c r="M1555" s="6">
        <x:v>0</x:v>
      </x:c>
      <x:c r="N1555" s="6">
        <x:f t="shared" si="78"/>
        <x:v>187</x:v>
      </x:c>
    </x:row>
    <x:row r="1556" spans="1:14" x14ac:dyDescent="0.25">
      <x:c r="A1556" t="s">
        <x:v>21</x:v>
      </x:c>
      <x:c r="B1556" s="3" t="s">
        <x:v>78</x:v>
      </x:c>
      <x:c r="C1556" s="3" t="s">
        <x:v>395</x:v>
      </x:c>
      <x:c r="D1556" t="s">
        <x:v>677</x:v>
      </x:c>
      <x:c r="E1556" s="6">
        <x:v>0</x:v>
      </x:c>
      <x:c r="F1556" s="6">
        <x:v>0</x:v>
      </x:c>
      <x:c r="G1556" s="6">
        <x:v>0</x:v>
      </x:c>
      <x:c r="H1556" s="6">
        <x:f t="shared" si="76"/>
        <x:v>0</x:v>
      </x:c>
      <x:c r="I1556" s="6">
        <x:v>323209.31999999989</x:v>
      </x:c>
      <x:c r="J1556" s="6">
        <x:v>0</x:v>
      </x:c>
      <x:c r="K1556" s="6">
        <x:f t="shared" si="77"/>
        <x:v>323209.31999999989</x:v>
      </x:c>
      <x:c r="L1556" s="6">
        <x:v>0</x:v>
      </x:c>
      <x:c r="M1556" s="6">
        <x:v>0</x:v>
      </x:c>
      <x:c r="N1556" s="6">
        <x:f t="shared" si="78"/>
        <x:v>323209.31999999989</x:v>
      </x:c>
    </x:row>
    <x:row r="1557" spans="1:14" x14ac:dyDescent="0.25">
      <x:c r="A1557" t="s">
        <x:v>21</x:v>
      </x:c>
      <x:c r="B1557" s="3" t="s">
        <x:v>79</x:v>
      </x:c>
      <x:c r="C1557" s="3" t="s">
        <x:v>396</x:v>
      </x:c>
      <x:c r="D1557" t="s">
        <x:v>677</x:v>
      </x:c>
      <x:c r="E1557" s="6">
        <x:v>0</x:v>
      </x:c>
      <x:c r="F1557" s="6">
        <x:v>0</x:v>
      </x:c>
      <x:c r="G1557" s="6">
        <x:v>0</x:v>
      </x:c>
      <x:c r="H1557" s="6">
        <x:f t="shared" si="76"/>
        <x:v>0</x:v>
      </x:c>
      <x:c r="I1557" s="6">
        <x:v>1473.2</x:v>
      </x:c>
      <x:c r="J1557" s="6">
        <x:v>0</x:v>
      </x:c>
      <x:c r="K1557" s="6">
        <x:f t="shared" si="77"/>
        <x:v>1473.2</x:v>
      </x:c>
      <x:c r="L1557" s="6">
        <x:v>0</x:v>
      </x:c>
      <x:c r="M1557" s="6">
        <x:v>0</x:v>
      </x:c>
      <x:c r="N1557" s="6">
        <x:f t="shared" si="78"/>
        <x:v>1473.2</x:v>
      </x:c>
    </x:row>
    <x:row r="1558" spans="1:14" x14ac:dyDescent="0.25">
      <x:c r="A1558" t="s">
        <x:v>21</x:v>
      </x:c>
      <x:c r="B1558" s="3" t="s">
        <x:v>56</x:v>
      </x:c>
      <x:c r="C1558" s="3" t="s">
        <x:v>373</x:v>
      </x:c>
      <x:c r="D1558" t="s">
        <x:v>677</x:v>
      </x:c>
      <x:c r="E1558" s="6">
        <x:v>0</x:v>
      </x:c>
      <x:c r="F1558" s="6">
        <x:v>0</x:v>
      </x:c>
      <x:c r="G1558" s="6">
        <x:v>0</x:v>
      </x:c>
      <x:c r="H1558" s="6">
        <x:f t="shared" si="76"/>
        <x:v>0</x:v>
      </x:c>
      <x:c r="I1558" s="6">
        <x:v>246.29</x:v>
      </x:c>
      <x:c r="J1558" s="6">
        <x:v>0</x:v>
      </x:c>
      <x:c r="K1558" s="6">
        <x:f t="shared" si="77"/>
        <x:v>246.29</x:v>
      </x:c>
      <x:c r="L1558" s="6">
        <x:v>0</x:v>
      </x:c>
      <x:c r="M1558" s="6">
        <x:v>0</x:v>
      </x:c>
      <x:c r="N1558" s="6">
        <x:f t="shared" si="78"/>
        <x:v>246.29</x:v>
      </x:c>
    </x:row>
    <x:row r="1559" spans="1:14" x14ac:dyDescent="0.25">
      <x:c r="A1559" t="s">
        <x:v>21</x:v>
      </x:c>
      <x:c r="B1559" s="3" t="s">
        <x:v>81</x:v>
      </x:c>
      <x:c r="C1559" s="3" t="s">
        <x:v>398</x:v>
      </x:c>
      <x:c r="D1559" t="s">
        <x:v>677</x:v>
      </x:c>
      <x:c r="E1559" s="6">
        <x:v>0</x:v>
      </x:c>
      <x:c r="F1559" s="6">
        <x:v>0</x:v>
      </x:c>
      <x:c r="G1559" s="6">
        <x:v>0</x:v>
      </x:c>
      <x:c r="H1559" s="6">
        <x:f t="shared" si="76"/>
        <x:v>0</x:v>
      </x:c>
      <x:c r="I1559" s="6">
        <x:v>-12.26</x:v>
      </x:c>
      <x:c r="J1559" s="6">
        <x:v>0</x:v>
      </x:c>
      <x:c r="K1559" s="6">
        <x:f t="shared" si="77"/>
        <x:v>-12.26</x:v>
      </x:c>
      <x:c r="L1559" s="6">
        <x:v>0</x:v>
      </x:c>
      <x:c r="M1559" s="6">
        <x:v>0</x:v>
      </x:c>
      <x:c r="N1559" s="6">
        <x:f t="shared" si="78"/>
        <x:v>-12.26</x:v>
      </x:c>
    </x:row>
    <x:row r="1560" spans="1:14" x14ac:dyDescent="0.25">
      <x:c r="A1560" t="s">
        <x:v>21</x:v>
      </x:c>
      <x:c r="B1560" s="3" t="s">
        <x:v>82</x:v>
      </x:c>
      <x:c r="C1560" s="3" t="s">
        <x:v>399</x:v>
      </x:c>
      <x:c r="D1560" t="s">
        <x:v>677</x:v>
      </x:c>
      <x:c r="E1560" s="6">
        <x:v>0</x:v>
      </x:c>
      <x:c r="F1560" s="6">
        <x:v>0</x:v>
      </x:c>
      <x:c r="G1560" s="6">
        <x:v>0</x:v>
      </x:c>
      <x:c r="H1560" s="6">
        <x:f t="shared" si="76"/>
        <x:v>0</x:v>
      </x:c>
      <x:c r="I1560" s="6">
        <x:v>5336.96</x:v>
      </x:c>
      <x:c r="J1560" s="6">
        <x:v>0</x:v>
      </x:c>
      <x:c r="K1560" s="6">
        <x:f t="shared" si="77"/>
        <x:v>5336.96</x:v>
      </x:c>
      <x:c r="L1560" s="6">
        <x:v>0</x:v>
      </x:c>
      <x:c r="M1560" s="6">
        <x:v>0</x:v>
      </x:c>
      <x:c r="N1560" s="6">
        <x:f t="shared" si="78"/>
        <x:v>5336.96</x:v>
      </x:c>
    </x:row>
    <x:row r="1561" spans="1:14" x14ac:dyDescent="0.25">
      <x:c r="A1561" t="s">
        <x:v>21</x:v>
      </x:c>
      <x:c r="B1561" s="3" t="s">
        <x:v>87</x:v>
      </x:c>
      <x:c r="C1561" s="3" t="s">
        <x:v>404</x:v>
      </x:c>
      <x:c r="D1561" t="s">
        <x:v>677</x:v>
      </x:c>
      <x:c r="E1561" s="6">
        <x:v>0</x:v>
      </x:c>
      <x:c r="F1561" s="6">
        <x:v>0</x:v>
      </x:c>
      <x:c r="G1561" s="6">
        <x:v>0</x:v>
      </x:c>
      <x:c r="H1561" s="6">
        <x:f t="shared" si="76"/>
        <x:v>0</x:v>
      </x:c>
      <x:c r="I1561" s="6">
        <x:v>388.28000000000003</x:v>
      </x:c>
      <x:c r="J1561" s="6">
        <x:v>0</x:v>
      </x:c>
      <x:c r="K1561" s="6">
        <x:f t="shared" si="77"/>
        <x:v>388.28000000000003</x:v>
      </x:c>
      <x:c r="L1561" s="6">
        <x:v>0</x:v>
      </x:c>
      <x:c r="M1561" s="6">
        <x:v>0</x:v>
      </x:c>
      <x:c r="N1561" s="6">
        <x:f t="shared" si="78"/>
        <x:v>388.28000000000003</x:v>
      </x:c>
    </x:row>
    <x:row r="1562" spans="1:14" x14ac:dyDescent="0.25">
      <x:c r="A1562" t="s">
        <x:v>21</x:v>
      </x:c>
      <x:c r="B1562" s="3" t="s">
        <x:v>88</x:v>
      </x:c>
      <x:c r="C1562" s="3" t="s">
        <x:v>405</x:v>
      </x:c>
      <x:c r="D1562" t="s">
        <x:v>677</x:v>
      </x:c>
      <x:c r="E1562" s="6">
        <x:v>0</x:v>
      </x:c>
      <x:c r="F1562" s="6">
        <x:v>0</x:v>
      </x:c>
      <x:c r="G1562" s="6">
        <x:v>0</x:v>
      </x:c>
      <x:c r="H1562" s="6">
        <x:f t="shared" si="76"/>
        <x:v>0</x:v>
      </x:c>
      <x:c r="I1562" s="6">
        <x:v>-1320.94</x:v>
      </x:c>
      <x:c r="J1562" s="6">
        <x:v>0</x:v>
      </x:c>
      <x:c r="K1562" s="6">
        <x:f t="shared" si="77"/>
        <x:v>-1320.94</x:v>
      </x:c>
      <x:c r="L1562" s="6">
        <x:v>0</x:v>
      </x:c>
      <x:c r="M1562" s="6">
        <x:v>0</x:v>
      </x:c>
      <x:c r="N1562" s="6">
        <x:f t="shared" si="78"/>
        <x:v>-1320.94</x:v>
      </x:c>
    </x:row>
    <x:row r="1563" spans="1:14" x14ac:dyDescent="0.25">
      <x:c r="A1563" t="s">
        <x:v>21</x:v>
      </x:c>
      <x:c r="B1563" s="3" t="s">
        <x:v>89</x:v>
      </x:c>
      <x:c r="C1563" s="3" t="s">
        <x:v>406</x:v>
      </x:c>
      <x:c r="D1563" t="s">
        <x:v>677</x:v>
      </x:c>
      <x:c r="E1563" s="6">
        <x:v>0</x:v>
      </x:c>
      <x:c r="F1563" s="6">
        <x:v>0</x:v>
      </x:c>
      <x:c r="G1563" s="6">
        <x:v>0</x:v>
      </x:c>
      <x:c r="H1563" s="6">
        <x:f t="shared" si="76"/>
        <x:v>0</x:v>
      </x:c>
      <x:c r="I1563" s="6">
        <x:v>40.53</x:v>
      </x:c>
      <x:c r="J1563" s="6">
        <x:v>0</x:v>
      </x:c>
      <x:c r="K1563" s="6">
        <x:f t="shared" si="77"/>
        <x:v>40.53</x:v>
      </x:c>
      <x:c r="L1563" s="6">
        <x:v>0</x:v>
      </x:c>
      <x:c r="M1563" s="6">
        <x:v>0</x:v>
      </x:c>
      <x:c r="N1563" s="6">
        <x:f t="shared" si="78"/>
        <x:v>40.53</x:v>
      </x:c>
    </x:row>
    <x:row r="1564" spans="1:14" x14ac:dyDescent="0.25">
      <x:c r="A1564" t="s">
        <x:v>21</x:v>
      </x:c>
      <x:c r="B1564" s="3" t="s">
        <x:v>90</x:v>
      </x:c>
      <x:c r="C1564" s="3" t="s">
        <x:v>407</x:v>
      </x:c>
      <x:c r="D1564" t="s">
        <x:v>677</x:v>
      </x:c>
      <x:c r="E1564" s="6">
        <x:v>0</x:v>
      </x:c>
      <x:c r="F1564" s="6">
        <x:v>0</x:v>
      </x:c>
      <x:c r="G1564" s="6">
        <x:v>0</x:v>
      </x:c>
      <x:c r="H1564" s="6">
        <x:f t="shared" si="76"/>
        <x:v>0</x:v>
      </x:c>
      <x:c r="I1564" s="6">
        <x:v>803.64</x:v>
      </x:c>
      <x:c r="J1564" s="6">
        <x:v>0</x:v>
      </x:c>
      <x:c r="K1564" s="6">
        <x:f t="shared" si="77"/>
        <x:v>803.64</x:v>
      </x:c>
      <x:c r="L1564" s="6">
        <x:v>0</x:v>
      </x:c>
      <x:c r="M1564" s="6">
        <x:v>0</x:v>
      </x:c>
      <x:c r="N1564" s="6">
        <x:f t="shared" si="78"/>
        <x:v>803.64</x:v>
      </x:c>
    </x:row>
    <x:row r="1565" spans="1:14" x14ac:dyDescent="0.25">
      <x:c r="A1565" t="s">
        <x:v>21</x:v>
      </x:c>
      <x:c r="B1565" s="3" t="s">
        <x:v>92</x:v>
      </x:c>
      <x:c r="C1565" s="3" t="s">
        <x:v>409</x:v>
      </x:c>
      <x:c r="D1565" t="s">
        <x:v>677</x:v>
      </x:c>
      <x:c r="E1565" s="6">
        <x:v>0</x:v>
      </x:c>
      <x:c r="F1565" s="6">
        <x:v>0</x:v>
      </x:c>
      <x:c r="G1565" s="6">
        <x:v>0</x:v>
      </x:c>
      <x:c r="H1565" s="6">
        <x:f t="shared" si="76"/>
        <x:v>0</x:v>
      </x:c>
      <x:c r="I1565" s="6">
        <x:v>19.149999999999999</x:v>
      </x:c>
      <x:c r="J1565" s="6">
        <x:v>0</x:v>
      </x:c>
      <x:c r="K1565" s="6">
        <x:f t="shared" si="77"/>
        <x:v>19.149999999999999</x:v>
      </x:c>
      <x:c r="L1565" s="6">
        <x:v>0</x:v>
      </x:c>
      <x:c r="M1565" s="6">
        <x:v>0</x:v>
      </x:c>
      <x:c r="N1565" s="6">
        <x:f t="shared" si="78"/>
        <x:v>19.149999999999999</x:v>
      </x:c>
    </x:row>
    <x:row r="1566" spans="1:14" x14ac:dyDescent="0.25">
      <x:c r="A1566" t="s">
        <x:v>21</x:v>
      </x:c>
      <x:c r="B1566" s="3" t="s">
        <x:v>99</x:v>
      </x:c>
      <x:c r="C1566" s="3" t="s">
        <x:v>416</x:v>
      </x:c>
      <x:c r="D1566" t="s">
        <x:v>677</x:v>
      </x:c>
      <x:c r="E1566" s="6">
        <x:v>0</x:v>
      </x:c>
      <x:c r="F1566" s="6">
        <x:v>0</x:v>
      </x:c>
      <x:c r="G1566" s="6">
        <x:v>0</x:v>
      </x:c>
      <x:c r="H1566" s="6">
        <x:f t="shared" si="76"/>
        <x:v>0</x:v>
      </x:c>
      <x:c r="I1566" s="6">
        <x:v>9.9499999999999993</x:v>
      </x:c>
      <x:c r="J1566" s="6">
        <x:v>0</x:v>
      </x:c>
      <x:c r="K1566" s="6">
        <x:f t="shared" si="77"/>
        <x:v>9.9499999999999993</x:v>
      </x:c>
      <x:c r="L1566" s="6">
        <x:v>0</x:v>
      </x:c>
      <x:c r="M1566" s="6">
        <x:v>0</x:v>
      </x:c>
      <x:c r="N1566" s="6">
        <x:f t="shared" si="78"/>
        <x:v>9.9499999999999993</x:v>
      </x:c>
    </x:row>
    <x:row r="1567" spans="1:14" x14ac:dyDescent="0.25">
      <x:c r="A1567" t="s">
        <x:v>21</x:v>
      </x:c>
      <x:c r="B1567" s="3" t="s">
        <x:v>104</x:v>
      </x:c>
      <x:c r="C1567" s="3" t="s">
        <x:v>421</x:v>
      </x:c>
      <x:c r="D1567" t="s">
        <x:v>677</x:v>
      </x:c>
      <x:c r="E1567" s="6">
        <x:v>0</x:v>
      </x:c>
      <x:c r="F1567" s="6">
        <x:v>0</x:v>
      </x:c>
      <x:c r="G1567" s="6">
        <x:v>0</x:v>
      </x:c>
      <x:c r="H1567" s="6">
        <x:f t="shared" si="76"/>
        <x:v>0</x:v>
      </x:c>
      <x:c r="I1567" s="6">
        <x:v>157.12</x:v>
      </x:c>
      <x:c r="J1567" s="6">
        <x:v>0</x:v>
      </x:c>
      <x:c r="K1567" s="6">
        <x:f t="shared" si="77"/>
        <x:v>157.12</x:v>
      </x:c>
      <x:c r="L1567" s="6">
        <x:v>0</x:v>
      </x:c>
      <x:c r="M1567" s="6">
        <x:v>0</x:v>
      </x:c>
      <x:c r="N1567" s="6">
        <x:f t="shared" si="78"/>
        <x:v>157.12</x:v>
      </x:c>
    </x:row>
    <x:row r="1568" spans="1:14" x14ac:dyDescent="0.25">
      <x:c r="A1568" t="s">
        <x:v>21</x:v>
      </x:c>
      <x:c r="B1568" s="3" t="s">
        <x:v>105</x:v>
      </x:c>
      <x:c r="C1568" s="3" t="s">
        <x:v>422</x:v>
      </x:c>
      <x:c r="D1568" t="s">
        <x:v>677</x:v>
      </x:c>
      <x:c r="E1568" s="6">
        <x:v>0</x:v>
      </x:c>
      <x:c r="F1568" s="6">
        <x:v>0</x:v>
      </x:c>
      <x:c r="G1568" s="6">
        <x:v>0</x:v>
      </x:c>
      <x:c r="H1568" s="6">
        <x:f t="shared" si="76"/>
        <x:v>0</x:v>
      </x:c>
      <x:c r="I1568" s="6">
        <x:v>579.72</x:v>
      </x:c>
      <x:c r="J1568" s="6">
        <x:v>0</x:v>
      </x:c>
      <x:c r="K1568" s="6">
        <x:f t="shared" si="77"/>
        <x:v>579.72</x:v>
      </x:c>
      <x:c r="L1568" s="6">
        <x:v>0</x:v>
      </x:c>
      <x:c r="M1568" s="6">
        <x:v>0</x:v>
      </x:c>
      <x:c r="N1568" s="6">
        <x:f t="shared" si="78"/>
        <x:v>579.72</x:v>
      </x:c>
    </x:row>
    <x:row r="1569" spans="1:14" x14ac:dyDescent="0.25">
      <x:c r="A1569" t="s">
        <x:v>21</x:v>
      </x:c>
      <x:c r="B1569" s="3" t="s">
        <x:v>107</x:v>
      </x:c>
      <x:c r="C1569" s="3" t="s">
        <x:v>424</x:v>
      </x:c>
      <x:c r="D1569" t="s">
        <x:v>677</x:v>
      </x:c>
      <x:c r="E1569" s="6">
        <x:v>0</x:v>
      </x:c>
      <x:c r="F1569" s="6">
        <x:v>0</x:v>
      </x:c>
      <x:c r="G1569" s="6">
        <x:v>0</x:v>
      </x:c>
      <x:c r="H1569" s="6">
        <x:f t="shared" si="76"/>
        <x:v>0</x:v>
      </x:c>
      <x:c r="I1569" s="6">
        <x:v>163.32999999999998</x:v>
      </x:c>
      <x:c r="J1569" s="6">
        <x:v>0</x:v>
      </x:c>
      <x:c r="K1569" s="6">
        <x:f t="shared" si="77"/>
        <x:v>163.32999999999998</x:v>
      </x:c>
      <x:c r="L1569" s="6">
        <x:v>0</x:v>
      </x:c>
      <x:c r="M1569" s="6">
        <x:v>0</x:v>
      </x:c>
      <x:c r="N1569" s="6">
        <x:f t="shared" si="78"/>
        <x:v>163.32999999999998</x:v>
      </x:c>
    </x:row>
    <x:row r="1570" spans="1:14" x14ac:dyDescent="0.25">
      <x:c r="A1570" t="s">
        <x:v>21</x:v>
      </x:c>
      <x:c r="B1570" s="3" t="s">
        <x:v>109</x:v>
      </x:c>
      <x:c r="C1570" s="3" t="s">
        <x:v>426</x:v>
      </x:c>
      <x:c r="D1570" t="s">
        <x:v>677</x:v>
      </x:c>
      <x:c r="E1570" s="6">
        <x:v>0</x:v>
      </x:c>
      <x:c r="F1570" s="6">
        <x:v>0</x:v>
      </x:c>
      <x:c r="G1570" s="6">
        <x:v>0</x:v>
      </x:c>
      <x:c r="H1570" s="6">
        <x:f t="shared" si="76"/>
        <x:v>0</x:v>
      </x:c>
      <x:c r="I1570" s="6">
        <x:v>393.69000000000005</x:v>
      </x:c>
      <x:c r="J1570" s="6">
        <x:v>0</x:v>
      </x:c>
      <x:c r="K1570" s="6">
        <x:f t="shared" si="77"/>
        <x:v>393.69000000000005</x:v>
      </x:c>
      <x:c r="L1570" s="6">
        <x:v>0</x:v>
      </x:c>
      <x:c r="M1570" s="6">
        <x:v>0</x:v>
      </x:c>
      <x:c r="N1570" s="6">
        <x:f t="shared" si="78"/>
        <x:v>393.69000000000005</x:v>
      </x:c>
    </x:row>
    <x:row r="1571" spans="1:14" x14ac:dyDescent="0.25">
      <x:c r="A1571" t="s">
        <x:v>21</x:v>
      </x:c>
      <x:c r="B1571" s="3" t="s">
        <x:v>110</x:v>
      </x:c>
      <x:c r="C1571" s="3" t="s">
        <x:v>427</x:v>
      </x:c>
      <x:c r="D1571" t="s">
        <x:v>677</x:v>
      </x:c>
      <x:c r="E1571" s="6">
        <x:v>0</x:v>
      </x:c>
      <x:c r="F1571" s="6">
        <x:v>0</x:v>
      </x:c>
      <x:c r="G1571" s="6">
        <x:v>0</x:v>
      </x:c>
      <x:c r="H1571" s="6">
        <x:f t="shared" si="76"/>
        <x:v>0</x:v>
      </x:c>
      <x:c r="I1571" s="6">
        <x:v>538.85</x:v>
      </x:c>
      <x:c r="J1571" s="6">
        <x:v>0</x:v>
      </x:c>
      <x:c r="K1571" s="6">
        <x:f t="shared" si="77"/>
        <x:v>538.85</x:v>
      </x:c>
      <x:c r="L1571" s="6">
        <x:v>0</x:v>
      </x:c>
      <x:c r="M1571" s="6">
        <x:v>0</x:v>
      </x:c>
      <x:c r="N1571" s="6">
        <x:f t="shared" si="78"/>
        <x:v>538.85</x:v>
      </x:c>
    </x:row>
    <x:row r="1572" spans="1:14" x14ac:dyDescent="0.25">
      <x:c r="A1572" t="s">
        <x:v>21</x:v>
      </x:c>
      <x:c r="B1572" s="3" t="s">
        <x:v>112</x:v>
      </x:c>
      <x:c r="C1572" s="3" t="s">
        <x:v>429</x:v>
      </x:c>
      <x:c r="D1572" t="s">
        <x:v>676</x:v>
      </x:c>
      <x:c r="E1572" s="6">
        <x:v>0</x:v>
      </x:c>
      <x:c r="F1572" s="6">
        <x:v>0</x:v>
      </x:c>
      <x:c r="G1572" s="6">
        <x:v>0</x:v>
      </x:c>
      <x:c r="H1572" s="6">
        <x:f t="shared" si="76"/>
        <x:v>0</x:v>
      </x:c>
      <x:c r="I1572" s="6">
        <x:v>0</x:v>
      </x:c>
      <x:c r="J1572" s="6">
        <x:v>0</x:v>
      </x:c>
      <x:c r="K1572" s="6">
        <x:f t="shared" si="77"/>
        <x:v>0</x:v>
      </x:c>
      <x:c r="L1572" s="6">
        <x:v>4116.5599999999995</x:v>
      </x:c>
      <x:c r="M1572" s="6">
        <x:v>0</x:v>
      </x:c>
      <x:c r="N1572" s="6">
        <x:f t="shared" si="78"/>
        <x:v>4116.5599999999995</x:v>
      </x:c>
    </x:row>
    <x:row r="1573" spans="1:14" x14ac:dyDescent="0.25">
      <x:c r="A1573" t="s">
        <x:v>21</x:v>
      </x:c>
      <x:c r="B1573" s="3" t="s">
        <x:v>113</x:v>
      </x:c>
      <x:c r="C1573" s="3" t="s">
        <x:v>430</x:v>
      </x:c>
      <x:c r="D1573" t="s">
        <x:v>676</x:v>
      </x:c>
      <x:c r="E1573" s="6">
        <x:v>0</x:v>
      </x:c>
      <x:c r="F1573" s="6">
        <x:v>0</x:v>
      </x:c>
      <x:c r="G1573" s="6">
        <x:v>0</x:v>
      </x:c>
      <x:c r="H1573" s="6">
        <x:f t="shared" si="76"/>
        <x:v>0</x:v>
      </x:c>
      <x:c r="I1573" s="6">
        <x:v>0</x:v>
      </x:c>
      <x:c r="J1573" s="6">
        <x:v>0</x:v>
      </x:c>
      <x:c r="K1573" s="6">
        <x:f t="shared" si="77"/>
        <x:v>0</x:v>
      </x:c>
      <x:c r="L1573" s="6">
        <x:v>1199.6400000000001</x:v>
      </x:c>
      <x:c r="M1573" s="6">
        <x:v>0</x:v>
      </x:c>
      <x:c r="N1573" s="6">
        <x:f t="shared" si="78"/>
        <x:v>1199.6400000000001</x:v>
      </x:c>
    </x:row>
    <x:row r="1574" spans="1:14" x14ac:dyDescent="0.25">
      <x:c r="A1574" t="s">
        <x:v>21</x:v>
      </x:c>
      <x:c r="B1574" s="3" t="s">
        <x:v>249</x:v>
      </x:c>
      <x:c r="C1574" s="3" t="s">
        <x:v>564</x:v>
      </x:c>
      <x:c r="D1574" t="s">
        <x:v>676</x:v>
      </x:c>
      <x:c r="E1574" s="6">
        <x:v>0</x:v>
      </x:c>
      <x:c r="F1574" s="6">
        <x:v>0</x:v>
      </x:c>
      <x:c r="G1574" s="6">
        <x:v>0</x:v>
      </x:c>
      <x:c r="H1574" s="6">
        <x:f t="shared" si="76"/>
        <x:v>0</x:v>
      </x:c>
      <x:c r="I1574" s="6">
        <x:v>0</x:v>
      </x:c>
      <x:c r="J1574" s="6">
        <x:v>0</x:v>
      </x:c>
      <x:c r="K1574" s="6">
        <x:f t="shared" si="77"/>
        <x:v>0</x:v>
      </x:c>
      <x:c r="L1574" s="6">
        <x:v>9358.7800000000007</x:v>
      </x:c>
      <x:c r="M1574" s="6">
        <x:v>0</x:v>
      </x:c>
      <x:c r="N1574" s="6">
        <x:f t="shared" si="78"/>
        <x:v>9358.7800000000007</x:v>
      </x:c>
    </x:row>
    <x:row r="1575" spans="1:14" x14ac:dyDescent="0.25">
      <x:c r="A1575" t="s">
        <x:v>21</x:v>
      </x:c>
      <x:c r="B1575" s="3" t="s">
        <x:v>252</x:v>
      </x:c>
      <x:c r="C1575" s="3" t="s">
        <x:v>567</x:v>
      </x:c>
      <x:c r="D1575" t="s">
        <x:v>676</x:v>
      </x:c>
      <x:c r="E1575" s="6">
        <x:v>0</x:v>
      </x:c>
      <x:c r="F1575" s="6">
        <x:v>0</x:v>
      </x:c>
      <x:c r="G1575" s="6">
        <x:v>0</x:v>
      </x:c>
      <x:c r="H1575" s="6">
        <x:f t="shared" si="76"/>
        <x:v>0</x:v>
      </x:c>
      <x:c r="I1575" s="6">
        <x:v>0</x:v>
      </x:c>
      <x:c r="J1575" s="6">
        <x:v>0</x:v>
      </x:c>
      <x:c r="K1575" s="6">
        <x:f t="shared" si="77"/>
        <x:v>0</x:v>
      </x:c>
      <x:c r="L1575" s="6">
        <x:v>279</x:v>
      </x:c>
      <x:c r="M1575" s="6">
        <x:v>0</x:v>
      </x:c>
      <x:c r="N1575" s="6">
        <x:f t="shared" si="78"/>
        <x:v>279</x:v>
      </x:c>
    </x:row>
    <x:row r="1576" spans="1:14" x14ac:dyDescent="0.25">
      <x:c r="A1576" t="s">
        <x:v>21</x:v>
      </x:c>
      <x:c r="B1576" s="3" t="s">
        <x:v>114</x:v>
      </x:c>
      <x:c r="C1576" s="3" t="s">
        <x:v>431</x:v>
      </x:c>
      <x:c r="D1576" t="s">
        <x:v>676</x:v>
      </x:c>
      <x:c r="E1576" s="6">
        <x:v>0</x:v>
      </x:c>
      <x:c r="F1576" s="6">
        <x:v>0</x:v>
      </x:c>
      <x:c r="G1576" s="6">
        <x:v>0</x:v>
      </x:c>
      <x:c r="H1576" s="6">
        <x:f t="shared" si="76"/>
        <x:v>0</x:v>
      </x:c>
      <x:c r="I1576" s="6">
        <x:v>0</x:v>
      </x:c>
      <x:c r="J1576" s="6">
        <x:v>0</x:v>
      </x:c>
      <x:c r="K1576" s="6">
        <x:f t="shared" si="77"/>
        <x:v>0</x:v>
      </x:c>
      <x:c r="L1576" s="6">
        <x:v>1541.89</x:v>
      </x:c>
      <x:c r="M1576" s="6">
        <x:v>0</x:v>
      </x:c>
      <x:c r="N1576" s="6">
        <x:f t="shared" si="78"/>
        <x:v>1541.89</x:v>
      </x:c>
    </x:row>
    <x:row r="1577" spans="1:14" x14ac:dyDescent="0.25">
      <x:c r="A1577" t="s">
        <x:v>21</x:v>
      </x:c>
      <x:c r="B1577" s="3" t="s">
        <x:v>254</x:v>
      </x:c>
      <x:c r="C1577" s="3" t="s">
        <x:v>569</x:v>
      </x:c>
      <x:c r="D1577" t="s">
        <x:v>676</x:v>
      </x:c>
      <x:c r="E1577" s="6">
        <x:v>0</x:v>
      </x:c>
      <x:c r="F1577" s="6">
        <x:v>0</x:v>
      </x:c>
      <x:c r="G1577" s="6">
        <x:v>0</x:v>
      </x:c>
      <x:c r="H1577" s="6">
        <x:f t="shared" si="76"/>
        <x:v>0</x:v>
      </x:c>
      <x:c r="I1577" s="6">
        <x:v>0</x:v>
      </x:c>
      <x:c r="J1577" s="6">
        <x:v>0</x:v>
      </x:c>
      <x:c r="K1577" s="6">
        <x:f t="shared" si="77"/>
        <x:v>0</x:v>
      </x:c>
      <x:c r="L1577" s="6">
        <x:v>100.42999999999999</x:v>
      </x:c>
      <x:c r="M1577" s="6">
        <x:v>0</x:v>
      </x:c>
      <x:c r="N1577" s="6">
        <x:f t="shared" si="78"/>
        <x:v>100.42999999999999</x:v>
      </x:c>
    </x:row>
    <x:row r="1578" spans="1:14" x14ac:dyDescent="0.25">
      <x:c r="A1578" t="s">
        <x:v>21</x:v>
      </x:c>
      <x:c r="B1578" s="3" t="s">
        <x:v>115</x:v>
      </x:c>
      <x:c r="C1578" s="3" t="s">
        <x:v>432</x:v>
      </x:c>
      <x:c r="D1578" t="s">
        <x:v>676</x:v>
      </x:c>
      <x:c r="E1578" s="6">
        <x:v>0</x:v>
      </x:c>
      <x:c r="F1578" s="6">
        <x:v>0</x:v>
      </x:c>
      <x:c r="G1578" s="6">
        <x:v>0</x:v>
      </x:c>
      <x:c r="H1578" s="6">
        <x:f t="shared" si="76"/>
        <x:v>0</x:v>
      </x:c>
      <x:c r="I1578" s="6">
        <x:v>0</x:v>
      </x:c>
      <x:c r="J1578" s="6">
        <x:v>0</x:v>
      </x:c>
      <x:c r="K1578" s="6">
        <x:f t="shared" si="77"/>
        <x:v>0</x:v>
      </x:c>
      <x:c r="L1578" s="6">
        <x:v>3573.28</x:v>
      </x:c>
      <x:c r="M1578" s="6">
        <x:v>0</x:v>
      </x:c>
      <x:c r="N1578" s="6">
        <x:f t="shared" si="78"/>
        <x:v>3573.28</x:v>
      </x:c>
    </x:row>
    <x:row r="1579" spans="1:14" x14ac:dyDescent="0.25">
      <x:c r="A1579" t="s">
        <x:v>21</x:v>
      </x:c>
      <x:c r="B1579" s="3" t="s">
        <x:v>116</x:v>
      </x:c>
      <x:c r="C1579" s="3" t="s">
        <x:v>433</x:v>
      </x:c>
      <x:c r="D1579" t="s">
        <x:v>676</x:v>
      </x:c>
      <x:c r="E1579" s="6">
        <x:v>0</x:v>
      </x:c>
      <x:c r="F1579" s="6">
        <x:v>0</x:v>
      </x:c>
      <x:c r="G1579" s="6">
        <x:v>0</x:v>
      </x:c>
      <x:c r="H1579" s="6">
        <x:f t="shared" si="76"/>
        <x:v>0</x:v>
      </x:c>
      <x:c r="I1579" s="6">
        <x:v>0</x:v>
      </x:c>
      <x:c r="J1579" s="6">
        <x:v>0</x:v>
      </x:c>
      <x:c r="K1579" s="6">
        <x:f t="shared" si="77"/>
        <x:v>0</x:v>
      </x:c>
      <x:c r="L1579" s="6">
        <x:v>1387.5300000000002</x:v>
      </x:c>
      <x:c r="M1579" s="6">
        <x:v>0</x:v>
      </x:c>
      <x:c r="N1579" s="6">
        <x:f t="shared" si="78"/>
        <x:v>1387.5300000000002</x:v>
      </x:c>
    </x:row>
    <x:row r="1580" spans="1:14" x14ac:dyDescent="0.25">
      <x:c r="A1580" t="s">
        <x:v>21</x:v>
      </x:c>
      <x:c r="B1580" s="3" t="s">
        <x:v>257</x:v>
      </x:c>
      <x:c r="C1580" s="3" t="s">
        <x:v>572</x:v>
      </x:c>
      <x:c r="D1580" t="s">
        <x:v>676</x:v>
      </x:c>
      <x:c r="E1580" s="6">
        <x:v>0</x:v>
      </x:c>
      <x:c r="F1580" s="6">
        <x:v>0</x:v>
      </x:c>
      <x:c r="G1580" s="6">
        <x:v>0</x:v>
      </x:c>
      <x:c r="H1580" s="6">
        <x:f t="shared" si="76"/>
        <x:v>0</x:v>
      </x:c>
      <x:c r="I1580" s="6">
        <x:v>0</x:v>
      </x:c>
      <x:c r="J1580" s="6">
        <x:v>0</x:v>
      </x:c>
      <x:c r="K1580" s="6">
        <x:f t="shared" si="77"/>
        <x:v>0</x:v>
      </x:c>
      <x:c r="L1580" s="6">
        <x:v>3993.62</x:v>
      </x:c>
      <x:c r="M1580" s="6">
        <x:v>0</x:v>
      </x:c>
      <x:c r="N1580" s="6">
        <x:f t="shared" si="78"/>
        <x:v>3993.62</x:v>
      </x:c>
    </x:row>
    <x:row r="1581" spans="1:14" x14ac:dyDescent="0.25">
      <x:c r="A1581" t="s">
        <x:v>21</x:v>
      </x:c>
      <x:c r="B1581" s="3" t="s">
        <x:v>228</x:v>
      </x:c>
      <x:c r="C1581" s="3" t="s">
        <x:v>543</x:v>
      </x:c>
      <x:c r="D1581" t="s">
        <x:v>676</x:v>
      </x:c>
      <x:c r="E1581" s="6">
        <x:v>0</x:v>
      </x:c>
      <x:c r="F1581" s="6">
        <x:v>0</x:v>
      </x:c>
      <x:c r="G1581" s="6">
        <x:v>0</x:v>
      </x:c>
      <x:c r="H1581" s="6">
        <x:f t="shared" si="76"/>
        <x:v>0</x:v>
      </x:c>
      <x:c r="I1581" s="6">
        <x:v>0</x:v>
      </x:c>
      <x:c r="J1581" s="6">
        <x:v>0</x:v>
      </x:c>
      <x:c r="K1581" s="6">
        <x:f t="shared" si="77"/>
        <x:v>0</x:v>
      </x:c>
      <x:c r="L1581" s="6">
        <x:v>54516.73</x:v>
      </x:c>
      <x:c r="M1581" s="6">
        <x:v>0</x:v>
      </x:c>
      <x:c r="N1581" s="6">
        <x:f t="shared" si="78"/>
        <x:v>54516.73</x:v>
      </x:c>
    </x:row>
    <x:row r="1582" spans="1:14" x14ac:dyDescent="0.25">
      <x:c r="A1582" t="s">
        <x:v>21</x:v>
      </x:c>
      <x:c r="B1582" s="3" t="s">
        <x:v>259</x:v>
      </x:c>
      <x:c r="C1582" s="3" t="s">
        <x:v>574</x:v>
      </x:c>
      <x:c r="D1582" t="s">
        <x:v>676</x:v>
      </x:c>
      <x:c r="E1582" s="6">
        <x:v>0</x:v>
      </x:c>
      <x:c r="F1582" s="6">
        <x:v>0</x:v>
      </x:c>
      <x:c r="G1582" s="6">
        <x:v>0</x:v>
      </x:c>
      <x:c r="H1582" s="6">
        <x:f t="shared" si="76"/>
        <x:v>0</x:v>
      </x:c>
      <x:c r="I1582" s="6">
        <x:v>0</x:v>
      </x:c>
      <x:c r="J1582" s="6">
        <x:v>0</x:v>
      </x:c>
      <x:c r="K1582" s="6">
        <x:f t="shared" si="77"/>
        <x:v>0</x:v>
      </x:c>
      <x:c r="L1582" s="6">
        <x:v>764.3</x:v>
      </x:c>
      <x:c r="M1582" s="6">
        <x:v>0</x:v>
      </x:c>
      <x:c r="N1582" s="6">
        <x:f t="shared" si="78"/>
        <x:v>764.3</x:v>
      </x:c>
    </x:row>
    <x:row r="1583" spans="1:14" x14ac:dyDescent="0.25">
      <x:c r="A1583" t="s">
        <x:v>21</x:v>
      </x:c>
      <x:c r="B1583" s="3" t="s">
        <x:v>260</x:v>
      </x:c>
      <x:c r="C1583" s="3" t="s">
        <x:v>575</x:v>
      </x:c>
      <x:c r="D1583" t="s">
        <x:v>676</x:v>
      </x:c>
      <x:c r="E1583" s="6">
        <x:v>0</x:v>
      </x:c>
      <x:c r="F1583" s="6">
        <x:v>0</x:v>
      </x:c>
      <x:c r="G1583" s="6">
        <x:v>0</x:v>
      </x:c>
      <x:c r="H1583" s="6">
        <x:f t="shared" si="76"/>
        <x:v>0</x:v>
      </x:c>
      <x:c r="I1583" s="6">
        <x:v>0</x:v>
      </x:c>
      <x:c r="J1583" s="6">
        <x:v>0</x:v>
      </x:c>
      <x:c r="K1583" s="6">
        <x:f t="shared" si="77"/>
        <x:v>0</x:v>
      </x:c>
      <x:c r="L1583" s="6">
        <x:v>664.54</x:v>
      </x:c>
      <x:c r="M1583" s="6">
        <x:v>0</x:v>
      </x:c>
      <x:c r="N1583" s="6">
        <x:f t="shared" si="78"/>
        <x:v>664.54</x:v>
      </x:c>
    </x:row>
    <x:row r="1584" spans="1:14" x14ac:dyDescent="0.25">
      <x:c r="A1584" t="s">
        <x:v>21</x:v>
      </x:c>
      <x:c r="B1584" s="3" t="s">
        <x:v>117</x:v>
      </x:c>
      <x:c r="C1584" s="3" t="s">
        <x:v>434</x:v>
      </x:c>
      <x:c r="D1584" t="s">
        <x:v>676</x:v>
      </x:c>
      <x:c r="E1584" s="6">
        <x:v>0</x:v>
      </x:c>
      <x:c r="F1584" s="6">
        <x:v>0</x:v>
      </x:c>
      <x:c r="G1584" s="6">
        <x:v>0</x:v>
      </x:c>
      <x:c r="H1584" s="6">
        <x:f t="shared" si="76"/>
        <x:v>0</x:v>
      </x:c>
      <x:c r="I1584" s="6">
        <x:v>0</x:v>
      </x:c>
      <x:c r="J1584" s="6">
        <x:v>0</x:v>
      </x:c>
      <x:c r="K1584" s="6">
        <x:f t="shared" si="77"/>
        <x:v>0</x:v>
      </x:c>
      <x:c r="L1584" s="6">
        <x:v>620.32000000000005</x:v>
      </x:c>
      <x:c r="M1584" s="6">
        <x:v>0</x:v>
      </x:c>
      <x:c r="N1584" s="6">
        <x:f t="shared" si="78"/>
        <x:v>620.32000000000005</x:v>
      </x:c>
    </x:row>
    <x:row r="1585" spans="1:14" x14ac:dyDescent="0.25">
      <x:c r="A1585" t="s">
        <x:v>21</x:v>
      </x:c>
      <x:c r="B1585" s="3" t="s">
        <x:v>118</x:v>
      </x:c>
      <x:c r="C1585" s="3" t="s">
        <x:v>435</x:v>
      </x:c>
      <x:c r="D1585" t="s">
        <x:v>677</x:v>
      </x:c>
      <x:c r="E1585" s="6">
        <x:v>0</x:v>
      </x:c>
      <x:c r="F1585" s="6">
        <x:v>0</x:v>
      </x:c>
      <x:c r="G1585" s="6">
        <x:v>0</x:v>
      </x:c>
      <x:c r="H1585" s="6">
        <x:f t="shared" si="76"/>
        <x:v>0</x:v>
      </x:c>
      <x:c r="I1585" s="6">
        <x:v>14427.32</x:v>
      </x:c>
      <x:c r="J1585" s="6">
        <x:v>0</x:v>
      </x:c>
      <x:c r="K1585" s="6">
        <x:f t="shared" si="77"/>
        <x:v>14427.32</x:v>
      </x:c>
      <x:c r="L1585" s="6">
        <x:v>0</x:v>
      </x:c>
      <x:c r="M1585" s="6">
        <x:v>0</x:v>
      </x:c>
      <x:c r="N1585" s="6">
        <x:f t="shared" si="78"/>
        <x:v>14427.32</x:v>
      </x:c>
    </x:row>
    <x:row r="1586" spans="1:14" x14ac:dyDescent="0.25">
      <x:c r="A1586" t="s">
        <x:v>21</x:v>
      </x:c>
      <x:c r="B1586" s="3" t="s">
        <x:v>229</x:v>
      </x:c>
      <x:c r="C1586" s="3" t="s">
        <x:v>544</x:v>
      </x:c>
      <x:c r="D1586" t="s">
        <x:v>677</x:v>
      </x:c>
      <x:c r="E1586" s="6">
        <x:v>0</x:v>
      </x:c>
      <x:c r="F1586" s="6">
        <x:v>0</x:v>
      </x:c>
      <x:c r="G1586" s="6">
        <x:v>0</x:v>
      </x:c>
      <x:c r="H1586" s="6">
        <x:f t="shared" si="76"/>
        <x:v>0</x:v>
      </x:c>
      <x:c r="I1586" s="6">
        <x:v>1081.5999999999999</x:v>
      </x:c>
      <x:c r="J1586" s="6">
        <x:v>0</x:v>
      </x:c>
      <x:c r="K1586" s="6">
        <x:f t="shared" si="77"/>
        <x:v>1081.5999999999999</x:v>
      </x:c>
      <x:c r="L1586" s="6">
        <x:v>0</x:v>
      </x:c>
      <x:c r="M1586" s="6">
        <x:v>0</x:v>
      </x:c>
      <x:c r="N1586" s="6">
        <x:f t="shared" si="78"/>
        <x:v>1081.5999999999999</x:v>
      </x:c>
    </x:row>
    <x:row r="1587" spans="1:14" x14ac:dyDescent="0.25">
      <x:c r="A1587" t="s">
        <x:v>21</x:v>
      </x:c>
      <x:c r="B1587" s="3" t="s">
        <x:v>261</x:v>
      </x:c>
      <x:c r="C1587" s="3" t="s">
        <x:v>576</x:v>
      </x:c>
      <x:c r="D1587" t="s">
        <x:v>676</x:v>
      </x:c>
      <x:c r="E1587" s="6">
        <x:v>0</x:v>
      </x:c>
      <x:c r="F1587" s="6">
        <x:v>0</x:v>
      </x:c>
      <x:c r="G1587" s="6">
        <x:v>0</x:v>
      </x:c>
      <x:c r="H1587" s="6">
        <x:f t="shared" si="76"/>
        <x:v>0</x:v>
      </x:c>
      <x:c r="I1587" s="6">
        <x:v>0</x:v>
      </x:c>
      <x:c r="J1587" s="6">
        <x:v>0</x:v>
      </x:c>
      <x:c r="K1587" s="6">
        <x:f t="shared" si="77"/>
        <x:v>0</x:v>
      </x:c>
      <x:c r="L1587" s="6">
        <x:v>174.87</x:v>
      </x:c>
      <x:c r="M1587" s="6">
        <x:v>0</x:v>
      </x:c>
      <x:c r="N1587" s="6">
        <x:f t="shared" si="78"/>
        <x:v>174.87</x:v>
      </x:c>
    </x:row>
    <x:row r="1588" spans="1:14" x14ac:dyDescent="0.25">
      <x:c r="A1588" t="s">
        <x:v>21</x:v>
      </x:c>
      <x:c r="B1588" s="3" t="s">
        <x:v>120</x:v>
      </x:c>
      <x:c r="C1588" s="3" t="s">
        <x:v>437</x:v>
      </x:c>
      <x:c r="D1588" t="s">
        <x:v>677</x:v>
      </x:c>
      <x:c r="E1588" s="6">
        <x:v>0</x:v>
      </x:c>
      <x:c r="F1588" s="6">
        <x:v>0</x:v>
      </x:c>
      <x:c r="G1588" s="6">
        <x:v>0</x:v>
      </x:c>
      <x:c r="H1588" s="6">
        <x:f t="shared" si="76"/>
        <x:v>0</x:v>
      </x:c>
      <x:c r="I1588" s="6">
        <x:v>1564.16</x:v>
      </x:c>
      <x:c r="J1588" s="6">
        <x:v>0</x:v>
      </x:c>
      <x:c r="K1588" s="6">
        <x:f t="shared" si="77"/>
        <x:v>1564.16</x:v>
      </x:c>
      <x:c r="L1588" s="6">
        <x:v>0</x:v>
      </x:c>
      <x:c r="M1588" s="6">
        <x:v>0</x:v>
      </x:c>
      <x:c r="N1588" s="6">
        <x:f t="shared" si="78"/>
        <x:v>1564.16</x:v>
      </x:c>
    </x:row>
    <x:row r="1589" spans="1:14" x14ac:dyDescent="0.25">
      <x:c r="A1589" t="s">
        <x:v>21</x:v>
      </x:c>
      <x:c r="B1589" s="3" t="s">
        <x:v>121</x:v>
      </x:c>
      <x:c r="C1589" s="3" t="s">
        <x:v>438</x:v>
      </x:c>
      <x:c r="D1589" t="s">
        <x:v>677</x:v>
      </x:c>
      <x:c r="E1589" s="6">
        <x:v>0</x:v>
      </x:c>
      <x:c r="F1589" s="6">
        <x:v>0</x:v>
      </x:c>
      <x:c r="G1589" s="6">
        <x:v>0</x:v>
      </x:c>
      <x:c r="H1589" s="6">
        <x:f t="shared" si="76"/>
        <x:v>0</x:v>
      </x:c>
      <x:c r="I1589" s="6">
        <x:v>6622.9400000000005</x:v>
      </x:c>
      <x:c r="J1589" s="6">
        <x:v>0</x:v>
      </x:c>
      <x:c r="K1589" s="6">
        <x:f t="shared" si="77"/>
        <x:v>6622.9400000000005</x:v>
      </x:c>
      <x:c r="L1589" s="6">
        <x:v>0</x:v>
      </x:c>
      <x:c r="M1589" s="6">
        <x:v>0</x:v>
      </x:c>
      <x:c r="N1589" s="6">
        <x:f t="shared" si="78"/>
        <x:v>6622.9400000000005</x:v>
      </x:c>
    </x:row>
    <x:row r="1590" spans="1:14" x14ac:dyDescent="0.25">
      <x:c r="A1590" t="s">
        <x:v>21</x:v>
      </x:c>
      <x:c r="B1590" t="s">
        <x:v>798</x:v>
      </x:c>
      <x:c r="C1590" t="s">
        <x:v>592</x:v>
      </x:c>
      <x:c r="D1590" t="s">
        <x:v>677</x:v>
      </x:c>
      <x:c r="E1590" s="6">
        <x:v>0</x:v>
      </x:c>
      <x:c r="F1590" s="6">
        <x:v>0</x:v>
      </x:c>
      <x:c r="G1590" s="6">
        <x:v>0</x:v>
      </x:c>
      <x:c r="H1590" s="6">
        <x:f t="shared" si="76"/>
        <x:v>0</x:v>
      </x:c>
      <x:c r="I1590" s="6">
        <x:v>393.68</x:v>
      </x:c>
      <x:c r="J1590" s="6">
        <x:v>0</x:v>
      </x:c>
      <x:c r="K1590" s="6">
        <x:f t="shared" si="77"/>
        <x:v>393.68</x:v>
      </x:c>
      <x:c r="L1590" s="6">
        <x:v>0</x:v>
      </x:c>
      <x:c r="M1590" s="6">
        <x:v>0</x:v>
      </x:c>
      <x:c r="N1590" s="6">
        <x:f t="shared" si="78"/>
        <x:v>393.68</x:v>
      </x:c>
    </x:row>
    <x:row r="1591" spans="1:14" x14ac:dyDescent="0.25">
      <x:c r="A1591" t="s">
        <x:v>21</x:v>
      </x:c>
      <x:c r="B1591" t="s">
        <x:v>708</x:v>
      </x:c>
      <x:c r="C1591" t="s">
        <x:v>709</x:v>
      </x:c>
      <x:c r="D1591" t="s">
        <x:v>832</x:v>
      </x:c>
      <x:c r="E1591" s="6">
        <x:v>226.21</x:v>
      </x:c>
      <x:c r="F1591" s="6">
        <x:v>0</x:v>
      </x:c>
      <x:c r="G1591" s="6">
        <x:v>0</x:v>
      </x:c>
      <x:c r="H1591" s="6">
        <x:f t="shared" si="76"/>
        <x:v>226.21</x:v>
      </x:c>
      <x:c r="I1591" s="6">
        <x:v>0</x:v>
      </x:c>
      <x:c r="J1591" s="6">
        <x:v>0</x:v>
      </x:c>
      <x:c r="K1591" s="6">
        <x:f t="shared" si="77"/>
        <x:v>0</x:v>
      </x:c>
      <x:c r="L1591" s="6">
        <x:v>0</x:v>
      </x:c>
      <x:c r="M1591" s="6">
        <x:v>0</x:v>
      </x:c>
      <x:c r="N1591" s="6">
        <x:f t="shared" si="78"/>
        <x:v>226.21</x:v>
      </x:c>
    </x:row>
    <x:row r="1592" spans="1:14" x14ac:dyDescent="0.25">
      <x:c r="A1592" t="s">
        <x:v>21</x:v>
      </x:c>
      <x:c r="B1592" s="3" t="s">
        <x:v>122</x:v>
      </x:c>
      <x:c r="C1592" s="3" t="s">
        <x:v>439</x:v>
      </x:c>
      <x:c r="D1592" t="s">
        <x:v>677</x:v>
      </x:c>
      <x:c r="E1592" s="6">
        <x:v>0</x:v>
      </x:c>
      <x:c r="F1592" s="6">
        <x:v>0</x:v>
      </x:c>
      <x:c r="G1592" s="6">
        <x:v>0</x:v>
      </x:c>
      <x:c r="H1592" s="6">
        <x:f t="shared" si="76"/>
        <x:v>0</x:v>
      </x:c>
      <x:c r="I1592" s="6">
        <x:v>731240.6599999998</x:v>
      </x:c>
      <x:c r="J1592" s="6">
        <x:v>0</x:v>
      </x:c>
      <x:c r="K1592" s="6">
        <x:f t="shared" si="77"/>
        <x:v>731240.6599999998</x:v>
      </x:c>
      <x:c r="L1592" s="6">
        <x:v>0</x:v>
      </x:c>
      <x:c r="M1592" s="6">
        <x:v>0</x:v>
      </x:c>
      <x:c r="N1592" s="6">
        <x:f t="shared" si="78"/>
        <x:v>731240.6599999998</x:v>
      </x:c>
    </x:row>
    <x:row r="1593" spans="1:14" x14ac:dyDescent="0.25">
      <x:c r="A1593" t="s">
        <x:v>21</x:v>
      </x:c>
      <x:c r="B1593" s="3" t="s">
        <x:v>123</x:v>
      </x:c>
      <x:c r="C1593" s="3" t="s">
        <x:v>440</x:v>
      </x:c>
      <x:c r="D1593" t="s">
        <x:v>677</x:v>
      </x:c>
      <x:c r="E1593" s="6">
        <x:v>0</x:v>
      </x:c>
      <x:c r="F1593" s="6">
        <x:v>0</x:v>
      </x:c>
      <x:c r="G1593" s="6">
        <x:v>0</x:v>
      </x:c>
      <x:c r="H1593" s="6">
        <x:f t="shared" si="76"/>
        <x:v>0</x:v>
      </x:c>
      <x:c r="I1593" s="6">
        <x:v>166.22</x:v>
      </x:c>
      <x:c r="J1593" s="6">
        <x:v>0</x:v>
      </x:c>
      <x:c r="K1593" s="6">
        <x:f t="shared" si="77"/>
        <x:v>166.22</x:v>
      </x:c>
      <x:c r="L1593" s="6">
        <x:v>0</x:v>
      </x:c>
      <x:c r="M1593" s="6">
        <x:v>0</x:v>
      </x:c>
      <x:c r="N1593" s="6">
        <x:f t="shared" si="78"/>
        <x:v>166.22</x:v>
      </x:c>
    </x:row>
    <x:row r="1594" spans="1:14" x14ac:dyDescent="0.25">
      <x:c r="A1594" t="s">
        <x:v>21</x:v>
      </x:c>
      <x:c r="B1594" s="3" t="s">
        <x:v>124</x:v>
      </x:c>
      <x:c r="C1594" s="3" t="s">
        <x:v>441</x:v>
      </x:c>
      <x:c r="D1594" t="s">
        <x:v>677</x:v>
      </x:c>
      <x:c r="E1594" s="6">
        <x:v>0</x:v>
      </x:c>
      <x:c r="F1594" s="6">
        <x:v>0</x:v>
      </x:c>
      <x:c r="G1594" s="6">
        <x:v>0</x:v>
      </x:c>
      <x:c r="H1594" s="6">
        <x:f t="shared" si="76"/>
        <x:v>0</x:v>
      </x:c>
      <x:c r="I1594" s="6">
        <x:v>286781.08999999997</x:v>
      </x:c>
      <x:c r="J1594" s="6">
        <x:v>0</x:v>
      </x:c>
      <x:c r="K1594" s="6">
        <x:f t="shared" si="77"/>
        <x:v>286781.08999999997</x:v>
      </x:c>
      <x:c r="L1594" s="6">
        <x:v>0</x:v>
      </x:c>
      <x:c r="M1594" s="6">
        <x:v>0</x:v>
      </x:c>
      <x:c r="N1594" s="6">
        <x:f t="shared" si="78"/>
        <x:v>286781.08999999997</x:v>
      </x:c>
    </x:row>
    <x:row r="1595" spans="1:14" x14ac:dyDescent="0.25">
      <x:c r="A1595" t="s">
        <x:v>21</x:v>
      </x:c>
      <x:c r="B1595" s="3" t="s">
        <x:v>126</x:v>
      </x:c>
      <x:c r="C1595" s="3" t="s">
        <x:v>443</x:v>
      </x:c>
      <x:c r="D1595" t="s">
        <x:v>677</x:v>
      </x:c>
      <x:c r="E1595" s="6">
        <x:v>0</x:v>
      </x:c>
      <x:c r="F1595" s="6">
        <x:v>0</x:v>
      </x:c>
      <x:c r="G1595" s="6">
        <x:v>0</x:v>
      </x:c>
      <x:c r="H1595" s="6">
        <x:f t="shared" si="76"/>
        <x:v>0</x:v>
      </x:c>
      <x:c r="I1595" s="6">
        <x:v>11081.640000000005</x:v>
      </x:c>
      <x:c r="J1595" s="6">
        <x:v>0</x:v>
      </x:c>
      <x:c r="K1595" s="6">
        <x:f t="shared" si="77"/>
        <x:v>11081.640000000005</x:v>
      </x:c>
      <x:c r="L1595" s="6">
        <x:v>0</x:v>
      </x:c>
      <x:c r="M1595" s="6">
        <x:v>0</x:v>
      </x:c>
      <x:c r="N1595" s="6">
        <x:f t="shared" si="78"/>
        <x:v>11081.640000000005</x:v>
      </x:c>
    </x:row>
    <x:row r="1596" spans="1:14" x14ac:dyDescent="0.25">
      <x:c r="A1596" t="s">
        <x:v>21</x:v>
      </x:c>
      <x:c r="B1596" s="3" t="s">
        <x:v>230</x:v>
      </x:c>
      <x:c r="C1596" s="3" t="s">
        <x:v>545</x:v>
      </x:c>
      <x:c r="D1596" t="s">
        <x:v>677</x:v>
      </x:c>
      <x:c r="E1596" s="6">
        <x:v>0</x:v>
      </x:c>
      <x:c r="F1596" s="6">
        <x:v>0</x:v>
      </x:c>
      <x:c r="G1596" s="6">
        <x:v>0</x:v>
      </x:c>
      <x:c r="H1596" s="6">
        <x:f t="shared" si="76"/>
        <x:v>0</x:v>
      </x:c>
      <x:c r="I1596" s="6">
        <x:v>31808.63</x:v>
      </x:c>
      <x:c r="J1596" s="6">
        <x:v>0</x:v>
      </x:c>
      <x:c r="K1596" s="6">
        <x:f t="shared" si="77"/>
        <x:v>31808.63</x:v>
      </x:c>
      <x:c r="L1596" s="6">
        <x:v>0</x:v>
      </x:c>
      <x:c r="M1596" s="6">
        <x:v>0</x:v>
      </x:c>
      <x:c r="N1596" s="6">
        <x:f t="shared" si="78"/>
        <x:v>31808.63</x:v>
      </x:c>
    </x:row>
    <x:row r="1597" spans="1:14" x14ac:dyDescent="0.25">
      <x:c r="A1597" t="s">
        <x:v>21</x:v>
      </x:c>
      <x:c r="B1597" s="3" t="s">
        <x:v>127</x:v>
      </x:c>
      <x:c r="C1597" s="3" t="s">
        <x:v>444</x:v>
      </x:c>
      <x:c r="D1597" t="s">
        <x:v>677</x:v>
      </x:c>
      <x:c r="E1597" s="6">
        <x:v>0</x:v>
      </x:c>
      <x:c r="F1597" s="6">
        <x:v>0</x:v>
      </x:c>
      <x:c r="G1597" s="6">
        <x:v>0</x:v>
      </x:c>
      <x:c r="H1597" s="6">
        <x:f t="shared" si="76"/>
        <x:v>0</x:v>
      </x:c>
      <x:c r="I1597" s="6">
        <x:v>6839.19</x:v>
      </x:c>
      <x:c r="J1597" s="6">
        <x:v>0</x:v>
      </x:c>
      <x:c r="K1597" s="6">
        <x:f t="shared" si="77"/>
        <x:v>6839.19</x:v>
      </x:c>
      <x:c r="L1597" s="6">
        <x:v>0</x:v>
      </x:c>
      <x:c r="M1597" s="6">
        <x:v>0</x:v>
      </x:c>
      <x:c r="N1597" s="6">
        <x:f t="shared" si="78"/>
        <x:v>6839.19</x:v>
      </x:c>
    </x:row>
    <x:row r="1598" spans="1:14" x14ac:dyDescent="0.25">
      <x:c r="A1598" t="s">
        <x:v>21</x:v>
      </x:c>
      <x:c r="B1598" s="3" t="s">
        <x:v>231</x:v>
      </x:c>
      <x:c r="C1598" s="3" t="s">
        <x:v>546</x:v>
      </x:c>
      <x:c r="D1598" t="s">
        <x:v>677</x:v>
      </x:c>
      <x:c r="E1598" s="6">
        <x:v>0</x:v>
      </x:c>
      <x:c r="F1598" s="6">
        <x:v>0</x:v>
      </x:c>
      <x:c r="G1598" s="6">
        <x:v>0</x:v>
      </x:c>
      <x:c r="H1598" s="6">
        <x:f t="shared" si="76"/>
        <x:v>0</x:v>
      </x:c>
      <x:c r="I1598" s="6">
        <x:v>23955.930000000004</x:v>
      </x:c>
      <x:c r="J1598" s="6">
        <x:v>0</x:v>
      </x:c>
      <x:c r="K1598" s="6">
        <x:f t="shared" si="77"/>
        <x:v>23955.930000000004</x:v>
      </x:c>
      <x:c r="L1598" s="6">
        <x:v>0</x:v>
      </x:c>
      <x:c r="M1598" s="6">
        <x:v>0</x:v>
      </x:c>
      <x:c r="N1598" s="6">
        <x:f t="shared" si="78"/>
        <x:v>23955.930000000004</x:v>
      </x:c>
    </x:row>
    <x:row r="1599" spans="1:14" x14ac:dyDescent="0.25">
      <x:c r="A1599" t="s">
        <x:v>21</x:v>
      </x:c>
      <x:c r="B1599" s="3" t="s">
        <x:v>128</x:v>
      </x:c>
      <x:c r="C1599" s="3" t="s">
        <x:v>445</x:v>
      </x:c>
      <x:c r="D1599" t="s">
        <x:v>677</x:v>
      </x:c>
      <x:c r="E1599" s="6">
        <x:v>0</x:v>
      </x:c>
      <x:c r="F1599" s="6">
        <x:v>0</x:v>
      </x:c>
      <x:c r="G1599" s="6">
        <x:v>0</x:v>
      </x:c>
      <x:c r="H1599" s="6">
        <x:f t="shared" si="76"/>
        <x:v>0</x:v>
      </x:c>
      <x:c r="I1599" s="6">
        <x:v>19345.099999999999</x:v>
      </x:c>
      <x:c r="J1599" s="6">
        <x:v>0</x:v>
      </x:c>
      <x:c r="K1599" s="6">
        <x:f t="shared" si="77"/>
        <x:v>19345.099999999999</x:v>
      </x:c>
      <x:c r="L1599" s="6">
        <x:v>0</x:v>
      </x:c>
      <x:c r="M1599" s="6">
        <x:v>0</x:v>
      </x:c>
      <x:c r="N1599" s="6">
        <x:f t="shared" si="78"/>
        <x:v>19345.099999999999</x:v>
      </x:c>
    </x:row>
    <x:row r="1600" spans="1:14" x14ac:dyDescent="0.25">
      <x:c r="A1600" t="s">
        <x:v>21</x:v>
      </x:c>
      <x:c r="B1600" s="3" t="s">
        <x:v>129</x:v>
      </x:c>
      <x:c r="C1600" s="3" t="s">
        <x:v>446</x:v>
      </x:c>
      <x:c r="D1600" t="s">
        <x:v>677</x:v>
      </x:c>
      <x:c r="E1600" s="6">
        <x:v>0</x:v>
      </x:c>
      <x:c r="F1600" s="6">
        <x:v>0</x:v>
      </x:c>
      <x:c r="G1600" s="6">
        <x:v>0</x:v>
      </x:c>
      <x:c r="H1600" s="6">
        <x:f t="shared" si="76"/>
        <x:v>0</x:v>
      </x:c>
      <x:c r="I1600" s="6">
        <x:v>17002.429999999993</x:v>
      </x:c>
      <x:c r="J1600" s="6">
        <x:v>0</x:v>
      </x:c>
      <x:c r="K1600" s="6">
        <x:f t="shared" si="77"/>
        <x:v>17002.429999999993</x:v>
      </x:c>
      <x:c r="L1600" s="6">
        <x:v>0</x:v>
      </x:c>
      <x:c r="M1600" s="6">
        <x:v>0</x:v>
      </x:c>
      <x:c r="N1600" s="6">
        <x:f t="shared" si="78"/>
        <x:v>17002.429999999993</x:v>
      </x:c>
    </x:row>
    <x:row r="1601" spans="1:14" x14ac:dyDescent="0.25">
      <x:c r="A1601" t="s">
        <x:v>21</x:v>
      </x:c>
      <x:c r="B1601" s="3" t="s">
        <x:v>130</x:v>
      </x:c>
      <x:c r="C1601" s="3" t="s">
        <x:v>447</x:v>
      </x:c>
      <x:c r="D1601" t="s">
        <x:v>677</x:v>
      </x:c>
      <x:c r="E1601" s="6">
        <x:v>0</x:v>
      </x:c>
      <x:c r="F1601" s="6">
        <x:v>0</x:v>
      </x:c>
      <x:c r="G1601" s="6">
        <x:v>0</x:v>
      </x:c>
      <x:c r="H1601" s="6">
        <x:f t="shared" si="76"/>
        <x:v>0</x:v>
      </x:c>
      <x:c r="I1601" s="6">
        <x:v>4774.5200000000004</x:v>
      </x:c>
      <x:c r="J1601" s="6">
        <x:v>0</x:v>
      </x:c>
      <x:c r="K1601" s="6">
        <x:f t="shared" si="77"/>
        <x:v>4774.5200000000004</x:v>
      </x:c>
      <x:c r="L1601" s="6">
        <x:v>0</x:v>
      </x:c>
      <x:c r="M1601" s="6">
        <x:v>0</x:v>
      </x:c>
      <x:c r="N1601" s="6">
        <x:f t="shared" si="78"/>
        <x:v>4774.5200000000004</x:v>
      </x:c>
    </x:row>
    <x:row r="1602" spans="1:14" x14ac:dyDescent="0.25">
      <x:c r="A1602" t="s">
        <x:v>21</x:v>
      </x:c>
      <x:c r="B1602" s="3" t="s">
        <x:v>131</x:v>
      </x:c>
      <x:c r="C1602" s="3" t="s">
        <x:v>448</x:v>
      </x:c>
      <x:c r="D1602" t="s">
        <x:v>677</x:v>
      </x:c>
      <x:c r="E1602" s="6">
        <x:v>0</x:v>
      </x:c>
      <x:c r="F1602" s="6">
        <x:v>0</x:v>
      </x:c>
      <x:c r="G1602" s="6">
        <x:v>0</x:v>
      </x:c>
      <x:c r="H1602" s="6">
        <x:f t="shared" si="76"/>
        <x:v>0</x:v>
      </x:c>
      <x:c r="I1602" s="6">
        <x:v>21708.070000000003</x:v>
      </x:c>
      <x:c r="J1602" s="6">
        <x:v>0</x:v>
      </x:c>
      <x:c r="K1602" s="6">
        <x:f t="shared" si="77"/>
        <x:v>21708.070000000003</x:v>
      </x:c>
      <x:c r="L1602" s="6">
        <x:v>0</x:v>
      </x:c>
      <x:c r="M1602" s="6">
        <x:v>0</x:v>
      </x:c>
      <x:c r="N1602" s="6">
        <x:f t="shared" si="78"/>
        <x:v>21708.070000000003</x:v>
      </x:c>
    </x:row>
    <x:row r="1603" spans="1:14" x14ac:dyDescent="0.25">
      <x:c r="A1603" t="s">
        <x:v>21</x:v>
      </x:c>
      <x:c r="B1603" s="3" t="s">
        <x:v>132</x:v>
      </x:c>
      <x:c r="C1603" s="3" t="s">
        <x:v>449</x:v>
      </x:c>
      <x:c r="D1603" t="s">
        <x:v>677</x:v>
      </x:c>
      <x:c r="E1603" s="6">
        <x:v>0</x:v>
      </x:c>
      <x:c r="F1603" s="6">
        <x:v>0</x:v>
      </x:c>
      <x:c r="G1603" s="6">
        <x:v>0</x:v>
      </x:c>
      <x:c r="H1603" s="6">
        <x:f t="shared" si="76"/>
        <x:v>0</x:v>
      </x:c>
      <x:c r="I1603" s="6">
        <x:v>69840.949999999983</x:v>
      </x:c>
      <x:c r="J1603" s="6">
        <x:v>0</x:v>
      </x:c>
      <x:c r="K1603" s="6">
        <x:f t="shared" si="77"/>
        <x:v>69840.949999999983</x:v>
      </x:c>
      <x:c r="L1603" s="6">
        <x:v>0</x:v>
      </x:c>
      <x:c r="M1603" s="6">
        <x:v>0</x:v>
      </x:c>
      <x:c r="N1603" s="6">
        <x:f t="shared" si="78"/>
        <x:v>69840.949999999983</x:v>
      </x:c>
    </x:row>
    <x:row r="1604" spans="1:14" x14ac:dyDescent="0.25">
      <x:c r="A1604" t="s">
        <x:v>21</x:v>
      </x:c>
      <x:c r="B1604" s="3" t="s">
        <x:v>133</x:v>
      </x:c>
      <x:c r="C1604" s="3" t="s">
        <x:v>450</x:v>
      </x:c>
      <x:c r="D1604" t="s">
        <x:v>677</x:v>
      </x:c>
      <x:c r="E1604" s="6">
        <x:v>0</x:v>
      </x:c>
      <x:c r="F1604" s="6">
        <x:v>0</x:v>
      </x:c>
      <x:c r="G1604" s="6">
        <x:v>0</x:v>
      </x:c>
      <x:c r="H1604" s="6">
        <x:f t="shared" si="76"/>
        <x:v>0</x:v>
      </x:c>
      <x:c r="I1604" s="6">
        <x:v>-1492.0000000000009</x:v>
      </x:c>
      <x:c r="J1604" s="6">
        <x:v>0</x:v>
      </x:c>
      <x:c r="K1604" s="6">
        <x:f t="shared" si="77"/>
        <x:v>-1492.0000000000009</x:v>
      </x:c>
      <x:c r="L1604" s="6">
        <x:v>0</x:v>
      </x:c>
      <x:c r="M1604" s="6">
        <x:v>0</x:v>
      </x:c>
      <x:c r="N1604" s="6">
        <x:f t="shared" si="78"/>
        <x:v>-1492.0000000000009</x:v>
      </x:c>
    </x:row>
    <x:row r="1605" spans="1:14" x14ac:dyDescent="0.25">
      <x:c r="A1605" t="s">
        <x:v>21</x:v>
      </x:c>
      <x:c r="B1605" s="3" t="s">
        <x:v>134</x:v>
      </x:c>
      <x:c r="C1605" s="3" t="s">
        <x:v>451</x:v>
      </x:c>
      <x:c r="D1605" t="s">
        <x:v>677</x:v>
      </x:c>
      <x:c r="E1605" s="6">
        <x:v>0</x:v>
      </x:c>
      <x:c r="F1605" s="6">
        <x:v>0</x:v>
      </x:c>
      <x:c r="G1605" s="6">
        <x:v>0</x:v>
      </x:c>
      <x:c r="H1605" s="6">
        <x:f t="shared" si="76"/>
        <x:v>0</x:v>
      </x:c>
      <x:c r="I1605" s="6">
        <x:v>1798503.01</x:v>
      </x:c>
      <x:c r="J1605" s="6">
        <x:v>0</x:v>
      </x:c>
      <x:c r="K1605" s="6">
        <x:f t="shared" si="77"/>
        <x:v>1798503.01</x:v>
      </x:c>
      <x:c r="L1605" s="6">
        <x:v>0</x:v>
      </x:c>
      <x:c r="M1605" s="6">
        <x:v>0</x:v>
      </x:c>
      <x:c r="N1605" s="6">
        <x:f t="shared" si="78"/>
        <x:v>1798503.01</x:v>
      </x:c>
    </x:row>
    <x:row r="1606" spans="1:14" x14ac:dyDescent="0.25">
      <x:c r="A1606" t="s">
        <x:v>21</x:v>
      </x:c>
      <x:c r="B1606" s="3" t="s">
        <x:v>135</x:v>
      </x:c>
      <x:c r="C1606" s="3" t="s">
        <x:v>452</x:v>
      </x:c>
      <x:c r="D1606" t="s">
        <x:v>677</x:v>
      </x:c>
      <x:c r="E1606" s="6">
        <x:v>0</x:v>
      </x:c>
      <x:c r="F1606" s="6">
        <x:v>0</x:v>
      </x:c>
      <x:c r="G1606" s="6">
        <x:v>0</x:v>
      </x:c>
      <x:c r="H1606" s="6">
        <x:f t="shared" si="76"/>
        <x:v>0</x:v>
      </x:c>
      <x:c r="I1606" s="6">
        <x:v>746.47</x:v>
      </x:c>
      <x:c r="J1606" s="6">
        <x:v>0</x:v>
      </x:c>
      <x:c r="K1606" s="6">
        <x:f t="shared" si="77"/>
        <x:v>746.47</x:v>
      </x:c>
      <x:c r="L1606" s="6">
        <x:v>0</x:v>
      </x:c>
      <x:c r="M1606" s="6">
        <x:v>0</x:v>
      </x:c>
      <x:c r="N1606" s="6">
        <x:f t="shared" si="78"/>
        <x:v>746.47</x:v>
      </x:c>
    </x:row>
    <x:row r="1607" spans="1:14" x14ac:dyDescent="0.25">
      <x:c r="A1607" t="s">
        <x:v>21</x:v>
      </x:c>
      <x:c r="B1607" s="3" t="s">
        <x:v>137</x:v>
      </x:c>
      <x:c r="C1607" s="3" t="s">
        <x:v>454</x:v>
      </x:c>
      <x:c r="D1607" t="s">
        <x:v>677</x:v>
      </x:c>
      <x:c r="E1607" s="6">
        <x:v>0</x:v>
      </x:c>
      <x:c r="F1607" s="6">
        <x:v>0</x:v>
      </x:c>
      <x:c r="G1607" s="6">
        <x:v>0</x:v>
      </x:c>
      <x:c r="H1607" s="6">
        <x:f t="shared" si="76"/>
        <x:v>0</x:v>
      </x:c>
      <x:c r="I1607" s="6">
        <x:v>15083.68</x:v>
      </x:c>
      <x:c r="J1607" s="6">
        <x:v>0</x:v>
      </x:c>
      <x:c r="K1607" s="6">
        <x:f t="shared" si="77"/>
        <x:v>15083.68</x:v>
      </x:c>
      <x:c r="L1607" s="6">
        <x:v>0</x:v>
      </x:c>
      <x:c r="M1607" s="6">
        <x:v>0</x:v>
      </x:c>
      <x:c r="N1607" s="6">
        <x:f t="shared" si="78"/>
        <x:v>15083.68</x:v>
      </x:c>
    </x:row>
    <x:row r="1608" spans="1:14" x14ac:dyDescent="0.25">
      <x:c r="A1608" t="s">
        <x:v>21</x:v>
      </x:c>
      <x:c r="B1608" s="3" t="s">
        <x:v>138</x:v>
      </x:c>
      <x:c r="C1608" s="3" t="s">
        <x:v>455</x:v>
      </x:c>
      <x:c r="D1608" t="s">
        <x:v>677</x:v>
      </x:c>
      <x:c r="E1608" s="6">
        <x:v>0</x:v>
      </x:c>
      <x:c r="F1608" s="6">
        <x:v>0</x:v>
      </x:c>
      <x:c r="G1608" s="6">
        <x:v>0</x:v>
      </x:c>
      <x:c r="H1608" s="6">
        <x:f t="shared" si="76"/>
        <x:v>0</x:v>
      </x:c>
      <x:c r="I1608" s="6">
        <x:v>-15974.89</x:v>
      </x:c>
      <x:c r="J1608" s="6">
        <x:v>0</x:v>
      </x:c>
      <x:c r="K1608" s="6">
        <x:f t="shared" si="77"/>
        <x:v>-15974.89</x:v>
      </x:c>
      <x:c r="L1608" s="6">
        <x:v>0</x:v>
      </x:c>
      <x:c r="M1608" s="6">
        <x:v>0</x:v>
      </x:c>
      <x:c r="N1608" s="6">
        <x:f t="shared" si="78"/>
        <x:v>-15974.89</x:v>
      </x:c>
    </x:row>
    <x:row r="1609" spans="1:14" x14ac:dyDescent="0.25">
      <x:c r="A1609" t="s">
        <x:v>21</x:v>
      </x:c>
      <x:c r="B1609" s="3" t="s">
        <x:v>140</x:v>
      </x:c>
      <x:c r="C1609" s="3" t="s">
        <x:v>457</x:v>
      </x:c>
      <x:c r="D1609" t="s">
        <x:v>677</x:v>
      </x:c>
      <x:c r="E1609" s="6">
        <x:v>0</x:v>
      </x:c>
      <x:c r="F1609" s="6">
        <x:v>0</x:v>
      </x:c>
      <x:c r="G1609" s="6">
        <x:v>0</x:v>
      </x:c>
      <x:c r="H1609" s="6">
        <x:f t="shared" si="76"/>
        <x:v>0</x:v>
      </x:c>
      <x:c r="I1609" s="6">
        <x:v>3323.2</x:v>
      </x:c>
      <x:c r="J1609" s="6">
        <x:v>0</x:v>
      </x:c>
      <x:c r="K1609" s="6">
        <x:f t="shared" si="77"/>
        <x:v>3323.2</x:v>
      </x:c>
      <x:c r="L1609" s="6">
        <x:v>0</x:v>
      </x:c>
      <x:c r="M1609" s="6">
        <x:v>0</x:v>
      </x:c>
      <x:c r="N1609" s="6">
        <x:f t="shared" si="78"/>
        <x:v>3323.2</x:v>
      </x:c>
    </x:row>
    <x:row r="1610" spans="1:14" x14ac:dyDescent="0.25">
      <x:c r="A1610" t="s">
        <x:v>21</x:v>
      </x:c>
      <x:c r="B1610" s="3" t="s">
        <x:v>141</x:v>
      </x:c>
      <x:c r="C1610" s="3" t="s">
        <x:v>458</x:v>
      </x:c>
      <x:c r="D1610" t="s">
        <x:v>677</x:v>
      </x:c>
      <x:c r="E1610" s="6">
        <x:v>0</x:v>
      </x:c>
      <x:c r="F1610" s="6">
        <x:v>0</x:v>
      </x:c>
      <x:c r="G1610" s="6">
        <x:v>0</x:v>
      </x:c>
      <x:c r="H1610" s="6">
        <x:f t="shared" si="76"/>
        <x:v>0</x:v>
      </x:c>
      <x:c r="I1610" s="6">
        <x:v>1848.93</x:v>
      </x:c>
      <x:c r="J1610" s="6">
        <x:v>0</x:v>
      </x:c>
      <x:c r="K1610" s="6">
        <x:f t="shared" si="77"/>
        <x:v>1848.93</x:v>
      </x:c>
      <x:c r="L1610" s="6">
        <x:v>0</x:v>
      </x:c>
      <x:c r="M1610" s="6">
        <x:v>0</x:v>
      </x:c>
      <x:c r="N1610" s="6">
        <x:f t="shared" si="78"/>
        <x:v>1848.93</x:v>
      </x:c>
    </x:row>
    <x:row r="1611" spans="1:14" x14ac:dyDescent="0.25">
      <x:c r="A1611" t="s">
        <x:v>21</x:v>
      </x:c>
      <x:c r="B1611" s="3" t="s">
        <x:v>143</x:v>
      </x:c>
      <x:c r="C1611" s="3" t="s">
        <x:v>460</x:v>
      </x:c>
      <x:c r="D1611" t="s">
        <x:v>677</x:v>
      </x:c>
      <x:c r="E1611" s="6">
        <x:v>0</x:v>
      </x:c>
      <x:c r="F1611" s="6">
        <x:v>0</x:v>
      </x:c>
      <x:c r="G1611" s="6">
        <x:v>0</x:v>
      </x:c>
      <x:c r="H1611" s="6">
        <x:f t="shared" si="76"/>
        <x:v>0</x:v>
      </x:c>
      <x:c r="I1611" s="6">
        <x:v>3249.54</x:v>
      </x:c>
      <x:c r="J1611" s="6">
        <x:v>0</x:v>
      </x:c>
      <x:c r="K1611" s="6">
        <x:f t="shared" si="77"/>
        <x:v>3249.54</x:v>
      </x:c>
      <x:c r="L1611" s="6">
        <x:v>0</x:v>
      </x:c>
      <x:c r="M1611" s="6">
        <x:v>0</x:v>
      </x:c>
      <x:c r="N1611" s="6">
        <x:f t="shared" si="78"/>
        <x:v>3249.54</x:v>
      </x:c>
    </x:row>
    <x:row r="1612" spans="1:14" x14ac:dyDescent="0.25">
      <x:c r="A1612" t="s">
        <x:v>21</x:v>
      </x:c>
      <x:c r="B1612" s="3" t="s">
        <x:v>144</x:v>
      </x:c>
      <x:c r="C1612" s="3" t="s">
        <x:v>461</x:v>
      </x:c>
      <x:c r="D1612" t="s">
        <x:v>677</x:v>
      </x:c>
      <x:c r="E1612" s="6">
        <x:v>0</x:v>
      </x:c>
      <x:c r="F1612" s="6">
        <x:v>0</x:v>
      </x:c>
      <x:c r="G1612" s="6">
        <x:v>0</x:v>
      </x:c>
      <x:c r="H1612" s="6">
        <x:f t="shared" si="76"/>
        <x:v>0</x:v>
      </x:c>
      <x:c r="I1612" s="6">
        <x:v>126.72</x:v>
      </x:c>
      <x:c r="J1612" s="6">
        <x:v>0</x:v>
      </x:c>
      <x:c r="K1612" s="6">
        <x:f t="shared" si="77"/>
        <x:v>126.72</x:v>
      </x:c>
      <x:c r="L1612" s="6">
        <x:v>0</x:v>
      </x:c>
      <x:c r="M1612" s="6">
        <x:v>0</x:v>
      </x:c>
      <x:c r="N1612" s="6">
        <x:f t="shared" si="78"/>
        <x:v>126.72</x:v>
      </x:c>
    </x:row>
    <x:row r="1613" spans="1:14" x14ac:dyDescent="0.25">
      <x:c r="A1613" t="s">
        <x:v>21</x:v>
      </x:c>
      <x:c r="B1613" s="3" t="s">
        <x:v>146</x:v>
      </x:c>
      <x:c r="C1613" s="3" t="s">
        <x:v>463</x:v>
      </x:c>
      <x:c r="D1613" t="s">
        <x:v>677</x:v>
      </x:c>
      <x:c r="E1613" s="6">
        <x:v>0</x:v>
      </x:c>
      <x:c r="F1613" s="6">
        <x:v>0</x:v>
      </x:c>
      <x:c r="G1613" s="6">
        <x:v>0</x:v>
      </x:c>
      <x:c r="H1613" s="6">
        <x:f t="shared" si="76"/>
        <x:v>0</x:v>
      </x:c>
      <x:c r="I1613" s="6">
        <x:v>4421035.4000000004</x:v>
      </x:c>
      <x:c r="J1613" s="6">
        <x:v>0</x:v>
      </x:c>
      <x:c r="K1613" s="6">
        <x:f t="shared" si="77"/>
        <x:v>4421035.4000000004</x:v>
      </x:c>
      <x:c r="L1613" s="6">
        <x:v>0</x:v>
      </x:c>
      <x:c r="M1613" s="6">
        <x:v>0</x:v>
      </x:c>
      <x:c r="N1613" s="6">
        <x:f t="shared" si="78"/>
        <x:v>4421035.4000000004</x:v>
      </x:c>
    </x:row>
    <x:row r="1614" spans="1:14" x14ac:dyDescent="0.25">
      <x:c r="A1614" t="s">
        <x:v>21</x:v>
      </x:c>
      <x:c r="B1614" s="3" t="s">
        <x:v>232</x:v>
      </x:c>
      <x:c r="C1614" s="3" t="s">
        <x:v>547</x:v>
      </x:c>
      <x:c r="D1614" t="s">
        <x:v>677</x:v>
      </x:c>
      <x:c r="E1614" s="6">
        <x:v>0</x:v>
      </x:c>
      <x:c r="F1614" s="6">
        <x:v>0</x:v>
      </x:c>
      <x:c r="G1614" s="6">
        <x:v>0</x:v>
      </x:c>
      <x:c r="H1614" s="6">
        <x:f t="shared" si="76"/>
        <x:v>0</x:v>
      </x:c>
      <x:c r="I1614" s="6">
        <x:v>2857163.4399999995</x:v>
      </x:c>
      <x:c r="J1614" s="6">
        <x:v>0</x:v>
      </x:c>
      <x:c r="K1614" s="6">
        <x:f t="shared" si="77"/>
        <x:v>2857163.4399999995</x:v>
      </x:c>
      <x:c r="L1614" s="6">
        <x:v>0</x:v>
      </x:c>
      <x:c r="M1614" s="6">
        <x:v>0</x:v>
      </x:c>
      <x:c r="N1614" s="6">
        <x:f t="shared" si="78"/>
        <x:v>2857163.4399999995</x:v>
      </x:c>
    </x:row>
    <x:row r="1615" spans="1:14" x14ac:dyDescent="0.25">
      <x:c r="A1615" t="s">
        <x:v>21</x:v>
      </x:c>
      <x:c r="B1615" s="3" t="s">
        <x:v>147</x:v>
      </x:c>
      <x:c r="C1615" s="3" t="s">
        <x:v>464</x:v>
      </x:c>
      <x:c r="D1615" t="s">
        <x:v>677</x:v>
      </x:c>
      <x:c r="E1615" s="6">
        <x:v>0</x:v>
      </x:c>
      <x:c r="F1615" s="6">
        <x:v>0</x:v>
      </x:c>
      <x:c r="G1615" s="6">
        <x:v>0</x:v>
      </x:c>
      <x:c r="H1615" s="6">
        <x:f t="shared" si="76"/>
        <x:v>0</x:v>
      </x:c>
      <x:c r="I1615" s="6">
        <x:v>1548804.0199999993</x:v>
      </x:c>
      <x:c r="J1615" s="6">
        <x:v>0</x:v>
      </x:c>
      <x:c r="K1615" s="6">
        <x:f t="shared" si="77"/>
        <x:v>1548804.0199999993</x:v>
      </x:c>
      <x:c r="L1615" s="6">
        <x:v>0</x:v>
      </x:c>
      <x:c r="M1615" s="6">
        <x:v>0</x:v>
      </x:c>
      <x:c r="N1615" s="6">
        <x:f t="shared" si="78"/>
        <x:v>1548804.0199999993</x:v>
      </x:c>
    </x:row>
    <x:row r="1616" spans="1:14" x14ac:dyDescent="0.25">
      <x:c r="A1616" t="s">
        <x:v>21</x:v>
      </x:c>
      <x:c r="B1616" s="3" t="s">
        <x:v>148</x:v>
      </x:c>
      <x:c r="C1616" s="3" t="s">
        <x:v>465</x:v>
      </x:c>
      <x:c r="D1616" t="s">
        <x:v>677</x:v>
      </x:c>
      <x:c r="E1616" s="6">
        <x:v>0</x:v>
      </x:c>
      <x:c r="F1616" s="6">
        <x:v>0</x:v>
      </x:c>
      <x:c r="G1616" s="6">
        <x:v>0</x:v>
      </x:c>
      <x:c r="H1616" s="6">
        <x:f t="shared" si="76"/>
        <x:v>0</x:v>
      </x:c>
      <x:c r="I1616" s="6">
        <x:v>851242.48999999953</x:v>
      </x:c>
      <x:c r="J1616" s="6">
        <x:v>0</x:v>
      </x:c>
      <x:c r="K1616" s="6">
        <x:f t="shared" si="77"/>
        <x:v>851242.48999999953</x:v>
      </x:c>
      <x:c r="L1616" s="6">
        <x:v>0</x:v>
      </x:c>
      <x:c r="M1616" s="6">
        <x:v>0</x:v>
      </x:c>
      <x:c r="N1616" s="6">
        <x:f t="shared" si="78"/>
        <x:v>851242.48999999953</x:v>
      </x:c>
    </x:row>
    <x:row r="1617" spans="1:14" x14ac:dyDescent="0.25">
      <x:c r="A1617" t="s">
        <x:v>21</x:v>
      </x:c>
      <x:c r="B1617" s="3" t="s">
        <x:v>149</x:v>
      </x:c>
      <x:c r="C1617" s="3" t="s">
        <x:v>466</x:v>
      </x:c>
      <x:c r="D1617" t="s">
        <x:v>677</x:v>
      </x:c>
      <x:c r="E1617" s="6">
        <x:v>0</x:v>
      </x:c>
      <x:c r="F1617" s="6">
        <x:v>0</x:v>
      </x:c>
      <x:c r="G1617" s="6">
        <x:v>0</x:v>
      </x:c>
      <x:c r="H1617" s="6">
        <x:f t="shared" si="76"/>
        <x:v>0</x:v>
      </x:c>
      <x:c r="I1617" s="6">
        <x:v>320895.57999999996</x:v>
      </x:c>
      <x:c r="J1617" s="6">
        <x:v>0</x:v>
      </x:c>
      <x:c r="K1617" s="6">
        <x:f t="shared" si="77"/>
        <x:v>320895.57999999996</x:v>
      </x:c>
      <x:c r="L1617" s="6">
        <x:v>0</x:v>
      </x:c>
      <x:c r="M1617" s="6">
        <x:v>0</x:v>
      </x:c>
      <x:c r="N1617" s="6">
        <x:f t="shared" si="78"/>
        <x:v>320895.57999999996</x:v>
      </x:c>
    </x:row>
    <x:row r="1618" spans="1:14" x14ac:dyDescent="0.25">
      <x:c r="A1618" t="s">
        <x:v>21</x:v>
      </x:c>
      <x:c r="B1618" s="3" t="s">
        <x:v>150</x:v>
      </x:c>
      <x:c r="C1618" s="3" t="s">
        <x:v>467</x:v>
      </x:c>
      <x:c r="D1618" t="s">
        <x:v>677</x:v>
      </x:c>
      <x:c r="E1618" s="6">
        <x:v>0</x:v>
      </x:c>
      <x:c r="F1618" s="6">
        <x:v>0</x:v>
      </x:c>
      <x:c r="G1618" s="6">
        <x:v>0</x:v>
      </x:c>
      <x:c r="H1618" s="6">
        <x:f t="shared" ref="H1618:H1681" si="79">SUM(E1618:G1618)</x:f>
        <x:v>0</x:v>
      </x:c>
      <x:c r="I1618" s="6">
        <x:v>787132.83</x:v>
      </x:c>
      <x:c r="J1618" s="6">
        <x:v>0</x:v>
      </x:c>
      <x:c r="K1618" s="6">
        <x:f t="shared" ref="K1618:K1681" si="80">SUM(I1618:J1618)</x:f>
        <x:v>787132.83</x:v>
      </x:c>
      <x:c r="L1618" s="6">
        <x:v>0</x:v>
      </x:c>
      <x:c r="M1618" s="6">
        <x:v>0</x:v>
      </x:c>
      <x:c r="N1618" s="6">
        <x:f t="shared" ref="N1618:N1681" si="81">+E1618+F1618+G1618+I1618+J1618+L1618+M1618</x:f>
        <x:v>787132.83</x:v>
      </x:c>
    </x:row>
    <x:row r="1619" spans="1:14" x14ac:dyDescent="0.25">
      <x:c r="A1619" t="s">
        <x:v>21</x:v>
      </x:c>
      <x:c r="B1619" s="3" t="s">
        <x:v>151</x:v>
      </x:c>
      <x:c r="C1619" s="3" t="s">
        <x:v>468</x:v>
      </x:c>
      <x:c r="D1619" t="s">
        <x:v>677</x:v>
      </x:c>
      <x:c r="E1619" s="6">
        <x:v>0</x:v>
      </x:c>
      <x:c r="F1619" s="6">
        <x:v>0</x:v>
      </x:c>
      <x:c r="G1619" s="6">
        <x:v>0</x:v>
      </x:c>
      <x:c r="H1619" s="6">
        <x:f t="shared" si="79"/>
        <x:v>0</x:v>
      </x:c>
      <x:c r="I1619" s="6">
        <x:v>16088.12</x:v>
      </x:c>
      <x:c r="J1619" s="6">
        <x:v>0</x:v>
      </x:c>
      <x:c r="K1619" s="6">
        <x:f t="shared" si="80"/>
        <x:v>16088.12</x:v>
      </x:c>
      <x:c r="L1619" s="6">
        <x:v>0</x:v>
      </x:c>
      <x:c r="M1619" s="6">
        <x:v>0</x:v>
      </x:c>
      <x:c r="N1619" s="6">
        <x:f t="shared" si="81"/>
        <x:v>16088.12</x:v>
      </x:c>
    </x:row>
    <x:row r="1620" spans="1:14" x14ac:dyDescent="0.25">
      <x:c r="A1620" t="s">
        <x:v>21</x:v>
      </x:c>
      <x:c r="B1620" s="3" t="s">
        <x:v>277</x:v>
      </x:c>
      <x:c r="C1620" s="3" t="s">
        <x:v>592</x:v>
      </x:c>
      <x:c r="D1620" t="s">
        <x:v>677</x:v>
      </x:c>
      <x:c r="E1620" s="6">
        <x:v>0</x:v>
      </x:c>
      <x:c r="F1620" s="6">
        <x:v>0</x:v>
      </x:c>
      <x:c r="G1620" s="6">
        <x:v>0</x:v>
      </x:c>
      <x:c r="H1620" s="6">
        <x:f t="shared" si="79"/>
        <x:v>0</x:v>
      </x:c>
      <x:c r="I1620" s="6">
        <x:v>57800055.579999991</x:v>
      </x:c>
      <x:c r="J1620" s="6">
        <x:v>0</x:v>
      </x:c>
      <x:c r="K1620" s="6">
        <x:f t="shared" si="80"/>
        <x:v>57800055.579999991</x:v>
      </x:c>
      <x:c r="L1620" s="6">
        <x:v>0</x:v>
      </x:c>
      <x:c r="M1620" s="6">
        <x:v>0</x:v>
      </x:c>
      <x:c r="N1620" s="6">
        <x:f t="shared" si="81"/>
        <x:v>57800055.579999991</x:v>
      </x:c>
    </x:row>
    <x:row r="1621" spans="1:14" x14ac:dyDescent="0.25">
      <x:c r="A1621" t="s">
        <x:v>21</x:v>
      </x:c>
      <x:c r="B1621" s="3" t="s">
        <x:v>278</x:v>
      </x:c>
      <x:c r="C1621" s="3" t="s">
        <x:v>593</x:v>
      </x:c>
      <x:c r="D1621" t="s">
        <x:v>677</x:v>
      </x:c>
      <x:c r="E1621" s="6">
        <x:v>0</x:v>
      </x:c>
      <x:c r="F1621" s="6">
        <x:v>0</x:v>
      </x:c>
      <x:c r="G1621" s="6">
        <x:v>0</x:v>
      </x:c>
      <x:c r="H1621" s="6">
        <x:f t="shared" si="79"/>
        <x:v>0</x:v>
      </x:c>
      <x:c r="I1621" s="6">
        <x:v>1031.54</x:v>
      </x:c>
      <x:c r="J1621" s="6">
        <x:v>0</x:v>
      </x:c>
      <x:c r="K1621" s="6">
        <x:f t="shared" si="80"/>
        <x:v>1031.54</x:v>
      </x:c>
      <x:c r="L1621" s="6">
        <x:v>0</x:v>
      </x:c>
      <x:c r="M1621" s="6">
        <x:v>0</x:v>
      </x:c>
      <x:c r="N1621" s="6">
        <x:f t="shared" si="81"/>
        <x:v>1031.54</x:v>
      </x:c>
    </x:row>
    <x:row r="1622" spans="1:14" x14ac:dyDescent="0.25">
      <x:c r="A1622" t="s">
        <x:v>21</x:v>
      </x:c>
      <x:c r="B1622" s="3" t="s">
        <x:v>152</x:v>
      </x:c>
      <x:c r="C1622" s="3" t="s">
        <x:v>469</x:v>
      </x:c>
      <x:c r="D1622" t="s">
        <x:v>677</x:v>
      </x:c>
      <x:c r="E1622" s="6">
        <x:v>0</x:v>
      </x:c>
      <x:c r="F1622" s="6">
        <x:v>0</x:v>
      </x:c>
      <x:c r="G1622" s="6">
        <x:v>0</x:v>
      </x:c>
      <x:c r="H1622" s="6">
        <x:f t="shared" si="79"/>
        <x:v>0</x:v>
      </x:c>
      <x:c r="I1622" s="6">
        <x:v>140071.24</x:v>
      </x:c>
      <x:c r="J1622" s="6">
        <x:v>0</x:v>
      </x:c>
      <x:c r="K1622" s="6">
        <x:f t="shared" si="80"/>
        <x:v>140071.24</x:v>
      </x:c>
      <x:c r="L1622" s="6">
        <x:v>0</x:v>
      </x:c>
      <x:c r="M1622" s="6">
        <x:v>0</x:v>
      </x:c>
      <x:c r="N1622" s="6">
        <x:f t="shared" si="81"/>
        <x:v>140071.24</x:v>
      </x:c>
    </x:row>
    <x:row r="1623" spans="1:14" x14ac:dyDescent="0.25">
      <x:c r="A1623" t="s">
        <x:v>21</x:v>
      </x:c>
      <x:c r="B1623" s="3" t="s">
        <x:v>153</x:v>
      </x:c>
      <x:c r="C1623" s="3" t="s">
        <x:v>470</x:v>
      </x:c>
      <x:c r="D1623" t="s">
        <x:v>677</x:v>
      </x:c>
      <x:c r="E1623" s="6">
        <x:v>0</x:v>
      </x:c>
      <x:c r="F1623" s="6">
        <x:v>0</x:v>
      </x:c>
      <x:c r="G1623" s="6">
        <x:v>0</x:v>
      </x:c>
      <x:c r="H1623" s="6">
        <x:f t="shared" si="79"/>
        <x:v>0</x:v>
      </x:c>
      <x:c r="I1623" s="6">
        <x:v>1508562.21</x:v>
      </x:c>
      <x:c r="J1623" s="6">
        <x:v>0</x:v>
      </x:c>
      <x:c r="K1623" s="6">
        <x:f t="shared" si="80"/>
        <x:v>1508562.21</x:v>
      </x:c>
      <x:c r="L1623" s="6">
        <x:v>0</x:v>
      </x:c>
      <x:c r="M1623" s="6">
        <x:v>0</x:v>
      </x:c>
      <x:c r="N1623" s="6">
        <x:f t="shared" si="81"/>
        <x:v>1508562.21</x:v>
      </x:c>
    </x:row>
    <x:row r="1624" spans="1:14" x14ac:dyDescent="0.25">
      <x:c r="A1624" t="s">
        <x:v>21</x:v>
      </x:c>
      <x:c r="B1624" s="3" t="s">
        <x:v>154</x:v>
      </x:c>
      <x:c r="C1624" s="3" t="s">
        <x:v>471</x:v>
      </x:c>
      <x:c r="D1624" t="s">
        <x:v>677</x:v>
      </x:c>
      <x:c r="E1624" s="6">
        <x:v>0</x:v>
      </x:c>
      <x:c r="F1624" s="6">
        <x:v>0</x:v>
      </x:c>
      <x:c r="G1624" s="6">
        <x:v>0</x:v>
      </x:c>
      <x:c r="H1624" s="6">
        <x:f t="shared" si="79"/>
        <x:v>0</x:v>
      </x:c>
      <x:c r="I1624" s="6">
        <x:v>917422.76999999967</x:v>
      </x:c>
      <x:c r="J1624" s="6">
        <x:v>0</x:v>
      </x:c>
      <x:c r="K1624" s="6">
        <x:f t="shared" si="80"/>
        <x:v>917422.76999999967</x:v>
      </x:c>
      <x:c r="L1624" s="6">
        <x:v>0</x:v>
      </x:c>
      <x:c r="M1624" s="6">
        <x:v>0</x:v>
      </x:c>
      <x:c r="N1624" s="6">
        <x:f t="shared" si="81"/>
        <x:v>917422.76999999967</x:v>
      </x:c>
    </x:row>
    <x:row r="1625" spans="1:14" x14ac:dyDescent="0.25">
      <x:c r="A1625" t="s">
        <x:v>21</x:v>
      </x:c>
      <x:c r="B1625" s="3" t="s">
        <x:v>155</x:v>
      </x:c>
      <x:c r="C1625" s="3" t="s">
        <x:v>472</x:v>
      </x:c>
      <x:c r="D1625" t="s">
        <x:v>677</x:v>
      </x:c>
      <x:c r="E1625" s="6">
        <x:v>0</x:v>
      </x:c>
      <x:c r="F1625" s="6">
        <x:v>0</x:v>
      </x:c>
      <x:c r="G1625" s="6">
        <x:v>0</x:v>
      </x:c>
      <x:c r="H1625" s="6">
        <x:f t="shared" si="79"/>
        <x:v>0</x:v>
      </x:c>
      <x:c r="I1625" s="6">
        <x:v>165873.22</x:v>
      </x:c>
      <x:c r="J1625" s="6">
        <x:v>0</x:v>
      </x:c>
      <x:c r="K1625" s="6">
        <x:f t="shared" si="80"/>
        <x:v>165873.22</x:v>
      </x:c>
      <x:c r="L1625" s="6">
        <x:v>0</x:v>
      </x:c>
      <x:c r="M1625" s="6">
        <x:v>0</x:v>
      </x:c>
      <x:c r="N1625" s="6">
        <x:f t="shared" si="81"/>
        <x:v>165873.22</x:v>
      </x:c>
    </x:row>
    <x:row r="1626" spans="1:14" x14ac:dyDescent="0.25">
      <x:c r="A1626" t="s">
        <x:v>21</x:v>
      </x:c>
      <x:c r="B1626" s="3" t="s">
        <x:v>45</x:v>
      </x:c>
      <x:c r="C1626" s="3" t="s">
        <x:v>362</x:v>
      </x:c>
      <x:c r="D1626" t="s">
        <x:v>677</x:v>
      </x:c>
      <x:c r="E1626" s="6">
        <x:v>0</x:v>
      </x:c>
      <x:c r="F1626" s="6">
        <x:v>0</x:v>
      </x:c>
      <x:c r="G1626" s="6">
        <x:v>0</x:v>
      </x:c>
      <x:c r="H1626" s="6">
        <x:f t="shared" si="79"/>
        <x:v>0</x:v>
      </x:c>
      <x:c r="I1626" s="6">
        <x:v>-1216.6600000000001</x:v>
      </x:c>
      <x:c r="J1626" s="6">
        <x:v>0</x:v>
      </x:c>
      <x:c r="K1626" s="6">
        <x:f t="shared" si="80"/>
        <x:v>-1216.6600000000001</x:v>
      </x:c>
      <x:c r="L1626" s="6">
        <x:v>0</x:v>
      </x:c>
      <x:c r="M1626" s="6">
        <x:v>0</x:v>
      </x:c>
      <x:c r="N1626" s="6">
        <x:f t="shared" si="81"/>
        <x:v>-1216.6600000000001</x:v>
      </x:c>
    </x:row>
    <x:row r="1627" spans="1:14" x14ac:dyDescent="0.25">
      <x:c r="A1627" t="s">
        <x:v>21</x:v>
      </x:c>
      <x:c r="B1627" s="3" t="s">
        <x:v>156</x:v>
      </x:c>
      <x:c r="C1627" s="3" t="s">
        <x:v>473</x:v>
      </x:c>
      <x:c r="D1627" t="s">
        <x:v>677</x:v>
      </x:c>
      <x:c r="E1627" s="6">
        <x:v>0</x:v>
      </x:c>
      <x:c r="F1627" s="6">
        <x:v>0</x:v>
      </x:c>
      <x:c r="G1627" s="6">
        <x:v>0</x:v>
      </x:c>
      <x:c r="H1627" s="6">
        <x:f t="shared" si="79"/>
        <x:v>0</x:v>
      </x:c>
      <x:c r="I1627" s="6">
        <x:v>182460.55000000002</x:v>
      </x:c>
      <x:c r="J1627" s="6">
        <x:v>0</x:v>
      </x:c>
      <x:c r="K1627" s="6">
        <x:f t="shared" si="80"/>
        <x:v>182460.55000000002</x:v>
      </x:c>
      <x:c r="L1627" s="6">
        <x:v>0</x:v>
      </x:c>
      <x:c r="M1627" s="6">
        <x:v>0</x:v>
      </x:c>
      <x:c r="N1627" s="6">
        <x:f t="shared" si="81"/>
        <x:v>182460.55000000002</x:v>
      </x:c>
    </x:row>
    <x:row r="1628" spans="1:14" x14ac:dyDescent="0.25">
      <x:c r="A1628" t="s">
        <x:v>21</x:v>
      </x:c>
      <x:c r="B1628" s="3" t="s">
        <x:v>157</x:v>
      </x:c>
      <x:c r="C1628" s="3" t="s">
        <x:v>474</x:v>
      </x:c>
      <x:c r="D1628" t="s">
        <x:v>677</x:v>
      </x:c>
      <x:c r="E1628" s="6">
        <x:v>0</x:v>
      </x:c>
      <x:c r="F1628" s="6">
        <x:v>0</x:v>
      </x:c>
      <x:c r="G1628" s="6">
        <x:v>0</x:v>
      </x:c>
      <x:c r="H1628" s="6">
        <x:f t="shared" si="79"/>
        <x:v>0</x:v>
      </x:c>
      <x:c r="I1628" s="6">
        <x:v>-55.53</x:v>
      </x:c>
      <x:c r="J1628" s="6">
        <x:v>0</x:v>
      </x:c>
      <x:c r="K1628" s="6">
        <x:f t="shared" si="80"/>
        <x:v>-55.53</x:v>
      </x:c>
      <x:c r="L1628" s="6">
        <x:v>0</x:v>
      </x:c>
      <x:c r="M1628" s="6">
        <x:v>0</x:v>
      </x:c>
      <x:c r="N1628" s="6">
        <x:f t="shared" si="81"/>
        <x:v>-55.53</x:v>
      </x:c>
    </x:row>
    <x:row r="1629" spans="1:14" x14ac:dyDescent="0.25">
      <x:c r="A1629" t="s">
        <x:v>21</x:v>
      </x:c>
      <x:c r="B1629" s="3" t="s">
        <x:v>158</x:v>
      </x:c>
      <x:c r="C1629" s="3" t="s">
        <x:v>475</x:v>
      </x:c>
      <x:c r="D1629" t="s">
        <x:v>677</x:v>
      </x:c>
      <x:c r="E1629" s="6">
        <x:v>0</x:v>
      </x:c>
      <x:c r="F1629" s="6">
        <x:v>0</x:v>
      </x:c>
      <x:c r="G1629" s="6">
        <x:v>0</x:v>
      </x:c>
      <x:c r="H1629" s="6">
        <x:f t="shared" si="79"/>
        <x:v>0</x:v>
      </x:c>
      <x:c r="I1629" s="6">
        <x:v>11305.129999999997</x:v>
      </x:c>
      <x:c r="J1629" s="6">
        <x:v>0</x:v>
      </x:c>
      <x:c r="K1629" s="6">
        <x:f t="shared" si="80"/>
        <x:v>11305.129999999997</x:v>
      </x:c>
      <x:c r="L1629" s="6">
        <x:v>0</x:v>
      </x:c>
      <x:c r="M1629" s="6">
        <x:v>0</x:v>
      </x:c>
      <x:c r="N1629" s="6">
        <x:f t="shared" si="81"/>
        <x:v>11305.129999999997</x:v>
      </x:c>
    </x:row>
    <x:row r="1630" spans="1:14" x14ac:dyDescent="0.25">
      <x:c r="A1630" t="s">
        <x:v>21</x:v>
      </x:c>
      <x:c r="B1630" s="3" t="s">
        <x:v>160</x:v>
      </x:c>
      <x:c r="C1630" s="3" t="s">
        <x:v>477</x:v>
      </x:c>
      <x:c r="D1630" t="s">
        <x:v>677</x:v>
      </x:c>
      <x:c r="E1630" s="6">
        <x:v>0</x:v>
      </x:c>
      <x:c r="F1630" s="6">
        <x:v>0</x:v>
      </x:c>
      <x:c r="G1630" s="6">
        <x:v>0</x:v>
      </x:c>
      <x:c r="H1630" s="6">
        <x:f t="shared" si="79"/>
        <x:v>0</x:v>
      </x:c>
      <x:c r="I1630" s="6">
        <x:v>4468.82</x:v>
      </x:c>
      <x:c r="J1630" s="6">
        <x:v>0</x:v>
      </x:c>
      <x:c r="K1630" s="6">
        <x:f t="shared" si="80"/>
        <x:v>4468.82</x:v>
      </x:c>
      <x:c r="L1630" s="6">
        <x:v>0</x:v>
      </x:c>
      <x:c r="M1630" s="6">
        <x:v>0</x:v>
      </x:c>
      <x:c r="N1630" s="6">
        <x:f t="shared" si="81"/>
        <x:v>4468.82</x:v>
      </x:c>
    </x:row>
    <x:row r="1631" spans="1:14" x14ac:dyDescent="0.25">
      <x:c r="A1631" t="s">
        <x:v>21</x:v>
      </x:c>
      <x:c r="B1631" s="3" t="s">
        <x:v>162</x:v>
      </x:c>
      <x:c r="C1631" s="3" t="s">
        <x:v>479</x:v>
      </x:c>
      <x:c r="D1631" t="s">
        <x:v>677</x:v>
      </x:c>
      <x:c r="E1631" s="6">
        <x:v>0</x:v>
      </x:c>
      <x:c r="F1631" s="6">
        <x:v>0</x:v>
      </x:c>
      <x:c r="G1631" s="6">
        <x:v>0</x:v>
      </x:c>
      <x:c r="H1631" s="6">
        <x:f t="shared" si="79"/>
        <x:v>0</x:v>
      </x:c>
      <x:c r="I1631" s="6">
        <x:v>578596.48</x:v>
      </x:c>
      <x:c r="J1631" s="6">
        <x:v>0</x:v>
      </x:c>
      <x:c r="K1631" s="6">
        <x:f t="shared" si="80"/>
        <x:v>578596.48</x:v>
      </x:c>
      <x:c r="L1631" s="6">
        <x:v>0</x:v>
      </x:c>
      <x:c r="M1631" s="6">
        <x:v>0</x:v>
      </x:c>
      <x:c r="N1631" s="6">
        <x:f t="shared" si="81"/>
        <x:v>578596.48</x:v>
      </x:c>
    </x:row>
    <x:row r="1632" spans="1:14" x14ac:dyDescent="0.25">
      <x:c r="A1632" t="s">
        <x:v>21</x:v>
      </x:c>
      <x:c r="B1632" s="3" t="s">
        <x:v>163</x:v>
      </x:c>
      <x:c r="C1632" s="3" t="s">
        <x:v>480</x:v>
      </x:c>
      <x:c r="D1632" t="s">
        <x:v>677</x:v>
      </x:c>
      <x:c r="E1632" s="6">
        <x:v>0</x:v>
      </x:c>
      <x:c r="F1632" s="6">
        <x:v>0</x:v>
      </x:c>
      <x:c r="G1632" s="6">
        <x:v>0</x:v>
      </x:c>
      <x:c r="H1632" s="6">
        <x:f t="shared" si="79"/>
        <x:v>0</x:v>
      </x:c>
      <x:c r="I1632" s="6">
        <x:v>688975.43</x:v>
      </x:c>
      <x:c r="J1632" s="6">
        <x:v>0</x:v>
      </x:c>
      <x:c r="K1632" s="6">
        <x:f t="shared" si="80"/>
        <x:v>688975.43</x:v>
      </x:c>
      <x:c r="L1632" s="6">
        <x:v>0</x:v>
      </x:c>
      <x:c r="M1632" s="6">
        <x:v>0</x:v>
      </x:c>
      <x:c r="N1632" s="6">
        <x:f t="shared" si="81"/>
        <x:v>688975.43</x:v>
      </x:c>
    </x:row>
    <x:row r="1633" spans="1:14" x14ac:dyDescent="0.25">
      <x:c r="A1633" t="s">
        <x:v>21</x:v>
      </x:c>
      <x:c r="B1633" s="3" t="s">
        <x:v>164</x:v>
      </x:c>
      <x:c r="C1633" s="3" t="s">
        <x:v>481</x:v>
      </x:c>
      <x:c r="D1633" t="s">
        <x:v>677</x:v>
      </x:c>
      <x:c r="E1633" s="6">
        <x:v>0</x:v>
      </x:c>
      <x:c r="F1633" s="6">
        <x:v>0</x:v>
      </x:c>
      <x:c r="G1633" s="6">
        <x:v>0</x:v>
      </x:c>
      <x:c r="H1633" s="6">
        <x:f t="shared" si="79"/>
        <x:v>0</x:v>
      </x:c>
      <x:c r="I1633" s="6">
        <x:v>1707403.1400000004</x:v>
      </x:c>
      <x:c r="J1633" s="6">
        <x:v>0</x:v>
      </x:c>
      <x:c r="K1633" s="6">
        <x:f t="shared" si="80"/>
        <x:v>1707403.1400000004</x:v>
      </x:c>
      <x:c r="L1633" s="6">
        <x:v>0</x:v>
      </x:c>
      <x:c r="M1633" s="6">
        <x:v>0</x:v>
      </x:c>
      <x:c r="N1633" s="6">
        <x:f t="shared" si="81"/>
        <x:v>1707403.1400000004</x:v>
      </x:c>
    </x:row>
    <x:row r="1634" spans="1:14" x14ac:dyDescent="0.25">
      <x:c r="A1634" t="s">
        <x:v>21</x:v>
      </x:c>
      <x:c r="B1634" s="3" t="s">
        <x:v>49</x:v>
      </x:c>
      <x:c r="C1634" s="3" t="s">
        <x:v>366</x:v>
      </x:c>
      <x:c r="D1634" t="s">
        <x:v>677</x:v>
      </x:c>
      <x:c r="E1634" s="6">
        <x:v>0</x:v>
      </x:c>
      <x:c r="F1634" s="6">
        <x:v>0</x:v>
      </x:c>
      <x:c r="G1634" s="6">
        <x:v>0</x:v>
      </x:c>
      <x:c r="H1634" s="6">
        <x:f t="shared" si="79"/>
        <x:v>0</x:v>
      </x:c>
      <x:c r="I1634" s="6">
        <x:v>1810384.8499999999</x:v>
      </x:c>
      <x:c r="J1634" s="6">
        <x:v>0</x:v>
      </x:c>
      <x:c r="K1634" s="6">
        <x:f t="shared" si="80"/>
        <x:v>1810384.8499999999</x:v>
      </x:c>
      <x:c r="L1634" s="6">
        <x:v>0</x:v>
      </x:c>
      <x:c r="M1634" s="6">
        <x:v>0</x:v>
      </x:c>
      <x:c r="N1634" s="6">
        <x:f t="shared" si="81"/>
        <x:v>1810384.8499999999</x:v>
      </x:c>
    </x:row>
    <x:row r="1635" spans="1:14" x14ac:dyDescent="0.25">
      <x:c r="A1635" t="s">
        <x:v>21</x:v>
      </x:c>
      <x:c r="B1635" s="3" t="s">
        <x:v>165</x:v>
      </x:c>
      <x:c r="C1635" s="3" t="s">
        <x:v>482</x:v>
      </x:c>
      <x:c r="D1635" t="s">
        <x:v>677</x:v>
      </x:c>
      <x:c r="E1635" s="6">
        <x:v>0</x:v>
      </x:c>
      <x:c r="F1635" s="6">
        <x:v>0</x:v>
      </x:c>
      <x:c r="G1635" s="6">
        <x:v>0</x:v>
      </x:c>
      <x:c r="H1635" s="6">
        <x:f t="shared" si="79"/>
        <x:v>0</x:v>
      </x:c>
      <x:c r="I1635" s="6">
        <x:v>287225.70000000013</x:v>
      </x:c>
      <x:c r="J1635" s="6">
        <x:v>0</x:v>
      </x:c>
      <x:c r="K1635" s="6">
        <x:f t="shared" si="80"/>
        <x:v>287225.70000000013</x:v>
      </x:c>
      <x:c r="L1635" s="6">
        <x:v>0</x:v>
      </x:c>
      <x:c r="M1635" s="6">
        <x:v>0</x:v>
      </x:c>
      <x:c r="N1635" s="6">
        <x:f t="shared" si="81"/>
        <x:v>287225.70000000013</x:v>
      </x:c>
    </x:row>
    <x:row r="1636" spans="1:14" x14ac:dyDescent="0.25">
      <x:c r="A1636" t="s">
        <x:v>21</x:v>
      </x:c>
      <x:c r="B1636" s="3" t="s">
        <x:v>233</x:v>
      </x:c>
      <x:c r="C1636" s="3" t="s">
        <x:v>548</x:v>
      </x:c>
      <x:c r="D1636" t="s">
        <x:v>677</x:v>
      </x:c>
      <x:c r="E1636" s="6">
        <x:v>0</x:v>
      </x:c>
      <x:c r="F1636" s="6">
        <x:v>0</x:v>
      </x:c>
      <x:c r="G1636" s="6">
        <x:v>0</x:v>
      </x:c>
      <x:c r="H1636" s="6">
        <x:f t="shared" si="79"/>
        <x:v>0</x:v>
      </x:c>
      <x:c r="I1636" s="6">
        <x:v>13934.779999999995</x:v>
      </x:c>
      <x:c r="J1636" s="6">
        <x:v>0</x:v>
      </x:c>
      <x:c r="K1636" s="6">
        <x:f t="shared" si="80"/>
        <x:v>13934.779999999995</x:v>
      </x:c>
      <x:c r="L1636" s="6">
        <x:v>0</x:v>
      </x:c>
      <x:c r="M1636" s="6">
        <x:v>0</x:v>
      </x:c>
      <x:c r="N1636" s="6">
        <x:f t="shared" si="81"/>
        <x:v>13934.779999999995</x:v>
      </x:c>
    </x:row>
    <x:row r="1637" spans="1:14" x14ac:dyDescent="0.25">
      <x:c r="A1637" t="s">
        <x:v>21</x:v>
      </x:c>
      <x:c r="B1637" s="3" t="s">
        <x:v>166</x:v>
      </x:c>
      <x:c r="C1637" s="3" t="s">
        <x:v>483</x:v>
      </x:c>
      <x:c r="D1637" t="s">
        <x:v>677</x:v>
      </x:c>
      <x:c r="E1637" s="6">
        <x:v>0</x:v>
      </x:c>
      <x:c r="F1637" s="6">
        <x:v>0</x:v>
      </x:c>
      <x:c r="G1637" s="6">
        <x:v>0</x:v>
      </x:c>
      <x:c r="H1637" s="6">
        <x:f t="shared" si="79"/>
        <x:v>0</x:v>
      </x:c>
      <x:c r="I1637" s="6">
        <x:v>-2203.11</x:v>
      </x:c>
      <x:c r="J1637" s="6">
        <x:v>0</x:v>
      </x:c>
      <x:c r="K1637" s="6">
        <x:f t="shared" si="80"/>
        <x:v>-2203.11</x:v>
      </x:c>
      <x:c r="L1637" s="6">
        <x:v>0</x:v>
      </x:c>
      <x:c r="M1637" s="6">
        <x:v>0</x:v>
      </x:c>
      <x:c r="N1637" s="6">
        <x:f t="shared" si="81"/>
        <x:v>-2203.11</x:v>
      </x:c>
    </x:row>
    <x:row r="1638" spans="1:14" x14ac:dyDescent="0.25">
      <x:c r="A1638" t="s">
        <x:v>21</x:v>
      </x:c>
      <x:c r="B1638" s="3" t="s">
        <x:v>167</x:v>
      </x:c>
      <x:c r="C1638" s="3" t="s">
        <x:v>484</x:v>
      </x:c>
      <x:c r="D1638" t="s">
        <x:v>677</x:v>
      </x:c>
      <x:c r="E1638" s="6">
        <x:v>0</x:v>
      </x:c>
      <x:c r="F1638" s="6">
        <x:v>0</x:v>
      </x:c>
      <x:c r="G1638" s="6">
        <x:v>0</x:v>
      </x:c>
      <x:c r="H1638" s="6">
        <x:f t="shared" si="79"/>
        <x:v>0</x:v>
      </x:c>
      <x:c r="I1638" s="6">
        <x:v>164236.63000000003</x:v>
      </x:c>
      <x:c r="J1638" s="6">
        <x:v>0</x:v>
      </x:c>
      <x:c r="K1638" s="6">
        <x:f t="shared" si="80"/>
        <x:v>164236.63000000003</x:v>
      </x:c>
      <x:c r="L1638" s="6">
        <x:v>0</x:v>
      </x:c>
      <x:c r="M1638" s="6">
        <x:v>0</x:v>
      </x:c>
      <x:c r="N1638" s="6">
        <x:f t="shared" si="81"/>
        <x:v>164236.63000000003</x:v>
      </x:c>
    </x:row>
    <x:row r="1639" spans="1:14" x14ac:dyDescent="0.25">
      <x:c r="A1639" t="s">
        <x:v>21</x:v>
      </x:c>
      <x:c r="B1639" s="3" t="s">
        <x:v>281</x:v>
      </x:c>
      <x:c r="C1639" s="3" t="s">
        <x:v>596</x:v>
      </x:c>
      <x:c r="D1639" t="s">
        <x:v>677</x:v>
      </x:c>
      <x:c r="E1639" s="6">
        <x:v>0</x:v>
      </x:c>
      <x:c r="F1639" s="6">
        <x:v>0</x:v>
      </x:c>
      <x:c r="G1639" s="6">
        <x:v>0</x:v>
      </x:c>
      <x:c r="H1639" s="6">
        <x:f t="shared" si="79"/>
        <x:v>0</x:v>
      </x:c>
      <x:c r="I1639" s="6">
        <x:v>795.72</x:v>
      </x:c>
      <x:c r="J1639" s="6">
        <x:v>0</x:v>
      </x:c>
      <x:c r="K1639" s="6">
        <x:f t="shared" si="80"/>
        <x:v>795.72</x:v>
      </x:c>
      <x:c r="L1639" s="6">
        <x:v>0</x:v>
      </x:c>
      <x:c r="M1639" s="6">
        <x:v>0</x:v>
      </x:c>
      <x:c r="N1639" s="6">
        <x:f t="shared" si="81"/>
        <x:v>795.72</x:v>
      </x:c>
    </x:row>
    <x:row r="1640" spans="1:14" x14ac:dyDescent="0.25">
      <x:c r="A1640" t="s">
        <x:v>21</x:v>
      </x:c>
      <x:c r="B1640" s="3" t="s">
        <x:v>227</x:v>
      </x:c>
      <x:c r="C1640" s="3" t="s">
        <x:v>485</x:v>
      </x:c>
      <x:c r="D1640" t="s">
        <x:v>677</x:v>
      </x:c>
      <x:c r="E1640" s="6">
        <x:v>0</x:v>
      </x:c>
      <x:c r="F1640" s="6">
        <x:v>0</x:v>
      </x:c>
      <x:c r="G1640" s="6">
        <x:v>0</x:v>
      </x:c>
      <x:c r="H1640" s="6">
        <x:f t="shared" si="79"/>
        <x:v>0</x:v>
      </x:c>
      <x:c r="I1640" s="6">
        <x:v>226.09</x:v>
      </x:c>
      <x:c r="J1640" s="6">
        <x:v>0</x:v>
      </x:c>
      <x:c r="K1640" s="6">
        <x:f t="shared" si="80"/>
        <x:v>226.09</x:v>
      </x:c>
      <x:c r="L1640" s="6">
        <x:v>0</x:v>
      </x:c>
      <x:c r="M1640" s="6">
        <x:v>0</x:v>
      </x:c>
      <x:c r="N1640" s="6">
        <x:f t="shared" si="81"/>
        <x:v>226.09</x:v>
      </x:c>
    </x:row>
    <x:row r="1641" spans="1:14" x14ac:dyDescent="0.25">
      <x:c r="A1641" t="s">
        <x:v>21</x:v>
      </x:c>
      <x:c r="B1641" s="3" t="s">
        <x:v>58</x:v>
      </x:c>
      <x:c r="C1641" s="3" t="s">
        <x:v>375</x:v>
      </x:c>
      <x:c r="D1641" t="s">
        <x:v>677</x:v>
      </x:c>
      <x:c r="E1641" s="6">
        <x:v>0</x:v>
      </x:c>
      <x:c r="F1641" s="6">
        <x:v>0</x:v>
      </x:c>
      <x:c r="G1641" s="6">
        <x:v>0</x:v>
      </x:c>
      <x:c r="H1641" s="6">
        <x:f t="shared" si="79"/>
        <x:v>0</x:v>
      </x:c>
      <x:c r="I1641" s="6">
        <x:v>573.39</x:v>
      </x:c>
      <x:c r="J1641" s="6">
        <x:v>0</x:v>
      </x:c>
      <x:c r="K1641" s="6">
        <x:f t="shared" si="80"/>
        <x:v>573.39</x:v>
      </x:c>
      <x:c r="L1641" s="6">
        <x:v>0</x:v>
      </x:c>
      <x:c r="M1641" s="6">
        <x:v>0</x:v>
      </x:c>
      <x:c r="N1641" s="6">
        <x:f t="shared" si="81"/>
        <x:v>573.39</x:v>
      </x:c>
    </x:row>
    <x:row r="1642" spans="1:14" x14ac:dyDescent="0.25">
      <x:c r="A1642" t="s">
        <x:v>21</x:v>
      </x:c>
      <x:c r="B1642" s="3" t="s">
        <x:v>234</x:v>
      </x:c>
      <x:c r="C1642" s="3" t="s">
        <x:v>549</x:v>
      </x:c>
      <x:c r="D1642" t="s">
        <x:v>677</x:v>
      </x:c>
      <x:c r="E1642" s="6">
        <x:v>0</x:v>
      </x:c>
      <x:c r="F1642" s="6">
        <x:v>0</x:v>
      </x:c>
      <x:c r="G1642" s="6">
        <x:v>0</x:v>
      </x:c>
      <x:c r="H1642" s="6">
        <x:f t="shared" si="79"/>
        <x:v>0</x:v>
      </x:c>
      <x:c r="I1642" s="6">
        <x:v>90815.929999999978</x:v>
      </x:c>
      <x:c r="J1642" s="6">
        <x:v>0</x:v>
      </x:c>
      <x:c r="K1642" s="6">
        <x:f t="shared" si="80"/>
        <x:v>90815.929999999978</x:v>
      </x:c>
      <x:c r="L1642" s="6">
        <x:v>0</x:v>
      </x:c>
      <x:c r="M1642" s="6">
        <x:v>0</x:v>
      </x:c>
      <x:c r="N1642" s="6">
        <x:f t="shared" si="81"/>
        <x:v>90815.929999999978</x:v>
      </x:c>
    </x:row>
    <x:row r="1643" spans="1:14" x14ac:dyDescent="0.25">
      <x:c r="A1643" t="s">
        <x:v>21</x:v>
      </x:c>
      <x:c r="B1643" s="3" t="s">
        <x:v>169</x:v>
      </x:c>
      <x:c r="C1643" s="3" t="s">
        <x:v>485</x:v>
      </x:c>
      <x:c r="D1643" t="s">
        <x:v>677</x:v>
      </x:c>
      <x:c r="E1643" s="6">
        <x:v>0</x:v>
      </x:c>
      <x:c r="F1643" s="6">
        <x:v>0</x:v>
      </x:c>
      <x:c r="G1643" s="6">
        <x:v>0</x:v>
      </x:c>
      <x:c r="H1643" s="6">
        <x:f t="shared" si="79"/>
        <x:v>0</x:v>
      </x:c>
      <x:c r="I1643" s="6">
        <x:v>1831.9799999999998</x:v>
      </x:c>
      <x:c r="J1643" s="6">
        <x:v>0</x:v>
      </x:c>
      <x:c r="K1643" s="6">
        <x:f t="shared" si="80"/>
        <x:v>1831.9799999999998</x:v>
      </x:c>
      <x:c r="L1643" s="6">
        <x:v>0</x:v>
      </x:c>
      <x:c r="M1643" s="6">
        <x:v>0</x:v>
      </x:c>
      <x:c r="N1643" s="6">
        <x:f t="shared" si="81"/>
        <x:v>1831.9799999999998</x:v>
      </x:c>
    </x:row>
    <x:row r="1644" spans="1:14" x14ac:dyDescent="0.25">
      <x:c r="A1644" t="s">
        <x:v>21</x:v>
      </x:c>
      <x:c r="B1644" s="3" t="s">
        <x:v>170</x:v>
      </x:c>
      <x:c r="C1644" s="3" t="s">
        <x:v>486</x:v>
      </x:c>
      <x:c r="D1644" t="s">
        <x:v>677</x:v>
      </x:c>
      <x:c r="E1644" s="6">
        <x:v>0</x:v>
      </x:c>
      <x:c r="F1644" s="6">
        <x:v>0</x:v>
      </x:c>
      <x:c r="G1644" s="6">
        <x:v>0</x:v>
      </x:c>
      <x:c r="H1644" s="6">
        <x:f t="shared" si="79"/>
        <x:v>0</x:v>
      </x:c>
      <x:c r="I1644" s="6">
        <x:v>200.26</x:v>
      </x:c>
      <x:c r="J1644" s="6">
        <x:v>0</x:v>
      </x:c>
      <x:c r="K1644" s="6">
        <x:f t="shared" si="80"/>
        <x:v>200.26</x:v>
      </x:c>
      <x:c r="L1644" s="6">
        <x:v>0</x:v>
      </x:c>
      <x:c r="M1644" s="6">
        <x:v>0</x:v>
      </x:c>
      <x:c r="N1644" s="6">
        <x:f t="shared" si="81"/>
        <x:v>200.26</x:v>
      </x:c>
    </x:row>
    <x:row r="1645" spans="1:14" x14ac:dyDescent="0.25">
      <x:c r="A1645" t="s">
        <x:v>21</x:v>
      </x:c>
      <x:c r="B1645" s="3" t="s">
        <x:v>171</x:v>
      </x:c>
      <x:c r="C1645" s="3" t="s">
        <x:v>487</x:v>
      </x:c>
      <x:c r="D1645" t="s">
        <x:v>677</x:v>
      </x:c>
      <x:c r="E1645" s="6">
        <x:v>0</x:v>
      </x:c>
      <x:c r="F1645" s="6">
        <x:v>0</x:v>
      </x:c>
      <x:c r="G1645" s="6">
        <x:v>0</x:v>
      </x:c>
      <x:c r="H1645" s="6">
        <x:f t="shared" si="79"/>
        <x:v>0</x:v>
      </x:c>
      <x:c r="I1645" s="6">
        <x:v>-861.69</x:v>
      </x:c>
      <x:c r="J1645" s="6">
        <x:v>0</x:v>
      </x:c>
      <x:c r="K1645" s="6">
        <x:f t="shared" si="80"/>
        <x:v>-861.69</x:v>
      </x:c>
      <x:c r="L1645" s="6">
        <x:v>0</x:v>
      </x:c>
      <x:c r="M1645" s="6">
        <x:v>0</x:v>
      </x:c>
      <x:c r="N1645" s="6">
        <x:f t="shared" si="81"/>
        <x:v>-861.69</x:v>
      </x:c>
    </x:row>
    <x:row r="1646" spans="1:14" x14ac:dyDescent="0.25">
      <x:c r="A1646" t="s">
        <x:v>21</x:v>
      </x:c>
      <x:c r="B1646" s="3" t="s">
        <x:v>172</x:v>
      </x:c>
      <x:c r="C1646" s="3" t="s">
        <x:v>488</x:v>
      </x:c>
      <x:c r="D1646" t="s">
        <x:v>677</x:v>
      </x:c>
      <x:c r="E1646" s="6">
        <x:v>0</x:v>
      </x:c>
      <x:c r="F1646" s="6">
        <x:v>0</x:v>
      </x:c>
      <x:c r="G1646" s="6">
        <x:v>0</x:v>
      </x:c>
      <x:c r="H1646" s="6">
        <x:f t="shared" si="79"/>
        <x:v>0</x:v>
      </x:c>
      <x:c r="I1646" s="6">
        <x:v>509009.96999999991</x:v>
      </x:c>
      <x:c r="J1646" s="6">
        <x:v>0</x:v>
      </x:c>
      <x:c r="K1646" s="6">
        <x:f t="shared" si="80"/>
        <x:v>509009.96999999991</x:v>
      </x:c>
      <x:c r="L1646" s="6">
        <x:v>0</x:v>
      </x:c>
      <x:c r="M1646" s="6">
        <x:v>0</x:v>
      </x:c>
      <x:c r="N1646" s="6">
        <x:f t="shared" si="81"/>
        <x:v>509009.96999999991</x:v>
      </x:c>
    </x:row>
    <x:row r="1647" spans="1:14" x14ac:dyDescent="0.25">
      <x:c r="A1647" t="s">
        <x:v>21</x:v>
      </x:c>
      <x:c r="B1647" s="3" t="s">
        <x:v>173</x:v>
      </x:c>
      <x:c r="C1647" s="3" t="s">
        <x:v>489</x:v>
      </x:c>
      <x:c r="D1647" t="s">
        <x:v>677</x:v>
      </x:c>
      <x:c r="E1647" s="6">
        <x:v>0</x:v>
      </x:c>
      <x:c r="F1647" s="6">
        <x:v>0</x:v>
      </x:c>
      <x:c r="G1647" s="6">
        <x:v>0</x:v>
      </x:c>
      <x:c r="H1647" s="6">
        <x:f t="shared" si="79"/>
        <x:v>0</x:v>
      </x:c>
      <x:c r="I1647" s="6">
        <x:v>504344.82000000012</x:v>
      </x:c>
      <x:c r="J1647" s="6">
        <x:v>0</x:v>
      </x:c>
      <x:c r="K1647" s="6">
        <x:f t="shared" si="80"/>
        <x:v>504344.82000000012</x:v>
      </x:c>
      <x:c r="L1647" s="6">
        <x:v>0</x:v>
      </x:c>
      <x:c r="M1647" s="6">
        <x:v>0</x:v>
      </x:c>
      <x:c r="N1647" s="6">
        <x:f t="shared" si="81"/>
        <x:v>504344.82000000012</x:v>
      </x:c>
    </x:row>
    <x:row r="1648" spans="1:14" x14ac:dyDescent="0.25">
      <x:c r="A1648" t="s">
        <x:v>21</x:v>
      </x:c>
      <x:c r="B1648" s="3" t="s">
        <x:v>174</x:v>
      </x:c>
      <x:c r="C1648" s="3" t="s">
        <x:v>490</x:v>
      </x:c>
      <x:c r="D1648" t="s">
        <x:v>677</x:v>
      </x:c>
      <x:c r="E1648" s="6">
        <x:v>0</x:v>
      </x:c>
      <x:c r="F1648" s="6">
        <x:v>0</x:v>
      </x:c>
      <x:c r="G1648" s="6">
        <x:v>0</x:v>
      </x:c>
      <x:c r="H1648" s="6">
        <x:f t="shared" si="79"/>
        <x:v>0</x:v>
      </x:c>
      <x:c r="I1648" s="6">
        <x:v>482011.43000000005</x:v>
      </x:c>
      <x:c r="J1648" s="6">
        <x:v>0</x:v>
      </x:c>
      <x:c r="K1648" s="6">
        <x:f t="shared" si="80"/>
        <x:v>482011.43000000005</x:v>
      </x:c>
      <x:c r="L1648" s="6">
        <x:v>0</x:v>
      </x:c>
      <x:c r="M1648" s="6">
        <x:v>0</x:v>
      </x:c>
      <x:c r="N1648" s="6">
        <x:f t="shared" si="81"/>
        <x:v>482011.43000000005</x:v>
      </x:c>
    </x:row>
    <x:row r="1649" spans="1:14" x14ac:dyDescent="0.25">
      <x:c r="A1649" t="s">
        <x:v>21</x:v>
      </x:c>
      <x:c r="B1649" s="3" t="s">
        <x:v>61</x:v>
      </x:c>
      <x:c r="C1649" s="3" t="s">
        <x:v>378</x:v>
      </x:c>
      <x:c r="D1649" t="s">
        <x:v>676</x:v>
      </x:c>
      <x:c r="E1649" s="6">
        <x:v>0</x:v>
      </x:c>
      <x:c r="F1649" s="6">
        <x:v>0</x:v>
      </x:c>
      <x:c r="G1649" s="6">
        <x:v>0</x:v>
      </x:c>
      <x:c r="H1649" s="6">
        <x:f t="shared" si="79"/>
        <x:v>0</x:v>
      </x:c>
      <x:c r="I1649" s="6">
        <x:v>0</x:v>
      </x:c>
      <x:c r="J1649" s="6">
        <x:v>0</x:v>
      </x:c>
      <x:c r="K1649" s="6">
        <x:f t="shared" si="80"/>
        <x:v>0</x:v>
      </x:c>
      <x:c r="L1649" s="6">
        <x:v>152.34</x:v>
      </x:c>
      <x:c r="M1649" s="6">
        <x:v>0</x:v>
      </x:c>
      <x:c r="N1649" s="6">
        <x:f t="shared" si="81"/>
        <x:v>152.34</x:v>
      </x:c>
    </x:row>
    <x:row r="1650" spans="1:14" x14ac:dyDescent="0.25">
      <x:c r="A1650" t="s">
        <x:v>21</x:v>
      </x:c>
      <x:c r="B1650" s="3" t="s">
        <x:v>176</x:v>
      </x:c>
      <x:c r="C1650" s="3" t="s">
        <x:v>492</x:v>
      </x:c>
      <x:c r="D1650" t="s">
        <x:v>677</x:v>
      </x:c>
      <x:c r="E1650" s="6">
        <x:v>0</x:v>
      </x:c>
      <x:c r="F1650" s="6">
        <x:v>0</x:v>
      </x:c>
      <x:c r="G1650" s="6">
        <x:v>0</x:v>
      </x:c>
      <x:c r="H1650" s="6">
        <x:f t="shared" si="79"/>
        <x:v>0</x:v>
      </x:c>
      <x:c r="I1650" s="6">
        <x:v>525680.50000000012</x:v>
      </x:c>
      <x:c r="J1650" s="6">
        <x:v>0</x:v>
      </x:c>
      <x:c r="K1650" s="6">
        <x:f t="shared" si="80"/>
        <x:v>525680.50000000012</x:v>
      </x:c>
      <x:c r="L1650" s="6">
        <x:v>0</x:v>
      </x:c>
      <x:c r="M1650" s="6">
        <x:v>0</x:v>
      </x:c>
      <x:c r="N1650" s="6">
        <x:f t="shared" si="81"/>
        <x:v>525680.50000000012</x:v>
      </x:c>
    </x:row>
    <x:row r="1651" spans="1:14" x14ac:dyDescent="0.25">
      <x:c r="A1651" t="s">
        <x:v>21</x:v>
      </x:c>
      <x:c r="B1651" s="3" t="s">
        <x:v>177</x:v>
      </x:c>
      <x:c r="C1651" s="3" t="s">
        <x:v>493</x:v>
      </x:c>
      <x:c r="D1651" t="s">
        <x:v>677</x:v>
      </x:c>
      <x:c r="E1651" s="6">
        <x:v>0</x:v>
      </x:c>
      <x:c r="F1651" s="6">
        <x:v>0</x:v>
      </x:c>
      <x:c r="G1651" s="6">
        <x:v>0</x:v>
      </x:c>
      <x:c r="H1651" s="6">
        <x:f t="shared" si="79"/>
        <x:v>0</x:v>
      </x:c>
      <x:c r="I1651" s="6">
        <x:v>549669.4599999995</x:v>
      </x:c>
      <x:c r="J1651" s="6">
        <x:v>0</x:v>
      </x:c>
      <x:c r="K1651" s="6">
        <x:f t="shared" si="80"/>
        <x:v>549669.4599999995</x:v>
      </x:c>
      <x:c r="L1651" s="6">
        <x:v>0</x:v>
      </x:c>
      <x:c r="M1651" s="6">
        <x:v>0</x:v>
      </x:c>
      <x:c r="N1651" s="6">
        <x:f t="shared" si="81"/>
        <x:v>549669.4599999995</x:v>
      </x:c>
    </x:row>
    <x:row r="1652" spans="1:14" x14ac:dyDescent="0.25">
      <x:c r="A1652" t="s">
        <x:v>21</x:v>
      </x:c>
      <x:c r="B1652" s="3" t="s">
        <x:v>263</x:v>
      </x:c>
      <x:c r="C1652" s="3" t="s">
        <x:v>578</x:v>
      </x:c>
      <x:c r="D1652" t="s">
        <x:v>676</x:v>
      </x:c>
      <x:c r="E1652" s="6">
        <x:v>0</x:v>
      </x:c>
      <x:c r="F1652" s="6">
        <x:v>0</x:v>
      </x:c>
      <x:c r="G1652" s="6">
        <x:v>0</x:v>
      </x:c>
      <x:c r="H1652" s="6">
        <x:f t="shared" si="79"/>
        <x:v>0</x:v>
      </x:c>
      <x:c r="I1652" s="6">
        <x:v>0</x:v>
      </x:c>
      <x:c r="J1652" s="6">
        <x:v>0</x:v>
      </x:c>
      <x:c r="K1652" s="6">
        <x:f t="shared" si="80"/>
        <x:v>0</x:v>
      </x:c>
      <x:c r="L1652" s="6">
        <x:v>298</x:v>
      </x:c>
      <x:c r="M1652" s="6">
        <x:v>0</x:v>
      </x:c>
      <x:c r="N1652" s="6">
        <x:f t="shared" si="81"/>
        <x:v>298</x:v>
      </x:c>
    </x:row>
    <x:row r="1653" spans="1:14" x14ac:dyDescent="0.25">
      <x:c r="A1653" t="s">
        <x:v>21</x:v>
      </x:c>
      <x:c r="B1653" s="3" t="s">
        <x:v>178</x:v>
      </x:c>
      <x:c r="C1653" s="3" t="s">
        <x:v>494</x:v>
      </x:c>
      <x:c r="D1653" t="s">
        <x:v>677</x:v>
      </x:c>
      <x:c r="E1653" s="6">
        <x:v>0</x:v>
      </x:c>
      <x:c r="F1653" s="6">
        <x:v>0</x:v>
      </x:c>
      <x:c r="G1653" s="6">
        <x:v>0</x:v>
      </x:c>
      <x:c r="H1653" s="6">
        <x:f t="shared" si="79"/>
        <x:v>0</x:v>
      </x:c>
      <x:c r="I1653" s="6">
        <x:v>742026.58999999985</x:v>
      </x:c>
      <x:c r="J1653" s="6">
        <x:v>0</x:v>
      </x:c>
      <x:c r="K1653" s="6">
        <x:f t="shared" si="80"/>
        <x:v>742026.58999999985</x:v>
      </x:c>
      <x:c r="L1653" s="6">
        <x:v>0</x:v>
      </x:c>
      <x:c r="M1653" s="6">
        <x:v>0</x:v>
      </x:c>
      <x:c r="N1653" s="6">
        <x:f t="shared" si="81"/>
        <x:v>742026.58999999985</x:v>
      </x:c>
    </x:row>
    <x:row r="1654" spans="1:14" x14ac:dyDescent="0.25">
      <x:c r="A1654" t="s">
        <x:v>21</x:v>
      </x:c>
      <x:c r="B1654" s="3" t="s">
        <x:v>179</x:v>
      </x:c>
      <x:c r="C1654" s="3" t="s">
        <x:v>495</x:v>
      </x:c>
      <x:c r="D1654" t="s">
        <x:v>677</x:v>
      </x:c>
      <x:c r="E1654" s="6">
        <x:v>0</x:v>
      </x:c>
      <x:c r="F1654" s="6">
        <x:v>0</x:v>
      </x:c>
      <x:c r="G1654" s="6">
        <x:v>0</x:v>
      </x:c>
      <x:c r="H1654" s="6">
        <x:f t="shared" si="79"/>
        <x:v>0</x:v>
      </x:c>
      <x:c r="I1654" s="6">
        <x:v>637522.35</x:v>
      </x:c>
      <x:c r="J1654" s="6">
        <x:v>0</x:v>
      </x:c>
      <x:c r="K1654" s="6">
        <x:f t="shared" si="80"/>
        <x:v>637522.35</x:v>
      </x:c>
      <x:c r="L1654" s="6">
        <x:v>0</x:v>
      </x:c>
      <x:c r="M1654" s="6">
        <x:v>0</x:v>
      </x:c>
      <x:c r="N1654" s="6">
        <x:f t="shared" si="81"/>
        <x:v>637522.35</x:v>
      </x:c>
    </x:row>
    <x:row r="1655" spans="1:14" x14ac:dyDescent="0.25">
      <x:c r="A1655" t="s">
        <x:v>21</x:v>
      </x:c>
      <x:c r="B1655" s="3" t="s">
        <x:v>62</x:v>
      </x:c>
      <x:c r="C1655" s="3" t="s">
        <x:v>379</x:v>
      </x:c>
      <x:c r="D1655" t="s">
        <x:v>676</x:v>
      </x:c>
      <x:c r="E1655" s="6">
        <x:v>0</x:v>
      </x:c>
      <x:c r="F1655" s="6">
        <x:v>0</x:v>
      </x:c>
      <x:c r="G1655" s="6">
        <x:v>0</x:v>
      </x:c>
      <x:c r="H1655" s="6">
        <x:f t="shared" si="79"/>
        <x:v>0</x:v>
      </x:c>
      <x:c r="I1655" s="6">
        <x:v>0</x:v>
      </x:c>
      <x:c r="J1655" s="6">
        <x:v>0</x:v>
      </x:c>
      <x:c r="K1655" s="6">
        <x:f t="shared" si="80"/>
        <x:v>0</x:v>
      </x:c>
      <x:c r="L1655" s="6">
        <x:v>4099.3100000000004</x:v>
      </x:c>
      <x:c r="M1655" s="6">
        <x:v>0</x:v>
      </x:c>
      <x:c r="N1655" s="6">
        <x:f t="shared" si="81"/>
        <x:v>4099.3100000000004</x:v>
      </x:c>
    </x:row>
    <x:row r="1656" spans="1:14" x14ac:dyDescent="0.25">
      <x:c r="A1656" t="s">
        <x:v>21</x:v>
      </x:c>
      <x:c r="B1656" s="3" t="s">
        <x:v>180</x:v>
      </x:c>
      <x:c r="C1656" s="3" t="s">
        <x:v>496</x:v>
      </x:c>
      <x:c r="D1656" t="s">
        <x:v>677</x:v>
      </x:c>
      <x:c r="E1656" s="6">
        <x:v>0</x:v>
      </x:c>
      <x:c r="F1656" s="6">
        <x:v>0</x:v>
      </x:c>
      <x:c r="G1656" s="6">
        <x:v>0</x:v>
      </x:c>
      <x:c r="H1656" s="6">
        <x:f t="shared" si="79"/>
        <x:v>0</x:v>
      </x:c>
      <x:c r="I1656" s="6">
        <x:v>765754.04999999958</x:v>
      </x:c>
      <x:c r="J1656" s="6">
        <x:v>0</x:v>
      </x:c>
      <x:c r="K1656" s="6">
        <x:f t="shared" si="80"/>
        <x:v>765754.04999999958</x:v>
      </x:c>
      <x:c r="L1656" s="6">
        <x:v>0</x:v>
      </x:c>
      <x:c r="M1656" s="6">
        <x:v>0</x:v>
      </x:c>
      <x:c r="N1656" s="6">
        <x:f t="shared" si="81"/>
        <x:v>765754.04999999958</x:v>
      </x:c>
    </x:row>
    <x:row r="1657" spans="1:14" x14ac:dyDescent="0.25">
      <x:c r="A1657" t="s">
        <x:v>21</x:v>
      </x:c>
      <x:c r="B1657" s="3" t="s">
        <x:v>181</x:v>
      </x:c>
      <x:c r="C1657" s="3" t="s">
        <x:v>497</x:v>
      </x:c>
      <x:c r="D1657" t="s">
        <x:v>677</x:v>
      </x:c>
      <x:c r="E1657" s="6">
        <x:v>0</x:v>
      </x:c>
      <x:c r="F1657" s="6">
        <x:v>0</x:v>
      </x:c>
      <x:c r="G1657" s="6">
        <x:v>0</x:v>
      </x:c>
      <x:c r="H1657" s="6">
        <x:f t="shared" si="79"/>
        <x:v>0</x:v>
      </x:c>
      <x:c r="I1657" s="6">
        <x:v>667975.41000000027</x:v>
      </x:c>
      <x:c r="J1657" s="6">
        <x:v>0</x:v>
      </x:c>
      <x:c r="K1657" s="6">
        <x:f t="shared" si="80"/>
        <x:v>667975.41000000027</x:v>
      </x:c>
      <x:c r="L1657" s="6">
        <x:v>0</x:v>
      </x:c>
      <x:c r="M1657" s="6">
        <x:v>0</x:v>
      </x:c>
      <x:c r="N1657" s="6">
        <x:f t="shared" si="81"/>
        <x:v>667975.41000000027</x:v>
      </x:c>
    </x:row>
    <x:row r="1658" spans="1:14" x14ac:dyDescent="0.25">
      <x:c r="A1658" t="s">
        <x:v>21</x:v>
      </x:c>
      <x:c r="B1658" s="3" t="s">
        <x:v>182</x:v>
      </x:c>
      <x:c r="C1658" s="3" t="s">
        <x:v>498</x:v>
      </x:c>
      <x:c r="D1658" t="s">
        <x:v>677</x:v>
      </x:c>
      <x:c r="E1658" s="6">
        <x:v>0</x:v>
      </x:c>
      <x:c r="F1658" s="6">
        <x:v>0</x:v>
      </x:c>
      <x:c r="G1658" s="6">
        <x:v>0</x:v>
      </x:c>
      <x:c r="H1658" s="6">
        <x:f t="shared" si="79"/>
        <x:v>0</x:v>
      </x:c>
      <x:c r="I1658" s="6">
        <x:v>6965.07</x:v>
      </x:c>
      <x:c r="J1658" s="6">
        <x:v>0</x:v>
      </x:c>
      <x:c r="K1658" s="6">
        <x:f t="shared" si="80"/>
        <x:v>6965.07</x:v>
      </x:c>
      <x:c r="L1658" s="6">
        <x:v>0</x:v>
      </x:c>
      <x:c r="M1658" s="6">
        <x:v>0</x:v>
      </x:c>
      <x:c r="N1658" s="6">
        <x:f t="shared" si="81"/>
        <x:v>6965.07</x:v>
      </x:c>
    </x:row>
    <x:row r="1659" spans="1:14" x14ac:dyDescent="0.25">
      <x:c r="A1659" t="s">
        <x:v>21</x:v>
      </x:c>
      <x:c r="B1659" s="3" t="s">
        <x:v>235</x:v>
      </x:c>
      <x:c r="C1659" s="3" t="s">
        <x:v>550</x:v>
      </x:c>
      <x:c r="D1659" t="s">
        <x:v>677</x:v>
      </x:c>
      <x:c r="E1659" s="6">
        <x:v>0</x:v>
      </x:c>
      <x:c r="F1659" s="6">
        <x:v>0</x:v>
      </x:c>
      <x:c r="G1659" s="6">
        <x:v>0</x:v>
      </x:c>
      <x:c r="H1659" s="6">
        <x:f t="shared" si="79"/>
        <x:v>0</x:v>
      </x:c>
      <x:c r="I1659" s="6">
        <x:v>326430.43000000005</x:v>
      </x:c>
      <x:c r="J1659" s="6">
        <x:v>0</x:v>
      </x:c>
      <x:c r="K1659" s="6">
        <x:f t="shared" si="80"/>
        <x:v>326430.43000000005</x:v>
      </x:c>
      <x:c r="L1659" s="6">
        <x:v>0</x:v>
      </x:c>
      <x:c r="M1659" s="6">
        <x:v>0</x:v>
      </x:c>
      <x:c r="N1659" s="6">
        <x:f t="shared" si="81"/>
        <x:v>326430.43000000005</x:v>
      </x:c>
    </x:row>
    <x:row r="1660" spans="1:14" x14ac:dyDescent="0.25">
      <x:c r="A1660" t="s">
        <x:v>21</x:v>
      </x:c>
      <x:c r="B1660" s="3" t="s">
        <x:v>183</x:v>
      </x:c>
      <x:c r="C1660" s="3" t="s">
        <x:v>499</x:v>
      </x:c>
      <x:c r="D1660" t="s">
        <x:v>677</x:v>
      </x:c>
      <x:c r="E1660" s="6">
        <x:v>0</x:v>
      </x:c>
      <x:c r="F1660" s="6">
        <x:v>0</x:v>
      </x:c>
      <x:c r="G1660" s="6">
        <x:v>0</x:v>
      </x:c>
      <x:c r="H1660" s="6">
        <x:f t="shared" si="79"/>
        <x:v>0</x:v>
      </x:c>
      <x:c r="I1660" s="6">
        <x:v>837814.16999999993</x:v>
      </x:c>
      <x:c r="J1660" s="6">
        <x:v>0</x:v>
      </x:c>
      <x:c r="K1660" s="6">
        <x:f t="shared" si="80"/>
        <x:v>837814.16999999993</x:v>
      </x:c>
      <x:c r="L1660" s="6">
        <x:v>0</x:v>
      </x:c>
      <x:c r="M1660" s="6">
        <x:v>0</x:v>
      </x:c>
      <x:c r="N1660" s="6">
        <x:f t="shared" si="81"/>
        <x:v>837814.16999999993</x:v>
      </x:c>
    </x:row>
    <x:row r="1661" spans="1:14" x14ac:dyDescent="0.25">
      <x:c r="A1661" t="s">
        <x:v>21</x:v>
      </x:c>
      <x:c r="B1661" s="3" t="s">
        <x:v>184</x:v>
      </x:c>
      <x:c r="C1661" s="3" t="s">
        <x:v>500</x:v>
      </x:c>
      <x:c r="D1661" t="s">
        <x:v>677</x:v>
      </x:c>
      <x:c r="E1661" s="6">
        <x:v>0</x:v>
      </x:c>
      <x:c r="F1661" s="6">
        <x:v>0</x:v>
      </x:c>
      <x:c r="G1661" s="6">
        <x:v>0</x:v>
      </x:c>
      <x:c r="H1661" s="6">
        <x:f t="shared" si="79"/>
        <x:v>0</x:v>
      </x:c>
      <x:c r="I1661" s="6">
        <x:v>369512.60999999993</x:v>
      </x:c>
      <x:c r="J1661" s="6">
        <x:v>0</x:v>
      </x:c>
      <x:c r="K1661" s="6">
        <x:f t="shared" si="80"/>
        <x:v>369512.60999999993</x:v>
      </x:c>
      <x:c r="L1661" s="6">
        <x:v>0</x:v>
      </x:c>
      <x:c r="M1661" s="6">
        <x:v>0</x:v>
      </x:c>
      <x:c r="N1661" s="6">
        <x:f t="shared" si="81"/>
        <x:v>369512.60999999993</x:v>
      </x:c>
    </x:row>
    <x:row r="1662" spans="1:14" x14ac:dyDescent="0.25">
      <x:c r="A1662" t="s">
        <x:v>21</x:v>
      </x:c>
      <x:c r="B1662" s="3" t="s">
        <x:v>186</x:v>
      </x:c>
      <x:c r="C1662" s="3" t="s">
        <x:v>502</x:v>
      </x:c>
      <x:c r="D1662" t="s">
        <x:v>677</x:v>
      </x:c>
      <x:c r="E1662" s="6">
        <x:v>0</x:v>
      </x:c>
      <x:c r="F1662" s="6">
        <x:v>0</x:v>
      </x:c>
      <x:c r="G1662" s="6">
        <x:v>0</x:v>
      </x:c>
      <x:c r="H1662" s="6">
        <x:f t="shared" si="79"/>
        <x:v>0</x:v>
      </x:c>
      <x:c r="I1662" s="6">
        <x:v>917983.07000000018</x:v>
      </x:c>
      <x:c r="J1662" s="6">
        <x:v>0</x:v>
      </x:c>
      <x:c r="K1662" s="6">
        <x:f t="shared" si="80"/>
        <x:v>917983.07000000018</x:v>
      </x:c>
      <x:c r="L1662" s="6">
        <x:v>0</x:v>
      </x:c>
      <x:c r="M1662" s="6">
        <x:v>0</x:v>
      </x:c>
      <x:c r="N1662" s="6">
        <x:f t="shared" si="81"/>
        <x:v>917983.07000000018</x:v>
      </x:c>
    </x:row>
    <x:row r="1663" spans="1:14" x14ac:dyDescent="0.25">
      <x:c r="A1663" t="s">
        <x:v>21</x:v>
      </x:c>
      <x:c r="B1663" s="3" t="s">
        <x:v>187</x:v>
      </x:c>
      <x:c r="C1663" s="3" t="s">
        <x:v>503</x:v>
      </x:c>
      <x:c r="D1663" t="s">
        <x:v>677</x:v>
      </x:c>
      <x:c r="E1663" s="6">
        <x:v>0</x:v>
      </x:c>
      <x:c r="F1663" s="6">
        <x:v>0</x:v>
      </x:c>
      <x:c r="G1663" s="6">
        <x:v>0</x:v>
      </x:c>
      <x:c r="H1663" s="6">
        <x:f t="shared" si="79"/>
        <x:v>0</x:v>
      </x:c>
      <x:c r="I1663" s="6">
        <x:v>1825205.8599999992</x:v>
      </x:c>
      <x:c r="J1663" s="6">
        <x:v>0</x:v>
      </x:c>
      <x:c r="K1663" s="6">
        <x:f t="shared" si="80"/>
        <x:v>1825205.8599999992</x:v>
      </x:c>
      <x:c r="L1663" s="6">
        <x:v>0</x:v>
      </x:c>
      <x:c r="M1663" s="6">
        <x:v>0</x:v>
      </x:c>
      <x:c r="N1663" s="6">
        <x:f t="shared" si="81"/>
        <x:v>1825205.8599999992</x:v>
      </x:c>
    </x:row>
    <x:row r="1664" spans="1:14" x14ac:dyDescent="0.25">
      <x:c r="A1664" t="s">
        <x:v>21</x:v>
      </x:c>
      <x:c r="B1664" s="3" t="s">
        <x:v>188</x:v>
      </x:c>
      <x:c r="C1664" s="3" t="s">
        <x:v>504</x:v>
      </x:c>
      <x:c r="D1664" t="s">
        <x:v>677</x:v>
      </x:c>
      <x:c r="E1664" s="6">
        <x:v>0</x:v>
      </x:c>
      <x:c r="F1664" s="6">
        <x:v>0</x:v>
      </x:c>
      <x:c r="G1664" s="6">
        <x:v>0</x:v>
      </x:c>
      <x:c r="H1664" s="6">
        <x:f t="shared" si="79"/>
        <x:v>0</x:v>
      </x:c>
      <x:c r="I1664" s="6">
        <x:v>612442.57000000007</x:v>
      </x:c>
      <x:c r="J1664" s="6">
        <x:v>0</x:v>
      </x:c>
      <x:c r="K1664" s="6">
        <x:f t="shared" si="80"/>
        <x:v>612442.57000000007</x:v>
      </x:c>
      <x:c r="L1664" s="6">
        <x:v>0</x:v>
      </x:c>
      <x:c r="M1664" s="6">
        <x:v>0</x:v>
      </x:c>
      <x:c r="N1664" s="6">
        <x:f t="shared" si="81"/>
        <x:v>612442.57000000007</x:v>
      </x:c>
    </x:row>
    <x:row r="1665" spans="1:14" x14ac:dyDescent="0.25">
      <x:c r="A1665" t="s">
        <x:v>21</x:v>
      </x:c>
      <x:c r="B1665" s="3" t="s">
        <x:v>287</x:v>
      </x:c>
      <x:c r="C1665" s="3" t="s">
        <x:v>602</x:v>
      </x:c>
      <x:c r="D1665" t="s">
        <x:v>677</x:v>
      </x:c>
      <x:c r="E1665" s="6">
        <x:v>0</x:v>
      </x:c>
      <x:c r="F1665" s="6">
        <x:v>0</x:v>
      </x:c>
      <x:c r="G1665" s="6">
        <x:v>0</x:v>
      </x:c>
      <x:c r="H1665" s="6">
        <x:f t="shared" si="79"/>
        <x:v>0</x:v>
      </x:c>
      <x:c r="I1665" s="6">
        <x:v>-1490.4299999999998</x:v>
      </x:c>
      <x:c r="J1665" s="6">
        <x:v>0</x:v>
      </x:c>
      <x:c r="K1665" s="6">
        <x:f t="shared" si="80"/>
        <x:v>-1490.4299999999998</x:v>
      </x:c>
      <x:c r="L1665" s="6">
        <x:v>0</x:v>
      </x:c>
      <x:c r="M1665" s="6">
        <x:v>0</x:v>
      </x:c>
      <x:c r="N1665" s="6">
        <x:f t="shared" si="81"/>
        <x:v>-1490.4299999999998</x:v>
      </x:c>
    </x:row>
    <x:row r="1666" spans="1:14" x14ac:dyDescent="0.25">
      <x:c r="A1666" t="s">
        <x:v>21</x:v>
      </x:c>
      <x:c r="B1666" s="3" t="s">
        <x:v>189</x:v>
      </x:c>
      <x:c r="C1666" s="3" t="s">
        <x:v>505</x:v>
      </x:c>
      <x:c r="D1666" t="s">
        <x:v>677</x:v>
      </x:c>
      <x:c r="E1666" s="6">
        <x:v>0</x:v>
      </x:c>
      <x:c r="F1666" s="6">
        <x:v>0</x:v>
      </x:c>
      <x:c r="G1666" s="6">
        <x:v>0</x:v>
      </x:c>
      <x:c r="H1666" s="6">
        <x:f t="shared" si="79"/>
        <x:v>0</x:v>
      </x:c>
      <x:c r="I1666" s="6">
        <x:v>951511.72999999986</x:v>
      </x:c>
      <x:c r="J1666" s="6">
        <x:v>0</x:v>
      </x:c>
      <x:c r="K1666" s="6">
        <x:f t="shared" si="80"/>
        <x:v>951511.72999999986</x:v>
      </x:c>
      <x:c r="L1666" s="6">
        <x:v>0</x:v>
      </x:c>
      <x:c r="M1666" s="6">
        <x:v>0</x:v>
      </x:c>
      <x:c r="N1666" s="6">
        <x:f t="shared" si="81"/>
        <x:v>951511.72999999986</x:v>
      </x:c>
    </x:row>
    <x:row r="1667" spans="1:14" x14ac:dyDescent="0.25">
      <x:c r="A1667" t="s">
        <x:v>21</x:v>
      </x:c>
      <x:c r="B1667" s="3" t="s">
        <x:v>236</x:v>
      </x:c>
      <x:c r="C1667" s="3" t="s">
        <x:v>551</x:v>
      </x:c>
      <x:c r="D1667" t="s">
        <x:v>677</x:v>
      </x:c>
      <x:c r="E1667" s="6">
        <x:v>0</x:v>
      </x:c>
      <x:c r="F1667" s="6">
        <x:v>0</x:v>
      </x:c>
      <x:c r="G1667" s="6">
        <x:v>0</x:v>
      </x:c>
      <x:c r="H1667" s="6">
        <x:f t="shared" si="79"/>
        <x:v>0</x:v>
      </x:c>
      <x:c r="I1667" s="6">
        <x:v>1134703.3100000005</x:v>
      </x:c>
      <x:c r="J1667" s="6">
        <x:v>0</x:v>
      </x:c>
      <x:c r="K1667" s="6">
        <x:f t="shared" si="80"/>
        <x:v>1134703.3100000005</x:v>
      </x:c>
      <x:c r="L1667" s="6">
        <x:v>0</x:v>
      </x:c>
      <x:c r="M1667" s="6">
        <x:v>0</x:v>
      </x:c>
      <x:c r="N1667" s="6">
        <x:f t="shared" si="81"/>
        <x:v>1134703.3100000005</x:v>
      </x:c>
    </x:row>
    <x:row r="1668" spans="1:14" x14ac:dyDescent="0.25">
      <x:c r="A1668" t="s">
        <x:v>21</x:v>
      </x:c>
      <x:c r="B1668" s="3" t="s">
        <x:v>191</x:v>
      </x:c>
      <x:c r="C1668" s="3" t="s">
        <x:v>507</x:v>
      </x:c>
      <x:c r="D1668" t="s">
        <x:v>677</x:v>
      </x:c>
      <x:c r="E1668" s="6">
        <x:v>0</x:v>
      </x:c>
      <x:c r="F1668" s="6">
        <x:v>0</x:v>
      </x:c>
      <x:c r="G1668" s="6">
        <x:v>0</x:v>
      </x:c>
      <x:c r="H1668" s="6">
        <x:f t="shared" si="79"/>
        <x:v>0</x:v>
      </x:c>
      <x:c r="I1668" s="6">
        <x:v>75.12</x:v>
      </x:c>
      <x:c r="J1668" s="6">
        <x:v>0</x:v>
      </x:c>
      <x:c r="K1668" s="6">
        <x:f t="shared" si="80"/>
        <x:v>75.12</x:v>
      </x:c>
      <x:c r="L1668" s="6">
        <x:v>0</x:v>
      </x:c>
      <x:c r="M1668" s="6">
        <x:v>0</x:v>
      </x:c>
      <x:c r="N1668" s="6">
        <x:f t="shared" si="81"/>
        <x:v>75.12</x:v>
      </x:c>
    </x:row>
    <x:row r="1669" spans="1:14" x14ac:dyDescent="0.25">
      <x:c r="A1669" t="s">
        <x:v>21</x:v>
      </x:c>
      <x:c r="B1669" s="3" t="s">
        <x:v>192</x:v>
      </x:c>
      <x:c r="C1669" s="3" t="s">
        <x:v>508</x:v>
      </x:c>
      <x:c r="D1669" t="s">
        <x:v>677</x:v>
      </x:c>
      <x:c r="E1669" s="6">
        <x:v>0</x:v>
      </x:c>
      <x:c r="F1669" s="6">
        <x:v>0</x:v>
      </x:c>
      <x:c r="G1669" s="6">
        <x:v>0</x:v>
      </x:c>
      <x:c r="H1669" s="6">
        <x:f t="shared" si="79"/>
        <x:v>0</x:v>
      </x:c>
      <x:c r="I1669" s="6">
        <x:v>-9421.380000000001</x:v>
      </x:c>
      <x:c r="J1669" s="6">
        <x:v>0</x:v>
      </x:c>
      <x:c r="K1669" s="6">
        <x:f t="shared" si="80"/>
        <x:v>-9421.380000000001</x:v>
      </x:c>
      <x:c r="L1669" s="6">
        <x:v>0</x:v>
      </x:c>
      <x:c r="M1669" s="6">
        <x:v>0</x:v>
      </x:c>
      <x:c r="N1669" s="6">
        <x:f t="shared" si="81"/>
        <x:v>-9421.380000000001</x:v>
      </x:c>
    </x:row>
    <x:row r="1670" spans="1:14" x14ac:dyDescent="0.25">
      <x:c r="A1670" t="s">
        <x:v>21</x:v>
      </x:c>
      <x:c r="B1670" s="3" t="s">
        <x:v>193</x:v>
      </x:c>
      <x:c r="C1670" s="3" t="s">
        <x:v>509</x:v>
      </x:c>
      <x:c r="D1670" t="s">
        <x:v>677</x:v>
      </x:c>
      <x:c r="E1670" s="6">
        <x:v>0</x:v>
      </x:c>
      <x:c r="F1670" s="6">
        <x:v>0</x:v>
      </x:c>
      <x:c r="G1670" s="6">
        <x:v>0</x:v>
      </x:c>
      <x:c r="H1670" s="6">
        <x:f t="shared" si="79"/>
        <x:v>0</x:v>
      </x:c>
      <x:c r="I1670" s="6">
        <x:v>1140558.0299999996</x:v>
      </x:c>
      <x:c r="J1670" s="6">
        <x:v>0</x:v>
      </x:c>
      <x:c r="K1670" s="6">
        <x:f t="shared" si="80"/>
        <x:v>1140558.0299999996</x:v>
      </x:c>
      <x:c r="L1670" s="6">
        <x:v>0</x:v>
      </x:c>
      <x:c r="M1670" s="6">
        <x:v>0</x:v>
      </x:c>
      <x:c r="N1670" s="6">
        <x:f t="shared" si="81"/>
        <x:v>1140558.0299999996</x:v>
      </x:c>
    </x:row>
    <x:row r="1671" spans="1:14" x14ac:dyDescent="0.25">
      <x:c r="A1671" t="s">
        <x:v>21</x:v>
      </x:c>
      <x:c r="B1671" s="3" t="s">
        <x:v>194</x:v>
      </x:c>
      <x:c r="C1671" s="3" t="s">
        <x:v>510</x:v>
      </x:c>
      <x:c r="D1671" t="s">
        <x:v>677</x:v>
      </x:c>
      <x:c r="E1671" s="6">
        <x:v>0</x:v>
      </x:c>
      <x:c r="F1671" s="6">
        <x:v>0</x:v>
      </x:c>
      <x:c r="G1671" s="6">
        <x:v>0</x:v>
      </x:c>
      <x:c r="H1671" s="6">
        <x:f t="shared" si="79"/>
        <x:v>0</x:v>
      </x:c>
      <x:c r="I1671" s="6">
        <x:v>1704730.3499999999</x:v>
      </x:c>
      <x:c r="J1671" s="6">
        <x:v>0</x:v>
      </x:c>
      <x:c r="K1671" s="6">
        <x:f t="shared" si="80"/>
        <x:v>1704730.3499999999</x:v>
      </x:c>
      <x:c r="L1671" s="6">
        <x:v>0</x:v>
      </x:c>
      <x:c r="M1671" s="6">
        <x:v>0</x:v>
      </x:c>
      <x:c r="N1671" s="6">
        <x:f t="shared" si="81"/>
        <x:v>1704730.3499999999</x:v>
      </x:c>
    </x:row>
    <x:row r="1672" spans="1:14" x14ac:dyDescent="0.25">
      <x:c r="A1672" t="s">
        <x:v>21</x:v>
      </x:c>
      <x:c r="B1672" s="3" t="s">
        <x:v>195</x:v>
      </x:c>
      <x:c r="C1672" s="3" t="s">
        <x:v>511</x:v>
      </x:c>
      <x:c r="D1672" t="s">
        <x:v>677</x:v>
      </x:c>
      <x:c r="E1672" s="6">
        <x:v>0</x:v>
      </x:c>
      <x:c r="F1672" s="6">
        <x:v>0</x:v>
      </x:c>
      <x:c r="G1672" s="6">
        <x:v>0</x:v>
      </x:c>
      <x:c r="H1672" s="6">
        <x:f t="shared" si="79"/>
        <x:v>0</x:v>
      </x:c>
      <x:c r="I1672" s="6">
        <x:v>305553.20000000019</x:v>
      </x:c>
      <x:c r="J1672" s="6">
        <x:v>0</x:v>
      </x:c>
      <x:c r="K1672" s="6">
        <x:f t="shared" si="80"/>
        <x:v>305553.20000000019</x:v>
      </x:c>
      <x:c r="L1672" s="6">
        <x:v>0</x:v>
      </x:c>
      <x:c r="M1672" s="6">
        <x:v>0</x:v>
      </x:c>
      <x:c r="N1672" s="6">
        <x:f t="shared" si="81"/>
        <x:v>305553.20000000019</x:v>
      </x:c>
    </x:row>
    <x:row r="1673" spans="1:14" x14ac:dyDescent="0.25">
      <x:c r="A1673" t="s">
        <x:v>21</x:v>
      </x:c>
      <x:c r="B1673" s="3" t="s">
        <x:v>237</x:v>
      </x:c>
      <x:c r="C1673" s="3" t="s">
        <x:v>552</x:v>
      </x:c>
      <x:c r="D1673" t="s">
        <x:v>677</x:v>
      </x:c>
      <x:c r="E1673" s="6">
        <x:v>0</x:v>
      </x:c>
      <x:c r="F1673" s="6">
        <x:v>0</x:v>
      </x:c>
      <x:c r="G1673" s="6">
        <x:v>0</x:v>
      </x:c>
      <x:c r="H1673" s="6">
        <x:f t="shared" si="79"/>
        <x:v>0</x:v>
      </x:c>
      <x:c r="I1673" s="6">
        <x:v>36702.14</x:v>
      </x:c>
      <x:c r="J1673" s="6">
        <x:v>0</x:v>
      </x:c>
      <x:c r="K1673" s="6">
        <x:f t="shared" si="80"/>
        <x:v>36702.14</x:v>
      </x:c>
      <x:c r="L1673" s="6">
        <x:v>0</x:v>
      </x:c>
      <x:c r="M1673" s="6">
        <x:v>0</x:v>
      </x:c>
      <x:c r="N1673" s="6">
        <x:f t="shared" si="81"/>
        <x:v>36702.14</x:v>
      </x:c>
    </x:row>
    <x:row r="1674" spans="1:14" x14ac:dyDescent="0.25">
      <x:c r="A1674" t="s">
        <x:v>21</x:v>
      </x:c>
      <x:c r="B1674" s="3" t="s">
        <x:v>238</x:v>
      </x:c>
      <x:c r="C1674" s="3" t="s">
        <x:v>553</x:v>
      </x:c>
      <x:c r="D1674" t="s">
        <x:v>677</x:v>
      </x:c>
      <x:c r="E1674" s="6">
        <x:v>0</x:v>
      </x:c>
      <x:c r="F1674" s="6">
        <x:v>0</x:v>
      </x:c>
      <x:c r="G1674" s="6">
        <x:v>0</x:v>
      </x:c>
      <x:c r="H1674" s="6">
        <x:f t="shared" si="79"/>
        <x:v>0</x:v>
      </x:c>
      <x:c r="I1674" s="6">
        <x:v>860.1</x:v>
      </x:c>
      <x:c r="J1674" s="6">
        <x:v>0</x:v>
      </x:c>
      <x:c r="K1674" s="6">
        <x:f t="shared" si="80"/>
        <x:v>860.1</x:v>
      </x:c>
      <x:c r="L1674" s="6">
        <x:v>0</x:v>
      </x:c>
      <x:c r="M1674" s="6">
        <x:v>0</x:v>
      </x:c>
      <x:c r="N1674" s="6">
        <x:f t="shared" si="81"/>
        <x:v>860.1</x:v>
      </x:c>
    </x:row>
    <x:row r="1675" spans="1:14" x14ac:dyDescent="0.25">
      <x:c r="A1675" t="s">
        <x:v>21</x:v>
      </x:c>
      <x:c r="B1675" s="3" t="s">
        <x:v>196</x:v>
      </x:c>
      <x:c r="C1675" s="3" t="s">
        <x:v>512</x:v>
      </x:c>
      <x:c r="D1675" t="s">
        <x:v>677</x:v>
      </x:c>
      <x:c r="E1675" s="6">
        <x:v>0</x:v>
      </x:c>
      <x:c r="F1675" s="6">
        <x:v>0</x:v>
      </x:c>
      <x:c r="G1675" s="6">
        <x:v>0</x:v>
      </x:c>
      <x:c r="H1675" s="6">
        <x:f t="shared" si="79"/>
        <x:v>0</x:v>
      </x:c>
      <x:c r="I1675" s="6">
        <x:v>1329593.6499999994</x:v>
      </x:c>
      <x:c r="J1675" s="6">
        <x:v>0</x:v>
      </x:c>
      <x:c r="K1675" s="6">
        <x:f t="shared" si="80"/>
        <x:v>1329593.6499999994</x:v>
      </x:c>
      <x:c r="L1675" s="6">
        <x:v>0</x:v>
      </x:c>
      <x:c r="M1675" s="6">
        <x:v>0</x:v>
      </x:c>
      <x:c r="N1675" s="6">
        <x:f t="shared" si="81"/>
        <x:v>1329593.6499999994</x:v>
      </x:c>
    </x:row>
    <x:row r="1676" spans="1:14" x14ac:dyDescent="0.25">
      <x:c r="A1676" t="s">
        <x:v>21</x:v>
      </x:c>
      <x:c r="B1676" s="3" t="s">
        <x:v>197</x:v>
      </x:c>
      <x:c r="C1676" s="3" t="s">
        <x:v>513</x:v>
      </x:c>
      <x:c r="D1676" t="s">
        <x:v>676</x:v>
      </x:c>
      <x:c r="E1676" s="6">
        <x:v>0</x:v>
      </x:c>
      <x:c r="F1676" s="6">
        <x:v>0</x:v>
      </x:c>
      <x:c r="G1676" s="6">
        <x:v>0</x:v>
      </x:c>
      <x:c r="H1676" s="6">
        <x:f t="shared" si="79"/>
        <x:v>0</x:v>
      </x:c>
      <x:c r="I1676" s="6">
        <x:v>0</x:v>
      </x:c>
      <x:c r="J1676" s="6">
        <x:v>0</x:v>
      </x:c>
      <x:c r="K1676" s="6">
        <x:f t="shared" si="80"/>
        <x:v>0</x:v>
      </x:c>
      <x:c r="L1676" s="6">
        <x:v>1669.3700000000001</x:v>
      </x:c>
      <x:c r="M1676" s="6">
        <x:v>0</x:v>
      </x:c>
      <x:c r="N1676" s="6">
        <x:f t="shared" si="81"/>
        <x:v>1669.3700000000001</x:v>
      </x:c>
    </x:row>
    <x:row r="1677" spans="1:14" x14ac:dyDescent="0.25">
      <x:c r="A1677" t="s">
        <x:v>21</x:v>
      </x:c>
      <x:c r="B1677" s="3" t="s">
        <x:v>198</x:v>
      </x:c>
      <x:c r="C1677" s="3" t="s">
        <x:v>514</x:v>
      </x:c>
      <x:c r="D1677" t="s">
        <x:v>677</x:v>
      </x:c>
      <x:c r="E1677" s="6">
        <x:v>0</x:v>
      </x:c>
      <x:c r="F1677" s="6">
        <x:v>0</x:v>
      </x:c>
      <x:c r="G1677" s="6">
        <x:v>0</x:v>
      </x:c>
      <x:c r="H1677" s="6">
        <x:f t="shared" si="79"/>
        <x:v>0</x:v>
      </x:c>
      <x:c r="I1677" s="6">
        <x:v>624.70000000000005</x:v>
      </x:c>
      <x:c r="J1677" s="6">
        <x:v>0</x:v>
      </x:c>
      <x:c r="K1677" s="6">
        <x:f t="shared" si="80"/>
        <x:v>624.70000000000005</x:v>
      </x:c>
      <x:c r="L1677" s="6">
        <x:v>0</x:v>
      </x:c>
      <x:c r="M1677" s="6">
        <x:v>0</x:v>
      </x:c>
      <x:c r="N1677" s="6">
        <x:f t="shared" si="81"/>
        <x:v>624.70000000000005</x:v>
      </x:c>
    </x:row>
    <x:row r="1678" spans="1:14" x14ac:dyDescent="0.25">
      <x:c r="A1678" t="s">
        <x:v>21</x:v>
      </x:c>
      <x:c r="B1678" s="3" t="s">
        <x:v>63</x:v>
      </x:c>
      <x:c r="C1678" s="3" t="s">
        <x:v>380</x:v>
      </x:c>
      <x:c r="D1678" t="s">
        <x:v>677</x:v>
      </x:c>
      <x:c r="E1678" s="6">
        <x:v>0</x:v>
      </x:c>
      <x:c r="F1678" s="6">
        <x:v>0</x:v>
      </x:c>
      <x:c r="G1678" s="6">
        <x:v>0</x:v>
      </x:c>
      <x:c r="H1678" s="6">
        <x:f t="shared" si="79"/>
        <x:v>0</x:v>
      </x:c>
      <x:c r="I1678" s="6">
        <x:v>1089088.8899999997</x:v>
      </x:c>
      <x:c r="J1678" s="6">
        <x:v>0</x:v>
      </x:c>
      <x:c r="K1678" s="6">
        <x:f t="shared" si="80"/>
        <x:v>1089088.8899999997</x:v>
      </x:c>
      <x:c r="L1678" s="6">
        <x:v>0</x:v>
      </x:c>
      <x:c r="M1678" s="6">
        <x:v>0</x:v>
      </x:c>
      <x:c r="N1678" s="6">
        <x:f t="shared" si="81"/>
        <x:v>1089088.8899999997</x:v>
      </x:c>
    </x:row>
    <x:row r="1679" spans="1:14" x14ac:dyDescent="0.25">
      <x:c r="A1679" t="s">
        <x:v>21</x:v>
      </x:c>
      <x:c r="B1679" s="3" t="s">
        <x:v>199</x:v>
      </x:c>
      <x:c r="C1679" s="3" t="s">
        <x:v>515</x:v>
      </x:c>
      <x:c r="D1679" t="s">
        <x:v>677</x:v>
      </x:c>
      <x:c r="E1679" s="6">
        <x:v>0</x:v>
      </x:c>
      <x:c r="F1679" s="6">
        <x:v>0</x:v>
      </x:c>
      <x:c r="G1679" s="6">
        <x:v>0</x:v>
      </x:c>
      <x:c r="H1679" s="6">
        <x:f t="shared" si="79"/>
        <x:v>0</x:v>
      </x:c>
      <x:c r="I1679" s="6">
        <x:v>496484.76000000042</x:v>
      </x:c>
      <x:c r="J1679" s="6">
        <x:v>0</x:v>
      </x:c>
      <x:c r="K1679" s="6">
        <x:f t="shared" si="80"/>
        <x:v>496484.76000000042</x:v>
      </x:c>
      <x:c r="L1679" s="6">
        <x:v>0</x:v>
      </x:c>
      <x:c r="M1679" s="6">
        <x:v>0</x:v>
      </x:c>
      <x:c r="N1679" s="6">
        <x:f t="shared" si="81"/>
        <x:v>496484.76000000042</x:v>
      </x:c>
    </x:row>
    <x:row r="1680" spans="1:14" x14ac:dyDescent="0.25">
      <x:c r="A1680" t="s">
        <x:v>21</x:v>
      </x:c>
      <x:c r="B1680" s="3" t="s">
        <x:v>200</x:v>
      </x:c>
      <x:c r="C1680" s="3" t="s">
        <x:v>516</x:v>
      </x:c>
      <x:c r="D1680" t="s">
        <x:v>677</x:v>
      </x:c>
      <x:c r="E1680" s="6">
        <x:v>0</x:v>
      </x:c>
      <x:c r="F1680" s="6">
        <x:v>0</x:v>
      </x:c>
      <x:c r="G1680" s="6">
        <x:v>0</x:v>
      </x:c>
      <x:c r="H1680" s="6">
        <x:f t="shared" si="79"/>
        <x:v>0</x:v>
      </x:c>
      <x:c r="I1680" s="6">
        <x:v>2345873.9499999997</x:v>
      </x:c>
      <x:c r="J1680" s="6">
        <x:v>0</x:v>
      </x:c>
      <x:c r="K1680" s="6">
        <x:f t="shared" si="80"/>
        <x:v>2345873.9499999997</x:v>
      </x:c>
      <x:c r="L1680" s="6">
        <x:v>0</x:v>
      </x:c>
      <x:c r="M1680" s="6">
        <x:v>0</x:v>
      </x:c>
      <x:c r="N1680" s="6">
        <x:f t="shared" si="81"/>
        <x:v>2345873.9499999997</x:v>
      </x:c>
    </x:row>
    <x:row r="1681" spans="1:14" x14ac:dyDescent="0.25">
      <x:c r="A1681" t="s">
        <x:v>21</x:v>
      </x:c>
      <x:c r="B1681" s="3" t="s">
        <x:v>202</x:v>
      </x:c>
      <x:c r="C1681" s="3" t="s">
        <x:v>518</x:v>
      </x:c>
      <x:c r="D1681" t="s">
        <x:v>677</x:v>
      </x:c>
      <x:c r="E1681" s="6">
        <x:v>0</x:v>
      </x:c>
      <x:c r="F1681" s="6">
        <x:v>0</x:v>
      </x:c>
      <x:c r="G1681" s="6">
        <x:v>0</x:v>
      </x:c>
      <x:c r="H1681" s="6">
        <x:f t="shared" si="79"/>
        <x:v>0</x:v>
      </x:c>
      <x:c r="I1681" s="6">
        <x:v>-6912.7699999999995</x:v>
      </x:c>
      <x:c r="J1681" s="6">
        <x:v>0</x:v>
      </x:c>
      <x:c r="K1681" s="6">
        <x:f t="shared" si="80"/>
        <x:v>-6912.7699999999995</x:v>
      </x:c>
      <x:c r="L1681" s="6">
        <x:v>0</x:v>
      </x:c>
      <x:c r="M1681" s="6">
        <x:v>0</x:v>
      </x:c>
      <x:c r="N1681" s="6">
        <x:f t="shared" si="81"/>
        <x:v>-6912.7699999999995</x:v>
      </x:c>
    </x:row>
    <x:row r="1682" spans="1:14" x14ac:dyDescent="0.25">
      <x:c r="A1682" t="s">
        <x:v>21</x:v>
      </x:c>
      <x:c r="B1682" s="3" t="s">
        <x:v>203</x:v>
      </x:c>
      <x:c r="C1682" s="3" t="s">
        <x:v>519</x:v>
      </x:c>
      <x:c r="D1682" t="s">
        <x:v>677</x:v>
      </x:c>
      <x:c r="E1682" s="6">
        <x:v>0</x:v>
      </x:c>
      <x:c r="F1682" s="6">
        <x:v>0</x:v>
      </x:c>
      <x:c r="G1682" s="6">
        <x:v>0</x:v>
      </x:c>
      <x:c r="H1682" s="6">
        <x:f t="shared" ref="H1682:H1745" si="82">SUM(E1682:G1682)</x:f>
        <x:v>0</x:v>
      </x:c>
      <x:c r="I1682" s="6">
        <x:v>1638104.05</x:v>
      </x:c>
      <x:c r="J1682" s="6">
        <x:v>0</x:v>
      </x:c>
      <x:c r="K1682" s="6">
        <x:f t="shared" ref="K1682:K1745" si="83">SUM(I1682:J1682)</x:f>
        <x:v>1638104.05</x:v>
      </x:c>
      <x:c r="L1682" s="6">
        <x:v>0</x:v>
      </x:c>
      <x:c r="M1682" s="6">
        <x:v>0</x:v>
      </x:c>
      <x:c r="N1682" s="6">
        <x:f t="shared" ref="N1682:N1745" si="84">+E1682+F1682+G1682+I1682+J1682+L1682+M1682</x:f>
        <x:v>1638104.05</x:v>
      </x:c>
    </x:row>
    <x:row r="1683" spans="1:14" x14ac:dyDescent="0.25">
      <x:c r="A1683" t="s">
        <x:v>21</x:v>
      </x:c>
      <x:c r="B1683" s="3" t="s">
        <x:v>50</x:v>
      </x:c>
      <x:c r="C1683" s="3" t="s">
        <x:v>367</x:v>
      </x:c>
      <x:c r="D1683" t="s">
        <x:v>677</x:v>
      </x:c>
      <x:c r="E1683" s="6">
        <x:v>0</x:v>
      </x:c>
      <x:c r="F1683" s="6">
        <x:v>0</x:v>
      </x:c>
      <x:c r="G1683" s="6">
        <x:v>0</x:v>
      </x:c>
      <x:c r="H1683" s="6">
        <x:f t="shared" si="82"/>
        <x:v>0</x:v>
      </x:c>
      <x:c r="I1683" s="6">
        <x:v>767290.8600000001</x:v>
      </x:c>
      <x:c r="J1683" s="6">
        <x:v>0</x:v>
      </x:c>
      <x:c r="K1683" s="6">
        <x:f t="shared" si="83"/>
        <x:v>767290.8600000001</x:v>
      </x:c>
      <x:c r="L1683" s="6">
        <x:v>0</x:v>
      </x:c>
      <x:c r="M1683" s="6">
        <x:v>0</x:v>
      </x:c>
      <x:c r="N1683" s="6">
        <x:f t="shared" si="84"/>
        <x:v>767290.8600000001</x:v>
      </x:c>
    </x:row>
    <x:row r="1684" spans="1:14" x14ac:dyDescent="0.25">
      <x:c r="A1684" t="s">
        <x:v>21</x:v>
      </x:c>
      <x:c r="B1684" s="3" t="s">
        <x:v>239</x:v>
      </x:c>
      <x:c r="C1684" s="3" t="s">
        <x:v>554</x:v>
      </x:c>
      <x:c r="D1684" t="s">
        <x:v>677</x:v>
      </x:c>
      <x:c r="E1684" s="6">
        <x:v>0</x:v>
      </x:c>
      <x:c r="F1684" s="6">
        <x:v>0</x:v>
      </x:c>
      <x:c r="G1684" s="6">
        <x:v>0</x:v>
      </x:c>
      <x:c r="H1684" s="6">
        <x:f t="shared" si="82"/>
        <x:v>0</x:v>
      </x:c>
      <x:c r="I1684" s="6">
        <x:v>1258129.0900000008</x:v>
      </x:c>
      <x:c r="J1684" s="6">
        <x:v>0</x:v>
      </x:c>
      <x:c r="K1684" s="6">
        <x:f t="shared" si="83"/>
        <x:v>1258129.0900000008</x:v>
      </x:c>
      <x:c r="L1684" s="6">
        <x:v>0</x:v>
      </x:c>
      <x:c r="M1684" s="6">
        <x:v>0</x:v>
      </x:c>
      <x:c r="N1684" s="6">
        <x:f t="shared" si="84"/>
        <x:v>1258129.0900000008</x:v>
      </x:c>
    </x:row>
    <x:row r="1685" spans="1:14" x14ac:dyDescent="0.25">
      <x:c r="A1685" t="s">
        <x:v>21</x:v>
      </x:c>
      <x:c r="B1685" s="3" t="s">
        <x:v>204</x:v>
      </x:c>
      <x:c r="C1685" s="3" t="s">
        <x:v>520</x:v>
      </x:c>
      <x:c r="D1685" t="s">
        <x:v>677</x:v>
      </x:c>
      <x:c r="E1685" s="6">
        <x:v>0</x:v>
      </x:c>
      <x:c r="F1685" s="6">
        <x:v>0</x:v>
      </x:c>
      <x:c r="G1685" s="6">
        <x:v>0</x:v>
      </x:c>
      <x:c r="H1685" s="6">
        <x:f t="shared" si="82"/>
        <x:v>0</x:v>
      </x:c>
      <x:c r="I1685" s="6">
        <x:v>4888.340000000002</x:v>
      </x:c>
      <x:c r="J1685" s="6">
        <x:v>0</x:v>
      </x:c>
      <x:c r="K1685" s="6">
        <x:f t="shared" si="83"/>
        <x:v>4888.340000000002</x:v>
      </x:c>
      <x:c r="L1685" s="6">
        <x:v>0</x:v>
      </x:c>
      <x:c r="M1685" s="6">
        <x:v>0</x:v>
      </x:c>
      <x:c r="N1685" s="6">
        <x:f t="shared" si="84"/>
        <x:v>4888.340000000002</x:v>
      </x:c>
    </x:row>
    <x:row r="1686" spans="1:14" x14ac:dyDescent="0.25">
      <x:c r="A1686" t="s">
        <x:v>21</x:v>
      </x:c>
      <x:c r="B1686" s="3" t="s">
        <x:v>205</x:v>
      </x:c>
      <x:c r="C1686" s="3" t="s">
        <x:v>521</x:v>
      </x:c>
      <x:c r="D1686" t="s">
        <x:v>677</x:v>
      </x:c>
      <x:c r="E1686" s="6">
        <x:v>0</x:v>
      </x:c>
      <x:c r="F1686" s="6">
        <x:v>0</x:v>
      </x:c>
      <x:c r="G1686" s="6">
        <x:v>0</x:v>
      </x:c>
      <x:c r="H1686" s="6">
        <x:f t="shared" si="82"/>
        <x:v>0</x:v>
      </x:c>
      <x:c r="I1686" s="6">
        <x:v>906847.04999999993</x:v>
      </x:c>
      <x:c r="J1686" s="6">
        <x:v>0</x:v>
      </x:c>
      <x:c r="K1686" s="6">
        <x:f t="shared" si="83"/>
        <x:v>906847.04999999993</x:v>
      </x:c>
      <x:c r="L1686" s="6">
        <x:v>0</x:v>
      </x:c>
      <x:c r="M1686" s="6">
        <x:v>0</x:v>
      </x:c>
      <x:c r="N1686" s="6">
        <x:f t="shared" si="84"/>
        <x:v>906847.04999999993</x:v>
      </x:c>
    </x:row>
    <x:row r="1687" spans="1:14" x14ac:dyDescent="0.25">
      <x:c r="A1687" t="s">
        <x:v>21</x:v>
      </x:c>
      <x:c r="B1687" s="3" t="s">
        <x:v>240</x:v>
      </x:c>
      <x:c r="C1687" s="3" t="s">
        <x:v>555</x:v>
      </x:c>
      <x:c r="D1687" t="s">
        <x:v>677</x:v>
      </x:c>
      <x:c r="E1687" s="6">
        <x:v>0</x:v>
      </x:c>
      <x:c r="F1687" s="6">
        <x:v>0</x:v>
      </x:c>
      <x:c r="G1687" s="6">
        <x:v>0</x:v>
      </x:c>
      <x:c r="H1687" s="6">
        <x:f t="shared" si="82"/>
        <x:v>0</x:v>
      </x:c>
      <x:c r="I1687" s="6">
        <x:v>149953.15</x:v>
      </x:c>
      <x:c r="J1687" s="6">
        <x:v>0</x:v>
      </x:c>
      <x:c r="K1687" s="6">
        <x:f t="shared" si="83"/>
        <x:v>149953.15</x:v>
      </x:c>
      <x:c r="L1687" s="6">
        <x:v>0</x:v>
      </x:c>
      <x:c r="M1687" s="6">
        <x:v>0</x:v>
      </x:c>
      <x:c r="N1687" s="6">
        <x:f t="shared" si="84"/>
        <x:v>149953.15</x:v>
      </x:c>
    </x:row>
    <x:row r="1688" spans="1:14" x14ac:dyDescent="0.25">
      <x:c r="A1688" t="s">
        <x:v>21</x:v>
      </x:c>
      <x:c r="B1688" s="3" t="s">
        <x:v>206</x:v>
      </x:c>
      <x:c r="C1688" s="3" t="s">
        <x:v>522</x:v>
      </x:c>
      <x:c r="D1688" t="s">
        <x:v>677</x:v>
      </x:c>
      <x:c r="E1688" s="6">
        <x:v>0</x:v>
      </x:c>
      <x:c r="F1688" s="6">
        <x:v>0</x:v>
      </x:c>
      <x:c r="G1688" s="6">
        <x:v>0</x:v>
      </x:c>
      <x:c r="H1688" s="6">
        <x:f t="shared" si="82"/>
        <x:v>0</x:v>
      </x:c>
      <x:c r="I1688" s="6">
        <x:v>1752804.4999999995</x:v>
      </x:c>
      <x:c r="J1688" s="6">
        <x:v>0</x:v>
      </x:c>
      <x:c r="K1688" s="6">
        <x:f t="shared" si="83"/>
        <x:v>1752804.4999999995</x:v>
      </x:c>
      <x:c r="L1688" s="6">
        <x:v>0</x:v>
      </x:c>
      <x:c r="M1688" s="6">
        <x:v>0</x:v>
      </x:c>
      <x:c r="N1688" s="6">
        <x:f t="shared" si="84"/>
        <x:v>1752804.4999999995</x:v>
      </x:c>
    </x:row>
    <x:row r="1689" spans="1:14" x14ac:dyDescent="0.25">
      <x:c r="A1689" t="s">
        <x:v>21</x:v>
      </x:c>
      <x:c r="B1689" s="3" t="s">
        <x:v>207</x:v>
      </x:c>
      <x:c r="C1689" s="3" t="s">
        <x:v>523</x:v>
      </x:c>
      <x:c r="D1689" t="s">
        <x:v>677</x:v>
      </x:c>
      <x:c r="E1689" s="6">
        <x:v>0</x:v>
      </x:c>
      <x:c r="F1689" s="6">
        <x:v>0</x:v>
      </x:c>
      <x:c r="G1689" s="6">
        <x:v>0</x:v>
      </x:c>
      <x:c r="H1689" s="6">
        <x:f t="shared" si="82"/>
        <x:v>0</x:v>
      </x:c>
      <x:c r="I1689" s="6">
        <x:v>505.26</x:v>
      </x:c>
      <x:c r="J1689" s="6">
        <x:v>0</x:v>
      </x:c>
      <x:c r="K1689" s="6">
        <x:f t="shared" si="83"/>
        <x:v>505.26</x:v>
      </x:c>
      <x:c r="L1689" s="6">
        <x:v>0</x:v>
      </x:c>
      <x:c r="M1689" s="6">
        <x:v>0</x:v>
      </x:c>
      <x:c r="N1689" s="6">
        <x:f t="shared" si="84"/>
        <x:v>505.26</x:v>
      </x:c>
    </x:row>
    <x:row r="1690" spans="1:14" x14ac:dyDescent="0.25">
      <x:c r="A1690" t="s">
        <x:v>21</x:v>
      </x:c>
      <x:c r="B1690" s="3" t="s">
        <x:v>208</x:v>
      </x:c>
      <x:c r="C1690" s="3" t="s">
        <x:v>524</x:v>
      </x:c>
      <x:c r="D1690" t="s">
        <x:v>677</x:v>
      </x:c>
      <x:c r="E1690" s="6">
        <x:v>0</x:v>
      </x:c>
      <x:c r="F1690" s="6">
        <x:v>0</x:v>
      </x:c>
      <x:c r="G1690" s="6">
        <x:v>0</x:v>
      </x:c>
      <x:c r="H1690" s="6">
        <x:f t="shared" si="82"/>
        <x:v>0</x:v>
      </x:c>
      <x:c r="I1690" s="6">
        <x:v>4909.74</x:v>
      </x:c>
      <x:c r="J1690" s="6">
        <x:v>0</x:v>
      </x:c>
      <x:c r="K1690" s="6">
        <x:f t="shared" si="83"/>
        <x:v>4909.74</x:v>
      </x:c>
      <x:c r="L1690" s="6">
        <x:v>0</x:v>
      </x:c>
      <x:c r="M1690" s="6">
        <x:v>0</x:v>
      </x:c>
      <x:c r="N1690" s="6">
        <x:f t="shared" si="84"/>
        <x:v>4909.74</x:v>
      </x:c>
    </x:row>
    <x:row r="1691" spans="1:14" x14ac:dyDescent="0.25">
      <x:c r="A1691" t="s">
        <x:v>21</x:v>
      </x:c>
      <x:c r="B1691" s="3" t="s">
        <x:v>209</x:v>
      </x:c>
      <x:c r="C1691" s="3" t="s">
        <x:v>525</x:v>
      </x:c>
      <x:c r="D1691" t="s">
        <x:v>677</x:v>
      </x:c>
      <x:c r="E1691" s="6">
        <x:v>0</x:v>
      </x:c>
      <x:c r="F1691" s="6">
        <x:v>0</x:v>
      </x:c>
      <x:c r="G1691" s="6">
        <x:v>0</x:v>
      </x:c>
      <x:c r="H1691" s="6">
        <x:f t="shared" si="82"/>
        <x:v>0</x:v>
      </x:c>
      <x:c r="I1691" s="6">
        <x:v>1215456.5100000007</x:v>
      </x:c>
      <x:c r="J1691" s="6">
        <x:v>0</x:v>
      </x:c>
      <x:c r="K1691" s="6">
        <x:f t="shared" si="83"/>
        <x:v>1215456.5100000007</x:v>
      </x:c>
      <x:c r="L1691" s="6">
        <x:v>0</x:v>
      </x:c>
      <x:c r="M1691" s="6">
        <x:v>0</x:v>
      </x:c>
      <x:c r="N1691" s="6">
        <x:f t="shared" si="84"/>
        <x:v>1215456.5100000007</x:v>
      </x:c>
    </x:row>
    <x:row r="1692" spans="1:14" x14ac:dyDescent="0.25">
      <x:c r="A1692" t="s">
        <x:v>21</x:v>
      </x:c>
      <x:c r="B1692" s="3" t="s">
        <x:v>210</x:v>
      </x:c>
      <x:c r="C1692" s="3" t="s">
        <x:v>526</x:v>
      </x:c>
      <x:c r="D1692" t="s">
        <x:v>677</x:v>
      </x:c>
      <x:c r="E1692" s="6">
        <x:v>0</x:v>
      </x:c>
      <x:c r="F1692" s="6">
        <x:v>0</x:v>
      </x:c>
      <x:c r="G1692" s="6">
        <x:v>0</x:v>
      </x:c>
      <x:c r="H1692" s="6">
        <x:f t="shared" si="82"/>
        <x:v>0</x:v>
      </x:c>
      <x:c r="I1692" s="6">
        <x:v>1341625.1000000001</x:v>
      </x:c>
      <x:c r="J1692" s="6">
        <x:v>0</x:v>
      </x:c>
      <x:c r="K1692" s="6">
        <x:f t="shared" si="83"/>
        <x:v>1341625.1000000001</x:v>
      </x:c>
      <x:c r="L1692" s="6">
        <x:v>0</x:v>
      </x:c>
      <x:c r="M1692" s="6">
        <x:v>0</x:v>
      </x:c>
      <x:c r="N1692" s="6">
        <x:f t="shared" si="84"/>
        <x:v>1341625.1000000001</x:v>
      </x:c>
    </x:row>
    <x:row r="1693" spans="1:14" x14ac:dyDescent="0.25">
      <x:c r="A1693" t="s">
        <x:v>21</x:v>
      </x:c>
      <x:c r="B1693" s="3" t="s">
        <x:v>265</x:v>
      </x:c>
      <x:c r="C1693" s="3" t="s">
        <x:v>580</x:v>
      </x:c>
      <x:c r="D1693" t="s">
        <x:v>676</x:v>
      </x:c>
      <x:c r="E1693" s="6">
        <x:v>0</x:v>
      </x:c>
      <x:c r="F1693" s="6">
        <x:v>0</x:v>
      </x:c>
      <x:c r="G1693" s="6">
        <x:v>0</x:v>
      </x:c>
      <x:c r="H1693" s="6">
        <x:f t="shared" si="82"/>
        <x:v>0</x:v>
      </x:c>
      <x:c r="I1693" s="6">
        <x:v>0</x:v>
      </x:c>
      <x:c r="J1693" s="6">
        <x:v>0</x:v>
      </x:c>
      <x:c r="K1693" s="6">
        <x:f t="shared" si="83"/>
        <x:v>0</x:v>
      </x:c>
      <x:c r="L1693" s="6">
        <x:v>68.67</x:v>
      </x:c>
      <x:c r="M1693" s="6">
        <x:v>0</x:v>
      </x:c>
      <x:c r="N1693" s="6">
        <x:f t="shared" si="84"/>
        <x:v>68.67</x:v>
      </x:c>
    </x:row>
    <x:row r="1694" spans="1:14" x14ac:dyDescent="0.25">
      <x:c r="A1694" t="s">
        <x:v>21</x:v>
      </x:c>
      <x:c r="B1694" s="3" t="s">
        <x:v>211</x:v>
      </x:c>
      <x:c r="C1694" s="3" t="s">
        <x:v>527</x:v>
      </x:c>
      <x:c r="D1694" t="s">
        <x:v>677</x:v>
      </x:c>
      <x:c r="E1694" s="6">
        <x:v>0</x:v>
      </x:c>
      <x:c r="F1694" s="6">
        <x:v>0</x:v>
      </x:c>
      <x:c r="G1694" s="6">
        <x:v>0</x:v>
      </x:c>
      <x:c r="H1694" s="6">
        <x:f t="shared" si="82"/>
        <x:v>0</x:v>
      </x:c>
      <x:c r="I1694" s="6">
        <x:v>1830421.6300000001</x:v>
      </x:c>
      <x:c r="J1694" s="6">
        <x:v>0</x:v>
      </x:c>
      <x:c r="K1694" s="6">
        <x:f t="shared" si="83"/>
        <x:v>1830421.6300000001</x:v>
      </x:c>
      <x:c r="L1694" s="6">
        <x:v>0</x:v>
      </x:c>
      <x:c r="M1694" s="6">
        <x:v>0</x:v>
      </x:c>
      <x:c r="N1694" s="6">
        <x:f t="shared" si="84"/>
        <x:v>1830421.6300000001</x:v>
      </x:c>
    </x:row>
    <x:row r="1695" spans="1:14" x14ac:dyDescent="0.25">
      <x:c r="A1695" t="s">
        <x:v>21</x:v>
      </x:c>
      <x:c r="B1695" s="3" t="s">
        <x:v>212</x:v>
      </x:c>
      <x:c r="C1695" s="3" t="s">
        <x:v>528</x:v>
      </x:c>
      <x:c r="D1695" t="s">
        <x:v>677</x:v>
      </x:c>
      <x:c r="E1695" s="6">
        <x:v>0</x:v>
      </x:c>
      <x:c r="F1695" s="6">
        <x:v>0</x:v>
      </x:c>
      <x:c r="G1695" s="6">
        <x:v>0</x:v>
      </x:c>
      <x:c r="H1695" s="6">
        <x:f t="shared" si="82"/>
        <x:v>0</x:v>
      </x:c>
      <x:c r="I1695" s="6">
        <x:v>1461696.3999999997</x:v>
      </x:c>
      <x:c r="J1695" s="6">
        <x:v>0</x:v>
      </x:c>
      <x:c r="K1695" s="6">
        <x:f t="shared" si="83"/>
        <x:v>1461696.3999999997</x:v>
      </x:c>
      <x:c r="L1695" s="6">
        <x:v>0</x:v>
      </x:c>
      <x:c r="M1695" s="6">
        <x:v>0</x:v>
      </x:c>
      <x:c r="N1695" s="6">
        <x:f t="shared" si="84"/>
        <x:v>1461696.3999999997</x:v>
      </x:c>
    </x:row>
    <x:row r="1696" spans="1:14" x14ac:dyDescent="0.25">
      <x:c r="A1696" t="s">
        <x:v>21</x:v>
      </x:c>
      <x:c r="B1696" s="3" t="s">
        <x:v>64</x:v>
      </x:c>
      <x:c r="C1696" s="3" t="s">
        <x:v>381</x:v>
      </x:c>
      <x:c r="D1696" t="s">
        <x:v>677</x:v>
      </x:c>
      <x:c r="E1696" s="6">
        <x:v>0</x:v>
      </x:c>
      <x:c r="F1696" s="6">
        <x:v>0</x:v>
      </x:c>
      <x:c r="G1696" s="6">
        <x:v>0</x:v>
      </x:c>
      <x:c r="H1696" s="6">
        <x:f t="shared" si="82"/>
        <x:v>0</x:v>
      </x:c>
      <x:c r="I1696" s="6">
        <x:v>730125.81000000029</x:v>
      </x:c>
      <x:c r="J1696" s="6">
        <x:v>0</x:v>
      </x:c>
      <x:c r="K1696" s="6">
        <x:f t="shared" si="83"/>
        <x:v>730125.81000000029</x:v>
      </x:c>
      <x:c r="L1696" s="6">
        <x:v>0</x:v>
      </x:c>
      <x:c r="M1696" s="6">
        <x:v>0</x:v>
      </x:c>
      <x:c r="N1696" s="6">
        <x:f t="shared" si="84"/>
        <x:v>730125.81000000029</x:v>
      </x:c>
    </x:row>
    <x:row r="1697" spans="1:14" x14ac:dyDescent="0.25">
      <x:c r="A1697" t="s">
        <x:v>21</x:v>
      </x:c>
      <x:c r="B1697" s="3" t="s">
        <x:v>213</x:v>
      </x:c>
      <x:c r="C1697" s="3" t="s">
        <x:v>529</x:v>
      </x:c>
      <x:c r="D1697" t="s">
        <x:v>677</x:v>
      </x:c>
      <x:c r="E1697" s="6">
        <x:v>0</x:v>
      </x:c>
      <x:c r="F1697" s="6">
        <x:v>0</x:v>
      </x:c>
      <x:c r="G1697" s="6">
        <x:v>0</x:v>
      </x:c>
      <x:c r="H1697" s="6">
        <x:f t="shared" si="82"/>
        <x:v>0</x:v>
      </x:c>
      <x:c r="I1697" s="6">
        <x:v>930812.88000000024</x:v>
      </x:c>
      <x:c r="J1697" s="6">
        <x:v>0</x:v>
      </x:c>
      <x:c r="K1697" s="6">
        <x:f t="shared" si="83"/>
        <x:v>930812.88000000024</x:v>
      </x:c>
      <x:c r="L1697" s="6">
        <x:v>0</x:v>
      </x:c>
      <x:c r="M1697" s="6">
        <x:v>0</x:v>
      </x:c>
      <x:c r="N1697" s="6">
        <x:f t="shared" si="84"/>
        <x:v>930812.88000000024</x:v>
      </x:c>
    </x:row>
    <x:row r="1698" spans="1:14" x14ac:dyDescent="0.25">
      <x:c r="A1698" t="s">
        <x:v>21</x:v>
      </x:c>
      <x:c r="B1698" s="3" t="s">
        <x:v>214</x:v>
      </x:c>
      <x:c r="C1698" s="3" t="s">
        <x:v>530</x:v>
      </x:c>
      <x:c r="D1698" t="s">
        <x:v>677</x:v>
      </x:c>
      <x:c r="E1698" s="6">
        <x:v>0</x:v>
      </x:c>
      <x:c r="F1698" s="6">
        <x:v>0</x:v>
      </x:c>
      <x:c r="G1698" s="6">
        <x:v>0</x:v>
      </x:c>
      <x:c r="H1698" s="6">
        <x:f t="shared" si="82"/>
        <x:v>0</x:v>
      </x:c>
      <x:c r="I1698" s="6">
        <x:v>1438.9</x:v>
      </x:c>
      <x:c r="J1698" s="6">
        <x:v>0</x:v>
      </x:c>
      <x:c r="K1698" s="6">
        <x:f t="shared" si="83"/>
        <x:v>1438.9</x:v>
      </x:c>
      <x:c r="L1698" s="6">
        <x:v>0</x:v>
      </x:c>
      <x:c r="M1698" s="6">
        <x:v>0</x:v>
      </x:c>
      <x:c r="N1698" s="6">
        <x:f t="shared" si="84"/>
        <x:v>1438.9</x:v>
      </x:c>
    </x:row>
    <x:row r="1699" spans="1:14" x14ac:dyDescent="0.25">
      <x:c r="A1699" t="s">
        <x:v>21</x:v>
      </x:c>
      <x:c r="B1699" s="3" t="s">
        <x:v>215</x:v>
      </x:c>
      <x:c r="C1699" s="3" t="s">
        <x:v>531</x:v>
      </x:c>
      <x:c r="D1699" t="s">
        <x:v>677</x:v>
      </x:c>
      <x:c r="E1699" s="6">
        <x:v>0</x:v>
      </x:c>
      <x:c r="F1699" s="6">
        <x:v>0</x:v>
      </x:c>
      <x:c r="G1699" s="6">
        <x:v>0</x:v>
      </x:c>
      <x:c r="H1699" s="6">
        <x:f t="shared" si="82"/>
        <x:v>0</x:v>
      </x:c>
      <x:c r="I1699" s="6">
        <x:v>1231958.8899999997</x:v>
      </x:c>
      <x:c r="J1699" s="6">
        <x:v>0</x:v>
      </x:c>
      <x:c r="K1699" s="6">
        <x:f t="shared" si="83"/>
        <x:v>1231958.8899999997</x:v>
      </x:c>
      <x:c r="L1699" s="6">
        <x:v>0</x:v>
      </x:c>
      <x:c r="M1699" s="6">
        <x:v>0</x:v>
      </x:c>
      <x:c r="N1699" s="6">
        <x:f t="shared" si="84"/>
        <x:v>1231958.8899999997</x:v>
      </x:c>
    </x:row>
    <x:row r="1700" spans="1:14" x14ac:dyDescent="0.25">
      <x:c r="A1700" t="s">
        <x:v>21</x:v>
      </x:c>
      <x:c r="B1700" s="3" t="s">
        <x:v>216</x:v>
      </x:c>
      <x:c r="C1700" s="3" t="s">
        <x:v>532</x:v>
      </x:c>
      <x:c r="D1700" t="s">
        <x:v>677</x:v>
      </x:c>
      <x:c r="E1700" s="6">
        <x:v>0</x:v>
      </x:c>
      <x:c r="F1700" s="6">
        <x:v>0</x:v>
      </x:c>
      <x:c r="G1700" s="6">
        <x:v>0</x:v>
      </x:c>
      <x:c r="H1700" s="6">
        <x:f t="shared" si="82"/>
        <x:v>0</x:v>
      </x:c>
      <x:c r="I1700" s="6">
        <x:v>659507.05999999994</x:v>
      </x:c>
      <x:c r="J1700" s="6">
        <x:v>0</x:v>
      </x:c>
      <x:c r="K1700" s="6">
        <x:f t="shared" si="83"/>
        <x:v>659507.05999999994</x:v>
      </x:c>
      <x:c r="L1700" s="6">
        <x:v>0</x:v>
      </x:c>
      <x:c r="M1700" s="6">
        <x:v>0</x:v>
      </x:c>
      <x:c r="N1700" s="6">
        <x:f t="shared" si="84"/>
        <x:v>659507.05999999994</x:v>
      </x:c>
    </x:row>
    <x:row r="1701" spans="1:14" x14ac:dyDescent="0.25">
      <x:c r="A1701" t="s">
        <x:v>21</x:v>
      </x:c>
      <x:c r="B1701" s="3" t="s">
        <x:v>267</x:v>
      </x:c>
      <x:c r="C1701" s="3" t="s">
        <x:v>582</x:v>
      </x:c>
      <x:c r="D1701" t="s">
        <x:v>676</x:v>
      </x:c>
      <x:c r="E1701" s="6">
        <x:v>0</x:v>
      </x:c>
      <x:c r="F1701" s="6">
        <x:v>0</x:v>
      </x:c>
      <x:c r="G1701" s="6">
        <x:v>0</x:v>
      </x:c>
      <x:c r="H1701" s="6">
        <x:f t="shared" si="82"/>
        <x:v>0</x:v>
      </x:c>
      <x:c r="I1701" s="6">
        <x:v>0</x:v>
      </x:c>
      <x:c r="J1701" s="6">
        <x:v>0</x:v>
      </x:c>
      <x:c r="K1701" s="6">
        <x:f t="shared" si="83"/>
        <x:v>0</x:v>
      </x:c>
      <x:c r="L1701" s="6">
        <x:v>377.79</x:v>
      </x:c>
      <x:c r="M1701" s="6">
        <x:v>0</x:v>
      </x:c>
      <x:c r="N1701" s="6">
        <x:f t="shared" si="84"/>
        <x:v>377.79</x:v>
      </x:c>
    </x:row>
    <x:row r="1702" spans="1:14" x14ac:dyDescent="0.25">
      <x:c r="A1702" t="s">
        <x:v>21</x:v>
      </x:c>
      <x:c r="B1702" s="3" t="s">
        <x:v>65</x:v>
      </x:c>
      <x:c r="C1702" s="3" t="s">
        <x:v>382</x:v>
      </x:c>
      <x:c r="D1702" t="s">
        <x:v>677</x:v>
      </x:c>
      <x:c r="E1702" s="6">
        <x:v>0</x:v>
      </x:c>
      <x:c r="F1702" s="6">
        <x:v>0</x:v>
      </x:c>
      <x:c r="G1702" s="6">
        <x:v>0</x:v>
      </x:c>
      <x:c r="H1702" s="6">
        <x:f t="shared" si="82"/>
        <x:v>0</x:v>
      </x:c>
      <x:c r="I1702" s="6">
        <x:v>948222.81999999855</x:v>
      </x:c>
      <x:c r="J1702" s="6">
        <x:v>0</x:v>
      </x:c>
      <x:c r="K1702" s="6">
        <x:f t="shared" si="83"/>
        <x:v>948222.81999999855</x:v>
      </x:c>
      <x:c r="L1702" s="6">
        <x:v>0</x:v>
      </x:c>
      <x:c r="M1702" s="6">
        <x:v>0</x:v>
      </x:c>
      <x:c r="N1702" s="6">
        <x:f t="shared" si="84"/>
        <x:v>948222.81999999855</x:v>
      </x:c>
    </x:row>
    <x:row r="1703" spans="1:14" x14ac:dyDescent="0.25">
      <x:c r="A1703" t="s">
        <x:v>21</x:v>
      </x:c>
      <x:c r="B1703" s="3" t="s">
        <x:v>217</x:v>
      </x:c>
      <x:c r="C1703" s="3" t="s">
        <x:v>533</x:v>
      </x:c>
      <x:c r="D1703" t="s">
        <x:v>677</x:v>
      </x:c>
      <x:c r="E1703" s="6">
        <x:v>0</x:v>
      </x:c>
      <x:c r="F1703" s="6">
        <x:v>0</x:v>
      </x:c>
      <x:c r="G1703" s="6">
        <x:v>0</x:v>
      </x:c>
      <x:c r="H1703" s="6">
        <x:f t="shared" si="82"/>
        <x:v>0</x:v>
      </x:c>
      <x:c r="I1703" s="6">
        <x:v>2670194.0100000012</x:v>
      </x:c>
      <x:c r="J1703" s="6">
        <x:v>0</x:v>
      </x:c>
      <x:c r="K1703" s="6">
        <x:f t="shared" si="83"/>
        <x:v>2670194.0100000012</x:v>
      </x:c>
      <x:c r="L1703" s="6">
        <x:v>0</x:v>
      </x:c>
      <x:c r="M1703" s="6">
        <x:v>0</x:v>
      </x:c>
      <x:c r="N1703" s="6">
        <x:f t="shared" si="84"/>
        <x:v>2670194.0100000012</x:v>
      </x:c>
    </x:row>
    <x:row r="1704" spans="1:14" x14ac:dyDescent="0.25">
      <x:c r="A1704" t="s">
        <x:v>21</x:v>
      </x:c>
      <x:c r="B1704" s="3" t="s">
        <x:v>241</x:v>
      </x:c>
      <x:c r="C1704" s="3" t="s">
        <x:v>556</x:v>
      </x:c>
      <x:c r="D1704" t="s">
        <x:v>676</x:v>
      </x:c>
      <x:c r="E1704" s="6">
        <x:v>0</x:v>
      </x:c>
      <x:c r="F1704" s="6">
        <x:v>0</x:v>
      </x:c>
      <x:c r="G1704" s="6">
        <x:v>0</x:v>
      </x:c>
      <x:c r="H1704" s="6">
        <x:f t="shared" si="82"/>
        <x:v>0</x:v>
      </x:c>
      <x:c r="I1704" s="6">
        <x:v>0</x:v>
      </x:c>
      <x:c r="J1704" s="6">
        <x:v>0</x:v>
      </x:c>
      <x:c r="K1704" s="6">
        <x:f t="shared" si="83"/>
        <x:v>0</x:v>
      </x:c>
      <x:c r="L1704" s="6">
        <x:v>57.68</x:v>
      </x:c>
      <x:c r="M1704" s="6">
        <x:v>0</x:v>
      </x:c>
      <x:c r="N1704" s="6">
        <x:f t="shared" si="84"/>
        <x:v>57.68</x:v>
      </x:c>
    </x:row>
    <x:row r="1705" spans="1:14" x14ac:dyDescent="0.25">
      <x:c r="A1705" t="s">
        <x:v>21</x:v>
      </x:c>
      <x:c r="B1705" s="3" t="s">
        <x:v>218</x:v>
      </x:c>
      <x:c r="C1705" s="3" t="s">
        <x:v>534</x:v>
      </x:c>
      <x:c r="D1705" t="s">
        <x:v>677</x:v>
      </x:c>
      <x:c r="E1705" s="6">
        <x:v>0</x:v>
      </x:c>
      <x:c r="F1705" s="6">
        <x:v>0</x:v>
      </x:c>
      <x:c r="G1705" s="6">
        <x:v>0</x:v>
      </x:c>
      <x:c r="H1705" s="6">
        <x:f t="shared" si="82"/>
        <x:v>0</x:v>
      </x:c>
      <x:c r="I1705" s="6">
        <x:v>2168990.8800000008</x:v>
      </x:c>
      <x:c r="J1705" s="6">
        <x:v>0</x:v>
      </x:c>
      <x:c r="K1705" s="6">
        <x:f t="shared" si="83"/>
        <x:v>2168990.8800000008</x:v>
      </x:c>
      <x:c r="L1705" s="6">
        <x:v>0</x:v>
      </x:c>
      <x:c r="M1705" s="6">
        <x:v>0</x:v>
      </x:c>
      <x:c r="N1705" s="6">
        <x:f t="shared" si="84"/>
        <x:v>2168990.8800000008</x:v>
      </x:c>
    </x:row>
    <x:row r="1706" spans="1:14" x14ac:dyDescent="0.25">
      <x:c r="A1706" t="s">
        <x:v>21</x:v>
      </x:c>
      <x:c r="B1706" s="3" t="s">
        <x:v>219</x:v>
      </x:c>
      <x:c r="C1706" s="3" t="s">
        <x:v>535</x:v>
      </x:c>
      <x:c r="D1706" t="s">
        <x:v>677</x:v>
      </x:c>
      <x:c r="E1706" s="6">
        <x:v>0</x:v>
      </x:c>
      <x:c r="F1706" s="6">
        <x:v>0</x:v>
      </x:c>
      <x:c r="G1706" s="6">
        <x:v>0</x:v>
      </x:c>
      <x:c r="H1706" s="6">
        <x:f t="shared" si="82"/>
        <x:v>0</x:v>
      </x:c>
      <x:c r="I1706" s="6">
        <x:v>187170.25</x:v>
      </x:c>
      <x:c r="J1706" s="6">
        <x:v>0</x:v>
      </x:c>
      <x:c r="K1706" s="6">
        <x:f t="shared" si="83"/>
        <x:v>187170.25</x:v>
      </x:c>
      <x:c r="L1706" s="6">
        <x:v>0</x:v>
      </x:c>
      <x:c r="M1706" s="6">
        <x:v>0</x:v>
      </x:c>
      <x:c r="N1706" s="6">
        <x:f t="shared" si="84"/>
        <x:v>187170.25</x:v>
      </x:c>
    </x:row>
    <x:row r="1707" spans="1:14" x14ac:dyDescent="0.25">
      <x:c r="A1707" t="s">
        <x:v>21</x:v>
      </x:c>
      <x:c r="B1707" s="3" t="s">
        <x:v>220</x:v>
      </x:c>
      <x:c r="C1707" s="3" t="s">
        <x:v>536</x:v>
      </x:c>
      <x:c r="D1707" t="s">
        <x:v>677</x:v>
      </x:c>
      <x:c r="E1707" s="6">
        <x:v>0</x:v>
      </x:c>
      <x:c r="F1707" s="6">
        <x:v>0</x:v>
      </x:c>
      <x:c r="G1707" s="6">
        <x:v>0</x:v>
      </x:c>
      <x:c r="H1707" s="6">
        <x:f t="shared" si="82"/>
        <x:v>0</x:v>
      </x:c>
      <x:c r="I1707" s="6">
        <x:v>1386296.99</x:v>
      </x:c>
      <x:c r="J1707" s="6">
        <x:v>0</x:v>
      </x:c>
      <x:c r="K1707" s="6">
        <x:f t="shared" si="83"/>
        <x:v>1386296.99</x:v>
      </x:c>
      <x:c r="L1707" s="6">
        <x:v>0</x:v>
      </x:c>
      <x:c r="M1707" s="6">
        <x:v>0</x:v>
      </x:c>
      <x:c r="N1707" s="6">
        <x:f t="shared" si="84"/>
        <x:v>1386296.99</x:v>
      </x:c>
    </x:row>
    <x:row r="1708" spans="1:14" x14ac:dyDescent="0.25">
      <x:c r="A1708" t="s">
        <x:v>21</x:v>
      </x:c>
      <x:c r="B1708" s="3" t="s">
        <x:v>67</x:v>
      </x:c>
      <x:c r="C1708" s="3" t="s">
        <x:v>384</x:v>
      </x:c>
      <x:c r="D1708" t="s">
        <x:v>677</x:v>
      </x:c>
      <x:c r="E1708" s="6">
        <x:v>0</x:v>
      </x:c>
      <x:c r="F1708" s="6">
        <x:v>0</x:v>
      </x:c>
      <x:c r="G1708" s="6">
        <x:v>0</x:v>
      </x:c>
      <x:c r="H1708" s="6">
        <x:f t="shared" si="82"/>
        <x:v>0</x:v>
      </x:c>
      <x:c r="I1708" s="6">
        <x:v>46230.76</x:v>
      </x:c>
      <x:c r="J1708" s="6">
        <x:v>0</x:v>
      </x:c>
      <x:c r="K1708" s="6">
        <x:f t="shared" si="83"/>
        <x:v>46230.76</x:v>
      </x:c>
      <x:c r="L1708" s="6">
        <x:v>0</x:v>
      </x:c>
      <x:c r="M1708" s="6">
        <x:v>0</x:v>
      </x:c>
      <x:c r="N1708" s="6">
        <x:f t="shared" si="84"/>
        <x:v>46230.76</x:v>
      </x:c>
    </x:row>
    <x:row r="1709" spans="1:14" x14ac:dyDescent="0.25">
      <x:c r="A1709" t="s">
        <x:v>21</x:v>
      </x:c>
      <x:c r="B1709" s="3" t="s">
        <x:v>221</x:v>
      </x:c>
      <x:c r="C1709" s="3" t="s">
        <x:v>537</x:v>
      </x:c>
      <x:c r="D1709" t="s">
        <x:v>677</x:v>
      </x:c>
      <x:c r="E1709" s="6">
        <x:v>0</x:v>
      </x:c>
      <x:c r="F1709" s="6">
        <x:v>0</x:v>
      </x:c>
      <x:c r="G1709" s="6">
        <x:v>0</x:v>
      </x:c>
      <x:c r="H1709" s="6">
        <x:f t="shared" si="82"/>
        <x:v>0</x:v>
      </x:c>
      <x:c r="I1709" s="6">
        <x:v>3265.56</x:v>
      </x:c>
      <x:c r="J1709" s="6">
        <x:v>0</x:v>
      </x:c>
      <x:c r="K1709" s="6">
        <x:f t="shared" si="83"/>
        <x:v>3265.56</x:v>
      </x:c>
      <x:c r="L1709" s="6">
        <x:v>0</x:v>
      </x:c>
      <x:c r="M1709" s="6">
        <x:v>0</x:v>
      </x:c>
      <x:c r="N1709" s="6">
        <x:f t="shared" si="84"/>
        <x:v>3265.56</x:v>
      </x:c>
    </x:row>
    <x:row r="1710" spans="1:14" x14ac:dyDescent="0.25">
      <x:c r="A1710" t="s">
        <x:v>21</x:v>
      </x:c>
      <x:c r="B1710" s="3" t="s">
        <x:v>47</x:v>
      </x:c>
      <x:c r="C1710" s="3" t="s">
        <x:v>364</x:v>
      </x:c>
      <x:c r="D1710" t="s">
        <x:v>676</x:v>
      </x:c>
      <x:c r="E1710" s="6">
        <x:v>0</x:v>
      </x:c>
      <x:c r="F1710" s="6">
        <x:v>0</x:v>
      </x:c>
      <x:c r="G1710" s="6">
        <x:v>0</x:v>
      </x:c>
      <x:c r="H1710" s="6">
        <x:f t="shared" si="82"/>
        <x:v>0</x:v>
      </x:c>
      <x:c r="I1710" s="6">
        <x:v>-116032.53</x:v>
      </x:c>
      <x:c r="J1710" s="6">
        <x:v>0</x:v>
      </x:c>
      <x:c r="K1710" s="6">
        <x:f t="shared" si="83"/>
        <x:v>-116032.53</x:v>
      </x:c>
      <x:c r="L1710" s="6">
        <x:v>0</x:v>
      </x:c>
      <x:c r="M1710" s="6">
        <x:v>0</x:v>
      </x:c>
      <x:c r="N1710" s="6">
        <x:f t="shared" si="84"/>
        <x:v>-116032.53</x:v>
      </x:c>
    </x:row>
    <x:row r="1711" spans="1:14" x14ac:dyDescent="0.25">
      <x:c r="A1711" t="s">
        <x:v>21</x:v>
      </x:c>
      <x:c r="B1711" s="3" t="s">
        <x:v>298</x:v>
      </x:c>
      <x:c r="C1711" s="3" t="s">
        <x:v>613</x:v>
      </x:c>
      <x:c r="D1711" t="s">
        <x:v>677</x:v>
      </x:c>
      <x:c r="E1711" s="6">
        <x:v>0</x:v>
      </x:c>
      <x:c r="F1711" s="6">
        <x:v>0</x:v>
      </x:c>
      <x:c r="G1711" s="6">
        <x:v>0</x:v>
      </x:c>
      <x:c r="H1711" s="6">
        <x:f t="shared" si="82"/>
        <x:v>0</x:v>
      </x:c>
      <x:c r="I1711" s="6">
        <x:v>4161.88</x:v>
      </x:c>
      <x:c r="J1711" s="6">
        <x:v>0</x:v>
      </x:c>
      <x:c r="K1711" s="6">
        <x:f t="shared" si="83"/>
        <x:v>4161.88</x:v>
      </x:c>
      <x:c r="L1711" s="6">
        <x:v>0</x:v>
      </x:c>
      <x:c r="M1711" s="6">
        <x:v>0</x:v>
      </x:c>
      <x:c r="N1711" s="6">
        <x:f t="shared" si="84"/>
        <x:v>4161.88</x:v>
      </x:c>
    </x:row>
    <x:row r="1712" spans="1:14" x14ac:dyDescent="0.25">
      <x:c r="A1712" t="s">
        <x:v>21</x:v>
      </x:c>
      <x:c r="B1712" s="3" t="s">
        <x:v>226</x:v>
      </x:c>
      <x:c r="C1712" s="3" t="s">
        <x:v>542</x:v>
      </x:c>
      <x:c r="D1712" t="s">
        <x:v>677</x:v>
      </x:c>
      <x:c r="E1712" s="6">
        <x:v>0</x:v>
      </x:c>
      <x:c r="F1712" s="6">
        <x:v>0</x:v>
      </x:c>
      <x:c r="G1712" s="6">
        <x:v>0</x:v>
      </x:c>
      <x:c r="H1712" s="6">
        <x:f t="shared" si="82"/>
        <x:v>0</x:v>
      </x:c>
      <x:c r="I1712" s="6">
        <x:v>984905.31000000017</x:v>
      </x:c>
      <x:c r="J1712" s="6">
        <x:v>0</x:v>
      </x:c>
      <x:c r="K1712" s="6">
        <x:f t="shared" si="83"/>
        <x:v>984905.31000000017</x:v>
      </x:c>
      <x:c r="L1712" s="6">
        <x:v>0</x:v>
      </x:c>
      <x:c r="M1712" s="6">
        <x:v>0</x:v>
      </x:c>
      <x:c r="N1712" s="6">
        <x:f t="shared" si="84"/>
        <x:v>984905.31000000017</x:v>
      </x:c>
    </x:row>
    <x:row r="1713" spans="1:14" x14ac:dyDescent="0.25">
      <x:c r="A1713" t="s">
        <x:v>21</x:v>
      </x:c>
      <x:c r="B1713" s="3" t="s">
        <x:v>303</x:v>
      </x:c>
      <x:c r="C1713" s="3" t="s">
        <x:v>618</x:v>
      </x:c>
      <x:c r="D1713" t="s">
        <x:v>677</x:v>
      </x:c>
      <x:c r="E1713" s="6">
        <x:v>0</x:v>
      </x:c>
      <x:c r="F1713" s="6">
        <x:v>0</x:v>
      </x:c>
      <x:c r="G1713" s="6">
        <x:v>0</x:v>
      </x:c>
      <x:c r="H1713" s="6">
        <x:f t="shared" si="82"/>
        <x:v>0</x:v>
      </x:c>
      <x:c r="I1713" s="6">
        <x:v>270658.09999999998</x:v>
      </x:c>
      <x:c r="J1713" s="6">
        <x:v>0</x:v>
      </x:c>
      <x:c r="K1713" s="6">
        <x:f t="shared" si="83"/>
        <x:v>270658.09999999998</x:v>
      </x:c>
      <x:c r="L1713" s="6">
        <x:v>0</x:v>
      </x:c>
      <x:c r="M1713" s="6">
        <x:v>0</x:v>
      </x:c>
      <x:c r="N1713" s="6">
        <x:f t="shared" si="84"/>
        <x:v>270658.09999999998</x:v>
      </x:c>
    </x:row>
    <x:row r="1714" spans="1:14" x14ac:dyDescent="0.25">
      <x:c r="A1714" t="s">
        <x:v>21</x:v>
      </x:c>
      <x:c r="B1714" t="s">
        <x:v>821</x:v>
      </x:c>
      <x:c r="C1714" t="s">
        <x:v>822</x:v>
      </x:c>
      <x:c r="D1714" t="s">
        <x:v>832</x:v>
      </x:c>
      <x:c r="E1714" s="6">
        <x:v>4548.21</x:v>
      </x:c>
      <x:c r="F1714" s="6">
        <x:v>0</x:v>
      </x:c>
      <x:c r="G1714" s="6">
        <x:v>0</x:v>
      </x:c>
      <x:c r="H1714" s="6">
        <x:f t="shared" si="82"/>
        <x:v>4548.21</x:v>
      </x:c>
      <x:c r="I1714" s="6">
        <x:v>0</x:v>
      </x:c>
      <x:c r="J1714" s="6">
        <x:v>0</x:v>
      </x:c>
      <x:c r="K1714" s="6">
        <x:f t="shared" si="83"/>
        <x:v>0</x:v>
      </x:c>
      <x:c r="L1714" s="6">
        <x:v>0</x:v>
      </x:c>
      <x:c r="M1714" s="6">
        <x:v>0</x:v>
      </x:c>
      <x:c r="N1714" s="6">
        <x:f t="shared" si="84"/>
        <x:v>4548.21</x:v>
      </x:c>
    </x:row>
    <x:row r="1715" spans="1:14" x14ac:dyDescent="0.25">
      <x:c r="A1715" t="s">
        <x:v>21</x:v>
      </x:c>
      <x:c r="B1715" s="3" t="s">
        <x:v>243</x:v>
      </x:c>
      <x:c r="C1715" s="3" t="s">
        <x:v>558</x:v>
      </x:c>
      <x:c r="D1715" t="s">
        <x:v>677</x:v>
      </x:c>
      <x:c r="E1715" s="6">
        <x:v>0</x:v>
      </x:c>
      <x:c r="F1715" s="6">
        <x:v>0</x:v>
      </x:c>
      <x:c r="G1715" s="6">
        <x:v>0</x:v>
      </x:c>
      <x:c r="H1715" s="6">
        <x:f t="shared" si="82"/>
        <x:v>0</x:v>
      </x:c>
      <x:c r="I1715" s="6">
        <x:v>507.86</x:v>
      </x:c>
      <x:c r="J1715" s="6">
        <x:v>0</x:v>
      </x:c>
      <x:c r="K1715" s="6">
        <x:f t="shared" si="83"/>
        <x:v>507.86</x:v>
      </x:c>
      <x:c r="L1715" s="6">
        <x:v>0</x:v>
      </x:c>
      <x:c r="M1715" s="6">
        <x:v>0</x:v>
      </x:c>
      <x:c r="N1715" s="6">
        <x:f t="shared" si="84"/>
        <x:v>507.86</x:v>
      </x:c>
    </x:row>
    <x:row r="1716" spans="1:14" x14ac:dyDescent="0.25">
      <x:c r="A1716" t="s">
        <x:v>21</x:v>
      </x:c>
      <x:c r="B1716" t="s">
        <x:v>839</x:v>
      </x:c>
      <x:c r="C1716" t="s">
        <x:v>840</x:v>
      </x:c>
      <x:c r="D1716" t="s">
        <x:v>841</x:v>
      </x:c>
      <x:c r="E1716" s="6">
        <x:v>0</x:v>
      </x:c>
      <x:c r="F1716" s="6">
        <x:v>185.97</x:v>
      </x:c>
      <x:c r="G1716" s="6">
        <x:v>0</x:v>
      </x:c>
      <x:c r="H1716" s="6">
        <x:f t="shared" si="82"/>
        <x:v>185.97</x:v>
      </x:c>
      <x:c r="I1716" s="6">
        <x:v>0</x:v>
      </x:c>
      <x:c r="J1716" s="6">
        <x:v>0</x:v>
      </x:c>
      <x:c r="K1716" s="6">
        <x:f t="shared" si="83"/>
        <x:v>0</x:v>
      </x:c>
      <x:c r="L1716" s="6">
        <x:v>0</x:v>
      </x:c>
      <x:c r="M1716" s="6">
        <x:v>0</x:v>
      </x:c>
      <x:c r="N1716" s="6">
        <x:f t="shared" si="84"/>
        <x:v>185.97</x:v>
      </x:c>
    </x:row>
    <x:row r="1717" spans="1:14" x14ac:dyDescent="0.25">
      <x:c r="A1717" t="s">
        <x:v>22</x:v>
      </x:c>
      <x:c r="B1717" s="3" t="s">
        <x:v>52</x:v>
      </x:c>
      <x:c r="C1717" s="3" t="s">
        <x:v>369</x:v>
      </x:c>
      <x:c r="D1717" t="s">
        <x:v>677</x:v>
      </x:c>
      <x:c r="E1717" s="6">
        <x:v>0</x:v>
      </x:c>
      <x:c r="F1717" s="6">
        <x:v>0</x:v>
      </x:c>
      <x:c r="G1717" s="6">
        <x:v>0</x:v>
      </x:c>
      <x:c r="H1717" s="6">
        <x:f t="shared" si="82"/>
        <x:v>0</x:v>
      </x:c>
      <x:c r="I1717" s="6">
        <x:v>-2153.75</x:v>
      </x:c>
      <x:c r="J1717" s="6">
        <x:v>0</x:v>
      </x:c>
      <x:c r="K1717" s="6">
        <x:f t="shared" si="83"/>
        <x:v>-2153.75</x:v>
      </x:c>
      <x:c r="L1717" s="6">
        <x:v>0</x:v>
      </x:c>
      <x:c r="M1717" s="6">
        <x:v>0</x:v>
      </x:c>
      <x:c r="N1717" s="6">
        <x:f t="shared" si="84"/>
        <x:v>-2153.75</x:v>
      </x:c>
    </x:row>
    <x:row r="1718" spans="1:14" x14ac:dyDescent="0.25">
      <x:c r="A1718" t="s">
        <x:v>22</x:v>
      </x:c>
      <x:c r="B1718" s="3" t="s">
        <x:v>78</x:v>
      </x:c>
      <x:c r="C1718" s="3" t="s">
        <x:v>395</x:v>
      </x:c>
      <x:c r="D1718" t="s">
        <x:v>677</x:v>
      </x:c>
      <x:c r="E1718" s="6">
        <x:v>0</x:v>
      </x:c>
      <x:c r="F1718" s="6">
        <x:v>0</x:v>
      </x:c>
      <x:c r="G1718" s="6">
        <x:v>0</x:v>
      </x:c>
      <x:c r="H1718" s="6">
        <x:f t="shared" si="82"/>
        <x:v>0</x:v>
      </x:c>
      <x:c r="I1718" s="6">
        <x:v>149128.81</x:v>
      </x:c>
      <x:c r="J1718" s="6">
        <x:v>0</x:v>
      </x:c>
      <x:c r="K1718" s="6">
        <x:f t="shared" si="83"/>
        <x:v>149128.81</x:v>
      </x:c>
      <x:c r="L1718" s="6">
        <x:v>0</x:v>
      </x:c>
      <x:c r="M1718" s="6">
        <x:v>0</x:v>
      </x:c>
      <x:c r="N1718" s="6">
        <x:f t="shared" si="84"/>
        <x:v>149128.81</x:v>
      </x:c>
    </x:row>
    <x:row r="1719" spans="1:14" x14ac:dyDescent="0.25">
      <x:c r="A1719" t="s">
        <x:v>22</x:v>
      </x:c>
      <x:c r="B1719" s="3" t="s">
        <x:v>56</x:v>
      </x:c>
      <x:c r="C1719" s="3" t="s">
        <x:v>373</x:v>
      </x:c>
      <x:c r="D1719" t="s">
        <x:v>677</x:v>
      </x:c>
      <x:c r="E1719" s="6">
        <x:v>0</x:v>
      </x:c>
      <x:c r="F1719" s="6">
        <x:v>0</x:v>
      </x:c>
      <x:c r="G1719" s="6">
        <x:v>0</x:v>
      </x:c>
      <x:c r="H1719" s="6">
        <x:f t="shared" si="82"/>
        <x:v>0</x:v>
      </x:c>
      <x:c r="I1719" s="6">
        <x:v>267.11</x:v>
      </x:c>
      <x:c r="J1719" s="6">
        <x:v>0</x:v>
      </x:c>
      <x:c r="K1719" s="6">
        <x:f t="shared" si="83"/>
        <x:v>267.11</x:v>
      </x:c>
      <x:c r="L1719" s="6">
        <x:v>0</x:v>
      </x:c>
      <x:c r="M1719" s="6">
        <x:v>0</x:v>
      </x:c>
      <x:c r="N1719" s="6">
        <x:f t="shared" si="84"/>
        <x:v>267.11</x:v>
      </x:c>
    </x:row>
    <x:row r="1720" spans="1:14" x14ac:dyDescent="0.25">
      <x:c r="A1720" t="s">
        <x:v>22</x:v>
      </x:c>
      <x:c r="B1720" s="3" t="s">
        <x:v>82</x:v>
      </x:c>
      <x:c r="C1720" s="3" t="s">
        <x:v>399</x:v>
      </x:c>
      <x:c r="D1720" t="s">
        <x:v>677</x:v>
      </x:c>
      <x:c r="E1720" s="6">
        <x:v>0</x:v>
      </x:c>
      <x:c r="F1720" s="6">
        <x:v>0</x:v>
      </x:c>
      <x:c r="G1720" s="6">
        <x:v>0</x:v>
      </x:c>
      <x:c r="H1720" s="6">
        <x:f t="shared" si="82"/>
        <x:v>0</x:v>
      </x:c>
      <x:c r="I1720" s="6">
        <x:v>39.78</x:v>
      </x:c>
      <x:c r="J1720" s="6">
        <x:v>0</x:v>
      </x:c>
      <x:c r="K1720" s="6">
        <x:f t="shared" si="83"/>
        <x:v>39.78</x:v>
      </x:c>
      <x:c r="L1720" s="6">
        <x:v>0</x:v>
      </x:c>
      <x:c r="M1720" s="6">
        <x:v>0</x:v>
      </x:c>
      <x:c r="N1720" s="6">
        <x:f t="shared" si="84"/>
        <x:v>39.78</x:v>
      </x:c>
    </x:row>
    <x:row r="1721" spans="1:14" x14ac:dyDescent="0.25">
      <x:c r="A1721" t="s">
        <x:v>22</x:v>
      </x:c>
      <x:c r="B1721" s="3" t="s">
        <x:v>87</x:v>
      </x:c>
      <x:c r="C1721" s="3" t="s">
        <x:v>404</x:v>
      </x:c>
      <x:c r="D1721" t="s">
        <x:v>677</x:v>
      </x:c>
      <x:c r="E1721" s="6">
        <x:v>0</x:v>
      </x:c>
      <x:c r="F1721" s="6">
        <x:v>0</x:v>
      </x:c>
      <x:c r="G1721" s="6">
        <x:v>0</x:v>
      </x:c>
      <x:c r="H1721" s="6">
        <x:f t="shared" si="82"/>
        <x:v>0</x:v>
      </x:c>
      <x:c r="I1721" s="6">
        <x:v>16.43</x:v>
      </x:c>
      <x:c r="J1721" s="6">
        <x:v>0</x:v>
      </x:c>
      <x:c r="K1721" s="6">
        <x:f t="shared" si="83"/>
        <x:v>16.43</x:v>
      </x:c>
      <x:c r="L1721" s="6">
        <x:v>0</x:v>
      </x:c>
      <x:c r="M1721" s="6">
        <x:v>0</x:v>
      </x:c>
      <x:c r="N1721" s="6">
        <x:f t="shared" si="84"/>
        <x:v>16.43</x:v>
      </x:c>
    </x:row>
    <x:row r="1722" spans="1:14" x14ac:dyDescent="0.25">
      <x:c r="A1722" t="s">
        <x:v>22</x:v>
      </x:c>
      <x:c r="B1722" s="3" t="s">
        <x:v>88</x:v>
      </x:c>
      <x:c r="C1722" s="3" t="s">
        <x:v>405</x:v>
      </x:c>
      <x:c r="D1722" t="s">
        <x:v>677</x:v>
      </x:c>
      <x:c r="E1722" s="6">
        <x:v>0</x:v>
      </x:c>
      <x:c r="F1722" s="6">
        <x:v>0</x:v>
      </x:c>
      <x:c r="G1722" s="6">
        <x:v>0</x:v>
      </x:c>
      <x:c r="H1722" s="6">
        <x:f t="shared" si="82"/>
        <x:v>0</x:v>
      </x:c>
      <x:c r="I1722" s="6">
        <x:v>348336.62999999995</x:v>
      </x:c>
      <x:c r="J1722" s="6">
        <x:v>0</x:v>
      </x:c>
      <x:c r="K1722" s="6">
        <x:f t="shared" si="83"/>
        <x:v>348336.62999999995</x:v>
      </x:c>
      <x:c r="L1722" s="6">
        <x:v>0</x:v>
      </x:c>
      <x:c r="M1722" s="6">
        <x:v>0</x:v>
      </x:c>
      <x:c r="N1722" s="6">
        <x:f t="shared" si="84"/>
        <x:v>348336.62999999995</x:v>
      </x:c>
    </x:row>
    <x:row r="1723" spans="1:14" x14ac:dyDescent="0.25">
      <x:c r="A1723" t="s">
        <x:v>22</x:v>
      </x:c>
      <x:c r="B1723" s="3" t="s">
        <x:v>92</x:v>
      </x:c>
      <x:c r="C1723" s="3" t="s">
        <x:v>409</x:v>
      </x:c>
      <x:c r="D1723" t="s">
        <x:v>677</x:v>
      </x:c>
      <x:c r="E1723" s="6">
        <x:v>0</x:v>
      </x:c>
      <x:c r="F1723" s="6">
        <x:v>0</x:v>
      </x:c>
      <x:c r="G1723" s="6">
        <x:v>0</x:v>
      </x:c>
      <x:c r="H1723" s="6">
        <x:f t="shared" si="82"/>
        <x:v>0</x:v>
      </x:c>
      <x:c r="I1723" s="6">
        <x:v>76.13</x:v>
      </x:c>
      <x:c r="J1723" s="6">
        <x:v>0</x:v>
      </x:c>
      <x:c r="K1723" s="6">
        <x:f t="shared" si="83"/>
        <x:v>76.13</x:v>
      </x:c>
      <x:c r="L1723" s="6">
        <x:v>0</x:v>
      </x:c>
      <x:c r="M1723" s="6">
        <x:v>0</x:v>
      </x:c>
      <x:c r="N1723" s="6">
        <x:f t="shared" si="84"/>
        <x:v>76.13</x:v>
      </x:c>
    </x:row>
    <x:row r="1724" spans="1:14" x14ac:dyDescent="0.25">
      <x:c r="A1724" t="s">
        <x:v>22</x:v>
      </x:c>
      <x:c r="B1724" s="3" t="s">
        <x:v>99</x:v>
      </x:c>
      <x:c r="C1724" s="3" t="s">
        <x:v>416</x:v>
      </x:c>
      <x:c r="D1724" t="s">
        <x:v>677</x:v>
      </x:c>
      <x:c r="E1724" s="6">
        <x:v>0</x:v>
      </x:c>
      <x:c r="F1724" s="6">
        <x:v>0</x:v>
      </x:c>
      <x:c r="G1724" s="6">
        <x:v>0</x:v>
      </x:c>
      <x:c r="H1724" s="6">
        <x:f t="shared" si="82"/>
        <x:v>0</x:v>
      </x:c>
      <x:c r="I1724" s="6">
        <x:v>27379.59</x:v>
      </x:c>
      <x:c r="J1724" s="6">
        <x:v>0</x:v>
      </x:c>
      <x:c r="K1724" s="6">
        <x:f t="shared" si="83"/>
        <x:v>27379.59</x:v>
      </x:c>
      <x:c r="L1724" s="6">
        <x:v>0</x:v>
      </x:c>
      <x:c r="M1724" s="6">
        <x:v>0</x:v>
      </x:c>
      <x:c r="N1724" s="6">
        <x:f t="shared" si="84"/>
        <x:v>27379.59</x:v>
      </x:c>
    </x:row>
    <x:row r="1725" spans="1:14" x14ac:dyDescent="0.25">
      <x:c r="A1725" t="s">
        <x:v>22</x:v>
      </x:c>
      <x:c r="B1725" s="3" t="s">
        <x:v>105</x:v>
      </x:c>
      <x:c r="C1725" s="3" t="s">
        <x:v>422</x:v>
      </x:c>
      <x:c r="D1725" t="s">
        <x:v>677</x:v>
      </x:c>
      <x:c r="E1725" s="6">
        <x:v>0</x:v>
      </x:c>
      <x:c r="F1725" s="6">
        <x:v>0</x:v>
      </x:c>
      <x:c r="G1725" s="6">
        <x:v>0</x:v>
      </x:c>
      <x:c r="H1725" s="6">
        <x:f t="shared" si="82"/>
        <x:v>0</x:v>
      </x:c>
      <x:c r="I1725" s="6">
        <x:v>6534.27</x:v>
      </x:c>
      <x:c r="J1725" s="6">
        <x:v>0</x:v>
      </x:c>
      <x:c r="K1725" s="6">
        <x:f t="shared" si="83"/>
        <x:v>6534.27</x:v>
      </x:c>
      <x:c r="L1725" s="6">
        <x:v>0</x:v>
      </x:c>
      <x:c r="M1725" s="6">
        <x:v>0</x:v>
      </x:c>
      <x:c r="N1725" s="6">
        <x:f t="shared" si="84"/>
        <x:v>6534.27</x:v>
      </x:c>
    </x:row>
    <x:row r="1726" spans="1:14" x14ac:dyDescent="0.25">
      <x:c r="A1726" t="s">
        <x:v>22</x:v>
      </x:c>
      <x:c r="B1726" s="3" t="s">
        <x:v>109</x:v>
      </x:c>
      <x:c r="C1726" s="3" t="s">
        <x:v>426</x:v>
      </x:c>
      <x:c r="D1726" t="s">
        <x:v>677</x:v>
      </x:c>
      <x:c r="E1726" s="6">
        <x:v>0</x:v>
      </x:c>
      <x:c r="F1726" s="6">
        <x:v>0</x:v>
      </x:c>
      <x:c r="G1726" s="6">
        <x:v>0</x:v>
      </x:c>
      <x:c r="H1726" s="6">
        <x:f t="shared" si="82"/>
        <x:v>0</x:v>
      </x:c>
      <x:c r="I1726" s="6">
        <x:v>209.8</x:v>
      </x:c>
      <x:c r="J1726" s="6">
        <x:v>0</x:v>
      </x:c>
      <x:c r="K1726" s="6">
        <x:f t="shared" si="83"/>
        <x:v>209.8</x:v>
      </x:c>
      <x:c r="L1726" s="6">
        <x:v>0</x:v>
      </x:c>
      <x:c r="M1726" s="6">
        <x:v>0</x:v>
      </x:c>
      <x:c r="N1726" s="6">
        <x:f t="shared" si="84"/>
        <x:v>209.8</x:v>
      </x:c>
    </x:row>
    <x:row r="1727" spans="1:14" x14ac:dyDescent="0.25">
      <x:c r="A1727" t="s">
        <x:v>22</x:v>
      </x:c>
      <x:c r="B1727" s="3" t="s">
        <x:v>110</x:v>
      </x:c>
      <x:c r="C1727" s="3" t="s">
        <x:v>427</x:v>
      </x:c>
      <x:c r="D1727" t="s">
        <x:v>677</x:v>
      </x:c>
      <x:c r="E1727" s="6">
        <x:v>0</x:v>
      </x:c>
      <x:c r="F1727" s="6">
        <x:v>0</x:v>
      </x:c>
      <x:c r="G1727" s="6">
        <x:v>0</x:v>
      </x:c>
      <x:c r="H1727" s="6">
        <x:f t="shared" si="82"/>
        <x:v>0</x:v>
      </x:c>
      <x:c r="I1727" s="6">
        <x:v>2215.84</x:v>
      </x:c>
      <x:c r="J1727" s="6">
        <x:v>0</x:v>
      </x:c>
      <x:c r="K1727" s="6">
        <x:f t="shared" si="83"/>
        <x:v>2215.84</x:v>
      </x:c>
      <x:c r="L1727" s="6">
        <x:v>0</x:v>
      </x:c>
      <x:c r="M1727" s="6">
        <x:v>0</x:v>
      </x:c>
      <x:c r="N1727" s="6">
        <x:f t="shared" si="84"/>
        <x:v>2215.84</x:v>
      </x:c>
    </x:row>
    <x:row r="1728" spans="1:14" x14ac:dyDescent="0.25">
      <x:c r="A1728" t="s">
        <x:v>22</x:v>
      </x:c>
      <x:c r="B1728" s="3" t="s">
        <x:v>112</x:v>
      </x:c>
      <x:c r="C1728" s="3" t="s">
        <x:v>429</x:v>
      </x:c>
      <x:c r="D1728" t="s">
        <x:v>676</x:v>
      </x:c>
      <x:c r="E1728" s="6">
        <x:v>0</x:v>
      </x:c>
      <x:c r="F1728" s="6">
        <x:v>0</x:v>
      </x:c>
      <x:c r="G1728" s="6">
        <x:v>0</x:v>
      </x:c>
      <x:c r="H1728" s="6">
        <x:f t="shared" si="82"/>
        <x:v>0</x:v>
      </x:c>
      <x:c r="I1728" s="6">
        <x:v>0</x:v>
      </x:c>
      <x:c r="J1728" s="6">
        <x:v>0</x:v>
      </x:c>
      <x:c r="K1728" s="6">
        <x:f t="shared" si="83"/>
        <x:v>0</x:v>
      </x:c>
      <x:c r="L1728" s="6">
        <x:v>12311.980000000001</x:v>
      </x:c>
      <x:c r="M1728" s="6">
        <x:v>0</x:v>
      </x:c>
      <x:c r="N1728" s="6">
        <x:f t="shared" si="84"/>
        <x:v>12311.980000000001</x:v>
      </x:c>
    </x:row>
    <x:row r="1729" spans="1:14" x14ac:dyDescent="0.25">
      <x:c r="A1729" t="s">
        <x:v>22</x:v>
      </x:c>
      <x:c r="B1729" s="3" t="s">
        <x:v>115</x:v>
      </x:c>
      <x:c r="C1729" s="3" t="s">
        <x:v>432</x:v>
      </x:c>
      <x:c r="D1729" t="s">
        <x:v>676</x:v>
      </x:c>
      <x:c r="E1729" s="6">
        <x:v>0</x:v>
      </x:c>
      <x:c r="F1729" s="6">
        <x:v>0</x:v>
      </x:c>
      <x:c r="G1729" s="6">
        <x:v>0</x:v>
      </x:c>
      <x:c r="H1729" s="6">
        <x:f t="shared" si="82"/>
        <x:v>0</x:v>
      </x:c>
      <x:c r="I1729" s="6">
        <x:v>0</x:v>
      </x:c>
      <x:c r="J1729" s="6">
        <x:v>0</x:v>
      </x:c>
      <x:c r="K1729" s="6">
        <x:f t="shared" si="83"/>
        <x:v>0</x:v>
      </x:c>
      <x:c r="L1729" s="6">
        <x:v>4533.1799999999994</x:v>
      </x:c>
      <x:c r="M1729" s="6">
        <x:v>0</x:v>
      </x:c>
      <x:c r="N1729" s="6">
        <x:f t="shared" si="84"/>
        <x:v>4533.1799999999994</x:v>
      </x:c>
    </x:row>
    <x:row r="1730" spans="1:14" x14ac:dyDescent="0.25">
      <x:c r="A1730" t="s">
        <x:v>22</x:v>
      </x:c>
      <x:c r="B1730" s="3" t="s">
        <x:v>116</x:v>
      </x:c>
      <x:c r="C1730" s="3" t="s">
        <x:v>433</x:v>
      </x:c>
      <x:c r="D1730" t="s">
        <x:v>676</x:v>
      </x:c>
      <x:c r="E1730" s="6">
        <x:v>0</x:v>
      </x:c>
      <x:c r="F1730" s="6">
        <x:v>0</x:v>
      </x:c>
      <x:c r="G1730" s="6">
        <x:v>0</x:v>
      </x:c>
      <x:c r="H1730" s="6">
        <x:f t="shared" si="82"/>
        <x:v>0</x:v>
      </x:c>
      <x:c r="I1730" s="6">
        <x:v>0</x:v>
      </x:c>
      <x:c r="J1730" s="6">
        <x:v>0</x:v>
      </x:c>
      <x:c r="K1730" s="6">
        <x:f t="shared" si="83"/>
        <x:v>0</x:v>
      </x:c>
      <x:c r="L1730" s="6">
        <x:v>171.23000000000002</x:v>
      </x:c>
      <x:c r="M1730" s="6">
        <x:v>0</x:v>
      </x:c>
      <x:c r="N1730" s="6">
        <x:f t="shared" si="84"/>
        <x:v>171.23000000000002</x:v>
      </x:c>
    </x:row>
    <x:row r="1731" spans="1:14" x14ac:dyDescent="0.25">
      <x:c r="A1731" t="s">
        <x:v>22</x:v>
      </x:c>
      <x:c r="B1731" s="3" t="s">
        <x:v>257</x:v>
      </x:c>
      <x:c r="C1731" s="3" t="s">
        <x:v>572</x:v>
      </x:c>
      <x:c r="D1731" t="s">
        <x:v>676</x:v>
      </x:c>
      <x:c r="E1731" s="6">
        <x:v>0</x:v>
      </x:c>
      <x:c r="F1731" s="6">
        <x:v>0</x:v>
      </x:c>
      <x:c r="G1731" s="6">
        <x:v>0</x:v>
      </x:c>
      <x:c r="H1731" s="6">
        <x:f t="shared" si="82"/>
        <x:v>0</x:v>
      </x:c>
      <x:c r="I1731" s="6">
        <x:v>0</x:v>
      </x:c>
      <x:c r="J1731" s="6">
        <x:v>0</x:v>
      </x:c>
      <x:c r="K1731" s="6">
        <x:f t="shared" si="83"/>
        <x:v>0</x:v>
      </x:c>
      <x:c r="L1731" s="6">
        <x:v>354.3</x:v>
      </x:c>
      <x:c r="M1731" s="6">
        <x:v>0</x:v>
      </x:c>
      <x:c r="N1731" s="6">
        <x:f t="shared" si="84"/>
        <x:v>354.3</x:v>
      </x:c>
    </x:row>
    <x:row r="1732" spans="1:14" x14ac:dyDescent="0.25">
      <x:c r="A1732" t="s">
        <x:v>22</x:v>
      </x:c>
      <x:c r="B1732" s="3" t="s">
        <x:v>258</x:v>
      </x:c>
      <x:c r="C1732" s="3" t="s">
        <x:v>573</x:v>
      </x:c>
      <x:c r="D1732" t="s">
        <x:v>676</x:v>
      </x:c>
      <x:c r="E1732" s="6">
        <x:v>0</x:v>
      </x:c>
      <x:c r="F1732" s="6">
        <x:v>0</x:v>
      </x:c>
      <x:c r="G1732" s="6">
        <x:v>0</x:v>
      </x:c>
      <x:c r="H1732" s="6">
        <x:f t="shared" si="82"/>
        <x:v>0</x:v>
      </x:c>
      <x:c r="I1732" s="6">
        <x:v>0</x:v>
      </x:c>
      <x:c r="J1732" s="6">
        <x:v>0</x:v>
      </x:c>
      <x:c r="K1732" s="6">
        <x:f t="shared" si="83"/>
        <x:v>0</x:v>
      </x:c>
      <x:c r="L1732" s="6">
        <x:v>235.85</x:v>
      </x:c>
      <x:c r="M1732" s="6">
        <x:v>0</x:v>
      </x:c>
      <x:c r="N1732" s="6">
        <x:f t="shared" si="84"/>
        <x:v>235.85</x:v>
      </x:c>
    </x:row>
    <x:row r="1733" spans="1:14" x14ac:dyDescent="0.25">
      <x:c r="A1733" t="s">
        <x:v>22</x:v>
      </x:c>
      <x:c r="B1733" s="3" t="s">
        <x:v>228</x:v>
      </x:c>
      <x:c r="C1733" s="3" t="s">
        <x:v>543</x:v>
      </x:c>
      <x:c r="D1733" t="s">
        <x:v>676</x:v>
      </x:c>
      <x:c r="E1733" s="6">
        <x:v>0</x:v>
      </x:c>
      <x:c r="F1733" s="6">
        <x:v>0</x:v>
      </x:c>
      <x:c r="G1733" s="6">
        <x:v>0</x:v>
      </x:c>
      <x:c r="H1733" s="6">
        <x:f t="shared" si="82"/>
        <x:v>0</x:v>
      </x:c>
      <x:c r="I1733" s="6">
        <x:v>0</x:v>
      </x:c>
      <x:c r="J1733" s="6">
        <x:v>0</x:v>
      </x:c>
      <x:c r="K1733" s="6">
        <x:f t="shared" si="83"/>
        <x:v>0</x:v>
      </x:c>
      <x:c r="L1733" s="6">
        <x:v>32776.130000000005</x:v>
      </x:c>
      <x:c r="M1733" s="6">
        <x:v>0</x:v>
      </x:c>
      <x:c r="N1733" s="6">
        <x:f t="shared" si="84"/>
        <x:v>32776.130000000005</x:v>
      </x:c>
    </x:row>
    <x:row r="1734" spans="1:14" x14ac:dyDescent="0.25">
      <x:c r="A1734" t="s">
        <x:v>22</x:v>
      </x:c>
      <x:c r="B1734" s="3" t="s">
        <x:v>259</x:v>
      </x:c>
      <x:c r="C1734" s="3" t="s">
        <x:v>574</x:v>
      </x:c>
      <x:c r="D1734" t="s">
        <x:v>676</x:v>
      </x:c>
      <x:c r="E1734" s="6">
        <x:v>0</x:v>
      </x:c>
      <x:c r="F1734" s="6">
        <x:v>0</x:v>
      </x:c>
      <x:c r="G1734" s="6">
        <x:v>0</x:v>
      </x:c>
      <x:c r="H1734" s="6">
        <x:f t="shared" si="82"/>
        <x:v>0</x:v>
      </x:c>
      <x:c r="I1734" s="6">
        <x:v>0</x:v>
      </x:c>
      <x:c r="J1734" s="6">
        <x:v>0</x:v>
      </x:c>
      <x:c r="K1734" s="6">
        <x:f t="shared" si="83"/>
        <x:v>0</x:v>
      </x:c>
      <x:c r="L1734" s="6">
        <x:v>1423.4</x:v>
      </x:c>
      <x:c r="M1734" s="6">
        <x:v>0</x:v>
      </x:c>
      <x:c r="N1734" s="6">
        <x:f t="shared" si="84"/>
        <x:v>1423.4</x:v>
      </x:c>
    </x:row>
    <x:row r="1735" spans="1:14" x14ac:dyDescent="0.25">
      <x:c r="A1735" t="s">
        <x:v>22</x:v>
      </x:c>
      <x:c r="B1735" s="3" t="s">
        <x:v>117</x:v>
      </x:c>
      <x:c r="C1735" s="3" t="s">
        <x:v>434</x:v>
      </x:c>
      <x:c r="D1735" t="s">
        <x:v>676</x:v>
      </x:c>
      <x:c r="E1735" s="6">
        <x:v>0</x:v>
      </x:c>
      <x:c r="F1735" s="6">
        <x:v>0</x:v>
      </x:c>
      <x:c r="G1735" s="6">
        <x:v>0</x:v>
      </x:c>
      <x:c r="H1735" s="6">
        <x:f t="shared" si="82"/>
        <x:v>0</x:v>
      </x:c>
      <x:c r="I1735" s="6">
        <x:v>0</x:v>
      </x:c>
      <x:c r="J1735" s="6">
        <x:v>0</x:v>
      </x:c>
      <x:c r="K1735" s="6">
        <x:f t="shared" si="83"/>
        <x:v>0</x:v>
      </x:c>
      <x:c r="L1735" s="6">
        <x:v>4592.2800000000016</x:v>
      </x:c>
      <x:c r="M1735" s="6">
        <x:v>0</x:v>
      </x:c>
      <x:c r="N1735" s="6">
        <x:f t="shared" si="84"/>
        <x:v>4592.2800000000016</x:v>
      </x:c>
    </x:row>
    <x:row r="1736" spans="1:14" x14ac:dyDescent="0.25">
      <x:c r="A1736" t="s">
        <x:v>22</x:v>
      </x:c>
      <x:c r="B1736" s="3" t="s">
        <x:v>229</x:v>
      </x:c>
      <x:c r="C1736" s="3" t="s">
        <x:v>544</x:v>
      </x:c>
      <x:c r="D1736" t="s">
        <x:v>677</x:v>
      </x:c>
      <x:c r="E1736" s="6">
        <x:v>0</x:v>
      </x:c>
      <x:c r="F1736" s="6">
        <x:v>0</x:v>
      </x:c>
      <x:c r="G1736" s="6">
        <x:v>0</x:v>
      </x:c>
      <x:c r="H1736" s="6">
        <x:f t="shared" si="82"/>
        <x:v>0</x:v>
      </x:c>
      <x:c r="I1736" s="6">
        <x:v>41.61</x:v>
      </x:c>
      <x:c r="J1736" s="6">
        <x:v>0</x:v>
      </x:c>
      <x:c r="K1736" s="6">
        <x:f t="shared" si="83"/>
        <x:v>41.61</x:v>
      </x:c>
      <x:c r="L1736" s="6">
        <x:v>0</x:v>
      </x:c>
      <x:c r="M1736" s="6">
        <x:v>0</x:v>
      </x:c>
      <x:c r="N1736" s="6">
        <x:f t="shared" si="84"/>
        <x:v>41.61</x:v>
      </x:c>
    </x:row>
    <x:row r="1737" spans="1:14" x14ac:dyDescent="0.25">
      <x:c r="A1737" t="s">
        <x:v>22</x:v>
      </x:c>
      <x:c r="B1737" s="3" t="s">
        <x:v>121</x:v>
      </x:c>
      <x:c r="C1737" s="3" t="s">
        <x:v>438</x:v>
      </x:c>
      <x:c r="D1737" t="s">
        <x:v>677</x:v>
      </x:c>
      <x:c r="E1737" s="6">
        <x:v>0</x:v>
      </x:c>
      <x:c r="F1737" s="6">
        <x:v>0</x:v>
      </x:c>
      <x:c r="G1737" s="6">
        <x:v>0</x:v>
      </x:c>
      <x:c r="H1737" s="6">
        <x:f t="shared" si="82"/>
        <x:v>0</x:v>
      </x:c>
      <x:c r="I1737" s="6">
        <x:v>36.03</x:v>
      </x:c>
      <x:c r="J1737" s="6">
        <x:v>0</x:v>
      </x:c>
      <x:c r="K1737" s="6">
        <x:f t="shared" si="83"/>
        <x:v>36.03</x:v>
      </x:c>
      <x:c r="L1737" s="6">
        <x:v>0</x:v>
      </x:c>
      <x:c r="M1737" s="6">
        <x:v>0</x:v>
      </x:c>
      <x:c r="N1737" s="6">
        <x:f t="shared" si="84"/>
        <x:v>36.03</x:v>
      </x:c>
    </x:row>
    <x:row r="1738" spans="1:14" x14ac:dyDescent="0.25">
      <x:c r="A1738" t="s">
        <x:v>22</x:v>
      </x:c>
      <x:c r="B1738" t="s">
        <x:v>738</x:v>
      </x:c>
      <x:c r="C1738" t="s">
        <x:v>739</x:v>
      </x:c>
      <x:c r="D1738" t="s">
        <x:v>832</x:v>
      </x:c>
      <x:c r="E1738" s="6">
        <x:v>6.81</x:v>
      </x:c>
      <x:c r="F1738" s="6">
        <x:v>0</x:v>
      </x:c>
      <x:c r="G1738" s="6">
        <x:v>0</x:v>
      </x:c>
      <x:c r="H1738" s="6">
        <x:f t="shared" si="82"/>
        <x:v>6.81</x:v>
      </x:c>
      <x:c r="I1738" s="6">
        <x:v>0</x:v>
      </x:c>
      <x:c r="J1738" s="6">
        <x:v>0</x:v>
      </x:c>
      <x:c r="K1738" s="6">
        <x:f t="shared" si="83"/>
        <x:v>0</x:v>
      </x:c>
      <x:c r="L1738" s="6">
        <x:v>0</x:v>
      </x:c>
      <x:c r="M1738" s="6">
        <x:v>0</x:v>
      </x:c>
      <x:c r="N1738" s="6">
        <x:f t="shared" si="84"/>
        <x:v>6.81</x:v>
      </x:c>
    </x:row>
    <x:row r="1739" spans="1:14" x14ac:dyDescent="0.25">
      <x:c r="A1739" t="s">
        <x:v>22</x:v>
      </x:c>
      <x:c r="B1739" s="3" t="s">
        <x:v>122</x:v>
      </x:c>
      <x:c r="C1739" s="3" t="s">
        <x:v>439</x:v>
      </x:c>
      <x:c r="D1739" t="s">
        <x:v>677</x:v>
      </x:c>
      <x:c r="E1739" s="6">
        <x:v>0</x:v>
      </x:c>
      <x:c r="F1739" s="6">
        <x:v>0</x:v>
      </x:c>
      <x:c r="G1739" s="6">
        <x:v>0</x:v>
      </x:c>
      <x:c r="H1739" s="6">
        <x:f t="shared" si="82"/>
        <x:v>0</x:v>
      </x:c>
      <x:c r="I1739" s="6">
        <x:v>-23495.430000000004</x:v>
      </x:c>
      <x:c r="J1739" s="6">
        <x:v>0</x:v>
      </x:c>
      <x:c r="K1739" s="6">
        <x:f t="shared" si="83"/>
        <x:v>-23495.430000000004</x:v>
      </x:c>
      <x:c r="L1739" s="6">
        <x:v>0</x:v>
      </x:c>
      <x:c r="M1739" s="6">
        <x:v>0</x:v>
      </x:c>
      <x:c r="N1739" s="6">
        <x:f t="shared" si="84"/>
        <x:v>-23495.430000000004</x:v>
      </x:c>
    </x:row>
    <x:row r="1740" spans="1:14" x14ac:dyDescent="0.25">
      <x:c r="A1740" t="s">
        <x:v>22</x:v>
      </x:c>
      <x:c r="B1740" s="3" t="s">
        <x:v>126</x:v>
      </x:c>
      <x:c r="C1740" s="3" t="s">
        <x:v>443</x:v>
      </x:c>
      <x:c r="D1740" t="s">
        <x:v>677</x:v>
      </x:c>
      <x:c r="E1740" s="6">
        <x:v>0</x:v>
      </x:c>
      <x:c r="F1740" s="6">
        <x:v>0</x:v>
      </x:c>
      <x:c r="G1740" s="6">
        <x:v>0</x:v>
      </x:c>
      <x:c r="H1740" s="6">
        <x:f t="shared" si="82"/>
        <x:v>0</x:v>
      </x:c>
      <x:c r="I1740" s="6">
        <x:v>25459.809999999994</x:v>
      </x:c>
      <x:c r="J1740" s="6">
        <x:v>0</x:v>
      </x:c>
      <x:c r="K1740" s="6">
        <x:f t="shared" si="83"/>
        <x:v>25459.809999999994</x:v>
      </x:c>
      <x:c r="L1740" s="6">
        <x:v>0</x:v>
      </x:c>
      <x:c r="M1740" s="6">
        <x:v>0</x:v>
      </x:c>
      <x:c r="N1740" s="6">
        <x:f t="shared" si="84"/>
        <x:v>25459.809999999994</x:v>
      </x:c>
    </x:row>
    <x:row r="1741" spans="1:14" x14ac:dyDescent="0.25">
      <x:c r="A1741" t="s">
        <x:v>22</x:v>
      </x:c>
      <x:c r="B1741" s="3" t="s">
        <x:v>230</x:v>
      </x:c>
      <x:c r="C1741" s="3" t="s">
        <x:v>545</x:v>
      </x:c>
      <x:c r="D1741" t="s">
        <x:v>677</x:v>
      </x:c>
      <x:c r="E1741" s="6">
        <x:v>0</x:v>
      </x:c>
      <x:c r="F1741" s="6">
        <x:v>0</x:v>
      </x:c>
      <x:c r="G1741" s="6">
        <x:v>0</x:v>
      </x:c>
      <x:c r="H1741" s="6">
        <x:f t="shared" si="82"/>
        <x:v>0</x:v>
      </x:c>
      <x:c r="I1741" s="6">
        <x:v>51882.689999999981</x:v>
      </x:c>
      <x:c r="J1741" s="6">
        <x:v>0</x:v>
      </x:c>
      <x:c r="K1741" s="6">
        <x:f t="shared" si="83"/>
        <x:v>51882.689999999981</x:v>
      </x:c>
      <x:c r="L1741" s="6">
        <x:v>0</x:v>
      </x:c>
      <x:c r="M1741" s="6">
        <x:v>0</x:v>
      </x:c>
      <x:c r="N1741" s="6">
        <x:f t="shared" si="84"/>
        <x:v>51882.689999999981</x:v>
      </x:c>
    </x:row>
    <x:row r="1742" spans="1:14" x14ac:dyDescent="0.25">
      <x:c r="A1742" t="s">
        <x:v>22</x:v>
      </x:c>
      <x:c r="B1742" s="3" t="s">
        <x:v>127</x:v>
      </x:c>
      <x:c r="C1742" s="3" t="s">
        <x:v>444</x:v>
      </x:c>
      <x:c r="D1742" t="s">
        <x:v>677</x:v>
      </x:c>
      <x:c r="E1742" s="6">
        <x:v>0</x:v>
      </x:c>
      <x:c r="F1742" s="6">
        <x:v>0</x:v>
      </x:c>
      <x:c r="G1742" s="6">
        <x:v>0</x:v>
      </x:c>
      <x:c r="H1742" s="6">
        <x:f t="shared" si="82"/>
        <x:v>0</x:v>
      </x:c>
      <x:c r="I1742" s="6">
        <x:v>2554.2600000000002</x:v>
      </x:c>
      <x:c r="J1742" s="6">
        <x:v>0</x:v>
      </x:c>
      <x:c r="K1742" s="6">
        <x:f t="shared" si="83"/>
        <x:v>2554.2600000000002</x:v>
      </x:c>
      <x:c r="L1742" s="6">
        <x:v>0</x:v>
      </x:c>
      <x:c r="M1742" s="6">
        <x:v>0</x:v>
      </x:c>
      <x:c r="N1742" s="6">
        <x:f t="shared" si="84"/>
        <x:v>2554.2600000000002</x:v>
      </x:c>
    </x:row>
    <x:row r="1743" spans="1:14" x14ac:dyDescent="0.25">
      <x:c r="A1743" t="s">
        <x:v>22</x:v>
      </x:c>
      <x:c r="B1743" s="3" t="s">
        <x:v>231</x:v>
      </x:c>
      <x:c r="C1743" s="3" t="s">
        <x:v>546</x:v>
      </x:c>
      <x:c r="D1743" t="s">
        <x:v>677</x:v>
      </x:c>
      <x:c r="E1743" s="6">
        <x:v>0</x:v>
      </x:c>
      <x:c r="F1743" s="6">
        <x:v>0</x:v>
      </x:c>
      <x:c r="G1743" s="6">
        <x:v>0</x:v>
      </x:c>
      <x:c r="H1743" s="6">
        <x:f t="shared" si="82"/>
        <x:v>0</x:v>
      </x:c>
      <x:c r="I1743" s="6">
        <x:v>42185.579999999987</x:v>
      </x:c>
      <x:c r="J1743" s="6">
        <x:v>0</x:v>
      </x:c>
      <x:c r="K1743" s="6">
        <x:f t="shared" si="83"/>
        <x:v>42185.579999999987</x:v>
      </x:c>
      <x:c r="L1743" s="6">
        <x:v>0</x:v>
      </x:c>
      <x:c r="M1743" s="6">
        <x:v>0</x:v>
      </x:c>
      <x:c r="N1743" s="6">
        <x:f t="shared" si="84"/>
        <x:v>42185.579999999987</x:v>
      </x:c>
    </x:row>
    <x:row r="1744" spans="1:14" x14ac:dyDescent="0.25">
      <x:c r="A1744" t="s">
        <x:v>22</x:v>
      </x:c>
      <x:c r="B1744" s="3" t="s">
        <x:v>128</x:v>
      </x:c>
      <x:c r="C1744" s="3" t="s">
        <x:v>445</x:v>
      </x:c>
      <x:c r="D1744" t="s">
        <x:v>677</x:v>
      </x:c>
      <x:c r="E1744" s="6">
        <x:v>0</x:v>
      </x:c>
      <x:c r="F1744" s="6">
        <x:v>0</x:v>
      </x:c>
      <x:c r="G1744" s="6">
        <x:v>0</x:v>
      </x:c>
      <x:c r="H1744" s="6">
        <x:f t="shared" si="82"/>
        <x:v>0</x:v>
      </x:c>
      <x:c r="I1744" s="6">
        <x:v>74047.829999999987</x:v>
      </x:c>
      <x:c r="J1744" s="6">
        <x:v>0</x:v>
      </x:c>
      <x:c r="K1744" s="6">
        <x:f t="shared" si="83"/>
        <x:v>74047.829999999987</x:v>
      </x:c>
      <x:c r="L1744" s="6">
        <x:v>0</x:v>
      </x:c>
      <x:c r="M1744" s="6">
        <x:v>0</x:v>
      </x:c>
      <x:c r="N1744" s="6">
        <x:f t="shared" si="84"/>
        <x:v>74047.829999999987</x:v>
      </x:c>
    </x:row>
    <x:row r="1745" spans="1:14" x14ac:dyDescent="0.25">
      <x:c r="A1745" t="s">
        <x:v>22</x:v>
      </x:c>
      <x:c r="B1745" s="3" t="s">
        <x:v>129</x:v>
      </x:c>
      <x:c r="C1745" s="3" t="s">
        <x:v>446</x:v>
      </x:c>
      <x:c r="D1745" t="s">
        <x:v>677</x:v>
      </x:c>
      <x:c r="E1745" s="6">
        <x:v>0</x:v>
      </x:c>
      <x:c r="F1745" s="6">
        <x:v>0</x:v>
      </x:c>
      <x:c r="G1745" s="6">
        <x:v>0</x:v>
      </x:c>
      <x:c r="H1745" s="6">
        <x:f t="shared" si="82"/>
        <x:v>0</x:v>
      </x:c>
      <x:c r="I1745" s="6">
        <x:v>38190.569999999992</x:v>
      </x:c>
      <x:c r="J1745" s="6">
        <x:v>0</x:v>
      </x:c>
      <x:c r="K1745" s="6">
        <x:f t="shared" si="83"/>
        <x:v>38190.569999999992</x:v>
      </x:c>
      <x:c r="L1745" s="6">
        <x:v>0</x:v>
      </x:c>
      <x:c r="M1745" s="6">
        <x:v>0</x:v>
      </x:c>
      <x:c r="N1745" s="6">
        <x:f t="shared" si="84"/>
        <x:v>38190.569999999992</x:v>
      </x:c>
    </x:row>
    <x:row r="1746" spans="1:14" x14ac:dyDescent="0.25">
      <x:c r="A1746" t="s">
        <x:v>22</x:v>
      </x:c>
      <x:c r="B1746" s="3" t="s">
        <x:v>131</x:v>
      </x:c>
      <x:c r="C1746" s="3" t="s">
        <x:v>448</x:v>
      </x:c>
      <x:c r="D1746" t="s">
        <x:v>677</x:v>
      </x:c>
      <x:c r="E1746" s="6">
        <x:v>0</x:v>
      </x:c>
      <x:c r="F1746" s="6">
        <x:v>0</x:v>
      </x:c>
      <x:c r="G1746" s="6">
        <x:v>0</x:v>
      </x:c>
      <x:c r="H1746" s="6">
        <x:f t="shared" ref="H1746:H1809" si="85">SUM(E1746:G1746)</x:f>
        <x:v>0</x:v>
      </x:c>
      <x:c r="I1746" s="6">
        <x:v>-48930.560000000005</x:v>
      </x:c>
      <x:c r="J1746" s="6">
        <x:v>0</x:v>
      </x:c>
      <x:c r="K1746" s="6">
        <x:f t="shared" ref="K1746:K1809" si="86">SUM(I1746:J1746)</x:f>
        <x:v>-48930.560000000005</x:v>
      </x:c>
      <x:c r="L1746" s="6">
        <x:v>0</x:v>
      </x:c>
      <x:c r="M1746" s="6">
        <x:v>0</x:v>
      </x:c>
      <x:c r="N1746" s="6">
        <x:f t="shared" ref="N1746:N1809" si="87">+E1746+F1746+G1746+I1746+J1746+L1746+M1746</x:f>
        <x:v>-48930.560000000005</x:v>
      </x:c>
    </x:row>
    <x:row r="1747" spans="1:14" x14ac:dyDescent="0.25">
      <x:c r="A1747" t="s">
        <x:v>22</x:v>
      </x:c>
      <x:c r="B1747" s="3" t="s">
        <x:v>132</x:v>
      </x:c>
      <x:c r="C1747" s="3" t="s">
        <x:v>449</x:v>
      </x:c>
      <x:c r="D1747" t="s">
        <x:v>677</x:v>
      </x:c>
      <x:c r="E1747" s="6">
        <x:v>0</x:v>
      </x:c>
      <x:c r="F1747" s="6">
        <x:v>0</x:v>
      </x:c>
      <x:c r="G1747" s="6">
        <x:v>0</x:v>
      </x:c>
      <x:c r="H1747" s="6">
        <x:f t="shared" si="85"/>
        <x:v>0</x:v>
      </x:c>
      <x:c r="I1747" s="6">
        <x:v>778123.75999999978</x:v>
      </x:c>
      <x:c r="J1747" s="6">
        <x:v>0</x:v>
      </x:c>
      <x:c r="K1747" s="6">
        <x:f t="shared" si="86"/>
        <x:v>778123.75999999978</x:v>
      </x:c>
      <x:c r="L1747" s="6">
        <x:v>0</x:v>
      </x:c>
      <x:c r="M1747" s="6">
        <x:v>0</x:v>
      </x:c>
      <x:c r="N1747" s="6">
        <x:f t="shared" si="87"/>
        <x:v>778123.75999999978</x:v>
      </x:c>
    </x:row>
    <x:row r="1748" spans="1:14" x14ac:dyDescent="0.25">
      <x:c r="A1748" t="s">
        <x:v>22</x:v>
      </x:c>
      <x:c r="B1748" s="3" t="s">
        <x:v>133</x:v>
      </x:c>
      <x:c r="C1748" s="3" t="s">
        <x:v>450</x:v>
      </x:c>
      <x:c r="D1748" t="s">
        <x:v>677</x:v>
      </x:c>
      <x:c r="E1748" s="6">
        <x:v>0</x:v>
      </x:c>
      <x:c r="F1748" s="6">
        <x:v>0</x:v>
      </x:c>
      <x:c r="G1748" s="6">
        <x:v>0</x:v>
      </x:c>
      <x:c r="H1748" s="6">
        <x:f t="shared" si="85"/>
        <x:v>0</x:v>
      </x:c>
      <x:c r="I1748" s="6">
        <x:v>-94821.94</x:v>
      </x:c>
      <x:c r="J1748" s="6">
        <x:v>0</x:v>
      </x:c>
      <x:c r="K1748" s="6">
        <x:f t="shared" si="86"/>
        <x:v>-94821.94</x:v>
      </x:c>
      <x:c r="L1748" s="6">
        <x:v>0</x:v>
      </x:c>
      <x:c r="M1748" s="6">
        <x:v>0</x:v>
      </x:c>
      <x:c r="N1748" s="6">
        <x:f t="shared" si="87"/>
        <x:v>-94821.94</x:v>
      </x:c>
    </x:row>
    <x:row r="1749" spans="1:14" x14ac:dyDescent="0.25">
      <x:c r="A1749" t="s">
        <x:v>22</x:v>
      </x:c>
      <x:c r="B1749" s="3" t="s">
        <x:v>134</x:v>
      </x:c>
      <x:c r="C1749" s="3" t="s">
        <x:v>451</x:v>
      </x:c>
      <x:c r="D1749" t="s">
        <x:v>677</x:v>
      </x:c>
      <x:c r="E1749" s="6">
        <x:v>0</x:v>
      </x:c>
      <x:c r="F1749" s="6">
        <x:v>0</x:v>
      </x:c>
      <x:c r="G1749" s="6">
        <x:v>0</x:v>
      </x:c>
      <x:c r="H1749" s="6">
        <x:f t="shared" si="85"/>
        <x:v>0</x:v>
      </x:c>
      <x:c r="I1749" s="6">
        <x:v>577774.58000000031</x:v>
      </x:c>
      <x:c r="J1749" s="6">
        <x:v>0</x:v>
      </x:c>
      <x:c r="K1749" s="6">
        <x:f t="shared" si="86"/>
        <x:v>577774.58000000031</x:v>
      </x:c>
      <x:c r="L1749" s="6">
        <x:v>0</x:v>
      </x:c>
      <x:c r="M1749" s="6">
        <x:v>0</x:v>
      </x:c>
      <x:c r="N1749" s="6">
        <x:f t="shared" si="87"/>
        <x:v>577774.58000000031</x:v>
      </x:c>
    </x:row>
    <x:row r="1750" spans="1:14" x14ac:dyDescent="0.25">
      <x:c r="A1750" t="s">
        <x:v>22</x:v>
      </x:c>
      <x:c r="B1750" s="3" t="s">
        <x:v>135</x:v>
      </x:c>
      <x:c r="C1750" s="3" t="s">
        <x:v>452</x:v>
      </x:c>
      <x:c r="D1750" t="s">
        <x:v>677</x:v>
      </x:c>
      <x:c r="E1750" s="6">
        <x:v>0</x:v>
      </x:c>
      <x:c r="F1750" s="6">
        <x:v>0</x:v>
      </x:c>
      <x:c r="G1750" s="6">
        <x:v>0</x:v>
      </x:c>
      <x:c r="H1750" s="6">
        <x:f t="shared" si="85"/>
        <x:v>0</x:v>
      </x:c>
      <x:c r="I1750" s="6">
        <x:v>29544.629999999997</x:v>
      </x:c>
      <x:c r="J1750" s="6">
        <x:v>0</x:v>
      </x:c>
      <x:c r="K1750" s="6">
        <x:f t="shared" si="86"/>
        <x:v>29544.629999999997</x:v>
      </x:c>
      <x:c r="L1750" s="6">
        <x:v>0</x:v>
      </x:c>
      <x:c r="M1750" s="6">
        <x:v>0</x:v>
      </x:c>
      <x:c r="N1750" s="6">
        <x:f t="shared" si="87"/>
        <x:v>29544.629999999997</x:v>
      </x:c>
    </x:row>
    <x:row r="1751" spans="1:14" x14ac:dyDescent="0.25">
      <x:c r="A1751" t="s">
        <x:v>22</x:v>
      </x:c>
      <x:c r="B1751" s="3" t="s">
        <x:v>137</x:v>
      </x:c>
      <x:c r="C1751" s="3" t="s">
        <x:v>454</x:v>
      </x:c>
      <x:c r="D1751" t="s">
        <x:v>677</x:v>
      </x:c>
      <x:c r="E1751" s="6">
        <x:v>0</x:v>
      </x:c>
      <x:c r="F1751" s="6">
        <x:v>0</x:v>
      </x:c>
      <x:c r="G1751" s="6">
        <x:v>0</x:v>
      </x:c>
      <x:c r="H1751" s="6">
        <x:f t="shared" si="85"/>
        <x:v>0</x:v>
      </x:c>
      <x:c r="I1751" s="6">
        <x:v>65139.96</x:v>
      </x:c>
      <x:c r="J1751" s="6">
        <x:v>0</x:v>
      </x:c>
      <x:c r="K1751" s="6">
        <x:f t="shared" si="86"/>
        <x:v>65139.96</x:v>
      </x:c>
      <x:c r="L1751" s="6">
        <x:v>0</x:v>
      </x:c>
      <x:c r="M1751" s="6">
        <x:v>0</x:v>
      </x:c>
      <x:c r="N1751" s="6">
        <x:f t="shared" si="87"/>
        <x:v>65139.96</x:v>
      </x:c>
    </x:row>
    <x:row r="1752" spans="1:14" x14ac:dyDescent="0.25">
      <x:c r="A1752" t="s">
        <x:v>22</x:v>
      </x:c>
      <x:c r="B1752" s="3" t="s">
        <x:v>138</x:v>
      </x:c>
      <x:c r="C1752" s="3" t="s">
        <x:v>455</x:v>
      </x:c>
      <x:c r="D1752" t="s">
        <x:v>677</x:v>
      </x:c>
      <x:c r="E1752" s="6">
        <x:v>0</x:v>
      </x:c>
      <x:c r="F1752" s="6">
        <x:v>0</x:v>
      </x:c>
      <x:c r="G1752" s="6">
        <x:v>0</x:v>
      </x:c>
      <x:c r="H1752" s="6">
        <x:f t="shared" si="85"/>
        <x:v>0</x:v>
      </x:c>
      <x:c r="I1752" s="6">
        <x:v>-70297.95</x:v>
      </x:c>
      <x:c r="J1752" s="6">
        <x:v>0</x:v>
      </x:c>
      <x:c r="K1752" s="6">
        <x:f t="shared" si="86"/>
        <x:v>-70297.95</x:v>
      </x:c>
      <x:c r="L1752" s="6">
        <x:v>0</x:v>
      </x:c>
      <x:c r="M1752" s="6">
        <x:v>0</x:v>
      </x:c>
      <x:c r="N1752" s="6">
        <x:f t="shared" si="87"/>
        <x:v>-70297.95</x:v>
      </x:c>
    </x:row>
    <x:row r="1753" spans="1:14" x14ac:dyDescent="0.25">
      <x:c r="A1753" t="s">
        <x:v>22</x:v>
      </x:c>
      <x:c r="B1753" s="3" t="s">
        <x:v>146</x:v>
      </x:c>
      <x:c r="C1753" s="3" t="s">
        <x:v>463</x:v>
      </x:c>
      <x:c r="D1753" t="s">
        <x:v>677</x:v>
      </x:c>
      <x:c r="E1753" s="6">
        <x:v>0</x:v>
      </x:c>
      <x:c r="F1753" s="6">
        <x:v>0</x:v>
      </x:c>
      <x:c r="G1753" s="6">
        <x:v>0</x:v>
      </x:c>
      <x:c r="H1753" s="6">
        <x:f t="shared" si="85"/>
        <x:v>0</x:v>
      </x:c>
      <x:c r="I1753" s="6">
        <x:v>3822249.4299999992</x:v>
      </x:c>
      <x:c r="J1753" s="6">
        <x:v>0</x:v>
      </x:c>
      <x:c r="K1753" s="6">
        <x:f t="shared" si="86"/>
        <x:v>3822249.4299999992</x:v>
      </x:c>
      <x:c r="L1753" s="6">
        <x:v>0</x:v>
      </x:c>
      <x:c r="M1753" s="6">
        <x:v>0</x:v>
      </x:c>
      <x:c r="N1753" s="6">
        <x:f t="shared" si="87"/>
        <x:v>3822249.4299999992</x:v>
      </x:c>
    </x:row>
    <x:row r="1754" spans="1:14" x14ac:dyDescent="0.25">
      <x:c r="A1754" t="s">
        <x:v>22</x:v>
      </x:c>
      <x:c r="B1754" s="3" t="s">
        <x:v>232</x:v>
      </x:c>
      <x:c r="C1754" s="3" t="s">
        <x:v>547</x:v>
      </x:c>
      <x:c r="D1754" t="s">
        <x:v>677</x:v>
      </x:c>
      <x:c r="E1754" s="6">
        <x:v>0</x:v>
      </x:c>
      <x:c r="F1754" s="6">
        <x:v>0</x:v>
      </x:c>
      <x:c r="G1754" s="6">
        <x:v>0</x:v>
      </x:c>
      <x:c r="H1754" s="6">
        <x:f t="shared" si="85"/>
        <x:v>0</x:v>
      </x:c>
      <x:c r="I1754" s="6">
        <x:v>2615452.9999999995</x:v>
      </x:c>
      <x:c r="J1754" s="6">
        <x:v>0</x:v>
      </x:c>
      <x:c r="K1754" s="6">
        <x:f t="shared" si="86"/>
        <x:v>2615452.9999999995</x:v>
      </x:c>
      <x:c r="L1754" s="6">
        <x:v>0</x:v>
      </x:c>
      <x:c r="M1754" s="6">
        <x:v>0</x:v>
      </x:c>
      <x:c r="N1754" s="6">
        <x:f t="shared" si="87"/>
        <x:v>2615452.9999999995</x:v>
      </x:c>
    </x:row>
    <x:row r="1755" spans="1:14" x14ac:dyDescent="0.25">
      <x:c r="A1755" t="s">
        <x:v>22</x:v>
      </x:c>
      <x:c r="B1755" s="3" t="s">
        <x:v>147</x:v>
      </x:c>
      <x:c r="C1755" s="3" t="s">
        <x:v>464</x:v>
      </x:c>
      <x:c r="D1755" t="s">
        <x:v>677</x:v>
      </x:c>
      <x:c r="E1755" s="6">
        <x:v>0</x:v>
      </x:c>
      <x:c r="F1755" s="6">
        <x:v>0</x:v>
      </x:c>
      <x:c r="G1755" s="6">
        <x:v>0</x:v>
      </x:c>
      <x:c r="H1755" s="6">
        <x:f t="shared" si="85"/>
        <x:v>0</x:v>
      </x:c>
      <x:c r="I1755" s="6">
        <x:v>332120.99999999988</x:v>
      </x:c>
      <x:c r="J1755" s="6">
        <x:v>0</x:v>
      </x:c>
      <x:c r="K1755" s="6">
        <x:f t="shared" si="86"/>
        <x:v>332120.99999999988</x:v>
      </x:c>
      <x:c r="L1755" s="6">
        <x:v>0</x:v>
      </x:c>
      <x:c r="M1755" s="6">
        <x:v>0</x:v>
      </x:c>
      <x:c r="N1755" s="6">
        <x:f t="shared" si="87"/>
        <x:v>332120.99999999988</x:v>
      </x:c>
    </x:row>
    <x:row r="1756" spans="1:14" x14ac:dyDescent="0.25">
      <x:c r="A1756" t="s">
        <x:v>22</x:v>
      </x:c>
      <x:c r="B1756" s="3" t="s">
        <x:v>148</x:v>
      </x:c>
      <x:c r="C1756" s="3" t="s">
        <x:v>465</x:v>
      </x:c>
      <x:c r="D1756" t="s">
        <x:v>677</x:v>
      </x:c>
      <x:c r="E1756" s="6">
        <x:v>0</x:v>
      </x:c>
      <x:c r="F1756" s="6">
        <x:v>0</x:v>
      </x:c>
      <x:c r="G1756" s="6">
        <x:v>0</x:v>
      </x:c>
      <x:c r="H1756" s="6">
        <x:f t="shared" si="85"/>
        <x:v>0</x:v>
      </x:c>
      <x:c r="I1756" s="6">
        <x:v>498967.9699999998</x:v>
      </x:c>
      <x:c r="J1756" s="6">
        <x:v>0</x:v>
      </x:c>
      <x:c r="K1756" s="6">
        <x:f t="shared" si="86"/>
        <x:v>498967.9699999998</x:v>
      </x:c>
      <x:c r="L1756" s="6">
        <x:v>0</x:v>
      </x:c>
      <x:c r="M1756" s="6">
        <x:v>0</x:v>
      </x:c>
      <x:c r="N1756" s="6">
        <x:f t="shared" si="87"/>
        <x:v>498967.9699999998</x:v>
      </x:c>
    </x:row>
    <x:row r="1757" spans="1:14" x14ac:dyDescent="0.25">
      <x:c r="A1757" t="s">
        <x:v>22</x:v>
      </x:c>
      <x:c r="B1757" s="3" t="s">
        <x:v>149</x:v>
      </x:c>
      <x:c r="C1757" s="3" t="s">
        <x:v>466</x:v>
      </x:c>
      <x:c r="D1757" t="s">
        <x:v>677</x:v>
      </x:c>
      <x:c r="E1757" s="6">
        <x:v>0</x:v>
      </x:c>
      <x:c r="F1757" s="6">
        <x:v>0</x:v>
      </x:c>
      <x:c r="G1757" s="6">
        <x:v>0</x:v>
      </x:c>
      <x:c r="H1757" s="6">
        <x:f t="shared" si="85"/>
        <x:v>0</x:v>
      </x:c>
      <x:c r="I1757" s="6">
        <x:v>-43272.799999999996</x:v>
      </x:c>
      <x:c r="J1757" s="6">
        <x:v>0</x:v>
      </x:c>
      <x:c r="K1757" s="6">
        <x:f t="shared" si="86"/>
        <x:v>-43272.799999999996</x:v>
      </x:c>
      <x:c r="L1757" s="6">
        <x:v>0</x:v>
      </x:c>
      <x:c r="M1757" s="6">
        <x:v>0</x:v>
      </x:c>
      <x:c r="N1757" s="6">
        <x:f t="shared" si="87"/>
        <x:v>-43272.799999999996</x:v>
      </x:c>
    </x:row>
    <x:row r="1758" spans="1:14" x14ac:dyDescent="0.25">
      <x:c r="A1758" t="s">
        <x:v>22</x:v>
      </x:c>
      <x:c r="B1758" s="3" t="s">
        <x:v>150</x:v>
      </x:c>
      <x:c r="C1758" s="3" t="s">
        <x:v>467</x:v>
      </x:c>
      <x:c r="D1758" t="s">
        <x:v>677</x:v>
      </x:c>
      <x:c r="E1758" s="6">
        <x:v>0</x:v>
      </x:c>
      <x:c r="F1758" s="6">
        <x:v>0</x:v>
      </x:c>
      <x:c r="G1758" s="6">
        <x:v>0</x:v>
      </x:c>
      <x:c r="H1758" s="6">
        <x:f t="shared" si="85"/>
        <x:v>0</x:v>
      </x:c>
      <x:c r="I1758" s="6">
        <x:v>231490.01999999996</x:v>
      </x:c>
      <x:c r="J1758" s="6">
        <x:v>0</x:v>
      </x:c>
      <x:c r="K1758" s="6">
        <x:f t="shared" si="86"/>
        <x:v>231490.01999999996</x:v>
      </x:c>
      <x:c r="L1758" s="6">
        <x:v>0</x:v>
      </x:c>
      <x:c r="M1758" s="6">
        <x:v>0</x:v>
      </x:c>
      <x:c r="N1758" s="6">
        <x:f t="shared" si="87"/>
        <x:v>231490.01999999996</x:v>
      </x:c>
    </x:row>
    <x:row r="1759" spans="1:14" x14ac:dyDescent="0.25">
      <x:c r="A1759" t="s">
        <x:v>22</x:v>
      </x:c>
      <x:c r="B1759" s="3" t="s">
        <x:v>151</x:v>
      </x:c>
      <x:c r="C1759" s="3" t="s">
        <x:v>468</x:v>
      </x:c>
      <x:c r="D1759" t="s">
        <x:v>677</x:v>
      </x:c>
      <x:c r="E1759" s="6">
        <x:v>0</x:v>
      </x:c>
      <x:c r="F1759" s="6">
        <x:v>0</x:v>
      </x:c>
      <x:c r="G1759" s="6">
        <x:v>0</x:v>
      </x:c>
      <x:c r="H1759" s="6">
        <x:f t="shared" si="85"/>
        <x:v>0</x:v>
      </x:c>
      <x:c r="I1759" s="6">
        <x:v>133380.27000000002</x:v>
      </x:c>
      <x:c r="J1759" s="6">
        <x:v>0</x:v>
      </x:c>
      <x:c r="K1759" s="6">
        <x:f t="shared" si="86"/>
        <x:v>133380.27000000002</x:v>
      </x:c>
      <x:c r="L1759" s="6">
        <x:v>0</x:v>
      </x:c>
      <x:c r="M1759" s="6">
        <x:v>0</x:v>
      </x:c>
      <x:c r="N1759" s="6">
        <x:f t="shared" si="87"/>
        <x:v>133380.27000000002</x:v>
      </x:c>
    </x:row>
    <x:row r="1760" spans="1:14" x14ac:dyDescent="0.25">
      <x:c r="A1760" t="s">
        <x:v>22</x:v>
      </x:c>
      <x:c r="B1760" s="3" t="s">
        <x:v>278</x:v>
      </x:c>
      <x:c r="C1760" s="3" t="s">
        <x:v>593</x:v>
      </x:c>
      <x:c r="D1760" t="s">
        <x:v>677</x:v>
      </x:c>
      <x:c r="E1760" s="6">
        <x:v>0</x:v>
      </x:c>
      <x:c r="F1760" s="6">
        <x:v>0</x:v>
      </x:c>
      <x:c r="G1760" s="6">
        <x:v>0</x:v>
      </x:c>
      <x:c r="H1760" s="6">
        <x:f t="shared" si="85"/>
        <x:v>0</x:v>
      </x:c>
      <x:c r="I1760" s="6">
        <x:v>-6552.52</x:v>
      </x:c>
      <x:c r="J1760" s="6">
        <x:v>0</x:v>
      </x:c>
      <x:c r="K1760" s="6">
        <x:f t="shared" si="86"/>
        <x:v>-6552.52</x:v>
      </x:c>
      <x:c r="L1760" s="6">
        <x:v>0</x:v>
      </x:c>
      <x:c r="M1760" s="6">
        <x:v>0</x:v>
      </x:c>
      <x:c r="N1760" s="6">
        <x:f t="shared" si="87"/>
        <x:v>-6552.52</x:v>
      </x:c>
    </x:row>
    <x:row r="1761" spans="1:14" x14ac:dyDescent="0.25">
      <x:c r="A1761" t="s">
        <x:v>22</x:v>
      </x:c>
      <x:c r="B1761" s="3" t="s">
        <x:v>309</x:v>
      </x:c>
      <x:c r="C1761" s="3" t="s">
        <x:v>624</x:v>
      </x:c>
      <x:c r="D1761" t="s">
        <x:v>677</x:v>
      </x:c>
      <x:c r="E1761" s="6">
        <x:v>0</x:v>
      </x:c>
      <x:c r="F1761" s="6">
        <x:v>0</x:v>
      </x:c>
      <x:c r="G1761" s="6">
        <x:v>0</x:v>
      </x:c>
      <x:c r="H1761" s="6">
        <x:f t="shared" si="85"/>
        <x:v>0</x:v>
      </x:c>
      <x:c r="I1761" s="6">
        <x:v>11087645.880000001</x:v>
      </x:c>
      <x:c r="J1761" s="6">
        <x:v>0</x:v>
      </x:c>
      <x:c r="K1761" s="6">
        <x:f t="shared" si="86"/>
        <x:v>11087645.880000001</x:v>
      </x:c>
      <x:c r="L1761" s="6">
        <x:v>0</x:v>
      </x:c>
      <x:c r="M1761" s="6">
        <x:v>0</x:v>
      </x:c>
      <x:c r="N1761" s="6">
        <x:f t="shared" si="87"/>
        <x:v>11087645.880000001</x:v>
      </x:c>
    </x:row>
    <x:row r="1762" spans="1:14" x14ac:dyDescent="0.25">
      <x:c r="A1762" t="s">
        <x:v>22</x:v>
      </x:c>
      <x:c r="B1762" s="3" t="s">
        <x:v>152</x:v>
      </x:c>
      <x:c r="C1762" s="3" t="s">
        <x:v>469</x:v>
      </x:c>
      <x:c r="D1762" t="s">
        <x:v>677</x:v>
      </x:c>
      <x:c r="E1762" s="6">
        <x:v>0</x:v>
      </x:c>
      <x:c r="F1762" s="6">
        <x:v>0</x:v>
      </x:c>
      <x:c r="G1762" s="6">
        <x:v>0</x:v>
      </x:c>
      <x:c r="H1762" s="6">
        <x:f t="shared" si="85"/>
        <x:v>0</x:v>
      </x:c>
      <x:c r="I1762" s="6">
        <x:v>346703.87000000011</x:v>
      </x:c>
      <x:c r="J1762" s="6">
        <x:v>0</x:v>
      </x:c>
      <x:c r="K1762" s="6">
        <x:f t="shared" si="86"/>
        <x:v>346703.87000000011</x:v>
      </x:c>
      <x:c r="L1762" s="6">
        <x:v>0</x:v>
      </x:c>
      <x:c r="M1762" s="6">
        <x:v>0</x:v>
      </x:c>
      <x:c r="N1762" s="6">
        <x:f t="shared" si="87"/>
        <x:v>346703.87000000011</x:v>
      </x:c>
    </x:row>
    <x:row r="1763" spans="1:14" x14ac:dyDescent="0.25">
      <x:c r="A1763" t="s">
        <x:v>22</x:v>
      </x:c>
      <x:c r="B1763" s="3" t="s">
        <x:v>153</x:v>
      </x:c>
      <x:c r="C1763" s="3" t="s">
        <x:v>470</x:v>
      </x:c>
      <x:c r="D1763" t="s">
        <x:v>677</x:v>
      </x:c>
      <x:c r="E1763" s="6">
        <x:v>0</x:v>
      </x:c>
      <x:c r="F1763" s="6">
        <x:v>0</x:v>
      </x:c>
      <x:c r="G1763" s="6">
        <x:v>0</x:v>
      </x:c>
      <x:c r="H1763" s="6">
        <x:f t="shared" si="85"/>
        <x:v>0</x:v>
      </x:c>
      <x:c r="I1763" s="6">
        <x:v>521932.52999999991</x:v>
      </x:c>
      <x:c r="J1763" s="6">
        <x:v>0</x:v>
      </x:c>
      <x:c r="K1763" s="6">
        <x:f t="shared" si="86"/>
        <x:v>521932.52999999991</x:v>
      </x:c>
      <x:c r="L1763" s="6">
        <x:v>0</x:v>
      </x:c>
      <x:c r="M1763" s="6">
        <x:v>0</x:v>
      </x:c>
      <x:c r="N1763" s="6">
        <x:f t="shared" si="87"/>
        <x:v>521932.52999999991</x:v>
      </x:c>
    </x:row>
    <x:row r="1764" spans="1:14" x14ac:dyDescent="0.25">
      <x:c r="A1764" t="s">
        <x:v>22</x:v>
      </x:c>
      <x:c r="B1764" s="3" t="s">
        <x:v>154</x:v>
      </x:c>
      <x:c r="C1764" s="3" t="s">
        <x:v>471</x:v>
      </x:c>
      <x:c r="D1764" t="s">
        <x:v>677</x:v>
      </x:c>
      <x:c r="E1764" s="6">
        <x:v>0</x:v>
      </x:c>
      <x:c r="F1764" s="6">
        <x:v>0</x:v>
      </x:c>
      <x:c r="G1764" s="6">
        <x:v>0</x:v>
      </x:c>
      <x:c r="H1764" s="6">
        <x:f t="shared" si="85"/>
        <x:v>0</x:v>
      </x:c>
      <x:c r="I1764" s="6">
        <x:v>458103.30999999994</x:v>
      </x:c>
      <x:c r="J1764" s="6">
        <x:v>0</x:v>
      </x:c>
      <x:c r="K1764" s="6">
        <x:f t="shared" si="86"/>
        <x:v>458103.30999999994</x:v>
      </x:c>
      <x:c r="L1764" s="6">
        <x:v>0</x:v>
      </x:c>
      <x:c r="M1764" s="6">
        <x:v>0</x:v>
      </x:c>
      <x:c r="N1764" s="6">
        <x:f t="shared" si="87"/>
        <x:v>458103.30999999994</x:v>
      </x:c>
    </x:row>
    <x:row r="1765" spans="1:14" x14ac:dyDescent="0.25">
      <x:c r="A1765" t="s">
        <x:v>22</x:v>
      </x:c>
      <x:c r="B1765" s="3" t="s">
        <x:v>155</x:v>
      </x:c>
      <x:c r="C1765" s="3" t="s">
        <x:v>472</x:v>
      </x:c>
      <x:c r="D1765" t="s">
        <x:v>677</x:v>
      </x:c>
      <x:c r="E1765" s="6">
        <x:v>0</x:v>
      </x:c>
      <x:c r="F1765" s="6">
        <x:v>0</x:v>
      </x:c>
      <x:c r="G1765" s="6">
        <x:v>0</x:v>
      </x:c>
      <x:c r="H1765" s="6">
        <x:f t="shared" si="85"/>
        <x:v>0</x:v>
      </x:c>
      <x:c r="I1765" s="6">
        <x:v>26942.22</x:v>
      </x:c>
      <x:c r="J1765" s="6">
        <x:v>0</x:v>
      </x:c>
      <x:c r="K1765" s="6">
        <x:f t="shared" si="86"/>
        <x:v>26942.22</x:v>
      </x:c>
      <x:c r="L1765" s="6">
        <x:v>0</x:v>
      </x:c>
      <x:c r="M1765" s="6">
        <x:v>0</x:v>
      </x:c>
      <x:c r="N1765" s="6">
        <x:f t="shared" si="87"/>
        <x:v>26942.22</x:v>
      </x:c>
    </x:row>
    <x:row r="1766" spans="1:14" x14ac:dyDescent="0.25">
      <x:c r="A1766" t="s">
        <x:v>22</x:v>
      </x:c>
      <x:c r="B1766" s="3" t="s">
        <x:v>45</x:v>
      </x:c>
      <x:c r="C1766" s="3" t="s">
        <x:v>362</x:v>
      </x:c>
      <x:c r="D1766" t="s">
        <x:v>677</x:v>
      </x:c>
      <x:c r="E1766" s="6">
        <x:v>0</x:v>
      </x:c>
      <x:c r="F1766" s="6">
        <x:v>0</x:v>
      </x:c>
      <x:c r="G1766" s="6">
        <x:v>0</x:v>
      </x:c>
      <x:c r="H1766" s="6">
        <x:f t="shared" si="85"/>
        <x:v>0</x:v>
      </x:c>
      <x:c r="I1766" s="6">
        <x:v>1117.3999999999999</x:v>
      </x:c>
      <x:c r="J1766" s="6">
        <x:v>0</x:v>
      </x:c>
      <x:c r="K1766" s="6">
        <x:f t="shared" si="86"/>
        <x:v>1117.3999999999999</x:v>
      </x:c>
      <x:c r="L1766" s="6">
        <x:v>0</x:v>
      </x:c>
      <x:c r="M1766" s="6">
        <x:v>0</x:v>
      </x:c>
      <x:c r="N1766" s="6">
        <x:f t="shared" si="87"/>
        <x:v>1117.3999999999999</x:v>
      </x:c>
    </x:row>
    <x:row r="1767" spans="1:14" x14ac:dyDescent="0.25">
      <x:c r="A1767" t="s">
        <x:v>22</x:v>
      </x:c>
      <x:c r="B1767" s="3" t="s">
        <x:v>156</x:v>
      </x:c>
      <x:c r="C1767" s="3" t="s">
        <x:v>473</x:v>
      </x:c>
      <x:c r="D1767" t="s">
        <x:v>677</x:v>
      </x:c>
      <x:c r="E1767" s="6">
        <x:v>0</x:v>
      </x:c>
      <x:c r="F1767" s="6">
        <x:v>0</x:v>
      </x:c>
      <x:c r="G1767" s="6">
        <x:v>0</x:v>
      </x:c>
      <x:c r="H1767" s="6">
        <x:f t="shared" si="85"/>
        <x:v>0</x:v>
      </x:c>
      <x:c r="I1767" s="6">
        <x:v>108155.68999999996</x:v>
      </x:c>
      <x:c r="J1767" s="6">
        <x:v>0</x:v>
      </x:c>
      <x:c r="K1767" s="6">
        <x:f t="shared" si="86"/>
        <x:v>108155.68999999996</x:v>
      </x:c>
      <x:c r="L1767" s="6">
        <x:v>0</x:v>
      </x:c>
      <x:c r="M1767" s="6">
        <x:v>0</x:v>
      </x:c>
      <x:c r="N1767" s="6">
        <x:f t="shared" si="87"/>
        <x:v>108155.68999999996</x:v>
      </x:c>
    </x:row>
    <x:row r="1768" spans="1:14" x14ac:dyDescent="0.25">
      <x:c r="A1768" t="s">
        <x:v>22</x:v>
      </x:c>
      <x:c r="B1768" s="3" t="s">
        <x:v>158</x:v>
      </x:c>
      <x:c r="C1768" s="3" t="s">
        <x:v>475</x:v>
      </x:c>
      <x:c r="D1768" t="s">
        <x:v>677</x:v>
      </x:c>
      <x:c r="E1768" s="6">
        <x:v>0</x:v>
      </x:c>
      <x:c r="F1768" s="6">
        <x:v>0</x:v>
      </x:c>
      <x:c r="G1768" s="6">
        <x:v>0</x:v>
      </x:c>
      <x:c r="H1768" s="6">
        <x:f t="shared" si="85"/>
        <x:v>0</x:v>
      </x:c>
      <x:c r="I1768" s="6">
        <x:v>29441.5</x:v>
      </x:c>
      <x:c r="J1768" s="6">
        <x:v>0</x:v>
      </x:c>
      <x:c r="K1768" s="6">
        <x:f t="shared" si="86"/>
        <x:v>29441.5</x:v>
      </x:c>
      <x:c r="L1768" s="6">
        <x:v>0</x:v>
      </x:c>
      <x:c r="M1768" s="6">
        <x:v>0</x:v>
      </x:c>
      <x:c r="N1768" s="6">
        <x:f t="shared" si="87"/>
        <x:v>29441.5</x:v>
      </x:c>
    </x:row>
    <x:row r="1769" spans="1:14" x14ac:dyDescent="0.25">
      <x:c r="A1769" t="s">
        <x:v>22</x:v>
      </x:c>
      <x:c r="B1769" s="3" t="s">
        <x:v>159</x:v>
      </x:c>
      <x:c r="C1769" s="3" t="s">
        <x:v>476</x:v>
      </x:c>
      <x:c r="D1769" t="s">
        <x:v>677</x:v>
      </x:c>
      <x:c r="E1769" s="6">
        <x:v>0</x:v>
      </x:c>
      <x:c r="F1769" s="6">
        <x:v>0</x:v>
      </x:c>
      <x:c r="G1769" s="6">
        <x:v>0</x:v>
      </x:c>
      <x:c r="H1769" s="6">
        <x:f t="shared" si="85"/>
        <x:v>0</x:v>
      </x:c>
      <x:c r="I1769" s="6">
        <x:v>3438526.27</x:v>
      </x:c>
      <x:c r="J1769" s="6">
        <x:v>0</x:v>
      </x:c>
      <x:c r="K1769" s="6">
        <x:f t="shared" si="86"/>
        <x:v>3438526.27</x:v>
      </x:c>
      <x:c r="L1769" s="6">
        <x:v>0</x:v>
      </x:c>
      <x:c r="M1769" s="6">
        <x:v>0</x:v>
      </x:c>
      <x:c r="N1769" s="6">
        <x:f t="shared" si="87"/>
        <x:v>3438526.27</x:v>
      </x:c>
    </x:row>
    <x:row r="1770" spans="1:14" x14ac:dyDescent="0.25">
      <x:c r="A1770" t="s">
        <x:v>22</x:v>
      </x:c>
      <x:c r="B1770" s="3" t="s">
        <x:v>162</x:v>
      </x:c>
      <x:c r="C1770" s="3" t="s">
        <x:v>479</x:v>
      </x:c>
      <x:c r="D1770" t="s">
        <x:v>677</x:v>
      </x:c>
      <x:c r="E1770" s="6">
        <x:v>0</x:v>
      </x:c>
      <x:c r="F1770" s="6">
        <x:v>0</x:v>
      </x:c>
      <x:c r="G1770" s="6">
        <x:v>0</x:v>
      </x:c>
      <x:c r="H1770" s="6">
        <x:f t="shared" si="85"/>
        <x:v>0</x:v>
      </x:c>
      <x:c r="I1770" s="6">
        <x:v>40167.999999999971</x:v>
      </x:c>
      <x:c r="J1770" s="6">
        <x:v>0</x:v>
      </x:c>
      <x:c r="K1770" s="6">
        <x:f t="shared" si="86"/>
        <x:v>40167.999999999971</x:v>
      </x:c>
      <x:c r="L1770" s="6">
        <x:v>0</x:v>
      </x:c>
      <x:c r="M1770" s="6">
        <x:v>0</x:v>
      </x:c>
      <x:c r="N1770" s="6">
        <x:f t="shared" si="87"/>
        <x:v>40167.999999999971</x:v>
      </x:c>
    </x:row>
    <x:row r="1771" spans="1:14" x14ac:dyDescent="0.25">
      <x:c r="A1771" t="s">
        <x:v>22</x:v>
      </x:c>
      <x:c r="B1771" s="3" t="s">
        <x:v>163</x:v>
      </x:c>
      <x:c r="C1771" s="3" t="s">
        <x:v>480</x:v>
      </x:c>
      <x:c r="D1771" t="s">
        <x:v>677</x:v>
      </x:c>
      <x:c r="E1771" s="6">
        <x:v>0</x:v>
      </x:c>
      <x:c r="F1771" s="6">
        <x:v>0</x:v>
      </x:c>
      <x:c r="G1771" s="6">
        <x:v>0</x:v>
      </x:c>
      <x:c r="H1771" s="6">
        <x:f t="shared" si="85"/>
        <x:v>0</x:v>
      </x:c>
      <x:c r="I1771" s="6">
        <x:v>490168.7300000001</x:v>
      </x:c>
      <x:c r="J1771" s="6">
        <x:v>0</x:v>
      </x:c>
      <x:c r="K1771" s="6">
        <x:f t="shared" si="86"/>
        <x:v>490168.7300000001</x:v>
      </x:c>
      <x:c r="L1771" s="6">
        <x:v>0</x:v>
      </x:c>
      <x:c r="M1771" s="6">
        <x:v>0</x:v>
      </x:c>
      <x:c r="N1771" s="6">
        <x:f t="shared" si="87"/>
        <x:v>490168.7300000001</x:v>
      </x:c>
    </x:row>
    <x:row r="1772" spans="1:14" x14ac:dyDescent="0.25">
      <x:c r="A1772" t="s">
        <x:v>22</x:v>
      </x:c>
      <x:c r="B1772" s="3" t="s">
        <x:v>164</x:v>
      </x:c>
      <x:c r="C1772" s="3" t="s">
        <x:v>481</x:v>
      </x:c>
      <x:c r="D1772" t="s">
        <x:v>677</x:v>
      </x:c>
      <x:c r="E1772" s="6">
        <x:v>0</x:v>
      </x:c>
      <x:c r="F1772" s="6">
        <x:v>0</x:v>
      </x:c>
      <x:c r="G1772" s="6">
        <x:v>0</x:v>
      </x:c>
      <x:c r="H1772" s="6">
        <x:f t="shared" si="85"/>
        <x:v>0</x:v>
      </x:c>
      <x:c r="I1772" s="6">
        <x:v>659915.73000000033</x:v>
      </x:c>
      <x:c r="J1772" s="6">
        <x:v>0</x:v>
      </x:c>
      <x:c r="K1772" s="6">
        <x:f t="shared" si="86"/>
        <x:v>659915.73000000033</x:v>
      </x:c>
      <x:c r="L1772" s="6">
        <x:v>0</x:v>
      </x:c>
      <x:c r="M1772" s="6">
        <x:v>0</x:v>
      </x:c>
      <x:c r="N1772" s="6">
        <x:f t="shared" si="87"/>
        <x:v>659915.73000000033</x:v>
      </x:c>
    </x:row>
    <x:row r="1773" spans="1:14" x14ac:dyDescent="0.25">
      <x:c r="A1773" t="s">
        <x:v>22</x:v>
      </x:c>
      <x:c r="B1773" s="3" t="s">
        <x:v>49</x:v>
      </x:c>
      <x:c r="C1773" s="3" t="s">
        <x:v>366</x:v>
      </x:c>
      <x:c r="D1773" t="s">
        <x:v>677</x:v>
      </x:c>
      <x:c r="E1773" s="6">
        <x:v>0</x:v>
      </x:c>
      <x:c r="F1773" s="6">
        <x:v>0</x:v>
      </x:c>
      <x:c r="G1773" s="6">
        <x:v>0</x:v>
      </x:c>
      <x:c r="H1773" s="6">
        <x:f t="shared" si="85"/>
        <x:v>0</x:v>
      </x:c>
      <x:c r="I1773" s="6">
        <x:v>498215.39999999997</x:v>
      </x:c>
      <x:c r="J1773" s="6">
        <x:v>0</x:v>
      </x:c>
      <x:c r="K1773" s="6">
        <x:f t="shared" si="86"/>
        <x:v>498215.39999999997</x:v>
      </x:c>
      <x:c r="L1773" s="6">
        <x:v>0</x:v>
      </x:c>
      <x:c r="M1773" s="6">
        <x:v>0</x:v>
      </x:c>
      <x:c r="N1773" s="6">
        <x:f t="shared" si="87"/>
        <x:v>498215.39999999997</x:v>
      </x:c>
    </x:row>
    <x:row r="1774" spans="1:14" x14ac:dyDescent="0.25">
      <x:c r="A1774" t="s">
        <x:v>22</x:v>
      </x:c>
      <x:c r="B1774" s="3" t="s">
        <x:v>165</x:v>
      </x:c>
      <x:c r="C1774" s="3" t="s">
        <x:v>482</x:v>
      </x:c>
      <x:c r="D1774" t="s">
        <x:v>677</x:v>
      </x:c>
      <x:c r="E1774" s="6">
        <x:v>0</x:v>
      </x:c>
      <x:c r="F1774" s="6">
        <x:v>0</x:v>
      </x:c>
      <x:c r="G1774" s="6">
        <x:v>0</x:v>
      </x:c>
      <x:c r="H1774" s="6">
        <x:f t="shared" si="85"/>
        <x:v>0</x:v>
      </x:c>
      <x:c r="I1774" s="6">
        <x:v>143914.42000000001</x:v>
      </x:c>
      <x:c r="J1774" s="6">
        <x:v>0</x:v>
      </x:c>
      <x:c r="K1774" s="6">
        <x:f t="shared" si="86"/>
        <x:v>143914.42000000001</x:v>
      </x:c>
      <x:c r="L1774" s="6">
        <x:v>0</x:v>
      </x:c>
      <x:c r="M1774" s="6">
        <x:v>0</x:v>
      </x:c>
      <x:c r="N1774" s="6">
        <x:f t="shared" si="87"/>
        <x:v>143914.42000000001</x:v>
      </x:c>
    </x:row>
    <x:row r="1775" spans="1:14" x14ac:dyDescent="0.25">
      <x:c r="A1775" t="s">
        <x:v>22</x:v>
      </x:c>
      <x:c r="B1775" s="3" t="s">
        <x:v>233</x:v>
      </x:c>
      <x:c r="C1775" s="3" t="s">
        <x:v>548</x:v>
      </x:c>
      <x:c r="D1775" t="s">
        <x:v>677</x:v>
      </x:c>
      <x:c r="E1775" s="6">
        <x:v>0</x:v>
      </x:c>
      <x:c r="F1775" s="6">
        <x:v>0</x:v>
      </x:c>
      <x:c r="G1775" s="6">
        <x:v>0</x:v>
      </x:c>
      <x:c r="H1775" s="6">
        <x:f t="shared" si="85"/>
        <x:v>0</x:v>
      </x:c>
      <x:c r="I1775" s="6">
        <x:v>135460.99000000002</x:v>
      </x:c>
      <x:c r="J1775" s="6">
        <x:v>0</x:v>
      </x:c>
      <x:c r="K1775" s="6">
        <x:f t="shared" si="86"/>
        <x:v>135460.99000000002</x:v>
      </x:c>
      <x:c r="L1775" s="6">
        <x:v>0</x:v>
      </x:c>
      <x:c r="M1775" s="6">
        <x:v>0</x:v>
      </x:c>
      <x:c r="N1775" s="6">
        <x:f t="shared" si="87"/>
        <x:v>135460.99000000002</x:v>
      </x:c>
    </x:row>
    <x:row r="1776" spans="1:14" x14ac:dyDescent="0.25">
      <x:c r="A1776" t="s">
        <x:v>22</x:v>
      </x:c>
      <x:c r="B1776" s="3" t="s">
        <x:v>166</x:v>
      </x:c>
      <x:c r="C1776" s="3" t="s">
        <x:v>483</x:v>
      </x:c>
      <x:c r="D1776" t="s">
        <x:v>677</x:v>
      </x:c>
      <x:c r="E1776" s="6">
        <x:v>0</x:v>
      </x:c>
      <x:c r="F1776" s="6">
        <x:v>0</x:v>
      </x:c>
      <x:c r="G1776" s="6">
        <x:v>0</x:v>
      </x:c>
      <x:c r="H1776" s="6">
        <x:f t="shared" si="85"/>
        <x:v>0</x:v>
      </x:c>
      <x:c r="I1776" s="6">
        <x:v>-40099.68</x:v>
      </x:c>
      <x:c r="J1776" s="6">
        <x:v>0</x:v>
      </x:c>
      <x:c r="K1776" s="6">
        <x:f t="shared" si="86"/>
        <x:v>-40099.68</x:v>
      </x:c>
      <x:c r="L1776" s="6">
        <x:v>0</x:v>
      </x:c>
      <x:c r="M1776" s="6">
        <x:v>0</x:v>
      </x:c>
      <x:c r="N1776" s="6">
        <x:f t="shared" si="87"/>
        <x:v>-40099.68</x:v>
      </x:c>
    </x:row>
    <x:row r="1777" spans="1:14" x14ac:dyDescent="0.25">
      <x:c r="A1777" t="s">
        <x:v>22</x:v>
      </x:c>
      <x:c r="B1777" s="3" t="s">
        <x:v>167</x:v>
      </x:c>
      <x:c r="C1777" s="3" t="s">
        <x:v>484</x:v>
      </x:c>
      <x:c r="D1777" t="s">
        <x:v>677</x:v>
      </x:c>
      <x:c r="E1777" s="6">
        <x:v>0</x:v>
      </x:c>
      <x:c r="F1777" s="6">
        <x:v>0</x:v>
      </x:c>
      <x:c r="G1777" s="6">
        <x:v>0</x:v>
      </x:c>
      <x:c r="H1777" s="6">
        <x:f t="shared" si="85"/>
        <x:v>0</x:v>
      </x:c>
      <x:c r="I1777" s="6">
        <x:v>72180.560000000012</x:v>
      </x:c>
      <x:c r="J1777" s="6">
        <x:v>0</x:v>
      </x:c>
      <x:c r="K1777" s="6">
        <x:f t="shared" si="86"/>
        <x:v>72180.560000000012</x:v>
      </x:c>
      <x:c r="L1777" s="6">
        <x:v>0</x:v>
      </x:c>
      <x:c r="M1777" s="6">
        <x:v>0</x:v>
      </x:c>
      <x:c r="N1777" s="6">
        <x:f t="shared" si="87"/>
        <x:v>72180.560000000012</x:v>
      </x:c>
    </x:row>
    <x:row r="1778" spans="1:14" x14ac:dyDescent="0.25">
      <x:c r="A1778" t="s">
        <x:v>22</x:v>
      </x:c>
      <x:c r="B1778" s="3" t="s">
        <x:v>234</x:v>
      </x:c>
      <x:c r="C1778" s="3" t="s">
        <x:v>549</x:v>
      </x:c>
      <x:c r="D1778" t="s">
        <x:v>677</x:v>
      </x:c>
      <x:c r="E1778" s="6">
        <x:v>0</x:v>
      </x:c>
      <x:c r="F1778" s="6">
        <x:v>0</x:v>
      </x:c>
      <x:c r="G1778" s="6">
        <x:v>0</x:v>
      </x:c>
      <x:c r="H1778" s="6">
        <x:f t="shared" si="85"/>
        <x:v>0</x:v>
      </x:c>
      <x:c r="I1778" s="6">
        <x:v>142.30000000000001</x:v>
      </x:c>
      <x:c r="J1778" s="6">
        <x:v>0</x:v>
      </x:c>
      <x:c r="K1778" s="6">
        <x:f t="shared" si="86"/>
        <x:v>142.30000000000001</x:v>
      </x:c>
      <x:c r="L1778" s="6">
        <x:v>0</x:v>
      </x:c>
      <x:c r="M1778" s="6">
        <x:v>0</x:v>
      </x:c>
      <x:c r="N1778" s="6">
        <x:f t="shared" si="87"/>
        <x:v>142.30000000000001</x:v>
      </x:c>
    </x:row>
    <x:row r="1779" spans="1:14" x14ac:dyDescent="0.25">
      <x:c r="A1779" t="s">
        <x:v>22</x:v>
      </x:c>
      <x:c r="B1779" s="3" t="s">
        <x:v>169</x:v>
      </x:c>
      <x:c r="C1779" s="3" t="s">
        <x:v>485</x:v>
      </x:c>
      <x:c r="D1779" t="s">
        <x:v>677</x:v>
      </x:c>
      <x:c r="E1779" s="6">
        <x:v>0</x:v>
      </x:c>
      <x:c r="F1779" s="6">
        <x:v>0</x:v>
      </x:c>
      <x:c r="G1779" s="6">
        <x:v>0</x:v>
      </x:c>
      <x:c r="H1779" s="6">
        <x:f t="shared" si="85"/>
        <x:v>0</x:v>
      </x:c>
      <x:c r="I1779" s="6">
        <x:v>229.52</x:v>
      </x:c>
      <x:c r="J1779" s="6">
        <x:v>0</x:v>
      </x:c>
      <x:c r="K1779" s="6">
        <x:f t="shared" si="86"/>
        <x:v>229.52</x:v>
      </x:c>
      <x:c r="L1779" s="6">
        <x:v>0</x:v>
      </x:c>
      <x:c r="M1779" s="6">
        <x:v>0</x:v>
      </x:c>
      <x:c r="N1779" s="6">
        <x:f t="shared" si="87"/>
        <x:v>229.52</x:v>
      </x:c>
    </x:row>
    <x:row r="1780" spans="1:14" x14ac:dyDescent="0.25">
      <x:c r="A1780" t="s">
        <x:v>22</x:v>
      </x:c>
      <x:c r="B1780" s="3" t="s">
        <x:v>172</x:v>
      </x:c>
      <x:c r="C1780" s="3" t="s">
        <x:v>488</x:v>
      </x:c>
      <x:c r="D1780" t="s">
        <x:v>677</x:v>
      </x:c>
      <x:c r="E1780" s="6">
        <x:v>0</x:v>
      </x:c>
      <x:c r="F1780" s="6">
        <x:v>0</x:v>
      </x:c>
      <x:c r="G1780" s="6">
        <x:v>0</x:v>
      </x:c>
      <x:c r="H1780" s="6">
        <x:f t="shared" si="85"/>
        <x:v>0</x:v>
      </x:c>
      <x:c r="I1780" s="6">
        <x:v>27542.350000000009</x:v>
      </x:c>
      <x:c r="J1780" s="6">
        <x:v>0</x:v>
      </x:c>
      <x:c r="K1780" s="6">
        <x:f t="shared" si="86"/>
        <x:v>27542.350000000009</x:v>
      </x:c>
      <x:c r="L1780" s="6">
        <x:v>0</x:v>
      </x:c>
      <x:c r="M1780" s="6">
        <x:v>0</x:v>
      </x:c>
      <x:c r="N1780" s="6">
        <x:f t="shared" si="87"/>
        <x:v>27542.350000000009</x:v>
      </x:c>
    </x:row>
    <x:row r="1781" spans="1:14" x14ac:dyDescent="0.25">
      <x:c r="A1781" t="s">
        <x:v>22</x:v>
      </x:c>
      <x:c r="B1781" s="3" t="s">
        <x:v>173</x:v>
      </x:c>
      <x:c r="C1781" s="3" t="s">
        <x:v>489</x:v>
      </x:c>
      <x:c r="D1781" t="s">
        <x:v>677</x:v>
      </x:c>
      <x:c r="E1781" s="6">
        <x:v>0</x:v>
      </x:c>
      <x:c r="F1781" s="6">
        <x:v>0</x:v>
      </x:c>
      <x:c r="G1781" s="6">
        <x:v>0</x:v>
      </x:c>
      <x:c r="H1781" s="6">
        <x:f t="shared" si="85"/>
        <x:v>0</x:v>
      </x:c>
      <x:c r="I1781" s="6">
        <x:v>12694.460000000001</x:v>
      </x:c>
      <x:c r="J1781" s="6">
        <x:v>0</x:v>
      </x:c>
      <x:c r="K1781" s="6">
        <x:f t="shared" si="86"/>
        <x:v>12694.460000000001</x:v>
      </x:c>
      <x:c r="L1781" s="6">
        <x:v>0</x:v>
      </x:c>
      <x:c r="M1781" s="6">
        <x:v>0</x:v>
      </x:c>
      <x:c r="N1781" s="6">
        <x:f t="shared" si="87"/>
        <x:v>12694.460000000001</x:v>
      </x:c>
    </x:row>
    <x:row r="1782" spans="1:14" x14ac:dyDescent="0.25">
      <x:c r="A1782" t="s">
        <x:v>22</x:v>
      </x:c>
      <x:c r="B1782" s="3" t="s">
        <x:v>174</x:v>
      </x:c>
      <x:c r="C1782" s="3" t="s">
        <x:v>490</x:v>
      </x:c>
      <x:c r="D1782" t="s">
        <x:v>677</x:v>
      </x:c>
      <x:c r="E1782" s="6">
        <x:v>0</x:v>
      </x:c>
      <x:c r="F1782" s="6">
        <x:v>0</x:v>
      </x:c>
      <x:c r="G1782" s="6">
        <x:v>0</x:v>
      </x:c>
      <x:c r="H1782" s="6">
        <x:f t="shared" si="85"/>
        <x:v>0</x:v>
      </x:c>
      <x:c r="I1782" s="6">
        <x:v>21423.329999999998</x:v>
      </x:c>
      <x:c r="J1782" s="6">
        <x:v>0</x:v>
      </x:c>
      <x:c r="K1782" s="6">
        <x:f t="shared" si="86"/>
        <x:v>21423.329999999998</x:v>
      </x:c>
      <x:c r="L1782" s="6">
        <x:v>0</x:v>
      </x:c>
      <x:c r="M1782" s="6">
        <x:v>0</x:v>
      </x:c>
      <x:c r="N1782" s="6">
        <x:f t="shared" si="87"/>
        <x:v>21423.329999999998</x:v>
      </x:c>
    </x:row>
    <x:row r="1783" spans="1:14" x14ac:dyDescent="0.25">
      <x:c r="A1783" t="s">
        <x:v>22</x:v>
      </x:c>
      <x:c r="B1783" s="3" t="s">
        <x:v>176</x:v>
      </x:c>
      <x:c r="C1783" s="3" t="s">
        <x:v>492</x:v>
      </x:c>
      <x:c r="D1783" t="s">
        <x:v>677</x:v>
      </x:c>
      <x:c r="E1783" s="6">
        <x:v>0</x:v>
      </x:c>
      <x:c r="F1783" s="6">
        <x:v>0</x:v>
      </x:c>
      <x:c r="G1783" s="6">
        <x:v>0</x:v>
      </x:c>
      <x:c r="H1783" s="6">
        <x:f t="shared" si="85"/>
        <x:v>0</x:v>
      </x:c>
      <x:c r="I1783" s="6">
        <x:v>-65122.559999999925</x:v>
      </x:c>
      <x:c r="J1783" s="6">
        <x:v>0</x:v>
      </x:c>
      <x:c r="K1783" s="6">
        <x:f t="shared" si="86"/>
        <x:v>-65122.559999999925</x:v>
      </x:c>
      <x:c r="L1783" s="6">
        <x:v>0</x:v>
      </x:c>
      <x:c r="M1783" s="6">
        <x:v>0</x:v>
      </x:c>
      <x:c r="N1783" s="6">
        <x:f t="shared" si="87"/>
        <x:v>-65122.559999999925</x:v>
      </x:c>
    </x:row>
    <x:row r="1784" spans="1:14" x14ac:dyDescent="0.25">
      <x:c r="A1784" t="s">
        <x:v>22</x:v>
      </x:c>
      <x:c r="B1784" s="3" t="s">
        <x:v>177</x:v>
      </x:c>
      <x:c r="C1784" s="3" t="s">
        <x:v>493</x:v>
      </x:c>
      <x:c r="D1784" t="s">
        <x:v>677</x:v>
      </x:c>
      <x:c r="E1784" s="6">
        <x:v>0</x:v>
      </x:c>
      <x:c r="F1784" s="6">
        <x:v>0</x:v>
      </x:c>
      <x:c r="G1784" s="6">
        <x:v>0</x:v>
      </x:c>
      <x:c r="H1784" s="6">
        <x:f t="shared" si="85"/>
        <x:v>0</x:v>
      </x:c>
      <x:c r="I1784" s="6">
        <x:v>127436.05</x:v>
      </x:c>
      <x:c r="J1784" s="6">
        <x:v>0</x:v>
      </x:c>
      <x:c r="K1784" s="6">
        <x:f t="shared" si="86"/>
        <x:v>127436.05</x:v>
      </x:c>
      <x:c r="L1784" s="6">
        <x:v>0</x:v>
      </x:c>
      <x:c r="M1784" s="6">
        <x:v>0</x:v>
      </x:c>
      <x:c r="N1784" s="6">
        <x:f t="shared" si="87"/>
        <x:v>127436.05</x:v>
      </x:c>
    </x:row>
    <x:row r="1785" spans="1:14" x14ac:dyDescent="0.25">
      <x:c r="A1785" t="s">
        <x:v>22</x:v>
      </x:c>
      <x:c r="B1785" s="3" t="s">
        <x:v>178</x:v>
      </x:c>
      <x:c r="C1785" s="3" t="s">
        <x:v>494</x:v>
      </x:c>
      <x:c r="D1785" t="s">
        <x:v>677</x:v>
      </x:c>
      <x:c r="E1785" s="6">
        <x:v>0</x:v>
      </x:c>
      <x:c r="F1785" s="6">
        <x:v>0</x:v>
      </x:c>
      <x:c r="G1785" s="6">
        <x:v>0</x:v>
      </x:c>
      <x:c r="H1785" s="6">
        <x:f t="shared" si="85"/>
        <x:v>0</x:v>
      </x:c>
      <x:c r="I1785" s="6">
        <x:v>20988.23</x:v>
      </x:c>
      <x:c r="J1785" s="6">
        <x:v>0</x:v>
      </x:c>
      <x:c r="K1785" s="6">
        <x:f t="shared" si="86"/>
        <x:v>20988.23</x:v>
      </x:c>
      <x:c r="L1785" s="6">
        <x:v>0</x:v>
      </x:c>
      <x:c r="M1785" s="6">
        <x:v>0</x:v>
      </x:c>
      <x:c r="N1785" s="6">
        <x:f t="shared" si="87"/>
        <x:v>20988.23</x:v>
      </x:c>
    </x:row>
    <x:row r="1786" spans="1:14" x14ac:dyDescent="0.25">
      <x:c r="A1786" t="s">
        <x:v>22</x:v>
      </x:c>
      <x:c r="B1786" s="3" t="s">
        <x:v>179</x:v>
      </x:c>
      <x:c r="C1786" s="3" t="s">
        <x:v>495</x:v>
      </x:c>
      <x:c r="D1786" t="s">
        <x:v>677</x:v>
      </x:c>
      <x:c r="E1786" s="6">
        <x:v>0</x:v>
      </x:c>
      <x:c r="F1786" s="6">
        <x:v>0</x:v>
      </x:c>
      <x:c r="G1786" s="6">
        <x:v>0</x:v>
      </x:c>
      <x:c r="H1786" s="6">
        <x:f t="shared" si="85"/>
        <x:v>0</x:v>
      </x:c>
      <x:c r="I1786" s="6">
        <x:v>70869.98000000004</x:v>
      </x:c>
      <x:c r="J1786" s="6">
        <x:v>0</x:v>
      </x:c>
      <x:c r="K1786" s="6">
        <x:f t="shared" si="86"/>
        <x:v>70869.98000000004</x:v>
      </x:c>
      <x:c r="L1786" s="6">
        <x:v>0</x:v>
      </x:c>
      <x:c r="M1786" s="6">
        <x:v>0</x:v>
      </x:c>
      <x:c r="N1786" s="6">
        <x:f t="shared" si="87"/>
        <x:v>70869.98000000004</x:v>
      </x:c>
    </x:row>
    <x:row r="1787" spans="1:14" x14ac:dyDescent="0.25">
      <x:c r="A1787" t="s">
        <x:v>22</x:v>
      </x:c>
      <x:c r="B1787" s="3" t="s">
        <x:v>180</x:v>
      </x:c>
      <x:c r="C1787" s="3" t="s">
        <x:v>496</x:v>
      </x:c>
      <x:c r="D1787" t="s">
        <x:v>677</x:v>
      </x:c>
      <x:c r="E1787" s="6">
        <x:v>0</x:v>
      </x:c>
      <x:c r="F1787" s="6">
        <x:v>0</x:v>
      </x:c>
      <x:c r="G1787" s="6">
        <x:v>0</x:v>
      </x:c>
      <x:c r="H1787" s="6">
        <x:f t="shared" si="85"/>
        <x:v>0</x:v>
      </x:c>
      <x:c r="I1787" s="6">
        <x:v>131582.03999999995</x:v>
      </x:c>
      <x:c r="J1787" s="6">
        <x:v>0</x:v>
      </x:c>
      <x:c r="K1787" s="6">
        <x:f t="shared" si="86"/>
        <x:v>131582.03999999995</x:v>
      </x:c>
      <x:c r="L1787" s="6">
        <x:v>0</x:v>
      </x:c>
      <x:c r="M1787" s="6">
        <x:v>0</x:v>
      </x:c>
      <x:c r="N1787" s="6">
        <x:f t="shared" si="87"/>
        <x:v>131582.03999999995</x:v>
      </x:c>
    </x:row>
    <x:row r="1788" spans="1:14" x14ac:dyDescent="0.25">
      <x:c r="A1788" t="s">
        <x:v>22</x:v>
      </x:c>
      <x:c r="B1788" s="3" t="s">
        <x:v>181</x:v>
      </x:c>
      <x:c r="C1788" s="3" t="s">
        <x:v>497</x:v>
      </x:c>
      <x:c r="D1788" t="s">
        <x:v>677</x:v>
      </x:c>
      <x:c r="E1788" s="6">
        <x:v>0</x:v>
      </x:c>
      <x:c r="F1788" s="6">
        <x:v>0</x:v>
      </x:c>
      <x:c r="G1788" s="6">
        <x:v>0</x:v>
      </x:c>
      <x:c r="H1788" s="6">
        <x:f t="shared" si="85"/>
        <x:v>0</x:v>
      </x:c>
      <x:c r="I1788" s="6">
        <x:v>24322.549999999996</x:v>
      </x:c>
      <x:c r="J1788" s="6">
        <x:v>0</x:v>
      </x:c>
      <x:c r="K1788" s="6">
        <x:f t="shared" si="86"/>
        <x:v>24322.549999999996</x:v>
      </x:c>
      <x:c r="L1788" s="6">
        <x:v>0</x:v>
      </x:c>
      <x:c r="M1788" s="6">
        <x:v>0</x:v>
      </x:c>
      <x:c r="N1788" s="6">
        <x:f t="shared" si="87"/>
        <x:v>24322.549999999996</x:v>
      </x:c>
    </x:row>
    <x:row r="1789" spans="1:14" x14ac:dyDescent="0.25">
      <x:c r="A1789" t="s">
        <x:v>22</x:v>
      </x:c>
      <x:c r="B1789" s="3" t="s">
        <x:v>235</x:v>
      </x:c>
      <x:c r="C1789" s="3" t="s">
        <x:v>550</x:v>
      </x:c>
      <x:c r="D1789" t="s">
        <x:v>677</x:v>
      </x:c>
      <x:c r="E1789" s="6">
        <x:v>0</x:v>
      </x:c>
      <x:c r="F1789" s="6">
        <x:v>0</x:v>
      </x:c>
      <x:c r="G1789" s="6">
        <x:v>0</x:v>
      </x:c>
      <x:c r="H1789" s="6">
        <x:f t="shared" si="85"/>
        <x:v>0</x:v>
      </x:c>
      <x:c r="I1789" s="6">
        <x:v>159838.49000000002</x:v>
      </x:c>
      <x:c r="J1789" s="6">
        <x:v>0</x:v>
      </x:c>
      <x:c r="K1789" s="6">
        <x:f t="shared" si="86"/>
        <x:v>159838.49000000002</x:v>
      </x:c>
      <x:c r="L1789" s="6">
        <x:v>0</x:v>
      </x:c>
      <x:c r="M1789" s="6">
        <x:v>0</x:v>
      </x:c>
      <x:c r="N1789" s="6">
        <x:f t="shared" si="87"/>
        <x:v>159838.49000000002</x:v>
      </x:c>
    </x:row>
    <x:row r="1790" spans="1:14" x14ac:dyDescent="0.25">
      <x:c r="A1790" t="s">
        <x:v>22</x:v>
      </x:c>
      <x:c r="B1790" s="3" t="s">
        <x:v>183</x:v>
      </x:c>
      <x:c r="C1790" s="3" t="s">
        <x:v>499</x:v>
      </x:c>
      <x:c r="D1790" t="s">
        <x:v>677</x:v>
      </x:c>
      <x:c r="E1790" s="6">
        <x:v>0</x:v>
      </x:c>
      <x:c r="F1790" s="6">
        <x:v>0</x:v>
      </x:c>
      <x:c r="G1790" s="6">
        <x:v>0</x:v>
      </x:c>
      <x:c r="H1790" s="6">
        <x:f t="shared" si="85"/>
        <x:v>0</x:v>
      </x:c>
      <x:c r="I1790" s="6">
        <x:v>58758.699999999968</x:v>
      </x:c>
      <x:c r="J1790" s="6">
        <x:v>0</x:v>
      </x:c>
      <x:c r="K1790" s="6">
        <x:f t="shared" si="86"/>
        <x:v>58758.699999999968</x:v>
      </x:c>
      <x:c r="L1790" s="6">
        <x:v>0</x:v>
      </x:c>
      <x:c r="M1790" s="6">
        <x:v>0</x:v>
      </x:c>
      <x:c r="N1790" s="6">
        <x:f t="shared" si="87"/>
        <x:v>58758.699999999968</x:v>
      </x:c>
    </x:row>
    <x:row r="1791" spans="1:14" x14ac:dyDescent="0.25">
      <x:c r="A1791" t="s">
        <x:v>22</x:v>
      </x:c>
      <x:c r="B1791" s="3" t="s">
        <x:v>184</x:v>
      </x:c>
      <x:c r="C1791" s="3" t="s">
        <x:v>500</x:v>
      </x:c>
      <x:c r="D1791" t="s">
        <x:v>677</x:v>
      </x:c>
      <x:c r="E1791" s="6">
        <x:v>0</x:v>
      </x:c>
      <x:c r="F1791" s="6">
        <x:v>0</x:v>
      </x:c>
      <x:c r="G1791" s="6">
        <x:v>0</x:v>
      </x:c>
      <x:c r="H1791" s="6">
        <x:f t="shared" si="85"/>
        <x:v>0</x:v>
      </x:c>
      <x:c r="I1791" s="6">
        <x:v>-27495.879999999997</x:v>
      </x:c>
      <x:c r="J1791" s="6">
        <x:v>0</x:v>
      </x:c>
      <x:c r="K1791" s="6">
        <x:f t="shared" si="86"/>
        <x:v>-27495.879999999997</x:v>
      </x:c>
      <x:c r="L1791" s="6">
        <x:v>0</x:v>
      </x:c>
      <x:c r="M1791" s="6">
        <x:v>0</x:v>
      </x:c>
      <x:c r="N1791" s="6">
        <x:f t="shared" si="87"/>
        <x:v>-27495.879999999997</x:v>
      </x:c>
    </x:row>
    <x:row r="1792" spans="1:14" x14ac:dyDescent="0.25">
      <x:c r="A1792" t="s">
        <x:v>22</x:v>
      </x:c>
      <x:c r="B1792" s="3" t="s">
        <x:v>185</x:v>
      </x:c>
      <x:c r="C1792" s="3" t="s">
        <x:v>501</x:v>
      </x:c>
      <x:c r="D1792" t="s">
        <x:v>677</x:v>
      </x:c>
      <x:c r="E1792" s="6">
        <x:v>0</x:v>
      </x:c>
      <x:c r="F1792" s="6">
        <x:v>0</x:v>
      </x:c>
      <x:c r="G1792" s="6">
        <x:v>0</x:v>
      </x:c>
      <x:c r="H1792" s="6">
        <x:f t="shared" si="85"/>
        <x:v>0</x:v>
      </x:c>
      <x:c r="I1792" s="6">
        <x:v>-1269.69</x:v>
      </x:c>
      <x:c r="J1792" s="6">
        <x:v>0</x:v>
      </x:c>
      <x:c r="K1792" s="6">
        <x:f t="shared" si="86"/>
        <x:v>-1269.69</x:v>
      </x:c>
      <x:c r="L1792" s="6">
        <x:v>0</x:v>
      </x:c>
      <x:c r="M1792" s="6">
        <x:v>0</x:v>
      </x:c>
      <x:c r="N1792" s="6">
        <x:f t="shared" si="87"/>
        <x:v>-1269.69</x:v>
      </x:c>
    </x:row>
    <x:row r="1793" spans="1:14" x14ac:dyDescent="0.25">
      <x:c r="A1793" t="s">
        <x:v>22</x:v>
      </x:c>
      <x:c r="B1793" s="3" t="s">
        <x:v>186</x:v>
      </x:c>
      <x:c r="C1793" s="3" t="s">
        <x:v>502</x:v>
      </x:c>
      <x:c r="D1793" t="s">
        <x:v>677</x:v>
      </x:c>
      <x:c r="E1793" s="6">
        <x:v>0</x:v>
      </x:c>
      <x:c r="F1793" s="6">
        <x:v>0</x:v>
      </x:c>
      <x:c r="G1793" s="6">
        <x:v>0</x:v>
      </x:c>
      <x:c r="H1793" s="6">
        <x:f t="shared" si="85"/>
        <x:v>0</x:v>
      </x:c>
      <x:c r="I1793" s="6">
        <x:v>402020.36999999994</x:v>
      </x:c>
      <x:c r="J1793" s="6">
        <x:v>0</x:v>
      </x:c>
      <x:c r="K1793" s="6">
        <x:f t="shared" si="86"/>
        <x:v>402020.36999999994</x:v>
      </x:c>
      <x:c r="L1793" s="6">
        <x:v>0</x:v>
      </x:c>
      <x:c r="M1793" s="6">
        <x:v>0</x:v>
      </x:c>
      <x:c r="N1793" s="6">
        <x:f t="shared" si="87"/>
        <x:v>402020.36999999994</x:v>
      </x:c>
    </x:row>
    <x:row r="1794" spans="1:14" x14ac:dyDescent="0.25">
      <x:c r="A1794" t="s">
        <x:v>22</x:v>
      </x:c>
      <x:c r="B1794" s="3" t="s">
        <x:v>187</x:v>
      </x:c>
      <x:c r="C1794" s="3" t="s">
        <x:v>503</x:v>
      </x:c>
      <x:c r="D1794" t="s">
        <x:v>677</x:v>
      </x:c>
      <x:c r="E1794" s="6">
        <x:v>0</x:v>
      </x:c>
      <x:c r="F1794" s="6">
        <x:v>0</x:v>
      </x:c>
      <x:c r="G1794" s="6">
        <x:v>0</x:v>
      </x:c>
      <x:c r="H1794" s="6">
        <x:f t="shared" si="85"/>
        <x:v>0</x:v>
      </x:c>
      <x:c r="I1794" s="6">
        <x:v>125569.76</x:v>
      </x:c>
      <x:c r="J1794" s="6">
        <x:v>0</x:v>
      </x:c>
      <x:c r="K1794" s="6">
        <x:f t="shared" si="86"/>
        <x:v>125569.76</x:v>
      </x:c>
      <x:c r="L1794" s="6">
        <x:v>0</x:v>
      </x:c>
      <x:c r="M1794" s="6">
        <x:v>0</x:v>
      </x:c>
      <x:c r="N1794" s="6">
        <x:f t="shared" si="87"/>
        <x:v>125569.76</x:v>
      </x:c>
    </x:row>
    <x:row r="1795" spans="1:14" x14ac:dyDescent="0.25">
      <x:c r="A1795" t="s">
        <x:v>22</x:v>
      </x:c>
      <x:c r="B1795" s="3" t="s">
        <x:v>188</x:v>
      </x:c>
      <x:c r="C1795" s="3" t="s">
        <x:v>504</x:v>
      </x:c>
      <x:c r="D1795" t="s">
        <x:v>677</x:v>
      </x:c>
      <x:c r="E1795" s="6">
        <x:v>0</x:v>
      </x:c>
      <x:c r="F1795" s="6">
        <x:v>0</x:v>
      </x:c>
      <x:c r="G1795" s="6">
        <x:v>0</x:v>
      </x:c>
      <x:c r="H1795" s="6">
        <x:f t="shared" si="85"/>
        <x:v>0</x:v>
      </x:c>
      <x:c r="I1795" s="6">
        <x:v>138540.24</x:v>
      </x:c>
      <x:c r="J1795" s="6">
        <x:v>0</x:v>
      </x:c>
      <x:c r="K1795" s="6">
        <x:f t="shared" si="86"/>
        <x:v>138540.24</x:v>
      </x:c>
      <x:c r="L1795" s="6">
        <x:v>0</x:v>
      </x:c>
      <x:c r="M1795" s="6">
        <x:v>0</x:v>
      </x:c>
      <x:c r="N1795" s="6">
        <x:f t="shared" si="87"/>
        <x:v>138540.24</x:v>
      </x:c>
    </x:row>
    <x:row r="1796" spans="1:14" x14ac:dyDescent="0.25">
      <x:c r="A1796" t="s">
        <x:v>22</x:v>
      </x:c>
      <x:c r="B1796" s="3" t="s">
        <x:v>189</x:v>
      </x:c>
      <x:c r="C1796" s="3" t="s">
        <x:v>505</x:v>
      </x:c>
      <x:c r="D1796" t="s">
        <x:v>677</x:v>
      </x:c>
      <x:c r="E1796" s="6">
        <x:v>0</x:v>
      </x:c>
      <x:c r="F1796" s="6">
        <x:v>0</x:v>
      </x:c>
      <x:c r="G1796" s="6">
        <x:v>0</x:v>
      </x:c>
      <x:c r="H1796" s="6">
        <x:f t="shared" si="85"/>
        <x:v>0</x:v>
      </x:c>
      <x:c r="I1796" s="6">
        <x:v>166140.59000000003</x:v>
      </x:c>
      <x:c r="J1796" s="6">
        <x:v>0</x:v>
      </x:c>
      <x:c r="K1796" s="6">
        <x:f t="shared" si="86"/>
        <x:v>166140.59000000003</x:v>
      </x:c>
      <x:c r="L1796" s="6">
        <x:v>0</x:v>
      </x:c>
      <x:c r="M1796" s="6">
        <x:v>0</x:v>
      </x:c>
      <x:c r="N1796" s="6">
        <x:f t="shared" si="87"/>
        <x:v>166140.59000000003</x:v>
      </x:c>
    </x:row>
    <x:row r="1797" spans="1:14" x14ac:dyDescent="0.25">
      <x:c r="A1797" t="s">
        <x:v>22</x:v>
      </x:c>
      <x:c r="B1797" s="3" t="s">
        <x:v>236</x:v>
      </x:c>
      <x:c r="C1797" s="3" t="s">
        <x:v>551</x:v>
      </x:c>
      <x:c r="D1797" t="s">
        <x:v>677</x:v>
      </x:c>
      <x:c r="E1797" s="6">
        <x:v>0</x:v>
      </x:c>
      <x:c r="F1797" s="6">
        <x:v>0</x:v>
      </x:c>
      <x:c r="G1797" s="6">
        <x:v>0</x:v>
      </x:c>
      <x:c r="H1797" s="6">
        <x:f t="shared" si="85"/>
        <x:v>0</x:v>
      </x:c>
      <x:c r="I1797" s="6">
        <x:v>61112.010000000009</x:v>
      </x:c>
      <x:c r="J1797" s="6">
        <x:v>0</x:v>
      </x:c>
      <x:c r="K1797" s="6">
        <x:f t="shared" si="86"/>
        <x:v>61112.010000000009</x:v>
      </x:c>
      <x:c r="L1797" s="6">
        <x:v>0</x:v>
      </x:c>
      <x:c r="M1797" s="6">
        <x:v>0</x:v>
      </x:c>
      <x:c r="N1797" s="6">
        <x:f t="shared" si="87"/>
        <x:v>61112.010000000009</x:v>
      </x:c>
    </x:row>
    <x:row r="1798" spans="1:14" x14ac:dyDescent="0.25">
      <x:c r="A1798" t="s">
        <x:v>22</x:v>
      </x:c>
      <x:c r="B1798" s="3" t="s">
        <x:v>192</x:v>
      </x:c>
      <x:c r="C1798" s="3" t="s">
        <x:v>508</x:v>
      </x:c>
      <x:c r="D1798" t="s">
        <x:v>677</x:v>
      </x:c>
      <x:c r="E1798" s="6">
        <x:v>0</x:v>
      </x:c>
      <x:c r="F1798" s="6">
        <x:v>0</x:v>
      </x:c>
      <x:c r="G1798" s="6">
        <x:v>0</x:v>
      </x:c>
      <x:c r="H1798" s="6">
        <x:f t="shared" si="85"/>
        <x:v>0</x:v>
      </x:c>
      <x:c r="I1798" s="6">
        <x:v>6001.62</x:v>
      </x:c>
      <x:c r="J1798" s="6">
        <x:v>0</x:v>
      </x:c>
      <x:c r="K1798" s="6">
        <x:f t="shared" si="86"/>
        <x:v>6001.62</x:v>
      </x:c>
      <x:c r="L1798" s="6">
        <x:v>0</x:v>
      </x:c>
      <x:c r="M1798" s="6">
        <x:v>0</x:v>
      </x:c>
      <x:c r="N1798" s="6">
        <x:f t="shared" si="87"/>
        <x:v>6001.62</x:v>
      </x:c>
    </x:row>
    <x:row r="1799" spans="1:14" x14ac:dyDescent="0.25">
      <x:c r="A1799" t="s">
        <x:v>22</x:v>
      </x:c>
      <x:c r="B1799" s="3" t="s">
        <x:v>193</x:v>
      </x:c>
      <x:c r="C1799" s="3" t="s">
        <x:v>509</x:v>
      </x:c>
      <x:c r="D1799" t="s">
        <x:v>677</x:v>
      </x:c>
      <x:c r="E1799" s="6">
        <x:v>0</x:v>
      </x:c>
      <x:c r="F1799" s="6">
        <x:v>0</x:v>
      </x:c>
      <x:c r="G1799" s="6">
        <x:v>0</x:v>
      </x:c>
      <x:c r="H1799" s="6">
        <x:f t="shared" si="85"/>
        <x:v>0</x:v>
      </x:c>
      <x:c r="I1799" s="6">
        <x:v>204681.62999999995</x:v>
      </x:c>
      <x:c r="J1799" s="6">
        <x:v>0</x:v>
      </x:c>
      <x:c r="K1799" s="6">
        <x:f t="shared" si="86"/>
        <x:v>204681.62999999995</x:v>
      </x:c>
      <x:c r="L1799" s="6">
        <x:v>0</x:v>
      </x:c>
      <x:c r="M1799" s="6">
        <x:v>0</x:v>
      </x:c>
      <x:c r="N1799" s="6">
        <x:f t="shared" si="87"/>
        <x:v>204681.62999999995</x:v>
      </x:c>
    </x:row>
    <x:row r="1800" spans="1:14" x14ac:dyDescent="0.25">
      <x:c r="A1800" t="s">
        <x:v>22</x:v>
      </x:c>
      <x:c r="B1800" s="3" t="s">
        <x:v>194</x:v>
      </x:c>
      <x:c r="C1800" s="3" t="s">
        <x:v>510</x:v>
      </x:c>
      <x:c r="D1800" t="s">
        <x:v>677</x:v>
      </x:c>
      <x:c r="E1800" s="6">
        <x:v>0</x:v>
      </x:c>
      <x:c r="F1800" s="6">
        <x:v>0</x:v>
      </x:c>
      <x:c r="G1800" s="6">
        <x:v>0</x:v>
      </x:c>
      <x:c r="H1800" s="6">
        <x:f t="shared" si="85"/>
        <x:v>0</x:v>
      </x:c>
      <x:c r="I1800" s="6">
        <x:v>21183.609999999993</x:v>
      </x:c>
      <x:c r="J1800" s="6">
        <x:v>0</x:v>
      </x:c>
      <x:c r="K1800" s="6">
        <x:f t="shared" si="86"/>
        <x:v>21183.609999999993</x:v>
      </x:c>
      <x:c r="L1800" s="6">
        <x:v>0</x:v>
      </x:c>
      <x:c r="M1800" s="6">
        <x:v>0</x:v>
      </x:c>
      <x:c r="N1800" s="6">
        <x:f t="shared" si="87"/>
        <x:v>21183.609999999993</x:v>
      </x:c>
    </x:row>
    <x:row r="1801" spans="1:14" x14ac:dyDescent="0.25">
      <x:c r="A1801" t="s">
        <x:v>22</x:v>
      </x:c>
      <x:c r="B1801" s="3" t="s">
        <x:v>46</x:v>
      </x:c>
      <x:c r="C1801" s="3" t="s">
        <x:v>363</x:v>
      </x:c>
      <x:c r="D1801" t="s">
        <x:v>676</x:v>
      </x:c>
      <x:c r="E1801" s="6">
        <x:v>0</x:v>
      </x:c>
      <x:c r="F1801" s="6">
        <x:v>0</x:v>
      </x:c>
      <x:c r="G1801" s="6">
        <x:v>0</x:v>
      </x:c>
      <x:c r="H1801" s="6">
        <x:f t="shared" si="85"/>
        <x:v>0</x:v>
      </x:c>
      <x:c r="I1801" s="6">
        <x:v>0</x:v>
      </x:c>
      <x:c r="J1801" s="6">
        <x:v>0</x:v>
      </x:c>
      <x:c r="K1801" s="6">
        <x:f t="shared" si="86"/>
        <x:v>0</x:v>
      </x:c>
      <x:c r="L1801" s="6">
        <x:v>10.76</x:v>
      </x:c>
      <x:c r="M1801" s="6">
        <x:v>0</x:v>
      </x:c>
      <x:c r="N1801" s="6">
        <x:f t="shared" si="87"/>
        <x:v>10.76</x:v>
      </x:c>
    </x:row>
    <x:row r="1802" spans="1:14" x14ac:dyDescent="0.25">
      <x:c r="A1802" t="s">
        <x:v>22</x:v>
      </x:c>
      <x:c r="B1802" s="3" t="s">
        <x:v>195</x:v>
      </x:c>
      <x:c r="C1802" s="3" t="s">
        <x:v>511</x:v>
      </x:c>
      <x:c r="D1802" t="s">
        <x:v>677</x:v>
      </x:c>
      <x:c r="E1802" s="6">
        <x:v>0</x:v>
      </x:c>
      <x:c r="F1802" s="6">
        <x:v>0</x:v>
      </x:c>
      <x:c r="G1802" s="6">
        <x:v>0</x:v>
      </x:c>
      <x:c r="H1802" s="6">
        <x:f t="shared" si="85"/>
        <x:v>0</x:v>
      </x:c>
      <x:c r="I1802" s="6">
        <x:v>4595.13</x:v>
      </x:c>
      <x:c r="J1802" s="6">
        <x:v>0</x:v>
      </x:c>
      <x:c r="K1802" s="6">
        <x:f t="shared" si="86"/>
        <x:v>4595.13</x:v>
      </x:c>
      <x:c r="L1802" s="6">
        <x:v>0</x:v>
      </x:c>
      <x:c r="M1802" s="6">
        <x:v>0</x:v>
      </x:c>
      <x:c r="N1802" s="6">
        <x:f t="shared" si="87"/>
        <x:v>4595.13</x:v>
      </x:c>
    </x:row>
    <x:row r="1803" spans="1:14" x14ac:dyDescent="0.25">
      <x:c r="A1803" t="s">
        <x:v>22</x:v>
      </x:c>
      <x:c r="B1803" s="3" t="s">
        <x:v>237</x:v>
      </x:c>
      <x:c r="C1803" s="3" t="s">
        <x:v>552</x:v>
      </x:c>
      <x:c r="D1803" t="s">
        <x:v>677</x:v>
      </x:c>
      <x:c r="E1803" s="6">
        <x:v>0</x:v>
      </x:c>
      <x:c r="F1803" s="6">
        <x:v>0</x:v>
      </x:c>
      <x:c r="G1803" s="6">
        <x:v>0</x:v>
      </x:c>
      <x:c r="H1803" s="6">
        <x:f t="shared" si="85"/>
        <x:v>0</x:v>
      </x:c>
      <x:c r="I1803" s="6">
        <x:v>25458.579999999998</x:v>
      </x:c>
      <x:c r="J1803" s="6">
        <x:v>0</x:v>
      </x:c>
      <x:c r="K1803" s="6">
        <x:f t="shared" si="86"/>
        <x:v>25458.579999999998</x:v>
      </x:c>
      <x:c r="L1803" s="6">
        <x:v>0</x:v>
      </x:c>
      <x:c r="M1803" s="6">
        <x:v>0</x:v>
      </x:c>
      <x:c r="N1803" s="6">
        <x:f t="shared" si="87"/>
        <x:v>25458.579999999998</x:v>
      </x:c>
    </x:row>
    <x:row r="1804" spans="1:14" x14ac:dyDescent="0.25">
      <x:c r="A1804" t="s">
        <x:v>22</x:v>
      </x:c>
      <x:c r="B1804" s="3" t="s">
        <x:v>196</x:v>
      </x:c>
      <x:c r="C1804" s="3" t="s">
        <x:v>512</x:v>
      </x:c>
      <x:c r="D1804" t="s">
        <x:v>677</x:v>
      </x:c>
      <x:c r="E1804" s="6">
        <x:v>0</x:v>
      </x:c>
      <x:c r="F1804" s="6">
        <x:v>0</x:v>
      </x:c>
      <x:c r="G1804" s="6">
        <x:v>0</x:v>
      </x:c>
      <x:c r="H1804" s="6">
        <x:f t="shared" si="85"/>
        <x:v>0</x:v>
      </x:c>
      <x:c r="I1804" s="6">
        <x:v>144312.59</x:v>
      </x:c>
      <x:c r="J1804" s="6">
        <x:v>0</x:v>
      </x:c>
      <x:c r="K1804" s="6">
        <x:f t="shared" si="86"/>
        <x:v>144312.59</x:v>
      </x:c>
      <x:c r="L1804" s="6">
        <x:v>0</x:v>
      </x:c>
      <x:c r="M1804" s="6">
        <x:v>0</x:v>
      </x:c>
      <x:c r="N1804" s="6">
        <x:f t="shared" si="87"/>
        <x:v>144312.59</x:v>
      </x:c>
    </x:row>
    <x:row r="1805" spans="1:14" x14ac:dyDescent="0.25">
      <x:c r="A1805" t="s">
        <x:v>22</x:v>
      </x:c>
      <x:c r="B1805" s="3" t="s">
        <x:v>63</x:v>
      </x:c>
      <x:c r="C1805" s="3" t="s">
        <x:v>380</x:v>
      </x:c>
      <x:c r="D1805" t="s">
        <x:v>677</x:v>
      </x:c>
      <x:c r="E1805" s="6">
        <x:v>0</x:v>
      </x:c>
      <x:c r="F1805" s="6">
        <x:v>0</x:v>
      </x:c>
      <x:c r="G1805" s="6">
        <x:v>0</x:v>
      </x:c>
      <x:c r="H1805" s="6">
        <x:f t="shared" si="85"/>
        <x:v>0</x:v>
      </x:c>
      <x:c r="I1805" s="6">
        <x:v>21320.900000000023</x:v>
      </x:c>
      <x:c r="J1805" s="6">
        <x:v>0</x:v>
      </x:c>
      <x:c r="K1805" s="6">
        <x:f t="shared" si="86"/>
        <x:v>21320.900000000023</x:v>
      </x:c>
      <x:c r="L1805" s="6">
        <x:v>0</x:v>
      </x:c>
      <x:c r="M1805" s="6">
        <x:v>0</x:v>
      </x:c>
      <x:c r="N1805" s="6">
        <x:f t="shared" si="87"/>
        <x:v>21320.900000000023</x:v>
      </x:c>
    </x:row>
    <x:row r="1806" spans="1:14" x14ac:dyDescent="0.25">
      <x:c r="A1806" t="s">
        <x:v>22</x:v>
      </x:c>
      <x:c r="B1806" s="3" t="s">
        <x:v>199</x:v>
      </x:c>
      <x:c r="C1806" s="3" t="s">
        <x:v>515</x:v>
      </x:c>
      <x:c r="D1806" t="s">
        <x:v>677</x:v>
      </x:c>
      <x:c r="E1806" s="6">
        <x:v>0</x:v>
      </x:c>
      <x:c r="F1806" s="6">
        <x:v>0</x:v>
      </x:c>
      <x:c r="G1806" s="6">
        <x:v>0</x:v>
      </x:c>
      <x:c r="H1806" s="6">
        <x:f t="shared" si="85"/>
        <x:v>0</x:v>
      </x:c>
      <x:c r="I1806" s="6">
        <x:v>34417.440000000002</x:v>
      </x:c>
      <x:c r="J1806" s="6">
        <x:v>0</x:v>
      </x:c>
      <x:c r="K1806" s="6">
        <x:f t="shared" si="86"/>
        <x:v>34417.440000000002</x:v>
      </x:c>
      <x:c r="L1806" s="6">
        <x:v>0</x:v>
      </x:c>
      <x:c r="M1806" s="6">
        <x:v>0</x:v>
      </x:c>
      <x:c r="N1806" s="6">
        <x:f t="shared" si="87"/>
        <x:v>34417.440000000002</x:v>
      </x:c>
    </x:row>
    <x:row r="1807" spans="1:14" x14ac:dyDescent="0.25">
      <x:c r="A1807" t="s">
        <x:v>22</x:v>
      </x:c>
      <x:c r="B1807" s="3" t="s">
        <x:v>200</x:v>
      </x:c>
      <x:c r="C1807" s="3" t="s">
        <x:v>516</x:v>
      </x:c>
      <x:c r="D1807" t="s">
        <x:v>677</x:v>
      </x:c>
      <x:c r="E1807" s="6">
        <x:v>0</x:v>
      </x:c>
      <x:c r="F1807" s="6">
        <x:v>0</x:v>
      </x:c>
      <x:c r="G1807" s="6">
        <x:v>0</x:v>
      </x:c>
      <x:c r="H1807" s="6">
        <x:f t="shared" si="85"/>
        <x:v>0</x:v>
      </x:c>
      <x:c r="I1807" s="6">
        <x:v>459370.93000000005</x:v>
      </x:c>
      <x:c r="J1807" s="6">
        <x:v>0</x:v>
      </x:c>
      <x:c r="K1807" s="6">
        <x:f t="shared" si="86"/>
        <x:v>459370.93000000005</x:v>
      </x:c>
      <x:c r="L1807" s="6">
        <x:v>0</x:v>
      </x:c>
      <x:c r="M1807" s="6">
        <x:v>0</x:v>
      </x:c>
      <x:c r="N1807" s="6">
        <x:f t="shared" si="87"/>
        <x:v>459370.93000000005</x:v>
      </x:c>
    </x:row>
    <x:row r="1808" spans="1:14" x14ac:dyDescent="0.25">
      <x:c r="A1808" t="s">
        <x:v>22</x:v>
      </x:c>
      <x:c r="B1808" s="3" t="s">
        <x:v>202</x:v>
      </x:c>
      <x:c r="C1808" s="3" t="s">
        <x:v>518</x:v>
      </x:c>
      <x:c r="D1808" t="s">
        <x:v>677</x:v>
      </x:c>
      <x:c r="E1808" s="6">
        <x:v>0</x:v>
      </x:c>
      <x:c r="F1808" s="6">
        <x:v>0</x:v>
      </x:c>
      <x:c r="G1808" s="6">
        <x:v>0</x:v>
      </x:c>
      <x:c r="H1808" s="6">
        <x:f t="shared" si="85"/>
        <x:v>0</x:v>
      </x:c>
      <x:c r="I1808" s="6">
        <x:v>-52321.04</x:v>
      </x:c>
      <x:c r="J1808" s="6">
        <x:v>0</x:v>
      </x:c>
      <x:c r="K1808" s="6">
        <x:f t="shared" si="86"/>
        <x:v>-52321.04</x:v>
      </x:c>
      <x:c r="L1808" s="6">
        <x:v>0</x:v>
      </x:c>
      <x:c r="M1808" s="6">
        <x:v>0</x:v>
      </x:c>
      <x:c r="N1808" s="6">
        <x:f t="shared" si="87"/>
        <x:v>-52321.04</x:v>
      </x:c>
    </x:row>
    <x:row r="1809" spans="1:14" x14ac:dyDescent="0.25">
      <x:c r="A1809" t="s">
        <x:v>22</x:v>
      </x:c>
      <x:c r="B1809" s="3" t="s">
        <x:v>203</x:v>
      </x:c>
      <x:c r="C1809" s="3" t="s">
        <x:v>519</x:v>
      </x:c>
      <x:c r="D1809" t="s">
        <x:v>677</x:v>
      </x:c>
      <x:c r="E1809" s="6">
        <x:v>0</x:v>
      </x:c>
      <x:c r="F1809" s="6">
        <x:v>0</x:v>
      </x:c>
      <x:c r="G1809" s="6">
        <x:v>0</x:v>
      </x:c>
      <x:c r="H1809" s="6">
        <x:f t="shared" si="85"/>
        <x:v>0</x:v>
      </x:c>
      <x:c r="I1809" s="6">
        <x:v>132047.29000000007</x:v>
      </x:c>
      <x:c r="J1809" s="6">
        <x:v>0</x:v>
      </x:c>
      <x:c r="K1809" s="6">
        <x:f t="shared" si="86"/>
        <x:v>132047.29000000007</x:v>
      </x:c>
      <x:c r="L1809" s="6">
        <x:v>0</x:v>
      </x:c>
      <x:c r="M1809" s="6">
        <x:v>0</x:v>
      </x:c>
      <x:c r="N1809" s="6">
        <x:f t="shared" si="87"/>
        <x:v>132047.29000000007</x:v>
      </x:c>
    </x:row>
    <x:row r="1810" spans="1:14" x14ac:dyDescent="0.25">
      <x:c r="A1810" t="s">
        <x:v>22</x:v>
      </x:c>
      <x:c r="B1810" s="3" t="s">
        <x:v>50</x:v>
      </x:c>
      <x:c r="C1810" s="3" t="s">
        <x:v>367</x:v>
      </x:c>
      <x:c r="D1810" t="s">
        <x:v>677</x:v>
      </x:c>
      <x:c r="E1810" s="6">
        <x:v>0</x:v>
      </x:c>
      <x:c r="F1810" s="6">
        <x:v>0</x:v>
      </x:c>
      <x:c r="G1810" s="6">
        <x:v>0</x:v>
      </x:c>
      <x:c r="H1810" s="6">
        <x:f t="shared" ref="H1810:H1873" si="88">SUM(E1810:G1810)</x:f>
        <x:v>0</x:v>
      </x:c>
      <x:c r="I1810" s="6">
        <x:v>18997.230000000007</x:v>
      </x:c>
      <x:c r="J1810" s="6">
        <x:v>0</x:v>
      </x:c>
      <x:c r="K1810" s="6">
        <x:f t="shared" ref="K1810:K1873" si="89">SUM(I1810:J1810)</x:f>
        <x:v>18997.230000000007</x:v>
      </x:c>
      <x:c r="L1810" s="6">
        <x:v>0</x:v>
      </x:c>
      <x:c r="M1810" s="6">
        <x:v>0</x:v>
      </x:c>
      <x:c r="N1810" s="6">
        <x:f t="shared" ref="N1810:N1873" si="90">+E1810+F1810+G1810+I1810+J1810+L1810+M1810</x:f>
        <x:v>18997.230000000007</x:v>
      </x:c>
    </x:row>
    <x:row r="1811" spans="1:14" x14ac:dyDescent="0.25">
      <x:c r="A1811" t="s">
        <x:v>22</x:v>
      </x:c>
      <x:c r="B1811" s="3" t="s">
        <x:v>239</x:v>
      </x:c>
      <x:c r="C1811" s="3" t="s">
        <x:v>554</x:v>
      </x:c>
      <x:c r="D1811" t="s">
        <x:v>677</x:v>
      </x:c>
      <x:c r="E1811" s="6">
        <x:v>0</x:v>
      </x:c>
      <x:c r="F1811" s="6">
        <x:v>0</x:v>
      </x:c>
      <x:c r="G1811" s="6">
        <x:v>0</x:v>
      </x:c>
      <x:c r="H1811" s="6">
        <x:f t="shared" si="88"/>
        <x:v>0</x:v>
      </x:c>
      <x:c r="I1811" s="6">
        <x:v>257047.39000000013</x:v>
      </x:c>
      <x:c r="J1811" s="6">
        <x:v>0</x:v>
      </x:c>
      <x:c r="K1811" s="6">
        <x:f t="shared" si="89"/>
        <x:v>257047.39000000013</x:v>
      </x:c>
      <x:c r="L1811" s="6">
        <x:v>0</x:v>
      </x:c>
      <x:c r="M1811" s="6">
        <x:v>0</x:v>
      </x:c>
      <x:c r="N1811" s="6">
        <x:f t="shared" si="90"/>
        <x:v>257047.39000000013</x:v>
      </x:c>
    </x:row>
    <x:row r="1812" spans="1:14" x14ac:dyDescent="0.25">
      <x:c r="A1812" t="s">
        <x:v>22</x:v>
      </x:c>
      <x:c r="B1812" s="3" t="s">
        <x:v>204</x:v>
      </x:c>
      <x:c r="C1812" s="3" t="s">
        <x:v>520</x:v>
      </x:c>
      <x:c r="D1812" t="s">
        <x:v>677</x:v>
      </x:c>
      <x:c r="E1812" s="6">
        <x:v>0</x:v>
      </x:c>
      <x:c r="F1812" s="6">
        <x:v>0</x:v>
      </x:c>
      <x:c r="G1812" s="6">
        <x:v>0</x:v>
      </x:c>
      <x:c r="H1812" s="6">
        <x:f t="shared" si="88"/>
        <x:v>0</x:v>
      </x:c>
      <x:c r="I1812" s="6">
        <x:v>379940.31000000006</x:v>
      </x:c>
      <x:c r="J1812" s="6">
        <x:v>0</x:v>
      </x:c>
      <x:c r="K1812" s="6">
        <x:f t="shared" si="89"/>
        <x:v>379940.31000000006</x:v>
      </x:c>
      <x:c r="L1812" s="6">
        <x:v>0</x:v>
      </x:c>
      <x:c r="M1812" s="6">
        <x:v>0</x:v>
      </x:c>
      <x:c r="N1812" s="6">
        <x:f t="shared" si="90"/>
        <x:v>379940.31000000006</x:v>
      </x:c>
    </x:row>
    <x:row r="1813" spans="1:14" x14ac:dyDescent="0.25">
      <x:c r="A1813" t="s">
        <x:v>22</x:v>
      </x:c>
      <x:c r="B1813" s="3" t="s">
        <x:v>205</x:v>
      </x:c>
      <x:c r="C1813" s="3" t="s">
        <x:v>521</x:v>
      </x:c>
      <x:c r="D1813" t="s">
        <x:v>677</x:v>
      </x:c>
      <x:c r="E1813" s="6">
        <x:v>0</x:v>
      </x:c>
      <x:c r="F1813" s="6">
        <x:v>0</x:v>
      </x:c>
      <x:c r="G1813" s="6">
        <x:v>0</x:v>
      </x:c>
      <x:c r="H1813" s="6">
        <x:f t="shared" si="88"/>
        <x:v>0</x:v>
      </x:c>
      <x:c r="I1813" s="6">
        <x:v>52336.03</x:v>
      </x:c>
      <x:c r="J1813" s="6">
        <x:v>0</x:v>
      </x:c>
      <x:c r="K1813" s="6">
        <x:f t="shared" si="89"/>
        <x:v>52336.03</x:v>
      </x:c>
      <x:c r="L1813" s="6">
        <x:v>0</x:v>
      </x:c>
      <x:c r="M1813" s="6">
        <x:v>0</x:v>
      </x:c>
      <x:c r="N1813" s="6">
        <x:f t="shared" si="90"/>
        <x:v>52336.03</x:v>
      </x:c>
    </x:row>
    <x:row r="1814" spans="1:14" x14ac:dyDescent="0.25">
      <x:c r="A1814" t="s">
        <x:v>22</x:v>
      </x:c>
      <x:c r="B1814" s="3" t="s">
        <x:v>240</x:v>
      </x:c>
      <x:c r="C1814" s="3" t="s">
        <x:v>555</x:v>
      </x:c>
      <x:c r="D1814" t="s">
        <x:v>677</x:v>
      </x:c>
      <x:c r="E1814" s="6">
        <x:v>0</x:v>
      </x:c>
      <x:c r="F1814" s="6">
        <x:v>0</x:v>
      </x:c>
      <x:c r="G1814" s="6">
        <x:v>0</x:v>
      </x:c>
      <x:c r="H1814" s="6">
        <x:f t="shared" si="88"/>
        <x:v>0</x:v>
      </x:c>
      <x:c r="I1814" s="6">
        <x:v>15601.13</x:v>
      </x:c>
      <x:c r="J1814" s="6">
        <x:v>0</x:v>
      </x:c>
      <x:c r="K1814" s="6">
        <x:f t="shared" si="89"/>
        <x:v>15601.13</x:v>
      </x:c>
      <x:c r="L1814" s="6">
        <x:v>0</x:v>
      </x:c>
      <x:c r="M1814" s="6">
        <x:v>0</x:v>
      </x:c>
      <x:c r="N1814" s="6">
        <x:f t="shared" si="90"/>
        <x:v>15601.13</x:v>
      </x:c>
    </x:row>
    <x:row r="1815" spans="1:14" x14ac:dyDescent="0.25">
      <x:c r="A1815" t="s">
        <x:v>22</x:v>
      </x:c>
      <x:c r="B1815" s="3" t="s">
        <x:v>206</x:v>
      </x:c>
      <x:c r="C1815" s="3" t="s">
        <x:v>522</x:v>
      </x:c>
      <x:c r="D1815" t="s">
        <x:v>677</x:v>
      </x:c>
      <x:c r="E1815" s="6">
        <x:v>0</x:v>
      </x:c>
      <x:c r="F1815" s="6">
        <x:v>0</x:v>
      </x:c>
      <x:c r="G1815" s="6">
        <x:v>0</x:v>
      </x:c>
      <x:c r="H1815" s="6">
        <x:f t="shared" si="88"/>
        <x:v>0</x:v>
      </x:c>
      <x:c r="I1815" s="6">
        <x:v>-84301.659999999858</x:v>
      </x:c>
      <x:c r="J1815" s="6">
        <x:v>0</x:v>
      </x:c>
      <x:c r="K1815" s="6">
        <x:f t="shared" si="89"/>
        <x:v>-84301.659999999858</x:v>
      </x:c>
      <x:c r="L1815" s="6">
        <x:v>0</x:v>
      </x:c>
      <x:c r="M1815" s="6">
        <x:v>0</x:v>
      </x:c>
      <x:c r="N1815" s="6">
        <x:f t="shared" si="90"/>
        <x:v>-84301.659999999858</x:v>
      </x:c>
    </x:row>
    <x:row r="1816" spans="1:14" x14ac:dyDescent="0.25">
      <x:c r="A1816" t="s">
        <x:v>22</x:v>
      </x:c>
      <x:c r="B1816" s="3" t="s">
        <x:v>209</x:v>
      </x:c>
      <x:c r="C1816" s="3" t="s">
        <x:v>525</x:v>
      </x:c>
      <x:c r="D1816" t="s">
        <x:v>677</x:v>
      </x:c>
      <x:c r="E1816" s="6">
        <x:v>0</x:v>
      </x:c>
      <x:c r="F1816" s="6">
        <x:v>0</x:v>
      </x:c>
      <x:c r="G1816" s="6">
        <x:v>0</x:v>
      </x:c>
      <x:c r="H1816" s="6">
        <x:f t="shared" si="88"/>
        <x:v>0</x:v>
      </x:c>
      <x:c r="I1816" s="6">
        <x:v>86979.549999999988</x:v>
      </x:c>
      <x:c r="J1816" s="6">
        <x:v>0</x:v>
      </x:c>
      <x:c r="K1816" s="6">
        <x:f t="shared" si="89"/>
        <x:v>86979.549999999988</x:v>
      </x:c>
      <x:c r="L1816" s="6">
        <x:v>0</x:v>
      </x:c>
      <x:c r="M1816" s="6">
        <x:v>0</x:v>
      </x:c>
      <x:c r="N1816" s="6">
        <x:f t="shared" si="90"/>
        <x:v>86979.549999999988</x:v>
      </x:c>
    </x:row>
    <x:row r="1817" spans="1:14" x14ac:dyDescent="0.25">
      <x:c r="A1817" t="s">
        <x:v>22</x:v>
      </x:c>
      <x:c r="B1817" s="3" t="s">
        <x:v>210</x:v>
      </x:c>
      <x:c r="C1817" s="3" t="s">
        <x:v>526</x:v>
      </x:c>
      <x:c r="D1817" t="s">
        <x:v>677</x:v>
      </x:c>
      <x:c r="E1817" s="6">
        <x:v>0</x:v>
      </x:c>
      <x:c r="F1817" s="6">
        <x:v>0</x:v>
      </x:c>
      <x:c r="G1817" s="6">
        <x:v>0</x:v>
      </x:c>
      <x:c r="H1817" s="6">
        <x:f t="shared" si="88"/>
        <x:v>0</x:v>
      </x:c>
      <x:c r="I1817" s="6">
        <x:v>46948.160000000003</x:v>
      </x:c>
      <x:c r="J1817" s="6">
        <x:v>0</x:v>
      </x:c>
      <x:c r="K1817" s="6">
        <x:f t="shared" si="89"/>
        <x:v>46948.160000000003</x:v>
      </x:c>
      <x:c r="L1817" s="6">
        <x:v>0</x:v>
      </x:c>
      <x:c r="M1817" s="6">
        <x:v>0</x:v>
      </x:c>
      <x:c r="N1817" s="6">
        <x:f t="shared" si="90"/>
        <x:v>46948.160000000003</x:v>
      </x:c>
    </x:row>
    <x:row r="1818" spans="1:14" x14ac:dyDescent="0.25">
      <x:c r="A1818" t="s">
        <x:v>22</x:v>
      </x:c>
      <x:c r="B1818" s="3" t="s">
        <x:v>211</x:v>
      </x:c>
      <x:c r="C1818" s="3" t="s">
        <x:v>527</x:v>
      </x:c>
      <x:c r="D1818" t="s">
        <x:v>677</x:v>
      </x:c>
      <x:c r="E1818" s="6">
        <x:v>0</x:v>
      </x:c>
      <x:c r="F1818" s="6">
        <x:v>0</x:v>
      </x:c>
      <x:c r="G1818" s="6">
        <x:v>0</x:v>
      </x:c>
      <x:c r="H1818" s="6">
        <x:f t="shared" si="88"/>
        <x:v>0</x:v>
      </x:c>
      <x:c r="I1818" s="6">
        <x:v>13042.630000000001</x:v>
      </x:c>
      <x:c r="J1818" s="6">
        <x:v>0</x:v>
      </x:c>
      <x:c r="K1818" s="6">
        <x:f t="shared" si="89"/>
        <x:v>13042.630000000001</x:v>
      </x:c>
      <x:c r="L1818" s="6">
        <x:v>0</x:v>
      </x:c>
      <x:c r="M1818" s="6">
        <x:v>0</x:v>
      </x:c>
      <x:c r="N1818" s="6">
        <x:f t="shared" si="90"/>
        <x:v>13042.630000000001</x:v>
      </x:c>
    </x:row>
    <x:row r="1819" spans="1:14" x14ac:dyDescent="0.25">
      <x:c r="A1819" t="s">
        <x:v>22</x:v>
      </x:c>
      <x:c r="B1819" s="3" t="s">
        <x:v>212</x:v>
      </x:c>
      <x:c r="C1819" s="3" t="s">
        <x:v>528</x:v>
      </x:c>
      <x:c r="D1819" t="s">
        <x:v>677</x:v>
      </x:c>
      <x:c r="E1819" s="6">
        <x:v>0</x:v>
      </x:c>
      <x:c r="F1819" s="6">
        <x:v>0</x:v>
      </x:c>
      <x:c r="G1819" s="6">
        <x:v>0</x:v>
      </x:c>
      <x:c r="H1819" s="6">
        <x:f t="shared" si="88"/>
        <x:v>0</x:v>
      </x:c>
      <x:c r="I1819" s="6">
        <x:v>50699.439999999995</x:v>
      </x:c>
      <x:c r="J1819" s="6">
        <x:v>0</x:v>
      </x:c>
      <x:c r="K1819" s="6">
        <x:f t="shared" si="89"/>
        <x:v>50699.439999999995</x:v>
      </x:c>
      <x:c r="L1819" s="6">
        <x:v>0</x:v>
      </x:c>
      <x:c r="M1819" s="6">
        <x:v>0</x:v>
      </x:c>
      <x:c r="N1819" s="6">
        <x:f t="shared" si="90"/>
        <x:v>50699.439999999995</x:v>
      </x:c>
    </x:row>
    <x:row r="1820" spans="1:14" x14ac:dyDescent="0.25">
      <x:c r="A1820" t="s">
        <x:v>22</x:v>
      </x:c>
      <x:c r="B1820" s="3" t="s">
        <x:v>64</x:v>
      </x:c>
      <x:c r="C1820" s="3" t="s">
        <x:v>381</x:v>
      </x:c>
      <x:c r="D1820" t="s">
        <x:v>677</x:v>
      </x:c>
      <x:c r="E1820" s="6">
        <x:v>0</x:v>
      </x:c>
      <x:c r="F1820" s="6">
        <x:v>0</x:v>
      </x:c>
      <x:c r="G1820" s="6">
        <x:v>0</x:v>
      </x:c>
      <x:c r="H1820" s="6">
        <x:f t="shared" si="88"/>
        <x:v>0</x:v>
      </x:c>
      <x:c r="I1820" s="6">
        <x:v>22458.76</x:v>
      </x:c>
      <x:c r="J1820" s="6">
        <x:v>0</x:v>
      </x:c>
      <x:c r="K1820" s="6">
        <x:f t="shared" si="89"/>
        <x:v>22458.76</x:v>
      </x:c>
      <x:c r="L1820" s="6">
        <x:v>0</x:v>
      </x:c>
      <x:c r="M1820" s="6">
        <x:v>0</x:v>
      </x:c>
      <x:c r="N1820" s="6">
        <x:f t="shared" si="90"/>
        <x:v>22458.76</x:v>
      </x:c>
    </x:row>
    <x:row r="1821" spans="1:14" x14ac:dyDescent="0.25">
      <x:c r="A1821" t="s">
        <x:v>22</x:v>
      </x:c>
      <x:c r="B1821" s="3" t="s">
        <x:v>213</x:v>
      </x:c>
      <x:c r="C1821" s="3" t="s">
        <x:v>529</x:v>
      </x:c>
      <x:c r="D1821" t="s">
        <x:v>677</x:v>
      </x:c>
      <x:c r="E1821" s="6">
        <x:v>0</x:v>
      </x:c>
      <x:c r="F1821" s="6">
        <x:v>0</x:v>
      </x:c>
      <x:c r="G1821" s="6">
        <x:v>0</x:v>
      </x:c>
      <x:c r="H1821" s="6">
        <x:f t="shared" si="88"/>
        <x:v>0</x:v>
      </x:c>
      <x:c r="I1821" s="6">
        <x:v>13916.779999999997</x:v>
      </x:c>
      <x:c r="J1821" s="6">
        <x:v>0</x:v>
      </x:c>
      <x:c r="K1821" s="6">
        <x:f t="shared" si="89"/>
        <x:v>13916.779999999997</x:v>
      </x:c>
      <x:c r="L1821" s="6">
        <x:v>0</x:v>
      </x:c>
      <x:c r="M1821" s="6">
        <x:v>0</x:v>
      </x:c>
      <x:c r="N1821" s="6">
        <x:f t="shared" si="90"/>
        <x:v>13916.779999999997</x:v>
      </x:c>
    </x:row>
    <x:row r="1822" spans="1:14" x14ac:dyDescent="0.25">
      <x:c r="A1822" t="s">
        <x:v>22</x:v>
      </x:c>
      <x:c r="B1822" s="3" t="s">
        <x:v>215</x:v>
      </x:c>
      <x:c r="C1822" s="3" t="s">
        <x:v>531</x:v>
      </x:c>
      <x:c r="D1822" t="s">
        <x:v>677</x:v>
      </x:c>
      <x:c r="E1822" s="6">
        <x:v>0</x:v>
      </x:c>
      <x:c r="F1822" s="6">
        <x:v>0</x:v>
      </x:c>
      <x:c r="G1822" s="6">
        <x:v>0</x:v>
      </x:c>
      <x:c r="H1822" s="6">
        <x:f t="shared" si="88"/>
        <x:v>0</x:v>
      </x:c>
      <x:c r="I1822" s="6">
        <x:v>124990.04999999997</x:v>
      </x:c>
      <x:c r="J1822" s="6">
        <x:v>0</x:v>
      </x:c>
      <x:c r="K1822" s="6">
        <x:f t="shared" si="89"/>
        <x:v>124990.04999999997</x:v>
      </x:c>
      <x:c r="L1822" s="6">
        <x:v>0</x:v>
      </x:c>
      <x:c r="M1822" s="6">
        <x:v>0</x:v>
      </x:c>
      <x:c r="N1822" s="6">
        <x:f t="shared" si="90"/>
        <x:v>124990.04999999997</x:v>
      </x:c>
    </x:row>
    <x:row r="1823" spans="1:14" x14ac:dyDescent="0.25">
      <x:c r="A1823" t="s">
        <x:v>22</x:v>
      </x:c>
      <x:c r="B1823" s="3" t="s">
        <x:v>216</x:v>
      </x:c>
      <x:c r="C1823" s="3" t="s">
        <x:v>532</x:v>
      </x:c>
      <x:c r="D1823" t="s">
        <x:v>677</x:v>
      </x:c>
      <x:c r="E1823" s="6">
        <x:v>0</x:v>
      </x:c>
      <x:c r="F1823" s="6">
        <x:v>0</x:v>
      </x:c>
      <x:c r="G1823" s="6">
        <x:v>0</x:v>
      </x:c>
      <x:c r="H1823" s="6">
        <x:f t="shared" si="88"/>
        <x:v>0</x:v>
      </x:c>
      <x:c r="I1823" s="6">
        <x:v>40407.969999999994</x:v>
      </x:c>
      <x:c r="J1823" s="6">
        <x:v>0</x:v>
      </x:c>
      <x:c r="K1823" s="6">
        <x:f t="shared" si="89"/>
        <x:v>40407.969999999994</x:v>
      </x:c>
      <x:c r="L1823" s="6">
        <x:v>0</x:v>
      </x:c>
      <x:c r="M1823" s="6">
        <x:v>0</x:v>
      </x:c>
      <x:c r="N1823" s="6">
        <x:f t="shared" si="90"/>
        <x:v>40407.969999999994</x:v>
      </x:c>
    </x:row>
    <x:row r="1824" spans="1:14" x14ac:dyDescent="0.25">
      <x:c r="A1824" t="s">
        <x:v>22</x:v>
      </x:c>
      <x:c r="B1824" s="3" t="s">
        <x:v>65</x:v>
      </x:c>
      <x:c r="C1824" s="3" t="s">
        <x:v>382</x:v>
      </x:c>
      <x:c r="D1824" t="s">
        <x:v>677</x:v>
      </x:c>
      <x:c r="E1824" s="6">
        <x:v>0</x:v>
      </x:c>
      <x:c r="F1824" s="6">
        <x:v>0</x:v>
      </x:c>
      <x:c r="G1824" s="6">
        <x:v>0</x:v>
      </x:c>
      <x:c r="H1824" s="6">
        <x:f t="shared" si="88"/>
        <x:v>0</x:v>
      </x:c>
      <x:c r="I1824" s="6">
        <x:v>92821.85000000002</x:v>
      </x:c>
      <x:c r="J1824" s="6">
        <x:v>0</x:v>
      </x:c>
      <x:c r="K1824" s="6">
        <x:f t="shared" si="89"/>
        <x:v>92821.85000000002</x:v>
      </x:c>
      <x:c r="L1824" s="6">
        <x:v>0</x:v>
      </x:c>
      <x:c r="M1824" s="6">
        <x:v>0</x:v>
      </x:c>
      <x:c r="N1824" s="6">
        <x:f t="shared" si="90"/>
        <x:v>92821.85000000002</x:v>
      </x:c>
    </x:row>
    <x:row r="1825" spans="1:14" x14ac:dyDescent="0.25">
      <x:c r="A1825" t="s">
        <x:v>22</x:v>
      </x:c>
      <x:c r="B1825" s="3" t="s">
        <x:v>217</x:v>
      </x:c>
      <x:c r="C1825" s="3" t="s">
        <x:v>533</x:v>
      </x:c>
      <x:c r="D1825" t="s">
        <x:v>677</x:v>
      </x:c>
      <x:c r="E1825" s="6">
        <x:v>0</x:v>
      </x:c>
      <x:c r="F1825" s="6">
        <x:v>0</x:v>
      </x:c>
      <x:c r="G1825" s="6">
        <x:v>0</x:v>
      </x:c>
      <x:c r="H1825" s="6">
        <x:f t="shared" si="88"/>
        <x:v>0</x:v>
      </x:c>
      <x:c r="I1825" s="6">
        <x:v>48867.14</x:v>
      </x:c>
      <x:c r="J1825" s="6">
        <x:v>0</x:v>
      </x:c>
      <x:c r="K1825" s="6">
        <x:f t="shared" si="89"/>
        <x:v>48867.14</x:v>
      </x:c>
      <x:c r="L1825" s="6">
        <x:v>0</x:v>
      </x:c>
      <x:c r="M1825" s="6">
        <x:v>0</x:v>
      </x:c>
      <x:c r="N1825" s="6">
        <x:f t="shared" si="90"/>
        <x:v>48867.14</x:v>
      </x:c>
    </x:row>
    <x:row r="1826" spans="1:14" x14ac:dyDescent="0.25">
      <x:c r="A1826" t="s">
        <x:v>22</x:v>
      </x:c>
      <x:c r="B1826" s="3" t="s">
        <x:v>218</x:v>
      </x:c>
      <x:c r="C1826" s="3" t="s">
        <x:v>534</x:v>
      </x:c>
      <x:c r="D1826" t="s">
        <x:v>677</x:v>
      </x:c>
      <x:c r="E1826" s="6">
        <x:v>0</x:v>
      </x:c>
      <x:c r="F1826" s="6">
        <x:v>0</x:v>
      </x:c>
      <x:c r="G1826" s="6">
        <x:v>0</x:v>
      </x:c>
      <x:c r="H1826" s="6">
        <x:f t="shared" si="88"/>
        <x:v>0</x:v>
      </x:c>
      <x:c r="I1826" s="6">
        <x:v>445061.35000000027</x:v>
      </x:c>
      <x:c r="J1826" s="6">
        <x:v>0</x:v>
      </x:c>
      <x:c r="K1826" s="6">
        <x:f t="shared" si="89"/>
        <x:v>445061.35000000027</x:v>
      </x:c>
      <x:c r="L1826" s="6">
        <x:v>0</x:v>
      </x:c>
      <x:c r="M1826" s="6">
        <x:v>0</x:v>
      </x:c>
      <x:c r="N1826" s="6">
        <x:f t="shared" si="90"/>
        <x:v>445061.35000000027</x:v>
      </x:c>
    </x:row>
    <x:row r="1827" spans="1:14" x14ac:dyDescent="0.25">
      <x:c r="A1827" t="s">
        <x:v>22</x:v>
      </x:c>
      <x:c r="B1827" s="3" t="s">
        <x:v>219</x:v>
      </x:c>
      <x:c r="C1827" s="3" t="s">
        <x:v>535</x:v>
      </x:c>
      <x:c r="D1827" t="s">
        <x:v>677</x:v>
      </x:c>
      <x:c r="E1827" s="6">
        <x:v>0</x:v>
      </x:c>
      <x:c r="F1827" s="6">
        <x:v>0</x:v>
      </x:c>
      <x:c r="G1827" s="6">
        <x:v>0</x:v>
      </x:c>
      <x:c r="H1827" s="6">
        <x:f t="shared" si="88"/>
        <x:v>0</x:v>
      </x:c>
      <x:c r="I1827" s="6">
        <x:v>96895.959999999992</x:v>
      </x:c>
      <x:c r="J1827" s="6">
        <x:v>0</x:v>
      </x:c>
      <x:c r="K1827" s="6">
        <x:f t="shared" si="89"/>
        <x:v>96895.959999999992</x:v>
      </x:c>
      <x:c r="L1827" s="6">
        <x:v>0</x:v>
      </x:c>
      <x:c r="M1827" s="6">
        <x:v>0</x:v>
      </x:c>
      <x:c r="N1827" s="6">
        <x:f t="shared" si="90"/>
        <x:v>96895.959999999992</x:v>
      </x:c>
    </x:row>
    <x:row r="1828" spans="1:14" x14ac:dyDescent="0.25">
      <x:c r="A1828" t="s">
        <x:v>22</x:v>
      </x:c>
      <x:c r="B1828" s="3" t="s">
        <x:v>220</x:v>
      </x:c>
      <x:c r="C1828" s="3" t="s">
        <x:v>536</x:v>
      </x:c>
      <x:c r="D1828" t="s">
        <x:v>677</x:v>
      </x:c>
      <x:c r="E1828" s="6">
        <x:v>0</x:v>
      </x:c>
      <x:c r="F1828" s="6">
        <x:v>0</x:v>
      </x:c>
      <x:c r="G1828" s="6">
        <x:v>0</x:v>
      </x:c>
      <x:c r="H1828" s="6">
        <x:f t="shared" si="88"/>
        <x:v>0</x:v>
      </x:c>
      <x:c r="I1828" s="6">
        <x:v>36735.229999999996</x:v>
      </x:c>
      <x:c r="J1828" s="6">
        <x:v>0</x:v>
      </x:c>
      <x:c r="K1828" s="6">
        <x:f t="shared" si="89"/>
        <x:v>36735.229999999996</x:v>
      </x:c>
      <x:c r="L1828" s="6">
        <x:v>0</x:v>
      </x:c>
      <x:c r="M1828" s="6">
        <x:v>0</x:v>
      </x:c>
      <x:c r="N1828" s="6">
        <x:f t="shared" si="90"/>
        <x:v>36735.229999999996</x:v>
      </x:c>
    </x:row>
    <x:row r="1829" spans="1:14" x14ac:dyDescent="0.25">
      <x:c r="A1829" t="s">
        <x:v>22</x:v>
      </x:c>
      <x:c r="B1829" s="3" t="s">
        <x:v>47</x:v>
      </x:c>
      <x:c r="C1829" s="3" t="s">
        <x:v>364</x:v>
      </x:c>
      <x:c r="D1829" t="s">
        <x:v>676</x:v>
      </x:c>
      <x:c r="E1829" s="6">
        <x:v>0</x:v>
      </x:c>
      <x:c r="F1829" s="6">
        <x:v>0</x:v>
      </x:c>
      <x:c r="G1829" s="6">
        <x:v>0</x:v>
      </x:c>
      <x:c r="H1829" s="6">
        <x:f t="shared" si="88"/>
        <x:v>0</x:v>
      </x:c>
      <x:c r="I1829" s="6">
        <x:v>-1933.62</x:v>
      </x:c>
      <x:c r="J1829" s="6">
        <x:v>0</x:v>
      </x:c>
      <x:c r="K1829" s="6">
        <x:f t="shared" si="89"/>
        <x:v>-1933.62</x:v>
      </x:c>
      <x:c r="L1829" s="6">
        <x:v>0</x:v>
      </x:c>
      <x:c r="M1829" s="6">
        <x:v>0</x:v>
      </x:c>
      <x:c r="N1829" s="6">
        <x:f t="shared" si="90"/>
        <x:v>-1933.62</x:v>
      </x:c>
    </x:row>
    <x:row r="1830" spans="1:14" x14ac:dyDescent="0.25">
      <x:c r="A1830" t="s">
        <x:v>22</x:v>
      </x:c>
      <x:c r="B1830" s="3" t="s">
        <x:v>226</x:v>
      </x:c>
      <x:c r="C1830" s="3" t="s">
        <x:v>542</x:v>
      </x:c>
      <x:c r="D1830" t="s">
        <x:v>677</x:v>
      </x:c>
      <x:c r="E1830" s="6">
        <x:v>0</x:v>
      </x:c>
      <x:c r="F1830" s="6">
        <x:v>0</x:v>
      </x:c>
      <x:c r="G1830" s="6">
        <x:v>0</x:v>
      </x:c>
      <x:c r="H1830" s="6">
        <x:f t="shared" si="88"/>
        <x:v>0</x:v>
      </x:c>
      <x:c r="I1830" s="6">
        <x:v>2618.6899999999996</x:v>
      </x:c>
      <x:c r="J1830" s="6">
        <x:v>0</x:v>
      </x:c>
      <x:c r="K1830" s="6">
        <x:f t="shared" si="89"/>
        <x:v>2618.6899999999996</x:v>
      </x:c>
      <x:c r="L1830" s="6">
        <x:v>0</x:v>
      </x:c>
      <x:c r="M1830" s="6">
        <x:v>0</x:v>
      </x:c>
      <x:c r="N1830" s="6">
        <x:f t="shared" si="90"/>
        <x:v>2618.6899999999996</x:v>
      </x:c>
    </x:row>
    <x:row r="1831" spans="1:14" x14ac:dyDescent="0.25">
      <x:c r="A1831" t="s">
        <x:v>22</x:v>
      </x:c>
      <x:c r="B1831" s="3" t="s">
        <x:v>243</x:v>
      </x:c>
      <x:c r="C1831" s="3" t="s">
        <x:v>558</x:v>
      </x:c>
      <x:c r="D1831" t="s">
        <x:v>677</x:v>
      </x:c>
      <x:c r="E1831" s="6">
        <x:v>0</x:v>
      </x:c>
      <x:c r="F1831" s="6">
        <x:v>0</x:v>
      </x:c>
      <x:c r="G1831" s="6">
        <x:v>0</x:v>
      </x:c>
      <x:c r="H1831" s="6">
        <x:f t="shared" si="88"/>
        <x:v>0</x:v>
      </x:c>
      <x:c r="I1831" s="6">
        <x:v>0.04</x:v>
      </x:c>
      <x:c r="J1831" s="6">
        <x:v>0</x:v>
      </x:c>
      <x:c r="K1831" s="6">
        <x:f t="shared" si="89"/>
        <x:v>0.04</x:v>
      </x:c>
      <x:c r="L1831" s="6">
        <x:v>0</x:v>
      </x:c>
      <x:c r="M1831" s="6">
        <x:v>0</x:v>
      </x:c>
      <x:c r="N1831" s="6">
        <x:f t="shared" si="90"/>
        <x:v>0.04</x:v>
      </x:c>
    </x:row>
    <x:row r="1832" spans="1:14" x14ac:dyDescent="0.25">
      <x:c r="A1832" t="s">
        <x:v>23</x:v>
      </x:c>
      <x:c r="B1832" s="3" t="s">
        <x:v>78</x:v>
      </x:c>
      <x:c r="C1832" s="3" t="s">
        <x:v>395</x:v>
      </x:c>
      <x:c r="D1832" t="s">
        <x:v>677</x:v>
      </x:c>
      <x:c r="E1832" s="6">
        <x:v>0</x:v>
      </x:c>
      <x:c r="F1832" s="6">
        <x:v>0</x:v>
      </x:c>
      <x:c r="G1832" s="6">
        <x:v>0</x:v>
      </x:c>
      <x:c r="H1832" s="6">
        <x:f t="shared" si="88"/>
        <x:v>0</x:v>
      </x:c>
      <x:c r="I1832" s="6">
        <x:v>23878.21</x:v>
      </x:c>
      <x:c r="J1832" s="6">
        <x:v>0</x:v>
      </x:c>
      <x:c r="K1832" s="6">
        <x:f t="shared" si="89"/>
        <x:v>23878.21</x:v>
      </x:c>
      <x:c r="L1832" s="6">
        <x:v>0</x:v>
      </x:c>
      <x:c r="M1832" s="6">
        <x:v>0</x:v>
      </x:c>
      <x:c r="N1832" s="6">
        <x:f t="shared" si="90"/>
        <x:v>23878.21</x:v>
      </x:c>
    </x:row>
    <x:row r="1833" spans="1:14" x14ac:dyDescent="0.25">
      <x:c r="A1833" t="s">
        <x:v>23</x:v>
      </x:c>
      <x:c r="B1833" s="3" t="s">
        <x:v>112</x:v>
      </x:c>
      <x:c r="C1833" s="3" t="s">
        <x:v>429</x:v>
      </x:c>
      <x:c r="D1833" t="s">
        <x:v>676</x:v>
      </x:c>
      <x:c r="E1833" s="6">
        <x:v>0</x:v>
      </x:c>
      <x:c r="F1833" s="6">
        <x:v>0</x:v>
      </x:c>
      <x:c r="G1833" s="6">
        <x:v>0</x:v>
      </x:c>
      <x:c r="H1833" s="6">
        <x:f t="shared" si="88"/>
        <x:v>0</x:v>
      </x:c>
      <x:c r="I1833" s="6">
        <x:v>0</x:v>
      </x:c>
      <x:c r="J1833" s="6">
        <x:v>0</x:v>
      </x:c>
      <x:c r="K1833" s="6">
        <x:f t="shared" si="89"/>
        <x:v>0</x:v>
      </x:c>
      <x:c r="L1833" s="6">
        <x:v>15.35</x:v>
      </x:c>
      <x:c r="M1833" s="6">
        <x:v>0</x:v>
      </x:c>
      <x:c r="N1833" s="6">
        <x:f t="shared" si="90"/>
        <x:v>15.35</x:v>
      </x:c>
    </x:row>
    <x:row r="1834" spans="1:14" x14ac:dyDescent="0.25">
      <x:c r="A1834" t="s">
        <x:v>23</x:v>
      </x:c>
      <x:c r="B1834" s="3" t="s">
        <x:v>121</x:v>
      </x:c>
      <x:c r="C1834" s="3" t="s">
        <x:v>438</x:v>
      </x:c>
      <x:c r="D1834" t="s">
        <x:v>677</x:v>
      </x:c>
      <x:c r="E1834" s="6">
        <x:v>0</x:v>
      </x:c>
      <x:c r="F1834" s="6">
        <x:v>0</x:v>
      </x:c>
      <x:c r="G1834" s="6">
        <x:v>0</x:v>
      </x:c>
      <x:c r="H1834" s="6">
        <x:f t="shared" si="88"/>
        <x:v>0</x:v>
      </x:c>
      <x:c r="I1834" s="6">
        <x:v>52.52</x:v>
      </x:c>
      <x:c r="J1834" s="6">
        <x:v>0</x:v>
      </x:c>
      <x:c r="K1834" s="6">
        <x:f t="shared" si="89"/>
        <x:v>52.52</x:v>
      </x:c>
      <x:c r="L1834" s="6">
        <x:v>0</x:v>
      </x:c>
      <x:c r="M1834" s="6">
        <x:v>0</x:v>
      </x:c>
      <x:c r="N1834" s="6">
        <x:f t="shared" si="90"/>
        <x:v>52.52</x:v>
      </x:c>
    </x:row>
    <x:row r="1835" spans="1:14" x14ac:dyDescent="0.25">
      <x:c r="A1835" t="s">
        <x:v>23</x:v>
      </x:c>
      <x:c r="B1835" s="3" t="s">
        <x:v>126</x:v>
      </x:c>
      <x:c r="C1835" s="3" t="s">
        <x:v>443</x:v>
      </x:c>
      <x:c r="D1835" t="s">
        <x:v>677</x:v>
      </x:c>
      <x:c r="E1835" s="6">
        <x:v>0</x:v>
      </x:c>
      <x:c r="F1835" s="6">
        <x:v>0</x:v>
      </x:c>
      <x:c r="G1835" s="6">
        <x:v>0</x:v>
      </x:c>
      <x:c r="H1835" s="6">
        <x:f t="shared" si="88"/>
        <x:v>0</x:v>
      </x:c>
      <x:c r="I1835" s="6">
        <x:v>2076.08</x:v>
      </x:c>
      <x:c r="J1835" s="6">
        <x:v>0</x:v>
      </x:c>
      <x:c r="K1835" s="6">
        <x:f t="shared" si="89"/>
        <x:v>2076.08</x:v>
      </x:c>
      <x:c r="L1835" s="6">
        <x:v>0</x:v>
      </x:c>
      <x:c r="M1835" s="6">
        <x:v>0</x:v>
      </x:c>
      <x:c r="N1835" s="6">
        <x:f t="shared" si="90"/>
        <x:v>2076.08</x:v>
      </x:c>
    </x:row>
    <x:row r="1836" spans="1:14" x14ac:dyDescent="0.25">
      <x:c r="A1836" t="s">
        <x:v>23</x:v>
      </x:c>
      <x:c r="B1836" s="3" t="s">
        <x:v>230</x:v>
      </x:c>
      <x:c r="C1836" s="3" t="s">
        <x:v>545</x:v>
      </x:c>
      <x:c r="D1836" t="s">
        <x:v>677</x:v>
      </x:c>
      <x:c r="E1836" s="6">
        <x:v>0</x:v>
      </x:c>
      <x:c r="F1836" s="6">
        <x:v>0</x:v>
      </x:c>
      <x:c r="G1836" s="6">
        <x:v>0</x:v>
      </x:c>
      <x:c r="H1836" s="6">
        <x:f t="shared" si="88"/>
        <x:v>0</x:v>
      </x:c>
      <x:c r="I1836" s="6">
        <x:v>64.430000000000007</x:v>
      </x:c>
      <x:c r="J1836" s="6">
        <x:v>0</x:v>
      </x:c>
      <x:c r="K1836" s="6">
        <x:f t="shared" si="89"/>
        <x:v>64.430000000000007</x:v>
      </x:c>
      <x:c r="L1836" s="6">
        <x:v>0</x:v>
      </x:c>
      <x:c r="M1836" s="6">
        <x:v>0</x:v>
      </x:c>
      <x:c r="N1836" s="6">
        <x:f t="shared" si="90"/>
        <x:v>64.430000000000007</x:v>
      </x:c>
    </x:row>
    <x:row r="1837" spans="1:14" x14ac:dyDescent="0.25">
      <x:c r="A1837" t="s">
        <x:v>23</x:v>
      </x:c>
      <x:c r="B1837" s="3" t="s">
        <x:v>128</x:v>
      </x:c>
      <x:c r="C1837" s="3" t="s">
        <x:v>445</x:v>
      </x:c>
      <x:c r="D1837" t="s">
        <x:v>677</x:v>
      </x:c>
      <x:c r="E1837" s="6">
        <x:v>0</x:v>
      </x:c>
      <x:c r="F1837" s="6">
        <x:v>0</x:v>
      </x:c>
      <x:c r="G1837" s="6">
        <x:v>0</x:v>
      </x:c>
      <x:c r="H1837" s="6">
        <x:f t="shared" si="88"/>
        <x:v>0</x:v>
      </x:c>
      <x:c r="I1837" s="6">
        <x:v>33.370000000000005</x:v>
      </x:c>
      <x:c r="J1837" s="6">
        <x:v>0</x:v>
      </x:c>
      <x:c r="K1837" s="6">
        <x:f t="shared" si="89"/>
        <x:v>33.370000000000005</x:v>
      </x:c>
      <x:c r="L1837" s="6">
        <x:v>0</x:v>
      </x:c>
      <x:c r="M1837" s="6">
        <x:v>0</x:v>
      </x:c>
      <x:c r="N1837" s="6">
        <x:f t="shared" si="90"/>
        <x:v>33.370000000000005</x:v>
      </x:c>
    </x:row>
    <x:row r="1838" spans="1:14" x14ac:dyDescent="0.25">
      <x:c r="A1838" t="s">
        <x:v>23</x:v>
      </x:c>
      <x:c r="B1838" s="3" t="s">
        <x:v>132</x:v>
      </x:c>
      <x:c r="C1838" s="3" t="s">
        <x:v>449</x:v>
      </x:c>
      <x:c r="D1838" t="s">
        <x:v>677</x:v>
      </x:c>
      <x:c r="E1838" s="6">
        <x:v>0</x:v>
      </x:c>
      <x:c r="F1838" s="6">
        <x:v>0</x:v>
      </x:c>
      <x:c r="G1838" s="6">
        <x:v>0</x:v>
      </x:c>
      <x:c r="H1838" s="6">
        <x:f t="shared" si="88"/>
        <x:v>0</x:v>
      </x:c>
      <x:c r="I1838" s="6">
        <x:v>77449.94</x:v>
      </x:c>
      <x:c r="J1838" s="6">
        <x:v>0</x:v>
      </x:c>
      <x:c r="K1838" s="6">
        <x:f t="shared" si="89"/>
        <x:v>77449.94</x:v>
      </x:c>
      <x:c r="L1838" s="6">
        <x:v>0</x:v>
      </x:c>
      <x:c r="M1838" s="6">
        <x:v>0</x:v>
      </x:c>
      <x:c r="N1838" s="6">
        <x:f t="shared" si="90"/>
        <x:v>77449.94</x:v>
      </x:c>
    </x:row>
    <x:row r="1839" spans="1:14" x14ac:dyDescent="0.25">
      <x:c r="A1839" t="s">
        <x:v>23</x:v>
      </x:c>
      <x:c r="B1839" s="3" t="s">
        <x:v>133</x:v>
      </x:c>
      <x:c r="C1839" s="3" t="s">
        <x:v>450</x:v>
      </x:c>
      <x:c r="D1839" t="s">
        <x:v>677</x:v>
      </x:c>
      <x:c r="E1839" s="6">
        <x:v>0</x:v>
      </x:c>
      <x:c r="F1839" s="6">
        <x:v>0</x:v>
      </x:c>
      <x:c r="G1839" s="6">
        <x:v>0</x:v>
      </x:c>
      <x:c r="H1839" s="6">
        <x:f t="shared" si="88"/>
        <x:v>0</x:v>
      </x:c>
      <x:c r="I1839" s="6">
        <x:v>995.93</x:v>
      </x:c>
      <x:c r="J1839" s="6">
        <x:v>0</x:v>
      </x:c>
      <x:c r="K1839" s="6">
        <x:f t="shared" si="89"/>
        <x:v>995.93</x:v>
      </x:c>
      <x:c r="L1839" s="6">
        <x:v>0</x:v>
      </x:c>
      <x:c r="M1839" s="6">
        <x:v>0</x:v>
      </x:c>
      <x:c r="N1839" s="6">
        <x:f t="shared" si="90"/>
        <x:v>995.93</x:v>
      </x:c>
    </x:row>
    <x:row r="1840" spans="1:14" x14ac:dyDescent="0.25">
      <x:c r="A1840" t="s">
        <x:v>23</x:v>
      </x:c>
      <x:c r="B1840" s="3" t="s">
        <x:v>134</x:v>
      </x:c>
      <x:c r="C1840" s="3" t="s">
        <x:v>451</x:v>
      </x:c>
      <x:c r="D1840" t="s">
        <x:v>677</x:v>
      </x:c>
      <x:c r="E1840" s="6">
        <x:v>0</x:v>
      </x:c>
      <x:c r="F1840" s="6">
        <x:v>0</x:v>
      </x:c>
      <x:c r="G1840" s="6">
        <x:v>0</x:v>
      </x:c>
      <x:c r="H1840" s="6">
        <x:f t="shared" si="88"/>
        <x:v>0</x:v>
      </x:c>
      <x:c r="I1840" s="6">
        <x:v>17715.14</x:v>
      </x:c>
      <x:c r="J1840" s="6">
        <x:v>0</x:v>
      </x:c>
      <x:c r="K1840" s="6">
        <x:f t="shared" si="89"/>
        <x:v>17715.14</x:v>
      </x:c>
      <x:c r="L1840" s="6">
        <x:v>0</x:v>
      </x:c>
      <x:c r="M1840" s="6">
        <x:v>0</x:v>
      </x:c>
      <x:c r="N1840" s="6">
        <x:f t="shared" si="90"/>
        <x:v>17715.14</x:v>
      </x:c>
    </x:row>
    <x:row r="1841" spans="1:14" x14ac:dyDescent="0.25">
      <x:c r="A1841" t="s">
        <x:v>23</x:v>
      </x:c>
      <x:c r="B1841" s="3" t="s">
        <x:v>135</x:v>
      </x:c>
      <x:c r="C1841" s="3" t="s">
        <x:v>452</x:v>
      </x:c>
      <x:c r="D1841" t="s">
        <x:v>677</x:v>
      </x:c>
      <x:c r="E1841" s="6">
        <x:v>0</x:v>
      </x:c>
      <x:c r="F1841" s="6">
        <x:v>0</x:v>
      </x:c>
      <x:c r="G1841" s="6">
        <x:v>0</x:v>
      </x:c>
      <x:c r="H1841" s="6">
        <x:f t="shared" si="88"/>
        <x:v>0</x:v>
      </x:c>
      <x:c r="I1841" s="6">
        <x:v>45.410000000000011</x:v>
      </x:c>
      <x:c r="J1841" s="6">
        <x:v>0</x:v>
      </x:c>
      <x:c r="K1841" s="6">
        <x:f t="shared" si="89"/>
        <x:v>45.410000000000011</x:v>
      </x:c>
      <x:c r="L1841" s="6">
        <x:v>0</x:v>
      </x:c>
      <x:c r="M1841" s="6">
        <x:v>0</x:v>
      </x:c>
      <x:c r="N1841" s="6">
        <x:f t="shared" si="90"/>
        <x:v>45.410000000000011</x:v>
      </x:c>
    </x:row>
    <x:row r="1842" spans="1:14" x14ac:dyDescent="0.25">
      <x:c r="A1842" t="s">
        <x:v>23</x:v>
      </x:c>
      <x:c r="B1842" s="3" t="s">
        <x:v>147</x:v>
      </x:c>
      <x:c r="C1842" s="3" t="s">
        <x:v>464</x:v>
      </x:c>
      <x:c r="D1842" t="s">
        <x:v>677</x:v>
      </x:c>
      <x:c r="E1842" s="6">
        <x:v>0</x:v>
      </x:c>
      <x:c r="F1842" s="6">
        <x:v>0</x:v>
      </x:c>
      <x:c r="G1842" s="6">
        <x:v>0</x:v>
      </x:c>
      <x:c r="H1842" s="6">
        <x:f t="shared" si="88"/>
        <x:v>0</x:v>
      </x:c>
      <x:c r="I1842" s="6">
        <x:v>2529.5799999999995</x:v>
      </x:c>
      <x:c r="J1842" s="6">
        <x:v>0</x:v>
      </x:c>
      <x:c r="K1842" s="6">
        <x:f t="shared" si="89"/>
        <x:v>2529.5799999999995</x:v>
      </x:c>
      <x:c r="L1842" s="6">
        <x:v>0</x:v>
      </x:c>
      <x:c r="M1842" s="6">
        <x:v>0</x:v>
      </x:c>
      <x:c r="N1842" s="6">
        <x:f t="shared" si="90"/>
        <x:v>2529.5799999999995</x:v>
      </x:c>
    </x:row>
    <x:row r="1843" spans="1:14" x14ac:dyDescent="0.25">
      <x:c r="A1843" t="s">
        <x:v>23</x:v>
      </x:c>
      <x:c r="B1843" s="3" t="s">
        <x:v>148</x:v>
      </x:c>
      <x:c r="C1843" s="3" t="s">
        <x:v>465</x:v>
      </x:c>
      <x:c r="D1843" t="s">
        <x:v>677</x:v>
      </x:c>
      <x:c r="E1843" s="6">
        <x:v>0</x:v>
      </x:c>
      <x:c r="F1843" s="6">
        <x:v>0</x:v>
      </x:c>
      <x:c r="G1843" s="6">
        <x:v>0</x:v>
      </x:c>
      <x:c r="H1843" s="6">
        <x:f t="shared" si="88"/>
        <x:v>0</x:v>
      </x:c>
      <x:c r="I1843" s="6">
        <x:v>58582.589999999989</x:v>
      </x:c>
      <x:c r="J1843" s="6">
        <x:v>0</x:v>
      </x:c>
      <x:c r="K1843" s="6">
        <x:f t="shared" si="89"/>
        <x:v>58582.589999999989</x:v>
      </x:c>
      <x:c r="L1843" s="6">
        <x:v>0</x:v>
      </x:c>
      <x:c r="M1843" s="6">
        <x:v>0</x:v>
      </x:c>
      <x:c r="N1843" s="6">
        <x:f t="shared" si="90"/>
        <x:v>58582.589999999989</x:v>
      </x:c>
    </x:row>
    <x:row r="1844" spans="1:14" x14ac:dyDescent="0.25">
      <x:c r="A1844" t="s">
        <x:v>23</x:v>
      </x:c>
      <x:c r="B1844" s="3" t="s">
        <x:v>149</x:v>
      </x:c>
      <x:c r="C1844" s="3" t="s">
        <x:v>466</x:v>
      </x:c>
      <x:c r="D1844" t="s">
        <x:v>677</x:v>
      </x:c>
      <x:c r="E1844" s="6">
        <x:v>0</x:v>
      </x:c>
      <x:c r="F1844" s="6">
        <x:v>0</x:v>
      </x:c>
      <x:c r="G1844" s="6">
        <x:v>0</x:v>
      </x:c>
      <x:c r="H1844" s="6">
        <x:f t="shared" si="88"/>
        <x:v>0</x:v>
      </x:c>
      <x:c r="I1844" s="6">
        <x:v>44207.850000000006</x:v>
      </x:c>
      <x:c r="J1844" s="6">
        <x:v>0</x:v>
      </x:c>
      <x:c r="K1844" s="6">
        <x:f t="shared" si="89"/>
        <x:v>44207.850000000006</x:v>
      </x:c>
      <x:c r="L1844" s="6">
        <x:v>0</x:v>
      </x:c>
      <x:c r="M1844" s="6">
        <x:v>0</x:v>
      </x:c>
      <x:c r="N1844" s="6">
        <x:f t="shared" si="90"/>
        <x:v>44207.850000000006</x:v>
      </x:c>
    </x:row>
    <x:row r="1845" spans="1:14" x14ac:dyDescent="0.25">
      <x:c r="A1845" t="s">
        <x:v>23</x:v>
      </x:c>
      <x:c r="B1845" s="3" t="s">
        <x:v>150</x:v>
      </x:c>
      <x:c r="C1845" s="3" t="s">
        <x:v>467</x:v>
      </x:c>
      <x:c r="D1845" t="s">
        <x:v>677</x:v>
      </x:c>
      <x:c r="E1845" s="6">
        <x:v>0</x:v>
      </x:c>
      <x:c r="F1845" s="6">
        <x:v>0</x:v>
      </x:c>
      <x:c r="G1845" s="6">
        <x:v>0</x:v>
      </x:c>
      <x:c r="H1845" s="6">
        <x:f t="shared" si="88"/>
        <x:v>0</x:v>
      </x:c>
      <x:c r="I1845" s="6">
        <x:v>10343.23</x:v>
      </x:c>
      <x:c r="J1845" s="6">
        <x:v>0</x:v>
      </x:c>
      <x:c r="K1845" s="6">
        <x:f t="shared" si="89"/>
        <x:v>10343.23</x:v>
      </x:c>
      <x:c r="L1845" s="6">
        <x:v>0</x:v>
      </x:c>
      <x:c r="M1845" s="6">
        <x:v>0</x:v>
      </x:c>
      <x:c r="N1845" s="6">
        <x:f t="shared" si="90"/>
        <x:v>10343.23</x:v>
      </x:c>
    </x:row>
    <x:row r="1846" spans="1:14" x14ac:dyDescent="0.25">
      <x:c r="A1846" t="s">
        <x:v>23</x:v>
      </x:c>
      <x:c r="B1846" s="3" t="s">
        <x:v>152</x:v>
      </x:c>
      <x:c r="C1846" s="3" t="s">
        <x:v>469</x:v>
      </x:c>
      <x:c r="D1846" t="s">
        <x:v>677</x:v>
      </x:c>
      <x:c r="E1846" s="6">
        <x:v>0</x:v>
      </x:c>
      <x:c r="F1846" s="6">
        <x:v>0</x:v>
      </x:c>
      <x:c r="G1846" s="6">
        <x:v>0</x:v>
      </x:c>
      <x:c r="H1846" s="6">
        <x:f t="shared" si="88"/>
        <x:v>0</x:v>
      </x:c>
      <x:c r="I1846" s="6">
        <x:v>35915.020000000004</x:v>
      </x:c>
      <x:c r="J1846" s="6">
        <x:v>0</x:v>
      </x:c>
      <x:c r="K1846" s="6">
        <x:f t="shared" si="89"/>
        <x:v>35915.020000000004</x:v>
      </x:c>
      <x:c r="L1846" s="6">
        <x:v>0</x:v>
      </x:c>
      <x:c r="M1846" s="6">
        <x:v>0</x:v>
      </x:c>
      <x:c r="N1846" s="6">
        <x:f t="shared" si="90"/>
        <x:v>35915.020000000004</x:v>
      </x:c>
    </x:row>
    <x:row r="1847" spans="1:14" x14ac:dyDescent="0.25">
      <x:c r="A1847" t="s">
        <x:v>23</x:v>
      </x:c>
      <x:c r="B1847" s="3" t="s">
        <x:v>153</x:v>
      </x:c>
      <x:c r="C1847" s="3" t="s">
        <x:v>470</x:v>
      </x:c>
      <x:c r="D1847" t="s">
        <x:v>677</x:v>
      </x:c>
      <x:c r="E1847" s="6">
        <x:v>0</x:v>
      </x:c>
      <x:c r="F1847" s="6">
        <x:v>0</x:v>
      </x:c>
      <x:c r="G1847" s="6">
        <x:v>0</x:v>
      </x:c>
      <x:c r="H1847" s="6">
        <x:f t="shared" si="88"/>
        <x:v>0</x:v>
      </x:c>
      <x:c r="I1847" s="6">
        <x:v>3335.2</x:v>
      </x:c>
      <x:c r="J1847" s="6">
        <x:v>0</x:v>
      </x:c>
      <x:c r="K1847" s="6">
        <x:f t="shared" si="89"/>
        <x:v>3335.2</x:v>
      </x:c>
      <x:c r="L1847" s="6">
        <x:v>0</x:v>
      </x:c>
      <x:c r="M1847" s="6">
        <x:v>0</x:v>
      </x:c>
      <x:c r="N1847" s="6">
        <x:f t="shared" si="90"/>
        <x:v>3335.2</x:v>
      </x:c>
    </x:row>
    <x:row r="1848" spans="1:14" x14ac:dyDescent="0.25">
      <x:c r="A1848" t="s">
        <x:v>23</x:v>
      </x:c>
      <x:c r="B1848" s="3" t="s">
        <x:v>154</x:v>
      </x:c>
      <x:c r="C1848" s="3" t="s">
        <x:v>471</x:v>
      </x:c>
      <x:c r="D1848" t="s">
        <x:v>677</x:v>
      </x:c>
      <x:c r="E1848" s="6">
        <x:v>0</x:v>
      </x:c>
      <x:c r="F1848" s="6">
        <x:v>0</x:v>
      </x:c>
      <x:c r="G1848" s="6">
        <x:v>0</x:v>
      </x:c>
      <x:c r="H1848" s="6">
        <x:f t="shared" si="88"/>
        <x:v>0</x:v>
      </x:c>
      <x:c r="I1848" s="6">
        <x:v>39109.43</x:v>
      </x:c>
      <x:c r="J1848" s="6">
        <x:v>0</x:v>
      </x:c>
      <x:c r="K1848" s="6">
        <x:f t="shared" si="89"/>
        <x:v>39109.43</x:v>
      </x:c>
      <x:c r="L1848" s="6">
        <x:v>0</x:v>
      </x:c>
      <x:c r="M1848" s="6">
        <x:v>0</x:v>
      </x:c>
      <x:c r="N1848" s="6">
        <x:f t="shared" si="90"/>
        <x:v>39109.43</x:v>
      </x:c>
    </x:row>
    <x:row r="1849" spans="1:14" x14ac:dyDescent="0.25">
      <x:c r="A1849" t="s">
        <x:v>23</x:v>
      </x:c>
      <x:c r="B1849" s="3" t="s">
        <x:v>155</x:v>
      </x:c>
      <x:c r="C1849" s="3" t="s">
        <x:v>472</x:v>
      </x:c>
      <x:c r="D1849" t="s">
        <x:v>677</x:v>
      </x:c>
      <x:c r="E1849" s="6">
        <x:v>0</x:v>
      </x:c>
      <x:c r="F1849" s="6">
        <x:v>0</x:v>
      </x:c>
      <x:c r="G1849" s="6">
        <x:v>0</x:v>
      </x:c>
      <x:c r="H1849" s="6">
        <x:f t="shared" si="88"/>
        <x:v>0</x:v>
      </x:c>
      <x:c r="I1849" s="6">
        <x:v>75470.97</x:v>
      </x:c>
      <x:c r="J1849" s="6">
        <x:v>0</x:v>
      </x:c>
      <x:c r="K1849" s="6">
        <x:f t="shared" si="89"/>
        <x:v>75470.97</x:v>
      </x:c>
      <x:c r="L1849" s="6">
        <x:v>0</x:v>
      </x:c>
      <x:c r="M1849" s="6">
        <x:v>0</x:v>
      </x:c>
      <x:c r="N1849" s="6">
        <x:f t="shared" si="90"/>
        <x:v>75470.97</x:v>
      </x:c>
    </x:row>
    <x:row r="1850" spans="1:14" x14ac:dyDescent="0.25">
      <x:c r="A1850" t="s">
        <x:v>23</x:v>
      </x:c>
      <x:c r="B1850" s="3" t="s">
        <x:v>156</x:v>
      </x:c>
      <x:c r="C1850" s="3" t="s">
        <x:v>473</x:v>
      </x:c>
      <x:c r="D1850" t="s">
        <x:v>677</x:v>
      </x:c>
      <x:c r="E1850" s="6">
        <x:v>0</x:v>
      </x:c>
      <x:c r="F1850" s="6">
        <x:v>0</x:v>
      </x:c>
      <x:c r="G1850" s="6">
        <x:v>0</x:v>
      </x:c>
      <x:c r="H1850" s="6">
        <x:f t="shared" si="88"/>
        <x:v>0</x:v>
      </x:c>
      <x:c r="I1850" s="6">
        <x:v>85541.57</x:v>
      </x:c>
      <x:c r="J1850" s="6">
        <x:v>0</x:v>
      </x:c>
      <x:c r="K1850" s="6">
        <x:f t="shared" si="89"/>
        <x:v>85541.57</x:v>
      </x:c>
      <x:c r="L1850" s="6">
        <x:v>0</x:v>
      </x:c>
      <x:c r="M1850" s="6">
        <x:v>0</x:v>
      </x:c>
      <x:c r="N1850" s="6">
        <x:f t="shared" si="90"/>
        <x:v>85541.57</x:v>
      </x:c>
    </x:row>
    <x:row r="1851" spans="1:14" x14ac:dyDescent="0.25">
      <x:c r="A1851" t="s">
        <x:v>23</x:v>
      </x:c>
      <x:c r="B1851" s="3" t="s">
        <x:v>158</x:v>
      </x:c>
      <x:c r="C1851" s="3" t="s">
        <x:v>475</x:v>
      </x:c>
      <x:c r="D1851" t="s">
        <x:v>677</x:v>
      </x:c>
      <x:c r="E1851" s="6">
        <x:v>0</x:v>
      </x:c>
      <x:c r="F1851" s="6">
        <x:v>0</x:v>
      </x:c>
      <x:c r="G1851" s="6">
        <x:v>0</x:v>
      </x:c>
      <x:c r="H1851" s="6">
        <x:f t="shared" si="88"/>
        <x:v>0</x:v>
      </x:c>
      <x:c r="I1851" s="6">
        <x:v>194.24999999999997</x:v>
      </x:c>
      <x:c r="J1851" s="6">
        <x:v>0</x:v>
      </x:c>
      <x:c r="K1851" s="6">
        <x:f t="shared" si="89"/>
        <x:v>194.24999999999997</x:v>
      </x:c>
      <x:c r="L1851" s="6">
        <x:v>0</x:v>
      </x:c>
      <x:c r="M1851" s="6">
        <x:v>0</x:v>
      </x:c>
      <x:c r="N1851" s="6">
        <x:f t="shared" si="90"/>
        <x:v>194.24999999999997</x:v>
      </x:c>
    </x:row>
    <x:row r="1852" spans="1:14" x14ac:dyDescent="0.25">
      <x:c r="A1852" t="s">
        <x:v>23</x:v>
      </x:c>
      <x:c r="B1852" s="3" t="s">
        <x:v>160</x:v>
      </x:c>
      <x:c r="C1852" s="3" t="s">
        <x:v>477</x:v>
      </x:c>
      <x:c r="D1852" t="s">
        <x:v>677</x:v>
      </x:c>
      <x:c r="E1852" s="6">
        <x:v>0</x:v>
      </x:c>
      <x:c r="F1852" s="6">
        <x:v>0</x:v>
      </x:c>
      <x:c r="G1852" s="6">
        <x:v>0</x:v>
      </x:c>
      <x:c r="H1852" s="6">
        <x:f t="shared" si="88"/>
        <x:v>0</x:v>
      </x:c>
      <x:c r="I1852" s="6">
        <x:v>9831.27</x:v>
      </x:c>
      <x:c r="J1852" s="6">
        <x:v>0</x:v>
      </x:c>
      <x:c r="K1852" s="6">
        <x:f t="shared" si="89"/>
        <x:v>9831.27</x:v>
      </x:c>
      <x:c r="L1852" s="6">
        <x:v>0</x:v>
      </x:c>
      <x:c r="M1852" s="6">
        <x:v>0</x:v>
      </x:c>
      <x:c r="N1852" s="6">
        <x:f t="shared" si="90"/>
        <x:v>9831.27</x:v>
      </x:c>
    </x:row>
    <x:row r="1853" spans="1:14" x14ac:dyDescent="0.25">
      <x:c r="A1853" t="s">
        <x:v>23</x:v>
      </x:c>
      <x:c r="B1853" s="3" t="s">
        <x:v>162</x:v>
      </x:c>
      <x:c r="C1853" s="3" t="s">
        <x:v>479</x:v>
      </x:c>
      <x:c r="D1853" t="s">
        <x:v>677</x:v>
      </x:c>
      <x:c r="E1853" s="6">
        <x:v>0</x:v>
      </x:c>
      <x:c r="F1853" s="6">
        <x:v>0</x:v>
      </x:c>
      <x:c r="G1853" s="6">
        <x:v>0</x:v>
      </x:c>
      <x:c r="H1853" s="6">
        <x:f t="shared" si="88"/>
        <x:v>0</x:v>
      </x:c>
      <x:c r="I1853" s="6">
        <x:v>33237.289999999994</x:v>
      </x:c>
      <x:c r="J1853" s="6">
        <x:v>0</x:v>
      </x:c>
      <x:c r="K1853" s="6">
        <x:f t="shared" si="89"/>
        <x:v>33237.289999999994</x:v>
      </x:c>
      <x:c r="L1853" s="6">
        <x:v>0</x:v>
      </x:c>
      <x:c r="M1853" s="6">
        <x:v>0</x:v>
      </x:c>
      <x:c r="N1853" s="6">
        <x:f t="shared" si="90"/>
        <x:v>33237.289999999994</x:v>
      </x:c>
    </x:row>
    <x:row r="1854" spans="1:14" x14ac:dyDescent="0.25">
      <x:c r="A1854" t="s">
        <x:v>23</x:v>
      </x:c>
      <x:c r="B1854" s="3" t="s">
        <x:v>163</x:v>
      </x:c>
      <x:c r="C1854" s="3" t="s">
        <x:v>480</x:v>
      </x:c>
      <x:c r="D1854" t="s">
        <x:v>677</x:v>
      </x:c>
      <x:c r="E1854" s="6">
        <x:v>0</x:v>
      </x:c>
      <x:c r="F1854" s="6">
        <x:v>0</x:v>
      </x:c>
      <x:c r="G1854" s="6">
        <x:v>0</x:v>
      </x:c>
      <x:c r="H1854" s="6">
        <x:f t="shared" si="88"/>
        <x:v>0</x:v>
      </x:c>
      <x:c r="I1854" s="6">
        <x:v>34719.950000000004</x:v>
      </x:c>
      <x:c r="J1854" s="6">
        <x:v>0</x:v>
      </x:c>
      <x:c r="K1854" s="6">
        <x:f t="shared" si="89"/>
        <x:v>34719.950000000004</x:v>
      </x:c>
      <x:c r="L1854" s="6">
        <x:v>0</x:v>
      </x:c>
      <x:c r="M1854" s="6">
        <x:v>0</x:v>
      </x:c>
      <x:c r="N1854" s="6">
        <x:f t="shared" si="90"/>
        <x:v>34719.950000000004</x:v>
      </x:c>
    </x:row>
    <x:row r="1855" spans="1:14" x14ac:dyDescent="0.25">
      <x:c r="A1855" t="s">
        <x:v>23</x:v>
      </x:c>
      <x:c r="B1855" s="3" t="s">
        <x:v>164</x:v>
      </x:c>
      <x:c r="C1855" s="3" t="s">
        <x:v>481</x:v>
      </x:c>
      <x:c r="D1855" t="s">
        <x:v>677</x:v>
      </x:c>
      <x:c r="E1855" s="6">
        <x:v>0</x:v>
      </x:c>
      <x:c r="F1855" s="6">
        <x:v>0</x:v>
      </x:c>
      <x:c r="G1855" s="6">
        <x:v>0</x:v>
      </x:c>
      <x:c r="H1855" s="6">
        <x:f t="shared" si="88"/>
        <x:v>0</x:v>
      </x:c>
      <x:c r="I1855" s="6">
        <x:v>37391.11</x:v>
      </x:c>
      <x:c r="J1855" s="6">
        <x:v>0</x:v>
      </x:c>
      <x:c r="K1855" s="6">
        <x:f t="shared" si="89"/>
        <x:v>37391.11</x:v>
      </x:c>
      <x:c r="L1855" s="6">
        <x:v>0</x:v>
      </x:c>
      <x:c r="M1855" s="6">
        <x:v>0</x:v>
      </x:c>
      <x:c r="N1855" s="6">
        <x:f t="shared" si="90"/>
        <x:v>37391.11</x:v>
      </x:c>
    </x:row>
    <x:row r="1856" spans="1:14" x14ac:dyDescent="0.25">
      <x:c r="A1856" t="s">
        <x:v>23</x:v>
      </x:c>
      <x:c r="B1856" s="3" t="s">
        <x:v>49</x:v>
      </x:c>
      <x:c r="C1856" s="3" t="s">
        <x:v>366</x:v>
      </x:c>
      <x:c r="D1856" t="s">
        <x:v>677</x:v>
      </x:c>
      <x:c r="E1856" s="6">
        <x:v>0</x:v>
      </x:c>
      <x:c r="F1856" s="6">
        <x:v>0</x:v>
      </x:c>
      <x:c r="G1856" s="6">
        <x:v>0</x:v>
      </x:c>
      <x:c r="H1856" s="6">
        <x:f t="shared" si="88"/>
        <x:v>0</x:v>
      </x:c>
      <x:c r="I1856" s="6">
        <x:v>31927.129999999997</x:v>
      </x:c>
      <x:c r="J1856" s="6">
        <x:v>0</x:v>
      </x:c>
      <x:c r="K1856" s="6">
        <x:f t="shared" si="89"/>
        <x:v>31927.129999999997</x:v>
      </x:c>
      <x:c r="L1856" s="6">
        <x:v>0</x:v>
      </x:c>
      <x:c r="M1856" s="6">
        <x:v>0</x:v>
      </x:c>
      <x:c r="N1856" s="6">
        <x:f t="shared" si="90"/>
        <x:v>31927.129999999997</x:v>
      </x:c>
    </x:row>
    <x:row r="1857" spans="1:14" x14ac:dyDescent="0.25">
      <x:c r="A1857" t="s">
        <x:v>23</x:v>
      </x:c>
      <x:c r="B1857" s="3" t="s">
        <x:v>165</x:v>
      </x:c>
      <x:c r="C1857" s="3" t="s">
        <x:v>482</x:v>
      </x:c>
      <x:c r="D1857" t="s">
        <x:v>677</x:v>
      </x:c>
      <x:c r="E1857" s="6">
        <x:v>0</x:v>
      </x:c>
      <x:c r="F1857" s="6">
        <x:v>0</x:v>
      </x:c>
      <x:c r="G1857" s="6">
        <x:v>0</x:v>
      </x:c>
      <x:c r="H1857" s="6">
        <x:f t="shared" si="88"/>
        <x:v>0</x:v>
      </x:c>
      <x:c r="I1857" s="6">
        <x:v>51500.920000000006</x:v>
      </x:c>
      <x:c r="J1857" s="6">
        <x:v>0</x:v>
      </x:c>
      <x:c r="K1857" s="6">
        <x:f t="shared" si="89"/>
        <x:v>51500.920000000006</x:v>
      </x:c>
      <x:c r="L1857" s="6">
        <x:v>0</x:v>
      </x:c>
      <x:c r="M1857" s="6">
        <x:v>0</x:v>
      </x:c>
      <x:c r="N1857" s="6">
        <x:f t="shared" si="90"/>
        <x:v>51500.920000000006</x:v>
      </x:c>
    </x:row>
    <x:row r="1858" spans="1:14" x14ac:dyDescent="0.25">
      <x:c r="A1858" t="s">
        <x:v>23</x:v>
      </x:c>
      <x:c r="B1858" s="3" t="s">
        <x:v>233</x:v>
      </x:c>
      <x:c r="C1858" s="3" t="s">
        <x:v>548</x:v>
      </x:c>
      <x:c r="D1858" t="s">
        <x:v>677</x:v>
      </x:c>
      <x:c r="E1858" s="6">
        <x:v>0</x:v>
      </x:c>
      <x:c r="F1858" s="6">
        <x:v>0</x:v>
      </x:c>
      <x:c r="G1858" s="6">
        <x:v>0</x:v>
      </x:c>
      <x:c r="H1858" s="6">
        <x:f t="shared" si="88"/>
        <x:v>0</x:v>
      </x:c>
      <x:c r="I1858" s="6">
        <x:v>2.4200000000000004</x:v>
      </x:c>
      <x:c r="J1858" s="6">
        <x:v>0</x:v>
      </x:c>
      <x:c r="K1858" s="6">
        <x:f t="shared" si="89"/>
        <x:v>2.4200000000000004</x:v>
      </x:c>
      <x:c r="L1858" s="6">
        <x:v>0</x:v>
      </x:c>
      <x:c r="M1858" s="6">
        <x:v>0</x:v>
      </x:c>
      <x:c r="N1858" s="6">
        <x:f t="shared" si="90"/>
        <x:v>2.4200000000000004</x:v>
      </x:c>
    </x:row>
    <x:row r="1859" spans="1:14" x14ac:dyDescent="0.25">
      <x:c r="A1859" t="s">
        <x:v>23</x:v>
      </x:c>
      <x:c r="B1859" s="3" t="s">
        <x:v>166</x:v>
      </x:c>
      <x:c r="C1859" s="3" t="s">
        <x:v>483</x:v>
      </x:c>
      <x:c r="D1859" t="s">
        <x:v>677</x:v>
      </x:c>
      <x:c r="E1859" s="6">
        <x:v>0</x:v>
      </x:c>
      <x:c r="F1859" s="6">
        <x:v>0</x:v>
      </x:c>
      <x:c r="G1859" s="6">
        <x:v>0</x:v>
      </x:c>
      <x:c r="H1859" s="6">
        <x:f t="shared" si="88"/>
        <x:v>0</x:v>
      </x:c>
      <x:c r="I1859" s="6">
        <x:v>5092.92</x:v>
      </x:c>
      <x:c r="J1859" s="6">
        <x:v>0</x:v>
      </x:c>
      <x:c r="K1859" s="6">
        <x:f t="shared" si="89"/>
        <x:v>5092.92</x:v>
      </x:c>
      <x:c r="L1859" s="6">
        <x:v>0</x:v>
      </x:c>
      <x:c r="M1859" s="6">
        <x:v>0</x:v>
      </x:c>
      <x:c r="N1859" s="6">
        <x:f t="shared" si="90"/>
        <x:v>5092.92</x:v>
      </x:c>
    </x:row>
    <x:row r="1860" spans="1:14" x14ac:dyDescent="0.25">
      <x:c r="A1860" t="s">
        <x:v>23</x:v>
      </x:c>
      <x:c r="B1860" s="3" t="s">
        <x:v>167</x:v>
      </x:c>
      <x:c r="C1860" s="3" t="s">
        <x:v>484</x:v>
      </x:c>
      <x:c r="D1860" t="s">
        <x:v>677</x:v>
      </x:c>
      <x:c r="E1860" s="6">
        <x:v>0</x:v>
      </x:c>
      <x:c r="F1860" s="6">
        <x:v>0</x:v>
      </x:c>
      <x:c r="G1860" s="6">
        <x:v>0</x:v>
      </x:c>
      <x:c r="H1860" s="6">
        <x:f t="shared" si="88"/>
        <x:v>0</x:v>
      </x:c>
      <x:c r="I1860" s="6">
        <x:v>18313.14</x:v>
      </x:c>
      <x:c r="J1860" s="6">
        <x:v>0</x:v>
      </x:c>
      <x:c r="K1860" s="6">
        <x:f t="shared" si="89"/>
        <x:v>18313.14</x:v>
      </x:c>
      <x:c r="L1860" s="6">
        <x:v>0</x:v>
      </x:c>
      <x:c r="M1860" s="6">
        <x:v>0</x:v>
      </x:c>
      <x:c r="N1860" s="6">
        <x:f t="shared" si="90"/>
        <x:v>18313.14</x:v>
      </x:c>
    </x:row>
    <x:row r="1861" spans="1:14" x14ac:dyDescent="0.25">
      <x:c r="A1861" t="s">
        <x:v>23</x:v>
      </x:c>
      <x:c r="B1861" s="3" t="s">
        <x:v>234</x:v>
      </x:c>
      <x:c r="C1861" s="3" t="s">
        <x:v>549</x:v>
      </x:c>
      <x:c r="D1861" t="s">
        <x:v>677</x:v>
      </x:c>
      <x:c r="E1861" s="6">
        <x:v>0</x:v>
      </x:c>
      <x:c r="F1861" s="6">
        <x:v>0</x:v>
      </x:c>
      <x:c r="G1861" s="6">
        <x:v>0</x:v>
      </x:c>
      <x:c r="H1861" s="6">
        <x:f t="shared" si="88"/>
        <x:v>0</x:v>
      </x:c>
      <x:c r="I1861" s="6">
        <x:v>2253462.39</x:v>
      </x:c>
      <x:c r="J1861" s="6">
        <x:v>0</x:v>
      </x:c>
      <x:c r="K1861" s="6">
        <x:f t="shared" si="89"/>
        <x:v>2253462.39</x:v>
      </x:c>
      <x:c r="L1861" s="6">
        <x:v>0</x:v>
      </x:c>
      <x:c r="M1861" s="6">
        <x:v>0</x:v>
      </x:c>
      <x:c r="N1861" s="6">
        <x:f t="shared" si="90"/>
        <x:v>2253462.39</x:v>
      </x:c>
    </x:row>
    <x:row r="1862" spans="1:14" x14ac:dyDescent="0.25">
      <x:c r="A1862" t="s">
        <x:v>23</x:v>
      </x:c>
      <x:c r="B1862" s="3" t="s">
        <x:v>172</x:v>
      </x:c>
      <x:c r="C1862" s="3" t="s">
        <x:v>488</x:v>
      </x:c>
      <x:c r="D1862" t="s">
        <x:v>677</x:v>
      </x:c>
      <x:c r="E1862" s="6">
        <x:v>0</x:v>
      </x:c>
      <x:c r="F1862" s="6">
        <x:v>0</x:v>
      </x:c>
      <x:c r="G1862" s="6">
        <x:v>0</x:v>
      </x:c>
      <x:c r="H1862" s="6">
        <x:f t="shared" si="88"/>
        <x:v>0</x:v>
      </x:c>
      <x:c r="I1862" s="6">
        <x:v>3600.9500000000003</x:v>
      </x:c>
      <x:c r="J1862" s="6">
        <x:v>0</x:v>
      </x:c>
      <x:c r="K1862" s="6">
        <x:f t="shared" si="89"/>
        <x:v>3600.9500000000003</x:v>
      </x:c>
      <x:c r="L1862" s="6">
        <x:v>0</x:v>
      </x:c>
      <x:c r="M1862" s="6">
        <x:v>0</x:v>
      </x:c>
      <x:c r="N1862" s="6">
        <x:f t="shared" si="90"/>
        <x:v>3600.9500000000003</x:v>
      </x:c>
    </x:row>
    <x:row r="1863" spans="1:14" x14ac:dyDescent="0.25">
      <x:c r="A1863" t="s">
        <x:v>23</x:v>
      </x:c>
      <x:c r="B1863" s="3" t="s">
        <x:v>173</x:v>
      </x:c>
      <x:c r="C1863" s="3" t="s">
        <x:v>489</x:v>
      </x:c>
      <x:c r="D1863" t="s">
        <x:v>677</x:v>
      </x:c>
      <x:c r="E1863" s="6">
        <x:v>0</x:v>
      </x:c>
      <x:c r="F1863" s="6">
        <x:v>0</x:v>
      </x:c>
      <x:c r="G1863" s="6">
        <x:v>0</x:v>
      </x:c>
      <x:c r="H1863" s="6">
        <x:f t="shared" si="88"/>
        <x:v>0</x:v>
      </x:c>
      <x:c r="I1863" s="6">
        <x:v>1981.28</x:v>
      </x:c>
      <x:c r="J1863" s="6">
        <x:v>0</x:v>
      </x:c>
      <x:c r="K1863" s="6">
        <x:f t="shared" si="89"/>
        <x:v>1981.28</x:v>
      </x:c>
      <x:c r="L1863" s="6">
        <x:v>0</x:v>
      </x:c>
      <x:c r="M1863" s="6">
        <x:v>0</x:v>
      </x:c>
      <x:c r="N1863" s="6">
        <x:f t="shared" si="90"/>
        <x:v>1981.28</x:v>
      </x:c>
    </x:row>
    <x:row r="1864" spans="1:14" x14ac:dyDescent="0.25">
      <x:c r="A1864" t="s">
        <x:v>23</x:v>
      </x:c>
      <x:c r="B1864" s="3" t="s">
        <x:v>174</x:v>
      </x:c>
      <x:c r="C1864" s="3" t="s">
        <x:v>490</x:v>
      </x:c>
      <x:c r="D1864" t="s">
        <x:v>677</x:v>
      </x:c>
      <x:c r="E1864" s="6">
        <x:v>0</x:v>
      </x:c>
      <x:c r="F1864" s="6">
        <x:v>0</x:v>
      </x:c>
      <x:c r="G1864" s="6">
        <x:v>0</x:v>
      </x:c>
      <x:c r="H1864" s="6">
        <x:f t="shared" si="88"/>
        <x:v>0</x:v>
      </x:c>
      <x:c r="I1864" s="6">
        <x:v>8766.06</x:v>
      </x:c>
      <x:c r="J1864" s="6">
        <x:v>0</x:v>
      </x:c>
      <x:c r="K1864" s="6">
        <x:f t="shared" si="89"/>
        <x:v>8766.06</x:v>
      </x:c>
      <x:c r="L1864" s="6">
        <x:v>0</x:v>
      </x:c>
      <x:c r="M1864" s="6">
        <x:v>0</x:v>
      </x:c>
      <x:c r="N1864" s="6">
        <x:f t="shared" si="90"/>
        <x:v>8766.06</x:v>
      </x:c>
    </x:row>
    <x:row r="1865" spans="1:14" x14ac:dyDescent="0.25">
      <x:c r="A1865" t="s">
        <x:v>23</x:v>
      </x:c>
      <x:c r="B1865" s="3" t="s">
        <x:v>176</x:v>
      </x:c>
      <x:c r="C1865" s="3" t="s">
        <x:v>492</x:v>
      </x:c>
      <x:c r="D1865" t="s">
        <x:v>677</x:v>
      </x:c>
      <x:c r="E1865" s="6">
        <x:v>0</x:v>
      </x:c>
      <x:c r="F1865" s="6">
        <x:v>0</x:v>
      </x:c>
      <x:c r="G1865" s="6">
        <x:v>0</x:v>
      </x:c>
      <x:c r="H1865" s="6">
        <x:f t="shared" si="88"/>
        <x:v>0</x:v>
      </x:c>
      <x:c r="I1865" s="6">
        <x:v>2659.53</x:v>
      </x:c>
      <x:c r="J1865" s="6">
        <x:v>0</x:v>
      </x:c>
      <x:c r="K1865" s="6">
        <x:f t="shared" si="89"/>
        <x:v>2659.53</x:v>
      </x:c>
      <x:c r="L1865" s="6">
        <x:v>0</x:v>
      </x:c>
      <x:c r="M1865" s="6">
        <x:v>0</x:v>
      </x:c>
      <x:c r="N1865" s="6">
        <x:f t="shared" si="90"/>
        <x:v>2659.53</x:v>
      </x:c>
    </x:row>
    <x:row r="1866" spans="1:14" x14ac:dyDescent="0.25">
      <x:c r="A1866" t="s">
        <x:v>23</x:v>
      </x:c>
      <x:c r="B1866" s="3" t="s">
        <x:v>177</x:v>
      </x:c>
      <x:c r="C1866" s="3" t="s">
        <x:v>493</x:v>
      </x:c>
      <x:c r="D1866" t="s">
        <x:v>677</x:v>
      </x:c>
      <x:c r="E1866" s="6">
        <x:v>0</x:v>
      </x:c>
      <x:c r="F1866" s="6">
        <x:v>0</x:v>
      </x:c>
      <x:c r="G1866" s="6">
        <x:v>0</x:v>
      </x:c>
      <x:c r="H1866" s="6">
        <x:f t="shared" si="88"/>
        <x:v>0</x:v>
      </x:c>
      <x:c r="I1866" s="6">
        <x:v>43618.71</x:v>
      </x:c>
      <x:c r="J1866" s="6">
        <x:v>0</x:v>
      </x:c>
      <x:c r="K1866" s="6">
        <x:f t="shared" si="89"/>
        <x:v>43618.71</x:v>
      </x:c>
      <x:c r="L1866" s="6">
        <x:v>0</x:v>
      </x:c>
      <x:c r="M1866" s="6">
        <x:v>0</x:v>
      </x:c>
      <x:c r="N1866" s="6">
        <x:f t="shared" si="90"/>
        <x:v>43618.71</x:v>
      </x:c>
    </x:row>
    <x:row r="1867" spans="1:14" x14ac:dyDescent="0.25">
      <x:c r="A1867" t="s">
        <x:v>23</x:v>
      </x:c>
      <x:c r="B1867" s="3" t="s">
        <x:v>178</x:v>
      </x:c>
      <x:c r="C1867" s="3" t="s">
        <x:v>494</x:v>
      </x:c>
      <x:c r="D1867" t="s">
        <x:v>677</x:v>
      </x:c>
      <x:c r="E1867" s="6">
        <x:v>0</x:v>
      </x:c>
      <x:c r="F1867" s="6">
        <x:v>0</x:v>
      </x:c>
      <x:c r="G1867" s="6">
        <x:v>0</x:v>
      </x:c>
      <x:c r="H1867" s="6">
        <x:f t="shared" si="88"/>
        <x:v>0</x:v>
      </x:c>
      <x:c r="I1867" s="6">
        <x:v>52605.759999999995</x:v>
      </x:c>
      <x:c r="J1867" s="6">
        <x:v>0</x:v>
      </x:c>
      <x:c r="K1867" s="6">
        <x:f t="shared" si="89"/>
        <x:v>52605.759999999995</x:v>
      </x:c>
      <x:c r="L1867" s="6">
        <x:v>0</x:v>
      </x:c>
      <x:c r="M1867" s="6">
        <x:v>0</x:v>
      </x:c>
      <x:c r="N1867" s="6">
        <x:f t="shared" si="90"/>
        <x:v>52605.759999999995</x:v>
      </x:c>
    </x:row>
    <x:row r="1868" spans="1:14" x14ac:dyDescent="0.25">
      <x:c r="A1868" t="s">
        <x:v>23</x:v>
      </x:c>
      <x:c r="B1868" s="3" t="s">
        <x:v>180</x:v>
      </x:c>
      <x:c r="C1868" s="3" t="s">
        <x:v>496</x:v>
      </x:c>
      <x:c r="D1868" t="s">
        <x:v>677</x:v>
      </x:c>
      <x:c r="E1868" s="6">
        <x:v>0</x:v>
      </x:c>
      <x:c r="F1868" s="6">
        <x:v>0</x:v>
      </x:c>
      <x:c r="G1868" s="6">
        <x:v>0</x:v>
      </x:c>
      <x:c r="H1868" s="6">
        <x:f t="shared" si="88"/>
        <x:v>0</x:v>
      </x:c>
      <x:c r="I1868" s="6">
        <x:v>1122.1399999999999</x:v>
      </x:c>
      <x:c r="J1868" s="6">
        <x:v>0</x:v>
      </x:c>
      <x:c r="K1868" s="6">
        <x:f t="shared" si="89"/>
        <x:v>1122.1399999999999</x:v>
      </x:c>
      <x:c r="L1868" s="6">
        <x:v>0</x:v>
      </x:c>
      <x:c r="M1868" s="6">
        <x:v>0</x:v>
      </x:c>
      <x:c r="N1868" s="6">
        <x:f t="shared" si="90"/>
        <x:v>1122.1399999999999</x:v>
      </x:c>
    </x:row>
    <x:row r="1869" spans="1:14" x14ac:dyDescent="0.25">
      <x:c r="A1869" t="s">
        <x:v>23</x:v>
      </x:c>
      <x:c r="B1869" s="3" t="s">
        <x:v>181</x:v>
      </x:c>
      <x:c r="C1869" s="3" t="s">
        <x:v>497</x:v>
      </x:c>
      <x:c r="D1869" t="s">
        <x:v>677</x:v>
      </x:c>
      <x:c r="E1869" s="6">
        <x:v>0</x:v>
      </x:c>
      <x:c r="F1869" s="6">
        <x:v>0</x:v>
      </x:c>
      <x:c r="G1869" s="6">
        <x:v>0</x:v>
      </x:c>
      <x:c r="H1869" s="6">
        <x:f t="shared" si="88"/>
        <x:v>0</x:v>
      </x:c>
      <x:c r="I1869" s="6">
        <x:v>26652.7</x:v>
      </x:c>
      <x:c r="J1869" s="6">
        <x:v>0</x:v>
      </x:c>
      <x:c r="K1869" s="6">
        <x:f t="shared" si="89"/>
        <x:v>26652.7</x:v>
      </x:c>
      <x:c r="L1869" s="6">
        <x:v>0</x:v>
      </x:c>
      <x:c r="M1869" s="6">
        <x:v>0</x:v>
      </x:c>
      <x:c r="N1869" s="6">
        <x:f t="shared" si="90"/>
        <x:v>26652.7</x:v>
      </x:c>
    </x:row>
    <x:row r="1870" spans="1:14" x14ac:dyDescent="0.25">
      <x:c r="A1870" t="s">
        <x:v>23</x:v>
      </x:c>
      <x:c r="B1870" s="3" t="s">
        <x:v>235</x:v>
      </x:c>
      <x:c r="C1870" s="3" t="s">
        <x:v>550</x:v>
      </x:c>
      <x:c r="D1870" t="s">
        <x:v>677</x:v>
      </x:c>
      <x:c r="E1870" s="6">
        <x:v>0</x:v>
      </x:c>
      <x:c r="F1870" s="6">
        <x:v>0</x:v>
      </x:c>
      <x:c r="G1870" s="6">
        <x:v>0</x:v>
      </x:c>
      <x:c r="H1870" s="6">
        <x:f t="shared" si="88"/>
        <x:v>0</x:v>
      </x:c>
      <x:c r="I1870" s="6">
        <x:v>6196.2199999999993</x:v>
      </x:c>
      <x:c r="J1870" s="6">
        <x:v>0</x:v>
      </x:c>
      <x:c r="K1870" s="6">
        <x:f t="shared" si="89"/>
        <x:v>6196.2199999999993</x:v>
      </x:c>
      <x:c r="L1870" s="6">
        <x:v>0</x:v>
      </x:c>
      <x:c r="M1870" s="6">
        <x:v>0</x:v>
      </x:c>
      <x:c r="N1870" s="6">
        <x:f t="shared" si="90"/>
        <x:v>6196.2199999999993</x:v>
      </x:c>
    </x:row>
    <x:row r="1871" spans="1:14" x14ac:dyDescent="0.25">
      <x:c r="A1871" t="s">
        <x:v>23</x:v>
      </x:c>
      <x:c r="B1871" s="3" t="s">
        <x:v>183</x:v>
      </x:c>
      <x:c r="C1871" s="3" t="s">
        <x:v>499</x:v>
      </x:c>
      <x:c r="D1871" t="s">
        <x:v>677</x:v>
      </x:c>
      <x:c r="E1871" s="6">
        <x:v>0</x:v>
      </x:c>
      <x:c r="F1871" s="6">
        <x:v>0</x:v>
      </x:c>
      <x:c r="G1871" s="6">
        <x:v>0</x:v>
      </x:c>
      <x:c r="H1871" s="6">
        <x:f t="shared" si="88"/>
        <x:v>0</x:v>
      </x:c>
      <x:c r="I1871" s="6">
        <x:v>24634.489999999998</x:v>
      </x:c>
      <x:c r="J1871" s="6">
        <x:v>0</x:v>
      </x:c>
      <x:c r="K1871" s="6">
        <x:f t="shared" si="89"/>
        <x:v>24634.489999999998</x:v>
      </x:c>
      <x:c r="L1871" s="6">
        <x:v>0</x:v>
      </x:c>
      <x:c r="M1871" s="6">
        <x:v>0</x:v>
      </x:c>
      <x:c r="N1871" s="6">
        <x:f t="shared" si="90"/>
        <x:v>24634.489999999998</x:v>
      </x:c>
    </x:row>
    <x:row r="1872" spans="1:14" x14ac:dyDescent="0.25">
      <x:c r="A1872" t="s">
        <x:v>23</x:v>
      </x:c>
      <x:c r="B1872" s="3" t="s">
        <x:v>184</x:v>
      </x:c>
      <x:c r="C1872" s="3" t="s">
        <x:v>500</x:v>
      </x:c>
      <x:c r="D1872" t="s">
        <x:v>677</x:v>
      </x:c>
      <x:c r="E1872" s="6">
        <x:v>0</x:v>
      </x:c>
      <x:c r="F1872" s="6">
        <x:v>0</x:v>
      </x:c>
      <x:c r="G1872" s="6">
        <x:v>0</x:v>
      </x:c>
      <x:c r="H1872" s="6">
        <x:f t="shared" si="88"/>
        <x:v>0</x:v>
      </x:c>
      <x:c r="I1872" s="6">
        <x:v>1332.06</x:v>
      </x:c>
      <x:c r="J1872" s="6">
        <x:v>0</x:v>
      </x:c>
      <x:c r="K1872" s="6">
        <x:f t="shared" si="89"/>
        <x:v>1332.06</x:v>
      </x:c>
      <x:c r="L1872" s="6">
        <x:v>0</x:v>
      </x:c>
      <x:c r="M1872" s="6">
        <x:v>0</x:v>
      </x:c>
      <x:c r="N1872" s="6">
        <x:f t="shared" si="90"/>
        <x:v>1332.06</x:v>
      </x:c>
    </x:row>
    <x:row r="1873" spans="1:14" x14ac:dyDescent="0.25">
      <x:c r="A1873" t="s">
        <x:v>23</x:v>
      </x:c>
      <x:c r="B1873" s="3" t="s">
        <x:v>187</x:v>
      </x:c>
      <x:c r="C1873" s="3" t="s">
        <x:v>503</x:v>
      </x:c>
      <x:c r="D1873" t="s">
        <x:v>677</x:v>
      </x:c>
      <x:c r="E1873" s="6">
        <x:v>0</x:v>
      </x:c>
      <x:c r="F1873" s="6">
        <x:v>0</x:v>
      </x:c>
      <x:c r="G1873" s="6">
        <x:v>0</x:v>
      </x:c>
      <x:c r="H1873" s="6">
        <x:f t="shared" si="88"/>
        <x:v>0</x:v>
      </x:c>
      <x:c r="I1873" s="6">
        <x:v>84652.719999999987</x:v>
      </x:c>
      <x:c r="J1873" s="6">
        <x:v>0</x:v>
      </x:c>
      <x:c r="K1873" s="6">
        <x:f t="shared" si="89"/>
        <x:v>84652.719999999987</x:v>
      </x:c>
      <x:c r="L1873" s="6">
        <x:v>0</x:v>
      </x:c>
      <x:c r="M1873" s="6">
        <x:v>0</x:v>
      </x:c>
      <x:c r="N1873" s="6">
        <x:f t="shared" si="90"/>
        <x:v>84652.719999999987</x:v>
      </x:c>
    </x:row>
    <x:row r="1874" spans="1:14" x14ac:dyDescent="0.25">
      <x:c r="A1874" t="s">
        <x:v>23</x:v>
      </x:c>
      <x:c r="B1874" s="3" t="s">
        <x:v>189</x:v>
      </x:c>
      <x:c r="C1874" s="3" t="s">
        <x:v>505</x:v>
      </x:c>
      <x:c r="D1874" t="s">
        <x:v>677</x:v>
      </x:c>
      <x:c r="E1874" s="6">
        <x:v>0</x:v>
      </x:c>
      <x:c r="F1874" s="6">
        <x:v>0</x:v>
      </x:c>
      <x:c r="G1874" s="6">
        <x:v>0</x:v>
      </x:c>
      <x:c r="H1874" s="6">
        <x:f t="shared" ref="H1874:H1937" si="91">SUM(E1874:G1874)</x:f>
        <x:v>0</x:v>
      </x:c>
      <x:c r="I1874" s="6">
        <x:v>12781.24</x:v>
      </x:c>
      <x:c r="J1874" s="6">
        <x:v>0</x:v>
      </x:c>
      <x:c r="K1874" s="6">
        <x:f t="shared" ref="K1874:K1937" si="92">SUM(I1874:J1874)</x:f>
        <x:v>12781.24</x:v>
      </x:c>
      <x:c r="L1874" s="6">
        <x:v>0</x:v>
      </x:c>
      <x:c r="M1874" s="6">
        <x:v>0</x:v>
      </x:c>
      <x:c r="N1874" s="6">
        <x:f t="shared" ref="N1874:N1937" si="93">+E1874+F1874+G1874+I1874+J1874+L1874+M1874</x:f>
        <x:v>12781.24</x:v>
      </x:c>
    </x:row>
    <x:row r="1875" spans="1:14" x14ac:dyDescent="0.25">
      <x:c r="A1875" t="s">
        <x:v>23</x:v>
      </x:c>
      <x:c r="B1875" s="3" t="s">
        <x:v>236</x:v>
      </x:c>
      <x:c r="C1875" s="3" t="s">
        <x:v>551</x:v>
      </x:c>
      <x:c r="D1875" t="s">
        <x:v>677</x:v>
      </x:c>
      <x:c r="E1875" s="6">
        <x:v>0</x:v>
      </x:c>
      <x:c r="F1875" s="6">
        <x:v>0</x:v>
      </x:c>
      <x:c r="G1875" s="6">
        <x:v>0</x:v>
      </x:c>
      <x:c r="H1875" s="6">
        <x:f t="shared" si="91"/>
        <x:v>0</x:v>
      </x:c>
      <x:c r="I1875" s="6">
        <x:v>175243.54</x:v>
      </x:c>
      <x:c r="J1875" s="6">
        <x:v>0</x:v>
      </x:c>
      <x:c r="K1875" s="6">
        <x:f t="shared" si="92"/>
        <x:v>175243.54</x:v>
      </x:c>
      <x:c r="L1875" s="6">
        <x:v>0</x:v>
      </x:c>
      <x:c r="M1875" s="6">
        <x:v>0</x:v>
      </x:c>
      <x:c r="N1875" s="6">
        <x:f t="shared" si="93"/>
        <x:v>175243.54</x:v>
      </x:c>
    </x:row>
    <x:row r="1876" spans="1:14" x14ac:dyDescent="0.25">
      <x:c r="A1876" t="s">
        <x:v>23</x:v>
      </x:c>
      <x:c r="B1876" s="3" t="s">
        <x:v>193</x:v>
      </x:c>
      <x:c r="C1876" s="3" t="s">
        <x:v>509</x:v>
      </x:c>
      <x:c r="D1876" t="s">
        <x:v>677</x:v>
      </x:c>
      <x:c r="E1876" s="6">
        <x:v>0</x:v>
      </x:c>
      <x:c r="F1876" s="6">
        <x:v>0</x:v>
      </x:c>
      <x:c r="G1876" s="6">
        <x:v>0</x:v>
      </x:c>
      <x:c r="H1876" s="6">
        <x:f t="shared" si="91"/>
        <x:v>0</x:v>
      </x:c>
      <x:c r="I1876" s="6">
        <x:v>4336.55</x:v>
      </x:c>
      <x:c r="J1876" s="6">
        <x:v>0</x:v>
      </x:c>
      <x:c r="K1876" s="6">
        <x:f t="shared" si="92"/>
        <x:v>4336.55</x:v>
      </x:c>
      <x:c r="L1876" s="6">
        <x:v>0</x:v>
      </x:c>
      <x:c r="M1876" s="6">
        <x:v>0</x:v>
      </x:c>
      <x:c r="N1876" s="6">
        <x:f t="shared" si="93"/>
        <x:v>4336.55</x:v>
      </x:c>
    </x:row>
    <x:row r="1877" spans="1:14" x14ac:dyDescent="0.25">
      <x:c r="A1877" t="s">
        <x:v>23</x:v>
      </x:c>
      <x:c r="B1877" s="3" t="s">
        <x:v>194</x:v>
      </x:c>
      <x:c r="C1877" s="3" t="s">
        <x:v>510</x:v>
      </x:c>
      <x:c r="D1877" t="s">
        <x:v>677</x:v>
      </x:c>
      <x:c r="E1877" s="6">
        <x:v>0</x:v>
      </x:c>
      <x:c r="F1877" s="6">
        <x:v>0</x:v>
      </x:c>
      <x:c r="G1877" s="6">
        <x:v>0</x:v>
      </x:c>
      <x:c r="H1877" s="6">
        <x:f t="shared" si="91"/>
        <x:v>0</x:v>
      </x:c>
      <x:c r="I1877" s="6">
        <x:v>76963.030000000013</x:v>
      </x:c>
      <x:c r="J1877" s="6">
        <x:v>0</x:v>
      </x:c>
      <x:c r="K1877" s="6">
        <x:f t="shared" si="92"/>
        <x:v>76963.030000000013</x:v>
      </x:c>
      <x:c r="L1877" s="6">
        <x:v>0</x:v>
      </x:c>
      <x:c r="M1877" s="6">
        <x:v>0</x:v>
      </x:c>
      <x:c r="N1877" s="6">
        <x:f t="shared" si="93"/>
        <x:v>76963.030000000013</x:v>
      </x:c>
    </x:row>
    <x:row r="1878" spans="1:14" x14ac:dyDescent="0.25">
      <x:c r="A1878" t="s">
        <x:v>23</x:v>
      </x:c>
      <x:c r="B1878" s="3" t="s">
        <x:v>195</x:v>
      </x:c>
      <x:c r="C1878" s="3" t="s">
        <x:v>511</x:v>
      </x:c>
      <x:c r="D1878" t="s">
        <x:v>677</x:v>
      </x:c>
      <x:c r="E1878" s="6">
        <x:v>0</x:v>
      </x:c>
      <x:c r="F1878" s="6">
        <x:v>0</x:v>
      </x:c>
      <x:c r="G1878" s="6">
        <x:v>0</x:v>
      </x:c>
      <x:c r="H1878" s="6">
        <x:f t="shared" si="91"/>
        <x:v>0</x:v>
      </x:c>
      <x:c r="I1878" s="6">
        <x:v>4761.34</x:v>
      </x:c>
      <x:c r="J1878" s="6">
        <x:v>0</x:v>
      </x:c>
      <x:c r="K1878" s="6">
        <x:f t="shared" si="92"/>
        <x:v>4761.34</x:v>
      </x:c>
      <x:c r="L1878" s="6">
        <x:v>0</x:v>
      </x:c>
      <x:c r="M1878" s="6">
        <x:v>0</x:v>
      </x:c>
      <x:c r="N1878" s="6">
        <x:f t="shared" si="93"/>
        <x:v>4761.34</x:v>
      </x:c>
    </x:row>
    <x:row r="1879" spans="1:14" x14ac:dyDescent="0.25">
      <x:c r="A1879" t="s">
        <x:v>23</x:v>
      </x:c>
      <x:c r="B1879" s="3" t="s">
        <x:v>237</x:v>
      </x:c>
      <x:c r="C1879" s="3" t="s">
        <x:v>552</x:v>
      </x:c>
      <x:c r="D1879" t="s">
        <x:v>677</x:v>
      </x:c>
      <x:c r="E1879" s="6">
        <x:v>0</x:v>
      </x:c>
      <x:c r="F1879" s="6">
        <x:v>0</x:v>
      </x:c>
      <x:c r="G1879" s="6">
        <x:v>0</x:v>
      </x:c>
      <x:c r="H1879" s="6">
        <x:f t="shared" si="91"/>
        <x:v>0</x:v>
      </x:c>
      <x:c r="I1879" s="6">
        <x:v>1970.31</x:v>
      </x:c>
      <x:c r="J1879" s="6">
        <x:v>0</x:v>
      </x:c>
      <x:c r="K1879" s="6">
        <x:f t="shared" si="92"/>
        <x:v>1970.31</x:v>
      </x:c>
      <x:c r="L1879" s="6">
        <x:v>0</x:v>
      </x:c>
      <x:c r="M1879" s="6">
        <x:v>0</x:v>
      </x:c>
      <x:c r="N1879" s="6">
        <x:f t="shared" si="93"/>
        <x:v>1970.31</x:v>
      </x:c>
    </x:row>
    <x:row r="1880" spans="1:14" x14ac:dyDescent="0.25">
      <x:c r="A1880" t="s">
        <x:v>23</x:v>
      </x:c>
      <x:c r="B1880" s="3" t="s">
        <x:v>196</x:v>
      </x:c>
      <x:c r="C1880" s="3" t="s">
        <x:v>512</x:v>
      </x:c>
      <x:c r="D1880" t="s">
        <x:v>677</x:v>
      </x:c>
      <x:c r="E1880" s="6">
        <x:v>0</x:v>
      </x:c>
      <x:c r="F1880" s="6">
        <x:v>0</x:v>
      </x:c>
      <x:c r="G1880" s="6">
        <x:v>0</x:v>
      </x:c>
      <x:c r="H1880" s="6">
        <x:f t="shared" si="91"/>
        <x:v>0</x:v>
      </x:c>
      <x:c r="I1880" s="6">
        <x:v>33020.909999999996</x:v>
      </x:c>
      <x:c r="J1880" s="6">
        <x:v>0</x:v>
      </x:c>
      <x:c r="K1880" s="6">
        <x:f t="shared" si="92"/>
        <x:v>33020.909999999996</x:v>
      </x:c>
      <x:c r="L1880" s="6">
        <x:v>0</x:v>
      </x:c>
      <x:c r="M1880" s="6">
        <x:v>0</x:v>
      </x:c>
      <x:c r="N1880" s="6">
        <x:f t="shared" si="93"/>
        <x:v>33020.909999999996</x:v>
      </x:c>
    </x:row>
    <x:row r="1881" spans="1:14" x14ac:dyDescent="0.25">
      <x:c r="A1881" t="s">
        <x:v>23</x:v>
      </x:c>
      <x:c r="B1881" s="3" t="s">
        <x:v>63</x:v>
      </x:c>
      <x:c r="C1881" s="3" t="s">
        <x:v>380</x:v>
      </x:c>
      <x:c r="D1881" t="s">
        <x:v>677</x:v>
      </x:c>
      <x:c r="E1881" s="6">
        <x:v>0</x:v>
      </x:c>
      <x:c r="F1881" s="6">
        <x:v>0</x:v>
      </x:c>
      <x:c r="G1881" s="6">
        <x:v>0</x:v>
      </x:c>
      <x:c r="H1881" s="6">
        <x:f t="shared" si="91"/>
        <x:v>0</x:v>
      </x:c>
      <x:c r="I1881" s="6">
        <x:v>12.480000000000002</x:v>
      </x:c>
      <x:c r="J1881" s="6">
        <x:v>0</x:v>
      </x:c>
      <x:c r="K1881" s="6">
        <x:f t="shared" si="92"/>
        <x:v>12.480000000000002</x:v>
      </x:c>
      <x:c r="L1881" s="6">
        <x:v>0</x:v>
      </x:c>
      <x:c r="M1881" s="6">
        <x:v>0</x:v>
      </x:c>
      <x:c r="N1881" s="6">
        <x:f t="shared" si="93"/>
        <x:v>12.480000000000002</x:v>
      </x:c>
    </x:row>
    <x:row r="1882" spans="1:14" x14ac:dyDescent="0.25">
      <x:c r="A1882" t="s">
        <x:v>23</x:v>
      </x:c>
      <x:c r="B1882" s="3" t="s">
        <x:v>199</x:v>
      </x:c>
      <x:c r="C1882" s="3" t="s">
        <x:v>515</x:v>
      </x:c>
      <x:c r="D1882" t="s">
        <x:v>677</x:v>
      </x:c>
      <x:c r="E1882" s="6">
        <x:v>0</x:v>
      </x:c>
      <x:c r="F1882" s="6">
        <x:v>0</x:v>
      </x:c>
      <x:c r="G1882" s="6">
        <x:v>0</x:v>
      </x:c>
      <x:c r="H1882" s="6">
        <x:f t="shared" si="91"/>
        <x:v>0</x:v>
      </x:c>
      <x:c r="I1882" s="6">
        <x:v>29827.309999999998</x:v>
      </x:c>
      <x:c r="J1882" s="6">
        <x:v>0</x:v>
      </x:c>
      <x:c r="K1882" s="6">
        <x:f t="shared" si="92"/>
        <x:v>29827.309999999998</x:v>
      </x:c>
      <x:c r="L1882" s="6">
        <x:v>0</x:v>
      </x:c>
      <x:c r="M1882" s="6">
        <x:v>0</x:v>
      </x:c>
      <x:c r="N1882" s="6">
        <x:f t="shared" si="93"/>
        <x:v>29827.309999999998</x:v>
      </x:c>
    </x:row>
    <x:row r="1883" spans="1:14" x14ac:dyDescent="0.25">
      <x:c r="A1883" t="s">
        <x:v>23</x:v>
      </x:c>
      <x:c r="B1883" s="3" t="s">
        <x:v>200</x:v>
      </x:c>
      <x:c r="C1883" s="3" t="s">
        <x:v>516</x:v>
      </x:c>
      <x:c r="D1883" t="s">
        <x:v>677</x:v>
      </x:c>
      <x:c r="E1883" s="6">
        <x:v>0</x:v>
      </x:c>
      <x:c r="F1883" s="6">
        <x:v>0</x:v>
      </x:c>
      <x:c r="G1883" s="6">
        <x:v>0</x:v>
      </x:c>
      <x:c r="H1883" s="6">
        <x:f t="shared" si="91"/>
        <x:v>0</x:v>
      </x:c>
      <x:c r="I1883" s="6">
        <x:v>32721.599999999999</x:v>
      </x:c>
      <x:c r="J1883" s="6">
        <x:v>0</x:v>
      </x:c>
      <x:c r="K1883" s="6">
        <x:f t="shared" si="92"/>
        <x:v>32721.599999999999</x:v>
      </x:c>
      <x:c r="L1883" s="6">
        <x:v>0</x:v>
      </x:c>
      <x:c r="M1883" s="6">
        <x:v>0</x:v>
      </x:c>
      <x:c r="N1883" s="6">
        <x:f t="shared" si="93"/>
        <x:v>32721.599999999999</x:v>
      </x:c>
    </x:row>
    <x:row r="1884" spans="1:14" x14ac:dyDescent="0.25">
      <x:c r="A1884" t="s">
        <x:v>23</x:v>
      </x:c>
      <x:c r="B1884" s="3" t="s">
        <x:v>203</x:v>
      </x:c>
      <x:c r="C1884" s="3" t="s">
        <x:v>519</x:v>
      </x:c>
      <x:c r="D1884" t="s">
        <x:v>677</x:v>
      </x:c>
      <x:c r="E1884" s="6">
        <x:v>0</x:v>
      </x:c>
      <x:c r="F1884" s="6">
        <x:v>0</x:v>
      </x:c>
      <x:c r="G1884" s="6">
        <x:v>0</x:v>
      </x:c>
      <x:c r="H1884" s="6">
        <x:f t="shared" si="91"/>
        <x:v>0</x:v>
      </x:c>
      <x:c r="I1884" s="6">
        <x:v>1433.93</x:v>
      </x:c>
      <x:c r="J1884" s="6">
        <x:v>0</x:v>
      </x:c>
      <x:c r="K1884" s="6">
        <x:f t="shared" si="92"/>
        <x:v>1433.93</x:v>
      </x:c>
      <x:c r="L1884" s="6">
        <x:v>0</x:v>
      </x:c>
      <x:c r="M1884" s="6">
        <x:v>0</x:v>
      </x:c>
      <x:c r="N1884" s="6">
        <x:f t="shared" si="93"/>
        <x:v>1433.93</x:v>
      </x:c>
    </x:row>
    <x:row r="1885" spans="1:14" x14ac:dyDescent="0.25">
      <x:c r="A1885" t="s">
        <x:v>23</x:v>
      </x:c>
      <x:c r="B1885" s="3" t="s">
        <x:v>50</x:v>
      </x:c>
      <x:c r="C1885" s="3" t="s">
        <x:v>367</x:v>
      </x:c>
      <x:c r="D1885" t="s">
        <x:v>677</x:v>
      </x:c>
      <x:c r="E1885" s="6">
        <x:v>0</x:v>
      </x:c>
      <x:c r="F1885" s="6">
        <x:v>0</x:v>
      </x:c>
      <x:c r="G1885" s="6">
        <x:v>0</x:v>
      </x:c>
      <x:c r="H1885" s="6">
        <x:f t="shared" si="91"/>
        <x:v>0</x:v>
      </x:c>
      <x:c r="I1885" s="6">
        <x:v>5958.9500000000016</x:v>
      </x:c>
      <x:c r="J1885" s="6">
        <x:v>0</x:v>
      </x:c>
      <x:c r="K1885" s="6">
        <x:f t="shared" si="92"/>
        <x:v>5958.9500000000016</x:v>
      </x:c>
      <x:c r="L1885" s="6">
        <x:v>0</x:v>
      </x:c>
      <x:c r="M1885" s="6">
        <x:v>0</x:v>
      </x:c>
      <x:c r="N1885" s="6">
        <x:f t="shared" si="93"/>
        <x:v>5958.9500000000016</x:v>
      </x:c>
    </x:row>
    <x:row r="1886" spans="1:14" x14ac:dyDescent="0.25">
      <x:c r="A1886" t="s">
        <x:v>23</x:v>
      </x:c>
      <x:c r="B1886" s="3" t="s">
        <x:v>239</x:v>
      </x:c>
      <x:c r="C1886" s="3" t="s">
        <x:v>554</x:v>
      </x:c>
      <x:c r="D1886" t="s">
        <x:v>677</x:v>
      </x:c>
      <x:c r="E1886" s="6">
        <x:v>0</x:v>
      </x:c>
      <x:c r="F1886" s="6">
        <x:v>0</x:v>
      </x:c>
      <x:c r="G1886" s="6">
        <x:v>0</x:v>
      </x:c>
      <x:c r="H1886" s="6">
        <x:f t="shared" si="91"/>
        <x:v>0</x:v>
      </x:c>
      <x:c r="I1886" s="6">
        <x:v>252.25</x:v>
      </x:c>
      <x:c r="J1886" s="6">
        <x:v>0</x:v>
      </x:c>
      <x:c r="K1886" s="6">
        <x:f t="shared" si="92"/>
        <x:v>252.25</x:v>
      </x:c>
      <x:c r="L1886" s="6">
        <x:v>0</x:v>
      </x:c>
      <x:c r="M1886" s="6">
        <x:v>0</x:v>
      </x:c>
      <x:c r="N1886" s="6">
        <x:f t="shared" si="93"/>
        <x:v>252.25</x:v>
      </x:c>
    </x:row>
    <x:row r="1887" spans="1:14" x14ac:dyDescent="0.25">
      <x:c r="A1887" t="s">
        <x:v>23</x:v>
      </x:c>
      <x:c r="B1887" s="3" t="s">
        <x:v>205</x:v>
      </x:c>
      <x:c r="C1887" s="3" t="s">
        <x:v>521</x:v>
      </x:c>
      <x:c r="D1887" t="s">
        <x:v>677</x:v>
      </x:c>
      <x:c r="E1887" s="6">
        <x:v>0</x:v>
      </x:c>
      <x:c r="F1887" s="6">
        <x:v>0</x:v>
      </x:c>
      <x:c r="G1887" s="6">
        <x:v>0</x:v>
      </x:c>
      <x:c r="H1887" s="6">
        <x:f t="shared" si="91"/>
        <x:v>0</x:v>
      </x:c>
      <x:c r="I1887" s="6">
        <x:v>1310.3599999999999</x:v>
      </x:c>
      <x:c r="J1887" s="6">
        <x:v>0</x:v>
      </x:c>
      <x:c r="K1887" s="6">
        <x:f t="shared" si="92"/>
        <x:v>1310.3599999999999</x:v>
      </x:c>
      <x:c r="L1887" s="6">
        <x:v>0</x:v>
      </x:c>
      <x:c r="M1887" s="6">
        <x:v>0</x:v>
      </x:c>
      <x:c r="N1887" s="6">
        <x:f t="shared" si="93"/>
        <x:v>1310.3599999999999</x:v>
      </x:c>
    </x:row>
    <x:row r="1888" spans="1:14" x14ac:dyDescent="0.25">
      <x:c r="A1888" t="s">
        <x:v>23</x:v>
      </x:c>
      <x:c r="B1888" s="3" t="s">
        <x:v>240</x:v>
      </x:c>
      <x:c r="C1888" s="3" t="s">
        <x:v>555</x:v>
      </x:c>
      <x:c r="D1888" t="s">
        <x:v>677</x:v>
      </x:c>
      <x:c r="E1888" s="6">
        <x:v>0</x:v>
      </x:c>
      <x:c r="F1888" s="6">
        <x:v>0</x:v>
      </x:c>
      <x:c r="G1888" s="6">
        <x:v>0</x:v>
      </x:c>
      <x:c r="H1888" s="6">
        <x:f t="shared" si="91"/>
        <x:v>0</x:v>
      </x:c>
      <x:c r="I1888" s="6">
        <x:v>824.57</x:v>
      </x:c>
      <x:c r="J1888" s="6">
        <x:v>0</x:v>
      </x:c>
      <x:c r="K1888" s="6">
        <x:f t="shared" si="92"/>
        <x:v>824.57</x:v>
      </x:c>
      <x:c r="L1888" s="6">
        <x:v>0</x:v>
      </x:c>
      <x:c r="M1888" s="6">
        <x:v>0</x:v>
      </x:c>
      <x:c r="N1888" s="6">
        <x:f t="shared" si="93"/>
        <x:v>824.57</x:v>
      </x:c>
    </x:row>
    <x:row r="1889" spans="1:14" x14ac:dyDescent="0.25">
      <x:c r="A1889" t="s">
        <x:v>23</x:v>
      </x:c>
      <x:c r="B1889" s="3" t="s">
        <x:v>206</x:v>
      </x:c>
      <x:c r="C1889" s="3" t="s">
        <x:v>522</x:v>
      </x:c>
      <x:c r="D1889" t="s">
        <x:v>677</x:v>
      </x:c>
      <x:c r="E1889" s="6">
        <x:v>0</x:v>
      </x:c>
      <x:c r="F1889" s="6">
        <x:v>0</x:v>
      </x:c>
      <x:c r="G1889" s="6">
        <x:v>0</x:v>
      </x:c>
      <x:c r="H1889" s="6">
        <x:f t="shared" si="91"/>
        <x:v>0</x:v>
      </x:c>
      <x:c r="I1889" s="6">
        <x:v>8555.86</x:v>
      </x:c>
      <x:c r="J1889" s="6">
        <x:v>0</x:v>
      </x:c>
      <x:c r="K1889" s="6">
        <x:f t="shared" si="92"/>
        <x:v>8555.86</x:v>
      </x:c>
      <x:c r="L1889" s="6">
        <x:v>0</x:v>
      </x:c>
      <x:c r="M1889" s="6">
        <x:v>0</x:v>
      </x:c>
      <x:c r="N1889" s="6">
        <x:f t="shared" si="93"/>
        <x:v>8555.86</x:v>
      </x:c>
    </x:row>
    <x:row r="1890" spans="1:14" x14ac:dyDescent="0.25">
      <x:c r="A1890" t="s">
        <x:v>23</x:v>
      </x:c>
      <x:c r="B1890" s="3" t="s">
        <x:v>210</x:v>
      </x:c>
      <x:c r="C1890" s="3" t="s">
        <x:v>526</x:v>
      </x:c>
      <x:c r="D1890" t="s">
        <x:v>677</x:v>
      </x:c>
      <x:c r="E1890" s="6">
        <x:v>0</x:v>
      </x:c>
      <x:c r="F1890" s="6">
        <x:v>0</x:v>
      </x:c>
      <x:c r="G1890" s="6">
        <x:v>0</x:v>
      </x:c>
      <x:c r="H1890" s="6">
        <x:f t="shared" si="91"/>
        <x:v>0</x:v>
      </x:c>
      <x:c r="I1890" s="6">
        <x:v>19397.289999999997</x:v>
      </x:c>
      <x:c r="J1890" s="6">
        <x:v>0</x:v>
      </x:c>
      <x:c r="K1890" s="6">
        <x:f t="shared" si="92"/>
        <x:v>19397.289999999997</x:v>
      </x:c>
      <x:c r="L1890" s="6">
        <x:v>0</x:v>
      </x:c>
      <x:c r="M1890" s="6">
        <x:v>0</x:v>
      </x:c>
      <x:c r="N1890" s="6">
        <x:f t="shared" si="93"/>
        <x:v>19397.289999999997</x:v>
      </x:c>
    </x:row>
    <x:row r="1891" spans="1:14" x14ac:dyDescent="0.25">
      <x:c r="A1891" t="s">
        <x:v>23</x:v>
      </x:c>
      <x:c r="B1891" s="3" t="s">
        <x:v>211</x:v>
      </x:c>
      <x:c r="C1891" s="3" t="s">
        <x:v>527</x:v>
      </x:c>
      <x:c r="D1891" t="s">
        <x:v>677</x:v>
      </x:c>
      <x:c r="E1891" s="6">
        <x:v>0</x:v>
      </x:c>
      <x:c r="F1891" s="6">
        <x:v>0</x:v>
      </x:c>
      <x:c r="G1891" s="6">
        <x:v>0</x:v>
      </x:c>
      <x:c r="H1891" s="6">
        <x:f t="shared" si="91"/>
        <x:v>0</x:v>
      </x:c>
      <x:c r="I1891" s="6">
        <x:v>24030.81</x:v>
      </x:c>
      <x:c r="J1891" s="6">
        <x:v>0</x:v>
      </x:c>
      <x:c r="K1891" s="6">
        <x:f t="shared" si="92"/>
        <x:v>24030.81</x:v>
      </x:c>
      <x:c r="L1891" s="6">
        <x:v>0</x:v>
      </x:c>
      <x:c r="M1891" s="6">
        <x:v>0</x:v>
      </x:c>
      <x:c r="N1891" s="6">
        <x:f t="shared" si="93"/>
        <x:v>24030.81</x:v>
      </x:c>
    </x:row>
    <x:row r="1892" spans="1:14" x14ac:dyDescent="0.25">
      <x:c r="A1892" t="s">
        <x:v>23</x:v>
      </x:c>
      <x:c r="B1892" s="3" t="s">
        <x:v>212</x:v>
      </x:c>
      <x:c r="C1892" s="3" t="s">
        <x:v>528</x:v>
      </x:c>
      <x:c r="D1892" t="s">
        <x:v>677</x:v>
      </x:c>
      <x:c r="E1892" s="6">
        <x:v>0</x:v>
      </x:c>
      <x:c r="F1892" s="6">
        <x:v>0</x:v>
      </x:c>
      <x:c r="G1892" s="6">
        <x:v>0</x:v>
      </x:c>
      <x:c r="H1892" s="6">
        <x:f t="shared" si="91"/>
        <x:v>0</x:v>
      </x:c>
      <x:c r="I1892" s="6">
        <x:v>5317.8400000000011</x:v>
      </x:c>
      <x:c r="J1892" s="6">
        <x:v>0</x:v>
      </x:c>
      <x:c r="K1892" s="6">
        <x:f t="shared" si="92"/>
        <x:v>5317.8400000000011</x:v>
      </x:c>
      <x:c r="L1892" s="6">
        <x:v>0</x:v>
      </x:c>
      <x:c r="M1892" s="6">
        <x:v>0</x:v>
      </x:c>
      <x:c r="N1892" s="6">
        <x:f t="shared" si="93"/>
        <x:v>5317.8400000000011</x:v>
      </x:c>
    </x:row>
    <x:row r="1893" spans="1:14" x14ac:dyDescent="0.25">
      <x:c r="A1893" t="s">
        <x:v>23</x:v>
      </x:c>
      <x:c r="B1893" s="3" t="s">
        <x:v>64</x:v>
      </x:c>
      <x:c r="C1893" s="3" t="s">
        <x:v>381</x:v>
      </x:c>
      <x:c r="D1893" t="s">
        <x:v>677</x:v>
      </x:c>
      <x:c r="E1893" s="6">
        <x:v>0</x:v>
      </x:c>
      <x:c r="F1893" s="6">
        <x:v>0</x:v>
      </x:c>
      <x:c r="G1893" s="6">
        <x:v>0</x:v>
      </x:c>
      <x:c r="H1893" s="6">
        <x:f t="shared" si="91"/>
        <x:v>0</x:v>
      </x:c>
      <x:c r="I1893" s="6">
        <x:v>889.84999999999991</x:v>
      </x:c>
      <x:c r="J1893" s="6">
        <x:v>0</x:v>
      </x:c>
      <x:c r="K1893" s="6">
        <x:f t="shared" si="92"/>
        <x:v>889.84999999999991</x:v>
      </x:c>
      <x:c r="L1893" s="6">
        <x:v>0</x:v>
      </x:c>
      <x:c r="M1893" s="6">
        <x:v>0</x:v>
      </x:c>
      <x:c r="N1893" s="6">
        <x:f t="shared" si="93"/>
        <x:v>889.84999999999991</x:v>
      </x:c>
    </x:row>
    <x:row r="1894" spans="1:14" x14ac:dyDescent="0.25">
      <x:c r="A1894" t="s">
        <x:v>23</x:v>
      </x:c>
      <x:c r="B1894" s="3" t="s">
        <x:v>213</x:v>
      </x:c>
      <x:c r="C1894" s="3" t="s">
        <x:v>529</x:v>
      </x:c>
      <x:c r="D1894" t="s">
        <x:v>677</x:v>
      </x:c>
      <x:c r="E1894" s="6">
        <x:v>0</x:v>
      </x:c>
      <x:c r="F1894" s="6">
        <x:v>0</x:v>
      </x:c>
      <x:c r="G1894" s="6">
        <x:v>0</x:v>
      </x:c>
      <x:c r="H1894" s="6">
        <x:f t="shared" si="91"/>
        <x:v>0</x:v>
      </x:c>
      <x:c r="I1894" s="6">
        <x:v>1889</x:v>
      </x:c>
      <x:c r="J1894" s="6">
        <x:v>0</x:v>
      </x:c>
      <x:c r="K1894" s="6">
        <x:f t="shared" si="92"/>
        <x:v>1889</x:v>
      </x:c>
      <x:c r="L1894" s="6">
        <x:v>0</x:v>
      </x:c>
      <x:c r="M1894" s="6">
        <x:v>0</x:v>
      </x:c>
      <x:c r="N1894" s="6">
        <x:f t="shared" si="93"/>
        <x:v>1889</x:v>
      </x:c>
    </x:row>
    <x:row r="1895" spans="1:14" x14ac:dyDescent="0.25">
      <x:c r="A1895" t="s">
        <x:v>23</x:v>
      </x:c>
      <x:c r="B1895" s="3" t="s">
        <x:v>215</x:v>
      </x:c>
      <x:c r="C1895" s="3" t="s">
        <x:v>531</x:v>
      </x:c>
      <x:c r="D1895" t="s">
        <x:v>677</x:v>
      </x:c>
      <x:c r="E1895" s="6">
        <x:v>0</x:v>
      </x:c>
      <x:c r="F1895" s="6">
        <x:v>0</x:v>
      </x:c>
      <x:c r="G1895" s="6">
        <x:v>0</x:v>
      </x:c>
      <x:c r="H1895" s="6">
        <x:f t="shared" si="91"/>
        <x:v>0</x:v>
      </x:c>
      <x:c r="I1895" s="6">
        <x:v>1340.1299999999999</x:v>
      </x:c>
      <x:c r="J1895" s="6">
        <x:v>0</x:v>
      </x:c>
      <x:c r="K1895" s="6">
        <x:f t="shared" si="92"/>
        <x:v>1340.1299999999999</x:v>
      </x:c>
      <x:c r="L1895" s="6">
        <x:v>0</x:v>
      </x:c>
      <x:c r="M1895" s="6">
        <x:v>0</x:v>
      </x:c>
      <x:c r="N1895" s="6">
        <x:f t="shared" si="93"/>
        <x:v>1340.1299999999999</x:v>
      </x:c>
    </x:row>
    <x:row r="1896" spans="1:14" x14ac:dyDescent="0.25">
      <x:c r="A1896" t="s">
        <x:v>23</x:v>
      </x:c>
      <x:c r="B1896" s="3" t="s">
        <x:v>216</x:v>
      </x:c>
      <x:c r="C1896" s="3" t="s">
        <x:v>532</x:v>
      </x:c>
      <x:c r="D1896" t="s">
        <x:v>677</x:v>
      </x:c>
      <x:c r="E1896" s="6">
        <x:v>0</x:v>
      </x:c>
      <x:c r="F1896" s="6">
        <x:v>0</x:v>
      </x:c>
      <x:c r="G1896" s="6">
        <x:v>0</x:v>
      </x:c>
      <x:c r="H1896" s="6">
        <x:f t="shared" si="91"/>
        <x:v>0</x:v>
      </x:c>
      <x:c r="I1896" s="6">
        <x:v>29043.860000000004</x:v>
      </x:c>
      <x:c r="J1896" s="6">
        <x:v>0</x:v>
      </x:c>
      <x:c r="K1896" s="6">
        <x:f t="shared" si="92"/>
        <x:v>29043.860000000004</x:v>
      </x:c>
      <x:c r="L1896" s="6">
        <x:v>0</x:v>
      </x:c>
      <x:c r="M1896" s="6">
        <x:v>0</x:v>
      </x:c>
      <x:c r="N1896" s="6">
        <x:f t="shared" si="93"/>
        <x:v>29043.860000000004</x:v>
      </x:c>
    </x:row>
    <x:row r="1897" spans="1:14" x14ac:dyDescent="0.25">
      <x:c r="A1897" t="s">
        <x:v>23</x:v>
      </x:c>
      <x:c r="B1897" s="3" t="s">
        <x:v>65</x:v>
      </x:c>
      <x:c r="C1897" s="3" t="s">
        <x:v>382</x:v>
      </x:c>
      <x:c r="D1897" t="s">
        <x:v>677</x:v>
      </x:c>
      <x:c r="E1897" s="6">
        <x:v>0</x:v>
      </x:c>
      <x:c r="F1897" s="6">
        <x:v>0</x:v>
      </x:c>
      <x:c r="G1897" s="6">
        <x:v>0</x:v>
      </x:c>
      <x:c r="H1897" s="6">
        <x:f t="shared" si="91"/>
        <x:v>0</x:v>
      </x:c>
      <x:c r="I1897" s="6">
        <x:v>2842.1400000000003</x:v>
      </x:c>
      <x:c r="J1897" s="6">
        <x:v>0</x:v>
      </x:c>
      <x:c r="K1897" s="6">
        <x:f t="shared" si="92"/>
        <x:v>2842.1400000000003</x:v>
      </x:c>
      <x:c r="L1897" s="6">
        <x:v>0</x:v>
      </x:c>
      <x:c r="M1897" s="6">
        <x:v>0</x:v>
      </x:c>
      <x:c r="N1897" s="6">
        <x:f t="shared" si="93"/>
        <x:v>2842.1400000000003</x:v>
      </x:c>
    </x:row>
    <x:row r="1898" spans="1:14" x14ac:dyDescent="0.25">
      <x:c r="A1898" t="s">
        <x:v>23</x:v>
      </x:c>
      <x:c r="B1898" s="3" t="s">
        <x:v>217</x:v>
      </x:c>
      <x:c r="C1898" s="3" t="s">
        <x:v>533</x:v>
      </x:c>
      <x:c r="D1898" t="s">
        <x:v>677</x:v>
      </x:c>
      <x:c r="E1898" s="6">
        <x:v>0</x:v>
      </x:c>
      <x:c r="F1898" s="6">
        <x:v>0</x:v>
      </x:c>
      <x:c r="G1898" s="6">
        <x:v>0</x:v>
      </x:c>
      <x:c r="H1898" s="6">
        <x:f t="shared" si="91"/>
        <x:v>0</x:v>
      </x:c>
      <x:c r="I1898" s="6">
        <x:v>27456.7</x:v>
      </x:c>
      <x:c r="J1898" s="6">
        <x:v>0</x:v>
      </x:c>
      <x:c r="K1898" s="6">
        <x:f t="shared" si="92"/>
        <x:v>27456.7</x:v>
      </x:c>
      <x:c r="L1898" s="6">
        <x:v>0</x:v>
      </x:c>
      <x:c r="M1898" s="6">
        <x:v>0</x:v>
      </x:c>
      <x:c r="N1898" s="6">
        <x:f t="shared" si="93"/>
        <x:v>27456.7</x:v>
      </x:c>
    </x:row>
    <x:row r="1899" spans="1:14" x14ac:dyDescent="0.25">
      <x:c r="A1899" t="s">
        <x:v>23</x:v>
      </x:c>
      <x:c r="B1899" s="3" t="s">
        <x:v>218</x:v>
      </x:c>
      <x:c r="C1899" s="3" t="s">
        <x:v>534</x:v>
      </x:c>
      <x:c r="D1899" t="s">
        <x:v>677</x:v>
      </x:c>
      <x:c r="E1899" s="6">
        <x:v>0</x:v>
      </x:c>
      <x:c r="F1899" s="6">
        <x:v>0</x:v>
      </x:c>
      <x:c r="G1899" s="6">
        <x:v>0</x:v>
      </x:c>
      <x:c r="H1899" s="6">
        <x:f t="shared" si="91"/>
        <x:v>0</x:v>
      </x:c>
      <x:c r="I1899" s="6">
        <x:v>44631.43</x:v>
      </x:c>
      <x:c r="J1899" s="6">
        <x:v>0</x:v>
      </x:c>
      <x:c r="K1899" s="6">
        <x:f t="shared" si="92"/>
        <x:v>44631.43</x:v>
      </x:c>
      <x:c r="L1899" s="6">
        <x:v>0</x:v>
      </x:c>
      <x:c r="M1899" s="6">
        <x:v>0</x:v>
      </x:c>
      <x:c r="N1899" s="6">
        <x:f t="shared" si="93"/>
        <x:v>44631.43</x:v>
      </x:c>
    </x:row>
    <x:row r="1900" spans="1:14" x14ac:dyDescent="0.25">
      <x:c r="A1900" t="s">
        <x:v>23</x:v>
      </x:c>
      <x:c r="B1900" s="3" t="s">
        <x:v>219</x:v>
      </x:c>
      <x:c r="C1900" s="3" t="s">
        <x:v>535</x:v>
      </x:c>
      <x:c r="D1900" t="s">
        <x:v>677</x:v>
      </x:c>
      <x:c r="E1900" s="6">
        <x:v>0</x:v>
      </x:c>
      <x:c r="F1900" s="6">
        <x:v>0</x:v>
      </x:c>
      <x:c r="G1900" s="6">
        <x:v>0</x:v>
      </x:c>
      <x:c r="H1900" s="6">
        <x:f t="shared" si="91"/>
        <x:v>0</x:v>
      </x:c>
      <x:c r="I1900" s="6">
        <x:v>68290.579999999987</x:v>
      </x:c>
      <x:c r="J1900" s="6">
        <x:v>0</x:v>
      </x:c>
      <x:c r="K1900" s="6">
        <x:f t="shared" si="92"/>
        <x:v>68290.579999999987</x:v>
      </x:c>
      <x:c r="L1900" s="6">
        <x:v>0</x:v>
      </x:c>
      <x:c r="M1900" s="6">
        <x:v>0</x:v>
      </x:c>
      <x:c r="N1900" s="6">
        <x:f t="shared" si="93"/>
        <x:v>68290.579999999987</x:v>
      </x:c>
    </x:row>
    <x:row r="1901" spans="1:14" x14ac:dyDescent="0.25">
      <x:c r="A1901" t="s">
        <x:v>23</x:v>
      </x:c>
      <x:c r="B1901" s="3" t="s">
        <x:v>220</x:v>
      </x:c>
      <x:c r="C1901" s="3" t="s">
        <x:v>536</x:v>
      </x:c>
      <x:c r="D1901" t="s">
        <x:v>677</x:v>
      </x:c>
      <x:c r="E1901" s="6">
        <x:v>0</x:v>
      </x:c>
      <x:c r="F1901" s="6">
        <x:v>0</x:v>
      </x:c>
      <x:c r="G1901" s="6">
        <x:v>0</x:v>
      </x:c>
      <x:c r="H1901" s="6">
        <x:f t="shared" si="91"/>
        <x:v>0</x:v>
      </x:c>
      <x:c r="I1901" s="6">
        <x:v>5377.73</x:v>
      </x:c>
      <x:c r="J1901" s="6">
        <x:v>0</x:v>
      </x:c>
      <x:c r="K1901" s="6">
        <x:f t="shared" si="92"/>
        <x:v>5377.73</x:v>
      </x:c>
      <x:c r="L1901" s="6">
        <x:v>0</x:v>
      </x:c>
      <x:c r="M1901" s="6">
        <x:v>0</x:v>
      </x:c>
      <x:c r="N1901" s="6">
        <x:f t="shared" si="93"/>
        <x:v>5377.73</x:v>
      </x:c>
    </x:row>
    <x:row r="1902" spans="1:14" x14ac:dyDescent="0.25">
      <x:c r="A1902" t="s">
        <x:v>23</x:v>
      </x:c>
      <x:c r="B1902" s="3" t="s">
        <x:v>47</x:v>
      </x:c>
      <x:c r="C1902" s="3" t="s">
        <x:v>364</x:v>
      </x:c>
      <x:c r="D1902" t="s">
        <x:v>676</x:v>
      </x:c>
      <x:c r="E1902" s="6">
        <x:v>0</x:v>
      </x:c>
      <x:c r="F1902" s="6">
        <x:v>0</x:v>
      </x:c>
      <x:c r="G1902" s="6">
        <x:v>0</x:v>
      </x:c>
      <x:c r="H1902" s="6">
        <x:f t="shared" si="91"/>
        <x:v>0</x:v>
      </x:c>
      <x:c r="I1902" s="6">
        <x:v>0.01</x:v>
      </x:c>
      <x:c r="J1902" s="6">
        <x:v>0</x:v>
      </x:c>
      <x:c r="K1902" s="6">
        <x:f t="shared" si="92"/>
        <x:v>0.01</x:v>
      </x:c>
      <x:c r="L1902" s="6">
        <x:v>0</x:v>
      </x:c>
      <x:c r="M1902" s="6">
        <x:v>0</x:v>
      </x:c>
      <x:c r="N1902" s="6">
        <x:f t="shared" si="93"/>
        <x:v>0.01</x:v>
      </x:c>
    </x:row>
    <x:row r="1903" spans="1:14" x14ac:dyDescent="0.25">
      <x:c r="A1903" t="s">
        <x:v>23</x:v>
      </x:c>
      <x:c r="B1903" s="3" t="s">
        <x:v>226</x:v>
      </x:c>
      <x:c r="C1903" s="3" t="s">
        <x:v>542</x:v>
      </x:c>
      <x:c r="D1903" t="s">
        <x:v>677</x:v>
      </x:c>
      <x:c r="E1903" s="6">
        <x:v>0</x:v>
      </x:c>
      <x:c r="F1903" s="6">
        <x:v>0</x:v>
      </x:c>
      <x:c r="G1903" s="6">
        <x:v>0</x:v>
      </x:c>
      <x:c r="H1903" s="6">
        <x:f t="shared" si="91"/>
        <x:v>0</x:v>
      </x:c>
      <x:c r="I1903" s="6">
        <x:v>18.770000000000003</x:v>
      </x:c>
      <x:c r="J1903" s="6">
        <x:v>0</x:v>
      </x:c>
      <x:c r="K1903" s="6">
        <x:f t="shared" si="92"/>
        <x:v>18.770000000000003</x:v>
      </x:c>
      <x:c r="L1903" s="6">
        <x:v>0</x:v>
      </x:c>
      <x:c r="M1903" s="6">
        <x:v>0</x:v>
      </x:c>
      <x:c r="N1903" s="6">
        <x:f t="shared" si="93"/>
        <x:v>18.770000000000003</x:v>
      </x:c>
    </x:row>
    <x:row r="1904" spans="1:14" x14ac:dyDescent="0.25">
      <x:c r="A1904" t="s">
        <x:v>23</x:v>
      </x:c>
      <x:c r="B1904" s="3" t="s">
        <x:v>243</x:v>
      </x:c>
      <x:c r="C1904" s="3" t="s">
        <x:v>558</x:v>
      </x:c>
      <x:c r="D1904" t="s">
        <x:v>677</x:v>
      </x:c>
      <x:c r="E1904" s="6">
        <x:v>0</x:v>
      </x:c>
      <x:c r="F1904" s="6">
        <x:v>0</x:v>
      </x:c>
      <x:c r="G1904" s="6">
        <x:v>0</x:v>
      </x:c>
      <x:c r="H1904" s="6">
        <x:f t="shared" si="91"/>
        <x:v>0</x:v>
      </x:c>
      <x:c r="I1904" s="6">
        <x:v>1521.75</x:v>
      </x:c>
      <x:c r="J1904" s="6">
        <x:v>0</x:v>
      </x:c>
      <x:c r="K1904" s="6">
        <x:f t="shared" si="92"/>
        <x:v>1521.75</x:v>
      </x:c>
      <x:c r="L1904" s="6">
        <x:v>0</x:v>
      </x:c>
      <x:c r="M1904" s="6">
        <x:v>0</x:v>
      </x:c>
      <x:c r="N1904" s="6">
        <x:f t="shared" si="93"/>
        <x:v>1521.75</x:v>
      </x:c>
    </x:row>
    <x:row r="1905" spans="1:14" x14ac:dyDescent="0.25">
      <x:c r="A1905" t="s">
        <x:v>24</x:v>
      </x:c>
      <x:c r="B1905" s="3" t="s">
        <x:v>78</x:v>
      </x:c>
      <x:c r="C1905" s="3" t="s">
        <x:v>395</x:v>
      </x:c>
      <x:c r="D1905" t="s">
        <x:v>677</x:v>
      </x:c>
      <x:c r="E1905" s="6">
        <x:v>0</x:v>
      </x:c>
      <x:c r="F1905" s="6">
        <x:v>0</x:v>
      </x:c>
      <x:c r="G1905" s="6">
        <x:v>0</x:v>
      </x:c>
      <x:c r="H1905" s="6">
        <x:f t="shared" si="91"/>
        <x:v>0</x:v>
      </x:c>
      <x:c r="I1905" s="6">
        <x:v>9.5899999999999981</x:v>
      </x:c>
      <x:c r="J1905" s="6">
        <x:v>0</x:v>
      </x:c>
      <x:c r="K1905" s="6">
        <x:f t="shared" si="92"/>
        <x:v>9.5899999999999981</x:v>
      </x:c>
      <x:c r="L1905" s="6">
        <x:v>0</x:v>
      </x:c>
      <x:c r="M1905" s="6">
        <x:v>0</x:v>
      </x:c>
      <x:c r="N1905" s="6">
        <x:f t="shared" si="93"/>
        <x:v>9.5899999999999981</x:v>
      </x:c>
    </x:row>
    <x:row r="1906" spans="1:14" x14ac:dyDescent="0.25">
      <x:c r="A1906" t="s">
        <x:v>24</x:v>
      </x:c>
      <x:c r="B1906" s="3" t="s">
        <x:v>56</x:v>
      </x:c>
      <x:c r="C1906" s="3" t="s">
        <x:v>373</x:v>
      </x:c>
      <x:c r="D1906" t="s">
        <x:v>677</x:v>
      </x:c>
      <x:c r="E1906" s="6">
        <x:v>0</x:v>
      </x:c>
      <x:c r="F1906" s="6">
        <x:v>0</x:v>
      </x:c>
      <x:c r="G1906" s="6">
        <x:v>0</x:v>
      </x:c>
      <x:c r="H1906" s="6">
        <x:f t="shared" si="91"/>
        <x:v>0</x:v>
      </x:c>
      <x:c r="I1906" s="6">
        <x:v>8.1199999999999992</x:v>
      </x:c>
      <x:c r="J1906" s="6">
        <x:v>0</x:v>
      </x:c>
      <x:c r="K1906" s="6">
        <x:f t="shared" si="92"/>
        <x:v>8.1199999999999992</x:v>
      </x:c>
      <x:c r="L1906" s="6">
        <x:v>0</x:v>
      </x:c>
      <x:c r="M1906" s="6">
        <x:v>0</x:v>
      </x:c>
      <x:c r="N1906" s="6">
        <x:f t="shared" si="93"/>
        <x:v>8.1199999999999992</x:v>
      </x:c>
    </x:row>
    <x:row r="1907" spans="1:14" x14ac:dyDescent="0.25">
      <x:c r="A1907" t="s">
        <x:v>24</x:v>
      </x:c>
      <x:c r="B1907" s="3" t="s">
        <x:v>87</x:v>
      </x:c>
      <x:c r="C1907" s="3" t="s">
        <x:v>404</x:v>
      </x:c>
      <x:c r="D1907" t="s">
        <x:v>677</x:v>
      </x:c>
      <x:c r="E1907" s="6">
        <x:v>0</x:v>
      </x:c>
      <x:c r="F1907" s="6">
        <x:v>0</x:v>
      </x:c>
      <x:c r="G1907" s="6">
        <x:v>0</x:v>
      </x:c>
      <x:c r="H1907" s="6">
        <x:f t="shared" si="91"/>
        <x:v>0</x:v>
      </x:c>
      <x:c r="I1907" s="6">
        <x:v>5.67</x:v>
      </x:c>
      <x:c r="J1907" s="6">
        <x:v>0</x:v>
      </x:c>
      <x:c r="K1907" s="6">
        <x:f t="shared" si="92"/>
        <x:v>5.67</x:v>
      </x:c>
      <x:c r="L1907" s="6">
        <x:v>0</x:v>
      </x:c>
      <x:c r="M1907" s="6">
        <x:v>0</x:v>
      </x:c>
      <x:c r="N1907" s="6">
        <x:f t="shared" si="93"/>
        <x:v>5.67</x:v>
      </x:c>
    </x:row>
    <x:row r="1908" spans="1:14" x14ac:dyDescent="0.25">
      <x:c r="A1908" t="s">
        <x:v>24</x:v>
      </x:c>
      <x:c r="B1908" s="3" t="s">
        <x:v>105</x:v>
      </x:c>
      <x:c r="C1908" s="3" t="s">
        <x:v>422</x:v>
      </x:c>
      <x:c r="D1908" t="s">
        <x:v>677</x:v>
      </x:c>
      <x:c r="E1908" s="6">
        <x:v>0</x:v>
      </x:c>
      <x:c r="F1908" s="6">
        <x:v>0</x:v>
      </x:c>
      <x:c r="G1908" s="6">
        <x:v>0</x:v>
      </x:c>
      <x:c r="H1908" s="6">
        <x:f t="shared" si="91"/>
        <x:v>0</x:v>
      </x:c>
      <x:c r="I1908" s="6">
        <x:v>6.3</x:v>
      </x:c>
      <x:c r="J1908" s="6">
        <x:v>0</x:v>
      </x:c>
      <x:c r="K1908" s="6">
        <x:f t="shared" si="92"/>
        <x:v>6.3</x:v>
      </x:c>
      <x:c r="L1908" s="6">
        <x:v>0</x:v>
      </x:c>
      <x:c r="M1908" s="6">
        <x:v>0</x:v>
      </x:c>
      <x:c r="N1908" s="6">
        <x:f t="shared" si="93"/>
        <x:v>6.3</x:v>
      </x:c>
    </x:row>
    <x:row r="1909" spans="1:14" x14ac:dyDescent="0.25">
      <x:c r="A1909" t="s">
        <x:v>24</x:v>
      </x:c>
      <x:c r="B1909" s="3" t="s">
        <x:v>115</x:v>
      </x:c>
      <x:c r="C1909" s="3" t="s">
        <x:v>432</x:v>
      </x:c>
      <x:c r="D1909" t="s">
        <x:v>676</x:v>
      </x:c>
      <x:c r="E1909" s="6">
        <x:v>0</x:v>
      </x:c>
      <x:c r="F1909" s="6">
        <x:v>0</x:v>
      </x:c>
      <x:c r="G1909" s="6">
        <x:v>0</x:v>
      </x:c>
      <x:c r="H1909" s="6">
        <x:f t="shared" si="91"/>
        <x:v>0</x:v>
      </x:c>
      <x:c r="I1909" s="6">
        <x:v>0</x:v>
      </x:c>
      <x:c r="J1909" s="6">
        <x:v>0</x:v>
      </x:c>
      <x:c r="K1909" s="6">
        <x:f t="shared" si="92"/>
        <x:v>0</x:v>
      </x:c>
      <x:c r="L1909" s="6">
        <x:v>4.41</x:v>
      </x:c>
      <x:c r="M1909" s="6">
        <x:v>0</x:v>
      </x:c>
      <x:c r="N1909" s="6">
        <x:f t="shared" si="93"/>
        <x:v>4.41</x:v>
      </x:c>
    </x:row>
    <x:row r="1910" spans="1:14" x14ac:dyDescent="0.25">
      <x:c r="A1910" t="s">
        <x:v>24</x:v>
      </x:c>
      <x:c r="B1910" s="3" t="s">
        <x:v>228</x:v>
      </x:c>
      <x:c r="C1910" s="3" t="s">
        <x:v>543</x:v>
      </x:c>
      <x:c r="D1910" t="s">
        <x:v>676</x:v>
      </x:c>
      <x:c r="E1910" s="6">
        <x:v>0</x:v>
      </x:c>
      <x:c r="F1910" s="6">
        <x:v>0</x:v>
      </x:c>
      <x:c r="G1910" s="6">
        <x:v>0</x:v>
      </x:c>
      <x:c r="H1910" s="6">
        <x:f t="shared" si="91"/>
        <x:v>0</x:v>
      </x:c>
      <x:c r="I1910" s="6">
        <x:v>0</x:v>
      </x:c>
      <x:c r="J1910" s="6">
        <x:v>0</x:v>
      </x:c>
      <x:c r="K1910" s="6">
        <x:f t="shared" si="92"/>
        <x:v>0</x:v>
      </x:c>
      <x:c r="L1910" s="6">
        <x:v>21690.6</x:v>
      </x:c>
      <x:c r="M1910" s="6">
        <x:v>0</x:v>
      </x:c>
      <x:c r="N1910" s="6">
        <x:f t="shared" si="93"/>
        <x:v>21690.6</x:v>
      </x:c>
    </x:row>
    <x:row r="1911" spans="1:14" x14ac:dyDescent="0.25">
      <x:c r="A1911" t="s">
        <x:v>24</x:v>
      </x:c>
      <x:c r="B1911" s="3" t="s">
        <x:v>121</x:v>
      </x:c>
      <x:c r="C1911" s="3" t="s">
        <x:v>438</x:v>
      </x:c>
      <x:c r="D1911" t="s">
        <x:v>677</x:v>
      </x:c>
      <x:c r="E1911" s="6">
        <x:v>0</x:v>
      </x:c>
      <x:c r="F1911" s="6">
        <x:v>0</x:v>
      </x:c>
      <x:c r="G1911" s="6">
        <x:v>0</x:v>
      </x:c>
      <x:c r="H1911" s="6">
        <x:f t="shared" si="91"/>
        <x:v>0</x:v>
      </x:c>
      <x:c r="I1911" s="6">
        <x:v>183.8</x:v>
      </x:c>
      <x:c r="J1911" s="6">
        <x:v>0</x:v>
      </x:c>
      <x:c r="K1911" s="6">
        <x:f t="shared" si="92"/>
        <x:v>183.8</x:v>
      </x:c>
      <x:c r="L1911" s="6">
        <x:v>0</x:v>
      </x:c>
      <x:c r="M1911" s="6">
        <x:v>0</x:v>
      </x:c>
      <x:c r="N1911" s="6">
        <x:f t="shared" si="93"/>
        <x:v>183.8</x:v>
      </x:c>
    </x:row>
    <x:row r="1912" spans="1:14" x14ac:dyDescent="0.25">
      <x:c r="A1912" t="s">
        <x:v>24</x:v>
      </x:c>
      <x:c r="B1912" s="3" t="s">
        <x:v>122</x:v>
      </x:c>
      <x:c r="C1912" s="3" t="s">
        <x:v>439</x:v>
      </x:c>
      <x:c r="D1912" t="s">
        <x:v>677</x:v>
      </x:c>
      <x:c r="E1912" s="6">
        <x:v>0</x:v>
      </x:c>
      <x:c r="F1912" s="6">
        <x:v>0</x:v>
      </x:c>
      <x:c r="G1912" s="6">
        <x:v>0</x:v>
      </x:c>
      <x:c r="H1912" s="6">
        <x:f t="shared" si="91"/>
        <x:v>0</x:v>
      </x:c>
      <x:c r="I1912" s="6">
        <x:v>-184.75</x:v>
      </x:c>
      <x:c r="J1912" s="6">
        <x:v>0</x:v>
      </x:c>
      <x:c r="K1912" s="6">
        <x:f t="shared" si="92"/>
        <x:v>-184.75</x:v>
      </x:c>
      <x:c r="L1912" s="6">
        <x:v>0</x:v>
      </x:c>
      <x:c r="M1912" s="6">
        <x:v>0</x:v>
      </x:c>
      <x:c r="N1912" s="6">
        <x:f t="shared" si="93"/>
        <x:v>-184.75</x:v>
      </x:c>
    </x:row>
    <x:row r="1913" spans="1:14" x14ac:dyDescent="0.25">
      <x:c r="A1913" t="s">
        <x:v>24</x:v>
      </x:c>
      <x:c r="B1913" s="3" t="s">
        <x:v>126</x:v>
      </x:c>
      <x:c r="C1913" s="3" t="s">
        <x:v>443</x:v>
      </x:c>
      <x:c r="D1913" t="s">
        <x:v>677</x:v>
      </x:c>
      <x:c r="E1913" s="6">
        <x:v>0</x:v>
      </x:c>
      <x:c r="F1913" s="6">
        <x:v>0</x:v>
      </x:c>
      <x:c r="G1913" s="6">
        <x:v>0</x:v>
      </x:c>
      <x:c r="H1913" s="6">
        <x:f t="shared" si="91"/>
        <x:v>0</x:v>
      </x:c>
      <x:c r="I1913" s="6">
        <x:v>84.149999999999991</x:v>
      </x:c>
      <x:c r="J1913" s="6">
        <x:v>0</x:v>
      </x:c>
      <x:c r="K1913" s="6">
        <x:f t="shared" si="92"/>
        <x:v>84.149999999999991</x:v>
      </x:c>
      <x:c r="L1913" s="6">
        <x:v>0</x:v>
      </x:c>
      <x:c r="M1913" s="6">
        <x:v>0</x:v>
      </x:c>
      <x:c r="N1913" s="6">
        <x:f t="shared" si="93"/>
        <x:v>84.149999999999991</x:v>
      </x:c>
    </x:row>
    <x:row r="1914" spans="1:14" x14ac:dyDescent="0.25">
      <x:c r="A1914" t="s">
        <x:v>24</x:v>
      </x:c>
      <x:c r="B1914" s="3" t="s">
        <x:v>230</x:v>
      </x:c>
      <x:c r="C1914" s="3" t="s">
        <x:v>545</x:v>
      </x:c>
      <x:c r="D1914" t="s">
        <x:v>677</x:v>
      </x:c>
      <x:c r="E1914" s="6">
        <x:v>0</x:v>
      </x:c>
      <x:c r="F1914" s="6">
        <x:v>0</x:v>
      </x:c>
      <x:c r="G1914" s="6">
        <x:v>0</x:v>
      </x:c>
      <x:c r="H1914" s="6">
        <x:f t="shared" si="91"/>
        <x:v>0</x:v>
      </x:c>
      <x:c r="I1914" s="6">
        <x:v>12.46</x:v>
      </x:c>
      <x:c r="J1914" s="6">
        <x:v>0</x:v>
      </x:c>
      <x:c r="K1914" s="6">
        <x:f t="shared" si="92"/>
        <x:v>12.46</x:v>
      </x:c>
      <x:c r="L1914" s="6">
        <x:v>0</x:v>
      </x:c>
      <x:c r="M1914" s="6">
        <x:v>0</x:v>
      </x:c>
      <x:c r="N1914" s="6">
        <x:f t="shared" si="93"/>
        <x:v>12.46</x:v>
      </x:c>
    </x:row>
    <x:row r="1915" spans="1:14" x14ac:dyDescent="0.25">
      <x:c r="A1915" t="s">
        <x:v>24</x:v>
      </x:c>
      <x:c r="B1915" s="3" t="s">
        <x:v>127</x:v>
      </x:c>
      <x:c r="C1915" s="3" t="s">
        <x:v>444</x:v>
      </x:c>
      <x:c r="D1915" t="s">
        <x:v>677</x:v>
      </x:c>
      <x:c r="E1915" s="6">
        <x:v>0</x:v>
      </x:c>
      <x:c r="F1915" s="6">
        <x:v>0</x:v>
      </x:c>
      <x:c r="G1915" s="6">
        <x:v>0</x:v>
      </x:c>
      <x:c r="H1915" s="6">
        <x:f t="shared" si="91"/>
        <x:v>0</x:v>
      </x:c>
      <x:c r="I1915" s="6">
        <x:v>6.85</x:v>
      </x:c>
      <x:c r="J1915" s="6">
        <x:v>0</x:v>
      </x:c>
      <x:c r="K1915" s="6">
        <x:f t="shared" si="92"/>
        <x:v>6.85</x:v>
      </x:c>
      <x:c r="L1915" s="6">
        <x:v>0</x:v>
      </x:c>
      <x:c r="M1915" s="6">
        <x:v>0</x:v>
      </x:c>
      <x:c r="N1915" s="6">
        <x:f t="shared" si="93"/>
        <x:v>6.85</x:v>
      </x:c>
    </x:row>
    <x:row r="1916" spans="1:14" x14ac:dyDescent="0.25">
      <x:c r="A1916" t="s">
        <x:v>24</x:v>
      </x:c>
      <x:c r="B1916" s="3" t="s">
        <x:v>231</x:v>
      </x:c>
      <x:c r="C1916" s="3" t="s">
        <x:v>546</x:v>
      </x:c>
      <x:c r="D1916" t="s">
        <x:v>677</x:v>
      </x:c>
      <x:c r="E1916" s="6">
        <x:v>0</x:v>
      </x:c>
      <x:c r="F1916" s="6">
        <x:v>0</x:v>
      </x:c>
      <x:c r="G1916" s="6">
        <x:v>0</x:v>
      </x:c>
      <x:c r="H1916" s="6">
        <x:f t="shared" si="91"/>
        <x:v>0</x:v>
      </x:c>
      <x:c r="I1916" s="6">
        <x:v>68.44</x:v>
      </x:c>
      <x:c r="J1916" s="6">
        <x:v>0</x:v>
      </x:c>
      <x:c r="K1916" s="6">
        <x:f t="shared" si="92"/>
        <x:v>68.44</x:v>
      </x:c>
      <x:c r="L1916" s="6">
        <x:v>0</x:v>
      </x:c>
      <x:c r="M1916" s="6">
        <x:v>0</x:v>
      </x:c>
      <x:c r="N1916" s="6">
        <x:f t="shared" si="93"/>
        <x:v>68.44</x:v>
      </x:c>
    </x:row>
    <x:row r="1917" spans="1:14" x14ac:dyDescent="0.25">
      <x:c r="A1917" t="s">
        <x:v>24</x:v>
      </x:c>
      <x:c r="B1917" s="3" t="s">
        <x:v>128</x:v>
      </x:c>
      <x:c r="C1917" s="3" t="s">
        <x:v>445</x:v>
      </x:c>
      <x:c r="D1917" t="s">
        <x:v>677</x:v>
      </x:c>
      <x:c r="E1917" s="6">
        <x:v>0</x:v>
      </x:c>
      <x:c r="F1917" s="6">
        <x:v>0</x:v>
      </x:c>
      <x:c r="G1917" s="6">
        <x:v>0</x:v>
      </x:c>
      <x:c r="H1917" s="6">
        <x:f t="shared" si="91"/>
        <x:v>0</x:v>
      </x:c>
      <x:c r="I1917" s="6">
        <x:v>56.63</x:v>
      </x:c>
      <x:c r="J1917" s="6">
        <x:v>0</x:v>
      </x:c>
      <x:c r="K1917" s="6">
        <x:f t="shared" si="92"/>
        <x:v>56.63</x:v>
      </x:c>
      <x:c r="L1917" s="6">
        <x:v>0</x:v>
      </x:c>
      <x:c r="M1917" s="6">
        <x:v>0</x:v>
      </x:c>
      <x:c r="N1917" s="6">
        <x:f t="shared" si="93"/>
        <x:v>56.63</x:v>
      </x:c>
    </x:row>
    <x:row r="1918" spans="1:14" x14ac:dyDescent="0.25">
      <x:c r="A1918" t="s">
        <x:v>24</x:v>
      </x:c>
      <x:c r="B1918" s="3" t="s">
        <x:v>129</x:v>
      </x:c>
      <x:c r="C1918" s="3" t="s">
        <x:v>446</x:v>
      </x:c>
      <x:c r="D1918" t="s">
        <x:v>677</x:v>
      </x:c>
      <x:c r="E1918" s="6">
        <x:v>0</x:v>
      </x:c>
      <x:c r="F1918" s="6">
        <x:v>0</x:v>
      </x:c>
      <x:c r="G1918" s="6">
        <x:v>0</x:v>
      </x:c>
      <x:c r="H1918" s="6">
        <x:f t="shared" si="91"/>
        <x:v>0</x:v>
      </x:c>
      <x:c r="I1918" s="6">
        <x:v>16.520000000000003</x:v>
      </x:c>
      <x:c r="J1918" s="6">
        <x:v>0</x:v>
      </x:c>
      <x:c r="K1918" s="6">
        <x:f t="shared" si="92"/>
        <x:v>16.520000000000003</x:v>
      </x:c>
      <x:c r="L1918" s="6">
        <x:v>0</x:v>
      </x:c>
      <x:c r="M1918" s="6">
        <x:v>0</x:v>
      </x:c>
      <x:c r="N1918" s="6">
        <x:f t="shared" si="93"/>
        <x:v>16.520000000000003</x:v>
      </x:c>
    </x:row>
    <x:row r="1919" spans="1:14" x14ac:dyDescent="0.25">
      <x:c r="A1919" t="s">
        <x:v>24</x:v>
      </x:c>
      <x:c r="B1919" s="3" t="s">
        <x:v>132</x:v>
      </x:c>
      <x:c r="C1919" s="3" t="s">
        <x:v>449</x:v>
      </x:c>
      <x:c r="D1919" t="s">
        <x:v>677</x:v>
      </x:c>
      <x:c r="E1919" s="6">
        <x:v>0</x:v>
      </x:c>
      <x:c r="F1919" s="6">
        <x:v>0</x:v>
      </x:c>
      <x:c r="G1919" s="6">
        <x:v>0</x:v>
      </x:c>
      <x:c r="H1919" s="6">
        <x:f t="shared" si="91"/>
        <x:v>0</x:v>
      </x:c>
      <x:c r="I1919" s="6">
        <x:v>12693.550000000001</x:v>
      </x:c>
      <x:c r="J1919" s="6">
        <x:v>0</x:v>
      </x:c>
      <x:c r="K1919" s="6">
        <x:f t="shared" si="92"/>
        <x:v>12693.550000000001</x:v>
      </x:c>
      <x:c r="L1919" s="6">
        <x:v>0</x:v>
      </x:c>
      <x:c r="M1919" s="6">
        <x:v>0</x:v>
      </x:c>
      <x:c r="N1919" s="6">
        <x:f t="shared" si="93"/>
        <x:v>12693.550000000001</x:v>
      </x:c>
    </x:row>
    <x:row r="1920" spans="1:14" x14ac:dyDescent="0.25">
      <x:c r="A1920" t="s">
        <x:v>24</x:v>
      </x:c>
      <x:c r="B1920" s="3" t="s">
        <x:v>133</x:v>
      </x:c>
      <x:c r="C1920" s="3" t="s">
        <x:v>450</x:v>
      </x:c>
      <x:c r="D1920" t="s">
        <x:v>677</x:v>
      </x:c>
      <x:c r="E1920" s="6">
        <x:v>0</x:v>
      </x:c>
      <x:c r="F1920" s="6">
        <x:v>0</x:v>
      </x:c>
      <x:c r="G1920" s="6">
        <x:v>0</x:v>
      </x:c>
      <x:c r="H1920" s="6">
        <x:f t="shared" si="91"/>
        <x:v>0</x:v>
      </x:c>
      <x:c r="I1920" s="6">
        <x:v>36.22</x:v>
      </x:c>
      <x:c r="J1920" s="6">
        <x:v>0</x:v>
      </x:c>
      <x:c r="K1920" s="6">
        <x:f t="shared" si="92"/>
        <x:v>36.22</x:v>
      </x:c>
      <x:c r="L1920" s="6">
        <x:v>0</x:v>
      </x:c>
      <x:c r="M1920" s="6">
        <x:v>0</x:v>
      </x:c>
      <x:c r="N1920" s="6">
        <x:f t="shared" si="93"/>
        <x:v>36.22</x:v>
      </x:c>
    </x:row>
    <x:row r="1921" spans="1:14" x14ac:dyDescent="0.25">
      <x:c r="A1921" t="s">
        <x:v>24</x:v>
      </x:c>
      <x:c r="B1921" s="3" t="s">
        <x:v>134</x:v>
      </x:c>
      <x:c r="C1921" s="3" t="s">
        <x:v>451</x:v>
      </x:c>
      <x:c r="D1921" t="s">
        <x:v>677</x:v>
      </x:c>
      <x:c r="E1921" s="6">
        <x:v>0</x:v>
      </x:c>
      <x:c r="F1921" s="6">
        <x:v>0</x:v>
      </x:c>
      <x:c r="G1921" s="6">
        <x:v>0</x:v>
      </x:c>
      <x:c r="H1921" s="6">
        <x:f t="shared" si="91"/>
        <x:v>0</x:v>
      </x:c>
      <x:c r="I1921" s="6">
        <x:v>24100.210000000003</x:v>
      </x:c>
      <x:c r="J1921" s="6">
        <x:v>0</x:v>
      </x:c>
      <x:c r="K1921" s="6">
        <x:f t="shared" si="92"/>
        <x:v>24100.210000000003</x:v>
      </x:c>
      <x:c r="L1921" s="6">
        <x:v>0</x:v>
      </x:c>
      <x:c r="M1921" s="6">
        <x:v>0</x:v>
      </x:c>
      <x:c r="N1921" s="6">
        <x:f t="shared" si="93"/>
        <x:v>24100.210000000003</x:v>
      </x:c>
    </x:row>
    <x:row r="1922" spans="1:14" x14ac:dyDescent="0.25">
      <x:c r="A1922" t="s">
        <x:v>24</x:v>
      </x:c>
      <x:c r="B1922" s="3" t="s">
        <x:v>147</x:v>
      </x:c>
      <x:c r="C1922" s="3" t="s">
        <x:v>464</x:v>
      </x:c>
      <x:c r="D1922" t="s">
        <x:v>677</x:v>
      </x:c>
      <x:c r="E1922" s="6">
        <x:v>0</x:v>
      </x:c>
      <x:c r="F1922" s="6">
        <x:v>0</x:v>
      </x:c>
      <x:c r="G1922" s="6">
        <x:v>0</x:v>
      </x:c>
      <x:c r="H1922" s="6">
        <x:f t="shared" si="91"/>
        <x:v>0</x:v>
      </x:c>
      <x:c r="I1922" s="6">
        <x:v>26686.57</x:v>
      </x:c>
      <x:c r="J1922" s="6">
        <x:v>0</x:v>
      </x:c>
      <x:c r="K1922" s="6">
        <x:f t="shared" si="92"/>
        <x:v>26686.57</x:v>
      </x:c>
      <x:c r="L1922" s="6">
        <x:v>0</x:v>
      </x:c>
      <x:c r="M1922" s="6">
        <x:v>0</x:v>
      </x:c>
      <x:c r="N1922" s="6">
        <x:f t="shared" si="93"/>
        <x:v>26686.57</x:v>
      </x:c>
    </x:row>
    <x:row r="1923" spans="1:14" x14ac:dyDescent="0.25">
      <x:c r="A1923" t="s">
        <x:v>24</x:v>
      </x:c>
      <x:c r="B1923" s="3" t="s">
        <x:v>148</x:v>
      </x:c>
      <x:c r="C1923" s="3" t="s">
        <x:v>465</x:v>
      </x:c>
      <x:c r="D1923" t="s">
        <x:v>677</x:v>
      </x:c>
      <x:c r="E1923" s="6">
        <x:v>0</x:v>
      </x:c>
      <x:c r="F1923" s="6">
        <x:v>0</x:v>
      </x:c>
      <x:c r="G1923" s="6">
        <x:v>0</x:v>
      </x:c>
      <x:c r="H1923" s="6">
        <x:f t="shared" si="91"/>
        <x:v>0</x:v>
      </x:c>
      <x:c r="I1923" s="6">
        <x:v>7893.909999999998</x:v>
      </x:c>
      <x:c r="J1923" s="6">
        <x:v>0</x:v>
      </x:c>
      <x:c r="K1923" s="6">
        <x:f t="shared" si="92"/>
        <x:v>7893.909999999998</x:v>
      </x:c>
      <x:c r="L1923" s="6">
        <x:v>0</x:v>
      </x:c>
      <x:c r="M1923" s="6">
        <x:v>0</x:v>
      </x:c>
      <x:c r="N1923" s="6">
        <x:f t="shared" si="93"/>
        <x:v>7893.909999999998</x:v>
      </x:c>
    </x:row>
    <x:row r="1924" spans="1:14" x14ac:dyDescent="0.25">
      <x:c r="A1924" t="s">
        <x:v>24</x:v>
      </x:c>
      <x:c r="B1924" s="3" t="s">
        <x:v>149</x:v>
      </x:c>
      <x:c r="C1924" s="3" t="s">
        <x:v>466</x:v>
      </x:c>
      <x:c r="D1924" t="s">
        <x:v>677</x:v>
      </x:c>
      <x:c r="E1924" s="6">
        <x:v>0</x:v>
      </x:c>
      <x:c r="F1924" s="6">
        <x:v>0</x:v>
      </x:c>
      <x:c r="G1924" s="6">
        <x:v>0</x:v>
      </x:c>
      <x:c r="H1924" s="6">
        <x:f t="shared" si="91"/>
        <x:v>0</x:v>
      </x:c>
      <x:c r="I1924" s="6">
        <x:v>19.830000000000002</x:v>
      </x:c>
      <x:c r="J1924" s="6">
        <x:v>0</x:v>
      </x:c>
      <x:c r="K1924" s="6">
        <x:f t="shared" si="92"/>
        <x:v>19.830000000000002</x:v>
      </x:c>
      <x:c r="L1924" s="6">
        <x:v>0</x:v>
      </x:c>
      <x:c r="M1924" s="6">
        <x:v>0</x:v>
      </x:c>
      <x:c r="N1924" s="6">
        <x:f t="shared" si="93"/>
        <x:v>19.830000000000002</x:v>
      </x:c>
    </x:row>
    <x:row r="1925" spans="1:14" x14ac:dyDescent="0.25">
      <x:c r="A1925" t="s">
        <x:v>24</x:v>
      </x:c>
      <x:c r="B1925" s="3" t="s">
        <x:v>150</x:v>
      </x:c>
      <x:c r="C1925" s="3" t="s">
        <x:v>467</x:v>
      </x:c>
      <x:c r="D1925" t="s">
        <x:v>677</x:v>
      </x:c>
      <x:c r="E1925" s="6">
        <x:v>0</x:v>
      </x:c>
      <x:c r="F1925" s="6">
        <x:v>0</x:v>
      </x:c>
      <x:c r="G1925" s="6">
        <x:v>0</x:v>
      </x:c>
      <x:c r="H1925" s="6">
        <x:f t="shared" si="91"/>
        <x:v>0</x:v>
      </x:c>
      <x:c r="I1925" s="6">
        <x:v>15189.05</x:v>
      </x:c>
      <x:c r="J1925" s="6">
        <x:v>0</x:v>
      </x:c>
      <x:c r="K1925" s="6">
        <x:f t="shared" si="92"/>
        <x:v>15189.05</x:v>
      </x:c>
      <x:c r="L1925" s="6">
        <x:v>0</x:v>
      </x:c>
      <x:c r="M1925" s="6">
        <x:v>0</x:v>
      </x:c>
      <x:c r="N1925" s="6">
        <x:f t="shared" si="93"/>
        <x:v>15189.05</x:v>
      </x:c>
    </x:row>
    <x:row r="1926" spans="1:14" x14ac:dyDescent="0.25">
      <x:c r="A1926" t="s">
        <x:v>24</x:v>
      </x:c>
      <x:c r="B1926" s="3" t="s">
        <x:v>152</x:v>
      </x:c>
      <x:c r="C1926" s="3" t="s">
        <x:v>469</x:v>
      </x:c>
      <x:c r="D1926" t="s">
        <x:v>677</x:v>
      </x:c>
      <x:c r="E1926" s="6">
        <x:v>0</x:v>
      </x:c>
      <x:c r="F1926" s="6">
        <x:v>0</x:v>
      </x:c>
      <x:c r="G1926" s="6">
        <x:v>0</x:v>
      </x:c>
      <x:c r="H1926" s="6">
        <x:f t="shared" si="91"/>
        <x:v>0</x:v>
      </x:c>
      <x:c r="I1926" s="6">
        <x:v>7856.4700000000012</x:v>
      </x:c>
      <x:c r="J1926" s="6">
        <x:v>0</x:v>
      </x:c>
      <x:c r="K1926" s="6">
        <x:f t="shared" si="92"/>
        <x:v>7856.4700000000012</x:v>
      </x:c>
      <x:c r="L1926" s="6">
        <x:v>0</x:v>
      </x:c>
      <x:c r="M1926" s="6">
        <x:v>0</x:v>
      </x:c>
      <x:c r="N1926" s="6">
        <x:f t="shared" si="93"/>
        <x:v>7856.4700000000012</x:v>
      </x:c>
    </x:row>
    <x:row r="1927" spans="1:14" x14ac:dyDescent="0.25">
      <x:c r="A1927" t="s">
        <x:v>24</x:v>
      </x:c>
      <x:c r="B1927" s="3" t="s">
        <x:v>153</x:v>
      </x:c>
      <x:c r="C1927" s="3" t="s">
        <x:v>470</x:v>
      </x:c>
      <x:c r="D1927" t="s">
        <x:v>677</x:v>
      </x:c>
      <x:c r="E1927" s="6">
        <x:v>0</x:v>
      </x:c>
      <x:c r="F1927" s="6">
        <x:v>0</x:v>
      </x:c>
      <x:c r="G1927" s="6">
        <x:v>0</x:v>
      </x:c>
      <x:c r="H1927" s="6">
        <x:f t="shared" si="91"/>
        <x:v>0</x:v>
      </x:c>
      <x:c r="I1927" s="6">
        <x:v>20588.75</x:v>
      </x:c>
      <x:c r="J1927" s="6">
        <x:v>0</x:v>
      </x:c>
      <x:c r="K1927" s="6">
        <x:f t="shared" si="92"/>
        <x:v>20588.75</x:v>
      </x:c>
      <x:c r="L1927" s="6">
        <x:v>0</x:v>
      </x:c>
      <x:c r="M1927" s="6">
        <x:v>0</x:v>
      </x:c>
      <x:c r="N1927" s="6">
        <x:f t="shared" si="93"/>
        <x:v>20588.75</x:v>
      </x:c>
    </x:row>
    <x:row r="1928" spans="1:14" x14ac:dyDescent="0.25">
      <x:c r="A1928" t="s">
        <x:v>24</x:v>
      </x:c>
      <x:c r="B1928" s="3" t="s">
        <x:v>154</x:v>
      </x:c>
      <x:c r="C1928" s="3" t="s">
        <x:v>471</x:v>
      </x:c>
      <x:c r="D1928" t="s">
        <x:v>677</x:v>
      </x:c>
      <x:c r="E1928" s="6">
        <x:v>0</x:v>
      </x:c>
      <x:c r="F1928" s="6">
        <x:v>0</x:v>
      </x:c>
      <x:c r="G1928" s="6">
        <x:v>0</x:v>
      </x:c>
      <x:c r="H1928" s="6">
        <x:f t="shared" si="91"/>
        <x:v>0</x:v>
      </x:c>
      <x:c r="I1928" s="6">
        <x:v>2272.5500000000002</x:v>
      </x:c>
      <x:c r="J1928" s="6">
        <x:v>0</x:v>
      </x:c>
      <x:c r="K1928" s="6">
        <x:f t="shared" si="92"/>
        <x:v>2272.5500000000002</x:v>
      </x:c>
      <x:c r="L1928" s="6">
        <x:v>0</x:v>
      </x:c>
      <x:c r="M1928" s="6">
        <x:v>0</x:v>
      </x:c>
      <x:c r="N1928" s="6">
        <x:f t="shared" si="93"/>
        <x:v>2272.5500000000002</x:v>
      </x:c>
    </x:row>
    <x:row r="1929" spans="1:14" x14ac:dyDescent="0.25">
      <x:c r="A1929" t="s">
        <x:v>24</x:v>
      </x:c>
      <x:c r="B1929" s="3" t="s">
        <x:v>155</x:v>
      </x:c>
      <x:c r="C1929" s="3" t="s">
        <x:v>472</x:v>
      </x:c>
      <x:c r="D1929" t="s">
        <x:v>677</x:v>
      </x:c>
      <x:c r="E1929" s="6">
        <x:v>0</x:v>
      </x:c>
      <x:c r="F1929" s="6">
        <x:v>0</x:v>
      </x:c>
      <x:c r="G1929" s="6">
        <x:v>0</x:v>
      </x:c>
      <x:c r="H1929" s="6">
        <x:f t="shared" si="91"/>
        <x:v>0</x:v>
      </x:c>
      <x:c r="I1929" s="6">
        <x:v>4633.0600000000013</x:v>
      </x:c>
      <x:c r="J1929" s="6">
        <x:v>0</x:v>
      </x:c>
      <x:c r="K1929" s="6">
        <x:f t="shared" si="92"/>
        <x:v>4633.0600000000013</x:v>
      </x:c>
      <x:c r="L1929" s="6">
        <x:v>0</x:v>
      </x:c>
      <x:c r="M1929" s="6">
        <x:v>0</x:v>
      </x:c>
      <x:c r="N1929" s="6">
        <x:f t="shared" si="93"/>
        <x:v>4633.0600000000013</x:v>
      </x:c>
    </x:row>
    <x:row r="1930" spans="1:14" x14ac:dyDescent="0.25">
      <x:c r="A1930" t="s">
        <x:v>24</x:v>
      </x:c>
      <x:c r="B1930" s="3" t="s">
        <x:v>45</x:v>
      </x:c>
      <x:c r="C1930" s="3" t="s">
        <x:v>362</x:v>
      </x:c>
      <x:c r="D1930" t="s">
        <x:v>677</x:v>
      </x:c>
      <x:c r="E1930" s="6">
        <x:v>0</x:v>
      </x:c>
      <x:c r="F1930" s="6">
        <x:v>0</x:v>
      </x:c>
      <x:c r="G1930" s="6">
        <x:v>0</x:v>
      </x:c>
      <x:c r="H1930" s="6">
        <x:f t="shared" si="91"/>
        <x:v>0</x:v>
      </x:c>
      <x:c r="I1930" s="6">
        <x:v>9533765.0199999996</x:v>
      </x:c>
      <x:c r="J1930" s="6">
        <x:v>0</x:v>
      </x:c>
      <x:c r="K1930" s="6">
        <x:f t="shared" si="92"/>
        <x:v>9533765.0199999996</x:v>
      </x:c>
      <x:c r="L1930" s="6">
        <x:v>0</x:v>
      </x:c>
      <x:c r="M1930" s="6">
        <x:v>0</x:v>
      </x:c>
      <x:c r="N1930" s="6">
        <x:f t="shared" si="93"/>
        <x:v>9533765.0199999996</x:v>
      </x:c>
    </x:row>
    <x:row r="1931" spans="1:14" x14ac:dyDescent="0.25">
      <x:c r="A1931" t="s">
        <x:v>24</x:v>
      </x:c>
      <x:c r="B1931" s="3" t="s">
        <x:v>156</x:v>
      </x:c>
      <x:c r="C1931" s="3" t="s">
        <x:v>473</x:v>
      </x:c>
      <x:c r="D1931" t="s">
        <x:v>677</x:v>
      </x:c>
      <x:c r="E1931" s="6">
        <x:v>0</x:v>
      </x:c>
      <x:c r="F1931" s="6">
        <x:v>0</x:v>
      </x:c>
      <x:c r="G1931" s="6">
        <x:v>0</x:v>
      </x:c>
      <x:c r="H1931" s="6">
        <x:f t="shared" si="91"/>
        <x:v>0</x:v>
      </x:c>
      <x:c r="I1931" s="6">
        <x:v>913.11</x:v>
      </x:c>
      <x:c r="J1931" s="6">
        <x:v>0</x:v>
      </x:c>
      <x:c r="K1931" s="6">
        <x:f t="shared" si="92"/>
        <x:v>913.11</x:v>
      </x:c>
      <x:c r="L1931" s="6">
        <x:v>0</x:v>
      </x:c>
      <x:c r="M1931" s="6">
        <x:v>0</x:v>
      </x:c>
      <x:c r="N1931" s="6">
        <x:f t="shared" si="93"/>
        <x:v>913.11</x:v>
      </x:c>
    </x:row>
    <x:row r="1932" spans="1:14" x14ac:dyDescent="0.25">
      <x:c r="A1932" t="s">
        <x:v>24</x:v>
      </x:c>
      <x:c r="B1932" s="3" t="s">
        <x:v>158</x:v>
      </x:c>
      <x:c r="C1932" s="3" t="s">
        <x:v>475</x:v>
      </x:c>
      <x:c r="D1932" t="s">
        <x:v>677</x:v>
      </x:c>
      <x:c r="E1932" s="6">
        <x:v>0</x:v>
      </x:c>
      <x:c r="F1932" s="6">
        <x:v>0</x:v>
      </x:c>
      <x:c r="G1932" s="6">
        <x:v>0</x:v>
      </x:c>
      <x:c r="H1932" s="6">
        <x:f t="shared" si="91"/>
        <x:v>0</x:v>
      </x:c>
      <x:c r="I1932" s="6">
        <x:v>160.95000000000002</x:v>
      </x:c>
      <x:c r="J1932" s="6">
        <x:v>0</x:v>
      </x:c>
      <x:c r="K1932" s="6">
        <x:f t="shared" si="92"/>
        <x:v>160.95000000000002</x:v>
      </x:c>
      <x:c r="L1932" s="6">
        <x:v>0</x:v>
      </x:c>
      <x:c r="M1932" s="6">
        <x:v>0</x:v>
      </x:c>
      <x:c r="N1932" s="6">
        <x:f t="shared" si="93"/>
        <x:v>160.95000000000002</x:v>
      </x:c>
    </x:row>
    <x:row r="1933" spans="1:14" x14ac:dyDescent="0.25">
      <x:c r="A1933" t="s">
        <x:v>24</x:v>
      </x:c>
      <x:c r="B1933" s="3" t="s">
        <x:v>162</x:v>
      </x:c>
      <x:c r="C1933" s="3" t="s">
        <x:v>479</x:v>
      </x:c>
      <x:c r="D1933" t="s">
        <x:v>677</x:v>
      </x:c>
      <x:c r="E1933" s="6">
        <x:v>0</x:v>
      </x:c>
      <x:c r="F1933" s="6">
        <x:v>0</x:v>
      </x:c>
      <x:c r="G1933" s="6">
        <x:v>0</x:v>
      </x:c>
      <x:c r="H1933" s="6">
        <x:f t="shared" si="91"/>
        <x:v>0</x:v>
      </x:c>
      <x:c r="I1933" s="6">
        <x:v>906.31000000000006</x:v>
      </x:c>
      <x:c r="J1933" s="6">
        <x:v>0</x:v>
      </x:c>
      <x:c r="K1933" s="6">
        <x:f t="shared" si="92"/>
        <x:v>906.31000000000006</x:v>
      </x:c>
      <x:c r="L1933" s="6">
        <x:v>0</x:v>
      </x:c>
      <x:c r="M1933" s="6">
        <x:v>0</x:v>
      </x:c>
      <x:c r="N1933" s="6">
        <x:f t="shared" si="93"/>
        <x:v>906.31000000000006</x:v>
      </x:c>
    </x:row>
    <x:row r="1934" spans="1:14" x14ac:dyDescent="0.25">
      <x:c r="A1934" t="s">
        <x:v>24</x:v>
      </x:c>
      <x:c r="B1934" s="3" t="s">
        <x:v>163</x:v>
      </x:c>
      <x:c r="C1934" s="3" t="s">
        <x:v>480</x:v>
      </x:c>
      <x:c r="D1934" t="s">
        <x:v>677</x:v>
      </x:c>
      <x:c r="E1934" s="6">
        <x:v>0</x:v>
      </x:c>
      <x:c r="F1934" s="6">
        <x:v>0</x:v>
      </x:c>
      <x:c r="G1934" s="6">
        <x:v>0</x:v>
      </x:c>
      <x:c r="H1934" s="6">
        <x:f t="shared" si="91"/>
        <x:v>0</x:v>
      </x:c>
      <x:c r="I1934" s="6">
        <x:v>128172.28</x:v>
      </x:c>
      <x:c r="J1934" s="6">
        <x:v>0</x:v>
      </x:c>
      <x:c r="K1934" s="6">
        <x:f t="shared" si="92"/>
        <x:v>128172.28</x:v>
      </x:c>
      <x:c r="L1934" s="6">
        <x:v>0</x:v>
      </x:c>
      <x:c r="M1934" s="6">
        <x:v>0</x:v>
      </x:c>
      <x:c r="N1934" s="6">
        <x:f t="shared" si="93"/>
        <x:v>128172.28</x:v>
      </x:c>
    </x:row>
    <x:row r="1935" spans="1:14" x14ac:dyDescent="0.25">
      <x:c r="A1935" t="s">
        <x:v>24</x:v>
      </x:c>
      <x:c r="B1935" s="3" t="s">
        <x:v>164</x:v>
      </x:c>
      <x:c r="C1935" s="3" t="s">
        <x:v>481</x:v>
      </x:c>
      <x:c r="D1935" t="s">
        <x:v>677</x:v>
      </x:c>
      <x:c r="E1935" s="6">
        <x:v>0</x:v>
      </x:c>
      <x:c r="F1935" s="6">
        <x:v>0</x:v>
      </x:c>
      <x:c r="G1935" s="6">
        <x:v>0</x:v>
      </x:c>
      <x:c r="H1935" s="6">
        <x:f t="shared" si="91"/>
        <x:v>0</x:v>
      </x:c>
      <x:c r="I1935" s="6">
        <x:v>10813.54</x:v>
      </x:c>
      <x:c r="J1935" s="6">
        <x:v>0</x:v>
      </x:c>
      <x:c r="K1935" s="6">
        <x:f t="shared" si="92"/>
        <x:v>10813.54</x:v>
      </x:c>
      <x:c r="L1935" s="6">
        <x:v>0</x:v>
      </x:c>
      <x:c r="M1935" s="6">
        <x:v>0</x:v>
      </x:c>
      <x:c r="N1935" s="6">
        <x:f t="shared" si="93"/>
        <x:v>10813.54</x:v>
      </x:c>
    </x:row>
    <x:row r="1936" spans="1:14" x14ac:dyDescent="0.25">
      <x:c r="A1936" t="s">
        <x:v>24</x:v>
      </x:c>
      <x:c r="B1936" s="3" t="s">
        <x:v>49</x:v>
      </x:c>
      <x:c r="C1936" s="3" t="s">
        <x:v>366</x:v>
      </x:c>
      <x:c r="D1936" t="s">
        <x:v>677</x:v>
      </x:c>
      <x:c r="E1936" s="6">
        <x:v>0</x:v>
      </x:c>
      <x:c r="F1936" s="6">
        <x:v>0</x:v>
      </x:c>
      <x:c r="G1936" s="6">
        <x:v>0</x:v>
      </x:c>
      <x:c r="H1936" s="6">
        <x:f t="shared" si="91"/>
        <x:v>0</x:v>
      </x:c>
      <x:c r="I1936" s="6">
        <x:v>15969.59</x:v>
      </x:c>
      <x:c r="J1936" s="6">
        <x:v>0</x:v>
      </x:c>
      <x:c r="K1936" s="6">
        <x:f t="shared" si="92"/>
        <x:v>15969.59</x:v>
      </x:c>
      <x:c r="L1936" s="6">
        <x:v>0</x:v>
      </x:c>
      <x:c r="M1936" s="6">
        <x:v>0</x:v>
      </x:c>
      <x:c r="N1936" s="6">
        <x:f t="shared" si="93"/>
        <x:v>15969.59</x:v>
      </x:c>
    </x:row>
    <x:row r="1937" spans="1:14" x14ac:dyDescent="0.25">
      <x:c r="A1937" t="s">
        <x:v>24</x:v>
      </x:c>
      <x:c r="B1937" s="3" t="s">
        <x:v>165</x:v>
      </x:c>
      <x:c r="C1937" s="3" t="s">
        <x:v>482</x:v>
      </x:c>
      <x:c r="D1937" t="s">
        <x:v>677</x:v>
      </x:c>
      <x:c r="E1937" s="6">
        <x:v>0</x:v>
      </x:c>
      <x:c r="F1937" s="6">
        <x:v>0</x:v>
      </x:c>
      <x:c r="G1937" s="6">
        <x:v>0</x:v>
      </x:c>
      <x:c r="H1937" s="6">
        <x:f t="shared" si="91"/>
        <x:v>0</x:v>
      </x:c>
      <x:c r="I1937" s="6">
        <x:v>412.79</x:v>
      </x:c>
      <x:c r="J1937" s="6">
        <x:v>0</x:v>
      </x:c>
      <x:c r="K1937" s="6">
        <x:f t="shared" si="92"/>
        <x:v>412.79</x:v>
      </x:c>
      <x:c r="L1937" s="6">
        <x:v>0</x:v>
      </x:c>
      <x:c r="M1937" s="6">
        <x:v>0</x:v>
      </x:c>
      <x:c r="N1937" s="6">
        <x:f t="shared" si="93"/>
        <x:v>412.79</x:v>
      </x:c>
    </x:row>
    <x:row r="1938" spans="1:14" x14ac:dyDescent="0.25">
      <x:c r="A1938" t="s">
        <x:v>24</x:v>
      </x:c>
      <x:c r="B1938" s="3" t="s">
        <x:v>233</x:v>
      </x:c>
      <x:c r="C1938" s="3" t="s">
        <x:v>548</x:v>
      </x:c>
      <x:c r="D1938" t="s">
        <x:v>677</x:v>
      </x:c>
      <x:c r="E1938" s="6">
        <x:v>0</x:v>
      </x:c>
      <x:c r="F1938" s="6">
        <x:v>0</x:v>
      </x:c>
      <x:c r="G1938" s="6">
        <x:v>0</x:v>
      </x:c>
      <x:c r="H1938" s="6">
        <x:f t="shared" ref="H1938:H2001" si="94">SUM(E1938:G1938)</x:f>
        <x:v>0</x:v>
      </x:c>
      <x:c r="I1938" s="6">
        <x:v>237.57000000000002</x:v>
      </x:c>
      <x:c r="J1938" s="6">
        <x:v>0</x:v>
      </x:c>
      <x:c r="K1938" s="6">
        <x:f t="shared" ref="K1938:K2001" si="95">SUM(I1938:J1938)</x:f>
        <x:v>237.57000000000002</x:v>
      </x:c>
      <x:c r="L1938" s="6">
        <x:v>0</x:v>
      </x:c>
      <x:c r="M1938" s="6">
        <x:v>0</x:v>
      </x:c>
      <x:c r="N1938" s="6">
        <x:f t="shared" ref="N1938:N2001" si="96">+E1938+F1938+G1938+I1938+J1938+L1938+M1938</x:f>
        <x:v>237.57000000000002</x:v>
      </x:c>
    </x:row>
    <x:row r="1939" spans="1:14" x14ac:dyDescent="0.25">
      <x:c r="A1939" t="s">
        <x:v>24</x:v>
      </x:c>
      <x:c r="B1939" s="3" t="s">
        <x:v>167</x:v>
      </x:c>
      <x:c r="C1939" s="3" t="s">
        <x:v>484</x:v>
      </x:c>
      <x:c r="D1939" t="s">
        <x:v>677</x:v>
      </x:c>
      <x:c r="E1939" s="6">
        <x:v>0</x:v>
      </x:c>
      <x:c r="F1939" s="6">
        <x:v>0</x:v>
      </x:c>
      <x:c r="G1939" s="6">
        <x:v>0</x:v>
      </x:c>
      <x:c r="H1939" s="6">
        <x:f t="shared" si="94"/>
        <x:v>0</x:v>
      </x:c>
      <x:c r="I1939" s="6">
        <x:v>41.35</x:v>
      </x:c>
      <x:c r="J1939" s="6">
        <x:v>0</x:v>
      </x:c>
      <x:c r="K1939" s="6">
        <x:f t="shared" si="95"/>
        <x:v>41.35</x:v>
      </x:c>
      <x:c r="L1939" s="6">
        <x:v>0</x:v>
      </x:c>
      <x:c r="M1939" s="6">
        <x:v>0</x:v>
      </x:c>
      <x:c r="N1939" s="6">
        <x:f t="shared" si="96"/>
        <x:v>41.35</x:v>
      </x:c>
    </x:row>
    <x:row r="1940" spans="1:14" x14ac:dyDescent="0.25">
      <x:c r="A1940" t="s">
        <x:v>24</x:v>
      </x:c>
      <x:c r="B1940" s="3" t="s">
        <x:v>172</x:v>
      </x:c>
      <x:c r="C1940" s="3" t="s">
        <x:v>488</x:v>
      </x:c>
      <x:c r="D1940" t="s">
        <x:v>677</x:v>
      </x:c>
      <x:c r="E1940" s="6">
        <x:v>0</x:v>
      </x:c>
      <x:c r="F1940" s="6">
        <x:v>0</x:v>
      </x:c>
      <x:c r="G1940" s="6">
        <x:v>0</x:v>
      </x:c>
      <x:c r="H1940" s="6">
        <x:f t="shared" si="94"/>
        <x:v>0</x:v>
      </x:c>
      <x:c r="I1940" s="6">
        <x:v>10451.299999999999</x:v>
      </x:c>
      <x:c r="J1940" s="6">
        <x:v>0</x:v>
      </x:c>
      <x:c r="K1940" s="6">
        <x:f t="shared" si="95"/>
        <x:v>10451.299999999999</x:v>
      </x:c>
      <x:c r="L1940" s="6">
        <x:v>0</x:v>
      </x:c>
      <x:c r="M1940" s="6">
        <x:v>0</x:v>
      </x:c>
      <x:c r="N1940" s="6">
        <x:f t="shared" si="96"/>
        <x:v>10451.299999999999</x:v>
      </x:c>
    </x:row>
    <x:row r="1941" spans="1:14" x14ac:dyDescent="0.25">
      <x:c r="A1941" t="s">
        <x:v>24</x:v>
      </x:c>
      <x:c r="B1941" s="3" t="s">
        <x:v>173</x:v>
      </x:c>
      <x:c r="C1941" s="3" t="s">
        <x:v>489</x:v>
      </x:c>
      <x:c r="D1941" t="s">
        <x:v>677</x:v>
      </x:c>
      <x:c r="E1941" s="6">
        <x:v>0</x:v>
      </x:c>
      <x:c r="F1941" s="6">
        <x:v>0</x:v>
      </x:c>
      <x:c r="G1941" s="6">
        <x:v>0</x:v>
      </x:c>
      <x:c r="H1941" s="6">
        <x:f t="shared" si="94"/>
        <x:v>0</x:v>
      </x:c>
      <x:c r="I1941" s="6">
        <x:v>4985.91</x:v>
      </x:c>
      <x:c r="J1941" s="6">
        <x:v>0</x:v>
      </x:c>
      <x:c r="K1941" s="6">
        <x:f t="shared" si="95"/>
        <x:v>4985.91</x:v>
      </x:c>
      <x:c r="L1941" s="6">
        <x:v>0</x:v>
      </x:c>
      <x:c r="M1941" s="6">
        <x:v>0</x:v>
      </x:c>
      <x:c r="N1941" s="6">
        <x:f t="shared" si="96"/>
        <x:v>4985.91</x:v>
      </x:c>
    </x:row>
    <x:row r="1942" spans="1:14" x14ac:dyDescent="0.25">
      <x:c r="A1942" t="s">
        <x:v>24</x:v>
      </x:c>
      <x:c r="B1942" s="3" t="s">
        <x:v>174</x:v>
      </x:c>
      <x:c r="C1942" s="3" t="s">
        <x:v>490</x:v>
      </x:c>
      <x:c r="D1942" t="s">
        <x:v>677</x:v>
      </x:c>
      <x:c r="E1942" s="6">
        <x:v>0</x:v>
      </x:c>
      <x:c r="F1942" s="6">
        <x:v>0</x:v>
      </x:c>
      <x:c r="G1942" s="6">
        <x:v>0</x:v>
      </x:c>
      <x:c r="H1942" s="6">
        <x:f t="shared" si="94"/>
        <x:v>0</x:v>
      </x:c>
      <x:c r="I1942" s="6">
        <x:v>142.66000000000003</x:v>
      </x:c>
      <x:c r="J1942" s="6">
        <x:v>0</x:v>
      </x:c>
      <x:c r="K1942" s="6">
        <x:f t="shared" si="95"/>
        <x:v>142.66000000000003</x:v>
      </x:c>
      <x:c r="L1942" s="6">
        <x:v>0</x:v>
      </x:c>
      <x:c r="M1942" s="6">
        <x:v>0</x:v>
      </x:c>
      <x:c r="N1942" s="6">
        <x:f t="shared" si="96"/>
        <x:v>142.66000000000003</x:v>
      </x:c>
    </x:row>
    <x:row r="1943" spans="1:14" x14ac:dyDescent="0.25">
      <x:c r="A1943" t="s">
        <x:v>24</x:v>
      </x:c>
      <x:c r="B1943" s="3" t="s">
        <x:v>176</x:v>
      </x:c>
      <x:c r="C1943" s="3" t="s">
        <x:v>492</x:v>
      </x:c>
      <x:c r="D1943" t="s">
        <x:v>677</x:v>
      </x:c>
      <x:c r="E1943" s="6">
        <x:v>0</x:v>
      </x:c>
      <x:c r="F1943" s="6">
        <x:v>0</x:v>
      </x:c>
      <x:c r="G1943" s="6">
        <x:v>0</x:v>
      </x:c>
      <x:c r="H1943" s="6">
        <x:f t="shared" si="94"/>
        <x:v>0</x:v>
      </x:c>
      <x:c r="I1943" s="6">
        <x:v>8993.5499999999993</x:v>
      </x:c>
      <x:c r="J1943" s="6">
        <x:v>0</x:v>
      </x:c>
      <x:c r="K1943" s="6">
        <x:f t="shared" si="95"/>
        <x:v>8993.5499999999993</x:v>
      </x:c>
      <x:c r="L1943" s="6">
        <x:v>0</x:v>
      </x:c>
      <x:c r="M1943" s="6">
        <x:v>0</x:v>
      </x:c>
      <x:c r="N1943" s="6">
        <x:f t="shared" si="96"/>
        <x:v>8993.5499999999993</x:v>
      </x:c>
    </x:row>
    <x:row r="1944" spans="1:14" x14ac:dyDescent="0.25">
      <x:c r="A1944" t="s">
        <x:v>24</x:v>
      </x:c>
      <x:c r="B1944" s="3" t="s">
        <x:v>177</x:v>
      </x:c>
      <x:c r="C1944" s="3" t="s">
        <x:v>493</x:v>
      </x:c>
      <x:c r="D1944" t="s">
        <x:v>677</x:v>
      </x:c>
      <x:c r="E1944" s="6">
        <x:v>0</x:v>
      </x:c>
      <x:c r="F1944" s="6">
        <x:v>0</x:v>
      </x:c>
      <x:c r="G1944" s="6">
        <x:v>0</x:v>
      </x:c>
      <x:c r="H1944" s="6">
        <x:f t="shared" si="94"/>
        <x:v>0</x:v>
      </x:c>
      <x:c r="I1944" s="6">
        <x:v>166.42000000000004</x:v>
      </x:c>
      <x:c r="J1944" s="6">
        <x:v>0</x:v>
      </x:c>
      <x:c r="K1944" s="6">
        <x:f t="shared" si="95"/>
        <x:v>166.42000000000004</x:v>
      </x:c>
      <x:c r="L1944" s="6">
        <x:v>0</x:v>
      </x:c>
      <x:c r="M1944" s="6">
        <x:v>0</x:v>
      </x:c>
      <x:c r="N1944" s="6">
        <x:f t="shared" si="96"/>
        <x:v>166.42000000000004</x:v>
      </x:c>
    </x:row>
    <x:row r="1945" spans="1:14" x14ac:dyDescent="0.25">
      <x:c r="A1945" t="s">
        <x:v>24</x:v>
      </x:c>
      <x:c r="B1945" s="3" t="s">
        <x:v>178</x:v>
      </x:c>
      <x:c r="C1945" s="3" t="s">
        <x:v>494</x:v>
      </x:c>
      <x:c r="D1945" t="s">
        <x:v>677</x:v>
      </x:c>
      <x:c r="E1945" s="6">
        <x:v>0</x:v>
      </x:c>
      <x:c r="F1945" s="6">
        <x:v>0</x:v>
      </x:c>
      <x:c r="G1945" s="6">
        <x:v>0</x:v>
      </x:c>
      <x:c r="H1945" s="6">
        <x:f t="shared" si="94"/>
        <x:v>0</x:v>
      </x:c>
      <x:c r="I1945" s="6">
        <x:v>63.070000000000007</x:v>
      </x:c>
      <x:c r="J1945" s="6">
        <x:v>0</x:v>
      </x:c>
      <x:c r="K1945" s="6">
        <x:f t="shared" si="95"/>
        <x:v>63.070000000000007</x:v>
      </x:c>
      <x:c r="L1945" s="6">
        <x:v>0</x:v>
      </x:c>
      <x:c r="M1945" s="6">
        <x:v>0</x:v>
      </x:c>
      <x:c r="N1945" s="6">
        <x:f t="shared" si="96"/>
        <x:v>63.070000000000007</x:v>
      </x:c>
    </x:row>
    <x:row r="1946" spans="1:14" x14ac:dyDescent="0.25">
      <x:c r="A1946" t="s">
        <x:v>24</x:v>
      </x:c>
      <x:c r="B1946" s="3" t="s">
        <x:v>179</x:v>
      </x:c>
      <x:c r="C1946" s="3" t="s">
        <x:v>495</x:v>
      </x:c>
      <x:c r="D1946" t="s">
        <x:v>677</x:v>
      </x:c>
      <x:c r="E1946" s="6">
        <x:v>0</x:v>
      </x:c>
      <x:c r="F1946" s="6">
        <x:v>0</x:v>
      </x:c>
      <x:c r="G1946" s="6">
        <x:v>0</x:v>
      </x:c>
      <x:c r="H1946" s="6">
        <x:f t="shared" si="94"/>
        <x:v>0</x:v>
      </x:c>
      <x:c r="I1946" s="6">
        <x:v>32.76</x:v>
      </x:c>
      <x:c r="J1946" s="6">
        <x:v>0</x:v>
      </x:c>
      <x:c r="K1946" s="6">
        <x:f t="shared" si="95"/>
        <x:v>32.76</x:v>
      </x:c>
      <x:c r="L1946" s="6">
        <x:v>0</x:v>
      </x:c>
      <x:c r="M1946" s="6">
        <x:v>0</x:v>
      </x:c>
      <x:c r="N1946" s="6">
        <x:f t="shared" si="96"/>
        <x:v>32.76</x:v>
      </x:c>
    </x:row>
    <x:row r="1947" spans="1:14" x14ac:dyDescent="0.25">
      <x:c r="A1947" t="s">
        <x:v>24</x:v>
      </x:c>
      <x:c r="B1947" s="3" t="s">
        <x:v>180</x:v>
      </x:c>
      <x:c r="C1947" s="3" t="s">
        <x:v>496</x:v>
      </x:c>
      <x:c r="D1947" t="s">
        <x:v>677</x:v>
      </x:c>
      <x:c r="E1947" s="6">
        <x:v>0</x:v>
      </x:c>
      <x:c r="F1947" s="6">
        <x:v>0</x:v>
      </x:c>
      <x:c r="G1947" s="6">
        <x:v>0</x:v>
      </x:c>
      <x:c r="H1947" s="6">
        <x:f t="shared" si="94"/>
        <x:v>0</x:v>
      </x:c>
      <x:c r="I1947" s="6">
        <x:v>4411.68</x:v>
      </x:c>
      <x:c r="J1947" s="6">
        <x:v>0</x:v>
      </x:c>
      <x:c r="K1947" s="6">
        <x:f t="shared" si="95"/>
        <x:v>4411.68</x:v>
      </x:c>
      <x:c r="L1947" s="6">
        <x:v>0</x:v>
      </x:c>
      <x:c r="M1947" s="6">
        <x:v>0</x:v>
      </x:c>
      <x:c r="N1947" s="6">
        <x:f t="shared" si="96"/>
        <x:v>4411.68</x:v>
      </x:c>
    </x:row>
    <x:row r="1948" spans="1:14" x14ac:dyDescent="0.25">
      <x:c r="A1948" t="s">
        <x:v>24</x:v>
      </x:c>
      <x:c r="B1948" s="3" t="s">
        <x:v>181</x:v>
      </x:c>
      <x:c r="C1948" s="3" t="s">
        <x:v>497</x:v>
      </x:c>
      <x:c r="D1948" t="s">
        <x:v>677</x:v>
      </x:c>
      <x:c r="E1948" s="6">
        <x:v>0</x:v>
      </x:c>
      <x:c r="F1948" s="6">
        <x:v>0</x:v>
      </x:c>
      <x:c r="G1948" s="6">
        <x:v>0</x:v>
      </x:c>
      <x:c r="H1948" s="6">
        <x:f t="shared" si="94"/>
        <x:v>0</x:v>
      </x:c>
      <x:c r="I1948" s="6">
        <x:v>62.939999999999991</x:v>
      </x:c>
      <x:c r="J1948" s="6">
        <x:v>0</x:v>
      </x:c>
      <x:c r="K1948" s="6">
        <x:f t="shared" si="95"/>
        <x:v>62.939999999999991</x:v>
      </x:c>
      <x:c r="L1948" s="6">
        <x:v>0</x:v>
      </x:c>
      <x:c r="M1948" s="6">
        <x:v>0</x:v>
      </x:c>
      <x:c r="N1948" s="6">
        <x:f t="shared" si="96"/>
        <x:v>62.939999999999991</x:v>
      </x:c>
    </x:row>
    <x:row r="1949" spans="1:14" x14ac:dyDescent="0.25">
      <x:c r="A1949" t="s">
        <x:v>24</x:v>
      </x:c>
      <x:c r="B1949" s="3" t="s">
        <x:v>235</x:v>
      </x:c>
      <x:c r="C1949" s="3" t="s">
        <x:v>550</x:v>
      </x:c>
      <x:c r="D1949" t="s">
        <x:v>677</x:v>
      </x:c>
      <x:c r="E1949" s="6">
        <x:v>0</x:v>
      </x:c>
      <x:c r="F1949" s="6">
        <x:v>0</x:v>
      </x:c>
      <x:c r="G1949" s="6">
        <x:v>0</x:v>
      </x:c>
      <x:c r="H1949" s="6">
        <x:f t="shared" si="94"/>
        <x:v>0</x:v>
      </x:c>
      <x:c r="I1949" s="6">
        <x:v>45.79</x:v>
      </x:c>
      <x:c r="J1949" s="6">
        <x:v>0</x:v>
      </x:c>
      <x:c r="K1949" s="6">
        <x:f t="shared" si="95"/>
        <x:v>45.79</x:v>
      </x:c>
      <x:c r="L1949" s="6">
        <x:v>0</x:v>
      </x:c>
      <x:c r="M1949" s="6">
        <x:v>0</x:v>
      </x:c>
      <x:c r="N1949" s="6">
        <x:f t="shared" si="96"/>
        <x:v>45.79</x:v>
      </x:c>
    </x:row>
    <x:row r="1950" spans="1:14" x14ac:dyDescent="0.25">
      <x:c r="A1950" t="s">
        <x:v>24</x:v>
      </x:c>
      <x:c r="B1950" s="3" t="s">
        <x:v>183</x:v>
      </x:c>
      <x:c r="C1950" s="3" t="s">
        <x:v>499</x:v>
      </x:c>
      <x:c r="D1950" t="s">
        <x:v>677</x:v>
      </x:c>
      <x:c r="E1950" s="6">
        <x:v>0</x:v>
      </x:c>
      <x:c r="F1950" s="6">
        <x:v>0</x:v>
      </x:c>
      <x:c r="G1950" s="6">
        <x:v>0</x:v>
      </x:c>
      <x:c r="H1950" s="6">
        <x:f t="shared" si="94"/>
        <x:v>0</x:v>
      </x:c>
      <x:c r="I1950" s="6">
        <x:v>8824.39</x:v>
      </x:c>
      <x:c r="J1950" s="6">
        <x:v>0</x:v>
      </x:c>
      <x:c r="K1950" s="6">
        <x:f t="shared" si="95"/>
        <x:v>8824.39</x:v>
      </x:c>
      <x:c r="L1950" s="6">
        <x:v>0</x:v>
      </x:c>
      <x:c r="M1950" s="6">
        <x:v>0</x:v>
      </x:c>
      <x:c r="N1950" s="6">
        <x:f t="shared" si="96"/>
        <x:v>8824.39</x:v>
      </x:c>
    </x:row>
    <x:row r="1951" spans="1:14" x14ac:dyDescent="0.25">
      <x:c r="A1951" t="s">
        <x:v>24</x:v>
      </x:c>
      <x:c r="B1951" s="3" t="s">
        <x:v>184</x:v>
      </x:c>
      <x:c r="C1951" s="3" t="s">
        <x:v>500</x:v>
      </x:c>
      <x:c r="D1951" t="s">
        <x:v>677</x:v>
      </x:c>
      <x:c r="E1951" s="6">
        <x:v>0</x:v>
      </x:c>
      <x:c r="F1951" s="6">
        <x:v>0</x:v>
      </x:c>
      <x:c r="G1951" s="6">
        <x:v>0</x:v>
      </x:c>
      <x:c r="H1951" s="6">
        <x:f t="shared" si="94"/>
        <x:v>0</x:v>
      </x:c>
      <x:c r="I1951" s="6">
        <x:v>655.76999999999987</x:v>
      </x:c>
      <x:c r="J1951" s="6">
        <x:v>0</x:v>
      </x:c>
      <x:c r="K1951" s="6">
        <x:f t="shared" si="95"/>
        <x:v>655.76999999999987</x:v>
      </x:c>
      <x:c r="L1951" s="6">
        <x:v>0</x:v>
      </x:c>
      <x:c r="M1951" s="6">
        <x:v>0</x:v>
      </x:c>
      <x:c r="N1951" s="6">
        <x:f t="shared" si="96"/>
        <x:v>655.76999999999987</x:v>
      </x:c>
    </x:row>
    <x:row r="1952" spans="1:14" x14ac:dyDescent="0.25">
      <x:c r="A1952" t="s">
        <x:v>24</x:v>
      </x:c>
      <x:c r="B1952" s="3" t="s">
        <x:v>186</x:v>
      </x:c>
      <x:c r="C1952" s="3" t="s">
        <x:v>502</x:v>
      </x:c>
      <x:c r="D1952" t="s">
        <x:v>677</x:v>
      </x:c>
      <x:c r="E1952" s="6">
        <x:v>0</x:v>
      </x:c>
      <x:c r="F1952" s="6">
        <x:v>0</x:v>
      </x:c>
      <x:c r="G1952" s="6">
        <x:v>0</x:v>
      </x:c>
      <x:c r="H1952" s="6">
        <x:f t="shared" si="94"/>
        <x:v>0</x:v>
      </x:c>
      <x:c r="I1952" s="6">
        <x:v>1599.1999999999994</x:v>
      </x:c>
      <x:c r="J1952" s="6">
        <x:v>0</x:v>
      </x:c>
      <x:c r="K1952" s="6">
        <x:f t="shared" si="95"/>
        <x:v>1599.1999999999994</x:v>
      </x:c>
      <x:c r="L1952" s="6">
        <x:v>0</x:v>
      </x:c>
      <x:c r="M1952" s="6">
        <x:v>0</x:v>
      </x:c>
      <x:c r="N1952" s="6">
        <x:f t="shared" si="96"/>
        <x:v>1599.1999999999994</x:v>
      </x:c>
    </x:row>
    <x:row r="1953" spans="1:14" x14ac:dyDescent="0.25">
      <x:c r="A1953" t="s">
        <x:v>24</x:v>
      </x:c>
      <x:c r="B1953" s="3" t="s">
        <x:v>187</x:v>
      </x:c>
      <x:c r="C1953" s="3" t="s">
        <x:v>503</x:v>
      </x:c>
      <x:c r="D1953" t="s">
        <x:v>677</x:v>
      </x:c>
      <x:c r="E1953" s="6">
        <x:v>0</x:v>
      </x:c>
      <x:c r="F1953" s="6">
        <x:v>0</x:v>
      </x:c>
      <x:c r="G1953" s="6">
        <x:v>0</x:v>
      </x:c>
      <x:c r="H1953" s="6">
        <x:f t="shared" si="94"/>
        <x:v>0</x:v>
      </x:c>
      <x:c r="I1953" s="6">
        <x:v>476.4</x:v>
      </x:c>
      <x:c r="J1953" s="6">
        <x:v>0</x:v>
      </x:c>
      <x:c r="K1953" s="6">
        <x:f t="shared" si="95"/>
        <x:v>476.4</x:v>
      </x:c>
      <x:c r="L1953" s="6">
        <x:v>0</x:v>
      </x:c>
      <x:c r="M1953" s="6">
        <x:v>0</x:v>
      </x:c>
      <x:c r="N1953" s="6">
        <x:f t="shared" si="96"/>
        <x:v>476.4</x:v>
      </x:c>
    </x:row>
    <x:row r="1954" spans="1:14" x14ac:dyDescent="0.25">
      <x:c r="A1954" t="s">
        <x:v>24</x:v>
      </x:c>
      <x:c r="B1954" s="3" t="s">
        <x:v>188</x:v>
      </x:c>
      <x:c r="C1954" s="3" t="s">
        <x:v>504</x:v>
      </x:c>
      <x:c r="D1954" t="s">
        <x:v>677</x:v>
      </x:c>
      <x:c r="E1954" s="6">
        <x:v>0</x:v>
      </x:c>
      <x:c r="F1954" s="6">
        <x:v>0</x:v>
      </x:c>
      <x:c r="G1954" s="6">
        <x:v>0</x:v>
      </x:c>
      <x:c r="H1954" s="6">
        <x:f t="shared" si="94"/>
        <x:v>0</x:v>
      </x:c>
      <x:c r="I1954" s="6">
        <x:v>3191.0700000000006</x:v>
      </x:c>
      <x:c r="J1954" s="6">
        <x:v>0</x:v>
      </x:c>
      <x:c r="K1954" s="6">
        <x:f t="shared" si="95"/>
        <x:v>3191.0700000000006</x:v>
      </x:c>
      <x:c r="L1954" s="6">
        <x:v>0</x:v>
      </x:c>
      <x:c r="M1954" s="6">
        <x:v>0</x:v>
      </x:c>
      <x:c r="N1954" s="6">
        <x:f t="shared" si="96"/>
        <x:v>3191.0700000000006</x:v>
      </x:c>
    </x:row>
    <x:row r="1955" spans="1:14" x14ac:dyDescent="0.25">
      <x:c r="A1955" t="s">
        <x:v>24</x:v>
      </x:c>
      <x:c r="B1955" s="3" t="s">
        <x:v>189</x:v>
      </x:c>
      <x:c r="C1955" s="3" t="s">
        <x:v>505</x:v>
      </x:c>
      <x:c r="D1955" t="s">
        <x:v>677</x:v>
      </x:c>
      <x:c r="E1955" s="6">
        <x:v>0</x:v>
      </x:c>
      <x:c r="F1955" s="6">
        <x:v>0</x:v>
      </x:c>
      <x:c r="G1955" s="6">
        <x:v>0</x:v>
      </x:c>
      <x:c r="H1955" s="6">
        <x:f t="shared" si="94"/>
        <x:v>0</x:v>
      </x:c>
      <x:c r="I1955" s="6">
        <x:v>52456.399999999994</x:v>
      </x:c>
      <x:c r="J1955" s="6">
        <x:v>0</x:v>
      </x:c>
      <x:c r="K1955" s="6">
        <x:f t="shared" si="95"/>
        <x:v>52456.399999999994</x:v>
      </x:c>
      <x:c r="L1955" s="6">
        <x:v>0</x:v>
      </x:c>
      <x:c r="M1955" s="6">
        <x:v>0</x:v>
      </x:c>
      <x:c r="N1955" s="6">
        <x:f t="shared" si="96"/>
        <x:v>52456.399999999994</x:v>
      </x:c>
    </x:row>
    <x:row r="1956" spans="1:14" x14ac:dyDescent="0.25">
      <x:c r="A1956" t="s">
        <x:v>24</x:v>
      </x:c>
      <x:c r="B1956" s="3" t="s">
        <x:v>236</x:v>
      </x:c>
      <x:c r="C1956" s="3" t="s">
        <x:v>551</x:v>
      </x:c>
      <x:c r="D1956" t="s">
        <x:v>677</x:v>
      </x:c>
      <x:c r="E1956" s="6">
        <x:v>0</x:v>
      </x:c>
      <x:c r="F1956" s="6">
        <x:v>0</x:v>
      </x:c>
      <x:c r="G1956" s="6">
        <x:v>0</x:v>
      </x:c>
      <x:c r="H1956" s="6">
        <x:f t="shared" si="94"/>
        <x:v>0</x:v>
      </x:c>
      <x:c r="I1956" s="6">
        <x:v>34829.640000000007</x:v>
      </x:c>
      <x:c r="J1956" s="6">
        <x:v>0</x:v>
      </x:c>
      <x:c r="K1956" s="6">
        <x:f t="shared" si="95"/>
        <x:v>34829.640000000007</x:v>
      </x:c>
      <x:c r="L1956" s="6">
        <x:v>0</x:v>
      </x:c>
      <x:c r="M1956" s="6">
        <x:v>0</x:v>
      </x:c>
      <x:c r="N1956" s="6">
        <x:f t="shared" si="96"/>
        <x:v>34829.640000000007</x:v>
      </x:c>
    </x:row>
    <x:row r="1957" spans="1:14" x14ac:dyDescent="0.25">
      <x:c r="A1957" t="s">
        <x:v>24</x:v>
      </x:c>
      <x:c r="B1957" s="3" t="s">
        <x:v>193</x:v>
      </x:c>
      <x:c r="C1957" s="3" t="s">
        <x:v>509</x:v>
      </x:c>
      <x:c r="D1957" t="s">
        <x:v>677</x:v>
      </x:c>
      <x:c r="E1957" s="6">
        <x:v>0</x:v>
      </x:c>
      <x:c r="F1957" s="6">
        <x:v>0</x:v>
      </x:c>
      <x:c r="G1957" s="6">
        <x:v>0</x:v>
      </x:c>
      <x:c r="H1957" s="6">
        <x:f t="shared" si="94"/>
        <x:v>0</x:v>
      </x:c>
      <x:c r="I1957" s="6">
        <x:v>16772.95</x:v>
      </x:c>
      <x:c r="J1957" s="6">
        <x:v>0</x:v>
      </x:c>
      <x:c r="K1957" s="6">
        <x:f t="shared" si="95"/>
        <x:v>16772.95</x:v>
      </x:c>
      <x:c r="L1957" s="6">
        <x:v>0</x:v>
      </x:c>
      <x:c r="M1957" s="6">
        <x:v>0</x:v>
      </x:c>
      <x:c r="N1957" s="6">
        <x:f t="shared" si="96"/>
        <x:v>16772.95</x:v>
      </x:c>
    </x:row>
    <x:row r="1958" spans="1:14" x14ac:dyDescent="0.25">
      <x:c r="A1958" t="s">
        <x:v>24</x:v>
      </x:c>
      <x:c r="B1958" s="3" t="s">
        <x:v>194</x:v>
      </x:c>
      <x:c r="C1958" s="3" t="s">
        <x:v>510</x:v>
      </x:c>
      <x:c r="D1958" t="s">
        <x:v>677</x:v>
      </x:c>
      <x:c r="E1958" s="6">
        <x:v>0</x:v>
      </x:c>
      <x:c r="F1958" s="6">
        <x:v>0</x:v>
      </x:c>
      <x:c r="G1958" s="6">
        <x:v>0</x:v>
      </x:c>
      <x:c r="H1958" s="6">
        <x:f t="shared" si="94"/>
        <x:v>0</x:v>
      </x:c>
      <x:c r="I1958" s="6">
        <x:v>590.56999999999994</x:v>
      </x:c>
      <x:c r="J1958" s="6">
        <x:v>0</x:v>
      </x:c>
      <x:c r="K1958" s="6">
        <x:f t="shared" si="95"/>
        <x:v>590.56999999999994</x:v>
      </x:c>
      <x:c r="L1958" s="6">
        <x:v>0</x:v>
      </x:c>
      <x:c r="M1958" s="6">
        <x:v>0</x:v>
      </x:c>
      <x:c r="N1958" s="6">
        <x:f t="shared" si="96"/>
        <x:v>590.56999999999994</x:v>
      </x:c>
    </x:row>
    <x:row r="1959" spans="1:14" x14ac:dyDescent="0.25">
      <x:c r="A1959" t="s">
        <x:v>24</x:v>
      </x:c>
      <x:c r="B1959" s="3" t="s">
        <x:v>195</x:v>
      </x:c>
      <x:c r="C1959" s="3" t="s">
        <x:v>511</x:v>
      </x:c>
      <x:c r="D1959" t="s">
        <x:v>677</x:v>
      </x:c>
      <x:c r="E1959" s="6">
        <x:v>0</x:v>
      </x:c>
      <x:c r="F1959" s="6">
        <x:v>0</x:v>
      </x:c>
      <x:c r="G1959" s="6">
        <x:v>0</x:v>
      </x:c>
      <x:c r="H1959" s="6">
        <x:f t="shared" si="94"/>
        <x:v>0</x:v>
      </x:c>
      <x:c r="I1959" s="6">
        <x:v>649.04000000000019</x:v>
      </x:c>
      <x:c r="J1959" s="6">
        <x:v>0</x:v>
      </x:c>
      <x:c r="K1959" s="6">
        <x:f t="shared" si="95"/>
        <x:v>649.04000000000019</x:v>
      </x:c>
      <x:c r="L1959" s="6">
        <x:v>0</x:v>
      </x:c>
      <x:c r="M1959" s="6">
        <x:v>0</x:v>
      </x:c>
      <x:c r="N1959" s="6">
        <x:f t="shared" si="96"/>
        <x:v>649.04000000000019</x:v>
      </x:c>
    </x:row>
    <x:row r="1960" spans="1:14" x14ac:dyDescent="0.25">
      <x:c r="A1960" t="s">
        <x:v>24</x:v>
      </x:c>
      <x:c r="B1960" s="3" t="s">
        <x:v>237</x:v>
      </x:c>
      <x:c r="C1960" s="3" t="s">
        <x:v>552</x:v>
      </x:c>
      <x:c r="D1960" t="s">
        <x:v>677</x:v>
      </x:c>
      <x:c r="E1960" s="6">
        <x:v>0</x:v>
      </x:c>
      <x:c r="F1960" s="6">
        <x:v>0</x:v>
      </x:c>
      <x:c r="G1960" s="6">
        <x:v>0</x:v>
      </x:c>
      <x:c r="H1960" s="6">
        <x:f t="shared" si="94"/>
        <x:v>0</x:v>
      </x:c>
      <x:c r="I1960" s="6">
        <x:v>192.13</x:v>
      </x:c>
      <x:c r="J1960" s="6">
        <x:v>0</x:v>
      </x:c>
      <x:c r="K1960" s="6">
        <x:f t="shared" si="95"/>
        <x:v>192.13</x:v>
      </x:c>
      <x:c r="L1960" s="6">
        <x:v>0</x:v>
      </x:c>
      <x:c r="M1960" s="6">
        <x:v>0</x:v>
      </x:c>
      <x:c r="N1960" s="6">
        <x:f t="shared" si="96"/>
        <x:v>192.13</x:v>
      </x:c>
    </x:row>
    <x:row r="1961" spans="1:14" x14ac:dyDescent="0.25">
      <x:c r="A1961" t="s">
        <x:v>24</x:v>
      </x:c>
      <x:c r="B1961" s="3" t="s">
        <x:v>196</x:v>
      </x:c>
      <x:c r="C1961" s="3" t="s">
        <x:v>512</x:v>
      </x:c>
      <x:c r="D1961" t="s">
        <x:v>677</x:v>
      </x:c>
      <x:c r="E1961" s="6">
        <x:v>0</x:v>
      </x:c>
      <x:c r="F1961" s="6">
        <x:v>0</x:v>
      </x:c>
      <x:c r="G1961" s="6">
        <x:v>0</x:v>
      </x:c>
      <x:c r="H1961" s="6">
        <x:f t="shared" si="94"/>
        <x:v>0</x:v>
      </x:c>
      <x:c r="I1961" s="6">
        <x:v>2029.7000000000007</x:v>
      </x:c>
      <x:c r="J1961" s="6">
        <x:v>0</x:v>
      </x:c>
      <x:c r="K1961" s="6">
        <x:f t="shared" si="95"/>
        <x:v>2029.7000000000007</x:v>
      </x:c>
      <x:c r="L1961" s="6">
        <x:v>0</x:v>
      </x:c>
      <x:c r="M1961" s="6">
        <x:v>0</x:v>
      </x:c>
      <x:c r="N1961" s="6">
        <x:f t="shared" si="96"/>
        <x:v>2029.7000000000007</x:v>
      </x:c>
    </x:row>
    <x:row r="1962" spans="1:14" x14ac:dyDescent="0.25">
      <x:c r="A1962" t="s">
        <x:v>24</x:v>
      </x:c>
      <x:c r="B1962" s="3" t="s">
        <x:v>63</x:v>
      </x:c>
      <x:c r="C1962" s="3" t="s">
        <x:v>380</x:v>
      </x:c>
      <x:c r="D1962" t="s">
        <x:v>677</x:v>
      </x:c>
      <x:c r="E1962" s="6">
        <x:v>0</x:v>
      </x:c>
      <x:c r="F1962" s="6">
        <x:v>0</x:v>
      </x:c>
      <x:c r="G1962" s="6">
        <x:v>0</x:v>
      </x:c>
      <x:c r="H1962" s="6">
        <x:f t="shared" si="94"/>
        <x:v>0</x:v>
      </x:c>
      <x:c r="I1962" s="6">
        <x:v>37466.660000000003</x:v>
      </x:c>
      <x:c r="J1962" s="6">
        <x:v>0</x:v>
      </x:c>
      <x:c r="K1962" s="6">
        <x:f t="shared" si="95"/>
        <x:v>37466.660000000003</x:v>
      </x:c>
      <x:c r="L1962" s="6">
        <x:v>0</x:v>
      </x:c>
      <x:c r="M1962" s="6">
        <x:v>0</x:v>
      </x:c>
      <x:c r="N1962" s="6">
        <x:f t="shared" si="96"/>
        <x:v>37466.660000000003</x:v>
      </x:c>
    </x:row>
    <x:row r="1963" spans="1:14" x14ac:dyDescent="0.25">
      <x:c r="A1963" t="s">
        <x:v>24</x:v>
      </x:c>
      <x:c r="B1963" s="3" t="s">
        <x:v>199</x:v>
      </x:c>
      <x:c r="C1963" s="3" t="s">
        <x:v>515</x:v>
      </x:c>
      <x:c r="D1963" t="s">
        <x:v>677</x:v>
      </x:c>
      <x:c r="E1963" s="6">
        <x:v>0</x:v>
      </x:c>
      <x:c r="F1963" s="6">
        <x:v>0</x:v>
      </x:c>
      <x:c r="G1963" s="6">
        <x:v>0</x:v>
      </x:c>
      <x:c r="H1963" s="6">
        <x:f t="shared" si="94"/>
        <x:v>0</x:v>
      </x:c>
      <x:c r="I1963" s="6">
        <x:v>2052.1800000000003</x:v>
      </x:c>
      <x:c r="J1963" s="6">
        <x:v>0</x:v>
      </x:c>
      <x:c r="K1963" s="6">
        <x:f t="shared" si="95"/>
        <x:v>2052.1800000000003</x:v>
      </x:c>
      <x:c r="L1963" s="6">
        <x:v>0</x:v>
      </x:c>
      <x:c r="M1963" s="6">
        <x:v>0</x:v>
      </x:c>
      <x:c r="N1963" s="6">
        <x:f t="shared" si="96"/>
        <x:v>2052.1800000000003</x:v>
      </x:c>
    </x:row>
    <x:row r="1964" spans="1:14" x14ac:dyDescent="0.25">
      <x:c r="A1964" t="s">
        <x:v>24</x:v>
      </x:c>
      <x:c r="B1964" s="3" t="s">
        <x:v>200</x:v>
      </x:c>
      <x:c r="C1964" s="3" t="s">
        <x:v>516</x:v>
      </x:c>
      <x:c r="D1964" t="s">
        <x:v>677</x:v>
      </x:c>
      <x:c r="E1964" s="6">
        <x:v>0</x:v>
      </x:c>
      <x:c r="F1964" s="6">
        <x:v>0</x:v>
      </x:c>
      <x:c r="G1964" s="6">
        <x:v>0</x:v>
      </x:c>
      <x:c r="H1964" s="6">
        <x:f t="shared" si="94"/>
        <x:v>0</x:v>
      </x:c>
      <x:c r="I1964" s="6">
        <x:v>22250.109999999997</x:v>
      </x:c>
      <x:c r="J1964" s="6">
        <x:v>0</x:v>
      </x:c>
      <x:c r="K1964" s="6">
        <x:f t="shared" si="95"/>
        <x:v>22250.109999999997</x:v>
      </x:c>
      <x:c r="L1964" s="6">
        <x:v>0</x:v>
      </x:c>
      <x:c r="M1964" s="6">
        <x:v>0</x:v>
      </x:c>
      <x:c r="N1964" s="6">
        <x:f t="shared" si="96"/>
        <x:v>22250.109999999997</x:v>
      </x:c>
    </x:row>
    <x:row r="1965" spans="1:14" x14ac:dyDescent="0.25">
      <x:c r="A1965" t="s">
        <x:v>24</x:v>
      </x:c>
      <x:c r="B1965" s="3" t="s">
        <x:v>203</x:v>
      </x:c>
      <x:c r="C1965" s="3" t="s">
        <x:v>519</x:v>
      </x:c>
      <x:c r="D1965" t="s">
        <x:v>677</x:v>
      </x:c>
      <x:c r="E1965" s="6">
        <x:v>0</x:v>
      </x:c>
      <x:c r="F1965" s="6">
        <x:v>0</x:v>
      </x:c>
      <x:c r="G1965" s="6">
        <x:v>0</x:v>
      </x:c>
      <x:c r="H1965" s="6">
        <x:f t="shared" si="94"/>
        <x:v>0</x:v>
      </x:c>
      <x:c r="I1965" s="6">
        <x:v>22252.720000000005</x:v>
      </x:c>
      <x:c r="J1965" s="6">
        <x:v>0</x:v>
      </x:c>
      <x:c r="K1965" s="6">
        <x:f t="shared" si="95"/>
        <x:v>22252.720000000005</x:v>
      </x:c>
      <x:c r="L1965" s="6">
        <x:v>0</x:v>
      </x:c>
      <x:c r="M1965" s="6">
        <x:v>0</x:v>
      </x:c>
      <x:c r="N1965" s="6">
        <x:f t="shared" si="96"/>
        <x:v>22252.720000000005</x:v>
      </x:c>
    </x:row>
    <x:row r="1966" spans="1:14" x14ac:dyDescent="0.25">
      <x:c r="A1966" t="s">
        <x:v>24</x:v>
      </x:c>
      <x:c r="B1966" s="3" t="s">
        <x:v>50</x:v>
      </x:c>
      <x:c r="C1966" s="3" t="s">
        <x:v>367</x:v>
      </x:c>
      <x:c r="D1966" t="s">
        <x:v>677</x:v>
      </x:c>
      <x:c r="E1966" s="6">
        <x:v>0</x:v>
      </x:c>
      <x:c r="F1966" s="6">
        <x:v>0</x:v>
      </x:c>
      <x:c r="G1966" s="6">
        <x:v>0</x:v>
      </x:c>
      <x:c r="H1966" s="6">
        <x:f t="shared" si="94"/>
        <x:v>0</x:v>
      </x:c>
      <x:c r="I1966" s="6">
        <x:v>10616.02</x:v>
      </x:c>
      <x:c r="J1966" s="6">
        <x:v>0</x:v>
      </x:c>
      <x:c r="K1966" s="6">
        <x:f t="shared" si="95"/>
        <x:v>10616.02</x:v>
      </x:c>
      <x:c r="L1966" s="6">
        <x:v>0</x:v>
      </x:c>
      <x:c r="M1966" s="6">
        <x:v>0</x:v>
      </x:c>
      <x:c r="N1966" s="6">
        <x:f t="shared" si="96"/>
        <x:v>10616.02</x:v>
      </x:c>
    </x:row>
    <x:row r="1967" spans="1:14" x14ac:dyDescent="0.25">
      <x:c r="A1967" t="s">
        <x:v>24</x:v>
      </x:c>
      <x:c r="B1967" s="3" t="s">
        <x:v>239</x:v>
      </x:c>
      <x:c r="C1967" s="3" t="s">
        <x:v>554</x:v>
      </x:c>
      <x:c r="D1967" t="s">
        <x:v>677</x:v>
      </x:c>
      <x:c r="E1967" s="6">
        <x:v>0</x:v>
      </x:c>
      <x:c r="F1967" s="6">
        <x:v>0</x:v>
      </x:c>
      <x:c r="G1967" s="6">
        <x:v>0</x:v>
      </x:c>
      <x:c r="H1967" s="6">
        <x:f t="shared" si="94"/>
        <x:v>0</x:v>
      </x:c>
      <x:c r="I1967" s="6">
        <x:v>9246.9599999999973</x:v>
      </x:c>
      <x:c r="J1967" s="6">
        <x:v>0</x:v>
      </x:c>
      <x:c r="K1967" s="6">
        <x:f t="shared" si="95"/>
        <x:v>9246.9599999999973</x:v>
      </x:c>
      <x:c r="L1967" s="6">
        <x:v>0</x:v>
      </x:c>
      <x:c r="M1967" s="6">
        <x:v>0</x:v>
      </x:c>
      <x:c r="N1967" s="6">
        <x:f t="shared" si="96"/>
        <x:v>9246.9599999999973</x:v>
      </x:c>
    </x:row>
    <x:row r="1968" spans="1:14" x14ac:dyDescent="0.25">
      <x:c r="A1968" t="s">
        <x:v>24</x:v>
      </x:c>
      <x:c r="B1968" s="3" t="s">
        <x:v>205</x:v>
      </x:c>
      <x:c r="C1968" s="3" t="s">
        <x:v>521</x:v>
      </x:c>
      <x:c r="D1968" t="s">
        <x:v>677</x:v>
      </x:c>
      <x:c r="E1968" s="6">
        <x:v>0</x:v>
      </x:c>
      <x:c r="F1968" s="6">
        <x:v>0</x:v>
      </x:c>
      <x:c r="G1968" s="6">
        <x:v>0</x:v>
      </x:c>
      <x:c r="H1968" s="6">
        <x:f t="shared" si="94"/>
        <x:v>0</x:v>
      </x:c>
      <x:c r="I1968" s="6">
        <x:v>9413.61</x:v>
      </x:c>
      <x:c r="J1968" s="6">
        <x:v>0</x:v>
      </x:c>
      <x:c r="K1968" s="6">
        <x:f t="shared" si="95"/>
        <x:v>9413.61</x:v>
      </x:c>
      <x:c r="L1968" s="6">
        <x:v>0</x:v>
      </x:c>
      <x:c r="M1968" s="6">
        <x:v>0</x:v>
      </x:c>
      <x:c r="N1968" s="6">
        <x:f t="shared" si="96"/>
        <x:v>9413.61</x:v>
      </x:c>
    </x:row>
    <x:row r="1969" spans="1:14" x14ac:dyDescent="0.25">
      <x:c r="A1969" t="s">
        <x:v>24</x:v>
      </x:c>
      <x:c r="B1969" s="3" t="s">
        <x:v>240</x:v>
      </x:c>
      <x:c r="C1969" s="3" t="s">
        <x:v>555</x:v>
      </x:c>
      <x:c r="D1969" t="s">
        <x:v>677</x:v>
      </x:c>
      <x:c r="E1969" s="6">
        <x:v>0</x:v>
      </x:c>
      <x:c r="F1969" s="6">
        <x:v>0</x:v>
      </x:c>
      <x:c r="G1969" s="6">
        <x:v>0</x:v>
      </x:c>
      <x:c r="H1969" s="6">
        <x:f t="shared" si="94"/>
        <x:v>0</x:v>
      </x:c>
      <x:c r="I1969" s="6">
        <x:v>535.96</x:v>
      </x:c>
      <x:c r="J1969" s="6">
        <x:v>0</x:v>
      </x:c>
      <x:c r="K1969" s="6">
        <x:f t="shared" si="95"/>
        <x:v>535.96</x:v>
      </x:c>
      <x:c r="L1969" s="6">
        <x:v>0</x:v>
      </x:c>
      <x:c r="M1969" s="6">
        <x:v>0</x:v>
      </x:c>
      <x:c r="N1969" s="6">
        <x:f t="shared" si="96"/>
        <x:v>535.96</x:v>
      </x:c>
    </x:row>
    <x:row r="1970" spans="1:14" x14ac:dyDescent="0.25">
      <x:c r="A1970" t="s">
        <x:v>24</x:v>
      </x:c>
      <x:c r="B1970" s="3" t="s">
        <x:v>206</x:v>
      </x:c>
      <x:c r="C1970" s="3" t="s">
        <x:v>522</x:v>
      </x:c>
      <x:c r="D1970" t="s">
        <x:v>677</x:v>
      </x:c>
      <x:c r="E1970" s="6">
        <x:v>0</x:v>
      </x:c>
      <x:c r="F1970" s="6">
        <x:v>0</x:v>
      </x:c>
      <x:c r="G1970" s="6">
        <x:v>0</x:v>
      </x:c>
      <x:c r="H1970" s="6">
        <x:f t="shared" si="94"/>
        <x:v>0</x:v>
      </x:c>
      <x:c r="I1970" s="6">
        <x:v>5920.39</x:v>
      </x:c>
      <x:c r="J1970" s="6">
        <x:v>0</x:v>
      </x:c>
      <x:c r="K1970" s="6">
        <x:f t="shared" si="95"/>
        <x:v>5920.39</x:v>
      </x:c>
      <x:c r="L1970" s="6">
        <x:v>0</x:v>
      </x:c>
      <x:c r="M1970" s="6">
        <x:v>0</x:v>
      </x:c>
      <x:c r="N1970" s="6">
        <x:f t="shared" si="96"/>
        <x:v>5920.39</x:v>
      </x:c>
    </x:row>
    <x:row r="1971" spans="1:14" x14ac:dyDescent="0.25">
      <x:c r="A1971" t="s">
        <x:v>24</x:v>
      </x:c>
      <x:c r="B1971" s="3" t="s">
        <x:v>209</x:v>
      </x:c>
      <x:c r="C1971" s="3" t="s">
        <x:v>525</x:v>
      </x:c>
      <x:c r="D1971" t="s">
        <x:v>677</x:v>
      </x:c>
      <x:c r="E1971" s="6">
        <x:v>0</x:v>
      </x:c>
      <x:c r="F1971" s="6">
        <x:v>0</x:v>
      </x:c>
      <x:c r="G1971" s="6">
        <x:v>0</x:v>
      </x:c>
      <x:c r="H1971" s="6">
        <x:f t="shared" si="94"/>
        <x:v>0</x:v>
      </x:c>
      <x:c r="I1971" s="6">
        <x:v>6692.5500000000029</x:v>
      </x:c>
      <x:c r="J1971" s="6">
        <x:v>0</x:v>
      </x:c>
      <x:c r="K1971" s="6">
        <x:f t="shared" si="95"/>
        <x:v>6692.5500000000029</x:v>
      </x:c>
      <x:c r="L1971" s="6">
        <x:v>0</x:v>
      </x:c>
      <x:c r="M1971" s="6">
        <x:v>0</x:v>
      </x:c>
      <x:c r="N1971" s="6">
        <x:f t="shared" si="96"/>
        <x:v>6692.5500000000029</x:v>
      </x:c>
    </x:row>
    <x:row r="1972" spans="1:14" x14ac:dyDescent="0.25">
      <x:c r="A1972" t="s">
        <x:v>24</x:v>
      </x:c>
      <x:c r="B1972" s="3" t="s">
        <x:v>210</x:v>
      </x:c>
      <x:c r="C1972" s="3" t="s">
        <x:v>526</x:v>
      </x:c>
      <x:c r="D1972" t="s">
        <x:v>677</x:v>
      </x:c>
      <x:c r="E1972" s="6">
        <x:v>0</x:v>
      </x:c>
      <x:c r="F1972" s="6">
        <x:v>0</x:v>
      </x:c>
      <x:c r="G1972" s="6">
        <x:v>0</x:v>
      </x:c>
      <x:c r="H1972" s="6">
        <x:f t="shared" si="94"/>
        <x:v>0</x:v>
      </x:c>
      <x:c r="I1972" s="6">
        <x:v>492.11000000000007</x:v>
      </x:c>
      <x:c r="J1972" s="6">
        <x:v>0</x:v>
      </x:c>
      <x:c r="K1972" s="6">
        <x:f t="shared" si="95"/>
        <x:v>492.11000000000007</x:v>
      </x:c>
      <x:c r="L1972" s="6">
        <x:v>0</x:v>
      </x:c>
      <x:c r="M1972" s="6">
        <x:v>0</x:v>
      </x:c>
      <x:c r="N1972" s="6">
        <x:f t="shared" si="96"/>
        <x:v>492.11000000000007</x:v>
      </x:c>
    </x:row>
    <x:row r="1973" spans="1:14" x14ac:dyDescent="0.25">
      <x:c r="A1973" t="s">
        <x:v>24</x:v>
      </x:c>
      <x:c r="B1973" s="3" t="s">
        <x:v>211</x:v>
      </x:c>
      <x:c r="C1973" s="3" t="s">
        <x:v>527</x:v>
      </x:c>
      <x:c r="D1973" t="s">
        <x:v>677</x:v>
      </x:c>
      <x:c r="E1973" s="6">
        <x:v>0</x:v>
      </x:c>
      <x:c r="F1973" s="6">
        <x:v>0</x:v>
      </x:c>
      <x:c r="G1973" s="6">
        <x:v>0</x:v>
      </x:c>
      <x:c r="H1973" s="6">
        <x:f t="shared" si="94"/>
        <x:v>0</x:v>
      </x:c>
      <x:c r="I1973" s="6">
        <x:v>8285.880000000001</x:v>
      </x:c>
      <x:c r="J1973" s="6">
        <x:v>0</x:v>
      </x:c>
      <x:c r="K1973" s="6">
        <x:f t="shared" si="95"/>
        <x:v>8285.880000000001</x:v>
      </x:c>
      <x:c r="L1973" s="6">
        <x:v>0</x:v>
      </x:c>
      <x:c r="M1973" s="6">
        <x:v>0</x:v>
      </x:c>
      <x:c r="N1973" s="6">
        <x:f t="shared" si="96"/>
        <x:v>8285.880000000001</x:v>
      </x:c>
    </x:row>
    <x:row r="1974" spans="1:14" x14ac:dyDescent="0.25">
      <x:c r="A1974" t="s">
        <x:v>24</x:v>
      </x:c>
      <x:c r="B1974" s="3" t="s">
        <x:v>212</x:v>
      </x:c>
      <x:c r="C1974" s="3" t="s">
        <x:v>528</x:v>
      </x:c>
      <x:c r="D1974" t="s">
        <x:v>677</x:v>
      </x:c>
      <x:c r="E1974" s="6">
        <x:v>0</x:v>
      </x:c>
      <x:c r="F1974" s="6">
        <x:v>0</x:v>
      </x:c>
      <x:c r="G1974" s="6">
        <x:v>0</x:v>
      </x:c>
      <x:c r="H1974" s="6">
        <x:f t="shared" si="94"/>
        <x:v>0</x:v>
      </x:c>
      <x:c r="I1974" s="6">
        <x:v>6438.58</x:v>
      </x:c>
      <x:c r="J1974" s="6">
        <x:v>0</x:v>
      </x:c>
      <x:c r="K1974" s="6">
        <x:f t="shared" si="95"/>
        <x:v>6438.58</x:v>
      </x:c>
      <x:c r="L1974" s="6">
        <x:v>0</x:v>
      </x:c>
      <x:c r="M1974" s="6">
        <x:v>0</x:v>
      </x:c>
      <x:c r="N1974" s="6">
        <x:f t="shared" si="96"/>
        <x:v>6438.58</x:v>
      </x:c>
    </x:row>
    <x:row r="1975" spans="1:14" x14ac:dyDescent="0.25">
      <x:c r="A1975" t="s">
        <x:v>24</x:v>
      </x:c>
      <x:c r="B1975" s="3" t="s">
        <x:v>64</x:v>
      </x:c>
      <x:c r="C1975" s="3" t="s">
        <x:v>381</x:v>
      </x:c>
      <x:c r="D1975" t="s">
        <x:v>677</x:v>
      </x:c>
      <x:c r="E1975" s="6">
        <x:v>0</x:v>
      </x:c>
      <x:c r="F1975" s="6">
        <x:v>0</x:v>
      </x:c>
      <x:c r="G1975" s="6">
        <x:v>0</x:v>
      </x:c>
      <x:c r="H1975" s="6">
        <x:f t="shared" si="94"/>
        <x:v>0</x:v>
      </x:c>
      <x:c r="I1975" s="6">
        <x:v>8927.6500000000015</x:v>
      </x:c>
      <x:c r="J1975" s="6">
        <x:v>0</x:v>
      </x:c>
      <x:c r="K1975" s="6">
        <x:f t="shared" si="95"/>
        <x:v>8927.6500000000015</x:v>
      </x:c>
      <x:c r="L1975" s="6">
        <x:v>0</x:v>
      </x:c>
      <x:c r="M1975" s="6">
        <x:v>0</x:v>
      </x:c>
      <x:c r="N1975" s="6">
        <x:f t="shared" si="96"/>
        <x:v>8927.6500000000015</x:v>
      </x:c>
    </x:row>
    <x:row r="1976" spans="1:14" x14ac:dyDescent="0.25">
      <x:c r="A1976" t="s">
        <x:v>24</x:v>
      </x:c>
      <x:c r="B1976" s="3" t="s">
        <x:v>213</x:v>
      </x:c>
      <x:c r="C1976" s="3" t="s">
        <x:v>529</x:v>
      </x:c>
      <x:c r="D1976" t="s">
        <x:v>677</x:v>
      </x:c>
      <x:c r="E1976" s="6">
        <x:v>0</x:v>
      </x:c>
      <x:c r="F1976" s="6">
        <x:v>0</x:v>
      </x:c>
      <x:c r="G1976" s="6">
        <x:v>0</x:v>
      </x:c>
      <x:c r="H1976" s="6">
        <x:f t="shared" si="94"/>
        <x:v>0</x:v>
      </x:c>
      <x:c r="I1976" s="6">
        <x:v>5578.62</x:v>
      </x:c>
      <x:c r="J1976" s="6">
        <x:v>0</x:v>
      </x:c>
      <x:c r="K1976" s="6">
        <x:f t="shared" si="95"/>
        <x:v>5578.62</x:v>
      </x:c>
      <x:c r="L1976" s="6">
        <x:v>0</x:v>
      </x:c>
      <x:c r="M1976" s="6">
        <x:v>0</x:v>
      </x:c>
      <x:c r="N1976" s="6">
        <x:f t="shared" si="96"/>
        <x:v>5578.62</x:v>
      </x:c>
    </x:row>
    <x:row r="1977" spans="1:14" x14ac:dyDescent="0.25">
      <x:c r="A1977" t="s">
        <x:v>24</x:v>
      </x:c>
      <x:c r="B1977" s="3" t="s">
        <x:v>215</x:v>
      </x:c>
      <x:c r="C1977" s="3" t="s">
        <x:v>531</x:v>
      </x:c>
      <x:c r="D1977" t="s">
        <x:v>677</x:v>
      </x:c>
      <x:c r="E1977" s="6">
        <x:v>0</x:v>
      </x:c>
      <x:c r="F1977" s="6">
        <x:v>0</x:v>
      </x:c>
      <x:c r="G1977" s="6">
        <x:v>0</x:v>
      </x:c>
      <x:c r="H1977" s="6">
        <x:f t="shared" si="94"/>
        <x:v>0</x:v>
      </x:c>
      <x:c r="I1977" s="6">
        <x:v>17646.189999999999</x:v>
      </x:c>
      <x:c r="J1977" s="6">
        <x:v>0</x:v>
      </x:c>
      <x:c r="K1977" s="6">
        <x:f t="shared" si="95"/>
        <x:v>17646.189999999999</x:v>
      </x:c>
      <x:c r="L1977" s="6">
        <x:v>0</x:v>
      </x:c>
      <x:c r="M1977" s="6">
        <x:v>0</x:v>
      </x:c>
      <x:c r="N1977" s="6">
        <x:f t="shared" si="96"/>
        <x:v>17646.189999999999</x:v>
      </x:c>
    </x:row>
    <x:row r="1978" spans="1:14" x14ac:dyDescent="0.25">
      <x:c r="A1978" t="s">
        <x:v>24</x:v>
      </x:c>
      <x:c r="B1978" s="3" t="s">
        <x:v>216</x:v>
      </x:c>
      <x:c r="C1978" s="3" t="s">
        <x:v>532</x:v>
      </x:c>
      <x:c r="D1978" t="s">
        <x:v>677</x:v>
      </x:c>
      <x:c r="E1978" s="6">
        <x:v>0</x:v>
      </x:c>
      <x:c r="F1978" s="6">
        <x:v>0</x:v>
      </x:c>
      <x:c r="G1978" s="6">
        <x:v>0</x:v>
      </x:c>
      <x:c r="H1978" s="6">
        <x:f t="shared" si="94"/>
        <x:v>0</x:v>
      </x:c>
      <x:c r="I1978" s="6">
        <x:v>270.98999999999995</x:v>
      </x:c>
      <x:c r="J1978" s="6">
        <x:v>0</x:v>
      </x:c>
      <x:c r="K1978" s="6">
        <x:f t="shared" si="95"/>
        <x:v>270.98999999999995</x:v>
      </x:c>
      <x:c r="L1978" s="6">
        <x:v>0</x:v>
      </x:c>
      <x:c r="M1978" s="6">
        <x:v>0</x:v>
      </x:c>
      <x:c r="N1978" s="6">
        <x:f t="shared" si="96"/>
        <x:v>270.98999999999995</x:v>
      </x:c>
    </x:row>
    <x:row r="1979" spans="1:14" x14ac:dyDescent="0.25">
      <x:c r="A1979" t="s">
        <x:v>24</x:v>
      </x:c>
      <x:c r="B1979" s="3" t="s">
        <x:v>65</x:v>
      </x:c>
      <x:c r="C1979" s="3" t="s">
        <x:v>382</x:v>
      </x:c>
      <x:c r="D1979" t="s">
        <x:v>677</x:v>
      </x:c>
      <x:c r="E1979" s="6">
        <x:v>0</x:v>
      </x:c>
      <x:c r="F1979" s="6">
        <x:v>0</x:v>
      </x:c>
      <x:c r="G1979" s="6">
        <x:v>0</x:v>
      </x:c>
      <x:c r="H1979" s="6">
        <x:f t="shared" si="94"/>
        <x:v>0</x:v>
      </x:c>
      <x:c r="I1979" s="6">
        <x:v>14811.829999999998</x:v>
      </x:c>
      <x:c r="J1979" s="6">
        <x:v>0</x:v>
      </x:c>
      <x:c r="K1979" s="6">
        <x:f t="shared" si="95"/>
        <x:v>14811.829999999998</x:v>
      </x:c>
      <x:c r="L1979" s="6">
        <x:v>0</x:v>
      </x:c>
      <x:c r="M1979" s="6">
        <x:v>0</x:v>
      </x:c>
      <x:c r="N1979" s="6">
        <x:f t="shared" si="96"/>
        <x:v>14811.829999999998</x:v>
      </x:c>
    </x:row>
    <x:row r="1980" spans="1:14" x14ac:dyDescent="0.25">
      <x:c r="A1980" t="s">
        <x:v>24</x:v>
      </x:c>
      <x:c r="B1980" s="3" t="s">
        <x:v>217</x:v>
      </x:c>
      <x:c r="C1980" s="3" t="s">
        <x:v>533</x:v>
      </x:c>
      <x:c r="D1980" t="s">
        <x:v>677</x:v>
      </x:c>
      <x:c r="E1980" s="6">
        <x:v>0</x:v>
      </x:c>
      <x:c r="F1980" s="6">
        <x:v>0</x:v>
      </x:c>
      <x:c r="G1980" s="6">
        <x:v>0</x:v>
      </x:c>
      <x:c r="H1980" s="6">
        <x:f t="shared" si="94"/>
        <x:v>0</x:v>
      </x:c>
      <x:c r="I1980" s="6">
        <x:v>13286.369999999999</x:v>
      </x:c>
      <x:c r="J1980" s="6">
        <x:v>0</x:v>
      </x:c>
      <x:c r="K1980" s="6">
        <x:f t="shared" si="95"/>
        <x:v>13286.369999999999</x:v>
      </x:c>
      <x:c r="L1980" s="6">
        <x:v>0</x:v>
      </x:c>
      <x:c r="M1980" s="6">
        <x:v>0</x:v>
      </x:c>
      <x:c r="N1980" s="6">
        <x:f t="shared" si="96"/>
        <x:v>13286.369999999999</x:v>
      </x:c>
    </x:row>
    <x:row r="1981" spans="1:14" x14ac:dyDescent="0.25">
      <x:c r="A1981" t="s">
        <x:v>24</x:v>
      </x:c>
      <x:c r="B1981" s="3" t="s">
        <x:v>218</x:v>
      </x:c>
      <x:c r="C1981" s="3" t="s">
        <x:v>534</x:v>
      </x:c>
      <x:c r="D1981" t="s">
        <x:v>677</x:v>
      </x:c>
      <x:c r="E1981" s="6">
        <x:v>0</x:v>
      </x:c>
      <x:c r="F1981" s="6">
        <x:v>0</x:v>
      </x:c>
      <x:c r="G1981" s="6">
        <x:v>0</x:v>
      </x:c>
      <x:c r="H1981" s="6">
        <x:f t="shared" si="94"/>
        <x:v>0</x:v>
      </x:c>
      <x:c r="I1981" s="6">
        <x:v>62305.779999999992</x:v>
      </x:c>
      <x:c r="J1981" s="6">
        <x:v>0</x:v>
      </x:c>
      <x:c r="K1981" s="6">
        <x:f t="shared" si="95"/>
        <x:v>62305.779999999992</x:v>
      </x:c>
      <x:c r="L1981" s="6">
        <x:v>0</x:v>
      </x:c>
      <x:c r="M1981" s="6">
        <x:v>0</x:v>
      </x:c>
      <x:c r="N1981" s="6">
        <x:f t="shared" si="96"/>
        <x:v>62305.779999999992</x:v>
      </x:c>
    </x:row>
    <x:row r="1982" spans="1:14" x14ac:dyDescent="0.25">
      <x:c r="A1982" t="s">
        <x:v>24</x:v>
      </x:c>
      <x:c r="B1982" s="3" t="s">
        <x:v>219</x:v>
      </x:c>
      <x:c r="C1982" s="3" t="s">
        <x:v>535</x:v>
      </x:c>
      <x:c r="D1982" t="s">
        <x:v>677</x:v>
      </x:c>
      <x:c r="E1982" s="6">
        <x:v>0</x:v>
      </x:c>
      <x:c r="F1982" s="6">
        <x:v>0</x:v>
      </x:c>
      <x:c r="G1982" s="6">
        <x:v>0</x:v>
      </x:c>
      <x:c r="H1982" s="6">
        <x:f t="shared" si="94"/>
        <x:v>0</x:v>
      </x:c>
      <x:c r="I1982" s="6">
        <x:v>13.9</x:v>
      </x:c>
      <x:c r="J1982" s="6">
        <x:v>0</x:v>
      </x:c>
      <x:c r="K1982" s="6">
        <x:f t="shared" si="95"/>
        <x:v>13.9</x:v>
      </x:c>
      <x:c r="L1982" s="6">
        <x:v>0</x:v>
      </x:c>
      <x:c r="M1982" s="6">
        <x:v>0</x:v>
      </x:c>
      <x:c r="N1982" s="6">
        <x:f t="shared" si="96"/>
        <x:v>13.9</x:v>
      </x:c>
    </x:row>
    <x:row r="1983" spans="1:14" x14ac:dyDescent="0.25">
      <x:c r="A1983" t="s">
        <x:v>24</x:v>
      </x:c>
      <x:c r="B1983" s="3" t="s">
        <x:v>220</x:v>
      </x:c>
      <x:c r="C1983" s="3" t="s">
        <x:v>536</x:v>
      </x:c>
      <x:c r="D1983" t="s">
        <x:v>677</x:v>
      </x:c>
      <x:c r="E1983" s="6">
        <x:v>0</x:v>
      </x:c>
      <x:c r="F1983" s="6">
        <x:v>0</x:v>
      </x:c>
      <x:c r="G1983" s="6">
        <x:v>0</x:v>
      </x:c>
      <x:c r="H1983" s="6">
        <x:f t="shared" si="94"/>
        <x:v>0</x:v>
      </x:c>
      <x:c r="I1983" s="6">
        <x:v>10707.68</x:v>
      </x:c>
      <x:c r="J1983" s="6">
        <x:v>0</x:v>
      </x:c>
      <x:c r="K1983" s="6">
        <x:f t="shared" si="95"/>
        <x:v>10707.68</x:v>
      </x:c>
      <x:c r="L1983" s="6">
        <x:v>0</x:v>
      </x:c>
      <x:c r="M1983" s="6">
        <x:v>0</x:v>
      </x:c>
      <x:c r="N1983" s="6">
        <x:f t="shared" si="96"/>
        <x:v>10707.68</x:v>
      </x:c>
    </x:row>
    <x:row r="1984" spans="1:14" x14ac:dyDescent="0.25">
      <x:c r="A1984" t="s">
        <x:v>24</x:v>
      </x:c>
      <x:c r="B1984" s="3" t="s">
        <x:v>47</x:v>
      </x:c>
      <x:c r="C1984" s="3" t="s">
        <x:v>364</x:v>
      </x:c>
      <x:c r="D1984" t="s">
        <x:v>676</x:v>
      </x:c>
      <x:c r="E1984" s="6">
        <x:v>0</x:v>
      </x:c>
      <x:c r="F1984" s="6">
        <x:v>0</x:v>
      </x:c>
      <x:c r="G1984" s="6">
        <x:v>0</x:v>
      </x:c>
      <x:c r="H1984" s="6">
        <x:f t="shared" si="94"/>
        <x:v>0</x:v>
      </x:c>
      <x:c r="I1984" s="6">
        <x:v>-1028.53</x:v>
      </x:c>
      <x:c r="J1984" s="6">
        <x:v>0</x:v>
      </x:c>
      <x:c r="K1984" s="6">
        <x:f t="shared" si="95"/>
        <x:v>-1028.53</x:v>
      </x:c>
      <x:c r="L1984" s="6">
        <x:v>0</x:v>
      </x:c>
      <x:c r="M1984" s="6">
        <x:v>0</x:v>
      </x:c>
      <x:c r="N1984" s="6">
        <x:f t="shared" si="96"/>
        <x:v>-1028.53</x:v>
      </x:c>
    </x:row>
    <x:row r="1985" spans="1:14" x14ac:dyDescent="0.25">
      <x:c r="A1985" t="s">
        <x:v>24</x:v>
      </x:c>
      <x:c r="B1985" s="3" t="s">
        <x:v>226</x:v>
      </x:c>
      <x:c r="C1985" s="3" t="s">
        <x:v>542</x:v>
      </x:c>
      <x:c r="D1985" t="s">
        <x:v>677</x:v>
      </x:c>
      <x:c r="E1985" s="6">
        <x:v>0</x:v>
      </x:c>
      <x:c r="F1985" s="6">
        <x:v>0</x:v>
      </x:c>
      <x:c r="G1985" s="6">
        <x:v>0</x:v>
      </x:c>
      <x:c r="H1985" s="6">
        <x:f t="shared" si="94"/>
        <x:v>0</x:v>
      </x:c>
      <x:c r="I1985" s="6">
        <x:v>7.9399999999999995</x:v>
      </x:c>
      <x:c r="J1985" s="6">
        <x:v>0</x:v>
      </x:c>
      <x:c r="K1985" s="6">
        <x:f t="shared" si="95"/>
        <x:v>7.9399999999999995</x:v>
      </x:c>
      <x:c r="L1985" s="6">
        <x:v>0</x:v>
      </x:c>
      <x:c r="M1985" s="6">
        <x:v>0</x:v>
      </x:c>
      <x:c r="N1985" s="6">
        <x:f t="shared" si="96"/>
        <x:v>7.9399999999999995</x:v>
      </x:c>
    </x:row>
    <x:row r="1986" spans="1:14" x14ac:dyDescent="0.25">
      <x:c r="A1986" t="s">
        <x:v>25</x:v>
      </x:c>
      <x:c r="B1986" s="3" t="s">
        <x:v>94</x:v>
      </x:c>
      <x:c r="C1986" s="3" t="s">
        <x:v>411</x:v>
      </x:c>
      <x:c r="D1986" t="s">
        <x:v>677</x:v>
      </x:c>
      <x:c r="E1986" s="6">
        <x:v>0</x:v>
      </x:c>
      <x:c r="F1986" s="6">
        <x:v>0</x:v>
      </x:c>
      <x:c r="G1986" s="6">
        <x:v>0</x:v>
      </x:c>
      <x:c r="H1986" s="6">
        <x:f t="shared" si="94"/>
        <x:v>0</x:v>
      </x:c>
      <x:c r="I1986" s="6">
        <x:v>0</x:v>
      </x:c>
      <x:c r="J1986" s="6">
        <x:v>0</x:v>
      </x:c>
      <x:c r="K1986" s="6">
        <x:f t="shared" si="95"/>
        <x:v>0</x:v>
      </x:c>
      <x:c r="L1986" s="6">
        <x:v>900.02</x:v>
      </x:c>
      <x:c r="M1986" s="6">
        <x:v>0</x:v>
      </x:c>
      <x:c r="N1986" s="6">
        <x:f t="shared" si="96"/>
        <x:v>900.02</x:v>
      </x:c>
    </x:row>
    <x:row r="1987" spans="1:14" x14ac:dyDescent="0.25">
      <x:c r="A1987" t="s">
        <x:v>25</x:v>
      </x:c>
      <x:c r="B1987" s="3" t="s">
        <x:v>245</x:v>
      </x:c>
      <x:c r="C1987" s="3" t="s">
        <x:v>560</x:v>
      </x:c>
      <x:c r="D1987" t="s">
        <x:v>676</x:v>
      </x:c>
      <x:c r="E1987" s="6">
        <x:v>0</x:v>
      </x:c>
      <x:c r="F1987" s="6">
        <x:v>0</x:v>
      </x:c>
      <x:c r="G1987" s="6">
        <x:v>0</x:v>
      </x:c>
      <x:c r="H1987" s="6">
        <x:f t="shared" si="94"/>
        <x:v>0</x:v>
      </x:c>
      <x:c r="I1987" s="6">
        <x:v>0</x:v>
      </x:c>
      <x:c r="J1987" s="6">
        <x:v>0</x:v>
      </x:c>
      <x:c r="K1987" s="6">
        <x:f t="shared" si="95"/>
        <x:v>0</x:v>
      </x:c>
      <x:c r="L1987" s="6">
        <x:v>7213.66</x:v>
      </x:c>
      <x:c r="M1987" s="6">
        <x:v>0</x:v>
      </x:c>
      <x:c r="N1987" s="6">
        <x:f t="shared" si="96"/>
        <x:v>7213.66</x:v>
      </x:c>
    </x:row>
    <x:row r="1988" spans="1:14" x14ac:dyDescent="0.25">
      <x:c r="A1988" t="s">
        <x:v>25</x:v>
      </x:c>
      <x:c r="B1988" s="3" t="s">
        <x:v>247</x:v>
      </x:c>
      <x:c r="C1988" s="3" t="s">
        <x:v>562</x:v>
      </x:c>
      <x:c r="D1988" t="s">
        <x:v>676</x:v>
      </x:c>
      <x:c r="E1988" s="6">
        <x:v>0</x:v>
      </x:c>
      <x:c r="F1988" s="6">
        <x:v>0</x:v>
      </x:c>
      <x:c r="G1988" s="6">
        <x:v>0</x:v>
      </x:c>
      <x:c r="H1988" s="6">
        <x:f t="shared" si="94"/>
        <x:v>0</x:v>
      </x:c>
      <x:c r="I1988" s="6">
        <x:v>0</x:v>
      </x:c>
      <x:c r="J1988" s="6">
        <x:v>0</x:v>
      </x:c>
      <x:c r="K1988" s="6">
        <x:f t="shared" si="95"/>
        <x:v>0</x:v>
      </x:c>
      <x:c r="L1988" s="6">
        <x:v>1452.45</x:v>
      </x:c>
      <x:c r="M1988" s="6">
        <x:v>0</x:v>
      </x:c>
      <x:c r="N1988" s="6">
        <x:f t="shared" si="96"/>
        <x:v>1452.45</x:v>
      </x:c>
    </x:row>
    <x:row r="1989" spans="1:14" x14ac:dyDescent="0.25">
      <x:c r="A1989" t="s">
        <x:v>25</x:v>
      </x:c>
      <x:c r="B1989" s="3" t="s">
        <x:v>248</x:v>
      </x:c>
      <x:c r="C1989" s="3" t="s">
        <x:v>563</x:v>
      </x:c>
      <x:c r="D1989" t="s">
        <x:v>676</x:v>
      </x:c>
      <x:c r="E1989" s="6">
        <x:v>0</x:v>
      </x:c>
      <x:c r="F1989" s="6">
        <x:v>0</x:v>
      </x:c>
      <x:c r="G1989" s="6">
        <x:v>0</x:v>
      </x:c>
      <x:c r="H1989" s="6">
        <x:f t="shared" si="94"/>
        <x:v>0</x:v>
      </x:c>
      <x:c r="I1989" s="6">
        <x:v>0</x:v>
      </x:c>
      <x:c r="J1989" s="6">
        <x:v>0</x:v>
      </x:c>
      <x:c r="K1989" s="6">
        <x:f t="shared" si="95"/>
        <x:v>0</x:v>
      </x:c>
      <x:c r="L1989" s="6">
        <x:v>1801.48</x:v>
      </x:c>
      <x:c r="M1989" s="6">
        <x:v>0</x:v>
      </x:c>
      <x:c r="N1989" s="6">
        <x:f t="shared" si="96"/>
        <x:v>1801.48</x:v>
      </x:c>
    </x:row>
    <x:row r="1990" spans="1:14" x14ac:dyDescent="0.25">
      <x:c r="A1990" t="s">
        <x:v>25</x:v>
      </x:c>
      <x:c r="B1990" s="3" t="s">
        <x:v>112</x:v>
      </x:c>
      <x:c r="C1990" s="3" t="s">
        <x:v>429</x:v>
      </x:c>
      <x:c r="D1990" t="s">
        <x:v>676</x:v>
      </x:c>
      <x:c r="E1990" s="6">
        <x:v>0</x:v>
      </x:c>
      <x:c r="F1990" s="6">
        <x:v>0</x:v>
      </x:c>
      <x:c r="G1990" s="6">
        <x:v>0</x:v>
      </x:c>
      <x:c r="H1990" s="6">
        <x:f t="shared" si="94"/>
        <x:v>0</x:v>
      </x:c>
      <x:c r="I1990" s="6">
        <x:v>0</x:v>
      </x:c>
      <x:c r="J1990" s="6">
        <x:v>0</x:v>
      </x:c>
      <x:c r="K1990" s="6">
        <x:f t="shared" si="95"/>
        <x:v>0</x:v>
      </x:c>
      <x:c r="L1990" s="6">
        <x:v>2214636.73</x:v>
      </x:c>
      <x:c r="M1990" s="6">
        <x:v>0</x:v>
      </x:c>
      <x:c r="N1990" s="6">
        <x:f t="shared" si="96"/>
        <x:v>2214636.73</x:v>
      </x:c>
    </x:row>
    <x:row r="1991" spans="1:14" x14ac:dyDescent="0.25">
      <x:c r="A1991" t="s">
        <x:v>25</x:v>
      </x:c>
      <x:c r="B1991" s="3" t="s">
        <x:v>113</x:v>
      </x:c>
      <x:c r="C1991" s="3" t="s">
        <x:v>430</x:v>
      </x:c>
      <x:c r="D1991" t="s">
        <x:v>676</x:v>
      </x:c>
      <x:c r="E1991" s="6">
        <x:v>0</x:v>
      </x:c>
      <x:c r="F1991" s="6">
        <x:v>0</x:v>
      </x:c>
      <x:c r="G1991" s="6">
        <x:v>0</x:v>
      </x:c>
      <x:c r="H1991" s="6">
        <x:f t="shared" si="94"/>
        <x:v>0</x:v>
      </x:c>
      <x:c r="I1991" s="6">
        <x:v>0</x:v>
      </x:c>
      <x:c r="J1991" s="6">
        <x:v>0</x:v>
      </x:c>
      <x:c r="K1991" s="6">
        <x:f t="shared" si="95"/>
        <x:v>0</x:v>
      </x:c>
      <x:c r="L1991" s="6">
        <x:v>3796347.0399999996</x:v>
      </x:c>
      <x:c r="M1991" s="6">
        <x:v>0</x:v>
      </x:c>
      <x:c r="N1991" s="6">
        <x:f t="shared" si="96"/>
        <x:v>3796347.0399999996</x:v>
      </x:c>
    </x:row>
    <x:row r="1992" spans="1:14" x14ac:dyDescent="0.25">
      <x:c r="A1992" t="s">
        <x:v>25</x:v>
      </x:c>
      <x:c r="B1992" s="3" t="s">
        <x:v>44</x:v>
      </x:c>
      <x:c r="C1992" s="3" t="s">
        <x:v>361</x:v>
      </x:c>
      <x:c r="D1992" t="s">
        <x:v>676</x:v>
      </x:c>
      <x:c r="E1992" s="6">
        <x:v>0</x:v>
      </x:c>
      <x:c r="F1992" s="6">
        <x:v>0</x:v>
      </x:c>
      <x:c r="G1992" s="6">
        <x:v>0</x:v>
      </x:c>
      <x:c r="H1992" s="6">
        <x:f t="shared" si="94"/>
        <x:v>0</x:v>
      </x:c>
      <x:c r="I1992" s="6">
        <x:v>0</x:v>
      </x:c>
      <x:c r="J1992" s="6">
        <x:v>0</x:v>
      </x:c>
      <x:c r="K1992" s="6">
        <x:f t="shared" si="95"/>
        <x:v>0</x:v>
      </x:c>
      <x:c r="L1992" s="6">
        <x:v>328996.42</x:v>
      </x:c>
      <x:c r="M1992" s="6">
        <x:v>0</x:v>
      </x:c>
      <x:c r="N1992" s="6">
        <x:f t="shared" si="96"/>
        <x:v>328996.42</x:v>
      </x:c>
    </x:row>
    <x:row r="1993" spans="1:14" x14ac:dyDescent="0.25">
      <x:c r="A1993" t="s">
        <x:v>25</x:v>
      </x:c>
      <x:c r="B1993" s="3" t="s">
        <x:v>250</x:v>
      </x:c>
      <x:c r="C1993" s="3" t="s">
        <x:v>565</x:v>
      </x:c>
      <x:c r="D1993" t="s">
        <x:v>676</x:v>
      </x:c>
      <x:c r="E1993" s="6">
        <x:v>0</x:v>
      </x:c>
      <x:c r="F1993" s="6">
        <x:v>0</x:v>
      </x:c>
      <x:c r="G1993" s="6">
        <x:v>0</x:v>
      </x:c>
      <x:c r="H1993" s="6">
        <x:f t="shared" si="94"/>
        <x:v>0</x:v>
      </x:c>
      <x:c r="I1993" s="6">
        <x:v>0</x:v>
      </x:c>
      <x:c r="J1993" s="6">
        <x:v>0</x:v>
      </x:c>
      <x:c r="K1993" s="6">
        <x:f t="shared" si="95"/>
        <x:v>0</x:v>
      </x:c>
      <x:c r="L1993" s="6">
        <x:v>197483.97000000003</x:v>
      </x:c>
      <x:c r="M1993" s="6">
        <x:v>0</x:v>
      </x:c>
      <x:c r="N1993" s="6">
        <x:f t="shared" si="96"/>
        <x:v>197483.97000000003</x:v>
      </x:c>
    </x:row>
    <x:row r="1994" spans="1:14" x14ac:dyDescent="0.25">
      <x:c r="A1994" t="s">
        <x:v>25</x:v>
      </x:c>
      <x:c r="B1994" s="3" t="s">
        <x:v>251</x:v>
      </x:c>
      <x:c r="C1994" s="3" t="s">
        <x:v>566</x:v>
      </x:c>
      <x:c r="D1994" t="s">
        <x:v>676</x:v>
      </x:c>
      <x:c r="E1994" s="6">
        <x:v>0</x:v>
      </x:c>
      <x:c r="F1994" s="6">
        <x:v>0</x:v>
      </x:c>
      <x:c r="G1994" s="6">
        <x:v>0</x:v>
      </x:c>
      <x:c r="H1994" s="6">
        <x:f t="shared" si="94"/>
        <x:v>0</x:v>
      </x:c>
      <x:c r="I1994" s="6">
        <x:v>0</x:v>
      </x:c>
      <x:c r="J1994" s="6">
        <x:v>0</x:v>
      </x:c>
      <x:c r="K1994" s="6">
        <x:f t="shared" si="95"/>
        <x:v>0</x:v>
      </x:c>
      <x:c r="L1994" s="6">
        <x:v>1231305.7399999998</x:v>
      </x:c>
      <x:c r="M1994" s="6">
        <x:v>0</x:v>
      </x:c>
      <x:c r="N1994" s="6">
        <x:f t="shared" si="96"/>
        <x:v>1231305.7399999998</x:v>
      </x:c>
    </x:row>
    <x:row r="1995" spans="1:14" x14ac:dyDescent="0.25">
      <x:c r="A1995" t="s">
        <x:v>25</x:v>
      </x:c>
      <x:c r="B1995" s="3" t="s">
        <x:v>252</x:v>
      </x:c>
      <x:c r="C1995" s="3" t="s">
        <x:v>567</x:v>
      </x:c>
      <x:c r="D1995" t="s">
        <x:v>676</x:v>
      </x:c>
      <x:c r="E1995" s="6">
        <x:v>0</x:v>
      </x:c>
      <x:c r="F1995" s="6">
        <x:v>0</x:v>
      </x:c>
      <x:c r="G1995" s="6">
        <x:v>0</x:v>
      </x:c>
      <x:c r="H1995" s="6">
        <x:f t="shared" si="94"/>
        <x:v>0</x:v>
      </x:c>
      <x:c r="I1995" s="6">
        <x:v>0</x:v>
      </x:c>
      <x:c r="J1995" s="6">
        <x:v>0</x:v>
      </x:c>
      <x:c r="K1995" s="6">
        <x:f t="shared" si="95"/>
        <x:v>0</x:v>
      </x:c>
      <x:c r="L1995" s="6">
        <x:v>1096383.6399999997</x:v>
      </x:c>
      <x:c r="M1995" s="6">
        <x:v>0</x:v>
      </x:c>
      <x:c r="N1995" s="6">
        <x:f t="shared" si="96"/>
        <x:v>1096383.6399999997</x:v>
      </x:c>
    </x:row>
    <x:row r="1996" spans="1:14" x14ac:dyDescent="0.25">
      <x:c r="A1996" t="s">
        <x:v>25</x:v>
      </x:c>
      <x:c r="B1996" s="3" t="s">
        <x:v>114</x:v>
      </x:c>
      <x:c r="C1996" s="3" t="s">
        <x:v>431</x:v>
      </x:c>
      <x:c r="D1996" t="s">
        <x:v>676</x:v>
      </x:c>
      <x:c r="E1996" s="6">
        <x:v>0</x:v>
      </x:c>
      <x:c r="F1996" s="6">
        <x:v>0</x:v>
      </x:c>
      <x:c r="G1996" s="6">
        <x:v>0</x:v>
      </x:c>
      <x:c r="H1996" s="6">
        <x:f t="shared" si="94"/>
        <x:v>0</x:v>
      </x:c>
      <x:c r="I1996" s="6">
        <x:v>0</x:v>
      </x:c>
      <x:c r="J1996" s="6">
        <x:v>0</x:v>
      </x:c>
      <x:c r="K1996" s="6">
        <x:f t="shared" si="95"/>
        <x:v>0</x:v>
      </x:c>
      <x:c r="L1996" s="6">
        <x:v>1813045.2000000002</x:v>
      </x:c>
      <x:c r="M1996" s="6">
        <x:v>0</x:v>
      </x:c>
      <x:c r="N1996" s="6">
        <x:f t="shared" si="96"/>
        <x:v>1813045.2000000002</x:v>
      </x:c>
    </x:row>
    <x:row r="1997" spans="1:14" x14ac:dyDescent="0.25">
      <x:c r="A1997" t="s">
        <x:v>25</x:v>
      </x:c>
      <x:c r="B1997" s="3" t="s">
        <x:v>253</x:v>
      </x:c>
      <x:c r="C1997" s="3" t="s">
        <x:v>568</x:v>
      </x:c>
      <x:c r="D1997" t="s">
        <x:v>676</x:v>
      </x:c>
      <x:c r="E1997" s="6">
        <x:v>0</x:v>
      </x:c>
      <x:c r="F1997" s="6">
        <x:v>0</x:v>
      </x:c>
      <x:c r="G1997" s="6">
        <x:v>0</x:v>
      </x:c>
      <x:c r="H1997" s="6">
        <x:f t="shared" si="94"/>
        <x:v>0</x:v>
      </x:c>
      <x:c r="I1997" s="6">
        <x:v>0</x:v>
      </x:c>
      <x:c r="J1997" s="6">
        <x:v>0</x:v>
      </x:c>
      <x:c r="K1997" s="6">
        <x:f t="shared" si="95"/>
        <x:v>0</x:v>
      </x:c>
      <x:c r="L1997" s="6">
        <x:v>838515.76</x:v>
      </x:c>
      <x:c r="M1997" s="6">
        <x:v>0</x:v>
      </x:c>
      <x:c r="N1997" s="6">
        <x:f t="shared" si="96"/>
        <x:v>838515.76</x:v>
      </x:c>
    </x:row>
    <x:row r="1998" spans="1:14" x14ac:dyDescent="0.25">
      <x:c r="A1998" t="s">
        <x:v>25</x:v>
      </x:c>
      <x:c r="B1998" s="3" t="s">
        <x:v>254</x:v>
      </x:c>
      <x:c r="C1998" s="3" t="s">
        <x:v>569</x:v>
      </x:c>
      <x:c r="D1998" t="s">
        <x:v>676</x:v>
      </x:c>
      <x:c r="E1998" s="6">
        <x:v>0</x:v>
      </x:c>
      <x:c r="F1998" s="6">
        <x:v>0</x:v>
      </x:c>
      <x:c r="G1998" s="6">
        <x:v>0</x:v>
      </x:c>
      <x:c r="H1998" s="6">
        <x:f t="shared" si="94"/>
        <x:v>0</x:v>
      </x:c>
      <x:c r="I1998" s="6">
        <x:v>0</x:v>
      </x:c>
      <x:c r="J1998" s="6">
        <x:v>0</x:v>
      </x:c>
      <x:c r="K1998" s="6">
        <x:f t="shared" si="95"/>
        <x:v>0</x:v>
      </x:c>
      <x:c r="L1998" s="6">
        <x:v>793983.77000000014</x:v>
      </x:c>
      <x:c r="M1998" s="6">
        <x:v>0</x:v>
      </x:c>
      <x:c r="N1998" s="6">
        <x:f t="shared" si="96"/>
        <x:v>793983.77000000014</x:v>
      </x:c>
    </x:row>
    <x:row r="1999" spans="1:14" x14ac:dyDescent="0.25">
      <x:c r="A1999" t="s">
        <x:v>25</x:v>
      </x:c>
      <x:c r="B1999" s="3" t="s">
        <x:v>115</x:v>
      </x:c>
      <x:c r="C1999" s="3" t="s">
        <x:v>432</x:v>
      </x:c>
      <x:c r="D1999" t="s">
        <x:v>676</x:v>
      </x:c>
      <x:c r="E1999" s="6">
        <x:v>0</x:v>
      </x:c>
      <x:c r="F1999" s="6">
        <x:v>0</x:v>
      </x:c>
      <x:c r="G1999" s="6">
        <x:v>0</x:v>
      </x:c>
      <x:c r="H1999" s="6">
        <x:f t="shared" si="94"/>
        <x:v>0</x:v>
      </x:c>
      <x:c r="I1999" s="6">
        <x:v>0</x:v>
      </x:c>
      <x:c r="J1999" s="6">
        <x:v>0</x:v>
      </x:c>
      <x:c r="K1999" s="6">
        <x:f t="shared" si="95"/>
        <x:v>0</x:v>
      </x:c>
      <x:c r="L1999" s="6">
        <x:v>2598172.1199999996</x:v>
      </x:c>
      <x:c r="M1999" s="6">
        <x:v>0</x:v>
      </x:c>
      <x:c r="N1999" s="6">
        <x:f t="shared" si="96"/>
        <x:v>2598172.1199999996</x:v>
      </x:c>
    </x:row>
    <x:row r="2000" spans="1:14" x14ac:dyDescent="0.25">
      <x:c r="A2000" t="s">
        <x:v>25</x:v>
      </x:c>
      <x:c r="B2000" s="3" t="s">
        <x:v>116</x:v>
      </x:c>
      <x:c r="C2000" s="3" t="s">
        <x:v>433</x:v>
      </x:c>
      <x:c r="D2000" t="s">
        <x:v>676</x:v>
      </x:c>
      <x:c r="E2000" s="6">
        <x:v>0</x:v>
      </x:c>
      <x:c r="F2000" s="6">
        <x:v>0</x:v>
      </x:c>
      <x:c r="G2000" s="6">
        <x:v>0</x:v>
      </x:c>
      <x:c r="H2000" s="6">
        <x:f t="shared" si="94"/>
        <x:v>0</x:v>
      </x:c>
      <x:c r="I2000" s="6">
        <x:v>0</x:v>
      </x:c>
      <x:c r="J2000" s="6">
        <x:v>0</x:v>
      </x:c>
      <x:c r="K2000" s="6">
        <x:f t="shared" si="95"/>
        <x:v>0</x:v>
      </x:c>
      <x:c r="L2000" s="6">
        <x:v>1998229.6300000004</x:v>
      </x:c>
      <x:c r="M2000" s="6">
        <x:v>0</x:v>
      </x:c>
      <x:c r="N2000" s="6">
        <x:f t="shared" si="96"/>
        <x:v>1998229.6300000004</x:v>
      </x:c>
    </x:row>
    <x:row r="2001" spans="1:14" x14ac:dyDescent="0.25">
      <x:c r="A2001" t="s">
        <x:v>25</x:v>
      </x:c>
      <x:c r="B2001" s="3" t="s">
        <x:v>256</x:v>
      </x:c>
      <x:c r="C2001" s="3" t="s">
        <x:v>571</x:v>
      </x:c>
      <x:c r="D2001" t="s">
        <x:v>676</x:v>
      </x:c>
      <x:c r="E2001" s="6">
        <x:v>0</x:v>
      </x:c>
      <x:c r="F2001" s="6">
        <x:v>0</x:v>
      </x:c>
      <x:c r="G2001" s="6">
        <x:v>0</x:v>
      </x:c>
      <x:c r="H2001" s="6">
        <x:f t="shared" si="94"/>
        <x:v>0</x:v>
      </x:c>
      <x:c r="I2001" s="6">
        <x:v>0</x:v>
      </x:c>
      <x:c r="J2001" s="6">
        <x:v>0</x:v>
      </x:c>
      <x:c r="K2001" s="6">
        <x:f t="shared" si="95"/>
        <x:v>0</x:v>
      </x:c>
      <x:c r="L2001" s="6">
        <x:v>2768798.7</x:v>
      </x:c>
      <x:c r="M2001" s="6">
        <x:v>0</x:v>
      </x:c>
      <x:c r="N2001" s="6">
        <x:f t="shared" si="96"/>
        <x:v>2768798.7</x:v>
      </x:c>
    </x:row>
    <x:row r="2002" spans="1:14" x14ac:dyDescent="0.25">
      <x:c r="A2002" t="s">
        <x:v>25</x:v>
      </x:c>
      <x:c r="B2002" s="3" t="s">
        <x:v>258</x:v>
      </x:c>
      <x:c r="C2002" s="3" t="s">
        <x:v>573</x:v>
      </x:c>
      <x:c r="D2002" t="s">
        <x:v>676</x:v>
      </x:c>
      <x:c r="E2002" s="6">
        <x:v>0</x:v>
      </x:c>
      <x:c r="F2002" s="6">
        <x:v>0</x:v>
      </x:c>
      <x:c r="G2002" s="6">
        <x:v>0</x:v>
      </x:c>
      <x:c r="H2002" s="6">
        <x:f t="shared" ref="H2002:H2065" si="97">SUM(E2002:G2002)</x:f>
        <x:v>0</x:v>
      </x:c>
      <x:c r="I2002" s="6">
        <x:v>0</x:v>
      </x:c>
      <x:c r="J2002" s="6">
        <x:v>0</x:v>
      </x:c>
      <x:c r="K2002" s="6">
        <x:f t="shared" ref="K2002:K2065" si="98">SUM(I2002:J2002)</x:f>
        <x:v>0</x:v>
      </x:c>
      <x:c r="L2002" s="6">
        <x:v>238.14</x:v>
      </x:c>
      <x:c r="M2002" s="6">
        <x:v>0</x:v>
      </x:c>
      <x:c r="N2002" s="6">
        <x:f t="shared" ref="N2002:N2065" si="99">+E2002+F2002+G2002+I2002+J2002+L2002+M2002</x:f>
        <x:v>238.14</x:v>
      </x:c>
    </x:row>
    <x:row r="2003" spans="1:14" x14ac:dyDescent="0.25">
      <x:c r="A2003" t="s">
        <x:v>25</x:v>
      </x:c>
      <x:c r="B2003" s="3" t="s">
        <x:v>228</x:v>
      </x:c>
      <x:c r="C2003" s="3" t="s">
        <x:v>543</x:v>
      </x:c>
      <x:c r="D2003" t="s">
        <x:v>676</x:v>
      </x:c>
      <x:c r="E2003" s="6">
        <x:v>0</x:v>
      </x:c>
      <x:c r="F2003" s="6">
        <x:v>0</x:v>
      </x:c>
      <x:c r="G2003" s="6">
        <x:v>0</x:v>
      </x:c>
      <x:c r="H2003" s="6">
        <x:f t="shared" si="97"/>
        <x:v>0</x:v>
      </x:c>
      <x:c r="I2003" s="6">
        <x:v>0</x:v>
      </x:c>
      <x:c r="J2003" s="6">
        <x:v>0</x:v>
      </x:c>
      <x:c r="K2003" s="6">
        <x:f t="shared" si="98"/>
        <x:v>0</x:v>
      </x:c>
      <x:c r="L2003" s="6">
        <x:v>5729.35</x:v>
      </x:c>
      <x:c r="M2003" s="6">
        <x:v>0</x:v>
      </x:c>
      <x:c r="N2003" s="6">
        <x:f t="shared" si="99"/>
        <x:v>5729.35</x:v>
      </x:c>
    </x:row>
    <x:row r="2004" spans="1:14" x14ac:dyDescent="0.25">
      <x:c r="A2004" t="s">
        <x:v>25</x:v>
      </x:c>
      <x:c r="B2004" s="3" t="s">
        <x:v>260</x:v>
      </x:c>
      <x:c r="C2004" s="3" t="s">
        <x:v>575</x:v>
      </x:c>
      <x:c r="D2004" t="s">
        <x:v>676</x:v>
      </x:c>
      <x:c r="E2004" s="6">
        <x:v>0</x:v>
      </x:c>
      <x:c r="F2004" s="6">
        <x:v>0</x:v>
      </x:c>
      <x:c r="G2004" s="6">
        <x:v>0</x:v>
      </x:c>
      <x:c r="H2004" s="6">
        <x:f t="shared" si="97"/>
        <x:v>0</x:v>
      </x:c>
      <x:c r="I2004" s="6">
        <x:v>0</x:v>
      </x:c>
      <x:c r="J2004" s="6">
        <x:v>0</x:v>
      </x:c>
      <x:c r="K2004" s="6">
        <x:f t="shared" si="98"/>
        <x:v>0</x:v>
      </x:c>
      <x:c r="L2004" s="6">
        <x:v>3189.36</x:v>
      </x:c>
      <x:c r="M2004" s="6">
        <x:v>0</x:v>
      </x:c>
      <x:c r="N2004" s="6">
        <x:f t="shared" si="99"/>
        <x:v>3189.36</x:v>
      </x:c>
    </x:row>
    <x:row r="2005" spans="1:14" x14ac:dyDescent="0.25">
      <x:c r="A2005" t="s">
        <x:v>25</x:v>
      </x:c>
      <x:c r="B2005" s="3" t="s">
        <x:v>117</x:v>
      </x:c>
      <x:c r="C2005" s="3" t="s">
        <x:v>434</x:v>
      </x:c>
      <x:c r="D2005" t="s">
        <x:v>676</x:v>
      </x:c>
      <x:c r="E2005" s="6">
        <x:v>0</x:v>
      </x:c>
      <x:c r="F2005" s="6">
        <x:v>0</x:v>
      </x:c>
      <x:c r="G2005" s="6">
        <x:v>0</x:v>
      </x:c>
      <x:c r="H2005" s="6">
        <x:f t="shared" si="97"/>
        <x:v>0</x:v>
      </x:c>
      <x:c r="I2005" s="6">
        <x:v>0</x:v>
      </x:c>
      <x:c r="J2005" s="6">
        <x:v>0</x:v>
      </x:c>
      <x:c r="K2005" s="6">
        <x:f t="shared" si="98"/>
        <x:v>0</x:v>
      </x:c>
      <x:c r="L2005" s="6">
        <x:v>2672273.3799999994</x:v>
      </x:c>
      <x:c r="M2005" s="6">
        <x:v>0</x:v>
      </x:c>
      <x:c r="N2005" s="6">
        <x:f t="shared" si="99"/>
        <x:v>2672273.3799999994</x:v>
      </x:c>
    </x:row>
    <x:row r="2006" spans="1:14" x14ac:dyDescent="0.25">
      <x:c r="A2006" t="s">
        <x:v>25</x:v>
      </x:c>
      <x:c r="B2006" s="3" t="s">
        <x:v>261</x:v>
      </x:c>
      <x:c r="C2006" s="3" t="s">
        <x:v>576</x:v>
      </x:c>
      <x:c r="D2006" t="s">
        <x:v>676</x:v>
      </x:c>
      <x:c r="E2006" s="6">
        <x:v>0</x:v>
      </x:c>
      <x:c r="F2006" s="6">
        <x:v>0</x:v>
      </x:c>
      <x:c r="G2006" s="6">
        <x:v>0</x:v>
      </x:c>
      <x:c r="H2006" s="6">
        <x:f t="shared" si="97"/>
        <x:v>0</x:v>
      </x:c>
      <x:c r="I2006" s="6">
        <x:v>0</x:v>
      </x:c>
      <x:c r="J2006" s="6">
        <x:v>0</x:v>
      </x:c>
      <x:c r="K2006" s="6">
        <x:f t="shared" si="98"/>
        <x:v>0</x:v>
      </x:c>
      <x:c r="L2006" s="6">
        <x:v>1930.95</x:v>
      </x:c>
      <x:c r="M2006" s="6">
        <x:v>0</x:v>
      </x:c>
      <x:c r="N2006" s="6">
        <x:f t="shared" si="99"/>
        <x:v>1930.95</x:v>
      </x:c>
    </x:row>
    <x:row r="2007" spans="1:14" x14ac:dyDescent="0.25">
      <x:c r="A2007" t="s">
        <x:v>25</x:v>
      </x:c>
      <x:c r="B2007" s="3" t="s">
        <x:v>131</x:v>
      </x:c>
      <x:c r="C2007" s="3" t="s">
        <x:v>448</x:v>
      </x:c>
      <x:c r="D2007" t="s">
        <x:v>677</x:v>
      </x:c>
      <x:c r="E2007" s="6">
        <x:v>0</x:v>
      </x:c>
      <x:c r="F2007" s="6">
        <x:v>0</x:v>
      </x:c>
      <x:c r="G2007" s="6">
        <x:v>0</x:v>
      </x:c>
      <x:c r="H2007" s="6">
        <x:f t="shared" si="97"/>
        <x:v>0</x:v>
      </x:c>
      <x:c r="I2007" s="6">
        <x:v>0</x:v>
      </x:c>
      <x:c r="J2007" s="6">
        <x:v>0</x:v>
      </x:c>
      <x:c r="K2007" s="6">
        <x:f t="shared" si="98"/>
        <x:v>0</x:v>
      </x:c>
      <x:c r="L2007" s="6">
        <x:v>19454.589999999997</x:v>
      </x:c>
      <x:c r="M2007" s="6">
        <x:v>0</x:v>
      </x:c>
      <x:c r="N2007" s="6">
        <x:f t="shared" si="99"/>
        <x:v>19454.589999999997</x:v>
      </x:c>
    </x:row>
    <x:row r="2008" spans="1:14" x14ac:dyDescent="0.25">
      <x:c r="A2008" t="s">
        <x:v>25</x:v>
      </x:c>
      <x:c r="B2008" s="3" t="s">
        <x:v>133</x:v>
      </x:c>
      <x:c r="C2008" s="3" t="s">
        <x:v>450</x:v>
      </x:c>
      <x:c r="D2008" t="s">
        <x:v>677</x:v>
      </x:c>
      <x:c r="E2008" s="6">
        <x:v>0</x:v>
      </x:c>
      <x:c r="F2008" s="6">
        <x:v>0</x:v>
      </x:c>
      <x:c r="G2008" s="6">
        <x:v>0</x:v>
      </x:c>
      <x:c r="H2008" s="6">
        <x:f t="shared" si="97"/>
        <x:v>0</x:v>
      </x:c>
      <x:c r="I2008" s="6">
        <x:v>0</x:v>
      </x:c>
      <x:c r="J2008" s="6">
        <x:v>0</x:v>
      </x:c>
      <x:c r="K2008" s="6">
        <x:f t="shared" si="98"/>
        <x:v>0</x:v>
      </x:c>
      <x:c r="L2008" s="6">
        <x:v>29837.459999999995</x:v>
      </x:c>
      <x:c r="M2008" s="6">
        <x:v>0</x:v>
      </x:c>
      <x:c r="N2008" s="6">
        <x:f t="shared" si="99"/>
        <x:v>29837.459999999995</x:v>
      </x:c>
    </x:row>
    <x:row r="2009" spans="1:14" x14ac:dyDescent="0.25">
      <x:c r="A2009" t="s">
        <x:v>25</x:v>
      </x:c>
      <x:c r="B2009" s="3" t="s">
        <x:v>138</x:v>
      </x:c>
      <x:c r="C2009" s="3" t="s">
        <x:v>455</x:v>
      </x:c>
      <x:c r="D2009" t="s">
        <x:v>677</x:v>
      </x:c>
      <x:c r="E2009" s="6">
        <x:v>0</x:v>
      </x:c>
      <x:c r="F2009" s="6">
        <x:v>0</x:v>
      </x:c>
      <x:c r="G2009" s="6">
        <x:v>0</x:v>
      </x:c>
      <x:c r="H2009" s="6">
        <x:f t="shared" si="97"/>
        <x:v>0</x:v>
      </x:c>
      <x:c r="I2009" s="6">
        <x:v>0</x:v>
      </x:c>
      <x:c r="J2009" s="6">
        <x:v>0</x:v>
      </x:c>
      <x:c r="K2009" s="6">
        <x:f t="shared" si="98"/>
        <x:v>0</x:v>
      </x:c>
      <x:c r="L2009" s="6">
        <x:v>49164.009999999987</x:v>
      </x:c>
      <x:c r="M2009" s="6">
        <x:v>0</x:v>
      </x:c>
      <x:c r="N2009" s="6">
        <x:f t="shared" si="99"/>
        <x:v>49164.009999999987</x:v>
      </x:c>
    </x:row>
    <x:row r="2010" spans="1:14" x14ac:dyDescent="0.25">
      <x:c r="A2010" t="s">
        <x:v>25</x:v>
      </x:c>
      <x:c r="B2010" s="3" t="s">
        <x:v>278</x:v>
      </x:c>
      <x:c r="C2010" s="3" t="s">
        <x:v>593</x:v>
      </x:c>
      <x:c r="D2010" t="s">
        <x:v>677</x:v>
      </x:c>
      <x:c r="E2010" s="6">
        <x:v>0</x:v>
      </x:c>
      <x:c r="F2010" s="6">
        <x:v>0</x:v>
      </x:c>
      <x:c r="G2010" s="6">
        <x:v>0</x:v>
      </x:c>
      <x:c r="H2010" s="6">
        <x:f t="shared" si="97"/>
        <x:v>0</x:v>
      </x:c>
      <x:c r="I2010" s="6">
        <x:v>0</x:v>
      </x:c>
      <x:c r="J2010" s="6">
        <x:v>0</x:v>
      </x:c>
      <x:c r="K2010" s="6">
        <x:f t="shared" si="98"/>
        <x:v>0</x:v>
      </x:c>
      <x:c r="L2010" s="6">
        <x:v>5373.7400000000016</x:v>
      </x:c>
      <x:c r="M2010" s="6">
        <x:v>0</x:v>
      </x:c>
      <x:c r="N2010" s="6">
        <x:f t="shared" si="99"/>
        <x:v>5373.7400000000016</x:v>
      </x:c>
    </x:row>
    <x:row r="2011" spans="1:14" x14ac:dyDescent="0.25">
      <x:c r="A2011" t="s">
        <x:v>25</x:v>
      </x:c>
      <x:c r="B2011" s="3" t="s">
        <x:v>61</x:v>
      </x:c>
      <x:c r="C2011" s="3" t="s">
        <x:v>378</x:v>
      </x:c>
      <x:c r="D2011" t="s">
        <x:v>676</x:v>
      </x:c>
      <x:c r="E2011" s="6">
        <x:v>0</x:v>
      </x:c>
      <x:c r="F2011" s="6">
        <x:v>0</x:v>
      </x:c>
      <x:c r="G2011" s="6">
        <x:v>0</x:v>
      </x:c>
      <x:c r="H2011" s="6">
        <x:f t="shared" si="97"/>
        <x:v>0</x:v>
      </x:c>
      <x:c r="I2011" s="6">
        <x:v>0</x:v>
      </x:c>
      <x:c r="J2011" s="6">
        <x:v>0</x:v>
      </x:c>
      <x:c r="K2011" s="6">
        <x:f t="shared" si="98"/>
        <x:v>0</x:v>
      </x:c>
      <x:c r="L2011" s="6">
        <x:v>36528.749999999993</x:v>
      </x:c>
      <x:c r="M2011" s="6">
        <x:v>0</x:v>
      </x:c>
      <x:c r="N2011" s="6">
        <x:f t="shared" si="99"/>
        <x:v>36528.749999999993</x:v>
      </x:c>
    </x:row>
    <x:row r="2012" spans="1:14" x14ac:dyDescent="0.25">
      <x:c r="A2012" t="s">
        <x:v>25</x:v>
      </x:c>
      <x:c r="B2012" s="3" t="s">
        <x:v>175</x:v>
      </x:c>
      <x:c r="C2012" s="3" t="s">
        <x:v>491</x:v>
      </x:c>
      <x:c r="D2012" t="s">
        <x:v>677</x:v>
      </x:c>
      <x:c r="E2012" s="6">
        <x:v>0</x:v>
      </x:c>
      <x:c r="F2012" s="6">
        <x:v>0</x:v>
      </x:c>
      <x:c r="G2012" s="6">
        <x:v>0</x:v>
      </x:c>
      <x:c r="H2012" s="6">
        <x:f t="shared" si="97"/>
        <x:v>0</x:v>
      </x:c>
      <x:c r="I2012" s="6">
        <x:v>0</x:v>
      </x:c>
      <x:c r="J2012" s="6">
        <x:v>0</x:v>
      </x:c>
      <x:c r="K2012" s="6">
        <x:f t="shared" si="98"/>
        <x:v>0</x:v>
      </x:c>
      <x:c r="L2012" s="6">
        <x:v>34077.74</x:v>
      </x:c>
      <x:c r="M2012" s="6">
        <x:v>0</x:v>
      </x:c>
      <x:c r="N2012" s="6">
        <x:f t="shared" si="99"/>
        <x:v>34077.74</x:v>
      </x:c>
    </x:row>
    <x:row r="2013" spans="1:14" x14ac:dyDescent="0.25">
      <x:c r="A2013" t="s">
        <x:v>25</x:v>
      </x:c>
      <x:c r="B2013" s="3" t="s">
        <x:v>263</x:v>
      </x:c>
      <x:c r="C2013" s="3" t="s">
        <x:v>578</x:v>
      </x:c>
      <x:c r="D2013" t="s">
        <x:v>676</x:v>
      </x:c>
      <x:c r="E2013" s="6">
        <x:v>0</x:v>
      </x:c>
      <x:c r="F2013" s="6">
        <x:v>0</x:v>
      </x:c>
      <x:c r="G2013" s="6">
        <x:v>0</x:v>
      </x:c>
      <x:c r="H2013" s="6">
        <x:f t="shared" si="97"/>
        <x:v>0</x:v>
      </x:c>
      <x:c r="I2013" s="6">
        <x:v>0</x:v>
      </x:c>
      <x:c r="J2013" s="6">
        <x:v>0</x:v>
      </x:c>
      <x:c r="K2013" s="6">
        <x:f t="shared" si="98"/>
        <x:v>0</x:v>
      </x:c>
      <x:c r="L2013" s="6">
        <x:v>10549.77</x:v>
      </x:c>
      <x:c r="M2013" s="6">
        <x:v>0</x:v>
      </x:c>
      <x:c r="N2013" s="6">
        <x:f t="shared" si="99"/>
        <x:v>10549.77</x:v>
      </x:c>
    </x:row>
    <x:row r="2014" spans="1:14" x14ac:dyDescent="0.25">
      <x:c r="A2014" t="s">
        <x:v>25</x:v>
      </x:c>
      <x:c r="B2014" s="3" t="s">
        <x:v>62</x:v>
      </x:c>
      <x:c r="C2014" s="3" t="s">
        <x:v>379</x:v>
      </x:c>
      <x:c r="D2014" t="s">
        <x:v>676</x:v>
      </x:c>
      <x:c r="E2014" s="6">
        <x:v>0</x:v>
      </x:c>
      <x:c r="F2014" s="6">
        <x:v>0</x:v>
      </x:c>
      <x:c r="G2014" s="6">
        <x:v>0</x:v>
      </x:c>
      <x:c r="H2014" s="6">
        <x:f t="shared" si="97"/>
        <x:v>0</x:v>
      </x:c>
      <x:c r="I2014" s="6">
        <x:v>0</x:v>
      </x:c>
      <x:c r="J2014" s="6">
        <x:v>0</x:v>
      </x:c>
      <x:c r="K2014" s="6">
        <x:f t="shared" si="98"/>
        <x:v>0</x:v>
      </x:c>
      <x:c r="L2014" s="6">
        <x:v>11647.130000000001</x:v>
      </x:c>
      <x:c r="M2014" s="6">
        <x:v>0</x:v>
      </x:c>
      <x:c r="N2014" s="6">
        <x:f t="shared" si="99"/>
        <x:v>11647.130000000001</x:v>
      </x:c>
    </x:row>
    <x:row r="2015" spans="1:14" x14ac:dyDescent="0.25">
      <x:c r="A2015" t="s">
        <x:v>25</x:v>
      </x:c>
      <x:c r="B2015" s="3" t="s">
        <x:v>264</x:v>
      </x:c>
      <x:c r="C2015" s="3" t="s">
        <x:v>579</x:v>
      </x:c>
      <x:c r="D2015" t="s">
        <x:v>676</x:v>
      </x:c>
      <x:c r="E2015" s="6">
        <x:v>0</x:v>
      </x:c>
      <x:c r="F2015" s="6">
        <x:v>0</x:v>
      </x:c>
      <x:c r="G2015" s="6">
        <x:v>0</x:v>
      </x:c>
      <x:c r="H2015" s="6">
        <x:f t="shared" si="97"/>
        <x:v>0</x:v>
      </x:c>
      <x:c r="I2015" s="6">
        <x:v>0</x:v>
      </x:c>
      <x:c r="J2015" s="6">
        <x:v>0</x:v>
      </x:c>
      <x:c r="K2015" s="6">
        <x:f t="shared" si="98"/>
        <x:v>0</x:v>
      </x:c>
      <x:c r="L2015" s="6">
        <x:v>14313.92</x:v>
      </x:c>
      <x:c r="M2015" s="6">
        <x:v>0</x:v>
      </x:c>
      <x:c r="N2015" s="6">
        <x:f t="shared" si="99"/>
        <x:v>14313.92</x:v>
      </x:c>
    </x:row>
    <x:row r="2016" spans="1:14" x14ac:dyDescent="0.25">
      <x:c r="A2016" t="s">
        <x:v>25</x:v>
      </x:c>
      <x:c r="B2016" s="3" t="s">
        <x:v>46</x:v>
      </x:c>
      <x:c r="C2016" s="3" t="s">
        <x:v>363</x:v>
      </x:c>
      <x:c r="D2016" t="s">
        <x:v>676</x:v>
      </x:c>
      <x:c r="E2016" s="6">
        <x:v>0</x:v>
      </x:c>
      <x:c r="F2016" s="6">
        <x:v>0</x:v>
      </x:c>
      <x:c r="G2016" s="6">
        <x:v>0</x:v>
      </x:c>
      <x:c r="H2016" s="6">
        <x:f t="shared" si="97"/>
        <x:v>0</x:v>
      </x:c>
      <x:c r="I2016" s="6">
        <x:v>0</x:v>
      </x:c>
      <x:c r="J2016" s="6">
        <x:v>0</x:v>
      </x:c>
      <x:c r="K2016" s="6">
        <x:f t="shared" si="98"/>
        <x:v>0</x:v>
      </x:c>
      <x:c r="L2016" s="6">
        <x:v>8210.119999999999</x:v>
      </x:c>
      <x:c r="M2016" s="6">
        <x:v>0</x:v>
      </x:c>
      <x:c r="N2016" s="6">
        <x:f t="shared" si="99"/>
        <x:v>8210.119999999999</x:v>
      </x:c>
    </x:row>
    <x:row r="2017" spans="1:14" x14ac:dyDescent="0.25">
      <x:c r="A2017" t="s">
        <x:v>25</x:v>
      </x:c>
      <x:c r="B2017" s="3" t="s">
        <x:v>197</x:v>
      </x:c>
      <x:c r="C2017" s="3" t="s">
        <x:v>513</x:v>
      </x:c>
      <x:c r="D2017" t="s">
        <x:v>676</x:v>
      </x:c>
      <x:c r="E2017" s="6">
        <x:v>0</x:v>
      </x:c>
      <x:c r="F2017" s="6">
        <x:v>0</x:v>
      </x:c>
      <x:c r="G2017" s="6">
        <x:v>0</x:v>
      </x:c>
      <x:c r="H2017" s="6">
        <x:f t="shared" si="97"/>
        <x:v>0</x:v>
      </x:c>
      <x:c r="I2017" s="6">
        <x:v>0</x:v>
      </x:c>
      <x:c r="J2017" s="6">
        <x:v>0</x:v>
      </x:c>
      <x:c r="K2017" s="6">
        <x:f t="shared" si="98"/>
        <x:v>0</x:v>
      </x:c>
      <x:c r="L2017" s="6">
        <x:v>11164.51</x:v>
      </x:c>
      <x:c r="M2017" s="6">
        <x:v>0</x:v>
      </x:c>
      <x:c r="N2017" s="6">
        <x:f t="shared" si="99"/>
        <x:v>11164.51</x:v>
      </x:c>
    </x:row>
    <x:row r="2018" spans="1:14" x14ac:dyDescent="0.25">
      <x:c r="A2018" t="s">
        <x:v>25</x:v>
      </x:c>
      <x:c r="B2018" s="3" t="s">
        <x:v>201</x:v>
      </x:c>
      <x:c r="C2018" s="3" t="s">
        <x:v>517</x:v>
      </x:c>
      <x:c r="D2018" t="s">
        <x:v>676</x:v>
      </x:c>
      <x:c r="E2018" s="6">
        <x:v>0</x:v>
      </x:c>
      <x:c r="F2018" s="6">
        <x:v>0</x:v>
      </x:c>
      <x:c r="G2018" s="6">
        <x:v>0</x:v>
      </x:c>
      <x:c r="H2018" s="6">
        <x:f t="shared" si="97"/>
        <x:v>0</x:v>
      </x:c>
      <x:c r="I2018" s="6">
        <x:v>0</x:v>
      </x:c>
      <x:c r="J2018" s="6">
        <x:v>0</x:v>
      </x:c>
      <x:c r="K2018" s="6">
        <x:f t="shared" si="98"/>
        <x:v>0</x:v>
      </x:c>
      <x:c r="L2018" s="6">
        <x:v>4121.32</x:v>
      </x:c>
      <x:c r="M2018" s="6">
        <x:v>0</x:v>
      </x:c>
      <x:c r="N2018" s="6">
        <x:f t="shared" si="99"/>
        <x:v>4121.32</x:v>
      </x:c>
    </x:row>
    <x:row r="2019" spans="1:14" x14ac:dyDescent="0.25">
      <x:c r="A2019" t="s">
        <x:v>25</x:v>
      </x:c>
      <x:c r="B2019" s="3" t="s">
        <x:v>202</x:v>
      </x:c>
      <x:c r="C2019" s="3" t="s">
        <x:v>518</x:v>
      </x:c>
      <x:c r="D2019" t="s">
        <x:v>677</x:v>
      </x:c>
      <x:c r="E2019" s="6">
        <x:v>0</x:v>
      </x:c>
      <x:c r="F2019" s="6">
        <x:v>0</x:v>
      </x:c>
      <x:c r="G2019" s="6">
        <x:v>0</x:v>
      </x:c>
      <x:c r="H2019" s="6">
        <x:f t="shared" si="97"/>
        <x:v>0</x:v>
      </x:c>
      <x:c r="I2019" s="6">
        <x:v>0</x:v>
      </x:c>
      <x:c r="J2019" s="6">
        <x:v>0</x:v>
      </x:c>
      <x:c r="K2019" s="6">
        <x:f t="shared" si="98"/>
        <x:v>0</x:v>
      </x:c>
      <x:c r="L2019" s="6">
        <x:v>11287.39</x:v>
      </x:c>
      <x:c r="M2019" s="6">
        <x:v>0</x:v>
      </x:c>
      <x:c r="N2019" s="6">
        <x:f t="shared" si="99"/>
        <x:v>11287.39</x:v>
      </x:c>
    </x:row>
    <x:row r="2020" spans="1:14" x14ac:dyDescent="0.25">
      <x:c r="A2020" t="s">
        <x:v>25</x:v>
      </x:c>
      <x:c r="B2020" s="3" t="s">
        <x:v>207</x:v>
      </x:c>
      <x:c r="C2020" s="3" t="s">
        <x:v>523</x:v>
      </x:c>
      <x:c r="D2020" t="s">
        <x:v>677</x:v>
      </x:c>
      <x:c r="E2020" s="6">
        <x:v>0</x:v>
      </x:c>
      <x:c r="F2020" s="6">
        <x:v>0</x:v>
      </x:c>
      <x:c r="G2020" s="6">
        <x:v>0</x:v>
      </x:c>
      <x:c r="H2020" s="6">
        <x:f t="shared" si="97"/>
        <x:v>0</x:v>
      </x:c>
      <x:c r="I2020" s="6">
        <x:v>0</x:v>
      </x:c>
      <x:c r="J2020" s="6">
        <x:v>0</x:v>
      </x:c>
      <x:c r="K2020" s="6">
        <x:f t="shared" si="98"/>
        <x:v>0</x:v>
      </x:c>
      <x:c r="L2020" s="6">
        <x:v>6668.3399999999992</x:v>
      </x:c>
      <x:c r="M2020" s="6">
        <x:v>0</x:v>
      </x:c>
      <x:c r="N2020" s="6">
        <x:f t="shared" si="99"/>
        <x:v>6668.3399999999992</x:v>
      </x:c>
    </x:row>
    <x:row r="2021" spans="1:14" x14ac:dyDescent="0.25">
      <x:c r="A2021" t="s">
        <x:v>25</x:v>
      </x:c>
      <x:c r="B2021" s="3" t="s">
        <x:v>209</x:v>
      </x:c>
      <x:c r="C2021" s="3" t="s">
        <x:v>525</x:v>
      </x:c>
      <x:c r="D2021" t="s">
        <x:v>677</x:v>
      </x:c>
      <x:c r="E2021" s="6">
        <x:v>0</x:v>
      </x:c>
      <x:c r="F2021" s="6">
        <x:v>0</x:v>
      </x:c>
      <x:c r="G2021" s="6">
        <x:v>0</x:v>
      </x:c>
      <x:c r="H2021" s="6">
        <x:f t="shared" si="97"/>
        <x:v>0</x:v>
      </x:c>
      <x:c r="I2021" s="6">
        <x:v>0</x:v>
      </x:c>
      <x:c r="J2021" s="6">
        <x:v>0</x:v>
      </x:c>
      <x:c r="K2021" s="6">
        <x:f t="shared" si="98"/>
        <x:v>0</x:v>
      </x:c>
      <x:c r="L2021" s="6">
        <x:v>4147.619999999999</x:v>
      </x:c>
      <x:c r="M2021" s="6">
        <x:v>0</x:v>
      </x:c>
      <x:c r="N2021" s="6">
        <x:f t="shared" si="99"/>
        <x:v>4147.619999999999</x:v>
      </x:c>
    </x:row>
    <x:row r="2022" spans="1:14" x14ac:dyDescent="0.25">
      <x:c r="A2022" t="s">
        <x:v>25</x:v>
      </x:c>
      <x:c r="B2022" s="3" t="s">
        <x:v>267</x:v>
      </x:c>
      <x:c r="C2022" s="3" t="s">
        <x:v>582</x:v>
      </x:c>
      <x:c r="D2022" t="s">
        <x:v>676</x:v>
      </x:c>
      <x:c r="E2022" s="6">
        <x:v>0</x:v>
      </x:c>
      <x:c r="F2022" s="6">
        <x:v>0</x:v>
      </x:c>
      <x:c r="G2022" s="6">
        <x:v>0</x:v>
      </x:c>
      <x:c r="H2022" s="6">
        <x:f t="shared" si="97"/>
        <x:v>0</x:v>
      </x:c>
      <x:c r="I2022" s="6">
        <x:v>0</x:v>
      </x:c>
      <x:c r="J2022" s="6">
        <x:v>0</x:v>
      </x:c>
      <x:c r="K2022" s="6">
        <x:f t="shared" si="98"/>
        <x:v>0</x:v>
      </x:c>
      <x:c r="L2022" s="6">
        <x:v>53167.29</x:v>
      </x:c>
      <x:c r="M2022" s="6">
        <x:v>0</x:v>
      </x:c>
      <x:c r="N2022" s="6">
        <x:f t="shared" si="99"/>
        <x:v>53167.29</x:v>
      </x:c>
    </x:row>
    <x:row r="2023" spans="1:14" x14ac:dyDescent="0.25">
      <x:c r="A2023" t="s">
        <x:v>25</x:v>
      </x:c>
      <x:c r="B2023" s="3" t="s">
        <x:v>241</x:v>
      </x:c>
      <x:c r="C2023" s="3" t="s">
        <x:v>556</x:v>
      </x:c>
      <x:c r="D2023" t="s">
        <x:v>676</x:v>
      </x:c>
      <x:c r="E2023" s="6">
        <x:v>0</x:v>
      </x:c>
      <x:c r="F2023" s="6">
        <x:v>0</x:v>
      </x:c>
      <x:c r="G2023" s="6">
        <x:v>0</x:v>
      </x:c>
      <x:c r="H2023" s="6">
        <x:f t="shared" si="97"/>
        <x:v>0</x:v>
      </x:c>
      <x:c r="I2023" s="6">
        <x:v>0</x:v>
      </x:c>
      <x:c r="J2023" s="6">
        <x:v>0</x:v>
      </x:c>
      <x:c r="K2023" s="6">
        <x:f t="shared" si="98"/>
        <x:v>0</x:v>
      </x:c>
      <x:c r="L2023" s="6">
        <x:v>13110.68</x:v>
      </x:c>
      <x:c r="M2023" s="6">
        <x:v>0</x:v>
      </x:c>
      <x:c r="N2023" s="6">
        <x:f t="shared" si="99"/>
        <x:v>13110.68</x:v>
      </x:c>
    </x:row>
    <x:row r="2024" spans="1:14" x14ac:dyDescent="0.25">
      <x:c r="A2024" t="s">
        <x:v>25</x:v>
      </x:c>
      <x:c r="B2024" s="3" t="s">
        <x:v>218</x:v>
      </x:c>
      <x:c r="C2024" s="3" t="s">
        <x:v>534</x:v>
      </x:c>
      <x:c r="D2024" t="s">
        <x:v>677</x:v>
      </x:c>
      <x:c r="E2024" s="6">
        <x:v>0</x:v>
      </x:c>
      <x:c r="F2024" s="6">
        <x:v>0</x:v>
      </x:c>
      <x:c r="G2024" s="6">
        <x:v>0</x:v>
      </x:c>
      <x:c r="H2024" s="6">
        <x:f t="shared" si="97"/>
        <x:v>0</x:v>
      </x:c>
      <x:c r="I2024" s="6">
        <x:v>0</x:v>
      </x:c>
      <x:c r="J2024" s="6">
        <x:v>0</x:v>
      </x:c>
      <x:c r="K2024" s="6">
        <x:f t="shared" si="98"/>
        <x:v>0</x:v>
      </x:c>
      <x:c r="L2024" s="6">
        <x:v>2500.89</x:v>
      </x:c>
      <x:c r="M2024" s="6">
        <x:v>0</x:v>
      </x:c>
      <x:c r="N2024" s="6">
        <x:f t="shared" si="99"/>
        <x:v>2500.89</x:v>
      </x:c>
    </x:row>
    <x:row r="2025" spans="1:14" x14ac:dyDescent="0.25">
      <x:c r="A2025" t="s">
        <x:v>25</x:v>
      </x:c>
      <x:c r="B2025" s="3" t="s">
        <x:v>219</x:v>
      </x:c>
      <x:c r="C2025" s="3" t="s">
        <x:v>535</x:v>
      </x:c>
      <x:c r="D2025" t="s">
        <x:v>677</x:v>
      </x:c>
      <x:c r="E2025" s="6">
        <x:v>0</x:v>
      </x:c>
      <x:c r="F2025" s="6">
        <x:v>0</x:v>
      </x:c>
      <x:c r="G2025" s="6">
        <x:v>0</x:v>
      </x:c>
      <x:c r="H2025" s="6">
        <x:f t="shared" si="97"/>
        <x:v>0</x:v>
      </x:c>
      <x:c r="I2025" s="6">
        <x:v>0</x:v>
      </x:c>
      <x:c r="J2025" s="6">
        <x:v>0</x:v>
      </x:c>
      <x:c r="K2025" s="6">
        <x:f t="shared" si="98"/>
        <x:v>0</x:v>
      </x:c>
      <x:c r="L2025" s="6">
        <x:v>126.83000000000001</x:v>
      </x:c>
      <x:c r="M2025" s="6">
        <x:v>0</x:v>
      </x:c>
      <x:c r="N2025" s="6">
        <x:f t="shared" si="99"/>
        <x:v>126.83000000000001</x:v>
      </x:c>
    </x:row>
    <x:row r="2026" spans="1:14" x14ac:dyDescent="0.25">
      <x:c r="A2026" t="s">
        <x:v>25</x:v>
      </x:c>
      <x:c r="B2026" s="3" t="s">
        <x:v>268</x:v>
      </x:c>
      <x:c r="C2026" s="3" t="s">
        <x:v>583</x:v>
      </x:c>
      <x:c r="D2026" t="s">
        <x:v>676</x:v>
      </x:c>
      <x:c r="E2026" s="6">
        <x:v>0</x:v>
      </x:c>
      <x:c r="F2026" s="6">
        <x:v>0</x:v>
      </x:c>
      <x:c r="G2026" s="6">
        <x:v>0</x:v>
      </x:c>
      <x:c r="H2026" s="6">
        <x:f t="shared" si="97"/>
        <x:v>0</x:v>
      </x:c>
      <x:c r="I2026" s="6">
        <x:v>0</x:v>
      </x:c>
      <x:c r="J2026" s="6">
        <x:v>0</x:v>
      </x:c>
      <x:c r="K2026" s="6">
        <x:f t="shared" si="98"/>
        <x:v>0</x:v>
      </x:c>
      <x:c r="L2026" s="6">
        <x:v>29436.66</x:v>
      </x:c>
      <x:c r="M2026" s="6">
        <x:v>0</x:v>
      </x:c>
      <x:c r="N2026" s="6">
        <x:f t="shared" si="99"/>
        <x:v>29436.66</x:v>
      </x:c>
    </x:row>
    <x:row r="2027" spans="1:14" x14ac:dyDescent="0.25">
      <x:c r="A2027" t="s">
        <x:v>25</x:v>
      </x:c>
      <x:c r="B2027" s="3" t="s">
        <x:v>310</x:v>
      </x:c>
      <x:c r="C2027" s="3" t="s">
        <x:v>625</x:v>
      </x:c>
      <x:c r="D2027" t="s">
        <x:v>677</x:v>
      </x:c>
      <x:c r="E2027" s="6">
        <x:v>0</x:v>
      </x:c>
      <x:c r="F2027" s="6">
        <x:v>0</x:v>
      </x:c>
      <x:c r="G2027" s="6">
        <x:v>0</x:v>
      </x:c>
      <x:c r="H2027" s="6">
        <x:f t="shared" si="97"/>
        <x:v>0</x:v>
      </x:c>
      <x:c r="I2027" s="6">
        <x:v>0</x:v>
      </x:c>
      <x:c r="J2027" s="6">
        <x:v>0</x:v>
      </x:c>
      <x:c r="K2027" s="6">
        <x:f t="shared" si="98"/>
        <x:v>0</x:v>
      </x:c>
      <x:c r="L2027" s="6">
        <x:v>80448.53</x:v>
      </x:c>
      <x:c r="M2027" s="6">
        <x:v>0</x:v>
      </x:c>
      <x:c r="N2027" s="6">
        <x:f t="shared" si="99"/>
        <x:v>80448.53</x:v>
      </x:c>
    </x:row>
    <x:row r="2028" spans="1:14" x14ac:dyDescent="0.25">
      <x:c r="A2028" t="s">
        <x:v>25</x:v>
      </x:c>
      <x:c r="B2028" s="3" t="s">
        <x:v>304</x:v>
      </x:c>
      <x:c r="C2028" s="3" t="s">
        <x:v>619</x:v>
      </x:c>
      <x:c r="D2028" t="s">
        <x:v>677</x:v>
      </x:c>
      <x:c r="E2028" s="6">
        <x:v>0</x:v>
      </x:c>
      <x:c r="F2028" s="6">
        <x:v>0</x:v>
      </x:c>
      <x:c r="G2028" s="6">
        <x:v>0</x:v>
      </x:c>
      <x:c r="H2028" s="6">
        <x:f t="shared" si="97"/>
        <x:v>0</x:v>
      </x:c>
      <x:c r="I2028" s="6">
        <x:v>0</x:v>
      </x:c>
      <x:c r="J2028" s="6">
        <x:v>0</x:v>
      </x:c>
      <x:c r="K2028" s="6">
        <x:f t="shared" si="98"/>
        <x:v>0</x:v>
      </x:c>
      <x:c r="L2028" s="6">
        <x:v>-8530.39</x:v>
      </x:c>
      <x:c r="M2028" s="6">
        <x:v>0</x:v>
      </x:c>
      <x:c r="N2028" s="6">
        <x:f t="shared" si="99"/>
        <x:v>-8530.39</x:v>
      </x:c>
    </x:row>
    <x:row r="2029" spans="1:14" x14ac:dyDescent="0.25">
      <x:c r="A2029" t="s">
        <x:v>25</x:v>
      </x:c>
      <x:c r="B2029" s="3" t="s">
        <x:v>243</x:v>
      </x:c>
      <x:c r="C2029" s="3" t="s">
        <x:v>558</x:v>
      </x:c>
      <x:c r="D2029" t="s">
        <x:v>677</x:v>
      </x:c>
      <x:c r="E2029" s="6">
        <x:v>0</x:v>
      </x:c>
      <x:c r="F2029" s="6">
        <x:v>0</x:v>
      </x:c>
      <x:c r="G2029" s="6">
        <x:v>0</x:v>
      </x:c>
      <x:c r="H2029" s="6">
        <x:f t="shared" si="97"/>
        <x:v>0</x:v>
      </x:c>
      <x:c r="I2029" s="6">
        <x:v>0</x:v>
      </x:c>
      <x:c r="J2029" s="6">
        <x:v>0</x:v>
      </x:c>
      <x:c r="K2029" s="6">
        <x:f t="shared" si="98"/>
        <x:v>0</x:v>
      </x:c>
      <x:c r="L2029" s="6">
        <x:v>150612.68</x:v>
      </x:c>
      <x:c r="M2029" s="6">
        <x:v>0</x:v>
      </x:c>
      <x:c r="N2029" s="6">
        <x:f t="shared" si="99"/>
        <x:v>150612.68</x:v>
      </x:c>
    </x:row>
    <x:row r="2030" spans="1:14" x14ac:dyDescent="0.25">
      <x:c r="A2030" t="s">
        <x:v>26</x:v>
      </x:c>
      <x:c r="B2030" s="3" t="s">
        <x:v>74</x:v>
      </x:c>
      <x:c r="C2030" s="3" t="s">
        <x:v>391</x:v>
      </x:c>
      <x:c r="D2030" t="s">
        <x:v>677</x:v>
      </x:c>
      <x:c r="E2030" s="6">
        <x:v>0</x:v>
      </x:c>
      <x:c r="F2030" s="6">
        <x:v>0</x:v>
      </x:c>
      <x:c r="G2030" s="6">
        <x:v>0</x:v>
      </x:c>
      <x:c r="H2030" s="6">
        <x:f t="shared" si="97"/>
        <x:v>0</x:v>
      </x:c>
      <x:c r="I2030" s="6">
        <x:v>2387</x:v>
      </x:c>
      <x:c r="J2030" s="6">
        <x:v>0</x:v>
      </x:c>
      <x:c r="K2030" s="6">
        <x:f t="shared" si="98"/>
        <x:v>2387</x:v>
      </x:c>
      <x:c r="L2030" s="6">
        <x:v>0</x:v>
      </x:c>
      <x:c r="M2030" s="6">
        <x:v>0</x:v>
      </x:c>
      <x:c r="N2030" s="6">
        <x:f t="shared" si="99"/>
        <x:v>2387</x:v>
      </x:c>
    </x:row>
    <x:row r="2031" spans="1:14" x14ac:dyDescent="0.25">
      <x:c r="A2031" t="s">
        <x:v>26</x:v>
      </x:c>
      <x:c r="B2031" s="3" t="s">
        <x:v>78</x:v>
      </x:c>
      <x:c r="C2031" s="3" t="s">
        <x:v>395</x:v>
      </x:c>
      <x:c r="D2031" t="s">
        <x:v>677</x:v>
      </x:c>
      <x:c r="E2031" s="6">
        <x:v>0</x:v>
      </x:c>
      <x:c r="F2031" s="6">
        <x:v>0</x:v>
      </x:c>
      <x:c r="G2031" s="6">
        <x:v>0</x:v>
      </x:c>
      <x:c r="H2031" s="6">
        <x:f t="shared" si="97"/>
        <x:v>0</x:v>
      </x:c>
      <x:c r="I2031" s="6">
        <x:v>13.89</x:v>
      </x:c>
      <x:c r="J2031" s="6">
        <x:v>0</x:v>
      </x:c>
      <x:c r="K2031" s="6">
        <x:f t="shared" si="98"/>
        <x:v>13.89</x:v>
      </x:c>
      <x:c r="L2031" s="6">
        <x:v>0</x:v>
      </x:c>
      <x:c r="M2031" s="6">
        <x:v>0</x:v>
      </x:c>
      <x:c r="N2031" s="6">
        <x:f t="shared" si="99"/>
        <x:v>13.89</x:v>
      </x:c>
    </x:row>
    <x:row r="2032" spans="1:14" x14ac:dyDescent="0.25">
      <x:c r="A2032" t="s">
        <x:v>26</x:v>
      </x:c>
      <x:c r="B2032" s="3" t="s">
        <x:v>56</x:v>
      </x:c>
      <x:c r="C2032" s="3" t="s">
        <x:v>373</x:v>
      </x:c>
      <x:c r="D2032" t="s">
        <x:v>677</x:v>
      </x:c>
      <x:c r="E2032" s="6">
        <x:v>0</x:v>
      </x:c>
      <x:c r="F2032" s="6">
        <x:v>0</x:v>
      </x:c>
      <x:c r="G2032" s="6">
        <x:v>0</x:v>
      </x:c>
      <x:c r="H2032" s="6">
        <x:f t="shared" si="97"/>
        <x:v>0</x:v>
      </x:c>
      <x:c r="I2032" s="6">
        <x:v>1223.0700000000002</x:v>
      </x:c>
      <x:c r="J2032" s="6">
        <x:v>0</x:v>
      </x:c>
      <x:c r="K2032" s="6">
        <x:f t="shared" si="98"/>
        <x:v>1223.0700000000002</x:v>
      </x:c>
      <x:c r="L2032" s="6">
        <x:v>0</x:v>
      </x:c>
      <x:c r="M2032" s="6">
        <x:v>0</x:v>
      </x:c>
      <x:c r="N2032" s="6">
        <x:f t="shared" si="99"/>
        <x:v>1223.0700000000002</x:v>
      </x:c>
    </x:row>
    <x:row r="2033" spans="1:14" x14ac:dyDescent="0.25">
      <x:c r="A2033" t="s">
        <x:v>26</x:v>
      </x:c>
      <x:c r="B2033" s="3" t="s">
        <x:v>87</x:v>
      </x:c>
      <x:c r="C2033" s="3" t="s">
        <x:v>404</x:v>
      </x:c>
      <x:c r="D2033" t="s">
        <x:v>677</x:v>
      </x:c>
      <x:c r="E2033" s="6">
        <x:v>0</x:v>
      </x:c>
      <x:c r="F2033" s="6">
        <x:v>0</x:v>
      </x:c>
      <x:c r="G2033" s="6">
        <x:v>0</x:v>
      </x:c>
      <x:c r="H2033" s="6">
        <x:f t="shared" si="97"/>
        <x:v>0</x:v>
      </x:c>
      <x:c r="I2033" s="6">
        <x:v>5.54</x:v>
      </x:c>
      <x:c r="J2033" s="6">
        <x:v>0</x:v>
      </x:c>
      <x:c r="K2033" s="6">
        <x:f t="shared" si="98"/>
        <x:v>5.54</x:v>
      </x:c>
      <x:c r="L2033" s="6">
        <x:v>0</x:v>
      </x:c>
      <x:c r="M2033" s="6">
        <x:v>0</x:v>
      </x:c>
      <x:c r="N2033" s="6">
        <x:f t="shared" si="99"/>
        <x:v>5.54</x:v>
      </x:c>
    </x:row>
    <x:row r="2034" spans="1:14" x14ac:dyDescent="0.25">
      <x:c r="A2034" t="s">
        <x:v>26</x:v>
      </x:c>
      <x:c r="B2034" s="3" t="s">
        <x:v>94</x:v>
      </x:c>
      <x:c r="C2034" s="3" t="s">
        <x:v>411</x:v>
      </x:c>
      <x:c r="D2034" t="s">
        <x:v>677</x:v>
      </x:c>
      <x:c r="E2034" s="6">
        <x:v>0</x:v>
      </x:c>
      <x:c r="F2034" s="6">
        <x:v>0</x:v>
      </x:c>
      <x:c r="G2034" s="6">
        <x:v>0</x:v>
      </x:c>
      <x:c r="H2034" s="6">
        <x:f t="shared" si="97"/>
        <x:v>0</x:v>
      </x:c>
      <x:c r="I2034" s="6">
        <x:v>382.96</x:v>
      </x:c>
      <x:c r="J2034" s="6">
        <x:v>0</x:v>
      </x:c>
      <x:c r="K2034" s="6">
        <x:f t="shared" si="98"/>
        <x:v>382.96</x:v>
      </x:c>
      <x:c r="L2034" s="6">
        <x:v>0</x:v>
      </x:c>
      <x:c r="M2034" s="6">
        <x:v>0</x:v>
      </x:c>
      <x:c r="N2034" s="6">
        <x:f t="shared" si="99"/>
        <x:v>382.96</x:v>
      </x:c>
    </x:row>
    <x:row r="2035" spans="1:14" x14ac:dyDescent="0.25">
      <x:c r="A2035" t="s">
        <x:v>26</x:v>
      </x:c>
      <x:c r="B2035" s="3" t="s">
        <x:v>97</x:v>
      </x:c>
      <x:c r="C2035" s="3" t="s">
        <x:v>414</x:v>
      </x:c>
      <x:c r="D2035" t="s">
        <x:v>677</x:v>
      </x:c>
      <x:c r="E2035" s="6">
        <x:v>0</x:v>
      </x:c>
      <x:c r="F2035" s="6">
        <x:v>0</x:v>
      </x:c>
      <x:c r="G2035" s="6">
        <x:v>0</x:v>
      </x:c>
      <x:c r="H2035" s="6">
        <x:f t="shared" si="97"/>
        <x:v>0</x:v>
      </x:c>
      <x:c r="I2035" s="6">
        <x:v>12449.78</x:v>
      </x:c>
      <x:c r="J2035" s="6">
        <x:v>0</x:v>
      </x:c>
      <x:c r="K2035" s="6">
        <x:f t="shared" si="98"/>
        <x:v>12449.78</x:v>
      </x:c>
      <x:c r="L2035" s="6">
        <x:v>0</x:v>
      </x:c>
      <x:c r="M2035" s="6">
        <x:v>0</x:v>
      </x:c>
      <x:c r="N2035" s="6">
        <x:f t="shared" si="99"/>
        <x:v>12449.78</x:v>
      </x:c>
    </x:row>
    <x:row r="2036" spans="1:14" x14ac:dyDescent="0.25">
      <x:c r="A2036" t="s">
        <x:v>26</x:v>
      </x:c>
      <x:c r="B2036" s="3" t="s">
        <x:v>98</x:v>
      </x:c>
      <x:c r="C2036" s="3" t="s">
        <x:v>415</x:v>
      </x:c>
      <x:c r="D2036" t="s">
        <x:v>677</x:v>
      </x:c>
      <x:c r="E2036" s="6">
        <x:v>0</x:v>
      </x:c>
      <x:c r="F2036" s="6">
        <x:v>0</x:v>
      </x:c>
      <x:c r="G2036" s="6">
        <x:v>0</x:v>
      </x:c>
      <x:c r="H2036" s="6">
        <x:f t="shared" si="97"/>
        <x:v>0</x:v>
      </x:c>
      <x:c r="I2036" s="6">
        <x:v>1666.86</x:v>
      </x:c>
      <x:c r="J2036" s="6">
        <x:v>0</x:v>
      </x:c>
      <x:c r="K2036" s="6">
        <x:f t="shared" si="98"/>
        <x:v>1666.86</x:v>
      </x:c>
      <x:c r="L2036" s="6">
        <x:v>0</x:v>
      </x:c>
      <x:c r="M2036" s="6">
        <x:v>0</x:v>
      </x:c>
      <x:c r="N2036" s="6">
        <x:f t="shared" si="99"/>
        <x:v>1666.86</x:v>
      </x:c>
    </x:row>
    <x:row r="2037" spans="1:14" x14ac:dyDescent="0.25">
      <x:c r="A2037" t="s">
        <x:v>26</x:v>
      </x:c>
      <x:c r="B2037" s="3" t="s">
        <x:v>57</x:v>
      </x:c>
      <x:c r="C2037" s="3" t="s">
        <x:v>374</x:v>
      </x:c>
      <x:c r="D2037" t="s">
        <x:v>677</x:v>
      </x:c>
      <x:c r="E2037" s="6">
        <x:v>0</x:v>
      </x:c>
      <x:c r="F2037" s="6">
        <x:v>0</x:v>
      </x:c>
      <x:c r="G2037" s="6">
        <x:v>0</x:v>
      </x:c>
      <x:c r="H2037" s="6">
        <x:f t="shared" si="97"/>
        <x:v>0</x:v>
      </x:c>
      <x:c r="I2037" s="6">
        <x:v>4952.1099999999997</x:v>
      </x:c>
      <x:c r="J2037" s="6">
        <x:v>0</x:v>
      </x:c>
      <x:c r="K2037" s="6">
        <x:f t="shared" si="98"/>
        <x:v>4952.1099999999997</x:v>
      </x:c>
      <x:c r="L2037" s="6">
        <x:v>0</x:v>
      </x:c>
      <x:c r="M2037" s="6">
        <x:v>0</x:v>
      </x:c>
      <x:c r="N2037" s="6">
        <x:f t="shared" si="99"/>
        <x:v>4952.1099999999997</x:v>
      </x:c>
    </x:row>
    <x:row r="2038" spans="1:14" x14ac:dyDescent="0.25">
      <x:c r="A2038" t="s">
        <x:v>26</x:v>
      </x:c>
      <x:c r="B2038" s="3" t="s">
        <x:v>105</x:v>
      </x:c>
      <x:c r="C2038" s="3" t="s">
        <x:v>422</x:v>
      </x:c>
      <x:c r="D2038" t="s">
        <x:v>677</x:v>
      </x:c>
      <x:c r="E2038" s="6">
        <x:v>0</x:v>
      </x:c>
      <x:c r="F2038" s="6">
        <x:v>0</x:v>
      </x:c>
      <x:c r="G2038" s="6">
        <x:v>0</x:v>
      </x:c>
      <x:c r="H2038" s="6">
        <x:f t="shared" si="97"/>
        <x:v>0</x:v>
      </x:c>
      <x:c r="I2038" s="6">
        <x:v>103.15</x:v>
      </x:c>
      <x:c r="J2038" s="6">
        <x:v>0</x:v>
      </x:c>
      <x:c r="K2038" s="6">
        <x:f t="shared" si="98"/>
        <x:v>103.15</x:v>
      </x:c>
      <x:c r="L2038" s="6">
        <x:v>0</x:v>
      </x:c>
      <x:c r="M2038" s="6">
        <x:v>0</x:v>
      </x:c>
      <x:c r="N2038" s="6">
        <x:f t="shared" si="99"/>
        <x:v>103.15</x:v>
      </x:c>
    </x:row>
    <x:row r="2039" spans="1:14" x14ac:dyDescent="0.25">
      <x:c r="A2039" t="s">
        <x:v>26</x:v>
      </x:c>
      <x:c r="B2039" s="3" t="s">
        <x:v>112</x:v>
      </x:c>
      <x:c r="C2039" s="3" t="s">
        <x:v>429</x:v>
      </x:c>
      <x:c r="D2039" t="s">
        <x:v>676</x:v>
      </x:c>
      <x:c r="E2039" s="6">
        <x:v>0</x:v>
      </x:c>
      <x:c r="F2039" s="6">
        <x:v>0</x:v>
      </x:c>
      <x:c r="G2039" s="6">
        <x:v>0</x:v>
      </x:c>
      <x:c r="H2039" s="6">
        <x:f t="shared" si="97"/>
        <x:v>0</x:v>
      </x:c>
      <x:c r="I2039" s="6">
        <x:v>0</x:v>
      </x:c>
      <x:c r="J2039" s="6">
        <x:v>0</x:v>
      </x:c>
      <x:c r="K2039" s="6">
        <x:f t="shared" si="98"/>
        <x:v>0</x:v>
      </x:c>
      <x:c r="L2039" s="6">
        <x:v>2504.35</x:v>
      </x:c>
      <x:c r="M2039" s="6">
        <x:v>0</x:v>
      </x:c>
      <x:c r="N2039" s="6">
        <x:f t="shared" si="99"/>
        <x:v>2504.35</x:v>
      </x:c>
    </x:row>
    <x:row r="2040" spans="1:14" x14ac:dyDescent="0.25">
      <x:c r="A2040" t="s">
        <x:v>26</x:v>
      </x:c>
      <x:c r="B2040" s="3" t="s">
        <x:v>44</x:v>
      </x:c>
      <x:c r="C2040" s="3" t="s">
        <x:v>361</x:v>
      </x:c>
      <x:c r="D2040" t="s">
        <x:v>676</x:v>
      </x:c>
      <x:c r="E2040" s="6">
        <x:v>0</x:v>
      </x:c>
      <x:c r="F2040" s="6">
        <x:v>0</x:v>
      </x:c>
      <x:c r="G2040" s="6">
        <x:v>0</x:v>
      </x:c>
      <x:c r="H2040" s="6">
        <x:f t="shared" si="97"/>
        <x:v>0</x:v>
      </x:c>
      <x:c r="I2040" s="6">
        <x:v>0</x:v>
      </x:c>
      <x:c r="J2040" s="6">
        <x:v>0</x:v>
      </x:c>
      <x:c r="K2040" s="6">
        <x:f t="shared" si="98"/>
        <x:v>0</x:v>
      </x:c>
      <x:c r="L2040" s="6">
        <x:v>12.58</x:v>
      </x:c>
      <x:c r="M2040" s="6">
        <x:v>0</x:v>
      </x:c>
      <x:c r="N2040" s="6">
        <x:f t="shared" si="99"/>
        <x:v>12.58</x:v>
      </x:c>
    </x:row>
    <x:row r="2041" spans="1:14" x14ac:dyDescent="0.25">
      <x:c r="A2041" t="s">
        <x:v>26</x:v>
      </x:c>
      <x:c r="B2041" s="3" t="s">
        <x:v>115</x:v>
      </x:c>
      <x:c r="C2041" s="3" t="s">
        <x:v>432</x:v>
      </x:c>
      <x:c r="D2041" t="s">
        <x:v>676</x:v>
      </x:c>
      <x:c r="E2041" s="6">
        <x:v>0</x:v>
      </x:c>
      <x:c r="F2041" s="6">
        <x:v>0</x:v>
      </x:c>
      <x:c r="G2041" s="6">
        <x:v>0</x:v>
      </x:c>
      <x:c r="H2041" s="6">
        <x:f t="shared" si="97"/>
        <x:v>0</x:v>
      </x:c>
      <x:c r="I2041" s="6">
        <x:v>0</x:v>
      </x:c>
      <x:c r="J2041" s="6">
        <x:v>0</x:v>
      </x:c>
      <x:c r="K2041" s="6">
        <x:f t="shared" si="98"/>
        <x:v>0</x:v>
      </x:c>
      <x:c r="L2041" s="6">
        <x:v>59.65</x:v>
      </x:c>
      <x:c r="M2041" s="6">
        <x:v>0</x:v>
      </x:c>
      <x:c r="N2041" s="6">
        <x:f t="shared" si="99"/>
        <x:v>59.65</x:v>
      </x:c>
    </x:row>
    <x:row r="2042" spans="1:14" x14ac:dyDescent="0.25">
      <x:c r="A2042" t="s">
        <x:v>26</x:v>
      </x:c>
      <x:c r="B2042" s="3" t="s">
        <x:v>116</x:v>
      </x:c>
      <x:c r="C2042" s="3" t="s">
        <x:v>433</x:v>
      </x:c>
      <x:c r="D2042" t="s">
        <x:v>676</x:v>
      </x:c>
      <x:c r="E2042" s="6">
        <x:v>0</x:v>
      </x:c>
      <x:c r="F2042" s="6">
        <x:v>0</x:v>
      </x:c>
      <x:c r="G2042" s="6">
        <x:v>0</x:v>
      </x:c>
      <x:c r="H2042" s="6">
        <x:f t="shared" si="97"/>
        <x:v>0</x:v>
      </x:c>
      <x:c r="I2042" s="6">
        <x:v>0</x:v>
      </x:c>
      <x:c r="J2042" s="6">
        <x:v>0</x:v>
      </x:c>
      <x:c r="K2042" s="6">
        <x:f t="shared" si="98"/>
        <x:v>0</x:v>
      </x:c>
      <x:c r="L2042" s="6">
        <x:v>100.54</x:v>
      </x:c>
      <x:c r="M2042" s="6">
        <x:v>0</x:v>
      </x:c>
      <x:c r="N2042" s="6">
        <x:f t="shared" si="99"/>
        <x:v>100.54</x:v>
      </x:c>
    </x:row>
    <x:row r="2043" spans="1:14" x14ac:dyDescent="0.25">
      <x:c r="A2043" t="s">
        <x:v>26</x:v>
      </x:c>
      <x:c r="B2043" s="3" t="s">
        <x:v>257</x:v>
      </x:c>
      <x:c r="C2043" s="3" t="s">
        <x:v>572</x:v>
      </x:c>
      <x:c r="D2043" t="s">
        <x:v>676</x:v>
      </x:c>
      <x:c r="E2043" s="6">
        <x:v>0</x:v>
      </x:c>
      <x:c r="F2043" s="6">
        <x:v>0</x:v>
      </x:c>
      <x:c r="G2043" s="6">
        <x:v>0</x:v>
      </x:c>
      <x:c r="H2043" s="6">
        <x:f t="shared" si="97"/>
        <x:v>0</x:v>
      </x:c>
      <x:c r="I2043" s="6">
        <x:v>0</x:v>
      </x:c>
      <x:c r="J2043" s="6">
        <x:v>0</x:v>
      </x:c>
      <x:c r="K2043" s="6">
        <x:f t="shared" si="98"/>
        <x:v>0</x:v>
      </x:c>
      <x:c r="L2043" s="6">
        <x:v>13.02</x:v>
      </x:c>
      <x:c r="M2043" s="6">
        <x:v>0</x:v>
      </x:c>
      <x:c r="N2043" s="6">
        <x:f t="shared" si="99"/>
        <x:v>13.02</x:v>
      </x:c>
    </x:row>
    <x:row r="2044" spans="1:14" x14ac:dyDescent="0.25">
      <x:c r="A2044" t="s">
        <x:v>26</x:v>
      </x:c>
      <x:c r="B2044" s="3" t="s">
        <x:v>258</x:v>
      </x:c>
      <x:c r="C2044" s="3" t="s">
        <x:v>573</x:v>
      </x:c>
      <x:c r="D2044" t="s">
        <x:v>676</x:v>
      </x:c>
      <x:c r="E2044" s="6">
        <x:v>0</x:v>
      </x:c>
      <x:c r="F2044" s="6">
        <x:v>0</x:v>
      </x:c>
      <x:c r="G2044" s="6">
        <x:v>0</x:v>
      </x:c>
      <x:c r="H2044" s="6">
        <x:f t="shared" si="97"/>
        <x:v>0</x:v>
      </x:c>
      <x:c r="I2044" s="6">
        <x:v>0</x:v>
      </x:c>
      <x:c r="J2044" s="6">
        <x:v>0</x:v>
      </x:c>
      <x:c r="K2044" s="6">
        <x:f t="shared" si="98"/>
        <x:v>0</x:v>
      </x:c>
      <x:c r="L2044" s="6">
        <x:v>924.4</x:v>
      </x:c>
      <x:c r="M2044" s="6">
        <x:v>0</x:v>
      </x:c>
      <x:c r="N2044" s="6">
        <x:f t="shared" si="99"/>
        <x:v>924.4</x:v>
      </x:c>
    </x:row>
    <x:row r="2045" spans="1:14" x14ac:dyDescent="0.25">
      <x:c r="A2045" t="s">
        <x:v>26</x:v>
      </x:c>
      <x:c r="B2045" s="3" t="s">
        <x:v>118</x:v>
      </x:c>
      <x:c r="C2045" s="3" t="s">
        <x:v>435</x:v>
      </x:c>
      <x:c r="D2045" t="s">
        <x:v>677</x:v>
      </x:c>
      <x:c r="E2045" s="6">
        <x:v>0</x:v>
      </x:c>
      <x:c r="F2045" s="6">
        <x:v>0</x:v>
      </x:c>
      <x:c r="G2045" s="6">
        <x:v>0</x:v>
      </x:c>
      <x:c r="H2045" s="6">
        <x:f t="shared" si="97"/>
        <x:v>0</x:v>
      </x:c>
      <x:c r="I2045" s="6">
        <x:v>307.27999999999997</x:v>
      </x:c>
      <x:c r="J2045" s="6">
        <x:v>0</x:v>
      </x:c>
      <x:c r="K2045" s="6">
        <x:f t="shared" si="98"/>
        <x:v>307.27999999999997</x:v>
      </x:c>
      <x:c r="L2045" s="6">
        <x:v>0</x:v>
      </x:c>
      <x:c r="M2045" s="6">
        <x:v>0</x:v>
      </x:c>
      <x:c r="N2045" s="6">
        <x:f t="shared" si="99"/>
        <x:v>307.27999999999997</x:v>
      </x:c>
    </x:row>
    <x:row r="2046" spans="1:14" x14ac:dyDescent="0.25">
      <x:c r="A2046" t="s">
        <x:v>26</x:v>
      </x:c>
      <x:c r="B2046" s="3" t="s">
        <x:v>121</x:v>
      </x:c>
      <x:c r="C2046" s="3" t="s">
        <x:v>438</x:v>
      </x:c>
      <x:c r="D2046" t="s">
        <x:v>677</x:v>
      </x:c>
      <x:c r="E2046" s="6">
        <x:v>0</x:v>
      </x:c>
      <x:c r="F2046" s="6">
        <x:v>0</x:v>
      </x:c>
      <x:c r="G2046" s="6">
        <x:v>0</x:v>
      </x:c>
      <x:c r="H2046" s="6">
        <x:f t="shared" si="97"/>
        <x:v>0</x:v>
      </x:c>
      <x:c r="I2046" s="6">
        <x:v>37.96</x:v>
      </x:c>
      <x:c r="J2046" s="6">
        <x:v>0</x:v>
      </x:c>
      <x:c r="K2046" s="6">
        <x:f t="shared" si="98"/>
        <x:v>37.96</x:v>
      </x:c>
      <x:c r="L2046" s="6">
        <x:v>0</x:v>
      </x:c>
      <x:c r="M2046" s="6">
        <x:v>0</x:v>
      </x:c>
      <x:c r="N2046" s="6">
        <x:f t="shared" si="99"/>
        <x:v>37.96</x:v>
      </x:c>
    </x:row>
    <x:row r="2047" spans="1:14" x14ac:dyDescent="0.25">
      <x:c r="A2047" t="s">
        <x:v>26</x:v>
      </x:c>
      <x:c r="B2047" t="s">
        <x:v>794</x:v>
      </x:c>
      <x:c r="C2047" t="s">
        <x:v>795</x:v>
      </x:c>
      <x:c r="D2047" t="s">
        <x:v>832</x:v>
      </x:c>
      <x:c r="E2047" s="6">
        <x:v>0</x:v>
      </x:c>
      <x:c r="F2047" s="6">
        <x:v>0</x:v>
      </x:c>
      <x:c r="G2047" s="6">
        <x:v>0</x:v>
      </x:c>
      <x:c r="H2047" s="6">
        <x:f t="shared" si="97"/>
        <x:v>0</x:v>
      </x:c>
      <x:c r="I2047" s="6">
        <x:v>20.54</x:v>
      </x:c>
      <x:c r="J2047" s="6">
        <x:v>0</x:v>
      </x:c>
      <x:c r="K2047" s="6">
        <x:f t="shared" si="98"/>
        <x:v>20.54</x:v>
      </x:c>
      <x:c r="L2047" s="6">
        <x:v>0</x:v>
      </x:c>
      <x:c r="M2047" s="6">
        <x:v>0</x:v>
      </x:c>
      <x:c r="N2047" s="6">
        <x:f t="shared" si="99"/>
        <x:v>20.54</x:v>
      </x:c>
    </x:row>
    <x:row r="2048" spans="1:14" x14ac:dyDescent="0.25">
      <x:c r="A2048" t="s">
        <x:v>26</x:v>
      </x:c>
      <x:c r="B2048" s="3" t="s">
        <x:v>123</x:v>
      </x:c>
      <x:c r="C2048" s="3" t="s">
        <x:v>440</x:v>
      </x:c>
      <x:c r="D2048" t="s">
        <x:v>677</x:v>
      </x:c>
      <x:c r="E2048" s="6">
        <x:v>0</x:v>
      </x:c>
      <x:c r="F2048" s="6">
        <x:v>0</x:v>
      </x:c>
      <x:c r="G2048" s="6">
        <x:v>0</x:v>
      </x:c>
      <x:c r="H2048" s="6">
        <x:f t="shared" si="97"/>
        <x:v>0</x:v>
      </x:c>
      <x:c r="I2048" s="6">
        <x:v>105.35</x:v>
      </x:c>
      <x:c r="J2048" s="6">
        <x:v>0</x:v>
      </x:c>
      <x:c r="K2048" s="6">
        <x:f t="shared" si="98"/>
        <x:v>105.35</x:v>
      </x:c>
      <x:c r="L2048" s="6">
        <x:v>0</x:v>
      </x:c>
      <x:c r="M2048" s="6">
        <x:v>0</x:v>
      </x:c>
      <x:c r="N2048" s="6">
        <x:f t="shared" si="99"/>
        <x:v>105.35</x:v>
      </x:c>
    </x:row>
    <x:row r="2049" spans="1:14" x14ac:dyDescent="0.25">
      <x:c r="A2049" t="s">
        <x:v>26</x:v>
      </x:c>
      <x:c r="B2049" s="3" t="s">
        <x:v>126</x:v>
      </x:c>
      <x:c r="C2049" s="3" t="s">
        <x:v>443</x:v>
      </x:c>
      <x:c r="D2049" t="s">
        <x:v>677</x:v>
      </x:c>
      <x:c r="E2049" s="6">
        <x:v>0</x:v>
      </x:c>
      <x:c r="F2049" s="6">
        <x:v>0</x:v>
      </x:c>
      <x:c r="G2049" s="6">
        <x:v>0</x:v>
      </x:c>
      <x:c r="H2049" s="6">
        <x:f t="shared" si="97"/>
        <x:v>0</x:v>
      </x:c>
      <x:c r="I2049" s="6">
        <x:v>13.329999999999998</x:v>
      </x:c>
      <x:c r="J2049" s="6">
        <x:v>0</x:v>
      </x:c>
      <x:c r="K2049" s="6">
        <x:f t="shared" si="98"/>
        <x:v>13.329999999999998</x:v>
      </x:c>
      <x:c r="L2049" s="6">
        <x:v>0</x:v>
      </x:c>
      <x:c r="M2049" s="6">
        <x:v>0</x:v>
      </x:c>
      <x:c r="N2049" s="6">
        <x:f t="shared" si="99"/>
        <x:v>13.329999999999998</x:v>
      </x:c>
    </x:row>
    <x:row r="2050" spans="1:14" x14ac:dyDescent="0.25">
      <x:c r="A2050" t="s">
        <x:v>26</x:v>
      </x:c>
      <x:c r="B2050" s="3" t="s">
        <x:v>127</x:v>
      </x:c>
      <x:c r="C2050" s="3" t="s">
        <x:v>444</x:v>
      </x:c>
      <x:c r="D2050" t="s">
        <x:v>677</x:v>
      </x:c>
      <x:c r="E2050" s="6">
        <x:v>0</x:v>
      </x:c>
      <x:c r="F2050" s="6">
        <x:v>0</x:v>
      </x:c>
      <x:c r="G2050" s="6">
        <x:v>0</x:v>
      </x:c>
      <x:c r="H2050" s="6">
        <x:f t="shared" si="97"/>
        <x:v>0</x:v>
      </x:c>
      <x:c r="I2050" s="6">
        <x:v>174.38</x:v>
      </x:c>
      <x:c r="J2050" s="6">
        <x:v>0</x:v>
      </x:c>
      <x:c r="K2050" s="6">
        <x:f t="shared" si="98"/>
        <x:v>174.38</x:v>
      </x:c>
      <x:c r="L2050" s="6">
        <x:v>0</x:v>
      </x:c>
      <x:c r="M2050" s="6">
        <x:v>0</x:v>
      </x:c>
      <x:c r="N2050" s="6">
        <x:f t="shared" si="99"/>
        <x:v>174.38</x:v>
      </x:c>
    </x:row>
    <x:row r="2051" spans="1:14" x14ac:dyDescent="0.25">
      <x:c r="A2051" t="s">
        <x:v>26</x:v>
      </x:c>
      <x:c r="B2051" s="3" t="s">
        <x:v>231</x:v>
      </x:c>
      <x:c r="C2051" s="3" t="s">
        <x:v>546</x:v>
      </x:c>
      <x:c r="D2051" t="s">
        <x:v>677</x:v>
      </x:c>
      <x:c r="E2051" s="6">
        <x:v>0</x:v>
      </x:c>
      <x:c r="F2051" s="6">
        <x:v>0</x:v>
      </x:c>
      <x:c r="G2051" s="6">
        <x:v>0</x:v>
      </x:c>
      <x:c r="H2051" s="6">
        <x:f t="shared" si="97"/>
        <x:v>0</x:v>
      </x:c>
      <x:c r="I2051" s="6">
        <x:v>25.32</x:v>
      </x:c>
      <x:c r="J2051" s="6">
        <x:v>0</x:v>
      </x:c>
      <x:c r="K2051" s="6">
        <x:f t="shared" si="98"/>
        <x:v>25.32</x:v>
      </x:c>
      <x:c r="L2051" s="6">
        <x:v>0</x:v>
      </x:c>
      <x:c r="M2051" s="6">
        <x:v>0</x:v>
      </x:c>
      <x:c r="N2051" s="6">
        <x:f t="shared" si="99"/>
        <x:v>25.32</x:v>
      </x:c>
    </x:row>
    <x:row r="2052" spans="1:14" x14ac:dyDescent="0.25">
      <x:c r="A2052" t="s">
        <x:v>26</x:v>
      </x:c>
      <x:c r="B2052" s="3" t="s">
        <x:v>128</x:v>
      </x:c>
      <x:c r="C2052" s="3" t="s">
        <x:v>445</x:v>
      </x:c>
      <x:c r="D2052" t="s">
        <x:v>677</x:v>
      </x:c>
      <x:c r="E2052" s="6">
        <x:v>0</x:v>
      </x:c>
      <x:c r="F2052" s="6">
        <x:v>0</x:v>
      </x:c>
      <x:c r="G2052" s="6">
        <x:v>0</x:v>
      </x:c>
      <x:c r="H2052" s="6">
        <x:f t="shared" si="97"/>
        <x:v>0</x:v>
      </x:c>
      <x:c r="I2052" s="6">
        <x:v>14.850000000000001</x:v>
      </x:c>
      <x:c r="J2052" s="6">
        <x:v>0</x:v>
      </x:c>
      <x:c r="K2052" s="6">
        <x:f t="shared" si="98"/>
        <x:v>14.850000000000001</x:v>
      </x:c>
      <x:c r="L2052" s="6">
        <x:v>0</x:v>
      </x:c>
      <x:c r="M2052" s="6">
        <x:v>0</x:v>
      </x:c>
      <x:c r="N2052" s="6">
        <x:f t="shared" si="99"/>
        <x:v>14.850000000000001</x:v>
      </x:c>
    </x:row>
    <x:row r="2053" spans="1:14" x14ac:dyDescent="0.25">
      <x:c r="A2053" t="s">
        <x:v>26</x:v>
      </x:c>
      <x:c r="B2053" s="3" t="s">
        <x:v>129</x:v>
      </x:c>
      <x:c r="C2053" s="3" t="s">
        <x:v>446</x:v>
      </x:c>
      <x:c r="D2053" t="s">
        <x:v>677</x:v>
      </x:c>
      <x:c r="E2053" s="6">
        <x:v>0</x:v>
      </x:c>
      <x:c r="F2053" s="6">
        <x:v>0</x:v>
      </x:c>
      <x:c r="G2053" s="6">
        <x:v>0</x:v>
      </x:c>
      <x:c r="H2053" s="6">
        <x:f t="shared" si="97"/>
        <x:v>0</x:v>
      </x:c>
      <x:c r="I2053" s="6">
        <x:v>29.859999999999996</x:v>
      </x:c>
      <x:c r="J2053" s="6">
        <x:v>0</x:v>
      </x:c>
      <x:c r="K2053" s="6">
        <x:f t="shared" si="98"/>
        <x:v>29.859999999999996</x:v>
      </x:c>
      <x:c r="L2053" s="6">
        <x:v>0</x:v>
      </x:c>
      <x:c r="M2053" s="6">
        <x:v>0</x:v>
      </x:c>
      <x:c r="N2053" s="6">
        <x:f t="shared" si="99"/>
        <x:v>29.859999999999996</x:v>
      </x:c>
    </x:row>
    <x:row r="2054" spans="1:14" x14ac:dyDescent="0.25">
      <x:c r="A2054" t="s">
        <x:v>26</x:v>
      </x:c>
      <x:c r="B2054" s="3" t="s">
        <x:v>131</x:v>
      </x:c>
      <x:c r="C2054" s="3" t="s">
        <x:v>448</x:v>
      </x:c>
      <x:c r="D2054" t="s">
        <x:v>677</x:v>
      </x:c>
      <x:c r="E2054" s="6">
        <x:v>0</x:v>
      </x:c>
      <x:c r="F2054" s="6">
        <x:v>0</x:v>
      </x:c>
      <x:c r="G2054" s="6">
        <x:v>0</x:v>
      </x:c>
      <x:c r="H2054" s="6">
        <x:f t="shared" si="97"/>
        <x:v>0</x:v>
      </x:c>
      <x:c r="I2054" s="6">
        <x:v>8767.52</x:v>
      </x:c>
      <x:c r="J2054" s="6">
        <x:v>0</x:v>
      </x:c>
      <x:c r="K2054" s="6">
        <x:f t="shared" si="98"/>
        <x:v>8767.52</x:v>
      </x:c>
      <x:c r="L2054" s="6">
        <x:v>0</x:v>
      </x:c>
      <x:c r="M2054" s="6">
        <x:v>0</x:v>
      </x:c>
      <x:c r="N2054" s="6">
        <x:f t="shared" si="99"/>
        <x:v>8767.52</x:v>
      </x:c>
    </x:row>
    <x:row r="2055" spans="1:14" x14ac:dyDescent="0.25">
      <x:c r="A2055" t="s">
        <x:v>26</x:v>
      </x:c>
      <x:c r="B2055" s="3" t="s">
        <x:v>133</x:v>
      </x:c>
      <x:c r="C2055" s="3" t="s">
        <x:v>450</x:v>
      </x:c>
      <x:c r="D2055" t="s">
        <x:v>677</x:v>
      </x:c>
      <x:c r="E2055" s="6">
        <x:v>0</x:v>
      </x:c>
      <x:c r="F2055" s="6">
        <x:v>0</x:v>
      </x:c>
      <x:c r="G2055" s="6">
        <x:v>0</x:v>
      </x:c>
      <x:c r="H2055" s="6">
        <x:f t="shared" si="97"/>
        <x:v>0</x:v>
      </x:c>
      <x:c r="I2055" s="6">
        <x:v>10.760000000000002</x:v>
      </x:c>
      <x:c r="J2055" s="6">
        <x:v>0</x:v>
      </x:c>
      <x:c r="K2055" s="6">
        <x:f t="shared" si="98"/>
        <x:v>10.760000000000002</x:v>
      </x:c>
      <x:c r="L2055" s="6">
        <x:v>0</x:v>
      </x:c>
      <x:c r="M2055" s="6">
        <x:v>0</x:v>
      </x:c>
      <x:c r="N2055" s="6">
        <x:f t="shared" si="99"/>
        <x:v>10.760000000000002</x:v>
      </x:c>
    </x:row>
    <x:row r="2056" spans="1:14" x14ac:dyDescent="0.25">
      <x:c r="A2056" t="s">
        <x:v>26</x:v>
      </x:c>
      <x:c r="B2056" s="3" t="s">
        <x:v>134</x:v>
      </x:c>
      <x:c r="C2056" s="3" t="s">
        <x:v>451</x:v>
      </x:c>
      <x:c r="D2056" t="s">
        <x:v>677</x:v>
      </x:c>
      <x:c r="E2056" s="6">
        <x:v>0</x:v>
      </x:c>
      <x:c r="F2056" s="6">
        <x:v>0</x:v>
      </x:c>
      <x:c r="G2056" s="6">
        <x:v>0</x:v>
      </x:c>
      <x:c r="H2056" s="6">
        <x:f t="shared" si="97"/>
        <x:v>0</x:v>
      </x:c>
      <x:c r="I2056" s="6">
        <x:v>3516.75</x:v>
      </x:c>
      <x:c r="J2056" s="6">
        <x:v>0</x:v>
      </x:c>
      <x:c r="K2056" s="6">
        <x:f t="shared" si="98"/>
        <x:v>3516.75</x:v>
      </x:c>
      <x:c r="L2056" s="6">
        <x:v>0</x:v>
      </x:c>
      <x:c r="M2056" s="6">
        <x:v>0</x:v>
      </x:c>
      <x:c r="N2056" s="6">
        <x:f t="shared" si="99"/>
        <x:v>3516.75</x:v>
      </x:c>
    </x:row>
    <x:row r="2057" spans="1:14" x14ac:dyDescent="0.25">
      <x:c r="A2057" t="s">
        <x:v>26</x:v>
      </x:c>
      <x:c r="B2057" s="3" t="s">
        <x:v>147</x:v>
      </x:c>
      <x:c r="C2057" s="3" t="s">
        <x:v>464</x:v>
      </x:c>
      <x:c r="D2057" t="s">
        <x:v>677</x:v>
      </x:c>
      <x:c r="E2057" s="6">
        <x:v>0</x:v>
      </x:c>
      <x:c r="F2057" s="6">
        <x:v>0</x:v>
      </x:c>
      <x:c r="G2057" s="6">
        <x:v>0</x:v>
      </x:c>
      <x:c r="H2057" s="6">
        <x:f t="shared" si="97"/>
        <x:v>0</x:v>
      </x:c>
      <x:c r="I2057" s="6">
        <x:v>3239.8399999999992</x:v>
      </x:c>
      <x:c r="J2057" s="6">
        <x:v>0</x:v>
      </x:c>
      <x:c r="K2057" s="6">
        <x:f t="shared" si="98"/>
        <x:v>3239.8399999999992</x:v>
      </x:c>
      <x:c r="L2057" s="6">
        <x:v>0</x:v>
      </x:c>
      <x:c r="M2057" s="6">
        <x:v>0</x:v>
      </x:c>
      <x:c r="N2057" s="6">
        <x:f t="shared" si="99"/>
        <x:v>3239.8399999999992</x:v>
      </x:c>
    </x:row>
    <x:row r="2058" spans="1:14" x14ac:dyDescent="0.25">
      <x:c r="A2058" t="s">
        <x:v>26</x:v>
      </x:c>
      <x:c r="B2058" s="3" t="s">
        <x:v>148</x:v>
      </x:c>
      <x:c r="C2058" s="3" t="s">
        <x:v>465</x:v>
      </x:c>
      <x:c r="D2058" t="s">
        <x:v>677</x:v>
      </x:c>
      <x:c r="E2058" s="6">
        <x:v>0</x:v>
      </x:c>
      <x:c r="F2058" s="6">
        <x:v>0</x:v>
      </x:c>
      <x:c r="G2058" s="6">
        <x:v>0</x:v>
      </x:c>
      <x:c r="H2058" s="6">
        <x:f t="shared" si="97"/>
        <x:v>0</x:v>
      </x:c>
      <x:c r="I2058" s="6">
        <x:v>1927.7800000000002</x:v>
      </x:c>
      <x:c r="J2058" s="6">
        <x:v>0</x:v>
      </x:c>
      <x:c r="K2058" s="6">
        <x:f t="shared" si="98"/>
        <x:v>1927.7800000000002</x:v>
      </x:c>
      <x:c r="L2058" s="6">
        <x:v>0</x:v>
      </x:c>
      <x:c r="M2058" s="6">
        <x:v>0</x:v>
      </x:c>
      <x:c r="N2058" s="6">
        <x:f t="shared" si="99"/>
        <x:v>1927.7800000000002</x:v>
      </x:c>
    </x:row>
    <x:row r="2059" spans="1:14" x14ac:dyDescent="0.25">
      <x:c r="A2059" t="s">
        <x:v>26</x:v>
      </x:c>
      <x:c r="B2059" s="3" t="s">
        <x:v>149</x:v>
      </x:c>
      <x:c r="C2059" s="3" t="s">
        <x:v>466</x:v>
      </x:c>
      <x:c r="D2059" t="s">
        <x:v>677</x:v>
      </x:c>
      <x:c r="E2059" s="6">
        <x:v>0</x:v>
      </x:c>
      <x:c r="F2059" s="6">
        <x:v>0</x:v>
      </x:c>
      <x:c r="G2059" s="6">
        <x:v>0</x:v>
      </x:c>
      <x:c r="H2059" s="6">
        <x:f t="shared" si="97"/>
        <x:v>0</x:v>
      </x:c>
      <x:c r="I2059" s="6">
        <x:v>453.4</x:v>
      </x:c>
      <x:c r="J2059" s="6">
        <x:v>0</x:v>
      </x:c>
      <x:c r="K2059" s="6">
        <x:f t="shared" si="98"/>
        <x:v>453.4</x:v>
      </x:c>
      <x:c r="L2059" s="6">
        <x:v>0</x:v>
      </x:c>
      <x:c r="M2059" s="6">
        <x:v>0</x:v>
      </x:c>
      <x:c r="N2059" s="6">
        <x:f t="shared" si="99"/>
        <x:v>453.4</x:v>
      </x:c>
    </x:row>
    <x:row r="2060" spans="1:14" x14ac:dyDescent="0.25">
      <x:c r="A2060" t="s">
        <x:v>26</x:v>
      </x:c>
      <x:c r="B2060" s="3" t="s">
        <x:v>150</x:v>
      </x:c>
      <x:c r="C2060" s="3" t="s">
        <x:v>467</x:v>
      </x:c>
      <x:c r="D2060" t="s">
        <x:v>677</x:v>
      </x:c>
      <x:c r="E2060" s="6">
        <x:v>0</x:v>
      </x:c>
      <x:c r="F2060" s="6">
        <x:v>0</x:v>
      </x:c>
      <x:c r="G2060" s="6">
        <x:v>0</x:v>
      </x:c>
      <x:c r="H2060" s="6">
        <x:f t="shared" si="97"/>
        <x:v>0</x:v>
      </x:c>
      <x:c r="I2060" s="6">
        <x:v>6543.6399999999994</x:v>
      </x:c>
      <x:c r="J2060" s="6">
        <x:v>0</x:v>
      </x:c>
      <x:c r="K2060" s="6">
        <x:f t="shared" si="98"/>
        <x:v>6543.6399999999994</x:v>
      </x:c>
      <x:c r="L2060" s="6">
        <x:v>0</x:v>
      </x:c>
      <x:c r="M2060" s="6">
        <x:v>0</x:v>
      </x:c>
      <x:c r="N2060" s="6">
        <x:f t="shared" si="99"/>
        <x:v>6543.6399999999994</x:v>
      </x:c>
    </x:row>
    <x:row r="2061" spans="1:14" x14ac:dyDescent="0.25">
      <x:c r="A2061" t="s">
        <x:v>26</x:v>
      </x:c>
      <x:c r="B2061" s="3" t="s">
        <x:v>151</x:v>
      </x:c>
      <x:c r="C2061" s="3" t="s">
        <x:v>468</x:v>
      </x:c>
      <x:c r="D2061" t="s">
        <x:v>677</x:v>
      </x:c>
      <x:c r="E2061" s="6">
        <x:v>0</x:v>
      </x:c>
      <x:c r="F2061" s="6">
        <x:v>0</x:v>
      </x:c>
      <x:c r="G2061" s="6">
        <x:v>0</x:v>
      </x:c>
      <x:c r="H2061" s="6">
        <x:f t="shared" si="97"/>
        <x:v>0</x:v>
      </x:c>
      <x:c r="I2061" s="6">
        <x:v>646502.75</x:v>
      </x:c>
      <x:c r="J2061" s="6">
        <x:v>0</x:v>
      </x:c>
      <x:c r="K2061" s="6">
        <x:f t="shared" si="98"/>
        <x:v>646502.75</x:v>
      </x:c>
      <x:c r="L2061" s="6">
        <x:v>0</x:v>
      </x:c>
      <x:c r="M2061" s="6">
        <x:v>0</x:v>
      </x:c>
      <x:c r="N2061" s="6">
        <x:f t="shared" si="99"/>
        <x:v>646502.75</x:v>
      </x:c>
    </x:row>
    <x:row r="2062" spans="1:14" x14ac:dyDescent="0.25">
      <x:c r="A2062" t="s">
        <x:v>26</x:v>
      </x:c>
      <x:c r="B2062" s="3" t="s">
        <x:v>152</x:v>
      </x:c>
      <x:c r="C2062" s="3" t="s">
        <x:v>469</x:v>
      </x:c>
      <x:c r="D2062" t="s">
        <x:v>677</x:v>
      </x:c>
      <x:c r="E2062" s="6">
        <x:v>0</x:v>
      </x:c>
      <x:c r="F2062" s="6">
        <x:v>0</x:v>
      </x:c>
      <x:c r="G2062" s="6">
        <x:v>0</x:v>
      </x:c>
      <x:c r="H2062" s="6">
        <x:f t="shared" si="97"/>
        <x:v>0</x:v>
      </x:c>
      <x:c r="I2062" s="6">
        <x:v>63.879999999999995</x:v>
      </x:c>
      <x:c r="J2062" s="6">
        <x:v>0</x:v>
      </x:c>
      <x:c r="K2062" s="6">
        <x:f t="shared" si="98"/>
        <x:v>63.879999999999995</x:v>
      </x:c>
      <x:c r="L2062" s="6">
        <x:v>0</x:v>
      </x:c>
      <x:c r="M2062" s="6">
        <x:v>0</x:v>
      </x:c>
      <x:c r="N2062" s="6">
        <x:f t="shared" si="99"/>
        <x:v>63.879999999999995</x:v>
      </x:c>
    </x:row>
    <x:row r="2063" spans="1:14" x14ac:dyDescent="0.25">
      <x:c r="A2063" t="s">
        <x:v>26</x:v>
      </x:c>
      <x:c r="B2063" s="3" t="s">
        <x:v>153</x:v>
      </x:c>
      <x:c r="C2063" s="3" t="s">
        <x:v>470</x:v>
      </x:c>
      <x:c r="D2063" t="s">
        <x:v>677</x:v>
      </x:c>
      <x:c r="E2063" s="6">
        <x:v>0</x:v>
      </x:c>
      <x:c r="F2063" s="6">
        <x:v>0</x:v>
      </x:c>
      <x:c r="G2063" s="6">
        <x:v>0</x:v>
      </x:c>
      <x:c r="H2063" s="6">
        <x:f t="shared" si="97"/>
        <x:v>0</x:v>
      </x:c>
      <x:c r="I2063" s="6">
        <x:v>1419.67</x:v>
      </x:c>
      <x:c r="J2063" s="6">
        <x:v>0</x:v>
      </x:c>
      <x:c r="K2063" s="6">
        <x:f t="shared" si="98"/>
        <x:v>1419.67</x:v>
      </x:c>
      <x:c r="L2063" s="6">
        <x:v>0</x:v>
      </x:c>
      <x:c r="M2063" s="6">
        <x:v>0</x:v>
      </x:c>
      <x:c r="N2063" s="6">
        <x:f t="shared" si="99"/>
        <x:v>1419.67</x:v>
      </x:c>
    </x:row>
    <x:row r="2064" spans="1:14" x14ac:dyDescent="0.25">
      <x:c r="A2064" t="s">
        <x:v>26</x:v>
      </x:c>
      <x:c r="B2064" s="3" t="s">
        <x:v>154</x:v>
      </x:c>
      <x:c r="C2064" s="3" t="s">
        <x:v>471</x:v>
      </x:c>
      <x:c r="D2064" t="s">
        <x:v>677</x:v>
      </x:c>
      <x:c r="E2064" s="6">
        <x:v>0</x:v>
      </x:c>
      <x:c r="F2064" s="6">
        <x:v>0</x:v>
      </x:c>
      <x:c r="G2064" s="6">
        <x:v>0</x:v>
      </x:c>
      <x:c r="H2064" s="6">
        <x:f t="shared" si="97"/>
        <x:v>0</x:v>
      </x:c>
      <x:c r="I2064" s="6">
        <x:v>574.32999999999993</x:v>
      </x:c>
      <x:c r="J2064" s="6">
        <x:v>0</x:v>
      </x:c>
      <x:c r="K2064" s="6">
        <x:f t="shared" si="98"/>
        <x:v>574.32999999999993</x:v>
      </x:c>
      <x:c r="L2064" s="6">
        <x:v>0</x:v>
      </x:c>
      <x:c r="M2064" s="6">
        <x:v>0</x:v>
      </x:c>
      <x:c r="N2064" s="6">
        <x:f t="shared" si="99"/>
        <x:v>574.32999999999993</x:v>
      </x:c>
    </x:row>
    <x:row r="2065" spans="1:14" x14ac:dyDescent="0.25">
      <x:c r="A2065" t="s">
        <x:v>26</x:v>
      </x:c>
      <x:c r="B2065" s="3" t="s">
        <x:v>155</x:v>
      </x:c>
      <x:c r="C2065" s="3" t="s">
        <x:v>472</x:v>
      </x:c>
      <x:c r="D2065" t="s">
        <x:v>677</x:v>
      </x:c>
      <x:c r="E2065" s="6">
        <x:v>0</x:v>
      </x:c>
      <x:c r="F2065" s="6">
        <x:v>0</x:v>
      </x:c>
      <x:c r="G2065" s="6">
        <x:v>0</x:v>
      </x:c>
      <x:c r="H2065" s="6">
        <x:f t="shared" si="97"/>
        <x:v>0</x:v>
      </x:c>
      <x:c r="I2065" s="6">
        <x:v>163.47000000000003</x:v>
      </x:c>
      <x:c r="J2065" s="6">
        <x:v>0</x:v>
      </x:c>
      <x:c r="K2065" s="6">
        <x:f t="shared" si="98"/>
        <x:v>163.47000000000003</x:v>
      </x:c>
      <x:c r="L2065" s="6">
        <x:v>0</x:v>
      </x:c>
      <x:c r="M2065" s="6">
        <x:v>0</x:v>
      </x:c>
      <x:c r="N2065" s="6">
        <x:f t="shared" si="99"/>
        <x:v>163.47000000000003</x:v>
      </x:c>
    </x:row>
    <x:row r="2066" spans="1:14" x14ac:dyDescent="0.25">
      <x:c r="A2066" t="s">
        <x:v>26</x:v>
      </x:c>
      <x:c r="B2066" s="3" t="s">
        <x:v>45</x:v>
      </x:c>
      <x:c r="C2066" s="3" t="s">
        <x:v>362</x:v>
      </x:c>
      <x:c r="D2066" t="s">
        <x:v>677</x:v>
      </x:c>
      <x:c r="E2066" s="6">
        <x:v>0</x:v>
      </x:c>
      <x:c r="F2066" s="6">
        <x:v>0</x:v>
      </x:c>
      <x:c r="G2066" s="6">
        <x:v>0</x:v>
      </x:c>
      <x:c r="H2066" s="6">
        <x:f t="shared" ref="H2066:H2134" si="100">SUM(E2066:G2066)</x:f>
        <x:v>0</x:v>
      </x:c>
      <x:c r="I2066" s="6">
        <x:v>-3315.4300000000003</x:v>
      </x:c>
      <x:c r="J2066" s="6">
        <x:v>0</x:v>
      </x:c>
      <x:c r="K2066" s="6">
        <x:f t="shared" ref="K2066:K2134" si="101">SUM(I2066:J2066)</x:f>
        <x:v>-3315.4300000000003</x:v>
      </x:c>
      <x:c r="L2066" s="6">
        <x:v>0</x:v>
      </x:c>
      <x:c r="M2066" s="6">
        <x:v>0</x:v>
      </x:c>
      <x:c r="N2066" s="6">
        <x:f t="shared" ref="N2066:N2134" si="102">+E2066+F2066+G2066+I2066+J2066+L2066+M2066</x:f>
        <x:v>-3315.4300000000003</x:v>
      </x:c>
    </x:row>
    <x:row r="2067" spans="1:14" x14ac:dyDescent="0.25">
      <x:c r="A2067" t="s">
        <x:v>26</x:v>
      </x:c>
      <x:c r="B2067" s="3" t="s">
        <x:v>156</x:v>
      </x:c>
      <x:c r="C2067" s="3" t="s">
        <x:v>473</x:v>
      </x:c>
      <x:c r="D2067" t="s">
        <x:v>677</x:v>
      </x:c>
      <x:c r="E2067" s="6">
        <x:v>0</x:v>
      </x:c>
      <x:c r="F2067" s="6">
        <x:v>0</x:v>
      </x:c>
      <x:c r="G2067" s="6">
        <x:v>0</x:v>
      </x:c>
      <x:c r="H2067" s="6">
        <x:f t="shared" si="100"/>
        <x:v>0</x:v>
      </x:c>
      <x:c r="I2067" s="6">
        <x:v>16.899999999999999</x:v>
      </x:c>
      <x:c r="J2067" s="6">
        <x:v>0</x:v>
      </x:c>
      <x:c r="K2067" s="6">
        <x:f t="shared" si="101"/>
        <x:v>16.899999999999999</x:v>
      </x:c>
      <x:c r="L2067" s="6">
        <x:v>0</x:v>
      </x:c>
      <x:c r="M2067" s="6">
        <x:v>0</x:v>
      </x:c>
      <x:c r="N2067" s="6">
        <x:f t="shared" si="102"/>
        <x:v>16.899999999999999</x:v>
      </x:c>
    </x:row>
    <x:row r="2068" spans="1:14" x14ac:dyDescent="0.25">
      <x:c r="A2068" t="s">
        <x:v>26</x:v>
      </x:c>
      <x:c r="B2068" s="3" t="s">
        <x:v>157</x:v>
      </x:c>
      <x:c r="C2068" s="3" t="s">
        <x:v>474</x:v>
      </x:c>
      <x:c r="D2068" t="s">
        <x:v>677</x:v>
      </x:c>
      <x:c r="E2068" s="6">
        <x:v>0</x:v>
      </x:c>
      <x:c r="F2068" s="6">
        <x:v>0</x:v>
      </x:c>
      <x:c r="G2068" s="6">
        <x:v>0</x:v>
      </x:c>
      <x:c r="H2068" s="6">
        <x:f t="shared" si="100"/>
        <x:v>0</x:v>
      </x:c>
      <x:c r="I2068" s="6">
        <x:v>26.35</x:v>
      </x:c>
      <x:c r="J2068" s="6">
        <x:v>0</x:v>
      </x:c>
      <x:c r="K2068" s="6">
        <x:f t="shared" si="101"/>
        <x:v>26.35</x:v>
      </x:c>
      <x:c r="L2068" s="6">
        <x:v>0</x:v>
      </x:c>
      <x:c r="M2068" s="6">
        <x:v>0</x:v>
      </x:c>
      <x:c r="N2068" s="6">
        <x:f t="shared" si="102"/>
        <x:v>26.35</x:v>
      </x:c>
    </x:row>
    <x:row r="2069" spans="1:14" x14ac:dyDescent="0.25">
      <x:c r="A2069" t="s">
        <x:v>26</x:v>
      </x:c>
      <x:c r="B2069" s="3" t="s">
        <x:v>158</x:v>
      </x:c>
      <x:c r="C2069" s="3" t="s">
        <x:v>475</x:v>
      </x:c>
      <x:c r="D2069" t="s">
        <x:v>677</x:v>
      </x:c>
      <x:c r="E2069" s="6">
        <x:v>0</x:v>
      </x:c>
      <x:c r="F2069" s="6">
        <x:v>0</x:v>
      </x:c>
      <x:c r="G2069" s="6">
        <x:v>0</x:v>
      </x:c>
      <x:c r="H2069" s="6">
        <x:f t="shared" si="100"/>
        <x:v>0</x:v>
      </x:c>
      <x:c r="I2069" s="6">
        <x:v>14.56</x:v>
      </x:c>
      <x:c r="J2069" s="6">
        <x:v>0</x:v>
      </x:c>
      <x:c r="K2069" s="6">
        <x:f t="shared" si="101"/>
        <x:v>14.56</x:v>
      </x:c>
      <x:c r="L2069" s="6">
        <x:v>0</x:v>
      </x:c>
      <x:c r="M2069" s="6">
        <x:v>0</x:v>
      </x:c>
      <x:c r="N2069" s="6">
        <x:f t="shared" si="102"/>
        <x:v>14.56</x:v>
      </x:c>
    </x:row>
    <x:row r="2070" spans="1:14" x14ac:dyDescent="0.25">
      <x:c r="A2070" t="s">
        <x:v>26</x:v>
      </x:c>
      <x:c r="B2070" s="3" t="s">
        <x:v>162</x:v>
      </x:c>
      <x:c r="C2070" s="3" t="s">
        <x:v>479</x:v>
      </x:c>
      <x:c r="D2070" t="s">
        <x:v>677</x:v>
      </x:c>
      <x:c r="E2070" s="6">
        <x:v>0</x:v>
      </x:c>
      <x:c r="F2070" s="6">
        <x:v>0</x:v>
      </x:c>
      <x:c r="G2070" s="6">
        <x:v>0</x:v>
      </x:c>
      <x:c r="H2070" s="6">
        <x:f t="shared" si="100"/>
        <x:v>0</x:v>
      </x:c>
      <x:c r="I2070" s="6">
        <x:v>972.51</x:v>
      </x:c>
      <x:c r="J2070" s="6">
        <x:v>0</x:v>
      </x:c>
      <x:c r="K2070" s="6">
        <x:f t="shared" si="101"/>
        <x:v>972.51</x:v>
      </x:c>
      <x:c r="L2070" s="6">
        <x:v>0</x:v>
      </x:c>
      <x:c r="M2070" s="6">
        <x:v>0</x:v>
      </x:c>
      <x:c r="N2070" s="6">
        <x:f t="shared" si="102"/>
        <x:v>972.51</x:v>
      </x:c>
    </x:row>
    <x:row r="2071" spans="1:14" x14ac:dyDescent="0.25">
      <x:c r="A2071" t="s">
        <x:v>26</x:v>
      </x:c>
      <x:c r="B2071" s="3" t="s">
        <x:v>163</x:v>
      </x:c>
      <x:c r="C2071" s="3" t="s">
        <x:v>480</x:v>
      </x:c>
      <x:c r="D2071" t="s">
        <x:v>677</x:v>
      </x:c>
      <x:c r="E2071" s="6">
        <x:v>0</x:v>
      </x:c>
      <x:c r="F2071" s="6">
        <x:v>0</x:v>
      </x:c>
      <x:c r="G2071" s="6">
        <x:v>0</x:v>
      </x:c>
      <x:c r="H2071" s="6">
        <x:f t="shared" si="100"/>
        <x:v>0</x:v>
      </x:c>
      <x:c r="I2071" s="6">
        <x:v>22037.84</x:v>
      </x:c>
      <x:c r="J2071" s="6">
        <x:v>0</x:v>
      </x:c>
      <x:c r="K2071" s="6">
        <x:f t="shared" si="101"/>
        <x:v>22037.84</x:v>
      </x:c>
      <x:c r="L2071" s="6">
        <x:v>0</x:v>
      </x:c>
      <x:c r="M2071" s="6">
        <x:v>0</x:v>
      </x:c>
      <x:c r="N2071" s="6">
        <x:f t="shared" si="102"/>
        <x:v>22037.84</x:v>
      </x:c>
    </x:row>
    <x:row r="2072" spans="1:14" x14ac:dyDescent="0.25">
      <x:c r="A2072" t="s">
        <x:v>26</x:v>
      </x:c>
      <x:c r="B2072" s="3" t="s">
        <x:v>164</x:v>
      </x:c>
      <x:c r="C2072" s="3" t="s">
        <x:v>481</x:v>
      </x:c>
      <x:c r="D2072" t="s">
        <x:v>677</x:v>
      </x:c>
      <x:c r="E2072" s="6">
        <x:v>0</x:v>
      </x:c>
      <x:c r="F2072" s="6">
        <x:v>0</x:v>
      </x:c>
      <x:c r="G2072" s="6">
        <x:v>0</x:v>
      </x:c>
      <x:c r="H2072" s="6">
        <x:f t="shared" si="100"/>
        <x:v>0</x:v>
      </x:c>
      <x:c r="I2072" s="6">
        <x:v>1253.69</x:v>
      </x:c>
      <x:c r="J2072" s="6">
        <x:v>0</x:v>
      </x:c>
      <x:c r="K2072" s="6">
        <x:f t="shared" si="101"/>
        <x:v>1253.69</x:v>
      </x:c>
      <x:c r="L2072" s="6">
        <x:v>0</x:v>
      </x:c>
      <x:c r="M2072" s="6">
        <x:v>0</x:v>
      </x:c>
      <x:c r="N2072" s="6">
        <x:f t="shared" si="102"/>
        <x:v>1253.69</x:v>
      </x:c>
    </x:row>
    <x:row r="2073" spans="1:14" x14ac:dyDescent="0.25">
      <x:c r="A2073" t="s">
        <x:v>26</x:v>
      </x:c>
      <x:c r="B2073" s="3" t="s">
        <x:v>49</x:v>
      </x:c>
      <x:c r="C2073" s="3" t="s">
        <x:v>366</x:v>
      </x:c>
      <x:c r="D2073" t="s">
        <x:v>677</x:v>
      </x:c>
      <x:c r="E2073" s="6">
        <x:v>0</x:v>
      </x:c>
      <x:c r="F2073" s="6">
        <x:v>0</x:v>
      </x:c>
      <x:c r="G2073" s="6">
        <x:v>0</x:v>
      </x:c>
      <x:c r="H2073" s="6">
        <x:f t="shared" si="100"/>
        <x:v>0</x:v>
      </x:c>
      <x:c r="I2073" s="6">
        <x:v>3249.6000000000004</x:v>
      </x:c>
      <x:c r="J2073" s="6">
        <x:v>0</x:v>
      </x:c>
      <x:c r="K2073" s="6">
        <x:f t="shared" si="101"/>
        <x:v>3249.6000000000004</x:v>
      </x:c>
      <x:c r="L2073" s="6">
        <x:v>0</x:v>
      </x:c>
      <x:c r="M2073" s="6">
        <x:v>0</x:v>
      </x:c>
      <x:c r="N2073" s="6">
        <x:f t="shared" si="102"/>
        <x:v>3249.6000000000004</x:v>
      </x:c>
    </x:row>
    <x:row r="2074" spans="1:14" x14ac:dyDescent="0.25">
      <x:c r="A2074" t="s">
        <x:v>26</x:v>
      </x:c>
      <x:c r="B2074" s="3" t="s">
        <x:v>165</x:v>
      </x:c>
      <x:c r="C2074" s="3" t="s">
        <x:v>482</x:v>
      </x:c>
      <x:c r="D2074" t="s">
        <x:v>677</x:v>
      </x:c>
      <x:c r="E2074" s="6">
        <x:v>0</x:v>
      </x:c>
      <x:c r="F2074" s="6">
        <x:v>0</x:v>
      </x:c>
      <x:c r="G2074" s="6">
        <x:v>0</x:v>
      </x:c>
      <x:c r="H2074" s="6">
        <x:f t="shared" si="100"/>
        <x:v>0</x:v>
      </x:c>
      <x:c r="I2074" s="6">
        <x:v>113.27000000000001</x:v>
      </x:c>
      <x:c r="J2074" s="6">
        <x:v>0</x:v>
      </x:c>
      <x:c r="K2074" s="6">
        <x:f t="shared" si="101"/>
        <x:v>113.27000000000001</x:v>
      </x:c>
      <x:c r="L2074" s="6">
        <x:v>0</x:v>
      </x:c>
      <x:c r="M2074" s="6">
        <x:v>0</x:v>
      </x:c>
      <x:c r="N2074" s="6">
        <x:f t="shared" si="102"/>
        <x:v>113.27000000000001</x:v>
      </x:c>
    </x:row>
    <x:row r="2075" spans="1:14" x14ac:dyDescent="0.25">
      <x:c r="A2075" t="s">
        <x:v>26</x:v>
      </x:c>
      <x:c r="B2075" s="3" t="s">
        <x:v>233</x:v>
      </x:c>
      <x:c r="C2075" s="3" t="s">
        <x:v>548</x:v>
      </x:c>
      <x:c r="D2075" t="s">
        <x:v>677</x:v>
      </x:c>
      <x:c r="E2075" s="6">
        <x:v>0</x:v>
      </x:c>
      <x:c r="F2075" s="6">
        <x:v>0</x:v>
      </x:c>
      <x:c r="G2075" s="6">
        <x:v>0</x:v>
      </x:c>
      <x:c r="H2075" s="6">
        <x:f t="shared" si="100"/>
        <x:v>0</x:v>
      </x:c>
      <x:c r="I2075" s="6">
        <x:v>46.509999999999991</x:v>
      </x:c>
      <x:c r="J2075" s="6">
        <x:v>0</x:v>
      </x:c>
      <x:c r="K2075" s="6">
        <x:f t="shared" si="101"/>
        <x:v>46.509999999999991</x:v>
      </x:c>
      <x:c r="L2075" s="6">
        <x:v>0</x:v>
      </x:c>
      <x:c r="M2075" s="6">
        <x:v>0</x:v>
      </x:c>
      <x:c r="N2075" s="6">
        <x:f t="shared" si="102"/>
        <x:v>46.509999999999991</x:v>
      </x:c>
    </x:row>
    <x:row r="2076" spans="1:14" x14ac:dyDescent="0.25">
      <x:c r="A2076" t="s">
        <x:v>26</x:v>
      </x:c>
      <x:c r="B2076" s="3" t="s">
        <x:v>167</x:v>
      </x:c>
      <x:c r="C2076" s="3" t="s">
        <x:v>484</x:v>
      </x:c>
      <x:c r="D2076" t="s">
        <x:v>677</x:v>
      </x:c>
      <x:c r="E2076" s="6">
        <x:v>0</x:v>
      </x:c>
      <x:c r="F2076" s="6">
        <x:v>0</x:v>
      </x:c>
      <x:c r="G2076" s="6">
        <x:v>0</x:v>
      </x:c>
      <x:c r="H2076" s="6">
        <x:f t="shared" si="100"/>
        <x:v>0</x:v>
      </x:c>
      <x:c r="I2076" s="6">
        <x:v>35.14</x:v>
      </x:c>
      <x:c r="J2076" s="6">
        <x:v>0</x:v>
      </x:c>
      <x:c r="K2076" s="6">
        <x:f t="shared" si="101"/>
        <x:v>35.14</x:v>
      </x:c>
      <x:c r="L2076" s="6">
        <x:v>0</x:v>
      </x:c>
      <x:c r="M2076" s="6">
        <x:v>0</x:v>
      </x:c>
      <x:c r="N2076" s="6">
        <x:f t="shared" si="102"/>
        <x:v>35.14</x:v>
      </x:c>
    </x:row>
    <x:row r="2077" spans="1:14" x14ac:dyDescent="0.25">
      <x:c r="A2077" t="s">
        <x:v>26</x:v>
      </x:c>
      <x:c r="B2077" s="3" t="s">
        <x:v>172</x:v>
      </x:c>
      <x:c r="C2077" s="3" t="s">
        <x:v>488</x:v>
      </x:c>
      <x:c r="D2077" t="s">
        <x:v>677</x:v>
      </x:c>
      <x:c r="E2077" s="6">
        <x:v>0</x:v>
      </x:c>
      <x:c r="F2077" s="6">
        <x:v>0</x:v>
      </x:c>
      <x:c r="G2077" s="6">
        <x:v>0</x:v>
      </x:c>
      <x:c r="H2077" s="6">
        <x:f t="shared" si="100"/>
        <x:v>0</x:v>
      </x:c>
      <x:c r="I2077" s="6">
        <x:v>34595.279999999999</x:v>
      </x:c>
      <x:c r="J2077" s="6">
        <x:v>0</x:v>
      </x:c>
      <x:c r="K2077" s="6">
        <x:f t="shared" si="101"/>
        <x:v>34595.279999999999</x:v>
      </x:c>
      <x:c r="L2077" s="6">
        <x:v>0</x:v>
      </x:c>
      <x:c r="M2077" s="6">
        <x:v>0</x:v>
      </x:c>
      <x:c r="N2077" s="6">
        <x:f t="shared" si="102"/>
        <x:v>34595.279999999999</x:v>
      </x:c>
    </x:row>
    <x:row r="2078" spans="1:14" x14ac:dyDescent="0.25">
      <x:c r="A2078" t="s">
        <x:v>26</x:v>
      </x:c>
      <x:c r="B2078" s="3" t="s">
        <x:v>173</x:v>
      </x:c>
      <x:c r="C2078" s="3" t="s">
        <x:v>489</x:v>
      </x:c>
      <x:c r="D2078" t="s">
        <x:v>677</x:v>
      </x:c>
      <x:c r="E2078" s="6">
        <x:v>0</x:v>
      </x:c>
      <x:c r="F2078" s="6">
        <x:v>0</x:v>
      </x:c>
      <x:c r="G2078" s="6">
        <x:v>0</x:v>
      </x:c>
      <x:c r="H2078" s="6">
        <x:f t="shared" si="100"/>
        <x:v>0</x:v>
      </x:c>
      <x:c r="I2078" s="6">
        <x:v>2092.7200000000003</x:v>
      </x:c>
      <x:c r="J2078" s="6">
        <x:v>0</x:v>
      </x:c>
      <x:c r="K2078" s="6">
        <x:f t="shared" si="101"/>
        <x:v>2092.7200000000003</x:v>
      </x:c>
      <x:c r="L2078" s="6">
        <x:v>0</x:v>
      </x:c>
      <x:c r="M2078" s="6">
        <x:v>0</x:v>
      </x:c>
      <x:c r="N2078" s="6">
        <x:f t="shared" si="102"/>
        <x:v>2092.7200000000003</x:v>
      </x:c>
    </x:row>
    <x:row r="2079" spans="1:14" x14ac:dyDescent="0.25">
      <x:c r="A2079" t="s">
        <x:v>26</x:v>
      </x:c>
      <x:c r="B2079" s="3" t="s">
        <x:v>174</x:v>
      </x:c>
      <x:c r="C2079" s="3" t="s">
        <x:v>490</x:v>
      </x:c>
      <x:c r="D2079" t="s">
        <x:v>677</x:v>
      </x:c>
      <x:c r="E2079" s="6">
        <x:v>0</x:v>
      </x:c>
      <x:c r="F2079" s="6">
        <x:v>0</x:v>
      </x:c>
      <x:c r="G2079" s="6">
        <x:v>0</x:v>
      </x:c>
      <x:c r="H2079" s="6">
        <x:f t="shared" si="100"/>
        <x:v>0</x:v>
      </x:c>
      <x:c r="I2079" s="6">
        <x:v>3892.1100000000006</x:v>
      </x:c>
      <x:c r="J2079" s="6">
        <x:v>0</x:v>
      </x:c>
      <x:c r="K2079" s="6">
        <x:f t="shared" si="101"/>
        <x:v>3892.1100000000006</x:v>
      </x:c>
      <x:c r="L2079" s="6">
        <x:v>0</x:v>
      </x:c>
      <x:c r="M2079" s="6">
        <x:v>0</x:v>
      </x:c>
      <x:c r="N2079" s="6">
        <x:f t="shared" si="102"/>
        <x:v>3892.1100000000006</x:v>
      </x:c>
    </x:row>
    <x:row r="2080" spans="1:14" x14ac:dyDescent="0.25">
      <x:c r="A2080" t="s">
        <x:v>26</x:v>
      </x:c>
      <x:c r="B2080" s="3" t="s">
        <x:v>176</x:v>
      </x:c>
      <x:c r="C2080" s="3" t="s">
        <x:v>492</x:v>
      </x:c>
      <x:c r="D2080" t="s">
        <x:v>677</x:v>
      </x:c>
      <x:c r="E2080" s="6">
        <x:v>0</x:v>
      </x:c>
      <x:c r="F2080" s="6">
        <x:v>0</x:v>
      </x:c>
      <x:c r="G2080" s="6">
        <x:v>0</x:v>
      </x:c>
      <x:c r="H2080" s="6">
        <x:f t="shared" si="100"/>
        <x:v>0</x:v>
      </x:c>
      <x:c r="I2080" s="6">
        <x:v>27132.139999999996</x:v>
      </x:c>
      <x:c r="J2080" s="6">
        <x:v>0</x:v>
      </x:c>
      <x:c r="K2080" s="6">
        <x:f t="shared" si="101"/>
        <x:v>27132.139999999996</x:v>
      </x:c>
      <x:c r="L2080" s="6">
        <x:v>0</x:v>
      </x:c>
      <x:c r="M2080" s="6">
        <x:v>0</x:v>
      </x:c>
      <x:c r="N2080" s="6">
        <x:f t="shared" si="102"/>
        <x:v>27132.139999999996</x:v>
      </x:c>
    </x:row>
    <x:row r="2081" spans="1:14" x14ac:dyDescent="0.25">
      <x:c r="A2081" t="s">
        <x:v>26</x:v>
      </x:c>
      <x:c r="B2081" s="3" t="s">
        <x:v>177</x:v>
      </x:c>
      <x:c r="C2081" s="3" t="s">
        <x:v>493</x:v>
      </x:c>
      <x:c r="D2081" t="s">
        <x:v>677</x:v>
      </x:c>
      <x:c r="E2081" s="6">
        <x:v>0</x:v>
      </x:c>
      <x:c r="F2081" s="6">
        <x:v>0</x:v>
      </x:c>
      <x:c r="G2081" s="6">
        <x:v>0</x:v>
      </x:c>
      <x:c r="H2081" s="6">
        <x:f t="shared" si="100"/>
        <x:v>0</x:v>
      </x:c>
      <x:c r="I2081" s="6">
        <x:v>247.45999999999998</x:v>
      </x:c>
      <x:c r="J2081" s="6">
        <x:v>0</x:v>
      </x:c>
      <x:c r="K2081" s="6">
        <x:f t="shared" si="101"/>
        <x:v>247.45999999999998</x:v>
      </x:c>
      <x:c r="L2081" s="6">
        <x:v>0</x:v>
      </x:c>
      <x:c r="M2081" s="6">
        <x:v>0</x:v>
      </x:c>
      <x:c r="N2081" s="6">
        <x:f t="shared" si="102"/>
        <x:v>247.45999999999998</x:v>
      </x:c>
    </x:row>
    <x:row r="2082" spans="1:14" x14ac:dyDescent="0.25">
      <x:c r="A2082" t="s">
        <x:v>26</x:v>
      </x:c>
      <x:c r="B2082" s="3" t="s">
        <x:v>263</x:v>
      </x:c>
      <x:c r="C2082" s="3" t="s">
        <x:v>578</x:v>
      </x:c>
      <x:c r="D2082" t="s">
        <x:v>676</x:v>
      </x:c>
      <x:c r="E2082" s="6">
        <x:v>0</x:v>
      </x:c>
      <x:c r="F2082" s="6">
        <x:v>0</x:v>
      </x:c>
      <x:c r="G2082" s="6">
        <x:v>0</x:v>
      </x:c>
      <x:c r="H2082" s="6">
        <x:f t="shared" si="100"/>
        <x:v>0</x:v>
      </x:c>
      <x:c r="I2082" s="6">
        <x:v>0</x:v>
      </x:c>
      <x:c r="J2082" s="6">
        <x:v>0</x:v>
      </x:c>
      <x:c r="K2082" s="6">
        <x:f t="shared" si="101"/>
        <x:v>0</x:v>
      </x:c>
      <x:c r="L2082" s="6">
        <x:v>271.22000000000003</x:v>
      </x:c>
      <x:c r="M2082" s="6">
        <x:v>0</x:v>
      </x:c>
      <x:c r="N2082" s="6">
        <x:f t="shared" si="102"/>
        <x:v>271.22000000000003</x:v>
      </x:c>
    </x:row>
    <x:row r="2083" spans="1:14" x14ac:dyDescent="0.25">
      <x:c r="A2083" t="s">
        <x:v>26</x:v>
      </x:c>
      <x:c r="B2083" s="3" t="s">
        <x:v>178</x:v>
      </x:c>
      <x:c r="C2083" s="3" t="s">
        <x:v>494</x:v>
      </x:c>
      <x:c r="D2083" t="s">
        <x:v>677</x:v>
      </x:c>
      <x:c r="E2083" s="6">
        <x:v>0</x:v>
      </x:c>
      <x:c r="F2083" s="6">
        <x:v>0</x:v>
      </x:c>
      <x:c r="G2083" s="6">
        <x:v>0</x:v>
      </x:c>
      <x:c r="H2083" s="6">
        <x:f t="shared" si="100"/>
        <x:v>0</x:v>
      </x:c>
      <x:c r="I2083" s="6">
        <x:v>18615.169999999998</x:v>
      </x:c>
      <x:c r="J2083" s="6">
        <x:v>0</x:v>
      </x:c>
      <x:c r="K2083" s="6">
        <x:f t="shared" si="101"/>
        <x:v>18615.169999999998</x:v>
      </x:c>
      <x:c r="L2083" s="6">
        <x:v>0</x:v>
      </x:c>
      <x:c r="M2083" s="6">
        <x:v>0</x:v>
      </x:c>
      <x:c r="N2083" s="6">
        <x:f t="shared" si="102"/>
        <x:v>18615.169999999998</x:v>
      </x:c>
    </x:row>
    <x:row r="2084" spans="1:14" x14ac:dyDescent="0.25">
      <x:c r="A2084" t="s">
        <x:v>26</x:v>
      </x:c>
      <x:c r="B2084" s="3" t="s">
        <x:v>179</x:v>
      </x:c>
      <x:c r="C2084" s="3" t="s">
        <x:v>495</x:v>
      </x:c>
      <x:c r="D2084" t="s">
        <x:v>677</x:v>
      </x:c>
      <x:c r="E2084" s="6">
        <x:v>0</x:v>
      </x:c>
      <x:c r="F2084" s="6">
        <x:v>0</x:v>
      </x:c>
      <x:c r="G2084" s="6">
        <x:v>0</x:v>
      </x:c>
      <x:c r="H2084" s="6">
        <x:f t="shared" si="100"/>
        <x:v>0</x:v>
      </x:c>
      <x:c r="I2084" s="6">
        <x:v>19060.699999999997</x:v>
      </x:c>
      <x:c r="J2084" s="6">
        <x:v>0</x:v>
      </x:c>
      <x:c r="K2084" s="6">
        <x:f t="shared" si="101"/>
        <x:v>19060.699999999997</x:v>
      </x:c>
      <x:c r="L2084" s="6">
        <x:v>0</x:v>
      </x:c>
      <x:c r="M2084" s="6">
        <x:v>0</x:v>
      </x:c>
      <x:c r="N2084" s="6">
        <x:f t="shared" si="102"/>
        <x:v>19060.699999999997</x:v>
      </x:c>
    </x:row>
    <x:row r="2085" spans="1:14" x14ac:dyDescent="0.25">
      <x:c r="A2085" t="s">
        <x:v>26</x:v>
      </x:c>
      <x:c r="B2085" s="3" t="s">
        <x:v>62</x:v>
      </x:c>
      <x:c r="C2085" s="3" t="s">
        <x:v>379</x:v>
      </x:c>
      <x:c r="D2085" t="s">
        <x:v>676</x:v>
      </x:c>
      <x:c r="E2085" s="6">
        <x:v>0</x:v>
      </x:c>
      <x:c r="F2085" s="6">
        <x:v>0</x:v>
      </x:c>
      <x:c r="G2085" s="6">
        <x:v>0</x:v>
      </x:c>
      <x:c r="H2085" s="6">
        <x:f t="shared" si="100"/>
        <x:v>0</x:v>
      </x:c>
      <x:c r="I2085" s="6">
        <x:v>0</x:v>
      </x:c>
      <x:c r="J2085" s="6">
        <x:v>0</x:v>
      </x:c>
      <x:c r="K2085" s="6">
        <x:f t="shared" si="101"/>
        <x:v>0</x:v>
      </x:c>
      <x:c r="L2085" s="6">
        <x:v>4929.18</x:v>
      </x:c>
      <x:c r="M2085" s="6">
        <x:v>0</x:v>
      </x:c>
      <x:c r="N2085" s="6">
        <x:f t="shared" si="102"/>
        <x:v>4929.18</x:v>
      </x:c>
    </x:row>
    <x:row r="2086" spans="1:14" x14ac:dyDescent="0.25">
      <x:c r="A2086" t="s">
        <x:v>26</x:v>
      </x:c>
      <x:c r="B2086" s="3" t="s">
        <x:v>180</x:v>
      </x:c>
      <x:c r="C2086" s="3" t="s">
        <x:v>496</x:v>
      </x:c>
      <x:c r="D2086" t="s">
        <x:v>677</x:v>
      </x:c>
      <x:c r="E2086" s="6">
        <x:v>0</x:v>
      </x:c>
      <x:c r="F2086" s="6">
        <x:v>0</x:v>
      </x:c>
      <x:c r="G2086" s="6">
        <x:v>0</x:v>
      </x:c>
      <x:c r="H2086" s="6">
        <x:f t="shared" si="100"/>
        <x:v>0</x:v>
      </x:c>
      <x:c r="I2086" s="6">
        <x:v>15683.240000000002</x:v>
      </x:c>
      <x:c r="J2086" s="6">
        <x:v>0</x:v>
      </x:c>
      <x:c r="K2086" s="6">
        <x:f t="shared" si="101"/>
        <x:v>15683.240000000002</x:v>
      </x:c>
      <x:c r="L2086" s="6">
        <x:v>0</x:v>
      </x:c>
      <x:c r="M2086" s="6">
        <x:v>0</x:v>
      </x:c>
      <x:c r="N2086" s="6">
        <x:f t="shared" si="102"/>
        <x:v>15683.240000000002</x:v>
      </x:c>
    </x:row>
    <x:row r="2087" spans="1:14" x14ac:dyDescent="0.25">
      <x:c r="A2087" t="s">
        <x:v>26</x:v>
      </x:c>
      <x:c r="B2087" s="3" t="s">
        <x:v>181</x:v>
      </x:c>
      <x:c r="C2087" s="3" t="s">
        <x:v>497</x:v>
      </x:c>
      <x:c r="D2087" t="s">
        <x:v>677</x:v>
      </x:c>
      <x:c r="E2087" s="6">
        <x:v>0</x:v>
      </x:c>
      <x:c r="F2087" s="6">
        <x:v>0</x:v>
      </x:c>
      <x:c r="G2087" s="6">
        <x:v>0</x:v>
      </x:c>
      <x:c r="H2087" s="6">
        <x:f t="shared" si="100"/>
        <x:v>0</x:v>
      </x:c>
      <x:c r="I2087" s="6">
        <x:v>31612.86</x:v>
      </x:c>
      <x:c r="J2087" s="6">
        <x:v>0</x:v>
      </x:c>
      <x:c r="K2087" s="6">
        <x:f t="shared" si="101"/>
        <x:v>31612.86</x:v>
      </x:c>
      <x:c r="L2087" s="6">
        <x:v>0</x:v>
      </x:c>
      <x:c r="M2087" s="6">
        <x:v>0</x:v>
      </x:c>
      <x:c r="N2087" s="6">
        <x:f t="shared" si="102"/>
        <x:v>31612.86</x:v>
      </x:c>
    </x:row>
    <x:row r="2088" spans="1:14" x14ac:dyDescent="0.25">
      <x:c r="A2088" t="s">
        <x:v>26</x:v>
      </x:c>
      <x:c r="B2088" s="3" t="s">
        <x:v>235</x:v>
      </x:c>
      <x:c r="C2088" s="3" t="s">
        <x:v>550</x:v>
      </x:c>
      <x:c r="D2088" t="s">
        <x:v>677</x:v>
      </x:c>
      <x:c r="E2088" s="6">
        <x:v>0</x:v>
      </x:c>
      <x:c r="F2088" s="6">
        <x:v>0</x:v>
      </x:c>
      <x:c r="G2088" s="6">
        <x:v>0</x:v>
      </x:c>
      <x:c r="H2088" s="6">
        <x:f t="shared" si="100"/>
        <x:v>0</x:v>
      </x:c>
      <x:c r="I2088" s="6">
        <x:v>14552.65</x:v>
      </x:c>
      <x:c r="J2088" s="6">
        <x:v>0</x:v>
      </x:c>
      <x:c r="K2088" s="6">
        <x:f t="shared" si="101"/>
        <x:v>14552.65</x:v>
      </x:c>
      <x:c r="L2088" s="6">
        <x:v>0</x:v>
      </x:c>
      <x:c r="M2088" s="6">
        <x:v>0</x:v>
      </x:c>
      <x:c r="N2088" s="6">
        <x:f t="shared" si="102"/>
        <x:v>14552.65</x:v>
      </x:c>
    </x:row>
    <x:row r="2089" spans="1:14" x14ac:dyDescent="0.25">
      <x:c r="A2089" t="s">
        <x:v>26</x:v>
      </x:c>
      <x:c r="B2089" s="3" t="s">
        <x:v>183</x:v>
      </x:c>
      <x:c r="C2089" s="3" t="s">
        <x:v>499</x:v>
      </x:c>
      <x:c r="D2089" t="s">
        <x:v>677</x:v>
      </x:c>
      <x:c r="E2089" s="6">
        <x:v>0</x:v>
      </x:c>
      <x:c r="F2089" s="6">
        <x:v>0</x:v>
      </x:c>
      <x:c r="G2089" s="6">
        <x:v>0</x:v>
      </x:c>
      <x:c r="H2089" s="6">
        <x:f t="shared" si="100"/>
        <x:v>0</x:v>
      </x:c>
      <x:c r="I2089" s="6">
        <x:v>92163.61</x:v>
      </x:c>
      <x:c r="J2089" s="6">
        <x:v>0</x:v>
      </x:c>
      <x:c r="K2089" s="6">
        <x:f t="shared" si="101"/>
        <x:v>92163.61</x:v>
      </x:c>
      <x:c r="L2089" s="6">
        <x:v>0</x:v>
      </x:c>
      <x:c r="M2089" s="6">
        <x:v>0</x:v>
      </x:c>
      <x:c r="N2089" s="6">
        <x:f t="shared" si="102"/>
        <x:v>92163.61</x:v>
      </x:c>
    </x:row>
    <x:row r="2090" spans="1:14" x14ac:dyDescent="0.25">
      <x:c r="A2090" t="s">
        <x:v>26</x:v>
      </x:c>
      <x:c r="B2090" s="3" t="s">
        <x:v>184</x:v>
      </x:c>
      <x:c r="C2090" s="3" t="s">
        <x:v>500</x:v>
      </x:c>
      <x:c r="D2090" t="s">
        <x:v>677</x:v>
      </x:c>
      <x:c r="E2090" s="6">
        <x:v>0</x:v>
      </x:c>
      <x:c r="F2090" s="6">
        <x:v>0</x:v>
      </x:c>
      <x:c r="G2090" s="6">
        <x:v>0</x:v>
      </x:c>
      <x:c r="H2090" s="6">
        <x:f t="shared" si="100"/>
        <x:v>0</x:v>
      </x:c>
      <x:c r="I2090" s="6">
        <x:v>92665.9</x:v>
      </x:c>
      <x:c r="J2090" s="6">
        <x:v>0</x:v>
      </x:c>
      <x:c r="K2090" s="6">
        <x:f t="shared" si="101"/>
        <x:v>92665.9</x:v>
      </x:c>
      <x:c r="L2090" s="6">
        <x:v>0</x:v>
      </x:c>
      <x:c r="M2090" s="6">
        <x:v>0</x:v>
      </x:c>
      <x:c r="N2090" s="6">
        <x:f t="shared" si="102"/>
        <x:v>92665.9</x:v>
      </x:c>
    </x:row>
    <x:row r="2091" spans="1:14" x14ac:dyDescent="0.25">
      <x:c r="A2091" t="s">
        <x:v>26</x:v>
      </x:c>
      <x:c r="B2091" s="3" t="s">
        <x:v>186</x:v>
      </x:c>
      <x:c r="C2091" s="3" t="s">
        <x:v>502</x:v>
      </x:c>
      <x:c r="D2091" t="s">
        <x:v>677</x:v>
      </x:c>
      <x:c r="E2091" s="6">
        <x:v>0</x:v>
      </x:c>
      <x:c r="F2091" s="6">
        <x:v>0</x:v>
      </x:c>
      <x:c r="G2091" s="6">
        <x:v>0</x:v>
      </x:c>
      <x:c r="H2091" s="6">
        <x:f t="shared" si="100"/>
        <x:v>0</x:v>
      </x:c>
      <x:c r="I2091" s="6">
        <x:v>153519.21999999997</x:v>
      </x:c>
      <x:c r="J2091" s="6">
        <x:v>0</x:v>
      </x:c>
      <x:c r="K2091" s="6">
        <x:f t="shared" si="101"/>
        <x:v>153519.21999999997</x:v>
      </x:c>
      <x:c r="L2091" s="6">
        <x:v>0</x:v>
      </x:c>
      <x:c r="M2091" s="6">
        <x:v>0</x:v>
      </x:c>
      <x:c r="N2091" s="6">
        <x:f t="shared" si="102"/>
        <x:v>153519.21999999997</x:v>
      </x:c>
    </x:row>
    <x:row r="2092" spans="1:14" x14ac:dyDescent="0.25">
      <x:c r="A2092" t="s">
        <x:v>26</x:v>
      </x:c>
      <x:c r="B2092" s="3" t="s">
        <x:v>187</x:v>
      </x:c>
      <x:c r="C2092" s="3" t="s">
        <x:v>503</x:v>
      </x:c>
      <x:c r="D2092" t="s">
        <x:v>677</x:v>
      </x:c>
      <x:c r="E2092" s="6">
        <x:v>0</x:v>
      </x:c>
      <x:c r="F2092" s="6">
        <x:v>0</x:v>
      </x:c>
      <x:c r="G2092" s="6">
        <x:v>0</x:v>
      </x:c>
      <x:c r="H2092" s="6">
        <x:f t="shared" si="100"/>
        <x:v>0</x:v>
      </x:c>
      <x:c r="I2092" s="6">
        <x:v>12651.439999999999</x:v>
      </x:c>
      <x:c r="J2092" s="6">
        <x:v>0</x:v>
      </x:c>
      <x:c r="K2092" s="6">
        <x:f t="shared" si="101"/>
        <x:v>12651.439999999999</x:v>
      </x:c>
      <x:c r="L2092" s="6">
        <x:v>0</x:v>
      </x:c>
      <x:c r="M2092" s="6">
        <x:v>0</x:v>
      </x:c>
      <x:c r="N2092" s="6">
        <x:f t="shared" si="102"/>
        <x:v>12651.439999999999</x:v>
      </x:c>
    </x:row>
    <x:row r="2093" spans="1:14" x14ac:dyDescent="0.25">
      <x:c r="A2093" t="s">
        <x:v>26</x:v>
      </x:c>
      <x:c r="B2093" s="3" t="s">
        <x:v>188</x:v>
      </x:c>
      <x:c r="C2093" s="3" t="s">
        <x:v>504</x:v>
      </x:c>
      <x:c r="D2093" t="s">
        <x:v>677</x:v>
      </x:c>
      <x:c r="E2093" s="6">
        <x:v>0</x:v>
      </x:c>
      <x:c r="F2093" s="6">
        <x:v>0</x:v>
      </x:c>
      <x:c r="G2093" s="6">
        <x:v>0</x:v>
      </x:c>
      <x:c r="H2093" s="6">
        <x:f t="shared" si="100"/>
        <x:v>0</x:v>
      </x:c>
      <x:c r="I2093" s="6">
        <x:v>9895.5399999999991</x:v>
      </x:c>
      <x:c r="J2093" s="6">
        <x:v>0</x:v>
      </x:c>
      <x:c r="K2093" s="6">
        <x:f t="shared" si="101"/>
        <x:v>9895.5399999999991</x:v>
      </x:c>
      <x:c r="L2093" s="6">
        <x:v>0</x:v>
      </x:c>
      <x:c r="M2093" s="6">
        <x:v>0</x:v>
      </x:c>
      <x:c r="N2093" s="6">
        <x:f t="shared" si="102"/>
        <x:v>9895.5399999999991</x:v>
      </x:c>
    </x:row>
    <x:row r="2094" spans="1:14" x14ac:dyDescent="0.25">
      <x:c r="A2094" t="s">
        <x:v>26</x:v>
      </x:c>
      <x:c r="B2094" s="3" t="s">
        <x:v>189</x:v>
      </x:c>
      <x:c r="C2094" s="3" t="s">
        <x:v>505</x:v>
      </x:c>
      <x:c r="D2094" t="s">
        <x:v>677</x:v>
      </x:c>
      <x:c r="E2094" s="6">
        <x:v>0</x:v>
      </x:c>
      <x:c r="F2094" s="6">
        <x:v>0</x:v>
      </x:c>
      <x:c r="G2094" s="6">
        <x:v>0</x:v>
      </x:c>
      <x:c r="H2094" s="6">
        <x:f t="shared" si="100"/>
        <x:v>0</x:v>
      </x:c>
      <x:c r="I2094" s="6">
        <x:v>19391.43</x:v>
      </x:c>
      <x:c r="J2094" s="6">
        <x:v>0</x:v>
      </x:c>
      <x:c r="K2094" s="6">
        <x:f t="shared" si="101"/>
        <x:v>19391.43</x:v>
      </x:c>
      <x:c r="L2094" s="6">
        <x:v>0</x:v>
      </x:c>
      <x:c r="M2094" s="6">
        <x:v>0</x:v>
      </x:c>
      <x:c r="N2094" s="6">
        <x:f t="shared" si="102"/>
        <x:v>19391.43</x:v>
      </x:c>
    </x:row>
    <x:row r="2095" spans="1:14" x14ac:dyDescent="0.25">
      <x:c r="A2095" t="s">
        <x:v>26</x:v>
      </x:c>
      <x:c r="B2095" s="3" t="s">
        <x:v>236</x:v>
      </x:c>
      <x:c r="C2095" s="3" t="s">
        <x:v>551</x:v>
      </x:c>
      <x:c r="D2095" t="s">
        <x:v>677</x:v>
      </x:c>
      <x:c r="E2095" s="6">
        <x:v>0</x:v>
      </x:c>
      <x:c r="F2095" s="6">
        <x:v>0</x:v>
      </x:c>
      <x:c r="G2095" s="6">
        <x:v>0</x:v>
      </x:c>
      <x:c r="H2095" s="6">
        <x:f t="shared" si="100"/>
        <x:v>0</x:v>
      </x:c>
      <x:c r="I2095" s="6">
        <x:v>44940.989999999991</x:v>
      </x:c>
      <x:c r="J2095" s="6">
        <x:v>0</x:v>
      </x:c>
      <x:c r="K2095" s="6">
        <x:f t="shared" si="101"/>
        <x:v>44940.989999999991</x:v>
      </x:c>
      <x:c r="L2095" s="6">
        <x:v>0</x:v>
      </x:c>
      <x:c r="M2095" s="6">
        <x:v>0</x:v>
      </x:c>
      <x:c r="N2095" s="6">
        <x:f t="shared" si="102"/>
        <x:v>44940.989999999991</x:v>
      </x:c>
    </x:row>
    <x:row r="2096" spans="1:14" x14ac:dyDescent="0.25">
      <x:c r="A2096" t="s">
        <x:v>26</x:v>
      </x:c>
      <x:c r="B2096" s="3" t="s">
        <x:v>264</x:v>
      </x:c>
      <x:c r="C2096" s="3" t="s">
        <x:v>579</x:v>
      </x:c>
      <x:c r="D2096" t="s">
        <x:v>676</x:v>
      </x:c>
      <x:c r="E2096" s="6">
        <x:v>0</x:v>
      </x:c>
      <x:c r="F2096" s="6">
        <x:v>0</x:v>
      </x:c>
      <x:c r="G2096" s="6">
        <x:v>0</x:v>
      </x:c>
      <x:c r="H2096" s="6">
        <x:f t="shared" si="100"/>
        <x:v>0</x:v>
      </x:c>
      <x:c r="I2096" s="6">
        <x:v>0</x:v>
      </x:c>
      <x:c r="J2096" s="6">
        <x:v>0</x:v>
      </x:c>
      <x:c r="K2096" s="6">
        <x:f t="shared" si="101"/>
        <x:v>0</x:v>
      </x:c>
      <x:c r="L2096" s="6">
        <x:v>797.6</x:v>
      </x:c>
      <x:c r="M2096" s="6">
        <x:v>0</x:v>
      </x:c>
      <x:c r="N2096" s="6">
        <x:f t="shared" si="102"/>
        <x:v>797.6</x:v>
      </x:c>
    </x:row>
    <x:row r="2097" spans="1:14" x14ac:dyDescent="0.25">
      <x:c r="A2097" t="s">
        <x:v>26</x:v>
      </x:c>
      <x:c r="B2097" s="3" t="s">
        <x:v>193</x:v>
      </x:c>
      <x:c r="C2097" s="3" t="s">
        <x:v>509</x:v>
      </x:c>
      <x:c r="D2097" t="s">
        <x:v>677</x:v>
      </x:c>
      <x:c r="E2097" s="6">
        <x:v>0</x:v>
      </x:c>
      <x:c r="F2097" s="6">
        <x:v>0</x:v>
      </x:c>
      <x:c r="G2097" s="6">
        <x:v>0</x:v>
      </x:c>
      <x:c r="H2097" s="6">
        <x:f t="shared" si="100"/>
        <x:v>0</x:v>
      </x:c>
      <x:c r="I2097" s="6">
        <x:v>224735.68000000002</x:v>
      </x:c>
      <x:c r="J2097" s="6">
        <x:v>0</x:v>
      </x:c>
      <x:c r="K2097" s="6">
        <x:f t="shared" si="101"/>
        <x:v>224735.68000000002</x:v>
      </x:c>
      <x:c r="L2097" s="6">
        <x:v>0</x:v>
      </x:c>
      <x:c r="M2097" s="6">
        <x:v>0</x:v>
      </x:c>
      <x:c r="N2097" s="6">
        <x:f t="shared" si="102"/>
        <x:v>224735.68000000002</x:v>
      </x:c>
    </x:row>
    <x:row r="2098" spans="1:14" x14ac:dyDescent="0.25">
      <x:c r="A2098" t="s">
        <x:v>26</x:v>
      </x:c>
      <x:c r="B2098" s="3" t="s">
        <x:v>194</x:v>
      </x:c>
      <x:c r="C2098" s="3" t="s">
        <x:v>510</x:v>
      </x:c>
      <x:c r="D2098" t="s">
        <x:v>677</x:v>
      </x:c>
      <x:c r="E2098" s="6">
        <x:v>0</x:v>
      </x:c>
      <x:c r="F2098" s="6">
        <x:v>0</x:v>
      </x:c>
      <x:c r="G2098" s="6">
        <x:v>0</x:v>
      </x:c>
      <x:c r="H2098" s="6">
        <x:f t="shared" si="100"/>
        <x:v>0</x:v>
      </x:c>
      <x:c r="I2098" s="6">
        <x:v>8870.39</x:v>
      </x:c>
      <x:c r="J2098" s="6">
        <x:v>0</x:v>
      </x:c>
      <x:c r="K2098" s="6">
        <x:f t="shared" si="101"/>
        <x:v>8870.39</x:v>
      </x:c>
      <x:c r="L2098" s="6">
        <x:v>0</x:v>
      </x:c>
      <x:c r="M2098" s="6">
        <x:v>0</x:v>
      </x:c>
      <x:c r="N2098" s="6">
        <x:f t="shared" si="102"/>
        <x:v>8870.39</x:v>
      </x:c>
    </x:row>
    <x:row r="2099" spans="1:14" x14ac:dyDescent="0.25">
      <x:c r="A2099" t="s">
        <x:v>26</x:v>
      </x:c>
      <x:c r="B2099" s="3" t="s">
        <x:v>195</x:v>
      </x:c>
      <x:c r="C2099" s="3" t="s">
        <x:v>511</x:v>
      </x:c>
      <x:c r="D2099" t="s">
        <x:v>677</x:v>
      </x:c>
      <x:c r="E2099" s="6">
        <x:v>0</x:v>
      </x:c>
      <x:c r="F2099" s="6">
        <x:v>0</x:v>
      </x:c>
      <x:c r="G2099" s="6">
        <x:v>0</x:v>
      </x:c>
      <x:c r="H2099" s="6">
        <x:f t="shared" si="100"/>
        <x:v>0</x:v>
      </x:c>
      <x:c r="I2099" s="6">
        <x:v>607.44000000000005</x:v>
      </x:c>
      <x:c r="J2099" s="6">
        <x:v>0</x:v>
      </x:c>
      <x:c r="K2099" s="6">
        <x:f t="shared" si="101"/>
        <x:v>607.44000000000005</x:v>
      </x:c>
      <x:c r="L2099" s="6">
        <x:v>0</x:v>
      </x:c>
      <x:c r="M2099" s="6">
        <x:v>0</x:v>
      </x:c>
      <x:c r="N2099" s="6">
        <x:f t="shared" si="102"/>
        <x:v>607.44000000000005</x:v>
      </x:c>
    </x:row>
    <x:row r="2100" spans="1:14" x14ac:dyDescent="0.25">
      <x:c r="A2100" t="s">
        <x:v>26</x:v>
      </x:c>
      <x:c r="B2100" s="3" t="s">
        <x:v>237</x:v>
      </x:c>
      <x:c r="C2100" s="3" t="s">
        <x:v>552</x:v>
      </x:c>
      <x:c r="D2100" t="s">
        <x:v>677</x:v>
      </x:c>
      <x:c r="E2100" s="6">
        <x:v>0</x:v>
      </x:c>
      <x:c r="F2100" s="6">
        <x:v>0</x:v>
      </x:c>
      <x:c r="G2100" s="6">
        <x:v>0</x:v>
      </x:c>
      <x:c r="H2100" s="6">
        <x:f t="shared" si="100"/>
        <x:v>0</x:v>
      </x:c>
      <x:c r="I2100" s="6">
        <x:v>643.11999999999989</x:v>
      </x:c>
      <x:c r="J2100" s="6">
        <x:v>0</x:v>
      </x:c>
      <x:c r="K2100" s="6">
        <x:f t="shared" si="101"/>
        <x:v>643.11999999999989</x:v>
      </x:c>
      <x:c r="L2100" s="6">
        <x:v>0</x:v>
      </x:c>
      <x:c r="M2100" s="6">
        <x:v>0</x:v>
      </x:c>
      <x:c r="N2100" s="6">
        <x:f t="shared" si="102"/>
        <x:v>643.11999999999989</x:v>
      </x:c>
    </x:row>
    <x:row r="2101" spans="1:14" x14ac:dyDescent="0.25">
      <x:c r="A2101" t="s">
        <x:v>26</x:v>
      </x:c>
      <x:c r="B2101" s="3" t="s">
        <x:v>196</x:v>
      </x:c>
      <x:c r="C2101" s="3" t="s">
        <x:v>512</x:v>
      </x:c>
      <x:c r="D2101" t="s">
        <x:v>677</x:v>
      </x:c>
      <x:c r="E2101" s="6">
        <x:v>0</x:v>
      </x:c>
      <x:c r="F2101" s="6">
        <x:v>0</x:v>
      </x:c>
      <x:c r="G2101" s="6">
        <x:v>0</x:v>
      </x:c>
      <x:c r="H2101" s="6">
        <x:f t="shared" si="100"/>
        <x:v>0</x:v>
      </x:c>
      <x:c r="I2101" s="6">
        <x:v>53341.55000000001</x:v>
      </x:c>
      <x:c r="J2101" s="6">
        <x:v>0</x:v>
      </x:c>
      <x:c r="K2101" s="6">
        <x:f t="shared" si="101"/>
        <x:v>53341.55000000001</x:v>
      </x:c>
      <x:c r="L2101" s="6">
        <x:v>0</x:v>
      </x:c>
      <x:c r="M2101" s="6">
        <x:v>0</x:v>
      </x:c>
      <x:c r="N2101" s="6">
        <x:f t="shared" si="102"/>
        <x:v>53341.55000000001</x:v>
      </x:c>
    </x:row>
    <x:row r="2102" spans="1:14" x14ac:dyDescent="0.25">
      <x:c r="A2102" t="s">
        <x:v>26</x:v>
      </x:c>
      <x:c r="B2102" s="3" t="s">
        <x:v>63</x:v>
      </x:c>
      <x:c r="C2102" s="3" t="s">
        <x:v>380</x:v>
      </x:c>
      <x:c r="D2102" t="s">
        <x:v>677</x:v>
      </x:c>
      <x:c r="E2102" s="6">
        <x:v>0</x:v>
      </x:c>
      <x:c r="F2102" s="6">
        <x:v>0</x:v>
      </x:c>
      <x:c r="G2102" s="6">
        <x:v>0</x:v>
      </x:c>
      <x:c r="H2102" s="6">
        <x:f t="shared" si="100"/>
        <x:v>0</x:v>
      </x:c>
      <x:c r="I2102" s="6">
        <x:v>33631.71</x:v>
      </x:c>
      <x:c r="J2102" s="6">
        <x:v>0</x:v>
      </x:c>
      <x:c r="K2102" s="6">
        <x:f t="shared" si="101"/>
        <x:v>33631.71</x:v>
      </x:c>
      <x:c r="L2102" s="6">
        <x:v>0</x:v>
      </x:c>
      <x:c r="M2102" s="6">
        <x:v>0</x:v>
      </x:c>
      <x:c r="N2102" s="6">
        <x:f t="shared" si="102"/>
        <x:v>33631.71</x:v>
      </x:c>
    </x:row>
    <x:row r="2103" spans="1:14" x14ac:dyDescent="0.25">
      <x:c r="A2103" t="s">
        <x:v>26</x:v>
      </x:c>
      <x:c r="B2103" s="3" t="s">
        <x:v>199</x:v>
      </x:c>
      <x:c r="C2103" s="3" t="s">
        <x:v>515</x:v>
      </x:c>
      <x:c r="D2103" t="s">
        <x:v>677</x:v>
      </x:c>
      <x:c r="E2103" s="6">
        <x:v>0</x:v>
      </x:c>
      <x:c r="F2103" s="6">
        <x:v>0</x:v>
      </x:c>
      <x:c r="G2103" s="6">
        <x:v>0</x:v>
      </x:c>
      <x:c r="H2103" s="6">
        <x:f t="shared" si="100"/>
        <x:v>0</x:v>
      </x:c>
      <x:c r="I2103" s="6">
        <x:v>4710.1399999999994</x:v>
      </x:c>
      <x:c r="J2103" s="6">
        <x:v>0</x:v>
      </x:c>
      <x:c r="K2103" s="6">
        <x:f t="shared" si="101"/>
        <x:v>4710.1399999999994</x:v>
      </x:c>
      <x:c r="L2103" s="6">
        <x:v>0</x:v>
      </x:c>
      <x:c r="M2103" s="6">
        <x:v>0</x:v>
      </x:c>
      <x:c r="N2103" s="6">
        <x:f t="shared" si="102"/>
        <x:v>4710.1399999999994</x:v>
      </x:c>
    </x:row>
    <x:row r="2104" spans="1:14" x14ac:dyDescent="0.25">
      <x:c r="A2104" t="s">
        <x:v>26</x:v>
      </x:c>
      <x:c r="B2104" s="3" t="s">
        <x:v>200</x:v>
      </x:c>
      <x:c r="C2104" s="3" t="s">
        <x:v>516</x:v>
      </x:c>
      <x:c r="D2104" t="s">
        <x:v>677</x:v>
      </x:c>
      <x:c r="E2104" s="6">
        <x:v>0</x:v>
      </x:c>
      <x:c r="F2104" s="6">
        <x:v>0</x:v>
      </x:c>
      <x:c r="G2104" s="6">
        <x:v>0</x:v>
      </x:c>
      <x:c r="H2104" s="6">
        <x:f t="shared" si="100"/>
        <x:v>0</x:v>
      </x:c>
      <x:c r="I2104" s="6">
        <x:v>67624.289999999994</x:v>
      </x:c>
      <x:c r="J2104" s="6">
        <x:v>0</x:v>
      </x:c>
      <x:c r="K2104" s="6">
        <x:f t="shared" si="101"/>
        <x:v>67624.289999999994</x:v>
      </x:c>
      <x:c r="L2104" s="6">
        <x:v>0</x:v>
      </x:c>
      <x:c r="M2104" s="6">
        <x:v>0</x:v>
      </x:c>
      <x:c r="N2104" s="6">
        <x:f t="shared" si="102"/>
        <x:v>67624.289999999994</x:v>
      </x:c>
    </x:row>
    <x:row r="2105" spans="1:14" x14ac:dyDescent="0.25">
      <x:c r="A2105" t="s">
        <x:v>26</x:v>
      </x:c>
      <x:c r="B2105" s="3" t="s">
        <x:v>203</x:v>
      </x:c>
      <x:c r="C2105" s="3" t="s">
        <x:v>519</x:v>
      </x:c>
      <x:c r="D2105" t="s">
        <x:v>677</x:v>
      </x:c>
      <x:c r="E2105" s="6">
        <x:v>0</x:v>
      </x:c>
      <x:c r="F2105" s="6">
        <x:v>0</x:v>
      </x:c>
      <x:c r="G2105" s="6">
        <x:v>0</x:v>
      </x:c>
      <x:c r="H2105" s="6">
        <x:f t="shared" si="100"/>
        <x:v>0</x:v>
      </x:c>
      <x:c r="I2105" s="6">
        <x:v>2035.4299999999996</x:v>
      </x:c>
      <x:c r="J2105" s="6">
        <x:v>0</x:v>
      </x:c>
      <x:c r="K2105" s="6">
        <x:f t="shared" si="101"/>
        <x:v>2035.4299999999996</x:v>
      </x:c>
      <x:c r="L2105" s="6">
        <x:v>0</x:v>
      </x:c>
      <x:c r="M2105" s="6">
        <x:v>0</x:v>
      </x:c>
      <x:c r="N2105" s="6">
        <x:f t="shared" si="102"/>
        <x:v>2035.4299999999996</x:v>
      </x:c>
    </x:row>
    <x:row r="2106" spans="1:14" x14ac:dyDescent="0.25">
      <x:c r="A2106" t="s">
        <x:v>26</x:v>
      </x:c>
      <x:c r="B2106" s="3" t="s">
        <x:v>50</x:v>
      </x:c>
      <x:c r="C2106" s="3" t="s">
        <x:v>367</x:v>
      </x:c>
      <x:c r="D2106" t="s">
        <x:v>677</x:v>
      </x:c>
      <x:c r="E2106" s="6">
        <x:v>0</x:v>
      </x:c>
      <x:c r="F2106" s="6">
        <x:v>0</x:v>
      </x:c>
      <x:c r="G2106" s="6">
        <x:v>0</x:v>
      </x:c>
      <x:c r="H2106" s="6">
        <x:f t="shared" si="100"/>
        <x:v>0</x:v>
      </x:c>
      <x:c r="I2106" s="6">
        <x:v>2609.1699999999996</x:v>
      </x:c>
      <x:c r="J2106" s="6">
        <x:v>0</x:v>
      </x:c>
      <x:c r="K2106" s="6">
        <x:f t="shared" si="101"/>
        <x:v>2609.1699999999996</x:v>
      </x:c>
      <x:c r="L2106" s="6">
        <x:v>0</x:v>
      </x:c>
      <x:c r="M2106" s="6">
        <x:v>0</x:v>
      </x:c>
      <x:c r="N2106" s="6">
        <x:f t="shared" si="102"/>
        <x:v>2609.1699999999996</x:v>
      </x:c>
    </x:row>
    <x:row r="2107" spans="1:14" x14ac:dyDescent="0.25">
      <x:c r="A2107" t="s">
        <x:v>26</x:v>
      </x:c>
      <x:c r="B2107" s="3" t="s">
        <x:v>239</x:v>
      </x:c>
      <x:c r="C2107" s="3" t="s">
        <x:v>554</x:v>
      </x:c>
      <x:c r="D2107" t="s">
        <x:v>677</x:v>
      </x:c>
      <x:c r="E2107" s="6">
        <x:v>0</x:v>
      </x:c>
      <x:c r="F2107" s="6">
        <x:v>0</x:v>
      </x:c>
      <x:c r="G2107" s="6">
        <x:v>0</x:v>
      </x:c>
      <x:c r="H2107" s="6">
        <x:f t="shared" si="100"/>
        <x:v>0</x:v>
      </x:c>
      <x:c r="I2107" s="6">
        <x:v>3833.0500000000006</x:v>
      </x:c>
      <x:c r="J2107" s="6">
        <x:v>0</x:v>
      </x:c>
      <x:c r="K2107" s="6">
        <x:f t="shared" si="101"/>
        <x:v>3833.0500000000006</x:v>
      </x:c>
      <x:c r="L2107" s="6">
        <x:v>0</x:v>
      </x:c>
      <x:c r="M2107" s="6">
        <x:v>0</x:v>
      </x:c>
      <x:c r="N2107" s="6">
        <x:f t="shared" si="102"/>
        <x:v>3833.0500000000006</x:v>
      </x:c>
    </x:row>
    <x:row r="2108" spans="1:14" x14ac:dyDescent="0.25">
      <x:c r="A2108" t="s">
        <x:v>26</x:v>
      </x:c>
      <x:c r="B2108" s="3" t="s">
        <x:v>205</x:v>
      </x:c>
      <x:c r="C2108" s="3" t="s">
        <x:v>521</x:v>
      </x:c>
      <x:c r="D2108" t="s">
        <x:v>677</x:v>
      </x:c>
      <x:c r="E2108" s="6">
        <x:v>0</x:v>
      </x:c>
      <x:c r="F2108" s="6">
        <x:v>0</x:v>
      </x:c>
      <x:c r="G2108" s="6">
        <x:v>0</x:v>
      </x:c>
      <x:c r="H2108" s="6">
        <x:f t="shared" si="100"/>
        <x:v>0</x:v>
      </x:c>
      <x:c r="I2108" s="6">
        <x:v>3941.1700000000005</x:v>
      </x:c>
      <x:c r="J2108" s="6">
        <x:v>0</x:v>
      </x:c>
      <x:c r="K2108" s="6">
        <x:f t="shared" si="101"/>
        <x:v>3941.1700000000005</x:v>
      </x:c>
      <x:c r="L2108" s="6">
        <x:v>0</x:v>
      </x:c>
      <x:c r="M2108" s="6">
        <x:v>0</x:v>
      </x:c>
      <x:c r="N2108" s="6">
        <x:f t="shared" si="102"/>
        <x:v>3941.1700000000005</x:v>
      </x:c>
    </x:row>
    <x:row r="2109" spans="1:14" x14ac:dyDescent="0.25">
      <x:c r="A2109" t="s">
        <x:v>26</x:v>
      </x:c>
      <x:c r="B2109" s="3" t="s">
        <x:v>240</x:v>
      </x:c>
      <x:c r="C2109" s="3" t="s">
        <x:v>555</x:v>
      </x:c>
      <x:c r="D2109" t="s">
        <x:v>677</x:v>
      </x:c>
      <x:c r="E2109" s="6">
        <x:v>0</x:v>
      </x:c>
      <x:c r="F2109" s="6">
        <x:v>0</x:v>
      </x:c>
      <x:c r="G2109" s="6">
        <x:v>0</x:v>
      </x:c>
      <x:c r="H2109" s="6">
        <x:f t="shared" si="100"/>
        <x:v>0</x:v>
      </x:c>
      <x:c r="I2109" s="6">
        <x:v>274.43</x:v>
      </x:c>
      <x:c r="J2109" s="6">
        <x:v>0</x:v>
      </x:c>
      <x:c r="K2109" s="6">
        <x:f t="shared" si="101"/>
        <x:v>274.43</x:v>
      </x:c>
      <x:c r="L2109" s="6">
        <x:v>0</x:v>
      </x:c>
      <x:c r="M2109" s="6">
        <x:v>0</x:v>
      </x:c>
      <x:c r="N2109" s="6">
        <x:f t="shared" si="102"/>
        <x:v>274.43</x:v>
      </x:c>
    </x:row>
    <x:row r="2110" spans="1:14" x14ac:dyDescent="0.25">
      <x:c r="A2110" t="s">
        <x:v>26</x:v>
      </x:c>
      <x:c r="B2110" s="3" t="s">
        <x:v>206</x:v>
      </x:c>
      <x:c r="C2110" s="3" t="s">
        <x:v>522</x:v>
      </x:c>
      <x:c r="D2110" t="s">
        <x:v>677</x:v>
      </x:c>
      <x:c r="E2110" s="6">
        <x:v>0</x:v>
      </x:c>
      <x:c r="F2110" s="6">
        <x:v>0</x:v>
      </x:c>
      <x:c r="G2110" s="6">
        <x:v>0</x:v>
      </x:c>
      <x:c r="H2110" s="6">
        <x:f t="shared" si="100"/>
        <x:v>0</x:v>
      </x:c>
      <x:c r="I2110" s="6">
        <x:v>4669.9800000000005</x:v>
      </x:c>
      <x:c r="J2110" s="6">
        <x:v>0</x:v>
      </x:c>
      <x:c r="K2110" s="6">
        <x:f t="shared" si="101"/>
        <x:v>4669.9800000000005</x:v>
      </x:c>
      <x:c r="L2110" s="6">
        <x:v>0</x:v>
      </x:c>
      <x:c r="M2110" s="6">
        <x:v>0</x:v>
      </x:c>
      <x:c r="N2110" s="6">
        <x:f t="shared" si="102"/>
        <x:v>4669.9800000000005</x:v>
      </x:c>
    </x:row>
    <x:row r="2111" spans="1:14" x14ac:dyDescent="0.25">
      <x:c r="A2111" t="s">
        <x:v>26</x:v>
      </x:c>
      <x:c r="B2111" s="3" t="s">
        <x:v>209</x:v>
      </x:c>
      <x:c r="C2111" s="3" t="s">
        <x:v>525</x:v>
      </x:c>
      <x:c r="D2111" t="s">
        <x:v>677</x:v>
      </x:c>
      <x:c r="E2111" s="6">
        <x:v>0</x:v>
      </x:c>
      <x:c r="F2111" s="6">
        <x:v>0</x:v>
      </x:c>
      <x:c r="G2111" s="6">
        <x:v>0</x:v>
      </x:c>
      <x:c r="H2111" s="6">
        <x:f t="shared" si="100"/>
        <x:v>0</x:v>
      </x:c>
      <x:c r="I2111" s="6">
        <x:v>139143.56</x:v>
      </x:c>
      <x:c r="J2111" s="6">
        <x:v>0</x:v>
      </x:c>
      <x:c r="K2111" s="6">
        <x:f t="shared" si="101"/>
        <x:v>139143.56</x:v>
      </x:c>
      <x:c r="L2111" s="6">
        <x:v>0</x:v>
      </x:c>
      <x:c r="M2111" s="6">
        <x:v>0</x:v>
      </x:c>
      <x:c r="N2111" s="6">
        <x:f t="shared" si="102"/>
        <x:v>139143.56</x:v>
      </x:c>
    </x:row>
    <x:row r="2112" spans="1:14" x14ac:dyDescent="0.25">
      <x:c r="A2112" t="s">
        <x:v>26</x:v>
      </x:c>
      <x:c r="B2112" s="3" t="s">
        <x:v>210</x:v>
      </x:c>
      <x:c r="C2112" s="3" t="s">
        <x:v>526</x:v>
      </x:c>
      <x:c r="D2112" t="s">
        <x:v>677</x:v>
      </x:c>
      <x:c r="E2112" s="6">
        <x:v>0</x:v>
      </x:c>
      <x:c r="F2112" s="6">
        <x:v>0</x:v>
      </x:c>
      <x:c r="G2112" s="6">
        <x:v>0</x:v>
      </x:c>
      <x:c r="H2112" s="6">
        <x:f t="shared" si="100"/>
        <x:v>0</x:v>
      </x:c>
      <x:c r="I2112" s="6">
        <x:v>3912.0300000000007</x:v>
      </x:c>
      <x:c r="J2112" s="6">
        <x:v>0</x:v>
      </x:c>
      <x:c r="K2112" s="6">
        <x:f t="shared" si="101"/>
        <x:v>3912.0300000000007</x:v>
      </x:c>
      <x:c r="L2112" s="6">
        <x:v>0</x:v>
      </x:c>
      <x:c r="M2112" s="6">
        <x:v>0</x:v>
      </x:c>
      <x:c r="N2112" s="6">
        <x:f t="shared" si="102"/>
        <x:v>3912.0300000000007</x:v>
      </x:c>
    </x:row>
    <x:row r="2113" spans="1:14" x14ac:dyDescent="0.25">
      <x:c r="A2113" t="s">
        <x:v>26</x:v>
      </x:c>
      <x:c r="B2113" s="3" t="s">
        <x:v>211</x:v>
      </x:c>
      <x:c r="C2113" s="3" t="s">
        <x:v>527</x:v>
      </x:c>
      <x:c r="D2113" t="s">
        <x:v>677</x:v>
      </x:c>
      <x:c r="E2113" s="6">
        <x:v>0</x:v>
      </x:c>
      <x:c r="F2113" s="6">
        <x:v>0</x:v>
      </x:c>
      <x:c r="G2113" s="6">
        <x:v>0</x:v>
      </x:c>
      <x:c r="H2113" s="6">
        <x:f t="shared" si="100"/>
        <x:v>0</x:v>
      </x:c>
      <x:c r="I2113" s="6">
        <x:v>27387.670000000002</x:v>
      </x:c>
      <x:c r="J2113" s="6">
        <x:v>0</x:v>
      </x:c>
      <x:c r="K2113" s="6">
        <x:f t="shared" si="101"/>
        <x:v>27387.670000000002</x:v>
      </x:c>
      <x:c r="L2113" s="6">
        <x:v>0</x:v>
      </x:c>
      <x:c r="M2113" s="6">
        <x:v>0</x:v>
      </x:c>
      <x:c r="N2113" s="6">
        <x:f t="shared" si="102"/>
        <x:v>27387.670000000002</x:v>
      </x:c>
    </x:row>
    <x:row r="2114" spans="1:14" x14ac:dyDescent="0.25">
      <x:c r="A2114" t="s">
        <x:v>26</x:v>
      </x:c>
      <x:c r="B2114" s="3" t="s">
        <x:v>212</x:v>
      </x:c>
      <x:c r="C2114" s="3" t="s">
        <x:v>528</x:v>
      </x:c>
      <x:c r="D2114" t="s">
        <x:v>677</x:v>
      </x:c>
      <x:c r="E2114" s="6">
        <x:v>0</x:v>
      </x:c>
      <x:c r="F2114" s="6">
        <x:v>0</x:v>
      </x:c>
      <x:c r="G2114" s="6">
        <x:v>0</x:v>
      </x:c>
      <x:c r="H2114" s="6">
        <x:f t="shared" si="100"/>
        <x:v>0</x:v>
      </x:c>
      <x:c r="I2114" s="6">
        <x:v>46181.939999999995</x:v>
      </x:c>
      <x:c r="J2114" s="6">
        <x:v>0</x:v>
      </x:c>
      <x:c r="K2114" s="6">
        <x:f t="shared" si="101"/>
        <x:v>46181.939999999995</x:v>
      </x:c>
      <x:c r="L2114" s="6">
        <x:v>0</x:v>
      </x:c>
      <x:c r="M2114" s="6">
        <x:v>0</x:v>
      </x:c>
      <x:c r="N2114" s="6">
        <x:f t="shared" si="102"/>
        <x:v>46181.939999999995</x:v>
      </x:c>
    </x:row>
    <x:row r="2115" spans="1:14" x14ac:dyDescent="0.25">
      <x:c r="A2115" t="s">
        <x:v>26</x:v>
      </x:c>
      <x:c r="B2115" s="3" t="s">
        <x:v>64</x:v>
      </x:c>
      <x:c r="C2115" s="3" t="s">
        <x:v>381</x:v>
      </x:c>
      <x:c r="D2115" t="s">
        <x:v>677</x:v>
      </x:c>
      <x:c r="E2115" s="6">
        <x:v>0</x:v>
      </x:c>
      <x:c r="F2115" s="6">
        <x:v>0</x:v>
      </x:c>
      <x:c r="G2115" s="6">
        <x:v>0</x:v>
      </x:c>
      <x:c r="H2115" s="6">
        <x:f t="shared" si="100"/>
        <x:v>0</x:v>
      </x:c>
      <x:c r="I2115" s="6">
        <x:v>20789.86</x:v>
      </x:c>
      <x:c r="J2115" s="6">
        <x:v>0</x:v>
      </x:c>
      <x:c r="K2115" s="6">
        <x:f t="shared" si="101"/>
        <x:v>20789.86</x:v>
      </x:c>
      <x:c r="L2115" s="6">
        <x:v>0</x:v>
      </x:c>
      <x:c r="M2115" s="6">
        <x:v>0</x:v>
      </x:c>
      <x:c r="N2115" s="6">
        <x:f t="shared" si="102"/>
        <x:v>20789.86</x:v>
      </x:c>
    </x:row>
    <x:row r="2116" spans="1:14" x14ac:dyDescent="0.25">
      <x:c r="A2116" t="s">
        <x:v>26</x:v>
      </x:c>
      <x:c r="B2116" s="3" t="s">
        <x:v>213</x:v>
      </x:c>
      <x:c r="C2116" s="3" t="s">
        <x:v>529</x:v>
      </x:c>
      <x:c r="D2116" t="s">
        <x:v>677</x:v>
      </x:c>
      <x:c r="E2116" s="6">
        <x:v>0</x:v>
      </x:c>
      <x:c r="F2116" s="6">
        <x:v>0</x:v>
      </x:c>
      <x:c r="G2116" s="6">
        <x:v>0</x:v>
      </x:c>
      <x:c r="H2116" s="6">
        <x:f t="shared" si="100"/>
        <x:v>0</x:v>
      </x:c>
      <x:c r="I2116" s="6">
        <x:v>55626.280000000013</x:v>
      </x:c>
      <x:c r="J2116" s="6">
        <x:v>0</x:v>
      </x:c>
      <x:c r="K2116" s="6">
        <x:f t="shared" si="101"/>
        <x:v>55626.280000000013</x:v>
      </x:c>
      <x:c r="L2116" s="6">
        <x:v>0</x:v>
      </x:c>
      <x:c r="M2116" s="6">
        <x:v>0</x:v>
      </x:c>
      <x:c r="N2116" s="6">
        <x:f t="shared" si="102"/>
        <x:v>55626.280000000013</x:v>
      </x:c>
    </x:row>
    <x:row r="2117" spans="1:14" x14ac:dyDescent="0.25">
      <x:c r="A2117" t="s">
        <x:v>26</x:v>
      </x:c>
      <x:c r="B2117" s="3" t="s">
        <x:v>215</x:v>
      </x:c>
      <x:c r="C2117" s="3" t="s">
        <x:v>531</x:v>
      </x:c>
      <x:c r="D2117" t="s">
        <x:v>677</x:v>
      </x:c>
      <x:c r="E2117" s="6">
        <x:v>0</x:v>
      </x:c>
      <x:c r="F2117" s="6">
        <x:v>0</x:v>
      </x:c>
      <x:c r="G2117" s="6">
        <x:v>0</x:v>
      </x:c>
      <x:c r="H2117" s="6">
        <x:f t="shared" si="100"/>
        <x:v>0</x:v>
      </x:c>
      <x:c r="I2117" s="6">
        <x:v>2999.6600000000003</x:v>
      </x:c>
      <x:c r="J2117" s="6">
        <x:v>0</x:v>
      </x:c>
      <x:c r="K2117" s="6">
        <x:f t="shared" si="101"/>
        <x:v>2999.6600000000003</x:v>
      </x:c>
      <x:c r="L2117" s="6">
        <x:v>0</x:v>
      </x:c>
      <x:c r="M2117" s="6">
        <x:v>0</x:v>
      </x:c>
      <x:c r="N2117" s="6">
        <x:f t="shared" si="102"/>
        <x:v>2999.6600000000003</x:v>
      </x:c>
    </x:row>
    <x:row r="2118" spans="1:14" x14ac:dyDescent="0.25">
      <x:c r="A2118" t="s">
        <x:v>26</x:v>
      </x:c>
      <x:c r="B2118" s="3" t="s">
        <x:v>216</x:v>
      </x:c>
      <x:c r="C2118" s="3" t="s">
        <x:v>532</x:v>
      </x:c>
      <x:c r="D2118" t="s">
        <x:v>677</x:v>
      </x:c>
      <x:c r="E2118" s="6">
        <x:v>0</x:v>
      </x:c>
      <x:c r="F2118" s="6">
        <x:v>0</x:v>
      </x:c>
      <x:c r="G2118" s="6">
        <x:v>0</x:v>
      </x:c>
      <x:c r="H2118" s="6">
        <x:f t="shared" si="100"/>
        <x:v>0</x:v>
      </x:c>
      <x:c r="I2118" s="6">
        <x:v>25961.38</x:v>
      </x:c>
      <x:c r="J2118" s="6">
        <x:v>0</x:v>
      </x:c>
      <x:c r="K2118" s="6">
        <x:f t="shared" si="101"/>
        <x:v>25961.38</x:v>
      </x:c>
      <x:c r="L2118" s="6">
        <x:v>0</x:v>
      </x:c>
      <x:c r="M2118" s="6">
        <x:v>0</x:v>
      </x:c>
      <x:c r="N2118" s="6">
        <x:f t="shared" si="102"/>
        <x:v>25961.38</x:v>
      </x:c>
    </x:row>
    <x:row r="2119" spans="1:14" x14ac:dyDescent="0.25">
      <x:c r="A2119" t="s">
        <x:v>26</x:v>
      </x:c>
      <x:c r="B2119" s="3" t="s">
        <x:v>65</x:v>
      </x:c>
      <x:c r="C2119" s="3" t="s">
        <x:v>382</x:v>
      </x:c>
      <x:c r="D2119" t="s">
        <x:v>677</x:v>
      </x:c>
      <x:c r="E2119" s="6">
        <x:v>0</x:v>
      </x:c>
      <x:c r="F2119" s="6">
        <x:v>0</x:v>
      </x:c>
      <x:c r="G2119" s="6">
        <x:v>0</x:v>
      </x:c>
      <x:c r="H2119" s="6">
        <x:f t="shared" si="100"/>
        <x:v>0</x:v>
      </x:c>
      <x:c r="I2119" s="6">
        <x:v>198539.03000000003</x:v>
      </x:c>
      <x:c r="J2119" s="6">
        <x:v>0</x:v>
      </x:c>
      <x:c r="K2119" s="6">
        <x:f t="shared" si="101"/>
        <x:v>198539.03000000003</x:v>
      </x:c>
      <x:c r="L2119" s="6">
        <x:v>0</x:v>
      </x:c>
      <x:c r="M2119" s="6">
        <x:v>0</x:v>
      </x:c>
      <x:c r="N2119" s="6">
        <x:f t="shared" si="102"/>
        <x:v>198539.03000000003</x:v>
      </x:c>
    </x:row>
    <x:row r="2120" spans="1:14" x14ac:dyDescent="0.25">
      <x:c r="A2120" t="s">
        <x:v>26</x:v>
      </x:c>
      <x:c r="B2120" s="3" t="s">
        <x:v>217</x:v>
      </x:c>
      <x:c r="C2120" s="3" t="s">
        <x:v>533</x:v>
      </x:c>
      <x:c r="D2120" t="s">
        <x:v>677</x:v>
      </x:c>
      <x:c r="E2120" s="6">
        <x:v>0</x:v>
      </x:c>
      <x:c r="F2120" s="6">
        <x:v>0</x:v>
      </x:c>
      <x:c r="G2120" s="6">
        <x:v>0</x:v>
      </x:c>
      <x:c r="H2120" s="6">
        <x:f t="shared" si="100"/>
        <x:v>0</x:v>
      </x:c>
      <x:c r="I2120" s="6">
        <x:v>2483.9500000000003</x:v>
      </x:c>
      <x:c r="J2120" s="6">
        <x:v>0</x:v>
      </x:c>
      <x:c r="K2120" s="6">
        <x:f t="shared" si="101"/>
        <x:v>2483.9500000000003</x:v>
      </x:c>
      <x:c r="L2120" s="6">
        <x:v>0</x:v>
      </x:c>
      <x:c r="M2120" s="6">
        <x:v>0</x:v>
      </x:c>
      <x:c r="N2120" s="6">
        <x:f t="shared" si="102"/>
        <x:v>2483.9500000000003</x:v>
      </x:c>
    </x:row>
    <x:row r="2121" spans="1:14" x14ac:dyDescent="0.25">
      <x:c r="A2121" t="s">
        <x:v>26</x:v>
      </x:c>
      <x:c r="B2121" s="3" t="s">
        <x:v>218</x:v>
      </x:c>
      <x:c r="C2121" s="3" t="s">
        <x:v>534</x:v>
      </x:c>
      <x:c r="D2121" t="s">
        <x:v>677</x:v>
      </x:c>
      <x:c r="E2121" s="6">
        <x:v>0</x:v>
      </x:c>
      <x:c r="F2121" s="6">
        <x:v>0</x:v>
      </x:c>
      <x:c r="G2121" s="6">
        <x:v>0</x:v>
      </x:c>
      <x:c r="H2121" s="6">
        <x:f t="shared" si="100"/>
        <x:v>0</x:v>
      </x:c>
      <x:c r="I2121" s="6">
        <x:v>3954.6800000000003</x:v>
      </x:c>
      <x:c r="J2121" s="6">
        <x:v>0</x:v>
      </x:c>
      <x:c r="K2121" s="6">
        <x:f t="shared" si="101"/>
        <x:v>3954.6800000000003</x:v>
      </x:c>
      <x:c r="L2121" s="6">
        <x:v>0</x:v>
      </x:c>
      <x:c r="M2121" s="6">
        <x:v>0</x:v>
      </x:c>
      <x:c r="N2121" s="6">
        <x:f t="shared" si="102"/>
        <x:v>3954.6800000000003</x:v>
      </x:c>
    </x:row>
    <x:row r="2122" spans="1:14" x14ac:dyDescent="0.25">
      <x:c r="A2122" t="s">
        <x:v>26</x:v>
      </x:c>
      <x:c r="B2122" s="3" t="s">
        <x:v>219</x:v>
      </x:c>
      <x:c r="C2122" s="3" t="s">
        <x:v>535</x:v>
      </x:c>
      <x:c r="D2122" t="s">
        <x:v>677</x:v>
      </x:c>
      <x:c r="E2122" s="6">
        <x:v>0</x:v>
      </x:c>
      <x:c r="F2122" s="6">
        <x:v>0</x:v>
      </x:c>
      <x:c r="G2122" s="6">
        <x:v>0</x:v>
      </x:c>
      <x:c r="H2122" s="6">
        <x:f t="shared" si="100"/>
        <x:v>0</x:v>
      </x:c>
      <x:c r="I2122" s="6">
        <x:v>1815.6400000000003</x:v>
      </x:c>
      <x:c r="J2122" s="6">
        <x:v>0</x:v>
      </x:c>
      <x:c r="K2122" s="6">
        <x:f t="shared" si="101"/>
        <x:v>1815.6400000000003</x:v>
      </x:c>
      <x:c r="L2122" s="6">
        <x:v>0</x:v>
      </x:c>
      <x:c r="M2122" s="6">
        <x:v>0</x:v>
      </x:c>
      <x:c r="N2122" s="6">
        <x:f t="shared" si="102"/>
        <x:v>1815.6400000000003</x:v>
      </x:c>
    </x:row>
    <x:row r="2123" spans="1:14" x14ac:dyDescent="0.25">
      <x:c r="A2123" t="s">
        <x:v>26</x:v>
      </x:c>
      <x:c r="B2123" s="3" t="s">
        <x:v>220</x:v>
      </x:c>
      <x:c r="C2123" s="3" t="s">
        <x:v>536</x:v>
      </x:c>
      <x:c r="D2123" t="s">
        <x:v>677</x:v>
      </x:c>
      <x:c r="E2123" s="6">
        <x:v>0</x:v>
      </x:c>
      <x:c r="F2123" s="6">
        <x:v>0</x:v>
      </x:c>
      <x:c r="G2123" s="6">
        <x:v>0</x:v>
      </x:c>
      <x:c r="H2123" s="6">
        <x:f t="shared" si="100"/>
        <x:v>0</x:v>
      </x:c>
      <x:c r="I2123" s="6">
        <x:v>51849.189999999995</x:v>
      </x:c>
      <x:c r="J2123" s="6">
        <x:v>0</x:v>
      </x:c>
      <x:c r="K2123" s="6">
        <x:f t="shared" si="101"/>
        <x:v>51849.189999999995</x:v>
      </x:c>
      <x:c r="L2123" s="6">
        <x:v>0</x:v>
      </x:c>
      <x:c r="M2123" s="6">
        <x:v>0</x:v>
      </x:c>
      <x:c r="N2123" s="6">
        <x:f t="shared" si="102"/>
        <x:v>51849.189999999995</x:v>
      </x:c>
    </x:row>
    <x:row r="2124" spans="1:14" ht="15.75" thickBot="1" x14ac:dyDescent="0.3">
      <x:c r="B2124" s="3"/>
      <x:c r="C2124" s="11" t="s">
        <x:v>863</x:v>
      </x:c>
      <x:c r="E2124" s="9">
        <x:f>SUM(E1402:E2123)</x:f>
        <x:v>390781.45000000007</x:v>
      </x:c>
      <x:c r="F2124" s="9">
        <x:f t="shared" ref="F2124:N2124" si="103">SUM(F1402:F2123)</x:f>
        <x:v>590.55000000000007</x:v>
      </x:c>
      <x:c r="G2124" s="9">
        <x:f t="shared" si="103"/>
        <x:v>0</x:v>
      </x:c>
      <x:c r="H2124" s="9">
        <x:f t="shared" si="103"/>
        <x:v>391372</x:v>
      </x:c>
      <x:c r="I2124" s="9">
        <x:f t="shared" si="103"/>
        <x:v>186152246.5500001</x:v>
      </x:c>
      <x:c r="J2124" s="9">
        <x:f t="shared" si="103"/>
        <x:v>264397.12</x:v>
      </x:c>
      <x:c r="K2124" s="9">
        <x:f t="shared" si="103"/>
        <x:v>186416643.67000011</x:v>
      </x:c>
      <x:c r="L2124" s="9">
        <x:f t="shared" si="103"/>
        <x:v>23800013.109999992</x:v>
      </x:c>
      <x:c r="M2124" s="9">
        <x:f t="shared" si="103"/>
        <x:v>53.75</x:v>
      </x:c>
      <x:c r="N2124" s="9">
        <x:f t="shared" si="103"/>
        <x:v>210608082.53000003</x:v>
      </x:c>
    </x:row>
    <x:row r="2125" spans="1:14" ht="15.75" thickTop="1" x14ac:dyDescent="0.25">
      <x:c r="B2125" s="3"/>
      <x:c r="C2125" s="3"/>
      <x:c r="E2125" s="6"/>
      <x:c r="F2125" s="6"/>
      <x:c r="G2125" s="6"/>
      <x:c r="H2125" s="6"/>
      <x:c r="I2125" s="6"/>
      <x:c r="J2125" s="6"/>
      <x:c r="K2125" s="6"/>
      <x:c r="L2125" s="6"/>
      <x:c r="M2125" s="6"/>
      <x:c r="N2125" s="6"/>
    </x:row>
    <x:row r="2126" spans="1:14" ht="15.75" thickBot="1" x14ac:dyDescent="0.3">
      <x:c r="B2126" s="3"/>
      <x:c r="C2126" s="11" t="s">
        <x:v>864</x:v>
      </x:c>
      <x:c r="E2126" s="10">
        <x:f>+E2124+E1398</x:f>
        <x:v>707909.54000000015</x:v>
      </x:c>
      <x:c r="F2126" s="10">
        <x:f t="shared" ref="F2126:N2126" si="104">+F2124+F1398</x:f>
        <x:v>4359.91</x:v>
      </x:c>
      <x:c r="G2126" s="10">
        <x:f t="shared" si="104"/>
        <x:v>0</x:v>
      </x:c>
      <x:c r="H2126" s="10">
        <x:f t="shared" si="104"/>
        <x:v>712269.45000000007</x:v>
      </x:c>
      <x:c r="I2126" s="10">
        <x:f t="shared" si="104"/>
        <x:v>351074822.24000025</x:v>
      </x:c>
      <x:c r="J2126" s="10">
        <x:f t="shared" si="104"/>
        <x:v>513420.77</x:v>
      </x:c>
      <x:c r="K2126" s="10">
        <x:f t="shared" si="104"/>
        <x:v>351588243.01000023</x:v>
      </x:c>
      <x:c r="L2126" s="10">
        <x:f t="shared" si="104"/>
        <x:v>61352488.640000001</x:v>
      </x:c>
      <x:c r="M2126" s="10">
        <x:f t="shared" si="104"/>
        <x:v>173786.61</x:v>
      </x:c>
      <x:c r="N2126" s="10">
        <x:f t="shared" si="104"/>
        <x:v>413826787.70999992</x:v>
      </x:c>
    </x:row>
    <x:row r="2127" spans="1:14" ht="15.75" thickTop="1" x14ac:dyDescent="0.25">
      <x:c r="B2127" s="3"/>
      <x:c r="C2127" s="3"/>
      <x:c r="E2127" s="6"/>
      <x:c r="F2127" s="6"/>
      <x:c r="G2127" s="6"/>
      <x:c r="H2127" s="6"/>
      <x:c r="I2127" s="6"/>
      <x:c r="J2127" s="6"/>
      <x:c r="K2127" s="6"/>
      <x:c r="L2127" s="6"/>
      <x:c r="M2127" s="6"/>
      <x:c r="N2127" s="6"/>
    </x:row>
    <x:row r="2128" spans="1:14" x14ac:dyDescent="0.25">
      <x:c r="A2128" s="8" t="s">
        <x:v>865</x:v>
      </x:c>
      <x:c r="B2128" s="3"/>
      <x:c r="C2128" s="3"/>
      <x:c r="E2128" s="6"/>
      <x:c r="F2128" s="6"/>
      <x:c r="G2128" s="6"/>
      <x:c r="H2128" s="6"/>
      <x:c r="I2128" s="6"/>
      <x:c r="J2128" s="6"/>
      <x:c r="K2128" s="6"/>
      <x:c r="L2128" s="6"/>
      <x:c r="M2128" s="6"/>
      <x:c r="N2128" s="6"/>
    </x:row>
    <x:row r="2129" spans="1:14" x14ac:dyDescent="0.25">
      <x:c r="A2129" t="s">
        <x:v>27</x:v>
      </x:c>
      <x:c r="B2129" s="3" t="s">
        <x:v>47</x:v>
      </x:c>
      <x:c r="C2129" s="3" t="s">
        <x:v>364</x:v>
      </x:c>
      <x:c r="D2129" t="s">
        <x:v>676</x:v>
      </x:c>
      <x:c r="E2129" s="6">
        <x:v>0</x:v>
      </x:c>
      <x:c r="F2129" s="6">
        <x:v>0</x:v>
      </x:c>
      <x:c r="G2129" s="6">
        <x:v>0</x:v>
      </x:c>
      <x:c r="H2129" s="6">
        <x:f t="shared" si="100"/>
        <x:v>0</x:v>
      </x:c>
      <x:c r="I2129" s="6">
        <x:v>107858</x:v>
      </x:c>
      <x:c r="J2129" s="6">
        <x:v>0</x:v>
      </x:c>
      <x:c r="K2129" s="6">
        <x:f t="shared" si="101"/>
        <x:v>107858</x:v>
      </x:c>
      <x:c r="L2129" s="6">
        <x:v>0</x:v>
      </x:c>
      <x:c r="M2129" s="6">
        <x:v>0</x:v>
      </x:c>
      <x:c r="N2129" s="6">
        <x:f t="shared" si="102"/>
        <x:v>107858</x:v>
      </x:c>
    </x:row>
    <x:row r="2130" spans="1:14" x14ac:dyDescent="0.25">
      <x:c r="A2130" t="s">
        <x:v>27</x:v>
      </x:c>
      <x:c r="B2130" s="3" t="s">
        <x:v>224</x:v>
      </x:c>
      <x:c r="C2130" s="3" t="s">
        <x:v>540</x:v>
      </x:c>
      <x:c r="D2130" t="s">
        <x:v>676</x:v>
      </x:c>
      <x:c r="E2130" s="6">
        <x:v>0</x:v>
      </x:c>
      <x:c r="F2130" s="6">
        <x:v>0</x:v>
      </x:c>
      <x:c r="G2130" s="6">
        <x:v>0</x:v>
      </x:c>
      <x:c r="H2130" s="6">
        <x:f t="shared" si="100"/>
        <x:v>0</x:v>
      </x:c>
      <x:c r="I2130" s="6">
        <x:v>0</x:v>
      </x:c>
      <x:c r="J2130" s="6">
        <x:v>0</x:v>
      </x:c>
      <x:c r="K2130" s="6">
        <x:f t="shared" si="101"/>
        <x:v>0</x:v>
      </x:c>
      <x:c r="L2130" s="6">
        <x:v>0</x:v>
      </x:c>
      <x:c r="M2130" s="6">
        <x:v>1800</x:v>
      </x:c>
      <x:c r="N2130" s="6">
        <x:f t="shared" si="102"/>
        <x:v>1800</x:v>
      </x:c>
    </x:row>
    <x:row r="2131" spans="1:14" x14ac:dyDescent="0.25">
      <x:c r="A2131" t="s">
        <x:v>28</x:v>
      </x:c>
      <x:c r="B2131" s="3" t="s">
        <x:v>257</x:v>
      </x:c>
      <x:c r="C2131" s="3" t="s">
        <x:v>572</x:v>
      </x:c>
      <x:c r="D2131" t="s">
        <x:v>676</x:v>
      </x:c>
      <x:c r="E2131" s="6">
        <x:v>0</x:v>
      </x:c>
      <x:c r="F2131" s="6">
        <x:v>0</x:v>
      </x:c>
      <x:c r="G2131" s="6">
        <x:v>0</x:v>
      </x:c>
      <x:c r="H2131" s="6">
        <x:f t="shared" si="100"/>
        <x:v>0</x:v>
      </x:c>
      <x:c r="I2131" s="6">
        <x:v>0</x:v>
      </x:c>
      <x:c r="J2131" s="6">
        <x:v>0</x:v>
      </x:c>
      <x:c r="K2131" s="6">
        <x:f t="shared" si="101"/>
        <x:v>0</x:v>
      </x:c>
      <x:c r="L2131" s="6">
        <x:v>11048.97</x:v>
      </x:c>
      <x:c r="M2131" s="6">
        <x:v>0</x:v>
      </x:c>
      <x:c r="N2131" s="6">
        <x:f t="shared" si="102"/>
        <x:v>11048.97</x:v>
      </x:c>
    </x:row>
    <x:row r="2132" spans="1:14" x14ac:dyDescent="0.25">
      <x:c r="A2132" t="s">
        <x:v>28</x:v>
      </x:c>
      <x:c r="B2132" s="3" t="s">
        <x:v>259</x:v>
      </x:c>
      <x:c r="C2132" s="3" t="s">
        <x:v>574</x:v>
      </x:c>
      <x:c r="D2132" t="s">
        <x:v>676</x:v>
      </x:c>
      <x:c r="E2132" s="6">
        <x:v>0</x:v>
      </x:c>
      <x:c r="F2132" s="6">
        <x:v>0</x:v>
      </x:c>
      <x:c r="G2132" s="6">
        <x:v>0</x:v>
      </x:c>
      <x:c r="H2132" s="6">
        <x:f t="shared" si="100"/>
        <x:v>0</x:v>
      </x:c>
      <x:c r="I2132" s="6">
        <x:v>0</x:v>
      </x:c>
      <x:c r="J2132" s="6">
        <x:v>0</x:v>
      </x:c>
      <x:c r="K2132" s="6">
        <x:f t="shared" si="101"/>
        <x:v>0</x:v>
      </x:c>
      <x:c r="L2132" s="6">
        <x:v>-535.20000000000005</x:v>
      </x:c>
      <x:c r="M2132" s="6">
        <x:v>0</x:v>
      </x:c>
      <x:c r="N2132" s="6">
        <x:f t="shared" si="102"/>
        <x:v>-535.20000000000005</x:v>
      </x:c>
    </x:row>
    <x:row r="2133" spans="1:14" x14ac:dyDescent="0.25">
      <x:c r="A2133" t="s">
        <x:v>28</x:v>
      </x:c>
      <x:c r="B2133" s="3" t="s">
        <x:v>260</x:v>
      </x:c>
      <x:c r="C2133" s="3" t="s">
        <x:v>575</x:v>
      </x:c>
      <x:c r="D2133" t="s">
        <x:v>676</x:v>
      </x:c>
      <x:c r="E2133" s="6">
        <x:v>0</x:v>
      </x:c>
      <x:c r="F2133" s="6">
        <x:v>0</x:v>
      </x:c>
      <x:c r="G2133" s="6">
        <x:v>0</x:v>
      </x:c>
      <x:c r="H2133" s="6">
        <x:f t="shared" si="100"/>
        <x:v>0</x:v>
      </x:c>
      <x:c r="I2133" s="6">
        <x:v>0</x:v>
      </x:c>
      <x:c r="J2133" s="6">
        <x:v>0</x:v>
      </x:c>
      <x:c r="K2133" s="6">
        <x:f t="shared" si="101"/>
        <x:v>0</x:v>
      </x:c>
      <x:c r="L2133" s="6">
        <x:v>2253.1999999999998</x:v>
      </x:c>
      <x:c r="M2133" s="6">
        <x:v>0</x:v>
      </x:c>
      <x:c r="N2133" s="6">
        <x:f t="shared" si="102"/>
        <x:v>2253.1999999999998</x:v>
      </x:c>
    </x:row>
    <x:row r="2134" spans="1:14" x14ac:dyDescent="0.25">
      <x:c r="A2134" t="s">
        <x:v>28</x:v>
      </x:c>
      <x:c r="B2134" s="3" t="s">
        <x:v>261</x:v>
      </x:c>
      <x:c r="C2134" s="3" t="s">
        <x:v>576</x:v>
      </x:c>
      <x:c r="D2134" t="s">
        <x:v>676</x:v>
      </x:c>
      <x:c r="E2134" s="6">
        <x:v>0</x:v>
      </x:c>
      <x:c r="F2134" s="6">
        <x:v>0</x:v>
      </x:c>
      <x:c r="G2134" s="6">
        <x:v>0</x:v>
      </x:c>
      <x:c r="H2134" s="6">
        <x:f t="shared" si="100"/>
        <x:v>0</x:v>
      </x:c>
      <x:c r="I2134" s="6">
        <x:v>0</x:v>
      </x:c>
      <x:c r="J2134" s="6">
        <x:v>0</x:v>
      </x:c>
      <x:c r="K2134" s="6">
        <x:f t="shared" si="101"/>
        <x:v>0</x:v>
      </x:c>
      <x:c r="L2134" s="6">
        <x:v>3156.25</x:v>
      </x:c>
      <x:c r="M2134" s="6">
        <x:v>0</x:v>
      </x:c>
      <x:c r="N2134" s="6">
        <x:f t="shared" si="102"/>
        <x:v>3156.25</x:v>
      </x:c>
    </x:row>
    <x:row r="2135" spans="1:14" x14ac:dyDescent="0.25">
      <x:c r="A2135" t="s">
        <x:v>28</x:v>
      </x:c>
      <x:c r="B2135" s="3" t="s">
        <x:v>46</x:v>
      </x:c>
      <x:c r="C2135" s="3" t="s">
        <x:v>363</x:v>
      </x:c>
      <x:c r="D2135" t="s">
        <x:v>676</x:v>
      </x:c>
      <x:c r="E2135" s="6">
        <x:v>0</x:v>
      </x:c>
      <x:c r="F2135" s="6">
        <x:v>0</x:v>
      </x:c>
      <x:c r="G2135" s="6">
        <x:v>0</x:v>
      </x:c>
      <x:c r="H2135" s="6">
        <x:f t="shared" ref="H2135:H2206" si="105">SUM(E2135:G2135)</x:f>
        <x:v>0</x:v>
      </x:c>
      <x:c r="I2135" s="6">
        <x:v>0</x:v>
      </x:c>
      <x:c r="J2135" s="6">
        <x:v>0</x:v>
      </x:c>
      <x:c r="K2135" s="6">
        <x:f t="shared" ref="K2135:K2206" si="106">SUM(I2135:J2135)</x:f>
        <x:v>0</x:v>
      </x:c>
      <x:c r="L2135" s="6">
        <x:v>245.34</x:v>
      </x:c>
      <x:c r="M2135" s="6">
        <x:v>0</x:v>
      </x:c>
      <x:c r="N2135" s="6">
        <x:f t="shared" ref="N2135:N2206" si="107">+E2135+F2135+G2135+I2135+J2135+L2135+M2135</x:f>
        <x:v>245.34</x:v>
      </x:c>
    </x:row>
    <x:row r="2136" spans="1:14" x14ac:dyDescent="0.25">
      <x:c r="A2136" t="s">
        <x:v>28</x:v>
      </x:c>
      <x:c r="B2136" s="3" t="s">
        <x:v>47</x:v>
      </x:c>
      <x:c r="C2136" s="3" t="s">
        <x:v>364</x:v>
      </x:c>
      <x:c r="D2136" t="s">
        <x:v>677</x:v>
      </x:c>
      <x:c r="E2136" s="6">
        <x:v>0</x:v>
      </x:c>
      <x:c r="F2136" s="6">
        <x:v>0</x:v>
      </x:c>
      <x:c r="G2136" s="6">
        <x:v>0</x:v>
      </x:c>
      <x:c r="H2136" s="6">
        <x:f t="shared" si="105"/>
        <x:v>0</x:v>
      </x:c>
      <x:c r="I2136" s="6">
        <x:v>0</x:v>
      </x:c>
      <x:c r="J2136" s="6">
        <x:v>0</x:v>
      </x:c>
      <x:c r="K2136" s="6">
        <x:f t="shared" si="106"/>
        <x:v>0</x:v>
      </x:c>
      <x:c r="L2136" s="6">
        <x:v>1208.42</x:v>
      </x:c>
      <x:c r="M2136" s="6">
        <x:v>0</x:v>
      </x:c>
      <x:c r="N2136" s="6">
        <x:f t="shared" si="107"/>
        <x:v>1208.42</x:v>
      </x:c>
    </x:row>
    <x:row r="2137" spans="1:14" x14ac:dyDescent="0.25">
      <x:c r="A2137" t="s">
        <x:v>28</x:v>
      </x:c>
      <x:c r="B2137" s="3" t="s">
        <x:v>295</x:v>
      </x:c>
      <x:c r="C2137" s="3" t="s">
        <x:v>610</x:v>
      </x:c>
      <x:c r="D2137" t="s">
        <x:v>677</x:v>
      </x:c>
      <x:c r="E2137" s="6">
        <x:v>0</x:v>
      </x:c>
      <x:c r="F2137" s="6">
        <x:v>0</x:v>
      </x:c>
      <x:c r="G2137" s="6">
        <x:v>0</x:v>
      </x:c>
      <x:c r="H2137" s="6">
        <x:f t="shared" si="105"/>
        <x:v>0</x:v>
      </x:c>
      <x:c r="I2137" s="6">
        <x:v>0</x:v>
      </x:c>
      <x:c r="J2137" s="6">
        <x:v>0</x:v>
      </x:c>
      <x:c r="K2137" s="6">
        <x:f t="shared" si="106"/>
        <x:v>0</x:v>
      </x:c>
      <x:c r="L2137" s="6">
        <x:v>49400</x:v>
      </x:c>
      <x:c r="M2137" s="6">
        <x:v>0</x:v>
      </x:c>
      <x:c r="N2137" s="6">
        <x:f t="shared" si="107"/>
        <x:v>49400</x:v>
      </x:c>
    </x:row>
    <x:row r="2138" spans="1:14" x14ac:dyDescent="0.25">
      <x:c r="A2138" t="s">
        <x:v>29</x:v>
      </x:c>
      <x:c r="B2138" s="3" t="s">
        <x:v>244</x:v>
      </x:c>
      <x:c r="C2138" s="3" t="s">
        <x:v>559</x:v>
      </x:c>
      <x:c r="D2138" t="s">
        <x:v>676</x:v>
      </x:c>
      <x:c r="E2138" s="6">
        <x:v>0</x:v>
      </x:c>
      <x:c r="F2138" s="6">
        <x:v>0</x:v>
      </x:c>
      <x:c r="G2138" s="6">
        <x:v>0</x:v>
      </x:c>
      <x:c r="H2138" s="6">
        <x:f t="shared" si="105"/>
        <x:v>0</x:v>
      </x:c>
      <x:c r="I2138" s="6">
        <x:v>0</x:v>
      </x:c>
      <x:c r="J2138" s="6">
        <x:v>0</x:v>
      </x:c>
      <x:c r="K2138" s="6">
        <x:f t="shared" si="106"/>
        <x:v>0</x:v>
      </x:c>
      <x:c r="L2138" s="6">
        <x:v>0</x:v>
      </x:c>
      <x:c r="M2138" s="6">
        <x:v>176612.76</x:v>
      </x:c>
      <x:c r="N2138" s="6">
        <x:f t="shared" si="107"/>
        <x:v>176612.76</x:v>
      </x:c>
    </x:row>
    <x:row r="2139" spans="1:14" x14ac:dyDescent="0.25">
      <x:c r="A2139" t="s">
        <x:v>29</x:v>
      </x:c>
      <x:c r="B2139" s="3" t="s">
        <x:v>82</x:v>
      </x:c>
      <x:c r="C2139" s="3" t="s">
        <x:v>399</x:v>
      </x:c>
      <x:c r="D2139" t="s">
        <x:v>677</x:v>
      </x:c>
      <x:c r="E2139" s="6">
        <x:v>0</x:v>
      </x:c>
      <x:c r="F2139" s="6">
        <x:v>0</x:v>
      </x:c>
      <x:c r="G2139" s="6">
        <x:v>0</x:v>
      </x:c>
      <x:c r="H2139" s="6">
        <x:f t="shared" si="105"/>
        <x:v>0</x:v>
      </x:c>
      <x:c r="I2139" s="6">
        <x:v>0</x:v>
      </x:c>
      <x:c r="J2139" s="6">
        <x:v>0</x:v>
      </x:c>
      <x:c r="K2139" s="6">
        <x:f t="shared" si="106"/>
        <x:v>0</x:v>
      </x:c>
      <x:c r="L2139" s="6">
        <x:v>0</x:v>
      </x:c>
      <x:c r="M2139" s="6">
        <x:v>20211.07</x:v>
      </x:c>
      <x:c r="N2139" s="6">
        <x:f t="shared" si="107"/>
        <x:v>20211.07</x:v>
      </x:c>
    </x:row>
    <x:row r="2140" spans="1:14" x14ac:dyDescent="0.25">
      <x:c r="A2140" t="s">
        <x:v>29</x:v>
      </x:c>
      <x:c r="B2140" s="3" t="s">
        <x:v>261</x:v>
      </x:c>
      <x:c r="C2140" s="3" t="s">
        <x:v>576</x:v>
      </x:c>
      <x:c r="D2140" t="s">
        <x:v>676</x:v>
      </x:c>
      <x:c r="E2140" s="6">
        <x:v>0</x:v>
      </x:c>
      <x:c r="F2140" s="6">
        <x:v>0</x:v>
      </x:c>
      <x:c r="G2140" s="6">
        <x:v>0</x:v>
      </x:c>
      <x:c r="H2140" s="6">
        <x:f t="shared" si="105"/>
        <x:v>0</x:v>
      </x:c>
      <x:c r="I2140" s="6">
        <x:v>0</x:v>
      </x:c>
      <x:c r="J2140" s="6">
        <x:v>0</x:v>
      </x:c>
      <x:c r="K2140" s="6">
        <x:f t="shared" si="106"/>
        <x:v>0</x:v>
      </x:c>
      <x:c r="L2140" s="6">
        <x:v>4072761.93</x:v>
      </x:c>
      <x:c r="M2140" s="6">
        <x:v>0</x:v>
      </x:c>
      <x:c r="N2140" s="6">
        <x:f t="shared" si="107"/>
        <x:v>4072761.93</x:v>
      </x:c>
    </x:row>
    <x:row r="2141" spans="1:14" x14ac:dyDescent="0.25">
      <x:c r="A2141" t="s">
        <x:v>29</x:v>
      </x:c>
      <x:c r="B2141" s="3" t="s">
        <x:v>157</x:v>
      </x:c>
      <x:c r="C2141" s="3" t="s">
        <x:v>474</x:v>
      </x:c>
      <x:c r="D2141" t="s">
        <x:v>677</x:v>
      </x:c>
      <x:c r="E2141" s="6">
        <x:v>0</x:v>
      </x:c>
      <x:c r="F2141" s="6">
        <x:v>0</x:v>
      </x:c>
      <x:c r="G2141" s="6">
        <x:v>0</x:v>
      </x:c>
      <x:c r="H2141" s="6">
        <x:f t="shared" si="105"/>
        <x:v>0</x:v>
      </x:c>
      <x:c r="I2141" s="6">
        <x:v>0</x:v>
      </x:c>
      <x:c r="J2141" s="6">
        <x:v>0</x:v>
      </x:c>
      <x:c r="K2141" s="6">
        <x:f t="shared" si="106"/>
        <x:v>0</x:v>
      </x:c>
      <x:c r="L2141" s="6">
        <x:v>0</x:v>
      </x:c>
      <x:c r="M2141" s="6">
        <x:v>55.510000000000005</x:v>
      </x:c>
      <x:c r="N2141" s="6">
        <x:f t="shared" si="107"/>
        <x:v>55.510000000000005</x:v>
      </x:c>
    </x:row>
    <x:row r="2142" spans="1:14" x14ac:dyDescent="0.25">
      <x:c r="A2142" t="s">
        <x:v>29</x:v>
      </x:c>
      <x:c r="B2142" s="3" t="s">
        <x:v>311</x:v>
      </x:c>
      <x:c r="C2142" s="3" t="s">
        <x:v>626</x:v>
      </x:c>
      <x:c r="D2142" t="s">
        <x:v>676</x:v>
      </x:c>
      <x:c r="E2142" s="6">
        <x:v>0</x:v>
      </x:c>
      <x:c r="F2142" s="6">
        <x:v>0</x:v>
      </x:c>
      <x:c r="G2142" s="6">
        <x:v>0</x:v>
      </x:c>
      <x:c r="H2142" s="6">
        <x:f t="shared" si="105"/>
        <x:v>0</x:v>
      </x:c>
      <x:c r="I2142" s="6">
        <x:v>0</x:v>
      </x:c>
      <x:c r="J2142" s="6">
        <x:v>0</x:v>
      </x:c>
      <x:c r="K2142" s="6">
        <x:f t="shared" si="106"/>
        <x:v>0</x:v>
      </x:c>
      <x:c r="L2142" s="6">
        <x:v>0</x:v>
      </x:c>
      <x:c r="M2142" s="6">
        <x:v>12191362.379999999</x:v>
      </x:c>
      <x:c r="N2142" s="6">
        <x:f t="shared" si="107"/>
        <x:v>12191362.379999999</x:v>
      </x:c>
    </x:row>
    <x:row r="2143" spans="1:14" x14ac:dyDescent="0.25">
      <x:c r="A2143" t="s">
        <x:v>29</x:v>
      </x:c>
      <x:c r="B2143" s="3" t="s">
        <x:v>312</x:v>
      </x:c>
      <x:c r="C2143" s="3" t="s">
        <x:v>627</x:v>
      </x:c>
      <x:c r="D2143" t="s">
        <x:v>676</x:v>
      </x:c>
      <x:c r="E2143" s="6">
        <x:v>0</x:v>
      </x:c>
      <x:c r="F2143" s="6">
        <x:v>0</x:v>
      </x:c>
      <x:c r="G2143" s="6">
        <x:v>0</x:v>
      </x:c>
      <x:c r="H2143" s="6">
        <x:f t="shared" si="105"/>
        <x:v>0</x:v>
      </x:c>
      <x:c r="I2143" s="6">
        <x:v>0</x:v>
      </x:c>
      <x:c r="J2143" s="6">
        <x:v>0</x:v>
      </x:c>
      <x:c r="K2143" s="6">
        <x:f t="shared" si="106"/>
        <x:v>0</x:v>
      </x:c>
      <x:c r="L2143" s="6">
        <x:v>0</x:v>
      </x:c>
      <x:c r="M2143" s="6">
        <x:v>12756.16</x:v>
      </x:c>
      <x:c r="N2143" s="6">
        <x:f t="shared" si="107"/>
        <x:v>12756.16</x:v>
      </x:c>
    </x:row>
    <x:row r="2144" spans="1:14" x14ac:dyDescent="0.25">
      <x:c r="A2144" t="s">
        <x:v>29</x:v>
      </x:c>
      <x:c r="B2144" s="3" t="s">
        <x:v>268</x:v>
      </x:c>
      <x:c r="C2144" s="3" t="s">
        <x:v>583</x:v>
      </x:c>
      <x:c r="D2144" t="s">
        <x:v>676</x:v>
      </x:c>
      <x:c r="E2144" s="6">
        <x:v>0</x:v>
      </x:c>
      <x:c r="F2144" s="6">
        <x:v>0</x:v>
      </x:c>
      <x:c r="G2144" s="6">
        <x:v>0</x:v>
      </x:c>
      <x:c r="H2144" s="6">
        <x:f t="shared" si="105"/>
        <x:v>0</x:v>
      </x:c>
      <x:c r="I2144" s="6">
        <x:v>0</x:v>
      </x:c>
      <x:c r="J2144" s="6">
        <x:v>0</x:v>
      </x:c>
      <x:c r="K2144" s="6">
        <x:f t="shared" si="106"/>
        <x:v>0</x:v>
      </x:c>
      <x:c r="L2144" s="6">
        <x:v>5674144.0499999998</x:v>
      </x:c>
      <x:c r="M2144" s="6">
        <x:v>0</x:v>
      </x:c>
      <x:c r="N2144" s="6">
        <x:f t="shared" si="107"/>
        <x:v>5674144.0499999998</x:v>
      </x:c>
    </x:row>
    <x:row r="2145" spans="1:14" x14ac:dyDescent="0.25">
      <x:c r="A2145" t="s">
        <x:v>29</x:v>
      </x:c>
      <x:c r="B2145" s="3" t="s">
        <x:v>310</x:v>
      </x:c>
      <x:c r="C2145" s="3" t="s">
        <x:v>625</x:v>
      </x:c>
      <x:c r="D2145" t="s">
        <x:v>676</x:v>
      </x:c>
      <x:c r="E2145" s="6">
        <x:v>0</x:v>
      </x:c>
      <x:c r="F2145" s="6">
        <x:v>0</x:v>
      </x:c>
      <x:c r="G2145" s="6">
        <x:v>0</x:v>
      </x:c>
      <x:c r="H2145" s="6">
        <x:f t="shared" si="105"/>
        <x:v>0</x:v>
      </x:c>
      <x:c r="I2145" s="6">
        <x:v>0</x:v>
      </x:c>
      <x:c r="J2145" s="6">
        <x:v>0</x:v>
      </x:c>
      <x:c r="K2145" s="6">
        <x:f t="shared" si="106"/>
        <x:v>0</x:v>
      </x:c>
      <x:c r="L2145" s="6">
        <x:v>0</x:v>
      </x:c>
      <x:c r="M2145" s="6">
        <x:v>1091237.2999999998</x:v>
      </x:c>
      <x:c r="N2145" s="6">
        <x:f t="shared" si="107"/>
        <x:v>1091237.2999999998</x:v>
      </x:c>
    </x:row>
    <x:row r="2146" spans="1:14" x14ac:dyDescent="0.25">
      <x:c r="A2146" t="s">
        <x:v>29</x:v>
      </x:c>
      <x:c r="B2146" s="3" t="s">
        <x:v>313</x:v>
      </x:c>
      <x:c r="C2146" s="3" t="s">
        <x:v>628</x:v>
      </x:c>
      <x:c r="D2146" t="s">
        <x:v>676</x:v>
      </x:c>
      <x:c r="E2146" s="6">
        <x:v>0</x:v>
      </x:c>
      <x:c r="F2146" s="6">
        <x:v>0</x:v>
      </x:c>
      <x:c r="G2146" s="6">
        <x:v>0</x:v>
      </x:c>
      <x:c r="H2146" s="6">
        <x:f t="shared" si="105"/>
        <x:v>0</x:v>
      </x:c>
      <x:c r="I2146" s="6">
        <x:v>0</x:v>
      </x:c>
      <x:c r="J2146" s="6">
        <x:v>0</x:v>
      </x:c>
      <x:c r="K2146" s="6">
        <x:f t="shared" si="106"/>
        <x:v>0</x:v>
      </x:c>
      <x:c r="L2146" s="6">
        <x:v>0</x:v>
      </x:c>
      <x:c r="M2146" s="6">
        <x:v>5198.29</x:v>
      </x:c>
      <x:c r="N2146" s="6">
        <x:f t="shared" si="107"/>
        <x:v>5198.29</x:v>
      </x:c>
    </x:row>
    <x:row r="2147" spans="1:14" x14ac:dyDescent="0.25">
      <x:c r="A2147" t="s">
        <x:v>29</x:v>
      </x:c>
      <x:c r="B2147" s="3" t="s">
        <x:v>293</x:v>
      </x:c>
      <x:c r="C2147" s="3" t="s">
        <x:v>608</x:v>
      </x:c>
      <x:c r="D2147" t="s">
        <x:v>676</x:v>
      </x:c>
      <x:c r="E2147" s="6">
        <x:v>0</x:v>
      </x:c>
      <x:c r="F2147" s="6">
        <x:v>0</x:v>
      </x:c>
      <x:c r="G2147" s="6">
        <x:v>0</x:v>
      </x:c>
      <x:c r="H2147" s="6">
        <x:f t="shared" si="105"/>
        <x:v>0</x:v>
      </x:c>
      <x:c r="I2147" s="6">
        <x:v>0</x:v>
      </x:c>
      <x:c r="J2147" s="6">
        <x:v>0</x:v>
      </x:c>
      <x:c r="K2147" s="6">
        <x:f t="shared" si="106"/>
        <x:v>0</x:v>
      </x:c>
      <x:c r="L2147" s="6">
        <x:v>0</x:v>
      </x:c>
      <x:c r="M2147" s="6">
        <x:v>141516.82</x:v>
      </x:c>
      <x:c r="N2147" s="6">
        <x:f t="shared" si="107"/>
        <x:v>141516.82</x:v>
      </x:c>
    </x:row>
    <x:row r="2148" spans="1:14" x14ac:dyDescent="0.25">
      <x:c r="A2148" t="s">
        <x:v>29</x:v>
      </x:c>
      <x:c r="B2148" s="3" t="s">
        <x:v>314</x:v>
      </x:c>
      <x:c r="C2148" s="3" t="s">
        <x:v>629</x:v>
      </x:c>
      <x:c r="D2148" t="s">
        <x:v>676</x:v>
      </x:c>
      <x:c r="E2148" s="6">
        <x:v>0</x:v>
      </x:c>
      <x:c r="F2148" s="6">
        <x:v>0</x:v>
      </x:c>
      <x:c r="G2148" s="6">
        <x:v>0</x:v>
      </x:c>
      <x:c r="H2148" s="6">
        <x:f t="shared" si="105"/>
        <x:v>0</x:v>
      </x:c>
      <x:c r="I2148" s="6">
        <x:v>0</x:v>
      </x:c>
      <x:c r="J2148" s="6">
        <x:v>0</x:v>
      </x:c>
      <x:c r="K2148" s="6">
        <x:f t="shared" si="106"/>
        <x:v>0</x:v>
      </x:c>
      <x:c r="L2148" s="6">
        <x:v>0</x:v>
      </x:c>
      <x:c r="M2148" s="6">
        <x:v>208287.36000000002</x:v>
      </x:c>
      <x:c r="N2148" s="6">
        <x:f t="shared" si="107"/>
        <x:v>208287.36000000002</x:v>
      </x:c>
    </x:row>
    <x:row r="2149" spans="1:14" x14ac:dyDescent="0.25">
      <x:c r="A2149" t="s">
        <x:v>29</x:v>
      </x:c>
      <x:c r="B2149" s="3" t="s">
        <x:v>315</x:v>
      </x:c>
      <x:c r="C2149" s="3" t="s">
        <x:v>630</x:v>
      </x:c>
      <x:c r="D2149" t="s">
        <x:v>676</x:v>
      </x:c>
      <x:c r="E2149" s="6">
        <x:v>0</x:v>
      </x:c>
      <x:c r="F2149" s="6">
        <x:v>0</x:v>
      </x:c>
      <x:c r="G2149" s="6">
        <x:v>0</x:v>
      </x:c>
      <x:c r="H2149" s="6">
        <x:f t="shared" si="105"/>
        <x:v>0</x:v>
      </x:c>
      <x:c r="I2149" s="6">
        <x:v>0</x:v>
      </x:c>
      <x:c r="J2149" s="6">
        <x:v>0</x:v>
      </x:c>
      <x:c r="K2149" s="6">
        <x:f t="shared" si="106"/>
        <x:v>0</x:v>
      </x:c>
      <x:c r="L2149" s="6">
        <x:v>0</x:v>
      </x:c>
      <x:c r="M2149" s="6">
        <x:v>163037.44</x:v>
      </x:c>
      <x:c r="N2149" s="6">
        <x:f t="shared" si="107"/>
        <x:v>163037.44</x:v>
      </x:c>
    </x:row>
    <x:row r="2150" spans="1:14" x14ac:dyDescent="0.25">
      <x:c r="A2150" t="s">
        <x:v>29</x:v>
      </x:c>
      <x:c r="B2150" s="3" t="s">
        <x:v>302</x:v>
      </x:c>
      <x:c r="C2150" s="3" t="s">
        <x:v>617</x:v>
      </x:c>
      <x:c r="D2150" t="s">
        <x:v>677</x:v>
      </x:c>
      <x:c r="E2150" s="6">
        <x:v>0</x:v>
      </x:c>
      <x:c r="F2150" s="6">
        <x:v>0</x:v>
      </x:c>
      <x:c r="G2150" s="6">
        <x:v>0</x:v>
      </x:c>
      <x:c r="H2150" s="6">
        <x:f t="shared" si="105"/>
        <x:v>0</x:v>
      </x:c>
      <x:c r="I2150" s="6">
        <x:v>0</x:v>
      </x:c>
      <x:c r="J2150" s="6">
        <x:v>0</x:v>
      </x:c>
      <x:c r="K2150" s="6">
        <x:f t="shared" si="106"/>
        <x:v>0</x:v>
      </x:c>
      <x:c r="L2150" s="6">
        <x:v>0</x:v>
      </x:c>
      <x:c r="M2150" s="6">
        <x:v>235.94</x:v>
      </x:c>
      <x:c r="N2150" s="6">
        <x:f t="shared" si="107"/>
        <x:v>235.94</x:v>
      </x:c>
    </x:row>
    <x:row r="2151" spans="1:14" x14ac:dyDescent="0.25">
      <x:c r="A2151" t="s">
        <x:v>29</x:v>
      </x:c>
      <x:c r="B2151" s="3" t="s">
        <x:v>304</x:v>
      </x:c>
      <x:c r="C2151" s="3" t="s">
        <x:v>619</x:v>
      </x:c>
      <x:c r="D2151" t="s">
        <x:v>677</x:v>
      </x:c>
      <x:c r="E2151" s="6">
        <x:v>0</x:v>
      </x:c>
      <x:c r="F2151" s="6">
        <x:v>0</x:v>
      </x:c>
      <x:c r="G2151" s="6">
        <x:v>0</x:v>
      </x:c>
      <x:c r="H2151" s="6">
        <x:f t="shared" si="105"/>
        <x:v>0</x:v>
      </x:c>
      <x:c r="I2151" s="6">
        <x:v>0</x:v>
      </x:c>
      <x:c r="J2151" s="6">
        <x:v>0</x:v>
      </x:c>
      <x:c r="K2151" s="6">
        <x:f t="shared" si="106"/>
        <x:v>0</x:v>
      </x:c>
      <x:c r="L2151" s="6">
        <x:v>0</x:v>
      </x:c>
      <x:c r="M2151" s="6">
        <x:v>1479.9</x:v>
      </x:c>
      <x:c r="N2151" s="6">
        <x:f t="shared" si="107"/>
        <x:v>1479.9</x:v>
      </x:c>
    </x:row>
    <x:row r="2152" spans="1:14" x14ac:dyDescent="0.25">
      <x:c r="A2152" t="s">
        <x:v>29</x:v>
      </x:c>
      <x:c r="B2152" t="s">
        <x:v>843</x:v>
      </x:c>
      <x:c r="C2152" t="s">
        <x:v>844</x:v>
      </x:c>
      <x:c r="D2152" t="s">
        <x:v>833</x:v>
      </x:c>
      <x:c r="E2152" s="6">
        <x:v>0</x:v>
      </x:c>
      <x:c r="F2152" s="6">
        <x:v>0</x:v>
      </x:c>
      <x:c r="G2152" s="6">
        <x:v>0</x:v>
      </x:c>
      <x:c r="H2152" s="6">
        <x:f t="shared" si="105"/>
        <x:v>0</x:v>
      </x:c>
      <x:c r="I2152" s="6">
        <x:v>0</x:v>
      </x:c>
      <x:c r="J2152" s="6">
        <x:v>0</x:v>
      </x:c>
      <x:c r="K2152" s="6">
        <x:f t="shared" si="106"/>
        <x:v>0</x:v>
      </x:c>
      <x:c r="L2152" s="6">
        <x:v>0</x:v>
      </x:c>
      <x:c r="M2152" s="6">
        <x:v>6733011.7000000002</x:v>
      </x:c>
      <x:c r="N2152" s="6">
        <x:f t="shared" si="107"/>
        <x:v>6733011.7000000002</x:v>
      </x:c>
    </x:row>
    <x:row r="2153" spans="1:14" x14ac:dyDescent="0.25">
      <x:c r="A2153" t="s">
        <x:v>30</x:v>
      </x:c>
      <x:c r="B2153" t="s">
        <x:v>738</x:v>
      </x:c>
      <x:c r="C2153" t="s">
        <x:v>739</x:v>
      </x:c>
      <x:c r="D2153" t="s">
        <x:v>833</x:v>
      </x:c>
      <x:c r="E2153" s="6">
        <x:v>280</x:v>
      </x:c>
      <x:c r="F2153" s="6">
        <x:v>0</x:v>
      </x:c>
      <x:c r="G2153" s="6">
        <x:v>0</x:v>
      </x:c>
      <x:c r="H2153" s="6">
        <x:f t="shared" si="105"/>
        <x:v>280</x:v>
      </x:c>
      <x:c r="I2153" s="6">
        <x:v>0</x:v>
      </x:c>
      <x:c r="J2153" s="6">
        <x:v>0</x:v>
      </x:c>
      <x:c r="K2153" s="6">
        <x:f t="shared" si="106"/>
        <x:v>0</x:v>
      </x:c>
      <x:c r="L2153" s="6">
        <x:v>0</x:v>
      </x:c>
      <x:c r="M2153" s="6">
        <x:v>0</x:v>
      </x:c>
      <x:c r="N2153" s="6">
        <x:f t="shared" si="107"/>
        <x:v>280</x:v>
      </x:c>
    </x:row>
    <x:row r="2154" spans="1:14" x14ac:dyDescent="0.25">
      <x:c r="A2154" t="s">
        <x:v>30</x:v>
      </x:c>
      <x:c r="B2154" s="3" t="s">
        <x:v>47</x:v>
      </x:c>
      <x:c r="C2154" s="3" t="s">
        <x:v>364</x:v>
      </x:c>
      <x:c r="D2154" t="s">
        <x:v>677</x:v>
      </x:c>
      <x:c r="E2154" s="6">
        <x:v>0</x:v>
      </x:c>
      <x:c r="F2154" s="6">
        <x:v>0</x:v>
      </x:c>
      <x:c r="G2154" s="6">
        <x:v>0</x:v>
      </x:c>
      <x:c r="H2154" s="6">
        <x:f t="shared" si="105"/>
        <x:v>0</x:v>
      </x:c>
      <x:c r="I2154" s="6">
        <x:v>0</x:v>
      </x:c>
      <x:c r="J2154" s="6">
        <x:v>0</x:v>
      </x:c>
      <x:c r="K2154" s="6">
        <x:f t="shared" si="106"/>
        <x:v>0</x:v>
      </x:c>
      <x:c r="L2154" s="6">
        <x:v>0</x:v>
      </x:c>
      <x:c r="M2154" s="6">
        <x:v>2215047.84</x:v>
      </x:c>
      <x:c r="N2154" s="6">
        <x:f t="shared" si="107"/>
        <x:v>2215047.84</x:v>
      </x:c>
    </x:row>
    <x:row r="2155" spans="1:14" x14ac:dyDescent="0.25">
      <x:c r="A2155" t="s">
        <x:v>30</x:v>
      </x:c>
      <x:c r="B2155" t="s">
        <x:v>755</x:v>
      </x:c>
      <x:c r="C2155" t="s">
        <x:v>756</x:v>
      </x:c>
      <x:c r="D2155" t="s">
        <x:v>833</x:v>
      </x:c>
      <x:c r="E2155" s="6">
        <x:v>-153511.79</x:v>
      </x:c>
      <x:c r="F2155" s="6">
        <x:v>0</x:v>
      </x:c>
      <x:c r="G2155" s="6">
        <x:v>0</x:v>
      </x:c>
      <x:c r="H2155" s="6">
        <x:f t="shared" si="105"/>
        <x:v>-153511.79</x:v>
      </x:c>
      <x:c r="I2155" s="6">
        <x:v>0</x:v>
      </x:c>
      <x:c r="J2155" s="6">
        <x:v>0</x:v>
      </x:c>
      <x:c r="K2155" s="6">
        <x:f t="shared" si="106"/>
        <x:v>0</x:v>
      </x:c>
      <x:c r="L2155" s="6">
        <x:v>0</x:v>
      </x:c>
      <x:c r="M2155" s="6">
        <x:v>0</x:v>
      </x:c>
      <x:c r="N2155" s="6">
        <x:f t="shared" si="107"/>
        <x:v>-153511.79</x:v>
      </x:c>
    </x:row>
    <x:row r="2156" spans="1:14" ht="15.75" thickBot="1" x14ac:dyDescent="0.3">
      <x:c r="C2156" s="8" t="s">
        <x:v>866</x:v>
      </x:c>
      <x:c r="E2156" s="9">
        <x:f>SUM(E2129:E2155)</x:f>
        <x:v>-153231.79</x:v>
      </x:c>
      <x:c r="F2156" s="9">
        <x:f t="shared" ref="F2156:N2156" si="108">SUM(F2129:F2155)</x:f>
        <x:v>0</x:v>
      </x:c>
      <x:c r="G2156" s="9">
        <x:f t="shared" si="108"/>
        <x:v>0</x:v>
      </x:c>
      <x:c r="H2156" s="9">
        <x:f t="shared" si="108"/>
        <x:v>-153231.79</x:v>
      </x:c>
      <x:c r="I2156" s="9">
        <x:f t="shared" si="108"/>
        <x:v>107858</x:v>
      </x:c>
      <x:c r="J2156" s="9">
        <x:f t="shared" si="108"/>
        <x:v>0</x:v>
      </x:c>
      <x:c r="K2156" s="9">
        <x:f t="shared" si="108"/>
        <x:v>107858</x:v>
      </x:c>
      <x:c r="L2156" s="9">
        <x:f t="shared" si="108"/>
        <x:v>9813682.9600000009</x:v>
      </x:c>
      <x:c r="M2156" s="9">
        <x:f t="shared" si="108"/>
        <x:v>22961850.469999999</x:v>
      </x:c>
      <x:c r="N2156" s="9">
        <x:f t="shared" si="108"/>
        <x:v>32730159.640000001</x:v>
      </x:c>
    </x:row>
    <x:row r="2157" spans="1:14" ht="15.75" thickTop="1" x14ac:dyDescent="0.25">
      <x:c r="E2157" s="6"/>
      <x:c r="F2157" s="6"/>
      <x:c r="G2157" s="6"/>
      <x:c r="H2157" s="6"/>
      <x:c r="I2157" s="6"/>
      <x:c r="J2157" s="6"/>
      <x:c r="K2157" s="6"/>
      <x:c r="L2157" s="6"/>
      <x:c r="M2157" s="6"/>
      <x:c r="N2157" s="6"/>
    </x:row>
    <x:row r="2158" spans="1:14" x14ac:dyDescent="0.25">
      <x:c r="E2158" s="6"/>
      <x:c r="F2158" s="6"/>
      <x:c r="G2158" s="6"/>
      <x:c r="H2158" s="6"/>
      <x:c r="I2158" s="6"/>
      <x:c r="J2158" s="6"/>
      <x:c r="K2158" s="6"/>
      <x:c r="L2158" s="6"/>
      <x:c r="M2158" s="6"/>
      <x:c r="N2158" s="6"/>
    </x:row>
    <x:row r="2159" spans="1:14" x14ac:dyDescent="0.25">
      <x:c r="A2159" s="8" t="s">
        <x:v>867</x:v>
      </x:c>
      <x:c r="E2159" s="6"/>
      <x:c r="F2159" s="6"/>
      <x:c r="G2159" s="6"/>
      <x:c r="H2159" s="6"/>
      <x:c r="I2159" s="6"/>
      <x:c r="J2159" s="6"/>
      <x:c r="K2159" s="6"/>
      <x:c r="L2159" s="6"/>
      <x:c r="M2159" s="6"/>
      <x:c r="N2159" s="6"/>
    </x:row>
    <x:row r="2160" spans="1:14" x14ac:dyDescent="0.25">
      <x:c r="A2160" t="s">
        <x:v>31</x:v>
      </x:c>
      <x:c r="B2160" s="3" t="s">
        <x:v>244</x:v>
      </x:c>
      <x:c r="C2160" s="3" t="s">
        <x:v>559</x:v>
      </x:c>
      <x:c r="D2160" t="s">
        <x:v>677</x:v>
      </x:c>
      <x:c r="E2160" s="5">
        <x:v>0</x:v>
      </x:c>
      <x:c r="F2160" s="5">
        <x:v>0</x:v>
      </x:c>
      <x:c r="G2160" s="5">
        <x:v>0</x:v>
      </x:c>
      <x:c r="H2160" s="5">
        <x:f t="shared" si="105"/>
        <x:v>0</x:v>
      </x:c>
      <x:c r="I2160" s="5">
        <x:v>206048.24999999997</x:v>
      </x:c>
      <x:c r="J2160" s="5">
        <x:v>0</x:v>
      </x:c>
      <x:c r="K2160" s="5">
        <x:f t="shared" si="106"/>
        <x:v>206048.24999999997</x:v>
      </x:c>
      <x:c r="L2160" s="5">
        <x:v>0</x:v>
      </x:c>
      <x:c r="M2160" s="5">
        <x:v>0</x:v>
      </x:c>
      <x:c r="N2160" s="5">
        <x:f t="shared" si="107"/>
        <x:v>206048.24999999997</x:v>
      </x:c>
    </x:row>
    <x:row r="2161" spans="1:14" x14ac:dyDescent="0.25">
      <x:c r="A2161" t="s">
        <x:v>31</x:v>
      </x:c>
      <x:c r="B2161" s="3" t="s">
        <x:v>316</x:v>
      </x:c>
      <x:c r="C2161" s="3" t="s">
        <x:v>631</x:v>
      </x:c>
      <x:c r="D2161" t="s">
        <x:v>676</x:v>
      </x:c>
      <x:c r="E2161" s="6">
        <x:v>0</x:v>
      </x:c>
      <x:c r="F2161" s="6">
        <x:v>0</x:v>
      </x:c>
      <x:c r="G2161" s="6">
        <x:v>0</x:v>
      </x:c>
      <x:c r="H2161" s="6">
        <x:f t="shared" si="105"/>
        <x:v>0</x:v>
      </x:c>
      <x:c r="I2161" s="6">
        <x:v>0</x:v>
      </x:c>
      <x:c r="J2161" s="6">
        <x:v>0</x:v>
      </x:c>
      <x:c r="K2161" s="6">
        <x:f t="shared" si="106"/>
        <x:v>0</x:v>
      </x:c>
      <x:c r="L2161" s="6">
        <x:v>0</x:v>
      </x:c>
      <x:c r="M2161" s="6">
        <x:v>3495.36</x:v>
      </x:c>
      <x:c r="N2161" s="6">
        <x:f t="shared" si="107"/>
        <x:v>3495.36</x:v>
      </x:c>
    </x:row>
    <x:row r="2162" spans="1:14" x14ac:dyDescent="0.25">
      <x:c r="A2162" t="s">
        <x:v>31</x:v>
      </x:c>
      <x:c r="B2162" s="3" t="s">
        <x:v>148</x:v>
      </x:c>
      <x:c r="C2162" s="3" t="s">
        <x:v>465</x:v>
      </x:c>
      <x:c r="D2162" t="s">
        <x:v>677</x:v>
      </x:c>
      <x:c r="E2162" s="6">
        <x:v>0</x:v>
      </x:c>
      <x:c r="F2162" s="6">
        <x:v>0</x:v>
      </x:c>
      <x:c r="G2162" s="6">
        <x:v>0</x:v>
      </x:c>
      <x:c r="H2162" s="6">
        <x:f t="shared" si="105"/>
        <x:v>0</x:v>
      </x:c>
      <x:c r="I2162" s="6">
        <x:v>2655.4</x:v>
      </x:c>
      <x:c r="J2162" s="6">
        <x:v>0</x:v>
      </x:c>
      <x:c r="K2162" s="6">
        <x:f t="shared" si="106"/>
        <x:v>2655.4</x:v>
      </x:c>
      <x:c r="L2162" s="6">
        <x:v>0</x:v>
      </x:c>
      <x:c r="M2162" s="6">
        <x:v>0</x:v>
      </x:c>
      <x:c r="N2162" s="6">
        <x:f t="shared" si="107"/>
        <x:v>2655.4</x:v>
      </x:c>
    </x:row>
    <x:row r="2163" spans="1:14" x14ac:dyDescent="0.25">
      <x:c r="A2163" t="s">
        <x:v>31</x:v>
      </x:c>
      <x:c r="B2163" s="3" t="s">
        <x:v>149</x:v>
      </x:c>
      <x:c r="C2163" s="3" t="s">
        <x:v>466</x:v>
      </x:c>
      <x:c r="D2163" t="s">
        <x:v>677</x:v>
      </x:c>
      <x:c r="E2163" s="6">
        <x:v>0</x:v>
      </x:c>
      <x:c r="F2163" s="6">
        <x:v>0</x:v>
      </x:c>
      <x:c r="G2163" s="6">
        <x:v>0</x:v>
      </x:c>
      <x:c r="H2163" s="6">
        <x:f t="shared" si="105"/>
        <x:v>0</x:v>
      </x:c>
      <x:c r="I2163" s="6">
        <x:v>2578.42</x:v>
      </x:c>
      <x:c r="J2163" s="6">
        <x:v>0</x:v>
      </x:c>
      <x:c r="K2163" s="6">
        <x:f t="shared" si="106"/>
        <x:v>2578.42</x:v>
      </x:c>
      <x:c r="L2163" s="6">
        <x:v>0</x:v>
      </x:c>
      <x:c r="M2163" s="6">
        <x:v>0</x:v>
      </x:c>
      <x:c r="N2163" s="6">
        <x:f t="shared" si="107"/>
        <x:v>2578.42</x:v>
      </x:c>
    </x:row>
    <x:row r="2164" spans="1:14" x14ac:dyDescent="0.25">
      <x:c r="A2164" t="s">
        <x:v>31</x:v>
      </x:c>
      <x:c r="B2164" s="3" t="s">
        <x:v>165</x:v>
      </x:c>
      <x:c r="C2164" s="3" t="s">
        <x:v>482</x:v>
      </x:c>
      <x:c r="D2164" t="s">
        <x:v>677</x:v>
      </x:c>
      <x:c r="E2164" s="6">
        <x:v>0</x:v>
      </x:c>
      <x:c r="F2164" s="6">
        <x:v>0</x:v>
      </x:c>
      <x:c r="G2164" s="6">
        <x:v>0</x:v>
      </x:c>
      <x:c r="H2164" s="6">
        <x:f t="shared" si="105"/>
        <x:v>0</x:v>
      </x:c>
      <x:c r="I2164" s="6">
        <x:v>761.93</x:v>
      </x:c>
      <x:c r="J2164" s="6">
        <x:v>0</x:v>
      </x:c>
      <x:c r="K2164" s="6">
        <x:f t="shared" si="106"/>
        <x:v>761.93</x:v>
      </x:c>
      <x:c r="L2164" s="6">
        <x:v>0</x:v>
      </x:c>
      <x:c r="M2164" s="6">
        <x:v>0</x:v>
      </x:c>
      <x:c r="N2164" s="6">
        <x:f t="shared" si="107"/>
        <x:v>761.93</x:v>
      </x:c>
    </x:row>
    <x:row r="2165" spans="1:14" x14ac:dyDescent="0.25">
      <x:c r="A2165" t="s">
        <x:v>31</x:v>
      </x:c>
      <x:c r="B2165" s="3" t="s">
        <x:v>178</x:v>
      </x:c>
      <x:c r="C2165" s="3" t="s">
        <x:v>494</x:v>
      </x:c>
      <x:c r="D2165" t="s">
        <x:v>677</x:v>
      </x:c>
      <x:c r="E2165" s="6">
        <x:v>0</x:v>
      </x:c>
      <x:c r="F2165" s="6">
        <x:v>0</x:v>
      </x:c>
      <x:c r="G2165" s="6">
        <x:v>0</x:v>
      </x:c>
      <x:c r="H2165" s="6">
        <x:f t="shared" si="105"/>
        <x:v>0</x:v>
      </x:c>
      <x:c r="I2165" s="6">
        <x:v>11.1</x:v>
      </x:c>
      <x:c r="J2165" s="6">
        <x:v>0</x:v>
      </x:c>
      <x:c r="K2165" s="6">
        <x:f t="shared" si="106"/>
        <x:v>11.1</x:v>
      </x:c>
      <x:c r="L2165" s="6">
        <x:v>0</x:v>
      </x:c>
      <x:c r="M2165" s="6">
        <x:v>0</x:v>
      </x:c>
      <x:c r="N2165" s="6">
        <x:f t="shared" si="107"/>
        <x:v>11.1</x:v>
      </x:c>
    </x:row>
    <x:row r="2166" spans="1:14" x14ac:dyDescent="0.25">
      <x:c r="A2166" t="s">
        <x:v>31</x:v>
      </x:c>
      <x:c r="B2166" s="3" t="s">
        <x:v>180</x:v>
      </x:c>
      <x:c r="C2166" s="3" t="s">
        <x:v>496</x:v>
      </x:c>
      <x:c r="D2166" t="s">
        <x:v>677</x:v>
      </x:c>
      <x:c r="E2166" s="6">
        <x:v>0</x:v>
      </x:c>
      <x:c r="F2166" s="6">
        <x:v>0</x:v>
      </x:c>
      <x:c r="G2166" s="6">
        <x:v>0</x:v>
      </x:c>
      <x:c r="H2166" s="6">
        <x:f t="shared" si="105"/>
        <x:v>0</x:v>
      </x:c>
      <x:c r="I2166" s="6">
        <x:v>106.36</x:v>
      </x:c>
      <x:c r="J2166" s="6">
        <x:v>0</x:v>
      </x:c>
      <x:c r="K2166" s="6">
        <x:f t="shared" si="106"/>
        <x:v>106.36</x:v>
      </x:c>
      <x:c r="L2166" s="6">
        <x:v>0</x:v>
      </x:c>
      <x:c r="M2166" s="6">
        <x:v>0</x:v>
      </x:c>
      <x:c r="N2166" s="6">
        <x:f t="shared" si="107"/>
        <x:v>106.36</x:v>
      </x:c>
    </x:row>
    <x:row r="2167" spans="1:14" x14ac:dyDescent="0.25">
      <x:c r="A2167" t="s">
        <x:v>31</x:v>
      </x:c>
      <x:c r="B2167" s="3" t="s">
        <x:v>192</x:v>
      </x:c>
      <x:c r="C2167" s="3" t="s">
        <x:v>508</x:v>
      </x:c>
      <x:c r="D2167" t="s">
        <x:v>677</x:v>
      </x:c>
      <x:c r="E2167" s="6">
        <x:v>0</x:v>
      </x:c>
      <x:c r="F2167" s="6">
        <x:v>0</x:v>
      </x:c>
      <x:c r="G2167" s="6">
        <x:v>0</x:v>
      </x:c>
      <x:c r="H2167" s="6">
        <x:f t="shared" si="105"/>
        <x:v>0</x:v>
      </x:c>
      <x:c r="I2167" s="6">
        <x:v>1030.67</x:v>
      </x:c>
      <x:c r="J2167" s="6">
        <x:v>0</x:v>
      </x:c>
      <x:c r="K2167" s="6">
        <x:f t="shared" si="106"/>
        <x:v>1030.67</x:v>
      </x:c>
      <x:c r="L2167" s="6">
        <x:v>0</x:v>
      </x:c>
      <x:c r="M2167" s="6">
        <x:v>0</x:v>
      </x:c>
      <x:c r="N2167" s="6">
        <x:f t="shared" si="107"/>
        <x:v>1030.67</x:v>
      </x:c>
    </x:row>
    <x:row r="2168" spans="1:14" x14ac:dyDescent="0.25">
      <x:c r="A2168" t="s">
        <x:v>31</x:v>
      </x:c>
      <x:c r="B2168" s="3" t="s">
        <x:v>193</x:v>
      </x:c>
      <x:c r="C2168" s="3" t="s">
        <x:v>509</x:v>
      </x:c>
      <x:c r="D2168" t="s">
        <x:v>677</x:v>
      </x:c>
      <x:c r="E2168" s="6">
        <x:v>0</x:v>
      </x:c>
      <x:c r="F2168" s="6">
        <x:v>0</x:v>
      </x:c>
      <x:c r="G2168" s="6">
        <x:v>0</x:v>
      </x:c>
      <x:c r="H2168" s="6">
        <x:f t="shared" si="105"/>
        <x:v>0</x:v>
      </x:c>
      <x:c r="I2168" s="6">
        <x:v>550.55999999999995</x:v>
      </x:c>
      <x:c r="J2168" s="6">
        <x:v>0</x:v>
      </x:c>
      <x:c r="K2168" s="6">
        <x:f t="shared" si="106"/>
        <x:v>550.55999999999995</x:v>
      </x:c>
      <x:c r="L2168" s="6">
        <x:v>0</x:v>
      </x:c>
      <x:c r="M2168" s="6">
        <x:v>0</x:v>
      </x:c>
      <x:c r="N2168" s="6">
        <x:f t="shared" si="107"/>
        <x:v>550.55999999999995</x:v>
      </x:c>
    </x:row>
    <x:row r="2169" spans="1:14" x14ac:dyDescent="0.25">
      <x:c r="A2169" t="s">
        <x:v>31</x:v>
      </x:c>
      <x:c r="B2169" s="3" t="s">
        <x:v>194</x:v>
      </x:c>
      <x:c r="C2169" s="3" t="s">
        <x:v>510</x:v>
      </x:c>
      <x:c r="D2169" t="s">
        <x:v>677</x:v>
      </x:c>
      <x:c r="E2169" s="6">
        <x:v>0</x:v>
      </x:c>
      <x:c r="F2169" s="6">
        <x:v>0</x:v>
      </x:c>
      <x:c r="G2169" s="6">
        <x:v>0</x:v>
      </x:c>
      <x:c r="H2169" s="6">
        <x:f t="shared" si="105"/>
        <x:v>0</x:v>
      </x:c>
      <x:c r="I2169" s="6">
        <x:v>350.32</x:v>
      </x:c>
      <x:c r="J2169" s="6">
        <x:v>0</x:v>
      </x:c>
      <x:c r="K2169" s="6">
        <x:f t="shared" si="106"/>
        <x:v>350.32</x:v>
      </x:c>
      <x:c r="L2169" s="6">
        <x:v>0</x:v>
      </x:c>
      <x:c r="M2169" s="6">
        <x:v>0</x:v>
      </x:c>
      <x:c r="N2169" s="6">
        <x:f t="shared" si="107"/>
        <x:v>350.32</x:v>
      </x:c>
    </x:row>
    <x:row r="2170" spans="1:14" x14ac:dyDescent="0.25">
      <x:c r="A2170" t="s">
        <x:v>31</x:v>
      </x:c>
      <x:c r="B2170" s="3" t="s">
        <x:v>205</x:v>
      </x:c>
      <x:c r="C2170" s="3" t="s">
        <x:v>521</x:v>
      </x:c>
      <x:c r="D2170" t="s">
        <x:v>677</x:v>
      </x:c>
      <x:c r="E2170" s="6">
        <x:v>0</x:v>
      </x:c>
      <x:c r="F2170" s="6">
        <x:v>0</x:v>
      </x:c>
      <x:c r="G2170" s="6">
        <x:v>0</x:v>
      </x:c>
      <x:c r="H2170" s="6">
        <x:f t="shared" si="105"/>
        <x:v>0</x:v>
      </x:c>
      <x:c r="I2170" s="6">
        <x:v>233.12</x:v>
      </x:c>
      <x:c r="J2170" s="6">
        <x:v>0</x:v>
      </x:c>
      <x:c r="K2170" s="6">
        <x:f t="shared" si="106"/>
        <x:v>233.12</x:v>
      </x:c>
      <x:c r="L2170" s="6">
        <x:v>0</x:v>
      </x:c>
      <x:c r="M2170" s="6">
        <x:v>0</x:v>
      </x:c>
      <x:c r="N2170" s="6">
        <x:f t="shared" si="107"/>
        <x:v>233.12</x:v>
      </x:c>
    </x:row>
    <x:row r="2171" spans="1:14" x14ac:dyDescent="0.25">
      <x:c r="A2171" t="s">
        <x:v>31</x:v>
      </x:c>
      <x:c r="B2171" s="3" t="s">
        <x:v>317</x:v>
      </x:c>
      <x:c r="C2171" s="3" t="s">
        <x:v>632</x:v>
      </x:c>
      <x:c r="D2171" t="s">
        <x:v>676</x:v>
      </x:c>
      <x:c r="E2171" s="6">
        <x:v>0</x:v>
      </x:c>
      <x:c r="F2171" s="6">
        <x:v>0</x:v>
      </x:c>
      <x:c r="G2171" s="6">
        <x:v>0</x:v>
      </x:c>
      <x:c r="H2171" s="6">
        <x:f t="shared" si="105"/>
        <x:v>0</x:v>
      </x:c>
      <x:c r="I2171" s="6">
        <x:v>0</x:v>
      </x:c>
      <x:c r="J2171" s="6">
        <x:v>0</x:v>
      </x:c>
      <x:c r="K2171" s="6">
        <x:f t="shared" si="106"/>
        <x:v>0</x:v>
      </x:c>
      <x:c r="L2171" s="6">
        <x:v>0</x:v>
      </x:c>
      <x:c r="M2171" s="6">
        <x:v>39041.279999999999</x:v>
      </x:c>
      <x:c r="N2171" s="6">
        <x:f t="shared" si="107"/>
        <x:v>39041.279999999999</x:v>
      </x:c>
    </x:row>
    <x:row r="2172" spans="1:14" x14ac:dyDescent="0.25">
      <x:c r="A2172" t="s">
        <x:v>31</x:v>
      </x:c>
      <x:c r="B2172" s="3" t="s">
        <x:v>318</x:v>
      </x:c>
      <x:c r="C2172" s="3" t="s">
        <x:v>633</x:v>
      </x:c>
      <x:c r="D2172" t="s">
        <x:v>676</x:v>
      </x:c>
      <x:c r="E2172" s="6">
        <x:v>0</x:v>
      </x:c>
      <x:c r="F2172" s="6">
        <x:v>0</x:v>
      </x:c>
      <x:c r="G2172" s="6">
        <x:v>0</x:v>
      </x:c>
      <x:c r="H2172" s="6">
        <x:f t="shared" si="105"/>
        <x:v>0</x:v>
      </x:c>
      <x:c r="I2172" s="6">
        <x:v>0</x:v>
      </x:c>
      <x:c r="J2172" s="6">
        <x:v>0</x:v>
      </x:c>
      <x:c r="K2172" s="6">
        <x:f t="shared" si="106"/>
        <x:v>0</x:v>
      </x:c>
      <x:c r="L2172" s="6">
        <x:v>0</x:v>
      </x:c>
      <x:c r="M2172" s="6">
        <x:v>54349195.420000002</x:v>
      </x:c>
      <x:c r="N2172" s="6">
        <x:f t="shared" si="107"/>
        <x:v>54349195.420000002</x:v>
      </x:c>
    </x:row>
    <x:row r="2173" spans="1:14" x14ac:dyDescent="0.25">
      <x:c r="A2173" t="s">
        <x:v>31</x:v>
      </x:c>
      <x:c r="B2173" s="3" t="s">
        <x:v>310</x:v>
      </x:c>
      <x:c r="C2173" s="3" t="s">
        <x:v>625</x:v>
      </x:c>
      <x:c r="D2173" t="s">
        <x:v>676</x:v>
      </x:c>
      <x:c r="E2173" s="6">
        <x:v>0</x:v>
      </x:c>
      <x:c r="F2173" s="6">
        <x:v>0</x:v>
      </x:c>
      <x:c r="G2173" s="6">
        <x:v>0</x:v>
      </x:c>
      <x:c r="H2173" s="6">
        <x:f t="shared" si="105"/>
        <x:v>0</x:v>
      </x:c>
      <x:c r="I2173" s="6">
        <x:v>0</x:v>
      </x:c>
      <x:c r="J2173" s="6">
        <x:v>0</x:v>
      </x:c>
      <x:c r="K2173" s="6">
        <x:f t="shared" si="106"/>
        <x:v>0</x:v>
      </x:c>
      <x:c r="L2173" s="6">
        <x:v>0</x:v>
      </x:c>
      <x:c r="M2173" s="6">
        <x:v>90161.33</x:v>
      </x:c>
      <x:c r="N2173" s="6">
        <x:f t="shared" si="107"/>
        <x:v>90161.33</x:v>
      </x:c>
    </x:row>
    <x:row r="2174" spans="1:14" x14ac:dyDescent="0.25">
      <x:c r="A2174" t="s">
        <x:v>31</x:v>
      </x:c>
      <x:c r="B2174" s="3" t="s">
        <x:v>296</x:v>
      </x:c>
      <x:c r="C2174" s="3" t="s">
        <x:v>611</x:v>
      </x:c>
      <x:c r="D2174" t="s">
        <x:v>677</x:v>
      </x:c>
      <x:c r="E2174" s="6">
        <x:v>0</x:v>
      </x:c>
      <x:c r="F2174" s="6">
        <x:v>0</x:v>
      </x:c>
      <x:c r="G2174" s="6">
        <x:v>0</x:v>
      </x:c>
      <x:c r="H2174" s="6">
        <x:f t="shared" si="105"/>
        <x:v>0</x:v>
      </x:c>
      <x:c r="I2174" s="6">
        <x:v>16462.989999999998</x:v>
      </x:c>
      <x:c r="J2174" s="6">
        <x:v>0</x:v>
      </x:c>
      <x:c r="K2174" s="6">
        <x:f t="shared" si="106"/>
        <x:v>16462.989999999998</x:v>
      </x:c>
      <x:c r="L2174" s="6">
        <x:v>0</x:v>
      </x:c>
      <x:c r="M2174" s="6">
        <x:v>0</x:v>
      </x:c>
      <x:c r="N2174" s="6">
        <x:f t="shared" si="107"/>
        <x:v>16462.989999999998</x:v>
      </x:c>
    </x:row>
    <x:row r="2175" spans="1:14" x14ac:dyDescent="0.25">
      <x:c r="A2175" t="s">
        <x:v>31</x:v>
      </x:c>
      <x:c r="B2175" s="3" t="s">
        <x:v>315</x:v>
      </x:c>
      <x:c r="C2175" s="3" t="s">
        <x:v>630</x:v>
      </x:c>
      <x:c r="D2175" t="s">
        <x:v>676</x:v>
      </x:c>
      <x:c r="E2175" s="6">
        <x:v>0</x:v>
      </x:c>
      <x:c r="F2175" s="6">
        <x:v>0</x:v>
      </x:c>
      <x:c r="G2175" s="6">
        <x:v>0</x:v>
      </x:c>
      <x:c r="H2175" s="6">
        <x:f t="shared" si="105"/>
        <x:v>0</x:v>
      </x:c>
      <x:c r="I2175" s="6">
        <x:v>0</x:v>
      </x:c>
      <x:c r="J2175" s="6">
        <x:v>0</x:v>
      </x:c>
      <x:c r="K2175" s="6">
        <x:f t="shared" si="106"/>
        <x:v>0</x:v>
      </x:c>
      <x:c r="L2175" s="6">
        <x:v>0</x:v>
      </x:c>
      <x:c r="M2175" s="6">
        <x:v>1318.76</x:v>
      </x:c>
      <x:c r="N2175" s="6">
        <x:f t="shared" si="107"/>
        <x:v>1318.76</x:v>
      </x:c>
    </x:row>
    <x:row r="2176" spans="1:14" x14ac:dyDescent="0.25">
      <x:c r="A2176" t="s">
        <x:v>31</x:v>
      </x:c>
      <x:c r="B2176" s="3" t="s">
        <x:v>319</x:v>
      </x:c>
      <x:c r="C2176" s="3" t="s">
        <x:v>634</x:v>
      </x:c>
      <x:c r="D2176" t="s">
        <x:v>676</x:v>
      </x:c>
      <x:c r="E2176" s="6">
        <x:v>0</x:v>
      </x:c>
      <x:c r="F2176" s="6">
        <x:v>0</x:v>
      </x:c>
      <x:c r="G2176" s="6">
        <x:v>0</x:v>
      </x:c>
      <x:c r="H2176" s="6">
        <x:f t="shared" si="105"/>
        <x:v>0</x:v>
      </x:c>
      <x:c r="I2176" s="6">
        <x:v>0</x:v>
      </x:c>
      <x:c r="J2176" s="6">
        <x:v>0</x:v>
      </x:c>
      <x:c r="K2176" s="6">
        <x:f t="shared" si="106"/>
        <x:v>0</x:v>
      </x:c>
      <x:c r="L2176" s="6">
        <x:v>0</x:v>
      </x:c>
      <x:c r="M2176" s="6">
        <x:v>295.02</x:v>
      </x:c>
      <x:c r="N2176" s="6">
        <x:f t="shared" si="107"/>
        <x:v>295.02</x:v>
      </x:c>
    </x:row>
    <x:row r="2177" spans="1:14" x14ac:dyDescent="0.25">
      <x:c r="A2177" t="s">
        <x:v>32</x:v>
      </x:c>
      <x:c r="B2177" s="3" t="s">
        <x:v>320</x:v>
      </x:c>
      <x:c r="C2177" s="3" t="s">
        <x:v>635</x:v>
      </x:c>
      <x:c r="D2177" t="s">
        <x:v>677</x:v>
      </x:c>
      <x:c r="E2177" s="6">
        <x:v>0</x:v>
      </x:c>
      <x:c r="F2177" s="6">
        <x:v>0</x:v>
      </x:c>
      <x:c r="G2177" s="6">
        <x:v>0</x:v>
      </x:c>
      <x:c r="H2177" s="6">
        <x:f t="shared" si="105"/>
        <x:v>0</x:v>
      </x:c>
      <x:c r="I2177" s="6">
        <x:v>1143</x:v>
      </x:c>
      <x:c r="J2177" s="6">
        <x:v>0</x:v>
      </x:c>
      <x:c r="K2177" s="6">
        <x:f t="shared" si="106"/>
        <x:v>1143</x:v>
      </x:c>
      <x:c r="L2177" s="6">
        <x:v>0</x:v>
      </x:c>
      <x:c r="M2177" s="6">
        <x:v>0</x:v>
      </x:c>
      <x:c r="N2177" s="6">
        <x:f t="shared" si="107"/>
        <x:v>1143</x:v>
      </x:c>
    </x:row>
    <x:row r="2178" spans="1:14" x14ac:dyDescent="0.25">
      <x:c r="A2178" t="s">
        <x:v>32</x:v>
      </x:c>
      <x:c r="B2178" s="3" t="s">
        <x:v>292</x:v>
      </x:c>
      <x:c r="C2178" s="3" t="s">
        <x:v>607</x:v>
      </x:c>
      <x:c r="D2178" t="s">
        <x:v>676</x:v>
      </x:c>
      <x:c r="E2178" s="6">
        <x:v>0</x:v>
      </x:c>
      <x:c r="F2178" s="6">
        <x:v>0</x:v>
      </x:c>
      <x:c r="G2178" s="6">
        <x:v>0</x:v>
      </x:c>
      <x:c r="H2178" s="6">
        <x:f t="shared" si="105"/>
        <x:v>0</x:v>
      </x:c>
      <x:c r="I2178" s="6">
        <x:v>0</x:v>
      </x:c>
      <x:c r="J2178" s="6">
        <x:v>0</x:v>
      </x:c>
      <x:c r="K2178" s="6">
        <x:f t="shared" si="106"/>
        <x:v>0</x:v>
      </x:c>
      <x:c r="L2178" s="6">
        <x:v>268</x:v>
      </x:c>
      <x:c r="M2178" s="6">
        <x:v>0</x:v>
      </x:c>
      <x:c r="N2178" s="6">
        <x:f t="shared" si="107"/>
        <x:v>268</x:v>
      </x:c>
    </x:row>
    <x:row r="2179" spans="1:14" x14ac:dyDescent="0.25">
      <x:c r="A2179" t="s">
        <x:v>32</x:v>
      </x:c>
      <x:c r="B2179" s="3" t="s">
        <x:v>313</x:v>
      </x:c>
      <x:c r="C2179" s="3" t="s">
        <x:v>628</x:v>
      </x:c>
      <x:c r="D2179" t="s">
        <x:v>676</x:v>
      </x:c>
      <x:c r="E2179" s="6">
        <x:v>0</x:v>
      </x:c>
      <x:c r="F2179" s="6">
        <x:v>0</x:v>
      </x:c>
      <x:c r="G2179" s="6">
        <x:v>0</x:v>
      </x:c>
      <x:c r="H2179" s="6">
        <x:f t="shared" si="105"/>
        <x:v>0</x:v>
      </x:c>
      <x:c r="I2179" s="6">
        <x:v>0</x:v>
      </x:c>
      <x:c r="J2179" s="6">
        <x:v>0</x:v>
      </x:c>
      <x:c r="K2179" s="6">
        <x:f t="shared" si="106"/>
        <x:v>0</x:v>
      </x:c>
      <x:c r="L2179" s="6">
        <x:v>0</x:v>
      </x:c>
      <x:c r="M2179" s="6">
        <x:v>82.86</x:v>
      </x:c>
      <x:c r="N2179" s="6">
        <x:f t="shared" si="107"/>
        <x:v>82.86</x:v>
      </x:c>
    </x:row>
    <x:row r="2180" spans="1:14" x14ac:dyDescent="0.25">
      <x:c r="A2180" t="s">
        <x:v>32</x:v>
      </x:c>
      <x:c r="B2180" s="3" t="s">
        <x:v>319</x:v>
      </x:c>
      <x:c r="C2180" s="3" t="s">
        <x:v>634</x:v>
      </x:c>
      <x:c r="D2180" t="s">
        <x:v>676</x:v>
      </x:c>
      <x:c r="E2180" s="6">
        <x:v>0</x:v>
      </x:c>
      <x:c r="F2180" s="6">
        <x:v>0</x:v>
      </x:c>
      <x:c r="G2180" s="6">
        <x:v>0</x:v>
      </x:c>
      <x:c r="H2180" s="6">
        <x:f t="shared" si="105"/>
        <x:v>0</x:v>
      </x:c>
      <x:c r="I2180" s="6">
        <x:v>0</x:v>
      </x:c>
      <x:c r="J2180" s="6">
        <x:v>0</x:v>
      </x:c>
      <x:c r="K2180" s="6">
        <x:f t="shared" si="106"/>
        <x:v>0</x:v>
      </x:c>
      <x:c r="L2180" s="6">
        <x:v>0</x:v>
      </x:c>
      <x:c r="M2180" s="6">
        <x:v>150</x:v>
      </x:c>
      <x:c r="N2180" s="6">
        <x:f t="shared" si="107"/>
        <x:v>150</x:v>
      </x:c>
    </x:row>
    <x:row r="2181" spans="1:14" ht="15.75" thickBot="1" x14ac:dyDescent="0.3">
      <x:c r="B2181" s="3"/>
      <x:c r="C2181" s="11" t="s">
        <x:v>868</x:v>
      </x:c>
      <x:c r="E2181" s="9">
        <x:f>SUM(E2160:E2180)</x:f>
        <x:v>0</x:v>
      </x:c>
      <x:c r="F2181" s="9">
        <x:f t="shared" ref="F2181:N2181" si="109">SUM(F2160:F2180)</x:f>
        <x:v>0</x:v>
      </x:c>
      <x:c r="G2181" s="9">
        <x:f t="shared" si="109"/>
        <x:v>0</x:v>
      </x:c>
      <x:c r="H2181" s="9">
        <x:f t="shared" si="109"/>
        <x:v>0</x:v>
      </x:c>
      <x:c r="I2181" s="9">
        <x:f t="shared" si="109"/>
        <x:v>231932.11999999997</x:v>
      </x:c>
      <x:c r="J2181" s="9">
        <x:f t="shared" si="109"/>
        <x:v>0</x:v>
      </x:c>
      <x:c r="K2181" s="9">
        <x:f t="shared" si="109"/>
        <x:v>231932.11999999997</x:v>
      </x:c>
      <x:c r="L2181" s="9">
        <x:f t="shared" si="109"/>
        <x:v>268</x:v>
      </x:c>
      <x:c r="M2181" s="9">
        <x:f t="shared" si="109"/>
        <x:v>54483740.030000001</x:v>
      </x:c>
      <x:c r="N2181" s="9">
        <x:f t="shared" si="109"/>
        <x:v>54715940.150000006</x:v>
      </x:c>
    </x:row>
    <x:row r="2182" spans="1:14" ht="15.75" thickTop="1" x14ac:dyDescent="0.25">
      <x:c r="B2182" s="3"/>
      <x:c r="C2182" s="3"/>
      <x:c r="E2182" s="6"/>
      <x:c r="F2182" s="6"/>
      <x:c r="G2182" s="6"/>
      <x:c r="H2182" s="6"/>
      <x:c r="I2182" s="6"/>
      <x:c r="J2182" s="6"/>
      <x:c r="K2182" s="6"/>
      <x:c r="L2182" s="6"/>
      <x:c r="M2182" s="6"/>
      <x:c r="N2182" s="6"/>
    </x:row>
    <x:row r="2183" spans="1:14" x14ac:dyDescent="0.25">
      <x:c r="B2183" s="3"/>
      <x:c r="C2183" s="3"/>
      <x:c r="E2183" s="6"/>
      <x:c r="F2183" s="6"/>
      <x:c r="G2183" s="6"/>
      <x:c r="H2183" s="6"/>
      <x:c r="I2183" s="6"/>
      <x:c r="J2183" s="6"/>
      <x:c r="K2183" s="6"/>
      <x:c r="L2183" s="6"/>
      <x:c r="M2183" s="6"/>
      <x:c r="N2183" s="6"/>
    </x:row>
    <x:row r="2184" spans="1:14" x14ac:dyDescent="0.25">
      <x:c r="A2184" s="8" t="s">
        <x:v>869</x:v>
      </x:c>
      <x:c r="B2184" s="3"/>
      <x:c r="C2184" s="3"/>
      <x:c r="E2184" s="6"/>
      <x:c r="F2184" s="6"/>
      <x:c r="G2184" s="6"/>
      <x:c r="H2184" s="6"/>
      <x:c r="I2184" s="6"/>
      <x:c r="J2184" s="6"/>
      <x:c r="K2184" s="6"/>
      <x:c r="L2184" s="6"/>
      <x:c r="M2184" s="6"/>
      <x:c r="N2184" s="6"/>
    </x:row>
    <x:row r="2185" spans="1:14" x14ac:dyDescent="0.25">
      <x:c r="A2185" t="s">
        <x:v>33</x:v>
      </x:c>
      <x:c r="B2185" s="3" t="s">
        <x:v>321</x:v>
      </x:c>
      <x:c r="C2185" s="3" t="s">
        <x:v>636</x:v>
      </x:c>
      <x:c r="D2185" t="s">
        <x:v>679</x:v>
      </x:c>
      <x:c r="E2185" s="5">
        <x:v>42639.830000000009</x:v>
      </x:c>
      <x:c r="F2185" s="5">
        <x:v>0</x:v>
      </x:c>
      <x:c r="G2185" s="5">
        <x:v>0</x:v>
      </x:c>
      <x:c r="H2185" s="5">
        <x:f t="shared" si="105"/>
        <x:v>42639.830000000009</x:v>
      </x:c>
      <x:c r="I2185" s="5">
        <x:v>113883.23999999999</x:v>
      </x:c>
      <x:c r="J2185" s="5">
        <x:v>0</x:v>
      </x:c>
      <x:c r="K2185" s="5">
        <x:f t="shared" si="106"/>
        <x:v>113883.23999999999</x:v>
      </x:c>
      <x:c r="L2185" s="5">
        <x:v>31847.100000000006</x:v>
      </x:c>
      <x:c r="M2185" s="5">
        <x:v>1308.7799999999856</x:v>
      </x:c>
      <x:c r="N2185" s="5">
        <x:f t="shared" si="107"/>
        <x:v>189678.95</x:v>
      </x:c>
    </x:row>
    <x:row r="2186" spans="1:14" x14ac:dyDescent="0.25">
      <x:c r="A2186" t="s">
        <x:v>33</x:v>
      </x:c>
      <x:c r="B2186" s="3" t="s">
        <x:v>322</x:v>
      </x:c>
      <x:c r="C2186" s="3" t="s">
        <x:v>637</x:v>
      </x:c>
      <x:c r="D2186" t="s">
        <x:v>679</x:v>
      </x:c>
      <x:c r="E2186" s="6">
        <x:v>11756.47</x:v>
      </x:c>
      <x:c r="F2186" s="6">
        <x:v>0</x:v>
      </x:c>
      <x:c r="G2186" s="6">
        <x:v>0</x:v>
      </x:c>
      <x:c r="H2186" s="6">
        <x:f t="shared" si="105"/>
        <x:v>11756.47</x:v>
      </x:c>
      <x:c r="I2186" s="6">
        <x:v>31399.41</x:v>
      </x:c>
      <x:c r="J2186" s="6">
        <x:v>0</x:v>
      </x:c>
      <x:c r="K2186" s="6">
        <x:f t="shared" si="106"/>
        <x:v>31399.41</x:v>
      </x:c>
      <x:c r="L2186" s="6">
        <x:v>8780.75</x:v>
      </x:c>
      <x:c r="M2186" s="6">
        <x:v>360.85000000000218</x:v>
      </x:c>
      <x:c r="N2186" s="6">
        <x:f t="shared" si="107"/>
        <x:v>52297.479999999996</x:v>
      </x:c>
    </x:row>
    <x:row r="2187" spans="1:14" x14ac:dyDescent="0.25">
      <x:c r="A2187" t="s">
        <x:v>33</x:v>
      </x:c>
      <x:c r="B2187" s="3" t="s">
        <x:v>48</x:v>
      </x:c>
      <x:c r="C2187" s="3" t="s">
        <x:v>365</x:v>
      </x:c>
      <x:c r="D2187" t="s">
        <x:v>679</x:v>
      </x:c>
      <x:c r="E2187" s="6">
        <x:v>159689.63</x:v>
      </x:c>
      <x:c r="F2187" s="6">
        <x:v>0</x:v>
      </x:c>
      <x:c r="G2187" s="6">
        <x:v>0</x:v>
      </x:c>
      <x:c r="H2187" s="6">
        <x:f t="shared" si="105"/>
        <x:v>159689.63</x:v>
      </x:c>
      <x:c r="I2187" s="6">
        <x:v>426502.01</x:v>
      </x:c>
      <x:c r="J2187" s="6">
        <x:v>0</x:v>
      </x:c>
      <x:c r="K2187" s="6">
        <x:f t="shared" si="106"/>
        <x:v>426502.01</x:v>
      </x:c>
      <x:c r="L2187" s="6">
        <x:v>119269.97</x:v>
      </x:c>
      <x:c r="M2187" s="6">
        <x:v>4901.510000000013</x:v>
      </x:c>
      <x:c r="N2187" s="6">
        <x:f t="shared" si="107"/>
        <x:v>710363.12</x:v>
      </x:c>
    </x:row>
    <x:row r="2188" spans="1:14" x14ac:dyDescent="0.25">
      <x:c r="A2188" t="s">
        <x:v>33</x:v>
      </x:c>
      <x:c r="B2188" s="3" t="s">
        <x:v>75</x:v>
      </x:c>
      <x:c r="C2188" s="3" t="s">
        <x:v>392</x:v>
      </x:c>
      <x:c r="D2188" t="s">
        <x:v>676</x:v>
      </x:c>
      <x:c r="E2188" s="6">
        <x:v>0</x:v>
      </x:c>
      <x:c r="F2188" s="6">
        <x:v>0</x:v>
      </x:c>
      <x:c r="G2188" s="6">
        <x:v>0</x:v>
      </x:c>
      <x:c r="H2188" s="6">
        <x:f t="shared" si="105"/>
        <x:v>0</x:v>
      </x:c>
      <x:c r="I2188" s="6">
        <x:v>45178.67</x:v>
      </x:c>
      <x:c r="J2188" s="6">
        <x:v>0</x:v>
      </x:c>
      <x:c r="K2188" s="6">
        <x:f t="shared" si="106"/>
        <x:v>45178.67</x:v>
      </x:c>
      <x:c r="L2188" s="6">
        <x:v>0</x:v>
      </x:c>
      <x:c r="M2188" s="6">
        <x:v>0</x:v>
      </x:c>
      <x:c r="N2188" s="6">
        <x:f t="shared" si="107"/>
        <x:v>45178.67</x:v>
      </x:c>
    </x:row>
    <x:row r="2189" spans="1:14" x14ac:dyDescent="0.25">
      <x:c r="A2189" t="s">
        <x:v>33</x:v>
      </x:c>
      <x:c r="B2189" s="3" t="s">
        <x:v>54</x:v>
      </x:c>
      <x:c r="C2189" s="3" t="s">
        <x:v>371</x:v>
      </x:c>
      <x:c r="D2189" t="s">
        <x:v>679</x:v>
      </x:c>
      <x:c r="E2189" s="6">
        <x:v>29790.01</x:v>
      </x:c>
      <x:c r="F2189" s="6">
        <x:v>0</x:v>
      </x:c>
      <x:c r="G2189" s="6">
        <x:v>0</x:v>
      </x:c>
      <x:c r="H2189" s="6">
        <x:f t="shared" si="105"/>
        <x:v>29790.01</x:v>
      </x:c>
      <x:c r="I2189" s="6">
        <x:v>79563.710000000006</x:v>
      </x:c>
      <x:c r="J2189" s="6">
        <x:v>0</x:v>
      </x:c>
      <x:c r="K2189" s="6">
        <x:f t="shared" si="106"/>
        <x:v>79563.710000000006</x:v>
      </x:c>
      <x:c r="L2189" s="6">
        <x:v>22249.74</x:v>
      </x:c>
      <x:c r="M2189" s="6">
        <x:v>914.36999999998443</x:v>
      </x:c>
      <x:c r="N2189" s="6">
        <x:f t="shared" si="107"/>
        <x:v>132517.82999999999</x:v>
      </x:c>
    </x:row>
    <x:row r="2190" spans="1:14" x14ac:dyDescent="0.25">
      <x:c r="A2190" t="s">
        <x:v>33</x:v>
      </x:c>
      <x:c r="B2190" s="3" t="s">
        <x:v>94</x:v>
      </x:c>
      <x:c r="C2190" s="3" t="s">
        <x:v>411</x:v>
      </x:c>
      <x:c r="D2190" t="s">
        <x:v>676</x:v>
      </x:c>
      <x:c r="E2190" s="6">
        <x:v>0</x:v>
      </x:c>
      <x:c r="F2190" s="6">
        <x:v>0</x:v>
      </x:c>
      <x:c r="G2190" s="6">
        <x:v>0</x:v>
      </x:c>
      <x:c r="H2190" s="6">
        <x:f t="shared" si="105"/>
        <x:v>0</x:v>
      </x:c>
      <x:c r="I2190" s="6">
        <x:v>21.169999999999998</x:v>
      </x:c>
      <x:c r="J2190" s="6">
        <x:v>0</x:v>
      </x:c>
      <x:c r="K2190" s="6">
        <x:f t="shared" si="106"/>
        <x:v>21.169999999999998</x:v>
      </x:c>
      <x:c r="L2190" s="6">
        <x:v>0</x:v>
      </x:c>
      <x:c r="M2190" s="6">
        <x:v>0</x:v>
      </x:c>
      <x:c r="N2190" s="6">
        <x:f t="shared" si="107"/>
        <x:v>21.169999999999998</x:v>
      </x:c>
    </x:row>
    <x:row r="2191" spans="1:14" x14ac:dyDescent="0.25">
      <x:c r="A2191" t="s">
        <x:v>33</x:v>
      </x:c>
      <x:c r="B2191" s="3" t="s">
        <x:v>249</x:v>
      </x:c>
      <x:c r="C2191" s="3" t="s">
        <x:v>564</x:v>
      </x:c>
      <x:c r="D2191" t="s">
        <x:v>676</x:v>
      </x:c>
      <x:c r="E2191" s="6">
        <x:v>0</x:v>
      </x:c>
      <x:c r="F2191" s="6">
        <x:v>0</x:v>
      </x:c>
      <x:c r="G2191" s="6">
        <x:v>0</x:v>
      </x:c>
      <x:c r="H2191" s="6">
        <x:f t="shared" si="105"/>
        <x:v>0</x:v>
      </x:c>
      <x:c r="I2191" s="6">
        <x:v>0</x:v>
      </x:c>
      <x:c r="J2191" s="6">
        <x:v>0</x:v>
      </x:c>
      <x:c r="K2191" s="6">
        <x:f t="shared" si="106"/>
        <x:v>0</x:v>
      </x:c>
      <x:c r="L2191" s="6">
        <x:v>286809.85000000003</x:v>
      </x:c>
      <x:c r="M2191" s="6">
        <x:v>0</x:v>
      </x:c>
      <x:c r="N2191" s="6">
        <x:f t="shared" si="107"/>
        <x:v>286809.85000000003</x:v>
      </x:c>
    </x:row>
    <x:row r="2192" spans="1:14" x14ac:dyDescent="0.25">
      <x:c r="A2192" t="s">
        <x:v>33</x:v>
      </x:c>
      <x:c r="B2192" s="3" t="s">
        <x:v>323</x:v>
      </x:c>
      <x:c r="C2192" s="3" t="s">
        <x:v>638</x:v>
      </x:c>
      <x:c r="D2192" t="s">
        <x:v>679</x:v>
      </x:c>
      <x:c r="E2192" s="6">
        <x:v>9618.9600000000009</x:v>
      </x:c>
      <x:c r="F2192" s="6">
        <x:v>0</x:v>
      </x:c>
      <x:c r="G2192" s="6">
        <x:v>0</x:v>
      </x:c>
      <x:c r="H2192" s="6">
        <x:f t="shared" si="105"/>
        <x:v>9618.9600000000009</x:v>
      </x:c>
      <x:c r="I2192" s="6">
        <x:v>25690.5</x:v>
      </x:c>
      <x:c r="J2192" s="6">
        <x:v>0</x:v>
      </x:c>
      <x:c r="K2192" s="6">
        <x:f t="shared" si="106"/>
        <x:v>25690.5</x:v>
      </x:c>
      <x:c r="L2192" s="6">
        <x:v>7184.27</x:v>
      </x:c>
      <x:c r="M2192" s="6">
        <x:v>295.24999999999955</x:v>
      </x:c>
      <x:c r="N2192" s="6">
        <x:f t="shared" si="107"/>
        <x:v>42788.979999999996</x:v>
      </x:c>
    </x:row>
    <x:row r="2193" spans="1:14" x14ac:dyDescent="0.25">
      <x:c r="A2193" t="s">
        <x:v>33</x:v>
      </x:c>
      <x:c r="B2193" s="3" t="s">
        <x:v>324</x:v>
      </x:c>
      <x:c r="C2193" s="3" t="s">
        <x:v>639</x:v>
      </x:c>
      <x:c r="D2193" t="s">
        <x:v>679</x:v>
      </x:c>
      <x:c r="E2193" s="6">
        <x:v>8338.34</x:v>
      </x:c>
      <x:c r="F2193" s="6">
        <x:v>0</x:v>
      </x:c>
      <x:c r="G2193" s="6">
        <x:v>0</x:v>
      </x:c>
      <x:c r="H2193" s="6">
        <x:f t="shared" si="105"/>
        <x:v>8338.34</x:v>
      </x:c>
      <x:c r="I2193" s="6">
        <x:v>22270.18</x:v>
      </x:c>
      <x:c r="J2193" s="6">
        <x:v>0</x:v>
      </x:c>
      <x:c r="K2193" s="6">
        <x:f t="shared" si="106"/>
        <x:v>22270.18</x:v>
      </x:c>
      <x:c r="L2193" s="6">
        <x:v>6227.79</x:v>
      </x:c>
      <x:c r="M2193" s="6">
        <x:v>255.92999999999915</x:v>
      </x:c>
      <x:c r="N2193" s="6">
        <x:f t="shared" si="107"/>
        <x:v>37092.239999999998</x:v>
      </x:c>
    </x:row>
    <x:row r="2194" spans="1:14" x14ac:dyDescent="0.25">
      <x:c r="A2194" t="s">
        <x:v>33</x:v>
      </x:c>
      <x:c r="B2194" s="3" t="s">
        <x:v>316</x:v>
      </x:c>
      <x:c r="C2194" s="3" t="s">
        <x:v>631</x:v>
      </x:c>
      <x:c r="D2194" t="s">
        <x:v>676</x:v>
      </x:c>
      <x:c r="E2194" s="6">
        <x:v>0</x:v>
      </x:c>
      <x:c r="F2194" s="6">
        <x:v>0</x:v>
      </x:c>
      <x:c r="G2194" s="6">
        <x:v>0</x:v>
      </x:c>
      <x:c r="H2194" s="6">
        <x:f t="shared" si="105"/>
        <x:v>0</x:v>
      </x:c>
      <x:c r="I2194" s="6">
        <x:v>0</x:v>
      </x:c>
      <x:c r="J2194" s="6">
        <x:v>0</x:v>
      </x:c>
      <x:c r="K2194" s="6">
        <x:f t="shared" si="106"/>
        <x:v>0</x:v>
      </x:c>
      <x:c r="L2194" s="6">
        <x:v>0</x:v>
      </x:c>
      <x:c r="M2194" s="6">
        <x:v>366588.84</x:v>
      </x:c>
      <x:c r="N2194" s="6">
        <x:f t="shared" si="107"/>
        <x:v>366588.84</x:v>
      </x:c>
    </x:row>
    <x:row r="2195" spans="1:14" x14ac:dyDescent="0.25">
      <x:c r="A2195" t="s">
        <x:v>33</x:v>
      </x:c>
      <x:c r="B2195" s="3" t="s">
        <x:v>320</x:v>
      </x:c>
      <x:c r="C2195" s="3" t="s">
        <x:v>635</x:v>
      </x:c>
      <x:c r="D2195" t="s">
        <x:v>679</x:v>
      </x:c>
      <x:c r="E2195" s="6">
        <x:v>114539.48</x:v>
      </x:c>
      <x:c r="F2195" s="6">
        <x:v>0</x:v>
      </x:c>
      <x:c r="G2195" s="6">
        <x:v>0</x:v>
      </x:c>
      <x:c r="H2195" s="6">
        <x:f t="shared" si="105"/>
        <x:v>114539.48</x:v>
      </x:c>
      <x:c r="I2195" s="6">
        <x:v>305914.15999999997</x:v>
      </x:c>
      <x:c r="J2195" s="6">
        <x:v>0</x:v>
      </x:c>
      <x:c r="K2195" s="6">
        <x:f t="shared" si="106"/>
        <x:v>305914.15999999997</x:v>
      </x:c>
      <x:c r="L2195" s="6">
        <x:v>85547.95</x:v>
      </x:c>
      <x:c r="M2195" s="6">
        <x:v>3515.6700000000565</x:v>
      </x:c>
      <x:c r="N2195" s="6">
        <x:f t="shared" si="107"/>
        <x:v>509517.26</x:v>
      </x:c>
    </x:row>
    <x:row r="2196" spans="1:14" x14ac:dyDescent="0.25">
      <x:c r="A2196" t="s">
        <x:v>33</x:v>
      </x:c>
      <x:c r="B2196" s="3" t="s">
        <x:v>123</x:v>
      </x:c>
      <x:c r="C2196" s="3" t="s">
        <x:v>440</x:v>
      </x:c>
      <x:c r="D2196" t="s">
        <x:v>676</x:v>
      </x:c>
      <x:c r="E2196" s="6">
        <x:v>0</x:v>
      </x:c>
      <x:c r="F2196" s="6">
        <x:v>0</x:v>
      </x:c>
      <x:c r="G2196" s="6">
        <x:v>0</x:v>
      </x:c>
      <x:c r="H2196" s="6">
        <x:f t="shared" si="105"/>
        <x:v>0</x:v>
      </x:c>
      <x:c r="I2196" s="6">
        <x:v>166802.37</x:v>
      </x:c>
      <x:c r="J2196" s="6">
        <x:v>0</x:v>
      </x:c>
      <x:c r="K2196" s="6">
        <x:f t="shared" si="106"/>
        <x:v>166802.37</x:v>
      </x:c>
      <x:c r="L2196" s="6">
        <x:v>0</x:v>
      </x:c>
      <x:c r="M2196" s="6">
        <x:v>0</x:v>
      </x:c>
      <x:c r="N2196" s="6">
        <x:f t="shared" si="107"/>
        <x:v>166802.37</x:v>
      </x:c>
    </x:row>
    <x:row r="2197" spans="1:14" x14ac:dyDescent="0.25">
      <x:c r="A2197" t="s">
        <x:v>33</x:v>
      </x:c>
      <x:c r="B2197" s="3" t="s">
        <x:v>125</x:v>
      </x:c>
      <x:c r="C2197" s="3" t="s">
        <x:v>442</x:v>
      </x:c>
      <x:c r="D2197" t="s">
        <x:v>676</x:v>
      </x:c>
      <x:c r="E2197" s="6">
        <x:v>0</x:v>
      </x:c>
      <x:c r="F2197" s="6">
        <x:v>0</x:v>
      </x:c>
      <x:c r="G2197" s="6">
        <x:v>0</x:v>
      </x:c>
      <x:c r="H2197" s="6">
        <x:f t="shared" si="105"/>
        <x:v>0</x:v>
      </x:c>
      <x:c r="I2197" s="6">
        <x:v>0</x:v>
      </x:c>
      <x:c r="J2197" s="6">
        <x:v>0</x:v>
      </x:c>
      <x:c r="K2197" s="6">
        <x:f t="shared" si="106"/>
        <x:v>0</x:v>
      </x:c>
      <x:c r="L2197" s="6">
        <x:v>0</x:v>
      </x:c>
      <x:c r="M2197" s="6">
        <x:v>464297.88</x:v>
      </x:c>
      <x:c r="N2197" s="6">
        <x:f t="shared" si="107"/>
        <x:v>464297.88</x:v>
      </x:c>
    </x:row>
    <x:row r="2198" spans="1:14" x14ac:dyDescent="0.25">
      <x:c r="A2198" t="s">
        <x:v>33</x:v>
      </x:c>
      <x:c r="B2198" s="3" t="s">
        <x:v>279</x:v>
      </x:c>
      <x:c r="C2198" s="3" t="s">
        <x:v>594</x:v>
      </x:c>
      <x:c r="D2198" t="s">
        <x:v>676</x:v>
      </x:c>
      <x:c r="E2198" s="6">
        <x:v>0</x:v>
      </x:c>
      <x:c r="F2198" s="6">
        <x:v>0</x:v>
      </x:c>
      <x:c r="G2198" s="6">
        <x:v>0</x:v>
      </x:c>
      <x:c r="H2198" s="6">
        <x:f t="shared" si="105"/>
        <x:v>0</x:v>
      </x:c>
      <x:c r="I2198" s="6">
        <x:v>26.27</x:v>
      </x:c>
      <x:c r="J2198" s="6">
        <x:v>0</x:v>
      </x:c>
      <x:c r="K2198" s="6">
        <x:f t="shared" si="106"/>
        <x:v>26.27</x:v>
      </x:c>
      <x:c r="L2198" s="6">
        <x:v>0</x:v>
      </x:c>
      <x:c r="M2198" s="6">
        <x:v>0</x:v>
      </x:c>
      <x:c r="N2198" s="6">
        <x:f t="shared" si="107"/>
        <x:v>26.27</x:v>
      </x:c>
    </x:row>
    <x:row r="2199" spans="1:14" x14ac:dyDescent="0.25">
      <x:c r="A2199" t="s">
        <x:v>33</x:v>
      </x:c>
      <x:c r="B2199" s="3" t="s">
        <x:v>157</x:v>
      </x:c>
      <x:c r="C2199" s="3" t="s">
        <x:v>474</x:v>
      </x:c>
      <x:c r="D2199" t="s">
        <x:v>676</x:v>
      </x:c>
      <x:c r="E2199" s="6">
        <x:v>0</x:v>
      </x:c>
      <x:c r="F2199" s="6">
        <x:v>0</x:v>
      </x:c>
      <x:c r="G2199" s="6">
        <x:v>0</x:v>
      </x:c>
      <x:c r="H2199" s="6">
        <x:f t="shared" si="105"/>
        <x:v>0</x:v>
      </x:c>
      <x:c r="I2199" s="6">
        <x:v>3635.98</x:v>
      </x:c>
      <x:c r="J2199" s="6">
        <x:v>0</x:v>
      </x:c>
      <x:c r="K2199" s="6">
        <x:f t="shared" si="106"/>
        <x:v>3635.98</x:v>
      </x:c>
      <x:c r="L2199" s="6">
        <x:v>0</x:v>
      </x:c>
      <x:c r="M2199" s="6">
        <x:v>0</x:v>
      </x:c>
      <x:c r="N2199" s="6">
        <x:f t="shared" si="107"/>
        <x:v>3635.98</x:v>
      </x:c>
    </x:row>
    <x:row r="2200" spans="1:14" x14ac:dyDescent="0.25">
      <x:c r="A2200" t="s">
        <x:v>33</x:v>
      </x:c>
      <x:c r="B2200" s="3" t="s">
        <x:v>160</x:v>
      </x:c>
      <x:c r="C2200" s="3" t="s">
        <x:v>477</x:v>
      </x:c>
      <x:c r="D2200" t="s">
        <x:v>676</x:v>
      </x:c>
      <x:c r="E2200" s="6">
        <x:v>0</x:v>
      </x:c>
      <x:c r="F2200" s="6">
        <x:v>0</x:v>
      </x:c>
      <x:c r="G2200" s="6">
        <x:v>0</x:v>
      </x:c>
      <x:c r="H2200" s="6">
        <x:f t="shared" si="105"/>
        <x:v>0</x:v>
      </x:c>
      <x:c r="I2200" s="6">
        <x:v>437584.05</x:v>
      </x:c>
      <x:c r="J2200" s="6">
        <x:v>0</x:v>
      </x:c>
      <x:c r="K2200" s="6">
        <x:f t="shared" si="106"/>
        <x:v>437584.05</x:v>
      </x:c>
      <x:c r="L2200" s="6">
        <x:v>0</x:v>
      </x:c>
      <x:c r="M2200" s="6">
        <x:v>0</x:v>
      </x:c>
      <x:c r="N2200" s="6">
        <x:f t="shared" si="107"/>
        <x:v>437584.05</x:v>
      </x:c>
    </x:row>
    <x:row r="2201" spans="1:14" x14ac:dyDescent="0.25">
      <x:c r="A2201" t="s">
        <x:v>33</x:v>
      </x:c>
      <x:c r="B2201" s="3" t="s">
        <x:v>49</x:v>
      </x:c>
      <x:c r="C2201" s="3" t="s">
        <x:v>366</x:v>
      </x:c>
      <x:c r="D2201" t="s">
        <x:v>676</x:v>
      </x:c>
      <x:c r="E2201" s="6">
        <x:v>0</x:v>
      </x:c>
      <x:c r="F2201" s="6">
        <x:v>0</x:v>
      </x:c>
      <x:c r="G2201" s="6">
        <x:v>0</x:v>
      </x:c>
      <x:c r="H2201" s="6">
        <x:f t="shared" si="105"/>
        <x:v>0</x:v>
      </x:c>
      <x:c r="I2201" s="6">
        <x:v>857.52</x:v>
      </x:c>
      <x:c r="J2201" s="6">
        <x:v>0</x:v>
      </x:c>
      <x:c r="K2201" s="6">
        <x:f t="shared" si="106"/>
        <x:v>857.52</x:v>
      </x:c>
      <x:c r="L2201" s="6">
        <x:v>0</x:v>
      </x:c>
      <x:c r="M2201" s="6">
        <x:v>0</x:v>
      </x:c>
      <x:c r="N2201" s="6">
        <x:f t="shared" si="107"/>
        <x:v>857.52</x:v>
      </x:c>
    </x:row>
    <x:row r="2202" spans="1:14" x14ac:dyDescent="0.25">
      <x:c r="A2202" t="s">
        <x:v>33</x:v>
      </x:c>
      <x:c r="B2202" s="3" t="s">
        <x:v>281</x:v>
      </x:c>
      <x:c r="C2202" s="3" t="s">
        <x:v>596</x:v>
      </x:c>
      <x:c r="D2202" t="s">
        <x:v>679</x:v>
      </x:c>
      <x:c r="E2202" s="6">
        <x:v>124489.29</x:v>
      </x:c>
      <x:c r="F2202" s="6">
        <x:v>0</x:v>
      </x:c>
      <x:c r="G2202" s="6">
        <x:v>0</x:v>
      </x:c>
      <x:c r="H2202" s="6">
        <x:f t="shared" si="105"/>
        <x:v>124489.29</x:v>
      </x:c>
      <x:c r="I2202" s="6">
        <x:v>332488.27999999997</x:v>
      </x:c>
      <x:c r="J2202" s="6">
        <x:v>0</x:v>
      </x:c>
      <x:c r="K2202" s="6">
        <x:f t="shared" si="106"/>
        <x:v>332488.27999999997</x:v>
      </x:c>
      <x:c r="L2202" s="6">
        <x:v>92979.32</x:v>
      </x:c>
      <x:c r="M2202" s="6">
        <x:v>3821.0500000000034</x:v>
      </x:c>
      <x:c r="N2202" s="6">
        <x:f t="shared" si="107"/>
        <x:v>553777.93999999994</x:v>
      </x:c>
    </x:row>
    <x:row r="2203" spans="1:14" x14ac:dyDescent="0.25">
      <x:c r="A2203" t="s">
        <x:v>33</x:v>
      </x:c>
      <x:c r="B2203" s="3" t="s">
        <x:v>282</x:v>
      </x:c>
      <x:c r="C2203" s="3" t="s">
        <x:v>597</x:v>
      </x:c>
      <x:c r="D2203" t="s">
        <x:v>679</x:v>
      </x:c>
      <x:c r="E2203" s="6">
        <x:v>135525.69</x:v>
      </x:c>
      <x:c r="F2203" s="6">
        <x:v>0</x:v>
      </x:c>
      <x:c r="G2203" s="6">
        <x:v>0</x:v>
      </x:c>
      <x:c r="H2203" s="6">
        <x:f t="shared" si="105"/>
        <x:v>135525.69</x:v>
      </x:c>
      <x:c r="I2203" s="6">
        <x:v>361964.53</x:v>
      </x:c>
      <x:c r="J2203" s="6">
        <x:v>0</x:v>
      </x:c>
      <x:c r="K2203" s="6">
        <x:f t="shared" si="106"/>
        <x:v>361964.53</x:v>
      </x:c>
      <x:c r="L2203" s="6">
        <x:v>101222.26</x:v>
      </x:c>
      <x:c r="M2203" s="6">
        <x:v>4159.8300000000108</x:v>
      </x:c>
      <x:c r="N2203" s="6">
        <x:f t="shared" si="107"/>
        <x:v>602872.30999999994</x:v>
      </x:c>
    </x:row>
    <x:row r="2204" spans="1:14" x14ac:dyDescent="0.25">
      <x:c r="A2204" t="s">
        <x:v>33</x:v>
      </x:c>
      <x:c r="B2204" s="3" t="s">
        <x:v>283</x:v>
      </x:c>
      <x:c r="C2204" s="3" t="s">
        <x:v>598</x:v>
      </x:c>
      <x:c r="D2204" t="s">
        <x:v>679</x:v>
      </x:c>
      <x:c r="E2204" s="6">
        <x:v>42576.77</x:v>
      </x:c>
      <x:c r="F2204" s="6">
        <x:v>0</x:v>
      </x:c>
      <x:c r="G2204" s="6">
        <x:v>0</x:v>
      </x:c>
      <x:c r="H2204" s="6">
        <x:f t="shared" si="105"/>
        <x:v>42576.77</x:v>
      </x:c>
      <x:c r="I2204" s="6">
        <x:v>113714.81</x:v>
      </x:c>
      <x:c r="J2204" s="6">
        <x:v>0</x:v>
      </x:c>
      <x:c r="K2204" s="6">
        <x:f t="shared" si="106"/>
        <x:v>113714.81</x:v>
      </x:c>
      <x:c r="L2204" s="6">
        <x:v>31800</x:v>
      </x:c>
      <x:c r="M2204" s="6">
        <x:v>1306.8400000000108</x:v>
      </x:c>
      <x:c r="N2204" s="6">
        <x:f t="shared" si="107"/>
        <x:v>189398.41999999998</x:v>
      </x:c>
    </x:row>
    <x:row r="2205" spans="1:14" x14ac:dyDescent="0.25">
      <x:c r="A2205" t="s">
        <x:v>33</x:v>
      </x:c>
      <x:c r="B2205" s="3" t="s">
        <x:v>59</x:v>
      </x:c>
      <x:c r="C2205" s="3" t="s">
        <x:v>376</x:v>
      </x:c>
      <x:c r="D2205" t="s">
        <x:v>679</x:v>
      </x:c>
      <x:c r="E2205" s="6">
        <x:v>26183.79</x:v>
      </x:c>
      <x:c r="F2205" s="6">
        <x:v>0</x:v>
      </x:c>
      <x:c r="G2205" s="6">
        <x:v>0</x:v>
      </x:c>
      <x:c r="H2205" s="6">
        <x:f t="shared" si="105"/>
        <x:v>26183.79</x:v>
      </x:c>
      <x:c r="I2205" s="6">
        <x:v>69932.149999999994</x:v>
      </x:c>
      <x:c r="J2205" s="6">
        <x:v>0</x:v>
      </x:c>
      <x:c r="K2205" s="6">
        <x:f t="shared" si="106"/>
        <x:v>69932.149999999994</x:v>
      </x:c>
      <x:c r="L2205" s="6">
        <x:v>19556.310000000001</x:v>
      </x:c>
      <x:c r="M2205" s="6">
        <x:v>803.67999999998938</x:v>
      </x:c>
      <x:c r="N2205" s="6">
        <x:f t="shared" si="107"/>
        <x:v>116475.93</x:v>
      </x:c>
    </x:row>
    <x:row r="2206" spans="1:14" x14ac:dyDescent="0.25">
      <x:c r="A2206" t="s">
        <x:v>33</x:v>
      </x:c>
      <x:c r="B2206" s="3" t="s">
        <x:v>60</x:v>
      </x:c>
      <x:c r="C2206" s="3" t="s">
        <x:v>377</x:v>
      </x:c>
      <x:c r="D2206" t="s">
        <x:v>679</x:v>
      </x:c>
      <x:c r="E2206" s="6">
        <x:v>126078.33</x:v>
      </x:c>
      <x:c r="F2206" s="6">
        <x:v>0</x:v>
      </x:c>
      <x:c r="G2206" s="6">
        <x:v>0</x:v>
      </x:c>
      <x:c r="H2206" s="6">
        <x:f t="shared" si="105"/>
        <x:v>126078.33</x:v>
      </x:c>
      <x:c r="I2206" s="6">
        <x:v>336732.32999999996</x:v>
      </x:c>
      <x:c r="J2206" s="6">
        <x:v>0</x:v>
      </x:c>
      <x:c r="K2206" s="6">
        <x:f t="shared" si="106"/>
        <x:v>336732.32999999996</x:v>
      </x:c>
      <x:c r="L2206" s="6">
        <x:v>94166.150000000009</x:v>
      </x:c>
      <x:c r="M2206" s="6">
        <x:v>3869.8500000000113</x:v>
      </x:c>
      <x:c r="N2206" s="6">
        <x:f t="shared" si="107"/>
        <x:v>560846.65999999992</x:v>
      </x:c>
    </x:row>
    <x:row r="2207" spans="1:14" x14ac:dyDescent="0.25">
      <x:c r="A2207" t="s">
        <x:v>33</x:v>
      </x:c>
      <x:c r="B2207" s="3" t="s">
        <x:v>65</x:v>
      </x:c>
      <x:c r="C2207" s="3" t="s">
        <x:v>382</x:v>
      </x:c>
      <x:c r="D2207" t="s">
        <x:v>676</x:v>
      </x:c>
      <x:c r="E2207" s="6">
        <x:v>0</x:v>
      </x:c>
      <x:c r="F2207" s="6">
        <x:v>0</x:v>
      </x:c>
      <x:c r="G2207" s="6">
        <x:v>0</x:v>
      </x:c>
      <x:c r="H2207" s="6">
        <x:f t="shared" ref="H2207:H2270" si="110">SUM(E2207:G2207)</x:f>
        <x:v>0</x:v>
      </x:c>
      <x:c r="I2207" s="6">
        <x:v>3173.6</x:v>
      </x:c>
      <x:c r="J2207" s="6">
        <x:v>0</x:v>
      </x:c>
      <x:c r="K2207" s="6">
        <x:f t="shared" ref="K2207:K2270" si="111">SUM(I2207:J2207)</x:f>
        <x:v>3173.6</x:v>
      </x:c>
      <x:c r="L2207" s="6">
        <x:v>0</x:v>
      </x:c>
      <x:c r="M2207" s="6">
        <x:v>0</x:v>
      </x:c>
      <x:c r="N2207" s="6">
        <x:f t="shared" ref="N2207:N2270" si="112">+E2207+F2207+G2207+I2207+J2207+L2207+M2207</x:f>
        <x:v>3173.6</x:v>
      </x:c>
    </x:row>
    <x:row r="2208" spans="1:14" x14ac:dyDescent="0.25">
      <x:c r="A2208" t="s">
        <x:v>33</x:v>
      </x:c>
      <x:c r="B2208" s="3" t="s">
        <x:v>325</x:v>
      </x:c>
      <x:c r="C2208" s="3" t="s">
        <x:v>640</x:v>
      </x:c>
      <x:c r="D2208" t="s">
        <x:v>679</x:v>
      </x:c>
      <x:c r="E2208" s="6">
        <x:v>149460.52000000002</x:v>
      </x:c>
      <x:c r="F2208" s="6">
        <x:v>0</x:v>
      </x:c>
      <x:c r="G2208" s="6">
        <x:v>0</x:v>
      </x:c>
      <x:c r="H2208" s="6">
        <x:f t="shared" si="110"/>
        <x:v>149460.52000000002</x:v>
      </x:c>
      <x:c r="I2208" s="6">
        <x:v>399181.93</x:v>
      </x:c>
      <x:c r="J2208" s="6">
        <x:v>0</x:v>
      </x:c>
      <x:c r="K2208" s="6">
        <x:f t="shared" si="111"/>
        <x:v>399181.93</x:v>
      </x:c>
      <x:c r="L2208" s="6">
        <x:v>111629.98999999999</x:v>
      </x:c>
      <x:c r="M2208" s="6">
        <x:v>4587.5399999999954</x:v>
      </x:c>
      <x:c r="N2208" s="6">
        <x:f t="shared" si="112"/>
        <x:v>664859.98</x:v>
      </x:c>
    </x:row>
    <x:row r="2209" spans="1:14" x14ac:dyDescent="0.25">
      <x:c r="A2209" t="s">
        <x:v>33</x:v>
      </x:c>
      <x:c r="B2209" s="3" t="s">
        <x:v>317</x:v>
      </x:c>
      <x:c r="C2209" s="3" t="s">
        <x:v>632</x:v>
      </x:c>
      <x:c r="D2209" t="s">
        <x:v>676</x:v>
      </x:c>
      <x:c r="E2209" s="6">
        <x:v>0</x:v>
      </x:c>
      <x:c r="F2209" s="6">
        <x:v>0</x:v>
      </x:c>
      <x:c r="G2209" s="6">
        <x:v>0</x:v>
      </x:c>
      <x:c r="H2209" s="6">
        <x:f t="shared" si="110"/>
        <x:v>0</x:v>
      </x:c>
      <x:c r="I2209" s="6">
        <x:v>0</x:v>
      </x:c>
      <x:c r="J2209" s="6">
        <x:v>0</x:v>
      </x:c>
      <x:c r="K2209" s="6">
        <x:f t="shared" si="111"/>
        <x:v>0</x:v>
      </x:c>
      <x:c r="L2209" s="6">
        <x:v>0</x:v>
      </x:c>
      <x:c r="M2209" s="6">
        <x:v>651190.94999999995</x:v>
      </x:c>
      <x:c r="N2209" s="6">
        <x:f t="shared" si="112"/>
        <x:v>651190.94999999995</x:v>
      </x:c>
    </x:row>
    <x:row r="2210" spans="1:14" x14ac:dyDescent="0.25">
      <x:c r="A2210" t="s">
        <x:v>33</x:v>
      </x:c>
      <x:c r="B2210" s="3" t="s">
        <x:v>67</x:v>
      </x:c>
      <x:c r="C2210" s="3" t="s">
        <x:v>384</x:v>
      </x:c>
      <x:c r="D2210" t="s">
        <x:v>679</x:v>
      </x:c>
      <x:c r="E2210" s="6">
        <x:v>271795.27999999997</x:v>
      </x:c>
      <x:c r="F2210" s="6">
        <x:v>0</x:v>
      </x:c>
      <x:c r="G2210" s="6">
        <x:v>0</x:v>
      </x:c>
      <x:c r="H2210" s="6">
        <x:f t="shared" si="110"/>
        <x:v>271795.27999999997</x:v>
      </x:c>
      <x:c r="I2210" s="6">
        <x:v>725915.84</x:v>
      </x:c>
      <x:c r="J2210" s="6">
        <x:v>0</x:v>
      </x:c>
      <x:c r="K2210" s="6">
        <x:f t="shared" si="111"/>
        <x:v>725915.84</x:v>
      </x:c>
      <x:c r="L2210" s="6">
        <x:v>203000.11000000002</x:v>
      </x:c>
      <x:c r="M2210" s="6">
        <x:v>8342.4699999999248</x:v>
      </x:c>
      <x:c r="N2210" s="6">
        <x:f t="shared" si="112"/>
        <x:v>1209053.7</x:v>
      </x:c>
    </x:row>
    <x:row r="2211" spans="1:14" x14ac:dyDescent="0.25">
      <x:c r="A2211" t="s">
        <x:v>33</x:v>
      </x:c>
      <x:c r="B2211" s="3" t="s">
        <x:v>326</x:v>
      </x:c>
      <x:c r="C2211" s="3" t="s">
        <x:v>641</x:v>
      </x:c>
      <x:c r="D2211" t="s">
        <x:v>679</x:v>
      </x:c>
      <x:c r="E2211" s="6">
        <x:v>147526.93000000002</x:v>
      </x:c>
      <x:c r="F2211" s="6">
        <x:v>0</x:v>
      </x:c>
      <x:c r="G2211" s="6">
        <x:v>0</x:v>
      </x:c>
      <x:c r="H2211" s="6">
        <x:f t="shared" si="110"/>
        <x:v>147526.93000000002</x:v>
      </x:c>
      <x:c r="I2211" s="6">
        <x:v>394017.64999999997</x:v>
      </x:c>
      <x:c r="J2211" s="6">
        <x:v>0</x:v>
      </x:c>
      <x:c r="K2211" s="6">
        <x:f t="shared" si="111"/>
        <x:v>394017.64999999997</x:v>
      </x:c>
      <x:c r="L2211" s="6">
        <x:v>110185.81999999999</x:v>
      </x:c>
      <x:c r="M2211" s="6">
        <x:v>4528.170000000011</x:v>
      </x:c>
      <x:c r="N2211" s="6">
        <x:f t="shared" si="112"/>
        <x:v>656258.56999999995</x:v>
      </x:c>
    </x:row>
    <x:row r="2212" spans="1:14" x14ac:dyDescent="0.25">
      <x:c r="A2212" t="s">
        <x:v>33</x:v>
      </x:c>
      <x:c r="B2212" s="3" t="s">
        <x:v>327</x:v>
      </x:c>
      <x:c r="C2212" s="3" t="s">
        <x:v>642</x:v>
      </x:c>
      <x:c r="D2212" t="s">
        <x:v>679</x:v>
      </x:c>
      <x:c r="E2212" s="6">
        <x:v>157425.92000000001</x:v>
      </x:c>
      <x:c r="F2212" s="6">
        <x:v>0</x:v>
      </x:c>
      <x:c r="G2212" s="6">
        <x:v>0</x:v>
      </x:c>
      <x:c r="H2212" s="6">
        <x:f t="shared" si="110"/>
        <x:v>157425.92000000001</x:v>
      </x:c>
      <x:c r="I2212" s="6">
        <x:v>420456.05</x:v>
      </x:c>
      <x:c r="J2212" s="6">
        <x:v>0</x:v>
      </x:c>
      <x:c r="K2212" s="6">
        <x:f t="shared" si="111"/>
        <x:v>420456.05</x:v>
      </x:c>
      <x:c r="L2212" s="6">
        <x:v>117579.23</x:v>
      </x:c>
      <x:c r="M2212" s="6">
        <x:v>4832.0199999999459</x:v>
      </x:c>
      <x:c r="N2212" s="6">
        <x:f t="shared" si="112"/>
        <x:v>700293.21999999986</x:v>
      </x:c>
    </x:row>
    <x:row r="2213" spans="1:14" x14ac:dyDescent="0.25">
      <x:c r="A2213" t="s">
        <x:v>33</x:v>
      </x:c>
      <x:c r="B2213" s="3" t="s">
        <x:v>328</x:v>
      </x:c>
      <x:c r="C2213" s="3" t="s">
        <x:v>643</x:v>
      </x:c>
      <x:c r="D2213" t="s">
        <x:v>679</x:v>
      </x:c>
      <x:c r="E2213" s="6">
        <x:v>178514.97999999998</x:v>
      </x:c>
      <x:c r="F2213" s="6">
        <x:v>0</x:v>
      </x:c>
      <x:c r="G2213" s="6">
        <x:v>0</x:v>
      </x:c>
      <x:c r="H2213" s="6">
        <x:f t="shared" si="110"/>
        <x:v>178514.97999999998</x:v>
      </x:c>
      <x:c r="I2213" s="6">
        <x:v>476781.1</x:v>
      </x:c>
      <x:c r="J2213" s="6">
        <x:v>0</x:v>
      </x:c>
      <x:c r="K2213" s="6">
        <x:f t="shared" si="111"/>
        <x:v>476781.1</x:v>
      </x:c>
      <x:c r="L2213" s="6">
        <x:v>133330.34999999998</x:v>
      </x:c>
      <x:c r="M2213" s="6">
        <x:v>5479.3300000000618</x:v>
      </x:c>
      <x:c r="N2213" s="6">
        <x:f t="shared" si="112"/>
        <x:v>794105.76</x:v>
      </x:c>
    </x:row>
    <x:row r="2214" spans="1:14" x14ac:dyDescent="0.25">
      <x:c r="A2214" t="s">
        <x:v>33</x:v>
      </x:c>
      <x:c r="B2214" s="3" t="s">
        <x:v>290</x:v>
      </x:c>
      <x:c r="C2214" s="3" t="s">
        <x:v>605</x:v>
      </x:c>
      <x:c r="D2214" t="s">
        <x:v>676</x:v>
      </x:c>
      <x:c r="E2214" s="6">
        <x:v>0</x:v>
      </x:c>
      <x:c r="F2214" s="6">
        <x:v>0</x:v>
      </x:c>
      <x:c r="G2214" s="6">
        <x:v>0</x:v>
      </x:c>
      <x:c r="H2214" s="6">
        <x:f t="shared" si="110"/>
        <x:v>0</x:v>
      </x:c>
      <x:c r="I2214" s="6">
        <x:v>71451.25</x:v>
      </x:c>
      <x:c r="J2214" s="6">
        <x:v>0</x:v>
      </x:c>
      <x:c r="K2214" s="6">
        <x:f t="shared" si="111"/>
        <x:v>71451.25</x:v>
      </x:c>
      <x:c r="L2214" s="6">
        <x:v>0</x:v>
      </x:c>
      <x:c r="M2214" s="6">
        <x:v>0</x:v>
      </x:c>
      <x:c r="N2214" s="6">
        <x:f t="shared" si="112"/>
        <x:v>71451.25</x:v>
      </x:c>
    </x:row>
    <x:row r="2215" spans="1:14" x14ac:dyDescent="0.25">
      <x:c r="A2215" t="s">
        <x:v>33</x:v>
      </x:c>
      <x:c r="B2215" s="3" t="s">
        <x:v>221</x:v>
      </x:c>
      <x:c r="C2215" s="3" t="s">
        <x:v>537</x:v>
      </x:c>
      <x:c r="D2215" t="s">
        <x:v>676</x:v>
      </x:c>
      <x:c r="E2215" s="6">
        <x:v>0</x:v>
      </x:c>
      <x:c r="F2215" s="6">
        <x:v>0</x:v>
      </x:c>
      <x:c r="G2215" s="6">
        <x:v>0</x:v>
      </x:c>
      <x:c r="H2215" s="6">
        <x:f t="shared" si="110"/>
        <x:v>0</x:v>
      </x:c>
      <x:c r="I2215" s="6">
        <x:v>230362.63</x:v>
      </x:c>
      <x:c r="J2215" s="6">
        <x:v>0</x:v>
      </x:c>
      <x:c r="K2215" s="6">
        <x:f t="shared" si="111"/>
        <x:v>230362.63</x:v>
      </x:c>
      <x:c r="L2215" s="6">
        <x:v>0</x:v>
      </x:c>
      <x:c r="M2215" s="6">
        <x:v>0</x:v>
      </x:c>
      <x:c r="N2215" s="6">
        <x:f t="shared" si="112"/>
        <x:v>230362.63</x:v>
      </x:c>
    </x:row>
    <x:row r="2216" spans="1:14" x14ac:dyDescent="0.25">
      <x:c r="A2216" t="s">
        <x:v>33</x:v>
      </x:c>
      <x:c r="B2216" s="3" t="s">
        <x:v>47</x:v>
      </x:c>
      <x:c r="C2216" s="3" t="s">
        <x:v>364</x:v>
      </x:c>
      <x:c r="D2216" t="s">
        <x:v>679</x:v>
      </x:c>
      <x:c r="E2216" s="6">
        <x:v>12965149.620000001</x:v>
      </x:c>
      <x:c r="F2216" s="6">
        <x:v>0</x:v>
      </x:c>
      <x:c r="G2216" s="6">
        <x:v>0</x:v>
      </x:c>
      <x:c r="H2216" s="6">
        <x:f t="shared" si="110"/>
        <x:v>12965149.620000001</x:v>
      </x:c>
      <x:c r="I2216" s="6">
        <x:v>34627561.559999995</x:v>
      </x:c>
      <x:c r="J2216" s="6">
        <x:v>0</x:v>
      </x:c>
      <x:c r="K2216" s="6">
        <x:f t="shared" si="111"/>
        <x:v>34627561.559999995</x:v>
      </x:c>
      <x:c r="L2216" s="6">
        <x:v>9683490.3200000003</x:v>
      </x:c>
      <x:c r="M2216" s="6">
        <x:v>397951.67999999621</x:v>
      </x:c>
      <x:c r="N2216" s="6">
        <x:f t="shared" si="112"/>
        <x:v>57674153.179999992</x:v>
      </x:c>
    </x:row>
    <x:row r="2217" spans="1:14" x14ac:dyDescent="0.25">
      <x:c r="A2217" t="s">
        <x:v>33</x:v>
      </x:c>
      <x:c r="B2217" s="3" t="s">
        <x:v>311</x:v>
      </x:c>
      <x:c r="C2217" s="3" t="s">
        <x:v>626</x:v>
      </x:c>
      <x:c r="D2217" t="s">
        <x:v>676</x:v>
      </x:c>
      <x:c r="E2217" s="6">
        <x:v>0</x:v>
      </x:c>
      <x:c r="F2217" s="6">
        <x:v>0</x:v>
      </x:c>
      <x:c r="G2217" s="6">
        <x:v>0</x:v>
      </x:c>
      <x:c r="H2217" s="6">
        <x:f t="shared" si="110"/>
        <x:v>0</x:v>
      </x:c>
      <x:c r="I2217" s="6">
        <x:v>0</x:v>
      </x:c>
      <x:c r="J2217" s="6">
        <x:v>0</x:v>
      </x:c>
      <x:c r="K2217" s="6">
        <x:f t="shared" si="111"/>
        <x:v>0</x:v>
      </x:c>
      <x:c r="L2217" s="6">
        <x:v>0</x:v>
      </x:c>
      <x:c r="M2217" s="6">
        <x:v>955040.76</x:v>
      </x:c>
      <x:c r="N2217" s="6">
        <x:f t="shared" si="112"/>
        <x:v>955040.76</x:v>
      </x:c>
    </x:row>
    <x:row r="2218" spans="1:14" x14ac:dyDescent="0.25">
      <x:c r="A2218" t="s">
        <x:v>33</x:v>
      </x:c>
      <x:c r="B2218" s="3" t="s">
        <x:v>312</x:v>
      </x:c>
      <x:c r="C2218" s="3" t="s">
        <x:v>627</x:v>
      </x:c>
      <x:c r="D2218" t="s">
        <x:v>676</x:v>
      </x:c>
      <x:c r="E2218" s="6">
        <x:v>0</x:v>
      </x:c>
      <x:c r="F2218" s="6">
        <x:v>0</x:v>
      </x:c>
      <x:c r="G2218" s="6">
        <x:v>0</x:v>
      </x:c>
      <x:c r="H2218" s="6">
        <x:f t="shared" si="110"/>
        <x:v>0</x:v>
      </x:c>
      <x:c r="I2218" s="6">
        <x:v>0</x:v>
      </x:c>
      <x:c r="J2218" s="6">
        <x:v>0</x:v>
      </x:c>
      <x:c r="K2218" s="6">
        <x:f t="shared" si="111"/>
        <x:v>0</x:v>
      </x:c>
      <x:c r="L2218" s="6">
        <x:v>0</x:v>
      </x:c>
      <x:c r="M2218" s="6">
        <x:v>464687.07</x:v>
      </x:c>
      <x:c r="N2218" s="6">
        <x:f t="shared" si="112"/>
        <x:v>464687.07</x:v>
      </x:c>
    </x:row>
    <x:row r="2219" spans="1:14" x14ac:dyDescent="0.25">
      <x:c r="A2219" t="s">
        <x:v>33</x:v>
      </x:c>
      <x:c r="B2219" s="3" t="s">
        <x:v>268</x:v>
      </x:c>
      <x:c r="C2219" s="3" t="s">
        <x:v>583</x:v>
      </x:c>
      <x:c r="D2219" t="s">
        <x:v>676</x:v>
      </x:c>
      <x:c r="E2219" s="6">
        <x:v>0</x:v>
      </x:c>
      <x:c r="F2219" s="6">
        <x:v>0</x:v>
      </x:c>
      <x:c r="G2219" s="6">
        <x:v>0</x:v>
      </x:c>
      <x:c r="H2219" s="6">
        <x:f t="shared" si="110"/>
        <x:v>0</x:v>
      </x:c>
      <x:c r="I2219" s="6">
        <x:v>0</x:v>
      </x:c>
      <x:c r="J2219" s="6">
        <x:v>0</x:v>
      </x:c>
      <x:c r="K2219" s="6">
        <x:f t="shared" si="111"/>
        <x:v>0</x:v>
      </x:c>
      <x:c r="L2219" s="6">
        <x:v>-20500</x:v>
      </x:c>
      <x:c r="M2219" s="6">
        <x:v>0</x:v>
      </x:c>
      <x:c r="N2219" s="6">
        <x:f t="shared" si="112"/>
        <x:v>-20500</x:v>
      </x:c>
    </x:row>
    <x:row r="2220" spans="1:14" x14ac:dyDescent="0.25">
      <x:c r="A2220" t="s">
        <x:v>33</x:v>
      </x:c>
      <x:c r="B2220" s="3" t="s">
        <x:v>310</x:v>
      </x:c>
      <x:c r="C2220" s="3" t="s">
        <x:v>625</x:v>
      </x:c>
      <x:c r="D2220" t="s">
        <x:v>676</x:v>
      </x:c>
      <x:c r="E2220" s="6">
        <x:v>0</x:v>
      </x:c>
      <x:c r="F2220" s="6">
        <x:v>0</x:v>
      </x:c>
      <x:c r="G2220" s="6">
        <x:v>0</x:v>
      </x:c>
      <x:c r="H2220" s="6">
        <x:f t="shared" si="110"/>
        <x:v>0</x:v>
      </x:c>
      <x:c r="I2220" s="6">
        <x:v>0</x:v>
      </x:c>
      <x:c r="J2220" s="6">
        <x:v>0</x:v>
      </x:c>
      <x:c r="K2220" s="6">
        <x:f t="shared" si="111"/>
        <x:v>0</x:v>
      </x:c>
      <x:c r="L2220" s="6">
        <x:v>0</x:v>
      </x:c>
      <x:c r="M2220" s="6">
        <x:v>1662717.6700000002</x:v>
      </x:c>
      <x:c r="N2220" s="6">
        <x:f t="shared" si="112"/>
        <x:v>1662717.6700000002</x:v>
      </x:c>
    </x:row>
    <x:row r="2221" spans="1:14" x14ac:dyDescent="0.25">
      <x:c r="A2221" t="s">
        <x:v>33</x:v>
      </x:c>
      <x:c r="B2221" s="3" t="s">
        <x:v>292</x:v>
      </x:c>
      <x:c r="C2221" s="3" t="s">
        <x:v>607</x:v>
      </x:c>
      <x:c r="D2221" t="s">
        <x:v>676</x:v>
      </x:c>
      <x:c r="E2221" s="6">
        <x:v>0</x:v>
      </x:c>
      <x:c r="F2221" s="6">
        <x:v>0</x:v>
      </x:c>
      <x:c r="G2221" s="6">
        <x:v>0</x:v>
      </x:c>
      <x:c r="H2221" s="6">
        <x:f t="shared" si="110"/>
        <x:v>0</x:v>
      </x:c>
      <x:c r="I2221" s="6">
        <x:v>0</x:v>
      </x:c>
      <x:c r="J2221" s="6">
        <x:v>0</x:v>
      </x:c>
      <x:c r="K2221" s="6">
        <x:f t="shared" si="111"/>
        <x:v>0</x:v>
      </x:c>
      <x:c r="L2221" s="6">
        <x:v>392611.74</x:v>
      </x:c>
      <x:c r="M2221" s="6">
        <x:v>0</x:v>
      </x:c>
      <x:c r="N2221" s="6">
        <x:f t="shared" si="112"/>
        <x:v>392611.74</x:v>
      </x:c>
    </x:row>
    <x:row r="2222" spans="1:14" x14ac:dyDescent="0.25">
      <x:c r="A2222" t="s">
        <x:v>33</x:v>
      </x:c>
      <x:c r="B2222" s="3" t="s">
        <x:v>313</x:v>
      </x:c>
      <x:c r="C2222" s="3" t="s">
        <x:v>628</x:v>
      </x:c>
      <x:c r="D2222" t="s">
        <x:v>676</x:v>
      </x:c>
      <x:c r="E2222" s="6">
        <x:v>0</x:v>
      </x:c>
      <x:c r="F2222" s="6">
        <x:v>0</x:v>
      </x:c>
      <x:c r="G2222" s="6">
        <x:v>0</x:v>
      </x:c>
      <x:c r="H2222" s="6">
        <x:f t="shared" si="110"/>
        <x:v>0</x:v>
      </x:c>
      <x:c r="I2222" s="6">
        <x:v>0</x:v>
      </x:c>
      <x:c r="J2222" s="6">
        <x:v>0</x:v>
      </x:c>
      <x:c r="K2222" s="6">
        <x:f t="shared" si="111"/>
        <x:v>0</x:v>
      </x:c>
      <x:c r="L2222" s="6">
        <x:v>0</x:v>
      </x:c>
      <x:c r="M2222" s="6">
        <x:v>1268382.8299999998</x:v>
      </x:c>
      <x:c r="N2222" s="6">
        <x:f t="shared" si="112"/>
        <x:v>1268382.8299999998</x:v>
      </x:c>
    </x:row>
    <x:row r="2223" spans="1:14" x14ac:dyDescent="0.25">
      <x:c r="A2223" t="s">
        <x:v>33</x:v>
      </x:c>
      <x:c r="B2223" s="3" t="s">
        <x:v>329</x:v>
      </x:c>
      <x:c r="C2223" s="3" t="s">
        <x:v>644</x:v>
      </x:c>
      <x:c r="D2223" t="s">
        <x:v>676</x:v>
      </x:c>
      <x:c r="E2223" s="6">
        <x:v>0</x:v>
      </x:c>
      <x:c r="F2223" s="6">
        <x:v>0</x:v>
      </x:c>
      <x:c r="G2223" s="6">
        <x:v>0</x:v>
      </x:c>
      <x:c r="H2223" s="6">
        <x:f t="shared" si="110"/>
        <x:v>0</x:v>
      </x:c>
      <x:c r="I2223" s="6">
        <x:v>0</x:v>
      </x:c>
      <x:c r="J2223" s="6">
        <x:v>0</x:v>
      </x:c>
      <x:c r="K2223" s="6">
        <x:f t="shared" si="111"/>
        <x:v>0</x:v>
      </x:c>
      <x:c r="L2223" s="6">
        <x:v>0</x:v>
      </x:c>
      <x:c r="M2223" s="6">
        <x:v>341124.72</x:v>
      </x:c>
      <x:c r="N2223" s="6">
        <x:f t="shared" si="112"/>
        <x:v>341124.72</x:v>
      </x:c>
    </x:row>
    <x:row r="2224" spans="1:14" x14ac:dyDescent="0.25">
      <x:c r="A2224" t="s">
        <x:v>33</x:v>
      </x:c>
      <x:c r="B2224" s="3" t="s">
        <x:v>293</x:v>
      </x:c>
      <x:c r="C2224" s="3" t="s">
        <x:v>608</x:v>
      </x:c>
      <x:c r="D2224" t="s">
        <x:v>676</x:v>
      </x:c>
      <x:c r="E2224" s="6">
        <x:v>0</x:v>
      </x:c>
      <x:c r="F2224" s="6">
        <x:v>0</x:v>
      </x:c>
      <x:c r="G2224" s="6">
        <x:v>0</x:v>
      </x:c>
      <x:c r="H2224" s="6">
        <x:f t="shared" si="110"/>
        <x:v>0</x:v>
      </x:c>
      <x:c r="I2224" s="6">
        <x:v>0</x:v>
      </x:c>
      <x:c r="J2224" s="6">
        <x:v>0</x:v>
      </x:c>
      <x:c r="K2224" s="6">
        <x:f t="shared" si="111"/>
        <x:v>0</x:v>
      </x:c>
      <x:c r="L2224" s="6">
        <x:v>0</x:v>
      </x:c>
      <x:c r="M2224" s="6">
        <x:v>2505178.9700000002</x:v>
      </x:c>
      <x:c r="N2224" s="6">
        <x:f t="shared" si="112"/>
        <x:v>2505178.9700000002</x:v>
      </x:c>
    </x:row>
    <x:row r="2225" spans="1:14" x14ac:dyDescent="0.25">
      <x:c r="A2225" t="s">
        <x:v>33</x:v>
      </x:c>
      <x:c r="B2225" s="3" t="s">
        <x:v>330</x:v>
      </x:c>
      <x:c r="C2225" s="3" t="s">
        <x:v>645</x:v>
      </x:c>
      <x:c r="D2225" t="s">
        <x:v>679</x:v>
      </x:c>
      <x:c r="E2225" s="6">
        <x:v>132816.1</x:v>
      </x:c>
      <x:c r="F2225" s="6">
        <x:v>0</x:v>
      </x:c>
      <x:c r="G2225" s="6">
        <x:v>0</x:v>
      </x:c>
      <x:c r="H2225" s="6">
        <x:f t="shared" si="110"/>
        <x:v>132816.1</x:v>
      </x:c>
      <x:c r="I2225" s="6">
        <x:v>354727.72000000003</x:v>
      </x:c>
      <x:c r="J2225" s="6">
        <x:v>0</x:v>
      </x:c>
      <x:c r="K2225" s="6">
        <x:f t="shared" si="111"/>
        <x:v>354727.72000000003</x:v>
      </x:c>
      <x:c r="L2225" s="6">
        <x:v>99198.5</x:v>
      </x:c>
      <x:c r="M2225" s="6">
        <x:v>4076.6600000000126</x:v>
      </x:c>
      <x:c r="N2225" s="6">
        <x:f t="shared" si="112"/>
        <x:v>590818.9800000001</x:v>
      </x:c>
    </x:row>
    <x:row r="2226" spans="1:14" x14ac:dyDescent="0.25">
      <x:c r="A2226" t="s">
        <x:v>33</x:v>
      </x:c>
      <x:c r="B2226" t="s">
        <x:v>753</x:v>
      </x:c>
      <x:c r="C2226" t="s">
        <x:v>754</x:v>
      </x:c>
      <x:c r="D2226" t="s">
        <x:v>676</x:v>
      </x:c>
      <x:c r="E2226" s="6">
        <x:v>78568.399999999994</x:v>
      </x:c>
      <x:c r="F2226" s="6">
        <x:v>0</x:v>
      </x:c>
      <x:c r="G2226" s="6">
        <x:v>0</x:v>
      </x:c>
      <x:c r="H2226" s="6">
        <x:f t="shared" si="110"/>
        <x:v>78568.399999999994</x:v>
      </x:c>
      <x:c r="I2226" s="6">
        <x:v>0</x:v>
      </x:c>
      <x:c r="J2226" s="6">
        <x:v>0</x:v>
      </x:c>
      <x:c r="K2226" s="6">
        <x:f t="shared" si="111"/>
        <x:v>0</x:v>
      </x:c>
      <x:c r="L2226" s="6">
        <x:v>0</x:v>
      </x:c>
      <x:c r="M2226" s="6">
        <x:v>0</x:v>
      </x:c>
      <x:c r="N2226" s="6">
        <x:f t="shared" si="112"/>
        <x:v>78568.399999999994</x:v>
      </x:c>
    </x:row>
    <x:row r="2227" spans="1:14" x14ac:dyDescent="0.25">
      <x:c r="A2227" t="s">
        <x:v>33</x:v>
      </x:c>
      <x:c r="B2227" s="3" t="s">
        <x:v>294</x:v>
      </x:c>
      <x:c r="C2227" s="3" t="s">
        <x:v>609</x:v>
      </x:c>
      <x:c r="D2227" t="s">
        <x:v>676</x:v>
      </x:c>
      <x:c r="E2227" s="6">
        <x:v>0</x:v>
      </x:c>
      <x:c r="F2227" s="6">
        <x:v>0</x:v>
      </x:c>
      <x:c r="G2227" s="6">
        <x:v>0</x:v>
      </x:c>
      <x:c r="H2227" s="6">
        <x:f t="shared" si="110"/>
        <x:v>0</x:v>
      </x:c>
      <x:c r="I2227" s="6">
        <x:v>0</x:v>
      </x:c>
      <x:c r="J2227" s="6">
        <x:v>0</x:v>
      </x:c>
      <x:c r="K2227" s="6">
        <x:f t="shared" si="111"/>
        <x:v>0</x:v>
      </x:c>
      <x:c r="L2227" s="6">
        <x:v>0</x:v>
      </x:c>
      <x:c r="M2227" s="6">
        <x:v>897332.16999999993</x:v>
      </x:c>
      <x:c r="N2227" s="6">
        <x:f t="shared" si="112"/>
        <x:v>897332.16999999993</x:v>
      </x:c>
    </x:row>
    <x:row r="2228" spans="1:14" x14ac:dyDescent="0.25">
      <x:c r="A2228" t="s">
        <x:v>33</x:v>
      </x:c>
      <x:c r="B2228" s="3" t="s">
        <x:v>331</x:v>
      </x:c>
      <x:c r="C2228" s="3" t="s">
        <x:v>646</x:v>
      </x:c>
      <x:c r="D2228" t="s">
        <x:v>676</x:v>
      </x:c>
      <x:c r="E2228" s="6">
        <x:v>0</x:v>
      </x:c>
      <x:c r="F2228" s="6">
        <x:v>0</x:v>
      </x:c>
      <x:c r="G2228" s="6">
        <x:v>0</x:v>
      </x:c>
      <x:c r="H2228" s="6">
        <x:f t="shared" si="110"/>
        <x:v>0</x:v>
      </x:c>
      <x:c r="I2228" s="6">
        <x:v>0</x:v>
      </x:c>
      <x:c r="J2228" s="6">
        <x:v>0</x:v>
      </x:c>
      <x:c r="K2228" s="6">
        <x:f t="shared" si="111"/>
        <x:v>0</x:v>
      </x:c>
      <x:c r="L2228" s="6">
        <x:v>0</x:v>
      </x:c>
      <x:c r="M2228" s="6">
        <x:v>1180776.69</x:v>
      </x:c>
      <x:c r="N2228" s="6">
        <x:f t="shared" si="112"/>
        <x:v>1180776.69</x:v>
      </x:c>
    </x:row>
    <x:row r="2229" spans="1:14" x14ac:dyDescent="0.25">
      <x:c r="A2229" t="s">
        <x:v>33</x:v>
      </x:c>
      <x:c r="B2229" s="3" t="s">
        <x:v>295</x:v>
      </x:c>
      <x:c r="C2229" s="3" t="s">
        <x:v>610</x:v>
      </x:c>
      <x:c r="D2229" t="s">
        <x:v>676</x:v>
      </x:c>
      <x:c r="E2229" s="6">
        <x:v>0</x:v>
      </x:c>
      <x:c r="F2229" s="6">
        <x:v>0</x:v>
      </x:c>
      <x:c r="G2229" s="6">
        <x:v>0</x:v>
      </x:c>
      <x:c r="H2229" s="6">
        <x:f t="shared" si="110"/>
        <x:v>0</x:v>
      </x:c>
      <x:c r="I2229" s="6">
        <x:v>0</x:v>
      </x:c>
      <x:c r="J2229" s="6">
        <x:v>0</x:v>
      </x:c>
      <x:c r="K2229" s="6">
        <x:f t="shared" si="111"/>
        <x:v>0</x:v>
      </x:c>
      <x:c r="L2229" s="6">
        <x:v>0</x:v>
      </x:c>
      <x:c r="M2229" s="6">
        <x:v>760480.27</x:v>
      </x:c>
      <x:c r="N2229" s="6">
        <x:f t="shared" si="112"/>
        <x:v>760480.27</x:v>
      </x:c>
    </x:row>
    <x:row r="2230" spans="1:14" x14ac:dyDescent="0.25">
      <x:c r="A2230" t="s">
        <x:v>33</x:v>
      </x:c>
      <x:c r="B2230" s="3" t="s">
        <x:v>314</x:v>
      </x:c>
      <x:c r="C2230" s="3" t="s">
        <x:v>629</x:v>
      </x:c>
      <x:c r="D2230" t="s">
        <x:v>676</x:v>
      </x:c>
      <x:c r="E2230" s="6">
        <x:v>0</x:v>
      </x:c>
      <x:c r="F2230" s="6">
        <x:v>0</x:v>
      </x:c>
      <x:c r="G2230" s="6">
        <x:v>0</x:v>
      </x:c>
      <x:c r="H2230" s="6">
        <x:f t="shared" si="110"/>
        <x:v>0</x:v>
      </x:c>
      <x:c r="I2230" s="6">
        <x:v>0</x:v>
      </x:c>
      <x:c r="J2230" s="6">
        <x:v>0</x:v>
      </x:c>
      <x:c r="K2230" s="6">
        <x:f t="shared" si="111"/>
        <x:v>0</x:v>
      </x:c>
      <x:c r="L2230" s="6">
        <x:v>0</x:v>
      </x:c>
      <x:c r="M2230" s="6">
        <x:v>614936.25</x:v>
      </x:c>
      <x:c r="N2230" s="6">
        <x:f t="shared" si="112"/>
        <x:v>614936.25</x:v>
      </x:c>
    </x:row>
    <x:row r="2231" spans="1:14" x14ac:dyDescent="0.25">
      <x:c r="A2231" t="s">
        <x:v>33</x:v>
      </x:c>
      <x:c r="B2231" s="3" t="s">
        <x:v>332</x:v>
      </x:c>
      <x:c r="C2231" s="3" t="s">
        <x:v>647</x:v>
      </x:c>
      <x:c r="D2231" t="s">
        <x:v>679</x:v>
      </x:c>
      <x:c r="E2231" s="6">
        <x:v>393559.65999999992</x:v>
      </x:c>
      <x:c r="F2231" s="6">
        <x:v>0</x:v>
      </x:c>
      <x:c r="G2231" s="6">
        <x:v>0</x:v>
      </x:c>
      <x:c r="H2231" s="6">
        <x:f t="shared" si="110"/>
        <x:v>393559.65999999992</x:v>
      </x:c>
      <x:c r="I2231" s="6">
        <x:v>1051126.4099999999</x:v>
      </x:c>
      <x:c r="J2231" s="6">
        <x:v>0</x:v>
      </x:c>
      <x:c r="K2231" s="6">
        <x:f t="shared" si="111"/>
        <x:v>1051126.4099999999</x:v>
      </x:c>
      <x:c r="L2231" s="6">
        <x:v>293944.24000000005</x:v>
      </x:c>
      <x:c r="M2231" s="6">
        <x:v>12079.890000000198</x:v>
      </x:c>
      <x:c r="N2231" s="6">
        <x:f t="shared" si="112"/>
        <x:v>1750710.2</x:v>
      </x:c>
    </x:row>
    <x:row r="2232" spans="1:14" x14ac:dyDescent="0.25">
      <x:c r="A2232" t="s">
        <x:v>33</x:v>
      </x:c>
      <x:c r="B2232" s="3" t="s">
        <x:v>296</x:v>
      </x:c>
      <x:c r="C2232" s="3" t="s">
        <x:v>611</x:v>
      </x:c>
      <x:c r="D2232" t="s">
        <x:v>676</x:v>
      </x:c>
      <x:c r="E2232" s="6">
        <x:v>0</x:v>
      </x:c>
      <x:c r="F2232" s="6">
        <x:v>0</x:v>
      </x:c>
      <x:c r="G2232" s="6">
        <x:v>0</x:v>
      </x:c>
      <x:c r="H2232" s="6">
        <x:f t="shared" si="110"/>
        <x:v>0</x:v>
      </x:c>
      <x:c r="I2232" s="6">
        <x:v>0</x:v>
      </x:c>
      <x:c r="J2232" s="6">
        <x:v>0</x:v>
      </x:c>
      <x:c r="K2232" s="6">
        <x:f t="shared" si="111"/>
        <x:v>0</x:v>
      </x:c>
      <x:c r="L2232" s="6">
        <x:v>0</x:v>
      </x:c>
      <x:c r="M2232" s="6">
        <x:v>2277892.7599999998</x:v>
      </x:c>
      <x:c r="N2232" s="6">
        <x:f t="shared" si="112"/>
        <x:v>2277892.7599999998</x:v>
      </x:c>
    </x:row>
    <x:row r="2233" spans="1:14" x14ac:dyDescent="0.25">
      <x:c r="A2233" t="s">
        <x:v>33</x:v>
      </x:c>
      <x:c r="B2233" s="3" t="s">
        <x:v>315</x:v>
      </x:c>
      <x:c r="C2233" s="3" t="s">
        <x:v>630</x:v>
      </x:c>
      <x:c r="D2233" t="s">
        <x:v>676</x:v>
      </x:c>
      <x:c r="E2233" s="6">
        <x:v>0</x:v>
      </x:c>
      <x:c r="F2233" s="6">
        <x:v>0</x:v>
      </x:c>
      <x:c r="G2233" s="6">
        <x:v>0</x:v>
      </x:c>
      <x:c r="H2233" s="6">
        <x:f t="shared" si="110"/>
        <x:v>0</x:v>
      </x:c>
      <x:c r="I2233" s="6">
        <x:v>0</x:v>
      </x:c>
      <x:c r="J2233" s="6">
        <x:v>0</x:v>
      </x:c>
      <x:c r="K2233" s="6">
        <x:f t="shared" si="111"/>
        <x:v>0</x:v>
      </x:c>
      <x:c r="L2233" s="6">
        <x:v>0</x:v>
      </x:c>
      <x:c r="M2233" s="6">
        <x:v>470730.2</x:v>
      </x:c>
      <x:c r="N2233" s="6">
        <x:f t="shared" si="112"/>
        <x:v>470730.2</x:v>
      </x:c>
    </x:row>
    <x:row r="2234" spans="1:14" x14ac:dyDescent="0.25">
      <x:c r="A2234" t="s">
        <x:v>33</x:v>
      </x:c>
      <x:c r="B2234" s="3" t="s">
        <x:v>319</x:v>
      </x:c>
      <x:c r="C2234" s="3" t="s">
        <x:v>634</x:v>
      </x:c>
      <x:c r="D2234" t="s">
        <x:v>676</x:v>
      </x:c>
      <x:c r="E2234" s="6">
        <x:v>0</x:v>
      </x:c>
      <x:c r="F2234" s="6">
        <x:v>0</x:v>
      </x:c>
      <x:c r="G2234" s="6">
        <x:v>0</x:v>
      </x:c>
      <x:c r="H2234" s="6">
        <x:f t="shared" si="110"/>
        <x:v>0</x:v>
      </x:c>
      <x:c r="I2234" s="6">
        <x:v>0</x:v>
      </x:c>
      <x:c r="J2234" s="6">
        <x:v>0</x:v>
      </x:c>
      <x:c r="K2234" s="6">
        <x:f t="shared" si="111"/>
        <x:v>0</x:v>
      </x:c>
      <x:c r="L2234" s="6">
        <x:v>0</x:v>
      </x:c>
      <x:c r="M2234" s="6">
        <x:v>1050390.27</x:v>
      </x:c>
      <x:c r="N2234" s="6">
        <x:f t="shared" si="112"/>
        <x:v>1050390.27</x:v>
      </x:c>
    </x:row>
    <x:row r="2235" spans="1:14" x14ac:dyDescent="0.25">
      <x:c r="A2235" t="s">
        <x:v>33</x:v>
      </x:c>
      <x:c r="B2235" s="3" t="s">
        <x:v>223</x:v>
      </x:c>
      <x:c r="C2235" s="3" t="s">
        <x:v>539</x:v>
      </x:c>
      <x:c r="D2235" t="s">
        <x:v>676</x:v>
      </x:c>
      <x:c r="E2235" s="6">
        <x:v>0</x:v>
      </x:c>
      <x:c r="F2235" s="6">
        <x:v>0</x:v>
      </x:c>
      <x:c r="G2235" s="6">
        <x:v>0</x:v>
      </x:c>
      <x:c r="H2235" s="6">
        <x:f t="shared" si="110"/>
        <x:v>0</x:v>
      </x:c>
      <x:c r="I2235" s="6">
        <x:v>0</x:v>
      </x:c>
      <x:c r="J2235" s="6">
        <x:v>0</x:v>
      </x:c>
      <x:c r="K2235" s="6">
        <x:f t="shared" si="111"/>
        <x:v>0</x:v>
      </x:c>
      <x:c r="L2235" s="6">
        <x:v>0</x:v>
      </x:c>
      <x:c r="M2235" s="6">
        <x:v>1667650.39</x:v>
      </x:c>
      <x:c r="N2235" s="6">
        <x:f t="shared" si="112"/>
        <x:v>1667650.39</x:v>
      </x:c>
    </x:row>
    <x:row r="2236" spans="1:14" x14ac:dyDescent="0.25">
      <x:c r="A2236" t="s">
        <x:v>33</x:v>
      </x:c>
      <x:c r="B2236" s="3" t="s">
        <x:v>224</x:v>
      </x:c>
      <x:c r="C2236" s="3" t="s">
        <x:v>540</x:v>
      </x:c>
      <x:c r="D2236" t="s">
        <x:v>676</x:v>
      </x:c>
      <x:c r="E2236" s="6">
        <x:v>0</x:v>
      </x:c>
      <x:c r="F2236" s="6">
        <x:v>0</x:v>
      </x:c>
      <x:c r="G2236" s="6">
        <x:v>0</x:v>
      </x:c>
      <x:c r="H2236" s="6">
        <x:f t="shared" si="110"/>
        <x:v>0</x:v>
      </x:c>
      <x:c r="I2236" s="6">
        <x:v>0</x:v>
      </x:c>
      <x:c r="J2236" s="6">
        <x:v>0</x:v>
      </x:c>
      <x:c r="K2236" s="6">
        <x:f t="shared" si="111"/>
        <x:v>0</x:v>
      </x:c>
      <x:c r="L2236" s="6">
        <x:v>0</x:v>
      </x:c>
      <x:c r="M2236" s="6">
        <x:v>828260.84</x:v>
      </x:c>
      <x:c r="N2236" s="6">
        <x:f t="shared" si="112"/>
        <x:v>828260.84</x:v>
      </x:c>
    </x:row>
    <x:row r="2237" spans="1:14" x14ac:dyDescent="0.25">
      <x:c r="A2237" t="s">
        <x:v>33</x:v>
      </x:c>
      <x:c r="B2237" s="3" t="s">
        <x:v>225</x:v>
      </x:c>
      <x:c r="C2237" s="3" t="s">
        <x:v>541</x:v>
      </x:c>
      <x:c r="D2237" t="s">
        <x:v>676</x:v>
      </x:c>
      <x:c r="E2237" s="6">
        <x:v>0</x:v>
      </x:c>
      <x:c r="F2237" s="6">
        <x:v>0</x:v>
      </x:c>
      <x:c r="G2237" s="6">
        <x:v>0</x:v>
      </x:c>
      <x:c r="H2237" s="6">
        <x:f t="shared" si="110"/>
        <x:v>0</x:v>
      </x:c>
      <x:c r="I2237" s="6">
        <x:v>0</x:v>
      </x:c>
      <x:c r="J2237" s="6">
        <x:v>0</x:v>
      </x:c>
      <x:c r="K2237" s="6">
        <x:f t="shared" si="111"/>
        <x:v>0</x:v>
      </x:c>
      <x:c r="L2237" s="6">
        <x:v>0</x:v>
      </x:c>
      <x:c r="M2237" s="6">
        <x:v>854569.53</x:v>
      </x:c>
      <x:c r="N2237" s="6">
        <x:f t="shared" si="112"/>
        <x:v>854569.53</x:v>
      </x:c>
    </x:row>
    <x:row r="2238" spans="1:14" x14ac:dyDescent="0.25">
      <x:c r="A2238" t="s">
        <x:v>33</x:v>
      </x:c>
      <x:c r="B2238" s="3" t="s">
        <x:v>297</x:v>
      </x:c>
      <x:c r="C2238" s="3" t="s">
        <x:v>612</x:v>
      </x:c>
      <x:c r="D2238" t="s">
        <x:v>676</x:v>
      </x:c>
      <x:c r="E2238" s="6">
        <x:v>0</x:v>
      </x:c>
      <x:c r="F2238" s="6">
        <x:v>0</x:v>
      </x:c>
      <x:c r="G2238" s="6">
        <x:v>0</x:v>
      </x:c>
      <x:c r="H2238" s="6">
        <x:f t="shared" si="110"/>
        <x:v>0</x:v>
      </x:c>
      <x:c r="I2238" s="6">
        <x:v>0</x:v>
      </x:c>
      <x:c r="J2238" s="6">
        <x:v>0</x:v>
      </x:c>
      <x:c r="K2238" s="6">
        <x:f t="shared" si="111"/>
        <x:v>0</x:v>
      </x:c>
      <x:c r="L2238" s="6">
        <x:v>0</x:v>
      </x:c>
      <x:c r="M2238" s="6">
        <x:v>885234.14</x:v>
      </x:c>
      <x:c r="N2238" s="6">
        <x:f t="shared" si="112"/>
        <x:v>885234.14</x:v>
      </x:c>
    </x:row>
    <x:row r="2239" spans="1:14" x14ac:dyDescent="0.25">
      <x:c r="A2239" t="s">
        <x:v>33</x:v>
      </x:c>
      <x:c r="B2239" s="3" t="s">
        <x:v>68</x:v>
      </x:c>
      <x:c r="C2239" s="3" t="s">
        <x:v>385</x:v>
      </x:c>
      <x:c r="D2239" t="s">
        <x:v>679</x:v>
      </x:c>
      <x:c r="E2239" s="6">
        <x:v>695875.3</x:v>
      </x:c>
      <x:c r="F2239" s="6">
        <x:v>0</x:v>
      </x:c>
      <x:c r="G2239" s="6">
        <x:v>0</x:v>
      </x:c>
      <x:c r="H2239" s="6">
        <x:f t="shared" si="110"/>
        <x:v>695875.3</x:v>
      </x:c>
      <x:c r="I2239" s="6">
        <x:v>1858556.6099999999</x:v>
      </x:c>
      <x:c r="J2239" s="6">
        <x:v>0</x:v>
      </x:c>
      <x:c r="K2239" s="6">
        <x:f t="shared" si="111"/>
        <x:v>1858556.6099999999</x:v>
      </x:c>
      <x:c r="L2239" s="6">
        <x:v>519739.60000000003</x:v>
      </x:c>
      <x:c r="M2239" s="6">
        <x:v>21359.160000000044</x:v>
      </x:c>
      <x:c r="N2239" s="6">
        <x:f t="shared" si="112"/>
        <x:v>3095530.6700000004</x:v>
      </x:c>
    </x:row>
    <x:row r="2240" spans="1:14" x14ac:dyDescent="0.25">
      <x:c r="A2240" t="s">
        <x:v>33</x:v>
      </x:c>
      <x:c r="B2240" s="3" t="s">
        <x:v>333</x:v>
      </x:c>
      <x:c r="C2240" s="3" t="s">
        <x:v>648</x:v>
      </x:c>
      <x:c r="D2240" t="s">
        <x:v>679</x:v>
      </x:c>
      <x:c r="E2240" s="6">
        <x:v>136890.80000000002</x:v>
      </x:c>
      <x:c r="F2240" s="6">
        <x:v>0</x:v>
      </x:c>
      <x:c r="G2240" s="6">
        <x:v>0</x:v>
      </x:c>
      <x:c r="H2240" s="6">
        <x:f t="shared" si="110"/>
        <x:v>136890.80000000002</x:v>
      </x:c>
      <x:c r="I2240" s="6">
        <x:v>365610.48</x:v>
      </x:c>
      <x:c r="J2240" s="6">
        <x:v>0</x:v>
      </x:c>
      <x:c r="K2240" s="6">
        <x:f t="shared" si="111"/>
        <x:v>365610.48</x:v>
      </x:c>
      <x:c r="L2240" s="6">
        <x:v>102241.84</x:v>
      </x:c>
      <x:c r="M2240" s="6">
        <x:v>4201.7200000000103</x:v>
      </x:c>
      <x:c r="N2240" s="6">
        <x:f t="shared" si="112"/>
        <x:v>608944.84</x:v>
      </x:c>
    </x:row>
    <x:row r="2241" spans="1:14" x14ac:dyDescent="0.25">
      <x:c r="A2241" t="s">
        <x:v>33</x:v>
      </x:c>
      <x:c r="B2241" s="3" t="s">
        <x:v>69</x:v>
      </x:c>
      <x:c r="C2241" s="3" t="s">
        <x:v>386</x:v>
      </x:c>
      <x:c r="D2241" t="s">
        <x:v>679</x:v>
      </x:c>
      <x:c r="E2241" s="6">
        <x:v>275890.86000000004</x:v>
      </x:c>
      <x:c r="F2241" s="6">
        <x:v>0</x:v>
      </x:c>
      <x:c r="G2241" s="6">
        <x:v>0</x:v>
      </x:c>
      <x:c r="H2241" s="6">
        <x:f t="shared" si="110"/>
        <x:v>275890.86000000004</x:v>
      </x:c>
      <x:c r="I2241" s="6">
        <x:v>736854.42999999993</x:v>
      </x:c>
      <x:c r="J2241" s="6">
        <x:v>0</x:v>
      </x:c>
      <x:c r="K2241" s="6">
        <x:f t="shared" si="111"/>
        <x:v>736854.42999999993</x:v>
      </x:c>
      <x:c r="L2241" s="6">
        <x:v>206059.05000000002</x:v>
      </x:c>
      <x:c r="M2241" s="6">
        <x:v>8468.1799999999457</x:v>
      </x:c>
      <x:c r="N2241" s="6">
        <x:f t="shared" si="112"/>
        <x:v>1227272.52</x:v>
      </x:c>
    </x:row>
    <x:row r="2242" spans="1:14" x14ac:dyDescent="0.25">
      <x:c r="A2242" t="s">
        <x:v>33</x:v>
      </x:c>
      <x:c r="B2242" s="3" t="s">
        <x:v>334</x:v>
      </x:c>
      <x:c r="C2242" s="3" t="s">
        <x:v>649</x:v>
      </x:c>
      <x:c r="D2242" t="s">
        <x:v>679</x:v>
      </x:c>
      <x:c r="E2242" s="6">
        <x:v>217102.55</x:v>
      </x:c>
      <x:c r="F2242" s="6">
        <x:v>0</x:v>
      </x:c>
      <x:c r="G2242" s="6">
        <x:v>0</x:v>
      </x:c>
      <x:c r="H2242" s="6">
        <x:f t="shared" si="110"/>
        <x:v>217102.55</x:v>
      </x:c>
      <x:c r="I2242" s="6">
        <x:v>579841.52</x:v>
      </x:c>
      <x:c r="J2242" s="6">
        <x:v>0</x:v>
      </x:c>
      <x:c r="K2242" s="6">
        <x:f t="shared" si="111"/>
        <x:v>579841.52</x:v>
      </x:c>
      <x:c r="L2242" s="6">
        <x:v>162150.88999999998</x:v>
      </x:c>
      <x:c r="M2242" s="6">
        <x:v>6663.7199999999457</x:v>
      </x:c>
      <x:c r="N2242" s="6">
        <x:f t="shared" si="112"/>
        <x:v>965758.68</x:v>
      </x:c>
    </x:row>
    <x:row r="2243" spans="1:14" x14ac:dyDescent="0.25">
      <x:c r="A2243" t="s">
        <x:v>33</x:v>
      </x:c>
      <x:c r="B2243" s="3" t="s">
        <x:v>70</x:v>
      </x:c>
      <x:c r="C2243" s="3" t="s">
        <x:v>387</x:v>
      </x:c>
      <x:c r="D2243" t="s">
        <x:v>679</x:v>
      </x:c>
      <x:c r="E2243" s="6">
        <x:v>185060.46000000002</x:v>
      </x:c>
      <x:c r="F2243" s="6">
        <x:v>0</x:v>
      </x:c>
      <x:c r="G2243" s="6">
        <x:v>0</x:v>
      </x:c>
      <x:c r="H2243" s="6">
        <x:f t="shared" si="110"/>
        <x:v>185060.46000000002</x:v>
      </x:c>
      <x:c r="I2243" s="6">
        <x:v>494262.87</x:v>
      </x:c>
      <x:c r="J2243" s="6">
        <x:v>0</x:v>
      </x:c>
      <x:c r="K2243" s="6">
        <x:f t="shared" si="111"/>
        <x:v>494262.87</x:v>
      </x:c>
      <x:c r="L2243" s="6">
        <x:v>138219.07999999999</x:v>
      </x:c>
      <x:c r="M2243" s="6">
        <x:v>5680.2400000000916</x:v>
      </x:c>
      <x:c r="N2243" s="6">
        <x:f t="shared" si="112"/>
        <x:v>823222.65000000014</x:v>
      </x:c>
    </x:row>
    <x:row r="2244" spans="1:14" x14ac:dyDescent="0.25">
      <x:c r="A2244" t="s">
        <x:v>33</x:v>
      </x:c>
      <x:c r="B2244" s="3" t="s">
        <x:v>335</x:v>
      </x:c>
      <x:c r="C2244" s="3" t="s">
        <x:v>650</x:v>
      </x:c>
      <x:c r="D2244" t="s">
        <x:v>679</x:v>
      </x:c>
      <x:c r="E2244" s="6">
        <x:v>66760.33</x:v>
      </x:c>
      <x:c r="F2244" s="6">
        <x:v>0</x:v>
      </x:c>
      <x:c r="G2244" s="6">
        <x:v>0</x:v>
      </x:c>
      <x:c r="H2244" s="6">
        <x:f t="shared" si="110"/>
        <x:v>66760.33</x:v>
      </x:c>
      <x:c r="I2244" s="6">
        <x:v>178304.71</x:v>
      </x:c>
      <x:c r="J2244" s="6">
        <x:v>0</x:v>
      </x:c>
      <x:c r="K2244" s="6">
        <x:f t="shared" si="111"/>
        <x:v>178304.71</x:v>
      </x:c>
      <x:c r="L2244" s="6">
        <x:v>49862.36</x:v>
      </x:c>
      <x:c r="M2244" s="6">
        <x:v>2049.1399999999967</x:v>
      </x:c>
      <x:c r="N2244" s="6">
        <x:f t="shared" si="112"/>
        <x:v>296976.53999999998</x:v>
      </x:c>
    </x:row>
    <x:row r="2245" spans="1:14" x14ac:dyDescent="0.25">
      <x:c r="A2245" t="s">
        <x:v>33</x:v>
      </x:c>
      <x:c r="B2245" s="3" t="s">
        <x:v>298</x:v>
      </x:c>
      <x:c r="C2245" s="3" t="s">
        <x:v>613</x:v>
      </x:c>
      <x:c r="D2245" t="s">
        <x:v>679</x:v>
      </x:c>
      <x:c r="E2245" s="6">
        <x:v>315139.28000000003</x:v>
      </x:c>
      <x:c r="F2245" s="6">
        <x:v>0</x:v>
      </x:c>
      <x:c r="G2245" s="6">
        <x:v>0</x:v>
      </x:c>
      <x:c r="H2245" s="6">
        <x:f t="shared" si="110"/>
        <x:v>315139.28000000003</x:v>
      </x:c>
      <x:c r="I2245" s="6">
        <x:v>841679.81</x:v>
      </x:c>
      <x:c r="J2245" s="6">
        <x:v>0</x:v>
      </x:c>
      <x:c r="K2245" s="6">
        <x:f t="shared" si="111"/>
        <x:v>841679.81</x:v>
      </x:c>
      <x:c r="L2245" s="6">
        <x:v>235373.15000000002</x:v>
      </x:c>
      <x:c r="M2245" s="6">
        <x:v>9672.8699999998971</x:v>
      </x:c>
      <x:c r="N2245" s="6">
        <x:f t="shared" si="112"/>
        <x:v>1401865.11</x:v>
      </x:c>
    </x:row>
    <x:row r="2246" spans="1:14" x14ac:dyDescent="0.25">
      <x:c r="A2246" t="s">
        <x:v>33</x:v>
      </x:c>
      <x:c r="B2246" s="3" t="s">
        <x:v>336</x:v>
      </x:c>
      <x:c r="C2246" s="3" t="s">
        <x:v>651</x:v>
      </x:c>
      <x:c r="D2246" t="s">
        <x:v>679</x:v>
      </x:c>
      <x:c r="E2246" s="6">
        <x:v>161828.97999999998</x:v>
      </x:c>
      <x:c r="F2246" s="6">
        <x:v>0</x:v>
      </x:c>
      <x:c r="G2246" s="6">
        <x:v>0</x:v>
      </x:c>
      <x:c r="H2246" s="6">
        <x:f t="shared" si="110"/>
        <x:v>161828.97999999998</x:v>
      </x:c>
      <x:c r="I2246" s="6">
        <x:v>432215.86000000004</x:v>
      </x:c>
      <x:c r="J2246" s="6">
        <x:v>0</x:v>
      </x:c>
      <x:c r="K2246" s="6">
        <x:f t="shared" si="111"/>
        <x:v>432215.86000000004</x:v>
      </x:c>
      <x:c r="L2246" s="6">
        <x:v>120867.81999999999</x:v>
      </x:c>
      <x:c r="M2246" s="6">
        <x:v>4967.1799999999985</x:v>
      </x:c>
      <x:c r="N2246" s="6">
        <x:f t="shared" si="112"/>
        <x:v>719879.84000000008</x:v>
      </x:c>
    </x:row>
    <x:row r="2247" spans="1:14" x14ac:dyDescent="0.25">
      <x:c r="A2247" t="s">
        <x:v>33</x:v>
      </x:c>
      <x:c r="B2247" s="3" t="s">
        <x:v>299</x:v>
      </x:c>
      <x:c r="C2247" s="3" t="s">
        <x:v>614</x:v>
      </x:c>
      <x:c r="D2247" t="s">
        <x:v>679</x:v>
      </x:c>
      <x:c r="E2247" s="6">
        <x:v>218811.49</x:v>
      </x:c>
      <x:c r="F2247" s="6">
        <x:v>0</x:v>
      </x:c>
      <x:c r="G2247" s="6">
        <x:v>0</x:v>
      </x:c>
      <x:c r="H2247" s="6">
        <x:f t="shared" si="110"/>
        <x:v>218811.49</x:v>
      </x:c>
      <x:c r="I2247" s="6">
        <x:v>584405.80999999994</x:v>
      </x:c>
      <x:c r="J2247" s="6">
        <x:v>0</x:v>
      </x:c>
      <x:c r="K2247" s="6">
        <x:f t="shared" si="111"/>
        <x:v>584405.80999999994</x:v>
      </x:c>
      <x:c r="L2247" s="6">
        <x:v>163427.26999999999</x:v>
      </x:c>
      <x:c r="M2247" s="6">
        <x:v>6716.2200000000339</x:v>
      </x:c>
      <x:c r="N2247" s="6">
        <x:f t="shared" si="112"/>
        <x:v>973360.79</x:v>
      </x:c>
    </x:row>
    <x:row r="2248" spans="1:14" x14ac:dyDescent="0.25">
      <x:c r="A2248" t="s">
        <x:v>33</x:v>
      </x:c>
      <x:c r="B2248" s="3" t="s">
        <x:v>300</x:v>
      </x:c>
      <x:c r="C2248" s="3" t="s">
        <x:v>615</x:v>
      </x:c>
      <x:c r="D2248" t="s">
        <x:v>679</x:v>
      </x:c>
      <x:c r="E2248" s="6">
        <x:v>143395.44</x:v>
      </x:c>
      <x:c r="F2248" s="6">
        <x:v>0</x:v>
      </x:c>
      <x:c r="G2248" s="6">
        <x:v>0</x:v>
      </x:c>
      <x:c r="H2248" s="6">
        <x:f t="shared" si="110"/>
        <x:v>143395.44</x:v>
      </x:c>
      <x:c r="I2248" s="6">
        <x:v>382983.2</x:v>
      </x:c>
      <x:c r="J2248" s="6">
        <x:v>0</x:v>
      </x:c>
      <x:c r="K2248" s="6">
        <x:f t="shared" si="111"/>
        <x:v>382983.2</x:v>
      </x:c>
      <x:c r="L2248" s="6">
        <x:v>107100.07</x:v>
      </x:c>
      <x:c r="M2248" s="6">
        <x:v>4401.3699999999371</x:v>
      </x:c>
      <x:c r="N2248" s="6">
        <x:f t="shared" si="112"/>
        <x:v>637880.07999999984</x:v>
      </x:c>
    </x:row>
    <x:row r="2249" spans="1:14" x14ac:dyDescent="0.25">
      <x:c r="A2249" t="s">
        <x:v>33</x:v>
      </x:c>
      <x:c r="B2249" s="3" t="s">
        <x:v>337</x:v>
      </x:c>
      <x:c r="C2249" s="3" t="s">
        <x:v>652</x:v>
      </x:c>
      <x:c r="D2249" t="s">
        <x:v>679</x:v>
      </x:c>
      <x:c r="E2249" s="6">
        <x:v>115924.06</x:v>
      </x:c>
      <x:c r="F2249" s="6">
        <x:v>0</x:v>
      </x:c>
      <x:c r="G2249" s="6">
        <x:v>0</x:v>
      </x:c>
      <x:c r="H2249" s="6">
        <x:f t="shared" si="110"/>
        <x:v>115924.06</x:v>
      </x:c>
      <x:c r="I2249" s="6">
        <x:v>309612.13</x:v>
      </x:c>
      <x:c r="J2249" s="6">
        <x:v>0</x:v>
      </x:c>
      <x:c r="K2249" s="6">
        <x:f t="shared" si="111"/>
        <x:v>309612.13</x:v>
      </x:c>
      <x:c r="L2249" s="6">
        <x:v>86582.07</x:v>
      </x:c>
      <x:c r="M2249" s="6">
        <x:v>3558.179999999993</x:v>
      </x:c>
      <x:c r="N2249" s="6">
        <x:f t="shared" si="112"/>
        <x:v>515676.44</x:v>
      </x:c>
    </x:row>
    <x:row r="2250" spans="1:14" x14ac:dyDescent="0.25">
      <x:c r="A2250" t="s">
        <x:v>33</x:v>
      </x:c>
      <x:c r="B2250" s="3" t="s">
        <x:v>338</x:v>
      </x:c>
      <x:c r="C2250" s="3" t="s">
        <x:v>653</x:v>
      </x:c>
      <x:c r="D2250" t="s">
        <x:v>679</x:v>
      </x:c>
      <x:c r="E2250" s="6">
        <x:v>64178.73</x:v>
      </x:c>
      <x:c r="F2250" s="6">
        <x:v>0</x:v>
      </x:c>
      <x:c r="G2250" s="6">
        <x:v>0</x:v>
      </x:c>
      <x:c r="H2250" s="6">
        <x:f t="shared" si="110"/>
        <x:v>64178.73</x:v>
      </x:c>
      <x:c r="I2250" s="6">
        <x:v>171409.72999999998</x:v>
      </x:c>
      <x:c r="J2250" s="6">
        <x:v>0</x:v>
      </x:c>
      <x:c r="K2250" s="6">
        <x:f t="shared" si="111"/>
        <x:v>171409.72999999998</x:v>
      </x:c>
      <x:c r="L2250" s="6">
        <x:v>47934.200000000004</x:v>
      </x:c>
      <x:c r="M2250" s="6">
        <x:v>1969.9000000000142</x:v>
      </x:c>
      <x:c r="N2250" s="6">
        <x:f t="shared" si="112"/>
        <x:v>285492.56</x:v>
      </x:c>
    </x:row>
    <x:row r="2251" spans="1:14" x14ac:dyDescent="0.25">
      <x:c r="A2251" t="s">
        <x:v>33</x:v>
      </x:c>
      <x:c r="B2251" s="3" t="s">
        <x:v>339</x:v>
      </x:c>
      <x:c r="C2251" s="3" t="s">
        <x:v>654</x:v>
      </x:c>
      <x:c r="D2251" t="s">
        <x:v>679</x:v>
      </x:c>
      <x:c r="E2251" s="6">
        <x:v>149851.62</x:v>
      </x:c>
      <x:c r="F2251" s="6">
        <x:v>0</x:v>
      </x:c>
      <x:c r="G2251" s="6">
        <x:v>0</x:v>
      </x:c>
      <x:c r="H2251" s="6">
        <x:f t="shared" si="110"/>
        <x:v>149851.62</x:v>
      </x:c>
      <x:c r="I2251" s="6">
        <x:v>400226.48</x:v>
      </x:c>
      <x:c r="J2251" s="6">
        <x:v>0</x:v>
      </x:c>
      <x:c r="K2251" s="6">
        <x:f t="shared" si="111"/>
        <x:v>400226.48</x:v>
      </x:c>
      <x:c r="L2251" s="6">
        <x:v>111922.09</x:v>
      </x:c>
      <x:c r="M2251" s="6">
        <x:v>4599.5400000000081</x:v>
      </x:c>
      <x:c r="N2251" s="6">
        <x:f t="shared" si="112"/>
        <x:v>666599.73</x:v>
      </x:c>
    </x:row>
    <x:row r="2252" spans="1:14" x14ac:dyDescent="0.25">
      <x:c r="A2252" t="s">
        <x:v>33</x:v>
      </x:c>
      <x:c r="B2252" s="3" t="s">
        <x:v>340</x:v>
      </x:c>
      <x:c r="C2252" s="3" t="s">
        <x:v>655</x:v>
      </x:c>
      <x:c r="D2252" t="s">
        <x:v>679</x:v>
      </x:c>
      <x:c r="E2252" s="6">
        <x:v>56290.76</x:v>
      </x:c>
      <x:c r="F2252" s="6">
        <x:v>0</x:v>
      </x:c>
      <x:c r="G2252" s="6">
        <x:v>0</x:v>
      </x:c>
      <x:c r="H2252" s="6">
        <x:f t="shared" si="110"/>
        <x:v>56290.76</x:v>
      </x:c>
      <x:c r="I2252" s="6">
        <x:v>150342.39999999999</x:v>
      </x:c>
      <x:c r="J2252" s="6">
        <x:v>0</x:v>
      </x:c>
      <x:c r="K2252" s="6">
        <x:f t="shared" si="111"/>
        <x:v>150342.39999999999</x:v>
      </x:c>
      <x:c r="L2252" s="6">
        <x:v>42042.79</x:v>
      </x:c>
      <x:c r="M2252" s="6">
        <x:v>1727.7800000000034</x:v>
      </x:c>
      <x:c r="N2252" s="6">
        <x:f t="shared" si="112"/>
        <x:v>250403.73</x:v>
      </x:c>
    </x:row>
    <x:row r="2253" spans="1:14" x14ac:dyDescent="0.25">
      <x:c r="A2253" t="s">
        <x:v>33</x:v>
      </x:c>
      <x:c r="B2253" s="3" t="s">
        <x:v>301</x:v>
      </x:c>
      <x:c r="C2253" s="3" t="s">
        <x:v>616</x:v>
      </x:c>
      <x:c r="D2253" t="s">
        <x:v>679</x:v>
      </x:c>
      <x:c r="E2253" s="6">
        <x:v>342673.80000000005</x:v>
      </x:c>
      <x:c r="F2253" s="6">
        <x:v>0</x:v>
      </x:c>
      <x:c r="G2253" s="6">
        <x:v>0</x:v>
      </x:c>
      <x:c r="H2253" s="6">
        <x:f t="shared" si="110"/>
        <x:v>342673.80000000005</x:v>
      </x:c>
      <x:c r="I2253" s="6">
        <x:v>915219.53999999992</x:v>
      </x:c>
      <x:c r="J2253" s="6">
        <x:v>0</x:v>
      </x:c>
      <x:c r="K2253" s="6">
        <x:f t="shared" si="111"/>
        <x:v>915219.53999999992</x:v>
      </x:c>
      <x:c r="L2253" s="6">
        <x:v>255938.31</x:v>
      </x:c>
      <x:c r="M2253" s="6">
        <x:v>10518.009999999878</x:v>
      </x:c>
      <x:c r="N2253" s="6">
        <x:f t="shared" si="112"/>
        <x:v>1524349.6599999997</x:v>
      </x:c>
    </x:row>
    <x:row r="2254" spans="1:14" x14ac:dyDescent="0.25">
      <x:c r="A2254" t="s">
        <x:v>33</x:v>
      </x:c>
      <x:c r="B2254" s="3" t="s">
        <x:v>341</x:v>
      </x:c>
      <x:c r="C2254" s="3" t="s">
        <x:v>656</x:v>
      </x:c>
      <x:c r="D2254" t="s">
        <x:v>679</x:v>
      </x:c>
      <x:c r="E2254" s="6">
        <x:v>119222.31999999999</x:v>
      </x:c>
      <x:c r="F2254" s="6">
        <x:v>0</x:v>
      </x:c>
      <x:c r="G2254" s="6">
        <x:v>0</x:v>
      </x:c>
      <x:c r="H2254" s="6">
        <x:f t="shared" si="110"/>
        <x:v>119222.31999999999</x:v>
      </x:c>
      <x:c r="I2254" s="6">
        <x:v>318421.17999999993</x:v>
      </x:c>
      <x:c r="J2254" s="6">
        <x:v>0</x:v>
      </x:c>
      <x:c r="K2254" s="6">
        <x:f t="shared" si="111"/>
        <x:v>318421.17999999993</x:v>
      </x:c>
      <x:c r="L2254" s="6">
        <x:v>89045.489999999991</x:v>
      </x:c>
      <x:c r="M2254" s="6">
        <x:v>3659.4000000000151</x:v>
      </x:c>
      <x:c r="N2254" s="6">
        <x:f t="shared" si="112"/>
        <x:v>530348.39</x:v>
      </x:c>
    </x:row>
    <x:row r="2255" spans="1:14" x14ac:dyDescent="0.25">
      <x:c r="A2255" t="s">
        <x:v>33</x:v>
      </x:c>
      <x:c r="B2255" s="3" t="s">
        <x:v>342</x:v>
      </x:c>
      <x:c r="C2255" s="3" t="s">
        <x:v>657</x:v>
      </x:c>
      <x:c r="D2255" t="s">
        <x:v>679</x:v>
      </x:c>
      <x:c r="E2255" s="6">
        <x:v>83868.240000000005</x:v>
      </x:c>
      <x:c r="F2255" s="6">
        <x:v>0</x:v>
      </x:c>
      <x:c r="G2255" s="6">
        <x:v>0</x:v>
      </x:c>
      <x:c r="H2255" s="6">
        <x:f t="shared" si="110"/>
        <x:v>83868.240000000005</x:v>
      </x:c>
      <x:c r="I2255" s="6">
        <x:v>223996.84</x:v>
      </x:c>
      <x:c r="J2255" s="6">
        <x:v>0</x:v>
      </x:c>
      <x:c r="K2255" s="6">
        <x:f t="shared" si="111"/>
        <x:v>223996.84</x:v>
      </x:c>
      <x:c r="L2255" s="6">
        <x:v>62640.02</x:v>
      </x:c>
      <x:c r="M2255" s="6">
        <x:v>2574.2499999999927</x:v>
      </x:c>
      <x:c r="N2255" s="6">
        <x:f t="shared" si="112"/>
        <x:v>373079.35000000003</x:v>
      </x:c>
    </x:row>
    <x:row r="2256" spans="1:14" x14ac:dyDescent="0.25">
      <x:c r="A2256" t="s">
        <x:v>33</x:v>
      </x:c>
      <x:c r="B2256" s="3" t="s">
        <x:v>343</x:v>
      </x:c>
      <x:c r="C2256" s="3" t="s">
        <x:v>658</x:v>
      </x:c>
      <x:c r="D2256" t="s">
        <x:v>679</x:v>
      </x:c>
      <x:c r="E2256" s="6">
        <x:v>126672.44</x:v>
      </x:c>
      <x:c r="F2256" s="6">
        <x:v>0</x:v>
      </x:c>
      <x:c r="G2256" s="6">
        <x:v>0</x:v>
      </x:c>
      <x:c r="H2256" s="6">
        <x:f t="shared" si="110"/>
        <x:v>126672.44</x:v>
      </x:c>
      <x:c r="I2256" s="6">
        <x:v>338319.11</x:v>
      </x:c>
      <x:c r="J2256" s="6">
        <x:v>0</x:v>
      </x:c>
      <x:c r="K2256" s="6">
        <x:f t="shared" si="111"/>
        <x:v>338319.11</x:v>
      </x:c>
      <x:c r="L2256" s="6">
        <x:v>94609.89</x:v>
      </x:c>
      <x:c r="M2256" s="6">
        <x:v>3888.0800000000309</x:v>
      </x:c>
      <x:c r="N2256" s="6">
        <x:f t="shared" si="112"/>
        <x:v>563489.52</x:v>
      </x:c>
    </x:row>
    <x:row r="2257" spans="1:14" x14ac:dyDescent="0.25">
      <x:c r="A2257" t="s">
        <x:v>33</x:v>
      </x:c>
      <x:c r="B2257" s="3" t="s">
        <x:v>344</x:v>
      </x:c>
      <x:c r="C2257" s="3" t="s">
        <x:v>659</x:v>
      </x:c>
      <x:c r="D2257" t="s">
        <x:v>679</x:v>
      </x:c>
      <x:c r="E2257" s="6">
        <x:v>168036.05</x:v>
      </x:c>
      <x:c r="F2257" s="6">
        <x:v>0</x:v>
      </x:c>
      <x:c r="G2257" s="6">
        <x:v>0</x:v>
      </x:c>
      <x:c r="H2257" s="6">
        <x:f t="shared" si="110"/>
        <x:v>168036.05</x:v>
      </x:c>
      <x:c r="I2257" s="6">
        <x:v>448793.80000000005</x:v>
      </x:c>
      <x:c r="J2257" s="6">
        <x:v>0</x:v>
      </x:c>
      <x:c r="K2257" s="6">
        <x:f t="shared" si="111"/>
        <x:v>448793.80000000005</x:v>
      </x:c>
      <x:c r="L2257" s="6">
        <x:v>125503.79999999999</x:v>
      </x:c>
      <x:c r="M2257" s="6">
        <x:v>5157.6899999999496</x:v>
      </x:c>
      <x:c r="N2257" s="6">
        <x:f t="shared" si="112"/>
        <x:v>747491.34000000008</x:v>
      </x:c>
    </x:row>
    <x:row r="2258" spans="1:14" x14ac:dyDescent="0.25">
      <x:c r="A2258" t="s">
        <x:v>33</x:v>
      </x:c>
      <x:c r="B2258" s="3" t="s">
        <x:v>302</x:v>
      </x:c>
      <x:c r="C2258" s="3" t="s">
        <x:v>617</x:v>
      </x:c>
      <x:c r="D2258" t="s">
        <x:v>679</x:v>
      </x:c>
      <x:c r="E2258" s="6">
        <x:v>356528.7</x:v>
      </x:c>
      <x:c r="F2258" s="6">
        <x:v>0</x:v>
      </x:c>
      <x:c r="G2258" s="6">
        <x:v>0</x:v>
      </x:c>
      <x:c r="H2258" s="6">
        <x:f t="shared" si="110"/>
        <x:v>356528.7</x:v>
      </x:c>
      <x:c r="I2258" s="6">
        <x:v>952223.46</x:v>
      </x:c>
      <x:c r="J2258" s="6">
        <x:v>0</x:v>
      </x:c>
      <x:c r="K2258" s="6">
        <x:f t="shared" si="111"/>
        <x:v>952223.46</x:v>
      </x:c>
      <x:c r="L2258" s="6">
        <x:v>266286.34000000003</x:v>
      </x:c>
      <x:c r="M2258" s="6">
        <x:v>10943.269999999862</x:v>
      </x:c>
      <x:c r="N2258" s="6">
        <x:f t="shared" si="112"/>
        <x:v>1585981.7699999998</x:v>
      </x:c>
    </x:row>
    <x:row r="2259" spans="1:14" x14ac:dyDescent="0.25">
      <x:c r="A2259" t="s">
        <x:v>33</x:v>
      </x:c>
      <x:c r="B2259" s="3" t="s">
        <x:v>345</x:v>
      </x:c>
      <x:c r="C2259" s="3" t="s">
        <x:v>660</x:v>
      </x:c>
      <x:c r="D2259" t="s">
        <x:v>679</x:v>
      </x:c>
      <x:c r="E2259" s="6">
        <x:v>116973.23</x:v>
      </x:c>
      <x:c r="F2259" s="6">
        <x:v>0</x:v>
      </x:c>
      <x:c r="G2259" s="6">
        <x:v>0</x:v>
      </x:c>
      <x:c r="H2259" s="6">
        <x:f t="shared" si="110"/>
        <x:v>116973.23</x:v>
      </x:c>
      <x:c r="I2259" s="6">
        <x:v>312414.26</x:v>
      </x:c>
      <x:c r="J2259" s="6">
        <x:v>0</x:v>
      </x:c>
      <x:c r="K2259" s="6">
        <x:f t="shared" si="111"/>
        <x:v>312414.26</x:v>
      </x:c>
      <x:c r="L2259" s="6">
        <x:v>87365.68</x:v>
      </x:c>
      <x:c r="M2259" s="6">
        <x:v>3590.370000000029</x:v>
      </x:c>
      <x:c r="N2259" s="6">
        <x:f t="shared" si="112"/>
        <x:v>520343.54000000004</x:v>
      </x:c>
    </x:row>
    <x:row r="2260" spans="1:14" x14ac:dyDescent="0.25">
      <x:c r="A2260" t="s">
        <x:v>33</x:v>
      </x:c>
      <x:c r="B2260" s="3" t="s">
        <x:v>269</x:v>
      </x:c>
      <x:c r="C2260" s="3" t="s">
        <x:v>584</x:v>
      </x:c>
      <x:c r="D2260" t="s">
        <x:v>676</x:v>
      </x:c>
      <x:c r="E2260" s="6">
        <x:v>0</x:v>
      </x:c>
      <x:c r="F2260" s="6">
        <x:v>0</x:v>
      </x:c>
      <x:c r="G2260" s="6">
        <x:v>0</x:v>
      </x:c>
      <x:c r="H2260" s="6">
        <x:f t="shared" si="110"/>
        <x:v>0</x:v>
      </x:c>
      <x:c r="I2260" s="6">
        <x:v>0</x:v>
      </x:c>
      <x:c r="J2260" s="6">
        <x:v>0</x:v>
      </x:c>
      <x:c r="K2260" s="6">
        <x:f t="shared" si="111"/>
        <x:v>0</x:v>
      </x:c>
      <x:c r="L2260" s="6">
        <x:v>112768.96000000001</x:v>
      </x:c>
      <x:c r="M2260" s="6">
        <x:v>0</x:v>
      </x:c>
      <x:c r="N2260" s="6">
        <x:f t="shared" si="112"/>
        <x:v>112768.96000000001</x:v>
      </x:c>
    </x:row>
    <x:row r="2261" spans="1:14" x14ac:dyDescent="0.25">
      <x:c r="A2261" t="s">
        <x:v>33</x:v>
      </x:c>
      <x:c r="B2261" s="3" t="s">
        <x:v>226</x:v>
      </x:c>
      <x:c r="C2261" s="3" t="s">
        <x:v>542</x:v>
      </x:c>
      <x:c r="D2261" t="s">
        <x:v>679</x:v>
      </x:c>
      <x:c r="E2261" s="6">
        <x:v>323363.87</x:v>
      </x:c>
      <x:c r="F2261" s="6">
        <x:v>0</x:v>
      </x:c>
      <x:c r="G2261" s="6">
        <x:v>0</x:v>
      </x:c>
      <x:c r="H2261" s="6">
        <x:f t="shared" si="110"/>
        <x:v>323363.87</x:v>
      </x:c>
      <x:c r="I2261" s="6">
        <x:v>863646.19000000006</x:v>
      </x:c>
      <x:c r="J2261" s="6">
        <x:v>0</x:v>
      </x:c>
      <x:c r="K2261" s="6">
        <x:f t="shared" si="111"/>
        <x:v>863646.19000000006</x:v>
      </x:c>
      <x:c r="L2261" s="6">
        <x:v>241515.99000000002</x:v>
      </x:c>
      <x:c r="M2261" s="6">
        <x:v>9925.3099999999467</x:v>
      </x:c>
      <x:c r="N2261" s="6">
        <x:f t="shared" si="112"/>
        <x:v>1438451.36</x:v>
      </x:c>
    </x:row>
    <x:row r="2262" spans="1:14" x14ac:dyDescent="0.25">
      <x:c r="A2262" t="s">
        <x:v>33</x:v>
      </x:c>
      <x:c r="B2262" s="3" t="s">
        <x:v>303</x:v>
      </x:c>
      <x:c r="C2262" s="3" t="s">
        <x:v>618</x:v>
      </x:c>
      <x:c r="D2262" t="s">
        <x:v>679</x:v>
      </x:c>
      <x:c r="E2262" s="6">
        <x:v>199700.66999999998</x:v>
      </x:c>
      <x:c r="F2262" s="6">
        <x:v>0</x:v>
      </x:c>
      <x:c r="G2262" s="6">
        <x:v>0</x:v>
      </x:c>
      <x:c r="H2262" s="6">
        <x:f t="shared" si="110"/>
        <x:v>199700.66999999998</x:v>
      </x:c>
      <x:c r="I2262" s="6">
        <x:v>533364.24000000011</x:v>
      </x:c>
      <x:c r="J2262" s="6">
        <x:v>0</x:v>
      </x:c>
      <x:c r="K2262" s="6">
        <x:f t="shared" si="111"/>
        <x:v>533364.24000000011</x:v>
      </x:c>
      <x:c r="L2262" s="6">
        <x:v>149153.66999999998</x:v>
      </x:c>
      <x:c r="M2262" s="6">
        <x:v>6129.5900000000402</x:v>
      </x:c>
      <x:c r="N2262" s="6">
        <x:f t="shared" si="112"/>
        <x:v>888348.17000000016</x:v>
      </x:c>
    </x:row>
    <x:row r="2263" spans="1:14" x14ac:dyDescent="0.25">
      <x:c r="A2263" t="s">
        <x:v>33</x:v>
      </x:c>
      <x:c r="B2263" s="3" t="s">
        <x:v>346</x:v>
      </x:c>
      <x:c r="C2263" s="3" t="s">
        <x:v>661</x:v>
      </x:c>
      <x:c r="D2263" t="s">
        <x:v>679</x:v>
      </x:c>
      <x:c r="E2263" s="6">
        <x:v>51907.749999999993</x:v>
      </x:c>
      <x:c r="F2263" s="6">
        <x:v>0</x:v>
      </x:c>
      <x:c r="G2263" s="6">
        <x:v>0</x:v>
      </x:c>
      <x:c r="H2263" s="6">
        <x:f t="shared" si="110"/>
        <x:v>51907.749999999993</x:v>
      </x:c>
      <x:c r="I2263" s="6">
        <x:v>138636.19</x:v>
      </x:c>
      <x:c r="J2263" s="6">
        <x:v>0</x:v>
      </x:c>
      <x:c r="K2263" s="6">
        <x:f t="shared" si="111"/>
        <x:v>138636.19</x:v>
      </x:c>
      <x:c r="L2263" s="6">
        <x:v>38769.18</x:v>
      </x:c>
      <x:c r="M2263" s="6">
        <x:v>1593.2499999999886</x:v>
      </x:c>
      <x:c r="N2263" s="6">
        <x:f t="shared" si="112"/>
        <x:v>230906.37</x:v>
      </x:c>
    </x:row>
    <x:row r="2264" spans="1:14" x14ac:dyDescent="0.25">
      <x:c r="A2264" t="s">
        <x:v>33</x:v>
      </x:c>
      <x:c r="B2264" s="3" t="s">
        <x:v>304</x:v>
      </x:c>
      <x:c r="C2264" s="3" t="s">
        <x:v>619</x:v>
      </x:c>
      <x:c r="D2264" t="s">
        <x:v>679</x:v>
      </x:c>
      <x:c r="E2264" s="6">
        <x:v>574023.1</x:v>
      </x:c>
      <x:c r="F2264" s="6">
        <x:v>0</x:v>
      </x:c>
      <x:c r="G2264" s="6">
        <x:v>0</x:v>
      </x:c>
      <x:c r="H2264" s="6">
        <x:f t="shared" si="110"/>
        <x:v>574023.1</x:v>
      </x:c>
      <x:c r="I2264" s="6">
        <x:v>1533111.52</x:v>
      </x:c>
      <x:c r="J2264" s="6">
        <x:v>0</x:v>
      </x:c>
      <x:c r="K2264" s="6">
        <x:f t="shared" si="111"/>
        <x:v>1533111.52</x:v>
      </x:c>
      <x:c r="L2264" s="6">
        <x:v>428729.89</x:v>
      </x:c>
      <x:c r="M2264" s="6">
        <x:v>17619.05000000005</x:v>
      </x:c>
      <x:c r="N2264" s="6">
        <x:f t="shared" si="112"/>
        <x:v>2553483.5600000005</x:v>
      </x:c>
    </x:row>
    <x:row r="2265" spans="1:14" x14ac:dyDescent="0.25">
      <x:c r="A2265" t="s">
        <x:v>33</x:v>
      </x:c>
      <x:c r="B2265" s="3" t="s">
        <x:v>347</x:v>
      </x:c>
      <x:c r="C2265" s="3" t="s">
        <x:v>662</x:v>
      </x:c>
      <x:c r="D2265" t="s">
        <x:v>679</x:v>
      </x:c>
      <x:c r="E2265" s="6">
        <x:v>53881</x:v>
      </x:c>
      <x:c r="F2265" s="6">
        <x:v>0</x:v>
      </x:c>
      <x:c r="G2265" s="6">
        <x:v>0</x:v>
      </x:c>
      <x:c r="H2265" s="6">
        <x:f t="shared" si="110"/>
        <x:v>53881</x:v>
      </x:c>
      <x:c r="I2265" s="6">
        <x:v>143906.38</x:v>
      </x:c>
      <x:c r="J2265" s="6">
        <x:v>0</x:v>
      </x:c>
      <x:c r="K2265" s="6">
        <x:f t="shared" si="111"/>
        <x:v>143906.38</x:v>
      </x:c>
      <x:c r="L2265" s="6">
        <x:v>40242.97</x:v>
      </x:c>
      <x:c r="M2265" s="6">
        <x:v>1653.820000000007</x:v>
      </x:c>
      <x:c r="N2265" s="6">
        <x:f t="shared" si="112"/>
        <x:v>239684.17</x:v>
      </x:c>
    </x:row>
    <x:row r="2266" spans="1:14" x14ac:dyDescent="0.25">
      <x:c r="A2266" t="s">
        <x:v>33</x:v>
      </x:c>
      <x:c r="B2266" s="3" t="s">
        <x:v>348</x:v>
      </x:c>
      <x:c r="C2266" s="3" t="s">
        <x:v>663</x:v>
      </x:c>
      <x:c r="D2266" t="s">
        <x:v>679</x:v>
      </x:c>
      <x:c r="E2266" s="6">
        <x:v>163628.29999999999</x:v>
      </x:c>
      <x:c r="F2266" s="6">
        <x:v>0</x:v>
      </x:c>
      <x:c r="G2266" s="6">
        <x:v>0</x:v>
      </x:c>
      <x:c r="H2266" s="6">
        <x:f t="shared" si="110"/>
        <x:v>163628.29999999999</x:v>
      </x:c>
      <x:c r="I2266" s="6">
        <x:v>437021.48000000004</x:v>
      </x:c>
      <x:c r="J2266" s="6">
        <x:v>0</x:v>
      </x:c>
      <x:c r="K2266" s="6">
        <x:f t="shared" si="111"/>
        <x:v>437021.48000000004</x:v>
      </x:c>
      <x:c r="L2266" s="6">
        <x:v>122211.71</x:v>
      </x:c>
      <x:c r="M2266" s="6">
        <x:v>5022.3999999999196</x:v>
      </x:c>
      <x:c r="N2266" s="6">
        <x:f t="shared" si="112"/>
        <x:v>727883.8899999999</x:v>
      </x:c>
    </x:row>
    <x:row r="2267" spans="1:14" x14ac:dyDescent="0.25">
      <x:c r="A2267" t="s">
        <x:v>33</x:v>
      </x:c>
      <x:c r="B2267" s="3" t="s">
        <x:v>349</x:v>
      </x:c>
      <x:c r="C2267" s="3" t="s">
        <x:v>664</x:v>
      </x:c>
      <x:c r="D2267" t="s">
        <x:v>679</x:v>
      </x:c>
      <x:c r="E2267" s="6">
        <x:v>852168.5</x:v>
      </x:c>
      <x:c r="F2267" s="6">
        <x:v>0</x:v>
      </x:c>
      <x:c r="G2267" s="6">
        <x:v>0</x:v>
      </x:c>
      <x:c r="H2267" s="6">
        <x:f t="shared" si="110"/>
        <x:v>852168.5</x:v>
      </x:c>
      <x:c r="I2267" s="6">
        <x:v>2275987.39</x:v>
      </x:c>
      <x:c r="J2267" s="6">
        <x:v>0</x:v>
      </x:c>
      <x:c r="K2267" s="6">
        <x:f t="shared" si="111"/>
        <x:v>2275987.39</x:v>
      </x:c>
      <x:c r="L2267" s="6">
        <x:v>636472.83000000007</x:v>
      </x:c>
      <x:c r="M2267" s="6">
        <x:v>26156.409999999603</x:v>
      </x:c>
      <x:c r="N2267" s="6">
        <x:f t="shared" si="112"/>
        <x:v>3790785.13</x:v>
      </x:c>
    </x:row>
    <x:row r="2268" spans="1:14" x14ac:dyDescent="0.25">
      <x:c r="A2268" t="s">
        <x:v>33</x:v>
      </x:c>
      <x:c r="B2268" t="s">
        <x:v>755</x:v>
      </x:c>
      <x:c r="C2268" t="s">
        <x:v>756</x:v>
      </x:c>
      <x:c r="D2268" t="s">
        <x:v>832</x:v>
      </x:c>
      <x:c r="E2268" s="6">
        <x:v>328600.68</x:v>
      </x:c>
      <x:c r="F2268" s="6">
        <x:v>0</x:v>
      </x:c>
      <x:c r="G2268" s="6">
        <x:v>0</x:v>
      </x:c>
      <x:c r="H2268" s="6">
        <x:f t="shared" si="110"/>
        <x:v>328600.68</x:v>
      </x:c>
      <x:c r="I2268" s="6">
        <x:v>0</x:v>
      </x:c>
      <x:c r="J2268" s="6">
        <x:v>0</x:v>
      </x:c>
      <x:c r="K2268" s="6">
        <x:f t="shared" si="111"/>
        <x:v>0</x:v>
      </x:c>
      <x:c r="L2268" s="6">
        <x:v>0</x:v>
      </x:c>
      <x:c r="M2268" s="6">
        <x:v>0</x:v>
      </x:c>
      <x:c r="N2268" s="6">
        <x:f t="shared" si="112"/>
        <x:v>328600.68</x:v>
      </x:c>
    </x:row>
    <x:row r="2269" spans="1:14" x14ac:dyDescent="0.25">
      <x:c r="A2269" t="s">
        <x:v>33</x:v>
      </x:c>
      <x:c r="B2269" t="s">
        <x:v>755</x:v>
      </x:c>
      <x:c r="C2269" t="s">
        <x:v>756</x:v>
      </x:c>
      <x:c r="D2269" t="s">
        <x:v>834</x:v>
      </x:c>
      <x:c r="E2269" s="6">
        <x:v>2388840.12</x:v>
      </x:c>
      <x:c r="F2269" s="6">
        <x:v>0</x:v>
      </x:c>
      <x:c r="G2269" s="6">
        <x:v>0</x:v>
      </x:c>
      <x:c r="H2269" s="6">
        <x:f t="shared" si="110"/>
        <x:v>2388840.12</x:v>
      </x:c>
      <x:c r="I2269" s="6">
        <x:v>478915.11</x:v>
      </x:c>
      <x:c r="J2269" s="6">
        <x:v>0</x:v>
      </x:c>
      <x:c r="K2269" s="6">
        <x:f t="shared" si="111"/>
        <x:v>478915.11</x:v>
      </x:c>
      <x:c r="L2269" s="6">
        <x:v>0</x:v>
      </x:c>
      <x:c r="M2269" s="6">
        <x:v>0</x:v>
      </x:c>
      <x:c r="N2269" s="6">
        <x:f t="shared" si="112"/>
        <x:v>2867755.23</x:v>
      </x:c>
    </x:row>
    <x:row r="2270" spans="1:14" x14ac:dyDescent="0.25">
      <x:c r="A2270" t="s">
        <x:v>33</x:v>
      </x:c>
      <x:c r="B2270" t="s">
        <x:v>757</x:v>
      </x:c>
      <x:c r="C2270" t="s">
        <x:v>758</x:v>
      </x:c>
      <x:c r="D2270" t="s">
        <x:v>676</x:v>
      </x:c>
      <x:c r="E2270" s="6">
        <x:v>165779.12</x:v>
      </x:c>
      <x:c r="F2270" s="6">
        <x:v>0</x:v>
      </x:c>
      <x:c r="G2270" s="6">
        <x:v>0</x:v>
      </x:c>
      <x:c r="H2270" s="6">
        <x:f t="shared" si="110"/>
        <x:v>165779.12</x:v>
      </x:c>
      <x:c r="I2270" s="6">
        <x:v>8120.78</x:v>
      </x:c>
      <x:c r="J2270" s="6">
        <x:v>0</x:v>
      </x:c>
      <x:c r="K2270" s="6">
        <x:f t="shared" si="111"/>
        <x:v>8120.78</x:v>
      </x:c>
      <x:c r="L2270" s="6">
        <x:v>0</x:v>
      </x:c>
      <x:c r="M2270" s="6">
        <x:v>0</x:v>
      </x:c>
      <x:c r="N2270" s="6">
        <x:f t="shared" si="112"/>
        <x:v>173899.9</x:v>
      </x:c>
    </x:row>
    <x:row r="2271" spans="1:14" x14ac:dyDescent="0.25">
      <x:c r="A2271" t="s">
        <x:v>33</x:v>
      </x:c>
      <x:c r="B2271" t="s">
        <x:v>821</x:v>
      </x:c>
      <x:c r="C2271" t="s">
        <x:v>822</x:v>
      </x:c>
      <x:c r="D2271" t="s">
        <x:v>832</x:v>
      </x:c>
      <x:c r="E2271" s="6">
        <x:v>99971.49</x:v>
      </x:c>
      <x:c r="F2271" s="6">
        <x:v>0</x:v>
      </x:c>
      <x:c r="G2271" s="6">
        <x:v>0</x:v>
      </x:c>
      <x:c r="H2271" s="6">
        <x:f t="shared" ref="H2271:H2334" si="113">SUM(E2271:G2271)</x:f>
        <x:v>99971.49</x:v>
      </x:c>
      <x:c r="I2271" s="6">
        <x:v>0</x:v>
      </x:c>
      <x:c r="J2271" s="6">
        <x:v>0</x:v>
      </x:c>
      <x:c r="K2271" s="6">
        <x:f t="shared" ref="K2271:K2334" si="114">SUM(I2271:J2271)</x:f>
        <x:v>0</x:v>
      </x:c>
      <x:c r="L2271" s="6">
        <x:v>0</x:v>
      </x:c>
      <x:c r="M2271" s="6">
        <x:v>0</x:v>
      </x:c>
      <x:c r="N2271" s="6">
        <x:f t="shared" ref="N2271:N2334" si="115">+E2271+F2271+G2271+I2271+J2271+L2271+M2271</x:f>
        <x:v>99971.49</x:v>
      </x:c>
    </x:row>
    <x:row r="2272" spans="1:14" x14ac:dyDescent="0.25">
      <x:c r="A2272" t="s">
        <x:v>33</x:v>
      </x:c>
      <x:c r="B2272" t="s">
        <x:v>823</x:v>
      </x:c>
      <x:c r="C2272" t="s">
        <x:v>621</x:v>
      </x:c>
      <x:c r="D2272" t="s">
        <x:v>834</x:v>
      </x:c>
      <x:c r="E2272" s="6">
        <x:v>323049.09000000003</x:v>
      </x:c>
      <x:c r="F2272" s="6">
        <x:v>0</x:v>
      </x:c>
      <x:c r="G2272" s="6">
        <x:v>0</x:v>
      </x:c>
      <x:c r="H2272" s="6">
        <x:f t="shared" si="113"/>
        <x:v>323049.09000000003</x:v>
      </x:c>
      <x:c r="I2272" s="6">
        <x:v>64764.94</x:v>
      </x:c>
      <x:c r="J2272" s="6">
        <x:v>0</x:v>
      </x:c>
      <x:c r="K2272" s="6">
        <x:f t="shared" si="114"/>
        <x:v>64764.94</x:v>
      </x:c>
      <x:c r="L2272" s="6">
        <x:v>0</x:v>
      </x:c>
      <x:c r="M2272" s="6">
        <x:v>0</x:v>
      </x:c>
      <x:c r="N2272" s="6">
        <x:f t="shared" si="115"/>
        <x:v>387814.03</x:v>
      </x:c>
    </x:row>
    <x:row r="2273" spans="1:14" x14ac:dyDescent="0.25">
      <x:c r="A2273" t="s">
        <x:v>33</x:v>
      </x:c>
      <x:c r="B2273" t="s">
        <x:v>813</x:v>
      </x:c>
      <x:c r="C2273" t="s">
        <x:v>814</x:v>
      </x:c>
      <x:c r="D2273" t="s">
        <x:v>676</x:v>
      </x:c>
      <x:c r="E2273" s="6">
        <x:v>323498.61</x:v>
      </x:c>
      <x:c r="F2273" s="6">
        <x:v>0</x:v>
      </x:c>
      <x:c r="G2273" s="6">
        <x:v>0</x:v>
      </x:c>
      <x:c r="H2273" s="6">
        <x:f t="shared" si="113"/>
        <x:v>323498.61</x:v>
      </x:c>
      <x:c r="I2273" s="6">
        <x:v>0</x:v>
      </x:c>
      <x:c r="J2273" s="6">
        <x:v>0</x:v>
      </x:c>
      <x:c r="K2273" s="6">
        <x:f t="shared" si="114"/>
        <x:v>0</x:v>
      </x:c>
      <x:c r="L2273" s="6">
        <x:v>0</x:v>
      </x:c>
      <x:c r="M2273" s="6">
        <x:v>0</x:v>
      </x:c>
      <x:c r="N2273" s="6">
        <x:f t="shared" si="115"/>
        <x:v>323498.61</x:v>
      </x:c>
    </x:row>
    <x:row r="2274" spans="1:14" x14ac:dyDescent="0.25">
      <x:c r="A2274" t="s">
        <x:v>33</x:v>
      </x:c>
      <x:c r="B2274" t="s">
        <x:v>815</x:v>
      </x:c>
      <x:c r="C2274" t="s">
        <x:v>558</x:v>
      </x:c>
      <x:c r="D2274" t="s">
        <x:v>676</x:v>
      </x:c>
      <x:c r="E2274" s="6">
        <x:v>616118.32999999996</x:v>
      </x:c>
      <x:c r="F2274" s="6">
        <x:v>0</x:v>
      </x:c>
      <x:c r="G2274" s="6">
        <x:v>0</x:v>
      </x:c>
      <x:c r="H2274" s="6">
        <x:f t="shared" si="113"/>
        <x:v>616118.32999999996</x:v>
      </x:c>
      <x:c r="I2274" s="6">
        <x:v>0</x:v>
      </x:c>
      <x:c r="J2274" s="6">
        <x:v>0</x:v>
      </x:c>
      <x:c r="K2274" s="6">
        <x:f t="shared" si="114"/>
        <x:v>0</x:v>
      </x:c>
      <x:c r="L2274" s="6">
        <x:v>0</x:v>
      </x:c>
      <x:c r="M2274" s="6">
        <x:v>0</x:v>
      </x:c>
      <x:c r="N2274" s="6">
        <x:f t="shared" si="115"/>
        <x:v>616118.32999999996</x:v>
      </x:c>
    </x:row>
    <x:row r="2275" spans="1:14" x14ac:dyDescent="0.25">
      <x:c r="A2275" t="s">
        <x:v>33</x:v>
      </x:c>
      <x:c r="B2275" t="s">
        <x:v>819</x:v>
      </x:c>
      <x:c r="C2275" t="s">
        <x:v>820</x:v>
      </x:c>
      <x:c r="D2275" t="s">
        <x:v>676</x:v>
      </x:c>
      <x:c r="E2275" s="6">
        <x:v>0</x:v>
      </x:c>
      <x:c r="F2275" s="6">
        <x:v>0</x:v>
      </x:c>
      <x:c r="G2275" s="6">
        <x:v>0</x:v>
      </x:c>
      <x:c r="H2275" s="6">
        <x:f t="shared" si="113"/>
        <x:v>0</x:v>
      </x:c>
      <x:c r="I2275" s="6">
        <x:v>141625.87999999998</x:v>
      </x:c>
      <x:c r="J2275" s="6">
        <x:v>0</x:v>
      </x:c>
      <x:c r="K2275" s="6">
        <x:f t="shared" si="114"/>
        <x:v>141625.87999999998</x:v>
      </x:c>
      <x:c r="L2275" s="6">
        <x:v>0</x:v>
      </x:c>
      <x:c r="M2275" s="6">
        <x:v>0</x:v>
      </x:c>
      <x:c r="N2275" s="6">
        <x:f t="shared" si="115"/>
        <x:v>141625.87999999998</x:v>
      </x:c>
    </x:row>
    <x:row r="2276" spans="1:14" x14ac:dyDescent="0.25">
      <x:c r="A2276" t="s">
        <x:v>33</x:v>
      </x:c>
      <x:c r="B2276" t="s">
        <x:v>824</x:v>
      </x:c>
      <x:c r="C2276" t="s">
        <x:v>622</x:v>
      </x:c>
      <x:c r="D2276" t="s">
        <x:v>834</x:v>
      </x:c>
      <x:c r="E2276" s="6">
        <x:v>200550.16</x:v>
      </x:c>
      <x:c r="F2276" s="6">
        <x:v>0</x:v>
      </x:c>
      <x:c r="G2276" s="6">
        <x:v>0</x:v>
      </x:c>
      <x:c r="H2276" s="6">
        <x:f t="shared" si="113"/>
        <x:v>200550.16</x:v>
      </x:c>
      <x:c r="I2276" s="6">
        <x:v>40206.339999999997</x:v>
      </x:c>
      <x:c r="J2276" s="6">
        <x:v>0</x:v>
      </x:c>
      <x:c r="K2276" s="6">
        <x:f t="shared" si="114"/>
        <x:v>40206.339999999997</x:v>
      </x:c>
      <x:c r="L2276" s="6">
        <x:v>0</x:v>
      </x:c>
      <x:c r="M2276" s="6">
        <x:v>0</x:v>
      </x:c>
      <x:c r="N2276" s="6">
        <x:f t="shared" si="115"/>
        <x:v>240756.5</x:v>
      </x:c>
    </x:row>
    <x:row r="2277" spans="1:14" x14ac:dyDescent="0.25">
      <x:c r="A2277" t="s">
        <x:v>33</x:v>
      </x:c>
      <x:c r="B2277" s="3" t="s">
        <x:v>350</x:v>
      </x:c>
      <x:c r="C2277" s="3" t="s">
        <x:v>665</x:v>
      </x:c>
      <x:c r="D2277" t="s">
        <x:v>679</x:v>
      </x:c>
      <x:c r="E2277" s="6">
        <x:v>426171.26</x:v>
      </x:c>
      <x:c r="F2277" s="6">
        <x:v>0</x:v>
      </x:c>
      <x:c r="G2277" s="6">
        <x:v>0</x:v>
      </x:c>
      <x:c r="H2277" s="6">
        <x:f t="shared" si="113"/>
        <x:v>426171.26</x:v>
      </x:c>
      <x:c r="I2277" s="6">
        <x:v>1138226.0999999999</x:v>
      </x:c>
      <x:c r="J2277" s="6">
        <x:v>0</x:v>
      </x:c>
      <x:c r="K2277" s="6">
        <x:f t="shared" si="114"/>
        <x:v>1138226.0999999999</x:v>
      </x:c>
      <x:c r="L2277" s="6">
        <x:v>318301.41000000003</x:v>
      </x:c>
      <x:c r="M2277" s="6">
        <x:v>13080.869999999892</x:v>
      </x:c>
      <x:c r="N2277" s="6">
        <x:f t="shared" si="115"/>
        <x:v>1895779.64</x:v>
      </x:c>
    </x:row>
    <x:row r="2278" spans="1:14" x14ac:dyDescent="0.25">
      <x:c r="A2278" t="s">
        <x:v>33</x:v>
      </x:c>
      <x:c r="B2278" s="3" t="s">
        <x:v>305</x:v>
      </x:c>
      <x:c r="C2278" s="3" t="s">
        <x:v>620</x:v>
      </x:c>
      <x:c r="D2278" t="s">
        <x:v>679</x:v>
      </x:c>
      <x:c r="E2278" s="6">
        <x:v>1009229.4100000001</x:v>
      </x:c>
      <x:c r="F2278" s="6">
        <x:v>0</x:v>
      </x:c>
      <x:c r="G2278" s="6">
        <x:v>0</x:v>
      </x:c>
      <x:c r="H2278" s="6">
        <x:f t="shared" si="113"/>
        <x:v>1009229.4100000001</x:v>
      </x:c>
      <x:c r="I2278" s="6">
        <x:v>2695468.59</x:v>
      </x:c>
      <x:c r="J2278" s="6">
        <x:v>0</x:v>
      </x:c>
      <x:c r="K2278" s="6">
        <x:f t="shared" si="114"/>
        <x:v>2695468.59</x:v>
      </x:c>
      <x:c r="L2278" s="6">
        <x:v>753779.44</x:v>
      </x:c>
      <x:c r="M2278" s="6">
        <x:v>30977.239999999903</x:v>
      </x:c>
      <x:c r="N2278" s="6">
        <x:f t="shared" si="115"/>
        <x:v>4489454.68</x:v>
      </x:c>
    </x:row>
    <x:row r="2279" spans="1:14" x14ac:dyDescent="0.25">
      <x:c r="A2279" t="s">
        <x:v>33</x:v>
      </x:c>
      <x:c r="B2279" s="3" t="s">
        <x:v>306</x:v>
      </x:c>
      <x:c r="C2279" s="3" t="s">
        <x:v>621</x:v>
      </x:c>
      <x:c r="D2279" t="s">
        <x:v>679</x:v>
      </x:c>
      <x:c r="E2279" s="6">
        <x:v>70646.34</x:v>
      </x:c>
      <x:c r="F2279" s="6">
        <x:v>0</x:v>
      </x:c>
      <x:c r="G2279" s="6">
        <x:v>0</x:v>
      </x:c>
      <x:c r="H2279" s="6">
        <x:f t="shared" si="113"/>
        <x:v>70646.34</x:v>
      </x:c>
      <x:c r="I2279" s="6">
        <x:v>188683.54</x:v>
      </x:c>
      <x:c r="J2279" s="6">
        <x:v>0</x:v>
      </x:c>
      <x:c r="K2279" s="6">
        <x:f t="shared" si="114"/>
        <x:v>188683.54</x:v>
      </x:c>
      <x:c r="L2279" s="6">
        <x:v>52764.76</x:v>
      </x:c>
      <x:c r="M2279" s="6">
        <x:v>2168.410000000023</x:v>
      </x:c>
      <x:c r="N2279" s="6">
        <x:f t="shared" si="115"/>
        <x:v>314263.05000000005</x:v>
      </x:c>
    </x:row>
    <x:row r="2280" spans="1:14" x14ac:dyDescent="0.25">
      <x:c r="A2280" t="s">
        <x:v>33</x:v>
      </x:c>
      <x:c r="B2280" s="3" t="s">
        <x:v>351</x:v>
      </x:c>
      <x:c r="C2280" s="3" t="s">
        <x:v>666</x:v>
      </x:c>
      <x:c r="D2280" t="s">
        <x:v>679</x:v>
      </x:c>
      <x:c r="E2280" s="6">
        <x:v>54470.9</x:v>
      </x:c>
      <x:c r="F2280" s="6">
        <x:v>0</x:v>
      </x:c>
      <x:c r="G2280" s="6">
        <x:v>0</x:v>
      </x:c>
      <x:c r="H2280" s="6">
        <x:f t="shared" si="113"/>
        <x:v>54470.9</x:v>
      </x:c>
      <x:c r="I2280" s="6">
        <x:v>145481.89000000001</x:v>
      </x:c>
      <x:c r="J2280" s="6">
        <x:v>0</x:v>
      </x:c>
      <x:c r="K2280" s="6">
        <x:f t="shared" si="114"/>
        <x:v>145481.89000000001</x:v>
      </x:c>
      <x:c r="L2280" s="6">
        <x:v>40683.550000000003</x:v>
      </x:c>
      <x:c r="M2280" s="6">
        <x:v>1671.9300000000208</x:v>
      </x:c>
      <x:c r="N2280" s="6">
        <x:f t="shared" si="115"/>
        <x:v>242308.27000000005</x:v>
      </x:c>
    </x:row>
    <x:row r="2281" spans="1:14" x14ac:dyDescent="0.25">
      <x:c r="A2281" t="s">
        <x:v>33</x:v>
      </x:c>
      <x:c r="B2281" s="3" t="s">
        <x:v>243</x:v>
      </x:c>
      <x:c r="C2281" s="3" t="s">
        <x:v>558</x:v>
      </x:c>
      <x:c r="D2281" t="s">
        <x:v>676</x:v>
      </x:c>
      <x:c r="E2281" s="6">
        <x:v>0</x:v>
      </x:c>
      <x:c r="F2281" s="6">
        <x:v>0</x:v>
      </x:c>
      <x:c r="G2281" s="6">
        <x:v>0</x:v>
      </x:c>
      <x:c r="H2281" s="6">
        <x:f t="shared" si="113"/>
        <x:v>0</x:v>
      </x:c>
      <x:c r="I2281" s="6">
        <x:v>1436780.45</x:v>
      </x:c>
      <x:c r="J2281" s="6">
        <x:v>0</x:v>
      </x:c>
      <x:c r="K2281" s="6">
        <x:f t="shared" si="114"/>
        <x:v>1436780.45</x:v>
      </x:c>
      <x:c r="L2281" s="6">
        <x:v>0</x:v>
      </x:c>
      <x:c r="M2281" s="6">
        <x:v>0</x:v>
      </x:c>
      <x:c r="N2281" s="6">
        <x:f t="shared" si="115"/>
        <x:v>1436780.45</x:v>
      </x:c>
    </x:row>
    <x:row r="2282" spans="1:14" x14ac:dyDescent="0.25">
      <x:c r="A2282" t="s">
        <x:v>33</x:v>
      </x:c>
      <x:c r="B2282" s="3" t="s">
        <x:v>307</x:v>
      </x:c>
      <x:c r="C2282" s="3" t="s">
        <x:v>622</x:v>
      </x:c>
      <x:c r="D2282" t="s">
        <x:v>679</x:v>
      </x:c>
      <x:c r="E2282" s="6">
        <x:v>153539.77000000002</x:v>
      </x:c>
      <x:c r="F2282" s="6">
        <x:v>0</x:v>
      </x:c>
      <x:c r="G2282" s="6">
        <x:v>0</x:v>
      </x:c>
      <x:c r="H2282" s="6">
        <x:f t="shared" si="113"/>
        <x:v>153539.77000000002</x:v>
      </x:c>
      <x:c r="I2282" s="6">
        <x:v>410076.85</x:v>
      </x:c>
      <x:c r="J2282" s="6">
        <x:v>0</x:v>
      </x:c>
      <x:c r="K2282" s="6">
        <x:f t="shared" si="114"/>
        <x:v>410076.85</x:v>
      </x:c>
      <x:c r="L2282" s="6">
        <x:v>114676.72</x:v>
      </x:c>
      <x:c r="M2282" s="6">
        <x:v>4712.7400000000389</x:v>
      </x:c>
      <x:c r="N2282" s="6">
        <x:f t="shared" si="115"/>
        <x:v>683006.08</x:v>
      </x:c>
    </x:row>
    <x:row r="2283" spans="1:14" x14ac:dyDescent="0.25">
      <x:c r="A2283" t="s">
        <x:v>33</x:v>
      </x:c>
      <x:c r="B2283" s="3" t="s">
        <x:v>308</x:v>
      </x:c>
      <x:c r="C2283" s="3" t="s">
        <x:v>623</x:v>
      </x:c>
      <x:c r="D2283" t="s">
        <x:v>679</x:v>
      </x:c>
      <x:c r="E2283" s="6">
        <x:v>372131.87</x:v>
      </x:c>
      <x:c r="F2283" s="6">
        <x:v>0</x:v>
      </x:c>
      <x:c r="G2283" s="6">
        <x:v>0</x:v>
      </x:c>
      <x:c r="H2283" s="6">
        <x:f t="shared" si="113"/>
        <x:v>372131.87</x:v>
      </x:c>
      <x:c r="I2283" s="6">
        <x:v>993896.68</x:v>
      </x:c>
      <x:c r="J2283" s="6">
        <x:v>0</x:v>
      </x:c>
      <x:c r="K2283" s="6">
        <x:f t="shared" si="114"/>
        <x:v>993896.68</x:v>
      </x:c>
      <x:c r="L2283" s="6">
        <x:v>277940.13</x:v>
      </x:c>
      <x:c r="M2283" s="6">
        <x:v>11422.199999999721</x:v>
      </x:c>
      <x:c r="N2283" s="6">
        <x:f t="shared" si="115"/>
        <x:v>1655390.88</x:v>
      </x:c>
    </x:row>
    <x:row r="2284" spans="1:14" x14ac:dyDescent="0.25">
      <x:c r="A2284" t="s">
        <x:v>34</x:v>
      </x:c>
      <x:c r="B2284" s="3" t="s">
        <x:v>71</x:v>
      </x:c>
      <x:c r="C2284" s="3" t="s">
        <x:v>388</x:v>
      </x:c>
      <x:c r="D2284" t="s">
        <x:v>676</x:v>
      </x:c>
      <x:c r="E2284" s="6">
        <x:v>0</x:v>
      </x:c>
      <x:c r="F2284" s="6">
        <x:v>0</x:v>
      </x:c>
      <x:c r="G2284" s="6">
        <x:v>0</x:v>
      </x:c>
      <x:c r="H2284" s="6">
        <x:f t="shared" si="113"/>
        <x:v>0</x:v>
      </x:c>
      <x:c r="I2284" s="6">
        <x:v>2456.88</x:v>
      </x:c>
      <x:c r="J2284" s="6">
        <x:v>0</x:v>
      </x:c>
      <x:c r="K2284" s="6">
        <x:f t="shared" si="114"/>
        <x:v>2456.88</x:v>
      </x:c>
      <x:c r="L2284" s="6">
        <x:v>0</x:v>
      </x:c>
      <x:c r="M2284" s="6">
        <x:v>0</x:v>
      </x:c>
      <x:c r="N2284" s="6">
        <x:f t="shared" si="115"/>
        <x:v>2456.88</x:v>
      </x:c>
    </x:row>
    <x:row r="2285" spans="1:14" x14ac:dyDescent="0.25">
      <x:c r="A2285" t="s">
        <x:v>34</x:v>
      </x:c>
      <x:c r="B2285" s="3" t="s">
        <x:v>244</x:v>
      </x:c>
      <x:c r="C2285" s="3" t="s">
        <x:v>559</x:v>
      </x:c>
      <x:c r="D2285" t="s">
        <x:v>676</x:v>
      </x:c>
      <x:c r="E2285" s="6">
        <x:v>0</x:v>
      </x:c>
      <x:c r="F2285" s="6">
        <x:v>0</x:v>
      </x:c>
      <x:c r="G2285" s="6">
        <x:v>0</x:v>
      </x:c>
      <x:c r="H2285" s="6">
        <x:f t="shared" si="113"/>
        <x:v>0</x:v>
      </x:c>
      <x:c r="I2285" s="6">
        <x:v>4552.88</x:v>
      </x:c>
      <x:c r="J2285" s="6">
        <x:v>0</x:v>
      </x:c>
      <x:c r="K2285" s="6">
        <x:f t="shared" si="114"/>
        <x:v>4552.88</x:v>
      </x:c>
      <x:c r="L2285" s="6">
        <x:v>0</x:v>
      </x:c>
      <x:c r="M2285" s="6">
        <x:v>0</x:v>
      </x:c>
      <x:c r="N2285" s="6">
        <x:f t="shared" si="115"/>
        <x:v>4552.88</x:v>
      </x:c>
    </x:row>
    <x:row r="2286" spans="1:14" x14ac:dyDescent="0.25">
      <x:c r="A2286" t="s">
        <x:v>34</x:v>
      </x:c>
      <x:c r="B2286" s="3" t="s">
        <x:v>352</x:v>
      </x:c>
      <x:c r="C2286" s="3" t="s">
        <x:v>667</x:v>
      </x:c>
      <x:c r="D2286" t="s">
        <x:v>679</x:v>
      </x:c>
      <x:c r="E2286" s="6">
        <x:v>1053.42</x:v>
      </x:c>
      <x:c r="F2286" s="6">
        <x:v>0</x:v>
      </x:c>
      <x:c r="G2286" s="6">
        <x:v>0</x:v>
      </x:c>
      <x:c r="H2286" s="6">
        <x:f t="shared" si="113"/>
        <x:v>1053.42</x:v>
      </x:c>
      <x:c r="I2286" s="6">
        <x:v>2813.48</x:v>
      </x:c>
      <x:c r="J2286" s="6">
        <x:v>0</x:v>
      </x:c>
      <x:c r="K2286" s="6">
        <x:f t="shared" si="114"/>
        <x:v>2813.48</x:v>
      </x:c>
      <x:c r="L2286" s="6">
        <x:v>786.78</x:v>
      </x:c>
      <x:c r="M2286" s="6">
        <x:v>32.340000000000089</x:v>
      </x:c>
      <x:c r="N2286" s="6">
        <x:f t="shared" si="115"/>
        <x:v>4686.0200000000004</x:v>
      </x:c>
    </x:row>
    <x:row r="2287" spans="1:14" x14ac:dyDescent="0.25">
      <x:c r="A2287" t="s">
        <x:v>34</x:v>
      </x:c>
      <x:c r="B2287" s="3" t="s">
        <x:v>270</x:v>
      </x:c>
      <x:c r="C2287" s="3" t="s">
        <x:v>585</x:v>
      </x:c>
      <x:c r="D2287" t="s">
        <x:v>676</x:v>
      </x:c>
      <x:c r="E2287" s="6">
        <x:v>0</x:v>
      </x:c>
      <x:c r="F2287" s="6">
        <x:v>0</x:v>
      </x:c>
      <x:c r="G2287" s="6">
        <x:v>0</x:v>
      </x:c>
      <x:c r="H2287" s="6">
        <x:f t="shared" si="113"/>
        <x:v>0</x:v>
      </x:c>
      <x:c r="I2287" s="6">
        <x:v>3700.6499999999996</x:v>
      </x:c>
      <x:c r="J2287" s="6">
        <x:v>0</x:v>
      </x:c>
      <x:c r="K2287" s="6">
        <x:f t="shared" si="114"/>
        <x:v>3700.6499999999996</x:v>
      </x:c>
      <x:c r="L2287" s="6">
        <x:v>0</x:v>
      </x:c>
      <x:c r="M2287" s="6">
        <x:v>0</x:v>
      </x:c>
      <x:c r="N2287" s="6">
        <x:f t="shared" si="115"/>
        <x:v>3700.6499999999996</x:v>
      </x:c>
    </x:row>
    <x:row r="2288" spans="1:14" x14ac:dyDescent="0.25">
      <x:c r="A2288" t="s">
        <x:v>34</x:v>
      </x:c>
      <x:c r="B2288" s="3" t="s">
        <x:v>271</x:v>
      </x:c>
      <x:c r="C2288" s="3" t="s">
        <x:v>586</x:v>
      </x:c>
      <x:c r="D2288" t="s">
        <x:v>676</x:v>
      </x:c>
      <x:c r="E2288" s="6">
        <x:v>0</x:v>
      </x:c>
      <x:c r="F2288" s="6">
        <x:v>0</x:v>
      </x:c>
      <x:c r="G2288" s="6">
        <x:v>0</x:v>
      </x:c>
      <x:c r="H2288" s="6">
        <x:f t="shared" si="113"/>
        <x:v>0</x:v>
      </x:c>
      <x:c r="I2288" s="6">
        <x:v>-3183.38</x:v>
      </x:c>
      <x:c r="J2288" s="6">
        <x:v>0</x:v>
      </x:c>
      <x:c r="K2288" s="6">
        <x:f t="shared" si="114"/>
        <x:v>-3183.38</x:v>
      </x:c>
      <x:c r="L2288" s="6">
        <x:v>0</x:v>
      </x:c>
      <x:c r="M2288" s="6">
        <x:v>0</x:v>
      </x:c>
      <x:c r="N2288" s="6">
        <x:f t="shared" si="115"/>
        <x:v>-3183.38</x:v>
      </x:c>
    </x:row>
    <x:row r="2289" spans="1:14" x14ac:dyDescent="0.25">
      <x:c r="A2289" t="s">
        <x:v>34</x:v>
      </x:c>
      <x:c r="B2289" s="3" t="s">
        <x:v>272</x:v>
      </x:c>
      <x:c r="C2289" s="3" t="s">
        <x:v>587</x:v>
      </x:c>
      <x:c r="D2289" t="s">
        <x:v>676</x:v>
      </x:c>
      <x:c r="E2289" s="6">
        <x:v>0</x:v>
      </x:c>
      <x:c r="F2289" s="6">
        <x:v>0</x:v>
      </x:c>
      <x:c r="G2289" s="6">
        <x:v>0</x:v>
      </x:c>
      <x:c r="H2289" s="6">
        <x:f t="shared" si="113"/>
        <x:v>0</x:v>
      </x:c>
      <x:c r="I2289" s="6">
        <x:v>390.61</x:v>
      </x:c>
      <x:c r="J2289" s="6">
        <x:v>0</x:v>
      </x:c>
      <x:c r="K2289" s="6">
        <x:f t="shared" si="114"/>
        <x:v>390.61</x:v>
      </x:c>
      <x:c r="L2289" s="6">
        <x:v>0</x:v>
      </x:c>
      <x:c r="M2289" s="6">
        <x:v>0</x:v>
      </x:c>
      <x:c r="N2289" s="6">
        <x:f t="shared" si="115"/>
        <x:v>390.61</x:v>
      </x:c>
    </x:row>
    <x:row r="2290" spans="1:14" x14ac:dyDescent="0.25">
      <x:c r="A2290" t="s">
        <x:v>34</x:v>
      </x:c>
      <x:c r="B2290" s="3" t="s">
        <x:v>52</x:v>
      </x:c>
      <x:c r="C2290" s="3" t="s">
        <x:v>369</x:v>
      </x:c>
      <x:c r="D2290" t="s">
        <x:v>676</x:v>
      </x:c>
      <x:c r="E2290" s="6">
        <x:v>0</x:v>
      </x:c>
      <x:c r="F2290" s="6">
        <x:v>0</x:v>
      </x:c>
      <x:c r="G2290" s="6">
        <x:v>0</x:v>
      </x:c>
      <x:c r="H2290" s="6">
        <x:f t="shared" si="113"/>
        <x:v>0</x:v>
      </x:c>
      <x:c r="I2290" s="6">
        <x:v>5664.95</x:v>
      </x:c>
      <x:c r="J2290" s="6">
        <x:v>0</x:v>
      </x:c>
      <x:c r="K2290" s="6">
        <x:f t="shared" si="114"/>
        <x:v>5664.95</x:v>
      </x:c>
      <x:c r="L2290" s="6">
        <x:v>0</x:v>
      </x:c>
      <x:c r="M2290" s="6">
        <x:v>0</x:v>
      </x:c>
      <x:c r="N2290" s="6">
        <x:f t="shared" si="115"/>
        <x:v>5664.95</x:v>
      </x:c>
    </x:row>
    <x:row r="2291" spans="1:14" x14ac:dyDescent="0.25">
      <x:c r="A2291" t="s">
        <x:v>34</x:v>
      </x:c>
      <x:c r="B2291" s="3" t="s">
        <x:v>53</x:v>
      </x:c>
      <x:c r="C2291" s="3" t="s">
        <x:v>370</x:v>
      </x:c>
      <x:c r="D2291" t="s">
        <x:v>676</x:v>
      </x:c>
      <x:c r="E2291" s="6">
        <x:v>0</x:v>
      </x:c>
      <x:c r="F2291" s="6">
        <x:v>0</x:v>
      </x:c>
      <x:c r="G2291" s="6">
        <x:v>0</x:v>
      </x:c>
      <x:c r="H2291" s="6">
        <x:f t="shared" si="113"/>
        <x:v>0</x:v>
      </x:c>
      <x:c r="I2291" s="6">
        <x:v>1125.01</x:v>
      </x:c>
      <x:c r="J2291" s="6">
        <x:v>0</x:v>
      </x:c>
      <x:c r="K2291" s="6">
        <x:f t="shared" si="114"/>
        <x:v>1125.01</x:v>
      </x:c>
      <x:c r="L2291" s="6">
        <x:v>0</x:v>
      </x:c>
      <x:c r="M2291" s="6">
        <x:v>0</x:v>
      </x:c>
      <x:c r="N2291" s="6">
        <x:f t="shared" si="115"/>
        <x:v>1125.01</x:v>
      </x:c>
    </x:row>
    <x:row r="2292" spans="1:14" x14ac:dyDescent="0.25">
      <x:c r="A2292" t="s">
        <x:v>34</x:v>
      </x:c>
      <x:c r="B2292" s="3" t="s">
        <x:v>72</x:v>
      </x:c>
      <x:c r="C2292" s="3" t="s">
        <x:v>389</x:v>
      </x:c>
      <x:c r="D2292" t="s">
        <x:v>676</x:v>
      </x:c>
      <x:c r="E2292" s="6">
        <x:v>0</x:v>
      </x:c>
      <x:c r="F2292" s="6">
        <x:v>0</x:v>
      </x:c>
      <x:c r="G2292" s="6">
        <x:v>0</x:v>
      </x:c>
      <x:c r="H2292" s="6">
        <x:f t="shared" si="113"/>
        <x:v>0</x:v>
      </x:c>
      <x:c r="I2292" s="6">
        <x:v>664.78</x:v>
      </x:c>
      <x:c r="J2292" s="6">
        <x:v>0</x:v>
      </x:c>
      <x:c r="K2292" s="6">
        <x:f t="shared" si="114"/>
        <x:v>664.78</x:v>
      </x:c>
      <x:c r="L2292" s="6">
        <x:v>0</x:v>
      </x:c>
      <x:c r="M2292" s="6">
        <x:v>0</x:v>
      </x:c>
      <x:c r="N2292" s="6">
        <x:f t="shared" si="115"/>
        <x:v>664.78</x:v>
      </x:c>
    </x:row>
    <x:row r="2293" spans="1:14" x14ac:dyDescent="0.25">
      <x:c r="A2293" t="s">
        <x:v>34</x:v>
      </x:c>
      <x:c r="B2293" s="3" t="s">
        <x:v>321</x:v>
      </x:c>
      <x:c r="C2293" s="3" t="s">
        <x:v>636</x:v>
      </x:c>
      <x:c r="D2293" t="s">
        <x:v>679</x:v>
      </x:c>
      <x:c r="E2293" s="6">
        <x:v>9813.3499999999967</x:v>
      </x:c>
      <x:c r="F2293" s="6">
        <x:v>0</x:v>
      </x:c>
      <x:c r="G2293" s="6">
        <x:v>0</x:v>
      </x:c>
      <x:c r="H2293" s="6">
        <x:f t="shared" si="113"/>
        <x:v>9813.3499999999967</x:v>
      </x:c>
      <x:c r="I2293" s="6">
        <x:v>26209.670000000002</x:v>
      </x:c>
      <x:c r="J2293" s="6">
        <x:v>0</x:v>
      </x:c>
      <x:c r="K2293" s="6">
        <x:f t="shared" si="114"/>
        <x:v>26209.670000000002</x:v>
      </x:c>
      <x:c r="L2293" s="6">
        <x:v>7329.4499999999989</x:v>
      </x:c>
      <x:c r="M2293" s="6">
        <x:v>301.20999999999998</x:v>
      </x:c>
      <x:c r="N2293" s="6">
        <x:f t="shared" si="115"/>
        <x:v>43653.679999999993</x:v>
      </x:c>
    </x:row>
    <x:row r="2294" spans="1:14" x14ac:dyDescent="0.25">
      <x:c r="A2294" t="s">
        <x:v>34</x:v>
      </x:c>
      <x:c r="B2294" s="3" t="s">
        <x:v>322</x:v>
      </x:c>
      <x:c r="C2294" s="3" t="s">
        <x:v>637</x:v>
      </x:c>
      <x:c r="D2294" t="s">
        <x:v>679</x:v>
      </x:c>
      <x:c r="E2294" s="6">
        <x:v>18466.41</x:v>
      </x:c>
      <x:c r="F2294" s="6">
        <x:v>0</x:v>
      </x:c>
      <x:c r="G2294" s="6">
        <x:v>0</x:v>
      </x:c>
      <x:c r="H2294" s="6">
        <x:f t="shared" si="113"/>
        <x:v>18466.41</x:v>
      </x:c>
      <x:c r="I2294" s="6">
        <x:v>49320.399999999994</x:v>
      </x:c>
      <x:c r="J2294" s="6">
        <x:v>0</x:v>
      </x:c>
      <x:c r="K2294" s="6">
        <x:f t="shared" si="114"/>
        <x:v>49320.399999999994</x:v>
      </x:c>
      <x:c r="L2294" s="6">
        <x:v>13792.31</x:v>
      </x:c>
      <x:c r="M2294" s="6">
        <x:v>566.79999999999961</x:v>
      </x:c>
      <x:c r="N2294" s="6">
        <x:f t="shared" si="115"/>
        <x:v>82145.919999999998</x:v>
      </x:c>
    </x:row>
    <x:row r="2295" spans="1:14" x14ac:dyDescent="0.25">
      <x:c r="A2295" t="s">
        <x:v>34</x:v>
      </x:c>
      <x:c r="B2295" s="3" t="s">
        <x:v>73</x:v>
      </x:c>
      <x:c r="C2295" s="3" t="s">
        <x:v>390</x:v>
      </x:c>
      <x:c r="D2295" t="s">
        <x:v>676</x:v>
      </x:c>
      <x:c r="E2295" s="6">
        <x:v>0</x:v>
      </x:c>
      <x:c r="F2295" s="6">
        <x:v>0</x:v>
      </x:c>
      <x:c r="G2295" s="6">
        <x:v>0</x:v>
      </x:c>
      <x:c r="H2295" s="6">
        <x:f t="shared" si="113"/>
        <x:v>0</x:v>
      </x:c>
      <x:c r="I2295" s="6">
        <x:v>1310.19</x:v>
      </x:c>
      <x:c r="J2295" s="6">
        <x:v>0</x:v>
      </x:c>
      <x:c r="K2295" s="6">
        <x:f t="shared" si="114"/>
        <x:v>1310.19</x:v>
      </x:c>
      <x:c r="L2295" s="6">
        <x:v>0</x:v>
      </x:c>
      <x:c r="M2295" s="6">
        <x:v>0</x:v>
      </x:c>
      <x:c r="N2295" s="6">
        <x:f t="shared" si="115"/>
        <x:v>1310.19</x:v>
      </x:c>
    </x:row>
    <x:row r="2296" spans="1:14" x14ac:dyDescent="0.25">
      <x:c r="A2296" t="s">
        <x:v>34</x:v>
      </x:c>
      <x:c r="B2296" s="3" t="s">
        <x:v>74</x:v>
      </x:c>
      <x:c r="C2296" s="3" t="s">
        <x:v>391</x:v>
      </x:c>
      <x:c r="D2296" t="s">
        <x:v>676</x:v>
      </x:c>
      <x:c r="E2296" s="6">
        <x:v>0</x:v>
      </x:c>
      <x:c r="F2296" s="6">
        <x:v>0</x:v>
      </x:c>
      <x:c r="G2296" s="6">
        <x:v>0</x:v>
      </x:c>
      <x:c r="H2296" s="6">
        <x:f t="shared" si="113"/>
        <x:v>0</x:v>
      </x:c>
      <x:c r="I2296" s="6">
        <x:v>2130.8900000000003</x:v>
      </x:c>
      <x:c r="J2296" s="6">
        <x:v>0</x:v>
      </x:c>
      <x:c r="K2296" s="6">
        <x:f t="shared" si="114"/>
        <x:v>2130.8900000000003</x:v>
      </x:c>
      <x:c r="L2296" s="6">
        <x:v>0</x:v>
      </x:c>
      <x:c r="M2296" s="6">
        <x:v>0</x:v>
      </x:c>
      <x:c r="N2296" s="6">
        <x:f t="shared" si="115"/>
        <x:v>2130.8900000000003</x:v>
      </x:c>
    </x:row>
    <x:row r="2297" spans="1:14" x14ac:dyDescent="0.25">
      <x:c r="A2297" t="s">
        <x:v>34</x:v>
      </x:c>
      <x:c r="B2297" s="3" t="s">
        <x:v>48</x:v>
      </x:c>
      <x:c r="C2297" s="3" t="s">
        <x:v>365</x:v>
      </x:c>
      <x:c r="D2297" t="s">
        <x:v>679</x:v>
      </x:c>
      <x:c r="E2297" s="6">
        <x:v>6553.2900000000009</x:v>
      </x:c>
      <x:c r="F2297" s="6">
        <x:v>0</x:v>
      </x:c>
      <x:c r="G2297" s="6">
        <x:v>0</x:v>
      </x:c>
      <x:c r="H2297" s="6">
        <x:f t="shared" si="113"/>
        <x:v>6553.2900000000009</x:v>
      </x:c>
      <x:c r="I2297" s="6">
        <x:v>17502.63</x:v>
      </x:c>
      <x:c r="J2297" s="6">
        <x:v>0</x:v>
      </x:c>
      <x:c r="K2297" s="6">
        <x:f t="shared" si="114"/>
        <x:v>17502.63</x:v>
      </x:c>
      <x:c r="L2297" s="6">
        <x:v>4894.55</x:v>
      </x:c>
      <x:c r="M2297" s="6">
        <x:v>201.13999999999857</x:v>
      </x:c>
      <x:c r="N2297" s="6">
        <x:f t="shared" si="115"/>
        <x:v>29151.61</x:v>
      </x:c>
    </x:row>
    <x:row r="2298" spans="1:14" x14ac:dyDescent="0.25">
      <x:c r="A2298" t="s">
        <x:v>34</x:v>
      </x:c>
      <x:c r="B2298" s="3" t="s">
        <x:v>75</x:v>
      </x:c>
      <x:c r="C2298" s="3" t="s">
        <x:v>392</x:v>
      </x:c>
      <x:c r="D2298" t="s">
        <x:v>676</x:v>
      </x:c>
      <x:c r="E2298" s="6">
        <x:v>0</x:v>
      </x:c>
      <x:c r="F2298" s="6">
        <x:v>0</x:v>
      </x:c>
      <x:c r="G2298" s="6">
        <x:v>0</x:v>
      </x:c>
      <x:c r="H2298" s="6">
        <x:f t="shared" si="113"/>
        <x:v>0</x:v>
      </x:c>
      <x:c r="I2298" s="6">
        <x:v>61384.909999999996</x:v>
      </x:c>
      <x:c r="J2298" s="6">
        <x:v>0</x:v>
      </x:c>
      <x:c r="K2298" s="6">
        <x:f t="shared" si="114"/>
        <x:v>61384.909999999996</x:v>
      </x:c>
      <x:c r="L2298" s="6">
        <x:v>0</x:v>
      </x:c>
      <x:c r="M2298" s="6">
        <x:v>0</x:v>
      </x:c>
      <x:c r="N2298" s="6">
        <x:f t="shared" si="115"/>
        <x:v>61384.909999999996</x:v>
      </x:c>
    </x:row>
    <x:row r="2299" spans="1:14" x14ac:dyDescent="0.25">
      <x:c r="A2299" t="s">
        <x:v>34</x:v>
      </x:c>
      <x:c r="B2299" s="3" t="s">
        <x:v>54</x:v>
      </x:c>
      <x:c r="C2299" s="3" t="s">
        <x:v>371</x:v>
      </x:c>
      <x:c r="D2299" t="s">
        <x:v>679</x:v>
      </x:c>
      <x:c r="E2299" s="6">
        <x:v>1485.42</x:v>
      </x:c>
      <x:c r="F2299" s="6">
        <x:v>0</x:v>
      </x:c>
      <x:c r="G2299" s="6">
        <x:v>0</x:v>
      </x:c>
      <x:c r="H2299" s="6">
        <x:f t="shared" si="113"/>
        <x:v>1485.42</x:v>
      </x:c>
      <x:c r="I2299" s="6">
        <x:v>3967.3</x:v>
      </x:c>
      <x:c r="J2299" s="6">
        <x:v>0</x:v>
      </x:c>
      <x:c r="K2299" s="6">
        <x:f t="shared" si="114"/>
        <x:v>3967.3</x:v>
      </x:c>
      <x:c r="L2299" s="6">
        <x:v>1109.44</x:v>
      </x:c>
      <x:c r="M2299" s="6">
        <x:v>45.599999999999937</x:v>
      </x:c>
      <x:c r="N2299" s="6">
        <x:f t="shared" si="115"/>
        <x:v>6607.76</x:v>
      </x:c>
    </x:row>
    <x:row r="2300" spans="1:14" x14ac:dyDescent="0.25">
      <x:c r="A2300" t="s">
        <x:v>34</x:v>
      </x:c>
      <x:c r="B2300" s="3" t="s">
        <x:v>55</x:v>
      </x:c>
      <x:c r="C2300" s="3" t="s">
        <x:v>372</x:v>
      </x:c>
      <x:c r="D2300" t="s">
        <x:v>676</x:v>
      </x:c>
      <x:c r="E2300" s="6">
        <x:v>0</x:v>
      </x:c>
      <x:c r="F2300" s="6">
        <x:v>0</x:v>
      </x:c>
      <x:c r="G2300" s="6">
        <x:v>0</x:v>
      </x:c>
      <x:c r="H2300" s="6">
        <x:f t="shared" si="113"/>
        <x:v>0</x:v>
      </x:c>
      <x:c r="I2300" s="6">
        <x:v>13577.919999999998</x:v>
      </x:c>
      <x:c r="J2300" s="6">
        <x:v>0</x:v>
      </x:c>
      <x:c r="K2300" s="6">
        <x:f t="shared" si="114"/>
        <x:v>13577.919999999998</x:v>
      </x:c>
      <x:c r="L2300" s="6">
        <x:v>0</x:v>
      </x:c>
      <x:c r="M2300" s="6">
        <x:v>0</x:v>
      </x:c>
      <x:c r="N2300" s="6">
        <x:f t="shared" si="115"/>
        <x:v>13577.919999999998</x:v>
      </x:c>
    </x:row>
    <x:row r="2301" spans="1:14" x14ac:dyDescent="0.25">
      <x:c r="A2301" t="s">
        <x:v>34</x:v>
      </x:c>
      <x:c r="B2301" s="3" t="s">
        <x:v>77</x:v>
      </x:c>
      <x:c r="C2301" s="3" t="s">
        <x:v>394</x:v>
      </x:c>
      <x:c r="D2301" t="s">
        <x:v>676</x:v>
      </x:c>
      <x:c r="E2301" s="6">
        <x:v>0</x:v>
      </x:c>
      <x:c r="F2301" s="6">
        <x:v>0</x:v>
      </x:c>
      <x:c r="G2301" s="6">
        <x:v>0</x:v>
      </x:c>
      <x:c r="H2301" s="6">
        <x:f t="shared" si="113"/>
        <x:v>0</x:v>
      </x:c>
      <x:c r="I2301" s="6">
        <x:v>1905.05</x:v>
      </x:c>
      <x:c r="J2301" s="6">
        <x:v>0</x:v>
      </x:c>
      <x:c r="K2301" s="6">
        <x:f t="shared" si="114"/>
        <x:v>1905.05</x:v>
      </x:c>
      <x:c r="L2301" s="6">
        <x:v>0</x:v>
      </x:c>
      <x:c r="M2301" s="6">
        <x:v>0</x:v>
      </x:c>
      <x:c r="N2301" s="6">
        <x:f t="shared" si="115"/>
        <x:v>1905.05</x:v>
      </x:c>
    </x:row>
    <x:row r="2302" spans="1:14" x14ac:dyDescent="0.25">
      <x:c r="A2302" t="s">
        <x:v>34</x:v>
      </x:c>
      <x:c r="B2302" s="3" t="s">
        <x:v>79</x:v>
      </x:c>
      <x:c r="C2302" s="3" t="s">
        <x:v>396</x:v>
      </x:c>
      <x:c r="D2302" t="s">
        <x:v>676</x:v>
      </x:c>
      <x:c r="E2302" s="6">
        <x:v>0</x:v>
      </x:c>
      <x:c r="F2302" s="6">
        <x:v>0</x:v>
      </x:c>
      <x:c r="G2302" s="6">
        <x:v>0</x:v>
      </x:c>
      <x:c r="H2302" s="6">
        <x:f t="shared" si="113"/>
        <x:v>0</x:v>
      </x:c>
      <x:c r="I2302" s="6">
        <x:v>4706.95</x:v>
      </x:c>
      <x:c r="J2302" s="6">
        <x:v>0</x:v>
      </x:c>
      <x:c r="K2302" s="6">
        <x:f t="shared" si="114"/>
        <x:v>4706.95</x:v>
      </x:c>
      <x:c r="L2302" s="6">
        <x:v>0</x:v>
      </x:c>
      <x:c r="M2302" s="6">
        <x:v>0</x:v>
      </x:c>
      <x:c r="N2302" s="6">
        <x:f t="shared" si="115"/>
        <x:v>4706.95</x:v>
      </x:c>
    </x:row>
    <x:row r="2303" spans="1:14" x14ac:dyDescent="0.25">
      <x:c r="A2303" t="s">
        <x:v>34</x:v>
      </x:c>
      <x:c r="B2303" s="3" t="s">
        <x:v>56</x:v>
      </x:c>
      <x:c r="C2303" s="3" t="s">
        <x:v>373</x:v>
      </x:c>
      <x:c r="D2303" t="s">
        <x:v>676</x:v>
      </x:c>
      <x:c r="E2303" s="6">
        <x:v>0</x:v>
      </x:c>
      <x:c r="F2303" s="6">
        <x:v>0</x:v>
      </x:c>
      <x:c r="G2303" s="6">
        <x:v>0</x:v>
      </x:c>
      <x:c r="H2303" s="6">
        <x:f t="shared" si="113"/>
        <x:v>0</x:v>
      </x:c>
      <x:c r="I2303" s="6">
        <x:v>536.17999999999995</x:v>
      </x:c>
      <x:c r="J2303" s="6">
        <x:v>0</x:v>
      </x:c>
      <x:c r="K2303" s="6">
        <x:f t="shared" si="114"/>
        <x:v>536.17999999999995</x:v>
      </x:c>
      <x:c r="L2303" s="6">
        <x:v>0</x:v>
      </x:c>
      <x:c r="M2303" s="6">
        <x:v>0</x:v>
      </x:c>
      <x:c r="N2303" s="6">
        <x:f t="shared" si="115"/>
        <x:v>536.17999999999995</x:v>
      </x:c>
    </x:row>
    <x:row r="2304" spans="1:14" x14ac:dyDescent="0.25">
      <x:c r="A2304" t="s">
        <x:v>34</x:v>
      </x:c>
      <x:c r="B2304" s="3" t="s">
        <x:v>80</x:v>
      </x:c>
      <x:c r="C2304" s="3" t="s">
        <x:v>397</x:v>
      </x:c>
      <x:c r="D2304" t="s">
        <x:v>676</x:v>
      </x:c>
      <x:c r="E2304" s="6">
        <x:v>0</x:v>
      </x:c>
      <x:c r="F2304" s="6">
        <x:v>0</x:v>
      </x:c>
      <x:c r="G2304" s="6">
        <x:v>0</x:v>
      </x:c>
      <x:c r="H2304" s="6">
        <x:f t="shared" si="113"/>
        <x:v>0</x:v>
      </x:c>
      <x:c r="I2304" s="6">
        <x:v>17570.55</x:v>
      </x:c>
      <x:c r="J2304" s="6">
        <x:v>0</x:v>
      </x:c>
      <x:c r="K2304" s="6">
        <x:f t="shared" si="114"/>
        <x:v>17570.55</x:v>
      </x:c>
      <x:c r="L2304" s="6">
        <x:v>0</x:v>
      </x:c>
      <x:c r="M2304" s="6">
        <x:v>0</x:v>
      </x:c>
      <x:c r="N2304" s="6">
        <x:f t="shared" si="115"/>
        <x:v>17570.55</x:v>
      </x:c>
    </x:row>
    <x:row r="2305" spans="1:14" x14ac:dyDescent="0.25">
      <x:c r="A2305" t="s">
        <x:v>34</x:v>
      </x:c>
      <x:c r="B2305" s="3" t="s">
        <x:v>82</x:v>
      </x:c>
      <x:c r="C2305" s="3" t="s">
        <x:v>399</x:v>
      </x:c>
      <x:c r="D2305" t="s">
        <x:v>676</x:v>
      </x:c>
      <x:c r="E2305" s="6">
        <x:v>0</x:v>
      </x:c>
      <x:c r="F2305" s="6">
        <x:v>0</x:v>
      </x:c>
      <x:c r="G2305" s="6">
        <x:v>0</x:v>
      </x:c>
      <x:c r="H2305" s="6">
        <x:f t="shared" si="113"/>
        <x:v>0</x:v>
      </x:c>
      <x:c r="I2305" s="6">
        <x:v>5601.52</x:v>
      </x:c>
      <x:c r="J2305" s="6">
        <x:v>0</x:v>
      </x:c>
      <x:c r="K2305" s="6">
        <x:f t="shared" si="114"/>
        <x:v>5601.52</x:v>
      </x:c>
      <x:c r="L2305" s="6">
        <x:v>0</x:v>
      </x:c>
      <x:c r="M2305" s="6">
        <x:v>0</x:v>
      </x:c>
      <x:c r="N2305" s="6">
        <x:f t="shared" si="115"/>
        <x:v>5601.52</x:v>
      </x:c>
    </x:row>
    <x:row r="2306" spans="1:14" x14ac:dyDescent="0.25">
      <x:c r="A2306" t="s">
        <x:v>34</x:v>
      </x:c>
      <x:c r="B2306" s="3" t="s">
        <x:v>83</x:v>
      </x:c>
      <x:c r="C2306" s="3" t="s">
        <x:v>400</x:v>
      </x:c>
      <x:c r="D2306" t="s">
        <x:v>676</x:v>
      </x:c>
      <x:c r="E2306" s="6">
        <x:v>0</x:v>
      </x:c>
      <x:c r="F2306" s="6">
        <x:v>0</x:v>
      </x:c>
      <x:c r="G2306" s="6">
        <x:v>0</x:v>
      </x:c>
      <x:c r="H2306" s="6">
        <x:f t="shared" si="113"/>
        <x:v>0</x:v>
      </x:c>
      <x:c r="I2306" s="6">
        <x:v>14546.8</x:v>
      </x:c>
      <x:c r="J2306" s="6">
        <x:v>0</x:v>
      </x:c>
      <x:c r="K2306" s="6">
        <x:f t="shared" si="114"/>
        <x:v>14546.8</x:v>
      </x:c>
      <x:c r="L2306" s="6">
        <x:v>0</x:v>
      </x:c>
      <x:c r="M2306" s="6">
        <x:v>0</x:v>
      </x:c>
      <x:c r="N2306" s="6">
        <x:f t="shared" si="115"/>
        <x:v>14546.8</x:v>
      </x:c>
    </x:row>
    <x:row r="2307" spans="1:14" x14ac:dyDescent="0.25">
      <x:c r="A2307" t="s">
        <x:v>34</x:v>
      </x:c>
      <x:c r="B2307" s="3" t="s">
        <x:v>84</x:v>
      </x:c>
      <x:c r="C2307" s="3" t="s">
        <x:v>401</x:v>
      </x:c>
      <x:c r="D2307" t="s">
        <x:v>676</x:v>
      </x:c>
      <x:c r="E2307" s="6">
        <x:v>0</x:v>
      </x:c>
      <x:c r="F2307" s="6">
        <x:v>0</x:v>
      </x:c>
      <x:c r="G2307" s="6">
        <x:v>0</x:v>
      </x:c>
      <x:c r="H2307" s="6">
        <x:f t="shared" si="113"/>
        <x:v>0</x:v>
      </x:c>
      <x:c r="I2307" s="6">
        <x:v>865.12</x:v>
      </x:c>
      <x:c r="J2307" s="6">
        <x:v>0</x:v>
      </x:c>
      <x:c r="K2307" s="6">
        <x:f t="shared" si="114"/>
        <x:v>865.12</x:v>
      </x:c>
      <x:c r="L2307" s="6">
        <x:v>0</x:v>
      </x:c>
      <x:c r="M2307" s="6">
        <x:v>0</x:v>
      </x:c>
      <x:c r="N2307" s="6">
        <x:f t="shared" si="115"/>
        <x:v>865.12</x:v>
      </x:c>
    </x:row>
    <x:row r="2308" spans="1:14" x14ac:dyDescent="0.25">
      <x:c r="A2308" t="s">
        <x:v>34</x:v>
      </x:c>
      <x:c r="B2308" s="3" t="s">
        <x:v>86</x:v>
      </x:c>
      <x:c r="C2308" s="3" t="s">
        <x:v>403</x:v>
      </x:c>
      <x:c r="D2308" t="s">
        <x:v>676</x:v>
      </x:c>
      <x:c r="E2308" s="6">
        <x:v>0</x:v>
      </x:c>
      <x:c r="F2308" s="6">
        <x:v>0</x:v>
      </x:c>
      <x:c r="G2308" s="6">
        <x:v>0</x:v>
      </x:c>
      <x:c r="H2308" s="6">
        <x:f t="shared" si="113"/>
        <x:v>0</x:v>
      </x:c>
      <x:c r="I2308" s="6">
        <x:v>1068.6500000000001</x:v>
      </x:c>
      <x:c r="J2308" s="6">
        <x:v>0</x:v>
      </x:c>
      <x:c r="K2308" s="6">
        <x:f t="shared" si="114"/>
        <x:v>1068.6500000000001</x:v>
      </x:c>
      <x:c r="L2308" s="6">
        <x:v>0</x:v>
      </x:c>
      <x:c r="M2308" s="6">
        <x:v>0</x:v>
      </x:c>
      <x:c r="N2308" s="6">
        <x:f t="shared" si="115"/>
        <x:v>1068.6500000000001</x:v>
      </x:c>
    </x:row>
    <x:row r="2309" spans="1:14" x14ac:dyDescent="0.25">
      <x:c r="A2309" t="s">
        <x:v>34</x:v>
      </x:c>
      <x:c r="B2309" s="3" t="s">
        <x:v>87</x:v>
      </x:c>
      <x:c r="C2309" s="3" t="s">
        <x:v>404</x:v>
      </x:c>
      <x:c r="D2309" t="s">
        <x:v>676</x:v>
      </x:c>
      <x:c r="E2309" s="6">
        <x:v>0</x:v>
      </x:c>
      <x:c r="F2309" s="6">
        <x:v>0</x:v>
      </x:c>
      <x:c r="G2309" s="6">
        <x:v>0</x:v>
      </x:c>
      <x:c r="H2309" s="6">
        <x:f t="shared" si="113"/>
        <x:v>0</x:v>
      </x:c>
      <x:c r="I2309" s="6">
        <x:v>87.01</x:v>
      </x:c>
      <x:c r="J2309" s="6">
        <x:v>0</x:v>
      </x:c>
      <x:c r="K2309" s="6">
        <x:f t="shared" si="114"/>
        <x:v>87.01</x:v>
      </x:c>
      <x:c r="L2309" s="6">
        <x:v>0</x:v>
      </x:c>
      <x:c r="M2309" s="6">
        <x:v>0</x:v>
      </x:c>
      <x:c r="N2309" s="6">
        <x:f t="shared" si="115"/>
        <x:v>87.01</x:v>
      </x:c>
    </x:row>
    <x:row r="2310" spans="1:14" x14ac:dyDescent="0.25">
      <x:c r="A2310" t="s">
        <x:v>34</x:v>
      </x:c>
      <x:c r="B2310" s="3" t="s">
        <x:v>89</x:v>
      </x:c>
      <x:c r="C2310" s="3" t="s">
        <x:v>406</x:v>
      </x:c>
      <x:c r="D2310" t="s">
        <x:v>676</x:v>
      </x:c>
      <x:c r="E2310" s="6">
        <x:v>0</x:v>
      </x:c>
      <x:c r="F2310" s="6">
        <x:v>0</x:v>
      </x:c>
      <x:c r="G2310" s="6">
        <x:v>0</x:v>
      </x:c>
      <x:c r="H2310" s="6">
        <x:f t="shared" si="113"/>
        <x:v>0</x:v>
      </x:c>
      <x:c r="I2310" s="6">
        <x:v>2178.12</x:v>
      </x:c>
      <x:c r="J2310" s="6">
        <x:v>0</x:v>
      </x:c>
      <x:c r="K2310" s="6">
        <x:f t="shared" si="114"/>
        <x:v>2178.12</x:v>
      </x:c>
      <x:c r="L2310" s="6">
        <x:v>0</x:v>
      </x:c>
      <x:c r="M2310" s="6">
        <x:v>0</x:v>
      </x:c>
      <x:c r="N2310" s="6">
        <x:f t="shared" si="115"/>
        <x:v>2178.12</x:v>
      </x:c>
    </x:row>
    <x:row r="2311" spans="1:14" x14ac:dyDescent="0.25">
      <x:c r="A2311" t="s">
        <x:v>34</x:v>
      </x:c>
      <x:c r="B2311" s="3" t="s">
        <x:v>90</x:v>
      </x:c>
      <x:c r="C2311" s="3" t="s">
        <x:v>407</x:v>
      </x:c>
      <x:c r="D2311" t="s">
        <x:v>676</x:v>
      </x:c>
      <x:c r="E2311" s="6">
        <x:v>0</x:v>
      </x:c>
      <x:c r="F2311" s="6">
        <x:v>0</x:v>
      </x:c>
      <x:c r="G2311" s="6">
        <x:v>0</x:v>
      </x:c>
      <x:c r="H2311" s="6">
        <x:f t="shared" si="113"/>
        <x:v>0</x:v>
      </x:c>
      <x:c r="I2311" s="6">
        <x:v>3394.79</x:v>
      </x:c>
      <x:c r="J2311" s="6">
        <x:v>0</x:v>
      </x:c>
      <x:c r="K2311" s="6">
        <x:f t="shared" si="114"/>
        <x:v>3394.79</x:v>
      </x:c>
      <x:c r="L2311" s="6">
        <x:v>0</x:v>
      </x:c>
      <x:c r="M2311" s="6">
        <x:v>0</x:v>
      </x:c>
      <x:c r="N2311" s="6">
        <x:f t="shared" si="115"/>
        <x:v>3394.79</x:v>
      </x:c>
    </x:row>
    <x:row r="2312" spans="1:14" x14ac:dyDescent="0.25">
      <x:c r="A2312" t="s">
        <x:v>34</x:v>
      </x:c>
      <x:c r="B2312" s="3" t="s">
        <x:v>91</x:v>
      </x:c>
      <x:c r="C2312" s="3" t="s">
        <x:v>408</x:v>
      </x:c>
      <x:c r="D2312" t="s">
        <x:v>676</x:v>
      </x:c>
      <x:c r="E2312" s="6">
        <x:v>0</x:v>
      </x:c>
      <x:c r="F2312" s="6">
        <x:v>0</x:v>
      </x:c>
      <x:c r="G2312" s="6">
        <x:v>0</x:v>
      </x:c>
      <x:c r="H2312" s="6">
        <x:f t="shared" si="113"/>
        <x:v>0</x:v>
      </x:c>
      <x:c r="I2312" s="6">
        <x:v>2059.9</x:v>
      </x:c>
      <x:c r="J2312" s="6">
        <x:v>0</x:v>
      </x:c>
      <x:c r="K2312" s="6">
        <x:f t="shared" si="114"/>
        <x:v>2059.9</x:v>
      </x:c>
      <x:c r="L2312" s="6">
        <x:v>0</x:v>
      </x:c>
      <x:c r="M2312" s="6">
        <x:v>0</x:v>
      </x:c>
      <x:c r="N2312" s="6">
        <x:f t="shared" si="115"/>
        <x:v>2059.9</x:v>
      </x:c>
    </x:row>
    <x:row r="2313" spans="1:14" x14ac:dyDescent="0.25">
      <x:c r="A2313" t="s">
        <x:v>34</x:v>
      </x:c>
      <x:c r="B2313" s="3" t="s">
        <x:v>92</x:v>
      </x:c>
      <x:c r="C2313" s="3" t="s">
        <x:v>409</x:v>
      </x:c>
      <x:c r="D2313" t="s">
        <x:v>676</x:v>
      </x:c>
      <x:c r="E2313" s="6">
        <x:v>0</x:v>
      </x:c>
      <x:c r="F2313" s="6">
        <x:v>0</x:v>
      </x:c>
      <x:c r="G2313" s="6">
        <x:v>0</x:v>
      </x:c>
      <x:c r="H2313" s="6">
        <x:f t="shared" si="113"/>
        <x:v>0</x:v>
      </x:c>
      <x:c r="I2313" s="6">
        <x:v>7798.4400000000005</x:v>
      </x:c>
      <x:c r="J2313" s="6">
        <x:v>0</x:v>
      </x:c>
      <x:c r="K2313" s="6">
        <x:f t="shared" si="114"/>
        <x:v>7798.4400000000005</x:v>
      </x:c>
      <x:c r="L2313" s="6">
        <x:v>0</x:v>
      </x:c>
      <x:c r="M2313" s="6">
        <x:v>0</x:v>
      </x:c>
      <x:c r="N2313" s="6">
        <x:f t="shared" si="115"/>
        <x:v>7798.4400000000005</x:v>
      </x:c>
    </x:row>
    <x:row r="2314" spans="1:14" x14ac:dyDescent="0.25">
      <x:c r="A2314" t="s">
        <x:v>34</x:v>
      </x:c>
      <x:c r="B2314" s="3" t="s">
        <x:v>93</x:v>
      </x:c>
      <x:c r="C2314" s="3" t="s">
        <x:v>410</x:v>
      </x:c>
      <x:c r="D2314" t="s">
        <x:v>676</x:v>
      </x:c>
      <x:c r="E2314" s="6">
        <x:v>0</x:v>
      </x:c>
      <x:c r="F2314" s="6">
        <x:v>0</x:v>
      </x:c>
      <x:c r="G2314" s="6">
        <x:v>0</x:v>
      </x:c>
      <x:c r="H2314" s="6">
        <x:f t="shared" si="113"/>
        <x:v>0</x:v>
      </x:c>
      <x:c r="I2314" s="6">
        <x:v>48.71</x:v>
      </x:c>
      <x:c r="J2314" s="6">
        <x:v>0</x:v>
      </x:c>
      <x:c r="K2314" s="6">
        <x:f t="shared" si="114"/>
        <x:v>48.71</x:v>
      </x:c>
      <x:c r="L2314" s="6">
        <x:v>0</x:v>
      </x:c>
      <x:c r="M2314" s="6">
        <x:v>0</x:v>
      </x:c>
      <x:c r="N2314" s="6">
        <x:f t="shared" si="115"/>
        <x:v>48.71</x:v>
      </x:c>
    </x:row>
    <x:row r="2315" spans="1:14" x14ac:dyDescent="0.25">
      <x:c r="A2315" t="s">
        <x:v>34</x:v>
      </x:c>
      <x:c r="B2315" s="3" t="s">
        <x:v>94</x:v>
      </x:c>
      <x:c r="C2315" s="3" t="s">
        <x:v>411</x:v>
      </x:c>
      <x:c r="D2315" t="s">
        <x:v>676</x:v>
      </x:c>
      <x:c r="E2315" s="6">
        <x:v>0</x:v>
      </x:c>
      <x:c r="F2315" s="6">
        <x:v>0</x:v>
      </x:c>
      <x:c r="G2315" s="6">
        <x:v>0</x:v>
      </x:c>
      <x:c r="H2315" s="6">
        <x:f t="shared" si="113"/>
        <x:v>0</x:v>
      </x:c>
      <x:c r="I2315" s="6">
        <x:v>2996.71</x:v>
      </x:c>
      <x:c r="J2315" s="6">
        <x:v>0</x:v>
      </x:c>
      <x:c r="K2315" s="6">
        <x:f t="shared" si="114"/>
        <x:v>2996.71</x:v>
      </x:c>
      <x:c r="L2315" s="6">
        <x:v>0</x:v>
      </x:c>
      <x:c r="M2315" s="6">
        <x:v>0</x:v>
      </x:c>
      <x:c r="N2315" s="6">
        <x:f t="shared" si="115"/>
        <x:v>2996.71</x:v>
      </x:c>
    </x:row>
    <x:row r="2316" spans="1:14" x14ac:dyDescent="0.25">
      <x:c r="A2316" t="s">
        <x:v>34</x:v>
      </x:c>
      <x:c r="B2316" s="3" t="s">
        <x:v>97</x:v>
      </x:c>
      <x:c r="C2316" s="3" t="s">
        <x:v>414</x:v>
      </x:c>
      <x:c r="D2316" t="s">
        <x:v>676</x:v>
      </x:c>
      <x:c r="E2316" s="6">
        <x:v>0</x:v>
      </x:c>
      <x:c r="F2316" s="6">
        <x:v>0</x:v>
      </x:c>
      <x:c r="G2316" s="6">
        <x:v>0</x:v>
      </x:c>
      <x:c r="H2316" s="6">
        <x:f t="shared" si="113"/>
        <x:v>0</x:v>
      </x:c>
      <x:c r="I2316" s="6">
        <x:v>-11.719999999999992</x:v>
      </x:c>
      <x:c r="J2316" s="6">
        <x:v>0</x:v>
      </x:c>
      <x:c r="K2316" s="6">
        <x:f t="shared" si="114"/>
        <x:v>-11.719999999999992</x:v>
      </x:c>
      <x:c r="L2316" s="6">
        <x:v>0</x:v>
      </x:c>
      <x:c r="M2316" s="6">
        <x:v>0</x:v>
      </x:c>
      <x:c r="N2316" s="6">
        <x:f t="shared" si="115"/>
        <x:v>-11.719999999999992</x:v>
      </x:c>
    </x:row>
    <x:row r="2317" spans="1:14" x14ac:dyDescent="0.25">
      <x:c r="A2317" t="s">
        <x:v>34</x:v>
      </x:c>
      <x:c r="B2317" s="3" t="s">
        <x:v>98</x:v>
      </x:c>
      <x:c r="C2317" s="3" t="s">
        <x:v>415</x:v>
      </x:c>
      <x:c r="D2317" t="s">
        <x:v>676</x:v>
      </x:c>
      <x:c r="E2317" s="6">
        <x:v>0</x:v>
      </x:c>
      <x:c r="F2317" s="6">
        <x:v>0</x:v>
      </x:c>
      <x:c r="G2317" s="6">
        <x:v>0</x:v>
      </x:c>
      <x:c r="H2317" s="6">
        <x:f t="shared" si="113"/>
        <x:v>0</x:v>
      </x:c>
      <x:c r="I2317" s="6">
        <x:v>1699.4</x:v>
      </x:c>
      <x:c r="J2317" s="6">
        <x:v>0</x:v>
      </x:c>
      <x:c r="K2317" s="6">
        <x:f t="shared" si="114"/>
        <x:v>1699.4</x:v>
      </x:c>
      <x:c r="L2317" s="6">
        <x:v>0</x:v>
      </x:c>
      <x:c r="M2317" s="6">
        <x:v>0</x:v>
      </x:c>
      <x:c r="N2317" s="6">
        <x:f t="shared" si="115"/>
        <x:v>1699.4</x:v>
      </x:c>
    </x:row>
    <x:row r="2318" spans="1:14" x14ac:dyDescent="0.25">
      <x:c r="A2318" t="s">
        <x:v>34</x:v>
      </x:c>
      <x:c r="B2318" s="3" t="s">
        <x:v>99</x:v>
      </x:c>
      <x:c r="C2318" s="3" t="s">
        <x:v>416</x:v>
      </x:c>
      <x:c r="D2318" t="s">
        <x:v>676</x:v>
      </x:c>
      <x:c r="E2318" s="6">
        <x:v>0</x:v>
      </x:c>
      <x:c r="F2318" s="6">
        <x:v>0</x:v>
      </x:c>
      <x:c r="G2318" s="6">
        <x:v>0</x:v>
      </x:c>
      <x:c r="H2318" s="6">
        <x:f t="shared" si="113"/>
        <x:v>0</x:v>
      </x:c>
      <x:c r="I2318" s="6">
        <x:v>4438.76</x:v>
      </x:c>
      <x:c r="J2318" s="6">
        <x:v>0</x:v>
      </x:c>
      <x:c r="K2318" s="6">
        <x:f t="shared" si="114"/>
        <x:v>4438.76</x:v>
      </x:c>
      <x:c r="L2318" s="6">
        <x:v>0</x:v>
      </x:c>
      <x:c r="M2318" s="6">
        <x:v>0</x:v>
      </x:c>
      <x:c r="N2318" s="6">
        <x:f t="shared" si="115"/>
        <x:v>4438.76</x:v>
      </x:c>
    </x:row>
    <x:row r="2319" spans="1:14" x14ac:dyDescent="0.25">
      <x:c r="A2319" t="s">
        <x:v>34</x:v>
      </x:c>
      <x:c r="B2319" s="3" t="s">
        <x:v>57</x:v>
      </x:c>
      <x:c r="C2319" s="3" t="s">
        <x:v>374</x:v>
      </x:c>
      <x:c r="D2319" t="s">
        <x:v>676</x:v>
      </x:c>
      <x:c r="E2319" s="6">
        <x:v>0</x:v>
      </x:c>
      <x:c r="F2319" s="6">
        <x:v>0</x:v>
      </x:c>
      <x:c r="G2319" s="6">
        <x:v>0</x:v>
      </x:c>
      <x:c r="H2319" s="6">
        <x:f t="shared" si="113"/>
        <x:v>0</x:v>
      </x:c>
      <x:c r="I2319" s="6">
        <x:v>263.2</x:v>
      </x:c>
      <x:c r="J2319" s="6">
        <x:v>0</x:v>
      </x:c>
      <x:c r="K2319" s="6">
        <x:f t="shared" si="114"/>
        <x:v>263.2</x:v>
      </x:c>
      <x:c r="L2319" s="6">
        <x:v>0</x:v>
      </x:c>
      <x:c r="M2319" s="6">
        <x:v>0</x:v>
      </x:c>
      <x:c r="N2319" s="6">
        <x:f t="shared" si="115"/>
        <x:v>263.2</x:v>
      </x:c>
    </x:row>
    <x:row r="2320" spans="1:14" x14ac:dyDescent="0.25">
      <x:c r="A2320" t="s">
        <x:v>34</x:v>
      </x:c>
      <x:c r="B2320" s="3" t="s">
        <x:v>102</x:v>
      </x:c>
      <x:c r="C2320" s="3" t="s">
        <x:v>419</x:v>
      </x:c>
      <x:c r="D2320" t="s">
        <x:v>676</x:v>
      </x:c>
      <x:c r="E2320" s="6">
        <x:v>0</x:v>
      </x:c>
      <x:c r="F2320" s="6">
        <x:v>0</x:v>
      </x:c>
      <x:c r="G2320" s="6">
        <x:v>0</x:v>
      </x:c>
      <x:c r="H2320" s="6">
        <x:f t="shared" si="113"/>
        <x:v>0</x:v>
      </x:c>
      <x:c r="I2320" s="6">
        <x:v>1146.55</x:v>
      </x:c>
      <x:c r="J2320" s="6">
        <x:v>0</x:v>
      </x:c>
      <x:c r="K2320" s="6">
        <x:f t="shared" si="114"/>
        <x:v>1146.55</x:v>
      </x:c>
      <x:c r="L2320" s="6">
        <x:v>0</x:v>
      </x:c>
      <x:c r="M2320" s="6">
        <x:v>0</x:v>
      </x:c>
      <x:c r="N2320" s="6">
        <x:f t="shared" si="115"/>
        <x:v>1146.55</x:v>
      </x:c>
    </x:row>
    <x:row r="2321" spans="1:14" x14ac:dyDescent="0.25">
      <x:c r="A2321" t="s">
        <x:v>34</x:v>
      </x:c>
      <x:c r="B2321" s="3" t="s">
        <x:v>103</x:v>
      </x:c>
      <x:c r="C2321" s="3" t="s">
        <x:v>420</x:v>
      </x:c>
      <x:c r="D2321" t="s">
        <x:v>676</x:v>
      </x:c>
      <x:c r="E2321" s="6">
        <x:v>0</x:v>
      </x:c>
      <x:c r="F2321" s="6">
        <x:v>0</x:v>
      </x:c>
      <x:c r="G2321" s="6">
        <x:v>0</x:v>
      </x:c>
      <x:c r="H2321" s="6">
        <x:f t="shared" si="113"/>
        <x:v>0</x:v>
      </x:c>
      <x:c r="I2321" s="6">
        <x:v>401.32</x:v>
      </x:c>
      <x:c r="J2321" s="6">
        <x:v>0</x:v>
      </x:c>
      <x:c r="K2321" s="6">
        <x:f t="shared" si="114"/>
        <x:v>401.32</x:v>
      </x:c>
      <x:c r="L2321" s="6">
        <x:v>0</x:v>
      </x:c>
      <x:c r="M2321" s="6">
        <x:v>0</x:v>
      </x:c>
      <x:c r="N2321" s="6">
        <x:f t="shared" si="115"/>
        <x:v>401.32</x:v>
      </x:c>
    </x:row>
    <x:row r="2322" spans="1:14" x14ac:dyDescent="0.25">
      <x:c r="A2322" t="s">
        <x:v>34</x:v>
      </x:c>
      <x:c r="B2322" s="3" t="s">
        <x:v>104</x:v>
      </x:c>
      <x:c r="C2322" s="3" t="s">
        <x:v>421</x:v>
      </x:c>
      <x:c r="D2322" t="s">
        <x:v>676</x:v>
      </x:c>
      <x:c r="E2322" s="6">
        <x:v>0</x:v>
      </x:c>
      <x:c r="F2322" s="6">
        <x:v>0</x:v>
      </x:c>
      <x:c r="G2322" s="6">
        <x:v>0</x:v>
      </x:c>
      <x:c r="H2322" s="6">
        <x:f t="shared" si="113"/>
        <x:v>0</x:v>
      </x:c>
      <x:c r="I2322" s="6">
        <x:v>3967.8500000000004</x:v>
      </x:c>
      <x:c r="J2322" s="6">
        <x:v>0</x:v>
      </x:c>
      <x:c r="K2322" s="6">
        <x:f t="shared" si="114"/>
        <x:v>3967.8500000000004</x:v>
      </x:c>
      <x:c r="L2322" s="6">
        <x:v>0</x:v>
      </x:c>
      <x:c r="M2322" s="6">
        <x:v>0</x:v>
      </x:c>
      <x:c r="N2322" s="6">
        <x:f t="shared" si="115"/>
        <x:v>3967.8500000000004</x:v>
      </x:c>
    </x:row>
    <x:row r="2323" spans="1:14" x14ac:dyDescent="0.25">
      <x:c r="A2323" t="s">
        <x:v>34</x:v>
      </x:c>
      <x:c r="B2323" s="3" t="s">
        <x:v>105</x:v>
      </x:c>
      <x:c r="C2323" s="3" t="s">
        <x:v>422</x:v>
      </x:c>
      <x:c r="D2323" t="s">
        <x:v>676</x:v>
      </x:c>
      <x:c r="E2323" s="6">
        <x:v>0</x:v>
      </x:c>
      <x:c r="F2323" s="6">
        <x:v>0</x:v>
      </x:c>
      <x:c r="G2323" s="6">
        <x:v>0</x:v>
      </x:c>
      <x:c r="H2323" s="6">
        <x:f t="shared" si="113"/>
        <x:v>0</x:v>
      </x:c>
      <x:c r="I2323" s="6">
        <x:v>1377.87</x:v>
      </x:c>
      <x:c r="J2323" s="6">
        <x:v>0</x:v>
      </x:c>
      <x:c r="K2323" s="6">
        <x:f t="shared" si="114"/>
        <x:v>1377.87</x:v>
      </x:c>
      <x:c r="L2323" s="6">
        <x:v>0</x:v>
      </x:c>
      <x:c r="M2323" s="6">
        <x:v>0</x:v>
      </x:c>
      <x:c r="N2323" s="6">
        <x:f t="shared" si="115"/>
        <x:v>1377.87</x:v>
      </x:c>
    </x:row>
    <x:row r="2324" spans="1:14" x14ac:dyDescent="0.25">
      <x:c r="A2324" t="s">
        <x:v>34</x:v>
      </x:c>
      <x:c r="B2324" s="3" t="s">
        <x:v>106</x:v>
      </x:c>
      <x:c r="C2324" s="3" t="s">
        <x:v>423</x:v>
      </x:c>
      <x:c r="D2324" t="s">
        <x:v>676</x:v>
      </x:c>
      <x:c r="E2324" s="6">
        <x:v>0</x:v>
      </x:c>
      <x:c r="F2324" s="6">
        <x:v>0</x:v>
      </x:c>
      <x:c r="G2324" s="6">
        <x:v>0</x:v>
      </x:c>
      <x:c r="H2324" s="6">
        <x:f t="shared" si="113"/>
        <x:v>0</x:v>
      </x:c>
      <x:c r="I2324" s="6">
        <x:v>10096.42</x:v>
      </x:c>
      <x:c r="J2324" s="6">
        <x:v>0</x:v>
      </x:c>
      <x:c r="K2324" s="6">
        <x:f t="shared" si="114"/>
        <x:v>10096.42</x:v>
      </x:c>
      <x:c r="L2324" s="6">
        <x:v>0</x:v>
      </x:c>
      <x:c r="M2324" s="6">
        <x:v>0</x:v>
      </x:c>
      <x:c r="N2324" s="6">
        <x:f t="shared" si="115"/>
        <x:v>10096.42</x:v>
      </x:c>
    </x:row>
    <x:row r="2325" spans="1:14" x14ac:dyDescent="0.25">
      <x:c r="A2325" t="s">
        <x:v>34</x:v>
      </x:c>
      <x:c r="B2325" s="3" t="s">
        <x:v>107</x:v>
      </x:c>
      <x:c r="C2325" s="3" t="s">
        <x:v>424</x:v>
      </x:c>
      <x:c r="D2325" t="s">
        <x:v>676</x:v>
      </x:c>
      <x:c r="E2325" s="6">
        <x:v>0</x:v>
      </x:c>
      <x:c r="F2325" s="6">
        <x:v>0</x:v>
      </x:c>
      <x:c r="G2325" s="6">
        <x:v>0</x:v>
      </x:c>
      <x:c r="H2325" s="6">
        <x:f t="shared" si="113"/>
        <x:v>0</x:v>
      </x:c>
      <x:c r="I2325" s="6">
        <x:v>1132.5500000000002</x:v>
      </x:c>
      <x:c r="J2325" s="6">
        <x:v>0</x:v>
      </x:c>
      <x:c r="K2325" s="6">
        <x:f t="shared" si="114"/>
        <x:v>1132.5500000000002</x:v>
      </x:c>
      <x:c r="L2325" s="6">
        <x:v>0</x:v>
      </x:c>
      <x:c r="M2325" s="6">
        <x:v>0</x:v>
      </x:c>
      <x:c r="N2325" s="6">
        <x:f t="shared" si="115"/>
        <x:v>1132.5500000000002</x:v>
      </x:c>
    </x:row>
    <x:row r="2326" spans="1:14" x14ac:dyDescent="0.25">
      <x:c r="A2326" t="s">
        <x:v>34</x:v>
      </x:c>
      <x:c r="B2326" s="3" t="s">
        <x:v>108</x:v>
      </x:c>
      <x:c r="C2326" s="3" t="s">
        <x:v>425</x:v>
      </x:c>
      <x:c r="D2326" t="s">
        <x:v>676</x:v>
      </x:c>
      <x:c r="E2326" s="6">
        <x:v>0</x:v>
      </x:c>
      <x:c r="F2326" s="6">
        <x:v>0</x:v>
      </x:c>
      <x:c r="G2326" s="6">
        <x:v>0</x:v>
      </x:c>
      <x:c r="H2326" s="6">
        <x:f t="shared" si="113"/>
        <x:v>0</x:v>
      </x:c>
      <x:c r="I2326" s="6">
        <x:v>1030.8700000000001</x:v>
      </x:c>
      <x:c r="J2326" s="6">
        <x:v>0</x:v>
      </x:c>
      <x:c r="K2326" s="6">
        <x:f t="shared" si="114"/>
        <x:v>1030.8700000000001</x:v>
      </x:c>
      <x:c r="L2326" s="6">
        <x:v>0</x:v>
      </x:c>
      <x:c r="M2326" s="6">
        <x:v>0</x:v>
      </x:c>
      <x:c r="N2326" s="6">
        <x:f t="shared" si="115"/>
        <x:v>1030.8700000000001</x:v>
      </x:c>
    </x:row>
    <x:row r="2327" spans="1:14" x14ac:dyDescent="0.25">
      <x:c r="A2327" t="s">
        <x:v>34</x:v>
      </x:c>
      <x:c r="B2327" s="3" t="s">
        <x:v>109</x:v>
      </x:c>
      <x:c r="C2327" s="3" t="s">
        <x:v>426</x:v>
      </x:c>
      <x:c r="D2327" t="s">
        <x:v>676</x:v>
      </x:c>
      <x:c r="E2327" s="6">
        <x:v>0</x:v>
      </x:c>
      <x:c r="F2327" s="6">
        <x:v>0</x:v>
      </x:c>
      <x:c r="G2327" s="6">
        <x:v>0</x:v>
      </x:c>
      <x:c r="H2327" s="6">
        <x:f t="shared" si="113"/>
        <x:v>0</x:v>
      </x:c>
      <x:c r="I2327" s="6">
        <x:v>2678.34</x:v>
      </x:c>
      <x:c r="J2327" s="6">
        <x:v>0</x:v>
      </x:c>
      <x:c r="K2327" s="6">
        <x:f t="shared" si="114"/>
        <x:v>2678.34</x:v>
      </x:c>
      <x:c r="L2327" s="6">
        <x:v>0</x:v>
      </x:c>
      <x:c r="M2327" s="6">
        <x:v>0</x:v>
      </x:c>
      <x:c r="N2327" s="6">
        <x:f t="shared" si="115"/>
        <x:v>2678.34</x:v>
      </x:c>
    </x:row>
    <x:row r="2328" spans="1:14" x14ac:dyDescent="0.25">
      <x:c r="A2328" t="s">
        <x:v>34</x:v>
      </x:c>
      <x:c r="B2328" s="3" t="s">
        <x:v>110</x:v>
      </x:c>
      <x:c r="C2328" s="3" t="s">
        <x:v>427</x:v>
      </x:c>
      <x:c r="D2328" t="s">
        <x:v>676</x:v>
      </x:c>
      <x:c r="E2328" s="6">
        <x:v>0</x:v>
      </x:c>
      <x:c r="F2328" s="6">
        <x:v>0</x:v>
      </x:c>
      <x:c r="G2328" s="6">
        <x:v>0</x:v>
      </x:c>
      <x:c r="H2328" s="6">
        <x:f t="shared" si="113"/>
        <x:v>0</x:v>
      </x:c>
      <x:c r="I2328" s="6">
        <x:v>3097.48</x:v>
      </x:c>
      <x:c r="J2328" s="6">
        <x:v>0</x:v>
      </x:c>
      <x:c r="K2328" s="6">
        <x:f t="shared" si="114"/>
        <x:v>3097.48</x:v>
      </x:c>
      <x:c r="L2328" s="6">
        <x:v>0</x:v>
      </x:c>
      <x:c r="M2328" s="6">
        <x:v>0</x:v>
      </x:c>
      <x:c r="N2328" s="6">
        <x:f t="shared" si="115"/>
        <x:v>3097.48</x:v>
      </x:c>
    </x:row>
    <x:row r="2329" spans="1:14" x14ac:dyDescent="0.25">
      <x:c r="A2329" t="s">
        <x:v>34</x:v>
      </x:c>
      <x:c r="B2329" s="3" t="s">
        <x:v>247</x:v>
      </x:c>
      <x:c r="C2329" s="3" t="s">
        <x:v>562</x:v>
      </x:c>
      <x:c r="D2329" t="s">
        <x:v>676</x:v>
      </x:c>
      <x:c r="E2329" s="6">
        <x:v>0</x:v>
      </x:c>
      <x:c r="F2329" s="6">
        <x:v>0</x:v>
      </x:c>
      <x:c r="G2329" s="6">
        <x:v>0</x:v>
      </x:c>
      <x:c r="H2329" s="6">
        <x:f t="shared" si="113"/>
        <x:v>0</x:v>
      </x:c>
      <x:c r="I2329" s="6">
        <x:v>0</x:v>
      </x:c>
      <x:c r="J2329" s="6">
        <x:v>0</x:v>
      </x:c>
      <x:c r="K2329" s="6">
        <x:f t="shared" si="114"/>
        <x:v>0</x:v>
      </x:c>
      <x:c r="L2329" s="6">
        <x:v>6160.34</x:v>
      </x:c>
      <x:c r="M2329" s="6">
        <x:v>0</x:v>
      </x:c>
      <x:c r="N2329" s="6">
        <x:f t="shared" si="115"/>
        <x:v>6160.34</x:v>
      </x:c>
    </x:row>
    <x:row r="2330" spans="1:14" x14ac:dyDescent="0.25">
      <x:c r="A2330" t="s">
        <x:v>34</x:v>
      </x:c>
      <x:c r="B2330" s="3" t="s">
        <x:v>112</x:v>
      </x:c>
      <x:c r="C2330" s="3" t="s">
        <x:v>429</x:v>
      </x:c>
      <x:c r="D2330" t="s">
        <x:v>676</x:v>
      </x:c>
      <x:c r="E2330" s="6">
        <x:v>0</x:v>
      </x:c>
      <x:c r="F2330" s="6">
        <x:v>0</x:v>
      </x:c>
      <x:c r="G2330" s="6">
        <x:v>0</x:v>
      </x:c>
      <x:c r="H2330" s="6">
        <x:f t="shared" si="113"/>
        <x:v>0</x:v>
      </x:c>
      <x:c r="I2330" s="6">
        <x:v>0</x:v>
      </x:c>
      <x:c r="J2330" s="6">
        <x:v>0</x:v>
      </x:c>
      <x:c r="K2330" s="6">
        <x:f t="shared" si="114"/>
        <x:v>0</x:v>
      </x:c>
      <x:c r="L2330" s="6">
        <x:v>37854.14</x:v>
      </x:c>
      <x:c r="M2330" s="6">
        <x:v>0</x:v>
      </x:c>
      <x:c r="N2330" s="6">
        <x:f t="shared" si="115"/>
        <x:v>37854.14</x:v>
      </x:c>
    </x:row>
    <x:row r="2331" spans="1:14" x14ac:dyDescent="0.25">
      <x:c r="A2331" t="s">
        <x:v>34</x:v>
      </x:c>
      <x:c r="B2331" s="3" t="s">
        <x:v>113</x:v>
      </x:c>
      <x:c r="C2331" s="3" t="s">
        <x:v>430</x:v>
      </x:c>
      <x:c r="D2331" t="s">
        <x:v>676</x:v>
      </x:c>
      <x:c r="E2331" s="6">
        <x:v>0</x:v>
      </x:c>
      <x:c r="F2331" s="6">
        <x:v>0</x:v>
      </x:c>
      <x:c r="G2331" s="6">
        <x:v>0</x:v>
      </x:c>
      <x:c r="H2331" s="6">
        <x:f t="shared" si="113"/>
        <x:v>0</x:v>
      </x:c>
      <x:c r="I2331" s="6">
        <x:v>0</x:v>
      </x:c>
      <x:c r="J2331" s="6">
        <x:v>0</x:v>
      </x:c>
      <x:c r="K2331" s="6">
        <x:f t="shared" si="114"/>
        <x:v>0</x:v>
      </x:c>
      <x:c r="L2331" s="6">
        <x:v>1493.03</x:v>
      </x:c>
      <x:c r="M2331" s="6">
        <x:v>0</x:v>
      </x:c>
      <x:c r="N2331" s="6">
        <x:f t="shared" si="115"/>
        <x:v>1493.03</x:v>
      </x:c>
    </x:row>
    <x:row r="2332" spans="1:14" x14ac:dyDescent="0.25">
      <x:c r="A2332" t="s">
        <x:v>34</x:v>
      </x:c>
      <x:c r="B2332" s="3" t="s">
        <x:v>249</x:v>
      </x:c>
      <x:c r="C2332" s="3" t="s">
        <x:v>564</x:v>
      </x:c>
      <x:c r="D2332" t="s">
        <x:v>676</x:v>
      </x:c>
      <x:c r="E2332" s="6">
        <x:v>0</x:v>
      </x:c>
      <x:c r="F2332" s="6">
        <x:v>0</x:v>
      </x:c>
      <x:c r="G2332" s="6">
        <x:v>0</x:v>
      </x:c>
      <x:c r="H2332" s="6">
        <x:f t="shared" si="113"/>
        <x:v>0</x:v>
      </x:c>
      <x:c r="I2332" s="6">
        <x:v>0</x:v>
      </x:c>
      <x:c r="J2332" s="6">
        <x:v>0</x:v>
      </x:c>
      <x:c r="K2332" s="6">
        <x:f t="shared" si="114"/>
        <x:v>0</x:v>
      </x:c>
      <x:c r="L2332" s="6">
        <x:v>414.66</x:v>
      </x:c>
      <x:c r="M2332" s="6">
        <x:v>0</x:v>
      </x:c>
      <x:c r="N2332" s="6">
        <x:f t="shared" si="115"/>
        <x:v>414.66</x:v>
      </x:c>
    </x:row>
    <x:row r="2333" spans="1:14" x14ac:dyDescent="0.25">
      <x:c r="A2333" t="s">
        <x:v>34</x:v>
      </x:c>
      <x:c r="B2333" s="3" t="s">
        <x:v>44</x:v>
      </x:c>
      <x:c r="C2333" s="3" t="s">
        <x:v>361</x:v>
      </x:c>
      <x:c r="D2333" t="s">
        <x:v>676</x:v>
      </x:c>
      <x:c r="E2333" s="6">
        <x:v>0</x:v>
      </x:c>
      <x:c r="F2333" s="6">
        <x:v>0</x:v>
      </x:c>
      <x:c r="G2333" s="6">
        <x:v>0</x:v>
      </x:c>
      <x:c r="H2333" s="6">
        <x:f t="shared" si="113"/>
        <x:v>0</x:v>
      </x:c>
      <x:c r="I2333" s="6">
        <x:v>0</x:v>
      </x:c>
      <x:c r="J2333" s="6">
        <x:v>0</x:v>
      </x:c>
      <x:c r="K2333" s="6">
        <x:f t="shared" si="114"/>
        <x:v>0</x:v>
      </x:c>
      <x:c r="L2333" s="6">
        <x:v>65825.430000000008</x:v>
      </x:c>
      <x:c r="M2333" s="6">
        <x:v>0</x:v>
      </x:c>
      <x:c r="N2333" s="6">
        <x:f t="shared" si="115"/>
        <x:v>65825.430000000008</x:v>
      </x:c>
    </x:row>
    <x:row r="2334" spans="1:14" x14ac:dyDescent="0.25">
      <x:c r="A2334" t="s">
        <x:v>34</x:v>
      </x:c>
      <x:c r="B2334" s="3" t="s">
        <x:v>251</x:v>
      </x:c>
      <x:c r="C2334" s="3" t="s">
        <x:v>566</x:v>
      </x:c>
      <x:c r="D2334" t="s">
        <x:v>676</x:v>
      </x:c>
      <x:c r="E2334" s="6">
        <x:v>0</x:v>
      </x:c>
      <x:c r="F2334" s="6">
        <x:v>0</x:v>
      </x:c>
      <x:c r="G2334" s="6">
        <x:v>0</x:v>
      </x:c>
      <x:c r="H2334" s="6">
        <x:f t="shared" si="113"/>
        <x:v>0</x:v>
      </x:c>
      <x:c r="I2334" s="6">
        <x:v>0</x:v>
      </x:c>
      <x:c r="J2334" s="6">
        <x:v>0</x:v>
      </x:c>
      <x:c r="K2334" s="6">
        <x:f t="shared" si="114"/>
        <x:v>0</x:v>
      </x:c>
      <x:c r="L2334" s="6">
        <x:v>2422.4699999999998</x:v>
      </x:c>
      <x:c r="M2334" s="6">
        <x:v>0</x:v>
      </x:c>
      <x:c r="N2334" s="6">
        <x:f t="shared" si="115"/>
        <x:v>2422.4699999999998</x:v>
      </x:c>
    </x:row>
    <x:row r="2335" spans="1:14" x14ac:dyDescent="0.25">
      <x:c r="A2335" t="s">
        <x:v>34</x:v>
      </x:c>
      <x:c r="B2335" s="3" t="s">
        <x:v>252</x:v>
      </x:c>
      <x:c r="C2335" s="3" t="s">
        <x:v>567</x:v>
      </x:c>
      <x:c r="D2335" t="s">
        <x:v>676</x:v>
      </x:c>
      <x:c r="E2335" s="6">
        <x:v>0</x:v>
      </x:c>
      <x:c r="F2335" s="6">
        <x:v>0</x:v>
      </x:c>
      <x:c r="G2335" s="6">
        <x:v>0</x:v>
      </x:c>
      <x:c r="H2335" s="6">
        <x:f t="shared" ref="H2335:H2398" si="116">SUM(E2335:G2335)</x:f>
        <x:v>0</x:v>
      </x:c>
      <x:c r="I2335" s="6">
        <x:v>0</x:v>
      </x:c>
      <x:c r="J2335" s="6">
        <x:v>0</x:v>
      </x:c>
      <x:c r="K2335" s="6">
        <x:f t="shared" ref="K2335:K2398" si="117">SUM(I2335:J2335)</x:f>
        <x:v>0</x:v>
      </x:c>
      <x:c r="L2335" s="6">
        <x:v>6774.17</x:v>
      </x:c>
      <x:c r="M2335" s="6">
        <x:v>0</x:v>
      </x:c>
      <x:c r="N2335" s="6">
        <x:f t="shared" ref="N2335:N2398" si="118">+E2335+F2335+G2335+I2335+J2335+L2335+M2335</x:f>
        <x:v>6774.17</x:v>
      </x:c>
    </x:row>
    <x:row r="2336" spans="1:14" x14ac:dyDescent="0.25">
      <x:c r="A2336" t="s">
        <x:v>34</x:v>
      </x:c>
      <x:c r="B2336" s="3" t="s">
        <x:v>114</x:v>
      </x:c>
      <x:c r="C2336" s="3" t="s">
        <x:v>431</x:v>
      </x:c>
      <x:c r="D2336" t="s">
        <x:v>676</x:v>
      </x:c>
      <x:c r="E2336" s="6">
        <x:v>0</x:v>
      </x:c>
      <x:c r="F2336" s="6">
        <x:v>0</x:v>
      </x:c>
      <x:c r="G2336" s="6">
        <x:v>0</x:v>
      </x:c>
      <x:c r="H2336" s="6">
        <x:f t="shared" si="116"/>
        <x:v>0</x:v>
      </x:c>
      <x:c r="I2336" s="6">
        <x:v>0</x:v>
      </x:c>
      <x:c r="J2336" s="6">
        <x:v>0</x:v>
      </x:c>
      <x:c r="K2336" s="6">
        <x:f t="shared" si="117"/>
        <x:v>0</x:v>
      </x:c>
      <x:c r="L2336" s="6">
        <x:v>3780.46</x:v>
      </x:c>
      <x:c r="M2336" s="6">
        <x:v>0</x:v>
      </x:c>
      <x:c r="N2336" s="6">
        <x:f t="shared" si="118"/>
        <x:v>3780.46</x:v>
      </x:c>
    </x:row>
    <x:row r="2337" spans="1:14" x14ac:dyDescent="0.25">
      <x:c r="A2337" t="s">
        <x:v>34</x:v>
      </x:c>
      <x:c r="B2337" s="3" t="s">
        <x:v>115</x:v>
      </x:c>
      <x:c r="C2337" s="3" t="s">
        <x:v>432</x:v>
      </x:c>
      <x:c r="D2337" t="s">
        <x:v>676</x:v>
      </x:c>
      <x:c r="E2337" s="6">
        <x:v>0</x:v>
      </x:c>
      <x:c r="F2337" s="6">
        <x:v>0</x:v>
      </x:c>
      <x:c r="G2337" s="6">
        <x:v>0</x:v>
      </x:c>
      <x:c r="H2337" s="6">
        <x:f t="shared" si="116"/>
        <x:v>0</x:v>
      </x:c>
      <x:c r="I2337" s="6">
        <x:v>0</x:v>
      </x:c>
      <x:c r="J2337" s="6">
        <x:v>0</x:v>
      </x:c>
      <x:c r="K2337" s="6">
        <x:f t="shared" si="117"/>
        <x:v>0</x:v>
      </x:c>
      <x:c r="L2337" s="6">
        <x:v>19333.16</x:v>
      </x:c>
      <x:c r="M2337" s="6">
        <x:v>0</x:v>
      </x:c>
      <x:c r="N2337" s="6">
        <x:f t="shared" si="118"/>
        <x:v>19333.16</x:v>
      </x:c>
    </x:row>
    <x:row r="2338" spans="1:14" x14ac:dyDescent="0.25">
      <x:c r="A2338" t="s">
        <x:v>34</x:v>
      </x:c>
      <x:c r="B2338" s="3" t="s">
        <x:v>116</x:v>
      </x:c>
      <x:c r="C2338" s="3" t="s">
        <x:v>433</x:v>
      </x:c>
      <x:c r="D2338" t="s">
        <x:v>676</x:v>
      </x:c>
      <x:c r="E2338" s="6">
        <x:v>0</x:v>
      </x:c>
      <x:c r="F2338" s="6">
        <x:v>0</x:v>
      </x:c>
      <x:c r="G2338" s="6">
        <x:v>0</x:v>
      </x:c>
      <x:c r="H2338" s="6">
        <x:f t="shared" si="116"/>
        <x:v>0</x:v>
      </x:c>
      <x:c r="I2338" s="6">
        <x:v>0</x:v>
      </x:c>
      <x:c r="J2338" s="6">
        <x:v>0</x:v>
      </x:c>
      <x:c r="K2338" s="6">
        <x:f t="shared" si="117"/>
        <x:v>0</x:v>
      </x:c>
      <x:c r="L2338" s="6">
        <x:v>16526.28</x:v>
      </x:c>
      <x:c r="M2338" s="6">
        <x:v>0</x:v>
      </x:c>
      <x:c r="N2338" s="6">
        <x:f t="shared" si="118"/>
        <x:v>16526.28</x:v>
      </x:c>
    </x:row>
    <x:row r="2339" spans="1:14" x14ac:dyDescent="0.25">
      <x:c r="A2339" t="s">
        <x:v>34</x:v>
      </x:c>
      <x:c r="B2339" s="3" t="s">
        <x:v>255</x:v>
      </x:c>
      <x:c r="C2339" s="3" t="s">
        <x:v>570</x:v>
      </x:c>
      <x:c r="D2339" t="s">
        <x:v>676</x:v>
      </x:c>
      <x:c r="E2339" s="6">
        <x:v>0</x:v>
      </x:c>
      <x:c r="F2339" s="6">
        <x:v>0</x:v>
      </x:c>
      <x:c r="G2339" s="6">
        <x:v>0</x:v>
      </x:c>
      <x:c r="H2339" s="6">
        <x:f t="shared" si="116"/>
        <x:v>0</x:v>
      </x:c>
      <x:c r="I2339" s="6">
        <x:v>0</x:v>
      </x:c>
      <x:c r="J2339" s="6">
        <x:v>0</x:v>
      </x:c>
      <x:c r="K2339" s="6">
        <x:f t="shared" si="117"/>
        <x:v>0</x:v>
      </x:c>
      <x:c r="L2339" s="6">
        <x:v>18714.030000000002</x:v>
      </x:c>
      <x:c r="M2339" s="6">
        <x:v>0</x:v>
      </x:c>
      <x:c r="N2339" s="6">
        <x:f t="shared" si="118"/>
        <x:v>18714.030000000002</x:v>
      </x:c>
    </x:row>
    <x:row r="2340" spans="1:14" x14ac:dyDescent="0.25">
      <x:c r="A2340" t="s">
        <x:v>34</x:v>
      </x:c>
      <x:c r="B2340" s="3" t="s">
        <x:v>256</x:v>
      </x:c>
      <x:c r="C2340" s="3" t="s">
        <x:v>571</x:v>
      </x:c>
      <x:c r="D2340" t="s">
        <x:v>676</x:v>
      </x:c>
      <x:c r="E2340" s="6">
        <x:v>0</x:v>
      </x:c>
      <x:c r="F2340" s="6">
        <x:v>0</x:v>
      </x:c>
      <x:c r="G2340" s="6">
        <x:v>0</x:v>
      </x:c>
      <x:c r="H2340" s="6">
        <x:f t="shared" si="116"/>
        <x:v>0</x:v>
      </x:c>
      <x:c r="I2340" s="6">
        <x:v>0</x:v>
      </x:c>
      <x:c r="J2340" s="6">
        <x:v>0</x:v>
      </x:c>
      <x:c r="K2340" s="6">
        <x:f t="shared" si="117"/>
        <x:v>0</x:v>
      </x:c>
      <x:c r="L2340" s="6">
        <x:v>788.17</x:v>
      </x:c>
      <x:c r="M2340" s="6">
        <x:v>0</x:v>
      </x:c>
      <x:c r="N2340" s="6">
        <x:f t="shared" si="118"/>
        <x:v>788.17</x:v>
      </x:c>
    </x:row>
    <x:row r="2341" spans="1:14" x14ac:dyDescent="0.25">
      <x:c r="A2341" t="s">
        <x:v>34</x:v>
      </x:c>
      <x:c r="B2341" s="3" t="s">
        <x:v>228</x:v>
      </x:c>
      <x:c r="C2341" s="3" t="s">
        <x:v>543</x:v>
      </x:c>
      <x:c r="D2341" t="s">
        <x:v>676</x:v>
      </x:c>
      <x:c r="E2341" s="6">
        <x:v>0</x:v>
      </x:c>
      <x:c r="F2341" s="6">
        <x:v>0</x:v>
      </x:c>
      <x:c r="G2341" s="6">
        <x:v>0</x:v>
      </x:c>
      <x:c r="H2341" s="6">
        <x:f t="shared" si="116"/>
        <x:v>0</x:v>
      </x:c>
      <x:c r="I2341" s="6">
        <x:v>0</x:v>
      </x:c>
      <x:c r="J2341" s="6">
        <x:v>0</x:v>
      </x:c>
      <x:c r="K2341" s="6">
        <x:f t="shared" si="117"/>
        <x:v>0</x:v>
      </x:c>
      <x:c r="L2341" s="6">
        <x:v>562.21</x:v>
      </x:c>
      <x:c r="M2341" s="6">
        <x:v>0</x:v>
      </x:c>
      <x:c r="N2341" s="6">
        <x:f t="shared" si="118"/>
        <x:v>562.21</x:v>
      </x:c>
    </x:row>
    <x:row r="2342" spans="1:14" x14ac:dyDescent="0.25">
      <x:c r="A2342" t="s">
        <x:v>34</x:v>
      </x:c>
      <x:c r="B2342" s="3" t="s">
        <x:v>259</x:v>
      </x:c>
      <x:c r="C2342" s="3" t="s">
        <x:v>574</x:v>
      </x:c>
      <x:c r="D2342" t="s">
        <x:v>676</x:v>
      </x:c>
      <x:c r="E2342" s="6">
        <x:v>0</x:v>
      </x:c>
      <x:c r="F2342" s="6">
        <x:v>0</x:v>
      </x:c>
      <x:c r="G2342" s="6">
        <x:v>0</x:v>
      </x:c>
      <x:c r="H2342" s="6">
        <x:f t="shared" si="116"/>
        <x:v>0</x:v>
      </x:c>
      <x:c r="I2342" s="6">
        <x:v>0</x:v>
      </x:c>
      <x:c r="J2342" s="6">
        <x:v>0</x:v>
      </x:c>
      <x:c r="K2342" s="6">
        <x:f t="shared" si="117"/>
        <x:v>0</x:v>
      </x:c>
      <x:c r="L2342" s="6">
        <x:v>394.72</x:v>
      </x:c>
      <x:c r="M2342" s="6">
        <x:v>0</x:v>
      </x:c>
      <x:c r="N2342" s="6">
        <x:f t="shared" si="118"/>
        <x:v>394.72</x:v>
      </x:c>
    </x:row>
    <x:row r="2343" spans="1:14" x14ac:dyDescent="0.25">
      <x:c r="A2343" t="s">
        <x:v>34</x:v>
      </x:c>
      <x:c r="B2343" s="3" t="s">
        <x:v>117</x:v>
      </x:c>
      <x:c r="C2343" s="3" t="s">
        <x:v>434</x:v>
      </x:c>
      <x:c r="D2343" t="s">
        <x:v>676</x:v>
      </x:c>
      <x:c r="E2343" s="6">
        <x:v>0</x:v>
      </x:c>
      <x:c r="F2343" s="6">
        <x:v>0</x:v>
      </x:c>
      <x:c r="G2343" s="6">
        <x:v>0</x:v>
      </x:c>
      <x:c r="H2343" s="6">
        <x:f t="shared" si="116"/>
        <x:v>0</x:v>
      </x:c>
      <x:c r="I2343" s="6">
        <x:v>0</x:v>
      </x:c>
      <x:c r="J2343" s="6">
        <x:v>0</x:v>
      </x:c>
      <x:c r="K2343" s="6">
        <x:f t="shared" si="117"/>
        <x:v>0</x:v>
      </x:c>
      <x:c r="L2343" s="6">
        <x:v>44491.63</x:v>
      </x:c>
      <x:c r="M2343" s="6">
        <x:v>0</x:v>
      </x:c>
      <x:c r="N2343" s="6">
        <x:f t="shared" si="118"/>
        <x:v>44491.63</x:v>
      </x:c>
    </x:row>
    <x:row r="2344" spans="1:14" x14ac:dyDescent="0.25">
      <x:c r="A2344" t="s">
        <x:v>34</x:v>
      </x:c>
      <x:c r="B2344" s="3" t="s">
        <x:v>118</x:v>
      </x:c>
      <x:c r="C2344" s="3" t="s">
        <x:v>435</x:v>
      </x:c>
      <x:c r="D2344" t="s">
        <x:v>676</x:v>
      </x:c>
      <x:c r="E2344" s="6">
        <x:v>0</x:v>
      </x:c>
      <x:c r="F2344" s="6">
        <x:v>0</x:v>
      </x:c>
      <x:c r="G2344" s="6">
        <x:v>0</x:v>
      </x:c>
      <x:c r="H2344" s="6">
        <x:f t="shared" si="116"/>
        <x:v>0</x:v>
      </x:c>
      <x:c r="I2344" s="6">
        <x:v>-258.67</x:v>
      </x:c>
      <x:c r="J2344" s="6">
        <x:v>0</x:v>
      </x:c>
      <x:c r="K2344" s="6">
        <x:f t="shared" si="117"/>
        <x:v>-258.67</x:v>
      </x:c>
      <x:c r="L2344" s="6">
        <x:v>0</x:v>
      </x:c>
      <x:c r="M2344" s="6">
        <x:v>0</x:v>
      </x:c>
      <x:c r="N2344" s="6">
        <x:f t="shared" si="118"/>
        <x:v>-258.67</x:v>
      </x:c>
    </x:row>
    <x:row r="2345" spans="1:14" x14ac:dyDescent="0.25">
      <x:c r="A2345" t="s">
        <x:v>34</x:v>
      </x:c>
      <x:c r="B2345" s="3" t="s">
        <x:v>229</x:v>
      </x:c>
      <x:c r="C2345" s="3" t="s">
        <x:v>544</x:v>
      </x:c>
      <x:c r="D2345" t="s">
        <x:v>676</x:v>
      </x:c>
      <x:c r="E2345" s="6">
        <x:v>0</x:v>
      </x:c>
      <x:c r="F2345" s="6">
        <x:v>0</x:v>
      </x:c>
      <x:c r="G2345" s="6">
        <x:v>0</x:v>
      </x:c>
      <x:c r="H2345" s="6">
        <x:f t="shared" si="116"/>
        <x:v>0</x:v>
      </x:c>
      <x:c r="I2345" s="6">
        <x:v>3312.33</x:v>
      </x:c>
      <x:c r="J2345" s="6">
        <x:v>0</x:v>
      </x:c>
      <x:c r="K2345" s="6">
        <x:f t="shared" si="117"/>
        <x:v>3312.33</x:v>
      </x:c>
      <x:c r="L2345" s="6">
        <x:v>0</x:v>
      </x:c>
      <x:c r="M2345" s="6">
        <x:v>0</x:v>
      </x:c>
      <x:c r="N2345" s="6">
        <x:f t="shared" si="118"/>
        <x:v>3312.33</x:v>
      </x:c>
    </x:row>
    <x:row r="2346" spans="1:14" x14ac:dyDescent="0.25">
      <x:c r="A2346" t="s">
        <x:v>34</x:v>
      </x:c>
      <x:c r="B2346" s="3" t="s">
        <x:v>323</x:v>
      </x:c>
      <x:c r="C2346" s="3" t="s">
        <x:v>638</x:v>
      </x:c>
      <x:c r="D2346" t="s">
        <x:v>679</x:v>
      </x:c>
      <x:c r="E2346" s="6">
        <x:v>3893.7000000000003</x:v>
      </x:c>
      <x:c r="F2346" s="6">
        <x:v>0</x:v>
      </x:c>
      <x:c r="G2346" s="6">
        <x:v>0</x:v>
      </x:c>
      <x:c r="H2346" s="6">
        <x:f t="shared" si="116"/>
        <x:v>3893.7000000000003</x:v>
      </x:c>
      <x:c r="I2346" s="6">
        <x:v>10399.4</x:v>
      </x:c>
      <x:c r="J2346" s="6">
        <x:v>0</x:v>
      </x:c>
      <x:c r="K2346" s="6">
        <x:f t="shared" si="117"/>
        <x:v>10399.4</x:v>
      </x:c>
      <x:c r="L2346" s="6">
        <x:v>2908.1599999999994</x:v>
      </x:c>
      <x:c r="M2346" s="6">
        <x:v>119.5000000000007</x:v>
      </x:c>
      <x:c r="N2346" s="6">
        <x:f t="shared" si="118"/>
        <x:v>17320.759999999998</x:v>
      </x:c>
    </x:row>
    <x:row r="2347" spans="1:14" x14ac:dyDescent="0.25">
      <x:c r="A2347" t="s">
        <x:v>34</x:v>
      </x:c>
      <x:c r="B2347" s="3" t="s">
        <x:v>324</x:v>
      </x:c>
      <x:c r="C2347" s="3" t="s">
        <x:v>639</x:v>
      </x:c>
      <x:c r="D2347" t="s">
        <x:v>679</x:v>
      </x:c>
      <x:c r="E2347" s="6">
        <x:v>1189.05</x:v>
      </x:c>
      <x:c r="F2347" s="6">
        <x:v>0</x:v>
      </x:c>
      <x:c r="G2347" s="6">
        <x:v>0</x:v>
      </x:c>
      <x:c r="H2347" s="6">
        <x:f t="shared" si="116"/>
        <x:v>1189.05</x:v>
      </x:c>
      <x:c r="I2347" s="6">
        <x:v>3175.73</x:v>
      </x:c>
      <x:c r="J2347" s="6">
        <x:v>0</x:v>
      </x:c>
      <x:c r="K2347" s="6">
        <x:f t="shared" si="117"/>
        <x:v>3175.73</x:v>
      </x:c>
      <x:c r="L2347" s="6">
        <x:v>888.08</x:v>
      </x:c>
      <x:c r="M2347" s="6">
        <x:v>36.509999999999778</x:v>
      </x:c>
      <x:c r="N2347" s="6">
        <x:f t="shared" si="118"/>
        <x:v>5289.37</x:v>
      </x:c>
    </x:row>
    <x:row r="2348" spans="1:14" x14ac:dyDescent="0.25">
      <x:c r="A2348" t="s">
        <x:v>34</x:v>
      </x:c>
      <x:c r="B2348" s="3" t="s">
        <x:v>119</x:v>
      </x:c>
      <x:c r="C2348" s="3" t="s">
        <x:v>436</x:v>
      </x:c>
      <x:c r="D2348" t="s">
        <x:v>676</x:v>
      </x:c>
      <x:c r="E2348" s="6">
        <x:v>0</x:v>
      </x:c>
      <x:c r="F2348" s="6">
        <x:v>0</x:v>
      </x:c>
      <x:c r="G2348" s="6">
        <x:v>0</x:v>
      </x:c>
      <x:c r="H2348" s="6">
        <x:f t="shared" si="116"/>
        <x:v>0</x:v>
      </x:c>
      <x:c r="I2348" s="6">
        <x:v>3668.5699999999997</x:v>
      </x:c>
      <x:c r="J2348" s="6">
        <x:v>0</x:v>
      </x:c>
      <x:c r="K2348" s="6">
        <x:f t="shared" si="117"/>
        <x:v>3668.5699999999997</x:v>
      </x:c>
      <x:c r="L2348" s="6">
        <x:v>0</x:v>
      </x:c>
      <x:c r="M2348" s="6">
        <x:v>0</x:v>
      </x:c>
      <x:c r="N2348" s="6">
        <x:f t="shared" si="118"/>
        <x:v>3668.5699999999997</x:v>
      </x:c>
    </x:row>
    <x:row r="2349" spans="1:14" x14ac:dyDescent="0.25">
      <x:c r="A2349" t="s">
        <x:v>34</x:v>
      </x:c>
      <x:c r="B2349" s="3" t="s">
        <x:v>120</x:v>
      </x:c>
      <x:c r="C2349" s="3" t="s">
        <x:v>437</x:v>
      </x:c>
      <x:c r="D2349" t="s">
        <x:v>676</x:v>
      </x:c>
      <x:c r="E2349" s="6">
        <x:v>0</x:v>
      </x:c>
      <x:c r="F2349" s="6">
        <x:v>0</x:v>
      </x:c>
      <x:c r="G2349" s="6">
        <x:v>0</x:v>
      </x:c>
      <x:c r="H2349" s="6">
        <x:f t="shared" si="116"/>
        <x:v>0</x:v>
      </x:c>
      <x:c r="I2349" s="6">
        <x:v>517.47</x:v>
      </x:c>
      <x:c r="J2349" s="6">
        <x:v>0</x:v>
      </x:c>
      <x:c r="K2349" s="6">
        <x:f t="shared" si="117"/>
        <x:v>517.47</x:v>
      </x:c>
      <x:c r="L2349" s="6">
        <x:v>0</x:v>
      </x:c>
      <x:c r="M2349" s="6">
        <x:v>0</x:v>
      </x:c>
      <x:c r="N2349" s="6">
        <x:f t="shared" si="118"/>
        <x:v>517.47</x:v>
      </x:c>
    </x:row>
    <x:row r="2350" spans="1:14" x14ac:dyDescent="0.25">
      <x:c r="A2350" t="s">
        <x:v>34</x:v>
      </x:c>
      <x:c r="B2350" s="3" t="s">
        <x:v>121</x:v>
      </x:c>
      <x:c r="C2350" s="3" t="s">
        <x:v>438</x:v>
      </x:c>
      <x:c r="D2350" t="s">
        <x:v>676</x:v>
      </x:c>
      <x:c r="E2350" s="6">
        <x:v>0</x:v>
      </x:c>
      <x:c r="F2350" s="6">
        <x:v>0</x:v>
      </x:c>
      <x:c r="G2350" s="6">
        <x:v>0</x:v>
      </x:c>
      <x:c r="H2350" s="6">
        <x:f t="shared" si="116"/>
        <x:v>0</x:v>
      </x:c>
      <x:c r="I2350" s="6">
        <x:v>1342.94</x:v>
      </x:c>
      <x:c r="J2350" s="6">
        <x:v>0</x:v>
      </x:c>
      <x:c r="K2350" s="6">
        <x:f t="shared" si="117"/>
        <x:v>1342.94</x:v>
      </x:c>
      <x:c r="L2350" s="6">
        <x:v>0</x:v>
      </x:c>
      <x:c r="M2350" s="6">
        <x:v>0</x:v>
      </x:c>
      <x:c r="N2350" s="6">
        <x:f t="shared" si="118"/>
        <x:v>1342.94</x:v>
      </x:c>
    </x:row>
    <x:row r="2351" spans="1:14" x14ac:dyDescent="0.25">
      <x:c r="A2351" t="s">
        <x:v>34</x:v>
      </x:c>
      <x:c r="B2351" t="s">
        <x:v>690</x:v>
      </x:c>
      <x:c r="C2351" t="s">
        <x:v>691</x:v>
      </x:c>
      <x:c r="D2351" t="s">
        <x:v>832</x:v>
      </x:c>
      <x:c r="E2351" s="6">
        <x:v>130.60999999999999</x:v>
      </x:c>
      <x:c r="F2351" s="6">
        <x:v>0</x:v>
      </x:c>
      <x:c r="G2351" s="6">
        <x:v>0</x:v>
      </x:c>
      <x:c r="H2351" s="6">
        <x:f t="shared" si="116"/>
        <x:v>130.60999999999999</x:v>
      </x:c>
      <x:c r="I2351" s="6">
        <x:v>0</x:v>
      </x:c>
      <x:c r="J2351" s="6">
        <x:v>0</x:v>
      </x:c>
      <x:c r="K2351" s="6">
        <x:f t="shared" si="117"/>
        <x:v>0</x:v>
      </x:c>
      <x:c r="L2351" s="6">
        <x:v>0</x:v>
      </x:c>
      <x:c r="M2351" s="6">
        <x:v>0</x:v>
      </x:c>
      <x:c r="N2351" s="6">
        <x:f t="shared" si="118"/>
        <x:v>130.60999999999999</x:v>
      </x:c>
    </x:row>
    <x:row r="2352" spans="1:14" x14ac:dyDescent="0.25">
      <x:c r="A2352" t="s">
        <x:v>34</x:v>
      </x:c>
      <x:c r="B2352" t="s">
        <x:v>690</x:v>
      </x:c>
      <x:c r="C2352" t="s">
        <x:v>691</x:v>
      </x:c>
      <x:c r="D2352" t="s">
        <x:v>676</x:v>
      </x:c>
      <x:c r="E2352" s="6">
        <x:v>795.49</x:v>
      </x:c>
      <x:c r="F2352" s="6">
        <x:v>0</x:v>
      </x:c>
      <x:c r="G2352" s="6">
        <x:v>0</x:v>
      </x:c>
      <x:c r="H2352" s="6">
        <x:f t="shared" si="116"/>
        <x:v>795.49</x:v>
      </x:c>
      <x:c r="I2352" s="6">
        <x:v>4.59</x:v>
      </x:c>
      <x:c r="J2352" s="6">
        <x:v>0</x:v>
      </x:c>
      <x:c r="K2352" s="6">
        <x:f t="shared" si="117"/>
        <x:v>4.59</x:v>
      </x:c>
      <x:c r="L2352" s="6">
        <x:v>0</x:v>
      </x:c>
      <x:c r="M2352" s="6">
        <x:v>0</x:v>
      </x:c>
      <x:c r="N2352" s="6">
        <x:f t="shared" si="118"/>
        <x:v>800.08</x:v>
      </x:c>
    </x:row>
    <x:row r="2353" spans="1:14" x14ac:dyDescent="0.25">
      <x:c r="A2353" t="s">
        <x:v>34</x:v>
      </x:c>
      <x:c r="B2353" t="s">
        <x:v>799</x:v>
      </x:c>
      <x:c r="C2353" t="s">
        <x:v>800</x:v>
      </x:c>
      <x:c r="D2353" t="s">
        <x:v>676</x:v>
      </x:c>
      <x:c r="E2353" s="6">
        <x:v>254.4</x:v>
      </x:c>
      <x:c r="F2353" s="6">
        <x:v>0</x:v>
      </x:c>
      <x:c r="G2353" s="6">
        <x:v>0</x:v>
      </x:c>
      <x:c r="H2353" s="6">
        <x:f t="shared" si="116"/>
        <x:v>254.4</x:v>
      </x:c>
      <x:c r="I2353" s="6">
        <x:v>0</x:v>
      </x:c>
      <x:c r="J2353" s="6">
        <x:v>0</x:v>
      </x:c>
      <x:c r="K2353" s="6">
        <x:f t="shared" si="117"/>
        <x:v>0</x:v>
      </x:c>
      <x:c r="L2353" s="6">
        <x:v>0</x:v>
      </x:c>
      <x:c r="M2353" s="6">
        <x:v>0</x:v>
      </x:c>
      <x:c r="N2353" s="6">
        <x:f t="shared" si="118"/>
        <x:v>254.4</x:v>
      </x:c>
    </x:row>
    <x:row r="2354" spans="1:14" x14ac:dyDescent="0.25">
      <x:c r="A2354" t="s">
        <x:v>34</x:v>
      </x:c>
      <x:c r="B2354" t="s">
        <x:v>692</x:v>
      </x:c>
      <x:c r="C2354" t="s">
        <x:v>693</x:v>
      </x:c>
      <x:c r="D2354" t="s">
        <x:v>832</x:v>
      </x:c>
      <x:c r="E2354" s="6">
        <x:v>11815.14</x:v>
      </x:c>
      <x:c r="F2354" s="6">
        <x:v>0</x:v>
      </x:c>
      <x:c r="G2354" s="6">
        <x:v>0</x:v>
      </x:c>
      <x:c r="H2354" s="6">
        <x:f t="shared" si="116"/>
        <x:v>11815.14</x:v>
      </x:c>
      <x:c r="I2354" s="6">
        <x:v>0</x:v>
      </x:c>
      <x:c r="J2354" s="6">
        <x:v>0</x:v>
      </x:c>
      <x:c r="K2354" s="6">
        <x:f t="shared" si="117"/>
        <x:v>0</x:v>
      </x:c>
      <x:c r="L2354" s="6">
        <x:v>0</x:v>
      </x:c>
      <x:c r="M2354" s="6">
        <x:v>0</x:v>
      </x:c>
      <x:c r="N2354" s="6">
        <x:f t="shared" si="118"/>
        <x:v>11815.14</x:v>
      </x:c>
    </x:row>
    <x:row r="2355" spans="1:14" x14ac:dyDescent="0.25">
      <x:c r="A2355" t="s">
        <x:v>34</x:v>
      </x:c>
      <x:c r="B2355" t="s">
        <x:v>694</x:v>
      </x:c>
      <x:c r="C2355" t="s">
        <x:v>695</x:v>
      </x:c>
      <x:c r="D2355" t="s">
        <x:v>676</x:v>
      </x:c>
      <x:c r="E2355" s="6">
        <x:v>761.57999999999993</x:v>
      </x:c>
      <x:c r="F2355" s="6">
        <x:v>0</x:v>
      </x:c>
      <x:c r="G2355" s="6">
        <x:v>0</x:v>
      </x:c>
      <x:c r="H2355" s="6">
        <x:f t="shared" si="116"/>
        <x:v>761.57999999999993</x:v>
      </x:c>
      <x:c r="I2355" s="6">
        <x:v>262.44</x:v>
      </x:c>
      <x:c r="J2355" s="6">
        <x:v>0</x:v>
      </x:c>
      <x:c r="K2355" s="6">
        <x:f t="shared" si="117"/>
        <x:v>262.44</x:v>
      </x:c>
      <x:c r="L2355" s="6">
        <x:v>0</x:v>
      </x:c>
      <x:c r="M2355" s="6">
        <x:v>0</x:v>
      </x:c>
      <x:c r="N2355" s="6">
        <x:f t="shared" si="118"/>
        <x:v>1024.02</x:v>
      </x:c>
    </x:row>
    <x:row r="2356" spans="1:14" x14ac:dyDescent="0.25">
      <x:c r="A2356" t="s">
        <x:v>34</x:v>
      </x:c>
      <x:c r="B2356" t="s">
        <x:v>696</x:v>
      </x:c>
      <x:c r="C2356" t="s">
        <x:v>697</x:v>
      </x:c>
      <x:c r="D2356" t="s">
        <x:v>832</x:v>
      </x:c>
      <x:c r="E2356" s="6">
        <x:v>179.44</x:v>
      </x:c>
      <x:c r="F2356" s="6">
        <x:v>0</x:v>
      </x:c>
      <x:c r="G2356" s="6">
        <x:v>0</x:v>
      </x:c>
      <x:c r="H2356" s="6">
        <x:f t="shared" si="116"/>
        <x:v>179.44</x:v>
      </x:c>
      <x:c r="I2356" s="6">
        <x:v>0</x:v>
      </x:c>
      <x:c r="J2356" s="6">
        <x:v>0</x:v>
      </x:c>
      <x:c r="K2356" s="6">
        <x:f t="shared" si="117"/>
        <x:v>0</x:v>
      </x:c>
      <x:c r="L2356" s="6">
        <x:v>0</x:v>
      </x:c>
      <x:c r="M2356" s="6">
        <x:v>0</x:v>
      </x:c>
      <x:c r="N2356" s="6">
        <x:f t="shared" si="118"/>
        <x:v>179.44</x:v>
      </x:c>
    </x:row>
    <x:row r="2357" spans="1:14" x14ac:dyDescent="0.25">
      <x:c r="A2357" t="s">
        <x:v>34</x:v>
      </x:c>
      <x:c r="B2357" t="s">
        <x:v>696</x:v>
      </x:c>
      <x:c r="C2357" t="s">
        <x:v>697</x:v>
      </x:c>
      <x:c r="D2357" t="s">
        <x:v>676</x:v>
      </x:c>
      <x:c r="E2357" s="6">
        <x:v>759.44</x:v>
      </x:c>
      <x:c r="F2357" s="6">
        <x:v>0</x:v>
      </x:c>
      <x:c r="G2357" s="6">
        <x:v>0</x:v>
      </x:c>
      <x:c r="H2357" s="6">
        <x:f t="shared" si="116"/>
        <x:v>759.44</x:v>
      </x:c>
      <x:c r="I2357" s="6">
        <x:v>255.26</x:v>
      </x:c>
      <x:c r="J2357" s="6">
        <x:v>0</x:v>
      </x:c>
      <x:c r="K2357" s="6">
        <x:f t="shared" si="117"/>
        <x:v>255.26</x:v>
      </x:c>
      <x:c r="L2357" s="6">
        <x:v>0</x:v>
      </x:c>
      <x:c r="M2357" s="6">
        <x:v>0</x:v>
      </x:c>
      <x:c r="N2357" s="6">
        <x:f t="shared" si="118"/>
        <x:v>1014.7</x:v>
      </x:c>
    </x:row>
    <x:row r="2358" spans="1:14" x14ac:dyDescent="0.25">
      <x:c r="A2358" t="s">
        <x:v>34</x:v>
      </x:c>
      <x:c r="B2358" t="s">
        <x:v>782</x:v>
      </x:c>
      <x:c r="C2358" t="s">
        <x:v>783</x:v>
      </x:c>
      <x:c r="D2358" t="s">
        <x:v>832</x:v>
      </x:c>
      <x:c r="E2358" s="6">
        <x:v>2166.0100000000002</x:v>
      </x:c>
      <x:c r="F2358" s="6">
        <x:v>0</x:v>
      </x:c>
      <x:c r="G2358" s="6">
        <x:v>0</x:v>
      </x:c>
      <x:c r="H2358" s="6">
        <x:f t="shared" si="116"/>
        <x:v>2166.0100000000002</x:v>
      </x:c>
      <x:c r="I2358" s="6">
        <x:v>0</x:v>
      </x:c>
      <x:c r="J2358" s="6">
        <x:v>0</x:v>
      </x:c>
      <x:c r="K2358" s="6">
        <x:f t="shared" si="117"/>
        <x:v>0</x:v>
      </x:c>
      <x:c r="L2358" s="6">
        <x:v>0</x:v>
      </x:c>
      <x:c r="M2358" s="6">
        <x:v>0</x:v>
      </x:c>
      <x:c r="N2358" s="6">
        <x:f t="shared" si="118"/>
        <x:v>2166.0100000000002</x:v>
      </x:c>
    </x:row>
    <x:row r="2359" spans="1:14" x14ac:dyDescent="0.25">
      <x:c r="A2359" t="s">
        <x:v>34</x:v>
      </x:c>
      <x:c r="B2359" t="s">
        <x:v>782</x:v>
      </x:c>
      <x:c r="C2359" t="s">
        <x:v>783</x:v>
      </x:c>
      <x:c r="D2359" t="s">
        <x:v>676</x:v>
      </x:c>
      <x:c r="E2359" s="6">
        <x:v>-2535.29</x:v>
      </x:c>
      <x:c r="F2359" s="6">
        <x:v>0</x:v>
      </x:c>
      <x:c r="G2359" s="6">
        <x:v>0</x:v>
      </x:c>
      <x:c r="H2359" s="6">
        <x:f t="shared" si="116"/>
        <x:v>-2535.29</x:v>
      </x:c>
      <x:c r="I2359" s="6">
        <x:v>-566.6</x:v>
      </x:c>
      <x:c r="J2359" s="6">
        <x:v>0</x:v>
      </x:c>
      <x:c r="K2359" s="6">
        <x:f t="shared" si="117"/>
        <x:v>-566.6</x:v>
      </x:c>
      <x:c r="L2359" s="6">
        <x:v>0</x:v>
      </x:c>
      <x:c r="M2359" s="6">
        <x:v>0</x:v>
      </x:c>
      <x:c r="N2359" s="6">
        <x:f t="shared" si="118"/>
        <x:v>-3101.89</x:v>
      </x:c>
    </x:row>
    <x:row r="2360" spans="1:14" x14ac:dyDescent="0.25">
      <x:c r="A2360" t="s">
        <x:v>34</x:v>
      </x:c>
      <x:c r="B2360" t="s">
        <x:v>786</x:v>
      </x:c>
      <x:c r="C2360" t="s">
        <x:v>787</x:v>
      </x:c>
      <x:c r="D2360" t="s">
        <x:v>832</x:v>
      </x:c>
      <x:c r="E2360" s="6">
        <x:v>616.5</x:v>
      </x:c>
      <x:c r="F2360" s="6">
        <x:v>0</x:v>
      </x:c>
      <x:c r="G2360" s="6">
        <x:v>0</x:v>
      </x:c>
      <x:c r="H2360" s="6">
        <x:f t="shared" si="116"/>
        <x:v>616.5</x:v>
      </x:c>
      <x:c r="I2360" s="6">
        <x:v>0</x:v>
      </x:c>
      <x:c r="J2360" s="6">
        <x:v>0</x:v>
      </x:c>
      <x:c r="K2360" s="6">
        <x:f t="shared" si="117"/>
        <x:v>0</x:v>
      </x:c>
      <x:c r="L2360" s="6">
        <x:v>0</x:v>
      </x:c>
      <x:c r="M2360" s="6">
        <x:v>0</x:v>
      </x:c>
      <x:c r="N2360" s="6">
        <x:f t="shared" si="118"/>
        <x:v>616.5</x:v>
      </x:c>
    </x:row>
    <x:row r="2361" spans="1:14" x14ac:dyDescent="0.25">
      <x:c r="A2361" t="s">
        <x:v>34</x:v>
      </x:c>
      <x:c r="B2361" t="s">
        <x:v>698</x:v>
      </x:c>
      <x:c r="C2361" t="s">
        <x:v>699</x:v>
      </x:c>
      <x:c r="D2361" t="s">
        <x:v>676</x:v>
      </x:c>
      <x:c r="E2361" s="6">
        <x:v>409.09000000000003</x:v>
      </x:c>
      <x:c r="F2361" s="6">
        <x:v>0</x:v>
      </x:c>
      <x:c r="G2361" s="6">
        <x:v>0</x:v>
      </x:c>
      <x:c r="H2361" s="6">
        <x:f t="shared" si="116"/>
        <x:v>409.09000000000003</x:v>
      </x:c>
      <x:c r="I2361" s="6">
        <x:v>0</x:v>
      </x:c>
      <x:c r="J2361" s="6">
        <x:v>0</x:v>
      </x:c>
      <x:c r="K2361" s="6">
        <x:f t="shared" si="117"/>
        <x:v>0</x:v>
      </x:c>
      <x:c r="L2361" s="6">
        <x:v>0</x:v>
      </x:c>
      <x:c r="M2361" s="6">
        <x:v>0</x:v>
      </x:c>
      <x:c r="N2361" s="6">
        <x:f t="shared" si="118"/>
        <x:v>409.09000000000003</x:v>
      </x:c>
    </x:row>
    <x:row r="2362" spans="1:14" x14ac:dyDescent="0.25">
      <x:c r="A2362" t="s">
        <x:v>34</x:v>
      </x:c>
      <x:c r="B2362" t="s">
        <x:v>700</x:v>
      </x:c>
      <x:c r="C2362" t="s">
        <x:v>701</x:v>
      </x:c>
      <x:c r="D2362" t="s">
        <x:v>832</x:v>
      </x:c>
      <x:c r="E2362" s="6">
        <x:v>10824.300000000001</x:v>
      </x:c>
      <x:c r="F2362" s="6">
        <x:v>0</x:v>
      </x:c>
      <x:c r="G2362" s="6">
        <x:v>0</x:v>
      </x:c>
      <x:c r="H2362" s="6">
        <x:f t="shared" si="116"/>
        <x:v>10824.300000000001</x:v>
      </x:c>
      <x:c r="I2362" s="6">
        <x:v>0</x:v>
      </x:c>
      <x:c r="J2362" s="6">
        <x:v>0</x:v>
      </x:c>
      <x:c r="K2362" s="6">
        <x:f t="shared" si="117"/>
        <x:v>0</x:v>
      </x:c>
      <x:c r="L2362" s="6">
        <x:v>0</x:v>
      </x:c>
      <x:c r="M2362" s="6">
        <x:v>0</x:v>
      </x:c>
      <x:c r="N2362" s="6">
        <x:f t="shared" si="118"/>
        <x:v>10824.300000000001</x:v>
      </x:c>
    </x:row>
    <x:row r="2363" spans="1:14" x14ac:dyDescent="0.25">
      <x:c r="A2363" t="s">
        <x:v>34</x:v>
      </x:c>
      <x:c r="B2363" t="s">
        <x:v>702</x:v>
      </x:c>
      <x:c r="C2363" t="s">
        <x:v>703</x:v>
      </x:c>
      <x:c r="D2363" t="s">
        <x:v>832</x:v>
      </x:c>
      <x:c r="E2363" s="6">
        <x:v>12308.67</x:v>
      </x:c>
      <x:c r="F2363" s="6">
        <x:v>0</x:v>
      </x:c>
      <x:c r="G2363" s="6">
        <x:v>0</x:v>
      </x:c>
      <x:c r="H2363" s="6">
        <x:f t="shared" si="116"/>
        <x:v>12308.67</x:v>
      </x:c>
      <x:c r="I2363" s="6">
        <x:v>0</x:v>
      </x:c>
      <x:c r="J2363" s="6">
        <x:v>0</x:v>
      </x:c>
      <x:c r="K2363" s="6">
        <x:f t="shared" si="117"/>
        <x:v>0</x:v>
      </x:c>
      <x:c r="L2363" s="6">
        <x:v>0</x:v>
      </x:c>
      <x:c r="M2363" s="6">
        <x:v>0</x:v>
      </x:c>
      <x:c r="N2363" s="6">
        <x:f t="shared" si="118"/>
        <x:v>12308.67</x:v>
      </x:c>
    </x:row>
    <x:row r="2364" spans="1:14" x14ac:dyDescent="0.25">
      <x:c r="A2364" t="s">
        <x:v>34</x:v>
      </x:c>
      <x:c r="B2364" t="s">
        <x:v>704</x:v>
      </x:c>
      <x:c r="C2364" t="s">
        <x:v>705</x:v>
      </x:c>
      <x:c r="D2364" t="s">
        <x:v>832</x:v>
      </x:c>
      <x:c r="E2364" s="6">
        <x:v>9808.32</x:v>
      </x:c>
      <x:c r="F2364" s="6">
        <x:v>0</x:v>
      </x:c>
      <x:c r="G2364" s="6">
        <x:v>0</x:v>
      </x:c>
      <x:c r="H2364" s="6">
        <x:f t="shared" si="116"/>
        <x:v>9808.32</x:v>
      </x:c>
      <x:c r="I2364" s="6">
        <x:v>0</x:v>
      </x:c>
      <x:c r="J2364" s="6">
        <x:v>0</x:v>
      </x:c>
      <x:c r="K2364" s="6">
        <x:f t="shared" si="117"/>
        <x:v>0</x:v>
      </x:c>
      <x:c r="L2364" s="6">
        <x:v>0</x:v>
      </x:c>
      <x:c r="M2364" s="6">
        <x:v>0</x:v>
      </x:c>
      <x:c r="N2364" s="6">
        <x:f t="shared" si="118"/>
        <x:v>9808.32</x:v>
      </x:c>
    </x:row>
    <x:row r="2365" spans="1:14" x14ac:dyDescent="0.25">
      <x:c r="A2365" t="s">
        <x:v>34</x:v>
      </x:c>
      <x:c r="B2365" t="s">
        <x:v>706</x:v>
      </x:c>
      <x:c r="C2365" t="s">
        <x:v>707</x:v>
      </x:c>
      <x:c r="D2365" t="s">
        <x:v>676</x:v>
      </x:c>
      <x:c r="E2365" s="6">
        <x:v>354.66</x:v>
      </x:c>
      <x:c r="F2365" s="6">
        <x:v>0</x:v>
      </x:c>
      <x:c r="G2365" s="6">
        <x:v>0</x:v>
      </x:c>
      <x:c r="H2365" s="6">
        <x:f t="shared" si="116"/>
        <x:v>354.66</x:v>
      </x:c>
      <x:c r="I2365" s="6">
        <x:v>0</x:v>
      </x:c>
      <x:c r="J2365" s="6">
        <x:v>0</x:v>
      </x:c>
      <x:c r="K2365" s="6">
        <x:f t="shared" si="117"/>
        <x:v>0</x:v>
      </x:c>
      <x:c r="L2365" s="6">
        <x:v>0</x:v>
      </x:c>
      <x:c r="M2365" s="6">
        <x:v>0</x:v>
      </x:c>
      <x:c r="N2365" s="6">
        <x:f t="shared" si="118"/>
        <x:v>354.66</x:v>
      </x:c>
    </x:row>
    <x:row r="2366" spans="1:14" x14ac:dyDescent="0.25">
      <x:c r="A2366" t="s">
        <x:v>34</x:v>
      </x:c>
      <x:c r="B2366" t="s">
        <x:v>708</x:v>
      </x:c>
      <x:c r="C2366" t="s">
        <x:v>709</x:v>
      </x:c>
      <x:c r="D2366" t="s">
        <x:v>676</x:v>
      </x:c>
      <x:c r="E2366" s="6">
        <x:v>7034.88</x:v>
      </x:c>
      <x:c r="F2366" s="6">
        <x:v>0</x:v>
      </x:c>
      <x:c r="G2366" s="6">
        <x:v>0</x:v>
      </x:c>
      <x:c r="H2366" s="6">
        <x:f t="shared" si="116"/>
        <x:v>7034.88</x:v>
      </x:c>
      <x:c r="I2366" s="6">
        <x:v>1229.51</x:v>
      </x:c>
      <x:c r="J2366" s="6">
        <x:v>0</x:v>
      </x:c>
      <x:c r="K2366" s="6">
        <x:f t="shared" si="117"/>
        <x:v>1229.51</x:v>
      </x:c>
      <x:c r="L2366" s="6">
        <x:v>0</x:v>
      </x:c>
      <x:c r="M2366" s="6">
        <x:v>0</x:v>
      </x:c>
      <x:c r="N2366" s="6">
        <x:f t="shared" si="118"/>
        <x:v>8264.39</x:v>
      </x:c>
    </x:row>
    <x:row r="2367" spans="1:14" x14ac:dyDescent="0.25">
      <x:c r="A2367" t="s">
        <x:v>34</x:v>
      </x:c>
      <x:c r="B2367" t="s">
        <x:v>710</x:v>
      </x:c>
      <x:c r="C2367" t="s">
        <x:v>711</x:v>
      </x:c>
      <x:c r="D2367" t="s">
        <x:v>832</x:v>
      </x:c>
      <x:c r="E2367" s="6">
        <x:v>5769.25</x:v>
      </x:c>
      <x:c r="F2367" s="6">
        <x:v>0</x:v>
      </x:c>
      <x:c r="G2367" s="6">
        <x:v>0</x:v>
      </x:c>
      <x:c r="H2367" s="6">
        <x:f t="shared" si="116"/>
        <x:v>5769.25</x:v>
      </x:c>
      <x:c r="I2367" s="6">
        <x:v>0</x:v>
      </x:c>
      <x:c r="J2367" s="6">
        <x:v>0</x:v>
      </x:c>
      <x:c r="K2367" s="6">
        <x:f t="shared" si="117"/>
        <x:v>0</x:v>
      </x:c>
      <x:c r="L2367" s="6">
        <x:v>0</x:v>
      </x:c>
      <x:c r="M2367" s="6">
        <x:v>0</x:v>
      </x:c>
      <x:c r="N2367" s="6">
        <x:f t="shared" si="118"/>
        <x:v>5769.25</x:v>
      </x:c>
    </x:row>
    <x:row r="2368" spans="1:14" x14ac:dyDescent="0.25">
      <x:c r="A2368" t="s">
        <x:v>34</x:v>
      </x:c>
      <x:c r="B2368" t="s">
        <x:v>712</x:v>
      </x:c>
      <x:c r="C2368" t="s">
        <x:v>713</x:v>
      </x:c>
      <x:c r="D2368" t="s">
        <x:v>832</x:v>
      </x:c>
      <x:c r="E2368" s="6">
        <x:v>1235.78</x:v>
      </x:c>
      <x:c r="F2368" s="6">
        <x:v>0</x:v>
      </x:c>
      <x:c r="G2368" s="6">
        <x:v>0</x:v>
      </x:c>
      <x:c r="H2368" s="6">
        <x:f t="shared" si="116"/>
        <x:v>1235.78</x:v>
      </x:c>
      <x:c r="I2368" s="6">
        <x:v>0</x:v>
      </x:c>
      <x:c r="J2368" s="6">
        <x:v>0</x:v>
      </x:c>
      <x:c r="K2368" s="6">
        <x:f t="shared" si="117"/>
        <x:v>0</x:v>
      </x:c>
      <x:c r="L2368" s="6">
        <x:v>0</x:v>
      </x:c>
      <x:c r="M2368" s="6">
        <x:v>0</x:v>
      </x:c>
      <x:c r="N2368" s="6">
        <x:f t="shared" si="118"/>
        <x:v>1235.78</x:v>
      </x:c>
    </x:row>
    <x:row r="2369" spans="1:14" x14ac:dyDescent="0.25">
      <x:c r="A2369" t="s">
        <x:v>34</x:v>
      </x:c>
      <x:c r="B2369" t="s">
        <x:v>788</x:v>
      </x:c>
      <x:c r="C2369" t="s">
        <x:v>789</x:v>
      </x:c>
      <x:c r="D2369" t="s">
        <x:v>832</x:v>
      </x:c>
      <x:c r="E2369" s="6">
        <x:v>2473.3200000000002</x:v>
      </x:c>
      <x:c r="F2369" s="6">
        <x:v>0</x:v>
      </x:c>
      <x:c r="G2369" s="6">
        <x:v>0</x:v>
      </x:c>
      <x:c r="H2369" s="6">
        <x:f t="shared" si="116"/>
        <x:v>2473.3200000000002</x:v>
      </x:c>
      <x:c r="I2369" s="6">
        <x:v>0</x:v>
      </x:c>
      <x:c r="J2369" s="6">
        <x:v>0</x:v>
      </x:c>
      <x:c r="K2369" s="6">
        <x:f t="shared" si="117"/>
        <x:v>0</x:v>
      </x:c>
      <x:c r="L2369" s="6">
        <x:v>0</x:v>
      </x:c>
      <x:c r="M2369" s="6">
        <x:v>0</x:v>
      </x:c>
      <x:c r="N2369" s="6">
        <x:f t="shared" si="118"/>
        <x:v>2473.3200000000002</x:v>
      </x:c>
    </x:row>
    <x:row r="2370" spans="1:14" x14ac:dyDescent="0.25">
      <x:c r="A2370" t="s">
        <x:v>34</x:v>
      </x:c>
      <x:c r="B2370" t="s">
        <x:v>790</x:v>
      </x:c>
      <x:c r="C2370" t="s">
        <x:v>791</x:v>
      </x:c>
      <x:c r="D2370" t="s">
        <x:v>832</x:v>
      </x:c>
      <x:c r="E2370" s="6">
        <x:v>3091.59</x:v>
      </x:c>
      <x:c r="F2370" s="6">
        <x:v>0</x:v>
      </x:c>
      <x:c r="G2370" s="6">
        <x:v>0</x:v>
      </x:c>
      <x:c r="H2370" s="6">
        <x:f t="shared" si="116"/>
        <x:v>3091.59</x:v>
      </x:c>
      <x:c r="I2370" s="6">
        <x:v>0</x:v>
      </x:c>
      <x:c r="J2370" s="6">
        <x:v>0</x:v>
      </x:c>
      <x:c r="K2370" s="6">
        <x:f t="shared" si="117"/>
        <x:v>0</x:v>
      </x:c>
      <x:c r="L2370" s="6">
        <x:v>0</x:v>
      </x:c>
      <x:c r="M2370" s="6">
        <x:v>0</x:v>
      </x:c>
      <x:c r="N2370" s="6">
        <x:f t="shared" si="118"/>
        <x:v>3091.59</x:v>
      </x:c>
    </x:row>
    <x:row r="2371" spans="1:14" x14ac:dyDescent="0.25">
      <x:c r="A2371" t="s">
        <x:v>34</x:v>
      </x:c>
      <x:c r="B2371" t="s">
        <x:v>714</x:v>
      </x:c>
      <x:c r="C2371" t="s">
        <x:v>715</x:v>
      </x:c>
      <x:c r="D2371" t="s">
        <x:v>832</x:v>
      </x:c>
      <x:c r="E2371" s="6">
        <x:v>1626.8500000000001</x:v>
      </x:c>
      <x:c r="F2371" s="6">
        <x:v>0</x:v>
      </x:c>
      <x:c r="G2371" s="6">
        <x:v>0</x:v>
      </x:c>
      <x:c r="H2371" s="6">
        <x:f t="shared" si="116"/>
        <x:v>1626.8500000000001</x:v>
      </x:c>
      <x:c r="I2371" s="6">
        <x:v>0</x:v>
      </x:c>
      <x:c r="J2371" s="6">
        <x:v>0</x:v>
      </x:c>
      <x:c r="K2371" s="6">
        <x:f t="shared" si="117"/>
        <x:v>0</x:v>
      </x:c>
      <x:c r="L2371" s="6">
        <x:v>0</x:v>
      </x:c>
      <x:c r="M2371" s="6">
        <x:v>0</x:v>
      </x:c>
      <x:c r="N2371" s="6">
        <x:f t="shared" si="118"/>
        <x:v>1626.8500000000001</x:v>
      </x:c>
    </x:row>
    <x:row r="2372" spans="1:14" x14ac:dyDescent="0.25">
      <x:c r="A2372" t="s">
        <x:v>34</x:v>
      </x:c>
      <x:c r="B2372" t="s">
        <x:v>716</x:v>
      </x:c>
      <x:c r="C2372" t="s">
        <x:v>717</x:v>
      </x:c>
      <x:c r="D2372" t="s">
        <x:v>832</x:v>
      </x:c>
      <x:c r="E2372" s="6">
        <x:v>8769.4500000000007</x:v>
      </x:c>
      <x:c r="F2372" s="6">
        <x:v>0</x:v>
      </x:c>
      <x:c r="G2372" s="6">
        <x:v>0</x:v>
      </x:c>
      <x:c r="H2372" s="6">
        <x:f t="shared" si="116"/>
        <x:v>8769.4500000000007</x:v>
      </x:c>
      <x:c r="I2372" s="6">
        <x:v>0</x:v>
      </x:c>
      <x:c r="J2372" s="6">
        <x:v>0</x:v>
      </x:c>
      <x:c r="K2372" s="6">
        <x:f t="shared" si="117"/>
        <x:v>0</x:v>
      </x:c>
      <x:c r="L2372" s="6">
        <x:v>0</x:v>
      </x:c>
      <x:c r="M2372" s="6">
        <x:v>0</x:v>
      </x:c>
      <x:c r="N2372" s="6">
        <x:f t="shared" si="118"/>
        <x:v>8769.4500000000007</x:v>
      </x:c>
    </x:row>
    <x:row r="2373" spans="1:14" x14ac:dyDescent="0.25">
      <x:c r="A2373" t="s">
        <x:v>34</x:v>
      </x:c>
      <x:c r="B2373" t="s">
        <x:v>792</x:v>
      </x:c>
      <x:c r="C2373" t="s">
        <x:v>793</x:v>
      </x:c>
      <x:c r="D2373" t="s">
        <x:v>832</x:v>
      </x:c>
      <x:c r="E2373" s="6">
        <x:v>1931.84</x:v>
      </x:c>
      <x:c r="F2373" s="6">
        <x:v>0</x:v>
      </x:c>
      <x:c r="G2373" s="6">
        <x:v>0</x:v>
      </x:c>
      <x:c r="H2373" s="6">
        <x:f t="shared" si="116"/>
        <x:v>1931.84</x:v>
      </x:c>
      <x:c r="I2373" s="6">
        <x:v>0</x:v>
      </x:c>
      <x:c r="J2373" s="6">
        <x:v>0</x:v>
      </x:c>
      <x:c r="K2373" s="6">
        <x:f t="shared" si="117"/>
        <x:v>0</x:v>
      </x:c>
      <x:c r="L2373" s="6">
        <x:v>0</x:v>
      </x:c>
      <x:c r="M2373" s="6">
        <x:v>0</x:v>
      </x:c>
      <x:c r="N2373" s="6">
        <x:f t="shared" si="118"/>
        <x:v>1931.84</x:v>
      </x:c>
    </x:row>
    <x:row r="2374" spans="1:14" x14ac:dyDescent="0.25">
      <x:c r="A2374" t="s">
        <x:v>34</x:v>
      </x:c>
      <x:c r="B2374" t="s">
        <x:v>718</x:v>
      </x:c>
      <x:c r="C2374" t="s">
        <x:v>719</x:v>
      </x:c>
      <x:c r="D2374" t="s">
        <x:v>832</x:v>
      </x:c>
      <x:c r="E2374" s="6">
        <x:v>50</x:v>
      </x:c>
      <x:c r="F2374" s="6">
        <x:v>0</x:v>
      </x:c>
      <x:c r="G2374" s="6">
        <x:v>0</x:v>
      </x:c>
      <x:c r="H2374" s="6">
        <x:f t="shared" si="116"/>
        <x:v>50</x:v>
      </x:c>
      <x:c r="I2374" s="6">
        <x:v>0</x:v>
      </x:c>
      <x:c r="J2374" s="6">
        <x:v>0</x:v>
      </x:c>
      <x:c r="K2374" s="6">
        <x:f t="shared" si="117"/>
        <x:v>0</x:v>
      </x:c>
      <x:c r="L2374" s="6">
        <x:v>0</x:v>
      </x:c>
      <x:c r="M2374" s="6">
        <x:v>0</x:v>
      </x:c>
      <x:c r="N2374" s="6">
        <x:f t="shared" si="118"/>
        <x:v>50</x:v>
      </x:c>
    </x:row>
    <x:row r="2375" spans="1:14" x14ac:dyDescent="0.25">
      <x:c r="A2375" t="s">
        <x:v>34</x:v>
      </x:c>
      <x:c r="B2375" t="s">
        <x:v>718</x:v>
      </x:c>
      <x:c r="C2375" t="s">
        <x:v>719</x:v>
      </x:c>
      <x:c r="D2375" t="s">
        <x:v>676</x:v>
      </x:c>
      <x:c r="E2375" s="6">
        <x:v>-32.68</x:v>
      </x:c>
      <x:c r="F2375" s="6">
        <x:v>0</x:v>
      </x:c>
      <x:c r="G2375" s="6">
        <x:v>0</x:v>
      </x:c>
      <x:c r="H2375" s="6">
        <x:f t="shared" si="116"/>
        <x:v>-32.68</x:v>
      </x:c>
      <x:c r="I2375" s="6">
        <x:v>-5.59</x:v>
      </x:c>
      <x:c r="J2375" s="6">
        <x:v>0</x:v>
      </x:c>
      <x:c r="K2375" s="6">
        <x:f t="shared" si="117"/>
        <x:v>-5.59</x:v>
      </x:c>
      <x:c r="L2375" s="6">
        <x:v>0</x:v>
      </x:c>
      <x:c r="M2375" s="6">
        <x:v>0</x:v>
      </x:c>
      <x:c r="N2375" s="6">
        <x:f t="shared" si="118"/>
        <x:v>-38.269999999999996</x:v>
      </x:c>
    </x:row>
    <x:row r="2376" spans="1:14" x14ac:dyDescent="0.25">
      <x:c r="A2376" t="s">
        <x:v>34</x:v>
      </x:c>
      <x:c r="B2376" t="s">
        <x:v>720</x:v>
      </x:c>
      <x:c r="C2376" t="s">
        <x:v>721</x:v>
      </x:c>
      <x:c r="D2376" t="s">
        <x:v>832</x:v>
      </x:c>
      <x:c r="E2376" s="6">
        <x:v>2544.08</x:v>
      </x:c>
      <x:c r="F2376" s="6">
        <x:v>0</x:v>
      </x:c>
      <x:c r="G2376" s="6">
        <x:v>0</x:v>
      </x:c>
      <x:c r="H2376" s="6">
        <x:f t="shared" si="116"/>
        <x:v>2544.08</x:v>
      </x:c>
      <x:c r="I2376" s="6">
        <x:v>0</x:v>
      </x:c>
      <x:c r="J2376" s="6">
        <x:v>0</x:v>
      </x:c>
      <x:c r="K2376" s="6">
        <x:f t="shared" si="117"/>
        <x:v>0</x:v>
      </x:c>
      <x:c r="L2376" s="6">
        <x:v>0</x:v>
      </x:c>
      <x:c r="M2376" s="6">
        <x:v>0</x:v>
      </x:c>
      <x:c r="N2376" s="6">
        <x:f t="shared" si="118"/>
        <x:v>2544.08</x:v>
      </x:c>
    </x:row>
    <x:row r="2377" spans="1:14" x14ac:dyDescent="0.25">
      <x:c r="A2377" t="s">
        <x:v>34</x:v>
      </x:c>
      <x:c r="B2377" t="s">
        <x:v>722</x:v>
      </x:c>
      <x:c r="C2377" t="s">
        <x:v>723</x:v>
      </x:c>
      <x:c r="D2377" t="s">
        <x:v>832</x:v>
      </x:c>
      <x:c r="E2377" s="6">
        <x:v>2493.1</x:v>
      </x:c>
      <x:c r="F2377" s="6">
        <x:v>0</x:v>
      </x:c>
      <x:c r="G2377" s="6">
        <x:v>0</x:v>
      </x:c>
      <x:c r="H2377" s="6">
        <x:f t="shared" si="116"/>
        <x:v>2493.1</x:v>
      </x:c>
      <x:c r="I2377" s="6">
        <x:v>0</x:v>
      </x:c>
      <x:c r="J2377" s="6">
        <x:v>0</x:v>
      </x:c>
      <x:c r="K2377" s="6">
        <x:f t="shared" si="117"/>
        <x:v>0</x:v>
      </x:c>
      <x:c r="L2377" s="6">
        <x:v>0</x:v>
      </x:c>
      <x:c r="M2377" s="6">
        <x:v>0</x:v>
      </x:c>
      <x:c r="N2377" s="6">
        <x:f t="shared" si="118"/>
        <x:v>2493.1</x:v>
      </x:c>
    </x:row>
    <x:row r="2378" spans="1:14" x14ac:dyDescent="0.25">
      <x:c r="A2378" t="s">
        <x:v>34</x:v>
      </x:c>
      <x:c r="B2378" t="s">
        <x:v>724</x:v>
      </x:c>
      <x:c r="C2378" t="s">
        <x:v>725</x:v>
      </x:c>
      <x:c r="D2378" t="s">
        <x:v>832</x:v>
      </x:c>
      <x:c r="E2378" s="6">
        <x:v>24582.880000000001</x:v>
      </x:c>
      <x:c r="F2378" s="6">
        <x:v>0</x:v>
      </x:c>
      <x:c r="G2378" s="6">
        <x:v>0</x:v>
      </x:c>
      <x:c r="H2378" s="6">
        <x:f t="shared" si="116"/>
        <x:v>24582.880000000001</x:v>
      </x:c>
      <x:c r="I2378" s="6">
        <x:v>0</x:v>
      </x:c>
      <x:c r="J2378" s="6">
        <x:v>0</x:v>
      </x:c>
      <x:c r="K2378" s="6">
        <x:f t="shared" si="117"/>
        <x:v>0</x:v>
      </x:c>
      <x:c r="L2378" s="6">
        <x:v>0</x:v>
      </x:c>
      <x:c r="M2378" s="6">
        <x:v>0</x:v>
      </x:c>
      <x:c r="N2378" s="6">
        <x:f t="shared" si="118"/>
        <x:v>24582.880000000001</x:v>
      </x:c>
    </x:row>
    <x:row r="2379" spans="1:14" x14ac:dyDescent="0.25">
      <x:c r="A2379" t="s">
        <x:v>34</x:v>
      </x:c>
      <x:c r="B2379" t="s">
        <x:v>796</x:v>
      </x:c>
      <x:c r="C2379" t="s">
        <x:v>797</x:v>
      </x:c>
      <x:c r="D2379" t="s">
        <x:v>832</x:v>
      </x:c>
      <x:c r="E2379" s="6">
        <x:v>1239.48</x:v>
      </x:c>
      <x:c r="F2379" s="6">
        <x:v>0</x:v>
      </x:c>
      <x:c r="G2379" s="6">
        <x:v>0</x:v>
      </x:c>
      <x:c r="H2379" s="6">
        <x:f t="shared" si="116"/>
        <x:v>1239.48</x:v>
      </x:c>
      <x:c r="I2379" s="6">
        <x:v>0</x:v>
      </x:c>
      <x:c r="J2379" s="6">
        <x:v>0</x:v>
      </x:c>
      <x:c r="K2379" s="6">
        <x:f t="shared" si="117"/>
        <x:v>0</x:v>
      </x:c>
      <x:c r="L2379" s="6">
        <x:v>0</x:v>
      </x:c>
      <x:c r="M2379" s="6">
        <x:v>0</x:v>
      </x:c>
      <x:c r="N2379" s="6">
        <x:f t="shared" si="118"/>
        <x:v>1239.48</x:v>
      </x:c>
    </x:row>
    <x:row r="2380" spans="1:14" x14ac:dyDescent="0.25">
      <x:c r="A2380" t="s">
        <x:v>34</x:v>
      </x:c>
      <x:c r="B2380" t="s">
        <x:v>726</x:v>
      </x:c>
      <x:c r="C2380" t="s">
        <x:v>727</x:v>
      </x:c>
      <x:c r="D2380" t="s">
        <x:v>832</x:v>
      </x:c>
      <x:c r="E2380" s="6">
        <x:v>1292.68</x:v>
      </x:c>
      <x:c r="F2380" s="6">
        <x:v>0</x:v>
      </x:c>
      <x:c r="G2380" s="6">
        <x:v>0</x:v>
      </x:c>
      <x:c r="H2380" s="6">
        <x:f t="shared" si="116"/>
        <x:v>1292.68</x:v>
      </x:c>
      <x:c r="I2380" s="6">
        <x:v>0</x:v>
      </x:c>
      <x:c r="J2380" s="6">
        <x:v>0</x:v>
      </x:c>
      <x:c r="K2380" s="6">
        <x:f t="shared" si="117"/>
        <x:v>0</x:v>
      </x:c>
      <x:c r="L2380" s="6">
        <x:v>0</x:v>
      </x:c>
      <x:c r="M2380" s="6">
        <x:v>0</x:v>
      </x:c>
      <x:c r="N2380" s="6">
        <x:f t="shared" si="118"/>
        <x:v>1292.68</x:v>
      </x:c>
    </x:row>
    <x:row r="2381" spans="1:14" x14ac:dyDescent="0.25">
      <x:c r="A2381" t="s">
        <x:v>34</x:v>
      </x:c>
      <x:c r="B2381" t="s">
        <x:v>726</x:v>
      </x:c>
      <x:c r="C2381" t="s">
        <x:v>727</x:v>
      </x:c>
      <x:c r="D2381" t="s">
        <x:v>676</x:v>
      </x:c>
      <x:c r="E2381" s="6">
        <x:v>2046.34</x:v>
      </x:c>
      <x:c r="F2381" s="6">
        <x:v>0</x:v>
      </x:c>
      <x:c r="G2381" s="6">
        <x:v>0</x:v>
      </x:c>
      <x:c r="H2381" s="6">
        <x:f t="shared" si="116"/>
        <x:v>2046.34</x:v>
      </x:c>
      <x:c r="I2381" s="6">
        <x:v>1042.32</x:v>
      </x:c>
      <x:c r="J2381" s="6">
        <x:v>0</x:v>
      </x:c>
      <x:c r="K2381" s="6">
        <x:f t="shared" si="117"/>
        <x:v>1042.32</x:v>
      </x:c>
      <x:c r="L2381" s="6">
        <x:v>0</x:v>
      </x:c>
      <x:c r="M2381" s="6">
        <x:v>0</x:v>
      </x:c>
      <x:c r="N2381" s="6">
        <x:f t="shared" si="118"/>
        <x:v>3088.66</x:v>
      </x:c>
    </x:row>
    <x:row r="2382" spans="1:14" x14ac:dyDescent="0.25">
      <x:c r="A2382" t="s">
        <x:v>34</x:v>
      </x:c>
      <x:c r="B2382" t="s">
        <x:v>728</x:v>
      </x:c>
      <x:c r="C2382" t="s">
        <x:v>729</x:v>
      </x:c>
      <x:c r="D2382" t="s">
        <x:v>676</x:v>
      </x:c>
      <x:c r="E2382" s="6">
        <x:v>4465.01</x:v>
      </x:c>
      <x:c r="F2382" s="6">
        <x:v>0</x:v>
      </x:c>
      <x:c r="G2382" s="6">
        <x:v>0</x:v>
      </x:c>
      <x:c r="H2382" s="6">
        <x:f t="shared" si="116"/>
        <x:v>4465.01</x:v>
      </x:c>
      <x:c r="I2382" s="6">
        <x:v>0</x:v>
      </x:c>
      <x:c r="J2382" s="6">
        <x:v>0</x:v>
      </x:c>
      <x:c r="K2382" s="6">
        <x:f t="shared" si="117"/>
        <x:v>0</x:v>
      </x:c>
      <x:c r="L2382" s="6">
        <x:v>0</x:v>
      </x:c>
      <x:c r="M2382" s="6">
        <x:v>0</x:v>
      </x:c>
      <x:c r="N2382" s="6">
        <x:f t="shared" si="118"/>
        <x:v>4465.01</x:v>
      </x:c>
    </x:row>
    <x:row r="2383" spans="1:14" x14ac:dyDescent="0.25">
      <x:c r="A2383" t="s">
        <x:v>34</x:v>
      </x:c>
      <x:c r="B2383" t="s">
        <x:v>807</x:v>
      </x:c>
      <x:c r="C2383" t="s">
        <x:v>808</x:v>
      </x:c>
      <x:c r="D2383" t="s">
        <x:v>676</x:v>
      </x:c>
      <x:c r="E2383" s="6">
        <x:v>9399.66</x:v>
      </x:c>
      <x:c r="F2383" s="6">
        <x:v>0</x:v>
      </x:c>
      <x:c r="G2383" s="6">
        <x:v>0</x:v>
      </x:c>
      <x:c r="H2383" s="6">
        <x:f t="shared" si="116"/>
        <x:v>9399.66</x:v>
      </x:c>
      <x:c r="I2383" s="6">
        <x:v>0</x:v>
      </x:c>
      <x:c r="J2383" s="6">
        <x:v>0</x:v>
      </x:c>
      <x:c r="K2383" s="6">
        <x:f t="shared" si="117"/>
        <x:v>0</x:v>
      </x:c>
      <x:c r="L2383" s="6">
        <x:v>0</x:v>
      </x:c>
      <x:c r="M2383" s="6">
        <x:v>0</x:v>
      </x:c>
      <x:c r="N2383" s="6">
        <x:f t="shared" si="118"/>
        <x:v>9399.66</x:v>
      </x:c>
    </x:row>
    <x:row r="2384" spans="1:14" x14ac:dyDescent="0.25">
      <x:c r="A2384" t="s">
        <x:v>34</x:v>
      </x:c>
      <x:c r="B2384" t="s">
        <x:v>730</x:v>
      </x:c>
      <x:c r="C2384" t="s">
        <x:v>731</x:v>
      </x:c>
      <x:c r="D2384" t="s">
        <x:v>676</x:v>
      </x:c>
      <x:c r="E2384" s="6">
        <x:v>128259.2</x:v>
      </x:c>
      <x:c r="F2384" s="6">
        <x:v>0</x:v>
      </x:c>
      <x:c r="G2384" s="6">
        <x:v>0</x:v>
      </x:c>
      <x:c r="H2384" s="6">
        <x:f t="shared" si="116"/>
        <x:v>128259.2</x:v>
      </x:c>
      <x:c r="I2384" s="6">
        <x:v>0</x:v>
      </x:c>
      <x:c r="J2384" s="6">
        <x:v>0</x:v>
      </x:c>
      <x:c r="K2384" s="6">
        <x:f t="shared" si="117"/>
        <x:v>0</x:v>
      </x:c>
      <x:c r="L2384" s="6">
        <x:v>0</x:v>
      </x:c>
      <x:c r="M2384" s="6">
        <x:v>0</x:v>
      </x:c>
      <x:c r="N2384" s="6">
        <x:f t="shared" si="118"/>
        <x:v>128259.2</x:v>
      </x:c>
    </x:row>
    <x:row r="2385" spans="1:14" x14ac:dyDescent="0.25">
      <x:c r="A2385" t="s">
        <x:v>34</x:v>
      </x:c>
      <x:c r="B2385" t="s">
        <x:v>732</x:v>
      </x:c>
      <x:c r="C2385" t="s">
        <x:v>733</x:v>
      </x:c>
      <x:c r="D2385" t="s">
        <x:v>676</x:v>
      </x:c>
      <x:c r="E2385" s="6">
        <x:v>33935.64</x:v>
      </x:c>
      <x:c r="F2385" s="6">
        <x:v>0</x:v>
      </x:c>
      <x:c r="G2385" s="6">
        <x:v>0</x:v>
      </x:c>
      <x:c r="H2385" s="6">
        <x:f t="shared" si="116"/>
        <x:v>33935.64</x:v>
      </x:c>
      <x:c r="I2385" s="6">
        <x:v>5522.01</x:v>
      </x:c>
      <x:c r="J2385" s="6">
        <x:v>0</x:v>
      </x:c>
      <x:c r="K2385" s="6">
        <x:f t="shared" si="117"/>
        <x:v>5522.01</x:v>
      </x:c>
      <x:c r="L2385" s="6">
        <x:v>0</x:v>
      </x:c>
      <x:c r="M2385" s="6">
        <x:v>0</x:v>
      </x:c>
      <x:c r="N2385" s="6">
        <x:f t="shared" si="118"/>
        <x:v>39457.65</x:v>
      </x:c>
    </x:row>
    <x:row r="2386" spans="1:14" x14ac:dyDescent="0.25">
      <x:c r="A2386" t="s">
        <x:v>34</x:v>
      </x:c>
      <x:c r="B2386" t="s">
        <x:v>734</x:v>
      </x:c>
      <x:c r="C2386" t="s">
        <x:v>735</x:v>
      </x:c>
      <x:c r="D2386" t="s">
        <x:v>676</x:v>
      </x:c>
      <x:c r="E2386" s="6">
        <x:v>2910</x:v>
      </x:c>
      <x:c r="F2386" s="6">
        <x:v>0</x:v>
      </x:c>
      <x:c r="G2386" s="6">
        <x:v>0</x:v>
      </x:c>
      <x:c r="H2386" s="6">
        <x:f t="shared" si="116"/>
        <x:v>2910</x:v>
      </x:c>
      <x:c r="I2386" s="6">
        <x:v>0</x:v>
      </x:c>
      <x:c r="J2386" s="6">
        <x:v>0</x:v>
      </x:c>
      <x:c r="K2386" s="6">
        <x:f t="shared" si="117"/>
        <x:v>0</x:v>
      </x:c>
      <x:c r="L2386" s="6">
        <x:v>0</x:v>
      </x:c>
      <x:c r="M2386" s="6">
        <x:v>0</x:v>
      </x:c>
      <x:c r="N2386" s="6">
        <x:f t="shared" si="118"/>
        <x:v>2910</x:v>
      </x:c>
    </x:row>
    <x:row r="2387" spans="1:14" x14ac:dyDescent="0.25">
      <x:c r="A2387" t="s">
        <x:v>34</x:v>
      </x:c>
      <x:c r="B2387" t="s">
        <x:v>736</x:v>
      </x:c>
      <x:c r="C2387" t="s">
        <x:v>737</x:v>
      </x:c>
      <x:c r="D2387" t="s">
        <x:v>676</x:v>
      </x:c>
      <x:c r="E2387" s="6">
        <x:v>-39991.51</x:v>
      </x:c>
      <x:c r="F2387" s="6">
        <x:v>0</x:v>
      </x:c>
      <x:c r="G2387" s="6">
        <x:v>0</x:v>
      </x:c>
      <x:c r="H2387" s="6">
        <x:f t="shared" si="116"/>
        <x:v>-39991.51</x:v>
      </x:c>
      <x:c r="I2387" s="6">
        <x:v>0</x:v>
      </x:c>
      <x:c r="J2387" s="6">
        <x:v>0</x:v>
      </x:c>
      <x:c r="K2387" s="6">
        <x:f t="shared" si="117"/>
        <x:v>0</x:v>
      </x:c>
      <x:c r="L2387" s="6">
        <x:v>0</x:v>
      </x:c>
      <x:c r="M2387" s="6">
        <x:v>0</x:v>
      </x:c>
      <x:c r="N2387" s="6">
        <x:f t="shared" si="118"/>
        <x:v>-39991.51</x:v>
      </x:c>
    </x:row>
    <x:row r="2388" spans="1:14" x14ac:dyDescent="0.25">
      <x:c r="A2388" t="s">
        <x:v>34</x:v>
      </x:c>
      <x:c r="B2388" t="s">
        <x:v>738</x:v>
      </x:c>
      <x:c r="C2388" t="s">
        <x:v>739</x:v>
      </x:c>
      <x:c r="D2388" t="s">
        <x:v>832</x:v>
      </x:c>
      <x:c r="E2388" s="6">
        <x:v>6179.2</x:v>
      </x:c>
      <x:c r="F2388" s="6">
        <x:v>0</x:v>
      </x:c>
      <x:c r="G2388" s="6">
        <x:v>0</x:v>
      </x:c>
      <x:c r="H2388" s="6">
        <x:f t="shared" si="116"/>
        <x:v>6179.2</x:v>
      </x:c>
      <x:c r="I2388" s="6">
        <x:v>0</x:v>
      </x:c>
      <x:c r="J2388" s="6">
        <x:v>0</x:v>
      </x:c>
      <x:c r="K2388" s="6">
        <x:f t="shared" si="117"/>
        <x:v>0</x:v>
      </x:c>
      <x:c r="L2388" s="6">
        <x:v>0</x:v>
      </x:c>
      <x:c r="M2388" s="6">
        <x:v>0</x:v>
      </x:c>
      <x:c r="N2388" s="6">
        <x:f t="shared" si="118"/>
        <x:v>6179.2</x:v>
      </x:c>
    </x:row>
    <x:row r="2389" spans="1:14" x14ac:dyDescent="0.25">
      <x:c r="A2389" t="s">
        <x:v>34</x:v>
      </x:c>
      <x:c r="B2389" t="s">
        <x:v>825</x:v>
      </x:c>
      <x:c r="C2389" t="s">
        <x:v>643</x:v>
      </x:c>
      <x:c r="D2389" t="s">
        <x:v>676</x:v>
      </x:c>
      <x:c r="E2389" s="6">
        <x:v>35.43</x:v>
      </x:c>
      <x:c r="F2389" s="6">
        <x:v>0</x:v>
      </x:c>
      <x:c r="G2389" s="6">
        <x:v>0</x:v>
      </x:c>
      <x:c r="H2389" s="6">
        <x:f t="shared" si="116"/>
        <x:v>35.43</x:v>
      </x:c>
      <x:c r="I2389" s="6">
        <x:v>0</x:v>
      </x:c>
      <x:c r="J2389" s="6">
        <x:v>0</x:v>
      </x:c>
      <x:c r="K2389" s="6">
        <x:f t="shared" si="117"/>
        <x:v>0</x:v>
      </x:c>
      <x:c r="L2389" s="6">
        <x:v>0</x:v>
      </x:c>
      <x:c r="M2389" s="6">
        <x:v>0</x:v>
      </x:c>
      <x:c r="N2389" s="6">
        <x:f t="shared" si="118"/>
        <x:v>35.43</x:v>
      </x:c>
    </x:row>
    <x:row r="2390" spans="1:14" x14ac:dyDescent="0.25">
      <x:c r="A2390" t="s">
        <x:v>34</x:v>
      </x:c>
      <x:c r="B2390" t="s">
        <x:v>740</x:v>
      </x:c>
      <x:c r="C2390" t="s">
        <x:v>741</x:v>
      </x:c>
      <x:c r="D2390" t="s">
        <x:v>676</x:v>
      </x:c>
      <x:c r="E2390" s="6">
        <x:v>1561.07</x:v>
      </x:c>
      <x:c r="F2390" s="6">
        <x:v>0</x:v>
      </x:c>
      <x:c r="G2390" s="6">
        <x:v>0</x:v>
      </x:c>
      <x:c r="H2390" s="6">
        <x:f t="shared" si="116"/>
        <x:v>1561.07</x:v>
      </x:c>
      <x:c r="I2390" s="6">
        <x:v>1839.41</x:v>
      </x:c>
      <x:c r="J2390" s="6">
        <x:v>0</x:v>
      </x:c>
      <x:c r="K2390" s="6">
        <x:f t="shared" si="117"/>
        <x:v>1839.41</x:v>
      </x:c>
      <x:c r="L2390" s="6">
        <x:v>0</x:v>
      </x:c>
      <x:c r="M2390" s="6">
        <x:v>0</x:v>
      </x:c>
      <x:c r="N2390" s="6">
        <x:f t="shared" si="118"/>
        <x:v>3400.48</x:v>
      </x:c>
    </x:row>
    <x:row r="2391" spans="1:14" x14ac:dyDescent="0.25">
      <x:c r="A2391" t="s">
        <x:v>34</x:v>
      </x:c>
      <x:c r="B2391" s="3" t="s">
        <x:v>122</x:v>
      </x:c>
      <x:c r="C2391" s="3" t="s">
        <x:v>439</x:v>
      </x:c>
      <x:c r="D2391" t="s">
        <x:v>676</x:v>
      </x:c>
      <x:c r="E2391" s="6">
        <x:v>0</x:v>
      </x:c>
      <x:c r="F2391" s="6">
        <x:v>0</x:v>
      </x:c>
      <x:c r="G2391" s="6">
        <x:v>0</x:v>
      </x:c>
      <x:c r="H2391" s="6">
        <x:f t="shared" si="116"/>
        <x:v>0</x:v>
      </x:c>
      <x:c r="I2391" s="6">
        <x:v>9622.4499999999989</x:v>
      </x:c>
      <x:c r="J2391" s="6">
        <x:v>0</x:v>
      </x:c>
      <x:c r="K2391" s="6">
        <x:f t="shared" si="117"/>
        <x:v>9622.4499999999989</x:v>
      </x:c>
      <x:c r="L2391" s="6">
        <x:v>0</x:v>
      </x:c>
      <x:c r="M2391" s="6">
        <x:v>0</x:v>
      </x:c>
      <x:c r="N2391" s="6">
        <x:f t="shared" si="118"/>
        <x:v>9622.4499999999989</x:v>
      </x:c>
    </x:row>
    <x:row r="2392" spans="1:14" x14ac:dyDescent="0.25">
      <x:c r="A2392" t="s">
        <x:v>34</x:v>
      </x:c>
      <x:c r="B2392" s="3" t="s">
        <x:v>276</x:v>
      </x:c>
      <x:c r="C2392" s="3" t="s">
        <x:v>591</x:v>
      </x:c>
      <x:c r="D2392" t="s">
        <x:v>676</x:v>
      </x:c>
      <x:c r="E2392" s="6">
        <x:v>0</x:v>
      </x:c>
      <x:c r="F2392" s="6">
        <x:v>0</x:v>
      </x:c>
      <x:c r="G2392" s="6">
        <x:v>0</x:v>
      </x:c>
      <x:c r="H2392" s="6">
        <x:f t="shared" si="116"/>
        <x:v>0</x:v>
      </x:c>
      <x:c r="I2392" s="6">
        <x:v>10900.5</x:v>
      </x:c>
      <x:c r="J2392" s="6">
        <x:v>0</x:v>
      </x:c>
      <x:c r="K2392" s="6">
        <x:f t="shared" si="117"/>
        <x:v>10900.5</x:v>
      </x:c>
      <x:c r="L2392" s="6">
        <x:v>0</x:v>
      </x:c>
      <x:c r="M2392" s="6">
        <x:v>0</x:v>
      </x:c>
      <x:c r="N2392" s="6">
        <x:f t="shared" si="118"/>
        <x:v>10900.5</x:v>
      </x:c>
    </x:row>
    <x:row r="2393" spans="1:14" x14ac:dyDescent="0.25">
      <x:c r="A2393" t="s">
        <x:v>34</x:v>
      </x:c>
      <x:c r="B2393" s="3" t="s">
        <x:v>316</x:v>
      </x:c>
      <x:c r="C2393" s="3" t="s">
        <x:v>631</x:v>
      </x:c>
      <x:c r="D2393" t="s">
        <x:v>676</x:v>
      </x:c>
      <x:c r="E2393" s="6">
        <x:v>0</x:v>
      </x:c>
      <x:c r="F2393" s="6">
        <x:v>0</x:v>
      </x:c>
      <x:c r="G2393" s="6">
        <x:v>0</x:v>
      </x:c>
      <x:c r="H2393" s="6">
        <x:f t="shared" si="116"/>
        <x:v>0</x:v>
      </x:c>
      <x:c r="I2393" s="6">
        <x:v>0</x:v>
      </x:c>
      <x:c r="J2393" s="6">
        <x:v>0</x:v>
      </x:c>
      <x:c r="K2393" s="6">
        <x:f t="shared" si="117"/>
        <x:v>0</x:v>
      </x:c>
      <x:c r="L2393" s="6">
        <x:v>0</x:v>
      </x:c>
      <x:c r="M2393" s="6">
        <x:v>59120.19</x:v>
      </x:c>
      <x:c r="N2393" s="6">
        <x:f t="shared" si="118"/>
        <x:v>59120.19</x:v>
      </x:c>
    </x:row>
    <x:row r="2394" spans="1:14" x14ac:dyDescent="0.25">
      <x:c r="A2394" t="s">
        <x:v>34</x:v>
      </x:c>
      <x:c r="B2394" s="3" t="s">
        <x:v>320</x:v>
      </x:c>
      <x:c r="C2394" s="3" t="s">
        <x:v>635</x:v>
      </x:c>
      <x:c r="D2394" t="s">
        <x:v>679</x:v>
      </x:c>
      <x:c r="E2394" s="6">
        <x:v>25419.81</x:v>
      </x:c>
      <x:c r="F2394" s="6">
        <x:v>0</x:v>
      </x:c>
      <x:c r="G2394" s="6">
        <x:v>0</x:v>
      </x:c>
      <x:c r="H2394" s="6">
        <x:f t="shared" si="116"/>
        <x:v>25419.81</x:v>
      </x:c>
      <x:c r="I2394" s="6">
        <x:v>67891.700000000012</x:v>
      </x:c>
      <x:c r="J2394" s="6">
        <x:v>0</x:v>
      </x:c>
      <x:c r="K2394" s="6">
        <x:f t="shared" si="117"/>
        <x:v>67891.700000000012</x:v>
      </x:c>
      <x:c r="L2394" s="6">
        <x:v>18985.7</x:v>
      </x:c>
      <x:c r="M2394" s="6">
        <x:v>780.24999999999284</x:v>
      </x:c>
      <x:c r="N2394" s="6">
        <x:f t="shared" si="118"/>
        <x:v>113077.46</x:v>
      </x:c>
    </x:row>
    <x:row r="2395" spans="1:14" x14ac:dyDescent="0.25">
      <x:c r="A2395" t="s">
        <x:v>34</x:v>
      </x:c>
      <x:c r="B2395" s="3" t="s">
        <x:v>123</x:v>
      </x:c>
      <x:c r="C2395" s="3" t="s">
        <x:v>440</x:v>
      </x:c>
      <x:c r="D2395" t="s">
        <x:v>676</x:v>
      </x:c>
      <x:c r="E2395" s="6">
        <x:v>0</x:v>
      </x:c>
      <x:c r="F2395" s="6">
        <x:v>0</x:v>
      </x:c>
      <x:c r="G2395" s="6">
        <x:v>0</x:v>
      </x:c>
      <x:c r="H2395" s="6">
        <x:f t="shared" si="116"/>
        <x:v>0</x:v>
      </x:c>
      <x:c r="I2395" s="6">
        <x:v>665.88</x:v>
      </x:c>
      <x:c r="J2395" s="6">
        <x:v>0</x:v>
      </x:c>
      <x:c r="K2395" s="6">
        <x:f t="shared" si="117"/>
        <x:v>665.88</x:v>
      </x:c>
      <x:c r="L2395" s="6">
        <x:v>0</x:v>
      </x:c>
      <x:c r="M2395" s="6">
        <x:v>0</x:v>
      </x:c>
      <x:c r="N2395" s="6">
        <x:f t="shared" si="118"/>
        <x:v>665.88</x:v>
      </x:c>
    </x:row>
    <x:row r="2396" spans="1:14" x14ac:dyDescent="0.25">
      <x:c r="A2396" t="s">
        <x:v>34</x:v>
      </x:c>
      <x:c r="B2396" s="3" t="s">
        <x:v>124</x:v>
      </x:c>
      <x:c r="C2396" s="3" t="s">
        <x:v>441</x:v>
      </x:c>
      <x:c r="D2396" t="s">
        <x:v>676</x:v>
      </x:c>
      <x:c r="E2396" s="6">
        <x:v>0</x:v>
      </x:c>
      <x:c r="F2396" s="6">
        <x:v>0</x:v>
      </x:c>
      <x:c r="G2396" s="6">
        <x:v>0</x:v>
      </x:c>
      <x:c r="H2396" s="6">
        <x:f t="shared" si="116"/>
        <x:v>0</x:v>
      </x:c>
      <x:c r="I2396" s="6">
        <x:v>20428</x:v>
      </x:c>
      <x:c r="J2396" s="6">
        <x:v>0</x:v>
      </x:c>
      <x:c r="K2396" s="6">
        <x:f t="shared" si="117"/>
        <x:v>20428</x:v>
      </x:c>
      <x:c r="L2396" s="6">
        <x:v>0</x:v>
      </x:c>
      <x:c r="M2396" s="6">
        <x:v>0</x:v>
      </x:c>
      <x:c r="N2396" s="6">
        <x:f t="shared" si="118"/>
        <x:v>20428</x:v>
      </x:c>
    </x:row>
    <x:row r="2397" spans="1:14" x14ac:dyDescent="0.25">
      <x:c r="A2397" t="s">
        <x:v>34</x:v>
      </x:c>
      <x:c r="B2397" s="3" t="s">
        <x:v>125</x:v>
      </x:c>
      <x:c r="C2397" s="3" t="s">
        <x:v>442</x:v>
      </x:c>
      <x:c r="D2397" t="s">
        <x:v>676</x:v>
      </x:c>
      <x:c r="E2397" s="6">
        <x:v>0</x:v>
      </x:c>
      <x:c r="F2397" s="6">
        <x:v>0</x:v>
      </x:c>
      <x:c r="G2397" s="6">
        <x:v>0</x:v>
      </x:c>
      <x:c r="H2397" s="6">
        <x:f t="shared" si="116"/>
        <x:v>0</x:v>
      </x:c>
      <x:c r="I2397" s="6">
        <x:v>0</x:v>
      </x:c>
      <x:c r="J2397" s="6">
        <x:v>0</x:v>
      </x:c>
      <x:c r="K2397" s="6">
        <x:f t="shared" si="117"/>
        <x:v>0</x:v>
      </x:c>
      <x:c r="L2397" s="6">
        <x:v>0</x:v>
      </x:c>
      <x:c r="M2397" s="6">
        <x:v>8313.2100000000009</x:v>
      </x:c>
      <x:c r="N2397" s="6">
        <x:f t="shared" si="118"/>
        <x:v>8313.2100000000009</x:v>
      </x:c>
    </x:row>
    <x:row r="2398" spans="1:14" x14ac:dyDescent="0.25">
      <x:c r="A2398" t="s">
        <x:v>34</x:v>
      </x:c>
      <x:c r="B2398" s="3" t="s">
        <x:v>230</x:v>
      </x:c>
      <x:c r="C2398" s="3" t="s">
        <x:v>545</x:v>
      </x:c>
      <x:c r="D2398" t="s">
        <x:v>676</x:v>
      </x:c>
      <x:c r="E2398" s="6">
        <x:v>0</x:v>
      </x:c>
      <x:c r="F2398" s="6">
        <x:v>0</x:v>
      </x:c>
      <x:c r="G2398" s="6">
        <x:v>0</x:v>
      </x:c>
      <x:c r="H2398" s="6">
        <x:f t="shared" si="116"/>
        <x:v>0</x:v>
      </x:c>
      <x:c r="I2398" s="6">
        <x:v>660.44</x:v>
      </x:c>
      <x:c r="J2398" s="6">
        <x:v>0</x:v>
      </x:c>
      <x:c r="K2398" s="6">
        <x:f t="shared" si="117"/>
        <x:v>660.44</x:v>
      </x:c>
      <x:c r="L2398" s="6">
        <x:v>0</x:v>
      </x:c>
      <x:c r="M2398" s="6">
        <x:v>0</x:v>
      </x:c>
      <x:c r="N2398" s="6">
        <x:f t="shared" si="118"/>
        <x:v>660.44</x:v>
      </x:c>
    </x:row>
    <x:row r="2399" spans="1:14" x14ac:dyDescent="0.25">
      <x:c r="A2399" t="s">
        <x:v>34</x:v>
      </x:c>
      <x:c r="B2399" s="3" t="s">
        <x:v>127</x:v>
      </x:c>
      <x:c r="C2399" s="3" t="s">
        <x:v>444</x:v>
      </x:c>
      <x:c r="D2399" t="s">
        <x:v>676</x:v>
      </x:c>
      <x:c r="E2399" s="6">
        <x:v>0</x:v>
      </x:c>
      <x:c r="F2399" s="6">
        <x:v>0</x:v>
      </x:c>
      <x:c r="G2399" s="6">
        <x:v>0</x:v>
      </x:c>
      <x:c r="H2399" s="6">
        <x:f t="shared" ref="H2399:H2462" si="119">SUM(E2399:G2399)</x:f>
        <x:v>0</x:v>
      </x:c>
      <x:c r="I2399" s="6">
        <x:v>1369.13</x:v>
      </x:c>
      <x:c r="J2399" s="6">
        <x:v>0</x:v>
      </x:c>
      <x:c r="K2399" s="6">
        <x:f t="shared" ref="K2399:K2462" si="120">SUM(I2399:J2399)</x:f>
        <x:v>1369.13</x:v>
      </x:c>
      <x:c r="L2399" s="6">
        <x:v>0</x:v>
      </x:c>
      <x:c r="M2399" s="6">
        <x:v>0</x:v>
      </x:c>
      <x:c r="N2399" s="6">
        <x:f t="shared" ref="N2399:N2462" si="121">+E2399+F2399+G2399+I2399+J2399+L2399+M2399</x:f>
        <x:v>1369.13</x:v>
      </x:c>
    </x:row>
    <x:row r="2400" spans="1:14" x14ac:dyDescent="0.25">
      <x:c r="A2400" t="s">
        <x:v>34</x:v>
      </x:c>
      <x:c r="B2400" s="3" t="s">
        <x:v>129</x:v>
      </x:c>
      <x:c r="C2400" s="3" t="s">
        <x:v>446</x:v>
      </x:c>
      <x:c r="D2400" t="s">
        <x:v>676</x:v>
      </x:c>
      <x:c r="E2400" s="6">
        <x:v>0</x:v>
      </x:c>
      <x:c r="F2400" s="6">
        <x:v>0</x:v>
      </x:c>
      <x:c r="G2400" s="6">
        <x:v>0</x:v>
      </x:c>
      <x:c r="H2400" s="6">
        <x:f t="shared" si="119"/>
        <x:v>0</x:v>
      </x:c>
      <x:c r="I2400" s="6">
        <x:v>162.79</x:v>
      </x:c>
      <x:c r="J2400" s="6">
        <x:v>0</x:v>
      </x:c>
      <x:c r="K2400" s="6">
        <x:f t="shared" si="120"/>
        <x:v>162.79</x:v>
      </x:c>
      <x:c r="L2400" s="6">
        <x:v>0</x:v>
      </x:c>
      <x:c r="M2400" s="6">
        <x:v>0</x:v>
      </x:c>
      <x:c r="N2400" s="6">
        <x:f t="shared" si="121"/>
        <x:v>162.79</x:v>
      </x:c>
    </x:row>
    <x:row r="2401" spans="1:14" x14ac:dyDescent="0.25">
      <x:c r="A2401" t="s">
        <x:v>34</x:v>
      </x:c>
      <x:c r="B2401" s="3" t="s">
        <x:v>131</x:v>
      </x:c>
      <x:c r="C2401" s="3" t="s">
        <x:v>448</x:v>
      </x:c>
      <x:c r="D2401" t="s">
        <x:v>676</x:v>
      </x:c>
      <x:c r="E2401" s="6">
        <x:v>0</x:v>
      </x:c>
      <x:c r="F2401" s="6">
        <x:v>0</x:v>
      </x:c>
      <x:c r="G2401" s="6">
        <x:v>0</x:v>
      </x:c>
      <x:c r="H2401" s="6">
        <x:f t="shared" si="119"/>
        <x:v>0</x:v>
      </x:c>
      <x:c r="I2401" s="6">
        <x:v>17063.700000000004</x:v>
      </x:c>
      <x:c r="J2401" s="6">
        <x:v>0</x:v>
      </x:c>
      <x:c r="K2401" s="6">
        <x:f t="shared" si="120"/>
        <x:v>17063.700000000004</x:v>
      </x:c>
      <x:c r="L2401" s="6">
        <x:v>0</x:v>
      </x:c>
      <x:c r="M2401" s="6">
        <x:v>0</x:v>
      </x:c>
      <x:c r="N2401" s="6">
        <x:f t="shared" si="121"/>
        <x:v>17063.700000000004</x:v>
      </x:c>
    </x:row>
    <x:row r="2402" spans="1:14" x14ac:dyDescent="0.25">
      <x:c r="A2402" t="s">
        <x:v>34</x:v>
      </x:c>
      <x:c r="B2402" s="3" t="s">
        <x:v>132</x:v>
      </x:c>
      <x:c r="C2402" s="3" t="s">
        <x:v>449</x:v>
      </x:c>
      <x:c r="D2402" t="s">
        <x:v>676</x:v>
      </x:c>
      <x:c r="E2402" s="6">
        <x:v>0</x:v>
      </x:c>
      <x:c r="F2402" s="6">
        <x:v>0</x:v>
      </x:c>
      <x:c r="G2402" s="6">
        <x:v>0</x:v>
      </x:c>
      <x:c r="H2402" s="6">
        <x:f t="shared" si="119"/>
        <x:v>0</x:v>
      </x:c>
      <x:c r="I2402" s="6">
        <x:v>95.99</x:v>
      </x:c>
      <x:c r="J2402" s="6">
        <x:v>0</x:v>
      </x:c>
      <x:c r="K2402" s="6">
        <x:f t="shared" si="120"/>
        <x:v>95.99</x:v>
      </x:c>
      <x:c r="L2402" s="6">
        <x:v>0</x:v>
      </x:c>
      <x:c r="M2402" s="6">
        <x:v>0</x:v>
      </x:c>
      <x:c r="N2402" s="6">
        <x:f t="shared" si="121"/>
        <x:v>95.99</x:v>
      </x:c>
    </x:row>
    <x:row r="2403" spans="1:14" x14ac:dyDescent="0.25">
      <x:c r="A2403" t="s">
        <x:v>34</x:v>
      </x:c>
      <x:c r="B2403" s="3" t="s">
        <x:v>133</x:v>
      </x:c>
      <x:c r="C2403" s="3" t="s">
        <x:v>450</x:v>
      </x:c>
      <x:c r="D2403" t="s">
        <x:v>676</x:v>
      </x:c>
      <x:c r="E2403" s="6">
        <x:v>0</x:v>
      </x:c>
      <x:c r="F2403" s="6">
        <x:v>0</x:v>
      </x:c>
      <x:c r="G2403" s="6">
        <x:v>0</x:v>
      </x:c>
      <x:c r="H2403" s="6">
        <x:f t="shared" si="119"/>
        <x:v>0</x:v>
      </x:c>
      <x:c r="I2403" s="6">
        <x:v>1002.2800000000001</x:v>
      </x:c>
      <x:c r="J2403" s="6">
        <x:v>0</x:v>
      </x:c>
      <x:c r="K2403" s="6">
        <x:f t="shared" si="120"/>
        <x:v>1002.2800000000001</x:v>
      </x:c>
      <x:c r="L2403" s="6">
        <x:v>0</x:v>
      </x:c>
      <x:c r="M2403" s="6">
        <x:v>0</x:v>
      </x:c>
      <x:c r="N2403" s="6">
        <x:f t="shared" si="121"/>
        <x:v>1002.2800000000001</x:v>
      </x:c>
    </x:row>
    <x:row r="2404" spans="1:14" x14ac:dyDescent="0.25">
      <x:c r="A2404" t="s">
        <x:v>34</x:v>
      </x:c>
      <x:c r="B2404" s="3" t="s">
        <x:v>134</x:v>
      </x:c>
      <x:c r="C2404" s="3" t="s">
        <x:v>451</x:v>
      </x:c>
      <x:c r="D2404" t="s">
        <x:v>676</x:v>
      </x:c>
      <x:c r="E2404" s="6">
        <x:v>0</x:v>
      </x:c>
      <x:c r="F2404" s="6">
        <x:v>0</x:v>
      </x:c>
      <x:c r="G2404" s="6">
        <x:v>0</x:v>
      </x:c>
      <x:c r="H2404" s="6">
        <x:f t="shared" si="119"/>
        <x:v>0</x:v>
      </x:c>
      <x:c r="I2404" s="6">
        <x:v>1454.8400000000001</x:v>
      </x:c>
      <x:c r="J2404" s="6">
        <x:v>0</x:v>
      </x:c>
      <x:c r="K2404" s="6">
        <x:f t="shared" si="120"/>
        <x:v>1454.8400000000001</x:v>
      </x:c>
      <x:c r="L2404" s="6">
        <x:v>0</x:v>
      </x:c>
      <x:c r="M2404" s="6">
        <x:v>0</x:v>
      </x:c>
      <x:c r="N2404" s="6">
        <x:f t="shared" si="121"/>
        <x:v>1454.8400000000001</x:v>
      </x:c>
    </x:row>
    <x:row r="2405" spans="1:14" x14ac:dyDescent="0.25">
      <x:c r="A2405" t="s">
        <x:v>34</x:v>
      </x:c>
      <x:c r="B2405" s="3" t="s">
        <x:v>135</x:v>
      </x:c>
      <x:c r="C2405" s="3" t="s">
        <x:v>452</x:v>
      </x:c>
      <x:c r="D2405" t="s">
        <x:v>676</x:v>
      </x:c>
      <x:c r="E2405" s="6">
        <x:v>0</x:v>
      </x:c>
      <x:c r="F2405" s="6">
        <x:v>0</x:v>
      </x:c>
      <x:c r="G2405" s="6">
        <x:v>0</x:v>
      </x:c>
      <x:c r="H2405" s="6">
        <x:f t="shared" si="119"/>
        <x:v>0</x:v>
      </x:c>
      <x:c r="I2405" s="6">
        <x:v>1368.62</x:v>
      </x:c>
      <x:c r="J2405" s="6">
        <x:v>0</x:v>
      </x:c>
      <x:c r="K2405" s="6">
        <x:f t="shared" si="120"/>
        <x:v>1368.62</x:v>
      </x:c>
      <x:c r="L2405" s="6">
        <x:v>0</x:v>
      </x:c>
      <x:c r="M2405" s="6">
        <x:v>0</x:v>
      </x:c>
      <x:c r="N2405" s="6">
        <x:f t="shared" si="121"/>
        <x:v>1368.62</x:v>
      </x:c>
    </x:row>
    <x:row r="2406" spans="1:14" x14ac:dyDescent="0.25">
      <x:c r="A2406" t="s">
        <x:v>34</x:v>
      </x:c>
      <x:c r="B2406" s="3" t="s">
        <x:v>136</x:v>
      </x:c>
      <x:c r="C2406" s="3" t="s">
        <x:v>453</x:v>
      </x:c>
      <x:c r="D2406" t="s">
        <x:v>676</x:v>
      </x:c>
      <x:c r="E2406" s="6">
        <x:v>0</x:v>
      </x:c>
      <x:c r="F2406" s="6">
        <x:v>0</x:v>
      </x:c>
      <x:c r="G2406" s="6">
        <x:v>0</x:v>
      </x:c>
      <x:c r="H2406" s="6">
        <x:f t="shared" si="119"/>
        <x:v>0</x:v>
      </x:c>
      <x:c r="I2406" s="6">
        <x:v>77.989999999999995</x:v>
      </x:c>
      <x:c r="J2406" s="6">
        <x:v>0</x:v>
      </x:c>
      <x:c r="K2406" s="6">
        <x:f t="shared" si="120"/>
        <x:v>77.989999999999995</x:v>
      </x:c>
      <x:c r="L2406" s="6">
        <x:v>0</x:v>
      </x:c>
      <x:c r="M2406" s="6">
        <x:v>0</x:v>
      </x:c>
      <x:c r="N2406" s="6">
        <x:f t="shared" si="121"/>
        <x:v>77.989999999999995</x:v>
      </x:c>
    </x:row>
    <x:row r="2407" spans="1:14" x14ac:dyDescent="0.25">
      <x:c r="A2407" t="s">
        <x:v>34</x:v>
      </x:c>
      <x:c r="B2407" s="3" t="s">
        <x:v>138</x:v>
      </x:c>
      <x:c r="C2407" s="3" t="s">
        <x:v>455</x:v>
      </x:c>
      <x:c r="D2407" t="s">
        <x:v>676</x:v>
      </x:c>
      <x:c r="E2407" s="6">
        <x:v>0</x:v>
      </x:c>
      <x:c r="F2407" s="6">
        <x:v>0</x:v>
      </x:c>
      <x:c r="G2407" s="6">
        <x:v>0</x:v>
      </x:c>
      <x:c r="H2407" s="6">
        <x:f t="shared" si="119"/>
        <x:v>0</x:v>
      </x:c>
      <x:c r="I2407" s="6">
        <x:v>457.09000000000003</x:v>
      </x:c>
      <x:c r="J2407" s="6">
        <x:v>0</x:v>
      </x:c>
      <x:c r="K2407" s="6">
        <x:f t="shared" si="120"/>
        <x:v>457.09000000000003</x:v>
      </x:c>
      <x:c r="L2407" s="6">
        <x:v>0</x:v>
      </x:c>
      <x:c r="M2407" s="6">
        <x:v>0</x:v>
      </x:c>
      <x:c r="N2407" s="6">
        <x:f t="shared" si="121"/>
        <x:v>457.09000000000003</x:v>
      </x:c>
    </x:row>
    <x:row r="2408" spans="1:14" x14ac:dyDescent="0.25">
      <x:c r="A2408" t="s">
        <x:v>34</x:v>
      </x:c>
      <x:c r="B2408" s="3" t="s">
        <x:v>139</x:v>
      </x:c>
      <x:c r="C2408" s="3" t="s">
        <x:v>456</x:v>
      </x:c>
      <x:c r="D2408" t="s">
        <x:v>676</x:v>
      </x:c>
      <x:c r="E2408" s="6">
        <x:v>0</x:v>
      </x:c>
      <x:c r="F2408" s="6">
        <x:v>0</x:v>
      </x:c>
      <x:c r="G2408" s="6">
        <x:v>0</x:v>
      </x:c>
      <x:c r="H2408" s="6">
        <x:f t="shared" si="119"/>
        <x:v>0</x:v>
      </x:c>
      <x:c r="I2408" s="6">
        <x:v>59372</x:v>
      </x:c>
      <x:c r="J2408" s="6">
        <x:v>0</x:v>
      </x:c>
      <x:c r="K2408" s="6">
        <x:f t="shared" si="120"/>
        <x:v>59372</x:v>
      </x:c>
      <x:c r="L2408" s="6">
        <x:v>0</x:v>
      </x:c>
      <x:c r="M2408" s="6">
        <x:v>0</x:v>
      </x:c>
      <x:c r="N2408" s="6">
        <x:f t="shared" si="121"/>
        <x:v>59372</x:v>
      </x:c>
    </x:row>
    <x:row r="2409" spans="1:14" x14ac:dyDescent="0.25">
      <x:c r="A2409" t="s">
        <x:v>34</x:v>
      </x:c>
      <x:c r="B2409" s="3" t="s">
        <x:v>140</x:v>
      </x:c>
      <x:c r="C2409" s="3" t="s">
        <x:v>457</x:v>
      </x:c>
      <x:c r="D2409" t="s">
        <x:v>676</x:v>
      </x:c>
      <x:c r="E2409" s="6">
        <x:v>0</x:v>
      </x:c>
      <x:c r="F2409" s="6">
        <x:v>0</x:v>
      </x:c>
      <x:c r="G2409" s="6">
        <x:v>0</x:v>
      </x:c>
      <x:c r="H2409" s="6">
        <x:f t="shared" si="119"/>
        <x:v>0</x:v>
      </x:c>
      <x:c r="I2409" s="6">
        <x:v>2985.92</x:v>
      </x:c>
      <x:c r="J2409" s="6">
        <x:v>0</x:v>
      </x:c>
      <x:c r="K2409" s="6">
        <x:f t="shared" si="120"/>
        <x:v>2985.92</x:v>
      </x:c>
      <x:c r="L2409" s="6">
        <x:v>0</x:v>
      </x:c>
      <x:c r="M2409" s="6">
        <x:v>0</x:v>
      </x:c>
      <x:c r="N2409" s="6">
        <x:f t="shared" si="121"/>
        <x:v>2985.92</x:v>
      </x:c>
    </x:row>
    <x:row r="2410" spans="1:14" x14ac:dyDescent="0.25">
      <x:c r="A2410" t="s">
        <x:v>34</x:v>
      </x:c>
      <x:c r="B2410" s="3" t="s">
        <x:v>141</x:v>
      </x:c>
      <x:c r="C2410" s="3" t="s">
        <x:v>458</x:v>
      </x:c>
      <x:c r="D2410" t="s">
        <x:v>676</x:v>
      </x:c>
      <x:c r="E2410" s="6">
        <x:v>0</x:v>
      </x:c>
      <x:c r="F2410" s="6">
        <x:v>0</x:v>
      </x:c>
      <x:c r="G2410" s="6">
        <x:v>0</x:v>
      </x:c>
      <x:c r="H2410" s="6">
        <x:f t="shared" si="119"/>
        <x:v>0</x:v>
      </x:c>
      <x:c r="I2410" s="6">
        <x:v>254622.24</x:v>
      </x:c>
      <x:c r="J2410" s="6">
        <x:v>0</x:v>
      </x:c>
      <x:c r="K2410" s="6">
        <x:f t="shared" si="120"/>
        <x:v>254622.24</x:v>
      </x:c>
      <x:c r="L2410" s="6">
        <x:v>0</x:v>
      </x:c>
      <x:c r="M2410" s="6">
        <x:v>0</x:v>
      </x:c>
      <x:c r="N2410" s="6">
        <x:f t="shared" si="121"/>
        <x:v>254622.24</x:v>
      </x:c>
    </x:row>
    <x:row r="2411" spans="1:14" x14ac:dyDescent="0.25">
      <x:c r="A2411" t="s">
        <x:v>34</x:v>
      </x:c>
      <x:c r="B2411" s="3" t="s">
        <x:v>142</x:v>
      </x:c>
      <x:c r="C2411" s="3" t="s">
        <x:v>459</x:v>
      </x:c>
      <x:c r="D2411" t="s">
        <x:v>676</x:v>
      </x:c>
      <x:c r="E2411" s="6">
        <x:v>0</x:v>
      </x:c>
      <x:c r="F2411" s="6">
        <x:v>0</x:v>
      </x:c>
      <x:c r="G2411" s="6">
        <x:v>0</x:v>
      </x:c>
      <x:c r="H2411" s="6">
        <x:f t="shared" si="119"/>
        <x:v>0</x:v>
      </x:c>
      <x:c r="I2411" s="6">
        <x:v>6353.8099999999995</x:v>
      </x:c>
      <x:c r="J2411" s="6">
        <x:v>0</x:v>
      </x:c>
      <x:c r="K2411" s="6">
        <x:f t="shared" si="120"/>
        <x:v>6353.8099999999995</x:v>
      </x:c>
      <x:c r="L2411" s="6">
        <x:v>0</x:v>
      </x:c>
      <x:c r="M2411" s="6">
        <x:v>0</x:v>
      </x:c>
      <x:c r="N2411" s="6">
        <x:f t="shared" si="121"/>
        <x:v>6353.8099999999995</x:v>
      </x:c>
    </x:row>
    <x:row r="2412" spans="1:14" x14ac:dyDescent="0.25">
      <x:c r="A2412" t="s">
        <x:v>34</x:v>
      </x:c>
      <x:c r="B2412" s="3" t="s">
        <x:v>143</x:v>
      </x:c>
      <x:c r="C2412" s="3" t="s">
        <x:v>460</x:v>
      </x:c>
      <x:c r="D2412" t="s">
        <x:v>676</x:v>
      </x:c>
      <x:c r="E2412" s="6">
        <x:v>0</x:v>
      </x:c>
      <x:c r="F2412" s="6">
        <x:v>0</x:v>
      </x:c>
      <x:c r="G2412" s="6">
        <x:v>0</x:v>
      </x:c>
      <x:c r="H2412" s="6">
        <x:f t="shared" si="119"/>
        <x:v>0</x:v>
      </x:c>
      <x:c r="I2412" s="6">
        <x:v>245.21</x:v>
      </x:c>
      <x:c r="J2412" s="6">
        <x:v>0</x:v>
      </x:c>
      <x:c r="K2412" s="6">
        <x:f t="shared" si="120"/>
        <x:v>245.21</x:v>
      </x:c>
      <x:c r="L2412" s="6">
        <x:v>0</x:v>
      </x:c>
      <x:c r="M2412" s="6">
        <x:v>0</x:v>
      </x:c>
      <x:c r="N2412" s="6">
        <x:f t="shared" si="121"/>
        <x:v>245.21</x:v>
      </x:c>
    </x:row>
    <x:row r="2413" spans="1:14" x14ac:dyDescent="0.25">
      <x:c r="A2413" t="s">
        <x:v>34</x:v>
      </x:c>
      <x:c r="B2413" s="3" t="s">
        <x:v>144</x:v>
      </x:c>
      <x:c r="C2413" s="3" t="s">
        <x:v>461</x:v>
      </x:c>
      <x:c r="D2413" t="s">
        <x:v>676</x:v>
      </x:c>
      <x:c r="E2413" s="6">
        <x:v>0</x:v>
      </x:c>
      <x:c r="F2413" s="6">
        <x:v>0</x:v>
      </x:c>
      <x:c r="G2413" s="6">
        <x:v>0</x:v>
      </x:c>
      <x:c r="H2413" s="6">
        <x:f t="shared" si="119"/>
        <x:v>0</x:v>
      </x:c>
      <x:c r="I2413" s="6">
        <x:v>470.67</x:v>
      </x:c>
      <x:c r="J2413" s="6">
        <x:v>0</x:v>
      </x:c>
      <x:c r="K2413" s="6">
        <x:f t="shared" si="120"/>
        <x:v>470.67</x:v>
      </x:c>
      <x:c r="L2413" s="6">
        <x:v>0</x:v>
      </x:c>
      <x:c r="M2413" s="6">
        <x:v>0</x:v>
      </x:c>
      <x:c r="N2413" s="6">
        <x:f t="shared" si="121"/>
        <x:v>470.67</x:v>
      </x:c>
    </x:row>
    <x:row r="2414" spans="1:14" x14ac:dyDescent="0.25">
      <x:c r="A2414" t="s">
        <x:v>34</x:v>
      </x:c>
      <x:c r="B2414" s="3" t="s">
        <x:v>146</x:v>
      </x:c>
      <x:c r="C2414" s="3" t="s">
        <x:v>463</x:v>
      </x:c>
      <x:c r="D2414" t="s">
        <x:v>676</x:v>
      </x:c>
      <x:c r="E2414" s="6">
        <x:v>0</x:v>
      </x:c>
      <x:c r="F2414" s="6">
        <x:v>0</x:v>
      </x:c>
      <x:c r="G2414" s="6">
        <x:v>0</x:v>
      </x:c>
      <x:c r="H2414" s="6">
        <x:f t="shared" si="119"/>
        <x:v>0</x:v>
      </x:c>
      <x:c r="I2414" s="6">
        <x:v>882.15</x:v>
      </x:c>
      <x:c r="J2414" s="6">
        <x:v>0</x:v>
      </x:c>
      <x:c r="K2414" s="6">
        <x:f t="shared" si="120"/>
        <x:v>882.15</x:v>
      </x:c>
      <x:c r="L2414" s="6">
        <x:v>0</x:v>
      </x:c>
      <x:c r="M2414" s="6">
        <x:v>0</x:v>
      </x:c>
      <x:c r="N2414" s="6">
        <x:f t="shared" si="121"/>
        <x:v>882.15</x:v>
      </x:c>
    </x:row>
    <x:row r="2415" spans="1:14" x14ac:dyDescent="0.25">
      <x:c r="A2415" t="s">
        <x:v>34</x:v>
      </x:c>
      <x:c r="B2415" s="3" t="s">
        <x:v>147</x:v>
      </x:c>
      <x:c r="C2415" s="3" t="s">
        <x:v>464</x:v>
      </x:c>
      <x:c r="D2415" t="s">
        <x:v>676</x:v>
      </x:c>
      <x:c r="E2415" s="6">
        <x:v>0</x:v>
      </x:c>
      <x:c r="F2415" s="6">
        <x:v>0</x:v>
      </x:c>
      <x:c r="G2415" s="6">
        <x:v>0</x:v>
      </x:c>
      <x:c r="H2415" s="6">
        <x:f t="shared" si="119"/>
        <x:v>0</x:v>
      </x:c>
      <x:c r="I2415" s="6">
        <x:v>1456.71</x:v>
      </x:c>
      <x:c r="J2415" s="6">
        <x:v>0</x:v>
      </x:c>
      <x:c r="K2415" s="6">
        <x:f t="shared" si="120"/>
        <x:v>1456.71</x:v>
      </x:c>
      <x:c r="L2415" s="6">
        <x:v>0</x:v>
      </x:c>
      <x:c r="M2415" s="6">
        <x:v>0</x:v>
      </x:c>
      <x:c r="N2415" s="6">
        <x:f t="shared" si="121"/>
        <x:v>1456.71</x:v>
      </x:c>
    </x:row>
    <x:row r="2416" spans="1:14" x14ac:dyDescent="0.25">
      <x:c r="A2416" t="s">
        <x:v>34</x:v>
      </x:c>
      <x:c r="B2416" s="3" t="s">
        <x:v>148</x:v>
      </x:c>
      <x:c r="C2416" s="3" t="s">
        <x:v>465</x:v>
      </x:c>
      <x:c r="D2416" t="s">
        <x:v>676</x:v>
      </x:c>
      <x:c r="E2416" s="6">
        <x:v>0</x:v>
      </x:c>
      <x:c r="F2416" s="6">
        <x:v>0</x:v>
      </x:c>
      <x:c r="G2416" s="6">
        <x:v>0</x:v>
      </x:c>
      <x:c r="H2416" s="6">
        <x:f t="shared" si="119"/>
        <x:v>0</x:v>
      </x:c>
      <x:c r="I2416" s="6">
        <x:v>988.29000000000008</x:v>
      </x:c>
      <x:c r="J2416" s="6">
        <x:v>0</x:v>
      </x:c>
      <x:c r="K2416" s="6">
        <x:f t="shared" si="120"/>
        <x:v>988.29000000000008</x:v>
      </x:c>
      <x:c r="L2416" s="6">
        <x:v>0</x:v>
      </x:c>
      <x:c r="M2416" s="6">
        <x:v>0</x:v>
      </x:c>
      <x:c r="N2416" s="6">
        <x:f t="shared" si="121"/>
        <x:v>988.29000000000008</x:v>
      </x:c>
    </x:row>
    <x:row r="2417" spans="1:14" x14ac:dyDescent="0.25">
      <x:c r="A2417" t="s">
        <x:v>34</x:v>
      </x:c>
      <x:c r="B2417" s="3" t="s">
        <x:v>149</x:v>
      </x:c>
      <x:c r="C2417" s="3" t="s">
        <x:v>466</x:v>
      </x:c>
      <x:c r="D2417" t="s">
        <x:v>676</x:v>
      </x:c>
      <x:c r="E2417" s="6">
        <x:v>0</x:v>
      </x:c>
      <x:c r="F2417" s="6">
        <x:v>0</x:v>
      </x:c>
      <x:c r="G2417" s="6">
        <x:v>0</x:v>
      </x:c>
      <x:c r="H2417" s="6">
        <x:f t="shared" si="119"/>
        <x:v>0</x:v>
      </x:c>
      <x:c r="I2417" s="6">
        <x:v>68.2</x:v>
      </x:c>
      <x:c r="J2417" s="6">
        <x:v>0</x:v>
      </x:c>
      <x:c r="K2417" s="6">
        <x:f t="shared" si="120"/>
        <x:v>68.2</x:v>
      </x:c>
      <x:c r="L2417" s="6">
        <x:v>0</x:v>
      </x:c>
      <x:c r="M2417" s="6">
        <x:v>0</x:v>
      </x:c>
      <x:c r="N2417" s="6">
        <x:f t="shared" si="121"/>
        <x:v>68.2</x:v>
      </x:c>
    </x:row>
    <x:row r="2418" spans="1:14" x14ac:dyDescent="0.25">
      <x:c r="A2418" t="s">
        <x:v>34</x:v>
      </x:c>
      <x:c r="B2418" s="3" t="s">
        <x:v>151</x:v>
      </x:c>
      <x:c r="C2418" s="3" t="s">
        <x:v>468</x:v>
      </x:c>
      <x:c r="D2418" t="s">
        <x:v>676</x:v>
      </x:c>
      <x:c r="E2418" s="6">
        <x:v>0</x:v>
      </x:c>
      <x:c r="F2418" s="6">
        <x:v>0</x:v>
      </x:c>
      <x:c r="G2418" s="6">
        <x:v>0</x:v>
      </x:c>
      <x:c r="H2418" s="6">
        <x:f t="shared" si="119"/>
        <x:v>0</x:v>
      </x:c>
      <x:c r="I2418" s="6">
        <x:v>1955.8200000000002</x:v>
      </x:c>
      <x:c r="J2418" s="6">
        <x:v>0</x:v>
      </x:c>
      <x:c r="K2418" s="6">
        <x:f t="shared" si="120"/>
        <x:v>1955.8200000000002</x:v>
      </x:c>
      <x:c r="L2418" s="6">
        <x:v>0</x:v>
      </x:c>
      <x:c r="M2418" s="6">
        <x:v>0</x:v>
      </x:c>
      <x:c r="N2418" s="6">
        <x:f t="shared" si="121"/>
        <x:v>1955.8200000000002</x:v>
      </x:c>
    </x:row>
    <x:row r="2419" spans="1:14" x14ac:dyDescent="0.25">
      <x:c r="A2419" t="s">
        <x:v>34</x:v>
      </x:c>
      <x:c r="B2419" s="3" t="s">
        <x:v>277</x:v>
      </x:c>
      <x:c r="C2419" s="3" t="s">
        <x:v>592</x:v>
      </x:c>
      <x:c r="D2419" t="s">
        <x:v>676</x:v>
      </x:c>
      <x:c r="E2419" s="6">
        <x:v>0</x:v>
      </x:c>
      <x:c r="F2419" s="6">
        <x:v>0</x:v>
      </x:c>
      <x:c r="G2419" s="6">
        <x:v>0</x:v>
      </x:c>
      <x:c r="H2419" s="6">
        <x:f t="shared" si="119"/>
        <x:v>0</x:v>
      </x:c>
      <x:c r="I2419" s="6">
        <x:v>4018.3099999999995</x:v>
      </x:c>
      <x:c r="J2419" s="6">
        <x:v>0</x:v>
      </x:c>
      <x:c r="K2419" s="6">
        <x:f t="shared" si="120"/>
        <x:v>4018.3099999999995</x:v>
      </x:c>
      <x:c r="L2419" s="6">
        <x:v>0</x:v>
      </x:c>
      <x:c r="M2419" s="6">
        <x:v>0</x:v>
      </x:c>
      <x:c r="N2419" s="6">
        <x:f t="shared" si="121"/>
        <x:v>4018.3099999999995</x:v>
      </x:c>
    </x:row>
    <x:row r="2420" spans="1:14" x14ac:dyDescent="0.25">
      <x:c r="A2420" t="s">
        <x:v>34</x:v>
      </x:c>
      <x:c r="B2420" s="3" t="s">
        <x:v>278</x:v>
      </x:c>
      <x:c r="C2420" s="3" t="s">
        <x:v>593</x:v>
      </x:c>
      <x:c r="D2420" t="s">
        <x:v>676</x:v>
      </x:c>
      <x:c r="E2420" s="6">
        <x:v>0</x:v>
      </x:c>
      <x:c r="F2420" s="6">
        <x:v>0</x:v>
      </x:c>
      <x:c r="G2420" s="6">
        <x:v>0</x:v>
      </x:c>
      <x:c r="H2420" s="6">
        <x:f t="shared" si="119"/>
        <x:v>0</x:v>
      </x:c>
      <x:c r="I2420" s="6">
        <x:v>1896.5700000000002</x:v>
      </x:c>
      <x:c r="J2420" s="6">
        <x:v>0</x:v>
      </x:c>
      <x:c r="K2420" s="6">
        <x:f t="shared" si="120"/>
        <x:v>1896.5700000000002</x:v>
      </x:c>
      <x:c r="L2420" s="6">
        <x:v>0</x:v>
      </x:c>
      <x:c r="M2420" s="6">
        <x:v>0</x:v>
      </x:c>
      <x:c r="N2420" s="6">
        <x:f t="shared" si="121"/>
        <x:v>1896.5700000000002</x:v>
      </x:c>
    </x:row>
    <x:row r="2421" spans="1:14" x14ac:dyDescent="0.25">
      <x:c r="A2421" t="s">
        <x:v>34</x:v>
      </x:c>
      <x:c r="B2421" s="3" t="s">
        <x:v>152</x:v>
      </x:c>
      <x:c r="C2421" s="3" t="s">
        <x:v>469</x:v>
      </x:c>
      <x:c r="D2421" t="s">
        <x:v>676</x:v>
      </x:c>
      <x:c r="E2421" s="6">
        <x:v>0</x:v>
      </x:c>
      <x:c r="F2421" s="6">
        <x:v>0</x:v>
      </x:c>
      <x:c r="G2421" s="6">
        <x:v>0</x:v>
      </x:c>
      <x:c r="H2421" s="6">
        <x:f t="shared" si="119"/>
        <x:v>0</x:v>
      </x:c>
      <x:c r="I2421" s="6">
        <x:v>7130.3099999999995</x:v>
      </x:c>
      <x:c r="J2421" s="6">
        <x:v>0</x:v>
      </x:c>
      <x:c r="K2421" s="6">
        <x:f t="shared" si="120"/>
        <x:v>7130.3099999999995</x:v>
      </x:c>
      <x:c r="L2421" s="6">
        <x:v>0</x:v>
      </x:c>
      <x:c r="M2421" s="6">
        <x:v>0</x:v>
      </x:c>
      <x:c r="N2421" s="6">
        <x:f t="shared" si="121"/>
        <x:v>7130.3099999999995</x:v>
      </x:c>
    </x:row>
    <x:row r="2422" spans="1:14" x14ac:dyDescent="0.25">
      <x:c r="A2422" t="s">
        <x:v>34</x:v>
      </x:c>
      <x:c r="B2422" s="3" t="s">
        <x:v>153</x:v>
      </x:c>
      <x:c r="C2422" s="3" t="s">
        <x:v>470</x:v>
      </x:c>
      <x:c r="D2422" t="s">
        <x:v>676</x:v>
      </x:c>
      <x:c r="E2422" s="6">
        <x:v>0</x:v>
      </x:c>
      <x:c r="F2422" s="6">
        <x:v>0</x:v>
      </x:c>
      <x:c r="G2422" s="6">
        <x:v>0</x:v>
      </x:c>
      <x:c r="H2422" s="6">
        <x:f t="shared" si="119"/>
        <x:v>0</x:v>
      </x:c>
      <x:c r="I2422" s="6">
        <x:v>3827.62</x:v>
      </x:c>
      <x:c r="J2422" s="6">
        <x:v>0</x:v>
      </x:c>
      <x:c r="K2422" s="6">
        <x:f t="shared" si="120"/>
        <x:v>3827.62</x:v>
      </x:c>
      <x:c r="L2422" s="6">
        <x:v>0</x:v>
      </x:c>
      <x:c r="M2422" s="6">
        <x:v>0</x:v>
      </x:c>
      <x:c r="N2422" s="6">
        <x:f t="shared" si="121"/>
        <x:v>3827.62</x:v>
      </x:c>
    </x:row>
    <x:row r="2423" spans="1:14" x14ac:dyDescent="0.25">
      <x:c r="A2423" t="s">
        <x:v>34</x:v>
      </x:c>
      <x:c r="B2423" s="3" t="s">
        <x:v>154</x:v>
      </x:c>
      <x:c r="C2423" s="3" t="s">
        <x:v>471</x:v>
      </x:c>
      <x:c r="D2423" t="s">
        <x:v>676</x:v>
      </x:c>
      <x:c r="E2423" s="6">
        <x:v>0</x:v>
      </x:c>
      <x:c r="F2423" s="6">
        <x:v>0</x:v>
      </x:c>
      <x:c r="G2423" s="6">
        <x:v>0</x:v>
      </x:c>
      <x:c r="H2423" s="6">
        <x:f t="shared" si="119"/>
        <x:v>0</x:v>
      </x:c>
      <x:c r="I2423" s="6">
        <x:v>1575.94</x:v>
      </x:c>
      <x:c r="J2423" s="6">
        <x:v>0</x:v>
      </x:c>
      <x:c r="K2423" s="6">
        <x:f t="shared" si="120"/>
        <x:v>1575.94</x:v>
      </x:c>
      <x:c r="L2423" s="6">
        <x:v>0</x:v>
      </x:c>
      <x:c r="M2423" s="6">
        <x:v>0</x:v>
      </x:c>
      <x:c r="N2423" s="6">
        <x:f t="shared" si="121"/>
        <x:v>1575.94</x:v>
      </x:c>
    </x:row>
    <x:row r="2424" spans="1:14" x14ac:dyDescent="0.25">
      <x:c r="A2424" t="s">
        <x:v>34</x:v>
      </x:c>
      <x:c r="B2424" s="3" t="s">
        <x:v>155</x:v>
      </x:c>
      <x:c r="C2424" s="3" t="s">
        <x:v>472</x:v>
      </x:c>
      <x:c r="D2424" t="s">
        <x:v>676</x:v>
      </x:c>
      <x:c r="E2424" s="6">
        <x:v>0</x:v>
      </x:c>
      <x:c r="F2424" s="6">
        <x:v>0</x:v>
      </x:c>
      <x:c r="G2424" s="6">
        <x:v>0</x:v>
      </x:c>
      <x:c r="H2424" s="6">
        <x:f t="shared" si="119"/>
        <x:v>0</x:v>
      </x:c>
      <x:c r="I2424" s="6">
        <x:v>233.99</x:v>
      </x:c>
      <x:c r="J2424" s="6">
        <x:v>0</x:v>
      </x:c>
      <x:c r="K2424" s="6">
        <x:f t="shared" si="120"/>
        <x:v>233.99</x:v>
      </x:c>
      <x:c r="L2424" s="6">
        <x:v>0</x:v>
      </x:c>
      <x:c r="M2424" s="6">
        <x:v>0</x:v>
      </x:c>
      <x:c r="N2424" s="6">
        <x:f t="shared" si="121"/>
        <x:v>233.99</x:v>
      </x:c>
    </x:row>
    <x:row r="2425" spans="1:14" x14ac:dyDescent="0.25">
      <x:c r="A2425" t="s">
        <x:v>34</x:v>
      </x:c>
      <x:c r="B2425" s="3" t="s">
        <x:v>45</x:v>
      </x:c>
      <x:c r="C2425" s="3" t="s">
        <x:v>362</x:v>
      </x:c>
      <x:c r="D2425" t="s">
        <x:v>676</x:v>
      </x:c>
      <x:c r="E2425" s="6">
        <x:v>0</x:v>
      </x:c>
      <x:c r="F2425" s="6">
        <x:v>0</x:v>
      </x:c>
      <x:c r="G2425" s="6">
        <x:v>0</x:v>
      </x:c>
      <x:c r="H2425" s="6">
        <x:f t="shared" si="119"/>
        <x:v>0</x:v>
      </x:c>
      <x:c r="I2425" s="6">
        <x:v>2993.42</x:v>
      </x:c>
      <x:c r="J2425" s="6">
        <x:v>0</x:v>
      </x:c>
      <x:c r="K2425" s="6">
        <x:f t="shared" si="120"/>
        <x:v>2993.42</x:v>
      </x:c>
      <x:c r="L2425" s="6">
        <x:v>0</x:v>
      </x:c>
      <x:c r="M2425" s="6">
        <x:v>0</x:v>
      </x:c>
      <x:c r="N2425" s="6">
        <x:f t="shared" si="121"/>
        <x:v>2993.42</x:v>
      </x:c>
    </x:row>
    <x:row r="2426" spans="1:14" x14ac:dyDescent="0.25">
      <x:c r="A2426" t="s">
        <x:v>34</x:v>
      </x:c>
      <x:c r="B2426" s="3" t="s">
        <x:v>156</x:v>
      </x:c>
      <x:c r="C2426" s="3" t="s">
        <x:v>473</x:v>
      </x:c>
      <x:c r="D2426" t="s">
        <x:v>676</x:v>
      </x:c>
      <x:c r="E2426" s="6">
        <x:v>0</x:v>
      </x:c>
      <x:c r="F2426" s="6">
        <x:v>0</x:v>
      </x:c>
      <x:c r="G2426" s="6">
        <x:v>0</x:v>
      </x:c>
      <x:c r="H2426" s="6">
        <x:f t="shared" si="119"/>
        <x:v>0</x:v>
      </x:c>
      <x:c r="I2426" s="6">
        <x:v>8.56</x:v>
      </x:c>
      <x:c r="J2426" s="6">
        <x:v>0</x:v>
      </x:c>
      <x:c r="K2426" s="6">
        <x:f t="shared" si="120"/>
        <x:v>8.56</x:v>
      </x:c>
      <x:c r="L2426" s="6">
        <x:v>0</x:v>
      </x:c>
      <x:c r="M2426" s="6">
        <x:v>0</x:v>
      </x:c>
      <x:c r="N2426" s="6">
        <x:f t="shared" si="121"/>
        <x:v>8.56</x:v>
      </x:c>
    </x:row>
    <x:row r="2427" spans="1:14" x14ac:dyDescent="0.25">
      <x:c r="A2427" t="s">
        <x:v>34</x:v>
      </x:c>
      <x:c r="B2427" s="3" t="s">
        <x:v>157</x:v>
      </x:c>
      <x:c r="C2427" s="3" t="s">
        <x:v>474</x:v>
      </x:c>
      <x:c r="D2427" t="s">
        <x:v>676</x:v>
      </x:c>
      <x:c r="E2427" s="6">
        <x:v>0</x:v>
      </x:c>
      <x:c r="F2427" s="6">
        <x:v>0</x:v>
      </x:c>
      <x:c r="G2427" s="6">
        <x:v>0</x:v>
      </x:c>
      <x:c r="H2427" s="6">
        <x:f t="shared" si="119"/>
        <x:v>0</x:v>
      </x:c>
      <x:c r="I2427" s="6">
        <x:v>3347.5899999999997</x:v>
      </x:c>
      <x:c r="J2427" s="6">
        <x:v>0</x:v>
      </x:c>
      <x:c r="K2427" s="6">
        <x:f t="shared" si="120"/>
        <x:v>3347.5899999999997</x:v>
      </x:c>
      <x:c r="L2427" s="6">
        <x:v>0</x:v>
      </x:c>
      <x:c r="M2427" s="6">
        <x:v>0</x:v>
      </x:c>
      <x:c r="N2427" s="6">
        <x:f t="shared" si="121"/>
        <x:v>3347.5899999999997</x:v>
      </x:c>
    </x:row>
    <x:row r="2428" spans="1:14" x14ac:dyDescent="0.25">
      <x:c r="A2428" t="s">
        <x:v>34</x:v>
      </x:c>
      <x:c r="B2428" s="3" t="s">
        <x:v>158</x:v>
      </x:c>
      <x:c r="C2428" s="3" t="s">
        <x:v>475</x:v>
      </x:c>
      <x:c r="D2428" t="s">
        <x:v>676</x:v>
      </x:c>
      <x:c r="E2428" s="6">
        <x:v>0</x:v>
      </x:c>
      <x:c r="F2428" s="6">
        <x:v>0</x:v>
      </x:c>
      <x:c r="G2428" s="6">
        <x:v>0</x:v>
      </x:c>
      <x:c r="H2428" s="6">
        <x:f t="shared" si="119"/>
        <x:v>0</x:v>
      </x:c>
      <x:c r="I2428" s="6">
        <x:v>4378.75</x:v>
      </x:c>
      <x:c r="J2428" s="6">
        <x:v>0</x:v>
      </x:c>
      <x:c r="K2428" s="6">
        <x:f t="shared" si="120"/>
        <x:v>4378.75</x:v>
      </x:c>
      <x:c r="L2428" s="6">
        <x:v>0</x:v>
      </x:c>
      <x:c r="M2428" s="6">
        <x:v>0</x:v>
      </x:c>
      <x:c r="N2428" s="6">
        <x:f t="shared" si="121"/>
        <x:v>4378.75</x:v>
      </x:c>
    </x:row>
    <x:row r="2429" spans="1:14" x14ac:dyDescent="0.25">
      <x:c r="A2429" t="s">
        <x:v>34</x:v>
      </x:c>
      <x:c r="B2429" s="3" t="s">
        <x:v>160</x:v>
      </x:c>
      <x:c r="C2429" s="3" t="s">
        <x:v>477</x:v>
      </x:c>
      <x:c r="D2429" t="s">
        <x:v>676</x:v>
      </x:c>
      <x:c r="E2429" s="6">
        <x:v>0</x:v>
      </x:c>
      <x:c r="F2429" s="6">
        <x:v>0</x:v>
      </x:c>
      <x:c r="G2429" s="6">
        <x:v>0</x:v>
      </x:c>
      <x:c r="H2429" s="6">
        <x:f t="shared" si="119"/>
        <x:v>0</x:v>
      </x:c>
      <x:c r="I2429" s="6">
        <x:v>30302.67</x:v>
      </x:c>
      <x:c r="J2429" s="6">
        <x:v>0</x:v>
      </x:c>
      <x:c r="K2429" s="6">
        <x:f t="shared" si="120"/>
        <x:v>30302.67</x:v>
      </x:c>
      <x:c r="L2429" s="6">
        <x:v>0</x:v>
      </x:c>
      <x:c r="M2429" s="6">
        <x:v>0</x:v>
      </x:c>
      <x:c r="N2429" s="6">
        <x:f t="shared" si="121"/>
        <x:v>30302.67</x:v>
      </x:c>
    </x:row>
    <x:row r="2430" spans="1:14" x14ac:dyDescent="0.25">
      <x:c r="A2430" t="s">
        <x:v>34</x:v>
      </x:c>
      <x:c r="B2430" s="3" t="s">
        <x:v>162</x:v>
      </x:c>
      <x:c r="C2430" s="3" t="s">
        <x:v>479</x:v>
      </x:c>
      <x:c r="D2430" t="s">
        <x:v>676</x:v>
      </x:c>
      <x:c r="E2430" s="6">
        <x:v>0</x:v>
      </x:c>
      <x:c r="F2430" s="6">
        <x:v>0</x:v>
      </x:c>
      <x:c r="G2430" s="6">
        <x:v>0</x:v>
      </x:c>
      <x:c r="H2430" s="6">
        <x:f t="shared" si="119"/>
        <x:v>0</x:v>
      </x:c>
      <x:c r="I2430" s="6">
        <x:v>4670.9699999999993</x:v>
      </x:c>
      <x:c r="J2430" s="6">
        <x:v>0</x:v>
      </x:c>
      <x:c r="K2430" s="6">
        <x:f t="shared" si="120"/>
        <x:v>4670.9699999999993</x:v>
      </x:c>
      <x:c r="L2430" s="6">
        <x:v>0</x:v>
      </x:c>
      <x:c r="M2430" s="6">
        <x:v>0</x:v>
      </x:c>
      <x:c r="N2430" s="6">
        <x:f t="shared" si="121"/>
        <x:v>4670.9699999999993</x:v>
      </x:c>
    </x:row>
    <x:row r="2431" spans="1:14" x14ac:dyDescent="0.25">
      <x:c r="A2431" t="s">
        <x:v>34</x:v>
      </x:c>
      <x:c r="B2431" s="3" t="s">
        <x:v>164</x:v>
      </x:c>
      <x:c r="C2431" s="3" t="s">
        <x:v>481</x:v>
      </x:c>
      <x:c r="D2431" t="s">
        <x:v>676</x:v>
      </x:c>
      <x:c r="E2431" s="6">
        <x:v>0</x:v>
      </x:c>
      <x:c r="F2431" s="6">
        <x:v>0</x:v>
      </x:c>
      <x:c r="G2431" s="6">
        <x:v>0</x:v>
      </x:c>
      <x:c r="H2431" s="6">
        <x:f t="shared" si="119"/>
        <x:v>0</x:v>
      </x:c>
      <x:c r="I2431" s="6">
        <x:v>2757.2</x:v>
      </x:c>
      <x:c r="J2431" s="6">
        <x:v>0</x:v>
      </x:c>
      <x:c r="K2431" s="6">
        <x:f t="shared" si="120"/>
        <x:v>2757.2</x:v>
      </x:c>
      <x:c r="L2431" s="6">
        <x:v>0</x:v>
      </x:c>
      <x:c r="M2431" s="6">
        <x:v>0</x:v>
      </x:c>
      <x:c r="N2431" s="6">
        <x:f t="shared" si="121"/>
        <x:v>2757.2</x:v>
      </x:c>
    </x:row>
    <x:row r="2432" spans="1:14" x14ac:dyDescent="0.25">
      <x:c r="A2432" t="s">
        <x:v>34</x:v>
      </x:c>
      <x:c r="B2432" s="3" t="s">
        <x:v>49</x:v>
      </x:c>
      <x:c r="C2432" s="3" t="s">
        <x:v>366</x:v>
      </x:c>
      <x:c r="D2432" t="s">
        <x:v>676</x:v>
      </x:c>
      <x:c r="E2432" s="6">
        <x:v>0</x:v>
      </x:c>
      <x:c r="F2432" s="6">
        <x:v>0</x:v>
      </x:c>
      <x:c r="G2432" s="6">
        <x:v>0</x:v>
      </x:c>
      <x:c r="H2432" s="6">
        <x:f t="shared" si="119"/>
        <x:v>0</x:v>
      </x:c>
      <x:c r="I2432" s="6">
        <x:v>16640.28</x:v>
      </x:c>
      <x:c r="J2432" s="6">
        <x:v>0</x:v>
      </x:c>
      <x:c r="K2432" s="6">
        <x:f t="shared" si="120"/>
        <x:v>16640.28</x:v>
      </x:c>
      <x:c r="L2432" s="6">
        <x:v>0</x:v>
      </x:c>
      <x:c r="M2432" s="6">
        <x:v>0</x:v>
      </x:c>
      <x:c r="N2432" s="6">
        <x:f t="shared" si="121"/>
        <x:v>16640.28</x:v>
      </x:c>
    </x:row>
    <x:row r="2433" spans="1:14" x14ac:dyDescent="0.25">
      <x:c r="A2433" t="s">
        <x:v>34</x:v>
      </x:c>
      <x:c r="B2433" s="3" t="s">
        <x:v>165</x:v>
      </x:c>
      <x:c r="C2433" s="3" t="s">
        <x:v>482</x:v>
      </x:c>
      <x:c r="D2433" t="s">
        <x:v>676</x:v>
      </x:c>
      <x:c r="E2433" s="6">
        <x:v>0</x:v>
      </x:c>
      <x:c r="F2433" s="6">
        <x:v>0</x:v>
      </x:c>
      <x:c r="G2433" s="6">
        <x:v>0</x:v>
      </x:c>
      <x:c r="H2433" s="6">
        <x:f t="shared" si="119"/>
        <x:v>0</x:v>
      </x:c>
      <x:c r="I2433" s="6">
        <x:v>236.66000000000003</x:v>
      </x:c>
      <x:c r="J2433" s="6">
        <x:v>0</x:v>
      </x:c>
      <x:c r="K2433" s="6">
        <x:f t="shared" si="120"/>
        <x:v>236.66000000000003</x:v>
      </x:c>
      <x:c r="L2433" s="6">
        <x:v>0</x:v>
      </x:c>
      <x:c r="M2433" s="6">
        <x:v>0</x:v>
      </x:c>
      <x:c r="N2433" s="6">
        <x:f t="shared" si="121"/>
        <x:v>236.66000000000003</x:v>
      </x:c>
    </x:row>
    <x:row r="2434" spans="1:14" x14ac:dyDescent="0.25">
      <x:c r="A2434" t="s">
        <x:v>34</x:v>
      </x:c>
      <x:c r="B2434" s="3" t="s">
        <x:v>233</x:v>
      </x:c>
      <x:c r="C2434" s="3" t="s">
        <x:v>548</x:v>
      </x:c>
      <x:c r="D2434" t="s">
        <x:v>676</x:v>
      </x:c>
      <x:c r="E2434" s="6">
        <x:v>0</x:v>
      </x:c>
      <x:c r="F2434" s="6">
        <x:v>0</x:v>
      </x:c>
      <x:c r="G2434" s="6">
        <x:v>0</x:v>
      </x:c>
      <x:c r="H2434" s="6">
        <x:f t="shared" si="119"/>
        <x:v>0</x:v>
      </x:c>
      <x:c r="I2434" s="6">
        <x:v>1091.46</x:v>
      </x:c>
      <x:c r="J2434" s="6">
        <x:v>0</x:v>
      </x:c>
      <x:c r="K2434" s="6">
        <x:f t="shared" si="120"/>
        <x:v>1091.46</x:v>
      </x:c>
      <x:c r="L2434" s="6">
        <x:v>0</x:v>
      </x:c>
      <x:c r="M2434" s="6">
        <x:v>0</x:v>
      </x:c>
      <x:c r="N2434" s="6">
        <x:f t="shared" si="121"/>
        <x:v>1091.46</x:v>
      </x:c>
    </x:row>
    <x:row r="2435" spans="1:14" x14ac:dyDescent="0.25">
      <x:c r="A2435" t="s">
        <x:v>34</x:v>
      </x:c>
      <x:c r="B2435" s="3" t="s">
        <x:v>281</x:v>
      </x:c>
      <x:c r="C2435" s="3" t="s">
        <x:v>596</x:v>
      </x:c>
      <x:c r="D2435" t="s">
        <x:v>679</x:v>
      </x:c>
      <x:c r="E2435" s="6">
        <x:v>25876.070000000003</x:v>
      </x:c>
      <x:c r="F2435" s="6">
        <x:v>0</x:v>
      </x:c>
      <x:c r="G2435" s="6">
        <x:v>0</x:v>
      </x:c>
      <x:c r="H2435" s="6">
        <x:f t="shared" si="119"/>
        <x:v>25876.070000000003</x:v>
      </x:c>
      <x:c r="I2435" s="6">
        <x:v>69110.250000000015</x:v>
      </x:c>
      <x:c r="J2435" s="6">
        <x:v>0</x:v>
      </x:c>
      <x:c r="K2435" s="6">
        <x:f t="shared" si="120"/>
        <x:v>69110.250000000015</x:v>
      </x:c>
      <x:c r="L2435" s="6">
        <x:v>19326.47</x:v>
      </x:c>
      <x:c r="M2435" s="6">
        <x:v>794.21000000000129</x:v>
      </x:c>
      <x:c r="N2435" s="6">
        <x:f t="shared" si="121"/>
        <x:v>115107.00000000003</x:v>
      </x:c>
    </x:row>
    <x:row r="2436" spans="1:14" x14ac:dyDescent="0.25">
      <x:c r="A2436" t="s">
        <x:v>34</x:v>
      </x:c>
      <x:c r="B2436" s="3" t="s">
        <x:v>58</x:v>
      </x:c>
      <x:c r="C2436" s="3" t="s">
        <x:v>375</x:v>
      </x:c>
      <x:c r="D2436" t="s">
        <x:v>676</x:v>
      </x:c>
      <x:c r="E2436" s="6">
        <x:v>0</x:v>
      </x:c>
      <x:c r="F2436" s="6">
        <x:v>0</x:v>
      </x:c>
      <x:c r="G2436" s="6">
        <x:v>0</x:v>
      </x:c>
      <x:c r="H2436" s="6">
        <x:f t="shared" si="119"/>
        <x:v>0</x:v>
      </x:c>
      <x:c r="I2436" s="6">
        <x:v>66.650000000000006</x:v>
      </x:c>
      <x:c r="J2436" s="6">
        <x:v>0</x:v>
      </x:c>
      <x:c r="K2436" s="6">
        <x:f t="shared" si="120"/>
        <x:v>66.650000000000006</x:v>
      </x:c>
      <x:c r="L2436" s="6">
        <x:v>0</x:v>
      </x:c>
      <x:c r="M2436" s="6">
        <x:v>0</x:v>
      </x:c>
      <x:c r="N2436" s="6">
        <x:f t="shared" si="121"/>
        <x:v>66.650000000000006</x:v>
      </x:c>
    </x:row>
    <x:row r="2437" spans="1:14" x14ac:dyDescent="0.25">
      <x:c r="A2437" t="s">
        <x:v>34</x:v>
      </x:c>
      <x:c r="B2437" s="3" t="s">
        <x:v>168</x:v>
      </x:c>
      <x:c r="C2437" s="3" t="s">
        <x:v>460</x:v>
      </x:c>
      <x:c r="D2437" t="s">
        <x:v>676</x:v>
      </x:c>
      <x:c r="E2437" s="6">
        <x:v>0</x:v>
      </x:c>
      <x:c r="F2437" s="6">
        <x:v>0</x:v>
      </x:c>
      <x:c r="G2437" s="6">
        <x:v>0</x:v>
      </x:c>
      <x:c r="H2437" s="6">
        <x:f t="shared" si="119"/>
        <x:v>0</x:v>
      </x:c>
      <x:c r="I2437" s="6">
        <x:v>129.57</x:v>
      </x:c>
      <x:c r="J2437" s="6">
        <x:v>0</x:v>
      </x:c>
      <x:c r="K2437" s="6">
        <x:f t="shared" si="120"/>
        <x:v>129.57</x:v>
      </x:c>
      <x:c r="L2437" s="6">
        <x:v>0</x:v>
      </x:c>
      <x:c r="M2437" s="6">
        <x:v>0</x:v>
      </x:c>
      <x:c r="N2437" s="6">
        <x:f t="shared" si="121"/>
        <x:v>129.57</x:v>
      </x:c>
    </x:row>
    <x:row r="2438" spans="1:14" x14ac:dyDescent="0.25">
      <x:c r="A2438" t="s">
        <x:v>34</x:v>
      </x:c>
      <x:c r="B2438" s="3" t="s">
        <x:v>234</x:v>
      </x:c>
      <x:c r="C2438" s="3" t="s">
        <x:v>549</x:v>
      </x:c>
      <x:c r="D2438" t="s">
        <x:v>676</x:v>
      </x:c>
      <x:c r="E2438" s="6">
        <x:v>0</x:v>
      </x:c>
      <x:c r="F2438" s="6">
        <x:v>0</x:v>
      </x:c>
      <x:c r="G2438" s="6">
        <x:v>0</x:v>
      </x:c>
      <x:c r="H2438" s="6">
        <x:f t="shared" si="119"/>
        <x:v>0</x:v>
      </x:c>
      <x:c r="I2438" s="6">
        <x:v>35875.269999999997</x:v>
      </x:c>
      <x:c r="J2438" s="6">
        <x:v>0</x:v>
      </x:c>
      <x:c r="K2438" s="6">
        <x:f t="shared" si="120"/>
        <x:v>35875.269999999997</x:v>
      </x:c>
      <x:c r="L2438" s="6">
        <x:v>0</x:v>
      </x:c>
      <x:c r="M2438" s="6">
        <x:v>0</x:v>
      </x:c>
      <x:c r="N2438" s="6">
        <x:f t="shared" si="121"/>
        <x:v>35875.269999999997</x:v>
      </x:c>
    </x:row>
    <x:row r="2439" spans="1:14" x14ac:dyDescent="0.25">
      <x:c r="A2439" t="s">
        <x:v>34</x:v>
      </x:c>
      <x:c r="B2439" s="3" t="s">
        <x:v>282</x:v>
      </x:c>
      <x:c r="C2439" s="3" t="s">
        <x:v>597</x:v>
      </x:c>
      <x:c r="D2439" t="s">
        <x:v>679</x:v>
      </x:c>
      <x:c r="E2439" s="6">
        <x:v>22737.18</x:v>
      </x:c>
      <x:c r="F2439" s="6">
        <x:v>0</x:v>
      </x:c>
      <x:c r="G2439" s="6">
        <x:v>0</x:v>
      </x:c>
      <x:c r="H2439" s="6">
        <x:f t="shared" si="119"/>
        <x:v>22737.18</x:v>
      </x:c>
      <x:c r="I2439" s="6">
        <x:v>60726.859999999993</x:v>
      </x:c>
      <x:c r="J2439" s="6">
        <x:v>0</x:v>
      </x:c>
      <x:c r="K2439" s="6">
        <x:f t="shared" si="120"/>
        <x:v>60726.859999999993</x:v>
      </x:c>
      <x:c r="L2439" s="6">
        <x:v>16982.099999999999</x:v>
      </x:c>
      <x:c r="M2439" s="6">
        <x:v>697.8600000000057</x:v>
      </x:c>
      <x:c r="N2439" s="6">
        <x:f t="shared" si="121"/>
        <x:v>101143.99999999999</x:v>
      </x:c>
    </x:row>
    <x:row r="2440" spans="1:14" x14ac:dyDescent="0.25">
      <x:c r="A2440" t="s">
        <x:v>34</x:v>
      </x:c>
      <x:c r="B2440" s="3" t="s">
        <x:v>283</x:v>
      </x:c>
      <x:c r="C2440" s="3" t="s">
        <x:v>598</x:v>
      </x:c>
      <x:c r="D2440" t="s">
        <x:v>679</x:v>
      </x:c>
      <x:c r="E2440" s="6">
        <x:v>26.259999999999998</x:v>
      </x:c>
      <x:c r="F2440" s="6">
        <x:v>0</x:v>
      </x:c>
      <x:c r="G2440" s="6">
        <x:v>0</x:v>
      </x:c>
      <x:c r="H2440" s="6">
        <x:f t="shared" si="119"/>
        <x:v>26.259999999999998</x:v>
      </x:c>
      <x:c r="I2440" s="6">
        <x:v>70.12</x:v>
      </x:c>
      <x:c r="J2440" s="6">
        <x:v>0</x:v>
      </x:c>
      <x:c r="K2440" s="6">
        <x:f t="shared" si="120"/>
        <x:v>70.12</x:v>
      </x:c>
      <x:c r="L2440" s="6">
        <x:v>19.61</x:v>
      </x:c>
      <x:c r="M2440" s="6">
        <x:v>0.79999999999999805</x:v>
      </x:c>
      <x:c r="N2440" s="6">
        <x:f t="shared" si="121"/>
        <x:v>116.78999999999999</x:v>
      </x:c>
    </x:row>
    <x:row r="2441" spans="1:14" x14ac:dyDescent="0.25">
      <x:c r="A2441" t="s">
        <x:v>34</x:v>
      </x:c>
      <x:c r="B2441" s="3" t="s">
        <x:v>59</x:v>
      </x:c>
      <x:c r="C2441" s="3" t="s">
        <x:v>376</x:v>
      </x:c>
      <x:c r="D2441" t="s">
        <x:v>679</x:v>
      </x:c>
      <x:c r="E2441" s="6">
        <x:v>530.47</x:v>
      </x:c>
      <x:c r="F2441" s="6">
        <x:v>0</x:v>
      </x:c>
      <x:c r="G2441" s="6">
        <x:v>0</x:v>
      </x:c>
      <x:c r="H2441" s="6">
        <x:f t="shared" si="119"/>
        <x:v>530.47</x:v>
      </x:c>
      <x:c r="I2441" s="6">
        <x:v>1416.78</x:v>
      </x:c>
      <x:c r="J2441" s="6">
        <x:v>0</x:v>
      </x:c>
      <x:c r="K2441" s="6">
        <x:f t="shared" si="120"/>
        <x:v>1416.78</x:v>
      </x:c>
      <x:c r="L2441" s="6">
        <x:v>396.2</x:v>
      </x:c>
      <x:c r="M2441" s="6">
        <x:v>16.269999999999811</x:v>
      </x:c>
      <x:c r="N2441" s="6">
        <x:f t="shared" si="121"/>
        <x:v>2359.7199999999998</x:v>
      </x:c>
    </x:row>
    <x:row r="2442" spans="1:14" x14ac:dyDescent="0.25">
      <x:c r="A2442" t="s">
        <x:v>34</x:v>
      </x:c>
      <x:c r="B2442" s="3" t="s">
        <x:v>60</x:v>
      </x:c>
      <x:c r="C2442" s="3" t="s">
        <x:v>377</x:v>
      </x:c>
      <x:c r="D2442" t="s">
        <x:v>679</x:v>
      </x:c>
      <x:c r="E2442" s="6">
        <x:v>49628.729999999989</x:v>
      </x:c>
      <x:c r="F2442" s="6">
        <x:v>0</x:v>
      </x:c>
      <x:c r="G2442" s="6">
        <x:v>0</x:v>
      </x:c>
      <x:c r="H2442" s="6">
        <x:f t="shared" si="119"/>
        <x:v>49628.729999999989</x:v>
      </x:c>
      <x:c r="I2442" s="6">
        <x:v>132549.37000000002</x:v>
      </x:c>
      <x:c r="J2442" s="6">
        <x:v>0</x:v>
      </x:c>
      <x:c r="K2442" s="6">
        <x:f t="shared" si="120"/>
        <x:v>132549.37000000002</x:v>
      </x:c>
      <x:c r="L2442" s="6">
        <x:v>37067.039999999994</x:v>
      </x:c>
      <x:c r="M2442" s="6">
        <x:v>1523.3299999999958</x:v>
      </x:c>
      <x:c r="N2442" s="6">
        <x:f t="shared" si="121"/>
        <x:v>220768.47</x:v>
      </x:c>
    </x:row>
    <x:row r="2443" spans="1:14" x14ac:dyDescent="0.25">
      <x:c r="A2443" t="s">
        <x:v>34</x:v>
      </x:c>
      <x:c r="B2443" s="3" t="s">
        <x:v>169</x:v>
      </x:c>
      <x:c r="C2443" s="3" t="s">
        <x:v>485</x:v>
      </x:c>
      <x:c r="D2443" t="s">
        <x:v>676</x:v>
      </x:c>
      <x:c r="E2443" s="6">
        <x:v>0</x:v>
      </x:c>
      <x:c r="F2443" s="6">
        <x:v>0</x:v>
      </x:c>
      <x:c r="G2443" s="6">
        <x:v>0</x:v>
      </x:c>
      <x:c r="H2443" s="6">
        <x:f t="shared" si="119"/>
        <x:v>0</x:v>
      </x:c>
      <x:c r="I2443" s="6">
        <x:v>60.3</x:v>
      </x:c>
      <x:c r="J2443" s="6">
        <x:v>0</x:v>
      </x:c>
      <x:c r="K2443" s="6">
        <x:f t="shared" si="120"/>
        <x:v>60.3</x:v>
      </x:c>
      <x:c r="L2443" s="6">
        <x:v>0</x:v>
      </x:c>
      <x:c r="M2443" s="6">
        <x:v>0</x:v>
      </x:c>
      <x:c r="N2443" s="6">
        <x:f t="shared" si="121"/>
        <x:v>60.3</x:v>
      </x:c>
    </x:row>
    <x:row r="2444" spans="1:14" x14ac:dyDescent="0.25">
      <x:c r="A2444" t="s">
        <x:v>34</x:v>
      </x:c>
      <x:c r="B2444" s="3" t="s">
        <x:v>170</x:v>
      </x:c>
      <x:c r="C2444" s="3" t="s">
        <x:v>486</x:v>
      </x:c>
      <x:c r="D2444" t="s">
        <x:v>676</x:v>
      </x:c>
      <x:c r="E2444" s="6">
        <x:v>0</x:v>
      </x:c>
      <x:c r="F2444" s="6">
        <x:v>0</x:v>
      </x:c>
      <x:c r="G2444" s="6">
        <x:v>0</x:v>
      </x:c>
      <x:c r="H2444" s="6">
        <x:f t="shared" si="119"/>
        <x:v>0</x:v>
      </x:c>
      <x:c r="I2444" s="6">
        <x:v>8.08</x:v>
      </x:c>
      <x:c r="J2444" s="6">
        <x:v>0</x:v>
      </x:c>
      <x:c r="K2444" s="6">
        <x:f t="shared" si="120"/>
        <x:v>8.08</x:v>
      </x:c>
      <x:c r="L2444" s="6">
        <x:v>0</x:v>
      </x:c>
      <x:c r="M2444" s="6">
        <x:v>0</x:v>
      </x:c>
      <x:c r="N2444" s="6">
        <x:f t="shared" si="121"/>
        <x:v>8.08</x:v>
      </x:c>
    </x:row>
    <x:row r="2445" spans="1:14" x14ac:dyDescent="0.25">
      <x:c r="A2445" t="s">
        <x:v>34</x:v>
      </x:c>
      <x:c r="B2445" s="3" t="s">
        <x:v>171</x:v>
      </x:c>
      <x:c r="C2445" s="3" t="s">
        <x:v>487</x:v>
      </x:c>
      <x:c r="D2445" t="s">
        <x:v>676</x:v>
      </x:c>
      <x:c r="E2445" s="6">
        <x:v>0</x:v>
      </x:c>
      <x:c r="F2445" s="6">
        <x:v>0</x:v>
      </x:c>
      <x:c r="G2445" s="6">
        <x:v>0</x:v>
      </x:c>
      <x:c r="H2445" s="6">
        <x:f t="shared" si="119"/>
        <x:v>0</x:v>
      </x:c>
      <x:c r="I2445" s="6">
        <x:v>548.01</x:v>
      </x:c>
      <x:c r="J2445" s="6">
        <x:v>0</x:v>
      </x:c>
      <x:c r="K2445" s="6">
        <x:f t="shared" si="120"/>
        <x:v>548.01</x:v>
      </x:c>
      <x:c r="L2445" s="6">
        <x:v>0</x:v>
      </x:c>
      <x:c r="M2445" s="6">
        <x:v>0</x:v>
      </x:c>
      <x:c r="N2445" s="6">
        <x:f t="shared" si="121"/>
        <x:v>548.01</x:v>
      </x:c>
    </x:row>
    <x:row r="2446" spans="1:14" x14ac:dyDescent="0.25">
      <x:c r="A2446" t="s">
        <x:v>34</x:v>
      </x:c>
      <x:c r="B2446" s="3" t="s">
        <x:v>173</x:v>
      </x:c>
      <x:c r="C2446" s="3" t="s">
        <x:v>489</x:v>
      </x:c>
      <x:c r="D2446" t="s">
        <x:v>676</x:v>
      </x:c>
      <x:c r="E2446" s="6">
        <x:v>0</x:v>
      </x:c>
      <x:c r="F2446" s="6">
        <x:v>0</x:v>
      </x:c>
      <x:c r="G2446" s="6">
        <x:v>0</x:v>
      </x:c>
      <x:c r="H2446" s="6">
        <x:f t="shared" si="119"/>
        <x:v>0</x:v>
      </x:c>
      <x:c r="I2446" s="6">
        <x:v>251.68</x:v>
      </x:c>
      <x:c r="J2446" s="6">
        <x:v>0</x:v>
      </x:c>
      <x:c r="K2446" s="6">
        <x:f t="shared" si="120"/>
        <x:v>251.68</x:v>
      </x:c>
      <x:c r="L2446" s="6">
        <x:v>0</x:v>
      </x:c>
      <x:c r="M2446" s="6">
        <x:v>0</x:v>
      </x:c>
      <x:c r="N2446" s="6">
        <x:f t="shared" si="121"/>
        <x:v>251.68</x:v>
      </x:c>
    </x:row>
    <x:row r="2447" spans="1:14" x14ac:dyDescent="0.25">
      <x:c r="A2447" t="s">
        <x:v>34</x:v>
      </x:c>
      <x:c r="B2447" s="3" t="s">
        <x:v>175</x:v>
      </x:c>
      <x:c r="C2447" s="3" t="s">
        <x:v>491</x:v>
      </x:c>
      <x:c r="D2447" t="s">
        <x:v>676</x:v>
      </x:c>
      <x:c r="E2447" s="6">
        <x:v>0</x:v>
      </x:c>
      <x:c r="F2447" s="6">
        <x:v>0</x:v>
      </x:c>
      <x:c r="G2447" s="6">
        <x:v>0</x:v>
      </x:c>
      <x:c r="H2447" s="6">
        <x:f t="shared" si="119"/>
        <x:v>0</x:v>
      </x:c>
      <x:c r="I2447" s="6">
        <x:v>541.84</x:v>
      </x:c>
      <x:c r="J2447" s="6">
        <x:v>0</x:v>
      </x:c>
      <x:c r="K2447" s="6">
        <x:f t="shared" si="120"/>
        <x:v>541.84</x:v>
      </x:c>
      <x:c r="L2447" s="6">
        <x:v>0</x:v>
      </x:c>
      <x:c r="M2447" s="6">
        <x:v>0</x:v>
      </x:c>
      <x:c r="N2447" s="6">
        <x:f t="shared" si="121"/>
        <x:v>541.84</x:v>
      </x:c>
    </x:row>
    <x:row r="2448" spans="1:14" x14ac:dyDescent="0.25">
      <x:c r="A2448" t="s">
        <x:v>34</x:v>
      </x:c>
      <x:c r="B2448" s="3" t="s">
        <x:v>176</x:v>
      </x:c>
      <x:c r="C2448" s="3" t="s">
        <x:v>492</x:v>
      </x:c>
      <x:c r="D2448" t="s">
        <x:v>676</x:v>
      </x:c>
      <x:c r="E2448" s="6">
        <x:v>0</x:v>
      </x:c>
      <x:c r="F2448" s="6">
        <x:v>0</x:v>
      </x:c>
      <x:c r="G2448" s="6">
        <x:v>0</x:v>
      </x:c>
      <x:c r="H2448" s="6">
        <x:f t="shared" si="119"/>
        <x:v>0</x:v>
      </x:c>
      <x:c r="I2448" s="6">
        <x:v>606</x:v>
      </x:c>
      <x:c r="J2448" s="6">
        <x:v>0</x:v>
      </x:c>
      <x:c r="K2448" s="6">
        <x:f t="shared" si="120"/>
        <x:v>606</x:v>
      </x:c>
      <x:c r="L2448" s="6">
        <x:v>0</x:v>
      </x:c>
      <x:c r="M2448" s="6">
        <x:v>0</x:v>
      </x:c>
      <x:c r="N2448" s="6">
        <x:f t="shared" si="121"/>
        <x:v>606</x:v>
      </x:c>
    </x:row>
    <x:row r="2449" spans="1:14" x14ac:dyDescent="0.25">
      <x:c r="A2449" t="s">
        <x:v>34</x:v>
      </x:c>
      <x:c r="B2449" s="3" t="s">
        <x:v>177</x:v>
      </x:c>
      <x:c r="C2449" s="3" t="s">
        <x:v>493</x:v>
      </x:c>
      <x:c r="D2449" t="s">
        <x:v>676</x:v>
      </x:c>
      <x:c r="E2449" s="6">
        <x:v>0</x:v>
      </x:c>
      <x:c r="F2449" s="6">
        <x:v>0</x:v>
      </x:c>
      <x:c r="G2449" s="6">
        <x:v>0</x:v>
      </x:c>
      <x:c r="H2449" s="6">
        <x:f t="shared" si="119"/>
        <x:v>0</x:v>
      </x:c>
      <x:c r="I2449" s="6">
        <x:v>600.95000000000005</x:v>
      </x:c>
      <x:c r="J2449" s="6">
        <x:v>0</x:v>
      </x:c>
      <x:c r="K2449" s="6">
        <x:f t="shared" si="120"/>
        <x:v>600.95000000000005</x:v>
      </x:c>
      <x:c r="L2449" s="6">
        <x:v>0</x:v>
      </x:c>
      <x:c r="M2449" s="6">
        <x:v>0</x:v>
      </x:c>
      <x:c r="N2449" s="6">
        <x:f t="shared" si="121"/>
        <x:v>600.95000000000005</x:v>
      </x:c>
    </x:row>
    <x:row r="2450" spans="1:14" x14ac:dyDescent="0.25">
      <x:c r="A2450" t="s">
        <x:v>34</x:v>
      </x:c>
      <x:c r="B2450" s="3" t="s">
        <x:v>263</x:v>
      </x:c>
      <x:c r="C2450" s="3" t="s">
        <x:v>578</x:v>
      </x:c>
      <x:c r="D2450" t="s">
        <x:v>676</x:v>
      </x:c>
      <x:c r="E2450" s="6">
        <x:v>0</x:v>
      </x:c>
      <x:c r="F2450" s="6">
        <x:v>0</x:v>
      </x:c>
      <x:c r="G2450" s="6">
        <x:v>0</x:v>
      </x:c>
      <x:c r="H2450" s="6">
        <x:f t="shared" si="119"/>
        <x:v>0</x:v>
      </x:c>
      <x:c r="I2450" s="6">
        <x:v>0</x:v>
      </x:c>
      <x:c r="J2450" s="6">
        <x:v>0</x:v>
      </x:c>
      <x:c r="K2450" s="6">
        <x:f t="shared" si="120"/>
        <x:v>0</x:v>
      </x:c>
      <x:c r="L2450" s="6">
        <x:v>48.71</x:v>
      </x:c>
      <x:c r="M2450" s="6">
        <x:v>0</x:v>
      </x:c>
      <x:c r="N2450" s="6">
        <x:f t="shared" si="121"/>
        <x:v>48.71</x:v>
      </x:c>
    </x:row>
    <x:row r="2451" spans="1:14" x14ac:dyDescent="0.25">
      <x:c r="A2451" t="s">
        <x:v>34</x:v>
      </x:c>
      <x:c r="B2451" s="3" t="s">
        <x:v>178</x:v>
      </x:c>
      <x:c r="C2451" s="3" t="s">
        <x:v>494</x:v>
      </x:c>
      <x:c r="D2451" t="s">
        <x:v>676</x:v>
      </x:c>
      <x:c r="E2451" s="6">
        <x:v>0</x:v>
      </x:c>
      <x:c r="F2451" s="6">
        <x:v>0</x:v>
      </x:c>
      <x:c r="G2451" s="6">
        <x:v>0</x:v>
      </x:c>
      <x:c r="H2451" s="6">
        <x:f t="shared" si="119"/>
        <x:v>0</x:v>
      </x:c>
      <x:c r="I2451" s="6">
        <x:v>726.94</x:v>
      </x:c>
      <x:c r="J2451" s="6">
        <x:v>0</x:v>
      </x:c>
      <x:c r="K2451" s="6">
        <x:f t="shared" si="120"/>
        <x:v>726.94</x:v>
      </x:c>
      <x:c r="L2451" s="6">
        <x:v>0</x:v>
      </x:c>
      <x:c r="M2451" s="6">
        <x:v>0</x:v>
      </x:c>
      <x:c r="N2451" s="6">
        <x:f t="shared" si="121"/>
        <x:v>726.94</x:v>
      </x:c>
    </x:row>
    <x:row r="2452" spans="1:14" x14ac:dyDescent="0.25">
      <x:c r="A2452" t="s">
        <x:v>34</x:v>
      </x:c>
      <x:c r="B2452" s="3" t="s">
        <x:v>179</x:v>
      </x:c>
      <x:c r="C2452" s="3" t="s">
        <x:v>495</x:v>
      </x:c>
      <x:c r="D2452" t="s">
        <x:v>676</x:v>
      </x:c>
      <x:c r="E2452" s="6">
        <x:v>0</x:v>
      </x:c>
      <x:c r="F2452" s="6">
        <x:v>0</x:v>
      </x:c>
      <x:c r="G2452" s="6">
        <x:v>0</x:v>
      </x:c>
      <x:c r="H2452" s="6">
        <x:f t="shared" si="119"/>
        <x:v>0</x:v>
      </x:c>
      <x:c r="I2452" s="6">
        <x:v>487.76</x:v>
      </x:c>
      <x:c r="J2452" s="6">
        <x:v>0</x:v>
      </x:c>
      <x:c r="K2452" s="6">
        <x:f t="shared" si="120"/>
        <x:v>487.76</x:v>
      </x:c>
      <x:c r="L2452" s="6">
        <x:v>0</x:v>
      </x:c>
      <x:c r="M2452" s="6">
        <x:v>0</x:v>
      </x:c>
      <x:c r="N2452" s="6">
        <x:f t="shared" si="121"/>
        <x:v>487.76</x:v>
      </x:c>
    </x:row>
    <x:row r="2453" spans="1:14" x14ac:dyDescent="0.25">
      <x:c r="A2453" t="s">
        <x:v>34</x:v>
      </x:c>
      <x:c r="B2453" s="3" t="s">
        <x:v>181</x:v>
      </x:c>
      <x:c r="C2453" s="3" t="s">
        <x:v>497</x:v>
      </x:c>
      <x:c r="D2453" t="s">
        <x:v>676</x:v>
      </x:c>
      <x:c r="E2453" s="6">
        <x:v>0</x:v>
      </x:c>
      <x:c r="F2453" s="6">
        <x:v>0</x:v>
      </x:c>
      <x:c r="G2453" s="6">
        <x:v>0</x:v>
      </x:c>
      <x:c r="H2453" s="6">
        <x:f t="shared" si="119"/>
        <x:v>0</x:v>
      </x:c>
      <x:c r="I2453" s="6">
        <x:v>105.76</x:v>
      </x:c>
      <x:c r="J2453" s="6">
        <x:v>0</x:v>
      </x:c>
      <x:c r="K2453" s="6">
        <x:f t="shared" si="120"/>
        <x:v>105.76</x:v>
      </x:c>
      <x:c r="L2453" s="6">
        <x:v>0</x:v>
      </x:c>
      <x:c r="M2453" s="6">
        <x:v>0</x:v>
      </x:c>
      <x:c r="N2453" s="6">
        <x:f t="shared" si="121"/>
        <x:v>105.76</x:v>
      </x:c>
    </x:row>
    <x:row r="2454" spans="1:14" x14ac:dyDescent="0.25">
      <x:c r="A2454" t="s">
        <x:v>34</x:v>
      </x:c>
      <x:c r="B2454" s="3" t="s">
        <x:v>235</x:v>
      </x:c>
      <x:c r="C2454" s="3" t="s">
        <x:v>550</x:v>
      </x:c>
      <x:c r="D2454" t="s">
        <x:v>676</x:v>
      </x:c>
      <x:c r="E2454" s="6">
        <x:v>0</x:v>
      </x:c>
      <x:c r="F2454" s="6">
        <x:v>0</x:v>
      </x:c>
      <x:c r="G2454" s="6">
        <x:v>0</x:v>
      </x:c>
      <x:c r="H2454" s="6">
        <x:f t="shared" si="119"/>
        <x:v>0</x:v>
      </x:c>
      <x:c r="I2454" s="6">
        <x:v>1525.1499999999999</x:v>
      </x:c>
      <x:c r="J2454" s="6">
        <x:v>0</x:v>
      </x:c>
      <x:c r="K2454" s="6">
        <x:f t="shared" si="120"/>
        <x:v>1525.1499999999999</x:v>
      </x:c>
      <x:c r="L2454" s="6">
        <x:v>0</x:v>
      </x:c>
      <x:c r="M2454" s="6">
        <x:v>0</x:v>
      </x:c>
      <x:c r="N2454" s="6">
        <x:f t="shared" si="121"/>
        <x:v>1525.1499999999999</x:v>
      </x:c>
    </x:row>
    <x:row r="2455" spans="1:14" x14ac:dyDescent="0.25">
      <x:c r="A2455" t="s">
        <x:v>34</x:v>
      </x:c>
      <x:c r="B2455" s="3" t="s">
        <x:v>183</x:v>
      </x:c>
      <x:c r="C2455" s="3" t="s">
        <x:v>499</x:v>
      </x:c>
      <x:c r="D2455" t="s">
        <x:v>676</x:v>
      </x:c>
      <x:c r="E2455" s="6">
        <x:v>0</x:v>
      </x:c>
      <x:c r="F2455" s="6">
        <x:v>0</x:v>
      </x:c>
      <x:c r="G2455" s="6">
        <x:v>0</x:v>
      </x:c>
      <x:c r="H2455" s="6">
        <x:f t="shared" si="119"/>
        <x:v>0</x:v>
      </x:c>
      <x:c r="I2455" s="6">
        <x:v>227.33</x:v>
      </x:c>
      <x:c r="J2455" s="6">
        <x:v>0</x:v>
      </x:c>
      <x:c r="K2455" s="6">
        <x:f t="shared" si="120"/>
        <x:v>227.33</x:v>
      </x:c>
      <x:c r="L2455" s="6">
        <x:v>0</x:v>
      </x:c>
      <x:c r="M2455" s="6">
        <x:v>0</x:v>
      </x:c>
      <x:c r="N2455" s="6">
        <x:f t="shared" si="121"/>
        <x:v>227.33</x:v>
      </x:c>
    </x:row>
    <x:row r="2456" spans="1:14" x14ac:dyDescent="0.25">
      <x:c r="A2456" t="s">
        <x:v>34</x:v>
      </x:c>
      <x:c r="B2456" s="3" t="s">
        <x:v>184</x:v>
      </x:c>
      <x:c r="C2456" s="3" t="s">
        <x:v>500</x:v>
      </x:c>
      <x:c r="D2456" t="s">
        <x:v>676</x:v>
      </x:c>
      <x:c r="E2456" s="6">
        <x:v>0</x:v>
      </x:c>
      <x:c r="F2456" s="6">
        <x:v>0</x:v>
      </x:c>
      <x:c r="G2456" s="6">
        <x:v>0</x:v>
      </x:c>
      <x:c r="H2456" s="6">
        <x:f t="shared" si="119"/>
        <x:v>0</x:v>
      </x:c>
      <x:c r="I2456" s="6">
        <x:v>1134.1399999999999</x:v>
      </x:c>
      <x:c r="J2456" s="6">
        <x:v>0</x:v>
      </x:c>
      <x:c r="K2456" s="6">
        <x:f t="shared" si="120"/>
        <x:v>1134.1399999999999</x:v>
      </x:c>
      <x:c r="L2456" s="6">
        <x:v>0</x:v>
      </x:c>
      <x:c r="M2456" s="6">
        <x:v>0</x:v>
      </x:c>
      <x:c r="N2456" s="6">
        <x:f t="shared" si="121"/>
        <x:v>1134.1399999999999</x:v>
      </x:c>
    </x:row>
    <x:row r="2457" spans="1:14" x14ac:dyDescent="0.25">
      <x:c r="A2457" t="s">
        <x:v>34</x:v>
      </x:c>
      <x:c r="B2457" s="3" t="s">
        <x:v>186</x:v>
      </x:c>
      <x:c r="C2457" s="3" t="s">
        <x:v>502</x:v>
      </x:c>
      <x:c r="D2457" t="s">
        <x:v>676</x:v>
      </x:c>
      <x:c r="E2457" s="6">
        <x:v>0</x:v>
      </x:c>
      <x:c r="F2457" s="6">
        <x:v>0</x:v>
      </x:c>
      <x:c r="G2457" s="6">
        <x:v>0</x:v>
      </x:c>
      <x:c r="H2457" s="6">
        <x:f t="shared" si="119"/>
        <x:v>0</x:v>
      </x:c>
      <x:c r="I2457" s="6">
        <x:v>4164.9800000000005</x:v>
      </x:c>
      <x:c r="J2457" s="6">
        <x:v>0</x:v>
      </x:c>
      <x:c r="K2457" s="6">
        <x:f t="shared" si="120"/>
        <x:v>4164.9800000000005</x:v>
      </x:c>
      <x:c r="L2457" s="6">
        <x:v>0</x:v>
      </x:c>
      <x:c r="M2457" s="6">
        <x:v>0</x:v>
      </x:c>
      <x:c r="N2457" s="6">
        <x:f t="shared" si="121"/>
        <x:v>4164.9800000000005</x:v>
      </x:c>
    </x:row>
    <x:row r="2458" spans="1:14" x14ac:dyDescent="0.25">
      <x:c r="A2458" t="s">
        <x:v>34</x:v>
      </x:c>
      <x:c r="B2458" s="3" t="s">
        <x:v>187</x:v>
      </x:c>
      <x:c r="C2458" s="3" t="s">
        <x:v>503</x:v>
      </x:c>
      <x:c r="D2458" t="s">
        <x:v>676</x:v>
      </x:c>
      <x:c r="E2458" s="6">
        <x:v>0</x:v>
      </x:c>
      <x:c r="F2458" s="6">
        <x:v>0</x:v>
      </x:c>
      <x:c r="G2458" s="6">
        <x:v>0</x:v>
      </x:c>
      <x:c r="H2458" s="6">
        <x:f t="shared" si="119"/>
        <x:v>0</x:v>
      </x:c>
      <x:c r="I2458" s="6">
        <x:v>22.48</x:v>
      </x:c>
      <x:c r="J2458" s="6">
        <x:v>0</x:v>
      </x:c>
      <x:c r="K2458" s="6">
        <x:f t="shared" si="120"/>
        <x:v>22.48</x:v>
      </x:c>
      <x:c r="L2458" s="6">
        <x:v>0</x:v>
      </x:c>
      <x:c r="M2458" s="6">
        <x:v>0</x:v>
      </x:c>
      <x:c r="N2458" s="6">
        <x:f t="shared" si="121"/>
        <x:v>22.48</x:v>
      </x:c>
    </x:row>
    <x:row r="2459" spans="1:14" x14ac:dyDescent="0.25">
      <x:c r="A2459" t="s">
        <x:v>34</x:v>
      </x:c>
      <x:c r="B2459" s="3" t="s">
        <x:v>188</x:v>
      </x:c>
      <x:c r="C2459" s="3" t="s">
        <x:v>504</x:v>
      </x:c>
      <x:c r="D2459" t="s">
        <x:v>676</x:v>
      </x:c>
      <x:c r="E2459" s="6">
        <x:v>0</x:v>
      </x:c>
      <x:c r="F2459" s="6">
        <x:v>0</x:v>
      </x:c>
      <x:c r="G2459" s="6">
        <x:v>0</x:v>
      </x:c>
      <x:c r="H2459" s="6">
        <x:f t="shared" si="119"/>
        <x:v>0</x:v>
      </x:c>
      <x:c r="I2459" s="6">
        <x:v>731.68000000000006</x:v>
      </x:c>
      <x:c r="J2459" s="6">
        <x:v>0</x:v>
      </x:c>
      <x:c r="K2459" s="6">
        <x:f t="shared" si="120"/>
        <x:v>731.68000000000006</x:v>
      </x:c>
      <x:c r="L2459" s="6">
        <x:v>0</x:v>
      </x:c>
      <x:c r="M2459" s="6">
        <x:v>0</x:v>
      </x:c>
      <x:c r="N2459" s="6">
        <x:f t="shared" si="121"/>
        <x:v>731.68000000000006</x:v>
      </x:c>
    </x:row>
    <x:row r="2460" spans="1:14" x14ac:dyDescent="0.25">
      <x:c r="A2460" t="s">
        <x:v>34</x:v>
      </x:c>
      <x:c r="B2460" s="3" t="s">
        <x:v>190</x:v>
      </x:c>
      <x:c r="C2460" s="3" t="s">
        <x:v>506</x:v>
      </x:c>
      <x:c r="D2460" t="s">
        <x:v>676</x:v>
      </x:c>
      <x:c r="E2460" s="6">
        <x:v>0</x:v>
      </x:c>
      <x:c r="F2460" s="6">
        <x:v>0</x:v>
      </x:c>
      <x:c r="G2460" s="6">
        <x:v>0</x:v>
      </x:c>
      <x:c r="H2460" s="6">
        <x:f t="shared" si="119"/>
        <x:v>0</x:v>
      </x:c>
      <x:c r="I2460" s="6">
        <x:v>29.1</x:v>
      </x:c>
      <x:c r="J2460" s="6">
        <x:v>0</x:v>
      </x:c>
      <x:c r="K2460" s="6">
        <x:f t="shared" si="120"/>
        <x:v>29.1</x:v>
      </x:c>
      <x:c r="L2460" s="6">
        <x:v>0</x:v>
      </x:c>
      <x:c r="M2460" s="6">
        <x:v>0</x:v>
      </x:c>
      <x:c r="N2460" s="6">
        <x:f t="shared" si="121"/>
        <x:v>29.1</x:v>
      </x:c>
    </x:row>
    <x:row r="2461" spans="1:14" x14ac:dyDescent="0.25">
      <x:c r="A2461" t="s">
        <x:v>34</x:v>
      </x:c>
      <x:c r="B2461" s="3" t="s">
        <x:v>191</x:v>
      </x:c>
      <x:c r="C2461" s="3" t="s">
        <x:v>507</x:v>
      </x:c>
      <x:c r="D2461" t="s">
        <x:v>676</x:v>
      </x:c>
      <x:c r="E2461" s="6">
        <x:v>0</x:v>
      </x:c>
      <x:c r="F2461" s="6">
        <x:v>0</x:v>
      </x:c>
      <x:c r="G2461" s="6">
        <x:v>0</x:v>
      </x:c>
      <x:c r="H2461" s="6">
        <x:f t="shared" si="119"/>
        <x:v>0</x:v>
      </x:c>
      <x:c r="I2461" s="6">
        <x:v>48.71</x:v>
      </x:c>
      <x:c r="J2461" s="6">
        <x:v>0</x:v>
      </x:c>
      <x:c r="K2461" s="6">
        <x:f t="shared" si="120"/>
        <x:v>48.71</x:v>
      </x:c>
      <x:c r="L2461" s="6">
        <x:v>0</x:v>
      </x:c>
      <x:c r="M2461" s="6">
        <x:v>0</x:v>
      </x:c>
      <x:c r="N2461" s="6">
        <x:f t="shared" si="121"/>
        <x:v>48.71</x:v>
      </x:c>
    </x:row>
    <x:row r="2462" spans="1:14" x14ac:dyDescent="0.25">
      <x:c r="A2462" t="s">
        <x:v>34</x:v>
      </x:c>
      <x:c r="B2462" s="3" t="s">
        <x:v>192</x:v>
      </x:c>
      <x:c r="C2462" s="3" t="s">
        <x:v>508</x:v>
      </x:c>
      <x:c r="D2462" t="s">
        <x:v>676</x:v>
      </x:c>
      <x:c r="E2462" s="6">
        <x:v>0</x:v>
      </x:c>
      <x:c r="F2462" s="6">
        <x:v>0</x:v>
      </x:c>
      <x:c r="G2462" s="6">
        <x:v>0</x:v>
      </x:c>
      <x:c r="H2462" s="6">
        <x:f t="shared" si="119"/>
        <x:v>0</x:v>
      </x:c>
      <x:c r="I2462" s="6">
        <x:v>849.17000000000007</x:v>
      </x:c>
      <x:c r="J2462" s="6">
        <x:v>0</x:v>
      </x:c>
      <x:c r="K2462" s="6">
        <x:f t="shared" si="120"/>
        <x:v>849.17000000000007</x:v>
      </x:c>
      <x:c r="L2462" s="6">
        <x:v>0</x:v>
      </x:c>
      <x:c r="M2462" s="6">
        <x:v>0</x:v>
      </x:c>
      <x:c r="N2462" s="6">
        <x:f t="shared" si="121"/>
        <x:v>849.17000000000007</x:v>
      </x:c>
    </x:row>
    <x:row r="2463" spans="1:14" x14ac:dyDescent="0.25">
      <x:c r="A2463" t="s">
        <x:v>34</x:v>
      </x:c>
      <x:c r="B2463" s="3" t="s">
        <x:v>193</x:v>
      </x:c>
      <x:c r="C2463" s="3" t="s">
        <x:v>509</x:v>
      </x:c>
      <x:c r="D2463" t="s">
        <x:v>676</x:v>
      </x:c>
      <x:c r="E2463" s="6">
        <x:v>0</x:v>
      </x:c>
      <x:c r="F2463" s="6">
        <x:v>0</x:v>
      </x:c>
      <x:c r="G2463" s="6">
        <x:v>0</x:v>
      </x:c>
      <x:c r="H2463" s="6">
        <x:f t="shared" ref="H2463:H2526" si="122">SUM(E2463:G2463)</x:f>
        <x:v>0</x:v>
      </x:c>
      <x:c r="I2463" s="6">
        <x:v>4034.45</x:v>
      </x:c>
      <x:c r="J2463" s="6">
        <x:v>0</x:v>
      </x:c>
      <x:c r="K2463" s="6">
        <x:f t="shared" ref="K2463:K2526" si="123">SUM(I2463:J2463)</x:f>
        <x:v>4034.45</x:v>
      </x:c>
      <x:c r="L2463" s="6">
        <x:v>0</x:v>
      </x:c>
      <x:c r="M2463" s="6">
        <x:v>0</x:v>
      </x:c>
      <x:c r="N2463" s="6">
        <x:f t="shared" ref="N2463:N2526" si="124">+E2463+F2463+G2463+I2463+J2463+L2463+M2463</x:f>
        <x:v>4034.45</x:v>
      </x:c>
    </x:row>
    <x:row r="2464" spans="1:14" x14ac:dyDescent="0.25">
      <x:c r="A2464" t="s">
        <x:v>34</x:v>
      </x:c>
      <x:c r="B2464" s="3" t="s">
        <x:v>46</x:v>
      </x:c>
      <x:c r="C2464" s="3" t="s">
        <x:v>363</x:v>
      </x:c>
      <x:c r="D2464" t="s">
        <x:v>676</x:v>
      </x:c>
      <x:c r="E2464" s="6">
        <x:v>0</x:v>
      </x:c>
      <x:c r="F2464" s="6">
        <x:v>0</x:v>
      </x:c>
      <x:c r="G2464" s="6">
        <x:v>0</x:v>
      </x:c>
      <x:c r="H2464" s="6">
        <x:f t="shared" si="122"/>
        <x:v>0</x:v>
      </x:c>
      <x:c r="I2464" s="6">
        <x:v>0</x:v>
      </x:c>
      <x:c r="J2464" s="6">
        <x:v>0</x:v>
      </x:c>
      <x:c r="K2464" s="6">
        <x:f t="shared" si="123"/>
        <x:v>0</x:v>
      </x:c>
      <x:c r="L2464" s="6">
        <x:v>829.17</x:v>
      </x:c>
      <x:c r="M2464" s="6">
        <x:v>0</x:v>
      </x:c>
      <x:c r="N2464" s="6">
        <x:f t="shared" si="124"/>
        <x:v>829.17</x:v>
      </x:c>
    </x:row>
    <x:row r="2465" spans="1:14" x14ac:dyDescent="0.25">
      <x:c r="A2465" t="s">
        <x:v>34</x:v>
      </x:c>
      <x:c r="B2465" s="3" t="s">
        <x:v>196</x:v>
      </x:c>
      <x:c r="C2465" s="3" t="s">
        <x:v>512</x:v>
      </x:c>
      <x:c r="D2465" t="s">
        <x:v>676</x:v>
      </x:c>
      <x:c r="E2465" s="6">
        <x:v>0</x:v>
      </x:c>
      <x:c r="F2465" s="6">
        <x:v>0</x:v>
      </x:c>
      <x:c r="G2465" s="6">
        <x:v>0</x:v>
      </x:c>
      <x:c r="H2465" s="6">
        <x:f t="shared" si="122"/>
        <x:v>0</x:v>
      </x:c>
      <x:c r="I2465" s="6">
        <x:v>2358.38</x:v>
      </x:c>
      <x:c r="J2465" s="6">
        <x:v>0</x:v>
      </x:c>
      <x:c r="K2465" s="6">
        <x:f t="shared" si="123"/>
        <x:v>2358.38</x:v>
      </x:c>
      <x:c r="L2465" s="6">
        <x:v>0</x:v>
      </x:c>
      <x:c r="M2465" s="6">
        <x:v>0</x:v>
      </x:c>
      <x:c r="N2465" s="6">
        <x:f t="shared" si="124"/>
        <x:v>2358.38</x:v>
      </x:c>
    </x:row>
    <x:row r="2466" spans="1:14" x14ac:dyDescent="0.25">
      <x:c r="A2466" t="s">
        <x:v>34</x:v>
      </x:c>
      <x:c r="B2466" s="3" t="s">
        <x:v>198</x:v>
      </x:c>
      <x:c r="C2466" s="3" t="s">
        <x:v>514</x:v>
      </x:c>
      <x:c r="D2466" t="s">
        <x:v>676</x:v>
      </x:c>
      <x:c r="E2466" s="6">
        <x:v>0</x:v>
      </x:c>
      <x:c r="F2466" s="6">
        <x:v>0</x:v>
      </x:c>
      <x:c r="G2466" s="6">
        <x:v>0</x:v>
      </x:c>
      <x:c r="H2466" s="6">
        <x:f t="shared" si="122"/>
        <x:v>0</x:v>
      </x:c>
      <x:c r="I2466" s="6">
        <x:v>7343.21</x:v>
      </x:c>
      <x:c r="J2466" s="6">
        <x:v>0</x:v>
      </x:c>
      <x:c r="K2466" s="6">
        <x:f t="shared" si="123"/>
        <x:v>7343.21</x:v>
      </x:c>
      <x:c r="L2466" s="6">
        <x:v>0</x:v>
      </x:c>
      <x:c r="M2466" s="6">
        <x:v>0</x:v>
      </x:c>
      <x:c r="N2466" s="6">
        <x:f t="shared" si="124"/>
        <x:v>7343.21</x:v>
      </x:c>
    </x:row>
    <x:row r="2467" spans="1:14" x14ac:dyDescent="0.25">
      <x:c r="A2467" t="s">
        <x:v>34</x:v>
      </x:c>
      <x:c r="B2467" s="3" t="s">
        <x:v>63</x:v>
      </x:c>
      <x:c r="C2467" s="3" t="s">
        <x:v>380</x:v>
      </x:c>
      <x:c r="D2467" t="s">
        <x:v>676</x:v>
      </x:c>
      <x:c r="E2467" s="6">
        <x:v>0</x:v>
      </x:c>
      <x:c r="F2467" s="6">
        <x:v>0</x:v>
      </x:c>
      <x:c r="G2467" s="6">
        <x:v>0</x:v>
      </x:c>
      <x:c r="H2467" s="6">
        <x:f t="shared" si="122"/>
        <x:v>0</x:v>
      </x:c>
      <x:c r="I2467" s="6">
        <x:v>778.25</x:v>
      </x:c>
      <x:c r="J2467" s="6">
        <x:v>0</x:v>
      </x:c>
      <x:c r="K2467" s="6">
        <x:f t="shared" si="123"/>
        <x:v>778.25</x:v>
      </x:c>
      <x:c r="L2467" s="6">
        <x:v>0</x:v>
      </x:c>
      <x:c r="M2467" s="6">
        <x:v>0</x:v>
      </x:c>
      <x:c r="N2467" s="6">
        <x:f t="shared" si="124"/>
        <x:v>778.25</x:v>
      </x:c>
    </x:row>
    <x:row r="2468" spans="1:14" x14ac:dyDescent="0.25">
      <x:c r="A2468" t="s">
        <x:v>34</x:v>
      </x:c>
      <x:c r="B2468" s="3" t="s">
        <x:v>199</x:v>
      </x:c>
      <x:c r="C2468" s="3" t="s">
        <x:v>515</x:v>
      </x:c>
      <x:c r="D2468" t="s">
        <x:v>676</x:v>
      </x:c>
      <x:c r="E2468" s="6">
        <x:v>0</x:v>
      </x:c>
      <x:c r="F2468" s="6">
        <x:v>0</x:v>
      </x:c>
      <x:c r="G2468" s="6">
        <x:v>0</x:v>
      </x:c>
      <x:c r="H2468" s="6">
        <x:f t="shared" si="122"/>
        <x:v>0</x:v>
      </x:c>
      <x:c r="I2468" s="6">
        <x:v>1296.4199999999998</x:v>
      </x:c>
      <x:c r="J2468" s="6">
        <x:v>0</x:v>
      </x:c>
      <x:c r="K2468" s="6">
        <x:f t="shared" si="123"/>
        <x:v>1296.4199999999998</x:v>
      </x:c>
      <x:c r="L2468" s="6">
        <x:v>0</x:v>
      </x:c>
      <x:c r="M2468" s="6">
        <x:v>0</x:v>
      </x:c>
      <x:c r="N2468" s="6">
        <x:f t="shared" si="124"/>
        <x:v>1296.4199999999998</x:v>
      </x:c>
    </x:row>
    <x:row r="2469" spans="1:14" x14ac:dyDescent="0.25">
      <x:c r="A2469" t="s">
        <x:v>34</x:v>
      </x:c>
      <x:c r="B2469" s="3" t="s">
        <x:v>200</x:v>
      </x:c>
      <x:c r="C2469" s="3" t="s">
        <x:v>516</x:v>
      </x:c>
      <x:c r="D2469" t="s">
        <x:v>676</x:v>
      </x:c>
      <x:c r="E2469" s="6">
        <x:v>0</x:v>
      </x:c>
      <x:c r="F2469" s="6">
        <x:v>0</x:v>
      </x:c>
      <x:c r="G2469" s="6">
        <x:v>0</x:v>
      </x:c>
      <x:c r="H2469" s="6">
        <x:f t="shared" si="122"/>
        <x:v>0</x:v>
      </x:c>
      <x:c r="I2469" s="6">
        <x:v>1357.53</x:v>
      </x:c>
      <x:c r="J2469" s="6">
        <x:v>0</x:v>
      </x:c>
      <x:c r="K2469" s="6">
        <x:f t="shared" si="123"/>
        <x:v>1357.53</x:v>
      </x:c>
      <x:c r="L2469" s="6">
        <x:v>0</x:v>
      </x:c>
      <x:c r="M2469" s="6">
        <x:v>0</x:v>
      </x:c>
      <x:c r="N2469" s="6">
        <x:f t="shared" si="124"/>
        <x:v>1357.53</x:v>
      </x:c>
    </x:row>
    <x:row r="2470" spans="1:14" x14ac:dyDescent="0.25">
      <x:c r="A2470" t="s">
        <x:v>34</x:v>
      </x:c>
      <x:c r="B2470" s="3" t="s">
        <x:v>202</x:v>
      </x:c>
      <x:c r="C2470" s="3" t="s">
        <x:v>518</x:v>
      </x:c>
      <x:c r="D2470" t="s">
        <x:v>676</x:v>
      </x:c>
      <x:c r="E2470" s="6">
        <x:v>0</x:v>
      </x:c>
      <x:c r="F2470" s="6">
        <x:v>0</x:v>
      </x:c>
      <x:c r="G2470" s="6">
        <x:v>0</x:v>
      </x:c>
      <x:c r="H2470" s="6">
        <x:f t="shared" si="122"/>
        <x:v>0</x:v>
      </x:c>
      <x:c r="I2470" s="6">
        <x:v>483.05</x:v>
      </x:c>
      <x:c r="J2470" s="6">
        <x:v>0</x:v>
      </x:c>
      <x:c r="K2470" s="6">
        <x:f t="shared" si="123"/>
        <x:v>483.05</x:v>
      </x:c>
      <x:c r="L2470" s="6">
        <x:v>0</x:v>
      </x:c>
      <x:c r="M2470" s="6">
        <x:v>0</x:v>
      </x:c>
      <x:c r="N2470" s="6">
        <x:f t="shared" si="124"/>
        <x:v>483.05</x:v>
      </x:c>
    </x:row>
    <x:row r="2471" spans="1:14" x14ac:dyDescent="0.25">
      <x:c r="A2471" t="s">
        <x:v>34</x:v>
      </x:c>
      <x:c r="B2471" s="3" t="s">
        <x:v>50</x:v>
      </x:c>
      <x:c r="C2471" s="3" t="s">
        <x:v>367</x:v>
      </x:c>
      <x:c r="D2471" t="s">
        <x:v>676</x:v>
      </x:c>
      <x:c r="E2471" s="6">
        <x:v>0</x:v>
      </x:c>
      <x:c r="F2471" s="6">
        <x:v>0</x:v>
      </x:c>
      <x:c r="G2471" s="6">
        <x:v>0</x:v>
      </x:c>
      <x:c r="H2471" s="6">
        <x:f t="shared" si="122"/>
        <x:v>0</x:v>
      </x:c>
      <x:c r="I2471" s="6">
        <x:v>5732.7099999999991</x:v>
      </x:c>
      <x:c r="J2471" s="6">
        <x:v>0</x:v>
      </x:c>
      <x:c r="K2471" s="6">
        <x:f t="shared" si="123"/>
        <x:v>5732.7099999999991</x:v>
      </x:c>
      <x:c r="L2471" s="6">
        <x:v>0</x:v>
      </x:c>
      <x:c r="M2471" s="6">
        <x:v>0</x:v>
      </x:c>
      <x:c r="N2471" s="6">
        <x:f t="shared" si="124"/>
        <x:v>5732.7099999999991</x:v>
      </x:c>
    </x:row>
    <x:row r="2472" spans="1:14" x14ac:dyDescent="0.25">
      <x:c r="A2472" t="s">
        <x:v>34</x:v>
      </x:c>
      <x:c r="B2472" s="3" t="s">
        <x:v>204</x:v>
      </x:c>
      <x:c r="C2472" s="3" t="s">
        <x:v>520</x:v>
      </x:c>
      <x:c r="D2472" t="s">
        <x:v>676</x:v>
      </x:c>
      <x:c r="E2472" s="6">
        <x:v>0</x:v>
      </x:c>
      <x:c r="F2472" s="6">
        <x:v>0</x:v>
      </x:c>
      <x:c r="G2472" s="6">
        <x:v>0</x:v>
      </x:c>
      <x:c r="H2472" s="6">
        <x:f t="shared" si="122"/>
        <x:v>0</x:v>
      </x:c>
      <x:c r="I2472" s="6">
        <x:v>4339.75</x:v>
      </x:c>
      <x:c r="J2472" s="6">
        <x:v>0</x:v>
      </x:c>
      <x:c r="K2472" s="6">
        <x:f t="shared" si="123"/>
        <x:v>4339.75</x:v>
      </x:c>
      <x:c r="L2472" s="6">
        <x:v>0</x:v>
      </x:c>
      <x:c r="M2472" s="6">
        <x:v>0</x:v>
      </x:c>
      <x:c r="N2472" s="6">
        <x:f t="shared" si="124"/>
        <x:v>4339.75</x:v>
      </x:c>
    </x:row>
    <x:row r="2473" spans="1:14" x14ac:dyDescent="0.25">
      <x:c r="A2473" t="s">
        <x:v>34</x:v>
      </x:c>
      <x:c r="B2473" s="3" t="s">
        <x:v>206</x:v>
      </x:c>
      <x:c r="C2473" s="3" t="s">
        <x:v>522</x:v>
      </x:c>
      <x:c r="D2473" t="s">
        <x:v>676</x:v>
      </x:c>
      <x:c r="E2473" s="6">
        <x:v>0</x:v>
      </x:c>
      <x:c r="F2473" s="6">
        <x:v>0</x:v>
      </x:c>
      <x:c r="G2473" s="6">
        <x:v>0</x:v>
      </x:c>
      <x:c r="H2473" s="6">
        <x:f t="shared" si="122"/>
        <x:v>0</x:v>
      </x:c>
      <x:c r="I2473" s="6">
        <x:v>228.22</x:v>
      </x:c>
      <x:c r="J2473" s="6">
        <x:v>0</x:v>
      </x:c>
      <x:c r="K2473" s="6">
        <x:f t="shared" si="123"/>
        <x:v>228.22</x:v>
      </x:c>
      <x:c r="L2473" s="6">
        <x:v>0</x:v>
      </x:c>
      <x:c r="M2473" s="6">
        <x:v>0</x:v>
      </x:c>
      <x:c r="N2473" s="6">
        <x:f t="shared" si="124"/>
        <x:v>228.22</x:v>
      </x:c>
    </x:row>
    <x:row r="2474" spans="1:14" x14ac:dyDescent="0.25">
      <x:c r="A2474" t="s">
        <x:v>34</x:v>
      </x:c>
      <x:c r="B2474" s="3" t="s">
        <x:v>207</x:v>
      </x:c>
      <x:c r="C2474" s="3" t="s">
        <x:v>523</x:v>
      </x:c>
      <x:c r="D2474" t="s">
        <x:v>676</x:v>
      </x:c>
      <x:c r="E2474" s="6">
        <x:v>0</x:v>
      </x:c>
      <x:c r="F2474" s="6">
        <x:v>0</x:v>
      </x:c>
      <x:c r="G2474" s="6">
        <x:v>0</x:v>
      </x:c>
      <x:c r="H2474" s="6">
        <x:f t="shared" si="122"/>
        <x:v>0</x:v>
      </x:c>
      <x:c r="I2474" s="6">
        <x:v>3382.87</x:v>
      </x:c>
      <x:c r="J2474" s="6">
        <x:v>0</x:v>
      </x:c>
      <x:c r="K2474" s="6">
        <x:f t="shared" si="123"/>
        <x:v>3382.87</x:v>
      </x:c>
      <x:c r="L2474" s="6">
        <x:v>0</x:v>
      </x:c>
      <x:c r="M2474" s="6">
        <x:v>0</x:v>
      </x:c>
      <x:c r="N2474" s="6">
        <x:f t="shared" si="124"/>
        <x:v>3382.87</x:v>
      </x:c>
    </x:row>
    <x:row r="2475" spans="1:14" x14ac:dyDescent="0.25">
      <x:c r="A2475" t="s">
        <x:v>34</x:v>
      </x:c>
      <x:c r="B2475" s="3" t="s">
        <x:v>208</x:v>
      </x:c>
      <x:c r="C2475" s="3" t="s">
        <x:v>524</x:v>
      </x:c>
      <x:c r="D2475" t="s">
        <x:v>676</x:v>
      </x:c>
      <x:c r="E2475" s="6">
        <x:v>0</x:v>
      </x:c>
      <x:c r="F2475" s="6">
        <x:v>0</x:v>
      </x:c>
      <x:c r="G2475" s="6">
        <x:v>0</x:v>
      </x:c>
      <x:c r="H2475" s="6">
        <x:f t="shared" si="122"/>
        <x:v>0</x:v>
      </x:c>
      <x:c r="I2475" s="6">
        <x:v>660.44</x:v>
      </x:c>
      <x:c r="J2475" s="6">
        <x:v>0</x:v>
      </x:c>
      <x:c r="K2475" s="6">
        <x:f t="shared" si="123"/>
        <x:v>660.44</x:v>
      </x:c>
      <x:c r="L2475" s="6">
        <x:v>0</x:v>
      </x:c>
      <x:c r="M2475" s="6">
        <x:v>0</x:v>
      </x:c>
      <x:c r="N2475" s="6">
        <x:f t="shared" si="124"/>
        <x:v>660.44</x:v>
      </x:c>
    </x:row>
    <x:row r="2476" spans="1:14" x14ac:dyDescent="0.25">
      <x:c r="A2476" t="s">
        <x:v>34</x:v>
      </x:c>
      <x:c r="B2476" s="3" t="s">
        <x:v>209</x:v>
      </x:c>
      <x:c r="C2476" s="3" t="s">
        <x:v>525</x:v>
      </x:c>
      <x:c r="D2476" t="s">
        <x:v>676</x:v>
      </x:c>
      <x:c r="E2476" s="6">
        <x:v>0</x:v>
      </x:c>
      <x:c r="F2476" s="6">
        <x:v>0</x:v>
      </x:c>
      <x:c r="G2476" s="6">
        <x:v>0</x:v>
      </x:c>
      <x:c r="H2476" s="6">
        <x:f t="shared" si="122"/>
        <x:v>0</x:v>
      </x:c>
      <x:c r="I2476" s="6">
        <x:v>79.7</x:v>
      </x:c>
      <x:c r="J2476" s="6">
        <x:v>0</x:v>
      </x:c>
      <x:c r="K2476" s="6">
        <x:f t="shared" si="123"/>
        <x:v>79.7</x:v>
      </x:c>
      <x:c r="L2476" s="6">
        <x:v>0</x:v>
      </x:c>
      <x:c r="M2476" s="6">
        <x:v>0</x:v>
      </x:c>
      <x:c r="N2476" s="6">
        <x:f t="shared" si="124"/>
        <x:v>79.7</x:v>
      </x:c>
    </x:row>
    <x:row r="2477" spans="1:14" x14ac:dyDescent="0.25">
      <x:c r="A2477" t="s">
        <x:v>34</x:v>
      </x:c>
      <x:c r="B2477" s="3" t="s">
        <x:v>210</x:v>
      </x:c>
      <x:c r="C2477" s="3" t="s">
        <x:v>526</x:v>
      </x:c>
      <x:c r="D2477" t="s">
        <x:v>676</x:v>
      </x:c>
      <x:c r="E2477" s="6">
        <x:v>0</x:v>
      </x:c>
      <x:c r="F2477" s="6">
        <x:v>0</x:v>
      </x:c>
      <x:c r="G2477" s="6">
        <x:v>0</x:v>
      </x:c>
      <x:c r="H2477" s="6">
        <x:f t="shared" si="122"/>
        <x:v>0</x:v>
      </x:c>
      <x:c r="I2477" s="6">
        <x:v>508.71000000000004</x:v>
      </x:c>
      <x:c r="J2477" s="6">
        <x:v>0</x:v>
      </x:c>
      <x:c r="K2477" s="6">
        <x:f t="shared" si="123"/>
        <x:v>508.71000000000004</x:v>
      </x:c>
      <x:c r="L2477" s="6">
        <x:v>0</x:v>
      </x:c>
      <x:c r="M2477" s="6">
        <x:v>0</x:v>
      </x:c>
      <x:c r="N2477" s="6">
        <x:f t="shared" si="124"/>
        <x:v>508.71000000000004</x:v>
      </x:c>
    </x:row>
    <x:row r="2478" spans="1:14" x14ac:dyDescent="0.25">
      <x:c r="A2478" t="s">
        <x:v>34</x:v>
      </x:c>
      <x:c r="B2478" s="3" t="s">
        <x:v>289</x:v>
      </x:c>
      <x:c r="C2478" s="3" t="s">
        <x:v>604</x:v>
      </x:c>
      <x:c r="D2478" t="s">
        <x:v>677</x:v>
      </x:c>
      <x:c r="E2478" s="6">
        <x:v>0</x:v>
      </x:c>
      <x:c r="F2478" s="6">
        <x:v>0</x:v>
      </x:c>
      <x:c r="G2478" s="6">
        <x:v>0</x:v>
      </x:c>
      <x:c r="H2478" s="6">
        <x:f t="shared" si="122"/>
        <x:v>0</x:v>
      </x:c>
      <x:c r="I2478" s="6">
        <x:v>1008.12</x:v>
      </x:c>
      <x:c r="J2478" s="6">
        <x:v>0</x:v>
      </x:c>
      <x:c r="K2478" s="6">
        <x:f t="shared" si="123"/>
        <x:v>1008.12</x:v>
      </x:c>
      <x:c r="L2478" s="6">
        <x:v>0</x:v>
      </x:c>
      <x:c r="M2478" s="6">
        <x:v>0</x:v>
      </x:c>
      <x:c r="N2478" s="6">
        <x:f t="shared" si="124"/>
        <x:v>1008.12</x:v>
      </x:c>
    </x:row>
    <x:row r="2479" spans="1:14" x14ac:dyDescent="0.25">
      <x:c r="A2479" t="s">
        <x:v>34</x:v>
      </x:c>
      <x:c r="B2479" s="3" t="s">
        <x:v>211</x:v>
      </x:c>
      <x:c r="C2479" s="3" t="s">
        <x:v>527</x:v>
      </x:c>
      <x:c r="D2479" t="s">
        <x:v>676</x:v>
      </x:c>
      <x:c r="E2479" s="6">
        <x:v>0</x:v>
      </x:c>
      <x:c r="F2479" s="6">
        <x:v>0</x:v>
      </x:c>
      <x:c r="G2479" s="6">
        <x:v>0</x:v>
      </x:c>
      <x:c r="H2479" s="6">
        <x:f t="shared" si="122"/>
        <x:v>0</x:v>
      </x:c>
      <x:c r="I2479" s="6">
        <x:v>48.71</x:v>
      </x:c>
      <x:c r="J2479" s="6">
        <x:v>0</x:v>
      </x:c>
      <x:c r="K2479" s="6">
        <x:f t="shared" si="123"/>
        <x:v>48.71</x:v>
      </x:c>
      <x:c r="L2479" s="6">
        <x:v>0</x:v>
      </x:c>
      <x:c r="M2479" s="6">
        <x:v>0</x:v>
      </x:c>
      <x:c r="N2479" s="6">
        <x:f t="shared" si="124"/>
        <x:v>48.71</x:v>
      </x:c>
    </x:row>
    <x:row r="2480" spans="1:14" x14ac:dyDescent="0.25">
      <x:c r="A2480" t="s">
        <x:v>34</x:v>
      </x:c>
      <x:c r="B2480" s="3" t="s">
        <x:v>212</x:v>
      </x:c>
      <x:c r="C2480" s="3" t="s">
        <x:v>528</x:v>
      </x:c>
      <x:c r="D2480" t="s">
        <x:v>676</x:v>
      </x:c>
      <x:c r="E2480" s="6">
        <x:v>0</x:v>
      </x:c>
      <x:c r="F2480" s="6">
        <x:v>0</x:v>
      </x:c>
      <x:c r="G2480" s="6">
        <x:v>0</x:v>
      </x:c>
      <x:c r="H2480" s="6">
        <x:f t="shared" si="122"/>
        <x:v>0</x:v>
      </x:c>
      <x:c r="I2480" s="6">
        <x:v>11.37</x:v>
      </x:c>
      <x:c r="J2480" s="6">
        <x:v>0</x:v>
      </x:c>
      <x:c r="K2480" s="6">
        <x:f t="shared" si="123"/>
        <x:v>11.37</x:v>
      </x:c>
      <x:c r="L2480" s="6">
        <x:v>0</x:v>
      </x:c>
      <x:c r="M2480" s="6">
        <x:v>0</x:v>
      </x:c>
      <x:c r="N2480" s="6">
        <x:f t="shared" si="124"/>
        <x:v>11.37</x:v>
      </x:c>
    </x:row>
    <x:row r="2481" spans="1:14" x14ac:dyDescent="0.25">
      <x:c r="A2481" t="s">
        <x:v>34</x:v>
      </x:c>
      <x:c r="B2481" s="3" t="s">
        <x:v>213</x:v>
      </x:c>
      <x:c r="C2481" s="3" t="s">
        <x:v>529</x:v>
      </x:c>
      <x:c r="D2481" t="s">
        <x:v>676</x:v>
      </x:c>
      <x:c r="E2481" s="6">
        <x:v>0</x:v>
      </x:c>
      <x:c r="F2481" s="6">
        <x:v>0</x:v>
      </x:c>
      <x:c r="G2481" s="6">
        <x:v>0</x:v>
      </x:c>
      <x:c r="H2481" s="6">
        <x:f t="shared" si="122"/>
        <x:v>0</x:v>
      </x:c>
      <x:c r="I2481" s="6">
        <x:v>1333.86</x:v>
      </x:c>
      <x:c r="J2481" s="6">
        <x:v>0</x:v>
      </x:c>
      <x:c r="K2481" s="6">
        <x:f t="shared" si="123"/>
        <x:v>1333.86</x:v>
      </x:c>
      <x:c r="L2481" s="6">
        <x:v>0</x:v>
      </x:c>
      <x:c r="M2481" s="6">
        <x:v>0</x:v>
      </x:c>
      <x:c r="N2481" s="6">
        <x:f t="shared" si="124"/>
        <x:v>1333.86</x:v>
      </x:c>
    </x:row>
    <x:row r="2482" spans="1:14" x14ac:dyDescent="0.25">
      <x:c r="A2482" t="s">
        <x:v>34</x:v>
      </x:c>
      <x:c r="B2482" s="3" t="s">
        <x:v>214</x:v>
      </x:c>
      <x:c r="C2482" s="3" t="s">
        <x:v>530</x:v>
      </x:c>
      <x:c r="D2482" t="s">
        <x:v>676</x:v>
      </x:c>
      <x:c r="E2482" s="6">
        <x:v>0</x:v>
      </x:c>
      <x:c r="F2482" s="6">
        <x:v>0</x:v>
      </x:c>
      <x:c r="G2482" s="6">
        <x:v>0</x:v>
      </x:c>
      <x:c r="H2482" s="6">
        <x:f t="shared" si="122"/>
        <x:v>0</x:v>
      </x:c>
      <x:c r="I2482" s="6">
        <x:v>257.64</x:v>
      </x:c>
      <x:c r="J2482" s="6">
        <x:v>0</x:v>
      </x:c>
      <x:c r="K2482" s="6">
        <x:f t="shared" si="123"/>
        <x:v>257.64</x:v>
      </x:c>
      <x:c r="L2482" s="6">
        <x:v>0</x:v>
      </x:c>
      <x:c r="M2482" s="6">
        <x:v>0</x:v>
      </x:c>
      <x:c r="N2482" s="6">
        <x:f t="shared" si="124"/>
        <x:v>257.64</x:v>
      </x:c>
    </x:row>
    <x:row r="2483" spans="1:14" x14ac:dyDescent="0.25">
      <x:c r="A2483" t="s">
        <x:v>34</x:v>
      </x:c>
      <x:c r="B2483" s="3" t="s">
        <x:v>215</x:v>
      </x:c>
      <x:c r="C2483" s="3" t="s">
        <x:v>531</x:v>
      </x:c>
      <x:c r="D2483" t="s">
        <x:v>676</x:v>
      </x:c>
      <x:c r="E2483" s="6">
        <x:v>0</x:v>
      </x:c>
      <x:c r="F2483" s="6">
        <x:v>0</x:v>
      </x:c>
      <x:c r="G2483" s="6">
        <x:v>0</x:v>
      </x:c>
      <x:c r="H2483" s="6">
        <x:f t="shared" si="122"/>
        <x:v>0</x:v>
      </x:c>
      <x:c r="I2483" s="6">
        <x:v>520.1</x:v>
      </x:c>
      <x:c r="J2483" s="6">
        <x:v>0</x:v>
      </x:c>
      <x:c r="K2483" s="6">
        <x:f t="shared" si="123"/>
        <x:v>520.1</x:v>
      </x:c>
      <x:c r="L2483" s="6">
        <x:v>0</x:v>
      </x:c>
      <x:c r="M2483" s="6">
        <x:v>0</x:v>
      </x:c>
      <x:c r="N2483" s="6">
        <x:f t="shared" si="124"/>
        <x:v>520.1</x:v>
      </x:c>
    </x:row>
    <x:row r="2484" spans="1:14" x14ac:dyDescent="0.25">
      <x:c r="A2484" t="s">
        <x:v>34</x:v>
      </x:c>
      <x:c r="B2484" s="3" t="s">
        <x:v>65</x:v>
      </x:c>
      <x:c r="C2484" s="3" t="s">
        <x:v>382</x:v>
      </x:c>
      <x:c r="D2484" t="s">
        <x:v>676</x:v>
      </x:c>
      <x:c r="E2484" s="6">
        <x:v>0</x:v>
      </x:c>
      <x:c r="F2484" s="6">
        <x:v>0</x:v>
      </x:c>
      <x:c r="G2484" s="6">
        <x:v>0</x:v>
      </x:c>
      <x:c r="H2484" s="6">
        <x:f t="shared" si="122"/>
        <x:v>0</x:v>
      </x:c>
      <x:c r="I2484" s="6">
        <x:v>379.71000000000004</x:v>
      </x:c>
      <x:c r="J2484" s="6">
        <x:v>0</x:v>
      </x:c>
      <x:c r="K2484" s="6">
        <x:f t="shared" si="123"/>
        <x:v>379.71000000000004</x:v>
      </x:c>
      <x:c r="L2484" s="6">
        <x:v>0</x:v>
      </x:c>
      <x:c r="M2484" s="6">
        <x:v>0</x:v>
      </x:c>
      <x:c r="N2484" s="6">
        <x:f t="shared" si="124"/>
        <x:v>379.71000000000004</x:v>
      </x:c>
    </x:row>
    <x:row r="2485" spans="1:14" x14ac:dyDescent="0.25">
      <x:c r="A2485" t="s">
        <x:v>34</x:v>
      </x:c>
      <x:c r="B2485" s="3" t="s">
        <x:v>217</x:v>
      </x:c>
      <x:c r="C2485" s="3" t="s">
        <x:v>533</x:v>
      </x:c>
      <x:c r="D2485" t="s">
        <x:v>676</x:v>
      </x:c>
      <x:c r="E2485" s="6">
        <x:v>0</x:v>
      </x:c>
      <x:c r="F2485" s="6">
        <x:v>0</x:v>
      </x:c>
      <x:c r="G2485" s="6">
        <x:v>0</x:v>
      </x:c>
      <x:c r="H2485" s="6">
        <x:f t="shared" si="122"/>
        <x:v>0</x:v>
      </x:c>
      <x:c r="I2485" s="6">
        <x:v>3776.29</x:v>
      </x:c>
      <x:c r="J2485" s="6">
        <x:v>0</x:v>
      </x:c>
      <x:c r="K2485" s="6">
        <x:f t="shared" si="123"/>
        <x:v>3776.29</x:v>
      </x:c>
      <x:c r="L2485" s="6">
        <x:v>0</x:v>
      </x:c>
      <x:c r="M2485" s="6">
        <x:v>0</x:v>
      </x:c>
      <x:c r="N2485" s="6">
        <x:f t="shared" si="124"/>
        <x:v>3776.29</x:v>
      </x:c>
    </x:row>
    <x:row r="2486" spans="1:14" x14ac:dyDescent="0.25">
      <x:c r="A2486" t="s">
        <x:v>34</x:v>
      </x:c>
      <x:c r="B2486" s="3" t="s">
        <x:v>218</x:v>
      </x:c>
      <x:c r="C2486" s="3" t="s">
        <x:v>534</x:v>
      </x:c>
      <x:c r="D2486" t="s">
        <x:v>676</x:v>
      </x:c>
      <x:c r="E2486" s="6">
        <x:v>0</x:v>
      </x:c>
      <x:c r="F2486" s="6">
        <x:v>0</x:v>
      </x:c>
      <x:c r="G2486" s="6">
        <x:v>0</x:v>
      </x:c>
      <x:c r="H2486" s="6">
        <x:f t="shared" si="122"/>
        <x:v>0</x:v>
      </x:c>
      <x:c r="I2486" s="6">
        <x:v>4958.3600000000006</x:v>
      </x:c>
      <x:c r="J2486" s="6">
        <x:v>0</x:v>
      </x:c>
      <x:c r="K2486" s="6">
        <x:f t="shared" si="123"/>
        <x:v>4958.3600000000006</x:v>
      </x:c>
      <x:c r="L2486" s="6">
        <x:v>0</x:v>
      </x:c>
      <x:c r="M2486" s="6">
        <x:v>0</x:v>
      </x:c>
      <x:c r="N2486" s="6">
        <x:f t="shared" si="124"/>
        <x:v>4958.3600000000006</x:v>
      </x:c>
    </x:row>
    <x:row r="2487" spans="1:14" x14ac:dyDescent="0.25">
      <x:c r="A2487" t="s">
        <x:v>34</x:v>
      </x:c>
      <x:c r="B2487" s="3" t="s">
        <x:v>220</x:v>
      </x:c>
      <x:c r="C2487" s="3" t="s">
        <x:v>536</x:v>
      </x:c>
      <x:c r="D2487" t="s">
        <x:v>676</x:v>
      </x:c>
      <x:c r="E2487" s="6">
        <x:v>0</x:v>
      </x:c>
      <x:c r="F2487" s="6">
        <x:v>0</x:v>
      </x:c>
      <x:c r="G2487" s="6">
        <x:v>0</x:v>
      </x:c>
      <x:c r="H2487" s="6">
        <x:f t="shared" si="122"/>
        <x:v>0</x:v>
      </x:c>
      <x:c r="I2487" s="6">
        <x:v>362.32000000000005</x:v>
      </x:c>
      <x:c r="J2487" s="6">
        <x:v>0</x:v>
      </x:c>
      <x:c r="K2487" s="6">
        <x:f t="shared" si="123"/>
        <x:v>362.32000000000005</x:v>
      </x:c>
      <x:c r="L2487" s="6">
        <x:v>0</x:v>
      </x:c>
      <x:c r="M2487" s="6">
        <x:v>0</x:v>
      </x:c>
      <x:c r="N2487" s="6">
        <x:f t="shared" si="124"/>
        <x:v>362.32000000000005</x:v>
      </x:c>
    </x:row>
    <x:row r="2488" spans="1:14" x14ac:dyDescent="0.25">
      <x:c r="A2488" t="s">
        <x:v>34</x:v>
      </x:c>
      <x:c r="B2488" s="3" t="s">
        <x:v>325</x:v>
      </x:c>
      <x:c r="C2488" s="3" t="s">
        <x:v>640</x:v>
      </x:c>
      <x:c r="D2488" t="s">
        <x:v>679</x:v>
      </x:c>
      <x:c r="E2488" s="6">
        <x:v>37381.340000000004</x:v>
      </x:c>
      <x:c r="F2488" s="6">
        <x:v>0</x:v>
      </x:c>
      <x:c r="G2488" s="6">
        <x:v>0</x:v>
      </x:c>
      <x:c r="H2488" s="6">
        <x:f t="shared" si="122"/>
        <x:v>37381.340000000004</x:v>
      </x:c>
      <x:c r="I2488" s="6">
        <x:v>99838.73</x:v>
      </x:c>
      <x:c r="J2488" s="6">
        <x:v>0</x:v>
      </x:c>
      <x:c r="K2488" s="6">
        <x:f t="shared" si="123"/>
        <x:v>99838.73</x:v>
      </x:c>
      <x:c r="L2488" s="6">
        <x:v>27919.61</x:v>
      </x:c>
      <x:c r="M2488" s="6">
        <x:v>1147.359999999996</x:v>
      </x:c>
      <x:c r="N2488" s="6">
        <x:f t="shared" si="124"/>
        <x:v>166287.03999999998</x:v>
      </x:c>
    </x:row>
    <x:row r="2489" spans="1:14" x14ac:dyDescent="0.25">
      <x:c r="A2489" t="s">
        <x:v>34</x:v>
      </x:c>
      <x:c r="B2489" s="3" t="s">
        <x:v>66</x:v>
      </x:c>
      <x:c r="C2489" s="3" t="s">
        <x:v>383</x:v>
      </x:c>
      <x:c r="D2489" t="s">
        <x:v>676</x:v>
      </x:c>
      <x:c r="E2489" s="6">
        <x:v>14768.76</x:v>
      </x:c>
      <x:c r="F2489" s="6">
        <x:v>0</x:v>
      </x:c>
      <x:c r="G2489" s="6">
        <x:v>0</x:v>
      </x:c>
      <x:c r="H2489" s="6">
        <x:f t="shared" si="122"/>
        <x:v>14768.76</x:v>
      </x:c>
      <x:c r="I2489" s="6">
        <x:v>38781.130000000005</x:v>
      </x:c>
      <x:c r="J2489" s="6">
        <x:v>0</x:v>
      </x:c>
      <x:c r="K2489" s="6">
        <x:f t="shared" si="123"/>
        <x:v>38781.130000000005</x:v>
      </x:c>
      <x:c r="L2489" s="6">
        <x:v>0</x:v>
      </x:c>
      <x:c r="M2489" s="6">
        <x:v>0</x:v>
      </x:c>
      <x:c r="N2489" s="6">
        <x:f t="shared" si="124"/>
        <x:v>53549.890000000007</x:v>
      </x:c>
    </x:row>
    <x:row r="2490" spans="1:14" x14ac:dyDescent="0.25">
      <x:c r="A2490" t="s">
        <x:v>34</x:v>
      </x:c>
      <x:c r="B2490" s="3" t="s">
        <x:v>317</x:v>
      </x:c>
      <x:c r="C2490" s="3" t="s">
        <x:v>632</x:v>
      </x:c>
      <x:c r="D2490" t="s">
        <x:v>676</x:v>
      </x:c>
      <x:c r="E2490" s="6">
        <x:v>0</x:v>
      </x:c>
      <x:c r="F2490" s="6">
        <x:v>0</x:v>
      </x:c>
      <x:c r="G2490" s="6">
        <x:v>0</x:v>
      </x:c>
      <x:c r="H2490" s="6">
        <x:f t="shared" si="122"/>
        <x:v>0</x:v>
      </x:c>
      <x:c r="I2490" s="6">
        <x:v>0</x:v>
      </x:c>
      <x:c r="J2490" s="6">
        <x:v>0</x:v>
      </x:c>
      <x:c r="K2490" s="6">
        <x:f t="shared" si="123"/>
        <x:v>0</x:v>
      </x:c>
      <x:c r="L2490" s="6">
        <x:v>0</x:v>
      </x:c>
      <x:c r="M2490" s="6">
        <x:v>120887.03</x:v>
      </x:c>
      <x:c r="N2490" s="6">
        <x:f t="shared" si="124"/>
        <x:v>120887.03</x:v>
      </x:c>
    </x:row>
    <x:row r="2491" spans="1:14" x14ac:dyDescent="0.25">
      <x:c r="A2491" t="s">
        <x:v>34</x:v>
      </x:c>
      <x:c r="B2491" s="3" t="s">
        <x:v>318</x:v>
      </x:c>
      <x:c r="C2491" s="3" t="s">
        <x:v>633</x:v>
      </x:c>
      <x:c r="D2491" t="s">
        <x:v>676</x:v>
      </x:c>
      <x:c r="E2491" s="6">
        <x:v>0</x:v>
      </x:c>
      <x:c r="F2491" s="6">
        <x:v>0</x:v>
      </x:c>
      <x:c r="G2491" s="6">
        <x:v>0</x:v>
      </x:c>
      <x:c r="H2491" s="6">
        <x:f t="shared" si="122"/>
        <x:v>0</x:v>
      </x:c>
      <x:c r="I2491" s="6">
        <x:v>0</x:v>
      </x:c>
      <x:c r="J2491" s="6">
        <x:v>0</x:v>
      </x:c>
      <x:c r="K2491" s="6">
        <x:f t="shared" si="123"/>
        <x:v>0</x:v>
      </x:c>
      <x:c r="L2491" s="6">
        <x:v>0</x:v>
      </x:c>
      <x:c r="M2491" s="6">
        <x:v>1071.31</x:v>
      </x:c>
      <x:c r="N2491" s="6">
        <x:f t="shared" si="124"/>
        <x:v>1071.31</x:v>
      </x:c>
    </x:row>
    <x:row r="2492" spans="1:14" x14ac:dyDescent="0.25">
      <x:c r="A2492" t="s">
        <x:v>34</x:v>
      </x:c>
      <x:c r="B2492" s="3" t="s">
        <x:v>353</x:v>
      </x:c>
      <x:c r="C2492" s="3" t="s">
        <x:v>668</x:v>
      </x:c>
      <x:c r="D2492" t="s">
        <x:v>679</x:v>
      </x:c>
      <x:c r="E2492" s="6">
        <x:v>-1726.9</x:v>
      </x:c>
      <x:c r="F2492" s="6">
        <x:v>0</x:v>
      </x:c>
      <x:c r="G2492" s="6">
        <x:v>0</x:v>
      </x:c>
      <x:c r="H2492" s="6">
        <x:f t="shared" si="122"/>
        <x:v>-1726.9</x:v>
      </x:c>
      <x:c r="I2492" s="6">
        <x:v>-4612.2199999999993</x:v>
      </x:c>
      <x:c r="J2492" s="6">
        <x:v>0</x:v>
      </x:c>
      <x:c r="K2492" s="6">
        <x:f t="shared" si="123"/>
        <x:v>-4612.2199999999993</x:v>
      </x:c>
      <x:c r="L2492" s="6">
        <x:v>-1289.79</x:v>
      </x:c>
      <x:c r="M2492" s="6">
        <x:v>-53.010000000000147</x:v>
      </x:c>
      <x:c r="N2492" s="6">
        <x:f t="shared" si="124"/>
        <x:v>-7681.9199999999992</x:v>
      </x:c>
    </x:row>
    <x:row r="2493" spans="1:14" x14ac:dyDescent="0.25">
      <x:c r="A2493" t="s">
        <x:v>34</x:v>
      </x:c>
      <x:c r="B2493" s="3" t="s">
        <x:v>67</x:v>
      </x:c>
      <x:c r="C2493" s="3" t="s">
        <x:v>384</x:v>
      </x:c>
      <x:c r="D2493" t="s">
        <x:v>679</x:v>
      </x:c>
      <x:c r="E2493" s="6">
        <x:v>813415.21</x:v>
      </x:c>
      <x:c r="F2493" s="6">
        <x:v>0</x:v>
      </x:c>
      <x:c r="G2493" s="6">
        <x:v>0</x:v>
      </x:c>
      <x:c r="H2493" s="6">
        <x:f t="shared" si="122"/>
        <x:v>813415.21</x:v>
      </x:c>
      <x:c r="I2493" s="6">
        <x:v>2172484.39</x:v>
      </x:c>
      <x:c r="J2493" s="6">
        <x:v>0</x:v>
      </x:c>
      <x:c r="K2493" s="6">
        <x:f t="shared" si="123"/>
        <x:v>2172484.39</x:v>
      </x:c>
      <x:c r="L2493" s="6">
        <x:v>607528.50999999989</x:v>
      </x:c>
      <x:c r="M2493" s="6">
        <x:v>24966.930000000168</x:v>
      </x:c>
      <x:c r="N2493" s="6">
        <x:f t="shared" si="124"/>
        <x:v>3618395.04</x:v>
      </x:c>
    </x:row>
    <x:row r="2494" spans="1:14" x14ac:dyDescent="0.25">
      <x:c r="A2494" t="s">
        <x:v>34</x:v>
      </x:c>
      <x:c r="B2494" s="3" t="s">
        <x:v>326</x:v>
      </x:c>
      <x:c r="C2494" s="3" t="s">
        <x:v>641</x:v>
      </x:c>
      <x:c r="D2494" t="s">
        <x:v>679</x:v>
      </x:c>
      <x:c r="E2494" s="6">
        <x:v>5738.3</x:v>
      </x:c>
      <x:c r="F2494" s="6">
        <x:v>0</x:v>
      </x:c>
      <x:c r="G2494" s="6">
        <x:v>0</x:v>
      </x:c>
      <x:c r="H2494" s="6">
        <x:f t="shared" si="122"/>
        <x:v>5738.3</x:v>
      </x:c>
      <x:c r="I2494" s="6">
        <x:v>15325.970000000001</x:v>
      </x:c>
      <x:c r="J2494" s="6">
        <x:v>0</x:v>
      </x:c>
      <x:c r="K2494" s="6">
        <x:f t="shared" si="123"/>
        <x:v>15325.970000000001</x:v>
      </x:c>
      <x:c r="L2494" s="6">
        <x:v>4285.8600000000006</x:v>
      </x:c>
      <x:c r="M2494" s="6">
        <x:v>176.13000000000088</x:v>
      </x:c>
      <x:c r="N2494" s="6">
        <x:f t="shared" si="124"/>
        <x:v>25526.260000000002</x:v>
      </x:c>
    </x:row>
    <x:row r="2495" spans="1:14" x14ac:dyDescent="0.25">
      <x:c r="A2495" t="s">
        <x:v>34</x:v>
      </x:c>
      <x:c r="B2495" s="3" t="s">
        <x:v>327</x:v>
      </x:c>
      <x:c r="C2495" s="3" t="s">
        <x:v>642</x:v>
      </x:c>
      <x:c r="D2495" t="s">
        <x:v>679</x:v>
      </x:c>
      <x:c r="E2495" s="6">
        <x:v>8564.01</x:v>
      </x:c>
      <x:c r="F2495" s="6">
        <x:v>0</x:v>
      </x:c>
      <x:c r="G2495" s="6">
        <x:v>0</x:v>
      </x:c>
      <x:c r="H2495" s="6">
        <x:f t="shared" si="122"/>
        <x:v>8564.01</x:v>
      </x:c>
      <x:c r="I2495" s="6">
        <x:v>22872.92</x:v>
      </x:c>
      <x:c r="J2495" s="6">
        <x:v>0</x:v>
      </x:c>
      <x:c r="K2495" s="6">
        <x:f t="shared" si="123"/>
        <x:v>22872.92</x:v>
      </x:c>
      <x:c r="L2495" s="6">
        <x:v>6396.3499999999995</x:v>
      </x:c>
      <x:c r="M2495" s="6">
        <x:v>262.849999999999</x:v>
      </x:c>
      <x:c r="N2495" s="6">
        <x:f t="shared" si="124"/>
        <x:v>38096.129999999997</x:v>
      </x:c>
    </x:row>
    <x:row r="2496" spans="1:14" x14ac:dyDescent="0.25">
      <x:c r="A2496" t="s">
        <x:v>34</x:v>
      </x:c>
      <x:c r="B2496" s="3" t="s">
        <x:v>328</x:v>
      </x:c>
      <x:c r="C2496" s="3" t="s">
        <x:v>643</x:v>
      </x:c>
      <x:c r="D2496" t="s">
        <x:v>679</x:v>
      </x:c>
      <x:c r="E2496" s="6">
        <x:v>24810.47</x:v>
      </x:c>
      <x:c r="F2496" s="6">
        <x:v>0</x:v>
      </x:c>
      <x:c r="G2496" s="6">
        <x:v>0</x:v>
      </x:c>
      <x:c r="H2496" s="6">
        <x:f t="shared" si="122"/>
        <x:v>24810.47</x:v>
      </x:c>
      <x:c r="I2496" s="6">
        <x:v>66264.27</x:v>
      </x:c>
      <x:c r="J2496" s="6">
        <x:v>0</x:v>
      </x:c>
      <x:c r="K2496" s="6">
        <x:f t="shared" si="123"/>
        <x:v>66264.27</x:v>
      </x:c>
      <x:c r="L2496" s="6">
        <x:v>18530.59</x:v>
      </x:c>
      <x:c r="M2496" s="6">
        <x:v>761.54000000000201</x:v>
      </x:c>
      <x:c r="N2496" s="6">
        <x:f t="shared" si="124"/>
        <x:v>110366.87000000001</x:v>
      </x:c>
    </x:row>
    <x:row r="2497" spans="1:14" x14ac:dyDescent="0.25">
      <x:c r="A2497" t="s">
        <x:v>34</x:v>
      </x:c>
      <x:c r="B2497" s="3" t="s">
        <x:v>290</x:v>
      </x:c>
      <x:c r="C2497" s="3" t="s">
        <x:v>605</x:v>
      </x:c>
      <x:c r="D2497" t="s">
        <x:v>676</x:v>
      </x:c>
      <x:c r="E2497" s="6">
        <x:v>0</x:v>
      </x:c>
      <x:c r="F2497" s="6">
        <x:v>0</x:v>
      </x:c>
      <x:c r="G2497" s="6">
        <x:v>0</x:v>
      </x:c>
      <x:c r="H2497" s="6">
        <x:f t="shared" si="122"/>
        <x:v>0</x:v>
      </x:c>
      <x:c r="I2497" s="6">
        <x:v>322080.85000000009</x:v>
      </x:c>
      <x:c r="J2497" s="6">
        <x:v>0</x:v>
      </x:c>
      <x:c r="K2497" s="6">
        <x:f t="shared" si="123"/>
        <x:v>322080.85000000009</x:v>
      </x:c>
      <x:c r="L2497" s="6">
        <x:v>0</x:v>
      </x:c>
      <x:c r="M2497" s="6">
        <x:v>0</x:v>
      </x:c>
      <x:c r="N2497" s="6">
        <x:f t="shared" si="124"/>
        <x:v>322080.85000000009</x:v>
      </x:c>
    </x:row>
    <x:row r="2498" spans="1:14" x14ac:dyDescent="0.25">
      <x:c r="A2498" t="s">
        <x:v>34</x:v>
      </x:c>
      <x:c r="B2498" s="3" t="s">
        <x:v>221</x:v>
      </x:c>
      <x:c r="C2498" s="3" t="s">
        <x:v>537</x:v>
      </x:c>
      <x:c r="D2498" t="s">
        <x:v>676</x:v>
      </x:c>
      <x:c r="E2498" s="6">
        <x:v>0</x:v>
      </x:c>
      <x:c r="F2498" s="6">
        <x:v>0</x:v>
      </x:c>
      <x:c r="G2498" s="6">
        <x:v>0</x:v>
      </x:c>
      <x:c r="H2498" s="6">
        <x:f t="shared" si="122"/>
        <x:v>0</x:v>
      </x:c>
      <x:c r="I2498" s="6">
        <x:v>47759.09</x:v>
      </x:c>
      <x:c r="J2498" s="6">
        <x:v>0</x:v>
      </x:c>
      <x:c r="K2498" s="6">
        <x:f t="shared" si="123"/>
        <x:v>47759.09</x:v>
      </x:c>
      <x:c r="L2498" s="6">
        <x:v>0</x:v>
      </x:c>
      <x:c r="M2498" s="6">
        <x:v>0</x:v>
      </x:c>
      <x:c r="N2498" s="6">
        <x:f t="shared" si="124"/>
        <x:v>47759.09</x:v>
      </x:c>
    </x:row>
    <x:row r="2499" spans="1:14" x14ac:dyDescent="0.25">
      <x:c r="A2499" t="s">
        <x:v>34</x:v>
      </x:c>
      <x:c r="B2499" s="3" t="s">
        <x:v>311</x:v>
      </x:c>
      <x:c r="C2499" s="3" t="s">
        <x:v>626</x:v>
      </x:c>
      <x:c r="D2499" t="s">
        <x:v>676</x:v>
      </x:c>
      <x:c r="E2499" s="6">
        <x:v>0</x:v>
      </x:c>
      <x:c r="F2499" s="6">
        <x:v>0</x:v>
      </x:c>
      <x:c r="G2499" s="6">
        <x:v>0</x:v>
      </x:c>
      <x:c r="H2499" s="6">
        <x:f t="shared" si="122"/>
        <x:v>0</x:v>
      </x:c>
      <x:c r="I2499" s="6">
        <x:v>0</x:v>
      </x:c>
      <x:c r="J2499" s="6">
        <x:v>0</x:v>
      </x:c>
      <x:c r="K2499" s="6">
        <x:f t="shared" si="123"/>
        <x:v>0</x:v>
      </x:c>
      <x:c r="L2499" s="6">
        <x:v>0</x:v>
      </x:c>
      <x:c r="M2499" s="6">
        <x:v>10695.640000000001</x:v>
      </x:c>
      <x:c r="N2499" s="6">
        <x:f t="shared" si="124"/>
        <x:v>10695.640000000001</x:v>
      </x:c>
    </x:row>
    <x:row r="2500" spans="1:14" x14ac:dyDescent="0.25">
      <x:c r="A2500" t="s">
        <x:v>34</x:v>
      </x:c>
      <x:c r="B2500" s="3" t="s">
        <x:v>312</x:v>
      </x:c>
      <x:c r="C2500" s="3" t="s">
        <x:v>627</x:v>
      </x:c>
      <x:c r="D2500" t="s">
        <x:v>676</x:v>
      </x:c>
      <x:c r="E2500" s="6">
        <x:v>0</x:v>
      </x:c>
      <x:c r="F2500" s="6">
        <x:v>0</x:v>
      </x:c>
      <x:c r="G2500" s="6">
        <x:v>0</x:v>
      </x:c>
      <x:c r="H2500" s="6">
        <x:f t="shared" si="122"/>
        <x:v>0</x:v>
      </x:c>
      <x:c r="I2500" s="6">
        <x:v>0</x:v>
      </x:c>
      <x:c r="J2500" s="6">
        <x:v>0</x:v>
      </x:c>
      <x:c r="K2500" s="6">
        <x:f t="shared" si="123"/>
        <x:v>0</x:v>
      </x:c>
      <x:c r="L2500" s="6">
        <x:v>0</x:v>
      </x:c>
      <x:c r="M2500" s="6">
        <x:v>861.68000000000006</x:v>
      </x:c>
      <x:c r="N2500" s="6">
        <x:f t="shared" si="124"/>
        <x:v>861.68000000000006</x:v>
      </x:c>
    </x:row>
    <x:row r="2501" spans="1:14" x14ac:dyDescent="0.25">
      <x:c r="A2501" t="s">
        <x:v>34</x:v>
      </x:c>
      <x:c r="B2501" s="3" t="s">
        <x:v>268</x:v>
      </x:c>
      <x:c r="C2501" s="3" t="s">
        <x:v>583</x:v>
      </x:c>
      <x:c r="D2501" t="s">
        <x:v>676</x:v>
      </x:c>
      <x:c r="E2501" s="6">
        <x:v>0</x:v>
      </x:c>
      <x:c r="F2501" s="6">
        <x:v>0</x:v>
      </x:c>
      <x:c r="G2501" s="6">
        <x:v>0</x:v>
      </x:c>
      <x:c r="H2501" s="6">
        <x:f t="shared" si="122"/>
        <x:v>0</x:v>
      </x:c>
      <x:c r="I2501" s="6">
        <x:v>0</x:v>
      </x:c>
      <x:c r="J2501" s="6">
        <x:v>0</x:v>
      </x:c>
      <x:c r="K2501" s="6">
        <x:f t="shared" si="123"/>
        <x:v>0</x:v>
      </x:c>
      <x:c r="L2501" s="6">
        <x:v>16677.730000000003</x:v>
      </x:c>
      <x:c r="M2501" s="6">
        <x:v>0</x:v>
      </x:c>
      <x:c r="N2501" s="6">
        <x:f t="shared" si="124"/>
        <x:v>16677.730000000003</x:v>
      </x:c>
    </x:row>
    <x:row r="2502" spans="1:14" x14ac:dyDescent="0.25">
      <x:c r="A2502" t="s">
        <x:v>34</x:v>
      </x:c>
      <x:c r="B2502" s="3" t="s">
        <x:v>310</x:v>
      </x:c>
      <x:c r="C2502" s="3" t="s">
        <x:v>625</x:v>
      </x:c>
      <x:c r="D2502" t="s">
        <x:v>676</x:v>
      </x:c>
      <x:c r="E2502" s="6">
        <x:v>0</x:v>
      </x:c>
      <x:c r="F2502" s="6">
        <x:v>0</x:v>
      </x:c>
      <x:c r="G2502" s="6">
        <x:v>0</x:v>
      </x:c>
      <x:c r="H2502" s="6">
        <x:f t="shared" si="122"/>
        <x:v>0</x:v>
      </x:c>
      <x:c r="I2502" s="6">
        <x:v>0</x:v>
      </x:c>
      <x:c r="J2502" s="6">
        <x:v>0</x:v>
      </x:c>
      <x:c r="K2502" s="6">
        <x:f t="shared" si="123"/>
        <x:v>0</x:v>
      </x:c>
      <x:c r="L2502" s="6">
        <x:v>0</x:v>
      </x:c>
      <x:c r="M2502" s="6">
        <x:v>59911.609999999993</x:v>
      </x:c>
      <x:c r="N2502" s="6">
        <x:f t="shared" si="124"/>
        <x:v>59911.609999999993</x:v>
      </x:c>
    </x:row>
    <x:row r="2503" spans="1:14" x14ac:dyDescent="0.25">
      <x:c r="A2503" t="s">
        <x:v>34</x:v>
      </x:c>
      <x:c r="B2503" s="3" t="s">
        <x:v>292</x:v>
      </x:c>
      <x:c r="C2503" s="3" t="s">
        <x:v>607</x:v>
      </x:c>
      <x:c r="D2503" t="s">
        <x:v>676</x:v>
      </x:c>
      <x:c r="E2503" s="6">
        <x:v>0</x:v>
      </x:c>
      <x:c r="F2503" s="6">
        <x:v>0</x:v>
      </x:c>
      <x:c r="G2503" s="6">
        <x:v>0</x:v>
      </x:c>
      <x:c r="H2503" s="6">
        <x:f t="shared" si="122"/>
        <x:v>0</x:v>
      </x:c>
      <x:c r="I2503" s="6">
        <x:v>0</x:v>
      </x:c>
      <x:c r="J2503" s="6">
        <x:v>0</x:v>
      </x:c>
      <x:c r="K2503" s="6">
        <x:f t="shared" si="123"/>
        <x:v>0</x:v>
      </x:c>
      <x:c r="L2503" s="6">
        <x:v>108243.63999999998</x:v>
      </x:c>
      <x:c r="M2503" s="6">
        <x:v>0</x:v>
      </x:c>
      <x:c r="N2503" s="6">
        <x:f t="shared" si="124"/>
        <x:v>108243.63999999998</x:v>
      </x:c>
    </x:row>
    <x:row r="2504" spans="1:14" x14ac:dyDescent="0.25">
      <x:c r="A2504" t="s">
        <x:v>34</x:v>
      </x:c>
      <x:c r="B2504" s="3" t="s">
        <x:v>313</x:v>
      </x:c>
      <x:c r="C2504" s="3" t="s">
        <x:v>628</x:v>
      </x:c>
      <x:c r="D2504" t="s">
        <x:v>676</x:v>
      </x:c>
      <x:c r="E2504" s="6">
        <x:v>0</x:v>
      </x:c>
      <x:c r="F2504" s="6">
        <x:v>0</x:v>
      </x:c>
      <x:c r="G2504" s="6">
        <x:v>0</x:v>
      </x:c>
      <x:c r="H2504" s="6">
        <x:f t="shared" si="122"/>
        <x:v>0</x:v>
      </x:c>
      <x:c r="I2504" s="6">
        <x:v>0</x:v>
      </x:c>
      <x:c r="J2504" s="6">
        <x:v>0</x:v>
      </x:c>
      <x:c r="K2504" s="6">
        <x:f t="shared" si="123"/>
        <x:v>0</x:v>
      </x:c>
      <x:c r="L2504" s="6">
        <x:v>0</x:v>
      </x:c>
      <x:c r="M2504" s="6">
        <x:v>51708.65</x:v>
      </x:c>
      <x:c r="N2504" s="6">
        <x:f t="shared" si="124"/>
        <x:v>51708.65</x:v>
      </x:c>
    </x:row>
    <x:row r="2505" spans="1:14" x14ac:dyDescent="0.25">
      <x:c r="A2505" t="s">
        <x:v>34</x:v>
      </x:c>
      <x:c r="B2505" s="3" t="s">
        <x:v>329</x:v>
      </x:c>
      <x:c r="C2505" s="3" t="s">
        <x:v>644</x:v>
      </x:c>
      <x:c r="D2505" t="s">
        <x:v>676</x:v>
      </x:c>
      <x:c r="E2505" s="6">
        <x:v>0</x:v>
      </x:c>
      <x:c r="F2505" s="6">
        <x:v>0</x:v>
      </x:c>
      <x:c r="G2505" s="6">
        <x:v>0</x:v>
      </x:c>
      <x:c r="H2505" s="6">
        <x:f t="shared" si="122"/>
        <x:v>0</x:v>
      </x:c>
      <x:c r="I2505" s="6">
        <x:v>0</x:v>
      </x:c>
      <x:c r="J2505" s="6">
        <x:v>0</x:v>
      </x:c>
      <x:c r="K2505" s="6">
        <x:f t="shared" si="123"/>
        <x:v>0</x:v>
      </x:c>
      <x:c r="L2505" s="6">
        <x:v>0</x:v>
      </x:c>
      <x:c r="M2505" s="6">
        <x:v>17482.059999999998</x:v>
      </x:c>
      <x:c r="N2505" s="6">
        <x:f t="shared" si="124"/>
        <x:v>17482.059999999998</x:v>
      </x:c>
    </x:row>
    <x:row r="2506" spans="1:14" x14ac:dyDescent="0.25">
      <x:c r="A2506" t="s">
        <x:v>34</x:v>
      </x:c>
      <x:c r="B2506" s="3" t="s">
        <x:v>293</x:v>
      </x:c>
      <x:c r="C2506" s="3" t="s">
        <x:v>608</x:v>
      </x:c>
      <x:c r="D2506" t="s">
        <x:v>676</x:v>
      </x:c>
      <x:c r="E2506" s="6">
        <x:v>0</x:v>
      </x:c>
      <x:c r="F2506" s="6">
        <x:v>0</x:v>
      </x:c>
      <x:c r="G2506" s="6">
        <x:v>0</x:v>
      </x:c>
      <x:c r="H2506" s="6">
        <x:f t="shared" si="122"/>
        <x:v>0</x:v>
      </x:c>
      <x:c r="I2506" s="6">
        <x:v>0</x:v>
      </x:c>
      <x:c r="J2506" s="6">
        <x:v>0</x:v>
      </x:c>
      <x:c r="K2506" s="6">
        <x:f t="shared" si="123"/>
        <x:v>0</x:v>
      </x:c>
      <x:c r="L2506" s="6">
        <x:v>0</x:v>
      </x:c>
      <x:c r="M2506" s="6">
        <x:v>62140.130000000005</x:v>
      </x:c>
      <x:c r="N2506" s="6">
        <x:f t="shared" si="124"/>
        <x:v>62140.130000000005</x:v>
      </x:c>
    </x:row>
    <x:row r="2507" spans="1:14" x14ac:dyDescent="0.25">
      <x:c r="A2507" t="s">
        <x:v>34</x:v>
      </x:c>
      <x:c r="B2507" s="3" t="s">
        <x:v>330</x:v>
      </x:c>
      <x:c r="C2507" s="3" t="s">
        <x:v>645</x:v>
      </x:c>
      <x:c r="D2507" t="s">
        <x:v>679</x:v>
      </x:c>
      <x:c r="E2507" s="6">
        <x:v>66492.390000000014</x:v>
      </x:c>
      <x:c r="F2507" s="6">
        <x:v>0</x:v>
      </x:c>
      <x:c r="G2507" s="6">
        <x:v>0</x:v>
      </x:c>
      <x:c r="H2507" s="6">
        <x:f t="shared" si="122"/>
        <x:v>66492.390000000014</x:v>
      </x:c>
      <x:c r="I2507" s="6">
        <x:v>177589.08</x:v>
      </x:c>
      <x:c r="J2507" s="6">
        <x:v>0</x:v>
      </x:c>
      <x:c r="K2507" s="6">
        <x:f t="shared" si="123"/>
        <x:v>177589.08</x:v>
      </x:c>
      <x:c r="L2507" s="6">
        <x:v>49662.239999999998</x:v>
      </x:c>
      <x:c r="M2507" s="6">
        <x:v>2040.9099999999969</x:v>
      </x:c>
      <x:c r="N2507" s="6">
        <x:f t="shared" si="124"/>
        <x:v>295784.62</x:v>
      </x:c>
    </x:row>
    <x:row r="2508" spans="1:14" x14ac:dyDescent="0.25">
      <x:c r="A2508" t="s">
        <x:v>34</x:v>
      </x:c>
      <x:c r="B2508" t="s">
        <x:v>742</x:v>
      </x:c>
      <x:c r="C2508" t="s">
        <x:v>743</x:v>
      </x:c>
      <x:c r="D2508" t="s">
        <x:v>676</x:v>
      </x:c>
      <x:c r="E2508" s="6">
        <x:v>9882.9399999999987</x:v>
      </x:c>
      <x:c r="F2508" s="6">
        <x:v>0</x:v>
      </x:c>
      <x:c r="G2508" s="6">
        <x:v>0</x:v>
      </x:c>
      <x:c r="H2508" s="6">
        <x:f t="shared" si="122"/>
        <x:v>9882.9399999999987</x:v>
      </x:c>
      <x:c r="I2508" s="6">
        <x:v>0</x:v>
      </x:c>
      <x:c r="J2508" s="6">
        <x:v>0</x:v>
      </x:c>
      <x:c r="K2508" s="6">
        <x:f t="shared" si="123"/>
        <x:v>0</x:v>
      </x:c>
      <x:c r="L2508" s="6">
        <x:v>0</x:v>
      </x:c>
      <x:c r="M2508" s="6">
        <x:v>0</x:v>
      </x:c>
      <x:c r="N2508" s="6">
        <x:f t="shared" si="124"/>
        <x:v>9882.9399999999987</x:v>
      </x:c>
    </x:row>
    <x:row r="2509" spans="1:14" x14ac:dyDescent="0.25">
      <x:c r="A2509" t="s">
        <x:v>34</x:v>
      </x:c>
      <x:c r="B2509" t="s">
        <x:v>826</x:v>
      </x:c>
      <x:c r="C2509" t="s">
        <x:v>827</x:v>
      </x:c>
      <x:c r="D2509" t="s">
        <x:v>676</x:v>
      </x:c>
      <x:c r="E2509" s="6">
        <x:v>616.5</x:v>
      </x:c>
      <x:c r="F2509" s="6">
        <x:v>0</x:v>
      </x:c>
      <x:c r="G2509" s="6">
        <x:v>0</x:v>
      </x:c>
      <x:c r="H2509" s="6">
        <x:f t="shared" si="122"/>
        <x:v>616.5</x:v>
      </x:c>
      <x:c r="I2509" s="6">
        <x:v>0</x:v>
      </x:c>
      <x:c r="J2509" s="6">
        <x:v>0</x:v>
      </x:c>
      <x:c r="K2509" s="6">
        <x:f t="shared" si="123"/>
        <x:v>0</x:v>
      </x:c>
      <x:c r="L2509" s="6">
        <x:v>0</x:v>
      </x:c>
      <x:c r="M2509" s="6">
        <x:v>0</x:v>
      </x:c>
      <x:c r="N2509" s="6">
        <x:f t="shared" si="124"/>
        <x:v>616.5</x:v>
      </x:c>
    </x:row>
    <x:row r="2510" spans="1:14" x14ac:dyDescent="0.25">
      <x:c r="A2510" t="s">
        <x:v>34</x:v>
      </x:c>
      <x:c r="B2510" t="s">
        <x:v>744</x:v>
      </x:c>
      <x:c r="C2510" t="s">
        <x:v>745</x:v>
      </x:c>
      <x:c r="D2510" t="s">
        <x:v>676</x:v>
      </x:c>
      <x:c r="E2510" s="6">
        <x:v>16516.66</x:v>
      </x:c>
      <x:c r="F2510" s="6">
        <x:v>0</x:v>
      </x:c>
      <x:c r="G2510" s="6">
        <x:v>0</x:v>
      </x:c>
      <x:c r="H2510" s="6">
        <x:f t="shared" si="122"/>
        <x:v>16516.66</x:v>
      </x:c>
      <x:c r="I2510" s="6">
        <x:v>0</x:v>
      </x:c>
      <x:c r="J2510" s="6">
        <x:v>0</x:v>
      </x:c>
      <x:c r="K2510" s="6">
        <x:f t="shared" si="123"/>
        <x:v>0</x:v>
      </x:c>
      <x:c r="L2510" s="6">
        <x:v>0</x:v>
      </x:c>
      <x:c r="M2510" s="6">
        <x:v>0</x:v>
      </x:c>
      <x:c r="N2510" s="6">
        <x:f t="shared" si="124"/>
        <x:v>16516.66</x:v>
      </x:c>
    </x:row>
    <x:row r="2511" spans="1:14" x14ac:dyDescent="0.25">
      <x:c r="A2511" t="s">
        <x:v>34</x:v>
      </x:c>
      <x:c r="B2511" t="s">
        <x:v>746</x:v>
      </x:c>
      <x:c r="C2511" t="s">
        <x:v>747</x:v>
      </x:c>
      <x:c r="D2511" t="s">
        <x:v>676</x:v>
      </x:c>
      <x:c r="E2511" s="6">
        <x:v>2088.7100000000005</x:v>
      </x:c>
      <x:c r="F2511" s="6">
        <x:v>0</x:v>
      </x:c>
      <x:c r="G2511" s="6">
        <x:v>0</x:v>
      </x:c>
      <x:c r="H2511" s="6">
        <x:f t="shared" si="122"/>
        <x:v>2088.7100000000005</x:v>
      </x:c>
      <x:c r="I2511" s="6">
        <x:v>0</x:v>
      </x:c>
      <x:c r="J2511" s="6">
        <x:v>0</x:v>
      </x:c>
      <x:c r="K2511" s="6">
        <x:f t="shared" si="123"/>
        <x:v>0</x:v>
      </x:c>
      <x:c r="L2511" s="6">
        <x:v>0</x:v>
      </x:c>
      <x:c r="M2511" s="6">
        <x:v>0</x:v>
      </x:c>
      <x:c r="N2511" s="6">
        <x:f t="shared" si="124"/>
        <x:v>2088.7100000000005</x:v>
      </x:c>
    </x:row>
    <x:row r="2512" spans="1:14" x14ac:dyDescent="0.25">
      <x:c r="A2512" t="s">
        <x:v>34</x:v>
      </x:c>
      <x:c r="B2512" t="s">
        <x:v>760</x:v>
      </x:c>
      <x:c r="C2512" t="s">
        <x:v>761</x:v>
      </x:c>
      <x:c r="D2512" t="s">
        <x:v>676</x:v>
      </x:c>
      <x:c r="E2512" s="6">
        <x:v>4124.6499999999996</x:v>
      </x:c>
      <x:c r="F2512" s="6">
        <x:v>0</x:v>
      </x:c>
      <x:c r="G2512" s="6">
        <x:v>0</x:v>
      </x:c>
      <x:c r="H2512" s="6">
        <x:f t="shared" si="122"/>
        <x:v>4124.6499999999996</x:v>
      </x:c>
      <x:c r="I2512" s="6">
        <x:v>641.55000000000007</x:v>
      </x:c>
      <x:c r="J2512" s="6">
        <x:v>0</x:v>
      </x:c>
      <x:c r="K2512" s="6">
        <x:f t="shared" si="123"/>
        <x:v>641.55000000000007</x:v>
      </x:c>
      <x:c r="L2512" s="6">
        <x:v>0</x:v>
      </x:c>
      <x:c r="M2512" s="6">
        <x:v>0</x:v>
      </x:c>
      <x:c r="N2512" s="6">
        <x:f t="shared" si="124"/>
        <x:v>4766.2</x:v>
      </x:c>
    </x:row>
    <x:row r="2513" spans="1:14" x14ac:dyDescent="0.25">
      <x:c r="A2513" t="s">
        <x:v>34</x:v>
      </x:c>
      <x:c r="B2513" t="s">
        <x:v>762</x:v>
      </x:c>
      <x:c r="C2513" t="s">
        <x:v>763</x:v>
      </x:c>
      <x:c r="D2513" t="s">
        <x:v>676</x:v>
      </x:c>
      <x:c r="E2513" s="6">
        <x:v>53874.8</x:v>
      </x:c>
      <x:c r="F2513" s="6">
        <x:v>0</x:v>
      </x:c>
      <x:c r="G2513" s="6">
        <x:v>0</x:v>
      </x:c>
      <x:c r="H2513" s="6">
        <x:f t="shared" si="122"/>
        <x:v>53874.8</x:v>
      </x:c>
      <x:c r="I2513" s="6">
        <x:v>0</x:v>
      </x:c>
      <x:c r="J2513" s="6">
        <x:v>0</x:v>
      </x:c>
      <x:c r="K2513" s="6">
        <x:f t="shared" si="123"/>
        <x:v>0</x:v>
      </x:c>
      <x:c r="L2513" s="6">
        <x:v>0</x:v>
      </x:c>
      <x:c r="M2513" s="6">
        <x:v>0</x:v>
      </x:c>
      <x:c r="N2513" s="6">
        <x:f t="shared" si="124"/>
        <x:v>53874.8</x:v>
      </x:c>
    </x:row>
    <x:row r="2514" spans="1:14" x14ac:dyDescent="0.25">
      <x:c r="A2514" t="s">
        <x:v>34</x:v>
      </x:c>
      <x:c r="B2514" t="s">
        <x:v>764</x:v>
      </x:c>
      <x:c r="C2514" t="s">
        <x:v>765</x:v>
      </x:c>
      <x:c r="D2514" t="s">
        <x:v>676</x:v>
      </x:c>
      <x:c r="E2514" s="6">
        <x:v>4316.84</x:v>
      </x:c>
      <x:c r="F2514" s="6">
        <x:v>0</x:v>
      </x:c>
      <x:c r="G2514" s="6">
        <x:v>0</x:v>
      </x:c>
      <x:c r="H2514" s="6">
        <x:f t="shared" si="122"/>
        <x:v>4316.84</x:v>
      </x:c>
      <x:c r="I2514" s="6">
        <x:v>0</x:v>
      </x:c>
      <x:c r="J2514" s="6">
        <x:v>0</x:v>
      </x:c>
      <x:c r="K2514" s="6">
        <x:f t="shared" si="123"/>
        <x:v>0</x:v>
      </x:c>
      <x:c r="L2514" s="6">
        <x:v>0</x:v>
      </x:c>
      <x:c r="M2514" s="6">
        <x:v>0</x:v>
      </x:c>
      <x:c r="N2514" s="6">
        <x:f t="shared" si="124"/>
        <x:v>4316.84</x:v>
      </x:c>
    </x:row>
    <x:row r="2515" spans="1:14" x14ac:dyDescent="0.25">
      <x:c r="A2515" t="s">
        <x:v>34</x:v>
      </x:c>
      <x:c r="B2515" t="s">
        <x:v>766</x:v>
      </x:c>
      <x:c r="C2515" t="s">
        <x:v>767</x:v>
      </x:c>
      <x:c r="D2515" t="s">
        <x:v>676</x:v>
      </x:c>
      <x:c r="E2515" s="6">
        <x:v>8172.2599999999984</x:v>
      </x:c>
      <x:c r="F2515" s="6">
        <x:v>0</x:v>
      </x:c>
      <x:c r="G2515" s="6">
        <x:v>0</x:v>
      </x:c>
      <x:c r="H2515" s="6">
        <x:f t="shared" si="122"/>
        <x:v>8172.2599999999984</x:v>
      </x:c>
      <x:c r="I2515" s="6">
        <x:v>0</x:v>
      </x:c>
      <x:c r="J2515" s="6">
        <x:v>0</x:v>
      </x:c>
      <x:c r="K2515" s="6">
        <x:f t="shared" si="123"/>
        <x:v>0</x:v>
      </x:c>
      <x:c r="L2515" s="6">
        <x:v>0</x:v>
      </x:c>
      <x:c r="M2515" s="6">
        <x:v>0</x:v>
      </x:c>
      <x:c r="N2515" s="6">
        <x:f t="shared" si="124"/>
        <x:v>8172.2599999999984</x:v>
      </x:c>
    </x:row>
    <x:row r="2516" spans="1:14" x14ac:dyDescent="0.25">
      <x:c r="A2516" t="s">
        <x:v>34</x:v>
      </x:c>
      <x:c r="B2516" t="s">
        <x:v>768</x:v>
      </x:c>
      <x:c r="C2516" t="s">
        <x:v>769</x:v>
      </x:c>
      <x:c r="D2516" t="s">
        <x:v>676</x:v>
      </x:c>
      <x:c r="E2516" s="6">
        <x:v>8359.9500000000007</x:v>
      </x:c>
      <x:c r="F2516" s="6">
        <x:v>0</x:v>
      </x:c>
      <x:c r="G2516" s="6">
        <x:v>0</x:v>
      </x:c>
      <x:c r="H2516" s="6">
        <x:f t="shared" si="122"/>
        <x:v>8359.9500000000007</x:v>
      </x:c>
      <x:c r="I2516" s="6">
        <x:v>5055.24</x:v>
      </x:c>
      <x:c r="J2516" s="6">
        <x:v>0</x:v>
      </x:c>
      <x:c r="K2516" s="6">
        <x:f t="shared" si="123"/>
        <x:v>5055.24</x:v>
      </x:c>
      <x:c r="L2516" s="6">
        <x:v>0</x:v>
      </x:c>
      <x:c r="M2516" s="6">
        <x:v>0</x:v>
      </x:c>
      <x:c r="N2516" s="6">
        <x:f t="shared" si="124"/>
        <x:v>13415.19</x:v>
      </x:c>
    </x:row>
    <x:row r="2517" spans="1:14" x14ac:dyDescent="0.25">
      <x:c r="A2517" t="s">
        <x:v>34</x:v>
      </x:c>
      <x:c r="B2517" t="s">
        <x:v>770</x:v>
      </x:c>
      <x:c r="C2517" t="s">
        <x:v>771</x:v>
      </x:c>
      <x:c r="D2517" t="s">
        <x:v>676</x:v>
      </x:c>
      <x:c r="E2517" s="6">
        <x:v>8565.2900000000009</x:v>
      </x:c>
      <x:c r="F2517" s="6">
        <x:v>0</x:v>
      </x:c>
      <x:c r="G2517" s="6">
        <x:v>0</x:v>
      </x:c>
      <x:c r="H2517" s="6">
        <x:f t="shared" si="122"/>
        <x:v>8565.2900000000009</x:v>
      </x:c>
      <x:c r="I2517" s="6">
        <x:v>0</x:v>
      </x:c>
      <x:c r="J2517" s="6">
        <x:v>0</x:v>
      </x:c>
      <x:c r="K2517" s="6">
        <x:f t="shared" si="123"/>
        <x:v>0</x:v>
      </x:c>
      <x:c r="L2517" s="6">
        <x:v>0</x:v>
      </x:c>
      <x:c r="M2517" s="6">
        <x:v>0</x:v>
      </x:c>
      <x:c r="N2517" s="6">
        <x:f t="shared" si="124"/>
        <x:v>8565.2900000000009</x:v>
      </x:c>
    </x:row>
    <x:row r="2518" spans="1:14" x14ac:dyDescent="0.25">
      <x:c r="A2518" t="s">
        <x:v>34</x:v>
      </x:c>
      <x:c r="B2518" t="s">
        <x:v>749</x:v>
      </x:c>
      <x:c r="C2518" t="s">
        <x:v>750</x:v>
      </x:c>
      <x:c r="D2518" t="s">
        <x:v>676</x:v>
      </x:c>
      <x:c r="E2518" s="6">
        <x:v>3499.97</x:v>
      </x:c>
      <x:c r="F2518" s="6">
        <x:v>0</x:v>
      </x:c>
      <x:c r="G2518" s="6">
        <x:v>0</x:v>
      </x:c>
      <x:c r="H2518" s="6">
        <x:f t="shared" si="122"/>
        <x:v>3499.97</x:v>
      </x:c>
      <x:c r="I2518" s="6">
        <x:v>0</x:v>
      </x:c>
      <x:c r="J2518" s="6">
        <x:v>0</x:v>
      </x:c>
      <x:c r="K2518" s="6">
        <x:f t="shared" si="123"/>
        <x:v>0</x:v>
      </x:c>
      <x:c r="L2518" s="6">
        <x:v>0</x:v>
      </x:c>
      <x:c r="M2518" s="6">
        <x:v>0</x:v>
      </x:c>
      <x:c r="N2518" s="6">
        <x:f t="shared" si="124"/>
        <x:v>3499.97</x:v>
      </x:c>
    </x:row>
    <x:row r="2519" spans="1:14" x14ac:dyDescent="0.25">
      <x:c r="A2519" t="s">
        <x:v>34</x:v>
      </x:c>
      <x:c r="B2519" t="s">
        <x:v>751</x:v>
      </x:c>
      <x:c r="C2519" t="s">
        <x:v>752</x:v>
      </x:c>
      <x:c r="D2519" t="s">
        <x:v>676</x:v>
      </x:c>
      <x:c r="E2519" s="6">
        <x:v>12740.77</x:v>
      </x:c>
      <x:c r="F2519" s="6">
        <x:v>0</x:v>
      </x:c>
      <x:c r="G2519" s="6">
        <x:v>0</x:v>
      </x:c>
      <x:c r="H2519" s="6">
        <x:f t="shared" si="122"/>
        <x:v>12740.77</x:v>
      </x:c>
      <x:c r="I2519" s="6">
        <x:v>0</x:v>
      </x:c>
      <x:c r="J2519" s="6">
        <x:v>0</x:v>
      </x:c>
      <x:c r="K2519" s="6">
        <x:f t="shared" si="123"/>
        <x:v>0</x:v>
      </x:c>
      <x:c r="L2519" s="6">
        <x:v>0</x:v>
      </x:c>
      <x:c r="M2519" s="6">
        <x:v>0</x:v>
      </x:c>
      <x:c r="N2519" s="6">
        <x:f t="shared" si="124"/>
        <x:v>12740.77</x:v>
      </x:c>
    </x:row>
    <x:row r="2520" spans="1:14" x14ac:dyDescent="0.25">
      <x:c r="A2520" t="s">
        <x:v>34</x:v>
      </x:c>
      <x:c r="B2520" t="s">
        <x:v>772</x:v>
      </x:c>
      <x:c r="C2520" t="s">
        <x:v>773</x:v>
      </x:c>
      <x:c r="D2520" t="s">
        <x:v>676</x:v>
      </x:c>
      <x:c r="E2520" s="6">
        <x:v>412.46</x:v>
      </x:c>
      <x:c r="F2520" s="6">
        <x:v>0</x:v>
      </x:c>
      <x:c r="G2520" s="6">
        <x:v>0</x:v>
      </x:c>
      <x:c r="H2520" s="6">
        <x:f t="shared" si="122"/>
        <x:v>412.46</x:v>
      </x:c>
      <x:c r="I2520" s="6">
        <x:v>106.78</x:v>
      </x:c>
      <x:c r="J2520" s="6">
        <x:v>0</x:v>
      </x:c>
      <x:c r="K2520" s="6">
        <x:f t="shared" si="123"/>
        <x:v>106.78</x:v>
      </x:c>
      <x:c r="L2520" s="6">
        <x:v>0</x:v>
      </x:c>
      <x:c r="M2520" s="6">
        <x:v>0</x:v>
      </x:c>
      <x:c r="N2520" s="6">
        <x:f t="shared" si="124"/>
        <x:v>519.24</x:v>
      </x:c>
    </x:row>
    <x:row r="2521" spans="1:14" x14ac:dyDescent="0.25">
      <x:c r="A2521" t="s">
        <x:v>34</x:v>
      </x:c>
      <x:c r="B2521" t="s">
        <x:v>776</x:v>
      </x:c>
      <x:c r="C2521" t="s">
        <x:v>777</x:v>
      </x:c>
      <x:c r="D2521" t="s">
        <x:v>676</x:v>
      </x:c>
      <x:c r="E2521" s="6">
        <x:v>5810.5900000000011</x:v>
      </x:c>
      <x:c r="F2521" s="6">
        <x:v>0</x:v>
      </x:c>
      <x:c r="G2521" s="6">
        <x:v>0</x:v>
      </x:c>
      <x:c r="H2521" s="6">
        <x:f t="shared" si="122"/>
        <x:v>5810.5900000000011</x:v>
      </x:c>
      <x:c r="I2521" s="6">
        <x:v>56.239999999999995</x:v>
      </x:c>
      <x:c r="J2521" s="6">
        <x:v>0</x:v>
      </x:c>
      <x:c r="K2521" s="6">
        <x:f t="shared" si="123"/>
        <x:v>56.239999999999995</x:v>
      </x:c>
      <x:c r="L2521" s="6">
        <x:v>0</x:v>
      </x:c>
      <x:c r="M2521" s="6">
        <x:v>0</x:v>
      </x:c>
      <x:c r="N2521" s="6">
        <x:f t="shared" si="124"/>
        <x:v>5866.8300000000008</x:v>
      </x:c>
    </x:row>
    <x:row r="2522" spans="1:14" x14ac:dyDescent="0.25">
      <x:c r="A2522" t="s">
        <x:v>34</x:v>
      </x:c>
      <x:c r="B2522" t="s">
        <x:v>778</x:v>
      </x:c>
      <x:c r="C2522" t="s">
        <x:v>779</x:v>
      </x:c>
      <x:c r="D2522" t="s">
        <x:v>676</x:v>
      </x:c>
      <x:c r="E2522" s="6">
        <x:v>8398.32</x:v>
      </x:c>
      <x:c r="F2522" s="6">
        <x:v>0</x:v>
      </x:c>
      <x:c r="G2522" s="6">
        <x:v>0</x:v>
      </x:c>
      <x:c r="H2522" s="6">
        <x:f t="shared" si="122"/>
        <x:v>8398.32</x:v>
      </x:c>
      <x:c r="I2522" s="6">
        <x:v>0</x:v>
      </x:c>
      <x:c r="J2522" s="6">
        <x:v>0</x:v>
      </x:c>
      <x:c r="K2522" s="6">
        <x:f t="shared" si="123"/>
        <x:v>0</x:v>
      </x:c>
      <x:c r="L2522" s="6">
        <x:v>0</x:v>
      </x:c>
      <x:c r="M2522" s="6">
        <x:v>0</x:v>
      </x:c>
      <x:c r="N2522" s="6">
        <x:f t="shared" si="124"/>
        <x:v>8398.32</x:v>
      </x:c>
    </x:row>
    <x:row r="2523" spans="1:14" x14ac:dyDescent="0.25">
      <x:c r="A2523" t="s">
        <x:v>34</x:v>
      </x:c>
      <x:c r="B2523" t="s">
        <x:v>780</x:v>
      </x:c>
      <x:c r="C2523" t="s">
        <x:v>781</x:v>
      </x:c>
      <x:c r="D2523" t="s">
        <x:v>676</x:v>
      </x:c>
      <x:c r="E2523" s="6">
        <x:v>3553.44</x:v>
      </x:c>
      <x:c r="F2523" s="6">
        <x:v>0</x:v>
      </x:c>
      <x:c r="G2523" s="6">
        <x:v>0</x:v>
      </x:c>
      <x:c r="H2523" s="6">
        <x:f t="shared" si="122"/>
        <x:v>3553.44</x:v>
      </x:c>
      <x:c r="I2523" s="6">
        <x:v>0</x:v>
      </x:c>
      <x:c r="J2523" s="6">
        <x:v>0</x:v>
      </x:c>
      <x:c r="K2523" s="6">
        <x:f t="shared" si="123"/>
        <x:v>0</x:v>
      </x:c>
      <x:c r="L2523" s="6">
        <x:v>0</x:v>
      </x:c>
      <x:c r="M2523" s="6">
        <x:v>0</x:v>
      </x:c>
      <x:c r="N2523" s="6">
        <x:f t="shared" si="124"/>
        <x:v>3553.44</x:v>
      </x:c>
    </x:row>
    <x:row r="2524" spans="1:14" x14ac:dyDescent="0.25">
      <x:c r="A2524" t="s">
        <x:v>34</x:v>
      </x:c>
      <x:c r="B2524" t="s">
        <x:v>753</x:v>
      </x:c>
      <x:c r="C2524" t="s">
        <x:v>754</x:v>
      </x:c>
      <x:c r="D2524" t="s">
        <x:v>676</x:v>
      </x:c>
      <x:c r="E2524" s="6">
        <x:v>4048.03</x:v>
      </x:c>
      <x:c r="F2524" s="6">
        <x:v>0</x:v>
      </x:c>
      <x:c r="G2524" s="6">
        <x:v>0</x:v>
      </x:c>
      <x:c r="H2524" s="6">
        <x:f t="shared" si="122"/>
        <x:v>4048.03</x:v>
      </x:c>
      <x:c r="I2524" s="6">
        <x:v>0</x:v>
      </x:c>
      <x:c r="J2524" s="6">
        <x:v>0</x:v>
      </x:c>
      <x:c r="K2524" s="6">
        <x:f t="shared" si="123"/>
        <x:v>0</x:v>
      </x:c>
      <x:c r="L2524" s="6">
        <x:v>0</x:v>
      </x:c>
      <x:c r="M2524" s="6">
        <x:v>0</x:v>
      </x:c>
      <x:c r="N2524" s="6">
        <x:f t="shared" si="124"/>
        <x:v>4048.03</x:v>
      </x:c>
    </x:row>
    <x:row r="2525" spans="1:14" x14ac:dyDescent="0.25">
      <x:c r="A2525" t="s">
        <x:v>34</x:v>
      </x:c>
      <x:c r="B2525" s="3" t="s">
        <x:v>222</x:v>
      </x:c>
      <x:c r="C2525" s="3" t="s">
        <x:v>538</x:v>
      </x:c>
      <x:c r="D2525" t="s">
        <x:v>676</x:v>
      </x:c>
      <x:c r="E2525" s="6">
        <x:v>0</x:v>
      </x:c>
      <x:c r="F2525" s="6">
        <x:v>0</x:v>
      </x:c>
      <x:c r="G2525" s="6">
        <x:v>0</x:v>
      </x:c>
      <x:c r="H2525" s="6">
        <x:f t="shared" si="122"/>
        <x:v>0</x:v>
      </x:c>
      <x:c r="I2525" s="6">
        <x:v>997.12</x:v>
      </x:c>
      <x:c r="J2525" s="6">
        <x:v>0</x:v>
      </x:c>
      <x:c r="K2525" s="6">
        <x:f t="shared" si="123"/>
        <x:v>997.12</x:v>
      </x:c>
      <x:c r="L2525" s="6">
        <x:v>0</x:v>
      </x:c>
      <x:c r="M2525" s="6">
        <x:v>0</x:v>
      </x:c>
      <x:c r="N2525" s="6">
        <x:f t="shared" si="124"/>
        <x:v>997.12</x:v>
      </x:c>
    </x:row>
    <x:row r="2526" spans="1:14" x14ac:dyDescent="0.25">
      <x:c r="A2526" t="s">
        <x:v>34</x:v>
      </x:c>
      <x:c r="B2526" s="3" t="s">
        <x:v>51</x:v>
      </x:c>
      <x:c r="C2526" s="3" t="s">
        <x:v>368</x:v>
      </x:c>
      <x:c r="D2526" t="s">
        <x:v>676</x:v>
      </x:c>
      <x:c r="E2526" s="6">
        <x:v>0</x:v>
      </x:c>
      <x:c r="F2526" s="6">
        <x:v>0</x:v>
      </x:c>
      <x:c r="G2526" s="6">
        <x:v>0</x:v>
      </x:c>
      <x:c r="H2526" s="6">
        <x:f t="shared" si="122"/>
        <x:v>0</x:v>
      </x:c>
      <x:c r="I2526" s="6">
        <x:v>1428.6</x:v>
      </x:c>
      <x:c r="J2526" s="6">
        <x:v>0</x:v>
      </x:c>
      <x:c r="K2526" s="6">
        <x:f t="shared" si="123"/>
        <x:v>1428.6</x:v>
      </x:c>
      <x:c r="L2526" s="6">
        <x:v>0</x:v>
      </x:c>
      <x:c r="M2526" s="6">
        <x:v>0</x:v>
      </x:c>
      <x:c r="N2526" s="6">
        <x:f t="shared" si="124"/>
        <x:v>1428.6</x:v>
      </x:c>
    </x:row>
    <x:row r="2527" spans="1:14" x14ac:dyDescent="0.25">
      <x:c r="A2527" t="s">
        <x:v>34</x:v>
      </x:c>
      <x:c r="B2527" s="3" t="s">
        <x:v>294</x:v>
      </x:c>
      <x:c r="C2527" s="3" t="s">
        <x:v>609</x:v>
      </x:c>
      <x:c r="D2527" t="s">
        <x:v>676</x:v>
      </x:c>
      <x:c r="E2527" s="6">
        <x:v>0</x:v>
      </x:c>
      <x:c r="F2527" s="6">
        <x:v>0</x:v>
      </x:c>
      <x:c r="G2527" s="6">
        <x:v>0</x:v>
      </x:c>
      <x:c r="H2527" s="6">
        <x:f t="shared" ref="H2527:H2590" si="125">SUM(E2527:G2527)</x:f>
        <x:v>0</x:v>
      </x:c>
      <x:c r="I2527" s="6">
        <x:v>0</x:v>
      </x:c>
      <x:c r="J2527" s="6">
        <x:v>0</x:v>
      </x:c>
      <x:c r="K2527" s="6">
        <x:f t="shared" ref="K2527:K2590" si="126">SUM(I2527:J2527)</x:f>
        <x:v>0</x:v>
      </x:c>
      <x:c r="L2527" s="6">
        <x:v>0</x:v>
      </x:c>
      <x:c r="M2527" s="6">
        <x:v>65438.48</x:v>
      </x:c>
      <x:c r="N2527" s="6">
        <x:f t="shared" ref="N2527:N2590" si="127">+E2527+F2527+G2527+I2527+J2527+L2527+M2527</x:f>
        <x:v>65438.48</x:v>
      </x:c>
    </x:row>
    <x:row r="2528" spans="1:14" x14ac:dyDescent="0.25">
      <x:c r="A2528" t="s">
        <x:v>34</x:v>
      </x:c>
      <x:c r="B2528" s="3" t="s">
        <x:v>331</x:v>
      </x:c>
      <x:c r="C2528" s="3" t="s">
        <x:v>646</x:v>
      </x:c>
      <x:c r="D2528" t="s">
        <x:v>676</x:v>
      </x:c>
      <x:c r="E2528" s="6">
        <x:v>0</x:v>
      </x:c>
      <x:c r="F2528" s="6">
        <x:v>0</x:v>
      </x:c>
      <x:c r="G2528" s="6">
        <x:v>0</x:v>
      </x:c>
      <x:c r="H2528" s="6">
        <x:f t="shared" si="125"/>
        <x:v>0</x:v>
      </x:c>
      <x:c r="I2528" s="6">
        <x:v>0</x:v>
      </x:c>
      <x:c r="J2528" s="6">
        <x:v>0</x:v>
      </x:c>
      <x:c r="K2528" s="6">
        <x:f t="shared" si="126"/>
        <x:v>0</x:v>
      </x:c>
      <x:c r="L2528" s="6">
        <x:v>0</x:v>
      </x:c>
      <x:c r="M2528" s="6">
        <x:v>270654.68</x:v>
      </x:c>
      <x:c r="N2528" s="6">
        <x:f t="shared" si="127"/>
        <x:v>270654.68</x:v>
      </x:c>
    </x:row>
    <x:row r="2529" spans="1:14" x14ac:dyDescent="0.25">
      <x:c r="A2529" t="s">
        <x:v>34</x:v>
      </x:c>
      <x:c r="B2529" s="3" t="s">
        <x:v>295</x:v>
      </x:c>
      <x:c r="C2529" s="3" t="s">
        <x:v>610</x:v>
      </x:c>
      <x:c r="D2529" t="s">
        <x:v>676</x:v>
      </x:c>
      <x:c r="E2529" s="6">
        <x:v>0</x:v>
      </x:c>
      <x:c r="F2529" s="6">
        <x:v>0</x:v>
      </x:c>
      <x:c r="G2529" s="6">
        <x:v>0</x:v>
      </x:c>
      <x:c r="H2529" s="6">
        <x:f t="shared" si="125"/>
        <x:v>0</x:v>
      </x:c>
      <x:c r="I2529" s="6">
        <x:v>0</x:v>
      </x:c>
      <x:c r="J2529" s="6">
        <x:v>0</x:v>
      </x:c>
      <x:c r="K2529" s="6">
        <x:f t="shared" si="126"/>
        <x:v>0</x:v>
      </x:c>
      <x:c r="L2529" s="6">
        <x:v>0</x:v>
      </x:c>
      <x:c r="M2529" s="6">
        <x:v>101143.8</x:v>
      </x:c>
      <x:c r="N2529" s="6">
        <x:f t="shared" si="127"/>
        <x:v>101143.8</x:v>
      </x:c>
    </x:row>
    <x:row r="2530" spans="1:14" x14ac:dyDescent="0.25">
      <x:c r="A2530" t="s">
        <x:v>34</x:v>
      </x:c>
      <x:c r="B2530" s="3" t="s">
        <x:v>314</x:v>
      </x:c>
      <x:c r="C2530" s="3" t="s">
        <x:v>629</x:v>
      </x:c>
      <x:c r="D2530" t="s">
        <x:v>676</x:v>
      </x:c>
      <x:c r="E2530" s="6">
        <x:v>0</x:v>
      </x:c>
      <x:c r="F2530" s="6">
        <x:v>0</x:v>
      </x:c>
      <x:c r="G2530" s="6">
        <x:v>0</x:v>
      </x:c>
      <x:c r="H2530" s="6">
        <x:f t="shared" si="125"/>
        <x:v>0</x:v>
      </x:c>
      <x:c r="I2530" s="6">
        <x:v>0</x:v>
      </x:c>
      <x:c r="J2530" s="6">
        <x:v>0</x:v>
      </x:c>
      <x:c r="K2530" s="6">
        <x:f t="shared" si="126"/>
        <x:v>0</x:v>
      </x:c>
      <x:c r="L2530" s="6">
        <x:v>0</x:v>
      </x:c>
      <x:c r="M2530" s="6">
        <x:v>187032.71000000002</x:v>
      </x:c>
      <x:c r="N2530" s="6">
        <x:f t="shared" si="127"/>
        <x:v>187032.71000000002</x:v>
      </x:c>
    </x:row>
    <x:row r="2531" spans="1:14" x14ac:dyDescent="0.25">
      <x:c r="A2531" t="s">
        <x:v>34</x:v>
      </x:c>
      <x:c r="B2531" s="3" t="s">
        <x:v>332</x:v>
      </x:c>
      <x:c r="C2531" s="3" t="s">
        <x:v>647</x:v>
      </x:c>
      <x:c r="D2531" t="s">
        <x:v>679</x:v>
      </x:c>
      <x:c r="E2531" s="6">
        <x:v>354549.97</x:v>
      </x:c>
      <x:c r="F2531" s="6">
        <x:v>0</x:v>
      </x:c>
      <x:c r="G2531" s="6">
        <x:v>0</x:v>
      </x:c>
      <x:c r="H2531" s="6">
        <x:f t="shared" si="125"/>
        <x:v>354549.97</x:v>
      </x:c>
      <x:c r="I2531" s="6">
        <x:v>946938.63000000012</x:v>
      </x:c>
      <x:c r="J2531" s="6">
        <x:v>0</x:v>
      </x:c>
      <x:c r="K2531" s="6">
        <x:f t="shared" si="126"/>
        <x:v>946938.63000000012</x:v>
      </x:c>
      <x:c r="L2531" s="6">
        <x:v>264808.45</x:v>
      </x:c>
      <x:c r="M2531" s="6">
        <x:v>10882.539999999917</x:v>
      </x:c>
      <x:c r="N2531" s="6">
        <x:f t="shared" si="127"/>
        <x:v>1577179.5899999999</x:v>
      </x:c>
    </x:row>
    <x:row r="2532" spans="1:14" x14ac:dyDescent="0.25">
      <x:c r="A2532" t="s">
        <x:v>34</x:v>
      </x:c>
      <x:c r="B2532" s="3" t="s">
        <x:v>354</x:v>
      </x:c>
      <x:c r="C2532" s="3" t="s">
        <x:v>669</x:v>
      </x:c>
      <x:c r="D2532" t="s">
        <x:v>679</x:v>
      </x:c>
      <x:c r="E2532" s="6">
        <x:v>146</x:v>
      </x:c>
      <x:c r="F2532" s="6">
        <x:v>0</x:v>
      </x:c>
      <x:c r="G2532" s="6">
        <x:v>0</x:v>
      </x:c>
      <x:c r="H2532" s="6">
        <x:f t="shared" si="125"/>
        <x:v>146</x:v>
      </x:c>
      <x:c r="I2532" s="6">
        <x:v>389.93</x:v>
      </x:c>
      <x:c r="J2532" s="6">
        <x:v>0</x:v>
      </x:c>
      <x:c r="K2532" s="6">
        <x:f t="shared" si="126"/>
        <x:v>389.93</x:v>
      </x:c>
      <x:c r="L2532" s="6">
        <x:v>109.04</x:v>
      </x:c>
      <x:c r="M2532" s="6">
        <x:v>4.4800000000000324</x:v>
      </x:c>
      <x:c r="N2532" s="6">
        <x:f t="shared" si="127"/>
        <x:v>649.45000000000005</x:v>
      </x:c>
    </x:row>
    <x:row r="2533" spans="1:14" x14ac:dyDescent="0.25">
      <x:c r="A2533" t="s">
        <x:v>34</x:v>
      </x:c>
      <x:c r="B2533" s="3" t="s">
        <x:v>296</x:v>
      </x:c>
      <x:c r="C2533" s="3" t="s">
        <x:v>611</x:v>
      </x:c>
      <x:c r="D2533" t="s">
        <x:v>676</x:v>
      </x:c>
      <x:c r="E2533" s="6">
        <x:v>0</x:v>
      </x:c>
      <x:c r="F2533" s="6">
        <x:v>0</x:v>
      </x:c>
      <x:c r="G2533" s="6">
        <x:v>0</x:v>
      </x:c>
      <x:c r="H2533" s="6">
        <x:f t="shared" si="125"/>
        <x:v>0</x:v>
      </x:c>
      <x:c r="I2533" s="6">
        <x:v>0</x:v>
      </x:c>
      <x:c r="J2533" s="6">
        <x:v>0</x:v>
      </x:c>
      <x:c r="K2533" s="6">
        <x:f t="shared" si="126"/>
        <x:v>0</x:v>
      </x:c>
      <x:c r="L2533" s="6">
        <x:v>0</x:v>
      </x:c>
      <x:c r="M2533" s="6">
        <x:v>124152.46000000002</x:v>
      </x:c>
      <x:c r="N2533" s="6">
        <x:f t="shared" si="127"/>
        <x:v>124152.46000000002</x:v>
      </x:c>
    </x:row>
    <x:row r="2534" spans="1:14" x14ac:dyDescent="0.25">
      <x:c r="A2534" t="s">
        <x:v>34</x:v>
      </x:c>
      <x:c r="B2534" s="3" t="s">
        <x:v>315</x:v>
      </x:c>
      <x:c r="C2534" s="3" t="s">
        <x:v>630</x:v>
      </x:c>
      <x:c r="D2534" t="s">
        <x:v>676</x:v>
      </x:c>
      <x:c r="E2534" s="6">
        <x:v>0</x:v>
      </x:c>
      <x:c r="F2534" s="6">
        <x:v>0</x:v>
      </x:c>
      <x:c r="G2534" s="6">
        <x:v>0</x:v>
      </x:c>
      <x:c r="H2534" s="6">
        <x:f t="shared" si="125"/>
        <x:v>0</x:v>
      </x:c>
      <x:c r="I2534" s="6">
        <x:v>0</x:v>
      </x:c>
      <x:c r="J2534" s="6">
        <x:v>0</x:v>
      </x:c>
      <x:c r="K2534" s="6">
        <x:f t="shared" si="126"/>
        <x:v>0</x:v>
      </x:c>
      <x:c r="L2534" s="6">
        <x:v>0</x:v>
      </x:c>
      <x:c r="M2534" s="6">
        <x:v>24974.639999999999</x:v>
      </x:c>
      <x:c r="N2534" s="6">
        <x:f t="shared" si="127"/>
        <x:v>24974.639999999999</x:v>
      </x:c>
    </x:row>
    <x:row r="2535" spans="1:14" x14ac:dyDescent="0.25">
      <x:c r="A2535" t="s">
        <x:v>34</x:v>
      </x:c>
      <x:c r="B2535" s="3" t="s">
        <x:v>319</x:v>
      </x:c>
      <x:c r="C2535" s="3" t="s">
        <x:v>634</x:v>
      </x:c>
      <x:c r="D2535" t="s">
        <x:v>676</x:v>
      </x:c>
      <x:c r="E2535" s="6">
        <x:v>0</x:v>
      </x:c>
      <x:c r="F2535" s="6">
        <x:v>0</x:v>
      </x:c>
      <x:c r="G2535" s="6">
        <x:v>0</x:v>
      </x:c>
      <x:c r="H2535" s="6">
        <x:f t="shared" si="125"/>
        <x:v>0</x:v>
      </x:c>
      <x:c r="I2535" s="6">
        <x:v>0</x:v>
      </x:c>
      <x:c r="J2535" s="6">
        <x:v>0</x:v>
      </x:c>
      <x:c r="K2535" s="6">
        <x:f t="shared" si="126"/>
        <x:v>0</x:v>
      </x:c>
      <x:c r="L2535" s="6">
        <x:v>0</x:v>
      </x:c>
      <x:c r="M2535" s="6">
        <x:v>58738.61</x:v>
      </x:c>
      <x:c r="N2535" s="6">
        <x:f t="shared" si="127"/>
        <x:v>58738.61</x:v>
      </x:c>
    </x:row>
    <x:row r="2536" spans="1:14" x14ac:dyDescent="0.25">
      <x:c r="A2536" t="s">
        <x:v>34</x:v>
      </x:c>
      <x:c r="B2536" s="3" t="s">
        <x:v>223</x:v>
      </x:c>
      <x:c r="C2536" s="3" t="s">
        <x:v>539</x:v>
      </x:c>
      <x:c r="D2536" t="s">
        <x:v>676</x:v>
      </x:c>
      <x:c r="E2536" s="6">
        <x:v>0</x:v>
      </x:c>
      <x:c r="F2536" s="6">
        <x:v>0</x:v>
      </x:c>
      <x:c r="G2536" s="6">
        <x:v>0</x:v>
      </x:c>
      <x:c r="H2536" s="6">
        <x:f t="shared" si="125"/>
        <x:v>0</x:v>
      </x:c>
      <x:c r="I2536" s="6">
        <x:v>0</x:v>
      </x:c>
      <x:c r="J2536" s="6">
        <x:v>0</x:v>
      </x:c>
      <x:c r="K2536" s="6">
        <x:f t="shared" si="126"/>
        <x:v>0</x:v>
      </x:c>
      <x:c r="L2536" s="6">
        <x:v>0</x:v>
      </x:c>
      <x:c r="M2536" s="6">
        <x:v>257724.5</x:v>
      </x:c>
      <x:c r="N2536" s="6">
        <x:f t="shared" si="127"/>
        <x:v>257724.5</x:v>
      </x:c>
    </x:row>
    <x:row r="2537" spans="1:14" x14ac:dyDescent="0.25">
      <x:c r="A2537" t="s">
        <x:v>34</x:v>
      </x:c>
      <x:c r="B2537" s="3" t="s">
        <x:v>224</x:v>
      </x:c>
      <x:c r="C2537" s="3" t="s">
        <x:v>540</x:v>
      </x:c>
      <x:c r="D2537" t="s">
        <x:v>676</x:v>
      </x:c>
      <x:c r="E2537" s="6">
        <x:v>0</x:v>
      </x:c>
      <x:c r="F2537" s="6">
        <x:v>0</x:v>
      </x:c>
      <x:c r="G2537" s="6">
        <x:v>0</x:v>
      </x:c>
      <x:c r="H2537" s="6">
        <x:f t="shared" si="125"/>
        <x:v>0</x:v>
      </x:c>
      <x:c r="I2537" s="6">
        <x:v>0</x:v>
      </x:c>
      <x:c r="J2537" s="6">
        <x:v>0</x:v>
      </x:c>
      <x:c r="K2537" s="6">
        <x:f t="shared" si="126"/>
        <x:v>0</x:v>
      </x:c>
      <x:c r="L2537" s="6">
        <x:v>0</x:v>
      </x:c>
      <x:c r="M2537" s="6">
        <x:v>105953.7</x:v>
      </x:c>
      <x:c r="N2537" s="6">
        <x:f t="shared" si="127"/>
        <x:v>105953.7</x:v>
      </x:c>
    </x:row>
    <x:row r="2538" spans="1:14" x14ac:dyDescent="0.25">
      <x:c r="A2538" t="s">
        <x:v>34</x:v>
      </x:c>
      <x:c r="B2538" s="3" t="s">
        <x:v>225</x:v>
      </x:c>
      <x:c r="C2538" s="3" t="s">
        <x:v>541</x:v>
      </x:c>
      <x:c r="D2538" t="s">
        <x:v>676</x:v>
      </x:c>
      <x:c r="E2538" s="6">
        <x:v>0</x:v>
      </x:c>
      <x:c r="F2538" s="6">
        <x:v>0</x:v>
      </x:c>
      <x:c r="G2538" s="6">
        <x:v>0</x:v>
      </x:c>
      <x:c r="H2538" s="6">
        <x:f t="shared" si="125"/>
        <x:v>0</x:v>
      </x:c>
      <x:c r="I2538" s="6">
        <x:v>0</x:v>
      </x:c>
      <x:c r="J2538" s="6">
        <x:v>0</x:v>
      </x:c>
      <x:c r="K2538" s="6">
        <x:f t="shared" si="126"/>
        <x:v>0</x:v>
      </x:c>
      <x:c r="L2538" s="6">
        <x:v>0</x:v>
      </x:c>
      <x:c r="M2538" s="6">
        <x:v>77358.499999999985</x:v>
      </x:c>
      <x:c r="N2538" s="6">
        <x:f t="shared" si="127"/>
        <x:v>77358.499999999985</x:v>
      </x:c>
    </x:row>
    <x:row r="2539" spans="1:14" x14ac:dyDescent="0.25">
      <x:c r="A2539" t="s">
        <x:v>34</x:v>
      </x:c>
      <x:c r="B2539" s="3" t="s">
        <x:v>297</x:v>
      </x:c>
      <x:c r="C2539" s="3" t="s">
        <x:v>612</x:v>
      </x:c>
      <x:c r="D2539" t="s">
        <x:v>676</x:v>
      </x:c>
      <x:c r="E2539" s="6">
        <x:v>0</x:v>
      </x:c>
      <x:c r="F2539" s="6">
        <x:v>0</x:v>
      </x:c>
      <x:c r="G2539" s="6">
        <x:v>0</x:v>
      </x:c>
      <x:c r="H2539" s="6">
        <x:f t="shared" si="125"/>
        <x:v>0</x:v>
      </x:c>
      <x:c r="I2539" s="6">
        <x:v>0</x:v>
      </x:c>
      <x:c r="J2539" s="6">
        <x:v>0</x:v>
      </x:c>
      <x:c r="K2539" s="6">
        <x:f t="shared" si="126"/>
        <x:v>0</x:v>
      </x:c>
      <x:c r="L2539" s="6">
        <x:v>0</x:v>
      </x:c>
      <x:c r="M2539" s="6">
        <x:v>85599.22</x:v>
      </x:c>
      <x:c r="N2539" s="6">
        <x:f t="shared" si="127"/>
        <x:v>85599.22</x:v>
      </x:c>
    </x:row>
    <x:row r="2540" spans="1:14" x14ac:dyDescent="0.25">
      <x:c r="A2540" t="s">
        <x:v>34</x:v>
      </x:c>
      <x:c r="B2540" s="3" t="s">
        <x:v>68</x:v>
      </x:c>
      <x:c r="C2540" s="3" t="s">
        <x:v>385</x:v>
      </x:c>
      <x:c r="D2540" t="s">
        <x:v>679</x:v>
      </x:c>
      <x:c r="E2540" s="6">
        <x:v>11322.05</x:v>
      </x:c>
      <x:c r="F2540" s="6">
        <x:v>0</x:v>
      </x:c>
      <x:c r="G2540" s="6">
        <x:v>0</x:v>
      </x:c>
      <x:c r="H2540" s="6">
        <x:f t="shared" si="125"/>
        <x:v>11322.05</x:v>
      </x:c>
      <x:c r="I2540" s="6">
        <x:v>30239.16</x:v>
      </x:c>
      <x:c r="J2540" s="6">
        <x:v>0</x:v>
      </x:c>
      <x:c r="K2540" s="6">
        <x:f t="shared" si="126"/>
        <x:v>30239.16</x:v>
      </x:c>
      <x:c r="L2540" s="6">
        <x:v>8456.2899999999991</x:v>
      </x:c>
      <x:c r="M2540" s="6">
        <x:v>347.55000000000132</x:v>
      </x:c>
      <x:c r="N2540" s="6">
        <x:f t="shared" si="127"/>
        <x:v>50365.05</x:v>
      </x:c>
    </x:row>
    <x:row r="2541" spans="1:14" x14ac:dyDescent="0.25">
      <x:c r="A2541" t="s">
        <x:v>34</x:v>
      </x:c>
      <x:c r="B2541" s="3" t="s">
        <x:v>333</x:v>
      </x:c>
      <x:c r="C2541" s="3" t="s">
        <x:v>648</x:v>
      </x:c>
      <x:c r="D2541" t="s">
        <x:v>679</x:v>
      </x:c>
      <x:c r="E2541" s="6">
        <x:v>133509.66999999998</x:v>
      </x:c>
      <x:c r="F2541" s="6">
        <x:v>0</x:v>
      </x:c>
      <x:c r="G2541" s="6">
        <x:v>0</x:v>
      </x:c>
      <x:c r="H2541" s="6">
        <x:f t="shared" si="125"/>
        <x:v>133509.66999999998</x:v>
      </x:c>
      <x:c r="I2541" s="6">
        <x:v>356580.06</x:v>
      </x:c>
      <x:c r="J2541" s="6">
        <x:v>0</x:v>
      </x:c>
      <x:c r="K2541" s="6">
        <x:f t="shared" si="126"/>
        <x:v>356580.06</x:v>
      </x:c>
      <x:c r="L2541" s="6">
        <x:v>99716.510000000009</x:v>
      </x:c>
      <x:c r="M2541" s="6">
        <x:v>4097.9200000000155</x:v>
      </x:c>
      <x:c r="N2541" s="6">
        <x:f t="shared" si="127"/>
        <x:v>593904.16</x:v>
      </x:c>
    </x:row>
    <x:row r="2542" spans="1:14" x14ac:dyDescent="0.25">
      <x:c r="A2542" t="s">
        <x:v>34</x:v>
      </x:c>
      <x:c r="B2542" s="3" t="s">
        <x:v>69</x:v>
      </x:c>
      <x:c r="C2542" s="3" t="s">
        <x:v>386</x:v>
      </x:c>
      <x:c r="D2542" t="s">
        <x:v>679</x:v>
      </x:c>
      <x:c r="E2542" s="6">
        <x:v>72741.97</x:v>
      </x:c>
      <x:c r="F2542" s="6">
        <x:v>0</x:v>
      </x:c>
      <x:c r="G2542" s="6">
        <x:v>0</x:v>
      </x:c>
      <x:c r="H2542" s="6">
        <x:f t="shared" si="125"/>
        <x:v>72741.97</x:v>
      </x:c>
      <x:c r="I2542" s="6">
        <x:v>194280.61000000002</x:v>
      </x:c>
      <x:c r="J2542" s="6">
        <x:v>0</x:v>
      </x:c>
      <x:c r="K2542" s="6">
        <x:f t="shared" si="126"/>
        <x:v>194280.61000000002</x:v>
      </x:c>
      <x:c r="L2542" s="6">
        <x:v>54329.97</x:v>
      </x:c>
      <x:c r="M2542" s="6">
        <x:v>2232.7199999999839</x:v>
      </x:c>
      <x:c r="N2542" s="6">
        <x:f t="shared" si="127"/>
        <x:v>323585.27</x:v>
      </x:c>
    </x:row>
    <x:row r="2543" spans="1:14" x14ac:dyDescent="0.25">
      <x:c r="A2543" t="s">
        <x:v>34</x:v>
      </x:c>
      <x:c r="B2543" s="3" t="s">
        <x:v>334</x:v>
      </x:c>
      <x:c r="C2543" s="3" t="s">
        <x:v>649</x:v>
      </x:c>
      <x:c r="D2543" t="s">
        <x:v>679</x:v>
      </x:c>
      <x:c r="E2543" s="6">
        <x:v>21710.140000000003</x:v>
      </x:c>
      <x:c r="F2543" s="6">
        <x:v>0</x:v>
      </x:c>
      <x:c r="G2543" s="6">
        <x:v>0</x:v>
      </x:c>
      <x:c r="H2543" s="6">
        <x:f t="shared" si="125"/>
        <x:v>21710.140000000003</x:v>
      </x:c>
      <x:c r="I2543" s="6">
        <x:v>57983.88</x:v>
      </x:c>
      <x:c r="J2543" s="6">
        <x:v>0</x:v>
      </x:c>
      <x:c r="K2543" s="6">
        <x:f t="shared" si="126"/>
        <x:v>57983.88</x:v>
      </x:c>
      <x:c r="L2543" s="6">
        <x:v>16215</x:v>
      </x:c>
      <x:c r="M2543" s="6">
        <x:v>666.35999999999785</x:v>
      </x:c>
      <x:c r="N2543" s="6">
        <x:f t="shared" si="127"/>
        <x:v>96575.38</x:v>
      </x:c>
    </x:row>
    <x:row r="2544" spans="1:14" x14ac:dyDescent="0.25">
      <x:c r="A2544" t="s">
        <x:v>34</x:v>
      </x:c>
      <x:c r="B2544" s="3" t="s">
        <x:v>70</x:v>
      </x:c>
      <x:c r="C2544" s="3" t="s">
        <x:v>387</x:v>
      </x:c>
      <x:c r="D2544" t="s">
        <x:v>679</x:v>
      </x:c>
      <x:c r="E2544" s="6">
        <x:v>3882.0899999999997</x:v>
      </x:c>
      <x:c r="F2544" s="6">
        <x:v>0</x:v>
      </x:c>
      <x:c r="G2544" s="6">
        <x:v>0</x:v>
      </x:c>
      <x:c r="H2544" s="6">
        <x:f t="shared" si="125"/>
        <x:v>3882.0899999999997</x:v>
      </x:c>
      <x:c r="I2544" s="6">
        <x:v>10368.370000000001</x:v>
      </x:c>
      <x:c r="J2544" s="6">
        <x:v>0</x:v>
      </x:c>
      <x:c r="K2544" s="6">
        <x:f t="shared" si="126"/>
        <x:v>10368.370000000001</x:v>
      </x:c>
      <x:c r="L2544" s="6">
        <x:v>2899.48</x:v>
      </x:c>
      <x:c r="M2544" s="6">
        <x:v>119.17999999999977</x:v>
      </x:c>
      <x:c r="N2544" s="6">
        <x:f t="shared" si="127"/>
        <x:v>17269.120000000003</x:v>
      </x:c>
    </x:row>
    <x:row r="2545" spans="1:14" x14ac:dyDescent="0.25">
      <x:c r="A2545" t="s">
        <x:v>34</x:v>
      </x:c>
      <x:c r="B2545" s="3" t="s">
        <x:v>335</x:v>
      </x:c>
      <x:c r="C2545" s="3" t="s">
        <x:v>650</x:v>
      </x:c>
      <x:c r="D2545" t="s">
        <x:v>679</x:v>
      </x:c>
      <x:c r="E2545" s="6">
        <x:v>6263.2300000000005</x:v>
      </x:c>
      <x:c r="F2545" s="6">
        <x:v>0</x:v>
      </x:c>
      <x:c r="G2545" s="6">
        <x:v>0</x:v>
      </x:c>
      <x:c r="H2545" s="6">
        <x:f t="shared" si="125"/>
        <x:v>6263.2300000000005</x:v>
      </x:c>
      <x:c r="I2545" s="6">
        <x:v>16727.96</x:v>
      </x:c>
      <x:c r="J2545" s="6">
        <x:v>0</x:v>
      </x:c>
      <x:c r="K2545" s="6">
        <x:f t="shared" si="126"/>
        <x:v>16727.96</x:v>
      </x:c>
      <x:c r="L2545" s="6">
        <x:v>4677.9299999999994</x:v>
      </x:c>
      <x:c r="M2545" s="6">
        <x:v>192.23999999999904</x:v>
      </x:c>
      <x:c r="N2545" s="6">
        <x:f t="shared" si="127"/>
        <x:v>27861.359999999997</x:v>
      </x:c>
    </x:row>
    <x:row r="2546" spans="1:14" x14ac:dyDescent="0.25">
      <x:c r="A2546" t="s">
        <x:v>34</x:v>
      </x:c>
      <x:c r="B2546" s="3" t="s">
        <x:v>298</x:v>
      </x:c>
      <x:c r="C2546" s="3" t="s">
        <x:v>613</x:v>
      </x:c>
      <x:c r="D2546" t="s">
        <x:v>679</x:v>
      </x:c>
      <x:c r="E2546" s="6">
        <x:v>9515.14</x:v>
      </x:c>
      <x:c r="F2546" s="6">
        <x:v>0</x:v>
      </x:c>
      <x:c r="G2546" s="6">
        <x:v>0</x:v>
      </x:c>
      <x:c r="H2546" s="6">
        <x:f t="shared" si="125"/>
        <x:v>9515.14</x:v>
      </x:c>
      <x:c r="I2546" s="6">
        <x:v>25413.250000000004</x:v>
      </x:c>
      <x:c r="J2546" s="6">
        <x:v>0</x:v>
      </x:c>
      <x:c r="K2546" s="6">
        <x:f t="shared" si="126"/>
        <x:v>25413.250000000004</x:v>
      </x:c>
      <x:c r="L2546" s="6">
        <x:v>7106.7500000000009</x:v>
      </x:c>
      <x:c r="M2546" s="6">
        <x:v>292.07999999999856</x:v>
      </x:c>
      <x:c r="N2546" s="6">
        <x:f t="shared" si="127"/>
        <x:v>42327.22</x:v>
      </x:c>
    </x:row>
    <x:row r="2547" spans="1:14" x14ac:dyDescent="0.25">
      <x:c r="A2547" t="s">
        <x:v>34</x:v>
      </x:c>
      <x:c r="B2547" s="3" t="s">
        <x:v>336</x:v>
      </x:c>
      <x:c r="C2547" s="3" t="s">
        <x:v>651</x:v>
      </x:c>
      <x:c r="D2547" t="s">
        <x:v>679</x:v>
      </x:c>
      <x:c r="E2547" s="6">
        <x:v>30263.470000000005</x:v>
      </x:c>
      <x:c r="F2547" s="6">
        <x:v>0</x:v>
      </x:c>
      <x:c r="G2547" s="6">
        <x:v>0</x:v>
      </x:c>
      <x:c r="H2547" s="6">
        <x:f t="shared" si="125"/>
        <x:v>30263.470000000005</x:v>
      </x:c>
      <x:c r="I2547" s="6">
        <x:v>80828.239999999976</x:v>
      </x:c>
      <x:c r="J2547" s="6">
        <x:v>0</x:v>
      </x:c>
      <x:c r="K2547" s="6">
        <x:f t="shared" si="126"/>
        <x:v>80828.239999999976</x:v>
      </x:c>
      <x:c r="L2547" s="6">
        <x:v>22603.37</x:v>
      </x:c>
      <x:c r="M2547" s="6">
        <x:v>928.91000000000315</x:v>
      </x:c>
      <x:c r="N2547" s="6">
        <x:f t="shared" si="127"/>
        <x:v>134623.99</x:v>
      </x:c>
    </x:row>
    <x:row r="2548" spans="1:14" x14ac:dyDescent="0.25">
      <x:c r="A2548" t="s">
        <x:v>34</x:v>
      </x:c>
      <x:c r="B2548" s="3" t="s">
        <x:v>299</x:v>
      </x:c>
      <x:c r="C2548" s="3" t="s">
        <x:v>614</x:v>
      </x:c>
      <x:c r="D2548" t="s">
        <x:v>679</x:v>
      </x:c>
      <x:c r="E2548" s="6">
        <x:v>13596.579999999996</x:v>
      </x:c>
      <x:c r="F2548" s="6">
        <x:v>0</x:v>
      </x:c>
      <x:c r="G2548" s="6">
        <x:v>0</x:v>
      </x:c>
      <x:c r="H2548" s="6">
        <x:f t="shared" si="125"/>
        <x:v>13596.579999999996</x:v>
      </x:c>
      <x:c r="I2548" s="6">
        <x:v>36313.99</x:v>
      </x:c>
      <x:c r="J2548" s="6">
        <x:v>0</x:v>
      </x:c>
      <x:c r="K2548" s="6">
        <x:f t="shared" si="126"/>
        <x:v>36313.99</x:v>
      </x:c>
      <x:c r="L2548" s="6">
        <x:v>10155.09</x:v>
      </x:c>
      <x:c r="M2548" s="6">
        <x:v>417.31000000000597</x:v>
      </x:c>
      <x:c r="N2548" s="6">
        <x:f t="shared" si="127"/>
        <x:v>60482.969999999994</x:v>
      </x:c>
    </x:row>
    <x:row r="2549" spans="1:14" x14ac:dyDescent="0.25">
      <x:c r="A2549" t="s">
        <x:v>34</x:v>
      </x:c>
      <x:c r="B2549" s="3" t="s">
        <x:v>300</x:v>
      </x:c>
      <x:c r="C2549" s="3" t="s">
        <x:v>615</x:v>
      </x:c>
      <x:c r="D2549" t="s">
        <x:v>679</x:v>
      </x:c>
      <x:c r="E2549" s="6">
        <x:v>49947.18</x:v>
      </x:c>
      <x:c r="F2549" s="6">
        <x:v>0</x:v>
      </x:c>
      <x:c r="G2549" s="6">
        <x:v>0</x:v>
      </x:c>
      <x:c r="H2549" s="6">
        <x:f t="shared" si="125"/>
        <x:v>49947.18</x:v>
      </x:c>
      <x:c r="I2549" s="6">
        <x:v>133399.82</x:v>
      </x:c>
      <x:c r="J2549" s="6">
        <x:v>0</x:v>
      </x:c>
      <x:c r="K2549" s="6">
        <x:f t="shared" si="126"/>
        <x:v>133399.82</x:v>
      </x:c>
      <x:c r="L2549" s="6">
        <x:v>37304.86</x:v>
      </x:c>
      <x:c r="M2549" s="6">
        <x:v>1533.0700000000111</x:v>
      </x:c>
      <x:c r="N2549" s="6">
        <x:f t="shared" si="127"/>
        <x:v>222184.93</x:v>
      </x:c>
    </x:row>
    <x:row r="2550" spans="1:14" x14ac:dyDescent="0.25">
      <x:c r="A2550" t="s">
        <x:v>34</x:v>
      </x:c>
      <x:c r="B2550" s="3" t="s">
        <x:v>337</x:v>
      </x:c>
      <x:c r="C2550" s="3" t="s">
        <x:v>652</x:v>
      </x:c>
      <x:c r="D2550" t="s">
        <x:v>679</x:v>
      </x:c>
      <x:c r="E2550" s="6">
        <x:v>326.58999999999997</x:v>
      </x:c>
      <x:c r="F2550" s="6">
        <x:v>0</x:v>
      </x:c>
      <x:c r="G2550" s="6">
        <x:v>0</x:v>
      </x:c>
      <x:c r="H2550" s="6">
        <x:f t="shared" si="125"/>
        <x:v>326.58999999999997</x:v>
      </x:c>
      <x:c r="I2550" s="6">
        <x:v>872.28</x:v>
      </x:c>
      <x:c r="J2550" s="6">
        <x:v>0</x:v>
      </x:c>
      <x:c r="K2550" s="6">
        <x:f t="shared" si="126"/>
        <x:v>872.28</x:v>
      </x:c>
      <x:c r="L2550" s="6">
        <x:v>243.93</x:v>
      </x:c>
      <x:c r="M2550" s="6">
        <x:v>10.019999999999948</x:v>
      </x:c>
      <x:c r="N2550" s="6">
        <x:f t="shared" si="127"/>
        <x:v>1452.82</x:v>
      </x:c>
    </x:row>
    <x:row r="2551" spans="1:14" x14ac:dyDescent="0.25">
      <x:c r="A2551" t="s">
        <x:v>34</x:v>
      </x:c>
      <x:c r="B2551" s="3" t="s">
        <x:v>338</x:v>
      </x:c>
      <x:c r="C2551" s="3" t="s">
        <x:v>653</x:v>
      </x:c>
      <x:c r="D2551" t="s">
        <x:v>679</x:v>
      </x:c>
      <x:c r="E2551" s="6">
        <x:v>473.06</x:v>
      </x:c>
      <x:c r="F2551" s="6">
        <x:v>0</x:v>
      </x:c>
      <x:c r="G2551" s="6">
        <x:v>0</x:v>
      </x:c>
      <x:c r="H2551" s="6">
        <x:f t="shared" si="125"/>
        <x:v>473.06</x:v>
      </x:c>
      <x:c r="I2551" s="6">
        <x:v>1263.4399999999998</x:v>
      </x:c>
      <x:c r="J2551" s="6">
        <x:v>0</x:v>
      </x:c>
      <x:c r="K2551" s="6">
        <x:f t="shared" si="126"/>
        <x:v>1263.4399999999998</x:v>
      </x:c>
      <x:c r="L2551" s="6">
        <x:v>353.30999999999995</x:v>
      </x:c>
      <x:c r="M2551" s="6">
        <x:v>14.52000000000001</x:v>
      </x:c>
      <x:c r="N2551" s="6">
        <x:f t="shared" si="127"/>
        <x:v>2104.3299999999995</x:v>
      </x:c>
    </x:row>
    <x:row r="2552" spans="1:14" x14ac:dyDescent="0.25">
      <x:c r="A2552" t="s">
        <x:v>34</x:v>
      </x:c>
      <x:c r="B2552" s="3" t="s">
        <x:v>339</x:v>
      </x:c>
      <x:c r="C2552" s="3" t="s">
        <x:v>654</x:v>
      </x:c>
      <x:c r="D2552" t="s">
        <x:v>679</x:v>
      </x:c>
      <x:c r="E2552" s="6">
        <x:v>529.9</x:v>
      </x:c>
      <x:c r="F2552" s="6">
        <x:v>0</x:v>
      </x:c>
      <x:c r="G2552" s="6">
        <x:v>0</x:v>
      </x:c>
      <x:c r="H2552" s="6">
        <x:f t="shared" si="125"/>
        <x:v>529.9</x:v>
      </x:c>
      <x:c r="I2552" s="6">
        <x:v>1415.25</x:v>
      </x:c>
      <x:c r="J2552" s="6">
        <x:v>0</x:v>
      </x:c>
      <x:c r="K2552" s="6">
        <x:f t="shared" si="126"/>
        <x:v>1415.25</x:v>
      </x:c>
      <x:c r="L2552" s="6">
        <x:v>395.76</x:v>
      </x:c>
      <x:c r="M2552" s="6">
        <x:v>16.250000000000085</x:v>
      </x:c>
      <x:c r="N2552" s="6">
        <x:f t="shared" si="127"/>
        <x:v>2357.16</x:v>
      </x:c>
    </x:row>
    <x:row r="2553" spans="1:14" x14ac:dyDescent="0.25">
      <x:c r="A2553" t="s">
        <x:v>34</x:v>
      </x:c>
      <x:c r="B2553" s="3" t="s">
        <x:v>301</x:v>
      </x:c>
      <x:c r="C2553" s="3" t="s">
        <x:v>616</x:v>
      </x:c>
      <x:c r="D2553" t="s">
        <x:v>679</x:v>
      </x:c>
      <x:c r="E2553" s="6">
        <x:v>28507.889999999996</x:v>
      </x:c>
      <x:c r="F2553" s="6">
        <x:v>0</x:v>
      </x:c>
      <x:c r="G2553" s="6">
        <x:v>0</x:v>
      </x:c>
      <x:c r="H2553" s="6">
        <x:f t="shared" si="125"/>
        <x:v>28507.889999999996</x:v>
      </x:c>
      <x:c r="I2553" s="6">
        <x:v>76139.339999999982</x:v>
      </x:c>
      <x:c r="J2553" s="6">
        <x:v>0</x:v>
      </x:c>
      <x:c r="K2553" s="6">
        <x:f t="shared" si="126"/>
        <x:v>76139.339999999982</x:v>
      </x:c>
      <x:c r="L2553" s="6">
        <x:v>21292.139999999996</x:v>
      </x:c>
      <x:c r="M2553" s="6">
        <x:v>874.9800000000065</x:v>
      </x:c>
      <x:c r="N2553" s="6">
        <x:f t="shared" si="127"/>
        <x:v>126814.34999999999</x:v>
      </x:c>
    </x:row>
    <x:row r="2554" spans="1:14" x14ac:dyDescent="0.25">
      <x:c r="A2554" t="s">
        <x:v>34</x:v>
      </x:c>
      <x:c r="B2554" s="3" t="s">
        <x:v>341</x:v>
      </x:c>
      <x:c r="C2554" s="3" t="s">
        <x:v>656</x:v>
      </x:c>
      <x:c r="D2554" t="s">
        <x:v>679</x:v>
      </x:c>
      <x:c r="E2554" s="6">
        <x:v>7724.56</x:v>
      </x:c>
      <x:c r="F2554" s="6">
        <x:v>0</x:v>
      </x:c>
      <x:c r="G2554" s="6">
        <x:v>0</x:v>
      </x:c>
      <x:c r="H2554" s="6">
        <x:f t="shared" si="125"/>
        <x:v>7724.56</x:v>
      </x:c>
      <x:c r="I2554" s="6">
        <x:v>20630.900000000001</x:v>
      </x:c>
      <x:c r="J2554" s="6">
        <x:v>0</x:v>
      </x:c>
      <x:c r="K2554" s="6">
        <x:f t="shared" si="126"/>
        <x:v>20630.900000000001</x:v>
      </x:c>
      <x:c r="L2554" s="6">
        <x:v>5769.3700000000008</x:v>
      </x:c>
      <x:c r="M2554" s="6">
        <x:v>237.09000000000179</x:v>
      </x:c>
      <x:c r="N2554" s="6">
        <x:f t="shared" si="127"/>
        <x:v>34361.920000000006</x:v>
      </x:c>
    </x:row>
    <x:row r="2555" spans="1:14" x14ac:dyDescent="0.25">
      <x:c r="A2555" t="s">
        <x:v>34</x:v>
      </x:c>
      <x:c r="B2555" s="3" t="s">
        <x:v>342</x:v>
      </x:c>
      <x:c r="C2555" s="3" t="s">
        <x:v>657</x:v>
      </x:c>
      <x:c r="D2555" t="s">
        <x:v>679</x:v>
      </x:c>
      <x:c r="E2555" s="6">
        <x:v>1053.9299999999998</x:v>
      </x:c>
      <x:c r="F2555" s="6">
        <x:v>0</x:v>
      </x:c>
      <x:c r="G2555" s="6">
        <x:v>0</x:v>
      </x:c>
      <x:c r="H2555" s="6">
        <x:f t="shared" si="125"/>
        <x:v>1053.9299999999998</x:v>
      </x:c>
      <x:c r="I2555" s="6">
        <x:v>2814.86</x:v>
      </x:c>
      <x:c r="J2555" s="6">
        <x:v>0</x:v>
      </x:c>
      <x:c r="K2555" s="6">
        <x:f t="shared" si="126"/>
        <x:v>2814.86</x:v>
      </x:c>
      <x:c r="L2555" s="6">
        <x:v>787.19</x:v>
      </x:c>
      <x:c r="M2555" s="6">
        <x:v>32.340000000000053</x:v>
      </x:c>
      <x:c r="N2555" s="6">
        <x:f t="shared" si="127"/>
        <x:v>4688.32</x:v>
      </x:c>
    </x:row>
    <x:row r="2556" spans="1:14" x14ac:dyDescent="0.25">
      <x:c r="A2556" t="s">
        <x:v>34</x:v>
      </x:c>
      <x:c r="B2556" s="3" t="s">
        <x:v>343</x:v>
      </x:c>
      <x:c r="C2556" s="3" t="s">
        <x:v>658</x:v>
      </x:c>
      <x:c r="D2556" t="s">
        <x:v>679</x:v>
      </x:c>
      <x:c r="E2556" s="6">
        <x:v>3758.6799999999994</x:v>
      </x:c>
      <x:c r="F2556" s="6">
        <x:v>0</x:v>
      </x:c>
      <x:c r="G2556" s="6">
        <x:v>0</x:v>
      </x:c>
      <x:c r="H2556" s="6">
        <x:f t="shared" si="125"/>
        <x:v>3758.6799999999994</x:v>
      </x:c>
      <x:c r="I2556" s="6">
        <x:v>10038.769999999999</x:v>
      </x:c>
      <x:c r="J2556" s="6">
        <x:v>0</x:v>
      </x:c>
      <x:c r="K2556" s="6">
        <x:f t="shared" si="126"/>
        <x:v>10038.769999999999</x:v>
      </x:c>
      <x:c r="L2556" s="6">
        <x:v>2807.3199999999997</x:v>
      </x:c>
      <x:c r="M2556" s="6">
        <x:v>115.36000000000104</x:v>
      </x:c>
      <x:c r="N2556" s="6">
        <x:f t="shared" si="127"/>
        <x:v>16720.129999999997</x:v>
      </x:c>
    </x:row>
    <x:row r="2557" spans="1:14" x14ac:dyDescent="0.25">
      <x:c r="A2557" t="s">
        <x:v>34</x:v>
      </x:c>
      <x:c r="B2557" s="3" t="s">
        <x:v>344</x:v>
      </x:c>
      <x:c r="C2557" s="3" t="s">
        <x:v>659</x:v>
      </x:c>
      <x:c r="D2557" t="s">
        <x:v>679</x:v>
      </x:c>
      <x:c r="E2557" s="6">
        <x:v>472.05999999999995</x:v>
      </x:c>
      <x:c r="F2557" s="6">
        <x:v>0</x:v>
      </x:c>
      <x:c r="G2557" s="6">
        <x:v>0</x:v>
      </x:c>
      <x:c r="H2557" s="6">
        <x:f t="shared" si="125"/>
        <x:v>472.05999999999995</x:v>
      </x:c>
      <x:c r="I2557" s="6">
        <x:v>1260.77</x:v>
      </x:c>
      <x:c r="J2557" s="6">
        <x:v>0</x:v>
      </x:c>
      <x:c r="K2557" s="6">
        <x:f t="shared" si="126"/>
        <x:v>1260.77</x:v>
      </x:c>
      <x:c r="L2557" s="6">
        <x:v>352.56</x:v>
      </x:c>
      <x:c r="M2557" s="6">
        <x:v>14.490000000000045</x:v>
      </x:c>
      <x:c r="N2557" s="6">
        <x:f t="shared" si="127"/>
        <x:v>2099.88</x:v>
      </x:c>
    </x:row>
    <x:row r="2558" spans="1:14" x14ac:dyDescent="0.25">
      <x:c r="A2558" t="s">
        <x:v>34</x:v>
      </x:c>
      <x:c r="B2558" s="3" t="s">
        <x:v>302</x:v>
      </x:c>
      <x:c r="C2558" s="3" t="s">
        <x:v>617</x:v>
      </x:c>
      <x:c r="D2558" t="s">
        <x:v>679</x:v>
      </x:c>
      <x:c r="E2558" s="6">
        <x:v>86697.96</x:v>
      </x:c>
      <x:c r="F2558" s="6">
        <x:v>0</x:v>
      </x:c>
      <x:c r="G2558" s="6">
        <x:v>0</x:v>
      </x:c>
      <x:c r="H2558" s="6">
        <x:f t="shared" si="125"/>
        <x:v>86697.96</x:v>
      </x:c>
      <x:c r="I2558" s="6">
        <x:v>231554.56</x:v>
      </x:c>
      <x:c r="J2558" s="6">
        <x:v>0</x:v>
      </x:c>
      <x:c r="K2558" s="6">
        <x:f t="shared" si="126"/>
        <x:v>231554.56</x:v>
      </x:c>
      <x:c r="L2558" s="6">
        <x:v>64753.529999999992</x:v>
      </x:c>
      <x:c r="M2558" s="6">
        <x:v>2661.0900000000138</x:v>
      </x:c>
      <x:c r="N2558" s="6">
        <x:f t="shared" si="127"/>
        <x:v>385667.14</x:v>
      </x:c>
    </x:row>
    <x:row r="2559" spans="1:14" x14ac:dyDescent="0.25">
      <x:c r="A2559" t="s">
        <x:v>34</x:v>
      </x:c>
      <x:c r="B2559" s="3" t="s">
        <x:v>345</x:v>
      </x:c>
      <x:c r="C2559" s="3" t="s">
        <x:v>660</x:v>
      </x:c>
      <x:c r="D2559" t="s">
        <x:v>679</x:v>
      </x:c>
      <x:c r="E2559" s="6">
        <x:v>6062.98</x:v>
      </x:c>
      <x:c r="F2559" s="6">
        <x:v>0</x:v>
      </x:c>
      <x:c r="G2559" s="6">
        <x:v>0</x:v>
      </x:c>
      <x:c r="H2559" s="6">
        <x:f t="shared" si="125"/>
        <x:v>6062.98</x:v>
      </x:c>
      <x:c r="I2559" s="6">
        <x:v>16193.119999999999</x:v>
      </x:c>
      <x:c r="J2559" s="6">
        <x:v>0</x:v>
      </x:c>
      <x:c r="K2559" s="6">
        <x:f t="shared" si="126"/>
        <x:v>16193.119999999999</x:v>
      </x:c>
      <x:c r="L2559" s="6">
        <x:v>4528.3500000000004</x:v>
      </x:c>
      <x:c r="M2559" s="6">
        <x:v>186.10000000000178</x:v>
      </x:c>
      <x:c r="N2559" s="6">
        <x:f t="shared" si="127"/>
        <x:v>26970.55</x:v>
      </x:c>
    </x:row>
    <x:row r="2560" spans="1:14" x14ac:dyDescent="0.25">
      <x:c r="A2560" t="s">
        <x:v>34</x:v>
      </x:c>
      <x:c r="B2560" s="3" t="s">
        <x:v>269</x:v>
      </x:c>
      <x:c r="C2560" s="3" t="s">
        <x:v>584</x:v>
      </x:c>
      <x:c r="D2560" t="s">
        <x:v>676</x:v>
      </x:c>
      <x:c r="E2560" s="6">
        <x:v>0</x:v>
      </x:c>
      <x:c r="F2560" s="6">
        <x:v>0</x:v>
      </x:c>
      <x:c r="G2560" s="6">
        <x:v>0</x:v>
      </x:c>
      <x:c r="H2560" s="6">
        <x:f t="shared" si="125"/>
        <x:v>0</x:v>
      </x:c>
      <x:c r="I2560" s="6">
        <x:v>0</x:v>
      </x:c>
      <x:c r="J2560" s="6">
        <x:v>0</x:v>
      </x:c>
      <x:c r="K2560" s="6">
        <x:f t="shared" si="126"/>
        <x:v>0</x:v>
      </x:c>
      <x:c r="L2560" s="6">
        <x:v>1100.8699999999999</x:v>
      </x:c>
      <x:c r="M2560" s="6">
        <x:v>0</x:v>
      </x:c>
      <x:c r="N2560" s="6">
        <x:f t="shared" si="127"/>
        <x:v>1100.8699999999999</x:v>
      </x:c>
    </x:row>
    <x:row r="2561" spans="1:14" x14ac:dyDescent="0.25">
      <x:c r="A2561" t="s">
        <x:v>34</x:v>
      </x:c>
      <x:c r="B2561" s="3" t="s">
        <x:v>226</x:v>
      </x:c>
      <x:c r="C2561" s="3" t="s">
        <x:v>542</x:v>
      </x:c>
      <x:c r="D2561" t="s">
        <x:v>679</x:v>
      </x:c>
      <x:c r="E2561" s="6">
        <x:v>126753.45999999999</x:v>
      </x:c>
      <x:c r="F2561" s="6">
        <x:v>0</x:v>
      </x:c>
      <x:c r="G2561" s="6">
        <x:v>0</x:v>
      </x:c>
      <x:c r="H2561" s="6">
        <x:f t="shared" si="125"/>
        <x:v>126753.45999999999</x:v>
      </x:c>
      <x:c r="I2561" s="6">
        <x:v>338535.47</x:v>
      </x:c>
      <x:c r="J2561" s="6">
        <x:v>0</x:v>
      </x:c>
      <x:c r="K2561" s="6">
        <x:f t="shared" si="126"/>
        <x:v>338535.47</x:v>
      </x:c>
      <x:c r="L2561" s="6">
        <x:v>94670.400000000023</x:v>
      </x:c>
      <x:c r="M2561" s="6">
        <x:v>3890.5900000000083</x:v>
      </x:c>
      <x:c r="N2561" s="6">
        <x:f t="shared" si="127"/>
        <x:v>563849.91999999993</x:v>
      </x:c>
    </x:row>
    <x:row r="2562" spans="1:14" x14ac:dyDescent="0.25">
      <x:c r="A2562" t="s">
        <x:v>34</x:v>
      </x:c>
      <x:c r="B2562" s="3" t="s">
        <x:v>303</x:v>
      </x:c>
      <x:c r="C2562" s="3" t="s">
        <x:v>618</x:v>
      </x:c>
      <x:c r="D2562" t="s">
        <x:v>679</x:v>
      </x:c>
      <x:c r="E2562" s="6">
        <x:v>43427.390000000007</x:v>
      </x:c>
      <x:c r="F2562" s="6">
        <x:v>0</x:v>
      </x:c>
      <x:c r="G2562" s="6">
        <x:v>0</x:v>
      </x:c>
      <x:c r="H2562" s="6">
        <x:f t="shared" si="125"/>
        <x:v>43427.390000000007</x:v>
      </x:c>
      <x:c r="I2562" s="6">
        <x:v>115986.67</x:v>
      </x:c>
      <x:c r="J2562" s="6">
        <x:v>0</x:v>
      </x:c>
      <x:c r="K2562" s="6">
        <x:f t="shared" si="126"/>
        <x:v>115986.67</x:v>
      </x:c>
      <x:c r="L2562" s="6">
        <x:v>32435.32</x:v>
      </x:c>
      <x:c r="M2562" s="6">
        <x:v>1332.9399999999957</x:v>
      </x:c>
      <x:c r="N2562" s="6">
        <x:f t="shared" si="127"/>
        <x:v>193182.32</x:v>
      </x:c>
    </x:row>
    <x:row r="2563" spans="1:14" x14ac:dyDescent="0.25">
      <x:c r="A2563" t="s">
        <x:v>34</x:v>
      </x:c>
      <x:c r="B2563" s="3" t="s">
        <x:v>346</x:v>
      </x:c>
      <x:c r="C2563" s="3" t="s">
        <x:v>661</x:v>
      </x:c>
      <x:c r="D2563" t="s">
        <x:v>679</x:v>
      </x:c>
      <x:c r="E2563" s="6">
        <x:v>12820.589999999998</x:v>
      </x:c>
      <x:c r="F2563" s="6">
        <x:v>0</x:v>
      </x:c>
      <x:c r="G2563" s="6">
        <x:v>0</x:v>
      </x:c>
      <x:c r="H2563" s="6">
        <x:f t="shared" si="125"/>
        <x:v>12820.589999999998</x:v>
      </x:c>
      <x:c r="I2563" s="6">
        <x:v>34241.449999999997</x:v>
      </x:c>
      <x:c r="J2563" s="6">
        <x:v>0</x:v>
      </x:c>
      <x:c r="K2563" s="6">
        <x:f t="shared" si="126"/>
        <x:v>34241.449999999997</x:v>
      </x:c>
      <x:c r="L2563" s="6">
        <x:v>9575.5</x:v>
      </x:c>
      <x:c r="M2563" s="6">
        <x:v>393.48999999999921</x:v>
      </x:c>
      <x:c r="N2563" s="6">
        <x:f t="shared" si="127"/>
        <x:v>57031.029999999992</x:v>
      </x:c>
    </x:row>
    <x:row r="2564" spans="1:14" x14ac:dyDescent="0.25">
      <x:c r="A2564" t="s">
        <x:v>34</x:v>
      </x:c>
      <x:c r="B2564" s="3" t="s">
        <x:v>304</x:v>
      </x:c>
      <x:c r="C2564" s="3" t="s">
        <x:v>619</x:v>
      </x:c>
      <x:c r="D2564" t="s">
        <x:v>679</x:v>
      </x:c>
      <x:c r="E2564" s="6">
        <x:v>51457.959999999992</x:v>
      </x:c>
      <x:c r="F2564" s="6">
        <x:v>0</x:v>
      </x:c>
      <x:c r="G2564" s="6">
        <x:v>0</x:v>
      </x:c>
      <x:c r="H2564" s="6">
        <x:f t="shared" si="125"/>
        <x:v>51457.959999999992</x:v>
      </x:c>
      <x:c r="I2564" s="6">
        <x:v>137434.94</x:v>
      </x:c>
      <x:c r="J2564" s="6">
        <x:v>0</x:v>
      </x:c>
      <x:c r="K2564" s="6">
        <x:f t="shared" si="126"/>
        <x:v>137434.94</x:v>
      </x:c>
      <x:c r="L2564" s="6">
        <x:v>38433.24</x:v>
      </x:c>
      <x:c r="M2564" s="6">
        <x:v>1579.5099999999888</x:v>
      </x:c>
      <x:c r="N2564" s="6">
        <x:f t="shared" si="127"/>
        <x:v>228905.64999999997</x:v>
      </x:c>
    </x:row>
    <x:row r="2565" spans="1:14" x14ac:dyDescent="0.25">
      <x:c r="A2565" t="s">
        <x:v>34</x:v>
      </x:c>
      <x:c r="B2565" s="3" t="s">
        <x:v>347</x:v>
      </x:c>
      <x:c r="C2565" s="3" t="s">
        <x:v>662</x:v>
      </x:c>
      <x:c r="D2565" t="s">
        <x:v>679</x:v>
      </x:c>
      <x:c r="E2565" s="6">
        <x:v>335.51</x:v>
      </x:c>
      <x:c r="F2565" s="6">
        <x:v>0</x:v>
      </x:c>
      <x:c r="G2565" s="6">
        <x:v>0</x:v>
      </x:c>
      <x:c r="H2565" s="6">
        <x:f t="shared" si="125"/>
        <x:v>335.51</x:v>
      </x:c>
      <x:c r="I2565" s="6">
        <x:v>896.11000000000013</x:v>
      </x:c>
      <x:c r="J2565" s="6">
        <x:v>0</x:v>
      </x:c>
      <x:c r="K2565" s="6">
        <x:f t="shared" si="126"/>
        <x:v>896.11000000000013</x:v>
      </x:c>
      <x:c r="L2565" s="6">
        <x:v>250.60000000000002</x:v>
      </x:c>
      <x:c r="M2565" s="6">
        <x:v>10.309999999999928</x:v>
      </x:c>
      <x:c r="N2565" s="6">
        <x:f t="shared" si="127"/>
        <x:v>1492.5300000000002</x:v>
      </x:c>
    </x:row>
    <x:row r="2566" spans="1:14" x14ac:dyDescent="0.25">
      <x:c r="A2566" t="s">
        <x:v>34</x:v>
      </x:c>
      <x:c r="B2566" s="3" t="s">
        <x:v>348</x:v>
      </x:c>
      <x:c r="C2566" s="3" t="s">
        <x:v>663</x:v>
      </x:c>
      <x:c r="D2566" t="s">
        <x:v>679</x:v>
      </x:c>
      <x:c r="E2566" s="6">
        <x:v>10697.98</x:v>
      </x:c>
      <x:c r="F2566" s="6">
        <x:v>0</x:v>
      </x:c>
      <x:c r="G2566" s="6">
        <x:v>0</x:v>
      </x:c>
      <x:c r="H2566" s="6">
        <x:f t="shared" si="125"/>
        <x:v>10697.98</x:v>
      </x:c>
      <x:c r="I2566" s="6">
        <x:v>28572.350000000002</x:v>
      </x:c>
      <x:c r="J2566" s="6">
        <x:v>0</x:v>
      </x:c>
      <x:c r="K2566" s="6">
        <x:f t="shared" si="126"/>
        <x:v>28572.350000000002</x:v>
      </x:c>
      <x:c r="L2566" s="6">
        <x:v>7990.14</x:v>
      </x:c>
      <x:c r="M2566" s="6">
        <x:v>328.37999999999937</x:v>
      </x:c>
      <x:c r="N2566" s="6">
        <x:f t="shared" si="127"/>
        <x:v>47588.85</x:v>
      </x:c>
    </x:row>
    <x:row r="2567" spans="1:14" x14ac:dyDescent="0.25">
      <x:c r="A2567" t="s">
        <x:v>34</x:v>
      </x:c>
      <x:c r="B2567" s="3" t="s">
        <x:v>349</x:v>
      </x:c>
      <x:c r="C2567" s="3" t="s">
        <x:v>664</x:v>
      </x:c>
      <x:c r="D2567" t="s">
        <x:v>679</x:v>
      </x:c>
      <x:c r="E2567" s="6">
        <x:v>77760.000000000015</x:v>
      </x:c>
      <x:c r="F2567" s="6">
        <x:v>0</x:v>
      </x:c>
      <x:c r="G2567" s="6">
        <x:v>0</x:v>
      </x:c>
      <x:c r="H2567" s="6">
        <x:f t="shared" si="125"/>
        <x:v>77760.000000000015</x:v>
      </x:c>
      <x:c r="I2567" s="6">
        <x:v>207682.8</x:v>
      </x:c>
      <x:c r="J2567" s="6">
        <x:v>0</x:v>
      </x:c>
      <x:c r="K2567" s="6">
        <x:f t="shared" si="126"/>
        <x:v>207682.8</x:v>
      </x:c>
      <x:c r="L2567" s="6">
        <x:v>58077.85000000002</x:v>
      </x:c>
      <x:c r="M2567" s="6">
        <x:v>2386.7699999999886</x:v>
      </x:c>
      <x:c r="N2567" s="6">
        <x:f t="shared" si="127"/>
        <x:v>345907.42</x:v>
      </x:c>
    </x:row>
    <x:row r="2568" spans="1:14" x14ac:dyDescent="0.25">
      <x:c r="A2568" t="s">
        <x:v>34</x:v>
      </x:c>
      <x:c r="B2568" t="s">
        <x:v>755</x:v>
      </x:c>
      <x:c r="C2568" t="s">
        <x:v>756</x:v>
      </x:c>
      <x:c r="D2568" t="s">
        <x:v>834</x:v>
      </x:c>
      <x:c r="E2568" s="6">
        <x:v>273.72000000000003</x:v>
      </x:c>
      <x:c r="F2568" s="6">
        <x:v>0</x:v>
      </x:c>
      <x:c r="G2568" s="6">
        <x:v>0</x:v>
      </x:c>
      <x:c r="H2568" s="6">
        <x:f t="shared" si="125"/>
        <x:v>273.72000000000003</x:v>
      </x:c>
      <x:c r="I2568" s="6">
        <x:v>54.87</x:v>
      </x:c>
      <x:c r="J2568" s="6">
        <x:v>0</x:v>
      </x:c>
      <x:c r="K2568" s="6">
        <x:f t="shared" si="126"/>
        <x:v>54.87</x:v>
      </x:c>
      <x:c r="L2568" s="6">
        <x:v>0</x:v>
      </x:c>
      <x:c r="M2568" s="6">
        <x:v>0</x:v>
      </x:c>
      <x:c r="N2568" s="6">
        <x:f t="shared" si="127"/>
        <x:v>328.59000000000003</x:v>
      </x:c>
    </x:row>
    <x:row r="2569" spans="1:14" x14ac:dyDescent="0.25">
      <x:c r="A2569" t="s">
        <x:v>34</x:v>
      </x:c>
      <x:c r="B2569" t="s">
        <x:v>757</x:v>
      </x:c>
      <x:c r="C2569" t="s">
        <x:v>758</x:v>
      </x:c>
      <x:c r="D2569" t="s">
        <x:v>676</x:v>
      </x:c>
      <x:c r="E2569" s="6">
        <x:v>23557.429999999997</x:v>
      </x:c>
      <x:c r="F2569" s="6">
        <x:v>0</x:v>
      </x:c>
      <x:c r="G2569" s="6">
        <x:v>0</x:v>
      </x:c>
      <x:c r="H2569" s="6">
        <x:f t="shared" si="125"/>
        <x:v>23557.429999999997</x:v>
      </x:c>
      <x:c r="I2569" s="6">
        <x:v>1153.9799999999998</x:v>
      </x:c>
      <x:c r="J2569" s="6">
        <x:v>0</x:v>
      </x:c>
      <x:c r="K2569" s="6">
        <x:f t="shared" si="126"/>
        <x:v>1153.9799999999998</x:v>
      </x:c>
      <x:c r="L2569" s="6">
        <x:v>0</x:v>
      </x:c>
      <x:c r="M2569" s="6">
        <x:v>0</x:v>
      </x:c>
      <x:c r="N2569" s="6">
        <x:f t="shared" si="127"/>
        <x:v>24711.409999999996</x:v>
      </x:c>
    </x:row>
    <x:row r="2570" spans="1:14" x14ac:dyDescent="0.25">
      <x:c r="A2570" t="s">
        <x:v>34</x:v>
      </x:c>
      <x:c r="B2570" t="s">
        <x:v>821</x:v>
      </x:c>
      <x:c r="C2570" t="s">
        <x:v>822</x:v>
      </x:c>
      <x:c r="D2570" t="s">
        <x:v>832</x:v>
      </x:c>
      <x:c r="E2570" s="6">
        <x:v>169298.23</x:v>
      </x:c>
      <x:c r="F2570" s="6">
        <x:v>0</x:v>
      </x:c>
      <x:c r="G2570" s="6">
        <x:v>0</x:v>
      </x:c>
      <x:c r="H2570" s="6">
        <x:f t="shared" si="125"/>
        <x:v>169298.23</x:v>
      </x:c>
      <x:c r="I2570" s="6">
        <x:v>0</x:v>
      </x:c>
      <x:c r="J2570" s="6">
        <x:v>0</x:v>
      </x:c>
      <x:c r="K2570" s="6">
        <x:f t="shared" si="126"/>
        <x:v>0</x:v>
      </x:c>
      <x:c r="L2570" s="6">
        <x:v>0</x:v>
      </x:c>
      <x:c r="M2570" s="6">
        <x:v>0</x:v>
      </x:c>
      <x:c r="N2570" s="6">
        <x:f t="shared" si="127"/>
        <x:v>169298.23</x:v>
      </x:c>
    </x:row>
    <x:row r="2571" spans="1:14" x14ac:dyDescent="0.25">
      <x:c r="A2571" t="s">
        <x:v>34</x:v>
      </x:c>
      <x:c r="B2571" t="s">
        <x:v>821</x:v>
      </x:c>
      <x:c r="C2571" t="s">
        <x:v>822</x:v>
      </x:c>
      <x:c r="D2571" t="s">
        <x:v>676</x:v>
      </x:c>
      <x:c r="E2571" s="6">
        <x:v>17859.07</x:v>
      </x:c>
      <x:c r="F2571" s="6">
        <x:v>0</x:v>
      </x:c>
      <x:c r="G2571" s="6">
        <x:v>0</x:v>
      </x:c>
      <x:c r="H2571" s="6">
        <x:f t="shared" si="125"/>
        <x:v>17859.07</x:v>
      </x:c>
      <x:c r="I2571" s="6">
        <x:v>0</x:v>
      </x:c>
      <x:c r="J2571" s="6">
        <x:v>0</x:v>
      </x:c>
      <x:c r="K2571" s="6">
        <x:f t="shared" si="126"/>
        <x:v>0</x:v>
      </x:c>
      <x:c r="L2571" s="6">
        <x:v>0</x:v>
      </x:c>
      <x:c r="M2571" s="6">
        <x:v>0</x:v>
      </x:c>
      <x:c r="N2571" s="6">
        <x:f t="shared" si="127"/>
        <x:v>17859.07</x:v>
      </x:c>
    </x:row>
    <x:row r="2572" spans="1:14" x14ac:dyDescent="0.25">
      <x:c r="A2572" t="s">
        <x:v>34</x:v>
      </x:c>
      <x:c r="B2572" t="s">
        <x:v>823</x:v>
      </x:c>
      <x:c r="C2572" t="s">
        <x:v>621</x:v>
      </x:c>
      <x:c r="D2572" t="s">
        <x:v>835</x:v>
      </x:c>
      <x:c r="E2572" s="6">
        <x:v>27318.320000000003</x:v>
      </x:c>
      <x:c r="F2572" s="6">
        <x:v>0</x:v>
      </x:c>
      <x:c r="G2572" s="6">
        <x:v>0</x:v>
      </x:c>
      <x:c r="H2572" s="6">
        <x:f t="shared" si="125"/>
        <x:v>27318.320000000003</x:v>
      </x:c>
      <x:c r="I2572" s="6">
        <x:v>5476.7899999999991</x:v>
      </x:c>
      <x:c r="J2572" s="6">
        <x:v>0</x:v>
      </x:c>
      <x:c r="K2572" s="6">
        <x:f t="shared" si="126"/>
        <x:v>5476.7899999999991</x:v>
      </x:c>
      <x:c r="L2572" s="6">
        <x:v>0</x:v>
      </x:c>
      <x:c r="M2572" s="6">
        <x:v>0</x:v>
      </x:c>
      <x:c r="N2572" s="6">
        <x:f t="shared" si="127"/>
        <x:v>32795.11</x:v>
      </x:c>
    </x:row>
    <x:row r="2573" spans="1:14" x14ac:dyDescent="0.25">
      <x:c r="A2573" t="s">
        <x:v>34</x:v>
      </x:c>
      <x:c r="B2573" t="s">
        <x:v>759</x:v>
      </x:c>
      <x:c r="C2573" t="s">
        <x:v>667</x:v>
      </x:c>
      <x:c r="D2573" t="s">
        <x:v>676</x:v>
      </x:c>
      <x:c r="E2573" s="6">
        <x:v>665180.81000000006</x:v>
      </x:c>
      <x:c r="F2573" s="6">
        <x:v>0</x:v>
      </x:c>
      <x:c r="G2573" s="6">
        <x:v>0</x:v>
      </x:c>
      <x:c r="H2573" s="6">
        <x:f t="shared" si="125"/>
        <x:v>665180.81000000006</x:v>
      </x:c>
      <x:c r="I2573" s="6">
        <x:v>0</x:v>
      </x:c>
      <x:c r="J2573" s="6">
        <x:v>0</x:v>
      </x:c>
      <x:c r="K2573" s="6">
        <x:f t="shared" si="126"/>
        <x:v>0</x:v>
      </x:c>
      <x:c r="L2573" s="6">
        <x:v>0</x:v>
      </x:c>
      <x:c r="M2573" s="6">
        <x:v>0</x:v>
      </x:c>
      <x:c r="N2573" s="6">
        <x:f t="shared" si="127"/>
        <x:v>665180.81000000006</x:v>
      </x:c>
    </x:row>
    <x:row r="2574" spans="1:14" x14ac:dyDescent="0.25">
      <x:c r="A2574" t="s">
        <x:v>34</x:v>
      </x:c>
      <x:c r="B2574" t="s">
        <x:v>813</x:v>
      </x:c>
      <x:c r="C2574" t="s">
        <x:v>814</x:v>
      </x:c>
      <x:c r="D2574" t="s">
        <x:v>676</x:v>
      </x:c>
      <x:c r="E2574" s="6">
        <x:v>137107.14999999997</x:v>
      </x:c>
      <x:c r="F2574" s="6">
        <x:v>0</x:v>
      </x:c>
      <x:c r="G2574" s="6">
        <x:v>0</x:v>
      </x:c>
      <x:c r="H2574" s="6">
        <x:f t="shared" si="125"/>
        <x:v>137107.14999999997</x:v>
      </x:c>
      <x:c r="I2574" s="6">
        <x:v>0</x:v>
      </x:c>
      <x:c r="J2574" s="6">
        <x:v>0</x:v>
      </x:c>
      <x:c r="K2574" s="6">
        <x:f t="shared" si="126"/>
        <x:v>0</x:v>
      </x:c>
      <x:c r="L2574" s="6">
        <x:v>0</x:v>
      </x:c>
      <x:c r="M2574" s="6">
        <x:v>0</x:v>
      </x:c>
      <x:c r="N2574" s="6">
        <x:f t="shared" si="127"/>
        <x:v>137107.14999999997</x:v>
      </x:c>
    </x:row>
    <x:row r="2575" spans="1:14" x14ac:dyDescent="0.25">
      <x:c r="A2575" t="s">
        <x:v>34</x:v>
      </x:c>
      <x:c r="B2575" t="s">
        <x:v>815</x:v>
      </x:c>
      <x:c r="C2575" t="s">
        <x:v>558</x:v>
      </x:c>
      <x:c r="D2575" t="s">
        <x:v>676</x:v>
      </x:c>
      <x:c r="E2575" s="6">
        <x:v>202849.12</x:v>
      </x:c>
      <x:c r="F2575" s="6">
        <x:v>0</x:v>
      </x:c>
      <x:c r="G2575" s="6">
        <x:v>0</x:v>
      </x:c>
      <x:c r="H2575" s="6">
        <x:f t="shared" si="125"/>
        <x:v>202849.12</x:v>
      </x:c>
      <x:c r="I2575" s="6">
        <x:v>0</x:v>
      </x:c>
      <x:c r="J2575" s="6">
        <x:v>0</x:v>
      </x:c>
      <x:c r="K2575" s="6">
        <x:f t="shared" si="126"/>
        <x:v>0</x:v>
      </x:c>
      <x:c r="L2575" s="6">
        <x:v>0</x:v>
      </x:c>
      <x:c r="M2575" s="6">
        <x:v>0</x:v>
      </x:c>
      <x:c r="N2575" s="6">
        <x:f t="shared" si="127"/>
        <x:v>202849.12</x:v>
      </x:c>
    </x:row>
    <x:row r="2576" spans="1:14" x14ac:dyDescent="0.25">
      <x:c r="A2576" t="s">
        <x:v>34</x:v>
      </x:c>
      <x:c r="B2576" t="s">
        <x:v>819</x:v>
      </x:c>
      <x:c r="C2576" t="s">
        <x:v>820</x:v>
      </x:c>
      <x:c r="D2576" t="s">
        <x:v>676</x:v>
      </x:c>
      <x:c r="E2576" s="6">
        <x:v>0</x:v>
      </x:c>
      <x:c r="F2576" s="6">
        <x:v>0</x:v>
      </x:c>
      <x:c r="G2576" s="6">
        <x:v>0</x:v>
      </x:c>
      <x:c r="H2576" s="6">
        <x:f t="shared" si="125"/>
        <x:v>0</x:v>
      </x:c>
      <x:c r="I2576" s="6">
        <x:v>8139.329999999999</x:v>
      </x:c>
      <x:c r="J2576" s="6">
        <x:v>0</x:v>
      </x:c>
      <x:c r="K2576" s="6">
        <x:f t="shared" si="126"/>
        <x:v>8139.329999999999</x:v>
      </x:c>
      <x:c r="L2576" s="6">
        <x:v>0</x:v>
      </x:c>
      <x:c r="M2576" s="6">
        <x:v>0</x:v>
      </x:c>
      <x:c r="N2576" s="6">
        <x:f t="shared" si="127"/>
        <x:v>8139.329999999999</x:v>
      </x:c>
    </x:row>
    <x:row r="2577" spans="1:14" x14ac:dyDescent="0.25">
      <x:c r="A2577" t="s">
        <x:v>34</x:v>
      </x:c>
      <x:c r="B2577" t="s">
        <x:v>824</x:v>
      </x:c>
      <x:c r="C2577" t="s">
        <x:v>622</x:v>
      </x:c>
      <x:c r="D2577" t="s">
        <x:v>676</x:v>
      </x:c>
      <x:c r="E2577" s="6">
        <x:v>22570.62</x:v>
      </x:c>
      <x:c r="F2577" s="6">
        <x:v>0</x:v>
      </x:c>
      <x:c r="G2577" s="6">
        <x:v>0</x:v>
      </x:c>
      <x:c r="H2577" s="6">
        <x:f t="shared" si="125"/>
        <x:v>22570.62</x:v>
      </x:c>
      <x:c r="I2577" s="6">
        <x:v>4524.96</x:v>
      </x:c>
      <x:c r="J2577" s="6">
        <x:v>0</x:v>
      </x:c>
      <x:c r="K2577" s="6">
        <x:f t="shared" si="126"/>
        <x:v>4524.96</x:v>
      </x:c>
      <x:c r="L2577" s="6">
        <x:v>0</x:v>
      </x:c>
      <x:c r="M2577" s="6">
        <x:v>0</x:v>
      </x:c>
      <x:c r="N2577" s="6">
        <x:f t="shared" si="127"/>
        <x:v>27095.579999999998</x:v>
      </x:c>
    </x:row>
    <x:row r="2578" spans="1:14" x14ac:dyDescent="0.25">
      <x:c r="A2578" t="s">
        <x:v>34</x:v>
      </x:c>
      <x:c r="B2578" s="3" t="s">
        <x:v>350</x:v>
      </x:c>
      <x:c r="C2578" s="3" t="s">
        <x:v>665</x:v>
      </x:c>
      <x:c r="D2578" t="s">
        <x:v>679</x:v>
      </x:c>
      <x:c r="E2578" s="6">
        <x:v>95683.6</x:v>
      </x:c>
      <x:c r="F2578" s="6">
        <x:v>0</x:v>
      </x:c>
      <x:c r="G2578" s="6">
        <x:v>0</x:v>
      </x:c>
      <x:c r="H2578" s="6">
        <x:f t="shared" si="125"/>
        <x:v>95683.6</x:v>
      </x:c>
      <x:c r="I2578" s="6">
        <x:v>255553.51999999996</x:v>
      </x:c>
      <x:c r="J2578" s="6">
        <x:v>0</x:v>
      </x:c>
      <x:c r="K2578" s="6">
        <x:f t="shared" si="126"/>
        <x:v>255553.51999999996</x:v>
      </x:c>
      <x:c r="L2578" s="6">
        <x:v>71464.750000000015</x:v>
      </x:c>
      <x:c r="M2578" s="6">
        <x:v>2936.8600000000215</x:v>
      </x:c>
      <x:c r="N2578" s="6">
        <x:f t="shared" si="127"/>
        <x:v>425638.73000000004</x:v>
      </x:c>
    </x:row>
    <x:row r="2579" spans="1:14" x14ac:dyDescent="0.25">
      <x:c r="A2579" t="s">
        <x:v>34</x:v>
      </x:c>
      <x:c r="B2579" s="3" t="s">
        <x:v>305</x:v>
      </x:c>
      <x:c r="C2579" s="3" t="s">
        <x:v>620</x:v>
      </x:c>
      <x:c r="D2579" t="s">
        <x:v>679</x:v>
      </x:c>
      <x:c r="E2579" s="6">
        <x:v>9481.35</x:v>
      </x:c>
      <x:c r="F2579" s="6">
        <x:v>0</x:v>
      </x:c>
      <x:c r="G2579" s="6">
        <x:v>0</x:v>
      </x:c>
      <x:c r="H2579" s="6">
        <x:f t="shared" si="125"/>
        <x:v>9481.35</x:v>
      </x:c>
      <x:c r="I2579" s="6">
        <x:v>25322.979999999992</x:v>
      </x:c>
      <x:c r="J2579" s="6">
        <x:v>0</x:v>
      </x:c>
      <x:c r="K2579" s="6">
        <x:f t="shared" si="126"/>
        <x:v>25322.979999999992</x:v>
      </x:c>
      <x:c r="L2579" s="6">
        <x:v>7081.5099999999993</x:v>
      </x:c>
      <x:c r="M2579" s="6">
        <x:v>291.03000000000247</x:v>
      </x:c>
      <x:c r="N2579" s="6">
        <x:f t="shared" si="127"/>
        <x:v>42176.869999999995</x:v>
      </x:c>
    </x:row>
    <x:row r="2580" spans="1:14" x14ac:dyDescent="0.25">
      <x:c r="A2580" t="s">
        <x:v>34</x:v>
      </x:c>
      <x:c r="B2580" s="3" t="s">
        <x:v>306</x:v>
      </x:c>
      <x:c r="C2580" s="3" t="s">
        <x:v>621</x:v>
      </x:c>
      <x:c r="D2580" t="s">
        <x:v>679</x:v>
      </x:c>
      <x:c r="E2580" s="6">
        <x:v>11520.15</x:v>
      </x:c>
      <x:c r="F2580" s="6">
        <x:v>0</x:v>
      </x:c>
      <x:c r="G2580" s="6">
        <x:v>0</x:v>
      </x:c>
      <x:c r="H2580" s="6">
        <x:f t="shared" si="125"/>
        <x:v>11520.15</x:v>
      </x:c>
      <x:c r="I2580" s="6">
        <x:v>30768.240000000002</x:v>
      </x:c>
      <x:c r="J2580" s="6">
        <x:v>0</x:v>
      </x:c>
      <x:c r="K2580" s="6">
        <x:f t="shared" si="126"/>
        <x:v>30768.240000000002</x:v>
      </x:c>
      <x:c r="L2580" s="6">
        <x:v>8604.2400000000016</x:v>
      </x:c>
      <x:c r="M2580" s="6">
        <x:v>353.66000000000207</x:v>
      </x:c>
      <x:c r="N2580" s="6">
        <x:f t="shared" si="127"/>
        <x:v>51246.290000000008</x:v>
      </x:c>
    </x:row>
    <x:row r="2581" spans="1:14" x14ac:dyDescent="0.25">
      <x:c r="A2581" t="s">
        <x:v>34</x:v>
      </x:c>
      <x:c r="B2581" s="3" t="s">
        <x:v>351</x:v>
      </x:c>
      <x:c r="C2581" s="3" t="s">
        <x:v>666</x:v>
      </x:c>
      <x:c r="D2581" t="s">
        <x:v>679</x:v>
      </x:c>
      <x:c r="E2581" s="6">
        <x:v>25475.559999999998</x:v>
      </x:c>
      <x:c r="F2581" s="6">
        <x:v>0</x:v>
      </x:c>
      <x:c r="G2581" s="6">
        <x:v>0</x:v>
      </x:c>
      <x:c r="H2581" s="6">
        <x:f t="shared" si="125"/>
        <x:v>25475.559999999998</x:v>
      </x:c>
      <x:c r="I2581" s="6">
        <x:v>68040.63</x:v>
      </x:c>
      <x:c r="J2581" s="6">
        <x:v>0</x:v>
      </x:c>
      <x:c r="K2581" s="6">
        <x:f t="shared" si="126"/>
        <x:v>68040.63</x:v>
      </x:c>
      <x:c r="L2581" s="6">
        <x:v>19027.330000000002</x:v>
      </x:c>
      <x:c r="M2581" s="6">
        <x:v>781.97000000000469</x:v>
      </x:c>
      <x:c r="N2581" s="6">
        <x:f t="shared" si="127"/>
        <x:v>113325.49</x:v>
      </x:c>
    </x:row>
    <x:row r="2582" spans="1:14" x14ac:dyDescent="0.25">
      <x:c r="A2582" t="s">
        <x:v>34</x:v>
      </x:c>
      <x:c r="B2582" s="3" t="s">
        <x:v>243</x:v>
      </x:c>
      <x:c r="C2582" s="3" t="s">
        <x:v>558</x:v>
      </x:c>
      <x:c r="D2582" t="s">
        <x:v>676</x:v>
      </x:c>
      <x:c r="E2582" s="6">
        <x:v>0</x:v>
      </x:c>
      <x:c r="F2582" s="6">
        <x:v>0</x:v>
      </x:c>
      <x:c r="G2582" s="6">
        <x:v>0</x:v>
      </x:c>
      <x:c r="H2582" s="6">
        <x:f t="shared" si="125"/>
        <x:v>0</x:v>
      </x:c>
      <x:c r="I2582" s="6">
        <x:v>512733.83999999997</x:v>
      </x:c>
      <x:c r="J2582" s="6">
        <x:v>0</x:v>
      </x:c>
      <x:c r="K2582" s="6">
        <x:f t="shared" si="126"/>
        <x:v>512733.83999999997</x:v>
      </x:c>
      <x:c r="L2582" s="6">
        <x:v>0</x:v>
      </x:c>
      <x:c r="M2582" s="6">
        <x:v>0</x:v>
      </x:c>
      <x:c r="N2582" s="6">
        <x:f t="shared" si="127"/>
        <x:v>512733.83999999997</x:v>
      </x:c>
    </x:row>
    <x:row r="2583" spans="1:14" x14ac:dyDescent="0.25">
      <x:c r="A2583" t="s">
        <x:v>34</x:v>
      </x:c>
      <x:c r="B2583" s="3" t="s">
        <x:v>307</x:v>
      </x:c>
      <x:c r="C2583" s="3" t="s">
        <x:v>622</x:v>
      </x:c>
      <x:c r="D2583" t="s">
        <x:v>679</x:v>
      </x:c>
      <x:c r="E2583" s="6">
        <x:v>18356.439999999999</x:v>
      </x:c>
      <x:c r="F2583" s="6">
        <x:v>0</x:v>
      </x:c>
      <x:c r="G2583" s="6">
        <x:v>0</x:v>
      </x:c>
      <x:c r="H2583" s="6">
        <x:f t="shared" si="125"/>
        <x:v>18356.439999999999</x:v>
      </x:c>
      <x:c r="I2583" s="6">
        <x:v>49026.78</x:v>
      </x:c>
      <x:c r="J2583" s="6">
        <x:v>0</x:v>
      </x:c>
      <x:c r="K2583" s="6">
        <x:f t="shared" si="126"/>
        <x:v>49026.78</x:v>
      </x:c>
      <x:c r="L2583" s="6">
        <x:v>13710.17</x:v>
      </x:c>
      <x:c r="M2583" s="6">
        <x:v>563.44000000000131</x:v>
      </x:c>
      <x:c r="N2583" s="6">
        <x:f t="shared" si="127"/>
        <x:v>81656.83</x:v>
      </x:c>
    </x:row>
    <x:row r="2584" spans="1:14" x14ac:dyDescent="0.25">
      <x:c r="A2584" t="s">
        <x:v>34</x:v>
      </x:c>
      <x:c r="B2584" s="3" t="s">
        <x:v>355</x:v>
      </x:c>
      <x:c r="C2584" s="3" t="s">
        <x:v>670</x:v>
      </x:c>
      <x:c r="D2584" t="s">
        <x:v>679</x:v>
      </x:c>
      <x:c r="E2584" s="6">
        <x:v>148.01</x:v>
      </x:c>
      <x:c r="F2584" s="6">
        <x:v>0</x:v>
      </x:c>
      <x:c r="G2584" s="6">
        <x:v>0</x:v>
      </x:c>
      <x:c r="H2584" s="6">
        <x:f t="shared" si="125"/>
        <x:v>148.01</x:v>
      </x:c>
      <x:c r="I2584" s="6">
        <x:v>395.3</x:v>
      </x:c>
      <x:c r="J2584" s="6">
        <x:v>0</x:v>
      </x:c>
      <x:c r="K2584" s="6">
        <x:f t="shared" si="126"/>
        <x:v>395.3</x:v>
      </x:c>
      <x:c r="L2584" s="6">
        <x:v>110.54</x:v>
      </x:c>
      <x:c r="M2584" s="6">
        <x:v>4.5399999999999778</x:v>
      </x:c>
      <x:c r="N2584" s="6">
        <x:f t="shared" si="127"/>
        <x:v>658.38999999999987</x:v>
      </x:c>
    </x:row>
    <x:row r="2585" spans="1:14" x14ac:dyDescent="0.25">
      <x:c r="A2585" t="s">
        <x:v>34</x:v>
      </x:c>
      <x:c r="B2585" s="3" t="s">
        <x:v>308</x:v>
      </x:c>
      <x:c r="C2585" s="3" t="s">
        <x:v>623</x:v>
      </x:c>
      <x:c r="D2585" t="s">
        <x:v>679</x:v>
      </x:c>
      <x:c r="E2585" s="6">
        <x:v>32057.68</x:v>
      </x:c>
      <x:c r="F2585" s="6">
        <x:v>0</x:v>
      </x:c>
      <x:c r="G2585" s="6">
        <x:v>0</x:v>
      </x:c>
      <x:c r="H2585" s="6">
        <x:f t="shared" si="125"/>
        <x:v>32057.68</x:v>
      </x:c>
      <x:c r="I2585" s="6">
        <x:v>85620.21</x:v>
      </x:c>
      <x:c r="J2585" s="6">
        <x:v>0</x:v>
      </x:c>
      <x:c r="K2585" s="6">
        <x:f t="shared" si="126"/>
        <x:v>85620.21</x:v>
      </x:c>
      <x:c r="L2585" s="6">
        <x:v>23943.420000000002</x:v>
      </x:c>
      <x:c r="M2585" s="6">
        <x:v>983.97000000000367</x:v>
      </x:c>
      <x:c r="N2585" s="6">
        <x:f t="shared" si="127"/>
        <x:v>142605.28000000003</x:v>
      </x:c>
    </x:row>
    <x:row r="2586" spans="1:14" x14ac:dyDescent="0.25">
      <x:c r="A2586" t="s">
        <x:v>34</x:v>
      </x:c>
      <x:c r="B2586" t="s">
        <x:v>839</x:v>
      </x:c>
      <x:c r="C2586" t="s">
        <x:v>840</x:v>
      </x:c>
      <x:c r="D2586" t="s">
        <x:v>841</x:v>
      </x:c>
      <x:c r="E2586" s="6">
        <x:v>0</x:v>
      </x:c>
      <x:c r="F2586" s="6">
        <x:v>7139.2400000000007</x:v>
      </x:c>
      <x:c r="G2586" s="6">
        <x:v>0</x:v>
      </x:c>
      <x:c r="H2586" s="6">
        <x:f t="shared" si="125"/>
        <x:v>7139.2400000000007</x:v>
      </x:c>
      <x:c r="I2586" s="6">
        <x:v>0</x:v>
      </x:c>
      <x:c r="J2586" s="6">
        <x:v>0</x:v>
      </x:c>
      <x:c r="K2586" s="6">
        <x:f t="shared" si="126"/>
        <x:v>0</x:v>
      </x:c>
      <x:c r="L2586" s="6">
        <x:v>0</x:v>
      </x:c>
      <x:c r="M2586" s="6">
        <x:v>0</x:v>
      </x:c>
      <x:c r="N2586" s="6">
        <x:f t="shared" si="127"/>
        <x:v>7139.2400000000007</x:v>
      </x:c>
    </x:row>
    <x:row r="2587" spans="1:14" x14ac:dyDescent="0.25">
      <x:c r="A2587" t="s">
        <x:v>34</x:v>
      </x:c>
      <x:c r="B2587" t="s">
        <x:v>839</x:v>
      </x:c>
      <x:c r="C2587" t="s">
        <x:v>840</x:v>
      </x:c>
      <x:c r="D2587" t="s">
        <x:v>676</x:v>
      </x:c>
      <x:c r="E2587" s="6">
        <x:v>0</x:v>
      </x:c>
      <x:c r="F2587" s="6">
        <x:v>11646.86</x:v>
      </x:c>
      <x:c r="G2587" s="6">
        <x:v>0</x:v>
      </x:c>
      <x:c r="H2587" s="6">
        <x:f t="shared" si="125"/>
        <x:v>11646.86</x:v>
      </x:c>
      <x:c r="I2587" s="6">
        <x:v>0</x:v>
      </x:c>
      <x:c r="J2587" s="6">
        <x:v>1161.76</x:v>
      </x:c>
      <x:c r="K2587" s="6">
        <x:f t="shared" si="126"/>
        <x:v>1161.76</x:v>
      </x:c>
      <x:c r="L2587" s="6">
        <x:v>0</x:v>
      </x:c>
      <x:c r="M2587" s="6">
        <x:v>0</x:v>
      </x:c>
      <x:c r="N2587" s="6">
        <x:f t="shared" si="127"/>
        <x:v>12808.62</x:v>
      </x:c>
    </x:row>
    <x:row r="2588" spans="1:14" x14ac:dyDescent="0.25">
      <x:c r="A2588" t="s">
        <x:v>35</x:v>
      </x:c>
      <x:c r="B2588" s="3" t="s">
        <x:v>356</x:v>
      </x:c>
      <x:c r="C2588" s="3" t="s">
        <x:v>671</x:v>
      </x:c>
      <x:c r="D2588" t="s">
        <x:v>680</x:v>
      </x:c>
      <x:c r="E2588" s="6">
        <x:v>4808043.62</x:v>
      </x:c>
      <x:c r="F2588" s="6">
        <x:v>0</x:v>
      </x:c>
      <x:c r="G2588" s="6">
        <x:v>0</x:v>
      </x:c>
      <x:c r="H2588" s="6">
        <x:f t="shared" si="125"/>
        <x:v>4808043.62</x:v>
      </x:c>
      <x:c r="I2588" s="6">
        <x:v>55995718.93</x:v>
      </x:c>
      <x:c r="J2588" s="6">
        <x:v>0</x:v>
      </x:c>
      <x:c r="K2588" s="6">
        <x:f t="shared" si="126"/>
        <x:v>55995718.93</x:v>
      </x:c>
      <x:c r="L2588" s="6">
        <x:v>2420375.6800000002</x:v>
      </x:c>
      <x:c r="M2588" s="6">
        <x:v>2191421.2900000005</x:v>
      </x:c>
      <x:c r="N2588" s="6">
        <x:f t="shared" si="127"/>
        <x:v>65415559.519999996</x:v>
      </x:c>
    </x:row>
    <x:row r="2589" spans="1:14" x14ac:dyDescent="0.25">
      <x:c r="A2589" t="s">
        <x:v>35</x:v>
      </x:c>
      <x:c r="B2589" s="3" t="s">
        <x:v>352</x:v>
      </x:c>
      <x:c r="C2589" s="3" t="s">
        <x:v>667</x:v>
      </x:c>
      <x:c r="D2589" t="s">
        <x:v>676</x:v>
      </x:c>
      <x:c r="E2589" s="6">
        <x:v>1463150.1400000001</x:v>
      </x:c>
      <x:c r="F2589" s="6">
        <x:v>0</x:v>
      </x:c>
      <x:c r="G2589" s="6">
        <x:v>0</x:v>
      </x:c>
      <x:c r="H2589" s="6">
        <x:f t="shared" si="125"/>
        <x:v>1463150.1400000001</x:v>
      </x:c>
      <x:c r="I2589" s="6">
        <x:v>3907808.47</x:v>
      </x:c>
      <x:c r="J2589" s="6">
        <x:v>0</x:v>
      </x:c>
      <x:c r="K2589" s="6">
        <x:f t="shared" si="126"/>
        <x:v>3907808.47</x:v>
      </x:c>
      <x:c r="L2589" s="6">
        <x:v>1092806.52</x:v>
      </x:c>
      <x:c r="M2589" s="6">
        <x:v>44909.869999999893</x:v>
      </x:c>
      <x:c r="N2589" s="6">
        <x:f t="shared" si="127"/>
        <x:v>6508675.0000000009</x:v>
      </x:c>
    </x:row>
    <x:row r="2590" spans="1:14" x14ac:dyDescent="0.25">
      <x:c r="A2590" t="s">
        <x:v>35</x:v>
      </x:c>
      <x:c r="B2590" s="3" t="s">
        <x:v>52</x:v>
      </x:c>
      <x:c r="C2590" s="3" t="s">
        <x:v>369</x:v>
      </x:c>
      <x:c r="D2590" t="s">
        <x:v>676</x:v>
      </x:c>
      <x:c r="E2590" s="6">
        <x:v>0</x:v>
      </x:c>
      <x:c r="F2590" s="6">
        <x:v>0</x:v>
      </x:c>
      <x:c r="G2590" s="6">
        <x:v>0</x:v>
      </x:c>
      <x:c r="H2590" s="6">
        <x:f t="shared" si="125"/>
        <x:v>0</x:v>
      </x:c>
      <x:c r="I2590" s="6">
        <x:v>2225.98</x:v>
      </x:c>
      <x:c r="J2590" s="6">
        <x:v>0</x:v>
      </x:c>
      <x:c r="K2590" s="6">
        <x:f t="shared" si="126"/>
        <x:v>2225.98</x:v>
      </x:c>
      <x:c r="L2590" s="6">
        <x:v>0</x:v>
      </x:c>
      <x:c r="M2590" s="6">
        <x:v>0</x:v>
      </x:c>
      <x:c r="N2590" s="6">
        <x:f t="shared" si="127"/>
        <x:v>2225.98</x:v>
      </x:c>
    </x:row>
    <x:row r="2591" spans="1:14" x14ac:dyDescent="0.25">
      <x:c r="A2591" t="s">
        <x:v>35</x:v>
      </x:c>
      <x:c r="B2591" s="3" t="s">
        <x:v>321</x:v>
      </x:c>
      <x:c r="C2591" s="3" t="s">
        <x:v>636</x:v>
      </x:c>
      <x:c r="D2591" t="s">
        <x:v>676</x:v>
      </x:c>
      <x:c r="E2591" s="6">
        <x:v>148127.08000000002</x:v>
      </x:c>
      <x:c r="F2591" s="6">
        <x:v>0</x:v>
      </x:c>
      <x:c r="G2591" s="6">
        <x:v>0</x:v>
      </x:c>
      <x:c r="H2591" s="6">
        <x:f t="shared" ref="H2591:H2654" si="128">SUM(E2591:G2591)</x:f>
        <x:v>148127.08000000002</x:v>
      </x:c>
      <x:c r="I2591" s="6">
        <x:v>395620.56</x:v>
      </x:c>
      <x:c r="J2591" s="6">
        <x:v>0</x:v>
      </x:c>
      <x:c r="K2591" s="6">
        <x:f t="shared" ref="K2591:K2654" si="129">SUM(I2591:J2591)</x:f>
        <x:v>395620.56</x:v>
      </x:c>
      <x:c r="L2591" s="6">
        <x:v>110634.06</x:v>
      </x:c>
      <x:c r="M2591" s="6">
        <x:v>4546.6200000000263</x:v>
      </x:c>
      <x:c r="N2591" s="6">
        <x:f t="shared" ref="N2591:N2654" si="130">+E2591+F2591+G2591+I2591+J2591+L2591+M2591</x:f>
        <x:v>658928.31999999995</x:v>
      </x:c>
    </x:row>
    <x:row r="2592" spans="1:14" x14ac:dyDescent="0.25">
      <x:c r="A2592" t="s">
        <x:v>35</x:v>
      </x:c>
      <x:c r="B2592" s="3" t="s">
        <x:v>322</x:v>
      </x:c>
      <x:c r="C2592" s="3" t="s">
        <x:v>637</x:v>
      </x:c>
      <x:c r="D2592" t="s">
        <x:v>676</x:v>
      </x:c>
      <x:c r="E2592" s="6">
        <x:v>37406.119999999995</x:v>
      </x:c>
      <x:c r="F2592" s="6">
        <x:v>0</x:v>
      </x:c>
      <x:c r="G2592" s="6">
        <x:v>0</x:v>
      </x:c>
      <x:c r="H2592" s="6">
        <x:f t="shared" si="128"/>
        <x:v>37406.119999999995</x:v>
      </x:c>
      <x:c r="I2592" s="6">
        <x:v>99904.959999999992</x:v>
      </x:c>
      <x:c r="J2592" s="6">
        <x:v>0</x:v>
      </x:c>
      <x:c r="K2592" s="6">
        <x:f t="shared" si="129"/>
        <x:v>99904.959999999992</x:v>
      </x:c>
      <x:c r="L2592" s="6">
        <x:v>27938.11</x:v>
      </x:c>
      <x:c r="M2592" s="6">
        <x:v>1148.1400000000044</x:v>
      </x:c>
      <x:c r="N2592" s="6">
        <x:f t="shared" si="130"/>
        <x:v>166397.33000000002</x:v>
      </x:c>
    </x:row>
    <x:row r="2593" spans="1:14" x14ac:dyDescent="0.25">
      <x:c r="A2593" t="s">
        <x:v>35</x:v>
      </x:c>
      <x:c r="B2593" s="3" t="s">
        <x:v>48</x:v>
      </x:c>
      <x:c r="C2593" s="3" t="s">
        <x:v>365</x:v>
      </x:c>
      <x:c r="D2593" t="s">
        <x:v>676</x:v>
      </x:c>
      <x:c r="E2593" s="6">
        <x:v>65897.400000000009</x:v>
      </x:c>
      <x:c r="F2593" s="6">
        <x:v>0</x:v>
      </x:c>
      <x:c r="G2593" s="6">
        <x:v>0</x:v>
      </x:c>
      <x:c r="H2593" s="6">
        <x:f t="shared" si="128"/>
        <x:v>65897.400000000009</x:v>
      </x:c>
      <x:c r="I2593" s="6">
        <x:v>175999.99000000002</x:v>
      </x:c>
      <x:c r="J2593" s="6">
        <x:v>0</x:v>
      </x:c>
      <x:c r="K2593" s="6">
        <x:f t="shared" si="129"/>
        <x:v>175999.99000000002</x:v>
      </x:c>
      <x:c r="L2593" s="6">
        <x:v>49217.86</x:v>
      </x:c>
      <x:c r="M2593" s="6">
        <x:v>2022.650000000021</x:v>
      </x:c>
      <x:c r="N2593" s="6">
        <x:f t="shared" si="130"/>
        <x:v>293137.90000000002</x:v>
      </x:c>
    </x:row>
    <x:row r="2594" spans="1:14" x14ac:dyDescent="0.25">
      <x:c r="A2594" t="s">
        <x:v>35</x:v>
      </x:c>
      <x:c r="B2594" s="3" t="s">
        <x:v>75</x:v>
      </x:c>
      <x:c r="C2594" s="3" t="s">
        <x:v>392</x:v>
      </x:c>
      <x:c r="D2594" t="s">
        <x:v>676</x:v>
      </x:c>
      <x:c r="E2594" s="6">
        <x:v>0</x:v>
      </x:c>
      <x:c r="F2594" s="6">
        <x:v>0</x:v>
      </x:c>
      <x:c r="G2594" s="6">
        <x:v>0</x:v>
      </x:c>
      <x:c r="H2594" s="6">
        <x:f t="shared" si="128"/>
        <x:v>0</x:v>
      </x:c>
      <x:c r="I2594" s="6">
        <x:v>290301.09000000003</x:v>
      </x:c>
      <x:c r="J2594" s="6">
        <x:v>0</x:v>
      </x:c>
      <x:c r="K2594" s="6">
        <x:f t="shared" si="129"/>
        <x:v>290301.09000000003</x:v>
      </x:c>
      <x:c r="L2594" s="6">
        <x:v>0</x:v>
      </x:c>
      <x:c r="M2594" s="6">
        <x:v>0</x:v>
      </x:c>
      <x:c r="N2594" s="6">
        <x:f t="shared" si="130"/>
        <x:v>290301.09000000003</x:v>
      </x:c>
    </x:row>
    <x:row r="2595" spans="1:14" x14ac:dyDescent="0.25">
      <x:c r="A2595" t="s">
        <x:v>35</x:v>
      </x:c>
      <x:c r="B2595" s="3" t="s">
        <x:v>80</x:v>
      </x:c>
      <x:c r="C2595" s="3" t="s">
        <x:v>397</x:v>
      </x:c>
      <x:c r="D2595" t="s">
        <x:v>676</x:v>
      </x:c>
      <x:c r="E2595" s="6">
        <x:v>0</x:v>
      </x:c>
      <x:c r="F2595" s="6">
        <x:v>0</x:v>
      </x:c>
      <x:c r="G2595" s="6">
        <x:v>0</x:v>
      </x:c>
      <x:c r="H2595" s="6">
        <x:f t="shared" si="128"/>
        <x:v>0</x:v>
      </x:c>
      <x:c r="I2595" s="6">
        <x:v>550</x:v>
      </x:c>
      <x:c r="J2595" s="6">
        <x:v>0</x:v>
      </x:c>
      <x:c r="K2595" s="6">
        <x:f t="shared" si="129"/>
        <x:v>550</x:v>
      </x:c>
      <x:c r="L2595" s="6">
        <x:v>0</x:v>
      </x:c>
      <x:c r="M2595" s="6">
        <x:v>0</x:v>
      </x:c>
      <x:c r="N2595" s="6">
        <x:f t="shared" si="130"/>
        <x:v>550</x:v>
      </x:c>
    </x:row>
    <x:row r="2596" spans="1:14" x14ac:dyDescent="0.25">
      <x:c r="A2596" t="s">
        <x:v>35</x:v>
      </x:c>
      <x:c r="B2596" s="3" t="s">
        <x:v>88</x:v>
      </x:c>
      <x:c r="C2596" s="3" t="s">
        <x:v>405</x:v>
      </x:c>
      <x:c r="D2596" t="s">
        <x:v>676</x:v>
      </x:c>
      <x:c r="E2596" s="6">
        <x:v>0</x:v>
      </x:c>
      <x:c r="F2596" s="6">
        <x:v>0</x:v>
      </x:c>
      <x:c r="G2596" s="6">
        <x:v>0</x:v>
      </x:c>
      <x:c r="H2596" s="6">
        <x:f t="shared" si="128"/>
        <x:v>0</x:v>
      </x:c>
      <x:c r="I2596" s="6">
        <x:v>2903.18</x:v>
      </x:c>
      <x:c r="J2596" s="6">
        <x:v>0</x:v>
      </x:c>
      <x:c r="K2596" s="6">
        <x:f t="shared" si="129"/>
        <x:v>2903.18</x:v>
      </x:c>
      <x:c r="L2596" s="6">
        <x:v>0</x:v>
      </x:c>
      <x:c r="M2596" s="6">
        <x:v>0</x:v>
      </x:c>
      <x:c r="N2596" s="6">
        <x:f t="shared" si="130"/>
        <x:v>2903.18</x:v>
      </x:c>
    </x:row>
    <x:row r="2597" spans="1:14" x14ac:dyDescent="0.25">
      <x:c r="A2597" t="s">
        <x:v>35</x:v>
      </x:c>
      <x:c r="B2597" s="3" t="s">
        <x:v>89</x:v>
      </x:c>
      <x:c r="C2597" s="3" t="s">
        <x:v>406</x:v>
      </x:c>
      <x:c r="D2597" t="s">
        <x:v>676</x:v>
      </x:c>
      <x:c r="E2597" s="6">
        <x:v>0</x:v>
      </x:c>
      <x:c r="F2597" s="6">
        <x:v>0</x:v>
      </x:c>
      <x:c r="G2597" s="6">
        <x:v>0</x:v>
      </x:c>
      <x:c r="H2597" s="6">
        <x:f t="shared" si="128"/>
        <x:v>0</x:v>
      </x:c>
      <x:c r="I2597" s="6">
        <x:v>2486.0300000000002</x:v>
      </x:c>
      <x:c r="J2597" s="6">
        <x:v>0</x:v>
      </x:c>
      <x:c r="K2597" s="6">
        <x:f t="shared" si="129"/>
        <x:v>2486.0300000000002</x:v>
      </x:c>
      <x:c r="L2597" s="6">
        <x:v>0</x:v>
      </x:c>
      <x:c r="M2597" s="6">
        <x:v>0</x:v>
      </x:c>
      <x:c r="N2597" s="6">
        <x:f t="shared" si="130"/>
        <x:v>2486.0300000000002</x:v>
      </x:c>
    </x:row>
    <x:row r="2598" spans="1:14" x14ac:dyDescent="0.25">
      <x:c r="A2598" t="s">
        <x:v>35</x:v>
      </x:c>
      <x:c r="B2598" s="3" t="s">
        <x:v>103</x:v>
      </x:c>
      <x:c r="C2598" s="3" t="s">
        <x:v>420</x:v>
      </x:c>
      <x:c r="D2598" t="s">
        <x:v>676</x:v>
      </x:c>
      <x:c r="E2598" s="6">
        <x:v>0</x:v>
      </x:c>
      <x:c r="F2598" s="6">
        <x:v>0</x:v>
      </x:c>
      <x:c r="G2598" s="6">
        <x:v>0</x:v>
      </x:c>
      <x:c r="H2598" s="6">
        <x:f t="shared" si="128"/>
        <x:v>0</x:v>
      </x:c>
      <x:c r="I2598" s="6">
        <x:v>1936</x:v>
      </x:c>
      <x:c r="J2598" s="6">
        <x:v>0</x:v>
      </x:c>
      <x:c r="K2598" s="6">
        <x:f t="shared" si="129"/>
        <x:v>1936</x:v>
      </x:c>
      <x:c r="L2598" s="6">
        <x:v>0</x:v>
      </x:c>
      <x:c r="M2598" s="6">
        <x:v>0</x:v>
      </x:c>
      <x:c r="N2598" s="6">
        <x:f t="shared" si="130"/>
        <x:v>1936</x:v>
      </x:c>
    </x:row>
    <x:row r="2599" spans="1:14" x14ac:dyDescent="0.25">
      <x:c r="A2599" t="s">
        <x:v>35</x:v>
      </x:c>
      <x:c r="B2599" s="3" t="s">
        <x:v>259</x:v>
      </x:c>
      <x:c r="C2599" s="3" t="s">
        <x:v>574</x:v>
      </x:c>
      <x:c r="D2599" t="s">
        <x:v>676</x:v>
      </x:c>
      <x:c r="E2599" s="6">
        <x:v>0</x:v>
      </x:c>
      <x:c r="F2599" s="6">
        <x:v>0</x:v>
      </x:c>
      <x:c r="G2599" s="6">
        <x:v>0</x:v>
      </x:c>
      <x:c r="H2599" s="6">
        <x:f t="shared" si="128"/>
        <x:v>0</x:v>
      </x:c>
      <x:c r="I2599" s="6">
        <x:v>0</x:v>
      </x:c>
      <x:c r="J2599" s="6">
        <x:v>0</x:v>
      </x:c>
      <x:c r="K2599" s="6">
        <x:f t="shared" si="129"/>
        <x:v>0</x:v>
      </x:c>
      <x:c r="L2599" s="6">
        <x:v>723.54</x:v>
      </x:c>
      <x:c r="M2599" s="6">
        <x:v>0</x:v>
      </x:c>
      <x:c r="N2599" s="6">
        <x:f t="shared" si="130"/>
        <x:v>723.54</x:v>
      </x:c>
    </x:row>
    <x:row r="2600" spans="1:14" x14ac:dyDescent="0.25">
      <x:c r="A2600" t="s">
        <x:v>35</x:v>
      </x:c>
      <x:c r="B2600" s="3" t="s">
        <x:v>323</x:v>
      </x:c>
      <x:c r="C2600" s="3" t="s">
        <x:v>638</x:v>
      </x:c>
      <x:c r="D2600" t="s">
        <x:v>676</x:v>
      </x:c>
      <x:c r="E2600" s="6">
        <x:v>371.22</x:v>
      </x:c>
      <x:c r="F2600" s="6">
        <x:v>0</x:v>
      </x:c>
      <x:c r="G2600" s="6">
        <x:v>0</x:v>
      </x:c>
      <x:c r="H2600" s="6">
        <x:f t="shared" si="128"/>
        <x:v>371.22</x:v>
      </x:c>
      <x:c r="I2600" s="6">
        <x:v>991.46</x:v>
      </x:c>
      <x:c r="J2600" s="6">
        <x:v>0</x:v>
      </x:c>
      <x:c r="K2600" s="6">
        <x:f t="shared" si="129"/>
        <x:v>991.46</x:v>
      </x:c>
      <x:c r="L2600" s="6">
        <x:v>277.26</x:v>
      </x:c>
      <x:c r="M2600" s="6">
        <x:v>11.389999999999873</x:v>
      </x:c>
      <x:c r="N2600" s="6">
        <x:f t="shared" si="130"/>
        <x:v>1651.33</x:v>
      </x:c>
    </x:row>
    <x:row r="2601" spans="1:14" x14ac:dyDescent="0.25">
      <x:c r="A2601" t="s">
        <x:v>35</x:v>
      </x:c>
      <x:c r="B2601" s="3" t="s">
        <x:v>324</x:v>
      </x:c>
      <x:c r="C2601" s="3" t="s">
        <x:v>639</x:v>
      </x:c>
      <x:c r="D2601" t="s">
        <x:v>679</x:v>
      </x:c>
      <x:c r="E2601" s="6">
        <x:v>40166.01</x:v>
      </x:c>
      <x:c r="F2601" s="6">
        <x:v>0</x:v>
      </x:c>
      <x:c r="G2601" s="6">
        <x:v>0</x:v>
      </x:c>
      <x:c r="H2601" s="6">
        <x:f t="shared" si="128"/>
        <x:v>40166.01</x:v>
      </x:c>
      <x:c r="I2601" s="6">
        <x:v>107276.12</x:v>
      </x:c>
      <x:c r="J2601" s="6">
        <x:v>0</x:v>
      </x:c>
      <x:c r="K2601" s="6">
        <x:f t="shared" si="129"/>
        <x:v>107276.12</x:v>
      </x:c>
      <x:c r="L2601" s="6">
        <x:v>29999.439999999999</x:v>
      </x:c>
      <x:c r="M2601" s="6">
        <x:v>1232.8500000000095</x:v>
      </x:c>
      <x:c r="N2601" s="6">
        <x:f t="shared" si="130"/>
        <x:v>178674.42</x:v>
      </x:c>
    </x:row>
    <x:row r="2602" spans="1:14" x14ac:dyDescent="0.25">
      <x:c r="A2602" t="s">
        <x:v>35</x:v>
      </x:c>
      <x:c r="B2602" t="s">
        <x:v>704</x:v>
      </x:c>
      <x:c r="C2602" t="s">
        <x:v>705</x:v>
      </x:c>
      <x:c r="D2602" t="s">
        <x:v>676</x:v>
      </x:c>
      <x:c r="E2602" s="6">
        <x:v>153.56</x:v>
      </x:c>
      <x:c r="F2602" s="6">
        <x:v>0</x:v>
      </x:c>
      <x:c r="G2602" s="6">
        <x:v>0</x:v>
      </x:c>
      <x:c r="H2602" s="6">
        <x:f t="shared" si="128"/>
        <x:v>153.56</x:v>
      </x:c>
      <x:c r="I2602" s="6">
        <x:v>31.98</x:v>
      </x:c>
      <x:c r="J2602" s="6">
        <x:v>0</x:v>
      </x:c>
      <x:c r="K2602" s="6">
        <x:f t="shared" si="129"/>
        <x:v>31.98</x:v>
      </x:c>
      <x:c r="L2602" s="6">
        <x:v>0</x:v>
      </x:c>
      <x:c r="M2602" s="6">
        <x:v>0</x:v>
      </x:c>
      <x:c r="N2602" s="6">
        <x:f t="shared" si="130"/>
        <x:v>185.54</x:v>
      </x:c>
    </x:row>
    <x:row r="2603" spans="1:14" x14ac:dyDescent="0.25">
      <x:c r="A2603" t="s">
        <x:v>35</x:v>
      </x:c>
      <x:c r="B2603" t="s">
        <x:v>712</x:v>
      </x:c>
      <x:c r="C2603" t="s">
        <x:v>713</x:v>
      </x:c>
      <x:c r="D2603" t="s">
        <x:v>676</x:v>
      </x:c>
      <x:c r="E2603" s="6">
        <x:v>1592.92</x:v>
      </x:c>
      <x:c r="F2603" s="6">
        <x:v>0</x:v>
      </x:c>
      <x:c r="G2603" s="6">
        <x:v>0</x:v>
      </x:c>
      <x:c r="H2603" s="6">
        <x:f t="shared" si="128"/>
        <x:v>1592.92</x:v>
      </x:c>
      <x:c r="I2603" s="6">
        <x:v>481.8</x:v>
      </x:c>
      <x:c r="J2603" s="6">
        <x:v>0</x:v>
      </x:c>
      <x:c r="K2603" s="6">
        <x:f t="shared" si="129"/>
        <x:v>481.8</x:v>
      </x:c>
      <x:c r="L2603" s="6">
        <x:v>0</x:v>
      </x:c>
      <x:c r="M2603" s="6">
        <x:v>0</x:v>
      </x:c>
      <x:c r="N2603" s="6">
        <x:f t="shared" si="130"/>
        <x:v>2074.7200000000003</x:v>
      </x:c>
    </x:row>
    <x:row r="2604" spans="1:14" x14ac:dyDescent="0.25">
      <x:c r="A2604" t="s">
        <x:v>35</x:v>
      </x:c>
      <x:c r="B2604" t="s">
        <x:v>790</x:v>
      </x:c>
      <x:c r="C2604" t="s">
        <x:v>791</x:v>
      </x:c>
      <x:c r="D2604" t="s">
        <x:v>676</x:v>
      </x:c>
      <x:c r="E2604" s="6">
        <x:v>898.36</x:v>
      </x:c>
      <x:c r="F2604" s="6">
        <x:v>0</x:v>
      </x:c>
      <x:c r="G2604" s="6">
        <x:v>0</x:v>
      </x:c>
      <x:c r="H2604" s="6">
        <x:f t="shared" si="128"/>
        <x:v>898.36</x:v>
      </x:c>
      <x:c r="I2604" s="6">
        <x:v>237.55</x:v>
      </x:c>
      <x:c r="J2604" s="6">
        <x:v>0</x:v>
      </x:c>
      <x:c r="K2604" s="6">
        <x:f t="shared" si="129"/>
        <x:v>237.55</x:v>
      </x:c>
      <x:c r="L2604" s="6">
        <x:v>0</x:v>
      </x:c>
      <x:c r="M2604" s="6">
        <x:v>0</x:v>
      </x:c>
      <x:c r="N2604" s="6">
        <x:f t="shared" si="130"/>
        <x:v>1135.9100000000001</x:v>
      </x:c>
    </x:row>
    <x:row r="2605" spans="1:14" x14ac:dyDescent="0.25">
      <x:c r="A2605" t="s">
        <x:v>35</x:v>
      </x:c>
      <x:c r="B2605" t="s">
        <x:v>722</x:v>
      </x:c>
      <x:c r="C2605" t="s">
        <x:v>723</x:v>
      </x:c>
      <x:c r="D2605" t="s">
        <x:v>676</x:v>
      </x:c>
      <x:c r="E2605" s="6">
        <x:v>404.4</x:v>
      </x:c>
      <x:c r="F2605" s="6">
        <x:v>0</x:v>
      </x:c>
      <x:c r="G2605" s="6">
        <x:v>0</x:v>
      </x:c>
      <x:c r="H2605" s="6">
        <x:f t="shared" si="128"/>
        <x:v>404.4</x:v>
      </x:c>
      <x:c r="I2605" s="6">
        <x:v>245.6</x:v>
      </x:c>
      <x:c r="J2605" s="6">
        <x:v>0</x:v>
      </x:c>
      <x:c r="K2605" s="6">
        <x:f t="shared" si="129"/>
        <x:v>245.6</x:v>
      </x:c>
      <x:c r="L2605" s="6">
        <x:v>0</x:v>
      </x:c>
      <x:c r="M2605" s="6">
        <x:v>0</x:v>
      </x:c>
      <x:c r="N2605" s="6">
        <x:f t="shared" si="130"/>
        <x:v>650</x:v>
      </x:c>
    </x:row>
    <x:row r="2606" spans="1:14" x14ac:dyDescent="0.25">
      <x:c r="A2606" t="s">
        <x:v>35</x:v>
      </x:c>
      <x:c r="B2606" t="s">
        <x:v>732</x:v>
      </x:c>
      <x:c r="C2606" t="s">
        <x:v>733</x:v>
      </x:c>
      <x:c r="D2606" t="s">
        <x:v>676</x:v>
      </x:c>
      <x:c r="E2606" s="6">
        <x:v>2330.6799999999998</x:v>
      </x:c>
      <x:c r="F2606" s="6">
        <x:v>0</x:v>
      </x:c>
      <x:c r="G2606" s="6">
        <x:v>0</x:v>
      </x:c>
      <x:c r="H2606" s="6">
        <x:f t="shared" si="128"/>
        <x:v>2330.6799999999998</x:v>
      </x:c>
      <x:c r="I2606" s="6">
        <x:v>379.25</x:v>
      </x:c>
      <x:c r="J2606" s="6">
        <x:v>0</x:v>
      </x:c>
      <x:c r="K2606" s="6">
        <x:f t="shared" si="129"/>
        <x:v>379.25</x:v>
      </x:c>
      <x:c r="L2606" s="6">
        <x:v>0</x:v>
      </x:c>
      <x:c r="M2606" s="6">
        <x:v>0</x:v>
      </x:c>
      <x:c r="N2606" s="6">
        <x:f t="shared" si="130"/>
        <x:v>2709.93</x:v>
      </x:c>
    </x:row>
    <x:row r="2607" spans="1:14" x14ac:dyDescent="0.25">
      <x:c r="A2607" t="s">
        <x:v>35</x:v>
      </x:c>
      <x:c r="B2607" s="3" t="s">
        <x:v>122</x:v>
      </x:c>
      <x:c r="C2607" s="3" t="s">
        <x:v>439</x:v>
      </x:c>
      <x:c r="D2607" t="s">
        <x:v>676</x:v>
      </x:c>
      <x:c r="E2607" s="6">
        <x:v>0</x:v>
      </x:c>
      <x:c r="F2607" s="6">
        <x:v>0</x:v>
      </x:c>
      <x:c r="G2607" s="6">
        <x:v>0</x:v>
      </x:c>
      <x:c r="H2607" s="6">
        <x:f t="shared" si="128"/>
        <x:v>0</x:v>
      </x:c>
      <x:c r="I2607" s="6">
        <x:v>3033.82</x:v>
      </x:c>
      <x:c r="J2607" s="6">
        <x:v>0</x:v>
      </x:c>
      <x:c r="K2607" s="6">
        <x:f t="shared" si="129"/>
        <x:v>3033.82</x:v>
      </x:c>
      <x:c r="L2607" s="6">
        <x:v>0</x:v>
      </x:c>
      <x:c r="M2607" s="6">
        <x:v>0</x:v>
      </x:c>
      <x:c r="N2607" s="6">
        <x:f t="shared" si="130"/>
        <x:v>3033.82</x:v>
      </x:c>
    </x:row>
    <x:row r="2608" spans="1:14" x14ac:dyDescent="0.25">
      <x:c r="A2608" t="s">
        <x:v>35</x:v>
      </x:c>
      <x:c r="B2608" s="3" t="s">
        <x:v>316</x:v>
      </x:c>
      <x:c r="C2608" s="3" t="s">
        <x:v>631</x:v>
      </x:c>
      <x:c r="D2608" t="s">
        <x:v>676</x:v>
      </x:c>
      <x:c r="E2608" s="6">
        <x:v>0</x:v>
      </x:c>
      <x:c r="F2608" s="6">
        <x:v>0</x:v>
      </x:c>
      <x:c r="G2608" s="6">
        <x:v>0</x:v>
      </x:c>
      <x:c r="H2608" s="6">
        <x:f t="shared" si="128"/>
        <x:v>0</x:v>
      </x:c>
      <x:c r="I2608" s="6">
        <x:v>0</x:v>
      </x:c>
      <x:c r="J2608" s="6">
        <x:v>0</x:v>
      </x:c>
      <x:c r="K2608" s="6">
        <x:f t="shared" si="129"/>
        <x:v>0</x:v>
      </x:c>
      <x:c r="L2608" s="6">
        <x:v>0</x:v>
      </x:c>
      <x:c r="M2608" s="6">
        <x:v>1932.26</x:v>
      </x:c>
      <x:c r="N2608" s="6">
        <x:f t="shared" si="130"/>
        <x:v>1932.26</x:v>
      </x:c>
    </x:row>
    <x:row r="2609" spans="1:14" x14ac:dyDescent="0.25">
      <x:c r="A2609" t="s">
        <x:v>35</x:v>
      </x:c>
      <x:c r="B2609" s="3" t="s">
        <x:v>131</x:v>
      </x:c>
      <x:c r="C2609" s="3" t="s">
        <x:v>448</x:v>
      </x:c>
      <x:c r="D2609" t="s">
        <x:v>676</x:v>
      </x:c>
      <x:c r="E2609" s="6">
        <x:v>0</x:v>
      </x:c>
      <x:c r="F2609" s="6">
        <x:v>0</x:v>
      </x:c>
      <x:c r="G2609" s="6">
        <x:v>0</x:v>
      </x:c>
      <x:c r="H2609" s="6">
        <x:f t="shared" si="128"/>
        <x:v>0</x:v>
      </x:c>
      <x:c r="I2609" s="6">
        <x:v>811.08</x:v>
      </x:c>
      <x:c r="J2609" s="6">
        <x:v>0</x:v>
      </x:c>
      <x:c r="K2609" s="6">
        <x:f t="shared" si="129"/>
        <x:v>811.08</x:v>
      </x:c>
      <x:c r="L2609" s="6">
        <x:v>0</x:v>
      </x:c>
      <x:c r="M2609" s="6">
        <x:v>0</x:v>
      </x:c>
      <x:c r="N2609" s="6">
        <x:f t="shared" si="130"/>
        <x:v>811.08</x:v>
      </x:c>
    </x:row>
    <x:row r="2610" spans="1:14" x14ac:dyDescent="0.25">
      <x:c r="A2610" t="s">
        <x:v>35</x:v>
      </x:c>
      <x:c r="B2610" s="3" t="s">
        <x:v>133</x:v>
      </x:c>
      <x:c r="C2610" s="3" t="s">
        <x:v>450</x:v>
      </x:c>
      <x:c r="D2610" t="s">
        <x:v>676</x:v>
      </x:c>
      <x:c r="E2610" s="6">
        <x:v>0</x:v>
      </x:c>
      <x:c r="F2610" s="6">
        <x:v>0</x:v>
      </x:c>
      <x:c r="G2610" s="6">
        <x:v>0</x:v>
      </x:c>
      <x:c r="H2610" s="6">
        <x:f t="shared" si="128"/>
        <x:v>0</x:v>
      </x:c>
      <x:c r="I2610" s="6">
        <x:v>1678.34</x:v>
      </x:c>
      <x:c r="J2610" s="6">
        <x:v>0</x:v>
      </x:c>
      <x:c r="K2610" s="6">
        <x:f t="shared" si="129"/>
        <x:v>1678.34</x:v>
      </x:c>
      <x:c r="L2610" s="6">
        <x:v>0</x:v>
      </x:c>
      <x:c r="M2610" s="6">
        <x:v>0</x:v>
      </x:c>
      <x:c r="N2610" s="6">
        <x:f t="shared" si="130"/>
        <x:v>1678.34</x:v>
      </x:c>
    </x:row>
    <x:row r="2611" spans="1:14" x14ac:dyDescent="0.25">
      <x:c r="A2611" t="s">
        <x:v>35</x:v>
      </x:c>
      <x:c r="B2611" s="3" t="s">
        <x:v>138</x:v>
      </x:c>
      <x:c r="C2611" s="3" t="s">
        <x:v>455</x:v>
      </x:c>
      <x:c r="D2611" t="s">
        <x:v>676</x:v>
      </x:c>
      <x:c r="E2611" s="6">
        <x:v>0</x:v>
      </x:c>
      <x:c r="F2611" s="6">
        <x:v>0</x:v>
      </x:c>
      <x:c r="G2611" s="6">
        <x:v>0</x:v>
      </x:c>
      <x:c r="H2611" s="6">
        <x:f t="shared" si="128"/>
        <x:v>0</x:v>
      </x:c>
      <x:c r="I2611" s="6">
        <x:v>2047.45</x:v>
      </x:c>
      <x:c r="J2611" s="6">
        <x:v>0</x:v>
      </x:c>
      <x:c r="K2611" s="6">
        <x:f t="shared" si="129"/>
        <x:v>2047.45</x:v>
      </x:c>
      <x:c r="L2611" s="6">
        <x:v>0</x:v>
      </x:c>
      <x:c r="M2611" s="6">
        <x:v>0</x:v>
      </x:c>
      <x:c r="N2611" s="6">
        <x:f t="shared" si="130"/>
        <x:v>2047.45</x:v>
      </x:c>
    </x:row>
    <x:row r="2612" spans="1:14" x14ac:dyDescent="0.25">
      <x:c r="A2612" t="s">
        <x:v>35</x:v>
      </x:c>
      <x:c r="B2612" s="3" t="s">
        <x:v>146</x:v>
      </x:c>
      <x:c r="C2612" s="3" t="s">
        <x:v>463</x:v>
      </x:c>
      <x:c r="D2612" t="s">
        <x:v>676</x:v>
      </x:c>
      <x:c r="E2612" s="6">
        <x:v>0</x:v>
      </x:c>
      <x:c r="F2612" s="6">
        <x:v>0</x:v>
      </x:c>
      <x:c r="G2612" s="6">
        <x:v>0</x:v>
      </x:c>
      <x:c r="H2612" s="6">
        <x:f t="shared" si="128"/>
        <x:v>0</x:v>
      </x:c>
      <x:c r="I2612" s="6">
        <x:v>756.02</x:v>
      </x:c>
      <x:c r="J2612" s="6">
        <x:v>0</x:v>
      </x:c>
      <x:c r="K2612" s="6">
        <x:f t="shared" si="129"/>
        <x:v>756.02</x:v>
      </x:c>
      <x:c r="L2612" s="6">
        <x:v>0</x:v>
      </x:c>
      <x:c r="M2612" s="6">
        <x:v>0</x:v>
      </x:c>
      <x:c r="N2612" s="6">
        <x:f t="shared" si="130"/>
        <x:v>756.02</x:v>
      </x:c>
    </x:row>
    <x:row r="2613" spans="1:14" x14ac:dyDescent="0.25">
      <x:c r="A2613" t="s">
        <x:v>35</x:v>
      </x:c>
      <x:c r="B2613" s="3" t="s">
        <x:v>147</x:v>
      </x:c>
      <x:c r="C2613" s="3" t="s">
        <x:v>464</x:v>
      </x:c>
      <x:c r="D2613" t="s">
        <x:v>676</x:v>
      </x:c>
      <x:c r="E2613" s="6">
        <x:v>0</x:v>
      </x:c>
      <x:c r="F2613" s="6">
        <x:v>0</x:v>
      </x:c>
      <x:c r="G2613" s="6">
        <x:v>0</x:v>
      </x:c>
      <x:c r="H2613" s="6">
        <x:f t="shared" si="128"/>
        <x:v>0</x:v>
      </x:c>
      <x:c r="I2613" s="6">
        <x:v>9.49</x:v>
      </x:c>
      <x:c r="J2613" s="6">
        <x:v>0</x:v>
      </x:c>
      <x:c r="K2613" s="6">
        <x:f t="shared" si="129"/>
        <x:v>9.49</x:v>
      </x:c>
      <x:c r="L2613" s="6">
        <x:v>0</x:v>
      </x:c>
      <x:c r="M2613" s="6">
        <x:v>0</x:v>
      </x:c>
      <x:c r="N2613" s="6">
        <x:f t="shared" si="130"/>
        <x:v>9.49</x:v>
      </x:c>
    </x:row>
    <x:row r="2614" spans="1:14" x14ac:dyDescent="0.25">
      <x:c r="A2614" t="s">
        <x:v>35</x:v>
      </x:c>
      <x:c r="B2614" s="3" t="s">
        <x:v>278</x:v>
      </x:c>
      <x:c r="C2614" s="3" t="s">
        <x:v>593</x:v>
      </x:c>
      <x:c r="D2614" t="s">
        <x:v>676</x:v>
      </x:c>
      <x:c r="E2614" s="6">
        <x:v>0</x:v>
      </x:c>
      <x:c r="F2614" s="6">
        <x:v>0</x:v>
      </x:c>
      <x:c r="G2614" s="6">
        <x:v>0</x:v>
      </x:c>
      <x:c r="H2614" s="6">
        <x:f t="shared" si="128"/>
        <x:v>0</x:v>
      </x:c>
      <x:c r="I2614" s="6">
        <x:v>821.94</x:v>
      </x:c>
      <x:c r="J2614" s="6">
        <x:v>0</x:v>
      </x:c>
      <x:c r="K2614" s="6">
        <x:f t="shared" si="129"/>
        <x:v>821.94</x:v>
      </x:c>
      <x:c r="L2614" s="6">
        <x:v>0</x:v>
      </x:c>
      <x:c r="M2614" s="6">
        <x:v>0</x:v>
      </x:c>
      <x:c r="N2614" s="6">
        <x:f t="shared" si="130"/>
        <x:v>821.94</x:v>
      </x:c>
    </x:row>
    <x:row r="2615" spans="1:14" x14ac:dyDescent="0.25">
      <x:c r="A2615" t="s">
        <x:v>35</x:v>
      </x:c>
      <x:c r="B2615" s="3" t="s">
        <x:v>155</x:v>
      </x:c>
      <x:c r="C2615" s="3" t="s">
        <x:v>472</x:v>
      </x:c>
      <x:c r="D2615" t="s">
        <x:v>676</x:v>
      </x:c>
      <x:c r="E2615" s="6">
        <x:v>0</x:v>
      </x:c>
      <x:c r="F2615" s="6">
        <x:v>0</x:v>
      </x:c>
      <x:c r="G2615" s="6">
        <x:v>0</x:v>
      </x:c>
      <x:c r="H2615" s="6">
        <x:f t="shared" si="128"/>
        <x:v>0</x:v>
      </x:c>
      <x:c r="I2615" s="6">
        <x:v>29.09</x:v>
      </x:c>
      <x:c r="J2615" s="6">
        <x:v>0</x:v>
      </x:c>
      <x:c r="K2615" s="6">
        <x:f t="shared" si="129"/>
        <x:v>29.09</x:v>
      </x:c>
      <x:c r="L2615" s="6">
        <x:v>0</x:v>
      </x:c>
      <x:c r="M2615" s="6">
        <x:v>0</x:v>
      </x:c>
      <x:c r="N2615" s="6">
        <x:f t="shared" si="130"/>
        <x:v>29.09</x:v>
      </x:c>
    </x:row>
    <x:row r="2616" spans="1:14" x14ac:dyDescent="0.25">
      <x:c r="A2616" t="s">
        <x:v>35</x:v>
      </x:c>
      <x:c r="B2616" s="3" t="s">
        <x:v>156</x:v>
      </x:c>
      <x:c r="C2616" s="3" t="s">
        <x:v>473</x:v>
      </x:c>
      <x:c r="D2616" t="s">
        <x:v>676</x:v>
      </x:c>
      <x:c r="E2616" s="6">
        <x:v>0</x:v>
      </x:c>
      <x:c r="F2616" s="6">
        <x:v>0</x:v>
      </x:c>
      <x:c r="G2616" s="6">
        <x:v>0</x:v>
      </x:c>
      <x:c r="H2616" s="6">
        <x:f t="shared" si="128"/>
        <x:v>0</x:v>
      </x:c>
      <x:c r="I2616" s="6">
        <x:v>55.22</x:v>
      </x:c>
      <x:c r="J2616" s="6">
        <x:v>0</x:v>
      </x:c>
      <x:c r="K2616" s="6">
        <x:f t="shared" si="129"/>
        <x:v>55.22</x:v>
      </x:c>
      <x:c r="L2616" s="6">
        <x:v>0</x:v>
      </x:c>
      <x:c r="M2616" s="6">
        <x:v>0</x:v>
      </x:c>
      <x:c r="N2616" s="6">
        <x:f t="shared" si="130"/>
        <x:v>55.22</x:v>
      </x:c>
    </x:row>
    <x:row r="2617" spans="1:14" x14ac:dyDescent="0.25">
      <x:c r="A2617" t="s">
        <x:v>35</x:v>
      </x:c>
      <x:c r="B2617" s="3" t="s">
        <x:v>49</x:v>
      </x:c>
      <x:c r="C2617" s="3" t="s">
        <x:v>366</x:v>
      </x:c>
      <x:c r="D2617" t="s">
        <x:v>676</x:v>
      </x:c>
      <x:c r="E2617" s="6">
        <x:v>0</x:v>
      </x:c>
      <x:c r="F2617" s="6">
        <x:v>0</x:v>
      </x:c>
      <x:c r="G2617" s="6">
        <x:v>0</x:v>
      </x:c>
      <x:c r="H2617" s="6">
        <x:f t="shared" si="128"/>
        <x:v>0</x:v>
      </x:c>
      <x:c r="I2617" s="6">
        <x:v>14.93</x:v>
      </x:c>
      <x:c r="J2617" s="6">
        <x:v>0</x:v>
      </x:c>
      <x:c r="K2617" s="6">
        <x:f t="shared" si="129"/>
        <x:v>14.93</x:v>
      </x:c>
      <x:c r="L2617" s="6">
        <x:v>0</x:v>
      </x:c>
      <x:c r="M2617" s="6">
        <x:v>0</x:v>
      </x:c>
      <x:c r="N2617" s="6">
        <x:f t="shared" si="130"/>
        <x:v>14.93</x:v>
      </x:c>
    </x:row>
    <x:row r="2618" spans="1:14" x14ac:dyDescent="0.25">
      <x:c r="A2618" t="s">
        <x:v>35</x:v>
      </x:c>
      <x:c r="B2618" s="3" t="s">
        <x:v>166</x:v>
      </x:c>
      <x:c r="C2618" s="3" t="s">
        <x:v>483</x:v>
      </x:c>
      <x:c r="D2618" t="s">
        <x:v>676</x:v>
      </x:c>
      <x:c r="E2618" s="6">
        <x:v>0</x:v>
      </x:c>
      <x:c r="F2618" s="6">
        <x:v>0</x:v>
      </x:c>
      <x:c r="G2618" s="6">
        <x:v>0</x:v>
      </x:c>
      <x:c r="H2618" s="6">
        <x:f t="shared" si="128"/>
        <x:v>0</x:v>
      </x:c>
      <x:c r="I2618" s="6">
        <x:v>795.25</x:v>
      </x:c>
      <x:c r="J2618" s="6">
        <x:v>0</x:v>
      </x:c>
      <x:c r="K2618" s="6">
        <x:f t="shared" si="129"/>
        <x:v>795.25</x:v>
      </x:c>
      <x:c r="L2618" s="6">
        <x:v>0</x:v>
      </x:c>
      <x:c r="M2618" s="6">
        <x:v>0</x:v>
      </x:c>
      <x:c r="N2618" s="6">
        <x:f t="shared" si="130"/>
        <x:v>795.25</x:v>
      </x:c>
    </x:row>
    <x:row r="2619" spans="1:14" x14ac:dyDescent="0.25">
      <x:c r="A2619" t="s">
        <x:v>35</x:v>
      </x:c>
      <x:c r="B2619" s="3" t="s">
        <x:v>281</x:v>
      </x:c>
      <x:c r="C2619" s="3" t="s">
        <x:v>596</x:v>
      </x:c>
      <x:c r="D2619" t="s">
        <x:v>676</x:v>
      </x:c>
      <x:c r="E2619" s="6">
        <x:v>333049.95999999996</x:v>
      </x:c>
      <x:c r="F2619" s="6">
        <x:v>0</x:v>
      </x:c>
      <x:c r="G2619" s="6">
        <x:v>0</x:v>
      </x:c>
      <x:c r="H2619" s="6">
        <x:f t="shared" si="128"/>
        <x:v>333049.95999999996</x:v>
      </x:c>
      <x:c r="I2619" s="6">
        <x:v>889515.9800000001</x:v>
      </x:c>
      <x:c r="J2619" s="6">
        <x:v>0</x:v>
      </x:c>
      <x:c r="K2619" s="6">
        <x:f t="shared" si="129"/>
        <x:v>889515.9800000001</x:v>
      </x:c>
      <x:c r="L2619" s="6">
        <x:v>248750.38</x:v>
      </x:c>
      <x:c r="M2619" s="6">
        <x:v>10222.609999999919</x:v>
      </x:c>
      <x:c r="N2619" s="6">
        <x:f t="shared" si="130"/>
        <x:v>1481538.9299999997</x:v>
      </x:c>
    </x:row>
    <x:row r="2620" spans="1:14" x14ac:dyDescent="0.25">
      <x:c r="A2620" t="s">
        <x:v>35</x:v>
      </x:c>
      <x:c r="B2620" s="3" t="s">
        <x:v>234</x:v>
      </x:c>
      <x:c r="C2620" s="3" t="s">
        <x:v>549</x:v>
      </x:c>
      <x:c r="D2620" t="s">
        <x:v>676</x:v>
      </x:c>
      <x:c r="E2620" s="6">
        <x:v>0</x:v>
      </x:c>
      <x:c r="F2620" s="6">
        <x:v>0</x:v>
      </x:c>
      <x:c r="G2620" s="6">
        <x:v>0</x:v>
      </x:c>
      <x:c r="H2620" s="6">
        <x:f t="shared" si="128"/>
        <x:v>0</x:v>
      </x:c>
      <x:c r="I2620" s="6">
        <x:v>441.89</x:v>
      </x:c>
      <x:c r="J2620" s="6">
        <x:v>0</x:v>
      </x:c>
      <x:c r="K2620" s="6">
        <x:f t="shared" si="129"/>
        <x:v>441.89</x:v>
      </x:c>
      <x:c r="L2620" s="6">
        <x:v>0</x:v>
      </x:c>
      <x:c r="M2620" s="6">
        <x:v>0</x:v>
      </x:c>
      <x:c r="N2620" s="6">
        <x:f t="shared" si="130"/>
        <x:v>441.89</x:v>
      </x:c>
    </x:row>
    <x:row r="2621" spans="1:14" x14ac:dyDescent="0.25">
      <x:c r="A2621" t="s">
        <x:v>35</x:v>
      </x:c>
      <x:c r="B2621" s="3" t="s">
        <x:v>59</x:v>
      </x:c>
      <x:c r="C2621" s="3" t="s">
        <x:v>376</x:v>
      </x:c>
      <x:c r="D2621" t="s">
        <x:v>676</x:v>
      </x:c>
      <x:c r="E2621" s="6">
        <x:v>503.73</x:v>
      </x:c>
      <x:c r="F2621" s="6">
        <x:v>0</x:v>
      </x:c>
      <x:c r="G2621" s="6">
        <x:v>0</x:v>
      </x:c>
      <x:c r="H2621" s="6">
        <x:f t="shared" si="128"/>
        <x:v>503.73</x:v>
      </x:c>
      <x:c r="I2621" s="6">
        <x:v>1345.36</x:v>
      </x:c>
      <x:c r="J2621" s="6">
        <x:v>0</x:v>
      </x:c>
      <x:c r="K2621" s="6">
        <x:f t="shared" si="129"/>
        <x:v>1345.36</x:v>
      </x:c>
      <x:c r="L2621" s="6">
        <x:v>376.23</x:v>
      </x:c>
      <x:c r="M2621" s="6">
        <x:v>15.450000000000045</x:v>
      </x:c>
      <x:c r="N2621" s="6">
        <x:f t="shared" si="130"/>
        <x:v>2240.7699999999995</x:v>
      </x:c>
    </x:row>
    <x:row r="2622" spans="1:14" x14ac:dyDescent="0.25">
      <x:c r="A2622" t="s">
        <x:v>35</x:v>
      </x:c>
      <x:c r="B2622" s="3" t="s">
        <x:v>60</x:v>
      </x:c>
      <x:c r="C2622" s="3" t="s">
        <x:v>377</x:v>
      </x:c>
      <x:c r="D2622" t="s">
        <x:v>676</x:v>
      </x:c>
      <x:c r="E2622" s="6">
        <x:v>3848.45</x:v>
      </x:c>
      <x:c r="F2622" s="6">
        <x:v>0</x:v>
      </x:c>
      <x:c r="G2622" s="6">
        <x:v>0</x:v>
      </x:c>
      <x:c r="H2622" s="6">
        <x:f t="shared" si="128"/>
        <x:v>3848.45</x:v>
      </x:c>
      <x:c r="I2622" s="6">
        <x:v>10278.52</x:v>
      </x:c>
      <x:c r="J2622" s="6">
        <x:v>0</x:v>
      </x:c>
      <x:c r="K2622" s="6">
        <x:f t="shared" si="129"/>
        <x:v>10278.52</x:v>
      </x:c>
      <x:c r="L2622" s="6">
        <x:v>2874.35</x:v>
      </x:c>
      <x:c r="M2622" s="6">
        <x:v>118.15000000000069</x:v>
      </x:c>
      <x:c r="N2622" s="6">
        <x:f t="shared" si="130"/>
        <x:v>17119.47</x:v>
      </x:c>
    </x:row>
    <x:row r="2623" spans="1:14" x14ac:dyDescent="0.25">
      <x:c r="A2623" t="s">
        <x:v>35</x:v>
      </x:c>
      <x:c r="B2623" s="3" t="s">
        <x:v>171</x:v>
      </x:c>
      <x:c r="C2623" s="3" t="s">
        <x:v>487</x:v>
      </x:c>
      <x:c r="D2623" t="s">
        <x:v>676</x:v>
      </x:c>
      <x:c r="E2623" s="6">
        <x:v>0</x:v>
      </x:c>
      <x:c r="F2623" s="6">
        <x:v>0</x:v>
      </x:c>
      <x:c r="G2623" s="6">
        <x:v>0</x:v>
      </x:c>
      <x:c r="H2623" s="6">
        <x:f t="shared" si="128"/>
        <x:v>0</x:v>
      </x:c>
      <x:c r="I2623" s="6">
        <x:v>785.3</x:v>
      </x:c>
      <x:c r="J2623" s="6">
        <x:v>0</x:v>
      </x:c>
      <x:c r="K2623" s="6">
        <x:f t="shared" si="129"/>
        <x:v>785.3</x:v>
      </x:c>
      <x:c r="L2623" s="6">
        <x:v>0</x:v>
      </x:c>
      <x:c r="M2623" s="6">
        <x:v>0</x:v>
      </x:c>
      <x:c r="N2623" s="6">
        <x:f t="shared" si="130"/>
        <x:v>785.3</x:v>
      </x:c>
    </x:row>
    <x:row r="2624" spans="1:14" x14ac:dyDescent="0.25">
      <x:c r="A2624" t="s">
        <x:v>35</x:v>
      </x:c>
      <x:c r="B2624" s="3" t="s">
        <x:v>175</x:v>
      </x:c>
      <x:c r="C2624" s="3" t="s">
        <x:v>491</x:v>
      </x:c>
      <x:c r="D2624" t="s">
        <x:v>676</x:v>
      </x:c>
      <x:c r="E2624" s="6">
        <x:v>0</x:v>
      </x:c>
      <x:c r="F2624" s="6">
        <x:v>0</x:v>
      </x:c>
      <x:c r="G2624" s="6">
        <x:v>0</x:v>
      </x:c>
      <x:c r="H2624" s="6">
        <x:f t="shared" si="128"/>
        <x:v>0</x:v>
      </x:c>
      <x:c r="I2624" s="6">
        <x:v>785.24</x:v>
      </x:c>
      <x:c r="J2624" s="6">
        <x:v>0</x:v>
      </x:c>
      <x:c r="K2624" s="6">
        <x:f t="shared" si="129"/>
        <x:v>785.24</x:v>
      </x:c>
      <x:c r="L2624" s="6">
        <x:v>0</x:v>
      </x:c>
      <x:c r="M2624" s="6">
        <x:v>0</x:v>
      </x:c>
      <x:c r="N2624" s="6">
        <x:f t="shared" si="130"/>
        <x:v>785.24</x:v>
      </x:c>
    </x:row>
    <x:row r="2625" spans="1:14" x14ac:dyDescent="0.25">
      <x:c r="A2625" t="s">
        <x:v>35</x:v>
      </x:c>
      <x:c r="B2625" s="3" t="s">
        <x:v>287</x:v>
      </x:c>
      <x:c r="C2625" s="3" t="s">
        <x:v>602</x:v>
      </x:c>
      <x:c r="D2625" t="s">
        <x:v>676</x:v>
      </x:c>
      <x:c r="E2625" s="6">
        <x:v>0</x:v>
      </x:c>
      <x:c r="F2625" s="6">
        <x:v>0</x:v>
      </x:c>
      <x:c r="G2625" s="6">
        <x:v>0</x:v>
      </x:c>
      <x:c r="H2625" s="6">
        <x:f t="shared" si="128"/>
        <x:v>0</x:v>
      </x:c>
      <x:c r="I2625" s="6">
        <x:v>790.04</x:v>
      </x:c>
      <x:c r="J2625" s="6">
        <x:v>0</x:v>
      </x:c>
      <x:c r="K2625" s="6">
        <x:f t="shared" si="129"/>
        <x:v>790.04</x:v>
      </x:c>
      <x:c r="L2625" s="6">
        <x:v>0</x:v>
      </x:c>
      <x:c r="M2625" s="6">
        <x:v>0</x:v>
      </x:c>
      <x:c r="N2625" s="6">
        <x:f t="shared" si="130"/>
        <x:v>790.04</x:v>
      </x:c>
    </x:row>
    <x:row r="2626" spans="1:14" x14ac:dyDescent="0.25">
      <x:c r="A2626" t="s">
        <x:v>35</x:v>
      </x:c>
      <x:c r="B2626" s="3" t="s">
        <x:v>192</x:v>
      </x:c>
      <x:c r="C2626" s="3" t="s">
        <x:v>508</x:v>
      </x:c>
      <x:c r="D2626" t="s">
        <x:v>676</x:v>
      </x:c>
      <x:c r="E2626" s="6">
        <x:v>0</x:v>
      </x:c>
      <x:c r="F2626" s="6">
        <x:v>0</x:v>
      </x:c>
      <x:c r="G2626" s="6">
        <x:v>0</x:v>
      </x:c>
      <x:c r="H2626" s="6">
        <x:f t="shared" si="128"/>
        <x:v>0</x:v>
      </x:c>
      <x:c r="I2626" s="6">
        <x:v>1942.1299999999999</x:v>
      </x:c>
      <x:c r="J2626" s="6">
        <x:v>0</x:v>
      </x:c>
      <x:c r="K2626" s="6">
        <x:f t="shared" si="129"/>
        <x:v>1942.1299999999999</x:v>
      </x:c>
      <x:c r="L2626" s="6">
        <x:v>0</x:v>
      </x:c>
      <x:c r="M2626" s="6">
        <x:v>0</x:v>
      </x:c>
      <x:c r="N2626" s="6">
        <x:f t="shared" si="130"/>
        <x:v>1942.1299999999999</x:v>
      </x:c>
    </x:row>
    <x:row r="2627" spans="1:14" x14ac:dyDescent="0.25">
      <x:c r="A2627" t="s">
        <x:v>35</x:v>
      </x:c>
      <x:c r="B2627" s="3" t="s">
        <x:v>194</x:v>
      </x:c>
      <x:c r="C2627" s="3" t="s">
        <x:v>510</x:v>
      </x:c>
      <x:c r="D2627" t="s">
        <x:v>676</x:v>
      </x:c>
      <x:c r="E2627" s="6">
        <x:v>0</x:v>
      </x:c>
      <x:c r="F2627" s="6">
        <x:v>0</x:v>
      </x:c>
      <x:c r="G2627" s="6">
        <x:v>0</x:v>
      </x:c>
      <x:c r="H2627" s="6">
        <x:f t="shared" si="128"/>
        <x:v>0</x:v>
      </x:c>
      <x:c r="I2627" s="6">
        <x:v>676.56</x:v>
      </x:c>
      <x:c r="J2627" s="6">
        <x:v>0</x:v>
      </x:c>
      <x:c r="K2627" s="6">
        <x:f t="shared" si="129"/>
        <x:v>676.56</x:v>
      </x:c>
      <x:c r="L2627" s="6">
        <x:v>0</x:v>
      </x:c>
      <x:c r="M2627" s="6">
        <x:v>0</x:v>
      </x:c>
      <x:c r="N2627" s="6">
        <x:f t="shared" si="130"/>
        <x:v>676.56</x:v>
      </x:c>
    </x:row>
    <x:row r="2628" spans="1:14" x14ac:dyDescent="0.25">
      <x:c r="A2628" t="s">
        <x:v>35</x:v>
      </x:c>
      <x:c r="B2628" s="3" t="s">
        <x:v>198</x:v>
      </x:c>
      <x:c r="C2628" s="3" t="s">
        <x:v>514</x:v>
      </x:c>
      <x:c r="D2628" t="s">
        <x:v>676</x:v>
      </x:c>
      <x:c r="E2628" s="6">
        <x:v>0</x:v>
      </x:c>
      <x:c r="F2628" s="6">
        <x:v>0</x:v>
      </x:c>
      <x:c r="G2628" s="6">
        <x:v>0</x:v>
      </x:c>
      <x:c r="H2628" s="6">
        <x:f t="shared" si="128"/>
        <x:v>0</x:v>
      </x:c>
      <x:c r="I2628" s="6">
        <x:v>828.17</x:v>
      </x:c>
      <x:c r="J2628" s="6">
        <x:v>0</x:v>
      </x:c>
      <x:c r="K2628" s="6">
        <x:f t="shared" si="129"/>
        <x:v>828.17</x:v>
      </x:c>
      <x:c r="L2628" s="6">
        <x:v>0</x:v>
      </x:c>
      <x:c r="M2628" s="6">
        <x:v>0</x:v>
      </x:c>
      <x:c r="N2628" s="6">
        <x:f t="shared" si="130"/>
        <x:v>828.17</x:v>
      </x:c>
    </x:row>
    <x:row r="2629" spans="1:14" x14ac:dyDescent="0.25">
      <x:c r="A2629" t="s">
        <x:v>35</x:v>
      </x:c>
      <x:c r="B2629" s="3" t="s">
        <x:v>199</x:v>
      </x:c>
      <x:c r="C2629" s="3" t="s">
        <x:v>515</x:v>
      </x:c>
      <x:c r="D2629" t="s">
        <x:v>676</x:v>
      </x:c>
      <x:c r="E2629" s="6">
        <x:v>0</x:v>
      </x:c>
      <x:c r="F2629" s="6">
        <x:v>0</x:v>
      </x:c>
      <x:c r="G2629" s="6">
        <x:v>0</x:v>
      </x:c>
      <x:c r="H2629" s="6">
        <x:f t="shared" si="128"/>
        <x:v>0</x:v>
      </x:c>
      <x:c r="I2629" s="6">
        <x:v>177.31</x:v>
      </x:c>
      <x:c r="J2629" s="6">
        <x:v>0</x:v>
      </x:c>
      <x:c r="K2629" s="6">
        <x:f t="shared" si="129"/>
        <x:v>177.31</x:v>
      </x:c>
      <x:c r="L2629" s="6">
        <x:v>0</x:v>
      </x:c>
      <x:c r="M2629" s="6">
        <x:v>0</x:v>
      </x:c>
      <x:c r="N2629" s="6">
        <x:f t="shared" si="130"/>
        <x:v>177.31</x:v>
      </x:c>
    </x:row>
    <x:row r="2630" spans="1:14" x14ac:dyDescent="0.25">
      <x:c r="A2630" t="s">
        <x:v>35</x:v>
      </x:c>
      <x:c r="B2630" s="3" t="s">
        <x:v>200</x:v>
      </x:c>
      <x:c r="C2630" s="3" t="s">
        <x:v>516</x:v>
      </x:c>
      <x:c r="D2630" t="s">
        <x:v>676</x:v>
      </x:c>
      <x:c r="E2630" s="6">
        <x:v>0</x:v>
      </x:c>
      <x:c r="F2630" s="6">
        <x:v>0</x:v>
      </x:c>
      <x:c r="G2630" s="6">
        <x:v>0</x:v>
      </x:c>
      <x:c r="H2630" s="6">
        <x:f t="shared" si="128"/>
        <x:v>0</x:v>
      </x:c>
      <x:c r="I2630" s="6">
        <x:v>63.52</x:v>
      </x:c>
      <x:c r="J2630" s="6">
        <x:v>0</x:v>
      </x:c>
      <x:c r="K2630" s="6">
        <x:f t="shared" si="129"/>
        <x:v>63.52</x:v>
      </x:c>
      <x:c r="L2630" s="6">
        <x:v>0</x:v>
      </x:c>
      <x:c r="M2630" s="6">
        <x:v>0</x:v>
      </x:c>
      <x:c r="N2630" s="6">
        <x:f t="shared" si="130"/>
        <x:v>63.52</x:v>
      </x:c>
    </x:row>
    <x:row r="2631" spans="1:14" x14ac:dyDescent="0.25">
      <x:c r="A2631" t="s">
        <x:v>35</x:v>
      </x:c>
      <x:c r="B2631" s="3" t="s">
        <x:v>202</x:v>
      </x:c>
      <x:c r="C2631" s="3" t="s">
        <x:v>518</x:v>
      </x:c>
      <x:c r="D2631" t="s">
        <x:v>676</x:v>
      </x:c>
      <x:c r="E2631" s="6">
        <x:v>0</x:v>
      </x:c>
      <x:c r="F2631" s="6">
        <x:v>0</x:v>
      </x:c>
      <x:c r="G2631" s="6">
        <x:v>0</x:v>
      </x:c>
      <x:c r="H2631" s="6">
        <x:f t="shared" si="128"/>
        <x:v>0</x:v>
      </x:c>
      <x:c r="I2631" s="6">
        <x:v>835.6</x:v>
      </x:c>
      <x:c r="J2631" s="6">
        <x:v>0</x:v>
      </x:c>
      <x:c r="K2631" s="6">
        <x:f t="shared" si="129"/>
        <x:v>835.6</x:v>
      </x:c>
      <x:c r="L2631" s="6">
        <x:v>0</x:v>
      </x:c>
      <x:c r="M2631" s="6">
        <x:v>0</x:v>
      </x:c>
      <x:c r="N2631" s="6">
        <x:f t="shared" si="130"/>
        <x:v>835.6</x:v>
      </x:c>
    </x:row>
    <x:row r="2632" spans="1:14" x14ac:dyDescent="0.25">
      <x:c r="A2632" t="s">
        <x:v>35</x:v>
      </x:c>
      <x:c r="B2632" s="3" t="s">
        <x:v>203</x:v>
      </x:c>
      <x:c r="C2632" s="3" t="s">
        <x:v>519</x:v>
      </x:c>
      <x:c r="D2632" t="s">
        <x:v>676</x:v>
      </x:c>
      <x:c r="E2632" s="6">
        <x:v>0</x:v>
      </x:c>
      <x:c r="F2632" s="6">
        <x:v>0</x:v>
      </x:c>
      <x:c r="G2632" s="6">
        <x:v>0</x:v>
      </x:c>
      <x:c r="H2632" s="6">
        <x:f t="shared" si="128"/>
        <x:v>0</x:v>
      </x:c>
      <x:c r="I2632" s="6">
        <x:v>4.6900000000000004</x:v>
      </x:c>
      <x:c r="J2632" s="6">
        <x:v>0</x:v>
      </x:c>
      <x:c r="K2632" s="6">
        <x:f t="shared" si="129"/>
        <x:v>4.6900000000000004</x:v>
      </x:c>
      <x:c r="L2632" s="6">
        <x:v>0</x:v>
      </x:c>
      <x:c r="M2632" s="6">
        <x:v>0</x:v>
      </x:c>
      <x:c r="N2632" s="6">
        <x:f t="shared" si="130"/>
        <x:v>4.6900000000000004</x:v>
      </x:c>
    </x:row>
    <x:row r="2633" spans="1:14" x14ac:dyDescent="0.25">
      <x:c r="A2633" t="s">
        <x:v>35</x:v>
      </x:c>
      <x:c r="B2633" s="3" t="s">
        <x:v>205</x:v>
      </x:c>
      <x:c r="C2633" s="3" t="s">
        <x:v>521</x:v>
      </x:c>
      <x:c r="D2633" t="s">
        <x:v>676</x:v>
      </x:c>
      <x:c r="E2633" s="6">
        <x:v>0</x:v>
      </x:c>
      <x:c r="F2633" s="6">
        <x:v>0</x:v>
      </x:c>
      <x:c r="G2633" s="6">
        <x:v>0</x:v>
      </x:c>
      <x:c r="H2633" s="6">
        <x:f t="shared" si="128"/>
        <x:v>0</x:v>
      </x:c>
      <x:c r="I2633" s="6">
        <x:v>375</x:v>
      </x:c>
      <x:c r="J2633" s="6">
        <x:v>0</x:v>
      </x:c>
      <x:c r="K2633" s="6">
        <x:f t="shared" si="129"/>
        <x:v>375</x:v>
      </x:c>
      <x:c r="L2633" s="6">
        <x:v>0</x:v>
      </x:c>
      <x:c r="M2633" s="6">
        <x:v>0</x:v>
      </x:c>
      <x:c r="N2633" s="6">
        <x:f t="shared" si="130"/>
        <x:v>375</x:v>
      </x:c>
    </x:row>
    <x:row r="2634" spans="1:14" x14ac:dyDescent="0.25">
      <x:c r="A2634" t="s">
        <x:v>35</x:v>
      </x:c>
      <x:c r="B2634" s="3" t="s">
        <x:v>207</x:v>
      </x:c>
      <x:c r="C2634" s="3" t="s">
        <x:v>523</x:v>
      </x:c>
      <x:c r="D2634" t="s">
        <x:v>676</x:v>
      </x:c>
      <x:c r="E2634" s="6">
        <x:v>0</x:v>
      </x:c>
      <x:c r="F2634" s="6">
        <x:v>0</x:v>
      </x:c>
      <x:c r="G2634" s="6">
        <x:v>0</x:v>
      </x:c>
      <x:c r="H2634" s="6">
        <x:f t="shared" si="128"/>
        <x:v>0</x:v>
      </x:c>
      <x:c r="I2634" s="6">
        <x:v>790.36</x:v>
      </x:c>
      <x:c r="J2634" s="6">
        <x:v>0</x:v>
      </x:c>
      <x:c r="K2634" s="6">
        <x:f t="shared" si="129"/>
        <x:v>790.36</x:v>
      </x:c>
      <x:c r="L2634" s="6">
        <x:v>0</x:v>
      </x:c>
      <x:c r="M2634" s="6">
        <x:v>0</x:v>
      </x:c>
      <x:c r="N2634" s="6">
        <x:f t="shared" si="130"/>
        <x:v>790.36</x:v>
      </x:c>
    </x:row>
    <x:row r="2635" spans="1:14" x14ac:dyDescent="0.25">
      <x:c r="A2635" t="s">
        <x:v>35</x:v>
      </x:c>
      <x:c r="B2635" s="3" t="s">
        <x:v>214</x:v>
      </x:c>
      <x:c r="C2635" s="3" t="s">
        <x:v>530</x:v>
      </x:c>
      <x:c r="D2635" t="s">
        <x:v>676</x:v>
      </x:c>
      <x:c r="E2635" s="6">
        <x:v>0</x:v>
      </x:c>
      <x:c r="F2635" s="6">
        <x:v>0</x:v>
      </x:c>
      <x:c r="G2635" s="6">
        <x:v>0</x:v>
      </x:c>
      <x:c r="H2635" s="6">
        <x:f t="shared" si="128"/>
        <x:v>0</x:v>
      </x:c>
      <x:c r="I2635" s="6">
        <x:v>785.25</x:v>
      </x:c>
      <x:c r="J2635" s="6">
        <x:v>0</x:v>
      </x:c>
      <x:c r="K2635" s="6">
        <x:f t="shared" si="129"/>
        <x:v>785.25</x:v>
      </x:c>
      <x:c r="L2635" s="6">
        <x:v>0</x:v>
      </x:c>
      <x:c r="M2635" s="6">
        <x:v>0</x:v>
      </x:c>
      <x:c r="N2635" s="6">
        <x:f t="shared" si="130"/>
        <x:v>785.25</x:v>
      </x:c>
    </x:row>
    <x:row r="2636" spans="1:14" x14ac:dyDescent="0.25">
      <x:c r="A2636" t="s">
        <x:v>35</x:v>
      </x:c>
      <x:c r="B2636" s="3" t="s">
        <x:v>215</x:v>
      </x:c>
      <x:c r="C2636" s="3" t="s">
        <x:v>531</x:v>
      </x:c>
      <x:c r="D2636" t="s">
        <x:v>676</x:v>
      </x:c>
      <x:c r="E2636" s="6">
        <x:v>0</x:v>
      </x:c>
      <x:c r="F2636" s="6">
        <x:v>0</x:v>
      </x:c>
      <x:c r="G2636" s="6">
        <x:v>0</x:v>
      </x:c>
      <x:c r="H2636" s="6">
        <x:f t="shared" si="128"/>
        <x:v>0</x:v>
      </x:c>
      <x:c r="I2636" s="6">
        <x:v>1656.99</x:v>
      </x:c>
      <x:c r="J2636" s="6">
        <x:v>0</x:v>
      </x:c>
      <x:c r="K2636" s="6">
        <x:f t="shared" si="129"/>
        <x:v>1656.99</x:v>
      </x:c>
      <x:c r="L2636" s="6">
        <x:v>0</x:v>
      </x:c>
      <x:c r="M2636" s="6">
        <x:v>0</x:v>
      </x:c>
      <x:c r="N2636" s="6">
        <x:f t="shared" si="130"/>
        <x:v>1656.99</x:v>
      </x:c>
    </x:row>
    <x:row r="2637" spans="1:14" x14ac:dyDescent="0.25">
      <x:c r="A2637" t="s">
        <x:v>35</x:v>
      </x:c>
      <x:c r="B2637" s="3" t="s">
        <x:v>325</x:v>
      </x:c>
      <x:c r="C2637" s="3" t="s">
        <x:v>640</x:v>
      </x:c>
      <x:c r="D2637" t="s">
        <x:v>676</x:v>
      </x:c>
      <x:c r="E2637" s="6">
        <x:v>6744</x:v>
      </x:c>
      <x:c r="F2637" s="6">
        <x:v>0</x:v>
      </x:c>
      <x:c r="G2637" s="6">
        <x:v>0</x:v>
      </x:c>
      <x:c r="H2637" s="6">
        <x:f t="shared" si="128"/>
        <x:v>6744</x:v>
      </x:c>
      <x:c r="I2637" s="6">
        <x:v>18012</x:v>
      </x:c>
      <x:c r="J2637" s="6">
        <x:v>0</x:v>
      </x:c>
      <x:c r="K2637" s="6">
        <x:f t="shared" si="129"/>
        <x:v>18012</x:v>
      </x:c>
      <x:c r="L2637" s="6">
        <x:v>5037</x:v>
      </x:c>
      <x:c r="M2637" s="6">
        <x:v>207</x:v>
      </x:c>
      <x:c r="N2637" s="6">
        <x:f t="shared" si="130"/>
        <x:v>30000</x:v>
      </x:c>
    </x:row>
    <x:row r="2638" spans="1:14" x14ac:dyDescent="0.25">
      <x:c r="A2638" t="s">
        <x:v>35</x:v>
      </x:c>
      <x:c r="B2638" s="3" t="s">
        <x:v>66</x:v>
      </x:c>
      <x:c r="C2638" s="3" t="s">
        <x:v>383</x:v>
      </x:c>
      <x:c r="D2638" t="s">
        <x:v>676</x:v>
      </x:c>
      <x:c r="E2638" s="6">
        <x:v>493.86</x:v>
      </x:c>
      <x:c r="F2638" s="6">
        <x:v>0</x:v>
      </x:c>
      <x:c r="G2638" s="6">
        <x:v>0</x:v>
      </x:c>
      <x:c r="H2638" s="6">
        <x:f t="shared" si="128"/>
        <x:v>493.86</x:v>
      </x:c>
      <x:c r="I2638" s="6">
        <x:v>1296.81</x:v>
      </x:c>
      <x:c r="J2638" s="6">
        <x:v>0</x:v>
      </x:c>
      <x:c r="K2638" s="6">
        <x:f t="shared" si="129"/>
        <x:v>1296.81</x:v>
      </x:c>
      <x:c r="L2638" s="6">
        <x:v>0</x:v>
      </x:c>
      <x:c r="M2638" s="6">
        <x:v>0</x:v>
      </x:c>
      <x:c r="N2638" s="6">
        <x:f t="shared" si="130"/>
        <x:v>1790.67</x:v>
      </x:c>
    </x:row>
    <x:row r="2639" spans="1:14" x14ac:dyDescent="0.25">
      <x:c r="A2639" t="s">
        <x:v>35</x:v>
      </x:c>
      <x:c r="B2639" s="3" t="s">
        <x:v>317</x:v>
      </x:c>
      <x:c r="C2639" s="3" t="s">
        <x:v>632</x:v>
      </x:c>
      <x:c r="D2639" t="s">
        <x:v>676</x:v>
      </x:c>
      <x:c r="E2639" s="6">
        <x:v>0</x:v>
      </x:c>
      <x:c r="F2639" s="6">
        <x:v>0</x:v>
      </x:c>
      <x:c r="G2639" s="6">
        <x:v>0</x:v>
      </x:c>
      <x:c r="H2639" s="6">
        <x:f t="shared" si="128"/>
        <x:v>0</x:v>
      </x:c>
      <x:c r="I2639" s="6">
        <x:v>0</x:v>
      </x:c>
      <x:c r="J2639" s="6">
        <x:v>0</x:v>
      </x:c>
      <x:c r="K2639" s="6">
        <x:f t="shared" si="129"/>
        <x:v>0</x:v>
      </x:c>
      <x:c r="L2639" s="6">
        <x:v>0</x:v>
      </x:c>
      <x:c r="M2639" s="6">
        <x:v>20610.8</x:v>
      </x:c>
      <x:c r="N2639" s="6">
        <x:f t="shared" si="130"/>
        <x:v>20610.8</x:v>
      </x:c>
    </x:row>
    <x:row r="2640" spans="1:14" x14ac:dyDescent="0.25">
      <x:c r="A2640" t="s">
        <x:v>35</x:v>
      </x:c>
      <x:c r="B2640" s="3" t="s">
        <x:v>318</x:v>
      </x:c>
      <x:c r="C2640" s="3" t="s">
        <x:v>633</x:v>
      </x:c>
      <x:c r="D2640" t="s">
        <x:v>676</x:v>
      </x:c>
      <x:c r="E2640" s="6">
        <x:v>0</x:v>
      </x:c>
      <x:c r="F2640" s="6">
        <x:v>0</x:v>
      </x:c>
      <x:c r="G2640" s="6">
        <x:v>0</x:v>
      </x:c>
      <x:c r="H2640" s="6">
        <x:f t="shared" si="128"/>
        <x:v>0</x:v>
      </x:c>
      <x:c r="I2640" s="6">
        <x:v>0</x:v>
      </x:c>
      <x:c r="J2640" s="6">
        <x:v>0</x:v>
      </x:c>
      <x:c r="K2640" s="6">
        <x:f t="shared" si="129"/>
        <x:v>0</x:v>
      </x:c>
      <x:c r="L2640" s="6">
        <x:v>0</x:v>
      </x:c>
      <x:c r="M2640" s="6">
        <x:v>25</x:v>
      </x:c>
      <x:c r="N2640" s="6">
        <x:f t="shared" si="130"/>
        <x:v>25</x:v>
      </x:c>
    </x:row>
    <x:row r="2641" spans="1:14" x14ac:dyDescent="0.25">
      <x:c r="A2641" t="s">
        <x:v>35</x:v>
      </x:c>
      <x:c r="B2641" s="3" t="s">
        <x:v>67</x:v>
      </x:c>
      <x:c r="C2641" s="3" t="s">
        <x:v>384</x:v>
      </x:c>
      <x:c r="D2641" t="s">
        <x:v>676</x:v>
      </x:c>
      <x:c r="E2641" s="6">
        <x:v>12097.539999999999</x:v>
      </x:c>
      <x:c r="F2641" s="6">
        <x:v>0</x:v>
      </x:c>
      <x:c r="G2641" s="6">
        <x:v>0</x:v>
      </x:c>
      <x:c r="H2641" s="6">
        <x:f t="shared" si="128"/>
        <x:v>12097.539999999999</x:v>
      </x:c>
      <x:c r="I2641" s="6">
        <x:v>32310.32</x:v>
      </x:c>
      <x:c r="J2641" s="6">
        <x:v>0</x:v>
      </x:c>
      <x:c r="K2641" s="6">
        <x:f t="shared" si="129"/>
        <x:v>32310.32</x:v>
      </x:c>
      <x:c r="L2641" s="6">
        <x:v>9035.4800000000014</x:v>
      </x:c>
      <x:c r="M2641" s="6">
        <x:v>371.32000000000039</x:v>
      </x:c>
      <x:c r="N2641" s="6">
        <x:f t="shared" si="130"/>
        <x:v>53814.66</x:v>
      </x:c>
    </x:row>
    <x:row r="2642" spans="1:14" x14ac:dyDescent="0.25">
      <x:c r="A2642" t="s">
        <x:v>35</x:v>
      </x:c>
      <x:c r="B2642" s="3" t="s">
        <x:v>327</x:v>
      </x:c>
      <x:c r="C2642" s="3" t="s">
        <x:v>642</x:v>
      </x:c>
      <x:c r="D2642" t="s">
        <x:v>676</x:v>
      </x:c>
      <x:c r="E2642" s="6">
        <x:v>38417.440000000002</x:v>
      </x:c>
      <x:c r="F2642" s="6">
        <x:v>0</x:v>
      </x:c>
      <x:c r="G2642" s="6">
        <x:v>0</x:v>
      </x:c>
      <x:c r="H2642" s="6">
        <x:f t="shared" si="128"/>
        <x:v>38417.440000000002</x:v>
      </x:c>
      <x:c r="I2642" s="6">
        <x:v>102606.02</x:v>
      </x:c>
      <x:c r="J2642" s="6">
        <x:v>0</x:v>
      </x:c>
      <x:c r="K2642" s="6">
        <x:f t="shared" si="129"/>
        <x:v>102606.02</x:v>
      </x:c>
      <x:c r="L2642" s="6">
        <x:v>28693.46</x:v>
      </x:c>
      <x:c r="M2642" s="6">
        <x:v>1179.1800000000003</x:v>
      </x:c>
      <x:c r="N2642" s="6">
        <x:f t="shared" si="130"/>
        <x:v>170896.1</x:v>
      </x:c>
    </x:row>
    <x:row r="2643" spans="1:14" x14ac:dyDescent="0.25">
      <x:c r="A2643" t="s">
        <x:v>35</x:v>
      </x:c>
      <x:c r="B2643" s="3" t="s">
        <x:v>290</x:v>
      </x:c>
      <x:c r="C2643" s="3" t="s">
        <x:v>605</x:v>
      </x:c>
      <x:c r="D2643" t="s">
        <x:v>676</x:v>
      </x:c>
      <x:c r="E2643" s="6">
        <x:v>0</x:v>
      </x:c>
      <x:c r="F2643" s="6">
        <x:v>0</x:v>
      </x:c>
      <x:c r="G2643" s="6">
        <x:v>0</x:v>
      </x:c>
      <x:c r="H2643" s="6">
        <x:f t="shared" si="128"/>
        <x:v>0</x:v>
      </x:c>
      <x:c r="I2643" s="6">
        <x:v>251137.87999999998</x:v>
      </x:c>
      <x:c r="J2643" s="6">
        <x:v>0</x:v>
      </x:c>
      <x:c r="K2643" s="6">
        <x:f t="shared" si="129"/>
        <x:v>251137.87999999998</x:v>
      </x:c>
      <x:c r="L2643" s="6">
        <x:v>0</x:v>
      </x:c>
      <x:c r="M2643" s="6">
        <x:v>0</x:v>
      </x:c>
      <x:c r="N2643" s="6">
        <x:f t="shared" si="130"/>
        <x:v>251137.87999999998</x:v>
      </x:c>
    </x:row>
    <x:row r="2644" spans="1:14" x14ac:dyDescent="0.25">
      <x:c r="A2644" t="s">
        <x:v>35</x:v>
      </x:c>
      <x:c r="B2644" s="3" t="s">
        <x:v>291</x:v>
      </x:c>
      <x:c r="C2644" s="3" t="s">
        <x:v>606</x:v>
      </x:c>
      <x:c r="D2644" t="s">
        <x:v>676</x:v>
      </x:c>
      <x:c r="E2644" s="6">
        <x:v>0</x:v>
      </x:c>
      <x:c r="F2644" s="6">
        <x:v>0</x:v>
      </x:c>
      <x:c r="G2644" s="6">
        <x:v>0</x:v>
      </x:c>
      <x:c r="H2644" s="6">
        <x:f t="shared" si="128"/>
        <x:v>0</x:v>
      </x:c>
      <x:c r="I2644" s="6">
        <x:v>47103.62</x:v>
      </x:c>
      <x:c r="J2644" s="6">
        <x:v>0</x:v>
      </x:c>
      <x:c r="K2644" s="6">
        <x:f t="shared" si="129"/>
        <x:v>47103.62</x:v>
      </x:c>
      <x:c r="L2644" s="6">
        <x:v>0</x:v>
      </x:c>
      <x:c r="M2644" s="6">
        <x:v>0</x:v>
      </x:c>
      <x:c r="N2644" s="6">
        <x:f t="shared" si="130"/>
        <x:v>47103.62</x:v>
      </x:c>
    </x:row>
    <x:row r="2645" spans="1:14" x14ac:dyDescent="0.25">
      <x:c r="A2645" t="s">
        <x:v>35</x:v>
      </x:c>
      <x:c r="B2645" s="3" t="s">
        <x:v>47</x:v>
      </x:c>
      <x:c r="C2645" s="3" t="s">
        <x:v>364</x:v>
      </x:c>
      <x:c r="D2645" t="s">
        <x:v>680</x:v>
      </x:c>
      <x:c r="E2645" s="6">
        <x:v>187191.21999999997</x:v>
      </x:c>
      <x:c r="F2645" s="6">
        <x:v>0</x:v>
      </x:c>
      <x:c r="G2645" s="6">
        <x:v>0</x:v>
      </x:c>
      <x:c r="H2645" s="6">
        <x:f t="shared" si="128"/>
        <x:v>187191.21999999997</x:v>
      </x:c>
      <x:c r="I2645" s="6">
        <x:v>2180077.4700000002</x:v>
      </x:c>
      <x:c r="J2645" s="6">
        <x:v>0</x:v>
      </x:c>
      <x:c r="K2645" s="6">
        <x:f t="shared" si="129"/>
        <x:v>2180077.4700000002</x:v>
      </x:c>
      <x:c r="L2645" s="6">
        <x:v>94232.310000000012</x:v>
      </x:c>
      <x:c r="M2645" s="6">
        <x:v>85318.47000000003</x:v>
      </x:c>
      <x:c r="N2645" s="6">
        <x:f t="shared" si="130"/>
        <x:v>2546819.4700000007</x:v>
      </x:c>
    </x:row>
    <x:row r="2646" spans="1:14" x14ac:dyDescent="0.25">
      <x:c r="A2646" t="s">
        <x:v>35</x:v>
      </x:c>
      <x:c r="B2646" s="3" t="s">
        <x:v>312</x:v>
      </x:c>
      <x:c r="C2646" s="3" t="s">
        <x:v>627</x:v>
      </x:c>
      <x:c r="D2646" t="s">
        <x:v>676</x:v>
      </x:c>
      <x:c r="E2646" s="6">
        <x:v>0</x:v>
      </x:c>
      <x:c r="F2646" s="6">
        <x:v>0</x:v>
      </x:c>
      <x:c r="G2646" s="6">
        <x:v>0</x:v>
      </x:c>
      <x:c r="H2646" s="6">
        <x:f t="shared" si="128"/>
        <x:v>0</x:v>
      </x:c>
      <x:c r="I2646" s="6">
        <x:v>0</x:v>
      </x:c>
      <x:c r="J2646" s="6">
        <x:v>0</x:v>
      </x:c>
      <x:c r="K2646" s="6">
        <x:f t="shared" si="129"/>
        <x:v>0</x:v>
      </x:c>
      <x:c r="L2646" s="6">
        <x:v>0</x:v>
      </x:c>
      <x:c r="M2646" s="6">
        <x:v>726613.77</x:v>
      </x:c>
      <x:c r="N2646" s="6">
        <x:f t="shared" si="130"/>
        <x:v>726613.77</x:v>
      </x:c>
    </x:row>
    <x:row r="2647" spans="1:14" x14ac:dyDescent="0.25">
      <x:c r="A2647" t="s">
        <x:v>35</x:v>
      </x:c>
      <x:c r="B2647" s="3" t="s">
        <x:v>268</x:v>
      </x:c>
      <x:c r="C2647" s="3" t="s">
        <x:v>583</x:v>
      </x:c>
      <x:c r="D2647" t="s">
        <x:v>676</x:v>
      </x:c>
      <x:c r="E2647" s="6">
        <x:v>0</x:v>
      </x:c>
      <x:c r="F2647" s="6">
        <x:v>0</x:v>
      </x:c>
      <x:c r="G2647" s="6">
        <x:v>0</x:v>
      </x:c>
      <x:c r="H2647" s="6">
        <x:f t="shared" si="128"/>
        <x:v>0</x:v>
      </x:c>
      <x:c r="I2647" s="6">
        <x:v>0</x:v>
      </x:c>
      <x:c r="J2647" s="6">
        <x:v>0</x:v>
      </x:c>
      <x:c r="K2647" s="6">
        <x:f t="shared" si="129"/>
        <x:v>0</x:v>
      </x:c>
      <x:c r="L2647" s="6">
        <x:v>550</x:v>
      </x:c>
      <x:c r="M2647" s="6">
        <x:v>0</x:v>
      </x:c>
      <x:c r="N2647" s="6">
        <x:f t="shared" si="130"/>
        <x:v>550</x:v>
      </x:c>
    </x:row>
    <x:row r="2648" spans="1:14" x14ac:dyDescent="0.25">
      <x:c r="A2648" t="s">
        <x:v>35</x:v>
      </x:c>
      <x:c r="B2648" s="3" t="s">
        <x:v>292</x:v>
      </x:c>
      <x:c r="C2648" s="3" t="s">
        <x:v>607</x:v>
      </x:c>
      <x:c r="D2648" t="s">
        <x:v>676</x:v>
      </x:c>
      <x:c r="E2648" s="6">
        <x:v>0</x:v>
      </x:c>
      <x:c r="F2648" s="6">
        <x:v>0</x:v>
      </x:c>
      <x:c r="G2648" s="6">
        <x:v>0</x:v>
      </x:c>
      <x:c r="H2648" s="6">
        <x:f t="shared" si="128"/>
        <x:v>0</x:v>
      </x:c>
      <x:c r="I2648" s="6">
        <x:v>0</x:v>
      </x:c>
      <x:c r="J2648" s="6">
        <x:v>0</x:v>
      </x:c>
      <x:c r="K2648" s="6">
        <x:f t="shared" si="129"/>
        <x:v>0</x:v>
      </x:c>
      <x:c r="L2648" s="6">
        <x:v>12788.78</x:v>
      </x:c>
      <x:c r="M2648" s="6">
        <x:v>0</x:v>
      </x:c>
      <x:c r="N2648" s="6">
        <x:f t="shared" si="130"/>
        <x:v>12788.78</x:v>
      </x:c>
    </x:row>
    <x:row r="2649" spans="1:14" x14ac:dyDescent="0.25">
      <x:c r="A2649" t="s">
        <x:v>35</x:v>
      </x:c>
      <x:c r="B2649" s="3" t="s">
        <x:v>313</x:v>
      </x:c>
      <x:c r="C2649" s="3" t="s">
        <x:v>628</x:v>
      </x:c>
      <x:c r="D2649" t="s">
        <x:v>676</x:v>
      </x:c>
      <x:c r="E2649" s="6">
        <x:v>0</x:v>
      </x:c>
      <x:c r="F2649" s="6">
        <x:v>0</x:v>
      </x:c>
      <x:c r="G2649" s="6">
        <x:v>0</x:v>
      </x:c>
      <x:c r="H2649" s="6">
        <x:f t="shared" si="128"/>
        <x:v>0</x:v>
      </x:c>
      <x:c r="I2649" s="6">
        <x:v>0</x:v>
      </x:c>
      <x:c r="J2649" s="6">
        <x:v>0</x:v>
      </x:c>
      <x:c r="K2649" s="6">
        <x:f t="shared" si="129"/>
        <x:v>0</x:v>
      </x:c>
      <x:c r="L2649" s="6">
        <x:v>0</x:v>
      </x:c>
      <x:c r="M2649" s="6">
        <x:v>133123.46</x:v>
      </x:c>
      <x:c r="N2649" s="6">
        <x:f t="shared" si="130"/>
        <x:v>133123.46</x:v>
      </x:c>
    </x:row>
    <x:row r="2650" spans="1:14" x14ac:dyDescent="0.25">
      <x:c r="A2650" t="s">
        <x:v>35</x:v>
      </x:c>
      <x:c r="B2650" s="3" t="s">
        <x:v>329</x:v>
      </x:c>
      <x:c r="C2650" s="3" t="s">
        <x:v>644</x:v>
      </x:c>
      <x:c r="D2650" t="s">
        <x:v>676</x:v>
      </x:c>
      <x:c r="E2650" s="6">
        <x:v>0</x:v>
      </x:c>
      <x:c r="F2650" s="6">
        <x:v>0</x:v>
      </x:c>
      <x:c r="G2650" s="6">
        <x:v>0</x:v>
      </x:c>
      <x:c r="H2650" s="6">
        <x:f t="shared" si="128"/>
        <x:v>0</x:v>
      </x:c>
      <x:c r="I2650" s="6">
        <x:v>0</x:v>
      </x:c>
      <x:c r="J2650" s="6">
        <x:v>0</x:v>
      </x:c>
      <x:c r="K2650" s="6">
        <x:f t="shared" si="129"/>
        <x:v>0</x:v>
      </x:c>
      <x:c r="L2650" s="6">
        <x:v>0</x:v>
      </x:c>
      <x:c r="M2650" s="6">
        <x:v>48000</x:v>
      </x:c>
      <x:c r="N2650" s="6">
        <x:f t="shared" si="130"/>
        <x:v>48000</x:v>
      </x:c>
    </x:row>
    <x:row r="2651" spans="1:14" x14ac:dyDescent="0.25">
      <x:c r="A2651" t="s">
        <x:v>35</x:v>
      </x:c>
      <x:c r="B2651" s="3" t="s">
        <x:v>293</x:v>
      </x:c>
      <x:c r="C2651" s="3" t="s">
        <x:v>608</x:v>
      </x:c>
      <x:c r="D2651" t="s">
        <x:v>676</x:v>
      </x:c>
      <x:c r="E2651" s="6">
        <x:v>0</x:v>
      </x:c>
      <x:c r="F2651" s="6">
        <x:v>0</x:v>
      </x:c>
      <x:c r="G2651" s="6">
        <x:v>0</x:v>
      </x:c>
      <x:c r="H2651" s="6">
        <x:f t="shared" si="128"/>
        <x:v>0</x:v>
      </x:c>
      <x:c r="I2651" s="6">
        <x:v>0</x:v>
      </x:c>
      <x:c r="J2651" s="6">
        <x:v>0</x:v>
      </x:c>
      <x:c r="K2651" s="6">
        <x:f t="shared" si="129"/>
        <x:v>0</x:v>
      </x:c>
      <x:c r="L2651" s="6">
        <x:v>0</x:v>
      </x:c>
      <x:c r="M2651" s="6">
        <x:v>18256.43</x:v>
      </x:c>
      <x:c r="N2651" s="6">
        <x:f t="shared" si="130"/>
        <x:v>18256.43</x:v>
      </x:c>
    </x:row>
    <x:row r="2652" spans="1:14" x14ac:dyDescent="0.25">
      <x:c r="A2652" t="s">
        <x:v>35</x:v>
      </x:c>
      <x:c r="B2652" s="3" t="s">
        <x:v>330</x:v>
      </x:c>
      <x:c r="C2652" s="3" t="s">
        <x:v>645</x:v>
      </x:c>
      <x:c r="D2652" t="s">
        <x:v>676</x:v>
      </x:c>
      <x:c r="E2652" s="6">
        <x:v>360763.5</x:v>
      </x:c>
      <x:c r="F2652" s="6">
        <x:v>0</x:v>
      </x:c>
      <x:c r="G2652" s="6">
        <x:v>0</x:v>
      </x:c>
      <x:c r="H2652" s="6">
        <x:f t="shared" si="128"/>
        <x:v>360763.5</x:v>
      </x:c>
      <x:c r="I2652" s="6">
        <x:v>963533.83</x:v>
      </x:c>
      <x:c r="J2652" s="6">
        <x:v>0</x:v>
      </x:c>
      <x:c r="K2652" s="6">
        <x:f t="shared" si="129"/>
        <x:v>963533.83</x:v>
      </x:c>
      <x:c r="L2652" s="6">
        <x:v>269449.25</x:v>
      </x:c>
      <x:c r="M2652" s="6">
        <x:v>11073.259999999991</x:v>
      </x:c>
      <x:c r="N2652" s="6">
        <x:f t="shared" si="130"/>
        <x:v>1604819.84</x:v>
      </x:c>
    </x:row>
    <x:row r="2653" spans="1:14" x14ac:dyDescent="0.25">
      <x:c r="A2653" t="s">
        <x:v>35</x:v>
      </x:c>
      <x:c r="B2653" t="s">
        <x:v>762</x:v>
      </x:c>
      <x:c r="C2653" t="s">
        <x:v>763</x:v>
      </x:c>
      <x:c r="D2653" t="s">
        <x:v>676</x:v>
      </x:c>
      <x:c r="E2653" s="6">
        <x:v>11028.22</x:v>
      </x:c>
      <x:c r="F2653" s="6">
        <x:v>0</x:v>
      </x:c>
      <x:c r="G2653" s="6">
        <x:v>0</x:v>
      </x:c>
      <x:c r="H2653" s="6">
        <x:f t="shared" si="128"/>
        <x:v>11028.22</x:v>
      </x:c>
      <x:c r="I2653" s="6">
        <x:v>0</x:v>
      </x:c>
      <x:c r="J2653" s="6">
        <x:v>0</x:v>
      </x:c>
      <x:c r="K2653" s="6">
        <x:f t="shared" si="129"/>
        <x:v>0</x:v>
      </x:c>
      <x:c r="L2653" s="6">
        <x:v>0</x:v>
      </x:c>
      <x:c r="M2653" s="6">
        <x:v>0</x:v>
      </x:c>
      <x:c r="N2653" s="6">
        <x:f t="shared" si="130"/>
        <x:v>11028.22</x:v>
      </x:c>
    </x:row>
    <x:row r="2654" spans="1:14" x14ac:dyDescent="0.25">
      <x:c r="A2654" t="s">
        <x:v>35</x:v>
      </x:c>
      <x:c r="B2654" t="s">
        <x:v>751</x:v>
      </x:c>
      <x:c r="C2654" t="s">
        <x:v>752</x:v>
      </x:c>
      <x:c r="D2654" t="s">
        <x:v>676</x:v>
      </x:c>
      <x:c r="E2654" s="6">
        <x:v>682.93</x:v>
      </x:c>
      <x:c r="F2654" s="6">
        <x:v>0</x:v>
      </x:c>
      <x:c r="G2654" s="6">
        <x:v>0</x:v>
      </x:c>
      <x:c r="H2654" s="6">
        <x:f t="shared" si="128"/>
        <x:v>682.93</x:v>
      </x:c>
      <x:c r="I2654" s="6">
        <x:v>0</x:v>
      </x:c>
      <x:c r="J2654" s="6">
        <x:v>0</x:v>
      </x:c>
      <x:c r="K2654" s="6">
        <x:f t="shared" si="129"/>
        <x:v>0</x:v>
      </x:c>
      <x:c r="L2654" s="6">
        <x:v>0</x:v>
      </x:c>
      <x:c r="M2654" s="6">
        <x:v>0</x:v>
      </x:c>
      <x:c r="N2654" s="6">
        <x:f t="shared" si="130"/>
        <x:v>682.93</x:v>
      </x:c>
    </x:row>
    <x:row r="2655" spans="1:14" x14ac:dyDescent="0.25">
      <x:c r="A2655" t="s">
        <x:v>35</x:v>
      </x:c>
      <x:c r="B2655" s="3" t="s">
        <x:v>294</x:v>
      </x:c>
      <x:c r="C2655" s="3" t="s">
        <x:v>609</x:v>
      </x:c>
      <x:c r="D2655" t="s">
        <x:v>676</x:v>
      </x:c>
      <x:c r="E2655" s="6">
        <x:v>0</x:v>
      </x:c>
      <x:c r="F2655" s="6">
        <x:v>0</x:v>
      </x:c>
      <x:c r="G2655" s="6">
        <x:v>0</x:v>
      </x:c>
      <x:c r="H2655" s="6">
        <x:f t="shared" ref="H2655:H2718" si="131">SUM(E2655:G2655)</x:f>
        <x:v>0</x:v>
      </x:c>
      <x:c r="I2655" s="6">
        <x:v>0</x:v>
      </x:c>
      <x:c r="J2655" s="6">
        <x:v>0</x:v>
      </x:c>
      <x:c r="K2655" s="6">
        <x:f t="shared" ref="K2655:K2718" si="132">SUM(I2655:J2655)</x:f>
        <x:v>0</x:v>
      </x:c>
      <x:c r="L2655" s="6">
        <x:v>0</x:v>
      </x:c>
      <x:c r="M2655" s="6">
        <x:v>75339.92</x:v>
      </x:c>
      <x:c r="N2655" s="6">
        <x:f t="shared" ref="N2655:N2718" si="133">+E2655+F2655+G2655+I2655+J2655+L2655+M2655</x:f>
        <x:v>75339.92</x:v>
      </x:c>
    </x:row>
    <x:row r="2656" spans="1:14" x14ac:dyDescent="0.25">
      <x:c r="A2656" t="s">
        <x:v>35</x:v>
      </x:c>
      <x:c r="B2656" s="3" t="s">
        <x:v>331</x:v>
      </x:c>
      <x:c r="C2656" s="3" t="s">
        <x:v>646</x:v>
      </x:c>
      <x:c r="D2656" t="s">
        <x:v>676</x:v>
      </x:c>
      <x:c r="E2656" s="6">
        <x:v>0</x:v>
      </x:c>
      <x:c r="F2656" s="6">
        <x:v>0</x:v>
      </x:c>
      <x:c r="G2656" s="6">
        <x:v>0</x:v>
      </x:c>
      <x:c r="H2656" s="6">
        <x:f t="shared" si="131"/>
        <x:v>0</x:v>
      </x:c>
      <x:c r="I2656" s="6">
        <x:v>0</x:v>
      </x:c>
      <x:c r="J2656" s="6">
        <x:v>0</x:v>
      </x:c>
      <x:c r="K2656" s="6">
        <x:f t="shared" si="132"/>
        <x:v>0</x:v>
      </x:c>
      <x:c r="L2656" s="6">
        <x:v>0</x:v>
      </x:c>
      <x:c r="M2656" s="6">
        <x:v>1992814.0899999999</x:v>
      </x:c>
      <x:c r="N2656" s="6">
        <x:f t="shared" si="133"/>
        <x:v>1992814.0899999999</x:v>
      </x:c>
    </x:row>
    <x:row r="2657" spans="1:14" x14ac:dyDescent="0.25">
      <x:c r="A2657" t="s">
        <x:v>35</x:v>
      </x:c>
      <x:c r="B2657" s="3" t="s">
        <x:v>314</x:v>
      </x:c>
      <x:c r="C2657" s="3" t="s">
        <x:v>629</x:v>
      </x:c>
      <x:c r="D2657" t="s">
        <x:v>676</x:v>
      </x:c>
      <x:c r="E2657" s="6">
        <x:v>0</x:v>
      </x:c>
      <x:c r="F2657" s="6">
        <x:v>0</x:v>
      </x:c>
      <x:c r="G2657" s="6">
        <x:v>0</x:v>
      </x:c>
      <x:c r="H2657" s="6">
        <x:f t="shared" si="131"/>
        <x:v>0</x:v>
      </x:c>
      <x:c r="I2657" s="6">
        <x:v>0</x:v>
      </x:c>
      <x:c r="J2657" s="6">
        <x:v>0</x:v>
      </x:c>
      <x:c r="K2657" s="6">
        <x:f t="shared" si="132"/>
        <x:v>0</x:v>
      </x:c>
      <x:c r="L2657" s="6">
        <x:v>0</x:v>
      </x:c>
      <x:c r="M2657" s="6">
        <x:v>145793.49</x:v>
      </x:c>
      <x:c r="N2657" s="6">
        <x:f t="shared" si="133"/>
        <x:v>145793.49</x:v>
      </x:c>
    </x:row>
    <x:row r="2658" spans="1:14" x14ac:dyDescent="0.25">
      <x:c r="A2658" t="s">
        <x:v>35</x:v>
      </x:c>
      <x:c r="B2658" s="3" t="s">
        <x:v>296</x:v>
      </x:c>
      <x:c r="C2658" s="3" t="s">
        <x:v>611</x:v>
      </x:c>
      <x:c r="D2658" t="s">
        <x:v>676</x:v>
      </x:c>
      <x:c r="E2658" s="6">
        <x:v>0</x:v>
      </x:c>
      <x:c r="F2658" s="6">
        <x:v>0</x:v>
      </x:c>
      <x:c r="G2658" s="6">
        <x:v>0</x:v>
      </x:c>
      <x:c r="H2658" s="6">
        <x:f t="shared" si="131"/>
        <x:v>0</x:v>
      </x:c>
      <x:c r="I2658" s="6">
        <x:v>0</x:v>
      </x:c>
      <x:c r="J2658" s="6">
        <x:v>0</x:v>
      </x:c>
      <x:c r="K2658" s="6">
        <x:f t="shared" si="132"/>
        <x:v>0</x:v>
      </x:c>
      <x:c r="L2658" s="6">
        <x:v>0</x:v>
      </x:c>
      <x:c r="M2658" s="6">
        <x:v>33500</x:v>
      </x:c>
      <x:c r="N2658" s="6">
        <x:f t="shared" si="133"/>
        <x:v>33500</x:v>
      </x:c>
    </x:row>
    <x:row r="2659" spans="1:14" x14ac:dyDescent="0.25">
      <x:c r="A2659" t="s">
        <x:v>35</x:v>
      </x:c>
      <x:c r="B2659" s="3" t="s">
        <x:v>315</x:v>
      </x:c>
      <x:c r="C2659" s="3" t="s">
        <x:v>630</x:v>
      </x:c>
      <x:c r="D2659" t="s">
        <x:v>676</x:v>
      </x:c>
      <x:c r="E2659" s="6">
        <x:v>0</x:v>
      </x:c>
      <x:c r="F2659" s="6">
        <x:v>0</x:v>
      </x:c>
      <x:c r="G2659" s="6">
        <x:v>0</x:v>
      </x:c>
      <x:c r="H2659" s="6">
        <x:f t="shared" si="131"/>
        <x:v>0</x:v>
      </x:c>
      <x:c r="I2659" s="6">
        <x:v>0</x:v>
      </x:c>
      <x:c r="J2659" s="6">
        <x:v>0</x:v>
      </x:c>
      <x:c r="K2659" s="6">
        <x:f t="shared" si="132"/>
        <x:v>0</x:v>
      </x:c>
      <x:c r="L2659" s="6">
        <x:v>0</x:v>
      </x:c>
      <x:c r="M2659" s="6">
        <x:v>50000</x:v>
      </x:c>
      <x:c r="N2659" s="6">
        <x:f t="shared" si="133"/>
        <x:v>50000</x:v>
      </x:c>
    </x:row>
    <x:row r="2660" spans="1:14" x14ac:dyDescent="0.25">
      <x:c r="A2660" t="s">
        <x:v>35</x:v>
      </x:c>
      <x:c r="B2660" s="3" t="s">
        <x:v>68</x:v>
      </x:c>
      <x:c r="C2660" s="3" t="s">
        <x:v>385</x:v>
      </x:c>
      <x:c r="D2660" t="s">
        <x:v>676</x:v>
      </x:c>
      <x:c r="E2660" s="6">
        <x:v>91.04</x:v>
      </x:c>
      <x:c r="F2660" s="6">
        <x:v>0</x:v>
      </x:c>
      <x:c r="G2660" s="6">
        <x:v>0</x:v>
      </x:c>
      <x:c r="H2660" s="6">
        <x:f t="shared" si="131"/>
        <x:v>91.04</x:v>
      </x:c>
      <x:c r="I2660" s="6">
        <x:v>243.16</x:v>
      </x:c>
      <x:c r="J2660" s="6">
        <x:v>0</x:v>
      </x:c>
      <x:c r="K2660" s="6">
        <x:f t="shared" si="132"/>
        <x:v>243.16</x:v>
      </x:c>
      <x:c r="L2660" s="6">
        <x:v>68</x:v>
      </x:c>
      <x:c r="M2660" s="6">
        <x:v>2.7999999999999829</x:v>
      </x:c>
      <x:c r="N2660" s="6">
        <x:f t="shared" si="133"/>
        <x:v>405</x:v>
      </x:c>
    </x:row>
    <x:row r="2661" spans="1:14" x14ac:dyDescent="0.25">
      <x:c r="A2661" t="s">
        <x:v>35</x:v>
      </x:c>
      <x:c r="B2661" s="3" t="s">
        <x:v>333</x:v>
      </x:c>
      <x:c r="C2661" s="3" t="s">
        <x:v>648</x:v>
      </x:c>
      <x:c r="D2661" t="s">
        <x:v>676</x:v>
      </x:c>
      <x:c r="E2661" s="6">
        <x:v>552169.04</x:v>
      </x:c>
      <x:c r="F2661" s="6">
        <x:v>0</x:v>
      </x:c>
      <x:c r="G2661" s="6">
        <x:v>0</x:v>
      </x:c>
      <x:c r="H2661" s="6">
        <x:f t="shared" si="131"/>
        <x:v>552169.04</x:v>
      </x:c>
      <x:c r="I2661" s="6">
        <x:v>1474743.3</x:v>
      </x:c>
      <x:c r="J2661" s="6">
        <x:v>0</x:v>
      </x:c>
      <x:c r="K2661" s="6">
        <x:f t="shared" si="132"/>
        <x:v>1474743.3</x:v>
      </x:c>
      <x:c r="L2661" s="6">
        <x:v>412407.4</x:v>
      </x:c>
      <x:c r="M2661" s="6">
        <x:v>16948.250000000116</x:v>
      </x:c>
      <x:c r="N2661" s="6">
        <x:f t="shared" si="133"/>
        <x:v>2456267.9900000002</x:v>
      </x:c>
    </x:row>
    <x:row r="2662" spans="1:14" x14ac:dyDescent="0.25">
      <x:c r="A2662" t="s">
        <x:v>35</x:v>
      </x:c>
      <x:c r="B2662" s="3" t="s">
        <x:v>69</x:v>
      </x:c>
      <x:c r="C2662" s="3" t="s">
        <x:v>386</x:v>
      </x:c>
      <x:c r="D2662" t="s">
        <x:v>676</x:v>
      </x:c>
      <x:c r="E2662" s="6">
        <x:v>3637.18</x:v>
      </x:c>
      <x:c r="F2662" s="6">
        <x:v>0</x:v>
      </x:c>
      <x:c r="G2662" s="6">
        <x:v>0</x:v>
      </x:c>
      <x:c r="H2662" s="6">
        <x:f t="shared" si="131"/>
        <x:v>3637.18</x:v>
      </x:c>
      <x:c r="I2662" s="6">
        <x:v>9714.25</x:v>
      </x:c>
      <x:c r="J2662" s="6">
        <x:v>0</x:v>
      </x:c>
      <x:c r="K2662" s="6">
        <x:f t="shared" si="132"/>
        <x:v>9714.25</x:v>
      </x:c>
      <x:c r="L2662" s="6">
        <x:v>2716.56</x:v>
      </x:c>
      <x:c r="M2662" s="6">
        <x:v>111.63000000000305</x:v>
      </x:c>
      <x:c r="N2662" s="6">
        <x:f t="shared" si="133"/>
        <x:v>16179.620000000003</x:v>
      </x:c>
    </x:row>
    <x:row r="2663" spans="1:14" x14ac:dyDescent="0.25">
      <x:c r="A2663" t="s">
        <x:v>35</x:v>
      </x:c>
      <x:c r="B2663" s="3" t="s">
        <x:v>334</x:v>
      </x:c>
      <x:c r="C2663" s="3" t="s">
        <x:v>649</x:v>
      </x:c>
      <x:c r="D2663" t="s">
        <x:v>676</x:v>
      </x:c>
      <x:c r="E2663" s="6">
        <x:v>73196.299999999988</x:v>
      </x:c>
      <x:c r="F2663" s="6">
        <x:v>0</x:v>
      </x:c>
      <x:c r="G2663" s="6">
        <x:v>0</x:v>
      </x:c>
      <x:c r="H2663" s="6">
        <x:f t="shared" si="131"/>
        <x:v>73196.299999999988</x:v>
      </x:c>
      <x:c r="I2663" s="6">
        <x:v>195494.03</x:v>
      </x:c>
      <x:c r="J2663" s="6">
        <x:v>0</x:v>
      </x:c>
      <x:c r="K2663" s="6">
        <x:f t="shared" si="132"/>
        <x:v>195494.03</x:v>
      </x:c>
      <x:c r="L2663" s="6">
        <x:v>54669.3</x:v>
      </x:c>
      <x:c r="M2663" s="6">
        <x:v>2246.6799999999748</x:v>
      </x:c>
      <x:c r="N2663" s="6">
        <x:f t="shared" si="133"/>
        <x:v>325606.30999999994</x:v>
      </x:c>
    </x:row>
    <x:row r="2664" spans="1:14" x14ac:dyDescent="0.25">
      <x:c r="A2664" t="s">
        <x:v>35</x:v>
      </x:c>
      <x:c r="B2664" s="3" t="s">
        <x:v>70</x:v>
      </x:c>
      <x:c r="C2664" s="3" t="s">
        <x:v>387</x:v>
      </x:c>
      <x:c r="D2664" t="s">
        <x:v>676</x:v>
      </x:c>
      <x:c r="E2664" s="6">
        <x:v>11540.1</x:v>
      </x:c>
      <x:c r="F2664" s="6">
        <x:v>0</x:v>
      </x:c>
      <x:c r="G2664" s="6">
        <x:v>0</x:v>
      </x:c>
      <x:c r="H2664" s="6">
        <x:f t="shared" si="131"/>
        <x:v>11540.1</x:v>
      </x:c>
      <x:c r="I2664" s="6">
        <x:v>30821.53</x:v>
      </x:c>
      <x:c r="J2664" s="6">
        <x:v>0</x:v>
      </x:c>
      <x:c r="K2664" s="6">
        <x:f t="shared" si="132"/>
        <x:v>30821.53</x:v>
      </x:c>
      <x:c r="L2664" s="6">
        <x:v>8619.14</x:v>
      </x:c>
      <x:c r="M2664" s="6">
        <x:v>354.22999999999683</x:v>
      </x:c>
      <x:c r="N2664" s="6">
        <x:f t="shared" si="133"/>
        <x:v>51334.999999999993</x:v>
      </x:c>
    </x:row>
    <x:row r="2665" spans="1:14" x14ac:dyDescent="0.25">
      <x:c r="A2665" t="s">
        <x:v>35</x:v>
      </x:c>
      <x:c r="B2665" s="3" t="s">
        <x:v>335</x:v>
      </x:c>
      <x:c r="C2665" s="3" t="s">
        <x:v>650</x:v>
      </x:c>
      <x:c r="D2665" t="s">
        <x:v>676</x:v>
      </x:c>
      <x:c r="E2665" s="6">
        <x:v>96060.17</x:v>
      </x:c>
      <x:c r="F2665" s="6">
        <x:v>0</x:v>
      </x:c>
      <x:c r="G2665" s="6">
        <x:v>0</x:v>
      </x:c>
      <x:c r="H2665" s="6">
        <x:f t="shared" si="131"/>
        <x:v>96060.17</x:v>
      </x:c>
      <x:c r="I2665" s="6">
        <x:v>256559.29</x:v>
      </x:c>
      <x:c r="J2665" s="6">
        <x:v>0</x:v>
      </x:c>
      <x:c r="K2665" s="6">
        <x:f t="shared" si="132"/>
        <x:v>256559.29</x:v>
      </x:c>
      <x:c r="L2665" s="6">
        <x:v>71746.010000000009</x:v>
      </x:c>
      <x:c r="M2665" s="6">
        <x:v>2948.4599999999718</x:v>
      </x:c>
      <x:c r="N2665" s="6">
        <x:f t="shared" si="133"/>
        <x:v>427313.93</x:v>
      </x:c>
    </x:row>
    <x:row r="2666" spans="1:14" x14ac:dyDescent="0.25">
      <x:c r="A2666" t="s">
        <x:v>35</x:v>
      </x:c>
      <x:c r="B2666" s="3" t="s">
        <x:v>298</x:v>
      </x:c>
      <x:c r="C2666" s="3" t="s">
        <x:v>613</x:v>
      </x:c>
      <x:c r="D2666" t="s">
        <x:v>676</x:v>
      </x:c>
      <x:c r="E2666" s="6">
        <x:v>5606.3600000000006</x:v>
      </x:c>
      <x:c r="F2666" s="6">
        <x:v>0</x:v>
      </x:c>
      <x:c r="G2666" s="6">
        <x:v>0</x:v>
      </x:c>
      <x:c r="H2666" s="6">
        <x:f t="shared" si="131"/>
        <x:v>5606.3600000000006</x:v>
      </x:c>
      <x:c r="I2666" s="6">
        <x:v>14973.6</x:v>
      </x:c>
      <x:c r="J2666" s="6">
        <x:v>0</x:v>
      </x:c>
      <x:c r="K2666" s="6">
        <x:f t="shared" si="132"/>
        <x:v>14973.6</x:v>
      </x:c>
      <x:c r="L2666" s="6">
        <x:v>4187.33</x:v>
      </x:c>
      <x:c r="M2666" s="6">
        <x:v>172.07999999999879</x:v>
      </x:c>
      <x:c r="N2666" s="6">
        <x:f t="shared" si="133"/>
        <x:v>24939.37</x:v>
      </x:c>
    </x:row>
    <x:row r="2667" spans="1:14" x14ac:dyDescent="0.25">
      <x:c r="A2667" t="s">
        <x:v>35</x:v>
      </x:c>
      <x:c r="B2667" s="3" t="s">
        <x:v>336</x:v>
      </x:c>
      <x:c r="C2667" s="3" t="s">
        <x:v>651</x:v>
      </x:c>
      <x:c r="D2667" t="s">
        <x:v>676</x:v>
      </x:c>
      <x:c r="E2667" s="6">
        <x:v>3089.91</x:v>
      </x:c>
      <x:c r="F2667" s="6">
        <x:v>0</x:v>
      </x:c>
      <x:c r="G2667" s="6">
        <x:v>0</x:v>
      </x:c>
      <x:c r="H2667" s="6">
        <x:f t="shared" si="131"/>
        <x:v>3089.91</x:v>
      </x:c>
      <x:c r="I2667" s="6">
        <x:v>8252.58</x:v>
      </x:c>
      <x:c r="J2667" s="6">
        <x:v>0</x:v>
      </x:c>
      <x:c r="K2667" s="6">
        <x:f t="shared" si="132"/>
        <x:v>8252.58</x:v>
      </x:c>
      <x:c r="L2667" s="6">
        <x:v>2307.81</x:v>
      </x:c>
      <x:c r="M2667" s="6">
        <x:v>94.829999999999472</x:v>
      </x:c>
      <x:c r="N2667" s="6">
        <x:f t="shared" si="133"/>
        <x:v>13745.13</x:v>
      </x:c>
    </x:row>
    <x:row r="2668" spans="1:14" x14ac:dyDescent="0.25">
      <x:c r="A2668" t="s">
        <x:v>35</x:v>
      </x:c>
      <x:c r="B2668" s="3" t="s">
        <x:v>299</x:v>
      </x:c>
      <x:c r="C2668" s="3" t="s">
        <x:v>614</x:v>
      </x:c>
      <x:c r="D2668" t="s">
        <x:v>676</x:v>
      </x:c>
      <x:c r="E2668" s="6">
        <x:v>33503.99</x:v>
      </x:c>
      <x:c r="F2668" s="6">
        <x:v>0</x:v>
      </x:c>
      <x:c r="G2668" s="6">
        <x:v>0</x:v>
      </x:c>
      <x:c r="H2668" s="6">
        <x:f t="shared" si="131"/>
        <x:v>33503.99</x:v>
      </x:c>
      <x:c r="I2668" s="6">
        <x:v>89483.08</x:v>
      </x:c>
      <x:c r="J2668" s="6">
        <x:v>0</x:v>
      </x:c>
      <x:c r="K2668" s="6">
        <x:f t="shared" si="132"/>
        <x:v>89483.08</x:v>
      </x:c>
      <x:c r="L2668" s="6">
        <x:v>25023.670000000002</x:v>
      </x:c>
      <x:c r="M2668" s="6">
        <x:v>1028.369999999984</x:v>
      </x:c>
      <x:c r="N2668" s="6">
        <x:f t="shared" si="133"/>
        <x:v>149039.11000000002</x:v>
      </x:c>
    </x:row>
    <x:row r="2669" spans="1:14" x14ac:dyDescent="0.25">
      <x:c r="A2669" t="s">
        <x:v>35</x:v>
      </x:c>
      <x:c r="B2669" s="3" t="s">
        <x:v>300</x:v>
      </x:c>
      <x:c r="C2669" s="3" t="s">
        <x:v>615</x:v>
      </x:c>
      <x:c r="D2669" t="s">
        <x:v>676</x:v>
      </x:c>
      <x:c r="E2669" s="6">
        <x:v>500.18</x:v>
      </x:c>
      <x:c r="F2669" s="6">
        <x:v>0</x:v>
      </x:c>
      <x:c r="G2669" s="6">
        <x:v>0</x:v>
      </x:c>
      <x:c r="H2669" s="6">
        <x:f t="shared" si="131"/>
        <x:v>500.18</x:v>
      </x:c>
      <x:c r="I2669" s="6">
        <x:v>1335.89</x:v>
      </x:c>
      <x:c r="J2669" s="6">
        <x:v>0</x:v>
      </x:c>
      <x:c r="K2669" s="6">
        <x:f t="shared" si="132"/>
        <x:v>1335.89</x:v>
      </x:c>
      <x:c r="L2669" s="6">
        <x:v>373.58</x:v>
      </x:c>
      <x:c r="M2669" s="6">
        <x:v>15.349999999999852</x:v>
      </x:c>
      <x:c r="N2669" s="6">
        <x:f t="shared" si="133"/>
        <x:v>2225</x:v>
      </x:c>
    </x:row>
    <x:row r="2670" spans="1:14" x14ac:dyDescent="0.25">
      <x:c r="A2670" t="s">
        <x:v>35</x:v>
      </x:c>
      <x:c r="B2670" s="3" t="s">
        <x:v>337</x:v>
      </x:c>
      <x:c r="C2670" s="3" t="s">
        <x:v>652</x:v>
      </x:c>
      <x:c r="D2670" t="s">
        <x:v>676</x:v>
      </x:c>
      <x:c r="E2670" s="6">
        <x:v>6899.76</x:v>
      </x:c>
      <x:c r="F2670" s="6">
        <x:v>0</x:v>
      </x:c>
      <x:c r="G2670" s="6">
        <x:v>0</x:v>
      </x:c>
      <x:c r="H2670" s="6">
        <x:f t="shared" si="131"/>
        <x:v>6899.76</x:v>
      </x:c>
      <x:c r="I2670" s="6">
        <x:v>18428.010000000002</x:v>
      </x:c>
      <x:c r="J2670" s="6">
        <x:v>0</x:v>
      </x:c>
      <x:c r="K2670" s="6">
        <x:f t="shared" si="132"/>
        <x:v>18428.010000000002</x:v>
      </x:c>
      <x:c r="L2670" s="6">
        <x:v>5153.33</x:v>
      </x:c>
      <x:c r="M2670" s="6">
        <x:v>211.78000000000111</x:v>
      </x:c>
      <x:c r="N2670" s="6">
        <x:f t="shared" si="133"/>
        <x:v>30692.880000000008</x:v>
      </x:c>
    </x:row>
    <x:row r="2671" spans="1:14" x14ac:dyDescent="0.25">
      <x:c r="A2671" t="s">
        <x:v>35</x:v>
      </x:c>
      <x:c r="B2671" s="3" t="s">
        <x:v>357</x:v>
      </x:c>
      <x:c r="C2671" s="3" t="s">
        <x:v>672</x:v>
      </x:c>
      <x:c r="D2671" t="s">
        <x:v>680</x:v>
      </x:c>
      <x:c r="E2671" s="6">
        <x:v>40822.559999999998</x:v>
      </x:c>
      <x:c r="F2671" s="6">
        <x:v>0</x:v>
      </x:c>
      <x:c r="G2671" s="6">
        <x:v>0</x:v>
      </x:c>
      <x:c r="H2671" s="6">
        <x:f t="shared" si="131"/>
        <x:v>40822.559999999998</x:v>
      </x:c>
      <x:c r="I2671" s="6">
        <x:v>475430.1</x:v>
      </x:c>
      <x:c r="J2671" s="6">
        <x:v>0</x:v>
      </x:c>
      <x:c r="K2671" s="6">
        <x:f t="shared" si="132"/>
        <x:v>475430.1</x:v>
      </x:c>
      <x:c r="L2671" s="6">
        <x:v>20550.129999999997</x:v>
      </x:c>
      <x:c r="M2671" s="6">
        <x:v>18606.210000000028</x:v>
      </x:c>
      <x:c r="N2671" s="6">
        <x:f t="shared" si="133"/>
        <x:v>555409</x:v>
      </x:c>
    </x:row>
    <x:row r="2672" spans="1:14" x14ac:dyDescent="0.25">
      <x:c r="A2672" t="s">
        <x:v>35</x:v>
      </x:c>
      <x:c r="B2672" s="3" t="s">
        <x:v>301</x:v>
      </x:c>
      <x:c r="C2672" s="3" t="s">
        <x:v>616</x:v>
      </x:c>
      <x:c r="D2672" t="s">
        <x:v>676</x:v>
      </x:c>
      <x:c r="E2672" s="6">
        <x:v>200708.7</x:v>
      </x:c>
      <x:c r="F2672" s="6">
        <x:v>0</x:v>
      </x:c>
      <x:c r="G2672" s="6">
        <x:v>0</x:v>
      </x:c>
      <x:c r="H2672" s="6">
        <x:f t="shared" si="131"/>
        <x:v>200708.7</x:v>
      </x:c>
      <x:c r="I2672" s="6">
        <x:v>536056.5</x:v>
      </x:c>
      <x:c r="J2672" s="6">
        <x:v>0</x:v>
      </x:c>
      <x:c r="K2672" s="6">
        <x:f t="shared" si="132"/>
        <x:v>536056.5</x:v>
      </x:c>
      <x:c r="L2672" s="6">
        <x:v>149906.53999999998</x:v>
      </x:c>
      <x:c r="M2672" s="6">
        <x:v>6160.5400000000809</x:v>
      </x:c>
      <x:c r="N2672" s="6">
        <x:f t="shared" si="133"/>
        <x:v>892832.28</x:v>
      </x:c>
    </x:row>
    <x:row r="2673" spans="1:14" x14ac:dyDescent="0.25">
      <x:c r="A2673" t="s">
        <x:v>35</x:v>
      </x:c>
      <x:c r="B2673" s="3" t="s">
        <x:v>341</x:v>
      </x:c>
      <x:c r="C2673" s="3" t="s">
        <x:v>656</x:v>
      </x:c>
      <x:c r="D2673" t="s">
        <x:v>676</x:v>
      </x:c>
      <x:c r="E2673" s="6">
        <x:v>3495.23</x:v>
      </x:c>
      <x:c r="F2673" s="6">
        <x:v>0</x:v>
      </x:c>
      <x:c r="G2673" s="6">
        <x:v>0</x:v>
      </x:c>
      <x:c r="H2673" s="6">
        <x:f t="shared" si="131"/>
        <x:v>3495.23</x:v>
      </x:c>
      <x:c r="I2673" s="6">
        <x:v>9335.11</x:v>
      </x:c>
      <x:c r="J2673" s="6">
        <x:v>0</x:v>
      </x:c>
      <x:c r="K2673" s="6">
        <x:f t="shared" si="132"/>
        <x:v>9335.11</x:v>
      </x:c>
      <x:c r="L2673" s="6">
        <x:v>2610.54</x:v>
      </x:c>
      <x:c r="M2673" s="6">
        <x:v>107.2699999999998</x:v>
      </x:c>
      <x:c r="N2673" s="6">
        <x:f t="shared" si="133"/>
        <x:v>15548.150000000001</x:v>
      </x:c>
    </x:row>
    <x:row r="2674" spans="1:14" x14ac:dyDescent="0.25">
      <x:c r="A2674" t="s">
        <x:v>35</x:v>
      </x:c>
      <x:c r="B2674" s="3" t="s">
        <x:v>342</x:v>
      </x:c>
      <x:c r="C2674" s="3" t="s">
        <x:v>657</x:v>
      </x:c>
      <x:c r="D2674" t="s">
        <x:v>676</x:v>
      </x:c>
      <x:c r="E2674" s="6">
        <x:v>22480</x:v>
      </x:c>
      <x:c r="F2674" s="6">
        <x:v>0</x:v>
      </x:c>
      <x:c r="G2674" s="6">
        <x:v>0</x:v>
      </x:c>
      <x:c r="H2674" s="6">
        <x:f t="shared" si="131"/>
        <x:v>22480</x:v>
      </x:c>
      <x:c r="I2674" s="6">
        <x:v>60040</x:v>
      </x:c>
      <x:c r="J2674" s="6">
        <x:v>0</x:v>
      </x:c>
      <x:c r="K2674" s="6">
        <x:f t="shared" si="132"/>
        <x:v>60040</x:v>
      </x:c>
      <x:c r="L2674" s="6">
        <x:v>16790</x:v>
      </x:c>
      <x:c r="M2674" s="6">
        <x:v>690</x:v>
      </x:c>
      <x:c r="N2674" s="6">
        <x:f t="shared" si="133"/>
        <x:v>100000</x:v>
      </x:c>
    </x:row>
    <x:row r="2675" spans="1:14" x14ac:dyDescent="0.25">
      <x:c r="A2675" t="s">
        <x:v>35</x:v>
      </x:c>
      <x:c r="B2675" s="3" t="s">
        <x:v>302</x:v>
      </x:c>
      <x:c r="C2675" s="3" t="s">
        <x:v>617</x:v>
      </x:c>
      <x:c r="D2675" t="s">
        <x:v>676</x:v>
      </x:c>
      <x:c r="E2675" s="6">
        <x:v>333928.09999999998</x:v>
      </x:c>
      <x:c r="F2675" s="6">
        <x:v>0</x:v>
      </x:c>
      <x:c r="G2675" s="6">
        <x:v>0</x:v>
      </x:c>
      <x:c r="H2675" s="6">
        <x:f t="shared" si="131"/>
        <x:v>333928.09999999998</x:v>
      </x:c>
      <x:c r="I2675" s="6">
        <x:v>891861.35000000009</x:v>
      </x:c>
      <x:c r="J2675" s="6">
        <x:v>0</x:v>
      </x:c>
      <x:c r="K2675" s="6">
        <x:f t="shared" si="132"/>
        <x:v>891861.35000000009</x:v>
      </x:c>
      <x:c r="L2675" s="6">
        <x:v>249406.26</x:v>
      </x:c>
      <x:c r="M2675" s="6">
        <x:v>10249.5799999999</x:v>
      </x:c>
      <x:c r="N2675" s="6">
        <x:f t="shared" si="133"/>
        <x:v>1485445.29</x:v>
      </x:c>
    </x:row>
    <x:row r="2676" spans="1:14" x14ac:dyDescent="0.25">
      <x:c r="A2676" t="s">
        <x:v>35</x:v>
      </x:c>
      <x:c r="B2676" s="3" t="s">
        <x:v>345</x:v>
      </x:c>
      <x:c r="C2676" s="3" t="s">
        <x:v>660</x:v>
      </x:c>
      <x:c r="D2676" t="s">
        <x:v>676</x:v>
      </x:c>
      <x:c r="E2676" s="6">
        <x:v>79695.960000000006</x:v>
      </x:c>
      <x:c r="F2676" s="6">
        <x:v>0</x:v>
      </x:c>
      <x:c r="G2676" s="6">
        <x:v>0</x:v>
      </x:c>
      <x:c r="H2676" s="6">
        <x:f t="shared" si="131"/>
        <x:v>79695.960000000006</x:v>
      </x:c>
      <x:c r="I2676" s="6">
        <x:v>212853.42</x:v>
      </x:c>
      <x:c r="J2676" s="6">
        <x:v>0</x:v>
      </x:c>
      <x:c r="K2676" s="6">
        <x:f t="shared" si="132"/>
        <x:v>212853.42</x:v>
      </x:c>
      <x:c r="L2676" s="6">
        <x:v>59523.8</x:v>
      </x:c>
      <x:c r="M2676" s="6">
        <x:v>2446.1799999999748</x:v>
      </x:c>
      <x:c r="N2676" s="6">
        <x:f t="shared" si="133"/>
        <x:v>354519.36</x:v>
      </x:c>
    </x:row>
    <x:row r="2677" spans="1:14" x14ac:dyDescent="0.25">
      <x:c r="A2677" t="s">
        <x:v>35</x:v>
      </x:c>
      <x:c r="B2677" s="3" t="s">
        <x:v>269</x:v>
      </x:c>
      <x:c r="C2677" s="3" t="s">
        <x:v>584</x:v>
      </x:c>
      <x:c r="D2677" t="s">
        <x:v>676</x:v>
      </x:c>
      <x:c r="E2677" s="6">
        <x:v>0</x:v>
      </x:c>
      <x:c r="F2677" s="6">
        <x:v>0</x:v>
      </x:c>
      <x:c r="G2677" s="6">
        <x:v>0</x:v>
      </x:c>
      <x:c r="H2677" s="6">
        <x:f t="shared" si="131"/>
        <x:v>0</x:v>
      </x:c>
      <x:c r="I2677" s="6">
        <x:v>0</x:v>
      </x:c>
      <x:c r="J2677" s="6">
        <x:v>0</x:v>
      </x:c>
      <x:c r="K2677" s="6">
        <x:f t="shared" si="132"/>
        <x:v>0</x:v>
      </x:c>
      <x:c r="L2677" s="6">
        <x:v>330054.49</x:v>
      </x:c>
      <x:c r="M2677" s="6">
        <x:v>0</x:v>
      </x:c>
      <x:c r="N2677" s="6">
        <x:f t="shared" si="133"/>
        <x:v>330054.49</x:v>
      </x:c>
    </x:row>
    <x:row r="2678" spans="1:14" x14ac:dyDescent="0.25">
      <x:c r="A2678" t="s">
        <x:v>35</x:v>
      </x:c>
      <x:c r="B2678" s="3" t="s">
        <x:v>226</x:v>
      </x:c>
      <x:c r="C2678" s="3" t="s">
        <x:v>542</x:v>
      </x:c>
      <x:c r="D2678" t="s">
        <x:v>676</x:v>
      </x:c>
      <x:c r="E2678" s="6">
        <x:v>1308056.52</x:v>
      </x:c>
      <x:c r="F2678" s="6">
        <x:v>0</x:v>
      </x:c>
      <x:c r="G2678" s="6">
        <x:v>0</x:v>
      </x:c>
      <x:c r="H2678" s="6">
        <x:f t="shared" si="131"/>
        <x:v>1308056.52</x:v>
      </x:c>
      <x:c r="I2678" s="6">
        <x:v>3493581.56</x:v>
      </x:c>
      <x:c r="J2678" s="6">
        <x:v>0</x:v>
      </x:c>
      <x:c r="K2678" s="6">
        <x:f t="shared" si="132"/>
        <x:v>3493581.56</x:v>
      </x:c>
      <x:c r="L2678" s="6">
        <x:v>976969.26</x:v>
      </x:c>
      <x:c r="M2678" s="6">
        <x:v>40149.440000000279</x:v>
      </x:c>
      <x:c r="N2678" s="6">
        <x:f t="shared" si="133"/>
        <x:v>5818756.7800000003</x:v>
      </x:c>
    </x:row>
    <x:row r="2679" spans="1:14" x14ac:dyDescent="0.25">
      <x:c r="A2679" t="s">
        <x:v>35</x:v>
      </x:c>
      <x:c r="B2679" s="3" t="s">
        <x:v>303</x:v>
      </x:c>
      <x:c r="C2679" s="3" t="s">
        <x:v>618</x:v>
      </x:c>
      <x:c r="D2679" t="s">
        <x:v>676</x:v>
      </x:c>
      <x:c r="E2679" s="6">
        <x:v>1412398.99</x:v>
      </x:c>
      <x:c r="F2679" s="6">
        <x:v>0</x:v>
      </x:c>
      <x:c r="G2679" s="6">
        <x:v>0</x:v>
      </x:c>
      <x:c r="H2679" s="6">
        <x:f t="shared" si="131"/>
        <x:v>1412398.99</x:v>
      </x:c>
      <x:c r="I2679" s="6">
        <x:v>3772261.37</x:v>
      </x:c>
      <x:c r="J2679" s="6">
        <x:v>0</x:v>
      </x:c>
      <x:c r="K2679" s="6">
        <x:f t="shared" si="132"/>
        <x:v>3772261.37</x:v>
      </x:c>
      <x:c r="L2679" s="6">
        <x:v>1054901.22</x:v>
      </x:c>
      <x:c r="M2679" s="6">
        <x:v>43352.109999999404</x:v>
      </x:c>
      <x:c r="N2679" s="6">
        <x:f t="shared" si="133"/>
        <x:v>6282913.6899999995</x:v>
      </x:c>
    </x:row>
    <x:row r="2680" spans="1:14" x14ac:dyDescent="0.25">
      <x:c r="A2680" t="s">
        <x:v>35</x:v>
      </x:c>
      <x:c r="B2680" s="3" t="s">
        <x:v>346</x:v>
      </x:c>
      <x:c r="C2680" s="3" t="s">
        <x:v>661</x:v>
      </x:c>
      <x:c r="D2680" t="s">
        <x:v>676</x:v>
      </x:c>
      <x:c r="E2680" s="6">
        <x:v>25903.58</x:v>
      </x:c>
      <x:c r="F2680" s="6">
        <x:v>0</x:v>
      </x:c>
      <x:c r="G2680" s="6">
        <x:v>0</x:v>
      </x:c>
      <x:c r="H2680" s="6">
        <x:f t="shared" si="131"/>
        <x:v>25903.58</x:v>
      </x:c>
      <x:c r="I2680" s="6">
        <x:v>69183.77</x:v>
      </x:c>
      <x:c r="J2680" s="6">
        <x:v>0</x:v>
      </x:c>
      <x:c r="K2680" s="6">
        <x:f t="shared" si="132"/>
        <x:v>69183.77</x:v>
      </x:c>
      <x:c r="L2680" s="6">
        <x:v>19347.03</x:v>
      </x:c>
      <x:c r="M2680" s="6">
        <x:v>795.08000000000084</x:v>
      </x:c>
      <x:c r="N2680" s="6">
        <x:f t="shared" si="133"/>
        <x:v>115229.46</x:v>
      </x:c>
    </x:row>
    <x:row r="2681" spans="1:14" x14ac:dyDescent="0.25">
      <x:c r="A2681" t="s">
        <x:v>35</x:v>
      </x:c>
      <x:c r="B2681" s="3" t="s">
        <x:v>304</x:v>
      </x:c>
      <x:c r="C2681" s="3" t="s">
        <x:v>619</x:v>
      </x:c>
      <x:c r="D2681" t="s">
        <x:v>676</x:v>
      </x:c>
      <x:c r="E2681" s="6">
        <x:v>8051</x:v>
      </x:c>
      <x:c r="F2681" s="6">
        <x:v>0</x:v>
      </x:c>
      <x:c r="G2681" s="6">
        <x:v>0</x:v>
      </x:c>
      <x:c r="H2681" s="6">
        <x:f t="shared" si="131"/>
        <x:v>8051</x:v>
      </x:c>
      <x:c r="I2681" s="6">
        <x:v>21502.75</x:v>
      </x:c>
      <x:c r="J2681" s="6">
        <x:v>0</x:v>
      </x:c>
      <x:c r="K2681" s="6">
        <x:f t="shared" si="132"/>
        <x:v>21502.75</x:v>
      </x:c>
      <x:c r="L2681" s="6">
        <x:v>6013.1900000000005</x:v>
      </x:c>
      <x:c r="M2681" s="6">
        <x:v>247.11000000000087</x:v>
      </x:c>
      <x:c r="N2681" s="6">
        <x:f t="shared" si="133"/>
        <x:v>35814.050000000003</x:v>
      </x:c>
    </x:row>
    <x:row r="2682" spans="1:14" x14ac:dyDescent="0.25">
      <x:c r="A2682" t="s">
        <x:v>35</x:v>
      </x:c>
      <x:c r="B2682" s="3" t="s">
        <x:v>349</x:v>
      </x:c>
      <x:c r="C2682" s="3" t="s">
        <x:v>664</x:v>
      </x:c>
      <x:c r="D2682" t="s">
        <x:v>676</x:v>
      </x:c>
      <x:c r="E2682" s="6">
        <x:v>2222231.3799999994</x:v>
      </x:c>
      <x:c r="F2682" s="6">
        <x:v>0</x:v>
      </x:c>
      <x:c r="G2682" s="6">
        <x:v>0</x:v>
      </x:c>
      <x:c r="H2682" s="6">
        <x:f t="shared" si="131"/>
        <x:v>2222231.3799999994</x:v>
      </x:c>
      <x:c r="I2682" s="6">
        <x:v>5935176.7000000002</x:v>
      </x:c>
      <x:c r="J2682" s="6">
        <x:v>0</x:v>
      </x:c>
      <x:c r="K2682" s="6">
        <x:f t="shared" si="132"/>
        <x:v>5935176.7000000002</x:v>
      </x:c>
      <x:c r="L2682" s="6">
        <x:v>1659753.76</x:v>
      </x:c>
      <x:c r="M2682" s="6">
        <x:v>68209.080000000031</x:v>
      </x:c>
      <x:c r="N2682" s="6">
        <x:f t="shared" si="133"/>
        <x:v>9885370.9199999999</x:v>
      </x:c>
    </x:row>
    <x:row r="2683" spans="1:14" x14ac:dyDescent="0.25">
      <x:c r="A2683" t="s">
        <x:v>35</x:v>
      </x:c>
      <x:c r="B2683" t="s">
        <x:v>837</x:v>
      </x:c>
      <x:c r="C2683" t="s">
        <x:v>838</x:v>
      </x:c>
      <x:c r="D2683" t="s">
        <x:v>680</x:v>
      </x:c>
      <x:c r="E2683" s="6">
        <x:v>27771.25</x:v>
      </x:c>
      <x:c r="F2683" s="6">
        <x:v>0</x:v>
      </x:c>
      <x:c r="G2683" s="6">
        <x:v>0</x:v>
      </x:c>
      <x:c r="H2683" s="6">
        <x:f t="shared" si="131"/>
        <x:v>27771.25</x:v>
      </x:c>
      <x:c r="I2683" s="6">
        <x:v>323431.10000000003</x:v>
      </x:c>
      <x:c r="J2683" s="6">
        <x:v>0</x:v>
      </x:c>
      <x:c r="K2683" s="6">
        <x:f t="shared" si="132"/>
        <x:v>323431.10000000003</x:v>
      </x:c>
      <x:c r="L2683" s="6">
        <x:v>13980.09</x:v>
      </x:c>
      <x:c r="M2683" s="6">
        <x:v>12657.630000000016</x:v>
      </x:c>
      <x:c r="N2683" s="6">
        <x:f t="shared" si="133"/>
        <x:v>377840.07000000007</x:v>
      </x:c>
    </x:row>
    <x:row r="2684" spans="1:14" x14ac:dyDescent="0.25">
      <x:c r="A2684" t="s">
        <x:v>35</x:v>
      </x:c>
      <x:c r="B2684" t="s">
        <x:v>809</x:v>
      </x:c>
      <x:c r="C2684" t="s">
        <x:v>606</x:v>
      </x:c>
      <x:c r="D2684" t="s">
        <x:v>676</x:v>
      </x:c>
      <x:c r="E2684" s="6">
        <x:v>6277.96</x:v>
      </x:c>
      <x:c r="F2684" s="6">
        <x:v>0</x:v>
      </x:c>
      <x:c r="G2684" s="6">
        <x:v>0</x:v>
      </x:c>
      <x:c r="H2684" s="6">
        <x:f t="shared" si="131"/>
        <x:v>6277.96</x:v>
      </x:c>
      <x:c r="I2684" s="6">
        <x:v>0</x:v>
      </x:c>
      <x:c r="J2684" s="6">
        <x:v>0</x:v>
      </x:c>
      <x:c r="K2684" s="6">
        <x:f t="shared" si="132"/>
        <x:v>0</x:v>
      </x:c>
      <x:c r="L2684" s="6">
        <x:v>0</x:v>
      </x:c>
      <x:c r="M2684" s="6">
        <x:v>0</x:v>
      </x:c>
      <x:c r="N2684" s="6">
        <x:f t="shared" si="133"/>
        <x:v>6277.96</x:v>
      </x:c>
    </x:row>
    <x:row r="2685" spans="1:14" x14ac:dyDescent="0.25">
      <x:c r="A2685" t="s">
        <x:v>35</x:v>
      </x:c>
      <x:c r="B2685" t="s">
        <x:v>755</x:v>
      </x:c>
      <x:c r="C2685" t="s">
        <x:v>756</x:v>
      </x:c>
      <x:c r="D2685" t="s">
        <x:v>676</x:v>
      </x:c>
      <x:c r="E2685" s="6">
        <x:v>1008471.45</x:v>
      </x:c>
      <x:c r="F2685" s="6">
        <x:v>0</x:v>
      </x:c>
      <x:c r="G2685" s="6">
        <x:v>0</x:v>
      </x:c>
      <x:c r="H2685" s="6">
        <x:f t="shared" si="131"/>
        <x:v>1008471.45</x:v>
      </x:c>
      <x:c r="I2685" s="6">
        <x:v>202178.55</x:v>
      </x:c>
      <x:c r="J2685" s="6">
        <x:v>0</x:v>
      </x:c>
      <x:c r="K2685" s="6">
        <x:f t="shared" si="132"/>
        <x:v>202178.55</x:v>
      </x:c>
      <x:c r="L2685" s="6">
        <x:v>0</x:v>
      </x:c>
      <x:c r="M2685" s="6">
        <x:v>0</x:v>
      </x:c>
      <x:c r="N2685" s="6">
        <x:f t="shared" si="133"/>
        <x:v>1210650</x:v>
      </x:c>
    </x:row>
    <x:row r="2686" spans="1:14" x14ac:dyDescent="0.25">
      <x:c r="A2686" t="s">
        <x:v>35</x:v>
      </x:c>
      <x:c r="B2686" t="s">
        <x:v>828</x:v>
      </x:c>
      <x:c r="C2686" t="s">
        <x:v>829</x:v>
      </x:c>
      <x:c r="D2686" t="s">
        <x:v>676</x:v>
      </x:c>
      <x:c r="E2686" s="6">
        <x:v>866519.86</x:v>
      </x:c>
      <x:c r="F2686" s="6">
        <x:v>0</x:v>
      </x:c>
      <x:c r="G2686" s="6">
        <x:v>0</x:v>
      </x:c>
      <x:c r="H2686" s="6">
        <x:f t="shared" si="131"/>
        <x:v>866519.86</x:v>
      </x:c>
      <x:c r="I2686" s="6">
        <x:v>0</x:v>
      </x:c>
      <x:c r="J2686" s="6">
        <x:v>0</x:v>
      </x:c>
      <x:c r="K2686" s="6">
        <x:f t="shared" si="132"/>
        <x:v>0</x:v>
      </x:c>
      <x:c r="L2686" s="6">
        <x:v>0</x:v>
      </x:c>
      <x:c r="M2686" s="6">
        <x:v>0</x:v>
      </x:c>
      <x:c r="N2686" s="6">
        <x:f t="shared" si="133"/>
        <x:v>866519.86</x:v>
      </x:c>
    </x:row>
    <x:row r="2687" spans="1:14" x14ac:dyDescent="0.25">
      <x:c r="A2687" t="s">
        <x:v>35</x:v>
      </x:c>
      <x:c r="B2687" t="s">
        <x:v>817</x:v>
      </x:c>
      <x:c r="C2687" t="s">
        <x:v>818</x:v>
      </x:c>
      <x:c r="D2687" t="s">
        <x:v>676</x:v>
      </x:c>
      <x:c r="E2687" s="6">
        <x:v>0</x:v>
      </x:c>
      <x:c r="F2687" s="6">
        <x:v>0</x:v>
      </x:c>
      <x:c r="G2687" s="6">
        <x:v>0</x:v>
      </x:c>
      <x:c r="H2687" s="6">
        <x:f t="shared" si="131"/>
        <x:v>0</x:v>
      </x:c>
      <x:c r="I2687" s="6">
        <x:v>589007.25</x:v>
      </x:c>
      <x:c r="J2687" s="6">
        <x:v>0</x:v>
      </x:c>
      <x:c r="K2687" s="6">
        <x:f t="shared" si="132"/>
        <x:v>589007.25</x:v>
      </x:c>
      <x:c r="L2687" s="6">
        <x:v>0</x:v>
      </x:c>
      <x:c r="M2687" s="6">
        <x:v>0</x:v>
      </x:c>
      <x:c r="N2687" s="6">
        <x:f t="shared" si="133"/>
        <x:v>589007.25</x:v>
      </x:c>
    </x:row>
    <x:row r="2688" spans="1:14" x14ac:dyDescent="0.25">
      <x:c r="A2688" t="s">
        <x:v>35</x:v>
      </x:c>
      <x:c r="B2688" t="s">
        <x:v>821</x:v>
      </x:c>
      <x:c r="C2688" t="s">
        <x:v>822</x:v>
      </x:c>
      <x:c r="D2688" t="s">
        <x:v>832</x:v>
      </x:c>
      <x:c r="E2688" s="6">
        <x:v>3445.2</x:v>
      </x:c>
      <x:c r="F2688" s="6">
        <x:v>0</x:v>
      </x:c>
      <x:c r="G2688" s="6">
        <x:v>0</x:v>
      </x:c>
      <x:c r="H2688" s="6">
        <x:f t="shared" si="131"/>
        <x:v>3445.2</x:v>
      </x:c>
      <x:c r="I2688" s="6">
        <x:v>0</x:v>
      </x:c>
      <x:c r="J2688" s="6">
        <x:v>0</x:v>
      </x:c>
      <x:c r="K2688" s="6">
        <x:f t="shared" si="132"/>
        <x:v>0</x:v>
      </x:c>
      <x:c r="L2688" s="6">
        <x:v>0</x:v>
      </x:c>
      <x:c r="M2688" s="6">
        <x:v>0</x:v>
      </x:c>
      <x:c r="N2688" s="6">
        <x:f t="shared" si="133"/>
        <x:v>3445.2</x:v>
      </x:c>
    </x:row>
    <x:row r="2689" spans="1:14" x14ac:dyDescent="0.25">
      <x:c r="A2689" t="s">
        <x:v>35</x:v>
      </x:c>
      <x:c r="B2689" t="s">
        <x:v>810</x:v>
      </x:c>
      <x:c r="C2689" t="s">
        <x:v>811</x:v>
      </x:c>
      <x:c r="D2689" t="s">
        <x:v>676</x:v>
      </x:c>
      <x:c r="E2689" s="6">
        <x:v>355996.43</x:v>
      </x:c>
      <x:c r="F2689" s="6">
        <x:v>0</x:v>
      </x:c>
      <x:c r="G2689" s="6">
        <x:v>0</x:v>
      </x:c>
      <x:c r="H2689" s="6">
        <x:f t="shared" si="131"/>
        <x:v>355996.43</x:v>
      </x:c>
      <x:c r="I2689" s="6">
        <x:v>0</x:v>
      </x:c>
      <x:c r="J2689" s="6">
        <x:v>0</x:v>
      </x:c>
      <x:c r="K2689" s="6">
        <x:f t="shared" si="132"/>
        <x:v>0</x:v>
      </x:c>
      <x:c r="L2689" s="6">
        <x:v>0</x:v>
      </x:c>
      <x:c r="M2689" s="6">
        <x:v>0</x:v>
      </x:c>
      <x:c r="N2689" s="6">
        <x:f t="shared" si="133"/>
        <x:v>355996.43</x:v>
      </x:c>
    </x:row>
    <x:row r="2690" spans="1:14" x14ac:dyDescent="0.25">
      <x:c r="A2690" t="s">
        <x:v>35</x:v>
      </x:c>
      <x:c r="B2690" t="s">
        <x:v>823</x:v>
      </x:c>
      <x:c r="C2690" t="s">
        <x:v>621</x:v>
      </x:c>
      <x:c r="D2690" t="s">
        <x:v>835</x:v>
      </x:c>
      <x:c r="E2690" s="6">
        <x:v>22119.52</x:v>
      </x:c>
      <x:c r="F2690" s="6">
        <x:v>0</x:v>
      </x:c>
      <x:c r="G2690" s="6">
        <x:v>0</x:v>
      </x:c>
      <x:c r="H2690" s="6">
        <x:f t="shared" si="131"/>
        <x:v>22119.52</x:v>
      </x:c>
      <x:c r="I2690" s="6">
        <x:v>4434.5300000000007</x:v>
      </x:c>
      <x:c r="J2690" s="6">
        <x:v>0</x:v>
      </x:c>
      <x:c r="K2690" s="6">
        <x:f t="shared" si="132"/>
        <x:v>4434.5300000000007</x:v>
      </x:c>
      <x:c r="L2690" s="6">
        <x:v>0</x:v>
      </x:c>
      <x:c r="M2690" s="6">
        <x:v>0</x:v>
      </x:c>
      <x:c r="N2690" s="6">
        <x:f t="shared" si="133"/>
        <x:v>26554.050000000003</x:v>
      </x:c>
    </x:row>
    <x:row r="2691" spans="1:14" x14ac:dyDescent="0.25">
      <x:c r="A2691" t="s">
        <x:v>35</x:v>
      </x:c>
      <x:c r="B2691" t="s">
        <x:v>759</x:v>
      </x:c>
      <x:c r="C2691" t="s">
        <x:v>667</x:v>
      </x:c>
      <x:c r="D2691" t="s">
        <x:v>832</x:v>
      </x:c>
      <x:c r="E2691" s="6">
        <x:v>308.61</x:v>
      </x:c>
      <x:c r="F2691" s="6">
        <x:v>0</x:v>
      </x:c>
      <x:c r="G2691" s="6">
        <x:v>0</x:v>
      </x:c>
      <x:c r="H2691" s="6">
        <x:f t="shared" si="131"/>
        <x:v>308.61</x:v>
      </x:c>
      <x:c r="I2691" s="6">
        <x:v>0</x:v>
      </x:c>
      <x:c r="J2691" s="6">
        <x:v>0</x:v>
      </x:c>
      <x:c r="K2691" s="6">
        <x:f t="shared" si="132"/>
        <x:v>0</x:v>
      </x:c>
      <x:c r="L2691" s="6">
        <x:v>0</x:v>
      </x:c>
      <x:c r="M2691" s="6">
        <x:v>0</x:v>
      </x:c>
      <x:c r="N2691" s="6">
        <x:f t="shared" si="133"/>
        <x:v>308.61</x:v>
      </x:c>
    </x:row>
    <x:row r="2692" spans="1:14" x14ac:dyDescent="0.25">
      <x:c r="A2692" t="s">
        <x:v>35</x:v>
      </x:c>
      <x:c r="B2692" t="s">
        <x:v>759</x:v>
      </x:c>
      <x:c r="C2692" t="s">
        <x:v>667</x:v>
      </x:c>
      <x:c r="D2692" t="s">
        <x:v>676</x:v>
      </x:c>
      <x:c r="E2692" s="6">
        <x:v>10156706.299999999</x:v>
      </x:c>
      <x:c r="F2692" s="6">
        <x:v>0</x:v>
      </x:c>
      <x:c r="G2692" s="6">
        <x:v>0</x:v>
      </x:c>
      <x:c r="H2692" s="6">
        <x:f t="shared" si="131"/>
        <x:v>10156706.299999999</x:v>
      </x:c>
      <x:c r="I2692" s="6">
        <x:v>0</x:v>
      </x:c>
      <x:c r="J2692" s="6">
        <x:v>0</x:v>
      </x:c>
      <x:c r="K2692" s="6">
        <x:f t="shared" si="132"/>
        <x:v>0</x:v>
      </x:c>
      <x:c r="L2692" s="6">
        <x:v>0</x:v>
      </x:c>
      <x:c r="M2692" s="6">
        <x:v>0</x:v>
      </x:c>
      <x:c r="N2692" s="6">
        <x:f t="shared" si="133"/>
        <x:v>10156706.299999999</x:v>
      </x:c>
    </x:row>
    <x:row r="2693" spans="1:14" x14ac:dyDescent="0.25">
      <x:c r="A2693" t="s">
        <x:v>35</x:v>
      </x:c>
      <x:c r="B2693" t="s">
        <x:v>813</x:v>
      </x:c>
      <x:c r="C2693" t="s">
        <x:v>814</x:v>
      </x:c>
      <x:c r="D2693" t="s">
        <x:v>676</x:v>
      </x:c>
      <x:c r="E2693" s="6">
        <x:v>2665.3599999999997</x:v>
      </x:c>
      <x:c r="F2693" s="6">
        <x:v>0</x:v>
      </x:c>
      <x:c r="G2693" s="6">
        <x:v>0</x:v>
      </x:c>
      <x:c r="H2693" s="6">
        <x:f t="shared" si="131"/>
        <x:v>2665.3599999999997</x:v>
      </x:c>
      <x:c r="I2693" s="6">
        <x:v>0</x:v>
      </x:c>
      <x:c r="J2693" s="6">
        <x:v>0</x:v>
      </x:c>
      <x:c r="K2693" s="6">
        <x:f t="shared" si="132"/>
        <x:v>0</x:v>
      </x:c>
      <x:c r="L2693" s="6">
        <x:v>0</x:v>
      </x:c>
      <x:c r="M2693" s="6">
        <x:v>0</x:v>
      </x:c>
      <x:c r="N2693" s="6">
        <x:f t="shared" si="133"/>
        <x:v>2665.3599999999997</x:v>
      </x:c>
    </x:row>
    <x:row r="2694" spans="1:14" x14ac:dyDescent="0.25">
      <x:c r="A2694" t="s">
        <x:v>35</x:v>
      </x:c>
      <x:c r="B2694" t="s">
        <x:v>815</x:v>
      </x:c>
      <x:c r="C2694" t="s">
        <x:v>558</x:v>
      </x:c>
      <x:c r="D2694" t="s">
        <x:v>676</x:v>
      </x:c>
      <x:c r="E2694" s="6">
        <x:v>45852.85</x:v>
      </x:c>
      <x:c r="F2694" s="6">
        <x:v>0</x:v>
      </x:c>
      <x:c r="G2694" s="6">
        <x:v>0</x:v>
      </x:c>
      <x:c r="H2694" s="6">
        <x:f t="shared" si="131"/>
        <x:v>45852.85</x:v>
      </x:c>
      <x:c r="I2694" s="6">
        <x:v>0</x:v>
      </x:c>
      <x:c r="J2694" s="6">
        <x:v>0</x:v>
      </x:c>
      <x:c r="K2694" s="6">
        <x:f t="shared" si="132"/>
        <x:v>0</x:v>
      </x:c>
      <x:c r="L2694" s="6">
        <x:v>0</x:v>
      </x:c>
      <x:c r="M2694" s="6">
        <x:v>0</x:v>
      </x:c>
      <x:c r="N2694" s="6">
        <x:f t="shared" si="133"/>
        <x:v>45852.85</x:v>
      </x:c>
    </x:row>
    <x:row r="2695" spans="1:14" x14ac:dyDescent="0.25">
      <x:c r="A2695" t="s">
        <x:v>35</x:v>
      </x:c>
      <x:c r="B2695" s="3" t="s">
        <x:v>350</x:v>
      </x:c>
      <x:c r="C2695" s="3" t="s">
        <x:v>665</x:v>
      </x:c>
      <x:c r="D2695" t="s">
        <x:v>676</x:v>
      </x:c>
      <x:c r="E2695" s="6">
        <x:v>8919.7000000000007</x:v>
      </x:c>
      <x:c r="F2695" s="6">
        <x:v>0</x:v>
      </x:c>
      <x:c r="G2695" s="6">
        <x:v>0</x:v>
      </x:c>
      <x:c r="H2695" s="6">
        <x:f t="shared" si="131"/>
        <x:v>8919.7000000000007</x:v>
      </x:c>
      <x:c r="I2695" s="6">
        <x:v>23822.91</x:v>
      </x:c>
      <x:c r="J2695" s="6">
        <x:v>0</x:v>
      </x:c>
      <x:c r="K2695" s="6">
        <x:f t="shared" si="132"/>
        <x:v>23822.91</x:v>
      </x:c>
      <x:c r="L2695" s="6">
        <x:v>6662</x:v>
      </x:c>
      <x:c r="M2695" s="6">
        <x:v>273.79000000000087</x:v>
      </x:c>
      <x:c r="N2695" s="6">
        <x:f t="shared" si="133"/>
        <x:v>39678.400000000001</x:v>
      </x:c>
    </x:row>
    <x:row r="2696" spans="1:14" x14ac:dyDescent="0.25">
      <x:c r="A2696" t="s">
        <x:v>35</x:v>
      </x:c>
      <x:c r="B2696" s="3" t="s">
        <x:v>305</x:v>
      </x:c>
      <x:c r="C2696" s="3" t="s">
        <x:v>620</x:v>
      </x:c>
      <x:c r="D2696" t="s">
        <x:v>676</x:v>
      </x:c>
      <x:c r="E2696" s="6">
        <x:v>360701.75</x:v>
      </x:c>
      <x:c r="F2696" s="6">
        <x:v>0</x:v>
      </x:c>
      <x:c r="G2696" s="6">
        <x:v>0</x:v>
      </x:c>
      <x:c r="H2696" s="6">
        <x:f t="shared" si="131"/>
        <x:v>360701.75</x:v>
      </x:c>
      <x:c r="I2696" s="6">
        <x:v>963368.89</x:v>
      </x:c>
      <x:c r="J2696" s="6">
        <x:v>0</x:v>
      </x:c>
      <x:c r="K2696" s="6">
        <x:f t="shared" si="132"/>
        <x:v>963368.89</x:v>
      </x:c>
      <x:c r="L2696" s="6">
        <x:v>269403.12</x:v>
      </x:c>
      <x:c r="M2696" s="6">
        <x:v>11071.350000000064</x:v>
      </x:c>
      <x:c r="N2696" s="6">
        <x:f t="shared" si="133"/>
        <x:v>1604545.1100000003</x:v>
      </x:c>
    </x:row>
    <x:row r="2697" spans="1:14" x14ac:dyDescent="0.25">
      <x:c r="A2697" t="s">
        <x:v>35</x:v>
      </x:c>
      <x:c r="B2697" s="3" t="s">
        <x:v>306</x:v>
      </x:c>
      <x:c r="C2697" s="3" t="s">
        <x:v>621</x:v>
      </x:c>
      <x:c r="D2697" t="s">
        <x:v>676</x:v>
      </x:c>
      <x:c r="E2697" s="6">
        <x:v>28963.1</x:v>
      </x:c>
      <x:c r="F2697" s="6">
        <x:v>0</x:v>
      </x:c>
      <x:c r="G2697" s="6">
        <x:v>0</x:v>
      </x:c>
      <x:c r="H2697" s="6">
        <x:f t="shared" si="131"/>
        <x:v>28963.1</x:v>
      </x:c>
      <x:c r="I2697" s="6">
        <x:v>77355.14</x:v>
      </x:c>
      <x:c r="J2697" s="6">
        <x:v>0</x:v>
      </x:c>
      <x:c r="K2697" s="6">
        <x:f t="shared" si="132"/>
        <x:v>77355.14</x:v>
      </x:c>
      <x:c r="L2697" s="6">
        <x:v>21632.14</x:v>
      </x:c>
      <x:c r="M2697" s="6">
        <x:v>888.96000000000083</x:v>
      </x:c>
      <x:c r="N2697" s="6">
        <x:f t="shared" si="133"/>
        <x:v>128839.34</x:v>
      </x:c>
    </x:row>
    <x:row r="2698" spans="1:14" x14ac:dyDescent="0.25">
      <x:c r="A2698" t="s">
        <x:v>35</x:v>
      </x:c>
      <x:c r="B2698" s="3" t="s">
        <x:v>351</x:v>
      </x:c>
      <x:c r="C2698" s="3" t="s">
        <x:v>666</x:v>
      </x:c>
      <x:c r="D2698" t="s">
        <x:v>676</x:v>
      </x:c>
      <x:c r="E2698" s="6">
        <x:v>853.43000000000006</x:v>
      </x:c>
      <x:c r="F2698" s="6">
        <x:v>0</x:v>
      </x:c>
      <x:c r="G2698" s="6">
        <x:v>0</x:v>
      </x:c>
      <x:c r="H2698" s="6">
        <x:f t="shared" si="131"/>
        <x:v>853.43000000000006</x:v>
      </x:c>
      <x:c r="I2698" s="6">
        <x:v>2279.36</x:v>
      </x:c>
      <x:c r="J2698" s="6">
        <x:v>0</x:v>
      </x:c>
      <x:c r="K2698" s="6">
        <x:f t="shared" si="132"/>
        <x:v>2279.36</x:v>
      </x:c>
      <x:c r="L2698" s="6">
        <x:v>637.41</x:v>
      </x:c>
      <x:c r="M2698" s="6">
        <x:v>26.220000000000219</x:v>
      </x:c>
      <x:c r="N2698" s="6">
        <x:f t="shared" si="133"/>
        <x:v>3796.42</x:v>
      </x:c>
    </x:row>
    <x:row r="2699" spans="1:14" x14ac:dyDescent="0.25">
      <x:c r="A2699" t="s">
        <x:v>35</x:v>
      </x:c>
      <x:c r="B2699" s="3" t="s">
        <x:v>243</x:v>
      </x:c>
      <x:c r="C2699" s="3" t="s">
        <x:v>558</x:v>
      </x:c>
      <x:c r="D2699" t="s">
        <x:v>676</x:v>
      </x:c>
      <x:c r="E2699" s="6">
        <x:v>0</x:v>
      </x:c>
      <x:c r="F2699" s="6">
        <x:v>0</x:v>
      </x:c>
      <x:c r="G2699" s="6">
        <x:v>0</x:v>
      </x:c>
      <x:c r="H2699" s="6">
        <x:f t="shared" si="131"/>
        <x:v>0</x:v>
      </x:c>
      <x:c r="I2699" s="6">
        <x:v>1006849.0900000001</x:v>
      </x:c>
      <x:c r="J2699" s="6">
        <x:v>0</x:v>
      </x:c>
      <x:c r="K2699" s="6">
        <x:f t="shared" si="132"/>
        <x:v>1006849.0900000001</x:v>
      </x:c>
      <x:c r="L2699" s="6">
        <x:v>0</x:v>
      </x:c>
      <x:c r="M2699" s="6">
        <x:v>0</x:v>
      </x:c>
      <x:c r="N2699" s="6">
        <x:f t="shared" si="133"/>
        <x:v>1006849.0900000001</x:v>
      </x:c>
    </x:row>
    <x:row r="2700" spans="1:14" x14ac:dyDescent="0.25">
      <x:c r="A2700" t="s">
        <x:v>35</x:v>
      </x:c>
      <x:c r="B2700" s="3" t="s">
        <x:v>307</x:v>
      </x:c>
      <x:c r="C2700" s="3" t="s">
        <x:v>622</x:v>
      </x:c>
      <x:c r="D2700" t="s">
        <x:v>676</x:v>
      </x:c>
      <x:c r="E2700" s="6">
        <x:v>10.59</x:v>
      </x:c>
      <x:c r="F2700" s="6">
        <x:v>0</x:v>
      </x:c>
      <x:c r="G2700" s="6">
        <x:v>0</x:v>
      </x:c>
      <x:c r="H2700" s="6">
        <x:f t="shared" si="131"/>
        <x:v>10.59</x:v>
      </x:c>
      <x:c r="I2700" s="6">
        <x:v>28.27</x:v>
      </x:c>
      <x:c r="J2700" s="6">
        <x:v>0</x:v>
      </x:c>
      <x:c r="K2700" s="6">
        <x:f t="shared" si="132"/>
        <x:v>28.27</x:v>
      </x:c>
      <x:c r="L2700" s="6">
        <x:v>7.91</x:v>
      </x:c>
      <x:c r="M2700" s="6">
        <x:v>0.32000000000000073</x:v>
      </x:c>
      <x:c r="N2700" s="6">
        <x:f t="shared" si="133"/>
        <x:v>47.089999999999996</x:v>
      </x:c>
    </x:row>
    <x:row r="2701" spans="1:14" x14ac:dyDescent="0.25">
      <x:c r="A2701" t="s">
        <x:v>35</x:v>
      </x:c>
      <x:c r="B2701" s="3" t="s">
        <x:v>308</x:v>
      </x:c>
      <x:c r="C2701" s="3" t="s">
        <x:v>623</x:v>
      </x:c>
      <x:c r="D2701" t="s">
        <x:v>676</x:v>
      </x:c>
      <x:c r="E2701" s="6">
        <x:v>60056.92</x:v>
      </x:c>
      <x:c r="F2701" s="6">
        <x:v>0</x:v>
      </x:c>
      <x:c r="G2701" s="6">
        <x:v>0</x:v>
      </x:c>
      <x:c r="H2701" s="6">
        <x:f t="shared" si="131"/>
        <x:v>60056.92</x:v>
      </x:c>
      <x:c r="I2701" s="6">
        <x:v>160401.13</x:v>
      </x:c>
      <x:c r="J2701" s="6">
        <x:v>0</x:v>
      </x:c>
      <x:c r="K2701" s="6">
        <x:f t="shared" si="132"/>
        <x:v>160401.13</x:v>
      </x:c>
      <x:c r="L2701" s="6">
        <x:v>44855.68</x:v>
      </x:c>
      <x:c r="M2701" s="6">
        <x:v>1843.3799999999867</x:v>
      </x:c>
      <x:c r="N2701" s="6">
        <x:f t="shared" si="133"/>
        <x:v>267157.11</x:v>
      </x:c>
    </x:row>
    <x:row r="2702" spans="1:14" x14ac:dyDescent="0.25">
      <x:c r="A2702" t="s">
        <x:v>35</x:v>
      </x:c>
      <x:c r="B2702" t="s">
        <x:v>839</x:v>
      </x:c>
      <x:c r="C2702" t="s">
        <x:v>840</x:v>
      </x:c>
      <x:c r="D2702" t="s">
        <x:v>841</x:v>
      </x:c>
      <x:c r="E2702" s="6">
        <x:v>0</x:v>
      </x:c>
      <x:c r="F2702" s="6">
        <x:v>139.1</x:v>
      </x:c>
      <x:c r="G2702" s="6">
        <x:v>0</x:v>
      </x:c>
      <x:c r="H2702" s="6">
        <x:f t="shared" si="131"/>
        <x:v>139.1</x:v>
      </x:c>
      <x:c r="I2702" s="6">
        <x:v>0</x:v>
      </x:c>
      <x:c r="J2702" s="6">
        <x:v>0</x:v>
      </x:c>
      <x:c r="K2702" s="6">
        <x:f t="shared" si="132"/>
        <x:v>0</x:v>
      </x:c>
      <x:c r="L2702" s="6">
        <x:v>0</x:v>
      </x:c>
      <x:c r="M2702" s="6">
        <x:v>0</x:v>
      </x:c>
      <x:c r="N2702" s="6">
        <x:f t="shared" si="133"/>
        <x:v>139.1</x:v>
      </x:c>
    </x:row>
    <x:row r="2703" spans="1:14" x14ac:dyDescent="0.25">
      <x:c r="A2703" t="s">
        <x:v>35</x:v>
      </x:c>
      <x:c r="B2703" t="s">
        <x:v>839</x:v>
      </x:c>
      <x:c r="C2703" t="s">
        <x:v>840</x:v>
      </x:c>
      <x:c r="D2703" t="s">
        <x:v>676</x:v>
      </x:c>
      <x:c r="E2703" s="6">
        <x:v>0</x:v>
      </x:c>
      <x:c r="F2703" s="6">
        <x:v>1640261.32</x:v>
      </x:c>
      <x:c r="G2703" s="6">
        <x:v>0</x:v>
      </x:c>
      <x:c r="H2703" s="6">
        <x:f t="shared" si="131"/>
        <x:v>1640261.32</x:v>
      </x:c>
      <x:c r="I2703" s="6">
        <x:v>0</x:v>
      </x:c>
      <x:c r="J2703" s="6">
        <x:v>163611.25</x:v>
      </x:c>
      <x:c r="K2703" s="6">
        <x:f t="shared" si="132"/>
        <x:v>163611.25</x:v>
      </x:c>
      <x:c r="L2703" s="6">
        <x:v>0</x:v>
      </x:c>
      <x:c r="M2703" s="6">
        <x:v>0</x:v>
      </x:c>
      <x:c r="N2703" s="6">
        <x:f t="shared" si="133"/>
        <x:v>1803872.57</x:v>
      </x:c>
    </x:row>
    <x:row r="2704" spans="1:14" x14ac:dyDescent="0.25">
      <x:c r="A2704" t="s">
        <x:v>36</x:v>
      </x:c>
      <x:c r="B2704" s="3" t="s">
        <x:v>47</x:v>
      </x:c>
      <x:c r="C2704" s="3" t="s">
        <x:v>364</x:v>
      </x:c>
      <x:c r="D2704" t="s">
        <x:v>677</x:v>
      </x:c>
      <x:c r="E2704" s="6">
        <x:v>0</x:v>
      </x:c>
      <x:c r="F2704" s="6">
        <x:v>0</x:v>
      </x:c>
      <x:c r="G2704" s="6">
        <x:v>0</x:v>
      </x:c>
      <x:c r="H2704" s="6">
        <x:f t="shared" si="131"/>
        <x:v>0</x:v>
      </x:c>
      <x:c r="I2704" s="6">
        <x:v>227086923.88</x:v>
      </x:c>
      <x:c r="J2704" s="6">
        <x:v>0</x:v>
      </x:c>
      <x:c r="K2704" s="6">
        <x:f t="shared" si="132"/>
        <x:v>227086923.88</x:v>
      </x:c>
      <x:c r="L2704" s="6">
        <x:v>0</x:v>
      </x:c>
      <x:c r="M2704" s="6">
        <x:v>0</x:v>
      </x:c>
      <x:c r="N2704" s="6">
        <x:f t="shared" si="133"/>
        <x:v>227086923.88</x:v>
      </x:c>
    </x:row>
    <x:row r="2705" spans="1:14" x14ac:dyDescent="0.25">
      <x:c r="A2705" t="s">
        <x:v>36</x:v>
      </x:c>
      <x:c r="B2705" t="s">
        <x:v>755</x:v>
      </x:c>
      <x:c r="C2705" t="s">
        <x:v>756</x:v>
      </x:c>
      <x:c r="D2705" t="s">
        <x:v>836</x:v>
      </x:c>
      <x:c r="E2705" s="6">
        <x:v>13945419.91</x:v>
      </x:c>
      <x:c r="F2705" s="6">
        <x:v>0</x:v>
      </x:c>
      <x:c r="G2705" s="6">
        <x:v>0</x:v>
      </x:c>
      <x:c r="H2705" s="6">
        <x:f t="shared" si="131"/>
        <x:v>13945419.91</x:v>
      </x:c>
      <x:c r="I2705" s="6">
        <x:v>0</x:v>
      </x:c>
      <x:c r="J2705" s="6">
        <x:v>0</x:v>
      </x:c>
      <x:c r="K2705" s="6">
        <x:f t="shared" si="132"/>
        <x:v>0</x:v>
      </x:c>
      <x:c r="L2705" s="6">
        <x:v>0</x:v>
      </x:c>
      <x:c r="M2705" s="6">
        <x:v>0</x:v>
      </x:c>
      <x:c r="N2705" s="6">
        <x:f t="shared" si="133"/>
        <x:v>13945419.91</x:v>
      </x:c>
    </x:row>
    <x:row r="2706" spans="1:14" x14ac:dyDescent="0.25">
      <x:c r="A2706" t="s">
        <x:v>36</x:v>
      </x:c>
      <x:c r="B2706" t="s">
        <x:v>839</x:v>
      </x:c>
      <x:c r="C2706" t="s">
        <x:v>840</x:v>
      </x:c>
      <x:c r="D2706" t="s">
        <x:v>677</x:v>
      </x:c>
      <x:c r="E2706" s="6">
        <x:v>0</x:v>
      </x:c>
      <x:c r="F2706" s="6">
        <x:v>1595595</x:v>
      </x:c>
      <x:c r="G2706" s="6">
        <x:v>0</x:v>
      </x:c>
      <x:c r="H2706" s="6">
        <x:f t="shared" si="131"/>
        <x:v>1595595</x:v>
      </x:c>
      <x:c r="I2706" s="6">
        <x:v>0</x:v>
      </x:c>
      <x:c r="J2706" s="6">
        <x:v>0</x:v>
      </x:c>
      <x:c r="K2706" s="6">
        <x:f t="shared" si="132"/>
        <x:v>0</x:v>
      </x:c>
      <x:c r="L2706" s="6">
        <x:v>0</x:v>
      </x:c>
      <x:c r="M2706" s="6">
        <x:v>0</x:v>
      </x:c>
      <x:c r="N2706" s="6">
        <x:f t="shared" si="133"/>
        <x:v>1595595</x:v>
      </x:c>
    </x:row>
    <x:row r="2707" spans="1:14" x14ac:dyDescent="0.25">
      <x:c r="A2707" t="s">
        <x:v>37</x:v>
      </x:c>
      <x:c r="B2707" s="3" t="s">
        <x:v>104</x:v>
      </x:c>
      <x:c r="C2707" s="3" t="s">
        <x:v>421</x:v>
      </x:c>
      <x:c r="D2707" t="s">
        <x:v>677</x:v>
      </x:c>
      <x:c r="E2707" s="6">
        <x:v>0</x:v>
      </x:c>
      <x:c r="F2707" s="6">
        <x:v>0</x:v>
      </x:c>
      <x:c r="G2707" s="6">
        <x:v>0</x:v>
      </x:c>
      <x:c r="H2707" s="6">
        <x:f t="shared" si="131"/>
        <x:v>0</x:v>
      </x:c>
      <x:c r="I2707" s="6">
        <x:v>8165</x:v>
      </x:c>
      <x:c r="J2707" s="6">
        <x:v>0</x:v>
      </x:c>
      <x:c r="K2707" s="6">
        <x:f t="shared" si="132"/>
        <x:v>8165</x:v>
      </x:c>
      <x:c r="L2707" s="6">
        <x:v>0</x:v>
      </x:c>
      <x:c r="M2707" s="6">
        <x:v>0</x:v>
      </x:c>
      <x:c r="N2707" s="6">
        <x:f t="shared" si="133"/>
        <x:v>8165</x:v>
      </x:c>
    </x:row>
    <x:row r="2708" spans="1:14" x14ac:dyDescent="0.25">
      <x:c r="A2708" t="s">
        <x:v>37</x:v>
      </x:c>
      <x:c r="B2708" s="3" t="s">
        <x:v>47</x:v>
      </x:c>
      <x:c r="C2708" s="3" t="s">
        <x:v>364</x:v>
      </x:c>
      <x:c r="D2708" t="s">
        <x:v>677</x:v>
      </x:c>
      <x:c r="E2708" s="6">
        <x:v>0</x:v>
      </x:c>
      <x:c r="F2708" s="6">
        <x:v>0</x:v>
      </x:c>
      <x:c r="G2708" s="6">
        <x:v>0</x:v>
      </x:c>
      <x:c r="H2708" s="6">
        <x:f t="shared" si="131"/>
        <x:v>0</x:v>
      </x:c>
      <x:c r="I2708" s="6">
        <x:v>33443431.82</x:v>
      </x:c>
      <x:c r="J2708" s="6">
        <x:v>0</x:v>
      </x:c>
      <x:c r="K2708" s="6">
        <x:f t="shared" si="132"/>
        <x:v>33443431.82</x:v>
      </x:c>
      <x:c r="L2708" s="6">
        <x:v>0</x:v>
      </x:c>
      <x:c r="M2708" s="6">
        <x:v>0</x:v>
      </x:c>
      <x:c r="N2708" s="6">
        <x:f t="shared" si="133"/>
        <x:v>33443431.82</x:v>
      </x:c>
    </x:row>
    <x:row r="2709" spans="1:14" x14ac:dyDescent="0.25">
      <x:c r="A2709" t="s">
        <x:v>37</x:v>
      </x:c>
      <x:c r="B2709" s="3" t="s">
        <x:v>304</x:v>
      </x:c>
      <x:c r="C2709" s="3" t="s">
        <x:v>619</x:v>
      </x:c>
      <x:c r="D2709" t="s">
        <x:v>677</x:v>
      </x:c>
      <x:c r="E2709" s="6">
        <x:v>0</x:v>
      </x:c>
      <x:c r="F2709" s="6">
        <x:v>0</x:v>
      </x:c>
      <x:c r="G2709" s="6">
        <x:v>0</x:v>
      </x:c>
      <x:c r="H2709" s="6">
        <x:f t="shared" si="131"/>
        <x:v>0</x:v>
      </x:c>
      <x:c r="I2709" s="6">
        <x:v>2349484.3299999996</x:v>
      </x:c>
      <x:c r="J2709" s="6">
        <x:v>0</x:v>
      </x:c>
      <x:c r="K2709" s="6">
        <x:f t="shared" si="132"/>
        <x:v>2349484.3299999996</x:v>
      </x:c>
      <x:c r="L2709" s="6">
        <x:v>0</x:v>
      </x:c>
      <x:c r="M2709" s="6">
        <x:v>0</x:v>
      </x:c>
      <x:c r="N2709" s="6">
        <x:f t="shared" si="133"/>
        <x:v>2349484.3299999996</x:v>
      </x:c>
    </x:row>
    <x:row r="2710" spans="1:14" x14ac:dyDescent="0.25">
      <x:c r="A2710" t="s">
        <x:v>37</x:v>
      </x:c>
      <x:c r="B2710" s="3" t="s">
        <x:v>349</x:v>
      </x:c>
      <x:c r="C2710" s="3" t="s">
        <x:v>664</x:v>
      </x:c>
      <x:c r="D2710" t="s">
        <x:v>677</x:v>
      </x:c>
      <x:c r="E2710" s="6">
        <x:v>0</x:v>
      </x:c>
      <x:c r="F2710" s="6">
        <x:v>0</x:v>
      </x:c>
      <x:c r="G2710" s="6">
        <x:v>0</x:v>
      </x:c>
      <x:c r="H2710" s="6">
        <x:f t="shared" si="131"/>
        <x:v>0</x:v>
      </x:c>
      <x:c r="I2710" s="6">
        <x:v>1219684.6299999999</x:v>
      </x:c>
      <x:c r="J2710" s="6">
        <x:v>0</x:v>
      </x:c>
      <x:c r="K2710" s="6">
        <x:f t="shared" si="132"/>
        <x:v>1219684.6299999999</x:v>
      </x:c>
      <x:c r="L2710" s="6">
        <x:v>0</x:v>
      </x:c>
      <x:c r="M2710" s="6">
        <x:v>0</x:v>
      </x:c>
      <x:c r="N2710" s="6">
        <x:f t="shared" si="133"/>
        <x:v>1219684.6299999999</x:v>
      </x:c>
    </x:row>
    <x:row r="2711" spans="1:14" x14ac:dyDescent="0.25">
      <x:c r="A2711" t="s">
        <x:v>37</x:v>
      </x:c>
      <x:c r="B2711" t="s">
        <x:v>755</x:v>
      </x:c>
      <x:c r="C2711" t="s">
        <x:v>756</x:v>
      </x:c>
      <x:c r="D2711" t="s">
        <x:v>836</x:v>
      </x:c>
      <x:c r="E2711" s="6">
        <x:v>18752598.619999997</x:v>
      </x:c>
      <x:c r="F2711" s="6">
        <x:v>0</x:v>
      </x:c>
      <x:c r="G2711" s="6">
        <x:v>0</x:v>
      </x:c>
      <x:c r="H2711" s="6">
        <x:f t="shared" si="131"/>
        <x:v>18752598.619999997</x:v>
      </x:c>
      <x:c r="I2711" s="6">
        <x:v>0</x:v>
      </x:c>
      <x:c r="J2711" s="6">
        <x:v>0</x:v>
      </x:c>
      <x:c r="K2711" s="6">
        <x:f t="shared" si="132"/>
        <x:v>0</x:v>
      </x:c>
      <x:c r="L2711" s="6">
        <x:v>0</x:v>
      </x:c>
      <x:c r="M2711" s="6">
        <x:v>0</x:v>
      </x:c>
      <x:c r="N2711" s="6">
        <x:f t="shared" si="133"/>
        <x:v>18752598.619999997</x:v>
      </x:c>
    </x:row>
    <x:row r="2712" spans="1:14" x14ac:dyDescent="0.25">
      <x:c r="A2712" t="s">
        <x:v>37</x:v>
      </x:c>
      <x:c r="B2712" t="s">
        <x:v>830</x:v>
      </x:c>
      <x:c r="C2712" t="s">
        <x:v>831</x:v>
      </x:c>
      <x:c r="D2712" t="s">
        <x:v>836</x:v>
      </x:c>
      <x:c r="E2712" s="6">
        <x:v>12375</x:v>
      </x:c>
      <x:c r="F2712" s="6">
        <x:v>0</x:v>
      </x:c>
      <x:c r="G2712" s="6">
        <x:v>0</x:v>
      </x:c>
      <x:c r="H2712" s="6">
        <x:f t="shared" si="131"/>
        <x:v>12375</x:v>
      </x:c>
      <x:c r="I2712" s="6">
        <x:v>0</x:v>
      </x:c>
      <x:c r="J2712" s="6">
        <x:v>0</x:v>
      </x:c>
      <x:c r="K2712" s="6">
        <x:f t="shared" si="132"/>
        <x:v>0</x:v>
      </x:c>
      <x:c r="L2712" s="6">
        <x:v>0</x:v>
      </x:c>
      <x:c r="M2712" s="6">
        <x:v>0</x:v>
      </x:c>
      <x:c r="N2712" s="6">
        <x:f t="shared" si="133"/>
        <x:v>12375</x:v>
      </x:c>
    </x:row>
    <x:row r="2713" spans="1:14" x14ac:dyDescent="0.25">
      <x:c r="A2713" t="s">
        <x:v>38</x:v>
      </x:c>
      <x:c r="B2713" s="3" t="s">
        <x:v>71</x:v>
      </x:c>
      <x:c r="C2713" s="3" t="s">
        <x:v>388</x:v>
      </x:c>
      <x:c r="D2713" t="s">
        <x:v>676</x:v>
      </x:c>
      <x:c r="E2713" s="6">
        <x:v>0</x:v>
      </x:c>
      <x:c r="F2713" s="6">
        <x:v>0</x:v>
      </x:c>
      <x:c r="G2713" s="6">
        <x:v>0</x:v>
      </x:c>
      <x:c r="H2713" s="6">
        <x:f t="shared" si="131"/>
        <x:v>0</x:v>
      </x:c>
      <x:c r="I2713" s="6">
        <x:v>23961.270000000004</x:v>
      </x:c>
      <x:c r="J2713" s="6">
        <x:v>0</x:v>
      </x:c>
      <x:c r="K2713" s="6">
        <x:f t="shared" si="132"/>
        <x:v>23961.270000000004</x:v>
      </x:c>
      <x:c r="L2713" s="6">
        <x:v>0</x:v>
      </x:c>
      <x:c r="M2713" s="6">
        <x:v>0</x:v>
      </x:c>
      <x:c r="N2713" s="6">
        <x:f t="shared" si="133"/>
        <x:v>23961.270000000004</x:v>
      </x:c>
    </x:row>
    <x:row r="2714" spans="1:14" x14ac:dyDescent="0.25">
      <x:c r="A2714" t="s">
        <x:v>38</x:v>
      </x:c>
      <x:c r="B2714" s="3" t="s">
        <x:v>352</x:v>
      </x:c>
      <x:c r="C2714" s="3" t="s">
        <x:v>667</x:v>
      </x:c>
      <x:c r="D2714" t="s">
        <x:v>679</x:v>
      </x:c>
      <x:c r="E2714" s="6">
        <x:v>-110.57000000000001</x:v>
      </x:c>
      <x:c r="F2714" s="6">
        <x:v>0</x:v>
      </x:c>
      <x:c r="G2714" s="6">
        <x:v>0</x:v>
      </x:c>
      <x:c r="H2714" s="6">
        <x:f t="shared" si="131"/>
        <x:v>-110.57000000000001</x:v>
      </x:c>
      <x:c r="I2714" s="6">
        <x:v>-295.33000000000004</x:v>
      </x:c>
      <x:c r="J2714" s="6">
        <x:v>0</x:v>
      </x:c>
      <x:c r="K2714" s="6">
        <x:f t="shared" si="132"/>
        <x:v>-295.33000000000004</x:v>
      </x:c>
      <x:c r="L2714" s="6">
        <x:v>-82.59</x:v>
      </x:c>
      <x:c r="M2714" s="6">
        <x:v>-3.3899999999999864</x:v>
      </x:c>
      <x:c r="N2714" s="6">
        <x:f t="shared" si="133"/>
        <x:v>-491.88</x:v>
      </x:c>
    </x:row>
    <x:row r="2715" spans="1:14" x14ac:dyDescent="0.25">
      <x:c r="A2715" t="s">
        <x:v>38</x:v>
      </x:c>
      <x:c r="B2715" s="3" t="s">
        <x:v>270</x:v>
      </x:c>
      <x:c r="C2715" s="3" t="s">
        <x:v>585</x:v>
      </x:c>
      <x:c r="D2715" t="s">
        <x:v>676</x:v>
      </x:c>
      <x:c r="E2715" s="6">
        <x:v>0</x:v>
      </x:c>
      <x:c r="F2715" s="6">
        <x:v>0</x:v>
      </x:c>
      <x:c r="G2715" s="6">
        <x:v>0</x:v>
      </x:c>
      <x:c r="H2715" s="6">
        <x:f t="shared" si="131"/>
        <x:v>0</x:v>
      </x:c>
      <x:c r="I2715" s="6">
        <x:v>43467.590000000004</x:v>
      </x:c>
      <x:c r="J2715" s="6">
        <x:v>0</x:v>
      </x:c>
      <x:c r="K2715" s="6">
        <x:f t="shared" si="132"/>
        <x:v>43467.590000000004</x:v>
      </x:c>
      <x:c r="L2715" s="6">
        <x:v>0</x:v>
      </x:c>
      <x:c r="M2715" s="6">
        <x:v>0</x:v>
      </x:c>
      <x:c r="N2715" s="6">
        <x:f t="shared" si="133"/>
        <x:v>43467.590000000004</x:v>
      </x:c>
    </x:row>
    <x:row r="2716" spans="1:14" x14ac:dyDescent="0.25">
      <x:c r="A2716" t="s">
        <x:v>38</x:v>
      </x:c>
      <x:c r="B2716" s="3" t="s">
        <x:v>271</x:v>
      </x:c>
      <x:c r="C2716" s="3" t="s">
        <x:v>586</x:v>
      </x:c>
      <x:c r="D2716" t="s">
        <x:v>676</x:v>
      </x:c>
      <x:c r="E2716" s="6">
        <x:v>0</x:v>
      </x:c>
      <x:c r="F2716" s="6">
        <x:v>0</x:v>
      </x:c>
      <x:c r="G2716" s="6">
        <x:v>0</x:v>
      </x:c>
      <x:c r="H2716" s="6">
        <x:f t="shared" si="131"/>
        <x:v>0</x:v>
      </x:c>
      <x:c r="I2716" s="6">
        <x:v>18575.96</x:v>
      </x:c>
      <x:c r="J2716" s="6">
        <x:v>0</x:v>
      </x:c>
      <x:c r="K2716" s="6">
        <x:f t="shared" si="132"/>
        <x:v>18575.96</x:v>
      </x:c>
      <x:c r="L2716" s="6">
        <x:v>0</x:v>
      </x:c>
      <x:c r="M2716" s="6">
        <x:v>0</x:v>
      </x:c>
      <x:c r="N2716" s="6">
        <x:f t="shared" si="133"/>
        <x:v>18575.96</x:v>
      </x:c>
    </x:row>
    <x:row r="2717" spans="1:14" x14ac:dyDescent="0.25">
      <x:c r="A2717" t="s">
        <x:v>38</x:v>
      </x:c>
      <x:c r="B2717" s="3" t="s">
        <x:v>272</x:v>
      </x:c>
      <x:c r="C2717" s="3" t="s">
        <x:v>587</x:v>
      </x:c>
      <x:c r="D2717" t="s">
        <x:v>676</x:v>
      </x:c>
      <x:c r="E2717" s="6">
        <x:v>0</x:v>
      </x:c>
      <x:c r="F2717" s="6">
        <x:v>0</x:v>
      </x:c>
      <x:c r="G2717" s="6">
        <x:v>0</x:v>
      </x:c>
      <x:c r="H2717" s="6">
        <x:f t="shared" si="131"/>
        <x:v>0</x:v>
      </x:c>
      <x:c r="I2717" s="6">
        <x:v>47388.99</x:v>
      </x:c>
      <x:c r="J2717" s="6">
        <x:v>0</x:v>
      </x:c>
      <x:c r="K2717" s="6">
        <x:f t="shared" si="132"/>
        <x:v>47388.99</x:v>
      </x:c>
      <x:c r="L2717" s="6">
        <x:v>0</x:v>
      </x:c>
      <x:c r="M2717" s="6">
        <x:v>0</x:v>
      </x:c>
      <x:c r="N2717" s="6">
        <x:f t="shared" si="133"/>
        <x:v>47388.99</x:v>
      </x:c>
    </x:row>
    <x:row r="2718" spans="1:14" x14ac:dyDescent="0.25">
      <x:c r="A2718" t="s">
        <x:v>38</x:v>
      </x:c>
      <x:c r="B2718" s="3" t="s">
        <x:v>273</x:v>
      </x:c>
      <x:c r="C2718" s="3" t="s">
        <x:v>588</x:v>
      </x:c>
      <x:c r="D2718" t="s">
        <x:v>676</x:v>
      </x:c>
      <x:c r="E2718" s="6">
        <x:v>0</x:v>
      </x:c>
      <x:c r="F2718" s="6">
        <x:v>0</x:v>
      </x:c>
      <x:c r="G2718" s="6">
        <x:v>0</x:v>
      </x:c>
      <x:c r="H2718" s="6">
        <x:f t="shared" si="131"/>
        <x:v>0</x:v>
      </x:c>
      <x:c r="I2718" s="6">
        <x:v>20651.25</x:v>
      </x:c>
      <x:c r="J2718" s="6">
        <x:v>0</x:v>
      </x:c>
      <x:c r="K2718" s="6">
        <x:f t="shared" si="132"/>
        <x:v>20651.25</x:v>
      </x:c>
      <x:c r="L2718" s="6">
        <x:v>0</x:v>
      </x:c>
      <x:c r="M2718" s="6">
        <x:v>0</x:v>
      </x:c>
      <x:c r="N2718" s="6">
        <x:f t="shared" si="133"/>
        <x:v>20651.25</x:v>
      </x:c>
    </x:row>
    <x:row r="2719" spans="1:14" x14ac:dyDescent="0.25">
      <x:c r="A2719" t="s">
        <x:v>38</x:v>
      </x:c>
      <x:c r="B2719" s="3" t="s">
        <x:v>52</x:v>
      </x:c>
      <x:c r="C2719" s="3" t="s">
        <x:v>369</x:v>
      </x:c>
      <x:c r="D2719" t="s">
        <x:v>676</x:v>
      </x:c>
      <x:c r="E2719" s="6">
        <x:v>0</x:v>
      </x:c>
      <x:c r="F2719" s="6">
        <x:v>0</x:v>
      </x:c>
      <x:c r="G2719" s="6">
        <x:v>0</x:v>
      </x:c>
      <x:c r="H2719" s="6">
        <x:f t="shared" ref="H2719:H2782" si="134">SUM(E2719:G2719)</x:f>
        <x:v>0</x:v>
      </x:c>
      <x:c r="I2719" s="6">
        <x:v>73777.5</x:v>
      </x:c>
      <x:c r="J2719" s="6">
        <x:v>0</x:v>
      </x:c>
      <x:c r="K2719" s="6">
        <x:f t="shared" ref="K2719:K2782" si="135">SUM(I2719:J2719)</x:f>
        <x:v>73777.5</x:v>
      </x:c>
      <x:c r="L2719" s="6">
        <x:v>0</x:v>
      </x:c>
      <x:c r="M2719" s="6">
        <x:v>0</x:v>
      </x:c>
      <x:c r="N2719" s="6">
        <x:f t="shared" ref="N2719:N2782" si="136">+E2719+F2719+G2719+I2719+J2719+L2719+M2719</x:f>
        <x:v>73777.5</x:v>
      </x:c>
    </x:row>
    <x:row r="2720" spans="1:14" x14ac:dyDescent="0.25">
      <x:c r="A2720" t="s">
        <x:v>38</x:v>
      </x:c>
      <x:c r="B2720" s="3" t="s">
        <x:v>53</x:v>
      </x:c>
      <x:c r="C2720" s="3" t="s">
        <x:v>370</x:v>
      </x:c>
      <x:c r="D2720" t="s">
        <x:v>676</x:v>
      </x:c>
      <x:c r="E2720" s="6">
        <x:v>0</x:v>
      </x:c>
      <x:c r="F2720" s="6">
        <x:v>0</x:v>
      </x:c>
      <x:c r="G2720" s="6">
        <x:v>0</x:v>
      </x:c>
      <x:c r="H2720" s="6">
        <x:f t="shared" si="134"/>
        <x:v>0</x:v>
      </x:c>
      <x:c r="I2720" s="6">
        <x:v>138819.05000000002</x:v>
      </x:c>
      <x:c r="J2720" s="6">
        <x:v>0</x:v>
      </x:c>
      <x:c r="K2720" s="6">
        <x:f t="shared" si="135"/>
        <x:v>138819.05000000002</x:v>
      </x:c>
      <x:c r="L2720" s="6">
        <x:v>0</x:v>
      </x:c>
      <x:c r="M2720" s="6">
        <x:v>0</x:v>
      </x:c>
      <x:c r="N2720" s="6">
        <x:f t="shared" si="136"/>
        <x:v>138819.05000000002</x:v>
      </x:c>
    </x:row>
    <x:row r="2721" spans="1:14" x14ac:dyDescent="0.25">
      <x:c r="A2721" t="s">
        <x:v>38</x:v>
      </x:c>
      <x:c r="B2721" s="3" t="s">
        <x:v>72</x:v>
      </x:c>
      <x:c r="C2721" s="3" t="s">
        <x:v>389</x:v>
      </x:c>
      <x:c r="D2721" t="s">
        <x:v>676</x:v>
      </x:c>
      <x:c r="E2721" s="6">
        <x:v>0</x:v>
      </x:c>
      <x:c r="F2721" s="6">
        <x:v>0</x:v>
      </x:c>
      <x:c r="G2721" s="6">
        <x:v>0</x:v>
      </x:c>
      <x:c r="H2721" s="6">
        <x:f t="shared" si="134"/>
        <x:v>0</x:v>
      </x:c>
      <x:c r="I2721" s="6">
        <x:v>16746.810000000001</x:v>
      </x:c>
      <x:c r="J2721" s="6">
        <x:v>0</x:v>
      </x:c>
      <x:c r="K2721" s="6">
        <x:f t="shared" si="135"/>
        <x:v>16746.810000000001</x:v>
      </x:c>
      <x:c r="L2721" s="6">
        <x:v>0</x:v>
      </x:c>
      <x:c r="M2721" s="6">
        <x:v>0</x:v>
      </x:c>
      <x:c r="N2721" s="6">
        <x:f t="shared" si="136"/>
        <x:v>16746.810000000001</x:v>
      </x:c>
    </x:row>
    <x:row r="2722" spans="1:14" x14ac:dyDescent="0.25">
      <x:c r="A2722" t="s">
        <x:v>38</x:v>
      </x:c>
      <x:c r="B2722" s="3" t="s">
        <x:v>321</x:v>
      </x:c>
      <x:c r="C2722" s="3" t="s">
        <x:v>636</x:v>
      </x:c>
      <x:c r="D2722" t="s">
        <x:v>679</x:v>
      </x:c>
      <x:c r="E2722" s="6">
        <x:v>10514.920000000002</x:v>
      </x:c>
      <x:c r="F2722" s="6">
        <x:v>0</x:v>
      </x:c>
      <x:c r="G2722" s="6">
        <x:v>0</x:v>
      </x:c>
      <x:c r="H2722" s="6">
        <x:f t="shared" si="134"/>
        <x:v>10514.920000000002</x:v>
      </x:c>
      <x:c r="I2722" s="6">
        <x:v>28083.46</x:v>
      </x:c>
      <x:c r="J2722" s="6">
        <x:v>0</x:v>
      </x:c>
      <x:c r="K2722" s="6">
        <x:f t="shared" si="135"/>
        <x:v>28083.46</x:v>
      </x:c>
      <x:c r="L2722" s="6">
        <x:v>7853.4400000000005</x:v>
      </x:c>
      <x:c r="M2722" s="6">
        <x:v>322.73999999999791</x:v>
      </x:c>
      <x:c r="N2722" s="6">
        <x:f t="shared" si="136"/>
        <x:v>46774.560000000005</x:v>
      </x:c>
    </x:row>
    <x:row r="2723" spans="1:14" x14ac:dyDescent="0.25">
      <x:c r="A2723" t="s">
        <x:v>38</x:v>
      </x:c>
      <x:c r="B2723" s="3" t="s">
        <x:v>322</x:v>
      </x:c>
      <x:c r="C2723" s="3" t="s">
        <x:v>637</x:v>
      </x:c>
      <x:c r="D2723" t="s">
        <x:v>679</x:v>
      </x:c>
      <x:c r="E2723" s="6">
        <x:v>3173.8199999999997</x:v>
      </x:c>
      <x:c r="F2723" s="6">
        <x:v>0</x:v>
      </x:c>
      <x:c r="G2723" s="6">
        <x:v>0</x:v>
      </x:c>
      <x:c r="H2723" s="6">
        <x:f t="shared" si="134"/>
        <x:v>3173.8199999999997</x:v>
      </x:c>
      <x:c r="I2723" s="6">
        <x:v>8476.7000000000007</x:v>
      </x:c>
      <x:c r="J2723" s="6">
        <x:v>0</x:v>
      </x:c>
      <x:c r="K2723" s="6">
        <x:f t="shared" si="135"/>
        <x:v>8476.7000000000007</x:v>
      </x:c>
      <x:c r="L2723" s="6">
        <x:v>2370.4799999999996</x:v>
      </x:c>
      <x:c r="M2723" s="6">
        <x:v>97.429999999999666</x:v>
      </x:c>
      <x:c r="N2723" s="6">
        <x:f t="shared" si="136"/>
        <x:v>14118.43</x:v>
      </x:c>
    </x:row>
    <x:row r="2724" spans="1:14" x14ac:dyDescent="0.25">
      <x:c r="A2724" t="s">
        <x:v>38</x:v>
      </x:c>
      <x:c r="B2724" s="3" t="s">
        <x:v>73</x:v>
      </x:c>
      <x:c r="C2724" s="3" t="s">
        <x:v>390</x:v>
      </x:c>
      <x:c r="D2724" t="s">
        <x:v>676</x:v>
      </x:c>
      <x:c r="E2724" s="6">
        <x:v>0</x:v>
      </x:c>
      <x:c r="F2724" s="6">
        <x:v>0</x:v>
      </x:c>
      <x:c r="G2724" s="6">
        <x:v>0</x:v>
      </x:c>
      <x:c r="H2724" s="6">
        <x:f t="shared" si="134"/>
        <x:v>0</x:v>
      </x:c>
      <x:c r="I2724" s="6">
        <x:v>30626.719999999998</x:v>
      </x:c>
      <x:c r="J2724" s="6">
        <x:v>0</x:v>
      </x:c>
      <x:c r="K2724" s="6">
        <x:f t="shared" si="135"/>
        <x:v>30626.719999999998</x:v>
      </x:c>
      <x:c r="L2724" s="6">
        <x:v>0</x:v>
      </x:c>
      <x:c r="M2724" s="6">
        <x:v>0</x:v>
      </x:c>
      <x:c r="N2724" s="6">
        <x:f t="shared" si="136"/>
        <x:v>30626.719999999998</x:v>
      </x:c>
    </x:row>
    <x:row r="2725" spans="1:14" x14ac:dyDescent="0.25">
      <x:c r="A2725" t="s">
        <x:v>38</x:v>
      </x:c>
      <x:c r="B2725" s="3" t="s">
        <x:v>74</x:v>
      </x:c>
      <x:c r="C2725" s="3" t="s">
        <x:v>391</x:v>
      </x:c>
      <x:c r="D2725" t="s">
        <x:v>676</x:v>
      </x:c>
      <x:c r="E2725" s="6">
        <x:v>0</x:v>
      </x:c>
      <x:c r="F2725" s="6">
        <x:v>0</x:v>
      </x:c>
      <x:c r="G2725" s="6">
        <x:v>0</x:v>
      </x:c>
      <x:c r="H2725" s="6">
        <x:f t="shared" si="134"/>
        <x:v>0</x:v>
      </x:c>
      <x:c r="I2725" s="6">
        <x:v>24492.11</x:v>
      </x:c>
      <x:c r="J2725" s="6">
        <x:v>0</x:v>
      </x:c>
      <x:c r="K2725" s="6">
        <x:f t="shared" si="135"/>
        <x:v>24492.11</x:v>
      </x:c>
      <x:c r="L2725" s="6">
        <x:v>0</x:v>
      </x:c>
      <x:c r="M2725" s="6">
        <x:v>0</x:v>
      </x:c>
      <x:c r="N2725" s="6">
        <x:f t="shared" si="136"/>
        <x:v>24492.11</x:v>
      </x:c>
    </x:row>
    <x:row r="2726" spans="1:14" x14ac:dyDescent="0.25">
      <x:c r="A2726" t="s">
        <x:v>38</x:v>
      </x:c>
      <x:c r="B2726" s="3" t="s">
        <x:v>48</x:v>
      </x:c>
      <x:c r="C2726" s="3" t="s">
        <x:v>365</x:v>
      </x:c>
      <x:c r="D2726" t="s">
        <x:v>679</x:v>
      </x:c>
      <x:c r="E2726" s="6">
        <x:v>41877.679999999993</x:v>
      </x:c>
      <x:c r="F2726" s="6">
        <x:v>0</x:v>
      </x:c>
      <x:c r="G2726" s="6">
        <x:v>0</x:v>
      </x:c>
      <x:c r="H2726" s="6">
        <x:f t="shared" si="134"/>
        <x:v>41877.679999999993</x:v>
      </x:c>
      <x:c r="I2726" s="6">
        <x:v>111847.67999999999</x:v>
      </x:c>
      <x:c r="J2726" s="6">
        <x:v>0</x:v>
      </x:c>
      <x:c r="K2726" s="6">
        <x:f t="shared" si="135"/>
        <x:v>111847.67999999999</x:v>
      </x:c>
      <x:c r="L2726" s="6">
        <x:v>31277.86</x:v>
      </x:c>
      <x:c r="M2726" s="6">
        <x:v>1285.3999999999915</x:v>
      </x:c>
      <x:c r="N2726" s="6">
        <x:f t="shared" si="136"/>
        <x:v>186288.61999999997</x:v>
      </x:c>
    </x:row>
    <x:row r="2727" spans="1:14" x14ac:dyDescent="0.25">
      <x:c r="A2727" t="s">
        <x:v>38</x:v>
      </x:c>
      <x:c r="B2727" s="3" t="s">
        <x:v>75</x:v>
      </x:c>
      <x:c r="C2727" s="3" t="s">
        <x:v>392</x:v>
      </x:c>
      <x:c r="D2727" t="s">
        <x:v>676</x:v>
      </x:c>
      <x:c r="E2727" s="6">
        <x:v>0</x:v>
      </x:c>
      <x:c r="F2727" s="6">
        <x:v>0</x:v>
      </x:c>
      <x:c r="G2727" s="6">
        <x:v>0</x:v>
      </x:c>
      <x:c r="H2727" s="6">
        <x:f t="shared" si="134"/>
        <x:v>0</x:v>
      </x:c>
      <x:c r="I2727" s="6">
        <x:v>35174.130000000005</x:v>
      </x:c>
      <x:c r="J2727" s="6">
        <x:v>0</x:v>
      </x:c>
      <x:c r="K2727" s="6">
        <x:f t="shared" si="135"/>
        <x:v>35174.130000000005</x:v>
      </x:c>
      <x:c r="L2727" s="6">
        <x:v>0</x:v>
      </x:c>
      <x:c r="M2727" s="6">
        <x:v>0</x:v>
      </x:c>
      <x:c r="N2727" s="6">
        <x:f t="shared" si="136"/>
        <x:v>35174.130000000005</x:v>
      </x:c>
    </x:row>
    <x:row r="2728" spans="1:14" x14ac:dyDescent="0.25">
      <x:c r="A2728" t="s">
        <x:v>38</x:v>
      </x:c>
      <x:c r="B2728" s="3" t="s">
        <x:v>54</x:v>
      </x:c>
      <x:c r="C2728" s="3" t="s">
        <x:v>371</x:v>
      </x:c>
      <x:c r="D2728" t="s">
        <x:v>679</x:v>
      </x:c>
      <x:c r="E2728" s="6">
        <x:v>7859.5499999999993</x:v>
      </x:c>
      <x:c r="F2728" s="6">
        <x:v>0</x:v>
      </x:c>
      <x:c r="G2728" s="6">
        <x:v>0</x:v>
      </x:c>
      <x:c r="H2728" s="6">
        <x:f t="shared" si="134"/>
        <x:v>7859.5499999999993</x:v>
      </x:c>
      <x:c r="I2728" s="6">
        <x:v>20991.46</x:v>
      </x:c>
      <x:c r="J2728" s="6">
        <x:v>0</x:v>
      </x:c>
      <x:c r="K2728" s="6">
        <x:f t="shared" si="135"/>
        <x:v>20991.46</x:v>
      </x:c>
      <x:c r="L2728" s="6">
        <x:v>5870.1900000000005</x:v>
      </x:c>
      <x:c r="M2728" s="6">
        <x:v>241.26000000000022</x:v>
      </x:c>
      <x:c r="N2728" s="6">
        <x:f t="shared" si="136"/>
        <x:v>34962.46</x:v>
      </x:c>
    </x:row>
    <x:row r="2729" spans="1:14" x14ac:dyDescent="0.25">
      <x:c r="A2729" t="s">
        <x:v>38</x:v>
      </x:c>
      <x:c r="B2729" s="3" t="s">
        <x:v>55</x:v>
      </x:c>
      <x:c r="C2729" s="3" t="s">
        <x:v>372</x:v>
      </x:c>
      <x:c r="D2729" t="s">
        <x:v>676</x:v>
      </x:c>
      <x:c r="E2729" s="6">
        <x:v>0</x:v>
      </x:c>
      <x:c r="F2729" s="6">
        <x:v>0</x:v>
      </x:c>
      <x:c r="G2729" s="6">
        <x:v>0</x:v>
      </x:c>
      <x:c r="H2729" s="6">
        <x:f t="shared" si="134"/>
        <x:v>0</x:v>
      </x:c>
      <x:c r="I2729" s="6">
        <x:v>125676.35999999999</x:v>
      </x:c>
      <x:c r="J2729" s="6">
        <x:v>0</x:v>
      </x:c>
      <x:c r="K2729" s="6">
        <x:f t="shared" si="135"/>
        <x:v>125676.35999999999</x:v>
      </x:c>
      <x:c r="L2729" s="6">
        <x:v>0</x:v>
      </x:c>
      <x:c r="M2729" s="6">
        <x:v>0</x:v>
      </x:c>
      <x:c r="N2729" s="6">
        <x:f t="shared" si="136"/>
        <x:v>125676.35999999999</x:v>
      </x:c>
    </x:row>
    <x:row r="2730" spans="1:14" x14ac:dyDescent="0.25">
      <x:c r="A2730" t="s">
        <x:v>38</x:v>
      </x:c>
      <x:c r="B2730" s="3" t="s">
        <x:v>274</x:v>
      </x:c>
      <x:c r="C2730" s="3" t="s">
        <x:v>589</x:v>
      </x:c>
      <x:c r="D2730" t="s">
        <x:v>676</x:v>
      </x:c>
      <x:c r="E2730" s="6">
        <x:v>0</x:v>
      </x:c>
      <x:c r="F2730" s="6">
        <x:v>0</x:v>
      </x:c>
      <x:c r="G2730" s="6">
        <x:v>0</x:v>
      </x:c>
      <x:c r="H2730" s="6">
        <x:f t="shared" si="134"/>
        <x:v>0</x:v>
      </x:c>
      <x:c r="I2730" s="6">
        <x:v>64066.95</x:v>
      </x:c>
      <x:c r="J2730" s="6">
        <x:v>0</x:v>
      </x:c>
      <x:c r="K2730" s="6">
        <x:f t="shared" si="135"/>
        <x:v>64066.95</x:v>
      </x:c>
      <x:c r="L2730" s="6">
        <x:v>0</x:v>
      </x:c>
      <x:c r="M2730" s="6">
        <x:v>0</x:v>
      </x:c>
      <x:c r="N2730" s="6">
        <x:f t="shared" si="136"/>
        <x:v>64066.95</x:v>
      </x:c>
    </x:row>
    <x:row r="2731" spans="1:14" x14ac:dyDescent="0.25">
      <x:c r="A2731" t="s">
        <x:v>38</x:v>
      </x:c>
      <x:c r="B2731" s="3" t="s">
        <x:v>76</x:v>
      </x:c>
      <x:c r="C2731" s="3" t="s">
        <x:v>393</x:v>
      </x:c>
      <x:c r="D2731" t="s">
        <x:v>676</x:v>
      </x:c>
      <x:c r="E2731" s="6">
        <x:v>0</x:v>
      </x:c>
      <x:c r="F2731" s="6">
        <x:v>0</x:v>
      </x:c>
      <x:c r="G2731" s="6">
        <x:v>0</x:v>
      </x:c>
      <x:c r="H2731" s="6">
        <x:f t="shared" si="134"/>
        <x:v>0</x:v>
      </x:c>
      <x:c r="I2731" s="6">
        <x:v>160485.22</x:v>
      </x:c>
      <x:c r="J2731" s="6">
        <x:v>0</x:v>
      </x:c>
      <x:c r="K2731" s="6">
        <x:f t="shared" si="135"/>
        <x:v>160485.22</x:v>
      </x:c>
      <x:c r="L2731" s="6">
        <x:v>0</x:v>
      </x:c>
      <x:c r="M2731" s="6">
        <x:v>0</x:v>
      </x:c>
      <x:c r="N2731" s="6">
        <x:f t="shared" si="136"/>
        <x:v>160485.22</x:v>
      </x:c>
    </x:row>
    <x:row r="2732" spans="1:14" x14ac:dyDescent="0.25">
      <x:c r="A2732" t="s">
        <x:v>38</x:v>
      </x:c>
      <x:c r="B2732" s="3" t="s">
        <x:v>77</x:v>
      </x:c>
      <x:c r="C2732" s="3" t="s">
        <x:v>394</x:v>
      </x:c>
      <x:c r="D2732" t="s">
        <x:v>676</x:v>
      </x:c>
      <x:c r="E2732" s="6">
        <x:v>0</x:v>
      </x:c>
      <x:c r="F2732" s="6">
        <x:v>0</x:v>
      </x:c>
      <x:c r="G2732" s="6">
        <x:v>0</x:v>
      </x:c>
      <x:c r="H2732" s="6">
        <x:f t="shared" si="134"/>
        <x:v>0</x:v>
      </x:c>
      <x:c r="I2732" s="6">
        <x:v>14505.689999999999</x:v>
      </x:c>
      <x:c r="J2732" s="6">
        <x:v>0</x:v>
      </x:c>
      <x:c r="K2732" s="6">
        <x:f t="shared" si="135"/>
        <x:v>14505.689999999999</x:v>
      </x:c>
      <x:c r="L2732" s="6">
        <x:v>0</x:v>
      </x:c>
      <x:c r="M2732" s="6">
        <x:v>0</x:v>
      </x:c>
      <x:c r="N2732" s="6">
        <x:f t="shared" si="136"/>
        <x:v>14505.689999999999</x:v>
      </x:c>
    </x:row>
    <x:row r="2733" spans="1:14" x14ac:dyDescent="0.25">
      <x:c r="A2733" t="s">
        <x:v>38</x:v>
      </x:c>
      <x:c r="B2733" s="3" t="s">
        <x:v>78</x:v>
      </x:c>
      <x:c r="C2733" s="3" t="s">
        <x:v>395</x:v>
      </x:c>
      <x:c r="D2733" t="s">
        <x:v>676</x:v>
      </x:c>
      <x:c r="E2733" s="6">
        <x:v>0</x:v>
      </x:c>
      <x:c r="F2733" s="6">
        <x:v>0</x:v>
      </x:c>
      <x:c r="G2733" s="6">
        <x:v>0</x:v>
      </x:c>
      <x:c r="H2733" s="6">
        <x:f t="shared" si="134"/>
        <x:v>0</x:v>
      </x:c>
      <x:c r="I2733" s="6">
        <x:v>279630.86000000004</x:v>
      </x:c>
      <x:c r="J2733" s="6">
        <x:v>0</x:v>
      </x:c>
      <x:c r="K2733" s="6">
        <x:f t="shared" si="135"/>
        <x:v>279630.86000000004</x:v>
      </x:c>
      <x:c r="L2733" s="6">
        <x:v>0</x:v>
      </x:c>
      <x:c r="M2733" s="6">
        <x:v>0</x:v>
      </x:c>
      <x:c r="N2733" s="6">
        <x:f t="shared" si="136"/>
        <x:v>279630.86000000004</x:v>
      </x:c>
    </x:row>
    <x:row r="2734" spans="1:14" x14ac:dyDescent="0.25">
      <x:c r="A2734" t="s">
        <x:v>38</x:v>
      </x:c>
      <x:c r="B2734" s="3" t="s">
        <x:v>79</x:v>
      </x:c>
      <x:c r="C2734" s="3" t="s">
        <x:v>396</x:v>
      </x:c>
      <x:c r="D2734" t="s">
        <x:v>676</x:v>
      </x:c>
      <x:c r="E2734" s="6">
        <x:v>0</x:v>
      </x:c>
      <x:c r="F2734" s="6">
        <x:v>0</x:v>
      </x:c>
      <x:c r="G2734" s="6">
        <x:v>0</x:v>
      </x:c>
      <x:c r="H2734" s="6">
        <x:f t="shared" si="134"/>
        <x:v>0</x:v>
      </x:c>
      <x:c r="I2734" s="6">
        <x:v>26356</x:v>
      </x:c>
      <x:c r="J2734" s="6">
        <x:v>0</x:v>
      </x:c>
      <x:c r="K2734" s="6">
        <x:f t="shared" si="135"/>
        <x:v>26356</x:v>
      </x:c>
      <x:c r="L2734" s="6">
        <x:v>0</x:v>
      </x:c>
      <x:c r="M2734" s="6">
        <x:v>0</x:v>
      </x:c>
      <x:c r="N2734" s="6">
        <x:f t="shared" si="136"/>
        <x:v>26356</x:v>
      </x:c>
    </x:row>
    <x:row r="2735" spans="1:14" x14ac:dyDescent="0.25">
      <x:c r="A2735" t="s">
        <x:v>38</x:v>
      </x:c>
      <x:c r="B2735" s="3" t="s">
        <x:v>56</x:v>
      </x:c>
      <x:c r="C2735" s="3" t="s">
        <x:v>373</x:v>
      </x:c>
      <x:c r="D2735" t="s">
        <x:v>676</x:v>
      </x:c>
      <x:c r="E2735" s="6">
        <x:v>0</x:v>
      </x:c>
      <x:c r="F2735" s="6">
        <x:v>0</x:v>
      </x:c>
      <x:c r="G2735" s="6">
        <x:v>0</x:v>
      </x:c>
      <x:c r="H2735" s="6">
        <x:f t="shared" si="134"/>
        <x:v>0</x:v>
      </x:c>
      <x:c r="I2735" s="6">
        <x:v>12981.92</x:v>
      </x:c>
      <x:c r="J2735" s="6">
        <x:v>0</x:v>
      </x:c>
      <x:c r="K2735" s="6">
        <x:f t="shared" si="135"/>
        <x:v>12981.92</x:v>
      </x:c>
      <x:c r="L2735" s="6">
        <x:v>0</x:v>
      </x:c>
      <x:c r="M2735" s="6">
        <x:v>0</x:v>
      </x:c>
      <x:c r="N2735" s="6">
        <x:f t="shared" si="136"/>
        <x:v>12981.92</x:v>
      </x:c>
    </x:row>
    <x:row r="2736" spans="1:14" x14ac:dyDescent="0.25">
      <x:c r="A2736" t="s">
        <x:v>38</x:v>
      </x:c>
      <x:c r="B2736" s="3" t="s">
        <x:v>80</x:v>
      </x:c>
      <x:c r="C2736" s="3" t="s">
        <x:v>397</x:v>
      </x:c>
      <x:c r="D2736" t="s">
        <x:v>676</x:v>
      </x:c>
      <x:c r="E2736" s="6">
        <x:v>0</x:v>
      </x:c>
      <x:c r="F2736" s="6">
        <x:v>0</x:v>
      </x:c>
      <x:c r="G2736" s="6">
        <x:v>0</x:v>
      </x:c>
      <x:c r="H2736" s="6">
        <x:f t="shared" si="134"/>
        <x:v>0</x:v>
      </x:c>
      <x:c r="I2736" s="6">
        <x:v>10707.79</x:v>
      </x:c>
      <x:c r="J2736" s="6">
        <x:v>0</x:v>
      </x:c>
      <x:c r="K2736" s="6">
        <x:f t="shared" si="135"/>
        <x:v>10707.79</x:v>
      </x:c>
      <x:c r="L2736" s="6">
        <x:v>0</x:v>
      </x:c>
      <x:c r="M2736" s="6">
        <x:v>0</x:v>
      </x:c>
      <x:c r="N2736" s="6">
        <x:f t="shared" si="136"/>
        <x:v>10707.79</x:v>
      </x:c>
    </x:row>
    <x:row r="2737" spans="1:14" x14ac:dyDescent="0.25">
      <x:c r="A2737" t="s">
        <x:v>38</x:v>
      </x:c>
      <x:c r="B2737" s="3" t="s">
        <x:v>81</x:v>
      </x:c>
      <x:c r="C2737" s="3" t="s">
        <x:v>398</x:v>
      </x:c>
      <x:c r="D2737" t="s">
        <x:v>676</x:v>
      </x:c>
      <x:c r="E2737" s="6">
        <x:v>0</x:v>
      </x:c>
      <x:c r="F2737" s="6">
        <x:v>0</x:v>
      </x:c>
      <x:c r="G2737" s="6">
        <x:v>0</x:v>
      </x:c>
      <x:c r="H2737" s="6">
        <x:f t="shared" si="134"/>
        <x:v>0</x:v>
      </x:c>
      <x:c r="I2737" s="6">
        <x:v>45.48</x:v>
      </x:c>
      <x:c r="J2737" s="6">
        <x:v>0</x:v>
      </x:c>
      <x:c r="K2737" s="6">
        <x:f t="shared" si="135"/>
        <x:v>45.48</x:v>
      </x:c>
      <x:c r="L2737" s="6">
        <x:v>0</x:v>
      </x:c>
      <x:c r="M2737" s="6">
        <x:v>0</x:v>
      </x:c>
      <x:c r="N2737" s="6">
        <x:f t="shared" si="136"/>
        <x:v>45.48</x:v>
      </x:c>
    </x:row>
    <x:row r="2738" spans="1:14" x14ac:dyDescent="0.25">
      <x:c r="A2738" t="s">
        <x:v>38</x:v>
      </x:c>
      <x:c r="B2738" s="3" t="s">
        <x:v>82</x:v>
      </x:c>
      <x:c r="C2738" s="3" t="s">
        <x:v>399</x:v>
      </x:c>
      <x:c r="D2738" t="s">
        <x:v>676</x:v>
      </x:c>
      <x:c r="E2738" s="6">
        <x:v>0</x:v>
      </x:c>
      <x:c r="F2738" s="6">
        <x:v>0</x:v>
      </x:c>
      <x:c r="G2738" s="6">
        <x:v>0</x:v>
      </x:c>
      <x:c r="H2738" s="6">
        <x:f t="shared" si="134"/>
        <x:v>0</x:v>
      </x:c>
      <x:c r="I2738" s="6">
        <x:v>95553.360000000015</x:v>
      </x:c>
      <x:c r="J2738" s="6">
        <x:v>0</x:v>
      </x:c>
      <x:c r="K2738" s="6">
        <x:f t="shared" si="135"/>
        <x:v>95553.360000000015</x:v>
      </x:c>
      <x:c r="L2738" s="6">
        <x:v>0</x:v>
      </x:c>
      <x:c r="M2738" s="6">
        <x:v>0</x:v>
      </x:c>
      <x:c r="N2738" s="6">
        <x:f t="shared" si="136"/>
        <x:v>95553.360000000015</x:v>
      </x:c>
    </x:row>
    <x:row r="2739" spans="1:14" x14ac:dyDescent="0.25">
      <x:c r="A2739" t="s">
        <x:v>38</x:v>
      </x:c>
      <x:c r="B2739" s="3" t="s">
        <x:v>83</x:v>
      </x:c>
      <x:c r="C2739" s="3" t="s">
        <x:v>400</x:v>
      </x:c>
      <x:c r="D2739" t="s">
        <x:v>676</x:v>
      </x:c>
      <x:c r="E2739" s="6">
        <x:v>0</x:v>
      </x:c>
      <x:c r="F2739" s="6">
        <x:v>0</x:v>
      </x:c>
      <x:c r="G2739" s="6">
        <x:v>0</x:v>
      </x:c>
      <x:c r="H2739" s="6">
        <x:f t="shared" si="134"/>
        <x:v>0</x:v>
      </x:c>
      <x:c r="I2739" s="6">
        <x:v>62418.520000000004</x:v>
      </x:c>
      <x:c r="J2739" s="6">
        <x:v>0</x:v>
      </x:c>
      <x:c r="K2739" s="6">
        <x:f t="shared" si="135"/>
        <x:v>62418.520000000004</x:v>
      </x:c>
      <x:c r="L2739" s="6">
        <x:v>0</x:v>
      </x:c>
      <x:c r="M2739" s="6">
        <x:v>0</x:v>
      </x:c>
      <x:c r="N2739" s="6">
        <x:f t="shared" si="136"/>
        <x:v>62418.520000000004</x:v>
      </x:c>
    </x:row>
    <x:row r="2740" spans="1:14" x14ac:dyDescent="0.25">
      <x:c r="A2740" t="s">
        <x:v>38</x:v>
      </x:c>
      <x:c r="B2740" s="3" t="s">
        <x:v>84</x:v>
      </x:c>
      <x:c r="C2740" s="3" t="s">
        <x:v>401</x:v>
      </x:c>
      <x:c r="D2740" t="s">
        <x:v>676</x:v>
      </x:c>
      <x:c r="E2740" s="6">
        <x:v>0</x:v>
      </x:c>
      <x:c r="F2740" s="6">
        <x:v>0</x:v>
      </x:c>
      <x:c r="G2740" s="6">
        <x:v>0</x:v>
      </x:c>
      <x:c r="H2740" s="6">
        <x:f t="shared" si="134"/>
        <x:v>0</x:v>
      </x:c>
      <x:c r="I2740" s="6">
        <x:v>1590.95</x:v>
      </x:c>
      <x:c r="J2740" s="6">
        <x:v>0</x:v>
      </x:c>
      <x:c r="K2740" s="6">
        <x:f t="shared" si="135"/>
        <x:v>1590.95</x:v>
      </x:c>
      <x:c r="L2740" s="6">
        <x:v>0</x:v>
      </x:c>
      <x:c r="M2740" s="6">
        <x:v>0</x:v>
      </x:c>
      <x:c r="N2740" s="6">
        <x:f t="shared" si="136"/>
        <x:v>1590.95</x:v>
      </x:c>
    </x:row>
    <x:row r="2741" spans="1:14" x14ac:dyDescent="0.25">
      <x:c r="A2741" t="s">
        <x:v>38</x:v>
      </x:c>
      <x:c r="B2741" s="3" t="s">
        <x:v>85</x:v>
      </x:c>
      <x:c r="C2741" s="3" t="s">
        <x:v>402</x:v>
      </x:c>
      <x:c r="D2741" t="s">
        <x:v>676</x:v>
      </x:c>
      <x:c r="E2741" s="6">
        <x:v>0</x:v>
      </x:c>
      <x:c r="F2741" s="6">
        <x:v>0</x:v>
      </x:c>
      <x:c r="G2741" s="6">
        <x:v>0</x:v>
      </x:c>
      <x:c r="H2741" s="6">
        <x:f t="shared" si="134"/>
        <x:v>0</x:v>
      </x:c>
      <x:c r="I2741" s="6">
        <x:v>625.31000000000006</x:v>
      </x:c>
      <x:c r="J2741" s="6">
        <x:v>0</x:v>
      </x:c>
      <x:c r="K2741" s="6">
        <x:f t="shared" si="135"/>
        <x:v>625.31000000000006</x:v>
      </x:c>
      <x:c r="L2741" s="6">
        <x:v>0</x:v>
      </x:c>
      <x:c r="M2741" s="6">
        <x:v>0</x:v>
      </x:c>
      <x:c r="N2741" s="6">
        <x:f t="shared" si="136"/>
        <x:v>625.31000000000006</x:v>
      </x:c>
    </x:row>
    <x:row r="2742" spans="1:14" x14ac:dyDescent="0.25">
      <x:c r="A2742" t="s">
        <x:v>38</x:v>
      </x:c>
      <x:c r="B2742" s="3" t="s">
        <x:v>86</x:v>
      </x:c>
      <x:c r="C2742" s="3" t="s">
        <x:v>403</x:v>
      </x:c>
      <x:c r="D2742" t="s">
        <x:v>676</x:v>
      </x:c>
      <x:c r="E2742" s="6">
        <x:v>0</x:v>
      </x:c>
      <x:c r="F2742" s="6">
        <x:v>0</x:v>
      </x:c>
      <x:c r="G2742" s="6">
        <x:v>0</x:v>
      </x:c>
      <x:c r="H2742" s="6">
        <x:f t="shared" si="134"/>
        <x:v>0</x:v>
      </x:c>
      <x:c r="I2742" s="6">
        <x:v>3727.5499999999997</x:v>
      </x:c>
      <x:c r="J2742" s="6">
        <x:v>0</x:v>
      </x:c>
      <x:c r="K2742" s="6">
        <x:f t="shared" si="135"/>
        <x:v>3727.5499999999997</x:v>
      </x:c>
      <x:c r="L2742" s="6">
        <x:v>0</x:v>
      </x:c>
      <x:c r="M2742" s="6">
        <x:v>0</x:v>
      </x:c>
      <x:c r="N2742" s="6">
        <x:f t="shared" si="136"/>
        <x:v>3727.5499999999997</x:v>
      </x:c>
    </x:row>
    <x:row r="2743" spans="1:14" x14ac:dyDescent="0.25">
      <x:c r="A2743" t="s">
        <x:v>38</x:v>
      </x:c>
      <x:c r="B2743" s="3" t="s">
        <x:v>87</x:v>
      </x:c>
      <x:c r="C2743" s="3" t="s">
        <x:v>404</x:v>
      </x:c>
      <x:c r="D2743" t="s">
        <x:v>676</x:v>
      </x:c>
      <x:c r="E2743" s="6">
        <x:v>0</x:v>
      </x:c>
      <x:c r="F2743" s="6">
        <x:v>0</x:v>
      </x:c>
      <x:c r="G2743" s="6">
        <x:v>0</x:v>
      </x:c>
      <x:c r="H2743" s="6">
        <x:f t="shared" si="134"/>
        <x:v>0</x:v>
      </x:c>
      <x:c r="I2743" s="6">
        <x:v>9430.1299999999992</x:v>
      </x:c>
      <x:c r="J2743" s="6">
        <x:v>0</x:v>
      </x:c>
      <x:c r="K2743" s="6">
        <x:f t="shared" si="135"/>
        <x:v>9430.1299999999992</x:v>
      </x:c>
      <x:c r="L2743" s="6">
        <x:v>0</x:v>
      </x:c>
      <x:c r="M2743" s="6">
        <x:v>0</x:v>
      </x:c>
      <x:c r="N2743" s="6">
        <x:f t="shared" si="136"/>
        <x:v>9430.1299999999992</x:v>
      </x:c>
    </x:row>
    <x:row r="2744" spans="1:14" x14ac:dyDescent="0.25">
      <x:c r="A2744" t="s">
        <x:v>38</x:v>
      </x:c>
      <x:c r="B2744" s="3" t="s">
        <x:v>88</x:v>
      </x:c>
      <x:c r="C2744" s="3" t="s">
        <x:v>405</x:v>
      </x:c>
      <x:c r="D2744" t="s">
        <x:v>676</x:v>
      </x:c>
      <x:c r="E2744" s="6">
        <x:v>0</x:v>
      </x:c>
      <x:c r="F2744" s="6">
        <x:v>0</x:v>
      </x:c>
      <x:c r="G2744" s="6">
        <x:v>0</x:v>
      </x:c>
      <x:c r="H2744" s="6">
        <x:f t="shared" si="134"/>
        <x:v>0</x:v>
      </x:c>
      <x:c r="I2744" s="6">
        <x:v>90889.88</x:v>
      </x:c>
      <x:c r="J2744" s="6">
        <x:v>0</x:v>
      </x:c>
      <x:c r="K2744" s="6">
        <x:f t="shared" si="135"/>
        <x:v>90889.88</x:v>
      </x:c>
      <x:c r="L2744" s="6">
        <x:v>0</x:v>
      </x:c>
      <x:c r="M2744" s="6">
        <x:v>0</x:v>
      </x:c>
      <x:c r="N2744" s="6">
        <x:f t="shared" si="136"/>
        <x:v>90889.88</x:v>
      </x:c>
    </x:row>
    <x:row r="2745" spans="1:14" x14ac:dyDescent="0.25">
      <x:c r="A2745" t="s">
        <x:v>38</x:v>
      </x:c>
      <x:c r="B2745" s="3" t="s">
        <x:v>89</x:v>
      </x:c>
      <x:c r="C2745" s="3" t="s">
        <x:v>406</x:v>
      </x:c>
      <x:c r="D2745" t="s">
        <x:v>676</x:v>
      </x:c>
      <x:c r="E2745" s="6">
        <x:v>0</x:v>
      </x:c>
      <x:c r="F2745" s="6">
        <x:v>0</x:v>
      </x:c>
      <x:c r="G2745" s="6">
        <x:v>0</x:v>
      </x:c>
      <x:c r="H2745" s="6">
        <x:f t="shared" si="134"/>
        <x:v>0</x:v>
      </x:c>
      <x:c r="I2745" s="6">
        <x:v>15759.449999999999</x:v>
      </x:c>
      <x:c r="J2745" s="6">
        <x:v>0</x:v>
      </x:c>
      <x:c r="K2745" s="6">
        <x:f t="shared" si="135"/>
        <x:v>15759.449999999999</x:v>
      </x:c>
      <x:c r="L2745" s="6">
        <x:v>0</x:v>
      </x:c>
      <x:c r="M2745" s="6">
        <x:v>0</x:v>
      </x:c>
      <x:c r="N2745" s="6">
        <x:f t="shared" si="136"/>
        <x:v>15759.449999999999</x:v>
      </x:c>
    </x:row>
    <x:row r="2746" spans="1:14" x14ac:dyDescent="0.25">
      <x:c r="A2746" t="s">
        <x:v>38</x:v>
      </x:c>
      <x:c r="B2746" s="3" t="s">
        <x:v>90</x:v>
      </x:c>
      <x:c r="C2746" s="3" t="s">
        <x:v>407</x:v>
      </x:c>
      <x:c r="D2746" t="s">
        <x:v>676</x:v>
      </x:c>
      <x:c r="E2746" s="6">
        <x:v>0</x:v>
      </x:c>
      <x:c r="F2746" s="6">
        <x:v>0</x:v>
      </x:c>
      <x:c r="G2746" s="6">
        <x:v>0</x:v>
      </x:c>
      <x:c r="H2746" s="6">
        <x:f t="shared" si="134"/>
        <x:v>0</x:v>
      </x:c>
      <x:c r="I2746" s="6">
        <x:v>33438.399999999994</x:v>
      </x:c>
      <x:c r="J2746" s="6">
        <x:v>0</x:v>
      </x:c>
      <x:c r="K2746" s="6">
        <x:f t="shared" si="135"/>
        <x:v>33438.399999999994</x:v>
      </x:c>
      <x:c r="L2746" s="6">
        <x:v>0</x:v>
      </x:c>
      <x:c r="M2746" s="6">
        <x:v>0</x:v>
      </x:c>
      <x:c r="N2746" s="6">
        <x:f t="shared" si="136"/>
        <x:v>33438.399999999994</x:v>
      </x:c>
    </x:row>
    <x:row r="2747" spans="1:14" x14ac:dyDescent="0.25">
      <x:c r="A2747" t="s">
        <x:v>38</x:v>
      </x:c>
      <x:c r="B2747" s="3" t="s">
        <x:v>91</x:v>
      </x:c>
      <x:c r="C2747" s="3" t="s">
        <x:v>408</x:v>
      </x:c>
      <x:c r="D2747" t="s">
        <x:v>676</x:v>
      </x:c>
      <x:c r="E2747" s="6">
        <x:v>0</x:v>
      </x:c>
      <x:c r="F2747" s="6">
        <x:v>0</x:v>
      </x:c>
      <x:c r="G2747" s="6">
        <x:v>0</x:v>
      </x:c>
      <x:c r="H2747" s="6">
        <x:f t="shared" si="134"/>
        <x:v>0</x:v>
      </x:c>
      <x:c r="I2747" s="6">
        <x:v>11202.23</x:v>
      </x:c>
      <x:c r="J2747" s="6">
        <x:v>0</x:v>
      </x:c>
      <x:c r="K2747" s="6">
        <x:f t="shared" si="135"/>
        <x:v>11202.23</x:v>
      </x:c>
      <x:c r="L2747" s="6">
        <x:v>0</x:v>
      </x:c>
      <x:c r="M2747" s="6">
        <x:v>0</x:v>
      </x:c>
      <x:c r="N2747" s="6">
        <x:f t="shared" si="136"/>
        <x:v>11202.23</x:v>
      </x:c>
    </x:row>
    <x:row r="2748" spans="1:14" x14ac:dyDescent="0.25">
      <x:c r="A2748" t="s">
        <x:v>38</x:v>
      </x:c>
      <x:c r="B2748" s="3" t="s">
        <x:v>92</x:v>
      </x:c>
      <x:c r="C2748" s="3" t="s">
        <x:v>409</x:v>
      </x:c>
      <x:c r="D2748" t="s">
        <x:v>676</x:v>
      </x:c>
      <x:c r="E2748" s="6">
        <x:v>0</x:v>
      </x:c>
      <x:c r="F2748" s="6">
        <x:v>0</x:v>
      </x:c>
      <x:c r="G2748" s="6">
        <x:v>0</x:v>
      </x:c>
      <x:c r="H2748" s="6">
        <x:f t="shared" si="134"/>
        <x:v>0</x:v>
      </x:c>
      <x:c r="I2748" s="6">
        <x:v>14444.099999999999</x:v>
      </x:c>
      <x:c r="J2748" s="6">
        <x:v>0</x:v>
      </x:c>
      <x:c r="K2748" s="6">
        <x:f t="shared" si="135"/>
        <x:v>14444.099999999999</x:v>
      </x:c>
      <x:c r="L2748" s="6">
        <x:v>0</x:v>
      </x:c>
      <x:c r="M2748" s="6">
        <x:v>0</x:v>
      </x:c>
      <x:c r="N2748" s="6">
        <x:f t="shared" si="136"/>
        <x:v>14444.099999999999</x:v>
      </x:c>
    </x:row>
    <x:row r="2749" spans="1:14" x14ac:dyDescent="0.25">
      <x:c r="A2749" t="s">
        <x:v>38</x:v>
      </x:c>
      <x:c r="B2749" s="3" t="s">
        <x:v>93</x:v>
      </x:c>
      <x:c r="C2749" s="3" t="s">
        <x:v>410</x:v>
      </x:c>
      <x:c r="D2749" t="s">
        <x:v>676</x:v>
      </x:c>
      <x:c r="E2749" s="6">
        <x:v>0</x:v>
      </x:c>
      <x:c r="F2749" s="6">
        <x:v>0</x:v>
      </x:c>
      <x:c r="G2749" s="6">
        <x:v>0</x:v>
      </x:c>
      <x:c r="H2749" s="6">
        <x:f t="shared" si="134"/>
        <x:v>0</x:v>
      </x:c>
      <x:c r="I2749" s="6">
        <x:v>9251.52</x:v>
      </x:c>
      <x:c r="J2749" s="6">
        <x:v>0</x:v>
      </x:c>
      <x:c r="K2749" s="6">
        <x:f t="shared" si="135"/>
        <x:v>9251.52</x:v>
      </x:c>
      <x:c r="L2749" s="6">
        <x:v>0</x:v>
      </x:c>
      <x:c r="M2749" s="6">
        <x:v>0</x:v>
      </x:c>
      <x:c r="N2749" s="6">
        <x:f t="shared" si="136"/>
        <x:v>9251.52</x:v>
      </x:c>
    </x:row>
    <x:row r="2750" spans="1:14" x14ac:dyDescent="0.25">
      <x:c r="A2750" t="s">
        <x:v>38</x:v>
      </x:c>
      <x:c r="B2750" s="3" t="s">
        <x:v>94</x:v>
      </x:c>
      <x:c r="C2750" s="3" t="s">
        <x:v>411</x:v>
      </x:c>
      <x:c r="D2750" t="s">
        <x:v>676</x:v>
      </x:c>
      <x:c r="E2750" s="6">
        <x:v>0</x:v>
      </x:c>
      <x:c r="F2750" s="6">
        <x:v>0</x:v>
      </x:c>
      <x:c r="G2750" s="6">
        <x:v>0</x:v>
      </x:c>
      <x:c r="H2750" s="6">
        <x:f t="shared" si="134"/>
        <x:v>0</x:v>
      </x:c>
      <x:c r="I2750" s="6">
        <x:v>53363.81</x:v>
      </x:c>
      <x:c r="J2750" s="6">
        <x:v>0</x:v>
      </x:c>
      <x:c r="K2750" s="6">
        <x:f t="shared" si="135"/>
        <x:v>53363.81</x:v>
      </x:c>
      <x:c r="L2750" s="6">
        <x:v>0</x:v>
      </x:c>
      <x:c r="M2750" s="6">
        <x:v>0</x:v>
      </x:c>
      <x:c r="N2750" s="6">
        <x:f t="shared" si="136"/>
        <x:v>53363.81</x:v>
      </x:c>
    </x:row>
    <x:row r="2751" spans="1:14" x14ac:dyDescent="0.25">
      <x:c r="A2751" t="s">
        <x:v>38</x:v>
      </x:c>
      <x:c r="B2751" s="3" t="s">
        <x:v>95</x:v>
      </x:c>
      <x:c r="C2751" s="3" t="s">
        <x:v>412</x:v>
      </x:c>
      <x:c r="D2751" t="s">
        <x:v>676</x:v>
      </x:c>
      <x:c r="E2751" s="6">
        <x:v>0</x:v>
      </x:c>
      <x:c r="F2751" s="6">
        <x:v>0</x:v>
      </x:c>
      <x:c r="G2751" s="6">
        <x:v>0</x:v>
      </x:c>
      <x:c r="H2751" s="6">
        <x:f t="shared" si="134"/>
        <x:v>0</x:v>
      </x:c>
      <x:c r="I2751" s="6">
        <x:v>7441.1100000000006</x:v>
      </x:c>
      <x:c r="J2751" s="6">
        <x:v>0</x:v>
      </x:c>
      <x:c r="K2751" s="6">
        <x:f t="shared" si="135"/>
        <x:v>7441.1100000000006</x:v>
      </x:c>
      <x:c r="L2751" s="6">
        <x:v>0</x:v>
      </x:c>
      <x:c r="M2751" s="6">
        <x:v>0</x:v>
      </x:c>
      <x:c r="N2751" s="6">
        <x:f t="shared" si="136"/>
        <x:v>7441.1100000000006</x:v>
      </x:c>
    </x:row>
    <x:row r="2752" spans="1:14" x14ac:dyDescent="0.25">
      <x:c r="A2752" t="s">
        <x:v>38</x:v>
      </x:c>
      <x:c r="B2752" s="3" t="s">
        <x:v>97</x:v>
      </x:c>
      <x:c r="C2752" s="3" t="s">
        <x:v>414</x:v>
      </x:c>
      <x:c r="D2752" t="s">
        <x:v>676</x:v>
      </x:c>
      <x:c r="E2752" s="6">
        <x:v>0</x:v>
      </x:c>
      <x:c r="F2752" s="6">
        <x:v>0</x:v>
      </x:c>
      <x:c r="G2752" s="6">
        <x:v>0</x:v>
      </x:c>
      <x:c r="H2752" s="6">
        <x:f t="shared" si="134"/>
        <x:v>0</x:v>
      </x:c>
      <x:c r="I2752" s="6">
        <x:v>9073.9700000000012</x:v>
      </x:c>
      <x:c r="J2752" s="6">
        <x:v>0</x:v>
      </x:c>
      <x:c r="K2752" s="6">
        <x:f t="shared" si="135"/>
        <x:v>9073.9700000000012</x:v>
      </x:c>
      <x:c r="L2752" s="6">
        <x:v>0</x:v>
      </x:c>
      <x:c r="M2752" s="6">
        <x:v>0</x:v>
      </x:c>
      <x:c r="N2752" s="6">
        <x:f t="shared" si="136"/>
        <x:v>9073.9700000000012</x:v>
      </x:c>
    </x:row>
    <x:row r="2753" spans="1:14" x14ac:dyDescent="0.25">
      <x:c r="A2753" t="s">
        <x:v>38</x:v>
      </x:c>
      <x:c r="B2753" s="3" t="s">
        <x:v>98</x:v>
      </x:c>
      <x:c r="C2753" s="3" t="s">
        <x:v>415</x:v>
      </x:c>
      <x:c r="D2753" t="s">
        <x:v>676</x:v>
      </x:c>
      <x:c r="E2753" s="6">
        <x:v>0</x:v>
      </x:c>
      <x:c r="F2753" s="6">
        <x:v>0</x:v>
      </x:c>
      <x:c r="G2753" s="6">
        <x:v>0</x:v>
      </x:c>
      <x:c r="H2753" s="6">
        <x:f t="shared" si="134"/>
        <x:v>0</x:v>
      </x:c>
      <x:c r="I2753" s="6">
        <x:v>6239.2200000000012</x:v>
      </x:c>
      <x:c r="J2753" s="6">
        <x:v>0</x:v>
      </x:c>
      <x:c r="K2753" s="6">
        <x:f t="shared" si="135"/>
        <x:v>6239.2200000000012</x:v>
      </x:c>
      <x:c r="L2753" s="6">
        <x:v>0</x:v>
      </x:c>
      <x:c r="M2753" s="6">
        <x:v>0</x:v>
      </x:c>
      <x:c r="N2753" s="6">
        <x:f t="shared" si="136"/>
        <x:v>6239.2200000000012</x:v>
      </x:c>
    </x:row>
    <x:row r="2754" spans="1:14" x14ac:dyDescent="0.25">
      <x:c r="A2754" t="s">
        <x:v>38</x:v>
      </x:c>
      <x:c r="B2754" s="3" t="s">
        <x:v>99</x:v>
      </x:c>
      <x:c r="C2754" s="3" t="s">
        <x:v>416</x:v>
      </x:c>
      <x:c r="D2754" t="s">
        <x:v>676</x:v>
      </x:c>
      <x:c r="E2754" s="6">
        <x:v>0</x:v>
      </x:c>
      <x:c r="F2754" s="6">
        <x:v>0</x:v>
      </x:c>
      <x:c r="G2754" s="6">
        <x:v>0</x:v>
      </x:c>
      <x:c r="H2754" s="6">
        <x:f t="shared" si="134"/>
        <x:v>0</x:v>
      </x:c>
      <x:c r="I2754" s="6">
        <x:v>16299.390000000001</x:v>
      </x:c>
      <x:c r="J2754" s="6">
        <x:v>0</x:v>
      </x:c>
      <x:c r="K2754" s="6">
        <x:f t="shared" si="135"/>
        <x:v>16299.390000000001</x:v>
      </x:c>
      <x:c r="L2754" s="6">
        <x:v>0</x:v>
      </x:c>
      <x:c r="M2754" s="6">
        <x:v>0</x:v>
      </x:c>
      <x:c r="N2754" s="6">
        <x:f t="shared" si="136"/>
        <x:v>16299.390000000001</x:v>
      </x:c>
    </x:row>
    <x:row r="2755" spans="1:14" x14ac:dyDescent="0.25">
      <x:c r="A2755" t="s">
        <x:v>38</x:v>
      </x:c>
      <x:c r="B2755" s="3" t="s">
        <x:v>100</x:v>
      </x:c>
      <x:c r="C2755" s="3" t="s">
        <x:v>417</x:v>
      </x:c>
      <x:c r="D2755" t="s">
        <x:v>676</x:v>
      </x:c>
      <x:c r="E2755" s="6">
        <x:v>0</x:v>
      </x:c>
      <x:c r="F2755" s="6">
        <x:v>0</x:v>
      </x:c>
      <x:c r="G2755" s="6">
        <x:v>0</x:v>
      </x:c>
      <x:c r="H2755" s="6">
        <x:f t="shared" si="134"/>
        <x:v>0</x:v>
      </x:c>
      <x:c r="I2755" s="6">
        <x:v>305.69</x:v>
      </x:c>
      <x:c r="J2755" s="6">
        <x:v>0</x:v>
      </x:c>
      <x:c r="K2755" s="6">
        <x:f t="shared" si="135"/>
        <x:v>305.69</x:v>
      </x:c>
      <x:c r="L2755" s="6">
        <x:v>0</x:v>
      </x:c>
      <x:c r="M2755" s="6">
        <x:v>0</x:v>
      </x:c>
      <x:c r="N2755" s="6">
        <x:f t="shared" si="136"/>
        <x:v>305.69</x:v>
      </x:c>
    </x:row>
    <x:row r="2756" spans="1:14" x14ac:dyDescent="0.25">
      <x:c r="A2756" t="s">
        <x:v>38</x:v>
      </x:c>
      <x:c r="B2756" s="3" t="s">
        <x:v>57</x:v>
      </x:c>
      <x:c r="C2756" s="3" t="s">
        <x:v>374</x:v>
      </x:c>
      <x:c r="D2756" t="s">
        <x:v>676</x:v>
      </x:c>
      <x:c r="E2756" s="6">
        <x:v>0</x:v>
      </x:c>
      <x:c r="F2756" s="6">
        <x:v>0</x:v>
      </x:c>
      <x:c r="G2756" s="6">
        <x:v>0</x:v>
      </x:c>
      <x:c r="H2756" s="6">
        <x:f t="shared" si="134"/>
        <x:v>0</x:v>
      </x:c>
      <x:c r="I2756" s="6">
        <x:v>39072.019999999997</x:v>
      </x:c>
      <x:c r="J2756" s="6">
        <x:v>0</x:v>
      </x:c>
      <x:c r="K2756" s="6">
        <x:f t="shared" si="135"/>
        <x:v>39072.019999999997</x:v>
      </x:c>
      <x:c r="L2756" s="6">
        <x:v>0</x:v>
      </x:c>
      <x:c r="M2756" s="6">
        <x:v>0</x:v>
      </x:c>
      <x:c r="N2756" s="6">
        <x:f t="shared" si="136"/>
        <x:v>39072.019999999997</x:v>
      </x:c>
    </x:row>
    <x:row r="2757" spans="1:14" x14ac:dyDescent="0.25">
      <x:c r="A2757" t="s">
        <x:v>38</x:v>
      </x:c>
      <x:c r="B2757" s="3" t="s">
        <x:v>101</x:v>
      </x:c>
      <x:c r="C2757" s="3" t="s">
        <x:v>418</x:v>
      </x:c>
      <x:c r="D2757" t="s">
        <x:v>676</x:v>
      </x:c>
      <x:c r="E2757" s="6">
        <x:v>0</x:v>
      </x:c>
      <x:c r="F2757" s="6">
        <x:v>0</x:v>
      </x:c>
      <x:c r="G2757" s="6">
        <x:v>0</x:v>
      </x:c>
      <x:c r="H2757" s="6">
        <x:f t="shared" si="134"/>
        <x:v>0</x:v>
      </x:c>
      <x:c r="I2757" s="6">
        <x:v>164.39000000000001</x:v>
      </x:c>
      <x:c r="J2757" s="6">
        <x:v>0</x:v>
      </x:c>
      <x:c r="K2757" s="6">
        <x:f t="shared" si="135"/>
        <x:v>164.39000000000001</x:v>
      </x:c>
      <x:c r="L2757" s="6">
        <x:v>0</x:v>
      </x:c>
      <x:c r="M2757" s="6">
        <x:v>0</x:v>
      </x:c>
      <x:c r="N2757" s="6">
        <x:f t="shared" si="136"/>
        <x:v>164.39000000000001</x:v>
      </x:c>
    </x:row>
    <x:row r="2758" spans="1:14" x14ac:dyDescent="0.25">
      <x:c r="A2758" t="s">
        <x:v>38</x:v>
      </x:c>
      <x:c r="B2758" s="3" t="s">
        <x:v>102</x:v>
      </x:c>
      <x:c r="C2758" s="3" t="s">
        <x:v>419</x:v>
      </x:c>
      <x:c r="D2758" t="s">
        <x:v>676</x:v>
      </x:c>
      <x:c r="E2758" s="6">
        <x:v>0</x:v>
      </x:c>
      <x:c r="F2758" s="6">
        <x:v>0</x:v>
      </x:c>
      <x:c r="G2758" s="6">
        <x:v>0</x:v>
      </x:c>
      <x:c r="H2758" s="6">
        <x:f t="shared" si="134"/>
        <x:v>0</x:v>
      </x:c>
      <x:c r="I2758" s="6">
        <x:v>2096.73</x:v>
      </x:c>
      <x:c r="J2758" s="6">
        <x:v>0</x:v>
      </x:c>
      <x:c r="K2758" s="6">
        <x:f t="shared" si="135"/>
        <x:v>2096.73</x:v>
      </x:c>
      <x:c r="L2758" s="6">
        <x:v>0</x:v>
      </x:c>
      <x:c r="M2758" s="6">
        <x:v>0</x:v>
      </x:c>
      <x:c r="N2758" s="6">
        <x:f t="shared" si="136"/>
        <x:v>2096.73</x:v>
      </x:c>
    </x:row>
    <x:row r="2759" spans="1:14" x14ac:dyDescent="0.25">
      <x:c r="A2759" t="s">
        <x:v>38</x:v>
      </x:c>
      <x:c r="B2759" s="3" t="s">
        <x:v>103</x:v>
      </x:c>
      <x:c r="C2759" s="3" t="s">
        <x:v>420</x:v>
      </x:c>
      <x:c r="D2759" t="s">
        <x:v>676</x:v>
      </x:c>
      <x:c r="E2759" s="6">
        <x:v>0</x:v>
      </x:c>
      <x:c r="F2759" s="6">
        <x:v>0</x:v>
      </x:c>
      <x:c r="G2759" s="6">
        <x:v>0</x:v>
      </x:c>
      <x:c r="H2759" s="6">
        <x:f t="shared" si="134"/>
        <x:v>0</x:v>
      </x:c>
      <x:c r="I2759" s="6">
        <x:v>11606.130000000001</x:v>
      </x:c>
      <x:c r="J2759" s="6">
        <x:v>0</x:v>
      </x:c>
      <x:c r="K2759" s="6">
        <x:f t="shared" si="135"/>
        <x:v>11606.130000000001</x:v>
      </x:c>
      <x:c r="L2759" s="6">
        <x:v>0</x:v>
      </x:c>
      <x:c r="M2759" s="6">
        <x:v>0</x:v>
      </x:c>
      <x:c r="N2759" s="6">
        <x:f t="shared" si="136"/>
        <x:v>11606.130000000001</x:v>
      </x:c>
    </x:row>
    <x:row r="2760" spans="1:14" x14ac:dyDescent="0.25">
      <x:c r="A2760" t="s">
        <x:v>38</x:v>
      </x:c>
      <x:c r="B2760" s="3" t="s">
        <x:v>104</x:v>
      </x:c>
      <x:c r="C2760" s="3" t="s">
        <x:v>421</x:v>
      </x:c>
      <x:c r="D2760" t="s">
        <x:v>676</x:v>
      </x:c>
      <x:c r="E2760" s="6">
        <x:v>0</x:v>
      </x:c>
      <x:c r="F2760" s="6">
        <x:v>0</x:v>
      </x:c>
      <x:c r="G2760" s="6">
        <x:v>0</x:v>
      </x:c>
      <x:c r="H2760" s="6">
        <x:f t="shared" si="134"/>
        <x:v>0</x:v>
      </x:c>
      <x:c r="I2760" s="6">
        <x:v>9357.1999999999989</x:v>
      </x:c>
      <x:c r="J2760" s="6">
        <x:v>0</x:v>
      </x:c>
      <x:c r="K2760" s="6">
        <x:f t="shared" si="135"/>
        <x:v>9357.1999999999989</x:v>
      </x:c>
      <x:c r="L2760" s="6">
        <x:v>0</x:v>
      </x:c>
      <x:c r="M2760" s="6">
        <x:v>0</x:v>
      </x:c>
      <x:c r="N2760" s="6">
        <x:f t="shared" si="136"/>
        <x:v>9357.1999999999989</x:v>
      </x:c>
    </x:row>
    <x:row r="2761" spans="1:14" x14ac:dyDescent="0.25">
      <x:c r="A2761" t="s">
        <x:v>38</x:v>
      </x:c>
      <x:c r="B2761" s="3" t="s">
        <x:v>105</x:v>
      </x:c>
      <x:c r="C2761" s="3" t="s">
        <x:v>422</x:v>
      </x:c>
      <x:c r="D2761" t="s">
        <x:v>676</x:v>
      </x:c>
      <x:c r="E2761" s="6">
        <x:v>0</x:v>
      </x:c>
      <x:c r="F2761" s="6">
        <x:v>0</x:v>
      </x:c>
      <x:c r="G2761" s="6">
        <x:v>0</x:v>
      </x:c>
      <x:c r="H2761" s="6">
        <x:f t="shared" si="134"/>
        <x:v>0</x:v>
      </x:c>
      <x:c r="I2761" s="6">
        <x:v>9157.8700000000008</x:v>
      </x:c>
      <x:c r="J2761" s="6">
        <x:v>0</x:v>
      </x:c>
      <x:c r="K2761" s="6">
        <x:f t="shared" si="135"/>
        <x:v>9157.8700000000008</x:v>
      </x:c>
      <x:c r="L2761" s="6">
        <x:v>0</x:v>
      </x:c>
      <x:c r="M2761" s="6">
        <x:v>0</x:v>
      </x:c>
      <x:c r="N2761" s="6">
        <x:f t="shared" si="136"/>
        <x:v>9157.8700000000008</x:v>
      </x:c>
    </x:row>
    <x:row r="2762" spans="1:14" x14ac:dyDescent="0.25">
      <x:c r="A2762" t="s">
        <x:v>38</x:v>
      </x:c>
      <x:c r="B2762" s="3" t="s">
        <x:v>107</x:v>
      </x:c>
      <x:c r="C2762" s="3" t="s">
        <x:v>424</x:v>
      </x:c>
      <x:c r="D2762" t="s">
        <x:v>676</x:v>
      </x:c>
      <x:c r="E2762" s="6">
        <x:v>0</x:v>
      </x:c>
      <x:c r="F2762" s="6">
        <x:v>0</x:v>
      </x:c>
      <x:c r="G2762" s="6">
        <x:v>0</x:v>
      </x:c>
      <x:c r="H2762" s="6">
        <x:f t="shared" si="134"/>
        <x:v>0</x:v>
      </x:c>
      <x:c r="I2762" s="6">
        <x:v>9235.07</x:v>
      </x:c>
      <x:c r="J2762" s="6">
        <x:v>0</x:v>
      </x:c>
      <x:c r="K2762" s="6">
        <x:f t="shared" si="135"/>
        <x:v>9235.07</x:v>
      </x:c>
      <x:c r="L2762" s="6">
        <x:v>0</x:v>
      </x:c>
      <x:c r="M2762" s="6">
        <x:v>0</x:v>
      </x:c>
      <x:c r="N2762" s="6">
        <x:f t="shared" si="136"/>
        <x:v>9235.07</x:v>
      </x:c>
    </x:row>
    <x:row r="2763" spans="1:14" x14ac:dyDescent="0.25">
      <x:c r="A2763" t="s">
        <x:v>38</x:v>
      </x:c>
      <x:c r="B2763" s="3" t="s">
        <x:v>108</x:v>
      </x:c>
      <x:c r="C2763" s="3" t="s">
        <x:v>425</x:v>
      </x:c>
      <x:c r="D2763" t="s">
        <x:v>676</x:v>
      </x:c>
      <x:c r="E2763" s="6">
        <x:v>0</x:v>
      </x:c>
      <x:c r="F2763" s="6">
        <x:v>0</x:v>
      </x:c>
      <x:c r="G2763" s="6">
        <x:v>0</x:v>
      </x:c>
      <x:c r="H2763" s="6">
        <x:f t="shared" si="134"/>
        <x:v>0</x:v>
      </x:c>
      <x:c r="I2763" s="6">
        <x:v>13501.43</x:v>
      </x:c>
      <x:c r="J2763" s="6">
        <x:v>0</x:v>
      </x:c>
      <x:c r="K2763" s="6">
        <x:f t="shared" si="135"/>
        <x:v>13501.43</x:v>
      </x:c>
      <x:c r="L2763" s="6">
        <x:v>0</x:v>
      </x:c>
      <x:c r="M2763" s="6">
        <x:v>0</x:v>
      </x:c>
      <x:c r="N2763" s="6">
        <x:f t="shared" si="136"/>
        <x:v>13501.43</x:v>
      </x:c>
    </x:row>
    <x:row r="2764" spans="1:14" x14ac:dyDescent="0.25">
      <x:c r="A2764" t="s">
        <x:v>38</x:v>
      </x:c>
      <x:c r="B2764" s="3" t="s">
        <x:v>109</x:v>
      </x:c>
      <x:c r="C2764" s="3" t="s">
        <x:v>426</x:v>
      </x:c>
      <x:c r="D2764" t="s">
        <x:v>676</x:v>
      </x:c>
      <x:c r="E2764" s="6">
        <x:v>0</x:v>
      </x:c>
      <x:c r="F2764" s="6">
        <x:v>0</x:v>
      </x:c>
      <x:c r="G2764" s="6">
        <x:v>0</x:v>
      </x:c>
      <x:c r="H2764" s="6">
        <x:f t="shared" si="134"/>
        <x:v>0</x:v>
      </x:c>
      <x:c r="I2764" s="6">
        <x:v>10833.16</x:v>
      </x:c>
      <x:c r="J2764" s="6">
        <x:v>0</x:v>
      </x:c>
      <x:c r="K2764" s="6">
        <x:f t="shared" si="135"/>
        <x:v>10833.16</x:v>
      </x:c>
      <x:c r="L2764" s="6">
        <x:v>0</x:v>
      </x:c>
      <x:c r="M2764" s="6">
        <x:v>0</x:v>
      </x:c>
      <x:c r="N2764" s="6">
        <x:f t="shared" si="136"/>
        <x:v>10833.16</x:v>
      </x:c>
    </x:row>
    <x:row r="2765" spans="1:14" x14ac:dyDescent="0.25">
      <x:c r="A2765" t="s">
        <x:v>38</x:v>
      </x:c>
      <x:c r="B2765" s="3" t="s">
        <x:v>110</x:v>
      </x:c>
      <x:c r="C2765" s="3" t="s">
        <x:v>427</x:v>
      </x:c>
      <x:c r="D2765" t="s">
        <x:v>676</x:v>
      </x:c>
      <x:c r="E2765" s="6">
        <x:v>0</x:v>
      </x:c>
      <x:c r="F2765" s="6">
        <x:v>0</x:v>
      </x:c>
      <x:c r="G2765" s="6">
        <x:v>0</x:v>
      </x:c>
      <x:c r="H2765" s="6">
        <x:f t="shared" si="134"/>
        <x:v>0</x:v>
      </x:c>
      <x:c r="I2765" s="6">
        <x:v>15423.529999999999</x:v>
      </x:c>
      <x:c r="J2765" s="6">
        <x:v>0</x:v>
      </x:c>
      <x:c r="K2765" s="6">
        <x:f t="shared" si="135"/>
        <x:v>15423.529999999999</x:v>
      </x:c>
      <x:c r="L2765" s="6">
        <x:v>0</x:v>
      </x:c>
      <x:c r="M2765" s="6">
        <x:v>0</x:v>
      </x:c>
      <x:c r="N2765" s="6">
        <x:f t="shared" si="136"/>
        <x:v>15423.529999999999</x:v>
      </x:c>
    </x:row>
    <x:row r="2766" spans="1:14" x14ac:dyDescent="0.25">
      <x:c r="A2766" t="s">
        <x:v>38</x:v>
      </x:c>
      <x:c r="B2766" s="3" t="s">
        <x:v>245</x:v>
      </x:c>
      <x:c r="C2766" s="3" t="s">
        <x:v>560</x:v>
      </x:c>
      <x:c r="D2766" t="s">
        <x:v>676</x:v>
      </x:c>
      <x:c r="E2766" s="6">
        <x:v>0</x:v>
      </x:c>
      <x:c r="F2766" s="6">
        <x:v>0</x:v>
      </x:c>
      <x:c r="G2766" s="6">
        <x:v>0</x:v>
      </x:c>
      <x:c r="H2766" s="6">
        <x:f t="shared" si="134"/>
        <x:v>0</x:v>
      </x:c>
      <x:c r="I2766" s="6">
        <x:v>0</x:v>
      </x:c>
      <x:c r="J2766" s="6">
        <x:v>0</x:v>
      </x:c>
      <x:c r="K2766" s="6">
        <x:f t="shared" si="135"/>
        <x:v>0</x:v>
      </x:c>
      <x:c r="L2766" s="6">
        <x:v>45996.01</x:v>
      </x:c>
      <x:c r="M2766" s="6">
        <x:v>0</x:v>
      </x:c>
      <x:c r="N2766" s="6">
        <x:f t="shared" si="136"/>
        <x:v>45996.01</x:v>
      </x:c>
    </x:row>
    <x:row r="2767" spans="1:14" x14ac:dyDescent="0.25">
      <x:c r="A2767" t="s">
        <x:v>38</x:v>
      </x:c>
      <x:c r="B2767" s="3" t="s">
        <x:v>246</x:v>
      </x:c>
      <x:c r="C2767" s="3" t="s">
        <x:v>561</x:v>
      </x:c>
      <x:c r="D2767" t="s">
        <x:v>676</x:v>
      </x:c>
      <x:c r="E2767" s="6">
        <x:v>0</x:v>
      </x:c>
      <x:c r="F2767" s="6">
        <x:v>0</x:v>
      </x:c>
      <x:c r="G2767" s="6">
        <x:v>0</x:v>
      </x:c>
      <x:c r="H2767" s="6">
        <x:f t="shared" si="134"/>
        <x:v>0</x:v>
      </x:c>
      <x:c r="I2767" s="6">
        <x:v>0</x:v>
      </x:c>
      <x:c r="J2767" s="6">
        <x:v>0</x:v>
      </x:c>
      <x:c r="K2767" s="6">
        <x:f t="shared" si="135"/>
        <x:v>0</x:v>
      </x:c>
      <x:c r="L2767" s="6">
        <x:v>-1781901.61</x:v>
      </x:c>
      <x:c r="M2767" s="6">
        <x:v>0</x:v>
      </x:c>
      <x:c r="N2767" s="6">
        <x:f t="shared" si="136"/>
        <x:v>-1781901.61</x:v>
      </x:c>
    </x:row>
    <x:row r="2768" spans="1:14" x14ac:dyDescent="0.25">
      <x:c r="A2768" t="s">
        <x:v>38</x:v>
      </x:c>
      <x:c r="B2768" s="3" t="s">
        <x:v>247</x:v>
      </x:c>
      <x:c r="C2768" s="3" t="s">
        <x:v>562</x:v>
      </x:c>
      <x:c r="D2768" t="s">
        <x:v>676</x:v>
      </x:c>
      <x:c r="E2768" s="6">
        <x:v>0</x:v>
      </x:c>
      <x:c r="F2768" s="6">
        <x:v>0</x:v>
      </x:c>
      <x:c r="G2768" s="6">
        <x:v>0</x:v>
      </x:c>
      <x:c r="H2768" s="6">
        <x:f t="shared" si="134"/>
        <x:v>0</x:v>
      </x:c>
      <x:c r="I2768" s="6">
        <x:v>0</x:v>
      </x:c>
      <x:c r="J2768" s="6">
        <x:v>0</x:v>
      </x:c>
      <x:c r="K2768" s="6">
        <x:f t="shared" si="135"/>
        <x:v>0</x:v>
      </x:c>
      <x:c r="L2768" s="6">
        <x:v>137438.09</x:v>
      </x:c>
      <x:c r="M2768" s="6">
        <x:v>0</x:v>
      </x:c>
      <x:c r="N2768" s="6">
        <x:f t="shared" si="136"/>
        <x:v>137438.09</x:v>
      </x:c>
    </x:row>
    <x:row r="2769" spans="1:14" x14ac:dyDescent="0.25">
      <x:c r="A2769" t="s">
        <x:v>38</x:v>
      </x:c>
      <x:c r="B2769" s="3" t="s">
        <x:v>248</x:v>
      </x:c>
      <x:c r="C2769" s="3" t="s">
        <x:v>563</x:v>
      </x:c>
      <x:c r="D2769" t="s">
        <x:v>676</x:v>
      </x:c>
      <x:c r="E2769" s="6">
        <x:v>0</x:v>
      </x:c>
      <x:c r="F2769" s="6">
        <x:v>0</x:v>
      </x:c>
      <x:c r="G2769" s="6">
        <x:v>0</x:v>
      </x:c>
      <x:c r="H2769" s="6">
        <x:f t="shared" si="134"/>
        <x:v>0</x:v>
      </x:c>
      <x:c r="I2769" s="6">
        <x:v>0</x:v>
      </x:c>
      <x:c r="J2769" s="6">
        <x:v>0</x:v>
      </x:c>
      <x:c r="K2769" s="6">
        <x:f t="shared" si="135"/>
        <x:v>0</x:v>
      </x:c>
      <x:c r="L2769" s="6">
        <x:v>190058.45</x:v>
      </x:c>
      <x:c r="M2769" s="6">
        <x:v>0</x:v>
      </x:c>
      <x:c r="N2769" s="6">
        <x:f t="shared" si="136"/>
        <x:v>190058.45</x:v>
      </x:c>
    </x:row>
    <x:row r="2770" spans="1:14" x14ac:dyDescent="0.25">
      <x:c r="A2770" t="s">
        <x:v>38</x:v>
      </x:c>
      <x:c r="B2770" s="3" t="s">
        <x:v>112</x:v>
      </x:c>
      <x:c r="C2770" s="3" t="s">
        <x:v>429</x:v>
      </x:c>
      <x:c r="D2770" t="s">
        <x:v>676</x:v>
      </x:c>
      <x:c r="E2770" s="6">
        <x:v>0</x:v>
      </x:c>
      <x:c r="F2770" s="6">
        <x:v>0</x:v>
      </x:c>
      <x:c r="G2770" s="6">
        <x:v>0</x:v>
      </x:c>
      <x:c r="H2770" s="6">
        <x:f t="shared" si="134"/>
        <x:v>0</x:v>
      </x:c>
      <x:c r="I2770" s="6">
        <x:v>0</x:v>
      </x:c>
      <x:c r="J2770" s="6">
        <x:v>0</x:v>
      </x:c>
      <x:c r="K2770" s="6">
        <x:f t="shared" si="135"/>
        <x:v>0</x:v>
      </x:c>
      <x:c r="L2770" s="6">
        <x:v>622881.25</x:v>
      </x:c>
      <x:c r="M2770" s="6">
        <x:v>0</x:v>
      </x:c>
      <x:c r="N2770" s="6">
        <x:f t="shared" si="136"/>
        <x:v>622881.25</x:v>
      </x:c>
    </x:row>
    <x:row r="2771" spans="1:14" x14ac:dyDescent="0.25">
      <x:c r="A2771" t="s">
        <x:v>38</x:v>
      </x:c>
      <x:c r="B2771" s="3" t="s">
        <x:v>113</x:v>
      </x:c>
      <x:c r="C2771" s="3" t="s">
        <x:v>430</x:v>
      </x:c>
      <x:c r="D2771" t="s">
        <x:v>676</x:v>
      </x:c>
      <x:c r="E2771" s="6">
        <x:v>0</x:v>
      </x:c>
      <x:c r="F2771" s="6">
        <x:v>0</x:v>
      </x:c>
      <x:c r="G2771" s="6">
        <x:v>0</x:v>
      </x:c>
      <x:c r="H2771" s="6">
        <x:f t="shared" si="134"/>
        <x:v>0</x:v>
      </x:c>
      <x:c r="I2771" s="6">
        <x:v>0</x:v>
      </x:c>
      <x:c r="J2771" s="6">
        <x:v>0</x:v>
      </x:c>
      <x:c r="K2771" s="6">
        <x:f t="shared" si="135"/>
        <x:v>0</x:v>
      </x:c>
      <x:c r="L2771" s="6">
        <x:v>664088.22</x:v>
      </x:c>
      <x:c r="M2771" s="6">
        <x:v>0</x:v>
      </x:c>
      <x:c r="N2771" s="6">
        <x:f t="shared" si="136"/>
        <x:v>664088.22</x:v>
      </x:c>
    </x:row>
    <x:row r="2772" spans="1:14" x14ac:dyDescent="0.25">
      <x:c r="A2772" t="s">
        <x:v>38</x:v>
      </x:c>
      <x:c r="B2772" s="3" t="s">
        <x:v>249</x:v>
      </x:c>
      <x:c r="C2772" s="3" t="s">
        <x:v>564</x:v>
      </x:c>
      <x:c r="D2772" t="s">
        <x:v>676</x:v>
      </x:c>
      <x:c r="E2772" s="6">
        <x:v>0</x:v>
      </x:c>
      <x:c r="F2772" s="6">
        <x:v>0</x:v>
      </x:c>
      <x:c r="G2772" s="6">
        <x:v>0</x:v>
      </x:c>
      <x:c r="H2772" s="6">
        <x:f t="shared" si="134"/>
        <x:v>0</x:v>
      </x:c>
      <x:c r="I2772" s="6">
        <x:v>0</x:v>
      </x:c>
      <x:c r="J2772" s="6">
        <x:v>0</x:v>
      </x:c>
      <x:c r="K2772" s="6">
        <x:f t="shared" si="135"/>
        <x:v>0</x:v>
      </x:c>
      <x:c r="L2772" s="6">
        <x:v>660000.53</x:v>
      </x:c>
      <x:c r="M2772" s="6">
        <x:v>0</x:v>
      </x:c>
      <x:c r="N2772" s="6">
        <x:f t="shared" si="136"/>
        <x:v>660000.53</x:v>
      </x:c>
    </x:row>
    <x:row r="2773" spans="1:14" x14ac:dyDescent="0.25">
      <x:c r="A2773" t="s">
        <x:v>38</x:v>
      </x:c>
      <x:c r="B2773" s="3" t="s">
        <x:v>44</x:v>
      </x:c>
      <x:c r="C2773" s="3" t="s">
        <x:v>361</x:v>
      </x:c>
      <x:c r="D2773" t="s">
        <x:v>676</x:v>
      </x:c>
      <x:c r="E2773" s="6">
        <x:v>0</x:v>
      </x:c>
      <x:c r="F2773" s="6">
        <x:v>0</x:v>
      </x:c>
      <x:c r="G2773" s="6">
        <x:v>0</x:v>
      </x:c>
      <x:c r="H2773" s="6">
        <x:f t="shared" si="134"/>
        <x:v>0</x:v>
      </x:c>
      <x:c r="I2773" s="6">
        <x:v>0</x:v>
      </x:c>
      <x:c r="J2773" s="6">
        <x:v>0</x:v>
      </x:c>
      <x:c r="K2773" s="6">
        <x:f t="shared" si="135"/>
        <x:v>0</x:v>
      </x:c>
      <x:c r="L2773" s="6">
        <x:v>408762.92</x:v>
      </x:c>
      <x:c r="M2773" s="6">
        <x:v>0</x:v>
      </x:c>
      <x:c r="N2773" s="6">
        <x:f t="shared" si="136"/>
        <x:v>408762.92</x:v>
      </x:c>
    </x:row>
    <x:row r="2774" spans="1:14" x14ac:dyDescent="0.25">
      <x:c r="A2774" t="s">
        <x:v>38</x:v>
      </x:c>
      <x:c r="B2774" s="3" t="s">
        <x:v>250</x:v>
      </x:c>
      <x:c r="C2774" s="3" t="s">
        <x:v>565</x:v>
      </x:c>
      <x:c r="D2774" t="s">
        <x:v>676</x:v>
      </x:c>
      <x:c r="E2774" s="6">
        <x:v>0</x:v>
      </x:c>
      <x:c r="F2774" s="6">
        <x:v>0</x:v>
      </x:c>
      <x:c r="G2774" s="6">
        <x:v>0</x:v>
      </x:c>
      <x:c r="H2774" s="6">
        <x:f t="shared" si="134"/>
        <x:v>0</x:v>
      </x:c>
      <x:c r="I2774" s="6">
        <x:v>0</x:v>
      </x:c>
      <x:c r="J2774" s="6">
        <x:v>0</x:v>
      </x:c>
      <x:c r="K2774" s="6">
        <x:f t="shared" si="135"/>
        <x:v>0</x:v>
      </x:c>
      <x:c r="L2774" s="6">
        <x:v>51169.120000000003</x:v>
      </x:c>
      <x:c r="M2774" s="6">
        <x:v>0</x:v>
      </x:c>
      <x:c r="N2774" s="6">
        <x:f t="shared" si="136"/>
        <x:v>51169.120000000003</x:v>
      </x:c>
    </x:row>
    <x:row r="2775" spans="1:14" x14ac:dyDescent="0.25">
      <x:c r="A2775" t="s">
        <x:v>38</x:v>
      </x:c>
      <x:c r="B2775" s="3" t="s">
        <x:v>251</x:v>
      </x:c>
      <x:c r="C2775" s="3" t="s">
        <x:v>566</x:v>
      </x:c>
      <x:c r="D2775" t="s">
        <x:v>676</x:v>
      </x:c>
      <x:c r="E2775" s="6">
        <x:v>0</x:v>
      </x:c>
      <x:c r="F2775" s="6">
        <x:v>0</x:v>
      </x:c>
      <x:c r="G2775" s="6">
        <x:v>0</x:v>
      </x:c>
      <x:c r="H2775" s="6">
        <x:f t="shared" si="134"/>
        <x:v>0</x:v>
      </x:c>
      <x:c r="I2775" s="6">
        <x:v>0</x:v>
      </x:c>
      <x:c r="J2775" s="6">
        <x:v>0</x:v>
      </x:c>
      <x:c r="K2775" s="6">
        <x:f t="shared" si="135"/>
        <x:v>0</x:v>
      </x:c>
      <x:c r="L2775" s="6">
        <x:v>206051.37</x:v>
      </x:c>
      <x:c r="M2775" s="6">
        <x:v>0</x:v>
      </x:c>
      <x:c r="N2775" s="6">
        <x:f t="shared" si="136"/>
        <x:v>206051.37</x:v>
      </x:c>
    </x:row>
    <x:row r="2776" spans="1:14" x14ac:dyDescent="0.25">
      <x:c r="A2776" t="s">
        <x:v>38</x:v>
      </x:c>
      <x:c r="B2776" s="3" t="s">
        <x:v>252</x:v>
      </x:c>
      <x:c r="C2776" s="3" t="s">
        <x:v>567</x:v>
      </x:c>
      <x:c r="D2776" t="s">
        <x:v>676</x:v>
      </x:c>
      <x:c r="E2776" s="6">
        <x:v>0</x:v>
      </x:c>
      <x:c r="F2776" s="6">
        <x:v>0</x:v>
      </x:c>
      <x:c r="G2776" s="6">
        <x:v>0</x:v>
      </x:c>
      <x:c r="H2776" s="6">
        <x:f t="shared" si="134"/>
        <x:v>0</x:v>
      </x:c>
      <x:c r="I2776" s="6">
        <x:v>0</x:v>
      </x:c>
      <x:c r="J2776" s="6">
        <x:v>0</x:v>
      </x:c>
      <x:c r="K2776" s="6">
        <x:f t="shared" si="135"/>
        <x:v>0</x:v>
      </x:c>
      <x:c r="L2776" s="6">
        <x:v>249956.63999999998</x:v>
      </x:c>
      <x:c r="M2776" s="6">
        <x:v>0</x:v>
      </x:c>
      <x:c r="N2776" s="6">
        <x:f t="shared" si="136"/>
        <x:v>249956.63999999998</x:v>
      </x:c>
    </x:row>
    <x:row r="2777" spans="1:14" x14ac:dyDescent="0.25">
      <x:c r="A2777" t="s">
        <x:v>38</x:v>
      </x:c>
      <x:c r="B2777" s="3" t="s">
        <x:v>114</x:v>
      </x:c>
      <x:c r="C2777" s="3" t="s">
        <x:v>431</x:v>
      </x:c>
      <x:c r="D2777" t="s">
        <x:v>676</x:v>
      </x:c>
      <x:c r="E2777" s="6">
        <x:v>0</x:v>
      </x:c>
      <x:c r="F2777" s="6">
        <x:v>0</x:v>
      </x:c>
      <x:c r="G2777" s="6">
        <x:v>0</x:v>
      </x:c>
      <x:c r="H2777" s="6">
        <x:f t="shared" si="134"/>
        <x:v>0</x:v>
      </x:c>
      <x:c r="I2777" s="6">
        <x:v>0</x:v>
      </x:c>
      <x:c r="J2777" s="6">
        <x:v>0</x:v>
      </x:c>
      <x:c r="K2777" s="6">
        <x:f t="shared" si="135"/>
        <x:v>0</x:v>
      </x:c>
      <x:c r="L2777" s="6">
        <x:v>335039.28000000003</x:v>
      </x:c>
      <x:c r="M2777" s="6">
        <x:v>0</x:v>
      </x:c>
      <x:c r="N2777" s="6">
        <x:f t="shared" si="136"/>
        <x:v>335039.28000000003</x:v>
      </x:c>
    </x:row>
    <x:row r="2778" spans="1:14" x14ac:dyDescent="0.25">
      <x:c r="A2778" t="s">
        <x:v>38</x:v>
      </x:c>
      <x:c r="B2778" s="3" t="s">
        <x:v>253</x:v>
      </x:c>
      <x:c r="C2778" s="3" t="s">
        <x:v>568</x:v>
      </x:c>
      <x:c r="D2778" t="s">
        <x:v>676</x:v>
      </x:c>
      <x:c r="E2778" s="6">
        <x:v>0</x:v>
      </x:c>
      <x:c r="F2778" s="6">
        <x:v>0</x:v>
      </x:c>
      <x:c r="G2778" s="6">
        <x:v>0</x:v>
      </x:c>
      <x:c r="H2778" s="6">
        <x:f t="shared" si="134"/>
        <x:v>0</x:v>
      </x:c>
      <x:c r="I2778" s="6">
        <x:v>0</x:v>
      </x:c>
      <x:c r="J2778" s="6">
        <x:v>0</x:v>
      </x:c>
      <x:c r="K2778" s="6">
        <x:f t="shared" si="135"/>
        <x:v>0</x:v>
      </x:c>
      <x:c r="L2778" s="6">
        <x:v>183927.02</x:v>
      </x:c>
      <x:c r="M2778" s="6">
        <x:v>0</x:v>
      </x:c>
      <x:c r="N2778" s="6">
        <x:f t="shared" si="136"/>
        <x:v>183927.02</x:v>
      </x:c>
    </x:row>
    <x:row r="2779" spans="1:14" x14ac:dyDescent="0.25">
      <x:c r="A2779" t="s">
        <x:v>38</x:v>
      </x:c>
      <x:c r="B2779" s="3" t="s">
        <x:v>254</x:v>
      </x:c>
      <x:c r="C2779" s="3" t="s">
        <x:v>569</x:v>
      </x:c>
      <x:c r="D2779" t="s">
        <x:v>676</x:v>
      </x:c>
      <x:c r="E2779" s="6">
        <x:v>0</x:v>
      </x:c>
      <x:c r="F2779" s="6">
        <x:v>0</x:v>
      </x:c>
      <x:c r="G2779" s="6">
        <x:v>0</x:v>
      </x:c>
      <x:c r="H2779" s="6">
        <x:f t="shared" si="134"/>
        <x:v>0</x:v>
      </x:c>
      <x:c r="I2779" s="6">
        <x:v>0</x:v>
      </x:c>
      <x:c r="J2779" s="6">
        <x:v>0</x:v>
      </x:c>
      <x:c r="K2779" s="6">
        <x:f t="shared" si="135"/>
        <x:v>0</x:v>
      </x:c>
      <x:c r="L2779" s="6">
        <x:v>186984.01</x:v>
      </x:c>
      <x:c r="M2779" s="6">
        <x:v>0</x:v>
      </x:c>
      <x:c r="N2779" s="6">
        <x:f t="shared" si="136"/>
        <x:v>186984.01</x:v>
      </x:c>
    </x:row>
    <x:row r="2780" spans="1:14" x14ac:dyDescent="0.25">
      <x:c r="A2780" t="s">
        <x:v>38</x:v>
      </x:c>
      <x:c r="B2780" s="3" t="s">
        <x:v>115</x:v>
      </x:c>
      <x:c r="C2780" s="3" t="s">
        <x:v>432</x:v>
      </x:c>
      <x:c r="D2780" t="s">
        <x:v>676</x:v>
      </x:c>
      <x:c r="E2780" s="6">
        <x:v>0</x:v>
      </x:c>
      <x:c r="F2780" s="6">
        <x:v>0</x:v>
      </x:c>
      <x:c r="G2780" s="6">
        <x:v>0</x:v>
      </x:c>
      <x:c r="H2780" s="6">
        <x:f t="shared" si="134"/>
        <x:v>0</x:v>
      </x:c>
      <x:c r="I2780" s="6">
        <x:v>0</x:v>
      </x:c>
      <x:c r="J2780" s="6">
        <x:v>0</x:v>
      </x:c>
      <x:c r="K2780" s="6">
        <x:f t="shared" si="135"/>
        <x:v>0</x:v>
      </x:c>
      <x:c r="L2780" s="6">
        <x:v>758399.31000000029</x:v>
      </x:c>
      <x:c r="M2780" s="6">
        <x:v>0</x:v>
      </x:c>
      <x:c r="N2780" s="6">
        <x:f t="shared" si="136"/>
        <x:v>758399.31000000029</x:v>
      </x:c>
    </x:row>
    <x:row r="2781" spans="1:14" x14ac:dyDescent="0.25">
      <x:c r="A2781" t="s">
        <x:v>38</x:v>
      </x:c>
      <x:c r="B2781" s="3" t="s">
        <x:v>116</x:v>
      </x:c>
      <x:c r="C2781" s="3" t="s">
        <x:v>433</x:v>
      </x:c>
      <x:c r="D2781" t="s">
        <x:v>676</x:v>
      </x:c>
      <x:c r="E2781" s="6">
        <x:v>0</x:v>
      </x:c>
      <x:c r="F2781" s="6">
        <x:v>0</x:v>
      </x:c>
      <x:c r="G2781" s="6">
        <x:v>0</x:v>
      </x:c>
      <x:c r="H2781" s="6">
        <x:f t="shared" si="134"/>
        <x:v>0</x:v>
      </x:c>
      <x:c r="I2781" s="6">
        <x:v>0</x:v>
      </x:c>
      <x:c r="J2781" s="6">
        <x:v>0</x:v>
      </x:c>
      <x:c r="K2781" s="6">
        <x:f t="shared" si="135"/>
        <x:v>0</x:v>
      </x:c>
      <x:c r="L2781" s="6">
        <x:v>608074.7699999999</x:v>
      </x:c>
      <x:c r="M2781" s="6">
        <x:v>0</x:v>
      </x:c>
      <x:c r="N2781" s="6">
        <x:f t="shared" si="136"/>
        <x:v>608074.7699999999</x:v>
      </x:c>
    </x:row>
    <x:row r="2782" spans="1:14" x14ac:dyDescent="0.25">
      <x:c r="A2782" t="s">
        <x:v>38</x:v>
      </x:c>
      <x:c r="B2782" s="3" t="s">
        <x:v>255</x:v>
      </x:c>
      <x:c r="C2782" s="3" t="s">
        <x:v>570</x:v>
      </x:c>
      <x:c r="D2782" t="s">
        <x:v>676</x:v>
      </x:c>
      <x:c r="E2782" s="6">
        <x:v>0</x:v>
      </x:c>
      <x:c r="F2782" s="6">
        <x:v>0</x:v>
      </x:c>
      <x:c r="G2782" s="6">
        <x:v>0</x:v>
      </x:c>
      <x:c r="H2782" s="6">
        <x:f t="shared" si="134"/>
        <x:v>0</x:v>
      </x:c>
      <x:c r="I2782" s="6">
        <x:v>0</x:v>
      </x:c>
      <x:c r="J2782" s="6">
        <x:v>0</x:v>
      </x:c>
      <x:c r="K2782" s="6">
        <x:f t="shared" si="135"/>
        <x:v>0</x:v>
      </x:c>
      <x:c r="L2782" s="6">
        <x:v>38740.559999999998</x:v>
      </x:c>
      <x:c r="M2782" s="6">
        <x:v>0</x:v>
      </x:c>
      <x:c r="N2782" s="6">
        <x:f t="shared" si="136"/>
        <x:v>38740.559999999998</x:v>
      </x:c>
    </x:row>
    <x:row r="2783" spans="1:14" x14ac:dyDescent="0.25">
      <x:c r="A2783" t="s">
        <x:v>38</x:v>
      </x:c>
      <x:c r="B2783" s="3" t="s">
        <x:v>256</x:v>
      </x:c>
      <x:c r="C2783" s="3" t="s">
        <x:v>571</x:v>
      </x:c>
      <x:c r="D2783" t="s">
        <x:v>676</x:v>
      </x:c>
      <x:c r="E2783" s="6">
        <x:v>0</x:v>
      </x:c>
      <x:c r="F2783" s="6">
        <x:v>0</x:v>
      </x:c>
      <x:c r="G2783" s="6">
        <x:v>0</x:v>
      </x:c>
      <x:c r="H2783" s="6">
        <x:f t="shared" ref="H2783:H2846" si="137">SUM(E2783:G2783)</x:f>
        <x:v>0</x:v>
      </x:c>
      <x:c r="I2783" s="6">
        <x:v>0</x:v>
      </x:c>
      <x:c r="J2783" s="6">
        <x:v>0</x:v>
      </x:c>
      <x:c r="K2783" s="6">
        <x:f t="shared" ref="K2783:K2846" si="138">SUM(I2783:J2783)</x:f>
        <x:v>0</x:v>
      </x:c>
      <x:c r="L2783" s="6">
        <x:v>270888.62</x:v>
      </x:c>
      <x:c r="M2783" s="6">
        <x:v>0</x:v>
      </x:c>
      <x:c r="N2783" s="6">
        <x:f t="shared" ref="N2783:N2846" si="139">+E2783+F2783+G2783+I2783+J2783+L2783+M2783</x:f>
        <x:v>270888.62</x:v>
      </x:c>
    </x:row>
    <x:row r="2784" spans="1:14" x14ac:dyDescent="0.25">
      <x:c r="A2784" t="s">
        <x:v>38</x:v>
      </x:c>
      <x:c r="B2784" s="3" t="s">
        <x:v>257</x:v>
      </x:c>
      <x:c r="C2784" s="3" t="s">
        <x:v>572</x:v>
      </x:c>
      <x:c r="D2784" t="s">
        <x:v>676</x:v>
      </x:c>
      <x:c r="E2784" s="6">
        <x:v>0</x:v>
      </x:c>
      <x:c r="F2784" s="6">
        <x:v>0</x:v>
      </x:c>
      <x:c r="G2784" s="6">
        <x:v>0</x:v>
      </x:c>
      <x:c r="H2784" s="6">
        <x:f t="shared" si="137"/>
        <x:v>0</x:v>
      </x:c>
      <x:c r="I2784" s="6">
        <x:v>0</x:v>
      </x:c>
      <x:c r="J2784" s="6">
        <x:v>0</x:v>
      </x:c>
      <x:c r="K2784" s="6">
        <x:f t="shared" si="138"/>
        <x:v>0</x:v>
      </x:c>
      <x:c r="L2784" s="6">
        <x:v>299111.48</x:v>
      </x:c>
      <x:c r="M2784" s="6">
        <x:v>0</x:v>
      </x:c>
      <x:c r="N2784" s="6">
        <x:f t="shared" si="139"/>
        <x:v>299111.48</x:v>
      </x:c>
    </x:row>
    <x:row r="2785" spans="1:14" x14ac:dyDescent="0.25">
      <x:c r="A2785" t="s">
        <x:v>38</x:v>
      </x:c>
      <x:c r="B2785" s="3" t="s">
        <x:v>258</x:v>
      </x:c>
      <x:c r="C2785" s="3" t="s">
        <x:v>573</x:v>
      </x:c>
      <x:c r="D2785" t="s">
        <x:v>676</x:v>
      </x:c>
      <x:c r="E2785" s="6">
        <x:v>0</x:v>
      </x:c>
      <x:c r="F2785" s="6">
        <x:v>0</x:v>
      </x:c>
      <x:c r="G2785" s="6">
        <x:v>0</x:v>
      </x:c>
      <x:c r="H2785" s="6">
        <x:f t="shared" si="137"/>
        <x:v>0</x:v>
      </x:c>
      <x:c r="I2785" s="6">
        <x:v>0</x:v>
      </x:c>
      <x:c r="J2785" s="6">
        <x:v>0</x:v>
      </x:c>
      <x:c r="K2785" s="6">
        <x:f t="shared" si="138"/>
        <x:v>0</x:v>
      </x:c>
      <x:c r="L2785" s="6">
        <x:v>257170.03</x:v>
      </x:c>
      <x:c r="M2785" s="6">
        <x:v>0</x:v>
      </x:c>
      <x:c r="N2785" s="6">
        <x:f t="shared" si="139"/>
        <x:v>257170.03</x:v>
      </x:c>
    </x:row>
    <x:row r="2786" spans="1:14" x14ac:dyDescent="0.25">
      <x:c r="A2786" t="s">
        <x:v>38</x:v>
      </x:c>
      <x:c r="B2786" s="3" t="s">
        <x:v>228</x:v>
      </x:c>
      <x:c r="C2786" s="3" t="s">
        <x:v>543</x:v>
      </x:c>
      <x:c r="D2786" t="s">
        <x:v>676</x:v>
      </x:c>
      <x:c r="E2786" s="6">
        <x:v>0</x:v>
      </x:c>
      <x:c r="F2786" s="6">
        <x:v>0</x:v>
      </x:c>
      <x:c r="G2786" s="6">
        <x:v>0</x:v>
      </x:c>
      <x:c r="H2786" s="6">
        <x:f t="shared" si="137"/>
        <x:v>0</x:v>
      </x:c>
      <x:c r="I2786" s="6">
        <x:v>0</x:v>
      </x:c>
      <x:c r="J2786" s="6">
        <x:v>0</x:v>
      </x:c>
      <x:c r="K2786" s="6">
        <x:f t="shared" si="138"/>
        <x:v>0</x:v>
      </x:c>
      <x:c r="L2786" s="6">
        <x:v>277295.79000000004</x:v>
      </x:c>
      <x:c r="M2786" s="6">
        <x:v>0</x:v>
      </x:c>
      <x:c r="N2786" s="6">
        <x:f t="shared" si="139"/>
        <x:v>277295.79000000004</x:v>
      </x:c>
    </x:row>
    <x:row r="2787" spans="1:14" x14ac:dyDescent="0.25">
      <x:c r="A2787" t="s">
        <x:v>38</x:v>
      </x:c>
      <x:c r="B2787" s="3" t="s">
        <x:v>259</x:v>
      </x:c>
      <x:c r="C2787" s="3" t="s">
        <x:v>574</x:v>
      </x:c>
      <x:c r="D2787" t="s">
        <x:v>676</x:v>
      </x:c>
      <x:c r="E2787" s="6">
        <x:v>0</x:v>
      </x:c>
      <x:c r="F2787" s="6">
        <x:v>0</x:v>
      </x:c>
      <x:c r="G2787" s="6">
        <x:v>0</x:v>
      </x:c>
      <x:c r="H2787" s="6">
        <x:f t="shared" si="137"/>
        <x:v>0</x:v>
      </x:c>
      <x:c r="I2787" s="6">
        <x:v>0</x:v>
      </x:c>
      <x:c r="J2787" s="6">
        <x:v>0</x:v>
      </x:c>
      <x:c r="K2787" s="6">
        <x:f t="shared" si="138"/>
        <x:v>0</x:v>
      </x:c>
      <x:c r="L2787" s="6">
        <x:v>271410.35000000003</x:v>
      </x:c>
      <x:c r="M2787" s="6">
        <x:v>0</x:v>
      </x:c>
      <x:c r="N2787" s="6">
        <x:f t="shared" si="139"/>
        <x:v>271410.35000000003</x:v>
      </x:c>
    </x:row>
    <x:row r="2788" spans="1:14" x14ac:dyDescent="0.25">
      <x:c r="A2788" t="s">
        <x:v>38</x:v>
      </x:c>
      <x:c r="B2788" s="3" t="s">
        <x:v>260</x:v>
      </x:c>
      <x:c r="C2788" s="3" t="s">
        <x:v>575</x:v>
      </x:c>
      <x:c r="D2788" t="s">
        <x:v>676</x:v>
      </x:c>
      <x:c r="E2788" s="6">
        <x:v>0</x:v>
      </x:c>
      <x:c r="F2788" s="6">
        <x:v>0</x:v>
      </x:c>
      <x:c r="G2788" s="6">
        <x:v>0</x:v>
      </x:c>
      <x:c r="H2788" s="6">
        <x:f t="shared" si="137"/>
        <x:v>0</x:v>
      </x:c>
      <x:c r="I2788" s="6">
        <x:v>0</x:v>
      </x:c>
      <x:c r="J2788" s="6">
        <x:v>0</x:v>
      </x:c>
      <x:c r="K2788" s="6">
        <x:f t="shared" si="138"/>
        <x:v>0</x:v>
      </x:c>
      <x:c r="L2788" s="6">
        <x:v>326207.82999999996</x:v>
      </x:c>
      <x:c r="M2788" s="6">
        <x:v>0</x:v>
      </x:c>
      <x:c r="N2788" s="6">
        <x:f t="shared" si="139"/>
        <x:v>326207.82999999996</x:v>
      </x:c>
    </x:row>
    <x:row r="2789" spans="1:14" x14ac:dyDescent="0.25">
      <x:c r="A2789" t="s">
        <x:v>38</x:v>
      </x:c>
      <x:c r="B2789" s="3" t="s">
        <x:v>117</x:v>
      </x:c>
      <x:c r="C2789" s="3" t="s">
        <x:v>434</x:v>
      </x:c>
      <x:c r="D2789" t="s">
        <x:v>676</x:v>
      </x:c>
      <x:c r="E2789" s="6">
        <x:v>0</x:v>
      </x:c>
      <x:c r="F2789" s="6">
        <x:v>0</x:v>
      </x:c>
      <x:c r="G2789" s="6">
        <x:v>0</x:v>
      </x:c>
      <x:c r="H2789" s="6">
        <x:f t="shared" si="137"/>
        <x:v>0</x:v>
      </x:c>
      <x:c r="I2789" s="6">
        <x:v>0</x:v>
      </x:c>
      <x:c r="J2789" s="6">
        <x:v>0</x:v>
      </x:c>
      <x:c r="K2789" s="6">
        <x:f t="shared" si="138"/>
        <x:v>0</x:v>
      </x:c>
      <x:c r="L2789" s="6">
        <x:v>747252.33</x:v>
      </x:c>
      <x:c r="M2789" s="6">
        <x:v>0</x:v>
      </x:c>
      <x:c r="N2789" s="6">
        <x:f t="shared" si="139"/>
        <x:v>747252.33</x:v>
      </x:c>
    </x:row>
    <x:row r="2790" spans="1:14" x14ac:dyDescent="0.25">
      <x:c r="A2790" t="s">
        <x:v>38</x:v>
      </x:c>
      <x:c r="B2790" s="3" t="s">
        <x:v>118</x:v>
      </x:c>
      <x:c r="C2790" s="3" t="s">
        <x:v>435</x:v>
      </x:c>
      <x:c r="D2790" t="s">
        <x:v>676</x:v>
      </x:c>
      <x:c r="E2790" s="6">
        <x:v>0</x:v>
      </x:c>
      <x:c r="F2790" s="6">
        <x:v>0</x:v>
      </x:c>
      <x:c r="G2790" s="6">
        <x:v>0</x:v>
      </x:c>
      <x:c r="H2790" s="6">
        <x:f t="shared" si="137"/>
        <x:v>0</x:v>
      </x:c>
      <x:c r="I2790" s="6">
        <x:v>14526.95</x:v>
      </x:c>
      <x:c r="J2790" s="6">
        <x:v>0</x:v>
      </x:c>
      <x:c r="K2790" s="6">
        <x:f t="shared" si="138"/>
        <x:v>14526.95</x:v>
      </x:c>
      <x:c r="L2790" s="6">
        <x:v>0</x:v>
      </x:c>
      <x:c r="M2790" s="6">
        <x:v>0</x:v>
      </x:c>
      <x:c r="N2790" s="6">
        <x:f t="shared" si="139"/>
        <x:v>14526.95</x:v>
      </x:c>
    </x:row>
    <x:row r="2791" spans="1:14" x14ac:dyDescent="0.25">
      <x:c r="A2791" t="s">
        <x:v>38</x:v>
      </x:c>
      <x:c r="B2791" s="3" t="s">
        <x:v>229</x:v>
      </x:c>
      <x:c r="C2791" s="3" t="s">
        <x:v>544</x:v>
      </x:c>
      <x:c r="D2791" t="s">
        <x:v>676</x:v>
      </x:c>
      <x:c r="E2791" s="6">
        <x:v>0</x:v>
      </x:c>
      <x:c r="F2791" s="6">
        <x:v>0</x:v>
      </x:c>
      <x:c r="G2791" s="6">
        <x:v>0</x:v>
      </x:c>
      <x:c r="H2791" s="6">
        <x:f t="shared" si="137"/>
        <x:v>0</x:v>
      </x:c>
      <x:c r="I2791" s="6">
        <x:v>4829.58</x:v>
      </x:c>
      <x:c r="J2791" s="6">
        <x:v>0</x:v>
      </x:c>
      <x:c r="K2791" s="6">
        <x:f t="shared" si="138"/>
        <x:v>4829.58</x:v>
      </x:c>
      <x:c r="L2791" s="6">
        <x:v>0</x:v>
      </x:c>
      <x:c r="M2791" s="6">
        <x:v>0</x:v>
      </x:c>
      <x:c r="N2791" s="6">
        <x:f t="shared" si="139"/>
        <x:v>4829.58</x:v>
      </x:c>
    </x:row>
    <x:row r="2792" spans="1:14" x14ac:dyDescent="0.25">
      <x:c r="A2792" t="s">
        <x:v>38</x:v>
      </x:c>
      <x:c r="B2792" s="3" t="s">
        <x:v>323</x:v>
      </x:c>
      <x:c r="C2792" s="3" t="s">
        <x:v>638</x:v>
      </x:c>
      <x:c r="D2792" t="s">
        <x:v>679</x:v>
      </x:c>
      <x:c r="E2792" s="6">
        <x:v>2505.59</x:v>
      </x:c>
      <x:c r="F2792" s="6">
        <x:v>0</x:v>
      </x:c>
      <x:c r="G2792" s="6">
        <x:v>0</x:v>
      </x:c>
      <x:c r="H2792" s="6">
        <x:f t="shared" si="137"/>
        <x:v>2505.59</x:v>
      </x:c>
      <x:c r="I2792" s="6">
        <x:v>6691.9800000000005</x:v>
      </x:c>
      <x:c r="J2792" s="6">
        <x:v>0</x:v>
      </x:c>
      <x:c r="K2792" s="6">
        <x:f t="shared" si="138"/>
        <x:v>6691.9800000000005</x:v>
      </x:c>
      <x:c r="L2792" s="6">
        <x:v>1871.3899999999999</x:v>
      </x:c>
      <x:c r="M2792" s="6">
        <x:v>76.920000000000158</x:v>
      </x:c>
      <x:c r="N2792" s="6">
        <x:f t="shared" si="139"/>
        <x:v>11145.88</x:v>
      </x:c>
    </x:row>
    <x:row r="2793" spans="1:14" x14ac:dyDescent="0.25">
      <x:c r="A2793" t="s">
        <x:v>38</x:v>
      </x:c>
      <x:c r="B2793" s="3" t="s">
        <x:v>324</x:v>
      </x:c>
      <x:c r="C2793" s="3" t="s">
        <x:v>639</x:v>
      </x:c>
      <x:c r="D2793" t="s">
        <x:v>679</x:v>
      </x:c>
      <x:c r="E2793" s="6">
        <x:v>2226.2800000000002</x:v>
      </x:c>
      <x:c r="F2793" s="6">
        <x:v>0</x:v>
      </x:c>
      <x:c r="G2793" s="6">
        <x:v>0</x:v>
      </x:c>
      <x:c r="H2793" s="6">
        <x:f t="shared" si="137"/>
        <x:v>2226.2800000000002</x:v>
      </x:c>
      <x:c r="I2793" s="6">
        <x:v>5945.96</x:v>
      </x:c>
      <x:c r="J2793" s="6">
        <x:v>0</x:v>
      </x:c>
      <x:c r="K2793" s="6">
        <x:f t="shared" si="138"/>
        <x:v>5945.96</x:v>
      </x:c>
      <x:c r="L2793" s="6">
        <x:v>1662.77</x:v>
      </x:c>
      <x:c r="M2793" s="6">
        <x:v>68.319999999999567</x:v>
      </x:c>
      <x:c r="N2793" s="6">
        <x:f t="shared" si="139"/>
        <x:v>9903.33</x:v>
      </x:c>
    </x:row>
    <x:row r="2794" spans="1:14" x14ac:dyDescent="0.25">
      <x:c r="A2794" t="s">
        <x:v>38</x:v>
      </x:c>
      <x:c r="B2794" s="3" t="s">
        <x:v>261</x:v>
      </x:c>
      <x:c r="C2794" s="3" t="s">
        <x:v>576</x:v>
      </x:c>
      <x:c r="D2794" t="s">
        <x:v>676</x:v>
      </x:c>
      <x:c r="E2794" s="6">
        <x:v>0</x:v>
      </x:c>
      <x:c r="F2794" s="6">
        <x:v>0</x:v>
      </x:c>
      <x:c r="G2794" s="6">
        <x:v>0</x:v>
      </x:c>
      <x:c r="H2794" s="6">
        <x:f t="shared" si="137"/>
        <x:v>0</x:v>
      </x:c>
      <x:c r="I2794" s="6">
        <x:v>0</x:v>
      </x:c>
      <x:c r="J2794" s="6">
        <x:v>0</x:v>
      </x:c>
      <x:c r="K2794" s="6">
        <x:f t="shared" si="138"/>
        <x:v>0</x:v>
      </x:c>
      <x:c r="L2794" s="6">
        <x:v>1122882.6399999999</x:v>
      </x:c>
      <x:c r="M2794" s="6">
        <x:v>0</x:v>
      </x:c>
      <x:c r="N2794" s="6">
        <x:f t="shared" si="139"/>
        <x:v>1122882.6399999999</x:v>
      </x:c>
    </x:row>
    <x:row r="2795" spans="1:14" x14ac:dyDescent="0.25">
      <x:c r="A2795" t="s">
        <x:v>38</x:v>
      </x:c>
      <x:c r="B2795" s="3" t="s">
        <x:v>120</x:v>
      </x:c>
      <x:c r="C2795" s="3" t="s">
        <x:v>437</x:v>
      </x:c>
      <x:c r="D2795" t="s">
        <x:v>676</x:v>
      </x:c>
      <x:c r="E2795" s="6">
        <x:v>0</x:v>
      </x:c>
      <x:c r="F2795" s="6">
        <x:v>0</x:v>
      </x:c>
      <x:c r="G2795" s="6">
        <x:v>0</x:v>
      </x:c>
      <x:c r="H2795" s="6">
        <x:f t="shared" si="137"/>
        <x:v>0</x:v>
      </x:c>
      <x:c r="I2795" s="6">
        <x:v>44612.549999999996</x:v>
      </x:c>
      <x:c r="J2795" s="6">
        <x:v>0</x:v>
      </x:c>
      <x:c r="K2795" s="6">
        <x:f t="shared" si="138"/>
        <x:v>44612.549999999996</x:v>
      </x:c>
      <x:c r="L2795" s="6">
        <x:v>0</x:v>
      </x:c>
      <x:c r="M2795" s="6">
        <x:v>0</x:v>
      </x:c>
      <x:c r="N2795" s="6">
        <x:f t="shared" si="139"/>
        <x:v>44612.549999999996</x:v>
      </x:c>
    </x:row>
    <x:row r="2796" spans="1:14" x14ac:dyDescent="0.25">
      <x:c r="A2796" t="s">
        <x:v>38</x:v>
      </x:c>
      <x:c r="B2796" s="3" t="s">
        <x:v>121</x:v>
      </x:c>
      <x:c r="C2796" s="3" t="s">
        <x:v>438</x:v>
      </x:c>
      <x:c r="D2796" t="s">
        <x:v>676</x:v>
      </x:c>
      <x:c r="E2796" s="6">
        <x:v>0</x:v>
      </x:c>
      <x:c r="F2796" s="6">
        <x:v>0</x:v>
      </x:c>
      <x:c r="G2796" s="6">
        <x:v>0</x:v>
      </x:c>
      <x:c r="H2796" s="6">
        <x:f t="shared" si="137"/>
        <x:v>0</x:v>
      </x:c>
      <x:c r="I2796" s="6">
        <x:v>33700.93</x:v>
      </x:c>
      <x:c r="J2796" s="6">
        <x:v>0</x:v>
      </x:c>
      <x:c r="K2796" s="6">
        <x:f t="shared" si="138"/>
        <x:v>33700.93</x:v>
      </x:c>
      <x:c r="L2796" s="6">
        <x:v>0</x:v>
      </x:c>
      <x:c r="M2796" s="6">
        <x:v>0</x:v>
      </x:c>
      <x:c r="N2796" s="6">
        <x:f t="shared" si="139"/>
        <x:v>33700.93</x:v>
      </x:c>
    </x:row>
    <x:row r="2797" spans="1:14" x14ac:dyDescent="0.25">
      <x:c r="A2797" t="s">
        <x:v>38</x:v>
      </x:c>
      <x:c r="B2797" t="s">
        <x:v>690</x:v>
      </x:c>
      <x:c r="C2797" t="s">
        <x:v>691</x:v>
      </x:c>
      <x:c r="D2797" t="s">
        <x:v>832</x:v>
      </x:c>
      <x:c r="E2797" s="6">
        <x:v>31467.360000000001</x:v>
      </x:c>
      <x:c r="F2797" s="6">
        <x:v>0</x:v>
      </x:c>
      <x:c r="G2797" s="6">
        <x:v>0</x:v>
      </x:c>
      <x:c r="H2797" s="6">
        <x:f t="shared" si="137"/>
        <x:v>31467.360000000001</x:v>
      </x:c>
      <x:c r="I2797" s="6">
        <x:v>3641.2900000000004</x:v>
      </x:c>
      <x:c r="J2797" s="6">
        <x:v>0</x:v>
      </x:c>
      <x:c r="K2797" s="6">
        <x:f t="shared" si="138"/>
        <x:v>3641.2900000000004</x:v>
      </x:c>
      <x:c r="L2797" s="6">
        <x:v>0</x:v>
      </x:c>
      <x:c r="M2797" s="6">
        <x:v>0</x:v>
      </x:c>
      <x:c r="N2797" s="6">
        <x:f t="shared" si="139"/>
        <x:v>35108.65</x:v>
      </x:c>
    </x:row>
    <x:row r="2798" spans="1:14" x14ac:dyDescent="0.25">
      <x:c r="A2798" t="s">
        <x:v>38</x:v>
      </x:c>
      <x:c r="B2798" t="s">
        <x:v>690</x:v>
      </x:c>
      <x:c r="C2798" t="s">
        <x:v>691</x:v>
      </x:c>
      <x:c r="D2798" t="s">
        <x:v>676</x:v>
      </x:c>
      <x:c r="E2798" s="6">
        <x:v>77959.86</x:v>
      </x:c>
      <x:c r="F2798" s="6">
        <x:v>0</x:v>
      </x:c>
      <x:c r="G2798" s="6">
        <x:v>0</x:v>
      </x:c>
      <x:c r="H2798" s="6">
        <x:f t="shared" si="137"/>
        <x:v>77959.86</x:v>
      </x:c>
      <x:c r="I2798" s="6">
        <x:v>449.69</x:v>
      </x:c>
      <x:c r="J2798" s="6">
        <x:v>0</x:v>
      </x:c>
      <x:c r="K2798" s="6">
        <x:f t="shared" si="138"/>
        <x:v>449.69</x:v>
      </x:c>
      <x:c r="L2798" s="6">
        <x:v>0</x:v>
      </x:c>
      <x:c r="M2798" s="6">
        <x:v>0</x:v>
      </x:c>
      <x:c r="N2798" s="6">
        <x:f t="shared" si="139"/>
        <x:v>78409.55</x:v>
      </x:c>
    </x:row>
    <x:row r="2799" spans="1:14" x14ac:dyDescent="0.25">
      <x:c r="A2799" t="s">
        <x:v>38</x:v>
      </x:c>
      <x:c r="B2799" t="s">
        <x:v>799</x:v>
      </x:c>
      <x:c r="C2799" t="s">
        <x:v>800</x:v>
      </x:c>
      <x:c r="D2799" t="s">
        <x:v>832</x:v>
      </x:c>
      <x:c r="E2799" s="6">
        <x:v>14161.779999999999</x:v>
      </x:c>
      <x:c r="F2799" s="6">
        <x:v>0</x:v>
      </x:c>
      <x:c r="G2799" s="6">
        <x:v>0</x:v>
      </x:c>
      <x:c r="H2799" s="6">
        <x:f t="shared" si="137"/>
        <x:v>14161.779999999999</x:v>
      </x:c>
      <x:c r="I2799" s="6">
        <x:v>0</x:v>
      </x:c>
      <x:c r="J2799" s="6">
        <x:v>0</x:v>
      </x:c>
      <x:c r="K2799" s="6">
        <x:f t="shared" si="138"/>
        <x:v>0</x:v>
      </x:c>
      <x:c r="L2799" s="6">
        <x:v>0</x:v>
      </x:c>
      <x:c r="M2799" s="6">
        <x:v>0</x:v>
      </x:c>
      <x:c r="N2799" s="6">
        <x:f t="shared" si="139"/>
        <x:v>14161.779999999999</x:v>
      </x:c>
    </x:row>
    <x:row r="2800" spans="1:14" x14ac:dyDescent="0.25">
      <x:c r="A2800" t="s">
        <x:v>38</x:v>
      </x:c>
      <x:c r="B2800" t="s">
        <x:v>799</x:v>
      </x:c>
      <x:c r="C2800" t="s">
        <x:v>800</x:v>
      </x:c>
      <x:c r="D2800" t="s">
        <x:v>676</x:v>
      </x:c>
      <x:c r="E2800" s="6">
        <x:v>16760.560000000001</x:v>
      </x:c>
      <x:c r="F2800" s="6">
        <x:v>0</x:v>
      </x:c>
      <x:c r="G2800" s="6">
        <x:v>0</x:v>
      </x:c>
      <x:c r="H2800" s="6">
        <x:f t="shared" si="137"/>
        <x:v>16760.560000000001</x:v>
      </x:c>
      <x:c r="I2800" s="6">
        <x:v>0</x:v>
      </x:c>
      <x:c r="J2800" s="6">
        <x:v>0</x:v>
      </x:c>
      <x:c r="K2800" s="6">
        <x:f t="shared" si="138"/>
        <x:v>0</x:v>
      </x:c>
      <x:c r="L2800" s="6">
        <x:v>0</x:v>
      </x:c>
      <x:c r="M2800" s="6">
        <x:v>0</x:v>
      </x:c>
      <x:c r="N2800" s="6">
        <x:f t="shared" si="139"/>
        <x:v>16760.560000000001</x:v>
      </x:c>
    </x:row>
    <x:row r="2801" spans="1:14" x14ac:dyDescent="0.25">
      <x:c r="A2801" t="s">
        <x:v>38</x:v>
      </x:c>
      <x:c r="B2801" t="s">
        <x:v>801</x:v>
      </x:c>
      <x:c r="C2801" t="s">
        <x:v>802</x:v>
      </x:c>
      <x:c r="D2801" t="s">
        <x:v>832</x:v>
      </x:c>
      <x:c r="E2801" s="6">
        <x:v>13691.309999999998</x:v>
      </x:c>
      <x:c r="F2801" s="6">
        <x:v>0</x:v>
      </x:c>
      <x:c r="G2801" s="6">
        <x:v>0</x:v>
      </x:c>
      <x:c r="H2801" s="6">
        <x:f t="shared" si="137"/>
        <x:v>13691.309999999998</x:v>
      </x:c>
      <x:c r="I2801" s="6">
        <x:v>0</x:v>
      </x:c>
      <x:c r="J2801" s="6">
        <x:v>0</x:v>
      </x:c>
      <x:c r="K2801" s="6">
        <x:f t="shared" si="138"/>
        <x:v>0</x:v>
      </x:c>
      <x:c r="L2801" s="6">
        <x:v>0</x:v>
      </x:c>
      <x:c r="M2801" s="6">
        <x:v>0</x:v>
      </x:c>
      <x:c r="N2801" s="6">
        <x:f t="shared" si="139"/>
        <x:v>13691.309999999998</x:v>
      </x:c>
    </x:row>
    <x:row r="2802" spans="1:14" x14ac:dyDescent="0.25">
      <x:c r="A2802" t="s">
        <x:v>38</x:v>
      </x:c>
      <x:c r="B2802" t="s">
        <x:v>801</x:v>
      </x:c>
      <x:c r="C2802" t="s">
        <x:v>802</x:v>
      </x:c>
      <x:c r="D2802" t="s">
        <x:v>676</x:v>
      </x:c>
      <x:c r="E2802" s="6">
        <x:v>366.44</x:v>
      </x:c>
      <x:c r="F2802" s="6">
        <x:v>0</x:v>
      </x:c>
      <x:c r="G2802" s="6">
        <x:v>0</x:v>
      </x:c>
      <x:c r="H2802" s="6">
        <x:f t="shared" si="137"/>
        <x:v>366.44</x:v>
      </x:c>
      <x:c r="I2802" s="6">
        <x:v>4.45</x:v>
      </x:c>
      <x:c r="J2802" s="6">
        <x:v>0</x:v>
      </x:c>
      <x:c r="K2802" s="6">
        <x:f t="shared" si="138"/>
        <x:v>4.45</x:v>
      </x:c>
      <x:c r="L2802" s="6">
        <x:v>0</x:v>
      </x:c>
      <x:c r="M2802" s="6">
        <x:v>0</x:v>
      </x:c>
      <x:c r="N2802" s="6">
        <x:f t="shared" si="139"/>
        <x:v>370.89</x:v>
      </x:c>
    </x:row>
    <x:row r="2803" spans="1:14" x14ac:dyDescent="0.25">
      <x:c r="A2803" t="s">
        <x:v>38</x:v>
      </x:c>
      <x:c r="B2803" t="s">
        <x:v>692</x:v>
      </x:c>
      <x:c r="C2803" t="s">
        <x:v>693</x:v>
      </x:c>
      <x:c r="D2803" t="s">
        <x:v>832</x:v>
      </x:c>
      <x:c r="E2803" s="6">
        <x:v>237686.58000000002</x:v>
      </x:c>
      <x:c r="F2803" s="6">
        <x:v>0</x:v>
      </x:c>
      <x:c r="G2803" s="6">
        <x:v>0</x:v>
      </x:c>
      <x:c r="H2803" s="6">
        <x:f t="shared" si="137"/>
        <x:v>237686.58000000002</x:v>
      </x:c>
      <x:c r="I2803" s="6">
        <x:v>459562.67</x:v>
      </x:c>
      <x:c r="J2803" s="6">
        <x:v>0</x:v>
      </x:c>
      <x:c r="K2803" s="6">
        <x:f t="shared" si="138"/>
        <x:v>459562.67</x:v>
      </x:c>
      <x:c r="L2803" s="6">
        <x:v>0</x:v>
      </x:c>
      <x:c r="M2803" s="6">
        <x:v>0</x:v>
      </x:c>
      <x:c r="N2803" s="6">
        <x:f t="shared" si="139"/>
        <x:v>697249.25</x:v>
      </x:c>
    </x:row>
    <x:row r="2804" spans="1:14" x14ac:dyDescent="0.25">
      <x:c r="A2804" t="s">
        <x:v>38</x:v>
      </x:c>
      <x:c r="B2804" t="s">
        <x:v>692</x:v>
      </x:c>
      <x:c r="C2804" t="s">
        <x:v>693</x:v>
      </x:c>
      <x:c r="D2804" t="s">
        <x:v>676</x:v>
      </x:c>
      <x:c r="E2804" s="6">
        <x:v>162946.32999999996</x:v>
      </x:c>
      <x:c r="F2804" s="6">
        <x:v>0</x:v>
      </x:c>
      <x:c r="G2804" s="6">
        <x:v>0</x:v>
      </x:c>
      <x:c r="H2804" s="6">
        <x:f t="shared" si="137"/>
        <x:v>162946.32999999996</x:v>
      </x:c>
      <x:c r="I2804" s="6">
        <x:v>111517.85000000002</x:v>
      </x:c>
      <x:c r="J2804" s="6">
        <x:v>0</x:v>
      </x:c>
      <x:c r="K2804" s="6">
        <x:f t="shared" si="138"/>
        <x:v>111517.85000000002</x:v>
      </x:c>
      <x:c r="L2804" s="6">
        <x:v>0</x:v>
      </x:c>
      <x:c r="M2804" s="6">
        <x:v>0</x:v>
      </x:c>
      <x:c r="N2804" s="6">
        <x:f t="shared" si="139"/>
        <x:v>274464.18</x:v>
      </x:c>
    </x:row>
    <x:row r="2805" spans="1:14" x14ac:dyDescent="0.25">
      <x:c r="A2805" t="s">
        <x:v>38</x:v>
      </x:c>
      <x:c r="B2805" t="s">
        <x:v>694</x:v>
      </x:c>
      <x:c r="C2805" t="s">
        <x:v>695</x:v>
      </x:c>
      <x:c r="D2805" t="s">
        <x:v>832</x:v>
      </x:c>
      <x:c r="E2805" s="6">
        <x:v>27966.300000000003</x:v>
      </x:c>
      <x:c r="F2805" s="6">
        <x:v>0</x:v>
      </x:c>
      <x:c r="G2805" s="6">
        <x:v>0</x:v>
      </x:c>
      <x:c r="H2805" s="6">
        <x:f t="shared" si="137"/>
        <x:v>27966.300000000003</x:v>
      </x:c>
      <x:c r="I2805" s="6">
        <x:v>26149.609999999997</x:v>
      </x:c>
      <x:c r="J2805" s="6">
        <x:v>0</x:v>
      </x:c>
      <x:c r="K2805" s="6">
        <x:f t="shared" si="138"/>
        <x:v>26149.609999999997</x:v>
      </x:c>
      <x:c r="L2805" s="6">
        <x:v>0</x:v>
      </x:c>
      <x:c r="M2805" s="6">
        <x:v>0</x:v>
      </x:c>
      <x:c r="N2805" s="6">
        <x:f t="shared" si="139"/>
        <x:v>54115.91</x:v>
      </x:c>
    </x:row>
    <x:row r="2806" spans="1:14" x14ac:dyDescent="0.25">
      <x:c r="A2806" t="s">
        <x:v>38</x:v>
      </x:c>
      <x:c r="B2806" t="s">
        <x:v>694</x:v>
      </x:c>
      <x:c r="C2806" t="s">
        <x:v>695</x:v>
      </x:c>
      <x:c r="D2806" t="s">
        <x:v>676</x:v>
      </x:c>
      <x:c r="E2806" s="6">
        <x:v>16010.169999999998</x:v>
      </x:c>
      <x:c r="F2806" s="6">
        <x:v>0</x:v>
      </x:c>
      <x:c r="G2806" s="6">
        <x:v>0</x:v>
      </x:c>
      <x:c r="H2806" s="6">
        <x:f t="shared" si="137"/>
        <x:v>16010.169999999998</x:v>
      </x:c>
      <x:c r="I2806" s="6">
        <x:v>5517.45</x:v>
      </x:c>
      <x:c r="J2806" s="6">
        <x:v>0</x:v>
      </x:c>
      <x:c r="K2806" s="6">
        <x:f t="shared" si="138"/>
        <x:v>5517.45</x:v>
      </x:c>
      <x:c r="L2806" s="6">
        <x:v>0</x:v>
      </x:c>
      <x:c r="M2806" s="6">
        <x:v>0</x:v>
      </x:c>
      <x:c r="N2806" s="6">
        <x:f t="shared" si="139"/>
        <x:v>21527.62</x:v>
      </x:c>
    </x:row>
    <x:row r="2807" spans="1:14" x14ac:dyDescent="0.25">
      <x:c r="A2807" t="s">
        <x:v>38</x:v>
      </x:c>
      <x:c r="B2807" t="s">
        <x:v>696</x:v>
      </x:c>
      <x:c r="C2807" t="s">
        <x:v>697</x:v>
      </x:c>
      <x:c r="D2807" t="s">
        <x:v>832</x:v>
      </x:c>
      <x:c r="E2807" s="6">
        <x:v>72024.760000000009</x:v>
      </x:c>
      <x:c r="F2807" s="6">
        <x:v>0</x:v>
      </x:c>
      <x:c r="G2807" s="6">
        <x:v>0</x:v>
      </x:c>
      <x:c r="H2807" s="6">
        <x:f t="shared" si="137"/>
        <x:v>72024.760000000009</x:v>
      </x:c>
      <x:c r="I2807" s="6">
        <x:v>69961.13</x:v>
      </x:c>
      <x:c r="J2807" s="6">
        <x:v>0</x:v>
      </x:c>
      <x:c r="K2807" s="6">
        <x:f t="shared" si="138"/>
        <x:v>69961.13</x:v>
      </x:c>
      <x:c r="L2807" s="6">
        <x:v>0</x:v>
      </x:c>
      <x:c r="M2807" s="6">
        <x:v>0</x:v>
      </x:c>
      <x:c r="N2807" s="6">
        <x:f t="shared" si="139"/>
        <x:v>141985.89000000001</x:v>
      </x:c>
    </x:row>
    <x:row r="2808" spans="1:14" x14ac:dyDescent="0.25">
      <x:c r="A2808" t="s">
        <x:v>38</x:v>
      </x:c>
      <x:c r="B2808" t="s">
        <x:v>696</x:v>
      </x:c>
      <x:c r="C2808" t="s">
        <x:v>697</x:v>
      </x:c>
      <x:c r="D2808" t="s">
        <x:v>676</x:v>
      </x:c>
      <x:c r="E2808" s="6">
        <x:v>75751.98</x:v>
      </x:c>
      <x:c r="F2808" s="6">
        <x:v>0</x:v>
      </x:c>
      <x:c r="G2808" s="6">
        <x:v>0</x:v>
      </x:c>
      <x:c r="H2808" s="6">
        <x:f t="shared" si="137"/>
        <x:v>75751.98</x:v>
      </x:c>
      <x:c r="I2808" s="6">
        <x:v>25460.140000000007</x:v>
      </x:c>
      <x:c r="J2808" s="6">
        <x:v>0</x:v>
      </x:c>
      <x:c r="K2808" s="6">
        <x:f t="shared" si="138"/>
        <x:v>25460.140000000007</x:v>
      </x:c>
      <x:c r="L2808" s="6">
        <x:v>0</x:v>
      </x:c>
      <x:c r="M2808" s="6">
        <x:v>0</x:v>
      </x:c>
      <x:c r="N2808" s="6">
        <x:f t="shared" si="139"/>
        <x:v>101212.12</x:v>
      </x:c>
    </x:row>
    <x:row r="2809" spans="1:14" x14ac:dyDescent="0.25">
      <x:c r="A2809" t="s">
        <x:v>38</x:v>
      </x:c>
      <x:c r="B2809" t="s">
        <x:v>782</x:v>
      </x:c>
      <x:c r="C2809" t="s">
        <x:v>783</x:v>
      </x:c>
      <x:c r="D2809" t="s">
        <x:v>832</x:v>
      </x:c>
      <x:c r="E2809" s="6">
        <x:v>60989.949999999983</x:v>
      </x:c>
      <x:c r="F2809" s="6">
        <x:v>0</x:v>
      </x:c>
      <x:c r="G2809" s="6">
        <x:v>0</x:v>
      </x:c>
      <x:c r="H2809" s="6">
        <x:f t="shared" si="137"/>
        <x:v>60989.949999999983</x:v>
      </x:c>
      <x:c r="I2809" s="6">
        <x:v>22806.630000000005</x:v>
      </x:c>
      <x:c r="J2809" s="6">
        <x:v>0</x:v>
      </x:c>
      <x:c r="K2809" s="6">
        <x:f t="shared" si="138"/>
        <x:v>22806.630000000005</x:v>
      </x:c>
      <x:c r="L2809" s="6">
        <x:v>0</x:v>
      </x:c>
      <x:c r="M2809" s="6">
        <x:v>0</x:v>
      </x:c>
      <x:c r="N2809" s="6">
        <x:f t="shared" si="139"/>
        <x:v>83796.579999999987</x:v>
      </x:c>
    </x:row>
    <x:row r="2810" spans="1:14" x14ac:dyDescent="0.25">
      <x:c r="A2810" t="s">
        <x:v>38</x:v>
      </x:c>
      <x:c r="B2810" t="s">
        <x:v>782</x:v>
      </x:c>
      <x:c r="C2810" t="s">
        <x:v>783</x:v>
      </x:c>
      <x:c r="D2810" t="s">
        <x:v>676</x:v>
      </x:c>
      <x:c r="E2810" s="6">
        <x:v>19994.570000000003</x:v>
      </x:c>
      <x:c r="F2810" s="6">
        <x:v>0</x:v>
      </x:c>
      <x:c r="G2810" s="6">
        <x:v>0</x:v>
      </x:c>
      <x:c r="H2810" s="6">
        <x:f t="shared" si="137"/>
        <x:v>19994.570000000003</x:v>
      </x:c>
      <x:c r="I2810" s="6">
        <x:v>4468.550000000002</x:v>
      </x:c>
      <x:c r="J2810" s="6">
        <x:v>0</x:v>
      </x:c>
      <x:c r="K2810" s="6">
        <x:f t="shared" si="138"/>
        <x:v>4468.550000000002</x:v>
      </x:c>
      <x:c r="L2810" s="6">
        <x:v>0</x:v>
      </x:c>
      <x:c r="M2810" s="6">
        <x:v>0</x:v>
      </x:c>
      <x:c r="N2810" s="6">
        <x:f t="shared" si="139"/>
        <x:v>24463.120000000006</x:v>
      </x:c>
    </x:row>
    <x:row r="2811" spans="1:14" x14ac:dyDescent="0.25">
      <x:c r="A2811" t="s">
        <x:v>38</x:v>
      </x:c>
      <x:c r="B2811" t="s">
        <x:v>784</x:v>
      </x:c>
      <x:c r="C2811" t="s">
        <x:v>785</x:v>
      </x:c>
      <x:c r="D2811" t="s">
        <x:v>832</x:v>
      </x:c>
      <x:c r="E2811" s="6">
        <x:v>56624.260000000017</x:v>
      </x:c>
      <x:c r="F2811" s="6">
        <x:v>0</x:v>
      </x:c>
      <x:c r="G2811" s="6">
        <x:v>0</x:v>
      </x:c>
      <x:c r="H2811" s="6">
        <x:f t="shared" si="137"/>
        <x:v>56624.260000000017</x:v>
      </x:c>
      <x:c r="I2811" s="6">
        <x:v>44330.239999999998</x:v>
      </x:c>
      <x:c r="J2811" s="6">
        <x:v>0</x:v>
      </x:c>
      <x:c r="K2811" s="6">
        <x:f t="shared" si="138"/>
        <x:v>44330.239999999998</x:v>
      </x:c>
      <x:c r="L2811" s="6">
        <x:v>0</x:v>
      </x:c>
      <x:c r="M2811" s="6">
        <x:v>0</x:v>
      </x:c>
      <x:c r="N2811" s="6">
        <x:f t="shared" si="139"/>
        <x:v>100954.50000000001</x:v>
      </x:c>
    </x:row>
    <x:row r="2812" spans="1:14" x14ac:dyDescent="0.25">
      <x:c r="A2812" t="s">
        <x:v>38</x:v>
      </x:c>
      <x:c r="B2812" t="s">
        <x:v>784</x:v>
      </x:c>
      <x:c r="C2812" t="s">
        <x:v>785</x:v>
      </x:c>
      <x:c r="D2812" t="s">
        <x:v>676</x:v>
      </x:c>
      <x:c r="E2812" s="6">
        <x:v>70094.509999999995</x:v>
      </x:c>
      <x:c r="F2812" s="6">
        <x:v>0</x:v>
      </x:c>
      <x:c r="G2812" s="6">
        <x:v>0</x:v>
      </x:c>
      <x:c r="H2812" s="6">
        <x:f t="shared" si="137"/>
        <x:v>70094.509999999995</x:v>
      </x:c>
      <x:c r="I2812" s="6">
        <x:v>18605.10999999999</x:v>
      </x:c>
      <x:c r="J2812" s="6">
        <x:v>0</x:v>
      </x:c>
      <x:c r="K2812" s="6">
        <x:f t="shared" si="138"/>
        <x:v>18605.10999999999</x:v>
      </x:c>
      <x:c r="L2812" s="6">
        <x:v>0</x:v>
      </x:c>
      <x:c r="M2812" s="6">
        <x:v>0</x:v>
      </x:c>
      <x:c r="N2812" s="6">
        <x:f t="shared" si="139"/>
        <x:v>88699.619999999981</x:v>
      </x:c>
    </x:row>
    <x:row r="2813" spans="1:14" x14ac:dyDescent="0.25">
      <x:c r="A2813" t="s">
        <x:v>38</x:v>
      </x:c>
      <x:c r="B2813" t="s">
        <x:v>786</x:v>
      </x:c>
      <x:c r="C2813" t="s">
        <x:v>787</x:v>
      </x:c>
      <x:c r="D2813" t="s">
        <x:v>832</x:v>
      </x:c>
      <x:c r="E2813" s="6">
        <x:v>78704.47</x:v>
      </x:c>
      <x:c r="F2813" s="6">
        <x:v>0</x:v>
      </x:c>
      <x:c r="G2813" s="6">
        <x:v>0</x:v>
      </x:c>
      <x:c r="H2813" s="6">
        <x:f t="shared" si="137"/>
        <x:v>78704.47</x:v>
      </x:c>
      <x:c r="I2813" s="6">
        <x:v>46180.970000000016</x:v>
      </x:c>
      <x:c r="J2813" s="6">
        <x:v>0</x:v>
      </x:c>
      <x:c r="K2813" s="6">
        <x:f t="shared" si="138"/>
        <x:v>46180.970000000016</x:v>
      </x:c>
      <x:c r="L2813" s="6">
        <x:v>0</x:v>
      </x:c>
      <x:c r="M2813" s="6">
        <x:v>0</x:v>
      </x:c>
      <x:c r="N2813" s="6">
        <x:f t="shared" si="139"/>
        <x:v>124885.44000000002</x:v>
      </x:c>
    </x:row>
    <x:row r="2814" spans="1:14" x14ac:dyDescent="0.25">
      <x:c r="A2814" t="s">
        <x:v>38</x:v>
      </x:c>
      <x:c r="B2814" t="s">
        <x:v>786</x:v>
      </x:c>
      <x:c r="C2814" t="s">
        <x:v>787</x:v>
      </x:c>
      <x:c r="D2814" t="s">
        <x:v>676</x:v>
      </x:c>
      <x:c r="E2814" s="6">
        <x:v>59801.5</x:v>
      </x:c>
      <x:c r="F2814" s="6">
        <x:v>0</x:v>
      </x:c>
      <x:c r="G2814" s="6">
        <x:v>0</x:v>
      </x:c>
      <x:c r="H2814" s="6">
        <x:f t="shared" si="137"/>
        <x:v>59801.5</x:v>
      </x:c>
      <x:c r="I2814" s="6">
        <x:v>16465.14</x:v>
      </x:c>
      <x:c r="J2814" s="6">
        <x:v>0</x:v>
      </x:c>
      <x:c r="K2814" s="6">
        <x:f t="shared" si="138"/>
        <x:v>16465.14</x:v>
      </x:c>
      <x:c r="L2814" s="6">
        <x:v>0</x:v>
      </x:c>
      <x:c r="M2814" s="6">
        <x:v>0</x:v>
      </x:c>
      <x:c r="N2814" s="6">
        <x:f t="shared" si="139"/>
        <x:v>76266.64</x:v>
      </x:c>
    </x:row>
    <x:row r="2815" spans="1:14" x14ac:dyDescent="0.25">
      <x:c r="A2815" t="s">
        <x:v>38</x:v>
      </x:c>
      <x:c r="B2815" t="s">
        <x:v>698</x:v>
      </x:c>
      <x:c r="C2815" t="s">
        <x:v>699</x:v>
      </x:c>
      <x:c r="D2815" t="s">
        <x:v>832</x:v>
      </x:c>
      <x:c r="E2815" s="6">
        <x:v>85594.59</x:v>
      </x:c>
      <x:c r="F2815" s="6">
        <x:v>0</x:v>
      </x:c>
      <x:c r="G2815" s="6">
        <x:v>0</x:v>
      </x:c>
      <x:c r="H2815" s="6">
        <x:f t="shared" si="137"/>
        <x:v>85594.59</x:v>
      </x:c>
      <x:c r="I2815" s="6">
        <x:v>0</x:v>
      </x:c>
      <x:c r="J2815" s="6">
        <x:v>0</x:v>
      </x:c>
      <x:c r="K2815" s="6">
        <x:f t="shared" si="138"/>
        <x:v>0</x:v>
      </x:c>
      <x:c r="L2815" s="6">
        <x:v>0</x:v>
      </x:c>
      <x:c r="M2815" s="6">
        <x:v>0</x:v>
      </x:c>
      <x:c r="N2815" s="6">
        <x:f t="shared" si="139"/>
        <x:v>85594.59</x:v>
      </x:c>
    </x:row>
    <x:row r="2816" spans="1:14" x14ac:dyDescent="0.25">
      <x:c r="A2816" t="s">
        <x:v>38</x:v>
      </x:c>
      <x:c r="B2816" t="s">
        <x:v>698</x:v>
      </x:c>
      <x:c r="C2816" t="s">
        <x:v>699</x:v>
      </x:c>
      <x:c r="D2816" t="s">
        <x:v>676</x:v>
      </x:c>
      <x:c r="E2816" s="6">
        <x:v>4453.9000000000005</x:v>
      </x:c>
      <x:c r="F2816" s="6">
        <x:v>0</x:v>
      </x:c>
      <x:c r="G2816" s="6">
        <x:v>0</x:v>
      </x:c>
      <x:c r="H2816" s="6">
        <x:f t="shared" si="137"/>
        <x:v>4453.9000000000005</x:v>
      </x:c>
      <x:c r="I2816" s="6">
        <x:v>0</x:v>
      </x:c>
      <x:c r="J2816" s="6">
        <x:v>0</x:v>
      </x:c>
      <x:c r="K2816" s="6">
        <x:f t="shared" si="138"/>
        <x:v>0</x:v>
      </x:c>
      <x:c r="L2816" s="6">
        <x:v>0</x:v>
      </x:c>
      <x:c r="M2816" s="6">
        <x:v>0</x:v>
      </x:c>
      <x:c r="N2816" s="6">
        <x:f t="shared" si="139"/>
        <x:v>4453.9000000000005</x:v>
      </x:c>
    </x:row>
    <x:row r="2817" spans="1:14" x14ac:dyDescent="0.25">
      <x:c r="A2817" t="s">
        <x:v>38</x:v>
      </x:c>
      <x:c r="B2817" t="s">
        <x:v>700</x:v>
      </x:c>
      <x:c r="C2817" t="s">
        <x:v>701</x:v>
      </x:c>
      <x:c r="D2817" t="s">
        <x:v>832</x:v>
      </x:c>
      <x:c r="E2817" s="6">
        <x:v>342194.61000000004</x:v>
      </x:c>
      <x:c r="F2817" s="6">
        <x:v>0</x:v>
      </x:c>
      <x:c r="G2817" s="6">
        <x:v>0</x:v>
      </x:c>
      <x:c r="H2817" s="6">
        <x:f t="shared" si="137"/>
        <x:v>342194.61000000004</x:v>
      </x:c>
      <x:c r="I2817" s="6">
        <x:v>182178.72</x:v>
      </x:c>
      <x:c r="J2817" s="6">
        <x:v>0</x:v>
      </x:c>
      <x:c r="K2817" s="6">
        <x:f t="shared" si="138"/>
        <x:v>182178.72</x:v>
      </x:c>
      <x:c r="L2817" s="6">
        <x:v>0</x:v>
      </x:c>
      <x:c r="M2817" s="6">
        <x:v>0</x:v>
      </x:c>
      <x:c r="N2817" s="6">
        <x:f t="shared" si="139"/>
        <x:v>524373.33000000007</x:v>
      </x:c>
    </x:row>
    <x:row r="2818" spans="1:14" x14ac:dyDescent="0.25">
      <x:c r="A2818" t="s">
        <x:v>38</x:v>
      </x:c>
      <x:c r="B2818" t="s">
        <x:v>700</x:v>
      </x:c>
      <x:c r="C2818" t="s">
        <x:v>701</x:v>
      </x:c>
      <x:c r="D2818" t="s">
        <x:v>676</x:v>
      </x:c>
      <x:c r="E2818" s="6">
        <x:v>199819.18999999992</x:v>
      </x:c>
      <x:c r="F2818" s="6">
        <x:v>0</x:v>
      </x:c>
      <x:c r="G2818" s="6">
        <x:v>0</x:v>
      </x:c>
      <x:c r="H2818" s="6">
        <x:f t="shared" si="137"/>
        <x:v>199819.18999999992</x:v>
      </x:c>
      <x:c r="I2818" s="6">
        <x:v>58106.759999999987</x:v>
      </x:c>
      <x:c r="J2818" s="6">
        <x:v>0</x:v>
      </x:c>
      <x:c r="K2818" s="6">
        <x:f t="shared" si="138"/>
        <x:v>58106.759999999987</x:v>
      </x:c>
      <x:c r="L2818" s="6">
        <x:v>0</x:v>
      </x:c>
      <x:c r="M2818" s="6">
        <x:v>0</x:v>
      </x:c>
      <x:c r="N2818" s="6">
        <x:f t="shared" si="139"/>
        <x:v>257925.9499999999</x:v>
      </x:c>
    </x:row>
    <x:row r="2819" spans="1:14" x14ac:dyDescent="0.25">
      <x:c r="A2819" t="s">
        <x:v>38</x:v>
      </x:c>
      <x:c r="B2819" t="s">
        <x:v>702</x:v>
      </x:c>
      <x:c r="C2819" t="s">
        <x:v>703</x:v>
      </x:c>
      <x:c r="D2819" t="s">
        <x:v>832</x:v>
      </x:c>
      <x:c r="E2819" s="6">
        <x:v>94403.840000000011</x:v>
      </x:c>
      <x:c r="F2819" s="6">
        <x:v>0</x:v>
      </x:c>
      <x:c r="G2819" s="6">
        <x:v>0</x:v>
      </x:c>
      <x:c r="H2819" s="6">
        <x:f t="shared" si="137"/>
        <x:v>94403.840000000011</x:v>
      </x:c>
      <x:c r="I2819" s="6">
        <x:v>47228.98</x:v>
      </x:c>
      <x:c r="J2819" s="6">
        <x:v>0</x:v>
      </x:c>
      <x:c r="K2819" s="6">
        <x:f t="shared" si="138"/>
        <x:v>47228.98</x:v>
      </x:c>
      <x:c r="L2819" s="6">
        <x:v>0</x:v>
      </x:c>
      <x:c r="M2819" s="6">
        <x:v>0</x:v>
      </x:c>
      <x:c r="N2819" s="6">
        <x:f t="shared" si="139"/>
        <x:v>141632.82</x:v>
      </x:c>
    </x:row>
    <x:row r="2820" spans="1:14" x14ac:dyDescent="0.25">
      <x:c r="A2820" t="s">
        <x:v>38</x:v>
      </x:c>
      <x:c r="B2820" t="s">
        <x:v>702</x:v>
      </x:c>
      <x:c r="C2820" t="s">
        <x:v>703</x:v>
      </x:c>
      <x:c r="D2820" t="s">
        <x:v>676</x:v>
      </x:c>
      <x:c r="E2820" s="6">
        <x:v>70927.23</x:v>
      </x:c>
      <x:c r="F2820" s="6">
        <x:v>0</x:v>
      </x:c>
      <x:c r="G2820" s="6">
        <x:v>0</x:v>
      </x:c>
      <x:c r="H2820" s="6">
        <x:f t="shared" si="137"/>
        <x:v>70927.23</x:v>
      </x:c>
      <x:c r="I2820" s="6">
        <x:v>14126.609999999997</x:v>
      </x:c>
      <x:c r="J2820" s="6">
        <x:v>0</x:v>
      </x:c>
      <x:c r="K2820" s="6">
        <x:f t="shared" si="138"/>
        <x:v>14126.609999999997</x:v>
      </x:c>
      <x:c r="L2820" s="6">
        <x:v>0</x:v>
      </x:c>
      <x:c r="M2820" s="6">
        <x:v>0</x:v>
      </x:c>
      <x:c r="N2820" s="6">
        <x:f t="shared" si="139"/>
        <x:v>85053.84</x:v>
      </x:c>
    </x:row>
    <x:row r="2821" spans="1:14" x14ac:dyDescent="0.25">
      <x:c r="A2821" t="s">
        <x:v>38</x:v>
      </x:c>
      <x:c r="B2821" t="s">
        <x:v>704</x:v>
      </x:c>
      <x:c r="C2821" t="s">
        <x:v>705</x:v>
      </x:c>
      <x:c r="D2821" t="s">
        <x:v>832</x:v>
      </x:c>
      <x:c r="E2821" s="6">
        <x:v>80131.78999999995</x:v>
      </x:c>
      <x:c r="F2821" s="6">
        <x:v>0</x:v>
      </x:c>
      <x:c r="G2821" s="6">
        <x:v>0</x:v>
      </x:c>
      <x:c r="H2821" s="6">
        <x:f t="shared" si="137"/>
        <x:v>80131.78999999995</x:v>
      </x:c>
      <x:c r="I2821" s="6">
        <x:v>43951.840000000011</x:v>
      </x:c>
      <x:c r="J2821" s="6">
        <x:v>0</x:v>
      </x:c>
      <x:c r="K2821" s="6">
        <x:f t="shared" si="138"/>
        <x:v>43951.840000000011</x:v>
      </x:c>
      <x:c r="L2821" s="6">
        <x:v>0</x:v>
      </x:c>
      <x:c r="M2821" s="6">
        <x:v>0</x:v>
      </x:c>
      <x:c r="N2821" s="6">
        <x:f t="shared" si="139"/>
        <x:v>124083.62999999996</x:v>
      </x:c>
    </x:row>
    <x:row r="2822" spans="1:14" x14ac:dyDescent="0.25">
      <x:c r="A2822" t="s">
        <x:v>38</x:v>
      </x:c>
      <x:c r="B2822" t="s">
        <x:v>704</x:v>
      </x:c>
      <x:c r="C2822" t="s">
        <x:v>705</x:v>
      </x:c>
      <x:c r="D2822" t="s">
        <x:v>676</x:v>
      </x:c>
      <x:c r="E2822" s="6">
        <x:v>102251.63000000002</x:v>
      </x:c>
      <x:c r="F2822" s="6">
        <x:v>0</x:v>
      </x:c>
      <x:c r="G2822" s="6">
        <x:v>0</x:v>
      </x:c>
      <x:c r="H2822" s="6">
        <x:f t="shared" si="137"/>
        <x:v>102251.63000000002</x:v>
      </x:c>
      <x:c r="I2822" s="6">
        <x:v>21293.609999999997</x:v>
      </x:c>
      <x:c r="J2822" s="6">
        <x:v>0</x:v>
      </x:c>
      <x:c r="K2822" s="6">
        <x:f t="shared" si="138"/>
        <x:v>21293.609999999997</x:v>
      </x:c>
      <x:c r="L2822" s="6">
        <x:v>0</x:v>
      </x:c>
      <x:c r="M2822" s="6">
        <x:v>0</x:v>
      </x:c>
      <x:c r="N2822" s="6">
        <x:f t="shared" si="139"/>
        <x:v>123545.24000000002</x:v>
      </x:c>
    </x:row>
    <x:row r="2823" spans="1:14" x14ac:dyDescent="0.25">
      <x:c r="A2823" t="s">
        <x:v>38</x:v>
      </x:c>
      <x:c r="B2823" t="s">
        <x:v>706</x:v>
      </x:c>
      <x:c r="C2823" t="s">
        <x:v>707</x:v>
      </x:c>
      <x:c r="D2823" t="s">
        <x:v>832</x:v>
      </x:c>
      <x:c r="E2823" s="6">
        <x:v>70861.98</x:v>
      </x:c>
      <x:c r="F2823" s="6">
        <x:v>0</x:v>
      </x:c>
      <x:c r="G2823" s="6">
        <x:v>0</x:v>
      </x:c>
      <x:c r="H2823" s="6">
        <x:f t="shared" si="137"/>
        <x:v>70861.98</x:v>
      </x:c>
      <x:c r="I2823" s="6">
        <x:v>1185.1300000000001</x:v>
      </x:c>
      <x:c r="J2823" s="6">
        <x:v>0</x:v>
      </x:c>
      <x:c r="K2823" s="6">
        <x:f t="shared" si="138"/>
        <x:v>1185.1300000000001</x:v>
      </x:c>
      <x:c r="L2823" s="6">
        <x:v>0</x:v>
      </x:c>
      <x:c r="M2823" s="6">
        <x:v>0</x:v>
      </x:c>
      <x:c r="N2823" s="6">
        <x:f t="shared" si="139"/>
        <x:v>72047.11</x:v>
      </x:c>
    </x:row>
    <x:row r="2824" spans="1:14" x14ac:dyDescent="0.25">
      <x:c r="A2824" t="s">
        <x:v>38</x:v>
      </x:c>
      <x:c r="B2824" t="s">
        <x:v>706</x:v>
      </x:c>
      <x:c r="C2824" t="s">
        <x:v>707</x:v>
      </x:c>
      <x:c r="D2824" t="s">
        <x:v>676</x:v>
      </x:c>
      <x:c r="E2824" s="6">
        <x:v>65190</x:v>
      </x:c>
      <x:c r="F2824" s="6">
        <x:v>0</x:v>
      </x:c>
      <x:c r="G2824" s="6">
        <x:v>0</x:v>
      </x:c>
      <x:c r="H2824" s="6">
        <x:f t="shared" si="137"/>
        <x:v>65190</x:v>
      </x:c>
      <x:c r="I2824" s="6">
        <x:v>0</x:v>
      </x:c>
      <x:c r="J2824" s="6">
        <x:v>0</x:v>
      </x:c>
      <x:c r="K2824" s="6">
        <x:f t="shared" si="138"/>
        <x:v>0</x:v>
      </x:c>
      <x:c r="L2824" s="6">
        <x:v>0</x:v>
      </x:c>
      <x:c r="M2824" s="6">
        <x:v>0</x:v>
      </x:c>
      <x:c r="N2824" s="6">
        <x:f t="shared" si="139"/>
        <x:v>65190</x:v>
      </x:c>
    </x:row>
    <x:row r="2825" spans="1:14" x14ac:dyDescent="0.25">
      <x:c r="A2825" t="s">
        <x:v>38</x:v>
      </x:c>
      <x:c r="B2825" t="s">
        <x:v>708</x:v>
      </x:c>
      <x:c r="C2825" t="s">
        <x:v>709</x:v>
      </x:c>
      <x:c r="D2825" t="s">
        <x:v>832</x:v>
      </x:c>
      <x:c r="E2825" s="6">
        <x:v>56337.66</x:v>
      </x:c>
      <x:c r="F2825" s="6">
        <x:v>0</x:v>
      </x:c>
      <x:c r="G2825" s="6">
        <x:v>0</x:v>
      </x:c>
      <x:c r="H2825" s="6">
        <x:f t="shared" si="137"/>
        <x:v>56337.66</x:v>
      </x:c>
      <x:c r="I2825" s="6">
        <x:v>18841.560000000001</x:v>
      </x:c>
      <x:c r="J2825" s="6">
        <x:v>0</x:v>
      </x:c>
      <x:c r="K2825" s="6">
        <x:f t="shared" si="138"/>
        <x:v>18841.560000000001</x:v>
      </x:c>
      <x:c r="L2825" s="6">
        <x:v>0</x:v>
      </x:c>
      <x:c r="M2825" s="6">
        <x:v>0</x:v>
      </x:c>
      <x:c r="N2825" s="6">
        <x:f t="shared" si="139"/>
        <x:v>75179.22</x:v>
      </x:c>
    </x:row>
    <x:row r="2826" spans="1:14" x14ac:dyDescent="0.25">
      <x:c r="A2826" t="s">
        <x:v>38</x:v>
      </x:c>
      <x:c r="B2826" t="s">
        <x:v>708</x:v>
      </x:c>
      <x:c r="C2826" t="s">
        <x:v>709</x:v>
      </x:c>
      <x:c r="D2826" t="s">
        <x:v>676</x:v>
      </x:c>
      <x:c r="E2826" s="6">
        <x:v>31794.77</x:v>
      </x:c>
      <x:c r="F2826" s="6">
        <x:v>0</x:v>
      </x:c>
      <x:c r="G2826" s="6">
        <x:v>0</x:v>
      </x:c>
      <x:c r="H2826" s="6">
        <x:f t="shared" si="137"/>
        <x:v>31794.77</x:v>
      </x:c>
      <x:c r="I2826" s="6">
        <x:v>5556.86</x:v>
      </x:c>
      <x:c r="J2826" s="6">
        <x:v>0</x:v>
      </x:c>
      <x:c r="K2826" s="6">
        <x:f t="shared" si="138"/>
        <x:v>5556.86</x:v>
      </x:c>
      <x:c r="L2826" s="6">
        <x:v>0</x:v>
      </x:c>
      <x:c r="M2826" s="6">
        <x:v>0</x:v>
      </x:c>
      <x:c r="N2826" s="6">
        <x:f t="shared" si="139"/>
        <x:v>37351.629999999997</x:v>
      </x:c>
    </x:row>
    <x:row r="2827" spans="1:14" x14ac:dyDescent="0.25">
      <x:c r="A2827" t="s">
        <x:v>38</x:v>
      </x:c>
      <x:c r="B2827" t="s">
        <x:v>710</x:v>
      </x:c>
      <x:c r="C2827" t="s">
        <x:v>711</x:v>
      </x:c>
      <x:c r="D2827" t="s">
        <x:v>832</x:v>
      </x:c>
      <x:c r="E2827" s="6">
        <x:v>97578.53</x:v>
      </x:c>
      <x:c r="F2827" s="6">
        <x:v>0</x:v>
      </x:c>
      <x:c r="G2827" s="6">
        <x:v>0</x:v>
      </x:c>
      <x:c r="H2827" s="6">
        <x:f t="shared" si="137"/>
        <x:v>97578.53</x:v>
      </x:c>
      <x:c r="I2827" s="6">
        <x:v>268.08000000000004</x:v>
      </x:c>
      <x:c r="J2827" s="6">
        <x:v>0</x:v>
      </x:c>
      <x:c r="K2827" s="6">
        <x:f t="shared" si="138"/>
        <x:v>268.08000000000004</x:v>
      </x:c>
      <x:c r="L2827" s="6">
        <x:v>0</x:v>
      </x:c>
      <x:c r="M2827" s="6">
        <x:v>0</x:v>
      </x:c>
      <x:c r="N2827" s="6">
        <x:f t="shared" si="139"/>
        <x:v>97846.61</x:v>
      </x:c>
    </x:row>
    <x:row r="2828" spans="1:14" x14ac:dyDescent="0.25">
      <x:c r="A2828" t="s">
        <x:v>38</x:v>
      </x:c>
      <x:c r="B2828" t="s">
        <x:v>710</x:v>
      </x:c>
      <x:c r="C2828" t="s">
        <x:v>711</x:v>
      </x:c>
      <x:c r="D2828" t="s">
        <x:v>676</x:v>
      </x:c>
      <x:c r="E2828" s="6">
        <x:v>12828.249999999998</x:v>
      </x:c>
      <x:c r="F2828" s="6">
        <x:v>0</x:v>
      </x:c>
      <x:c r="G2828" s="6">
        <x:v>0</x:v>
      </x:c>
      <x:c r="H2828" s="6">
        <x:f t="shared" si="137"/>
        <x:v>12828.249999999998</x:v>
      </x:c>
      <x:c r="I2828" s="6">
        <x:v>0</x:v>
      </x:c>
      <x:c r="J2828" s="6">
        <x:v>0</x:v>
      </x:c>
      <x:c r="K2828" s="6">
        <x:f t="shared" si="138"/>
        <x:v>0</x:v>
      </x:c>
      <x:c r="L2828" s="6">
        <x:v>0</x:v>
      </x:c>
      <x:c r="M2828" s="6">
        <x:v>0</x:v>
      </x:c>
      <x:c r="N2828" s="6">
        <x:f t="shared" si="139"/>
        <x:v>12828.249999999998</x:v>
      </x:c>
    </x:row>
    <x:row r="2829" spans="1:14" x14ac:dyDescent="0.25">
      <x:c r="A2829" t="s">
        <x:v>38</x:v>
      </x:c>
      <x:c r="B2829" t="s">
        <x:v>712</x:v>
      </x:c>
      <x:c r="C2829" t="s">
        <x:v>713</x:v>
      </x:c>
      <x:c r="D2829" t="s">
        <x:v>832</x:v>
      </x:c>
      <x:c r="E2829" s="6">
        <x:v>100273.66999999997</x:v>
      </x:c>
      <x:c r="F2829" s="6">
        <x:v>0</x:v>
      </x:c>
      <x:c r="G2829" s="6">
        <x:v>0</x:v>
      </x:c>
      <x:c r="H2829" s="6">
        <x:f t="shared" si="137"/>
        <x:v>100273.66999999997</x:v>
      </x:c>
      <x:c r="I2829" s="6">
        <x:v>71000.259999999995</x:v>
      </x:c>
      <x:c r="J2829" s="6">
        <x:v>0</x:v>
      </x:c>
      <x:c r="K2829" s="6">
        <x:f t="shared" si="138"/>
        <x:v>71000.259999999995</x:v>
      </x:c>
      <x:c r="L2829" s="6">
        <x:v>0</x:v>
      </x:c>
      <x:c r="M2829" s="6">
        <x:v>0</x:v>
      </x:c>
      <x:c r="N2829" s="6">
        <x:f t="shared" si="139"/>
        <x:v>171273.92999999996</x:v>
      </x:c>
    </x:row>
    <x:row r="2830" spans="1:14" x14ac:dyDescent="0.25">
      <x:c r="A2830" t="s">
        <x:v>38</x:v>
      </x:c>
      <x:c r="B2830" t="s">
        <x:v>712</x:v>
      </x:c>
      <x:c r="C2830" t="s">
        <x:v>713</x:v>
      </x:c>
      <x:c r="D2830" t="s">
        <x:v>676</x:v>
      </x:c>
      <x:c r="E2830" s="6">
        <x:v>84547.4</x:v>
      </x:c>
      <x:c r="F2830" s="6">
        <x:v>0</x:v>
      </x:c>
      <x:c r="G2830" s="6">
        <x:v>0</x:v>
      </x:c>
      <x:c r="H2830" s="6">
        <x:f t="shared" si="137"/>
        <x:v>84547.4</x:v>
      </x:c>
      <x:c r="I2830" s="6">
        <x:v>25572.37</x:v>
      </x:c>
      <x:c r="J2830" s="6">
        <x:v>0</x:v>
      </x:c>
      <x:c r="K2830" s="6">
        <x:f t="shared" si="138"/>
        <x:v>25572.37</x:v>
      </x:c>
      <x:c r="L2830" s="6">
        <x:v>0</x:v>
      </x:c>
      <x:c r="M2830" s="6">
        <x:v>0</x:v>
      </x:c>
      <x:c r="N2830" s="6">
        <x:f t="shared" si="139"/>
        <x:v>110119.76999999999</x:v>
      </x:c>
    </x:row>
    <x:row r="2831" spans="1:14" x14ac:dyDescent="0.25">
      <x:c r="A2831" t="s">
        <x:v>38</x:v>
      </x:c>
      <x:c r="B2831" t="s">
        <x:v>788</x:v>
      </x:c>
      <x:c r="C2831" t="s">
        <x:v>789</x:v>
      </x:c>
      <x:c r="D2831" t="s">
        <x:v>832</x:v>
      </x:c>
      <x:c r="E2831" s="6">
        <x:v>72173.340000000011</x:v>
      </x:c>
      <x:c r="F2831" s="6">
        <x:v>0</x:v>
      </x:c>
      <x:c r="G2831" s="6">
        <x:v>0</x:v>
      </x:c>
      <x:c r="H2831" s="6">
        <x:f t="shared" si="137"/>
        <x:v>72173.340000000011</x:v>
      </x:c>
      <x:c r="I2831" s="6">
        <x:v>51199.369999999981</x:v>
      </x:c>
      <x:c r="J2831" s="6">
        <x:v>0</x:v>
      </x:c>
      <x:c r="K2831" s="6">
        <x:f t="shared" si="138"/>
        <x:v>51199.369999999981</x:v>
      </x:c>
      <x:c r="L2831" s="6">
        <x:v>0</x:v>
      </x:c>
      <x:c r="M2831" s="6">
        <x:v>0</x:v>
      </x:c>
      <x:c r="N2831" s="6">
        <x:f t="shared" si="139"/>
        <x:v>123372.70999999999</x:v>
      </x:c>
    </x:row>
    <x:row r="2832" spans="1:14" x14ac:dyDescent="0.25">
      <x:c r="A2832" t="s">
        <x:v>38</x:v>
      </x:c>
      <x:c r="B2832" t="s">
        <x:v>788</x:v>
      </x:c>
      <x:c r="C2832" t="s">
        <x:v>789</x:v>
      </x:c>
      <x:c r="D2832" t="s">
        <x:v>676</x:v>
      </x:c>
      <x:c r="E2832" s="6">
        <x:v>84964.700000000012</x:v>
      </x:c>
      <x:c r="F2832" s="6">
        <x:v>0</x:v>
      </x:c>
      <x:c r="G2832" s="6">
        <x:v>0</x:v>
      </x:c>
      <x:c r="H2832" s="6">
        <x:f t="shared" si="137"/>
        <x:v>84964.700000000012</x:v>
      </x:c>
      <x:c r="I2832" s="6">
        <x:v>22699.980000000003</x:v>
      </x:c>
      <x:c r="J2832" s="6">
        <x:v>0</x:v>
      </x:c>
      <x:c r="K2832" s="6">
        <x:f t="shared" si="138"/>
        <x:v>22699.980000000003</x:v>
      </x:c>
      <x:c r="L2832" s="6">
        <x:v>0</x:v>
      </x:c>
      <x:c r="M2832" s="6">
        <x:v>0</x:v>
      </x:c>
      <x:c r="N2832" s="6">
        <x:f t="shared" si="139"/>
        <x:v>107664.68000000002</x:v>
      </x:c>
    </x:row>
    <x:row r="2833" spans="1:14" x14ac:dyDescent="0.25">
      <x:c r="A2833" t="s">
        <x:v>38</x:v>
      </x:c>
      <x:c r="B2833" t="s">
        <x:v>790</x:v>
      </x:c>
      <x:c r="C2833" t="s">
        <x:v>791</x:v>
      </x:c>
      <x:c r="D2833" t="s">
        <x:v>832</x:v>
      </x:c>
      <x:c r="E2833" s="6">
        <x:v>44719.739999999983</x:v>
      </x:c>
      <x:c r="F2833" s="6">
        <x:v>0</x:v>
      </x:c>
      <x:c r="G2833" s="6">
        <x:v>0</x:v>
      </x:c>
      <x:c r="H2833" s="6">
        <x:f t="shared" si="137"/>
        <x:v>44719.739999999983</x:v>
      </x:c>
      <x:c r="I2833" s="6">
        <x:v>40699.110000000008</x:v>
      </x:c>
      <x:c r="J2833" s="6">
        <x:v>0</x:v>
      </x:c>
      <x:c r="K2833" s="6">
        <x:f t="shared" si="138"/>
        <x:v>40699.110000000008</x:v>
      </x:c>
      <x:c r="L2833" s="6">
        <x:v>0</x:v>
      </x:c>
      <x:c r="M2833" s="6">
        <x:v>0</x:v>
      </x:c>
      <x:c r="N2833" s="6">
        <x:f t="shared" si="139"/>
        <x:v>85418.849999999991</x:v>
      </x:c>
    </x:row>
    <x:row r="2834" spans="1:14" x14ac:dyDescent="0.25">
      <x:c r="A2834" t="s">
        <x:v>38</x:v>
      </x:c>
      <x:c r="B2834" t="s">
        <x:v>790</x:v>
      </x:c>
      <x:c r="C2834" t="s">
        <x:v>791</x:v>
      </x:c>
      <x:c r="D2834" t="s">
        <x:v>676</x:v>
      </x:c>
      <x:c r="E2834" s="6">
        <x:v>42963.92</x:v>
      </x:c>
      <x:c r="F2834" s="6">
        <x:v>0</x:v>
      </x:c>
      <x:c r="G2834" s="6">
        <x:v>0</x:v>
      </x:c>
      <x:c r="H2834" s="6">
        <x:f t="shared" si="137"/>
        <x:v>42963.92</x:v>
      </x:c>
      <x:c r="I2834" s="6">
        <x:v>11360.699999999997</x:v>
      </x:c>
      <x:c r="J2834" s="6">
        <x:v>0</x:v>
      </x:c>
      <x:c r="K2834" s="6">
        <x:f t="shared" si="138"/>
        <x:v>11360.699999999997</x:v>
      </x:c>
      <x:c r="L2834" s="6">
        <x:v>0</x:v>
      </x:c>
      <x:c r="M2834" s="6">
        <x:v>0</x:v>
      </x:c>
      <x:c r="N2834" s="6">
        <x:f t="shared" si="139"/>
        <x:v>54324.619999999995</x:v>
      </x:c>
    </x:row>
    <x:row r="2835" spans="1:14" x14ac:dyDescent="0.25">
      <x:c r="A2835" t="s">
        <x:v>38</x:v>
      </x:c>
      <x:c r="B2835" t="s">
        <x:v>714</x:v>
      </x:c>
      <x:c r="C2835" t="s">
        <x:v>715</x:v>
      </x:c>
      <x:c r="D2835" t="s">
        <x:v>832</x:v>
      </x:c>
      <x:c r="E2835" s="6">
        <x:v>71714.469999999987</x:v>
      </x:c>
      <x:c r="F2835" s="6">
        <x:v>0</x:v>
      </x:c>
      <x:c r="G2835" s="6">
        <x:v>0</x:v>
      </x:c>
      <x:c r="H2835" s="6">
        <x:f t="shared" si="137"/>
        <x:v>71714.469999999987</x:v>
      </x:c>
      <x:c r="I2835" s="6">
        <x:v>43474.429999999993</x:v>
      </x:c>
      <x:c r="J2835" s="6">
        <x:v>0</x:v>
      </x:c>
      <x:c r="K2835" s="6">
        <x:f t="shared" si="138"/>
        <x:v>43474.429999999993</x:v>
      </x:c>
      <x:c r="L2835" s="6">
        <x:v>0</x:v>
      </x:c>
      <x:c r="M2835" s="6">
        <x:v>0</x:v>
      </x:c>
      <x:c r="N2835" s="6">
        <x:f t="shared" si="139"/>
        <x:v>115188.89999999998</x:v>
      </x:c>
    </x:row>
    <x:row r="2836" spans="1:14" x14ac:dyDescent="0.25">
      <x:c r="A2836" t="s">
        <x:v>38</x:v>
      </x:c>
      <x:c r="B2836" t="s">
        <x:v>714</x:v>
      </x:c>
      <x:c r="C2836" t="s">
        <x:v>715</x:v>
      </x:c>
      <x:c r="D2836" t="s">
        <x:v>676</x:v>
      </x:c>
      <x:c r="E2836" s="6">
        <x:v>76953.179999999993</x:v>
      </x:c>
      <x:c r="F2836" s="6">
        <x:v>0</x:v>
      </x:c>
      <x:c r="G2836" s="6">
        <x:v>0</x:v>
      </x:c>
      <x:c r="H2836" s="6">
        <x:f t="shared" si="137"/>
        <x:v>76953.179999999993</x:v>
      </x:c>
      <x:c r="I2836" s="6">
        <x:v>14428.080000000002</x:v>
      </x:c>
      <x:c r="J2836" s="6">
        <x:v>0</x:v>
      </x:c>
      <x:c r="K2836" s="6">
        <x:f t="shared" si="138"/>
        <x:v>14428.080000000002</x:v>
      </x:c>
      <x:c r="L2836" s="6">
        <x:v>0</x:v>
      </x:c>
      <x:c r="M2836" s="6">
        <x:v>0</x:v>
      </x:c>
      <x:c r="N2836" s="6">
        <x:f t="shared" si="139"/>
        <x:v>91381.26</x:v>
      </x:c>
    </x:row>
    <x:row r="2837" spans="1:14" x14ac:dyDescent="0.25">
      <x:c r="A2837" t="s">
        <x:v>38</x:v>
      </x:c>
      <x:c r="B2837" t="s">
        <x:v>716</x:v>
      </x:c>
      <x:c r="C2837" t="s">
        <x:v>717</x:v>
      </x:c>
      <x:c r="D2837" t="s">
        <x:v>832</x:v>
      </x:c>
      <x:c r="E2837" s="6">
        <x:v>91063.63</x:v>
      </x:c>
      <x:c r="F2837" s="6">
        <x:v>0</x:v>
      </x:c>
      <x:c r="G2837" s="6">
        <x:v>0</x:v>
      </x:c>
      <x:c r="H2837" s="6">
        <x:f t="shared" si="137"/>
        <x:v>91063.63</x:v>
      </x:c>
      <x:c r="I2837" s="6">
        <x:v>61896.78</x:v>
      </x:c>
      <x:c r="J2837" s="6">
        <x:v>0</x:v>
      </x:c>
      <x:c r="K2837" s="6">
        <x:f t="shared" si="138"/>
        <x:v>61896.78</x:v>
      </x:c>
      <x:c r="L2837" s="6">
        <x:v>0</x:v>
      </x:c>
      <x:c r="M2837" s="6">
        <x:v>0</x:v>
      </x:c>
      <x:c r="N2837" s="6">
        <x:f t="shared" si="139"/>
        <x:v>152960.41</x:v>
      </x:c>
    </x:row>
    <x:row r="2838" spans="1:14" x14ac:dyDescent="0.25">
      <x:c r="A2838" t="s">
        <x:v>38</x:v>
      </x:c>
      <x:c r="B2838" t="s">
        <x:v>716</x:v>
      </x:c>
      <x:c r="C2838" t="s">
        <x:v>717</x:v>
      </x:c>
      <x:c r="D2838" t="s">
        <x:v>676</x:v>
      </x:c>
      <x:c r="E2838" s="6">
        <x:v>82864.500000000015</x:v>
      </x:c>
      <x:c r="F2838" s="6">
        <x:v>0</x:v>
      </x:c>
      <x:c r="G2838" s="6">
        <x:v>0</x:v>
      </x:c>
      <x:c r="H2838" s="6">
        <x:f t="shared" si="137"/>
        <x:v>82864.500000000015</x:v>
      </x:c>
      <x:c r="I2838" s="6">
        <x:v>18803.829999999998</x:v>
      </x:c>
      <x:c r="J2838" s="6">
        <x:v>0</x:v>
      </x:c>
      <x:c r="K2838" s="6">
        <x:f t="shared" si="138"/>
        <x:v>18803.829999999998</x:v>
      </x:c>
      <x:c r="L2838" s="6">
        <x:v>0</x:v>
      </x:c>
      <x:c r="M2838" s="6">
        <x:v>0</x:v>
      </x:c>
      <x:c r="N2838" s="6">
        <x:f t="shared" si="139"/>
        <x:v>101668.33000000002</x:v>
      </x:c>
    </x:row>
    <x:row r="2839" spans="1:14" x14ac:dyDescent="0.25">
      <x:c r="A2839" t="s">
        <x:v>38</x:v>
      </x:c>
      <x:c r="B2839" t="s">
        <x:v>792</x:v>
      </x:c>
      <x:c r="C2839" t="s">
        <x:v>793</x:v>
      </x:c>
      <x:c r="D2839" t="s">
        <x:v>832</x:v>
      </x:c>
      <x:c r="E2839" s="6">
        <x:v>77378.639999999985</x:v>
      </x:c>
      <x:c r="F2839" s="6">
        <x:v>0</x:v>
      </x:c>
      <x:c r="G2839" s="6">
        <x:v>0</x:v>
      </x:c>
      <x:c r="H2839" s="6">
        <x:f t="shared" si="137"/>
        <x:v>77378.639999999985</x:v>
      </x:c>
      <x:c r="I2839" s="6">
        <x:v>98547.939999999988</x:v>
      </x:c>
      <x:c r="J2839" s="6">
        <x:v>0</x:v>
      </x:c>
      <x:c r="K2839" s="6">
        <x:f t="shared" si="138"/>
        <x:v>98547.939999999988</x:v>
      </x:c>
      <x:c r="L2839" s="6">
        <x:v>0</x:v>
      </x:c>
      <x:c r="M2839" s="6">
        <x:v>0</x:v>
      </x:c>
      <x:c r="N2839" s="6">
        <x:f t="shared" si="139"/>
        <x:v>175926.57999999996</x:v>
      </x:c>
    </x:row>
    <x:row r="2840" spans="1:14" x14ac:dyDescent="0.25">
      <x:c r="A2840" t="s">
        <x:v>38</x:v>
      </x:c>
      <x:c r="B2840" t="s">
        <x:v>792</x:v>
      </x:c>
      <x:c r="C2840" t="s">
        <x:v>793</x:v>
      </x:c>
      <x:c r="D2840" t="s">
        <x:v>676</x:v>
      </x:c>
      <x:c r="E2840" s="6">
        <x:v>91804.67</x:v>
      </x:c>
      <x:c r="F2840" s="6">
        <x:v>0</x:v>
      </x:c>
      <x:c r="G2840" s="6">
        <x:v>0</x:v>
      </x:c>
      <x:c r="H2840" s="6">
        <x:f t="shared" si="137"/>
        <x:v>91804.67</x:v>
      </x:c>
      <x:c r="I2840" s="6">
        <x:v>32877.43</x:v>
      </x:c>
      <x:c r="J2840" s="6">
        <x:v>0</x:v>
      </x:c>
      <x:c r="K2840" s="6">
        <x:f t="shared" si="138"/>
        <x:v>32877.43</x:v>
      </x:c>
      <x:c r="L2840" s="6">
        <x:v>0</x:v>
      </x:c>
      <x:c r="M2840" s="6">
        <x:v>0</x:v>
      </x:c>
      <x:c r="N2840" s="6">
        <x:f t="shared" si="139"/>
        <x:v>124682.1</x:v>
      </x:c>
    </x:row>
    <x:row r="2841" spans="1:14" x14ac:dyDescent="0.25">
      <x:c r="A2841" t="s">
        <x:v>38</x:v>
      </x:c>
      <x:c r="B2841" t="s">
        <x:v>718</x:v>
      </x:c>
      <x:c r="C2841" t="s">
        <x:v>719</x:v>
      </x:c>
      <x:c r="D2841" t="s">
        <x:v>832</x:v>
      </x:c>
      <x:c r="E2841" s="6">
        <x:v>5517.8300000000008</x:v>
      </x:c>
      <x:c r="F2841" s="6">
        <x:v>0</x:v>
      </x:c>
      <x:c r="G2841" s="6">
        <x:v>0</x:v>
      </x:c>
      <x:c r="H2841" s="6">
        <x:f t="shared" si="137"/>
        <x:v>5517.8300000000008</x:v>
      </x:c>
      <x:c r="I2841" s="6">
        <x:v>6463.8600000000015</x:v>
      </x:c>
      <x:c r="J2841" s="6">
        <x:v>0</x:v>
      </x:c>
      <x:c r="K2841" s="6">
        <x:f t="shared" si="138"/>
        <x:v>6463.8600000000015</x:v>
      </x:c>
      <x:c r="L2841" s="6">
        <x:v>0</x:v>
      </x:c>
      <x:c r="M2841" s="6">
        <x:v>0</x:v>
      </x:c>
      <x:c r="N2841" s="6">
        <x:f t="shared" si="139"/>
        <x:v>11981.690000000002</x:v>
      </x:c>
    </x:row>
    <x:row r="2842" spans="1:14" x14ac:dyDescent="0.25">
      <x:c r="A2842" t="s">
        <x:v>38</x:v>
      </x:c>
      <x:c r="B2842" t="s">
        <x:v>718</x:v>
      </x:c>
      <x:c r="C2842" t="s">
        <x:v>719</x:v>
      </x:c>
      <x:c r="D2842" t="s">
        <x:v>676</x:v>
      </x:c>
      <x:c r="E2842" s="6">
        <x:v>5114.3599999999988</x:v>
      </x:c>
      <x:c r="F2842" s="6">
        <x:v>0</x:v>
      </x:c>
      <x:c r="G2842" s="6">
        <x:v>0</x:v>
      </x:c>
      <x:c r="H2842" s="6">
        <x:f t="shared" si="137"/>
        <x:v>5114.3599999999988</x:v>
      </x:c>
      <x:c r="I2842" s="6">
        <x:v>874.10000000000014</x:v>
      </x:c>
      <x:c r="J2842" s="6">
        <x:v>0</x:v>
      </x:c>
      <x:c r="K2842" s="6">
        <x:f t="shared" si="138"/>
        <x:v>874.10000000000014</x:v>
      </x:c>
      <x:c r="L2842" s="6">
        <x:v>0</x:v>
      </x:c>
      <x:c r="M2842" s="6">
        <x:v>0</x:v>
      </x:c>
      <x:c r="N2842" s="6">
        <x:f t="shared" si="139"/>
        <x:v>5988.4599999999991</x:v>
      </x:c>
    </x:row>
    <x:row r="2843" spans="1:14" x14ac:dyDescent="0.25">
      <x:c r="A2843" t="s">
        <x:v>38</x:v>
      </x:c>
      <x:c r="B2843" t="s">
        <x:v>720</x:v>
      </x:c>
      <x:c r="C2843" t="s">
        <x:v>721</x:v>
      </x:c>
      <x:c r="D2843" t="s">
        <x:v>832</x:v>
      </x:c>
      <x:c r="E2843" s="6">
        <x:v>59856.55</x:v>
      </x:c>
      <x:c r="F2843" s="6">
        <x:v>0</x:v>
      </x:c>
      <x:c r="G2843" s="6">
        <x:v>0</x:v>
      </x:c>
      <x:c r="H2843" s="6">
        <x:f t="shared" si="137"/>
        <x:v>59856.55</x:v>
      </x:c>
      <x:c r="I2843" s="6">
        <x:v>0</x:v>
      </x:c>
      <x:c r="J2843" s="6">
        <x:v>0</x:v>
      </x:c>
      <x:c r="K2843" s="6">
        <x:f t="shared" si="138"/>
        <x:v>0</x:v>
      </x:c>
      <x:c r="L2843" s="6">
        <x:v>0</x:v>
      </x:c>
      <x:c r="M2843" s="6">
        <x:v>0</x:v>
      </x:c>
      <x:c r="N2843" s="6">
        <x:f t="shared" si="139"/>
        <x:v>59856.55</x:v>
      </x:c>
    </x:row>
    <x:row r="2844" spans="1:14" x14ac:dyDescent="0.25">
      <x:c r="A2844" t="s">
        <x:v>38</x:v>
      </x:c>
      <x:c r="B2844" t="s">
        <x:v>720</x:v>
      </x:c>
      <x:c r="C2844" t="s">
        <x:v>721</x:v>
      </x:c>
      <x:c r="D2844" t="s">
        <x:v>676</x:v>
      </x:c>
      <x:c r="E2844" s="6">
        <x:v>452.89</x:v>
      </x:c>
      <x:c r="F2844" s="6">
        <x:v>0</x:v>
      </x:c>
      <x:c r="G2844" s="6">
        <x:v>0</x:v>
      </x:c>
      <x:c r="H2844" s="6">
        <x:f t="shared" si="137"/>
        <x:v>452.89</x:v>
      </x:c>
      <x:c r="I2844" s="6">
        <x:v>0</x:v>
      </x:c>
      <x:c r="J2844" s="6">
        <x:v>0</x:v>
      </x:c>
      <x:c r="K2844" s="6">
        <x:f t="shared" si="138"/>
        <x:v>0</x:v>
      </x:c>
      <x:c r="L2844" s="6">
        <x:v>0</x:v>
      </x:c>
      <x:c r="M2844" s="6">
        <x:v>0</x:v>
      </x:c>
      <x:c r="N2844" s="6">
        <x:f t="shared" si="139"/>
        <x:v>452.89</x:v>
      </x:c>
    </x:row>
    <x:row r="2845" spans="1:14" x14ac:dyDescent="0.25">
      <x:c r="A2845" t="s">
        <x:v>38</x:v>
      </x:c>
      <x:c r="B2845" t="s">
        <x:v>722</x:v>
      </x:c>
      <x:c r="C2845" t="s">
        <x:v>723</x:v>
      </x:c>
      <x:c r="D2845" t="s">
        <x:v>832</x:v>
      </x:c>
      <x:c r="E2845" s="6">
        <x:v>259030.60000000012</x:v>
      </x:c>
      <x:c r="F2845" s="6">
        <x:v>0</x:v>
      </x:c>
      <x:c r="G2845" s="6">
        <x:v>0</x:v>
      </x:c>
      <x:c r="H2845" s="6">
        <x:f t="shared" si="137"/>
        <x:v>259030.60000000012</x:v>
      </x:c>
      <x:c r="I2845" s="6">
        <x:v>377641.34999999986</x:v>
      </x:c>
      <x:c r="J2845" s="6">
        <x:v>0</x:v>
      </x:c>
      <x:c r="K2845" s="6">
        <x:f t="shared" si="138"/>
        <x:v>377641.34999999986</x:v>
      </x:c>
      <x:c r="L2845" s="6">
        <x:v>0</x:v>
      </x:c>
      <x:c r="M2845" s="6">
        <x:v>0</x:v>
      </x:c>
      <x:c r="N2845" s="6">
        <x:f t="shared" si="139"/>
        <x:v>636671.94999999995</x:v>
      </x:c>
    </x:row>
    <x:row r="2846" spans="1:14" x14ac:dyDescent="0.25">
      <x:c r="A2846" t="s">
        <x:v>38</x:v>
      </x:c>
      <x:c r="B2846" t="s">
        <x:v>722</x:v>
      </x:c>
      <x:c r="C2846" t="s">
        <x:v>723</x:v>
      </x:c>
      <x:c r="D2846" t="s">
        <x:v>676</x:v>
      </x:c>
      <x:c r="E2846" s="6">
        <x:v>157202.00000000003</x:v>
      </x:c>
      <x:c r="F2846" s="6">
        <x:v>0</x:v>
      </x:c>
      <x:c r="G2846" s="6">
        <x:v>0</x:v>
      </x:c>
      <x:c r="H2846" s="6">
        <x:f t="shared" si="137"/>
        <x:v>157202.00000000003</x:v>
      </x:c>
      <x:c r="I2846" s="6">
        <x:v>95472.169999999984</x:v>
      </x:c>
      <x:c r="J2846" s="6">
        <x:v>0</x:v>
      </x:c>
      <x:c r="K2846" s="6">
        <x:f t="shared" si="138"/>
        <x:v>95472.169999999984</x:v>
      </x:c>
      <x:c r="L2846" s="6">
        <x:v>0</x:v>
      </x:c>
      <x:c r="M2846" s="6">
        <x:v>0</x:v>
      </x:c>
      <x:c r="N2846" s="6">
        <x:f t="shared" si="139"/>
        <x:v>252674.17</x:v>
      </x:c>
    </x:row>
    <x:row r="2847" spans="1:14" x14ac:dyDescent="0.25">
      <x:c r="A2847" t="s">
        <x:v>38</x:v>
      </x:c>
      <x:c r="B2847" t="s">
        <x:v>724</x:v>
      </x:c>
      <x:c r="C2847" t="s">
        <x:v>725</x:v>
      </x:c>
      <x:c r="D2847" t="s">
        <x:v>832</x:v>
      </x:c>
      <x:c r="E2847" s="6">
        <x:v>76258.970000000016</x:v>
      </x:c>
      <x:c r="F2847" s="6">
        <x:v>0</x:v>
      </x:c>
      <x:c r="G2847" s="6">
        <x:v>0</x:v>
      </x:c>
      <x:c r="H2847" s="6">
        <x:f t="shared" ref="H2847:H2910" si="140">SUM(E2847:G2847)</x:f>
        <x:v>76258.970000000016</x:v>
      </x:c>
      <x:c r="I2847" s="6">
        <x:v>64227.290000000008</x:v>
      </x:c>
      <x:c r="J2847" s="6">
        <x:v>0</x:v>
      </x:c>
      <x:c r="K2847" s="6">
        <x:f t="shared" ref="K2847:K2910" si="141">SUM(I2847:J2847)</x:f>
        <x:v>64227.290000000008</x:v>
      </x:c>
      <x:c r="L2847" s="6">
        <x:v>0</x:v>
      </x:c>
      <x:c r="M2847" s="6">
        <x:v>0</x:v>
      </x:c>
      <x:c r="N2847" s="6">
        <x:f t="shared" ref="N2847:N2910" si="142">+E2847+F2847+G2847+I2847+J2847+L2847+M2847</x:f>
        <x:v>140486.26</x:v>
      </x:c>
    </x:row>
    <x:row r="2848" spans="1:14" x14ac:dyDescent="0.25">
      <x:c r="A2848" t="s">
        <x:v>38</x:v>
      </x:c>
      <x:c r="B2848" t="s">
        <x:v>724</x:v>
      </x:c>
      <x:c r="C2848" t="s">
        <x:v>725</x:v>
      </x:c>
      <x:c r="D2848" t="s">
        <x:v>676</x:v>
      </x:c>
      <x:c r="E2848" s="6">
        <x:v>91337.000000000015</x:v>
      </x:c>
      <x:c r="F2848" s="6">
        <x:v>0</x:v>
      </x:c>
      <x:c r="G2848" s="6">
        <x:v>0</x:v>
      </x:c>
      <x:c r="H2848" s="6">
        <x:f t="shared" si="140"/>
        <x:v>91337.000000000015</x:v>
      </x:c>
      <x:c r="I2848" s="6">
        <x:v>23040.74</x:v>
      </x:c>
      <x:c r="J2848" s="6">
        <x:v>0</x:v>
      </x:c>
      <x:c r="K2848" s="6">
        <x:f t="shared" si="141"/>
        <x:v>23040.74</x:v>
      </x:c>
      <x:c r="L2848" s="6">
        <x:v>0</x:v>
      </x:c>
      <x:c r="M2848" s="6">
        <x:v>0</x:v>
      </x:c>
      <x:c r="N2848" s="6">
        <x:f t="shared" si="142"/>
        <x:v>114377.74000000002</x:v>
      </x:c>
    </x:row>
    <x:row r="2849" spans="1:14" x14ac:dyDescent="0.25">
      <x:c r="A2849" t="s">
        <x:v>38</x:v>
      </x:c>
      <x:c r="B2849" t="s">
        <x:v>794</x:v>
      </x:c>
      <x:c r="C2849" t="s">
        <x:v>795</x:v>
      </x:c>
      <x:c r="D2849" t="s">
        <x:v>832</x:v>
      </x:c>
      <x:c r="E2849" s="6">
        <x:v>66227.900000000023</x:v>
      </x:c>
      <x:c r="F2849" s="6">
        <x:v>0</x:v>
      </x:c>
      <x:c r="G2849" s="6">
        <x:v>0</x:v>
      </x:c>
      <x:c r="H2849" s="6">
        <x:f t="shared" si="140"/>
        <x:v>66227.900000000023</x:v>
      </x:c>
      <x:c r="I2849" s="6">
        <x:v>48281.590000000011</x:v>
      </x:c>
      <x:c r="J2849" s="6">
        <x:v>0</x:v>
      </x:c>
      <x:c r="K2849" s="6">
        <x:f t="shared" si="141"/>
        <x:v>48281.590000000011</x:v>
      </x:c>
      <x:c r="L2849" s="6">
        <x:v>0</x:v>
      </x:c>
      <x:c r="M2849" s="6">
        <x:v>0</x:v>
      </x:c>
      <x:c r="N2849" s="6">
        <x:f t="shared" si="142"/>
        <x:v>114509.49000000003</x:v>
      </x:c>
    </x:row>
    <x:row r="2850" spans="1:14" x14ac:dyDescent="0.25">
      <x:c r="A2850" t="s">
        <x:v>38</x:v>
      </x:c>
      <x:c r="B2850" t="s">
        <x:v>794</x:v>
      </x:c>
      <x:c r="C2850" t="s">
        <x:v>795</x:v>
      </x:c>
      <x:c r="D2850" t="s">
        <x:v>676</x:v>
      </x:c>
      <x:c r="E2850" s="6">
        <x:v>77034.22</x:v>
      </x:c>
      <x:c r="F2850" s="6">
        <x:v>0</x:v>
      </x:c>
      <x:c r="G2850" s="6">
        <x:v>0</x:v>
      </x:c>
      <x:c r="H2850" s="6">
        <x:f t="shared" si="140"/>
        <x:v>77034.22</x:v>
      </x:c>
      <x:c r="I2850" s="6">
        <x:v>15398.759999999998</x:v>
      </x:c>
      <x:c r="J2850" s="6">
        <x:v>0</x:v>
      </x:c>
      <x:c r="K2850" s="6">
        <x:f t="shared" si="141"/>
        <x:v>15398.759999999998</x:v>
      </x:c>
      <x:c r="L2850" s="6">
        <x:v>0</x:v>
      </x:c>
      <x:c r="M2850" s="6">
        <x:v>0</x:v>
      </x:c>
      <x:c r="N2850" s="6">
        <x:f t="shared" si="142"/>
        <x:v>92432.98</x:v>
      </x:c>
    </x:row>
    <x:row r="2851" spans="1:14" x14ac:dyDescent="0.25">
      <x:c r="A2851" t="s">
        <x:v>38</x:v>
      </x:c>
      <x:c r="B2851" t="s">
        <x:v>796</x:v>
      </x:c>
      <x:c r="C2851" t="s">
        <x:v>797</x:v>
      </x:c>
      <x:c r="D2851" t="s">
        <x:v>832</x:v>
      </x:c>
      <x:c r="E2851" s="6">
        <x:v>86969.819999999992</x:v>
      </x:c>
      <x:c r="F2851" s="6">
        <x:v>0</x:v>
      </x:c>
      <x:c r="G2851" s="6">
        <x:v>0</x:v>
      </x:c>
      <x:c r="H2851" s="6">
        <x:f t="shared" si="140"/>
        <x:v>86969.819999999992</x:v>
      </x:c>
      <x:c r="I2851" s="6">
        <x:v>70969.38</x:v>
      </x:c>
      <x:c r="J2851" s="6">
        <x:v>0</x:v>
      </x:c>
      <x:c r="K2851" s="6">
        <x:f t="shared" si="141"/>
        <x:v>70969.38</x:v>
      </x:c>
      <x:c r="L2851" s="6">
        <x:v>0</x:v>
      </x:c>
      <x:c r="M2851" s="6">
        <x:v>0</x:v>
      </x:c>
      <x:c r="N2851" s="6">
        <x:f t="shared" si="142"/>
        <x:v>157939.20000000001</x:v>
      </x:c>
    </x:row>
    <x:row r="2852" spans="1:14" x14ac:dyDescent="0.25">
      <x:c r="A2852" t="s">
        <x:v>38</x:v>
      </x:c>
      <x:c r="B2852" t="s">
        <x:v>796</x:v>
      </x:c>
      <x:c r="C2852" t="s">
        <x:v>797</x:v>
      </x:c>
      <x:c r="D2852" t="s">
        <x:v>676</x:v>
      </x:c>
      <x:c r="E2852" s="6">
        <x:v>49963.609999999986</x:v>
      </x:c>
      <x:c r="F2852" s="6">
        <x:v>0</x:v>
      </x:c>
      <x:c r="G2852" s="6">
        <x:v>0</x:v>
      </x:c>
      <x:c r="H2852" s="6">
        <x:f t="shared" si="140"/>
        <x:v>49963.609999999986</x:v>
      </x:c>
      <x:c r="I2852" s="6">
        <x:v>16023.25</x:v>
      </x:c>
      <x:c r="J2852" s="6">
        <x:v>0</x:v>
      </x:c>
      <x:c r="K2852" s="6">
        <x:f t="shared" si="141"/>
        <x:v>16023.25</x:v>
      </x:c>
      <x:c r="L2852" s="6">
        <x:v>0</x:v>
      </x:c>
      <x:c r="M2852" s="6">
        <x:v>0</x:v>
      </x:c>
      <x:c r="N2852" s="6">
        <x:f t="shared" si="142"/>
        <x:v>65986.859999999986</x:v>
      </x:c>
    </x:row>
    <x:row r="2853" spans="1:14" x14ac:dyDescent="0.25">
      <x:c r="A2853" t="s">
        <x:v>38</x:v>
      </x:c>
      <x:c r="B2853" t="s">
        <x:v>726</x:v>
      </x:c>
      <x:c r="C2853" t="s">
        <x:v>727</x:v>
      </x:c>
      <x:c r="D2853" t="s">
        <x:v>832</x:v>
      </x:c>
      <x:c r="E2853" s="6">
        <x:v>188263.56999999998</x:v>
      </x:c>
      <x:c r="F2853" s="6">
        <x:v>0</x:v>
      </x:c>
      <x:c r="G2853" s="6">
        <x:v>0</x:v>
      </x:c>
      <x:c r="H2853" s="6">
        <x:f t="shared" si="140"/>
        <x:v>188263.56999999998</x:v>
      </x:c>
      <x:c r="I2853" s="6">
        <x:v>257652.84000000008</x:v>
      </x:c>
      <x:c r="J2853" s="6">
        <x:v>0</x:v>
      </x:c>
      <x:c r="K2853" s="6">
        <x:f t="shared" si="141"/>
        <x:v>257652.84000000008</x:v>
      </x:c>
      <x:c r="L2853" s="6">
        <x:v>0</x:v>
      </x:c>
      <x:c r="M2853" s="6">
        <x:v>0</x:v>
      </x:c>
      <x:c r="N2853" s="6">
        <x:f t="shared" si="142"/>
        <x:v>445916.41000000003</x:v>
      </x:c>
    </x:row>
    <x:row r="2854" spans="1:14" x14ac:dyDescent="0.25">
      <x:c r="A2854" t="s">
        <x:v>38</x:v>
      </x:c>
      <x:c r="B2854" t="s">
        <x:v>726</x:v>
      </x:c>
      <x:c r="C2854" t="s">
        <x:v>727</x:v>
      </x:c>
      <x:c r="D2854" t="s">
        <x:v>676</x:v>
      </x:c>
      <x:c r="E2854" s="6">
        <x:v>144747.22</x:v>
      </x:c>
      <x:c r="F2854" s="6">
        <x:v>0</x:v>
      </x:c>
      <x:c r="G2854" s="6">
        <x:v>0</x:v>
      </x:c>
      <x:c r="H2854" s="6">
        <x:f t="shared" si="140"/>
        <x:v>144747.22</x:v>
      </x:c>
      <x:c r="I2854" s="6">
        <x:v>73727.95</x:v>
      </x:c>
      <x:c r="J2854" s="6">
        <x:v>0</x:v>
      </x:c>
      <x:c r="K2854" s="6">
        <x:f t="shared" si="141"/>
        <x:v>73727.95</x:v>
      </x:c>
      <x:c r="L2854" s="6">
        <x:v>0</x:v>
      </x:c>
      <x:c r="M2854" s="6">
        <x:v>0</x:v>
      </x:c>
      <x:c r="N2854" s="6">
        <x:f t="shared" si="142"/>
        <x:v>218475.16999999998</x:v>
      </x:c>
    </x:row>
    <x:row r="2855" spans="1:14" x14ac:dyDescent="0.25">
      <x:c r="A2855" t="s">
        <x:v>38</x:v>
      </x:c>
      <x:c r="B2855" t="s">
        <x:v>805</x:v>
      </x:c>
      <x:c r="C2855" t="s">
        <x:v>806</x:v>
      </x:c>
      <x:c r="D2855" t="s">
        <x:v>832</x:v>
      </x:c>
      <x:c r="E2855" s="6">
        <x:v>2161.36</x:v>
      </x:c>
      <x:c r="F2855" s="6">
        <x:v>0</x:v>
      </x:c>
      <x:c r="G2855" s="6">
        <x:v>0</x:v>
      </x:c>
      <x:c r="H2855" s="6">
        <x:f t="shared" si="140"/>
        <x:v>2161.36</x:v>
      </x:c>
      <x:c r="I2855" s="6">
        <x:v>0</x:v>
      </x:c>
      <x:c r="J2855" s="6">
        <x:v>0</x:v>
      </x:c>
      <x:c r="K2855" s="6">
        <x:f t="shared" si="141"/>
        <x:v>0</x:v>
      </x:c>
      <x:c r="L2855" s="6">
        <x:v>0</x:v>
      </x:c>
      <x:c r="M2855" s="6">
        <x:v>0</x:v>
      </x:c>
      <x:c r="N2855" s="6">
        <x:f t="shared" si="142"/>
        <x:v>2161.36</x:v>
      </x:c>
    </x:row>
    <x:row r="2856" spans="1:14" x14ac:dyDescent="0.25">
      <x:c r="A2856" t="s">
        <x:v>38</x:v>
      </x:c>
      <x:c r="B2856" t="s">
        <x:v>805</x:v>
      </x:c>
      <x:c r="C2856" t="s">
        <x:v>806</x:v>
      </x:c>
      <x:c r="D2856" t="s">
        <x:v>676</x:v>
      </x:c>
      <x:c r="E2856" s="6">
        <x:v>67.63</x:v>
      </x:c>
      <x:c r="F2856" s="6">
        <x:v>0</x:v>
      </x:c>
      <x:c r="G2856" s="6">
        <x:v>0</x:v>
      </x:c>
      <x:c r="H2856" s="6">
        <x:f t="shared" si="140"/>
        <x:v>67.63</x:v>
      </x:c>
      <x:c r="I2856" s="6">
        <x:v>0</x:v>
      </x:c>
      <x:c r="J2856" s="6">
        <x:v>0</x:v>
      </x:c>
      <x:c r="K2856" s="6">
        <x:f t="shared" si="141"/>
        <x:v>0</x:v>
      </x:c>
      <x:c r="L2856" s="6">
        <x:v>0</x:v>
      </x:c>
      <x:c r="M2856" s="6">
        <x:v>0</x:v>
      </x:c>
      <x:c r="N2856" s="6">
        <x:f t="shared" si="142"/>
        <x:v>67.63</x:v>
      </x:c>
    </x:row>
    <x:row r="2857" spans="1:14" x14ac:dyDescent="0.25">
      <x:c r="A2857" t="s">
        <x:v>38</x:v>
      </x:c>
      <x:c r="B2857" t="s">
        <x:v>728</x:v>
      </x:c>
      <x:c r="C2857" t="s">
        <x:v>729</x:v>
      </x:c>
      <x:c r="D2857" t="s">
        <x:v>832</x:v>
      </x:c>
      <x:c r="E2857" s="6">
        <x:v>3728.4599999999996</x:v>
      </x:c>
      <x:c r="F2857" s="6">
        <x:v>0</x:v>
      </x:c>
      <x:c r="G2857" s="6">
        <x:v>0</x:v>
      </x:c>
      <x:c r="H2857" s="6">
        <x:f t="shared" si="140"/>
        <x:v>3728.4599999999996</x:v>
      </x:c>
      <x:c r="I2857" s="6">
        <x:v>0</x:v>
      </x:c>
      <x:c r="J2857" s="6">
        <x:v>0</x:v>
      </x:c>
      <x:c r="K2857" s="6">
        <x:f t="shared" si="141"/>
        <x:v>0</x:v>
      </x:c>
      <x:c r="L2857" s="6">
        <x:v>0</x:v>
      </x:c>
      <x:c r="M2857" s="6">
        <x:v>0</x:v>
      </x:c>
      <x:c r="N2857" s="6">
        <x:f t="shared" si="142"/>
        <x:v>3728.4599999999996</x:v>
      </x:c>
    </x:row>
    <x:row r="2858" spans="1:14" x14ac:dyDescent="0.25">
      <x:c r="A2858" t="s">
        <x:v>38</x:v>
      </x:c>
      <x:c r="B2858" t="s">
        <x:v>728</x:v>
      </x:c>
      <x:c r="C2858" t="s">
        <x:v>729</x:v>
      </x:c>
      <x:c r="D2858" t="s">
        <x:v>676</x:v>
      </x:c>
      <x:c r="E2858" s="6">
        <x:v>120472.08</x:v>
      </x:c>
      <x:c r="F2858" s="6">
        <x:v>0</x:v>
      </x:c>
      <x:c r="G2858" s="6">
        <x:v>0</x:v>
      </x:c>
      <x:c r="H2858" s="6">
        <x:f t="shared" si="140"/>
        <x:v>120472.08</x:v>
      </x:c>
      <x:c r="I2858" s="6">
        <x:v>0</x:v>
      </x:c>
      <x:c r="J2858" s="6">
        <x:v>0</x:v>
      </x:c>
      <x:c r="K2858" s="6">
        <x:f t="shared" si="141"/>
        <x:v>0</x:v>
      </x:c>
      <x:c r="L2858" s="6">
        <x:v>0</x:v>
      </x:c>
      <x:c r="M2858" s="6">
        <x:v>0</x:v>
      </x:c>
      <x:c r="N2858" s="6">
        <x:f t="shared" si="142"/>
        <x:v>120472.08</x:v>
      </x:c>
    </x:row>
    <x:row r="2859" spans="1:14" x14ac:dyDescent="0.25">
      <x:c r="A2859" t="s">
        <x:v>38</x:v>
      </x:c>
      <x:c r="B2859" t="s">
        <x:v>807</x:v>
      </x:c>
      <x:c r="C2859" t="s">
        <x:v>808</x:v>
      </x:c>
      <x:c r="D2859" t="s">
        <x:v>676</x:v>
      </x:c>
      <x:c r="E2859" s="6">
        <x:v>1713.44</x:v>
      </x:c>
      <x:c r="F2859" s="6">
        <x:v>0</x:v>
      </x:c>
      <x:c r="G2859" s="6">
        <x:v>0</x:v>
      </x:c>
      <x:c r="H2859" s="6">
        <x:f t="shared" si="140"/>
        <x:v>1713.44</x:v>
      </x:c>
      <x:c r="I2859" s="6">
        <x:v>0</x:v>
      </x:c>
      <x:c r="J2859" s="6">
        <x:v>0</x:v>
      </x:c>
      <x:c r="K2859" s="6">
        <x:f t="shared" si="141"/>
        <x:v>0</x:v>
      </x:c>
      <x:c r="L2859" s="6">
        <x:v>0</x:v>
      </x:c>
      <x:c r="M2859" s="6">
        <x:v>0</x:v>
      </x:c>
      <x:c r="N2859" s="6">
        <x:f t="shared" si="142"/>
        <x:v>1713.44</x:v>
      </x:c>
    </x:row>
    <x:row r="2860" spans="1:14" x14ac:dyDescent="0.25">
      <x:c r="A2860" t="s">
        <x:v>38</x:v>
      </x:c>
      <x:c r="B2860" t="s">
        <x:v>730</x:v>
      </x:c>
      <x:c r="C2860" t="s">
        <x:v>731</x:v>
      </x:c>
      <x:c r="D2860" t="s">
        <x:v>832</x:v>
      </x:c>
      <x:c r="E2860" s="6">
        <x:v>90935.5</x:v>
      </x:c>
      <x:c r="F2860" s="6">
        <x:v>0</x:v>
      </x:c>
      <x:c r="G2860" s="6">
        <x:v>0</x:v>
      </x:c>
      <x:c r="H2860" s="6">
        <x:f t="shared" si="140"/>
        <x:v>90935.5</x:v>
      </x:c>
      <x:c r="I2860" s="6">
        <x:v>0</x:v>
      </x:c>
      <x:c r="J2860" s="6">
        <x:v>0</x:v>
      </x:c>
      <x:c r="K2860" s="6">
        <x:f t="shared" si="141"/>
        <x:v>0</x:v>
      </x:c>
      <x:c r="L2860" s="6">
        <x:v>0</x:v>
      </x:c>
      <x:c r="M2860" s="6">
        <x:v>0</x:v>
      </x:c>
      <x:c r="N2860" s="6">
        <x:f t="shared" si="142"/>
        <x:v>90935.5</x:v>
      </x:c>
    </x:row>
    <x:row r="2861" spans="1:14" x14ac:dyDescent="0.25">
      <x:c r="A2861" t="s">
        <x:v>38</x:v>
      </x:c>
      <x:c r="B2861" t="s">
        <x:v>730</x:v>
      </x:c>
      <x:c r="C2861" t="s">
        <x:v>731</x:v>
      </x:c>
      <x:c r="D2861" t="s">
        <x:v>676</x:v>
      </x:c>
      <x:c r="E2861" s="6">
        <x:v>388120.93999999994</x:v>
      </x:c>
      <x:c r="F2861" s="6">
        <x:v>0</x:v>
      </x:c>
      <x:c r="G2861" s="6">
        <x:v>0</x:v>
      </x:c>
      <x:c r="H2861" s="6">
        <x:f t="shared" si="140"/>
        <x:v>388120.93999999994</x:v>
      </x:c>
      <x:c r="I2861" s="6">
        <x:v>0</x:v>
      </x:c>
      <x:c r="J2861" s="6">
        <x:v>0</x:v>
      </x:c>
      <x:c r="K2861" s="6">
        <x:f t="shared" si="141"/>
        <x:v>0</x:v>
      </x:c>
      <x:c r="L2861" s="6">
        <x:v>0</x:v>
      </x:c>
      <x:c r="M2861" s="6">
        <x:v>0</x:v>
      </x:c>
      <x:c r="N2861" s="6">
        <x:f t="shared" si="142"/>
        <x:v>388120.93999999994</x:v>
      </x:c>
    </x:row>
    <x:row r="2862" spans="1:14" x14ac:dyDescent="0.25">
      <x:c r="A2862" t="s">
        <x:v>38</x:v>
      </x:c>
      <x:c r="B2862" t="s">
        <x:v>732</x:v>
      </x:c>
      <x:c r="C2862" t="s">
        <x:v>733</x:v>
      </x:c>
      <x:c r="D2862" t="s">
        <x:v>832</x:v>
      </x:c>
      <x:c r="E2862" s="6">
        <x:v>9601.0800000000017</x:v>
      </x:c>
      <x:c r="F2862" s="6">
        <x:v>0</x:v>
      </x:c>
      <x:c r="G2862" s="6">
        <x:v>0</x:v>
      </x:c>
      <x:c r="H2862" s="6">
        <x:f t="shared" si="140"/>
        <x:v>9601.0800000000017</x:v>
      </x:c>
      <x:c r="I2862" s="6">
        <x:v>2200.29</x:v>
      </x:c>
      <x:c r="J2862" s="6">
        <x:v>0</x:v>
      </x:c>
      <x:c r="K2862" s="6">
        <x:f t="shared" si="141"/>
        <x:v>2200.29</x:v>
      </x:c>
      <x:c r="L2862" s="6">
        <x:v>0</x:v>
      </x:c>
      <x:c r="M2862" s="6">
        <x:v>0</x:v>
      </x:c>
      <x:c r="N2862" s="6">
        <x:f t="shared" si="142"/>
        <x:v>11801.370000000003</x:v>
      </x:c>
    </x:row>
    <x:row r="2863" spans="1:14" x14ac:dyDescent="0.25">
      <x:c r="A2863" t="s">
        <x:v>38</x:v>
      </x:c>
      <x:c r="B2863" t="s">
        <x:v>732</x:v>
      </x:c>
      <x:c r="C2863" t="s">
        <x:v>733</x:v>
      </x:c>
      <x:c r="D2863" t="s">
        <x:v>676</x:v>
      </x:c>
      <x:c r="E2863" s="6">
        <x:v>9677.6199999999972</x:v>
      </x:c>
      <x:c r="F2863" s="6">
        <x:v>0</x:v>
      </x:c>
      <x:c r="G2863" s="6">
        <x:v>0</x:v>
      </x:c>
      <x:c r="H2863" s="6">
        <x:f t="shared" si="140"/>
        <x:v>9677.6199999999972</x:v>
      </x:c>
      <x:c r="I2863" s="6">
        <x:v>1574.7599999999998</x:v>
      </x:c>
      <x:c r="J2863" s="6">
        <x:v>0</x:v>
      </x:c>
      <x:c r="K2863" s="6">
        <x:f t="shared" si="141"/>
        <x:v>1574.7599999999998</x:v>
      </x:c>
      <x:c r="L2863" s="6">
        <x:v>0</x:v>
      </x:c>
      <x:c r="M2863" s="6">
        <x:v>0</x:v>
      </x:c>
      <x:c r="N2863" s="6">
        <x:f t="shared" si="142"/>
        <x:v>11252.379999999997</x:v>
      </x:c>
    </x:row>
    <x:row r="2864" spans="1:14" x14ac:dyDescent="0.25">
      <x:c r="A2864" t="s">
        <x:v>38</x:v>
      </x:c>
      <x:c r="B2864" t="s">
        <x:v>734</x:v>
      </x:c>
      <x:c r="C2864" t="s">
        <x:v>735</x:v>
      </x:c>
      <x:c r="D2864" t="s">
        <x:v>832</x:v>
      </x:c>
      <x:c r="E2864" s="6">
        <x:v>11354.03</x:v>
      </x:c>
      <x:c r="F2864" s="6">
        <x:v>0</x:v>
      </x:c>
      <x:c r="G2864" s="6">
        <x:v>0</x:v>
      </x:c>
      <x:c r="H2864" s="6">
        <x:f t="shared" si="140"/>
        <x:v>11354.03</x:v>
      </x:c>
      <x:c r="I2864" s="6">
        <x:v>0</x:v>
      </x:c>
      <x:c r="J2864" s="6">
        <x:v>0</x:v>
      </x:c>
      <x:c r="K2864" s="6">
        <x:f t="shared" si="141"/>
        <x:v>0</x:v>
      </x:c>
      <x:c r="L2864" s="6">
        <x:v>0</x:v>
      </x:c>
      <x:c r="M2864" s="6">
        <x:v>0</x:v>
      </x:c>
      <x:c r="N2864" s="6">
        <x:f t="shared" si="142"/>
        <x:v>11354.03</x:v>
      </x:c>
    </x:row>
    <x:row r="2865" spans="1:14" x14ac:dyDescent="0.25">
      <x:c r="A2865" t="s">
        <x:v>38</x:v>
      </x:c>
      <x:c r="B2865" t="s">
        <x:v>734</x:v>
      </x:c>
      <x:c r="C2865" t="s">
        <x:v>735</x:v>
      </x:c>
      <x:c r="D2865" t="s">
        <x:v>676</x:v>
      </x:c>
      <x:c r="E2865" s="6">
        <x:v>72021.820000000007</x:v>
      </x:c>
      <x:c r="F2865" s="6">
        <x:v>0</x:v>
      </x:c>
      <x:c r="G2865" s="6">
        <x:v>0</x:v>
      </x:c>
      <x:c r="H2865" s="6">
        <x:f t="shared" si="140"/>
        <x:v>72021.820000000007</x:v>
      </x:c>
      <x:c r="I2865" s="6">
        <x:v>0</x:v>
      </x:c>
      <x:c r="J2865" s="6">
        <x:v>0</x:v>
      </x:c>
      <x:c r="K2865" s="6">
        <x:f t="shared" si="141"/>
        <x:v>0</x:v>
      </x:c>
      <x:c r="L2865" s="6">
        <x:v>0</x:v>
      </x:c>
      <x:c r="M2865" s="6">
        <x:v>0</x:v>
      </x:c>
      <x:c r="N2865" s="6">
        <x:f t="shared" si="142"/>
        <x:v>72021.820000000007</x:v>
      </x:c>
    </x:row>
    <x:row r="2866" spans="1:14" x14ac:dyDescent="0.25">
      <x:c r="A2866" t="s">
        <x:v>38</x:v>
      </x:c>
      <x:c r="B2866" t="s">
        <x:v>736</x:v>
      </x:c>
      <x:c r="C2866" t="s">
        <x:v>737</x:v>
      </x:c>
      <x:c r="D2866" t="s">
        <x:v>676</x:v>
      </x:c>
      <x:c r="E2866" s="6">
        <x:v>40267.31</x:v>
      </x:c>
      <x:c r="F2866" s="6">
        <x:v>0</x:v>
      </x:c>
      <x:c r="G2866" s="6">
        <x:v>0</x:v>
      </x:c>
      <x:c r="H2866" s="6">
        <x:f t="shared" si="140"/>
        <x:v>40267.31</x:v>
      </x:c>
      <x:c r="I2866" s="6">
        <x:v>0</x:v>
      </x:c>
      <x:c r="J2866" s="6">
        <x:v>0</x:v>
      </x:c>
      <x:c r="K2866" s="6">
        <x:f t="shared" si="141"/>
        <x:v>0</x:v>
      </x:c>
      <x:c r="L2866" s="6">
        <x:v>0</x:v>
      </x:c>
      <x:c r="M2866" s="6">
        <x:v>0</x:v>
      </x:c>
      <x:c r="N2866" s="6">
        <x:f t="shared" si="142"/>
        <x:v>40267.31</x:v>
      </x:c>
    </x:row>
    <x:row r="2867" spans="1:14" x14ac:dyDescent="0.25">
      <x:c r="A2867" t="s">
        <x:v>38</x:v>
      </x:c>
      <x:c r="B2867" t="s">
        <x:v>738</x:v>
      </x:c>
      <x:c r="C2867" t="s">
        <x:v>739</x:v>
      </x:c>
      <x:c r="D2867" t="s">
        <x:v>832</x:v>
      </x:c>
      <x:c r="E2867" s="6">
        <x:v>365013.02999999997</x:v>
      </x:c>
      <x:c r="F2867" s="6">
        <x:v>0</x:v>
      </x:c>
      <x:c r="G2867" s="6">
        <x:v>0</x:v>
      </x:c>
      <x:c r="H2867" s="6">
        <x:f t="shared" si="140"/>
        <x:v>365013.02999999997</x:v>
      </x:c>
      <x:c r="I2867" s="6">
        <x:v>6606.630000000001</x:v>
      </x:c>
      <x:c r="J2867" s="6">
        <x:v>0</x:v>
      </x:c>
      <x:c r="K2867" s="6">
        <x:f t="shared" si="141"/>
        <x:v>6606.630000000001</x:v>
      </x:c>
      <x:c r="L2867" s="6">
        <x:v>0</x:v>
      </x:c>
      <x:c r="M2867" s="6">
        <x:v>0</x:v>
      </x:c>
      <x:c r="N2867" s="6">
        <x:f t="shared" si="142"/>
        <x:v>371619.66</x:v>
      </x:c>
    </x:row>
    <x:row r="2868" spans="1:14" x14ac:dyDescent="0.25">
      <x:c r="A2868" t="s">
        <x:v>38</x:v>
      </x:c>
      <x:c r="B2868" t="s">
        <x:v>738</x:v>
      </x:c>
      <x:c r="C2868" t="s">
        <x:v>739</x:v>
      </x:c>
      <x:c r="D2868" t="s">
        <x:v>676</x:v>
      </x:c>
      <x:c r="E2868" s="6">
        <x:v>23826.450000000004</x:v>
      </x:c>
      <x:c r="F2868" s="6">
        <x:v>0</x:v>
      </x:c>
      <x:c r="G2868" s="6">
        <x:v>0</x:v>
      </x:c>
      <x:c r="H2868" s="6">
        <x:f t="shared" si="140"/>
        <x:v>23826.450000000004</x:v>
      </x:c>
      <x:c r="I2868" s="6">
        <x:v>277.42</x:v>
      </x:c>
      <x:c r="J2868" s="6">
        <x:v>0</x:v>
      </x:c>
      <x:c r="K2868" s="6">
        <x:f t="shared" si="141"/>
        <x:v>277.42</x:v>
      </x:c>
      <x:c r="L2868" s="6">
        <x:v>0</x:v>
      </x:c>
      <x:c r="M2868" s="6">
        <x:v>0</x:v>
      </x:c>
      <x:c r="N2868" s="6">
        <x:f t="shared" si="142"/>
        <x:v>24103.870000000003</x:v>
      </x:c>
    </x:row>
    <x:row r="2869" spans="1:14" x14ac:dyDescent="0.25">
      <x:c r="A2869" t="s">
        <x:v>38</x:v>
      </x:c>
      <x:c r="B2869" t="s">
        <x:v>740</x:v>
      </x:c>
      <x:c r="C2869" t="s">
        <x:v>741</x:v>
      </x:c>
      <x:c r="D2869" t="s">
        <x:v>832</x:v>
      </x:c>
      <x:c r="E2869" s="6">
        <x:v>2991.92</x:v>
      </x:c>
      <x:c r="F2869" s="6">
        <x:v>0</x:v>
      </x:c>
      <x:c r="G2869" s="6">
        <x:v>0</x:v>
      </x:c>
      <x:c r="H2869" s="6">
        <x:f t="shared" si="140"/>
        <x:v>2991.92</x:v>
      </x:c>
      <x:c r="I2869" s="6">
        <x:v>0</x:v>
      </x:c>
      <x:c r="J2869" s="6">
        <x:v>0</x:v>
      </x:c>
      <x:c r="K2869" s="6">
        <x:f t="shared" si="141"/>
        <x:v>0</x:v>
      </x:c>
      <x:c r="L2869" s="6">
        <x:v>0</x:v>
      </x:c>
      <x:c r="M2869" s="6">
        <x:v>0</x:v>
      </x:c>
      <x:c r="N2869" s="6">
        <x:f t="shared" si="142"/>
        <x:v>2991.92</x:v>
      </x:c>
    </x:row>
    <x:row r="2870" spans="1:14" x14ac:dyDescent="0.25">
      <x:c r="A2870" t="s">
        <x:v>38</x:v>
      </x:c>
      <x:c r="B2870" t="s">
        <x:v>740</x:v>
      </x:c>
      <x:c r="C2870" t="s">
        <x:v>741</x:v>
      </x:c>
      <x:c r="D2870" t="s">
        <x:v>676</x:v>
      </x:c>
      <x:c r="E2870" s="6">
        <x:v>9221.59</x:v>
      </x:c>
      <x:c r="F2870" s="6">
        <x:v>0</x:v>
      </x:c>
      <x:c r="G2870" s="6">
        <x:v>0</x:v>
      </x:c>
      <x:c r="H2870" s="6">
        <x:f t="shared" si="140"/>
        <x:v>9221.59</x:v>
      </x:c>
      <x:c r="I2870" s="6">
        <x:v>10865.77</x:v>
      </x:c>
      <x:c r="J2870" s="6">
        <x:v>0</x:v>
      </x:c>
      <x:c r="K2870" s="6">
        <x:f t="shared" si="141"/>
        <x:v>10865.77</x:v>
      </x:c>
      <x:c r="L2870" s="6">
        <x:v>0</x:v>
      </x:c>
      <x:c r="M2870" s="6">
        <x:v>0</x:v>
      </x:c>
      <x:c r="N2870" s="6">
        <x:f t="shared" si="142"/>
        <x:v>20087.36</x:v>
      </x:c>
    </x:row>
    <x:row r="2871" spans="1:14" x14ac:dyDescent="0.25">
      <x:c r="A2871" t="s">
        <x:v>38</x:v>
      </x:c>
      <x:c r="B2871" s="3" t="s">
        <x:v>122</x:v>
      </x:c>
      <x:c r="C2871" s="3" t="s">
        <x:v>439</x:v>
      </x:c>
      <x:c r="D2871" t="s">
        <x:v>676</x:v>
      </x:c>
      <x:c r="E2871" s="6">
        <x:v>0</x:v>
      </x:c>
      <x:c r="F2871" s="6">
        <x:v>0</x:v>
      </x:c>
      <x:c r="G2871" s="6">
        <x:v>0</x:v>
      </x:c>
      <x:c r="H2871" s="6">
        <x:f t="shared" si="140"/>
        <x:v>0</x:v>
      </x:c>
      <x:c r="I2871" s="6">
        <x:v>774199.53999999992</x:v>
      </x:c>
      <x:c r="J2871" s="6">
        <x:v>0</x:v>
      </x:c>
      <x:c r="K2871" s="6">
        <x:f t="shared" si="141"/>
        <x:v>774199.53999999992</x:v>
      </x:c>
      <x:c r="L2871" s="6">
        <x:v>0</x:v>
      </x:c>
      <x:c r="M2871" s="6">
        <x:v>0</x:v>
      </x:c>
      <x:c r="N2871" s="6">
        <x:f t="shared" si="142"/>
        <x:v>774199.53999999992</x:v>
      </x:c>
    </x:row>
    <x:row r="2872" spans="1:14" x14ac:dyDescent="0.25">
      <x:c r="A2872" t="s">
        <x:v>38</x:v>
      </x:c>
      <x:c r="B2872" s="3" t="s">
        <x:v>276</x:v>
      </x:c>
      <x:c r="C2872" s="3" t="s">
        <x:v>591</x:v>
      </x:c>
      <x:c r="D2872" t="s">
        <x:v>676</x:v>
      </x:c>
      <x:c r="E2872" s="6">
        <x:v>0</x:v>
      </x:c>
      <x:c r="F2872" s="6">
        <x:v>0</x:v>
      </x:c>
      <x:c r="G2872" s="6">
        <x:v>0</x:v>
      </x:c>
      <x:c r="H2872" s="6">
        <x:f t="shared" si="140"/>
        <x:v>0</x:v>
      </x:c>
      <x:c r="I2872" s="6">
        <x:v>171475.39</x:v>
      </x:c>
      <x:c r="J2872" s="6">
        <x:v>0</x:v>
      </x:c>
      <x:c r="K2872" s="6">
        <x:f t="shared" si="141"/>
        <x:v>171475.39</x:v>
      </x:c>
      <x:c r="L2872" s="6">
        <x:v>0</x:v>
      </x:c>
      <x:c r="M2872" s="6">
        <x:v>0</x:v>
      </x:c>
      <x:c r="N2872" s="6">
        <x:f t="shared" si="142"/>
        <x:v>171475.39</x:v>
      </x:c>
    </x:row>
    <x:row r="2873" spans="1:14" x14ac:dyDescent="0.25">
      <x:c r="A2873" t="s">
        <x:v>38</x:v>
      </x:c>
      <x:c r="B2873" s="3" t="s">
        <x:v>316</x:v>
      </x:c>
      <x:c r="C2873" s="3" t="s">
        <x:v>631</x:v>
      </x:c>
      <x:c r="D2873" t="s">
        <x:v>676</x:v>
      </x:c>
      <x:c r="E2873" s="6">
        <x:v>0</x:v>
      </x:c>
      <x:c r="F2873" s="6">
        <x:v>0</x:v>
      </x:c>
      <x:c r="G2873" s="6">
        <x:v>0</x:v>
      </x:c>
      <x:c r="H2873" s="6">
        <x:f t="shared" si="140"/>
        <x:v>0</x:v>
      </x:c>
      <x:c r="I2873" s="6">
        <x:v>0</x:v>
      </x:c>
      <x:c r="J2873" s="6">
        <x:v>0</x:v>
      </x:c>
      <x:c r="K2873" s="6">
        <x:f t="shared" si="141"/>
        <x:v>0</x:v>
      </x:c>
      <x:c r="L2873" s="6">
        <x:v>0</x:v>
      </x:c>
      <x:c r="M2873" s="6">
        <x:v>98671.180000000008</x:v>
      </x:c>
      <x:c r="N2873" s="6">
        <x:f t="shared" si="142"/>
        <x:v>98671.180000000008</x:v>
      </x:c>
    </x:row>
    <x:row r="2874" spans="1:14" x14ac:dyDescent="0.25">
      <x:c r="A2874" t="s">
        <x:v>38</x:v>
      </x:c>
      <x:c r="B2874" s="3" t="s">
        <x:v>320</x:v>
      </x:c>
      <x:c r="C2874" s="3" t="s">
        <x:v>635</x:v>
      </x:c>
      <x:c r="D2874" t="s">
        <x:v>679</x:v>
      </x:c>
      <x:c r="E2874" s="6">
        <x:v>30912.57</x:v>
      </x:c>
      <x:c r="F2874" s="6">
        <x:v>0</x:v>
      </x:c>
      <x:c r="G2874" s="6">
        <x:v>0</x:v>
      </x:c>
      <x:c r="H2874" s="6">
        <x:f t="shared" si="140"/>
        <x:v>30912.57</x:v>
      </x:c>
      <x:c r="I2874" s="6">
        <x:v>82561.88</x:v>
      </x:c>
      <x:c r="J2874" s="6">
        <x:v>0</x:v>
      </x:c>
      <x:c r="K2874" s="6">
        <x:f t="shared" si="141"/>
        <x:v>82561.88</x:v>
      </x:c>
      <x:c r="L2874" s="6">
        <x:v>23088.18</x:v>
      </x:c>
      <x:c r="M2874" s="6">
        <x:v>948.83999999999332</x:v>
      </x:c>
      <x:c r="N2874" s="6">
        <x:f t="shared" si="142"/>
        <x:v>137511.47</x:v>
      </x:c>
    </x:row>
    <x:row r="2875" spans="1:14" x14ac:dyDescent="0.25">
      <x:c r="A2875" t="s">
        <x:v>38</x:v>
      </x:c>
      <x:c r="B2875" s="3" t="s">
        <x:v>123</x:v>
      </x:c>
      <x:c r="C2875" s="3" t="s">
        <x:v>440</x:v>
      </x:c>
      <x:c r="D2875" t="s">
        <x:v>676</x:v>
      </x:c>
      <x:c r="E2875" s="6">
        <x:v>0</x:v>
      </x:c>
      <x:c r="F2875" s="6">
        <x:v>0</x:v>
      </x:c>
      <x:c r="G2875" s="6">
        <x:v>0</x:v>
      </x:c>
      <x:c r="H2875" s="6">
        <x:f t="shared" si="140"/>
        <x:v>0</x:v>
      </x:c>
      <x:c r="I2875" s="6">
        <x:v>60878.3</x:v>
      </x:c>
      <x:c r="J2875" s="6">
        <x:v>0</x:v>
      </x:c>
      <x:c r="K2875" s="6">
        <x:f t="shared" si="141"/>
        <x:v>60878.3</x:v>
      </x:c>
      <x:c r="L2875" s="6">
        <x:v>0</x:v>
      </x:c>
      <x:c r="M2875" s="6">
        <x:v>0</x:v>
      </x:c>
      <x:c r="N2875" s="6">
        <x:f t="shared" si="142"/>
        <x:v>60878.3</x:v>
      </x:c>
    </x:row>
    <x:row r="2876" spans="1:14" x14ac:dyDescent="0.25">
      <x:c r="A2876" t="s">
        <x:v>38</x:v>
      </x:c>
      <x:c r="B2876" s="3" t="s">
        <x:v>124</x:v>
      </x:c>
      <x:c r="C2876" s="3" t="s">
        <x:v>441</x:v>
      </x:c>
      <x:c r="D2876" t="s">
        <x:v>676</x:v>
      </x:c>
      <x:c r="E2876" s="6">
        <x:v>0</x:v>
      </x:c>
      <x:c r="F2876" s="6">
        <x:v>0</x:v>
      </x:c>
      <x:c r="G2876" s="6">
        <x:v>0</x:v>
      </x:c>
      <x:c r="H2876" s="6">
        <x:f t="shared" si="140"/>
        <x:v>0</x:v>
      </x:c>
      <x:c r="I2876" s="6">
        <x:v>68292.97</x:v>
      </x:c>
      <x:c r="J2876" s="6">
        <x:v>0</x:v>
      </x:c>
      <x:c r="K2876" s="6">
        <x:f t="shared" si="141"/>
        <x:v>68292.97</x:v>
      </x:c>
      <x:c r="L2876" s="6">
        <x:v>0</x:v>
      </x:c>
      <x:c r="M2876" s="6">
        <x:v>0</x:v>
      </x:c>
      <x:c r="N2876" s="6">
        <x:f t="shared" si="142"/>
        <x:v>68292.97</x:v>
      </x:c>
    </x:row>
    <x:row r="2877" spans="1:14" x14ac:dyDescent="0.25">
      <x:c r="A2877" t="s">
        <x:v>38</x:v>
      </x:c>
      <x:c r="B2877" s="3" t="s">
        <x:v>125</x:v>
      </x:c>
      <x:c r="C2877" s="3" t="s">
        <x:v>442</x:v>
      </x:c>
      <x:c r="D2877" t="s">
        <x:v>676</x:v>
      </x:c>
      <x:c r="E2877" s="6">
        <x:v>0</x:v>
      </x:c>
      <x:c r="F2877" s="6">
        <x:v>0</x:v>
      </x:c>
      <x:c r="G2877" s="6">
        <x:v>0</x:v>
      </x:c>
      <x:c r="H2877" s="6">
        <x:f t="shared" si="140"/>
        <x:v>0</x:v>
      </x:c>
      <x:c r="I2877" s="6">
        <x:v>0</x:v>
      </x:c>
      <x:c r="J2877" s="6">
        <x:v>0</x:v>
      </x:c>
      <x:c r="K2877" s="6">
        <x:f t="shared" si="141"/>
        <x:v>0</x:v>
      </x:c>
      <x:c r="L2877" s="6">
        <x:v>0</x:v>
      </x:c>
      <x:c r="M2877" s="6">
        <x:v>134683.06</x:v>
      </x:c>
      <x:c r="N2877" s="6">
        <x:f t="shared" si="142"/>
        <x:v>134683.06</x:v>
      </x:c>
    </x:row>
    <x:row r="2878" spans="1:14" x14ac:dyDescent="0.25">
      <x:c r="A2878" t="s">
        <x:v>38</x:v>
      </x:c>
      <x:c r="B2878" s="3" t="s">
        <x:v>126</x:v>
      </x:c>
      <x:c r="C2878" s="3" t="s">
        <x:v>443</x:v>
      </x:c>
      <x:c r="D2878" t="s">
        <x:v>676</x:v>
      </x:c>
      <x:c r="E2878" s="6">
        <x:v>0</x:v>
      </x:c>
      <x:c r="F2878" s="6">
        <x:v>0</x:v>
      </x:c>
      <x:c r="G2878" s="6">
        <x:v>0</x:v>
      </x:c>
      <x:c r="H2878" s="6">
        <x:f t="shared" si="140"/>
        <x:v>0</x:v>
      </x:c>
      <x:c r="I2878" s="6">
        <x:v>17567.579999999998</x:v>
      </x:c>
      <x:c r="J2878" s="6">
        <x:v>0</x:v>
      </x:c>
      <x:c r="K2878" s="6">
        <x:f t="shared" si="141"/>
        <x:v>17567.579999999998</x:v>
      </x:c>
      <x:c r="L2878" s="6">
        <x:v>0</x:v>
      </x:c>
      <x:c r="M2878" s="6">
        <x:v>0</x:v>
      </x:c>
      <x:c r="N2878" s="6">
        <x:f t="shared" si="142"/>
        <x:v>17567.579999999998</x:v>
      </x:c>
    </x:row>
    <x:row r="2879" spans="1:14" x14ac:dyDescent="0.25">
      <x:c r="A2879" t="s">
        <x:v>38</x:v>
      </x:c>
      <x:c r="B2879" s="3" t="s">
        <x:v>230</x:v>
      </x:c>
      <x:c r="C2879" s="3" t="s">
        <x:v>545</x:v>
      </x:c>
      <x:c r="D2879" t="s">
        <x:v>676</x:v>
      </x:c>
      <x:c r="E2879" s="6">
        <x:v>0</x:v>
      </x:c>
      <x:c r="F2879" s="6">
        <x:v>0</x:v>
      </x:c>
      <x:c r="G2879" s="6">
        <x:v>0</x:v>
      </x:c>
      <x:c r="H2879" s="6">
        <x:f t="shared" si="140"/>
        <x:v>0</x:v>
      </x:c>
      <x:c r="I2879" s="6">
        <x:v>18604.200000000004</x:v>
      </x:c>
      <x:c r="J2879" s="6">
        <x:v>0</x:v>
      </x:c>
      <x:c r="K2879" s="6">
        <x:f t="shared" si="141"/>
        <x:v>18604.200000000004</x:v>
      </x:c>
      <x:c r="L2879" s="6">
        <x:v>0</x:v>
      </x:c>
      <x:c r="M2879" s="6">
        <x:v>0</x:v>
      </x:c>
      <x:c r="N2879" s="6">
        <x:f t="shared" si="142"/>
        <x:v>18604.200000000004</x:v>
      </x:c>
    </x:row>
    <x:row r="2880" spans="1:14" x14ac:dyDescent="0.25">
      <x:c r="A2880" t="s">
        <x:v>38</x:v>
      </x:c>
      <x:c r="B2880" s="3" t="s">
        <x:v>127</x:v>
      </x:c>
      <x:c r="C2880" s="3" t="s">
        <x:v>444</x:v>
      </x:c>
      <x:c r="D2880" t="s">
        <x:v>676</x:v>
      </x:c>
      <x:c r="E2880" s="6">
        <x:v>0</x:v>
      </x:c>
      <x:c r="F2880" s="6">
        <x:v>0</x:v>
      </x:c>
      <x:c r="G2880" s="6">
        <x:v>0</x:v>
      </x:c>
      <x:c r="H2880" s="6">
        <x:f t="shared" si="140"/>
        <x:v>0</x:v>
      </x:c>
      <x:c r="I2880" s="6">
        <x:v>62203.109999999993</x:v>
      </x:c>
      <x:c r="J2880" s="6">
        <x:v>0</x:v>
      </x:c>
      <x:c r="K2880" s="6">
        <x:f t="shared" si="141"/>
        <x:v>62203.109999999993</x:v>
      </x:c>
      <x:c r="L2880" s="6">
        <x:v>0</x:v>
      </x:c>
      <x:c r="M2880" s="6">
        <x:v>0</x:v>
      </x:c>
      <x:c r="N2880" s="6">
        <x:f t="shared" si="142"/>
        <x:v>62203.109999999993</x:v>
      </x:c>
    </x:row>
    <x:row r="2881" spans="1:14" x14ac:dyDescent="0.25">
      <x:c r="A2881" t="s">
        <x:v>38</x:v>
      </x:c>
      <x:c r="B2881" s="3" t="s">
        <x:v>231</x:v>
      </x:c>
      <x:c r="C2881" s="3" t="s">
        <x:v>546</x:v>
      </x:c>
      <x:c r="D2881" t="s">
        <x:v>676</x:v>
      </x:c>
      <x:c r="E2881" s="6">
        <x:v>0</x:v>
      </x:c>
      <x:c r="F2881" s="6">
        <x:v>0</x:v>
      </x:c>
      <x:c r="G2881" s="6">
        <x:v>0</x:v>
      </x:c>
      <x:c r="H2881" s="6">
        <x:f t="shared" si="140"/>
        <x:v>0</x:v>
      </x:c>
      <x:c r="I2881" s="6">
        <x:v>18679.32</x:v>
      </x:c>
      <x:c r="J2881" s="6">
        <x:v>0</x:v>
      </x:c>
      <x:c r="K2881" s="6">
        <x:f t="shared" si="141"/>
        <x:v>18679.32</x:v>
      </x:c>
      <x:c r="L2881" s="6">
        <x:v>0</x:v>
      </x:c>
      <x:c r="M2881" s="6">
        <x:v>0</x:v>
      </x:c>
      <x:c r="N2881" s="6">
        <x:f t="shared" si="142"/>
        <x:v>18679.32</x:v>
      </x:c>
    </x:row>
    <x:row r="2882" spans="1:14" x14ac:dyDescent="0.25">
      <x:c r="A2882" t="s">
        <x:v>38</x:v>
      </x:c>
      <x:c r="B2882" s="3" t="s">
        <x:v>128</x:v>
      </x:c>
      <x:c r="C2882" s="3" t="s">
        <x:v>445</x:v>
      </x:c>
      <x:c r="D2882" t="s">
        <x:v>676</x:v>
      </x:c>
      <x:c r="E2882" s="6">
        <x:v>0</x:v>
      </x:c>
      <x:c r="F2882" s="6">
        <x:v>0</x:v>
      </x:c>
      <x:c r="G2882" s="6">
        <x:v>0</x:v>
      </x:c>
      <x:c r="H2882" s="6">
        <x:f t="shared" si="140"/>
        <x:v>0</x:v>
      </x:c>
      <x:c r="I2882" s="6">
        <x:v>17478.870000000003</x:v>
      </x:c>
      <x:c r="J2882" s="6">
        <x:v>0</x:v>
      </x:c>
      <x:c r="K2882" s="6">
        <x:f t="shared" si="141"/>
        <x:v>17478.870000000003</x:v>
      </x:c>
      <x:c r="L2882" s="6">
        <x:v>0</x:v>
      </x:c>
      <x:c r="M2882" s="6">
        <x:v>0</x:v>
      </x:c>
      <x:c r="N2882" s="6">
        <x:f t="shared" si="142"/>
        <x:v>17478.870000000003</x:v>
      </x:c>
    </x:row>
    <x:row r="2883" spans="1:14" x14ac:dyDescent="0.25">
      <x:c r="A2883" t="s">
        <x:v>38</x:v>
      </x:c>
      <x:c r="B2883" s="3" t="s">
        <x:v>129</x:v>
      </x:c>
      <x:c r="C2883" s="3" t="s">
        <x:v>446</x:v>
      </x:c>
      <x:c r="D2883" t="s">
        <x:v>676</x:v>
      </x:c>
      <x:c r="E2883" s="6">
        <x:v>0</x:v>
      </x:c>
      <x:c r="F2883" s="6">
        <x:v>0</x:v>
      </x:c>
      <x:c r="G2883" s="6">
        <x:v>0</x:v>
      </x:c>
      <x:c r="H2883" s="6">
        <x:f t="shared" si="140"/>
        <x:v>0</x:v>
      </x:c>
      <x:c r="I2883" s="6">
        <x:v>11696.72</x:v>
      </x:c>
      <x:c r="J2883" s="6">
        <x:v>0</x:v>
      </x:c>
      <x:c r="K2883" s="6">
        <x:f t="shared" si="141"/>
        <x:v>11696.72</x:v>
      </x:c>
      <x:c r="L2883" s="6">
        <x:v>0</x:v>
      </x:c>
      <x:c r="M2883" s="6">
        <x:v>0</x:v>
      </x:c>
      <x:c r="N2883" s="6">
        <x:f t="shared" si="142"/>
        <x:v>11696.72</x:v>
      </x:c>
    </x:row>
    <x:row r="2884" spans="1:14" x14ac:dyDescent="0.25">
      <x:c r="A2884" t="s">
        <x:v>38</x:v>
      </x:c>
      <x:c r="B2884" s="3" t="s">
        <x:v>130</x:v>
      </x:c>
      <x:c r="C2884" s="3" t="s">
        <x:v>447</x:v>
      </x:c>
      <x:c r="D2884" t="s">
        <x:v>676</x:v>
      </x:c>
      <x:c r="E2884" s="6">
        <x:v>0</x:v>
      </x:c>
      <x:c r="F2884" s="6">
        <x:v>0</x:v>
      </x:c>
      <x:c r="G2884" s="6">
        <x:v>0</x:v>
      </x:c>
      <x:c r="H2884" s="6">
        <x:f t="shared" si="140"/>
        <x:v>0</x:v>
      </x:c>
      <x:c r="I2884" s="6">
        <x:v>5101.5199999999995</x:v>
      </x:c>
      <x:c r="J2884" s="6">
        <x:v>0</x:v>
      </x:c>
      <x:c r="K2884" s="6">
        <x:f t="shared" si="141"/>
        <x:v>5101.5199999999995</x:v>
      </x:c>
      <x:c r="L2884" s="6">
        <x:v>0</x:v>
      </x:c>
      <x:c r="M2884" s="6">
        <x:v>0</x:v>
      </x:c>
      <x:c r="N2884" s="6">
        <x:f t="shared" si="142"/>
        <x:v>5101.5199999999995</x:v>
      </x:c>
    </x:row>
    <x:row r="2885" spans="1:14" x14ac:dyDescent="0.25">
      <x:c r="A2885" t="s">
        <x:v>38</x:v>
      </x:c>
      <x:c r="B2885" s="3" t="s">
        <x:v>131</x:v>
      </x:c>
      <x:c r="C2885" s="3" t="s">
        <x:v>448</x:v>
      </x:c>
      <x:c r="D2885" t="s">
        <x:v>676</x:v>
      </x:c>
      <x:c r="E2885" s="6">
        <x:v>0</x:v>
      </x:c>
      <x:c r="F2885" s="6">
        <x:v>0</x:v>
      </x:c>
      <x:c r="G2885" s="6">
        <x:v>0</x:v>
      </x:c>
      <x:c r="H2885" s="6">
        <x:f t="shared" si="140"/>
        <x:v>0</x:v>
      </x:c>
      <x:c r="I2885" s="6">
        <x:v>37738.979999999996</x:v>
      </x:c>
      <x:c r="J2885" s="6">
        <x:v>0</x:v>
      </x:c>
      <x:c r="K2885" s="6">
        <x:f t="shared" si="141"/>
        <x:v>37738.979999999996</x:v>
      </x:c>
      <x:c r="L2885" s="6">
        <x:v>0</x:v>
      </x:c>
      <x:c r="M2885" s="6">
        <x:v>0</x:v>
      </x:c>
      <x:c r="N2885" s="6">
        <x:f t="shared" si="142"/>
        <x:v>37738.979999999996</x:v>
      </x:c>
    </x:row>
    <x:row r="2886" spans="1:14" x14ac:dyDescent="0.25">
      <x:c r="A2886" t="s">
        <x:v>38</x:v>
      </x:c>
      <x:c r="B2886" s="3" t="s">
        <x:v>132</x:v>
      </x:c>
      <x:c r="C2886" s="3" t="s">
        <x:v>449</x:v>
      </x:c>
      <x:c r="D2886" t="s">
        <x:v>676</x:v>
      </x:c>
      <x:c r="E2886" s="6">
        <x:v>0</x:v>
      </x:c>
      <x:c r="F2886" s="6">
        <x:v>0</x:v>
      </x:c>
      <x:c r="G2886" s="6">
        <x:v>0</x:v>
      </x:c>
      <x:c r="H2886" s="6">
        <x:f t="shared" si="140"/>
        <x:v>0</x:v>
      </x:c>
      <x:c r="I2886" s="6">
        <x:v>231500.54</x:v>
      </x:c>
      <x:c r="J2886" s="6">
        <x:v>0</x:v>
      </x:c>
      <x:c r="K2886" s="6">
        <x:f t="shared" si="141"/>
        <x:v>231500.54</x:v>
      </x:c>
      <x:c r="L2886" s="6">
        <x:v>0</x:v>
      </x:c>
      <x:c r="M2886" s="6">
        <x:v>0</x:v>
      </x:c>
      <x:c r="N2886" s="6">
        <x:f t="shared" si="142"/>
        <x:v>231500.54</x:v>
      </x:c>
    </x:row>
    <x:row r="2887" spans="1:14" x14ac:dyDescent="0.25">
      <x:c r="A2887" t="s">
        <x:v>38</x:v>
      </x:c>
      <x:c r="B2887" s="3" t="s">
        <x:v>133</x:v>
      </x:c>
      <x:c r="C2887" s="3" t="s">
        <x:v>450</x:v>
      </x:c>
      <x:c r="D2887" t="s">
        <x:v>676</x:v>
      </x:c>
      <x:c r="E2887" s="6">
        <x:v>0</x:v>
      </x:c>
      <x:c r="F2887" s="6">
        <x:v>0</x:v>
      </x:c>
      <x:c r="G2887" s="6">
        <x:v>0</x:v>
      </x:c>
      <x:c r="H2887" s="6">
        <x:f t="shared" si="140"/>
        <x:v>0</x:v>
      </x:c>
      <x:c r="I2887" s="6">
        <x:v>43687.109999999993</x:v>
      </x:c>
      <x:c r="J2887" s="6">
        <x:v>0</x:v>
      </x:c>
      <x:c r="K2887" s="6">
        <x:f t="shared" si="141"/>
        <x:v>43687.109999999993</x:v>
      </x:c>
      <x:c r="L2887" s="6">
        <x:v>0</x:v>
      </x:c>
      <x:c r="M2887" s="6">
        <x:v>0</x:v>
      </x:c>
      <x:c r="N2887" s="6">
        <x:f t="shared" si="142"/>
        <x:v>43687.109999999993</x:v>
      </x:c>
    </x:row>
    <x:row r="2888" spans="1:14" x14ac:dyDescent="0.25">
      <x:c r="A2888" t="s">
        <x:v>38</x:v>
      </x:c>
      <x:c r="B2888" s="3" t="s">
        <x:v>134</x:v>
      </x:c>
      <x:c r="C2888" s="3" t="s">
        <x:v>451</x:v>
      </x:c>
      <x:c r="D2888" t="s">
        <x:v>676</x:v>
      </x:c>
      <x:c r="E2888" s="6">
        <x:v>0</x:v>
      </x:c>
      <x:c r="F2888" s="6">
        <x:v>0</x:v>
      </x:c>
      <x:c r="G2888" s="6">
        <x:v>0</x:v>
      </x:c>
      <x:c r="H2888" s="6">
        <x:f t="shared" si="140"/>
        <x:v>0</x:v>
      </x:c>
      <x:c r="I2888" s="6">
        <x:v>268598.96000000002</x:v>
      </x:c>
      <x:c r="J2888" s="6">
        <x:v>0</x:v>
      </x:c>
      <x:c r="K2888" s="6">
        <x:f t="shared" si="141"/>
        <x:v>268598.96000000002</x:v>
      </x:c>
      <x:c r="L2888" s="6">
        <x:v>0</x:v>
      </x:c>
      <x:c r="M2888" s="6">
        <x:v>0</x:v>
      </x:c>
      <x:c r="N2888" s="6">
        <x:f t="shared" si="142"/>
        <x:v>268598.96000000002</x:v>
      </x:c>
    </x:row>
    <x:row r="2889" spans="1:14" x14ac:dyDescent="0.25">
      <x:c r="A2889" t="s">
        <x:v>38</x:v>
      </x:c>
      <x:c r="B2889" s="3" t="s">
        <x:v>135</x:v>
      </x:c>
      <x:c r="C2889" s="3" t="s">
        <x:v>452</x:v>
      </x:c>
      <x:c r="D2889" t="s">
        <x:v>676</x:v>
      </x:c>
      <x:c r="E2889" s="6">
        <x:v>0</x:v>
      </x:c>
      <x:c r="F2889" s="6">
        <x:v>0</x:v>
      </x:c>
      <x:c r="G2889" s="6">
        <x:v>0</x:v>
      </x:c>
      <x:c r="H2889" s="6">
        <x:f t="shared" si="140"/>
        <x:v>0</x:v>
      </x:c>
      <x:c r="I2889" s="6">
        <x:v>35856.910000000003</x:v>
      </x:c>
      <x:c r="J2889" s="6">
        <x:v>0</x:v>
      </x:c>
      <x:c r="K2889" s="6">
        <x:f t="shared" si="141"/>
        <x:v>35856.910000000003</x:v>
      </x:c>
      <x:c r="L2889" s="6">
        <x:v>0</x:v>
      </x:c>
      <x:c r="M2889" s="6">
        <x:v>0</x:v>
      </x:c>
      <x:c r="N2889" s="6">
        <x:f t="shared" si="142"/>
        <x:v>35856.910000000003</x:v>
      </x:c>
    </x:row>
    <x:row r="2890" spans="1:14" x14ac:dyDescent="0.25">
      <x:c r="A2890" t="s">
        <x:v>38</x:v>
      </x:c>
      <x:c r="B2890" s="3" t="s">
        <x:v>136</x:v>
      </x:c>
      <x:c r="C2890" s="3" t="s">
        <x:v>453</x:v>
      </x:c>
      <x:c r="D2890" t="s">
        <x:v>676</x:v>
      </x:c>
      <x:c r="E2890" s="6">
        <x:v>0</x:v>
      </x:c>
      <x:c r="F2890" s="6">
        <x:v>0</x:v>
      </x:c>
      <x:c r="G2890" s="6">
        <x:v>0</x:v>
      </x:c>
      <x:c r="H2890" s="6">
        <x:f t="shared" si="140"/>
        <x:v>0</x:v>
      </x:c>
      <x:c r="I2890" s="6">
        <x:v>37875.730000000003</x:v>
      </x:c>
      <x:c r="J2890" s="6">
        <x:v>0</x:v>
      </x:c>
      <x:c r="K2890" s="6">
        <x:f t="shared" si="141"/>
        <x:v>37875.730000000003</x:v>
      </x:c>
      <x:c r="L2890" s="6">
        <x:v>0</x:v>
      </x:c>
      <x:c r="M2890" s="6">
        <x:v>0</x:v>
      </x:c>
      <x:c r="N2890" s="6">
        <x:f t="shared" si="142"/>
        <x:v>37875.730000000003</x:v>
      </x:c>
    </x:row>
    <x:row r="2891" spans="1:14" x14ac:dyDescent="0.25">
      <x:c r="A2891" t="s">
        <x:v>38</x:v>
      </x:c>
      <x:c r="B2891" s="3" t="s">
        <x:v>137</x:v>
      </x:c>
      <x:c r="C2891" s="3" t="s">
        <x:v>454</x:v>
      </x:c>
      <x:c r="D2891" t="s">
        <x:v>676</x:v>
      </x:c>
      <x:c r="E2891" s="6">
        <x:v>0</x:v>
      </x:c>
      <x:c r="F2891" s="6">
        <x:v>0</x:v>
      </x:c>
      <x:c r="G2891" s="6">
        <x:v>0</x:v>
      </x:c>
      <x:c r="H2891" s="6">
        <x:f t="shared" si="140"/>
        <x:v>0</x:v>
      </x:c>
      <x:c r="I2891" s="6">
        <x:v>27771.620000000006</x:v>
      </x:c>
      <x:c r="J2891" s="6">
        <x:v>0</x:v>
      </x:c>
      <x:c r="K2891" s="6">
        <x:f t="shared" si="141"/>
        <x:v>27771.620000000006</x:v>
      </x:c>
      <x:c r="L2891" s="6">
        <x:v>0</x:v>
      </x:c>
      <x:c r="M2891" s="6">
        <x:v>0</x:v>
      </x:c>
      <x:c r="N2891" s="6">
        <x:f t="shared" si="142"/>
        <x:v>27771.620000000006</x:v>
      </x:c>
    </x:row>
    <x:row r="2892" spans="1:14" x14ac:dyDescent="0.25">
      <x:c r="A2892" t="s">
        <x:v>38</x:v>
      </x:c>
      <x:c r="B2892" s="3" t="s">
        <x:v>138</x:v>
      </x:c>
      <x:c r="C2892" s="3" t="s">
        <x:v>455</x:v>
      </x:c>
      <x:c r="D2892" t="s">
        <x:v>676</x:v>
      </x:c>
      <x:c r="E2892" s="6">
        <x:v>0</x:v>
      </x:c>
      <x:c r="F2892" s="6">
        <x:v>0</x:v>
      </x:c>
      <x:c r="G2892" s="6">
        <x:v>0</x:v>
      </x:c>
      <x:c r="H2892" s="6">
        <x:f t="shared" si="140"/>
        <x:v>0</x:v>
      </x:c>
      <x:c r="I2892" s="6">
        <x:v>43059.49</x:v>
      </x:c>
      <x:c r="J2892" s="6">
        <x:v>0</x:v>
      </x:c>
      <x:c r="K2892" s="6">
        <x:f t="shared" si="141"/>
        <x:v>43059.49</x:v>
      </x:c>
      <x:c r="L2892" s="6">
        <x:v>0</x:v>
      </x:c>
      <x:c r="M2892" s="6">
        <x:v>0</x:v>
      </x:c>
      <x:c r="N2892" s="6">
        <x:f t="shared" si="142"/>
        <x:v>43059.49</x:v>
      </x:c>
    </x:row>
    <x:row r="2893" spans="1:14" x14ac:dyDescent="0.25">
      <x:c r="A2893" t="s">
        <x:v>38</x:v>
      </x:c>
      <x:c r="B2893" s="3" t="s">
        <x:v>139</x:v>
      </x:c>
      <x:c r="C2893" s="3" t="s">
        <x:v>456</x:v>
      </x:c>
      <x:c r="D2893" t="s">
        <x:v>676</x:v>
      </x:c>
      <x:c r="E2893" s="6">
        <x:v>0</x:v>
      </x:c>
      <x:c r="F2893" s="6">
        <x:v>0</x:v>
      </x:c>
      <x:c r="G2893" s="6">
        <x:v>0</x:v>
      </x:c>
      <x:c r="H2893" s="6">
        <x:f t="shared" si="140"/>
        <x:v>0</x:v>
      </x:c>
      <x:c r="I2893" s="6">
        <x:v>70253.649999999994</x:v>
      </x:c>
      <x:c r="J2893" s="6">
        <x:v>0</x:v>
      </x:c>
      <x:c r="K2893" s="6">
        <x:f t="shared" si="141"/>
        <x:v>70253.649999999994</x:v>
      </x:c>
      <x:c r="L2893" s="6">
        <x:v>0</x:v>
      </x:c>
      <x:c r="M2893" s="6">
        <x:v>0</x:v>
      </x:c>
      <x:c r="N2893" s="6">
        <x:f t="shared" si="142"/>
        <x:v>70253.649999999994</x:v>
      </x:c>
    </x:row>
    <x:row r="2894" spans="1:14" x14ac:dyDescent="0.25">
      <x:c r="A2894" t="s">
        <x:v>38</x:v>
      </x:c>
      <x:c r="B2894" s="3" t="s">
        <x:v>140</x:v>
      </x:c>
      <x:c r="C2894" s="3" t="s">
        <x:v>457</x:v>
      </x:c>
      <x:c r="D2894" t="s">
        <x:v>676</x:v>
      </x:c>
      <x:c r="E2894" s="6">
        <x:v>0</x:v>
      </x:c>
      <x:c r="F2894" s="6">
        <x:v>0</x:v>
      </x:c>
      <x:c r="G2894" s="6">
        <x:v>0</x:v>
      </x:c>
      <x:c r="H2894" s="6">
        <x:f t="shared" si="140"/>
        <x:v>0</x:v>
      </x:c>
      <x:c r="I2894" s="6">
        <x:v>276570.59000000003</x:v>
      </x:c>
      <x:c r="J2894" s="6">
        <x:v>0</x:v>
      </x:c>
      <x:c r="K2894" s="6">
        <x:f t="shared" si="141"/>
        <x:v>276570.59000000003</x:v>
      </x:c>
      <x:c r="L2894" s="6">
        <x:v>0</x:v>
      </x:c>
      <x:c r="M2894" s="6">
        <x:v>0</x:v>
      </x:c>
      <x:c r="N2894" s="6">
        <x:f t="shared" si="142"/>
        <x:v>276570.59000000003</x:v>
      </x:c>
    </x:row>
    <x:row r="2895" spans="1:14" x14ac:dyDescent="0.25">
      <x:c r="A2895" t="s">
        <x:v>38</x:v>
      </x:c>
      <x:c r="B2895" s="3" t="s">
        <x:v>141</x:v>
      </x:c>
      <x:c r="C2895" s="3" t="s">
        <x:v>458</x:v>
      </x:c>
      <x:c r="D2895" t="s">
        <x:v>676</x:v>
      </x:c>
      <x:c r="E2895" s="6">
        <x:v>0</x:v>
      </x:c>
      <x:c r="F2895" s="6">
        <x:v>0</x:v>
      </x:c>
      <x:c r="G2895" s="6">
        <x:v>0</x:v>
      </x:c>
      <x:c r="H2895" s="6">
        <x:f t="shared" si="140"/>
        <x:v>0</x:v>
      </x:c>
      <x:c r="I2895" s="6">
        <x:v>282291.10000000003</x:v>
      </x:c>
      <x:c r="J2895" s="6">
        <x:v>0</x:v>
      </x:c>
      <x:c r="K2895" s="6">
        <x:f t="shared" si="141"/>
        <x:v>282291.10000000003</x:v>
      </x:c>
      <x:c r="L2895" s="6">
        <x:v>0</x:v>
      </x:c>
      <x:c r="M2895" s="6">
        <x:v>0</x:v>
      </x:c>
      <x:c r="N2895" s="6">
        <x:f t="shared" si="142"/>
        <x:v>282291.10000000003</x:v>
      </x:c>
    </x:row>
    <x:row r="2896" spans="1:14" x14ac:dyDescent="0.25">
      <x:c r="A2896" t="s">
        <x:v>38</x:v>
      </x:c>
      <x:c r="B2896" s="3" t="s">
        <x:v>142</x:v>
      </x:c>
      <x:c r="C2896" s="3" t="s">
        <x:v>459</x:v>
      </x:c>
      <x:c r="D2896" t="s">
        <x:v>676</x:v>
      </x:c>
      <x:c r="E2896" s="6">
        <x:v>0</x:v>
      </x:c>
      <x:c r="F2896" s="6">
        <x:v>0</x:v>
      </x:c>
      <x:c r="G2896" s="6">
        <x:v>0</x:v>
      </x:c>
      <x:c r="H2896" s="6">
        <x:f t="shared" si="140"/>
        <x:v>0</x:v>
      </x:c>
      <x:c r="I2896" s="6">
        <x:v>355811.11000000004</x:v>
      </x:c>
      <x:c r="J2896" s="6">
        <x:v>0</x:v>
      </x:c>
      <x:c r="K2896" s="6">
        <x:f t="shared" si="141"/>
        <x:v>355811.11000000004</x:v>
      </x:c>
      <x:c r="L2896" s="6">
        <x:v>0</x:v>
      </x:c>
      <x:c r="M2896" s="6">
        <x:v>0</x:v>
      </x:c>
      <x:c r="N2896" s="6">
        <x:f t="shared" si="142"/>
        <x:v>355811.11000000004</x:v>
      </x:c>
    </x:row>
    <x:row r="2897" spans="1:14" x14ac:dyDescent="0.25">
      <x:c r="A2897" t="s">
        <x:v>38</x:v>
      </x:c>
      <x:c r="B2897" s="3" t="s">
        <x:v>143</x:v>
      </x:c>
      <x:c r="C2897" s="3" t="s">
        <x:v>460</x:v>
      </x:c>
      <x:c r="D2897" t="s">
        <x:v>676</x:v>
      </x:c>
      <x:c r="E2897" s="6">
        <x:v>0</x:v>
      </x:c>
      <x:c r="F2897" s="6">
        <x:v>0</x:v>
      </x:c>
      <x:c r="G2897" s="6">
        <x:v>0</x:v>
      </x:c>
      <x:c r="H2897" s="6">
        <x:f t="shared" si="140"/>
        <x:v>0</x:v>
      </x:c>
      <x:c r="I2897" s="6">
        <x:v>118478.15999999999</x:v>
      </x:c>
      <x:c r="J2897" s="6">
        <x:v>0</x:v>
      </x:c>
      <x:c r="K2897" s="6">
        <x:f t="shared" si="141"/>
        <x:v>118478.15999999999</x:v>
      </x:c>
      <x:c r="L2897" s="6">
        <x:v>0</x:v>
      </x:c>
      <x:c r="M2897" s="6">
        <x:v>0</x:v>
      </x:c>
      <x:c r="N2897" s="6">
        <x:f t="shared" si="142"/>
        <x:v>118478.15999999999</x:v>
      </x:c>
    </x:row>
    <x:row r="2898" spans="1:14" x14ac:dyDescent="0.25">
      <x:c r="A2898" t="s">
        <x:v>38</x:v>
      </x:c>
      <x:c r="B2898" s="3" t="s">
        <x:v>144</x:v>
      </x:c>
      <x:c r="C2898" s="3" t="s">
        <x:v>461</x:v>
      </x:c>
      <x:c r="D2898" t="s">
        <x:v>676</x:v>
      </x:c>
      <x:c r="E2898" s="6">
        <x:v>0</x:v>
      </x:c>
      <x:c r="F2898" s="6">
        <x:v>0</x:v>
      </x:c>
      <x:c r="G2898" s="6">
        <x:v>0</x:v>
      </x:c>
      <x:c r="H2898" s="6">
        <x:f t="shared" si="140"/>
        <x:v>0</x:v>
      </x:c>
      <x:c r="I2898" s="6">
        <x:v>52100.710000000006</x:v>
      </x:c>
      <x:c r="J2898" s="6">
        <x:v>0</x:v>
      </x:c>
      <x:c r="K2898" s="6">
        <x:f t="shared" si="141"/>
        <x:v>52100.710000000006</x:v>
      </x:c>
      <x:c r="L2898" s="6">
        <x:v>0</x:v>
      </x:c>
      <x:c r="M2898" s="6">
        <x:v>0</x:v>
      </x:c>
      <x:c r="N2898" s="6">
        <x:f t="shared" si="142"/>
        <x:v>52100.710000000006</x:v>
      </x:c>
    </x:row>
    <x:row r="2899" spans="1:14" x14ac:dyDescent="0.25">
      <x:c r="A2899" t="s">
        <x:v>38</x:v>
      </x:c>
      <x:c r="B2899" s="3" t="s">
        <x:v>145</x:v>
      </x:c>
      <x:c r="C2899" s="3" t="s">
        <x:v>462</x:v>
      </x:c>
      <x:c r="D2899" t="s">
        <x:v>676</x:v>
      </x:c>
      <x:c r="E2899" s="6">
        <x:v>0</x:v>
      </x:c>
      <x:c r="F2899" s="6">
        <x:v>0</x:v>
      </x:c>
      <x:c r="G2899" s="6">
        <x:v>0</x:v>
      </x:c>
      <x:c r="H2899" s="6">
        <x:f t="shared" si="140"/>
        <x:v>0</x:v>
      </x:c>
      <x:c r="I2899" s="6">
        <x:v>1238.0100000000002</x:v>
      </x:c>
      <x:c r="J2899" s="6">
        <x:v>0</x:v>
      </x:c>
      <x:c r="K2899" s="6">
        <x:f t="shared" si="141"/>
        <x:v>1238.0100000000002</x:v>
      </x:c>
      <x:c r="L2899" s="6">
        <x:v>0</x:v>
      </x:c>
      <x:c r="M2899" s="6">
        <x:v>0</x:v>
      </x:c>
      <x:c r="N2899" s="6">
        <x:f t="shared" si="142"/>
        <x:v>1238.0100000000002</x:v>
      </x:c>
    </x:row>
    <x:row r="2900" spans="1:14" x14ac:dyDescent="0.25">
      <x:c r="A2900" t="s">
        <x:v>38</x:v>
      </x:c>
      <x:c r="B2900" s="3" t="s">
        <x:v>146</x:v>
      </x:c>
      <x:c r="C2900" s="3" t="s">
        <x:v>463</x:v>
      </x:c>
      <x:c r="D2900" t="s">
        <x:v>676</x:v>
      </x:c>
      <x:c r="E2900" s="6">
        <x:v>0</x:v>
      </x:c>
      <x:c r="F2900" s="6">
        <x:v>0</x:v>
      </x:c>
      <x:c r="G2900" s="6">
        <x:v>0</x:v>
      </x:c>
      <x:c r="H2900" s="6">
        <x:f t="shared" si="140"/>
        <x:v>0</x:v>
      </x:c>
      <x:c r="I2900" s="6">
        <x:v>1342372.3199999998</x:v>
      </x:c>
      <x:c r="J2900" s="6">
        <x:v>0</x:v>
      </x:c>
      <x:c r="K2900" s="6">
        <x:f t="shared" si="141"/>
        <x:v>1342372.3199999998</x:v>
      </x:c>
      <x:c r="L2900" s="6">
        <x:v>0</x:v>
      </x:c>
      <x:c r="M2900" s="6">
        <x:v>0</x:v>
      </x:c>
      <x:c r="N2900" s="6">
        <x:f t="shared" si="142"/>
        <x:v>1342372.3199999998</x:v>
      </x:c>
    </x:row>
    <x:row r="2901" spans="1:14" x14ac:dyDescent="0.25">
      <x:c r="A2901" t="s">
        <x:v>38</x:v>
      </x:c>
      <x:c r="B2901" s="3" t="s">
        <x:v>232</x:v>
      </x:c>
      <x:c r="C2901" s="3" t="s">
        <x:v>547</x:v>
      </x:c>
      <x:c r="D2901" t="s">
        <x:v>676</x:v>
      </x:c>
      <x:c r="E2901" s="6">
        <x:v>0</x:v>
      </x:c>
      <x:c r="F2901" s="6">
        <x:v>0</x:v>
      </x:c>
      <x:c r="G2901" s="6">
        <x:v>0</x:v>
      </x:c>
      <x:c r="H2901" s="6">
        <x:f t="shared" si="140"/>
        <x:v>0</x:v>
      </x:c>
      <x:c r="I2901" s="6">
        <x:v>1017036.2899999998</x:v>
      </x:c>
      <x:c r="J2901" s="6">
        <x:v>0</x:v>
      </x:c>
      <x:c r="K2901" s="6">
        <x:f t="shared" si="141"/>
        <x:v>1017036.2899999998</x:v>
      </x:c>
      <x:c r="L2901" s="6">
        <x:v>0</x:v>
      </x:c>
      <x:c r="M2901" s="6">
        <x:v>0</x:v>
      </x:c>
      <x:c r="N2901" s="6">
        <x:f t="shared" si="142"/>
        <x:v>1017036.2899999998</x:v>
      </x:c>
    </x:row>
    <x:row r="2902" spans="1:14" x14ac:dyDescent="0.25">
      <x:c r="A2902" t="s">
        <x:v>38</x:v>
      </x:c>
      <x:c r="B2902" s="3" t="s">
        <x:v>147</x:v>
      </x:c>
      <x:c r="C2902" s="3" t="s">
        <x:v>464</x:v>
      </x:c>
      <x:c r="D2902" t="s">
        <x:v>676</x:v>
      </x:c>
      <x:c r="E2902" s="6">
        <x:v>0</x:v>
      </x:c>
      <x:c r="F2902" s="6">
        <x:v>0</x:v>
      </x:c>
      <x:c r="G2902" s="6">
        <x:v>0</x:v>
      </x:c>
      <x:c r="H2902" s="6">
        <x:f t="shared" si="140"/>
        <x:v>0</x:v>
      </x:c>
      <x:c r="I2902" s="6">
        <x:v>375074.89999999991</x:v>
      </x:c>
      <x:c r="J2902" s="6">
        <x:v>0</x:v>
      </x:c>
      <x:c r="K2902" s="6">
        <x:f t="shared" si="141"/>
        <x:v>375074.89999999991</x:v>
      </x:c>
      <x:c r="L2902" s="6">
        <x:v>0</x:v>
      </x:c>
      <x:c r="M2902" s="6">
        <x:v>0</x:v>
      </x:c>
      <x:c r="N2902" s="6">
        <x:f t="shared" si="142"/>
        <x:v>375074.89999999991</x:v>
      </x:c>
    </x:row>
    <x:row r="2903" spans="1:14" x14ac:dyDescent="0.25">
      <x:c r="A2903" t="s">
        <x:v>38</x:v>
      </x:c>
      <x:c r="B2903" s="3" t="s">
        <x:v>148</x:v>
      </x:c>
      <x:c r="C2903" s="3" t="s">
        <x:v>465</x:v>
      </x:c>
      <x:c r="D2903" t="s">
        <x:v>676</x:v>
      </x:c>
      <x:c r="E2903" s="6">
        <x:v>0</x:v>
      </x:c>
      <x:c r="F2903" s="6">
        <x:v>0</x:v>
      </x:c>
      <x:c r="G2903" s="6">
        <x:v>0</x:v>
      </x:c>
      <x:c r="H2903" s="6">
        <x:f t="shared" si="140"/>
        <x:v>0</x:v>
      </x:c>
      <x:c r="I2903" s="6">
        <x:v>208932.66000000003</x:v>
      </x:c>
      <x:c r="J2903" s="6">
        <x:v>0</x:v>
      </x:c>
      <x:c r="K2903" s="6">
        <x:f t="shared" si="141"/>
        <x:v>208932.66000000003</x:v>
      </x:c>
      <x:c r="L2903" s="6">
        <x:v>0</x:v>
      </x:c>
      <x:c r="M2903" s="6">
        <x:v>0</x:v>
      </x:c>
      <x:c r="N2903" s="6">
        <x:f t="shared" si="142"/>
        <x:v>208932.66000000003</x:v>
      </x:c>
    </x:row>
    <x:row r="2904" spans="1:14" x14ac:dyDescent="0.25">
      <x:c r="A2904" t="s">
        <x:v>38</x:v>
      </x:c>
      <x:c r="B2904" s="3" t="s">
        <x:v>149</x:v>
      </x:c>
      <x:c r="C2904" s="3" t="s">
        <x:v>466</x:v>
      </x:c>
      <x:c r="D2904" t="s">
        <x:v>676</x:v>
      </x:c>
      <x:c r="E2904" s="6">
        <x:v>0</x:v>
      </x:c>
      <x:c r="F2904" s="6">
        <x:v>0</x:v>
      </x:c>
      <x:c r="G2904" s="6">
        <x:v>0</x:v>
      </x:c>
      <x:c r="H2904" s="6">
        <x:f t="shared" si="140"/>
        <x:v>0</x:v>
      </x:c>
      <x:c r="I2904" s="6">
        <x:v>193786.74000000011</x:v>
      </x:c>
      <x:c r="J2904" s="6">
        <x:v>0</x:v>
      </x:c>
      <x:c r="K2904" s="6">
        <x:f t="shared" si="141"/>
        <x:v>193786.74000000011</x:v>
      </x:c>
      <x:c r="L2904" s="6">
        <x:v>0</x:v>
      </x:c>
      <x:c r="M2904" s="6">
        <x:v>0</x:v>
      </x:c>
      <x:c r="N2904" s="6">
        <x:f t="shared" si="142"/>
        <x:v>193786.74000000011</x:v>
      </x:c>
    </x:row>
    <x:row r="2905" spans="1:14" x14ac:dyDescent="0.25">
      <x:c r="A2905" t="s">
        <x:v>38</x:v>
      </x:c>
      <x:c r="B2905" s="3" t="s">
        <x:v>150</x:v>
      </x:c>
      <x:c r="C2905" s="3" t="s">
        <x:v>467</x:v>
      </x:c>
      <x:c r="D2905" t="s">
        <x:v>676</x:v>
      </x:c>
      <x:c r="E2905" s="6">
        <x:v>0</x:v>
      </x:c>
      <x:c r="F2905" s="6">
        <x:v>0</x:v>
      </x:c>
      <x:c r="G2905" s="6">
        <x:v>0</x:v>
      </x:c>
      <x:c r="H2905" s="6">
        <x:f t="shared" si="140"/>
        <x:v>0</x:v>
      </x:c>
      <x:c r="I2905" s="6">
        <x:v>235690.7399999999</x:v>
      </x:c>
      <x:c r="J2905" s="6">
        <x:v>0</x:v>
      </x:c>
      <x:c r="K2905" s="6">
        <x:f t="shared" si="141"/>
        <x:v>235690.7399999999</x:v>
      </x:c>
      <x:c r="L2905" s="6">
        <x:v>0</x:v>
      </x:c>
      <x:c r="M2905" s="6">
        <x:v>0</x:v>
      </x:c>
      <x:c r="N2905" s="6">
        <x:f t="shared" si="142"/>
        <x:v>235690.7399999999</x:v>
      </x:c>
    </x:row>
    <x:row r="2906" spans="1:14" x14ac:dyDescent="0.25">
      <x:c r="A2906" t="s">
        <x:v>38</x:v>
      </x:c>
      <x:c r="B2906" s="3" t="s">
        <x:v>151</x:v>
      </x:c>
      <x:c r="C2906" s="3" t="s">
        <x:v>468</x:v>
      </x:c>
      <x:c r="D2906" t="s">
        <x:v>676</x:v>
      </x:c>
      <x:c r="E2906" s="6">
        <x:v>0</x:v>
      </x:c>
      <x:c r="F2906" s="6">
        <x:v>0</x:v>
      </x:c>
      <x:c r="G2906" s="6">
        <x:v>0</x:v>
      </x:c>
      <x:c r="H2906" s="6">
        <x:f t="shared" si="140"/>
        <x:v>0</x:v>
      </x:c>
      <x:c r="I2906" s="6">
        <x:v>57409.87999999999</x:v>
      </x:c>
      <x:c r="J2906" s="6">
        <x:v>0</x:v>
      </x:c>
      <x:c r="K2906" s="6">
        <x:f t="shared" si="141"/>
        <x:v>57409.87999999999</x:v>
      </x:c>
      <x:c r="L2906" s="6">
        <x:v>0</x:v>
      </x:c>
      <x:c r="M2906" s="6">
        <x:v>0</x:v>
      </x:c>
      <x:c r="N2906" s="6">
        <x:f t="shared" si="142"/>
        <x:v>57409.87999999999</x:v>
      </x:c>
    </x:row>
    <x:row r="2907" spans="1:14" x14ac:dyDescent="0.25">
      <x:c r="A2907" t="s">
        <x:v>38</x:v>
      </x:c>
      <x:c r="B2907" s="3" t="s">
        <x:v>277</x:v>
      </x:c>
      <x:c r="C2907" s="3" t="s">
        <x:v>592</x:v>
      </x:c>
      <x:c r="D2907" t="s">
        <x:v>676</x:v>
      </x:c>
      <x:c r="E2907" s="6">
        <x:v>0</x:v>
      </x:c>
      <x:c r="F2907" s="6">
        <x:v>0</x:v>
      </x:c>
      <x:c r="G2907" s="6">
        <x:v>0</x:v>
      </x:c>
      <x:c r="H2907" s="6">
        <x:f t="shared" si="140"/>
        <x:v>0</x:v>
      </x:c>
      <x:c r="I2907" s="6">
        <x:v>315217.74</x:v>
      </x:c>
      <x:c r="J2907" s="6">
        <x:v>0</x:v>
      </x:c>
      <x:c r="K2907" s="6">
        <x:f t="shared" si="141"/>
        <x:v>315217.74</x:v>
      </x:c>
      <x:c r="L2907" s="6">
        <x:v>0</x:v>
      </x:c>
      <x:c r="M2907" s="6">
        <x:v>0</x:v>
      </x:c>
      <x:c r="N2907" s="6">
        <x:f t="shared" si="142"/>
        <x:v>315217.74</x:v>
      </x:c>
    </x:row>
    <x:row r="2908" spans="1:14" x14ac:dyDescent="0.25">
      <x:c r="A2908" t="s">
        <x:v>38</x:v>
      </x:c>
      <x:c r="B2908" s="3" t="s">
        <x:v>278</x:v>
      </x:c>
      <x:c r="C2908" s="3" t="s">
        <x:v>593</x:v>
      </x:c>
      <x:c r="D2908" t="s">
        <x:v>676</x:v>
      </x:c>
      <x:c r="E2908" s="6">
        <x:v>0</x:v>
      </x:c>
      <x:c r="F2908" s="6">
        <x:v>0</x:v>
      </x:c>
      <x:c r="G2908" s="6">
        <x:v>0</x:v>
      </x:c>
      <x:c r="H2908" s="6">
        <x:f t="shared" si="140"/>
        <x:v>0</x:v>
      </x:c>
      <x:c r="I2908" s="6">
        <x:v>17467.47</x:v>
      </x:c>
      <x:c r="J2908" s="6">
        <x:v>0</x:v>
      </x:c>
      <x:c r="K2908" s="6">
        <x:f t="shared" si="141"/>
        <x:v>17467.47</x:v>
      </x:c>
      <x:c r="L2908" s="6">
        <x:v>0</x:v>
      </x:c>
      <x:c r="M2908" s="6">
        <x:v>0</x:v>
      </x:c>
      <x:c r="N2908" s="6">
        <x:f t="shared" si="142"/>
        <x:v>17467.47</x:v>
      </x:c>
    </x:row>
    <x:row r="2909" spans="1:14" x14ac:dyDescent="0.25">
      <x:c r="A2909" t="s">
        <x:v>38</x:v>
      </x:c>
      <x:c r="B2909" s="3" t="s">
        <x:v>152</x:v>
      </x:c>
      <x:c r="C2909" s="3" t="s">
        <x:v>469</x:v>
      </x:c>
      <x:c r="D2909" t="s">
        <x:v>676</x:v>
      </x:c>
      <x:c r="E2909" s="6">
        <x:v>0</x:v>
      </x:c>
      <x:c r="F2909" s="6">
        <x:v>0</x:v>
      </x:c>
      <x:c r="G2909" s="6">
        <x:v>0</x:v>
      </x:c>
      <x:c r="H2909" s="6">
        <x:f t="shared" si="140"/>
        <x:v>0</x:v>
      </x:c>
      <x:c r="I2909" s="6">
        <x:v>450158.50000000017</x:v>
      </x:c>
      <x:c r="J2909" s="6">
        <x:v>0</x:v>
      </x:c>
      <x:c r="K2909" s="6">
        <x:f t="shared" si="141"/>
        <x:v>450158.50000000017</x:v>
      </x:c>
      <x:c r="L2909" s="6">
        <x:v>0</x:v>
      </x:c>
      <x:c r="M2909" s="6">
        <x:v>0</x:v>
      </x:c>
      <x:c r="N2909" s="6">
        <x:f t="shared" si="142"/>
        <x:v>450158.50000000017</x:v>
      </x:c>
    </x:row>
    <x:row r="2910" spans="1:14" x14ac:dyDescent="0.25">
      <x:c r="A2910" t="s">
        <x:v>38</x:v>
      </x:c>
      <x:c r="B2910" s="3" t="s">
        <x:v>153</x:v>
      </x:c>
      <x:c r="C2910" s="3" t="s">
        <x:v>470</x:v>
      </x:c>
      <x:c r="D2910" t="s">
        <x:v>676</x:v>
      </x:c>
      <x:c r="E2910" s="6">
        <x:v>0</x:v>
      </x:c>
      <x:c r="F2910" s="6">
        <x:v>0</x:v>
      </x:c>
      <x:c r="G2910" s="6">
        <x:v>0</x:v>
      </x:c>
      <x:c r="H2910" s="6">
        <x:f t="shared" si="140"/>
        <x:v>0</x:v>
      </x:c>
      <x:c r="I2910" s="6">
        <x:v>275908.88999999984</x:v>
      </x:c>
      <x:c r="J2910" s="6">
        <x:v>0</x:v>
      </x:c>
      <x:c r="K2910" s="6">
        <x:f t="shared" si="141"/>
        <x:v>275908.88999999984</x:v>
      </x:c>
      <x:c r="L2910" s="6">
        <x:v>0</x:v>
      </x:c>
      <x:c r="M2910" s="6">
        <x:v>0</x:v>
      </x:c>
      <x:c r="N2910" s="6">
        <x:f t="shared" si="142"/>
        <x:v>275908.88999999984</x:v>
      </x:c>
    </x:row>
    <x:row r="2911" spans="1:14" x14ac:dyDescent="0.25">
      <x:c r="A2911" t="s">
        <x:v>38</x:v>
      </x:c>
      <x:c r="B2911" s="3" t="s">
        <x:v>154</x:v>
      </x:c>
      <x:c r="C2911" s="3" t="s">
        <x:v>471</x:v>
      </x:c>
      <x:c r="D2911" t="s">
        <x:v>676</x:v>
      </x:c>
      <x:c r="E2911" s="6">
        <x:v>0</x:v>
      </x:c>
      <x:c r="F2911" s="6">
        <x:v>0</x:v>
      </x:c>
      <x:c r="G2911" s="6">
        <x:v>0</x:v>
      </x:c>
      <x:c r="H2911" s="6">
        <x:f t="shared" ref="H2911:H2974" si="143">SUM(E2911:G2911)</x:f>
        <x:v>0</x:v>
      </x:c>
      <x:c r="I2911" s="6">
        <x:v>315621.08000000025</x:v>
      </x:c>
      <x:c r="J2911" s="6">
        <x:v>0</x:v>
      </x:c>
      <x:c r="K2911" s="6">
        <x:f t="shared" ref="K2911:K2974" si="144">SUM(I2911:J2911)</x:f>
        <x:v>315621.08000000025</x:v>
      </x:c>
      <x:c r="L2911" s="6">
        <x:v>0</x:v>
      </x:c>
      <x:c r="M2911" s="6">
        <x:v>0</x:v>
      </x:c>
      <x:c r="N2911" s="6">
        <x:f t="shared" ref="N2911:N2974" si="145">+E2911+F2911+G2911+I2911+J2911+L2911+M2911</x:f>
        <x:v>315621.08000000025</x:v>
      </x:c>
    </x:row>
    <x:row r="2912" spans="1:14" x14ac:dyDescent="0.25">
      <x:c r="A2912" t="s">
        <x:v>38</x:v>
      </x:c>
      <x:c r="B2912" s="3" t="s">
        <x:v>155</x:v>
      </x:c>
      <x:c r="C2912" s="3" t="s">
        <x:v>472</x:v>
      </x:c>
      <x:c r="D2912" t="s">
        <x:v>676</x:v>
      </x:c>
      <x:c r="E2912" s="6">
        <x:v>0</x:v>
      </x:c>
      <x:c r="F2912" s="6">
        <x:v>0</x:v>
      </x:c>
      <x:c r="G2912" s="6">
        <x:v>0</x:v>
      </x:c>
      <x:c r="H2912" s="6">
        <x:f t="shared" si="143"/>
        <x:v>0</x:v>
      </x:c>
      <x:c r="I2912" s="6">
        <x:v>256293.50999999998</x:v>
      </x:c>
      <x:c r="J2912" s="6">
        <x:v>0</x:v>
      </x:c>
      <x:c r="K2912" s="6">
        <x:f t="shared" si="144"/>
        <x:v>256293.50999999998</x:v>
      </x:c>
      <x:c r="L2912" s="6">
        <x:v>0</x:v>
      </x:c>
      <x:c r="M2912" s="6">
        <x:v>0</x:v>
      </x:c>
      <x:c r="N2912" s="6">
        <x:f t="shared" si="145"/>
        <x:v>256293.50999999998</x:v>
      </x:c>
    </x:row>
    <x:row r="2913" spans="1:14" x14ac:dyDescent="0.25">
      <x:c r="A2913" t="s">
        <x:v>38</x:v>
      </x:c>
      <x:c r="B2913" s="3" t="s">
        <x:v>45</x:v>
      </x:c>
      <x:c r="C2913" s="3" t="s">
        <x:v>362</x:v>
      </x:c>
      <x:c r="D2913" t="s">
        <x:v>676</x:v>
      </x:c>
      <x:c r="E2913" s="6">
        <x:v>0</x:v>
      </x:c>
      <x:c r="F2913" s="6">
        <x:v>0</x:v>
      </x:c>
      <x:c r="G2913" s="6">
        <x:v>0</x:v>
      </x:c>
      <x:c r="H2913" s="6">
        <x:f t="shared" si="143"/>
        <x:v>0</x:v>
      </x:c>
      <x:c r="I2913" s="6">
        <x:v>143673.28</x:v>
      </x:c>
      <x:c r="J2913" s="6">
        <x:v>0</x:v>
      </x:c>
      <x:c r="K2913" s="6">
        <x:f t="shared" si="144"/>
        <x:v>143673.28</x:v>
      </x:c>
      <x:c r="L2913" s="6">
        <x:v>0</x:v>
      </x:c>
      <x:c r="M2913" s="6">
        <x:v>0</x:v>
      </x:c>
      <x:c r="N2913" s="6">
        <x:f t="shared" si="145"/>
        <x:v>143673.28</x:v>
      </x:c>
    </x:row>
    <x:row r="2914" spans="1:14" x14ac:dyDescent="0.25">
      <x:c r="A2914" t="s">
        <x:v>38</x:v>
      </x:c>
      <x:c r="B2914" s="3" t="s">
        <x:v>279</x:v>
      </x:c>
      <x:c r="C2914" s="3" t="s">
        <x:v>594</x:v>
      </x:c>
      <x:c r="D2914" t="s">
        <x:v>676</x:v>
      </x:c>
      <x:c r="E2914" s="6">
        <x:v>0</x:v>
      </x:c>
      <x:c r="F2914" s="6">
        <x:v>0</x:v>
      </x:c>
      <x:c r="G2914" s="6">
        <x:v>0</x:v>
      </x:c>
      <x:c r="H2914" s="6">
        <x:f t="shared" si="143"/>
        <x:v>0</x:v>
      </x:c>
      <x:c r="I2914" s="6">
        <x:v>2633.81</x:v>
      </x:c>
      <x:c r="J2914" s="6">
        <x:v>0</x:v>
      </x:c>
      <x:c r="K2914" s="6">
        <x:f t="shared" si="144"/>
        <x:v>2633.81</x:v>
      </x:c>
      <x:c r="L2914" s="6">
        <x:v>0</x:v>
      </x:c>
      <x:c r="M2914" s="6">
        <x:v>0</x:v>
      </x:c>
      <x:c r="N2914" s="6">
        <x:f t="shared" si="145"/>
        <x:v>2633.81</x:v>
      </x:c>
    </x:row>
    <x:row r="2915" spans="1:14" x14ac:dyDescent="0.25">
      <x:c r="A2915" t="s">
        <x:v>38</x:v>
      </x:c>
      <x:c r="B2915" s="3" t="s">
        <x:v>156</x:v>
      </x:c>
      <x:c r="C2915" s="3" t="s">
        <x:v>473</x:v>
      </x:c>
      <x:c r="D2915" t="s">
        <x:v>676</x:v>
      </x:c>
      <x:c r="E2915" s="6">
        <x:v>0</x:v>
      </x:c>
      <x:c r="F2915" s="6">
        <x:v>0</x:v>
      </x:c>
      <x:c r="G2915" s="6">
        <x:v>0</x:v>
      </x:c>
      <x:c r="H2915" s="6">
        <x:f t="shared" si="143"/>
        <x:v>0</x:v>
      </x:c>
      <x:c r="I2915" s="6">
        <x:v>199000.64000000007</x:v>
      </x:c>
      <x:c r="J2915" s="6">
        <x:v>0</x:v>
      </x:c>
      <x:c r="K2915" s="6">
        <x:f t="shared" si="144"/>
        <x:v>199000.64000000007</x:v>
      </x:c>
      <x:c r="L2915" s="6">
        <x:v>0</x:v>
      </x:c>
      <x:c r="M2915" s="6">
        <x:v>0</x:v>
      </x:c>
      <x:c r="N2915" s="6">
        <x:f t="shared" si="145"/>
        <x:v>199000.64000000007</x:v>
      </x:c>
    </x:row>
    <x:row r="2916" spans="1:14" x14ac:dyDescent="0.25">
      <x:c r="A2916" t="s">
        <x:v>38</x:v>
      </x:c>
      <x:c r="B2916" s="3" t="s">
        <x:v>157</x:v>
      </x:c>
      <x:c r="C2916" s="3" t="s">
        <x:v>474</x:v>
      </x:c>
      <x:c r="D2916" t="s">
        <x:v>676</x:v>
      </x:c>
      <x:c r="E2916" s="6">
        <x:v>0</x:v>
      </x:c>
      <x:c r="F2916" s="6">
        <x:v>0</x:v>
      </x:c>
      <x:c r="G2916" s="6">
        <x:v>0</x:v>
      </x:c>
      <x:c r="H2916" s="6">
        <x:f t="shared" si="143"/>
        <x:v>0</x:v>
      </x:c>
      <x:c r="I2916" s="6">
        <x:v>58607.05</x:v>
      </x:c>
      <x:c r="J2916" s="6">
        <x:v>0</x:v>
      </x:c>
      <x:c r="K2916" s="6">
        <x:f t="shared" si="144"/>
        <x:v>58607.05</x:v>
      </x:c>
      <x:c r="L2916" s="6">
        <x:v>0</x:v>
      </x:c>
      <x:c r="M2916" s="6">
        <x:v>0</x:v>
      </x:c>
      <x:c r="N2916" s="6">
        <x:f t="shared" si="145"/>
        <x:v>58607.05</x:v>
      </x:c>
    </x:row>
    <x:row r="2917" spans="1:14" x14ac:dyDescent="0.25">
      <x:c r="A2917" t="s">
        <x:v>38</x:v>
      </x:c>
      <x:c r="B2917" s="3" t="s">
        <x:v>158</x:v>
      </x:c>
      <x:c r="C2917" s="3" t="s">
        <x:v>475</x:v>
      </x:c>
      <x:c r="D2917" t="s">
        <x:v>676</x:v>
      </x:c>
      <x:c r="E2917" s="6">
        <x:v>0</x:v>
      </x:c>
      <x:c r="F2917" s="6">
        <x:v>0</x:v>
      </x:c>
      <x:c r="G2917" s="6">
        <x:v>0</x:v>
      </x:c>
      <x:c r="H2917" s="6">
        <x:f t="shared" si="143"/>
        <x:v>0</x:v>
      </x:c>
      <x:c r="I2917" s="6">
        <x:v>53522.700000000004</x:v>
      </x:c>
      <x:c r="J2917" s="6">
        <x:v>0</x:v>
      </x:c>
      <x:c r="K2917" s="6">
        <x:f t="shared" si="144"/>
        <x:v>53522.700000000004</x:v>
      </x:c>
      <x:c r="L2917" s="6">
        <x:v>0</x:v>
      </x:c>
      <x:c r="M2917" s="6">
        <x:v>0</x:v>
      </x:c>
      <x:c r="N2917" s="6">
        <x:f t="shared" si="145"/>
        <x:v>53522.700000000004</x:v>
      </x:c>
    </x:row>
    <x:row r="2918" spans="1:14" x14ac:dyDescent="0.25">
      <x:c r="A2918" t="s">
        <x:v>38</x:v>
      </x:c>
      <x:c r="B2918" s="3" t="s">
        <x:v>159</x:v>
      </x:c>
      <x:c r="C2918" s="3" t="s">
        <x:v>476</x:v>
      </x:c>
      <x:c r="D2918" t="s">
        <x:v>676</x:v>
      </x:c>
      <x:c r="E2918" s="6">
        <x:v>0</x:v>
      </x:c>
      <x:c r="F2918" s="6">
        <x:v>0</x:v>
      </x:c>
      <x:c r="G2918" s="6">
        <x:v>0</x:v>
      </x:c>
      <x:c r="H2918" s="6">
        <x:f t="shared" si="143"/>
        <x:v>0</x:v>
      </x:c>
      <x:c r="I2918" s="6">
        <x:v>6583.44</x:v>
      </x:c>
      <x:c r="J2918" s="6">
        <x:v>0</x:v>
      </x:c>
      <x:c r="K2918" s="6">
        <x:f t="shared" si="144"/>
        <x:v>6583.44</x:v>
      </x:c>
      <x:c r="L2918" s="6">
        <x:v>0</x:v>
      </x:c>
      <x:c r="M2918" s="6">
        <x:v>0</x:v>
      </x:c>
      <x:c r="N2918" s="6">
        <x:f t="shared" si="145"/>
        <x:v>6583.44</x:v>
      </x:c>
    </x:row>
    <x:row r="2919" spans="1:14" x14ac:dyDescent="0.25">
      <x:c r="A2919" t="s">
        <x:v>38</x:v>
      </x:c>
      <x:c r="B2919" s="3" t="s">
        <x:v>160</x:v>
      </x:c>
      <x:c r="C2919" s="3" t="s">
        <x:v>477</x:v>
      </x:c>
      <x:c r="D2919" t="s">
        <x:v>676</x:v>
      </x:c>
      <x:c r="E2919" s="6">
        <x:v>0</x:v>
      </x:c>
      <x:c r="F2919" s="6">
        <x:v>0</x:v>
      </x:c>
      <x:c r="G2919" s="6">
        <x:v>0</x:v>
      </x:c>
      <x:c r="H2919" s="6">
        <x:f t="shared" si="143"/>
        <x:v>0</x:v>
      </x:c>
      <x:c r="I2919" s="6">
        <x:v>208490.26999999996</x:v>
      </x:c>
      <x:c r="J2919" s="6">
        <x:v>0</x:v>
      </x:c>
      <x:c r="K2919" s="6">
        <x:f t="shared" si="144"/>
        <x:v>208490.26999999996</x:v>
      </x:c>
      <x:c r="L2919" s="6">
        <x:v>0</x:v>
      </x:c>
      <x:c r="M2919" s="6">
        <x:v>0</x:v>
      </x:c>
      <x:c r="N2919" s="6">
        <x:f t="shared" si="145"/>
        <x:v>208490.26999999996</x:v>
      </x:c>
    </x:row>
    <x:row r="2920" spans="1:14" x14ac:dyDescent="0.25">
      <x:c r="A2920" t="s">
        <x:v>38</x:v>
      </x:c>
      <x:c r="B2920" s="3" t="s">
        <x:v>161</x:v>
      </x:c>
      <x:c r="C2920" s="3" t="s">
        <x:v>478</x:v>
      </x:c>
      <x:c r="D2920" t="s">
        <x:v>676</x:v>
      </x:c>
      <x:c r="E2920" s="6">
        <x:v>0</x:v>
      </x:c>
      <x:c r="F2920" s="6">
        <x:v>0</x:v>
      </x:c>
      <x:c r="G2920" s="6">
        <x:v>0</x:v>
      </x:c>
      <x:c r="H2920" s="6">
        <x:f t="shared" si="143"/>
        <x:v>0</x:v>
      </x:c>
      <x:c r="I2920" s="6">
        <x:v>1274.5</x:v>
      </x:c>
      <x:c r="J2920" s="6">
        <x:v>0</x:v>
      </x:c>
      <x:c r="K2920" s="6">
        <x:f t="shared" si="144"/>
        <x:v>1274.5</x:v>
      </x:c>
      <x:c r="L2920" s="6">
        <x:v>0</x:v>
      </x:c>
      <x:c r="M2920" s="6">
        <x:v>0</x:v>
      </x:c>
      <x:c r="N2920" s="6">
        <x:f t="shared" si="145"/>
        <x:v>1274.5</x:v>
      </x:c>
    </x:row>
    <x:row r="2921" spans="1:14" x14ac:dyDescent="0.25">
      <x:c r="A2921" t="s">
        <x:v>38</x:v>
      </x:c>
      <x:c r="B2921" s="3" t="s">
        <x:v>162</x:v>
      </x:c>
      <x:c r="C2921" s="3" t="s">
        <x:v>479</x:v>
      </x:c>
      <x:c r="D2921" t="s">
        <x:v>676</x:v>
      </x:c>
      <x:c r="E2921" s="6">
        <x:v>0</x:v>
      </x:c>
      <x:c r="F2921" s="6">
        <x:v>0</x:v>
      </x:c>
      <x:c r="G2921" s="6">
        <x:v>0</x:v>
      </x:c>
      <x:c r="H2921" s="6">
        <x:f t="shared" si="143"/>
        <x:v>0</x:v>
      </x:c>
      <x:c r="I2921" s="6">
        <x:v>354801.69999999978</x:v>
      </x:c>
      <x:c r="J2921" s="6">
        <x:v>0</x:v>
      </x:c>
      <x:c r="K2921" s="6">
        <x:f t="shared" si="144"/>
        <x:v>354801.69999999978</x:v>
      </x:c>
      <x:c r="L2921" s="6">
        <x:v>0</x:v>
      </x:c>
      <x:c r="M2921" s="6">
        <x:v>0</x:v>
      </x:c>
      <x:c r="N2921" s="6">
        <x:f t="shared" si="145"/>
        <x:v>354801.69999999978</x:v>
      </x:c>
    </x:row>
    <x:row r="2922" spans="1:14" x14ac:dyDescent="0.25">
      <x:c r="A2922" t="s">
        <x:v>38</x:v>
      </x:c>
      <x:c r="B2922" s="3" t="s">
        <x:v>163</x:v>
      </x:c>
      <x:c r="C2922" s="3" t="s">
        <x:v>480</x:v>
      </x:c>
      <x:c r="D2922" t="s">
        <x:v>676</x:v>
      </x:c>
      <x:c r="E2922" s="6">
        <x:v>0</x:v>
      </x:c>
      <x:c r="F2922" s="6">
        <x:v>0</x:v>
      </x:c>
      <x:c r="G2922" s="6">
        <x:v>0</x:v>
      </x:c>
      <x:c r="H2922" s="6">
        <x:f t="shared" si="143"/>
        <x:v>0</x:v>
      </x:c>
      <x:c r="I2922" s="6">
        <x:v>181751.00000000006</x:v>
      </x:c>
      <x:c r="J2922" s="6">
        <x:v>0</x:v>
      </x:c>
      <x:c r="K2922" s="6">
        <x:f t="shared" si="144"/>
        <x:v>181751.00000000006</x:v>
      </x:c>
      <x:c r="L2922" s="6">
        <x:v>0</x:v>
      </x:c>
      <x:c r="M2922" s="6">
        <x:v>0</x:v>
      </x:c>
      <x:c r="N2922" s="6">
        <x:f t="shared" si="145"/>
        <x:v>181751.00000000006</x:v>
      </x:c>
    </x:row>
    <x:row r="2923" spans="1:14" x14ac:dyDescent="0.25">
      <x:c r="A2923" t="s">
        <x:v>38</x:v>
      </x:c>
      <x:c r="B2923" s="3" t="s">
        <x:v>164</x:v>
      </x:c>
      <x:c r="C2923" s="3" t="s">
        <x:v>481</x:v>
      </x:c>
      <x:c r="D2923" t="s">
        <x:v>676</x:v>
      </x:c>
      <x:c r="E2923" s="6">
        <x:v>0</x:v>
      </x:c>
      <x:c r="F2923" s="6">
        <x:v>0</x:v>
      </x:c>
      <x:c r="G2923" s="6">
        <x:v>0</x:v>
      </x:c>
      <x:c r="H2923" s="6">
        <x:f t="shared" si="143"/>
        <x:v>0</x:v>
      </x:c>
      <x:c r="I2923" s="6">
        <x:v>318814.70000000007</x:v>
      </x:c>
      <x:c r="J2923" s="6">
        <x:v>0</x:v>
      </x:c>
      <x:c r="K2923" s="6">
        <x:f t="shared" si="144"/>
        <x:v>318814.70000000007</x:v>
      </x:c>
      <x:c r="L2923" s="6">
        <x:v>0</x:v>
      </x:c>
      <x:c r="M2923" s="6">
        <x:v>0</x:v>
      </x:c>
      <x:c r="N2923" s="6">
        <x:f t="shared" si="145"/>
        <x:v>318814.70000000007</x:v>
      </x:c>
    </x:row>
    <x:row r="2924" spans="1:14" x14ac:dyDescent="0.25">
      <x:c r="A2924" t="s">
        <x:v>38</x:v>
      </x:c>
      <x:c r="B2924" s="3" t="s">
        <x:v>49</x:v>
      </x:c>
      <x:c r="C2924" s="3" t="s">
        <x:v>366</x:v>
      </x:c>
      <x:c r="D2924" t="s">
        <x:v>676</x:v>
      </x:c>
      <x:c r="E2924" s="6">
        <x:v>0</x:v>
      </x:c>
      <x:c r="F2924" s="6">
        <x:v>0</x:v>
      </x:c>
      <x:c r="G2924" s="6">
        <x:v>0</x:v>
      </x:c>
      <x:c r="H2924" s="6">
        <x:f t="shared" si="143"/>
        <x:v>0</x:v>
      </x:c>
      <x:c r="I2924" s="6">
        <x:v>403249.47000000003</x:v>
      </x:c>
      <x:c r="J2924" s="6">
        <x:v>0</x:v>
      </x:c>
      <x:c r="K2924" s="6">
        <x:f t="shared" si="144"/>
        <x:v>403249.47000000003</x:v>
      </x:c>
      <x:c r="L2924" s="6">
        <x:v>0</x:v>
      </x:c>
      <x:c r="M2924" s="6">
        <x:v>0</x:v>
      </x:c>
      <x:c r="N2924" s="6">
        <x:f t="shared" si="145"/>
        <x:v>403249.47000000003</x:v>
      </x:c>
    </x:row>
    <x:row r="2925" spans="1:14" x14ac:dyDescent="0.25">
      <x:c r="A2925" t="s">
        <x:v>38</x:v>
      </x:c>
      <x:c r="B2925" s="3" t="s">
        <x:v>165</x:v>
      </x:c>
      <x:c r="C2925" s="3" t="s">
        <x:v>482</x:v>
      </x:c>
      <x:c r="D2925" t="s">
        <x:v>676</x:v>
      </x:c>
      <x:c r="E2925" s="6">
        <x:v>0</x:v>
      </x:c>
      <x:c r="F2925" s="6">
        <x:v>0</x:v>
      </x:c>
      <x:c r="G2925" s="6">
        <x:v>0</x:v>
      </x:c>
      <x:c r="H2925" s="6">
        <x:f t="shared" si="143"/>
        <x:v>0</x:v>
      </x:c>
      <x:c r="I2925" s="6">
        <x:v>211625.95999999993</x:v>
      </x:c>
      <x:c r="J2925" s="6">
        <x:v>0</x:v>
      </x:c>
      <x:c r="K2925" s="6">
        <x:f t="shared" si="144"/>
        <x:v>211625.95999999993</x:v>
      </x:c>
      <x:c r="L2925" s="6">
        <x:v>0</x:v>
      </x:c>
      <x:c r="M2925" s="6">
        <x:v>0</x:v>
      </x:c>
      <x:c r="N2925" s="6">
        <x:f t="shared" si="145"/>
        <x:v>211625.95999999993</x:v>
      </x:c>
    </x:row>
    <x:row r="2926" spans="1:14" x14ac:dyDescent="0.25">
      <x:c r="A2926" t="s">
        <x:v>38</x:v>
      </x:c>
      <x:c r="B2926" s="3" t="s">
        <x:v>233</x:v>
      </x:c>
      <x:c r="C2926" s="3" t="s">
        <x:v>548</x:v>
      </x:c>
      <x:c r="D2926" t="s">
        <x:v>676</x:v>
      </x:c>
      <x:c r="E2926" s="6">
        <x:v>0</x:v>
      </x:c>
      <x:c r="F2926" s="6">
        <x:v>0</x:v>
      </x:c>
      <x:c r="G2926" s="6">
        <x:v>0</x:v>
      </x:c>
      <x:c r="H2926" s="6">
        <x:f t="shared" si="143"/>
        <x:v>0</x:v>
      </x:c>
      <x:c r="I2926" s="6">
        <x:v>10347.16</x:v>
      </x:c>
      <x:c r="J2926" s="6">
        <x:v>0</x:v>
      </x:c>
      <x:c r="K2926" s="6">
        <x:f t="shared" si="144"/>
        <x:v>10347.16</x:v>
      </x:c>
      <x:c r="L2926" s="6">
        <x:v>0</x:v>
      </x:c>
      <x:c r="M2926" s="6">
        <x:v>0</x:v>
      </x:c>
      <x:c r="N2926" s="6">
        <x:f t="shared" si="145"/>
        <x:v>10347.16</x:v>
      </x:c>
    </x:row>
    <x:row r="2927" spans="1:14" x14ac:dyDescent="0.25">
      <x:c r="A2927" t="s">
        <x:v>38</x:v>
      </x:c>
      <x:c r="B2927" s="3" t="s">
        <x:v>166</x:v>
      </x:c>
      <x:c r="C2927" s="3" t="s">
        <x:v>483</x:v>
      </x:c>
      <x:c r="D2927" t="s">
        <x:v>676</x:v>
      </x:c>
      <x:c r="E2927" s="6">
        <x:v>0</x:v>
      </x:c>
      <x:c r="F2927" s="6">
        <x:v>0</x:v>
      </x:c>
      <x:c r="G2927" s="6">
        <x:v>0</x:v>
      </x:c>
      <x:c r="H2927" s="6">
        <x:f t="shared" si="143"/>
        <x:v>0</x:v>
      </x:c>
      <x:c r="I2927" s="6">
        <x:v>17224.25</x:v>
      </x:c>
      <x:c r="J2927" s="6">
        <x:v>0</x:v>
      </x:c>
      <x:c r="K2927" s="6">
        <x:f t="shared" si="144"/>
        <x:v>17224.25</x:v>
      </x:c>
      <x:c r="L2927" s="6">
        <x:v>0</x:v>
      </x:c>
      <x:c r="M2927" s="6">
        <x:v>0</x:v>
      </x:c>
      <x:c r="N2927" s="6">
        <x:f t="shared" si="145"/>
        <x:v>17224.25</x:v>
      </x:c>
    </x:row>
    <x:row r="2928" spans="1:14" x14ac:dyDescent="0.25">
      <x:c r="A2928" t="s">
        <x:v>38</x:v>
      </x:c>
      <x:c r="B2928" s="3" t="s">
        <x:v>167</x:v>
      </x:c>
      <x:c r="C2928" s="3" t="s">
        <x:v>484</x:v>
      </x:c>
      <x:c r="D2928" t="s">
        <x:v>676</x:v>
      </x:c>
      <x:c r="E2928" s="6">
        <x:v>0</x:v>
      </x:c>
      <x:c r="F2928" s="6">
        <x:v>0</x:v>
      </x:c>
      <x:c r="G2928" s="6">
        <x:v>0</x:v>
      </x:c>
      <x:c r="H2928" s="6">
        <x:f t="shared" si="143"/>
        <x:v>0</x:v>
      </x:c>
      <x:c r="I2928" s="6">
        <x:v>162566.52999999994</x:v>
      </x:c>
      <x:c r="J2928" s="6">
        <x:v>0</x:v>
      </x:c>
      <x:c r="K2928" s="6">
        <x:f t="shared" si="144"/>
        <x:v>162566.52999999994</x:v>
      </x:c>
      <x:c r="L2928" s="6">
        <x:v>0</x:v>
      </x:c>
      <x:c r="M2928" s="6">
        <x:v>0</x:v>
      </x:c>
      <x:c r="N2928" s="6">
        <x:f t="shared" si="145"/>
        <x:v>162566.52999999994</x:v>
      </x:c>
    </x:row>
    <x:row r="2929" spans="1:14" x14ac:dyDescent="0.25">
      <x:c r="A2929" t="s">
        <x:v>38</x:v>
      </x:c>
      <x:c r="B2929" s="3" t="s">
        <x:v>281</x:v>
      </x:c>
      <x:c r="C2929" s="3" t="s">
        <x:v>596</x:v>
      </x:c>
      <x:c r="D2929" t="s">
        <x:v>679</x:v>
      </x:c>
      <x:c r="E2929" s="6">
        <x:v>28861.43</x:v>
      </x:c>
      <x:c r="F2929" s="6">
        <x:v>0</x:v>
      </x:c>
      <x:c r="G2929" s="6">
        <x:v>0</x:v>
      </x:c>
      <x:c r="H2929" s="6">
        <x:f t="shared" si="143"/>
        <x:v>28861.43</x:v>
      </x:c>
      <x:c r="I2929" s="6">
        <x:v>77083.650000000009</x:v>
      </x:c>
      <x:c r="J2929" s="6">
        <x:v>0</x:v>
      </x:c>
      <x:c r="K2929" s="6">
        <x:f t="shared" si="144"/>
        <x:v>77083.650000000009</x:v>
      </x:c>
      <x:c r="L2929" s="6">
        <x:v>21556.2</x:v>
      </x:c>
      <x:c r="M2929" s="6">
        <x:v>885.88000000000829</x:v>
      </x:c>
      <x:c r="N2929" s="6">
        <x:f t="shared" si="145"/>
        <x:v>128387.16000000002</x:v>
      </x:c>
    </x:row>
    <x:row r="2930" spans="1:14" x14ac:dyDescent="0.25">
      <x:c r="A2930" t="s">
        <x:v>38</x:v>
      </x:c>
      <x:c r="B2930" s="3" t="s">
        <x:v>227</x:v>
      </x:c>
      <x:c r="C2930" s="3" t="s">
        <x:v>485</x:v>
      </x:c>
      <x:c r="D2930" t="s">
        <x:v>676</x:v>
      </x:c>
      <x:c r="E2930" s="6">
        <x:v>0</x:v>
      </x:c>
      <x:c r="F2930" s="6">
        <x:v>0</x:v>
      </x:c>
      <x:c r="G2930" s="6">
        <x:v>0</x:v>
      </x:c>
      <x:c r="H2930" s="6">
        <x:f t="shared" si="143"/>
        <x:v>0</x:v>
      </x:c>
      <x:c r="I2930" s="6">
        <x:v>1124965.7</x:v>
      </x:c>
      <x:c r="J2930" s="6">
        <x:v>0</x:v>
      </x:c>
      <x:c r="K2930" s="6">
        <x:f t="shared" si="144"/>
        <x:v>1124965.7</x:v>
      </x:c>
      <x:c r="L2930" s="6">
        <x:v>0</x:v>
      </x:c>
      <x:c r="M2930" s="6">
        <x:v>0</x:v>
      </x:c>
      <x:c r="N2930" s="6">
        <x:f t="shared" si="145"/>
        <x:v>1124965.7</x:v>
      </x:c>
    </x:row>
    <x:row r="2931" spans="1:14" x14ac:dyDescent="0.25">
      <x:c r="A2931" t="s">
        <x:v>38</x:v>
      </x:c>
      <x:c r="B2931" s="3" t="s">
        <x:v>58</x:v>
      </x:c>
      <x:c r="C2931" s="3" t="s">
        <x:v>375</x:v>
      </x:c>
      <x:c r="D2931" t="s">
        <x:v>676</x:v>
      </x:c>
      <x:c r="E2931" s="6">
        <x:v>0</x:v>
      </x:c>
      <x:c r="F2931" s="6">
        <x:v>0</x:v>
      </x:c>
      <x:c r="G2931" s="6">
        <x:v>0</x:v>
      </x:c>
      <x:c r="H2931" s="6">
        <x:f t="shared" si="143"/>
        <x:v>0</x:v>
      </x:c>
      <x:c r="I2931" s="6">
        <x:v>120518.43000000001</x:v>
      </x:c>
      <x:c r="J2931" s="6">
        <x:v>0</x:v>
      </x:c>
      <x:c r="K2931" s="6">
        <x:f t="shared" si="144"/>
        <x:v>120518.43000000001</x:v>
      </x:c>
      <x:c r="L2931" s="6">
        <x:v>0</x:v>
      </x:c>
      <x:c r="M2931" s="6">
        <x:v>0</x:v>
      </x:c>
      <x:c r="N2931" s="6">
        <x:f t="shared" si="145"/>
        <x:v>120518.43000000001</x:v>
      </x:c>
    </x:row>
    <x:row r="2932" spans="1:14" x14ac:dyDescent="0.25">
      <x:c r="A2932" t="s">
        <x:v>38</x:v>
      </x:c>
      <x:c r="B2932" s="3" t="s">
        <x:v>168</x:v>
      </x:c>
      <x:c r="C2932" s="3" t="s">
        <x:v>460</x:v>
      </x:c>
      <x:c r="D2932" t="s">
        <x:v>676</x:v>
      </x:c>
      <x:c r="E2932" s="6">
        <x:v>0</x:v>
      </x:c>
      <x:c r="F2932" s="6">
        <x:v>0</x:v>
      </x:c>
      <x:c r="G2932" s="6">
        <x:v>0</x:v>
      </x:c>
      <x:c r="H2932" s="6">
        <x:f t="shared" si="143"/>
        <x:v>0</x:v>
      </x:c>
      <x:c r="I2932" s="6">
        <x:v>181930.92999999996</x:v>
      </x:c>
      <x:c r="J2932" s="6">
        <x:v>0</x:v>
      </x:c>
      <x:c r="K2932" s="6">
        <x:f t="shared" si="144"/>
        <x:v>181930.92999999996</x:v>
      </x:c>
      <x:c r="L2932" s="6">
        <x:v>0</x:v>
      </x:c>
      <x:c r="M2932" s="6">
        <x:v>0</x:v>
      </x:c>
      <x:c r="N2932" s="6">
        <x:f t="shared" si="145"/>
        <x:v>181930.92999999996</x:v>
      </x:c>
    </x:row>
    <x:row r="2933" spans="1:14" x14ac:dyDescent="0.25">
      <x:c r="A2933" t="s">
        <x:v>38</x:v>
      </x:c>
      <x:c r="B2933" s="3" t="s">
        <x:v>234</x:v>
      </x:c>
      <x:c r="C2933" s="3" t="s">
        <x:v>549</x:v>
      </x:c>
      <x:c r="D2933" t="s">
        <x:v>676</x:v>
      </x:c>
      <x:c r="E2933" s="6">
        <x:v>0</x:v>
      </x:c>
      <x:c r="F2933" s="6">
        <x:v>0</x:v>
      </x:c>
      <x:c r="G2933" s="6">
        <x:v>0</x:v>
      </x:c>
      <x:c r="H2933" s="6">
        <x:f t="shared" si="143"/>
        <x:v>0</x:v>
      </x:c>
      <x:c r="I2933" s="6">
        <x:v>82231.87999999999</x:v>
      </x:c>
      <x:c r="J2933" s="6">
        <x:v>0</x:v>
      </x:c>
      <x:c r="K2933" s="6">
        <x:f t="shared" si="144"/>
        <x:v>82231.87999999999</x:v>
      </x:c>
      <x:c r="L2933" s="6">
        <x:v>0</x:v>
      </x:c>
      <x:c r="M2933" s="6">
        <x:v>0</x:v>
      </x:c>
      <x:c r="N2933" s="6">
        <x:f t="shared" si="145"/>
        <x:v>82231.87999999999</x:v>
      </x:c>
    </x:row>
    <x:row r="2934" spans="1:14" x14ac:dyDescent="0.25">
      <x:c r="A2934" t="s">
        <x:v>38</x:v>
      </x:c>
      <x:c r="B2934" s="3" t="s">
        <x:v>282</x:v>
      </x:c>
      <x:c r="C2934" s="3" t="s">
        <x:v>597</x:v>
      </x:c>
      <x:c r="D2934" t="s">
        <x:v>679</x:v>
      </x:c>
      <x:c r="E2934" s="6">
        <x:v>36528.619999999995</x:v>
      </x:c>
      <x:c r="F2934" s="6">
        <x:v>0</x:v>
      </x:c>
      <x:c r="G2934" s="6">
        <x:v>0</x:v>
      </x:c>
      <x:c r="H2934" s="6">
        <x:f t="shared" si="143"/>
        <x:v>36528.619999999995</x:v>
      </x:c>
      <x:c r="I2934" s="6">
        <x:v>97561.31</x:v>
      </x:c>
      <x:c r="J2934" s="6">
        <x:v>0</x:v>
      </x:c>
      <x:c r="K2934" s="6">
        <x:f t="shared" si="144"/>
        <x:v>97561.31</x:v>
      </x:c>
      <x:c r="L2934" s="6">
        <x:v>27282.730000000003</x:v>
      </x:c>
      <x:c r="M2934" s="6">
        <x:v>1121.2100000000064</x:v>
      </x:c>
      <x:c r="N2934" s="6">
        <x:f t="shared" si="145"/>
        <x:v>162493.87</x:v>
      </x:c>
    </x:row>
    <x:row r="2935" spans="1:14" x14ac:dyDescent="0.25">
      <x:c r="A2935" t="s">
        <x:v>38</x:v>
      </x:c>
      <x:c r="B2935" s="3" t="s">
        <x:v>283</x:v>
      </x:c>
      <x:c r="C2935" s="3" t="s">
        <x:v>598</x:v>
      </x:c>
      <x:c r="D2935" t="s">
        <x:v>679</x:v>
      </x:c>
      <x:c r="E2935" s="6">
        <x:v>13071.819999999998</x:v>
      </x:c>
      <x:c r="F2935" s="6">
        <x:v>0</x:v>
      </x:c>
      <x:c r="G2935" s="6">
        <x:v>0</x:v>
      </x:c>
      <x:c r="H2935" s="6">
        <x:f t="shared" si="143"/>
        <x:v>13071.819999999998</x:v>
      </x:c>
      <x:c r="I2935" s="6">
        <x:v>34912.46</x:v>
      </x:c>
      <x:c r="J2935" s="6">
        <x:v>0</x:v>
      </x:c>
      <x:c r="K2935" s="6">
        <x:f t="shared" si="144"/>
        <x:v>34912.46</x:v>
      </x:c>
      <x:c r="L2935" s="6">
        <x:v>9763.16</x:v>
      </x:c>
      <x:c r="M2935" s="6">
        <x:v>401.23000000000184</x:v>
      </x:c>
      <x:c r="N2935" s="6">
        <x:f t="shared" si="145"/>
        <x:v>58148.670000000006</x:v>
      </x:c>
    </x:row>
    <x:row r="2936" spans="1:14" x14ac:dyDescent="0.25">
      <x:c r="A2936" t="s">
        <x:v>38</x:v>
      </x:c>
      <x:c r="B2936" s="3" t="s">
        <x:v>59</x:v>
      </x:c>
      <x:c r="C2936" s="3" t="s">
        <x:v>376</x:v>
      </x:c>
      <x:c r="D2936" t="s">
        <x:v>679</x:v>
      </x:c>
      <x:c r="E2936" s="6">
        <x:v>54480.46</x:v>
      </x:c>
      <x:c r="F2936" s="6">
        <x:v>0</x:v>
      </x:c>
      <x:c r="G2936" s="6">
        <x:v>0</x:v>
      </x:c>
      <x:c r="H2936" s="6">
        <x:f t="shared" si="143"/>
        <x:v>54480.46</x:v>
      </x:c>
      <x:c r="I2936" s="6">
        <x:v>145507.41999999998</x:v>
      </x:c>
      <x:c r="J2936" s="6">
        <x:v>0</x:v>
      </x:c>
      <x:c r="K2936" s="6">
        <x:f t="shared" si="144"/>
        <x:v>145507.41999999998</x:v>
      </x:c>
      <x:c r="L2936" s="6">
        <x:v>40690.699999999997</x:v>
      </x:c>
      <x:c r="M2936" s="6">
        <x:v>1672.2399999999852</x:v>
      </x:c>
      <x:c r="N2936" s="6">
        <x:f t="shared" si="145"/>
        <x:v>242350.81999999995</x:v>
      </x:c>
    </x:row>
    <x:row r="2937" spans="1:14" x14ac:dyDescent="0.25">
      <x:c r="A2937" t="s">
        <x:v>38</x:v>
      </x:c>
      <x:c r="B2937" s="3" t="s">
        <x:v>60</x:v>
      </x:c>
      <x:c r="C2937" s="3" t="s">
        <x:v>377</x:v>
      </x:c>
      <x:c r="D2937" t="s">
        <x:v>679</x:v>
      </x:c>
      <x:c r="E2937" s="6">
        <x:v>34619.949999999997</x:v>
      </x:c>
      <x:c r="F2937" s="6">
        <x:v>0</x:v>
      </x:c>
      <x:c r="G2937" s="6">
        <x:v>0</x:v>
      </x:c>
      <x:c r="H2937" s="6">
        <x:f t="shared" si="143"/>
        <x:v>34619.949999999997</x:v>
      </x:c>
      <x:c r="I2937" s="6">
        <x:v>92463.6</x:v>
      </x:c>
      <x:c r="J2937" s="6">
        <x:v>0</x:v>
      </x:c>
      <x:c r="K2937" s="6">
        <x:f t="shared" si="144"/>
        <x:v>92463.6</x:v>
      </x:c>
      <x:c r="L2937" s="6">
        <x:v>25857.16</x:v>
      </x:c>
      <x:c r="M2937" s="6">
        <x:v>1062.6199999999958</x:v>
      </x:c>
      <x:c r="N2937" s="6">
        <x:f t="shared" si="145"/>
        <x:v>154003.32999999999</x:v>
      </x:c>
    </x:row>
    <x:row r="2938" spans="1:14" x14ac:dyDescent="0.25">
      <x:c r="A2938" t="s">
        <x:v>38</x:v>
      </x:c>
      <x:c r="B2938" s="3" t="s">
        <x:v>169</x:v>
      </x:c>
      <x:c r="C2938" s="3" t="s">
        <x:v>485</x:v>
      </x:c>
      <x:c r="D2938" t="s">
        <x:v>676</x:v>
      </x:c>
      <x:c r="E2938" s="6">
        <x:v>0</x:v>
      </x:c>
      <x:c r="F2938" s="6">
        <x:v>0</x:v>
      </x:c>
      <x:c r="G2938" s="6">
        <x:v>0</x:v>
      </x:c>
      <x:c r="H2938" s="6">
        <x:f t="shared" si="143"/>
        <x:v>0</x:v>
      </x:c>
      <x:c r="I2938" s="6">
        <x:v>1412318.5900000003</x:v>
      </x:c>
      <x:c r="J2938" s="6">
        <x:v>0</x:v>
      </x:c>
      <x:c r="K2938" s="6">
        <x:f t="shared" si="144"/>
        <x:v>1412318.5900000003</x:v>
      </x:c>
      <x:c r="L2938" s="6">
        <x:v>0</x:v>
      </x:c>
      <x:c r="M2938" s="6">
        <x:v>0</x:v>
      </x:c>
      <x:c r="N2938" s="6">
        <x:f t="shared" si="145"/>
        <x:v>1412318.5900000003</x:v>
      </x:c>
    </x:row>
    <x:row r="2939" spans="1:14" x14ac:dyDescent="0.25">
      <x:c r="A2939" t="s">
        <x:v>38</x:v>
      </x:c>
      <x:c r="B2939" s="3" t="s">
        <x:v>170</x:v>
      </x:c>
      <x:c r="C2939" s="3" t="s">
        <x:v>486</x:v>
      </x:c>
      <x:c r="D2939" t="s">
        <x:v>676</x:v>
      </x:c>
      <x:c r="E2939" s="6">
        <x:v>0</x:v>
      </x:c>
      <x:c r="F2939" s="6">
        <x:v>0</x:v>
      </x:c>
      <x:c r="G2939" s="6">
        <x:v>0</x:v>
      </x:c>
      <x:c r="H2939" s="6">
        <x:f t="shared" si="143"/>
        <x:v>0</x:v>
      </x:c>
      <x:c r="I2939" s="6">
        <x:v>11479.93</x:v>
      </x:c>
      <x:c r="J2939" s="6">
        <x:v>0</x:v>
      </x:c>
      <x:c r="K2939" s="6">
        <x:f t="shared" si="144"/>
        <x:v>11479.93</x:v>
      </x:c>
      <x:c r="L2939" s="6">
        <x:v>0</x:v>
      </x:c>
      <x:c r="M2939" s="6">
        <x:v>0</x:v>
      </x:c>
      <x:c r="N2939" s="6">
        <x:f t="shared" si="145"/>
        <x:v>11479.93</x:v>
      </x:c>
    </x:row>
    <x:row r="2940" spans="1:14" x14ac:dyDescent="0.25">
      <x:c r="A2940" t="s">
        <x:v>38</x:v>
      </x:c>
      <x:c r="B2940" s="3" t="s">
        <x:v>171</x:v>
      </x:c>
      <x:c r="C2940" s="3" t="s">
        <x:v>487</x:v>
      </x:c>
      <x:c r="D2940" t="s">
        <x:v>676</x:v>
      </x:c>
      <x:c r="E2940" s="6">
        <x:v>0</x:v>
      </x:c>
      <x:c r="F2940" s="6">
        <x:v>0</x:v>
      </x:c>
      <x:c r="G2940" s="6">
        <x:v>0</x:v>
      </x:c>
      <x:c r="H2940" s="6">
        <x:f t="shared" si="143"/>
        <x:v>0</x:v>
      </x:c>
      <x:c r="I2940" s="6">
        <x:v>17185.349999999999</x:v>
      </x:c>
      <x:c r="J2940" s="6">
        <x:v>0</x:v>
      </x:c>
      <x:c r="K2940" s="6">
        <x:f t="shared" si="144"/>
        <x:v>17185.349999999999</x:v>
      </x:c>
      <x:c r="L2940" s="6">
        <x:v>0</x:v>
      </x:c>
      <x:c r="M2940" s="6">
        <x:v>0</x:v>
      </x:c>
      <x:c r="N2940" s="6">
        <x:f t="shared" si="145"/>
        <x:v>17185.349999999999</x:v>
      </x:c>
    </x:row>
    <x:row r="2941" spans="1:14" x14ac:dyDescent="0.25">
      <x:c r="A2941" t="s">
        <x:v>38</x:v>
      </x:c>
      <x:c r="B2941" s="3" t="s">
        <x:v>172</x:v>
      </x:c>
      <x:c r="C2941" s="3" t="s">
        <x:v>488</x:v>
      </x:c>
      <x:c r="D2941" t="s">
        <x:v>676</x:v>
      </x:c>
      <x:c r="E2941" s="6">
        <x:v>0</x:v>
      </x:c>
      <x:c r="F2941" s="6">
        <x:v>0</x:v>
      </x:c>
      <x:c r="G2941" s="6">
        <x:v>0</x:v>
      </x:c>
      <x:c r="H2941" s="6">
        <x:f t="shared" si="143"/>
        <x:v>0</x:v>
      </x:c>
      <x:c r="I2941" s="6">
        <x:v>107926.02999999997</x:v>
      </x:c>
      <x:c r="J2941" s="6">
        <x:v>0</x:v>
      </x:c>
      <x:c r="K2941" s="6">
        <x:f t="shared" si="144"/>
        <x:v>107926.02999999997</x:v>
      </x:c>
      <x:c r="L2941" s="6">
        <x:v>0</x:v>
      </x:c>
      <x:c r="M2941" s="6">
        <x:v>0</x:v>
      </x:c>
      <x:c r="N2941" s="6">
        <x:f t="shared" si="145"/>
        <x:v>107926.02999999997</x:v>
      </x:c>
    </x:row>
    <x:row r="2942" spans="1:14" x14ac:dyDescent="0.25">
      <x:c r="A2942" t="s">
        <x:v>38</x:v>
      </x:c>
      <x:c r="B2942" s="3" t="s">
        <x:v>173</x:v>
      </x:c>
      <x:c r="C2942" s="3" t="s">
        <x:v>489</x:v>
      </x:c>
      <x:c r="D2942" t="s">
        <x:v>676</x:v>
      </x:c>
      <x:c r="E2942" s="6">
        <x:v>0</x:v>
      </x:c>
      <x:c r="F2942" s="6">
        <x:v>0</x:v>
      </x:c>
      <x:c r="G2942" s="6">
        <x:v>0</x:v>
      </x:c>
      <x:c r="H2942" s="6">
        <x:f t="shared" si="143"/>
        <x:v>0</x:v>
      </x:c>
      <x:c r="I2942" s="6">
        <x:v>171871.43999999997</x:v>
      </x:c>
      <x:c r="J2942" s="6">
        <x:v>0</x:v>
      </x:c>
      <x:c r="K2942" s="6">
        <x:f t="shared" si="144"/>
        <x:v>171871.43999999997</x:v>
      </x:c>
      <x:c r="L2942" s="6">
        <x:v>0</x:v>
      </x:c>
      <x:c r="M2942" s="6">
        <x:v>0</x:v>
      </x:c>
      <x:c r="N2942" s="6">
        <x:f t="shared" si="145"/>
        <x:v>171871.43999999997</x:v>
      </x:c>
    </x:row>
    <x:row r="2943" spans="1:14" x14ac:dyDescent="0.25">
      <x:c r="A2943" t="s">
        <x:v>38</x:v>
      </x:c>
      <x:c r="B2943" s="3" t="s">
        <x:v>174</x:v>
      </x:c>
      <x:c r="C2943" s="3" t="s">
        <x:v>490</x:v>
      </x:c>
      <x:c r="D2943" t="s">
        <x:v>676</x:v>
      </x:c>
      <x:c r="E2943" s="6">
        <x:v>0</x:v>
      </x:c>
      <x:c r="F2943" s="6">
        <x:v>0</x:v>
      </x:c>
      <x:c r="G2943" s="6">
        <x:v>0</x:v>
      </x:c>
      <x:c r="H2943" s="6">
        <x:f t="shared" si="143"/>
        <x:v>0</x:v>
      </x:c>
      <x:c r="I2943" s="6">
        <x:v>214162.58999999994</x:v>
      </x:c>
      <x:c r="J2943" s="6">
        <x:v>0</x:v>
      </x:c>
      <x:c r="K2943" s="6">
        <x:f t="shared" si="144"/>
        <x:v>214162.58999999994</x:v>
      </x:c>
      <x:c r="L2943" s="6">
        <x:v>0</x:v>
      </x:c>
      <x:c r="M2943" s="6">
        <x:v>0</x:v>
      </x:c>
      <x:c r="N2943" s="6">
        <x:f t="shared" si="145"/>
        <x:v>214162.58999999994</x:v>
      </x:c>
    </x:row>
    <x:row r="2944" spans="1:14" x14ac:dyDescent="0.25">
      <x:c r="A2944" t="s">
        <x:v>38</x:v>
      </x:c>
      <x:c r="B2944" s="3" t="s">
        <x:v>61</x:v>
      </x:c>
      <x:c r="C2944" s="3" t="s">
        <x:v>378</x:v>
      </x:c>
      <x:c r="D2944" t="s">
        <x:v>676</x:v>
      </x:c>
      <x:c r="E2944" s="6">
        <x:v>0</x:v>
      </x:c>
      <x:c r="F2944" s="6">
        <x:v>0</x:v>
      </x:c>
      <x:c r="G2944" s="6">
        <x:v>0</x:v>
      </x:c>
      <x:c r="H2944" s="6">
        <x:f t="shared" si="143"/>
        <x:v>0</x:v>
      </x:c>
      <x:c r="I2944" s="6">
        <x:v>0</x:v>
      </x:c>
      <x:c r="J2944" s="6">
        <x:v>0</x:v>
      </x:c>
      <x:c r="K2944" s="6">
        <x:f t="shared" si="144"/>
        <x:v>0</x:v>
      </x:c>
      <x:c r="L2944" s="6">
        <x:v>256944.83999999997</x:v>
      </x:c>
      <x:c r="M2944" s="6">
        <x:v>0</x:v>
      </x:c>
      <x:c r="N2944" s="6">
        <x:f t="shared" si="145"/>
        <x:v>256944.83999999997</x:v>
      </x:c>
    </x:row>
    <x:row r="2945" spans="1:14" x14ac:dyDescent="0.25">
      <x:c r="A2945" t="s">
        <x:v>38</x:v>
      </x:c>
      <x:c r="B2945" s="3" t="s">
        <x:v>262</x:v>
      </x:c>
      <x:c r="C2945" s="3" t="s">
        <x:v>577</x:v>
      </x:c>
      <x:c r="D2945" t="s">
        <x:v>676</x:v>
      </x:c>
      <x:c r="E2945" s="6">
        <x:v>0</x:v>
      </x:c>
      <x:c r="F2945" s="6">
        <x:v>0</x:v>
      </x:c>
      <x:c r="G2945" s="6">
        <x:v>0</x:v>
      </x:c>
      <x:c r="H2945" s="6">
        <x:f t="shared" si="143"/>
        <x:v>0</x:v>
      </x:c>
      <x:c r="I2945" s="6">
        <x:v>0</x:v>
      </x:c>
      <x:c r="J2945" s="6">
        <x:v>0</x:v>
      </x:c>
      <x:c r="K2945" s="6">
        <x:f t="shared" si="144"/>
        <x:v>0</x:v>
      </x:c>
      <x:c r="L2945" s="6">
        <x:v>-0.7</x:v>
      </x:c>
      <x:c r="M2945" s="6">
        <x:v>0</x:v>
      </x:c>
      <x:c r="N2945" s="6">
        <x:f t="shared" si="145"/>
        <x:v>-0.7</x:v>
      </x:c>
    </x:row>
    <x:row r="2946" spans="1:14" x14ac:dyDescent="0.25">
      <x:c r="A2946" t="s">
        <x:v>38</x:v>
      </x:c>
      <x:c r="B2946" s="3" t="s">
        <x:v>175</x:v>
      </x:c>
      <x:c r="C2946" s="3" t="s">
        <x:v>491</x:v>
      </x:c>
      <x:c r="D2946" t="s">
        <x:v>676</x:v>
      </x:c>
      <x:c r="E2946" s="6">
        <x:v>0</x:v>
      </x:c>
      <x:c r="F2946" s="6">
        <x:v>0</x:v>
      </x:c>
      <x:c r="G2946" s="6">
        <x:v>0</x:v>
      </x:c>
      <x:c r="H2946" s="6">
        <x:f t="shared" si="143"/>
        <x:v>0</x:v>
      </x:c>
      <x:c r="I2946" s="6">
        <x:v>46640.81</x:v>
      </x:c>
      <x:c r="J2946" s="6">
        <x:v>0</x:v>
      </x:c>
      <x:c r="K2946" s="6">
        <x:f t="shared" si="144"/>
        <x:v>46640.81</x:v>
      </x:c>
      <x:c r="L2946" s="6">
        <x:v>0</x:v>
      </x:c>
      <x:c r="M2946" s="6">
        <x:v>0</x:v>
      </x:c>
      <x:c r="N2946" s="6">
        <x:f t="shared" si="145"/>
        <x:v>46640.81</x:v>
      </x:c>
    </x:row>
    <x:row r="2947" spans="1:14" x14ac:dyDescent="0.25">
      <x:c r="A2947" t="s">
        <x:v>38</x:v>
      </x:c>
      <x:c r="B2947" s="3" t="s">
        <x:v>176</x:v>
      </x:c>
      <x:c r="C2947" s="3" t="s">
        <x:v>492</x:v>
      </x:c>
      <x:c r="D2947" t="s">
        <x:v>676</x:v>
      </x:c>
      <x:c r="E2947" s="6">
        <x:v>0</x:v>
      </x:c>
      <x:c r="F2947" s="6">
        <x:v>0</x:v>
      </x:c>
      <x:c r="G2947" s="6">
        <x:v>0</x:v>
      </x:c>
      <x:c r="H2947" s="6">
        <x:f t="shared" si="143"/>
        <x:v>0</x:v>
      </x:c>
      <x:c r="I2947" s="6">
        <x:v>233432.73000000004</x:v>
      </x:c>
      <x:c r="J2947" s="6">
        <x:v>0</x:v>
      </x:c>
      <x:c r="K2947" s="6">
        <x:f t="shared" si="144"/>
        <x:v>233432.73000000004</x:v>
      </x:c>
      <x:c r="L2947" s="6">
        <x:v>0</x:v>
      </x:c>
      <x:c r="M2947" s="6">
        <x:v>0</x:v>
      </x:c>
      <x:c r="N2947" s="6">
        <x:f t="shared" si="145"/>
        <x:v>233432.73000000004</x:v>
      </x:c>
    </x:row>
    <x:row r="2948" spans="1:14" x14ac:dyDescent="0.25">
      <x:c r="A2948" t="s">
        <x:v>38</x:v>
      </x:c>
      <x:c r="B2948" s="3" t="s">
        <x:v>177</x:v>
      </x:c>
      <x:c r="C2948" s="3" t="s">
        <x:v>493</x:v>
      </x:c>
      <x:c r="D2948" t="s">
        <x:v>676</x:v>
      </x:c>
      <x:c r="E2948" s="6">
        <x:v>0</x:v>
      </x:c>
      <x:c r="F2948" s="6">
        <x:v>0</x:v>
      </x:c>
      <x:c r="G2948" s="6">
        <x:v>0</x:v>
      </x:c>
      <x:c r="H2948" s="6">
        <x:f t="shared" si="143"/>
        <x:v>0</x:v>
      </x:c>
      <x:c r="I2948" s="6">
        <x:v>210840.07000000007</x:v>
      </x:c>
      <x:c r="J2948" s="6">
        <x:v>0</x:v>
      </x:c>
      <x:c r="K2948" s="6">
        <x:f t="shared" si="144"/>
        <x:v>210840.07000000007</x:v>
      </x:c>
      <x:c r="L2948" s="6">
        <x:v>0</x:v>
      </x:c>
      <x:c r="M2948" s="6">
        <x:v>0</x:v>
      </x:c>
      <x:c r="N2948" s="6">
        <x:f t="shared" si="145"/>
        <x:v>210840.07000000007</x:v>
      </x:c>
    </x:row>
    <x:row r="2949" spans="1:14" x14ac:dyDescent="0.25">
      <x:c r="A2949" t="s">
        <x:v>38</x:v>
      </x:c>
      <x:c r="B2949" s="3" t="s">
        <x:v>263</x:v>
      </x:c>
      <x:c r="C2949" s="3" t="s">
        <x:v>578</x:v>
      </x:c>
      <x:c r="D2949" t="s">
        <x:v>676</x:v>
      </x:c>
      <x:c r="E2949" s="6">
        <x:v>0</x:v>
      </x:c>
      <x:c r="F2949" s="6">
        <x:v>0</x:v>
      </x:c>
      <x:c r="G2949" s="6">
        <x:v>0</x:v>
      </x:c>
      <x:c r="H2949" s="6">
        <x:f t="shared" si="143"/>
        <x:v>0</x:v>
      </x:c>
      <x:c r="I2949" s="6">
        <x:v>0</x:v>
      </x:c>
      <x:c r="J2949" s="6">
        <x:v>0</x:v>
      </x:c>
      <x:c r="K2949" s="6">
        <x:f t="shared" si="144"/>
        <x:v>0</x:v>
      </x:c>
      <x:c r="L2949" s="6">
        <x:v>211177.55</x:v>
      </x:c>
      <x:c r="M2949" s="6">
        <x:v>0</x:v>
      </x:c>
      <x:c r="N2949" s="6">
        <x:f t="shared" si="145"/>
        <x:v>211177.55</x:v>
      </x:c>
    </x:row>
    <x:row r="2950" spans="1:14" x14ac:dyDescent="0.25">
      <x:c r="A2950" t="s">
        <x:v>38</x:v>
      </x:c>
      <x:c r="B2950" s="3" t="s">
        <x:v>178</x:v>
      </x:c>
      <x:c r="C2950" s="3" t="s">
        <x:v>494</x:v>
      </x:c>
      <x:c r="D2950" t="s">
        <x:v>676</x:v>
      </x:c>
      <x:c r="E2950" s="6">
        <x:v>0</x:v>
      </x:c>
      <x:c r="F2950" s="6">
        <x:v>0</x:v>
      </x:c>
      <x:c r="G2950" s="6">
        <x:v>0</x:v>
      </x:c>
      <x:c r="H2950" s="6">
        <x:f t="shared" si="143"/>
        <x:v>0</x:v>
      </x:c>
      <x:c r="I2950" s="6">
        <x:v>257502.49</x:v>
      </x:c>
      <x:c r="J2950" s="6">
        <x:v>0</x:v>
      </x:c>
      <x:c r="K2950" s="6">
        <x:f t="shared" si="144"/>
        <x:v>257502.49</x:v>
      </x:c>
      <x:c r="L2950" s="6">
        <x:v>0</x:v>
      </x:c>
      <x:c r="M2950" s="6">
        <x:v>0</x:v>
      </x:c>
      <x:c r="N2950" s="6">
        <x:f t="shared" si="145"/>
        <x:v>257502.49</x:v>
      </x:c>
    </x:row>
    <x:row r="2951" spans="1:14" x14ac:dyDescent="0.25">
      <x:c r="A2951" t="s">
        <x:v>38</x:v>
      </x:c>
      <x:c r="B2951" s="3" t="s">
        <x:v>179</x:v>
      </x:c>
      <x:c r="C2951" s="3" t="s">
        <x:v>495</x:v>
      </x:c>
      <x:c r="D2951" t="s">
        <x:v>676</x:v>
      </x:c>
      <x:c r="E2951" s="6">
        <x:v>0</x:v>
      </x:c>
      <x:c r="F2951" s="6">
        <x:v>0</x:v>
      </x:c>
      <x:c r="G2951" s="6">
        <x:v>0</x:v>
      </x:c>
      <x:c r="H2951" s="6">
        <x:f t="shared" si="143"/>
        <x:v>0</x:v>
      </x:c>
      <x:c r="I2951" s="6">
        <x:v>114210.31999999998</x:v>
      </x:c>
      <x:c r="J2951" s="6">
        <x:v>0</x:v>
      </x:c>
      <x:c r="K2951" s="6">
        <x:f t="shared" si="144"/>
        <x:v>114210.31999999998</x:v>
      </x:c>
      <x:c r="L2951" s="6">
        <x:v>0</x:v>
      </x:c>
      <x:c r="M2951" s="6">
        <x:v>0</x:v>
      </x:c>
      <x:c r="N2951" s="6">
        <x:f t="shared" si="145"/>
        <x:v>114210.31999999998</x:v>
      </x:c>
    </x:row>
    <x:row r="2952" spans="1:14" x14ac:dyDescent="0.25">
      <x:c r="A2952" t="s">
        <x:v>38</x:v>
      </x:c>
      <x:c r="B2952" s="3" t="s">
        <x:v>62</x:v>
      </x:c>
      <x:c r="C2952" s="3" t="s">
        <x:v>379</x:v>
      </x:c>
      <x:c r="D2952" t="s">
        <x:v>676</x:v>
      </x:c>
      <x:c r="E2952" s="6">
        <x:v>0</x:v>
      </x:c>
      <x:c r="F2952" s="6">
        <x:v>0</x:v>
      </x:c>
      <x:c r="G2952" s="6">
        <x:v>0</x:v>
      </x:c>
      <x:c r="H2952" s="6">
        <x:f t="shared" si="143"/>
        <x:v>0</x:v>
      </x:c>
      <x:c r="I2952" s="6">
        <x:v>0</x:v>
      </x:c>
      <x:c r="J2952" s="6">
        <x:v>0</x:v>
      </x:c>
      <x:c r="K2952" s="6">
        <x:f t="shared" si="144"/>
        <x:v>0</x:v>
      </x:c>
      <x:c r="L2952" s="6">
        <x:v>228147.8</x:v>
      </x:c>
      <x:c r="M2952" s="6">
        <x:v>0</x:v>
      </x:c>
      <x:c r="N2952" s="6">
        <x:f t="shared" si="145"/>
        <x:v>228147.8</x:v>
      </x:c>
    </x:row>
    <x:row r="2953" spans="1:14" x14ac:dyDescent="0.25">
      <x:c r="A2953" t="s">
        <x:v>38</x:v>
      </x:c>
      <x:c r="B2953" s="3" t="s">
        <x:v>180</x:v>
      </x:c>
      <x:c r="C2953" s="3" t="s">
        <x:v>496</x:v>
      </x:c>
      <x:c r="D2953" t="s">
        <x:v>676</x:v>
      </x:c>
      <x:c r="E2953" s="6">
        <x:v>0</x:v>
      </x:c>
      <x:c r="F2953" s="6">
        <x:v>0</x:v>
      </x:c>
      <x:c r="G2953" s="6">
        <x:v>0</x:v>
      </x:c>
      <x:c r="H2953" s="6">
        <x:f t="shared" si="143"/>
        <x:v>0</x:v>
      </x:c>
      <x:c r="I2953" s="6">
        <x:v>145264.9</x:v>
      </x:c>
      <x:c r="J2953" s="6">
        <x:v>0</x:v>
      </x:c>
      <x:c r="K2953" s="6">
        <x:f t="shared" si="144"/>
        <x:v>145264.9</x:v>
      </x:c>
      <x:c r="L2953" s="6">
        <x:v>0</x:v>
      </x:c>
      <x:c r="M2953" s="6">
        <x:v>0</x:v>
      </x:c>
      <x:c r="N2953" s="6">
        <x:f t="shared" si="145"/>
        <x:v>145264.9</x:v>
      </x:c>
    </x:row>
    <x:row r="2954" spans="1:14" x14ac:dyDescent="0.25">
      <x:c r="A2954" t="s">
        <x:v>38</x:v>
      </x:c>
      <x:c r="B2954" s="3" t="s">
        <x:v>181</x:v>
      </x:c>
      <x:c r="C2954" s="3" t="s">
        <x:v>497</x:v>
      </x:c>
      <x:c r="D2954" t="s">
        <x:v>676</x:v>
      </x:c>
      <x:c r="E2954" s="6">
        <x:v>0</x:v>
      </x:c>
      <x:c r="F2954" s="6">
        <x:v>0</x:v>
      </x:c>
      <x:c r="G2954" s="6">
        <x:v>0</x:v>
      </x:c>
      <x:c r="H2954" s="6">
        <x:f t="shared" si="143"/>
        <x:v>0</x:v>
      </x:c>
      <x:c r="I2954" s="6">
        <x:v>186631.57</x:v>
      </x:c>
      <x:c r="J2954" s="6">
        <x:v>0</x:v>
      </x:c>
      <x:c r="K2954" s="6">
        <x:f t="shared" si="144"/>
        <x:v>186631.57</x:v>
      </x:c>
      <x:c r="L2954" s="6">
        <x:v>0</x:v>
      </x:c>
      <x:c r="M2954" s="6">
        <x:v>0</x:v>
      </x:c>
      <x:c r="N2954" s="6">
        <x:f t="shared" si="145"/>
        <x:v>186631.57</x:v>
      </x:c>
    </x:row>
    <x:row r="2955" spans="1:14" x14ac:dyDescent="0.25">
      <x:c r="A2955" t="s">
        <x:v>38</x:v>
      </x:c>
      <x:c r="B2955" s="3" t="s">
        <x:v>182</x:v>
      </x:c>
      <x:c r="C2955" s="3" t="s">
        <x:v>498</x:v>
      </x:c>
      <x:c r="D2955" t="s">
        <x:v>676</x:v>
      </x:c>
      <x:c r="E2955" s="6">
        <x:v>0</x:v>
      </x:c>
      <x:c r="F2955" s="6">
        <x:v>0</x:v>
      </x:c>
      <x:c r="G2955" s="6">
        <x:v>0</x:v>
      </x:c>
      <x:c r="H2955" s="6">
        <x:f t="shared" si="143"/>
        <x:v>0</x:v>
      </x:c>
      <x:c r="I2955" s="6">
        <x:v>13493.84</x:v>
      </x:c>
      <x:c r="J2955" s="6">
        <x:v>0</x:v>
      </x:c>
      <x:c r="K2955" s="6">
        <x:f t="shared" si="144"/>
        <x:v>13493.84</x:v>
      </x:c>
      <x:c r="L2955" s="6">
        <x:v>0</x:v>
      </x:c>
      <x:c r="M2955" s="6">
        <x:v>0</x:v>
      </x:c>
      <x:c r="N2955" s="6">
        <x:f t="shared" si="145"/>
        <x:v>13493.84</x:v>
      </x:c>
    </x:row>
    <x:row r="2956" spans="1:14" x14ac:dyDescent="0.25">
      <x:c r="A2956" t="s">
        <x:v>38</x:v>
      </x:c>
      <x:c r="B2956" s="3" t="s">
        <x:v>235</x:v>
      </x:c>
      <x:c r="C2956" s="3" t="s">
        <x:v>550</x:v>
      </x:c>
      <x:c r="D2956" t="s">
        <x:v>676</x:v>
      </x:c>
      <x:c r="E2956" s="6">
        <x:v>0</x:v>
      </x:c>
      <x:c r="F2956" s="6">
        <x:v>0</x:v>
      </x:c>
      <x:c r="G2956" s="6">
        <x:v>0</x:v>
      </x:c>
      <x:c r="H2956" s="6">
        <x:f t="shared" si="143"/>
        <x:v>0</x:v>
      </x:c>
      <x:c r="I2956" s="6">
        <x:v>118191.58999999995</x:v>
      </x:c>
      <x:c r="J2956" s="6">
        <x:v>0</x:v>
      </x:c>
      <x:c r="K2956" s="6">
        <x:f t="shared" si="144"/>
        <x:v>118191.58999999995</x:v>
      </x:c>
      <x:c r="L2956" s="6">
        <x:v>0</x:v>
      </x:c>
      <x:c r="M2956" s="6">
        <x:v>0</x:v>
      </x:c>
      <x:c r="N2956" s="6">
        <x:f t="shared" si="145"/>
        <x:v>118191.58999999995</x:v>
      </x:c>
    </x:row>
    <x:row r="2957" spans="1:14" x14ac:dyDescent="0.25">
      <x:c r="A2957" t="s">
        <x:v>38</x:v>
      </x:c>
      <x:c r="B2957" s="3" t="s">
        <x:v>183</x:v>
      </x:c>
      <x:c r="C2957" s="3" t="s">
        <x:v>499</x:v>
      </x:c>
      <x:c r="D2957" t="s">
        <x:v>676</x:v>
      </x:c>
      <x:c r="E2957" s="6">
        <x:v>0</x:v>
      </x:c>
      <x:c r="F2957" s="6">
        <x:v>0</x:v>
      </x:c>
      <x:c r="G2957" s="6">
        <x:v>0</x:v>
      </x:c>
      <x:c r="H2957" s="6">
        <x:f t="shared" si="143"/>
        <x:v>0</x:v>
      </x:c>
      <x:c r="I2957" s="6">
        <x:v>198388.89</x:v>
      </x:c>
      <x:c r="J2957" s="6">
        <x:v>0</x:v>
      </x:c>
      <x:c r="K2957" s="6">
        <x:f t="shared" si="144"/>
        <x:v>198388.89</x:v>
      </x:c>
      <x:c r="L2957" s="6">
        <x:v>0</x:v>
      </x:c>
      <x:c r="M2957" s="6">
        <x:v>0</x:v>
      </x:c>
      <x:c r="N2957" s="6">
        <x:f t="shared" si="145"/>
        <x:v>198388.89</x:v>
      </x:c>
    </x:row>
    <x:row r="2958" spans="1:14" x14ac:dyDescent="0.25">
      <x:c r="A2958" t="s">
        <x:v>38</x:v>
      </x:c>
      <x:c r="B2958" s="3" t="s">
        <x:v>184</x:v>
      </x:c>
      <x:c r="C2958" s="3" t="s">
        <x:v>500</x:v>
      </x:c>
      <x:c r="D2958" t="s">
        <x:v>676</x:v>
      </x:c>
      <x:c r="E2958" s="6">
        <x:v>0</x:v>
      </x:c>
      <x:c r="F2958" s="6">
        <x:v>0</x:v>
      </x:c>
      <x:c r="G2958" s="6">
        <x:v>0</x:v>
      </x:c>
      <x:c r="H2958" s="6">
        <x:f t="shared" si="143"/>
        <x:v>0</x:v>
      </x:c>
      <x:c r="I2958" s="6">
        <x:v>157522.67999999991</x:v>
      </x:c>
      <x:c r="J2958" s="6">
        <x:v>0</x:v>
      </x:c>
      <x:c r="K2958" s="6">
        <x:f t="shared" si="144"/>
        <x:v>157522.67999999991</x:v>
      </x:c>
      <x:c r="L2958" s="6">
        <x:v>0</x:v>
      </x:c>
      <x:c r="M2958" s="6">
        <x:v>0</x:v>
      </x:c>
      <x:c r="N2958" s="6">
        <x:f t="shared" si="145"/>
        <x:v>157522.67999999991</x:v>
      </x:c>
    </x:row>
    <x:row r="2959" spans="1:14" x14ac:dyDescent="0.25">
      <x:c r="A2959" t="s">
        <x:v>38</x:v>
      </x:c>
      <x:c r="B2959" s="3" t="s">
        <x:v>185</x:v>
      </x:c>
      <x:c r="C2959" s="3" t="s">
        <x:v>501</x:v>
      </x:c>
      <x:c r="D2959" t="s">
        <x:v>676</x:v>
      </x:c>
      <x:c r="E2959" s="6">
        <x:v>0</x:v>
      </x:c>
      <x:c r="F2959" s="6">
        <x:v>0</x:v>
      </x:c>
      <x:c r="G2959" s="6">
        <x:v>0</x:v>
      </x:c>
      <x:c r="H2959" s="6">
        <x:f t="shared" si="143"/>
        <x:v>0</x:v>
      </x:c>
      <x:c r="I2959" s="6">
        <x:v>13136.98</x:v>
      </x:c>
      <x:c r="J2959" s="6">
        <x:v>0</x:v>
      </x:c>
      <x:c r="K2959" s="6">
        <x:f t="shared" si="144"/>
        <x:v>13136.98</x:v>
      </x:c>
      <x:c r="L2959" s="6">
        <x:v>0</x:v>
      </x:c>
      <x:c r="M2959" s="6">
        <x:v>0</x:v>
      </x:c>
      <x:c r="N2959" s="6">
        <x:f t="shared" si="145"/>
        <x:v>13136.98</x:v>
      </x:c>
    </x:row>
    <x:row r="2960" spans="1:14" x14ac:dyDescent="0.25">
      <x:c r="A2960" t="s">
        <x:v>38</x:v>
      </x:c>
      <x:c r="B2960" s="3" t="s">
        <x:v>186</x:v>
      </x:c>
      <x:c r="C2960" s="3" t="s">
        <x:v>502</x:v>
      </x:c>
      <x:c r="D2960" t="s">
        <x:v>676</x:v>
      </x:c>
      <x:c r="E2960" s="6">
        <x:v>0</x:v>
      </x:c>
      <x:c r="F2960" s="6">
        <x:v>0</x:v>
      </x:c>
      <x:c r="G2960" s="6">
        <x:v>0</x:v>
      </x:c>
      <x:c r="H2960" s="6">
        <x:f t="shared" si="143"/>
        <x:v>0</x:v>
      </x:c>
      <x:c r="I2960" s="6">
        <x:v>182736.07999999993</x:v>
      </x:c>
      <x:c r="J2960" s="6">
        <x:v>0</x:v>
      </x:c>
      <x:c r="K2960" s="6">
        <x:f t="shared" si="144"/>
        <x:v>182736.07999999993</x:v>
      </x:c>
      <x:c r="L2960" s="6">
        <x:v>0</x:v>
      </x:c>
      <x:c r="M2960" s="6">
        <x:v>0</x:v>
      </x:c>
      <x:c r="N2960" s="6">
        <x:f t="shared" si="145"/>
        <x:v>182736.07999999993</x:v>
      </x:c>
    </x:row>
    <x:row r="2961" spans="1:14" x14ac:dyDescent="0.25">
      <x:c r="A2961" t="s">
        <x:v>38</x:v>
      </x:c>
      <x:c r="B2961" s="3" t="s">
        <x:v>187</x:v>
      </x:c>
      <x:c r="C2961" s="3" t="s">
        <x:v>503</x:v>
      </x:c>
      <x:c r="D2961" t="s">
        <x:v>676</x:v>
      </x:c>
      <x:c r="E2961" s="6">
        <x:v>0</x:v>
      </x:c>
      <x:c r="F2961" s="6">
        <x:v>0</x:v>
      </x:c>
      <x:c r="G2961" s="6">
        <x:v>0</x:v>
      </x:c>
      <x:c r="H2961" s="6">
        <x:f t="shared" si="143"/>
        <x:v>0</x:v>
      </x:c>
      <x:c r="I2961" s="6">
        <x:v>365568.85</x:v>
      </x:c>
      <x:c r="J2961" s="6">
        <x:v>0</x:v>
      </x:c>
      <x:c r="K2961" s="6">
        <x:f t="shared" si="144"/>
        <x:v>365568.85</x:v>
      </x:c>
      <x:c r="L2961" s="6">
        <x:v>0</x:v>
      </x:c>
      <x:c r="M2961" s="6">
        <x:v>0</x:v>
      </x:c>
      <x:c r="N2961" s="6">
        <x:f t="shared" si="145"/>
        <x:v>365568.85</x:v>
      </x:c>
    </x:row>
    <x:row r="2962" spans="1:14" x14ac:dyDescent="0.25">
      <x:c r="A2962" t="s">
        <x:v>38</x:v>
      </x:c>
      <x:c r="B2962" s="3" t="s">
        <x:v>188</x:v>
      </x:c>
      <x:c r="C2962" s="3" t="s">
        <x:v>504</x:v>
      </x:c>
      <x:c r="D2962" t="s">
        <x:v>676</x:v>
      </x:c>
      <x:c r="E2962" s="6">
        <x:v>0</x:v>
      </x:c>
      <x:c r="F2962" s="6">
        <x:v>0</x:v>
      </x:c>
      <x:c r="G2962" s="6">
        <x:v>0</x:v>
      </x:c>
      <x:c r="H2962" s="6">
        <x:f t="shared" si="143"/>
        <x:v>0</x:v>
      </x:c>
      <x:c r="I2962" s="6">
        <x:v>227874.33000000005</x:v>
      </x:c>
      <x:c r="J2962" s="6">
        <x:v>0</x:v>
      </x:c>
      <x:c r="K2962" s="6">
        <x:f t="shared" si="144"/>
        <x:v>227874.33000000005</x:v>
      </x:c>
      <x:c r="L2962" s="6">
        <x:v>0</x:v>
      </x:c>
      <x:c r="M2962" s="6">
        <x:v>0</x:v>
      </x:c>
      <x:c r="N2962" s="6">
        <x:f t="shared" si="145"/>
        <x:v>227874.33000000005</x:v>
      </x:c>
    </x:row>
    <x:row r="2963" spans="1:14" x14ac:dyDescent="0.25">
      <x:c r="A2963" t="s">
        <x:v>38</x:v>
      </x:c>
      <x:c r="B2963" s="3" t="s">
        <x:v>287</x:v>
      </x:c>
      <x:c r="C2963" s="3" t="s">
        <x:v>602</x:v>
      </x:c>
      <x:c r="D2963" t="s">
        <x:v>676</x:v>
      </x:c>
      <x:c r="E2963" s="6">
        <x:v>0</x:v>
      </x:c>
      <x:c r="F2963" s="6">
        <x:v>0</x:v>
      </x:c>
      <x:c r="G2963" s="6">
        <x:v>0</x:v>
      </x:c>
      <x:c r="H2963" s="6">
        <x:f t="shared" si="143"/>
        <x:v>0</x:v>
      </x:c>
      <x:c r="I2963" s="6">
        <x:v>19135.399999999998</x:v>
      </x:c>
      <x:c r="J2963" s="6">
        <x:v>0</x:v>
      </x:c>
      <x:c r="K2963" s="6">
        <x:f t="shared" si="144"/>
        <x:v>19135.399999999998</x:v>
      </x:c>
      <x:c r="L2963" s="6">
        <x:v>0</x:v>
      </x:c>
      <x:c r="M2963" s="6">
        <x:v>0</x:v>
      </x:c>
      <x:c r="N2963" s="6">
        <x:f t="shared" si="145"/>
        <x:v>19135.399999999998</x:v>
      </x:c>
    </x:row>
    <x:row r="2964" spans="1:14" x14ac:dyDescent="0.25">
      <x:c r="A2964" t="s">
        <x:v>38</x:v>
      </x:c>
      <x:c r="B2964" s="3" t="s">
        <x:v>189</x:v>
      </x:c>
      <x:c r="C2964" s="3" t="s">
        <x:v>505</x:v>
      </x:c>
      <x:c r="D2964" t="s">
        <x:v>676</x:v>
      </x:c>
      <x:c r="E2964" s="6">
        <x:v>0</x:v>
      </x:c>
      <x:c r="F2964" s="6">
        <x:v>0</x:v>
      </x:c>
      <x:c r="G2964" s="6">
        <x:v>0</x:v>
      </x:c>
      <x:c r="H2964" s="6">
        <x:f t="shared" si="143"/>
        <x:v>0</x:v>
      </x:c>
      <x:c r="I2964" s="6">
        <x:v>225867.19000000003</x:v>
      </x:c>
      <x:c r="J2964" s="6">
        <x:v>0</x:v>
      </x:c>
      <x:c r="K2964" s="6">
        <x:f t="shared" si="144"/>
        <x:v>225867.19000000003</x:v>
      </x:c>
      <x:c r="L2964" s="6">
        <x:v>0</x:v>
      </x:c>
      <x:c r="M2964" s="6">
        <x:v>0</x:v>
      </x:c>
      <x:c r="N2964" s="6">
        <x:f t="shared" si="145"/>
        <x:v>225867.19000000003</x:v>
      </x:c>
    </x:row>
    <x:row r="2965" spans="1:14" x14ac:dyDescent="0.25">
      <x:c r="A2965" t="s">
        <x:v>38</x:v>
      </x:c>
      <x:c r="B2965" s="3" t="s">
        <x:v>236</x:v>
      </x:c>
      <x:c r="C2965" s="3" t="s">
        <x:v>551</x:v>
      </x:c>
      <x:c r="D2965" t="s">
        <x:v>676</x:v>
      </x:c>
      <x:c r="E2965" s="6">
        <x:v>0</x:v>
      </x:c>
      <x:c r="F2965" s="6">
        <x:v>0</x:v>
      </x:c>
      <x:c r="G2965" s="6">
        <x:v>0</x:v>
      </x:c>
      <x:c r="H2965" s="6">
        <x:f t="shared" si="143"/>
        <x:v>0</x:v>
      </x:c>
      <x:c r="I2965" s="6">
        <x:v>225803.81000000008</x:v>
      </x:c>
      <x:c r="J2965" s="6">
        <x:v>0</x:v>
      </x:c>
      <x:c r="K2965" s="6">
        <x:f t="shared" si="144"/>
        <x:v>225803.81000000008</x:v>
      </x:c>
      <x:c r="L2965" s="6">
        <x:v>0</x:v>
      </x:c>
      <x:c r="M2965" s="6">
        <x:v>0</x:v>
      </x:c>
      <x:c r="N2965" s="6">
        <x:f t="shared" si="145"/>
        <x:v>225803.81000000008</x:v>
      </x:c>
    </x:row>
    <x:row r="2966" spans="1:14" x14ac:dyDescent="0.25">
      <x:c r="A2966" t="s">
        <x:v>38</x:v>
      </x:c>
      <x:c r="B2966" s="3" t="s">
        <x:v>264</x:v>
      </x:c>
      <x:c r="C2966" s="3" t="s">
        <x:v>579</x:v>
      </x:c>
      <x:c r="D2966" t="s">
        <x:v>676</x:v>
      </x:c>
      <x:c r="E2966" s="6">
        <x:v>0</x:v>
      </x:c>
      <x:c r="F2966" s="6">
        <x:v>0</x:v>
      </x:c>
      <x:c r="G2966" s="6">
        <x:v>0</x:v>
      </x:c>
      <x:c r="H2966" s="6">
        <x:f t="shared" si="143"/>
        <x:v>0</x:v>
      </x:c>
      <x:c r="I2966" s="6">
        <x:v>0</x:v>
      </x:c>
      <x:c r="J2966" s="6">
        <x:v>0</x:v>
      </x:c>
      <x:c r="K2966" s="6">
        <x:f t="shared" si="144"/>
        <x:v>0</x:v>
      </x:c>
      <x:c r="L2966" s="6">
        <x:v>108677.11</x:v>
      </x:c>
      <x:c r="M2966" s="6">
        <x:v>0</x:v>
      </x:c>
      <x:c r="N2966" s="6">
        <x:f t="shared" si="145"/>
        <x:v>108677.11</x:v>
      </x:c>
    </x:row>
    <x:row r="2967" spans="1:14" x14ac:dyDescent="0.25">
      <x:c r="A2967" t="s">
        <x:v>38</x:v>
      </x:c>
      <x:c r="B2967" s="3" t="s">
        <x:v>190</x:v>
      </x:c>
      <x:c r="C2967" s="3" t="s">
        <x:v>506</x:v>
      </x:c>
      <x:c r="D2967" t="s">
        <x:v>676</x:v>
      </x:c>
      <x:c r="E2967" s="6">
        <x:v>0</x:v>
      </x:c>
      <x:c r="F2967" s="6">
        <x:v>0</x:v>
      </x:c>
      <x:c r="G2967" s="6">
        <x:v>0</x:v>
      </x:c>
      <x:c r="H2967" s="6">
        <x:f t="shared" si="143"/>
        <x:v>0</x:v>
      </x:c>
      <x:c r="I2967" s="6">
        <x:v>55849.039999999994</x:v>
      </x:c>
      <x:c r="J2967" s="6">
        <x:v>0</x:v>
      </x:c>
      <x:c r="K2967" s="6">
        <x:f t="shared" si="144"/>
        <x:v>55849.039999999994</x:v>
      </x:c>
      <x:c r="L2967" s="6">
        <x:v>0</x:v>
      </x:c>
      <x:c r="M2967" s="6">
        <x:v>0</x:v>
      </x:c>
      <x:c r="N2967" s="6">
        <x:f t="shared" si="145"/>
        <x:v>55849.039999999994</x:v>
      </x:c>
    </x:row>
    <x:row r="2968" spans="1:14" x14ac:dyDescent="0.25">
      <x:c r="A2968" t="s">
        <x:v>38</x:v>
      </x:c>
      <x:c r="B2968" s="3" t="s">
        <x:v>191</x:v>
      </x:c>
      <x:c r="C2968" s="3" t="s">
        <x:v>507</x:v>
      </x:c>
      <x:c r="D2968" t="s">
        <x:v>676</x:v>
      </x:c>
      <x:c r="E2968" s="6">
        <x:v>0</x:v>
      </x:c>
      <x:c r="F2968" s="6">
        <x:v>0</x:v>
      </x:c>
      <x:c r="G2968" s="6">
        <x:v>0</x:v>
      </x:c>
      <x:c r="H2968" s="6">
        <x:f t="shared" si="143"/>
        <x:v>0</x:v>
      </x:c>
      <x:c r="I2968" s="6">
        <x:v>6975.35</x:v>
      </x:c>
      <x:c r="J2968" s="6">
        <x:v>0</x:v>
      </x:c>
      <x:c r="K2968" s="6">
        <x:f t="shared" si="144"/>
        <x:v>6975.35</x:v>
      </x:c>
      <x:c r="L2968" s="6">
        <x:v>0</x:v>
      </x:c>
      <x:c r="M2968" s="6">
        <x:v>0</x:v>
      </x:c>
      <x:c r="N2968" s="6">
        <x:f t="shared" si="145"/>
        <x:v>6975.35</x:v>
      </x:c>
    </x:row>
    <x:row r="2969" spans="1:14" x14ac:dyDescent="0.25">
      <x:c r="A2969" t="s">
        <x:v>38</x:v>
      </x:c>
      <x:c r="B2969" s="3" t="s">
        <x:v>192</x:v>
      </x:c>
      <x:c r="C2969" s="3" t="s">
        <x:v>508</x:v>
      </x:c>
      <x:c r="D2969" t="s">
        <x:v>676</x:v>
      </x:c>
      <x:c r="E2969" s="6">
        <x:v>0</x:v>
      </x:c>
      <x:c r="F2969" s="6">
        <x:v>0</x:v>
      </x:c>
      <x:c r="G2969" s="6">
        <x:v>0</x:v>
      </x:c>
      <x:c r="H2969" s="6">
        <x:f t="shared" si="143"/>
        <x:v>0</x:v>
      </x:c>
      <x:c r="I2969" s="6">
        <x:v>38280.679999999993</x:v>
      </x:c>
      <x:c r="J2969" s="6">
        <x:v>0</x:v>
      </x:c>
      <x:c r="K2969" s="6">
        <x:f t="shared" si="144"/>
        <x:v>38280.679999999993</x:v>
      </x:c>
      <x:c r="L2969" s="6">
        <x:v>0</x:v>
      </x:c>
      <x:c r="M2969" s="6">
        <x:v>0</x:v>
      </x:c>
      <x:c r="N2969" s="6">
        <x:f t="shared" si="145"/>
        <x:v>38280.679999999993</x:v>
      </x:c>
    </x:row>
    <x:row r="2970" spans="1:14" x14ac:dyDescent="0.25">
      <x:c r="A2970" t="s">
        <x:v>38</x:v>
      </x:c>
      <x:c r="B2970" s="3" t="s">
        <x:v>193</x:v>
      </x:c>
      <x:c r="C2970" s="3" t="s">
        <x:v>509</x:v>
      </x:c>
      <x:c r="D2970" t="s">
        <x:v>676</x:v>
      </x:c>
      <x:c r="E2970" s="6">
        <x:v>0</x:v>
      </x:c>
      <x:c r="F2970" s="6">
        <x:v>0</x:v>
      </x:c>
      <x:c r="G2970" s="6">
        <x:v>0</x:v>
      </x:c>
      <x:c r="H2970" s="6">
        <x:f t="shared" si="143"/>
        <x:v>0</x:v>
      </x:c>
      <x:c r="I2970" s="6">
        <x:v>259320.41</x:v>
      </x:c>
      <x:c r="J2970" s="6">
        <x:v>0</x:v>
      </x:c>
      <x:c r="K2970" s="6">
        <x:f t="shared" si="144"/>
        <x:v>259320.41</x:v>
      </x:c>
      <x:c r="L2970" s="6">
        <x:v>0</x:v>
      </x:c>
      <x:c r="M2970" s="6">
        <x:v>0</x:v>
      </x:c>
      <x:c r="N2970" s="6">
        <x:f t="shared" si="145"/>
        <x:v>259320.41</x:v>
      </x:c>
    </x:row>
    <x:row r="2971" spans="1:14" x14ac:dyDescent="0.25">
      <x:c r="A2971" t="s">
        <x:v>38</x:v>
      </x:c>
      <x:c r="B2971" s="3" t="s">
        <x:v>194</x:v>
      </x:c>
      <x:c r="C2971" s="3" t="s">
        <x:v>510</x:v>
      </x:c>
      <x:c r="D2971" t="s">
        <x:v>676</x:v>
      </x:c>
      <x:c r="E2971" s="6">
        <x:v>0</x:v>
      </x:c>
      <x:c r="F2971" s="6">
        <x:v>0</x:v>
      </x:c>
      <x:c r="G2971" s="6">
        <x:v>0</x:v>
      </x:c>
      <x:c r="H2971" s="6">
        <x:f t="shared" si="143"/>
        <x:v>0</x:v>
      </x:c>
      <x:c r="I2971" s="6">
        <x:v>304516.78999999998</x:v>
      </x:c>
      <x:c r="J2971" s="6">
        <x:v>0</x:v>
      </x:c>
      <x:c r="K2971" s="6">
        <x:f t="shared" si="144"/>
        <x:v>304516.78999999998</x:v>
      </x:c>
      <x:c r="L2971" s="6">
        <x:v>0</x:v>
      </x:c>
      <x:c r="M2971" s="6">
        <x:v>0</x:v>
      </x:c>
      <x:c r="N2971" s="6">
        <x:f t="shared" si="145"/>
        <x:v>304516.78999999998</x:v>
      </x:c>
    </x:row>
    <x:row r="2972" spans="1:14" x14ac:dyDescent="0.25">
      <x:c r="A2972" t="s">
        <x:v>38</x:v>
      </x:c>
      <x:c r="B2972" s="3" t="s">
        <x:v>46</x:v>
      </x:c>
      <x:c r="C2972" s="3" t="s">
        <x:v>363</x:v>
      </x:c>
      <x:c r="D2972" t="s">
        <x:v>676</x:v>
      </x:c>
      <x:c r="E2972" s="6">
        <x:v>0</x:v>
      </x:c>
      <x:c r="F2972" s="6">
        <x:v>0</x:v>
      </x:c>
      <x:c r="G2972" s="6">
        <x:v>0</x:v>
      </x:c>
      <x:c r="H2972" s="6">
        <x:f t="shared" si="143"/>
        <x:v>0</x:v>
      </x:c>
      <x:c r="I2972" s="6">
        <x:v>0</x:v>
      </x:c>
      <x:c r="J2972" s="6">
        <x:v>0</x:v>
      </x:c>
      <x:c r="K2972" s="6">
        <x:f t="shared" si="144"/>
        <x:v>0</x:v>
      </x:c>
      <x:c r="L2972" s="6">
        <x:v>192411.91999999998</x:v>
      </x:c>
      <x:c r="M2972" s="6">
        <x:v>0</x:v>
      </x:c>
      <x:c r="N2972" s="6">
        <x:f t="shared" si="145"/>
        <x:v>192411.91999999998</x:v>
      </x:c>
    </x:row>
    <x:row r="2973" spans="1:14" x14ac:dyDescent="0.25">
      <x:c r="A2973" t="s">
        <x:v>38</x:v>
      </x:c>
      <x:c r="B2973" s="3" t="s">
        <x:v>195</x:v>
      </x:c>
      <x:c r="C2973" s="3" t="s">
        <x:v>511</x:v>
      </x:c>
      <x:c r="D2973" t="s">
        <x:v>676</x:v>
      </x:c>
      <x:c r="E2973" s="6">
        <x:v>0</x:v>
      </x:c>
      <x:c r="F2973" s="6">
        <x:v>0</x:v>
      </x:c>
      <x:c r="G2973" s="6">
        <x:v>0</x:v>
      </x:c>
      <x:c r="H2973" s="6">
        <x:f t="shared" si="143"/>
        <x:v>0</x:v>
      </x:c>
      <x:c r="I2973" s="6">
        <x:v>94892.27999999997</x:v>
      </x:c>
      <x:c r="J2973" s="6">
        <x:v>0</x:v>
      </x:c>
      <x:c r="K2973" s="6">
        <x:f t="shared" si="144"/>
        <x:v>94892.27999999997</x:v>
      </x:c>
      <x:c r="L2973" s="6">
        <x:v>0</x:v>
      </x:c>
      <x:c r="M2973" s="6">
        <x:v>0</x:v>
      </x:c>
      <x:c r="N2973" s="6">
        <x:f t="shared" si="145"/>
        <x:v>94892.27999999997</x:v>
      </x:c>
    </x:row>
    <x:row r="2974" spans="1:14" x14ac:dyDescent="0.25">
      <x:c r="A2974" t="s">
        <x:v>38</x:v>
      </x:c>
      <x:c r="B2974" s="3" t="s">
        <x:v>196</x:v>
      </x:c>
      <x:c r="C2974" s="3" t="s">
        <x:v>512</x:v>
      </x:c>
      <x:c r="D2974" t="s">
        <x:v>676</x:v>
      </x:c>
      <x:c r="E2974" s="6">
        <x:v>0</x:v>
      </x:c>
      <x:c r="F2974" s="6">
        <x:v>0</x:v>
      </x:c>
      <x:c r="G2974" s="6">
        <x:v>0</x:v>
      </x:c>
      <x:c r="H2974" s="6">
        <x:f t="shared" si="143"/>
        <x:v>0</x:v>
      </x:c>
      <x:c r="I2974" s="6">
        <x:v>255521.46999999994</x:v>
      </x:c>
      <x:c r="J2974" s="6">
        <x:v>0</x:v>
      </x:c>
      <x:c r="K2974" s="6">
        <x:f t="shared" si="144"/>
        <x:v>255521.46999999994</x:v>
      </x:c>
      <x:c r="L2974" s="6">
        <x:v>0</x:v>
      </x:c>
      <x:c r="M2974" s="6">
        <x:v>0</x:v>
      </x:c>
      <x:c r="N2974" s="6">
        <x:f t="shared" si="145"/>
        <x:v>255521.46999999994</x:v>
      </x:c>
    </x:row>
    <x:row r="2975" spans="1:14" x14ac:dyDescent="0.25">
      <x:c r="A2975" t="s">
        <x:v>38</x:v>
      </x:c>
      <x:c r="B2975" s="3" t="s">
        <x:v>197</x:v>
      </x:c>
      <x:c r="C2975" s="3" t="s">
        <x:v>513</x:v>
      </x:c>
      <x:c r="D2975" t="s">
        <x:v>676</x:v>
      </x:c>
      <x:c r="E2975" s="6">
        <x:v>0</x:v>
      </x:c>
      <x:c r="F2975" s="6">
        <x:v>0</x:v>
      </x:c>
      <x:c r="G2975" s="6">
        <x:v>0</x:v>
      </x:c>
      <x:c r="H2975" s="6">
        <x:f t="shared" ref="H2975:H3038" si="146">SUM(E2975:G2975)</x:f>
        <x:v>0</x:v>
      </x:c>
      <x:c r="I2975" s="6">
        <x:v>0</x:v>
      </x:c>
      <x:c r="J2975" s="6">
        <x:v>0</x:v>
      </x:c>
      <x:c r="K2975" s="6">
        <x:f t="shared" ref="K2975:K3038" si="147">SUM(I2975:J2975)</x:f>
        <x:v>0</x:v>
      </x:c>
      <x:c r="L2975" s="6">
        <x:v>196848.28000000003</x:v>
      </x:c>
      <x:c r="M2975" s="6">
        <x:v>0</x:v>
      </x:c>
      <x:c r="N2975" s="6">
        <x:f t="shared" ref="N2975:N3038" si="148">+E2975+F2975+G2975+I2975+J2975+L2975+M2975</x:f>
        <x:v>196848.28000000003</x:v>
      </x:c>
    </x:row>
    <x:row r="2976" spans="1:14" x14ac:dyDescent="0.25">
      <x:c r="A2976" t="s">
        <x:v>38</x:v>
      </x:c>
      <x:c r="B2976" s="3" t="s">
        <x:v>198</x:v>
      </x:c>
      <x:c r="C2976" s="3" t="s">
        <x:v>514</x:v>
      </x:c>
      <x:c r="D2976" t="s">
        <x:v>676</x:v>
      </x:c>
      <x:c r="E2976" s="6">
        <x:v>0</x:v>
      </x:c>
      <x:c r="F2976" s="6">
        <x:v>0</x:v>
      </x:c>
      <x:c r="G2976" s="6">
        <x:v>0</x:v>
      </x:c>
      <x:c r="H2976" s="6">
        <x:f t="shared" si="146"/>
        <x:v>0</x:v>
      </x:c>
      <x:c r="I2976" s="6">
        <x:v>31292.51</x:v>
      </x:c>
      <x:c r="J2976" s="6">
        <x:v>0</x:v>
      </x:c>
      <x:c r="K2976" s="6">
        <x:f t="shared" si="147"/>
        <x:v>31292.51</x:v>
      </x:c>
      <x:c r="L2976" s="6">
        <x:v>0</x:v>
      </x:c>
      <x:c r="M2976" s="6">
        <x:v>0</x:v>
      </x:c>
      <x:c r="N2976" s="6">
        <x:f t="shared" si="148"/>
        <x:v>31292.51</x:v>
      </x:c>
    </x:row>
    <x:row r="2977" spans="1:14" x14ac:dyDescent="0.25">
      <x:c r="A2977" t="s">
        <x:v>38</x:v>
      </x:c>
      <x:c r="B2977" s="3" t="s">
        <x:v>63</x:v>
      </x:c>
      <x:c r="C2977" s="3" t="s">
        <x:v>380</x:v>
      </x:c>
      <x:c r="D2977" t="s">
        <x:v>676</x:v>
      </x:c>
      <x:c r="E2977" s="6">
        <x:v>0</x:v>
      </x:c>
      <x:c r="F2977" s="6">
        <x:v>0</x:v>
      </x:c>
      <x:c r="G2977" s="6">
        <x:v>0</x:v>
      </x:c>
      <x:c r="H2977" s="6">
        <x:f t="shared" si="146"/>
        <x:v>0</x:v>
      </x:c>
      <x:c r="I2977" s="6">
        <x:v>175225.24000000005</x:v>
      </x:c>
      <x:c r="J2977" s="6">
        <x:v>0</x:v>
      </x:c>
      <x:c r="K2977" s="6">
        <x:f t="shared" si="147"/>
        <x:v>175225.24000000005</x:v>
      </x:c>
      <x:c r="L2977" s="6">
        <x:v>0</x:v>
      </x:c>
      <x:c r="M2977" s="6">
        <x:v>0</x:v>
      </x:c>
      <x:c r="N2977" s="6">
        <x:f t="shared" si="148"/>
        <x:v>175225.24000000005</x:v>
      </x:c>
    </x:row>
    <x:row r="2978" spans="1:14" x14ac:dyDescent="0.25">
      <x:c r="A2978" t="s">
        <x:v>38</x:v>
      </x:c>
      <x:c r="B2978" s="3" t="s">
        <x:v>199</x:v>
      </x:c>
      <x:c r="C2978" s="3" t="s">
        <x:v>515</x:v>
      </x:c>
      <x:c r="D2978" t="s">
        <x:v>676</x:v>
      </x:c>
      <x:c r="E2978" s="6">
        <x:v>0</x:v>
      </x:c>
      <x:c r="F2978" s="6">
        <x:v>0</x:v>
      </x:c>
      <x:c r="G2978" s="6">
        <x:v>0</x:v>
      </x:c>
      <x:c r="H2978" s="6">
        <x:f t="shared" si="146"/>
        <x:v>0</x:v>
      </x:c>
      <x:c r="I2978" s="6">
        <x:v>260836.69</x:v>
      </x:c>
      <x:c r="J2978" s="6">
        <x:v>0</x:v>
      </x:c>
      <x:c r="K2978" s="6">
        <x:f t="shared" si="147"/>
        <x:v>260836.69</x:v>
      </x:c>
      <x:c r="L2978" s="6">
        <x:v>0</x:v>
      </x:c>
      <x:c r="M2978" s="6">
        <x:v>0</x:v>
      </x:c>
      <x:c r="N2978" s="6">
        <x:f t="shared" si="148"/>
        <x:v>260836.69</x:v>
      </x:c>
    </x:row>
    <x:row r="2979" spans="1:14" x14ac:dyDescent="0.25">
      <x:c r="A2979" t="s">
        <x:v>38</x:v>
      </x:c>
      <x:c r="B2979" s="3" t="s">
        <x:v>200</x:v>
      </x:c>
      <x:c r="C2979" s="3" t="s">
        <x:v>516</x:v>
      </x:c>
      <x:c r="D2979" t="s">
        <x:v>676</x:v>
      </x:c>
      <x:c r="E2979" s="6">
        <x:v>0</x:v>
      </x:c>
      <x:c r="F2979" s="6">
        <x:v>0</x:v>
      </x:c>
      <x:c r="G2979" s="6">
        <x:v>0</x:v>
      </x:c>
      <x:c r="H2979" s="6">
        <x:f t="shared" si="146"/>
        <x:v>0</x:v>
      </x:c>
      <x:c r="I2979" s="6">
        <x:v>221468.03999999998</x:v>
      </x:c>
      <x:c r="J2979" s="6">
        <x:v>0</x:v>
      </x:c>
      <x:c r="K2979" s="6">
        <x:f t="shared" si="147"/>
        <x:v>221468.03999999998</x:v>
      </x:c>
      <x:c r="L2979" s="6">
        <x:v>0</x:v>
      </x:c>
      <x:c r="M2979" s="6">
        <x:v>0</x:v>
      </x:c>
      <x:c r="N2979" s="6">
        <x:f t="shared" si="148"/>
        <x:v>221468.03999999998</x:v>
      </x:c>
    </x:row>
    <x:row r="2980" spans="1:14" x14ac:dyDescent="0.25">
      <x:c r="A2980" t="s">
        <x:v>38</x:v>
      </x:c>
      <x:c r="B2980" s="3" t="s">
        <x:v>201</x:v>
      </x:c>
      <x:c r="C2980" s="3" t="s">
        <x:v>517</x:v>
      </x:c>
      <x:c r="D2980" t="s">
        <x:v>676</x:v>
      </x:c>
      <x:c r="E2980" s="6">
        <x:v>0</x:v>
      </x:c>
      <x:c r="F2980" s="6">
        <x:v>0</x:v>
      </x:c>
      <x:c r="G2980" s="6">
        <x:v>0</x:v>
      </x:c>
      <x:c r="H2980" s="6">
        <x:f t="shared" si="146"/>
        <x:v>0</x:v>
      </x:c>
      <x:c r="I2980" s="6">
        <x:v>0</x:v>
      </x:c>
      <x:c r="J2980" s="6">
        <x:v>0</x:v>
      </x:c>
      <x:c r="K2980" s="6">
        <x:f t="shared" si="147"/>
        <x:v>0</x:v>
      </x:c>
      <x:c r="L2980" s="6">
        <x:v>140144.10999999999</x:v>
      </x:c>
      <x:c r="M2980" s="6">
        <x:v>0</x:v>
      </x:c>
      <x:c r="N2980" s="6">
        <x:f t="shared" si="148"/>
        <x:v>140144.10999999999</x:v>
      </x:c>
    </x:row>
    <x:row r="2981" spans="1:14" x14ac:dyDescent="0.25">
      <x:c r="A2981" t="s">
        <x:v>38</x:v>
      </x:c>
      <x:c r="B2981" s="3" t="s">
        <x:v>202</x:v>
      </x:c>
      <x:c r="C2981" s="3" t="s">
        <x:v>518</x:v>
      </x:c>
      <x:c r="D2981" t="s">
        <x:v>676</x:v>
      </x:c>
      <x:c r="E2981" s="6">
        <x:v>0</x:v>
      </x:c>
      <x:c r="F2981" s="6">
        <x:v>0</x:v>
      </x:c>
      <x:c r="G2981" s="6">
        <x:v>0</x:v>
      </x:c>
      <x:c r="H2981" s="6">
        <x:f t="shared" si="146"/>
        <x:v>0</x:v>
      </x:c>
      <x:c r="I2981" s="6">
        <x:v>24660.699999999997</x:v>
      </x:c>
      <x:c r="J2981" s="6">
        <x:v>0</x:v>
      </x:c>
      <x:c r="K2981" s="6">
        <x:f t="shared" si="147"/>
        <x:v>24660.699999999997</x:v>
      </x:c>
      <x:c r="L2981" s="6">
        <x:v>0</x:v>
      </x:c>
      <x:c r="M2981" s="6">
        <x:v>0</x:v>
      </x:c>
      <x:c r="N2981" s="6">
        <x:f t="shared" si="148"/>
        <x:v>24660.699999999997</x:v>
      </x:c>
    </x:row>
    <x:row r="2982" spans="1:14" x14ac:dyDescent="0.25">
      <x:c r="A2982" t="s">
        <x:v>38</x:v>
      </x:c>
      <x:c r="B2982" s="3" t="s">
        <x:v>203</x:v>
      </x:c>
      <x:c r="C2982" s="3" t="s">
        <x:v>519</x:v>
      </x:c>
      <x:c r="D2982" t="s">
        <x:v>676</x:v>
      </x:c>
      <x:c r="E2982" s="6">
        <x:v>0</x:v>
      </x:c>
      <x:c r="F2982" s="6">
        <x:v>0</x:v>
      </x:c>
      <x:c r="G2982" s="6">
        <x:v>0</x:v>
      </x:c>
      <x:c r="H2982" s="6">
        <x:f t="shared" si="146"/>
        <x:v>0</x:v>
      </x:c>
      <x:c r="I2982" s="6">
        <x:v>211233.1099999999</x:v>
      </x:c>
      <x:c r="J2982" s="6">
        <x:v>0</x:v>
      </x:c>
      <x:c r="K2982" s="6">
        <x:f t="shared" si="147"/>
        <x:v>211233.1099999999</x:v>
      </x:c>
      <x:c r="L2982" s="6">
        <x:v>0</x:v>
      </x:c>
      <x:c r="M2982" s="6">
        <x:v>0</x:v>
      </x:c>
      <x:c r="N2982" s="6">
        <x:f t="shared" si="148"/>
        <x:v>211233.1099999999</x:v>
      </x:c>
    </x:row>
    <x:row r="2983" spans="1:14" x14ac:dyDescent="0.25">
      <x:c r="A2983" t="s">
        <x:v>38</x:v>
      </x:c>
      <x:c r="B2983" s="3" t="s">
        <x:v>50</x:v>
      </x:c>
      <x:c r="C2983" s="3" t="s">
        <x:v>367</x:v>
      </x:c>
      <x:c r="D2983" t="s">
        <x:v>676</x:v>
      </x:c>
      <x:c r="E2983" s="6">
        <x:v>0</x:v>
      </x:c>
      <x:c r="F2983" s="6">
        <x:v>0</x:v>
      </x:c>
      <x:c r="G2983" s="6">
        <x:v>0</x:v>
      </x:c>
      <x:c r="H2983" s="6">
        <x:f t="shared" si="146"/>
        <x:v>0</x:v>
      </x:c>
      <x:c r="I2983" s="6">
        <x:v>209302.07999999993</x:v>
      </x:c>
      <x:c r="J2983" s="6">
        <x:v>0</x:v>
      </x:c>
      <x:c r="K2983" s="6">
        <x:f t="shared" si="147"/>
        <x:v>209302.07999999993</x:v>
      </x:c>
      <x:c r="L2983" s="6">
        <x:v>0</x:v>
      </x:c>
      <x:c r="M2983" s="6">
        <x:v>0</x:v>
      </x:c>
      <x:c r="N2983" s="6">
        <x:f t="shared" si="148"/>
        <x:v>209302.07999999993</x:v>
      </x:c>
    </x:row>
    <x:row r="2984" spans="1:14" x14ac:dyDescent="0.25">
      <x:c r="A2984" t="s">
        <x:v>38</x:v>
      </x:c>
      <x:c r="B2984" s="3" t="s">
        <x:v>239</x:v>
      </x:c>
      <x:c r="C2984" s="3" t="s">
        <x:v>554</x:v>
      </x:c>
      <x:c r="D2984" t="s">
        <x:v>676</x:v>
      </x:c>
      <x:c r="E2984" s="6">
        <x:v>0</x:v>
      </x:c>
      <x:c r="F2984" s="6">
        <x:v>0</x:v>
      </x:c>
      <x:c r="G2984" s="6">
        <x:v>0</x:v>
      </x:c>
      <x:c r="H2984" s="6">
        <x:f t="shared" si="146"/>
        <x:v>0</x:v>
      </x:c>
      <x:c r="I2984" s="6">
        <x:v>323999.14000000013</x:v>
      </x:c>
      <x:c r="J2984" s="6">
        <x:v>0</x:v>
      </x:c>
      <x:c r="K2984" s="6">
        <x:f t="shared" si="147"/>
        <x:v>323999.14000000013</x:v>
      </x:c>
      <x:c r="L2984" s="6">
        <x:v>0</x:v>
      </x:c>
      <x:c r="M2984" s="6">
        <x:v>0</x:v>
      </x:c>
      <x:c r="N2984" s="6">
        <x:f t="shared" si="148"/>
        <x:v>323999.14000000013</x:v>
      </x:c>
    </x:row>
    <x:row r="2985" spans="1:14" x14ac:dyDescent="0.25">
      <x:c r="A2985" t="s">
        <x:v>38</x:v>
      </x:c>
      <x:c r="B2985" s="3" t="s">
        <x:v>204</x:v>
      </x:c>
      <x:c r="C2985" s="3" t="s">
        <x:v>520</x:v>
      </x:c>
      <x:c r="D2985" t="s">
        <x:v>676</x:v>
      </x:c>
      <x:c r="E2985" s="6">
        <x:v>0</x:v>
      </x:c>
      <x:c r="F2985" s="6">
        <x:v>0</x:v>
      </x:c>
      <x:c r="G2985" s="6">
        <x:v>0</x:v>
      </x:c>
      <x:c r="H2985" s="6">
        <x:f t="shared" si="146"/>
        <x:v>0</x:v>
      </x:c>
      <x:c r="I2985" s="6">
        <x:v>41121.780000000013</x:v>
      </x:c>
      <x:c r="J2985" s="6">
        <x:v>0</x:v>
      </x:c>
      <x:c r="K2985" s="6">
        <x:f t="shared" si="147"/>
        <x:v>41121.780000000013</x:v>
      </x:c>
      <x:c r="L2985" s="6">
        <x:v>0</x:v>
      </x:c>
      <x:c r="M2985" s="6">
        <x:v>0</x:v>
      </x:c>
      <x:c r="N2985" s="6">
        <x:f t="shared" si="148"/>
        <x:v>41121.780000000013</x:v>
      </x:c>
    </x:row>
    <x:row r="2986" spans="1:14" x14ac:dyDescent="0.25">
      <x:c r="A2986" t="s">
        <x:v>38</x:v>
      </x:c>
      <x:c r="B2986" s="3" t="s">
        <x:v>205</x:v>
      </x:c>
      <x:c r="C2986" s="3" t="s">
        <x:v>521</x:v>
      </x:c>
      <x:c r="D2986" t="s">
        <x:v>676</x:v>
      </x:c>
      <x:c r="E2986" s="6">
        <x:v>0</x:v>
      </x:c>
      <x:c r="F2986" s="6">
        <x:v>0</x:v>
      </x:c>
      <x:c r="G2986" s="6">
        <x:v>0</x:v>
      </x:c>
      <x:c r="H2986" s="6">
        <x:f t="shared" si="146"/>
        <x:v>0</x:v>
      </x:c>
      <x:c r="I2986" s="6">
        <x:v>181210.29000000007</x:v>
      </x:c>
      <x:c r="J2986" s="6">
        <x:v>0</x:v>
      </x:c>
      <x:c r="K2986" s="6">
        <x:f t="shared" si="147"/>
        <x:v>181210.29000000007</x:v>
      </x:c>
      <x:c r="L2986" s="6">
        <x:v>0</x:v>
      </x:c>
      <x:c r="M2986" s="6">
        <x:v>0</x:v>
      </x:c>
      <x:c r="N2986" s="6">
        <x:f t="shared" si="148"/>
        <x:v>181210.29000000007</x:v>
      </x:c>
    </x:row>
    <x:row r="2987" spans="1:14" x14ac:dyDescent="0.25">
      <x:c r="A2987" t="s">
        <x:v>38</x:v>
      </x:c>
      <x:c r="B2987" s="3" t="s">
        <x:v>240</x:v>
      </x:c>
      <x:c r="C2987" s="3" t="s">
        <x:v>555</x:v>
      </x:c>
      <x:c r="D2987" t="s">
        <x:v>676</x:v>
      </x:c>
      <x:c r="E2987" s="6">
        <x:v>0</x:v>
      </x:c>
      <x:c r="F2987" s="6">
        <x:v>0</x:v>
      </x:c>
      <x:c r="G2987" s="6">
        <x:v>0</x:v>
      </x:c>
      <x:c r="H2987" s="6">
        <x:f t="shared" si="146"/>
        <x:v>0</x:v>
      </x:c>
      <x:c r="I2987" s="6">
        <x:v>49992.23</x:v>
      </x:c>
      <x:c r="J2987" s="6">
        <x:v>0</x:v>
      </x:c>
      <x:c r="K2987" s="6">
        <x:f t="shared" si="147"/>
        <x:v>49992.23</x:v>
      </x:c>
      <x:c r="L2987" s="6">
        <x:v>0</x:v>
      </x:c>
      <x:c r="M2987" s="6">
        <x:v>0</x:v>
      </x:c>
      <x:c r="N2987" s="6">
        <x:f t="shared" si="148"/>
        <x:v>49992.23</x:v>
      </x:c>
    </x:row>
    <x:row r="2988" spans="1:14" x14ac:dyDescent="0.25">
      <x:c r="A2988" t="s">
        <x:v>38</x:v>
      </x:c>
      <x:c r="B2988" s="3" t="s">
        <x:v>206</x:v>
      </x:c>
      <x:c r="C2988" s="3" t="s">
        <x:v>522</x:v>
      </x:c>
      <x:c r="D2988" t="s">
        <x:v>676</x:v>
      </x:c>
      <x:c r="E2988" s="6">
        <x:v>0</x:v>
      </x:c>
      <x:c r="F2988" s="6">
        <x:v>0</x:v>
      </x:c>
      <x:c r="G2988" s="6">
        <x:v>0</x:v>
      </x:c>
      <x:c r="H2988" s="6">
        <x:f t="shared" si="146"/>
        <x:v>0</x:v>
      </x:c>
      <x:c r="I2988" s="6">
        <x:v>287645.67999999976</x:v>
      </x:c>
      <x:c r="J2988" s="6">
        <x:v>0</x:v>
      </x:c>
      <x:c r="K2988" s="6">
        <x:f t="shared" si="147"/>
        <x:v>287645.67999999976</x:v>
      </x:c>
      <x:c r="L2988" s="6">
        <x:v>0</x:v>
      </x:c>
      <x:c r="M2988" s="6">
        <x:v>0</x:v>
      </x:c>
      <x:c r="N2988" s="6">
        <x:f t="shared" si="148"/>
        <x:v>287645.67999999976</x:v>
      </x:c>
    </x:row>
    <x:row r="2989" spans="1:14" x14ac:dyDescent="0.25">
      <x:c r="A2989" t="s">
        <x:v>38</x:v>
      </x:c>
      <x:c r="B2989" s="3" t="s">
        <x:v>207</x:v>
      </x:c>
      <x:c r="C2989" s="3" t="s">
        <x:v>523</x:v>
      </x:c>
      <x:c r="D2989" t="s">
        <x:v>676</x:v>
      </x:c>
      <x:c r="E2989" s="6">
        <x:v>0</x:v>
      </x:c>
      <x:c r="F2989" s="6">
        <x:v>0</x:v>
      </x:c>
      <x:c r="G2989" s="6">
        <x:v>0</x:v>
      </x:c>
      <x:c r="H2989" s="6">
        <x:f t="shared" si="146"/>
        <x:v>0</x:v>
      </x:c>
      <x:c r="I2989" s="6">
        <x:v>35396.82</x:v>
      </x:c>
      <x:c r="J2989" s="6">
        <x:v>0</x:v>
      </x:c>
      <x:c r="K2989" s="6">
        <x:f t="shared" si="147"/>
        <x:v>35396.82</x:v>
      </x:c>
      <x:c r="L2989" s="6">
        <x:v>0</x:v>
      </x:c>
      <x:c r="M2989" s="6">
        <x:v>0</x:v>
      </x:c>
      <x:c r="N2989" s="6">
        <x:f t="shared" si="148"/>
        <x:v>35396.82</x:v>
      </x:c>
    </x:row>
    <x:row r="2990" spans="1:14" x14ac:dyDescent="0.25">
      <x:c r="A2990" t="s">
        <x:v>38</x:v>
      </x:c>
      <x:c r="B2990" s="3" t="s">
        <x:v>208</x:v>
      </x:c>
      <x:c r="C2990" s="3" t="s">
        <x:v>524</x:v>
      </x:c>
      <x:c r="D2990" t="s">
        <x:v>676</x:v>
      </x:c>
      <x:c r="E2990" s="6">
        <x:v>0</x:v>
      </x:c>
      <x:c r="F2990" s="6">
        <x:v>0</x:v>
      </x:c>
      <x:c r="G2990" s="6">
        <x:v>0</x:v>
      </x:c>
      <x:c r="H2990" s="6">
        <x:f t="shared" si="146"/>
        <x:v>0</x:v>
      </x:c>
      <x:c r="I2990" s="6">
        <x:v>15161.189999999999</x:v>
      </x:c>
      <x:c r="J2990" s="6">
        <x:v>0</x:v>
      </x:c>
      <x:c r="K2990" s="6">
        <x:f t="shared" si="147"/>
        <x:v>15161.189999999999</x:v>
      </x:c>
      <x:c r="L2990" s="6">
        <x:v>0</x:v>
      </x:c>
      <x:c r="M2990" s="6">
        <x:v>0</x:v>
      </x:c>
      <x:c r="N2990" s="6">
        <x:f t="shared" si="148"/>
        <x:v>15161.189999999999</x:v>
      </x:c>
    </x:row>
    <x:row r="2991" spans="1:14" x14ac:dyDescent="0.25">
      <x:c r="A2991" t="s">
        <x:v>38</x:v>
      </x:c>
      <x:c r="B2991" s="3" t="s">
        <x:v>209</x:v>
      </x:c>
      <x:c r="C2991" s="3" t="s">
        <x:v>525</x:v>
      </x:c>
      <x:c r="D2991" t="s">
        <x:v>676</x:v>
      </x:c>
      <x:c r="E2991" s="6">
        <x:v>0</x:v>
      </x:c>
      <x:c r="F2991" s="6">
        <x:v>0</x:v>
      </x:c>
      <x:c r="G2991" s="6">
        <x:v>0</x:v>
      </x:c>
      <x:c r="H2991" s="6">
        <x:f t="shared" si="146"/>
        <x:v>0</x:v>
      </x:c>
      <x:c r="I2991" s="6">
        <x:v>160513.74000000005</x:v>
      </x:c>
      <x:c r="J2991" s="6">
        <x:v>0</x:v>
      </x:c>
      <x:c r="K2991" s="6">
        <x:f t="shared" si="147"/>
        <x:v>160513.74000000005</x:v>
      </x:c>
      <x:c r="L2991" s="6">
        <x:v>0</x:v>
      </x:c>
      <x:c r="M2991" s="6">
        <x:v>0</x:v>
      </x:c>
      <x:c r="N2991" s="6">
        <x:f t="shared" si="148"/>
        <x:v>160513.74000000005</x:v>
      </x:c>
    </x:row>
    <x:row r="2992" spans="1:14" x14ac:dyDescent="0.25">
      <x:c r="A2992" t="s">
        <x:v>38</x:v>
      </x:c>
      <x:c r="B2992" s="3" t="s">
        <x:v>210</x:v>
      </x:c>
      <x:c r="C2992" s="3" t="s">
        <x:v>526</x:v>
      </x:c>
      <x:c r="D2992" t="s">
        <x:v>676</x:v>
      </x:c>
      <x:c r="E2992" s="6">
        <x:v>0</x:v>
      </x:c>
      <x:c r="F2992" s="6">
        <x:v>0</x:v>
      </x:c>
      <x:c r="G2992" s="6">
        <x:v>0</x:v>
      </x:c>
      <x:c r="H2992" s="6">
        <x:f t="shared" si="146"/>
        <x:v>0</x:v>
      </x:c>
      <x:c r="I2992" s="6">
        <x:v>203693.11000000013</x:v>
      </x:c>
      <x:c r="J2992" s="6">
        <x:v>0</x:v>
      </x:c>
      <x:c r="K2992" s="6">
        <x:f t="shared" si="147"/>
        <x:v>203693.11000000013</x:v>
      </x:c>
      <x:c r="L2992" s="6">
        <x:v>0</x:v>
      </x:c>
      <x:c r="M2992" s="6">
        <x:v>0</x:v>
      </x:c>
      <x:c r="N2992" s="6">
        <x:f t="shared" si="148"/>
        <x:v>203693.11000000013</x:v>
      </x:c>
    </x:row>
    <x:row r="2993" spans="1:14" x14ac:dyDescent="0.25">
      <x:c r="A2993" t="s">
        <x:v>38</x:v>
      </x:c>
      <x:c r="B2993" s="3" t="s">
        <x:v>265</x:v>
      </x:c>
      <x:c r="C2993" s="3" t="s">
        <x:v>580</x:v>
      </x:c>
      <x:c r="D2993" t="s">
        <x:v>676</x:v>
      </x:c>
      <x:c r="E2993" s="6">
        <x:v>0</x:v>
      </x:c>
      <x:c r="F2993" s="6">
        <x:v>0</x:v>
      </x:c>
      <x:c r="G2993" s="6">
        <x:v>0</x:v>
      </x:c>
      <x:c r="H2993" s="6">
        <x:f t="shared" si="146"/>
        <x:v>0</x:v>
      </x:c>
      <x:c r="I2993" s="6">
        <x:v>0</x:v>
      </x:c>
      <x:c r="J2993" s="6">
        <x:v>0</x:v>
      </x:c>
      <x:c r="K2993" s="6">
        <x:f t="shared" si="147"/>
        <x:v>0</x:v>
      </x:c>
      <x:c r="L2993" s="6">
        <x:v>167334.5</x:v>
      </x:c>
      <x:c r="M2993" s="6">
        <x:v>0</x:v>
      </x:c>
      <x:c r="N2993" s="6">
        <x:f t="shared" si="148"/>
        <x:v>167334.5</x:v>
      </x:c>
    </x:row>
    <x:row r="2994" spans="1:14" x14ac:dyDescent="0.25">
      <x:c r="A2994" t="s">
        <x:v>38</x:v>
      </x:c>
      <x:c r="B2994" s="3" t="s">
        <x:v>211</x:v>
      </x:c>
      <x:c r="C2994" s="3" t="s">
        <x:v>527</x:v>
      </x:c>
      <x:c r="D2994" t="s">
        <x:v>676</x:v>
      </x:c>
      <x:c r="E2994" s="6">
        <x:v>0</x:v>
      </x:c>
      <x:c r="F2994" s="6">
        <x:v>0</x:v>
      </x:c>
      <x:c r="G2994" s="6">
        <x:v>0</x:v>
      </x:c>
      <x:c r="H2994" s="6">
        <x:f t="shared" si="146"/>
        <x:v>0</x:v>
      </x:c>
      <x:c r="I2994" s="6">
        <x:v>215052.04999999993</x:v>
      </x:c>
      <x:c r="J2994" s="6">
        <x:v>0</x:v>
      </x:c>
      <x:c r="K2994" s="6">
        <x:f t="shared" si="147"/>
        <x:v>215052.04999999993</x:v>
      </x:c>
      <x:c r="L2994" s="6">
        <x:v>0</x:v>
      </x:c>
      <x:c r="M2994" s="6">
        <x:v>0</x:v>
      </x:c>
      <x:c r="N2994" s="6">
        <x:f t="shared" si="148"/>
        <x:v>215052.04999999993</x:v>
      </x:c>
    </x:row>
    <x:row r="2995" spans="1:14" x14ac:dyDescent="0.25">
      <x:c r="A2995" t="s">
        <x:v>38</x:v>
      </x:c>
      <x:c r="B2995" s="3" t="s">
        <x:v>212</x:v>
      </x:c>
      <x:c r="C2995" s="3" t="s">
        <x:v>528</x:v>
      </x:c>
      <x:c r="D2995" t="s">
        <x:v>676</x:v>
      </x:c>
      <x:c r="E2995" s="6">
        <x:v>0</x:v>
      </x:c>
      <x:c r="F2995" s="6">
        <x:v>0</x:v>
      </x:c>
      <x:c r="G2995" s="6">
        <x:v>0</x:v>
      </x:c>
      <x:c r="H2995" s="6">
        <x:f t="shared" si="146"/>
        <x:v>0</x:v>
      </x:c>
      <x:c r="I2995" s="6">
        <x:v>211420.17</x:v>
      </x:c>
      <x:c r="J2995" s="6">
        <x:v>0</x:v>
      </x:c>
      <x:c r="K2995" s="6">
        <x:f t="shared" si="147"/>
        <x:v>211420.17</x:v>
      </x:c>
      <x:c r="L2995" s="6">
        <x:v>0</x:v>
      </x:c>
      <x:c r="M2995" s="6">
        <x:v>0</x:v>
      </x:c>
      <x:c r="N2995" s="6">
        <x:f t="shared" si="148"/>
        <x:v>211420.17</x:v>
      </x:c>
    </x:row>
    <x:row r="2996" spans="1:14" x14ac:dyDescent="0.25">
      <x:c r="A2996" t="s">
        <x:v>38</x:v>
      </x:c>
      <x:c r="B2996" s="3" t="s">
        <x:v>64</x:v>
      </x:c>
      <x:c r="C2996" s="3" t="s">
        <x:v>381</x:v>
      </x:c>
      <x:c r="D2996" t="s">
        <x:v>676</x:v>
      </x:c>
      <x:c r="E2996" s="6">
        <x:v>0</x:v>
      </x:c>
      <x:c r="F2996" s="6">
        <x:v>0</x:v>
      </x:c>
      <x:c r="G2996" s="6">
        <x:v>0</x:v>
      </x:c>
      <x:c r="H2996" s="6">
        <x:f t="shared" si="146"/>
        <x:v>0</x:v>
      </x:c>
      <x:c r="I2996" s="6">
        <x:v>87055.149999999965</x:v>
      </x:c>
      <x:c r="J2996" s="6">
        <x:v>0</x:v>
      </x:c>
      <x:c r="K2996" s="6">
        <x:f t="shared" si="147"/>
        <x:v>87055.149999999965</x:v>
      </x:c>
      <x:c r="L2996" s="6">
        <x:v>0</x:v>
      </x:c>
      <x:c r="M2996" s="6">
        <x:v>0</x:v>
      </x:c>
      <x:c r="N2996" s="6">
        <x:f t="shared" si="148"/>
        <x:v>87055.149999999965</x:v>
      </x:c>
    </x:row>
    <x:row r="2997" spans="1:14" x14ac:dyDescent="0.25">
      <x:c r="A2997" t="s">
        <x:v>38</x:v>
      </x:c>
      <x:c r="B2997" s="3" t="s">
        <x:v>213</x:v>
      </x:c>
      <x:c r="C2997" s="3" t="s">
        <x:v>529</x:v>
      </x:c>
      <x:c r="D2997" t="s">
        <x:v>676</x:v>
      </x:c>
      <x:c r="E2997" s="6">
        <x:v>0</x:v>
      </x:c>
      <x:c r="F2997" s="6">
        <x:v>0</x:v>
      </x:c>
      <x:c r="G2997" s="6">
        <x:v>0</x:v>
      </x:c>
      <x:c r="H2997" s="6">
        <x:f t="shared" si="146"/>
        <x:v>0</x:v>
      </x:c>
      <x:c r="I2997" s="6">
        <x:v>116378.62000000002</x:v>
      </x:c>
      <x:c r="J2997" s="6">
        <x:v>0</x:v>
      </x:c>
      <x:c r="K2997" s="6">
        <x:f t="shared" si="147"/>
        <x:v>116378.62000000002</x:v>
      </x:c>
      <x:c r="L2997" s="6">
        <x:v>0</x:v>
      </x:c>
      <x:c r="M2997" s="6">
        <x:v>0</x:v>
      </x:c>
      <x:c r="N2997" s="6">
        <x:f t="shared" si="148"/>
        <x:v>116378.62000000002</x:v>
      </x:c>
    </x:row>
    <x:row r="2998" spans="1:14" x14ac:dyDescent="0.25">
      <x:c r="A2998" t="s">
        <x:v>38</x:v>
      </x:c>
      <x:c r="B2998" s="3" t="s">
        <x:v>214</x:v>
      </x:c>
      <x:c r="C2998" s="3" t="s">
        <x:v>530</x:v>
      </x:c>
      <x:c r="D2998" t="s">
        <x:v>676</x:v>
      </x:c>
      <x:c r="E2998" s="6">
        <x:v>0</x:v>
      </x:c>
      <x:c r="F2998" s="6">
        <x:v>0</x:v>
      </x:c>
      <x:c r="G2998" s="6">
        <x:v>0</x:v>
      </x:c>
      <x:c r="H2998" s="6">
        <x:f t="shared" si="146"/>
        <x:v>0</x:v>
      </x:c>
      <x:c r="I2998" s="6">
        <x:v>18068.32</x:v>
      </x:c>
      <x:c r="J2998" s="6">
        <x:v>0</x:v>
      </x:c>
      <x:c r="K2998" s="6">
        <x:f t="shared" si="147"/>
        <x:v>18068.32</x:v>
      </x:c>
      <x:c r="L2998" s="6">
        <x:v>0</x:v>
      </x:c>
      <x:c r="M2998" s="6">
        <x:v>0</x:v>
      </x:c>
      <x:c r="N2998" s="6">
        <x:f t="shared" si="148"/>
        <x:v>18068.32</x:v>
      </x:c>
    </x:row>
    <x:row r="2999" spans="1:14" x14ac:dyDescent="0.25">
      <x:c r="A2999" t="s">
        <x:v>38</x:v>
      </x:c>
      <x:c r="B2999" s="3" t="s">
        <x:v>215</x:v>
      </x:c>
      <x:c r="C2999" s="3" t="s">
        <x:v>531</x:v>
      </x:c>
      <x:c r="D2999" t="s">
        <x:v>676</x:v>
      </x:c>
      <x:c r="E2999" s="6">
        <x:v>0</x:v>
      </x:c>
      <x:c r="F2999" s="6">
        <x:v>0</x:v>
      </x:c>
      <x:c r="G2999" s="6">
        <x:v>0</x:v>
      </x:c>
      <x:c r="H2999" s="6">
        <x:f t="shared" si="146"/>
        <x:v>0</x:v>
      </x:c>
      <x:c r="I2999" s="6">
        <x:v>193848.60000000006</x:v>
      </x:c>
      <x:c r="J2999" s="6">
        <x:v>0</x:v>
      </x:c>
      <x:c r="K2999" s="6">
        <x:f t="shared" si="147"/>
        <x:v>193848.60000000006</x:v>
      </x:c>
      <x:c r="L2999" s="6">
        <x:v>0</x:v>
      </x:c>
      <x:c r="M2999" s="6">
        <x:v>0</x:v>
      </x:c>
      <x:c r="N2999" s="6">
        <x:f t="shared" si="148"/>
        <x:v>193848.60000000006</x:v>
      </x:c>
    </x:row>
    <x:row r="3000" spans="1:14" x14ac:dyDescent="0.25">
      <x:c r="A3000" t="s">
        <x:v>38</x:v>
      </x:c>
      <x:c r="B3000" s="3" t="s">
        <x:v>216</x:v>
      </x:c>
      <x:c r="C3000" s="3" t="s">
        <x:v>532</x:v>
      </x:c>
      <x:c r="D3000" t="s">
        <x:v>676</x:v>
      </x:c>
      <x:c r="E3000" s="6">
        <x:v>0</x:v>
      </x:c>
      <x:c r="F3000" s="6">
        <x:v>0</x:v>
      </x:c>
      <x:c r="G3000" s="6">
        <x:v>0</x:v>
      </x:c>
      <x:c r="H3000" s="6">
        <x:f t="shared" si="146"/>
        <x:v>0</x:v>
      </x:c>
      <x:c r="I3000" s="6">
        <x:v>149727.26000000007</x:v>
      </x:c>
      <x:c r="J3000" s="6">
        <x:v>0</x:v>
      </x:c>
      <x:c r="K3000" s="6">
        <x:f t="shared" si="147"/>
        <x:v>149727.26000000007</x:v>
      </x:c>
      <x:c r="L3000" s="6">
        <x:v>0</x:v>
      </x:c>
      <x:c r="M3000" s="6">
        <x:v>0</x:v>
      </x:c>
      <x:c r="N3000" s="6">
        <x:f t="shared" si="148"/>
        <x:v>149727.26000000007</x:v>
      </x:c>
    </x:row>
    <x:row r="3001" spans="1:14" x14ac:dyDescent="0.25">
      <x:c r="A3001" t="s">
        <x:v>38</x:v>
      </x:c>
      <x:c r="B3001" s="3" t="s">
        <x:v>267</x:v>
      </x:c>
      <x:c r="C3001" s="3" t="s">
        <x:v>582</x:v>
      </x:c>
      <x:c r="D3001" t="s">
        <x:v>676</x:v>
      </x:c>
      <x:c r="E3001" s="6">
        <x:v>0</x:v>
      </x:c>
      <x:c r="F3001" s="6">
        <x:v>0</x:v>
      </x:c>
      <x:c r="G3001" s="6">
        <x:v>0</x:v>
      </x:c>
      <x:c r="H3001" s="6">
        <x:f t="shared" si="146"/>
        <x:v>0</x:v>
      </x:c>
      <x:c r="I3001" s="6">
        <x:v>0</x:v>
      </x:c>
      <x:c r="J3001" s="6">
        <x:v>0</x:v>
      </x:c>
      <x:c r="K3001" s="6">
        <x:f t="shared" si="147"/>
        <x:v>0</x:v>
      </x:c>
      <x:c r="L3001" s="6">
        <x:v>177992.97999999998</x:v>
      </x:c>
      <x:c r="M3001" s="6">
        <x:v>0</x:v>
      </x:c>
      <x:c r="N3001" s="6">
        <x:f t="shared" si="148"/>
        <x:v>177992.97999999998</x:v>
      </x:c>
    </x:row>
    <x:row r="3002" spans="1:14" x14ac:dyDescent="0.25">
      <x:c r="A3002" t="s">
        <x:v>38</x:v>
      </x:c>
      <x:c r="B3002" s="3" t="s">
        <x:v>65</x:v>
      </x:c>
      <x:c r="C3002" s="3" t="s">
        <x:v>382</x:v>
      </x:c>
      <x:c r="D3002" t="s">
        <x:v>676</x:v>
      </x:c>
      <x:c r="E3002" s="6">
        <x:v>0</x:v>
      </x:c>
      <x:c r="F3002" s="6">
        <x:v>0</x:v>
      </x:c>
      <x:c r="G3002" s="6">
        <x:v>0</x:v>
      </x:c>
      <x:c r="H3002" s="6">
        <x:f t="shared" si="146"/>
        <x:v>0</x:v>
      </x:c>
      <x:c r="I3002" s="6">
        <x:v>279095.11000000016</x:v>
      </x:c>
      <x:c r="J3002" s="6">
        <x:v>0</x:v>
      </x:c>
      <x:c r="K3002" s="6">
        <x:f t="shared" si="147"/>
        <x:v>279095.11000000016</x:v>
      </x:c>
      <x:c r="L3002" s="6">
        <x:v>0</x:v>
      </x:c>
      <x:c r="M3002" s="6">
        <x:v>0</x:v>
      </x:c>
      <x:c r="N3002" s="6">
        <x:f t="shared" si="148"/>
        <x:v>279095.11000000016</x:v>
      </x:c>
    </x:row>
    <x:row r="3003" spans="1:14" x14ac:dyDescent="0.25">
      <x:c r="A3003" t="s">
        <x:v>38</x:v>
      </x:c>
      <x:c r="B3003" s="3" t="s">
        <x:v>217</x:v>
      </x:c>
      <x:c r="C3003" s="3" t="s">
        <x:v>533</x:v>
      </x:c>
      <x:c r="D3003" t="s">
        <x:v>676</x:v>
      </x:c>
      <x:c r="E3003" s="6">
        <x:v>0</x:v>
      </x:c>
      <x:c r="F3003" s="6">
        <x:v>0</x:v>
      </x:c>
      <x:c r="G3003" s="6">
        <x:v>0</x:v>
      </x:c>
      <x:c r="H3003" s="6">
        <x:f t="shared" si="146"/>
        <x:v>0</x:v>
      </x:c>
      <x:c r="I3003" s="6">
        <x:v>250294.2699999999</x:v>
      </x:c>
      <x:c r="J3003" s="6">
        <x:v>0</x:v>
      </x:c>
      <x:c r="K3003" s="6">
        <x:f t="shared" si="147"/>
        <x:v>250294.2699999999</x:v>
      </x:c>
      <x:c r="L3003" s="6">
        <x:v>0</x:v>
      </x:c>
      <x:c r="M3003" s="6">
        <x:v>0</x:v>
      </x:c>
      <x:c r="N3003" s="6">
        <x:f t="shared" si="148"/>
        <x:v>250294.2699999999</x:v>
      </x:c>
    </x:row>
    <x:row r="3004" spans="1:14" x14ac:dyDescent="0.25">
      <x:c r="A3004" t="s">
        <x:v>38</x:v>
      </x:c>
      <x:c r="B3004" s="3" t="s">
        <x:v>241</x:v>
      </x:c>
      <x:c r="C3004" s="3" t="s">
        <x:v>556</x:v>
      </x:c>
      <x:c r="D3004" t="s">
        <x:v>676</x:v>
      </x:c>
      <x:c r="E3004" s="6">
        <x:v>0</x:v>
      </x:c>
      <x:c r="F3004" s="6">
        <x:v>0</x:v>
      </x:c>
      <x:c r="G3004" s="6">
        <x:v>0</x:v>
      </x:c>
      <x:c r="H3004" s="6">
        <x:f t="shared" si="146"/>
        <x:v>0</x:v>
      </x:c>
      <x:c r="I3004" s="6">
        <x:v>0</x:v>
      </x:c>
      <x:c r="J3004" s="6">
        <x:v>0</x:v>
      </x:c>
      <x:c r="K3004" s="6">
        <x:f t="shared" si="147"/>
        <x:v>0</x:v>
      </x:c>
      <x:c r="L3004" s="6">
        <x:v>179209.07</x:v>
      </x:c>
      <x:c r="M3004" s="6">
        <x:v>0</x:v>
      </x:c>
      <x:c r="N3004" s="6">
        <x:f t="shared" si="148"/>
        <x:v>179209.07</x:v>
      </x:c>
    </x:row>
    <x:row r="3005" spans="1:14" x14ac:dyDescent="0.25">
      <x:c r="A3005" t="s">
        <x:v>38</x:v>
      </x:c>
      <x:c r="B3005" s="3" t="s">
        <x:v>218</x:v>
      </x:c>
      <x:c r="C3005" s="3" t="s">
        <x:v>534</x:v>
      </x:c>
      <x:c r="D3005" t="s">
        <x:v>676</x:v>
      </x:c>
      <x:c r="E3005" s="6">
        <x:v>0</x:v>
      </x:c>
      <x:c r="F3005" s="6">
        <x:v>0</x:v>
      </x:c>
      <x:c r="G3005" s="6">
        <x:v>0</x:v>
      </x:c>
      <x:c r="H3005" s="6">
        <x:f t="shared" si="146"/>
        <x:v>0</x:v>
      </x:c>
      <x:c r="I3005" s="6">
        <x:v>309058.89</x:v>
      </x:c>
      <x:c r="J3005" s="6">
        <x:v>0</x:v>
      </x:c>
      <x:c r="K3005" s="6">
        <x:f t="shared" si="147"/>
        <x:v>309058.89</x:v>
      </x:c>
      <x:c r="L3005" s="6">
        <x:v>0</x:v>
      </x:c>
      <x:c r="M3005" s="6">
        <x:v>0</x:v>
      </x:c>
      <x:c r="N3005" s="6">
        <x:f t="shared" si="148"/>
        <x:v>309058.89</x:v>
      </x:c>
    </x:row>
    <x:row r="3006" spans="1:14" x14ac:dyDescent="0.25">
      <x:c r="A3006" t="s">
        <x:v>38</x:v>
      </x:c>
      <x:c r="B3006" s="3" t="s">
        <x:v>219</x:v>
      </x:c>
      <x:c r="C3006" s="3" t="s">
        <x:v>535</x:v>
      </x:c>
      <x:c r="D3006" t="s">
        <x:v>676</x:v>
      </x:c>
      <x:c r="E3006" s="6">
        <x:v>0</x:v>
      </x:c>
      <x:c r="F3006" s="6">
        <x:v>0</x:v>
      </x:c>
      <x:c r="G3006" s="6">
        <x:v>0</x:v>
      </x:c>
      <x:c r="H3006" s="6">
        <x:f t="shared" si="146"/>
        <x:v>0</x:v>
      </x:c>
      <x:c r="I3006" s="6">
        <x:v>195741.58000000005</x:v>
      </x:c>
      <x:c r="J3006" s="6">
        <x:v>0</x:v>
      </x:c>
      <x:c r="K3006" s="6">
        <x:f t="shared" si="147"/>
        <x:v>195741.58000000005</x:v>
      </x:c>
      <x:c r="L3006" s="6">
        <x:v>0</x:v>
      </x:c>
      <x:c r="M3006" s="6">
        <x:v>0</x:v>
      </x:c>
      <x:c r="N3006" s="6">
        <x:f t="shared" si="148"/>
        <x:v>195741.58000000005</x:v>
      </x:c>
    </x:row>
    <x:row r="3007" spans="1:14" x14ac:dyDescent="0.25">
      <x:c r="A3007" t="s">
        <x:v>38</x:v>
      </x:c>
      <x:c r="B3007" s="3" t="s">
        <x:v>220</x:v>
      </x:c>
      <x:c r="C3007" s="3" t="s">
        <x:v>536</x:v>
      </x:c>
      <x:c r="D3007" t="s">
        <x:v>676</x:v>
      </x:c>
      <x:c r="E3007" s="6">
        <x:v>0</x:v>
      </x:c>
      <x:c r="F3007" s="6">
        <x:v>0</x:v>
      </x:c>
      <x:c r="G3007" s="6">
        <x:v>0</x:v>
      </x:c>
      <x:c r="H3007" s="6">
        <x:f t="shared" si="146"/>
        <x:v>0</x:v>
      </x:c>
      <x:c r="I3007" s="6">
        <x:v>222163.71</x:v>
      </x:c>
      <x:c r="J3007" s="6">
        <x:v>0</x:v>
      </x:c>
      <x:c r="K3007" s="6">
        <x:f t="shared" si="147"/>
        <x:v>222163.71</x:v>
      </x:c>
      <x:c r="L3007" s="6">
        <x:v>0</x:v>
      </x:c>
      <x:c r="M3007" s="6">
        <x:v>0</x:v>
      </x:c>
      <x:c r="N3007" s="6">
        <x:f t="shared" si="148"/>
        <x:v>222163.71</x:v>
      </x:c>
    </x:row>
    <x:row r="3008" spans="1:14" x14ac:dyDescent="0.25">
      <x:c r="A3008" t="s">
        <x:v>38</x:v>
      </x:c>
      <x:c r="B3008" s="3" t="s">
        <x:v>242</x:v>
      </x:c>
      <x:c r="C3008" s="3" t="s">
        <x:v>557</x:v>
      </x:c>
      <x:c r="D3008" t="s">
        <x:v>676</x:v>
      </x:c>
      <x:c r="E3008" s="6">
        <x:v>0</x:v>
      </x:c>
      <x:c r="F3008" s="6">
        <x:v>0</x:v>
      </x:c>
      <x:c r="G3008" s="6">
        <x:v>0</x:v>
      </x:c>
      <x:c r="H3008" s="6">
        <x:f t="shared" si="146"/>
        <x:v>0</x:v>
      </x:c>
      <x:c r="I3008" s="6">
        <x:v>-4170028.96</x:v>
      </x:c>
      <x:c r="J3008" s="6">
        <x:v>0</x:v>
      </x:c>
      <x:c r="K3008" s="6">
        <x:f t="shared" si="147"/>
        <x:v>-4170028.96</x:v>
      </x:c>
      <x:c r="L3008" s="6">
        <x:v>0</x:v>
      </x:c>
      <x:c r="M3008" s="6">
        <x:v>0</x:v>
      </x:c>
      <x:c r="N3008" s="6">
        <x:f t="shared" si="148"/>
        <x:v>-4170028.96</x:v>
      </x:c>
    </x:row>
    <x:row r="3009" spans="1:14" x14ac:dyDescent="0.25">
      <x:c r="A3009" t="s">
        <x:v>38</x:v>
      </x:c>
      <x:c r="B3009" s="3" t="s">
        <x:v>325</x:v>
      </x:c>
      <x:c r="C3009" s="3" t="s">
        <x:v>640</x:v>
      </x:c>
      <x:c r="D3009" t="s">
        <x:v>679</x:v>
      </x:c>
      <x:c r="E3009" s="6">
        <x:v>40269.840000000004</x:v>
      </x:c>
      <x:c r="F3009" s="6">
        <x:v>0</x:v>
      </x:c>
      <x:c r="G3009" s="6">
        <x:v>0</x:v>
      </x:c>
      <x:c r="H3009" s="6">
        <x:f t="shared" si="146"/>
        <x:v>40269.840000000004</x:v>
      </x:c>
      <x:c r="I3009" s="6">
        <x:v>107553.43000000001</x:v>
      </x:c>
      <x:c r="J3009" s="6">
        <x:v>0</x:v>
      </x:c>
      <x:c r="K3009" s="6">
        <x:f t="shared" si="147"/>
        <x:v>107553.43000000001</x:v>
      </x:c>
      <x:c r="L3009" s="6">
        <x:v>30076.99</x:v>
      </x:c>
      <x:c r="M3009" s="6">
        <x:v>1236.0399999999981</x:v>
      </x:c>
      <x:c r="N3009" s="6">
        <x:f t="shared" si="148"/>
        <x:v>179136.30000000002</x:v>
      </x:c>
    </x:row>
    <x:row r="3010" spans="1:14" x14ac:dyDescent="0.25">
      <x:c r="A3010" t="s">
        <x:v>38</x:v>
      </x:c>
      <x:c r="B3010" s="3" t="s">
        <x:v>66</x:v>
      </x:c>
      <x:c r="C3010" s="3" t="s">
        <x:v>383</x:v>
      </x:c>
      <x:c r="D3010" t="s">
        <x:v>676</x:v>
      </x:c>
      <x:c r="E3010" s="6">
        <x:v>58315.11</x:v>
      </x:c>
      <x:c r="F3010" s="6">
        <x:v>0</x:v>
      </x:c>
      <x:c r="G3010" s="6">
        <x:v>0</x:v>
      </x:c>
      <x:c r="H3010" s="6">
        <x:f t="shared" si="146"/>
        <x:v>58315.11</x:v>
      </x:c>
      <x:c r="I3010" s="6">
        <x:v>153129.09999999998</x:v>
      </x:c>
      <x:c r="J3010" s="6">
        <x:v>0</x:v>
      </x:c>
      <x:c r="K3010" s="6">
        <x:f t="shared" si="147"/>
        <x:v>153129.09999999998</x:v>
      </x:c>
      <x:c r="L3010" s="6">
        <x:v>0</x:v>
      </x:c>
      <x:c r="M3010" s="6">
        <x:v>0</x:v>
      </x:c>
      <x:c r="N3010" s="6">
        <x:f t="shared" si="148"/>
        <x:v>211444.20999999996</x:v>
      </x:c>
    </x:row>
    <x:row r="3011" spans="1:14" x14ac:dyDescent="0.25">
      <x:c r="A3011" t="s">
        <x:v>38</x:v>
      </x:c>
      <x:c r="B3011" s="3" t="s">
        <x:v>317</x:v>
      </x:c>
      <x:c r="C3011" s="3" t="s">
        <x:v>632</x:v>
      </x:c>
      <x:c r="D3011" t="s">
        <x:v>676</x:v>
      </x:c>
      <x:c r="E3011" s="6">
        <x:v>0</x:v>
      </x:c>
      <x:c r="F3011" s="6">
        <x:v>0</x:v>
      </x:c>
      <x:c r="G3011" s="6">
        <x:v>0</x:v>
      </x:c>
      <x:c r="H3011" s="6">
        <x:f t="shared" si="146"/>
        <x:v>0</x:v>
      </x:c>
      <x:c r="I3011" s="6">
        <x:v>0</x:v>
      </x:c>
      <x:c r="J3011" s="6">
        <x:v>0</x:v>
      </x:c>
      <x:c r="K3011" s="6">
        <x:f t="shared" si="147"/>
        <x:v>0</x:v>
      </x:c>
      <x:c r="L3011" s="6">
        <x:v>0</x:v>
      </x:c>
      <x:c r="M3011" s="6">
        <x:v>160753.33000000002</x:v>
      </x:c>
      <x:c r="N3011" s="6">
        <x:f t="shared" si="148"/>
        <x:v>160753.33000000002</x:v>
      </x:c>
    </x:row>
    <x:row r="3012" spans="1:14" x14ac:dyDescent="0.25">
      <x:c r="A3012" t="s">
        <x:v>38</x:v>
      </x:c>
      <x:c r="B3012" s="3" t="s">
        <x:v>318</x:v>
      </x:c>
      <x:c r="C3012" s="3" t="s">
        <x:v>633</x:v>
      </x:c>
      <x:c r="D3012" t="s">
        <x:v>676</x:v>
      </x:c>
      <x:c r="E3012" s="6">
        <x:v>0</x:v>
      </x:c>
      <x:c r="F3012" s="6">
        <x:v>0</x:v>
      </x:c>
      <x:c r="G3012" s="6">
        <x:v>0</x:v>
      </x:c>
      <x:c r="H3012" s="6">
        <x:f t="shared" si="146"/>
        <x:v>0</x:v>
      </x:c>
      <x:c r="I3012" s="6">
        <x:v>0</x:v>
      </x:c>
      <x:c r="J3012" s="6">
        <x:v>0</x:v>
      </x:c>
      <x:c r="K3012" s="6">
        <x:f t="shared" si="147"/>
        <x:v>0</x:v>
      </x:c>
      <x:c r="L3012" s="6">
        <x:v>0</x:v>
      </x:c>
      <x:c r="M3012" s="6">
        <x:v>420</x:v>
      </x:c>
      <x:c r="N3012" s="6">
        <x:f t="shared" si="148"/>
        <x:v>420</x:v>
      </x:c>
    </x:row>
    <x:row r="3013" spans="1:14" x14ac:dyDescent="0.25">
      <x:c r="A3013" t="s">
        <x:v>38</x:v>
      </x:c>
      <x:c r="B3013" s="3" t="s">
        <x:v>67</x:v>
      </x:c>
      <x:c r="C3013" s="3" t="s">
        <x:v>384</x:v>
      </x:c>
      <x:c r="D3013" t="s">
        <x:v>679</x:v>
      </x:c>
      <x:c r="E3013" s="6">
        <x:v>78895.489999999991</x:v>
      </x:c>
      <x:c r="F3013" s="6">
        <x:v>0</x:v>
      </x:c>
      <x:c r="G3013" s="6">
        <x:v>0</x:v>
      </x:c>
      <x:c r="H3013" s="6">
        <x:f t="shared" si="146"/>
        <x:v>78895.489999999991</x:v>
      </x:c>
      <x:c r="I3013" s="6">
        <x:v>210715.52000000002</x:v>
      </x:c>
      <x:c r="J3013" s="6">
        <x:v>0</x:v>
      </x:c>
      <x:c r="K3013" s="6">
        <x:f t="shared" si="147"/>
        <x:v>210715.52000000002</x:v>
      </x:c>
      <x:c r="L3013" s="6">
        <x:v>58925.93</x:v>
      </x:c>
      <x:c r="M3013" s="6">
        <x:v>2421.6100000000251</x:v>
      </x:c>
      <x:c r="N3013" s="6">
        <x:f t="shared" si="148"/>
        <x:v>350958.55000000005</x:v>
      </x:c>
    </x:row>
    <x:row r="3014" spans="1:14" x14ac:dyDescent="0.25">
      <x:c r="A3014" t="s">
        <x:v>38</x:v>
      </x:c>
      <x:c r="B3014" s="3" t="s">
        <x:v>326</x:v>
      </x:c>
      <x:c r="C3014" s="3" t="s">
        <x:v>641</x:v>
      </x:c>
      <x:c r="D3014" t="s">
        <x:v>679</x:v>
      </x:c>
      <x:c r="E3014" s="6">
        <x:v>39793.620000000003</x:v>
      </x:c>
      <x:c r="F3014" s="6">
        <x:v>0</x:v>
      </x:c>
      <x:c r="G3014" s="6">
        <x:v>0</x:v>
      </x:c>
      <x:c r="H3014" s="6">
        <x:f t="shared" si="146"/>
        <x:v>39793.620000000003</x:v>
      </x:c>
      <x:c r="I3014" s="6">
        <x:v>106281.53</x:v>
      </x:c>
      <x:c r="J3014" s="6">
        <x:v>0</x:v>
      </x:c>
      <x:c r="K3014" s="6">
        <x:f t="shared" si="147"/>
        <x:v>106281.53</x:v>
      </x:c>
      <x:c r="L3014" s="6">
        <x:v>29721.3</x:v>
      </x:c>
      <x:c r="M3014" s="6">
        <x:v>1221.4199999999983</x:v>
      </x:c>
      <x:c r="N3014" s="6">
        <x:f t="shared" si="148"/>
        <x:v>177017.87</x:v>
      </x:c>
    </x:row>
    <x:row r="3015" spans="1:14" x14ac:dyDescent="0.25">
      <x:c r="A3015" t="s">
        <x:v>38</x:v>
      </x:c>
      <x:c r="B3015" s="3" t="s">
        <x:v>327</x:v>
      </x:c>
      <x:c r="C3015" s="3" t="s">
        <x:v>642</x:v>
      </x:c>
      <x:c r="D3015" t="s">
        <x:v>679</x:v>
      </x:c>
      <x:c r="E3015" s="6">
        <x:v>39761.710000000006</x:v>
      </x:c>
      <x:c r="F3015" s="6">
        <x:v>0</x:v>
      </x:c>
      <x:c r="G3015" s="6">
        <x:v>0</x:v>
      </x:c>
      <x:c r="H3015" s="6">
        <x:f t="shared" si="146"/>
        <x:v>39761.710000000006</x:v>
      </x:c>
      <x:c r="I3015" s="6">
        <x:v>106196.31</x:v>
      </x:c>
      <x:c r="J3015" s="6">
        <x:v>0</x:v>
      </x:c>
      <x:c r="K3015" s="6">
        <x:f t="shared" si="147"/>
        <x:v>106196.31</x:v>
      </x:c>
      <x:c r="L3015" s="6">
        <x:v>29697.46</x:v>
      </x:c>
      <x:c r="M3015" s="6">
        <x:v>1220.4499999999871</x:v>
      </x:c>
      <x:c r="N3015" s="6">
        <x:f t="shared" si="148"/>
        <x:v>176875.93</x:v>
      </x:c>
    </x:row>
    <x:row r="3016" spans="1:14" x14ac:dyDescent="0.25">
      <x:c r="A3016" t="s">
        <x:v>38</x:v>
      </x:c>
      <x:c r="B3016" s="3" t="s">
        <x:v>328</x:v>
      </x:c>
      <x:c r="C3016" s="3" t="s">
        <x:v>643</x:v>
      </x:c>
      <x:c r="D3016" t="s">
        <x:v>679</x:v>
      </x:c>
      <x:c r="E3016" s="6">
        <x:v>48158.340000000011</x:v>
      </x:c>
      <x:c r="F3016" s="6">
        <x:v>0</x:v>
      </x:c>
      <x:c r="G3016" s="6">
        <x:v>0</x:v>
      </x:c>
      <x:c r="H3016" s="6">
        <x:f t="shared" si="146"/>
        <x:v>48158.340000000011</x:v>
      </x:c>
      <x:c r="I3016" s="6">
        <x:v>128622.2</x:v>
      </x:c>
      <x:c r="J3016" s="6">
        <x:v>0</x:v>
      </x:c>
      <x:c r="K3016" s="6">
        <x:f t="shared" si="147"/>
        <x:v>128622.2</x:v>
      </x:c>
      <x:c r="L3016" s="6">
        <x:v>35968.800000000003</x:v>
      </x:c>
      <x:c r="M3016" s="6">
        <x:v>1478.1799999999848</x:v>
      </x:c>
      <x:c r="N3016" s="6">
        <x:f t="shared" si="148"/>
        <x:v>214227.52000000002</x:v>
      </x:c>
    </x:row>
    <x:row r="3017" spans="1:14" x14ac:dyDescent="0.25">
      <x:c r="A3017" t="s">
        <x:v>38</x:v>
      </x:c>
      <x:c r="B3017" s="3" t="s">
        <x:v>290</x:v>
      </x:c>
      <x:c r="C3017" s="3" t="s">
        <x:v>605</x:v>
      </x:c>
      <x:c r="D3017" t="s">
        <x:v>676</x:v>
      </x:c>
      <x:c r="E3017" s="6">
        <x:v>0</x:v>
      </x:c>
      <x:c r="F3017" s="6">
        <x:v>0</x:v>
      </x:c>
      <x:c r="G3017" s="6">
        <x:v>0</x:v>
      </x:c>
      <x:c r="H3017" s="6">
        <x:f t="shared" si="146"/>
        <x:v>0</x:v>
      </x:c>
      <x:c r="I3017" s="6">
        <x:v>273558.66000000003</x:v>
      </x:c>
      <x:c r="J3017" s="6">
        <x:v>0</x:v>
      </x:c>
      <x:c r="K3017" s="6">
        <x:f t="shared" si="147"/>
        <x:v>273558.66000000003</x:v>
      </x:c>
      <x:c r="L3017" s="6">
        <x:v>0</x:v>
      </x:c>
      <x:c r="M3017" s="6">
        <x:v>0</x:v>
      </x:c>
      <x:c r="N3017" s="6">
        <x:f t="shared" si="148"/>
        <x:v>273558.66000000003</x:v>
      </x:c>
    </x:row>
    <x:row r="3018" spans="1:14" x14ac:dyDescent="0.25">
      <x:c r="A3018" t="s">
        <x:v>38</x:v>
      </x:c>
      <x:c r="B3018" s="3" t="s">
        <x:v>221</x:v>
      </x:c>
      <x:c r="C3018" s="3" t="s">
        <x:v>537</x:v>
      </x:c>
      <x:c r="D3018" t="s">
        <x:v>676</x:v>
      </x:c>
      <x:c r="E3018" s="6">
        <x:v>0</x:v>
      </x:c>
      <x:c r="F3018" s="6">
        <x:v>0</x:v>
      </x:c>
      <x:c r="G3018" s="6">
        <x:v>0</x:v>
      </x:c>
      <x:c r="H3018" s="6">
        <x:f t="shared" si="146"/>
        <x:v>0</x:v>
      </x:c>
      <x:c r="I3018" s="6">
        <x:v>229814.84</x:v>
      </x:c>
      <x:c r="J3018" s="6">
        <x:v>0</x:v>
      </x:c>
      <x:c r="K3018" s="6">
        <x:f t="shared" si="147"/>
        <x:v>229814.84</x:v>
      </x:c>
      <x:c r="L3018" s="6">
        <x:v>0</x:v>
      </x:c>
      <x:c r="M3018" s="6">
        <x:v>0</x:v>
      </x:c>
      <x:c r="N3018" s="6">
        <x:f t="shared" si="148"/>
        <x:v>229814.84</x:v>
      </x:c>
    </x:row>
    <x:row r="3019" spans="1:14" x14ac:dyDescent="0.25">
      <x:c r="A3019" t="s">
        <x:v>38</x:v>
      </x:c>
      <x:c r="B3019" s="3" t="s">
        <x:v>47</x:v>
      </x:c>
      <x:c r="C3019" s="3" t="s">
        <x:v>364</x:v>
      </x:c>
      <x:c r="D3019" t="s">
        <x:v>679</x:v>
      </x:c>
      <x:c r="E3019" s="6">
        <x:v>6515018.1700000018</x:v>
      </x:c>
      <x:c r="F3019" s="6">
        <x:v>0</x:v>
      </x:c>
      <x:c r="G3019" s="6">
        <x:v>0</x:v>
      </x:c>
      <x:c r="H3019" s="6">
        <x:f t="shared" si="146"/>
        <x:v>6515018.1700000018</x:v>
      </x:c>
      <x:c r="I3019" s="6">
        <x:v>17400431.020000011</x:v>
      </x:c>
      <x:c r="J3019" s="6">
        <x:v>0</x:v>
      </x:c>
      <x:c r="K3019" s="6">
        <x:f t="shared" si="147"/>
        <x:v>17400431.020000011</x:v>
      </x:c>
      <x:c r="L3019" s="6">
        <x:v>4865976.6400000034</x:v>
      </x:c>
      <x:c r="M3019" s="6">
        <x:v>199971.59999999858</x:v>
      </x:c>
      <x:c r="N3019" s="6">
        <x:f t="shared" si="148"/>
        <x:v>28981397.430000015</x:v>
      </x:c>
    </x:row>
    <x:row r="3020" spans="1:14" x14ac:dyDescent="0.25">
      <x:c r="A3020" t="s">
        <x:v>38</x:v>
      </x:c>
      <x:c r="B3020" s="3" t="s">
        <x:v>311</x:v>
      </x:c>
      <x:c r="C3020" s="3" t="s">
        <x:v>626</x:v>
      </x:c>
      <x:c r="D3020" t="s">
        <x:v>676</x:v>
      </x:c>
      <x:c r="E3020" s="6">
        <x:v>0</x:v>
      </x:c>
      <x:c r="F3020" s="6">
        <x:v>0</x:v>
      </x:c>
      <x:c r="G3020" s="6">
        <x:v>0</x:v>
      </x:c>
      <x:c r="H3020" s="6">
        <x:f t="shared" si="146"/>
        <x:v>0</x:v>
      </x:c>
      <x:c r="I3020" s="6">
        <x:v>0</x:v>
      </x:c>
      <x:c r="J3020" s="6">
        <x:v>0</x:v>
      </x:c>
      <x:c r="K3020" s="6">
        <x:f t="shared" si="147"/>
        <x:v>0</x:v>
      </x:c>
      <x:c r="L3020" s="6">
        <x:v>0</x:v>
      </x:c>
      <x:c r="M3020" s="6">
        <x:v>251568.94</x:v>
      </x:c>
      <x:c r="N3020" s="6">
        <x:f t="shared" si="148"/>
        <x:v>251568.94</x:v>
      </x:c>
    </x:row>
    <x:row r="3021" spans="1:14" x14ac:dyDescent="0.25">
      <x:c r="A3021" t="s">
        <x:v>38</x:v>
      </x:c>
      <x:c r="B3021" s="3" t="s">
        <x:v>312</x:v>
      </x:c>
      <x:c r="C3021" s="3" t="s">
        <x:v>627</x:v>
      </x:c>
      <x:c r="D3021" t="s">
        <x:v>676</x:v>
      </x:c>
      <x:c r="E3021" s="6">
        <x:v>0</x:v>
      </x:c>
      <x:c r="F3021" s="6">
        <x:v>0</x:v>
      </x:c>
      <x:c r="G3021" s="6">
        <x:v>0</x:v>
      </x:c>
      <x:c r="H3021" s="6">
        <x:f t="shared" si="146"/>
        <x:v>0</x:v>
      </x:c>
      <x:c r="I3021" s="6">
        <x:v>0</x:v>
      </x:c>
      <x:c r="J3021" s="6">
        <x:v>0</x:v>
      </x:c>
      <x:c r="K3021" s="6">
        <x:f t="shared" si="147"/>
        <x:v>0</x:v>
      </x:c>
      <x:c r="L3021" s="6">
        <x:v>0</x:v>
      </x:c>
      <x:c r="M3021" s="6">
        <x:v>124580.70999999999</x:v>
      </x:c>
      <x:c r="N3021" s="6">
        <x:f t="shared" si="148"/>
        <x:v>124580.70999999999</x:v>
      </x:c>
    </x:row>
    <x:row r="3022" spans="1:14" x14ac:dyDescent="0.25">
      <x:c r="A3022" t="s">
        <x:v>38</x:v>
      </x:c>
      <x:c r="B3022" s="3" t="s">
        <x:v>268</x:v>
      </x:c>
      <x:c r="C3022" s="3" t="s">
        <x:v>583</x:v>
      </x:c>
      <x:c r="D3022" t="s">
        <x:v>676</x:v>
      </x:c>
      <x:c r="E3022" s="6">
        <x:v>0</x:v>
      </x:c>
      <x:c r="F3022" s="6">
        <x:v>0</x:v>
      </x:c>
      <x:c r="G3022" s="6">
        <x:v>0</x:v>
      </x:c>
      <x:c r="H3022" s="6">
        <x:f t="shared" si="146"/>
        <x:v>0</x:v>
      </x:c>
      <x:c r="I3022" s="6">
        <x:v>0</x:v>
      </x:c>
      <x:c r="J3022" s="6">
        <x:v>0</x:v>
      </x:c>
      <x:c r="K3022" s="6">
        <x:f t="shared" si="147"/>
        <x:v>0</x:v>
      </x:c>
      <x:c r="L3022" s="6">
        <x:v>1412073.81</x:v>
      </x:c>
      <x:c r="M3022" s="6">
        <x:v>0</x:v>
      </x:c>
      <x:c r="N3022" s="6">
        <x:f t="shared" si="148"/>
        <x:v>1412073.81</x:v>
      </x:c>
    </x:row>
    <x:row r="3023" spans="1:14" x14ac:dyDescent="0.25">
      <x:c r="A3023" t="s">
        <x:v>38</x:v>
      </x:c>
      <x:c r="B3023" s="3" t="s">
        <x:v>310</x:v>
      </x:c>
      <x:c r="C3023" s="3" t="s">
        <x:v>625</x:v>
      </x:c>
      <x:c r="D3023" t="s">
        <x:v>676</x:v>
      </x:c>
      <x:c r="E3023" s="6">
        <x:v>0</x:v>
      </x:c>
      <x:c r="F3023" s="6">
        <x:v>0</x:v>
      </x:c>
      <x:c r="G3023" s="6">
        <x:v>0</x:v>
      </x:c>
      <x:c r="H3023" s="6">
        <x:f t="shared" si="146"/>
        <x:v>0</x:v>
      </x:c>
      <x:c r="I3023" s="6">
        <x:v>0</x:v>
      </x:c>
      <x:c r="J3023" s="6">
        <x:v>0</x:v>
      </x:c>
      <x:c r="K3023" s="6">
        <x:f t="shared" si="147"/>
        <x:v>0</x:v>
      </x:c>
      <x:c r="L3023" s="6">
        <x:v>0</x:v>
      </x:c>
      <x:c r="M3023" s="6">
        <x:v>764901.97</x:v>
      </x:c>
      <x:c r="N3023" s="6">
        <x:f t="shared" si="148"/>
        <x:v>764901.97</x:v>
      </x:c>
    </x:row>
    <x:row r="3024" spans="1:14" x14ac:dyDescent="0.25">
      <x:c r="A3024" t="s">
        <x:v>38</x:v>
      </x:c>
      <x:c r="B3024" s="3" t="s">
        <x:v>292</x:v>
      </x:c>
      <x:c r="C3024" s="3" t="s">
        <x:v>607</x:v>
      </x:c>
      <x:c r="D3024" t="s">
        <x:v>676</x:v>
      </x:c>
      <x:c r="E3024" s="6">
        <x:v>0</x:v>
      </x:c>
      <x:c r="F3024" s="6">
        <x:v>0</x:v>
      </x:c>
      <x:c r="G3024" s="6">
        <x:v>0</x:v>
      </x:c>
      <x:c r="H3024" s="6">
        <x:f t="shared" si="146"/>
        <x:v>0</x:v>
      </x:c>
      <x:c r="I3024" s="6">
        <x:v>0</x:v>
      </x:c>
      <x:c r="J3024" s="6">
        <x:v>0</x:v>
      </x:c>
      <x:c r="K3024" s="6">
        <x:f t="shared" si="147"/>
        <x:v>0</x:v>
      </x:c>
      <x:c r="L3024" s="6">
        <x:v>105452.61</x:v>
      </x:c>
      <x:c r="M3024" s="6">
        <x:v>0</x:v>
      </x:c>
      <x:c r="N3024" s="6">
        <x:f t="shared" si="148"/>
        <x:v>105452.61</x:v>
      </x:c>
    </x:row>
    <x:row r="3025" spans="1:14" x14ac:dyDescent="0.25">
      <x:c r="A3025" t="s">
        <x:v>38</x:v>
      </x:c>
      <x:c r="B3025" s="3" t="s">
        <x:v>313</x:v>
      </x:c>
      <x:c r="C3025" s="3" t="s">
        <x:v>628</x:v>
      </x:c>
      <x:c r="D3025" t="s">
        <x:v>676</x:v>
      </x:c>
      <x:c r="E3025" s="6">
        <x:v>0</x:v>
      </x:c>
      <x:c r="F3025" s="6">
        <x:v>0</x:v>
      </x:c>
      <x:c r="G3025" s="6">
        <x:v>0</x:v>
      </x:c>
      <x:c r="H3025" s="6">
        <x:f t="shared" si="146"/>
        <x:v>0</x:v>
      </x:c>
      <x:c r="I3025" s="6">
        <x:v>0</x:v>
      </x:c>
      <x:c r="J3025" s="6">
        <x:v>0</x:v>
      </x:c>
      <x:c r="K3025" s="6">
        <x:f t="shared" si="147"/>
        <x:v>0</x:v>
      </x:c>
      <x:c r="L3025" s="6">
        <x:v>0</x:v>
      </x:c>
      <x:c r="M3025" s="6">
        <x:v>339669.16</x:v>
      </x:c>
      <x:c r="N3025" s="6">
        <x:f t="shared" si="148"/>
        <x:v>339669.16</x:v>
      </x:c>
    </x:row>
    <x:row r="3026" spans="1:14" x14ac:dyDescent="0.25">
      <x:c r="A3026" t="s">
        <x:v>38</x:v>
      </x:c>
      <x:c r="B3026" s="3" t="s">
        <x:v>329</x:v>
      </x:c>
      <x:c r="C3026" s="3" t="s">
        <x:v>644</x:v>
      </x:c>
      <x:c r="D3026" t="s">
        <x:v>676</x:v>
      </x:c>
      <x:c r="E3026" s="6">
        <x:v>0</x:v>
      </x:c>
      <x:c r="F3026" s="6">
        <x:v>0</x:v>
      </x:c>
      <x:c r="G3026" s="6">
        <x:v>0</x:v>
      </x:c>
      <x:c r="H3026" s="6">
        <x:f t="shared" si="146"/>
        <x:v>0</x:v>
      </x:c>
      <x:c r="I3026" s="6">
        <x:v>0</x:v>
      </x:c>
      <x:c r="J3026" s="6">
        <x:v>0</x:v>
      </x:c>
      <x:c r="K3026" s="6">
        <x:f t="shared" si="147"/>
        <x:v>0</x:v>
      </x:c>
      <x:c r="L3026" s="6">
        <x:v>0</x:v>
      </x:c>
      <x:c r="M3026" s="6">
        <x:v>92047.819999999992</x:v>
      </x:c>
      <x:c r="N3026" s="6">
        <x:f t="shared" si="148"/>
        <x:v>92047.819999999992</x:v>
      </x:c>
    </x:row>
    <x:row r="3027" spans="1:14" x14ac:dyDescent="0.25">
      <x:c r="A3027" t="s">
        <x:v>38</x:v>
      </x:c>
      <x:c r="B3027" s="3" t="s">
        <x:v>293</x:v>
      </x:c>
      <x:c r="C3027" s="3" t="s">
        <x:v>608</x:v>
      </x:c>
      <x:c r="D3027" t="s">
        <x:v>676</x:v>
      </x:c>
      <x:c r="E3027" s="6">
        <x:v>0</x:v>
      </x:c>
      <x:c r="F3027" s="6">
        <x:v>0</x:v>
      </x:c>
      <x:c r="G3027" s="6">
        <x:v>0</x:v>
      </x:c>
      <x:c r="H3027" s="6">
        <x:f t="shared" si="146"/>
        <x:v>0</x:v>
      </x:c>
      <x:c r="I3027" s="6">
        <x:v>0</x:v>
      </x:c>
      <x:c r="J3027" s="6">
        <x:v>0</x:v>
      </x:c>
      <x:c r="K3027" s="6">
        <x:f t="shared" si="147"/>
        <x:v>0</x:v>
      </x:c>
      <x:c r="L3027" s="6">
        <x:v>0</x:v>
      </x:c>
      <x:c r="M3027" s="6">
        <x:v>711132.68</x:v>
      </x:c>
      <x:c r="N3027" s="6">
        <x:f t="shared" si="148"/>
        <x:v>711132.68</x:v>
      </x:c>
    </x:row>
    <x:row r="3028" spans="1:14" x14ac:dyDescent="0.25">
      <x:c r="A3028" t="s">
        <x:v>38</x:v>
      </x:c>
      <x:c r="B3028" s="3" t="s">
        <x:v>330</x:v>
      </x:c>
      <x:c r="C3028" s="3" t="s">
        <x:v>645</x:v>
      </x:c>
      <x:c r="D3028" t="s">
        <x:v>679</x:v>
      </x:c>
      <x:c r="E3028" s="6">
        <x:v>35882.04</x:v>
      </x:c>
      <x:c r="F3028" s="6">
        <x:v>0</x:v>
      </x:c>
      <x:c r="G3028" s="6">
        <x:v>0</x:v>
      </x:c>
      <x:c r="H3028" s="6">
        <x:f t="shared" si="146"/>
        <x:v>35882.04</x:v>
      </x:c>
      <x:c r="I3028" s="6">
        <x:v>95834.39</x:v>
      </x:c>
      <x:c r="J3028" s="6">
        <x:v>0</x:v>
      </x:c>
      <x:c r="K3028" s="6">
        <x:f t="shared" si="147"/>
        <x:v>95834.39</x:v>
      </x:c>
      <x:c r="L3028" s="6">
        <x:v>26799.78</x:v>
      </x:c>
      <x:c r="M3028" s="6">
        <x:v>1101.3600000000006</x:v>
      </x:c>
      <x:c r="N3028" s="6">
        <x:f t="shared" si="148"/>
        <x:v>159617.57</x:v>
      </x:c>
    </x:row>
    <x:row r="3029" spans="1:14" x14ac:dyDescent="0.25">
      <x:c r="A3029" t="s">
        <x:v>38</x:v>
      </x:c>
      <x:c r="B3029" t="s">
        <x:v>742</x:v>
      </x:c>
      <x:c r="C3029" t="s">
        <x:v>743</x:v>
      </x:c>
      <x:c r="D3029" t="s">
        <x:v>832</x:v>
      </x:c>
      <x:c r="E3029" s="6">
        <x:v>23290.639999999999</x:v>
      </x:c>
      <x:c r="F3029" s="6">
        <x:v>0</x:v>
      </x:c>
      <x:c r="G3029" s="6">
        <x:v>0</x:v>
      </x:c>
      <x:c r="H3029" s="6">
        <x:f t="shared" si="146"/>
        <x:v>23290.639999999999</x:v>
      </x:c>
      <x:c r="I3029" s="6">
        <x:v>0</x:v>
      </x:c>
      <x:c r="J3029" s="6">
        <x:v>0</x:v>
      </x:c>
      <x:c r="K3029" s="6">
        <x:f t="shared" si="147"/>
        <x:v>0</x:v>
      </x:c>
      <x:c r="L3029" s="6">
        <x:v>0</x:v>
      </x:c>
      <x:c r="M3029" s="6">
        <x:v>0</x:v>
      </x:c>
      <x:c r="N3029" s="6">
        <x:f t="shared" si="148"/>
        <x:v>23290.639999999999</x:v>
      </x:c>
    </x:row>
    <x:row r="3030" spans="1:14" x14ac:dyDescent="0.25">
      <x:c r="A3030" t="s">
        <x:v>38</x:v>
      </x:c>
      <x:c r="B3030" t="s">
        <x:v>742</x:v>
      </x:c>
      <x:c r="C3030" t="s">
        <x:v>743</x:v>
      </x:c>
      <x:c r="D3030" t="s">
        <x:v>676</x:v>
      </x:c>
      <x:c r="E3030" s="6">
        <x:v>99139.550000000017</x:v>
      </x:c>
      <x:c r="F3030" s="6">
        <x:v>0</x:v>
      </x:c>
      <x:c r="G3030" s="6">
        <x:v>0</x:v>
      </x:c>
      <x:c r="H3030" s="6">
        <x:f t="shared" si="146"/>
        <x:v>99139.550000000017</x:v>
      </x:c>
      <x:c r="I3030" s="6">
        <x:v>0</x:v>
      </x:c>
      <x:c r="J3030" s="6">
        <x:v>0</x:v>
      </x:c>
      <x:c r="K3030" s="6">
        <x:f t="shared" si="147"/>
        <x:v>0</x:v>
      </x:c>
      <x:c r="L3030" s="6">
        <x:v>0</x:v>
      </x:c>
      <x:c r="M3030" s="6">
        <x:v>0</x:v>
      </x:c>
      <x:c r="N3030" s="6">
        <x:f t="shared" si="148"/>
        <x:v>99139.550000000017</x:v>
      </x:c>
    </x:row>
    <x:row r="3031" spans="1:14" x14ac:dyDescent="0.25">
      <x:c r="A3031" t="s">
        <x:v>38</x:v>
      </x:c>
      <x:c r="B3031" t="s">
        <x:v>744</x:v>
      </x:c>
      <x:c r="C3031" t="s">
        <x:v>745</x:v>
      </x:c>
      <x:c r="D3031" t="s">
        <x:v>832</x:v>
      </x:c>
      <x:c r="E3031" s="6">
        <x:v>29488.31</x:v>
      </x:c>
      <x:c r="F3031" s="6">
        <x:v>0</x:v>
      </x:c>
      <x:c r="G3031" s="6">
        <x:v>0</x:v>
      </x:c>
      <x:c r="H3031" s="6">
        <x:f t="shared" si="146"/>
        <x:v>29488.31</x:v>
      </x:c>
      <x:c r="I3031" s="6">
        <x:v>0</x:v>
      </x:c>
      <x:c r="J3031" s="6">
        <x:v>0</x:v>
      </x:c>
      <x:c r="K3031" s="6">
        <x:f t="shared" si="147"/>
        <x:v>0</x:v>
      </x:c>
      <x:c r="L3031" s="6">
        <x:v>0</x:v>
      </x:c>
      <x:c r="M3031" s="6">
        <x:v>0</x:v>
      </x:c>
      <x:c r="N3031" s="6">
        <x:f t="shared" si="148"/>
        <x:v>29488.31</x:v>
      </x:c>
    </x:row>
    <x:row r="3032" spans="1:14" x14ac:dyDescent="0.25">
      <x:c r="A3032" t="s">
        <x:v>38</x:v>
      </x:c>
      <x:c r="B3032" t="s">
        <x:v>744</x:v>
      </x:c>
      <x:c r="C3032" t="s">
        <x:v>745</x:v>
      </x:c>
      <x:c r="D3032" t="s">
        <x:v>676</x:v>
      </x:c>
      <x:c r="E3032" s="6">
        <x:v>83348.3</x:v>
      </x:c>
      <x:c r="F3032" s="6">
        <x:v>0</x:v>
      </x:c>
      <x:c r="G3032" s="6">
        <x:v>0</x:v>
      </x:c>
      <x:c r="H3032" s="6">
        <x:f t="shared" si="146"/>
        <x:v>83348.3</x:v>
      </x:c>
      <x:c r="I3032" s="6">
        <x:v>0</x:v>
      </x:c>
      <x:c r="J3032" s="6">
        <x:v>0</x:v>
      </x:c>
      <x:c r="K3032" s="6">
        <x:f t="shared" si="147"/>
        <x:v>0</x:v>
      </x:c>
      <x:c r="L3032" s="6">
        <x:v>0</x:v>
      </x:c>
      <x:c r="M3032" s="6">
        <x:v>0</x:v>
      </x:c>
      <x:c r="N3032" s="6">
        <x:f t="shared" si="148"/>
        <x:v>83348.3</x:v>
      </x:c>
    </x:row>
    <x:row r="3033" spans="1:14" x14ac:dyDescent="0.25">
      <x:c r="A3033" t="s">
        <x:v>38</x:v>
      </x:c>
      <x:c r="B3033" t="s">
        <x:v>746</x:v>
      </x:c>
      <x:c r="C3033" t="s">
        <x:v>747</x:v>
      </x:c>
      <x:c r="D3033" t="s">
        <x:v>832</x:v>
      </x:c>
      <x:c r="E3033" s="6">
        <x:v>73310.83</x:v>
      </x:c>
      <x:c r="F3033" s="6">
        <x:v>0</x:v>
      </x:c>
      <x:c r="G3033" s="6">
        <x:v>0</x:v>
      </x:c>
      <x:c r="H3033" s="6">
        <x:f t="shared" si="146"/>
        <x:v>73310.83</x:v>
      </x:c>
      <x:c r="I3033" s="6">
        <x:v>0</x:v>
      </x:c>
      <x:c r="J3033" s="6">
        <x:v>0</x:v>
      </x:c>
      <x:c r="K3033" s="6">
        <x:f t="shared" si="147"/>
        <x:v>0</x:v>
      </x:c>
      <x:c r="L3033" s="6">
        <x:v>0</x:v>
      </x:c>
      <x:c r="M3033" s="6">
        <x:v>0</x:v>
      </x:c>
      <x:c r="N3033" s="6">
        <x:f t="shared" si="148"/>
        <x:v>73310.83</x:v>
      </x:c>
    </x:row>
    <x:row r="3034" spans="1:14" x14ac:dyDescent="0.25">
      <x:c r="A3034" t="s">
        <x:v>38</x:v>
      </x:c>
      <x:c r="B3034" t="s">
        <x:v>746</x:v>
      </x:c>
      <x:c r="C3034" t="s">
        <x:v>747</x:v>
      </x:c>
      <x:c r="D3034" t="s">
        <x:v>676</x:v>
      </x:c>
      <x:c r="E3034" s="6">
        <x:v>342985.03</x:v>
      </x:c>
      <x:c r="F3034" s="6">
        <x:v>0</x:v>
      </x:c>
      <x:c r="G3034" s="6">
        <x:v>0</x:v>
      </x:c>
      <x:c r="H3034" s="6">
        <x:f t="shared" si="146"/>
        <x:v>342985.03</x:v>
      </x:c>
      <x:c r="I3034" s="6">
        <x:v>0</x:v>
      </x:c>
      <x:c r="J3034" s="6">
        <x:v>0</x:v>
      </x:c>
      <x:c r="K3034" s="6">
        <x:f t="shared" si="147"/>
        <x:v>0</x:v>
      </x:c>
      <x:c r="L3034" s="6">
        <x:v>0</x:v>
      </x:c>
      <x:c r="M3034" s="6">
        <x:v>0</x:v>
      </x:c>
      <x:c r="N3034" s="6">
        <x:f t="shared" si="148"/>
        <x:v>342985.03</x:v>
      </x:c>
    </x:row>
    <x:row r="3035" spans="1:14" x14ac:dyDescent="0.25">
      <x:c r="A3035" t="s">
        <x:v>38</x:v>
      </x:c>
      <x:c r="B3035" t="s">
        <x:v>748</x:v>
      </x:c>
      <x:c r="C3035" t="s">
        <x:v>438</x:v>
      </x:c>
      <x:c r="D3035" t="s">
        <x:v>676</x:v>
      </x:c>
      <x:c r="E3035" s="6">
        <x:v>2029.2400000000002</x:v>
      </x:c>
      <x:c r="F3035" s="6">
        <x:v>0</x:v>
      </x:c>
      <x:c r="G3035" s="6">
        <x:v>0</x:v>
      </x:c>
      <x:c r="H3035" s="6">
        <x:f t="shared" si="146"/>
        <x:v>2029.2400000000002</x:v>
      </x:c>
      <x:c r="I3035" s="6">
        <x:v>0</x:v>
      </x:c>
      <x:c r="J3035" s="6">
        <x:v>0</x:v>
      </x:c>
      <x:c r="K3035" s="6">
        <x:f t="shared" si="147"/>
        <x:v>0</x:v>
      </x:c>
      <x:c r="L3035" s="6">
        <x:v>0</x:v>
      </x:c>
      <x:c r="M3035" s="6">
        <x:v>0</x:v>
      </x:c>
      <x:c r="N3035" s="6">
        <x:f t="shared" si="148"/>
        <x:v>2029.2400000000002</x:v>
      </x:c>
    </x:row>
    <x:row r="3036" spans="1:14" x14ac:dyDescent="0.25">
      <x:c r="A3036" t="s">
        <x:v>38</x:v>
      </x:c>
      <x:c r="B3036" t="s">
        <x:v>760</x:v>
      </x:c>
      <x:c r="C3036" t="s">
        <x:v>761</x:v>
      </x:c>
      <x:c r="D3036" t="s">
        <x:v>676</x:v>
      </x:c>
      <x:c r="E3036" s="6">
        <x:v>78931.510000000009</x:v>
      </x:c>
      <x:c r="F3036" s="6">
        <x:v>0</x:v>
      </x:c>
      <x:c r="G3036" s="6">
        <x:v>0</x:v>
      </x:c>
      <x:c r="H3036" s="6">
        <x:f t="shared" si="146"/>
        <x:v>78931.510000000009</x:v>
      </x:c>
      <x:c r="I3036" s="6">
        <x:v>12277.14</x:v>
      </x:c>
      <x:c r="J3036" s="6">
        <x:v>0</x:v>
      </x:c>
      <x:c r="K3036" s="6">
        <x:f t="shared" si="147"/>
        <x:v>12277.14</x:v>
      </x:c>
      <x:c r="L3036" s="6">
        <x:v>0</x:v>
      </x:c>
      <x:c r="M3036" s="6">
        <x:v>0</x:v>
      </x:c>
      <x:c r="N3036" s="6">
        <x:f t="shared" si="148"/>
        <x:v>91208.650000000009</x:v>
      </x:c>
    </x:row>
    <x:row r="3037" spans="1:14" x14ac:dyDescent="0.25">
      <x:c r="A3037" t="s">
        <x:v>38</x:v>
      </x:c>
      <x:c r="B3037" t="s">
        <x:v>762</x:v>
      </x:c>
      <x:c r="C3037" t="s">
        <x:v>763</x:v>
      </x:c>
      <x:c r="D3037" t="s">
        <x:v>676</x:v>
      </x:c>
      <x:c r="E3037" s="6">
        <x:v>151136.59</x:v>
      </x:c>
      <x:c r="F3037" s="6">
        <x:v>0</x:v>
      </x:c>
      <x:c r="G3037" s="6">
        <x:v>0</x:v>
      </x:c>
      <x:c r="H3037" s="6">
        <x:f t="shared" si="146"/>
        <x:v>151136.59</x:v>
      </x:c>
      <x:c r="I3037" s="6">
        <x:v>0</x:v>
      </x:c>
      <x:c r="J3037" s="6">
        <x:v>0</x:v>
      </x:c>
      <x:c r="K3037" s="6">
        <x:f t="shared" si="147"/>
        <x:v>0</x:v>
      </x:c>
      <x:c r="L3037" s="6">
        <x:v>0</x:v>
      </x:c>
      <x:c r="M3037" s="6">
        <x:v>0</x:v>
      </x:c>
      <x:c r="N3037" s="6">
        <x:f t="shared" si="148"/>
        <x:v>151136.59</x:v>
      </x:c>
    </x:row>
    <x:row r="3038" spans="1:14" x14ac:dyDescent="0.25">
      <x:c r="A3038" t="s">
        <x:v>38</x:v>
      </x:c>
      <x:c r="B3038" t="s">
        <x:v>764</x:v>
      </x:c>
      <x:c r="C3038" t="s">
        <x:v>765</x:v>
      </x:c>
      <x:c r="D3038" t="s">
        <x:v>676</x:v>
      </x:c>
      <x:c r="E3038" s="6">
        <x:v>401824.5</x:v>
      </x:c>
      <x:c r="F3038" s="6">
        <x:v>0</x:v>
      </x:c>
      <x:c r="G3038" s="6">
        <x:v>0</x:v>
      </x:c>
      <x:c r="H3038" s="6">
        <x:f t="shared" si="146"/>
        <x:v>401824.5</x:v>
      </x:c>
      <x:c r="I3038" s="6">
        <x:v>0</x:v>
      </x:c>
      <x:c r="J3038" s="6">
        <x:v>0</x:v>
      </x:c>
      <x:c r="K3038" s="6">
        <x:f t="shared" si="147"/>
        <x:v>0</x:v>
      </x:c>
      <x:c r="L3038" s="6">
        <x:v>0</x:v>
      </x:c>
      <x:c r="M3038" s="6">
        <x:v>0</x:v>
      </x:c>
      <x:c r="N3038" s="6">
        <x:f t="shared" si="148"/>
        <x:v>401824.5</x:v>
      </x:c>
    </x:row>
    <x:row r="3039" spans="1:14" x14ac:dyDescent="0.25">
      <x:c r="A3039" t="s">
        <x:v>38</x:v>
      </x:c>
      <x:c r="B3039" t="s">
        <x:v>766</x:v>
      </x:c>
      <x:c r="C3039" t="s">
        <x:v>767</x:v>
      </x:c>
      <x:c r="D3039" t="s">
        <x:v>676</x:v>
      </x:c>
      <x:c r="E3039" s="6">
        <x:v>153202.37</x:v>
      </x:c>
      <x:c r="F3039" s="6">
        <x:v>0</x:v>
      </x:c>
      <x:c r="G3039" s="6">
        <x:v>0</x:v>
      </x:c>
      <x:c r="H3039" s="6">
        <x:f t="shared" ref="H3039:H3102" si="149">SUM(E3039:G3039)</x:f>
        <x:v>153202.37</x:v>
      </x:c>
      <x:c r="I3039" s="6">
        <x:v>0</x:v>
      </x:c>
      <x:c r="J3039" s="6">
        <x:v>0</x:v>
      </x:c>
      <x:c r="K3039" s="6">
        <x:f t="shared" ref="K3039:K3102" si="150">SUM(I3039:J3039)</x:f>
        <x:v>0</x:v>
      </x:c>
      <x:c r="L3039" s="6">
        <x:v>0</x:v>
      </x:c>
      <x:c r="M3039" s="6">
        <x:v>0</x:v>
      </x:c>
      <x:c r="N3039" s="6">
        <x:f t="shared" ref="N3039:N3102" si="151">+E3039+F3039+G3039+I3039+J3039+L3039+M3039</x:f>
        <x:v>153202.37</x:v>
      </x:c>
    </x:row>
    <x:row r="3040" spans="1:14" x14ac:dyDescent="0.25">
      <x:c r="A3040" t="s">
        <x:v>38</x:v>
      </x:c>
      <x:c r="B3040" t="s">
        <x:v>768</x:v>
      </x:c>
      <x:c r="C3040" t="s">
        <x:v>769</x:v>
      </x:c>
      <x:c r="D3040" t="s">
        <x:v>676</x:v>
      </x:c>
      <x:c r="E3040" s="6">
        <x:v>138224.18</x:v>
      </x:c>
      <x:c r="F3040" s="6">
        <x:v>0</x:v>
      </x:c>
      <x:c r="G3040" s="6">
        <x:v>0</x:v>
      </x:c>
      <x:c r="H3040" s="6">
        <x:f t="shared" si="149"/>
        <x:v>138224.18</x:v>
      </x:c>
      <x:c r="I3040" s="6">
        <x:v>83583.760000000009</x:v>
      </x:c>
      <x:c r="J3040" s="6">
        <x:v>0</x:v>
      </x:c>
      <x:c r="K3040" s="6">
        <x:f t="shared" si="150"/>
        <x:v>83583.760000000009</x:v>
      </x:c>
      <x:c r="L3040" s="6">
        <x:v>0</x:v>
      </x:c>
      <x:c r="M3040" s="6">
        <x:v>0</x:v>
      </x:c>
      <x:c r="N3040" s="6">
        <x:f t="shared" si="151"/>
        <x:v>221807.94</x:v>
      </x:c>
    </x:row>
    <x:row r="3041" spans="1:14" x14ac:dyDescent="0.25">
      <x:c r="A3041" t="s">
        <x:v>38</x:v>
      </x:c>
      <x:c r="B3041" t="s">
        <x:v>770</x:v>
      </x:c>
      <x:c r="C3041" t="s">
        <x:v>771</x:v>
      </x:c>
      <x:c r="D3041" t="s">
        <x:v>676</x:v>
      </x:c>
      <x:c r="E3041" s="6">
        <x:v>304159.81</x:v>
      </x:c>
      <x:c r="F3041" s="6">
        <x:v>0</x:v>
      </x:c>
      <x:c r="G3041" s="6">
        <x:v>0</x:v>
      </x:c>
      <x:c r="H3041" s="6">
        <x:f t="shared" si="149"/>
        <x:v>304159.81</x:v>
      </x:c>
      <x:c r="I3041" s="6">
        <x:v>0</x:v>
      </x:c>
      <x:c r="J3041" s="6">
        <x:v>0</x:v>
      </x:c>
      <x:c r="K3041" s="6">
        <x:f t="shared" si="150"/>
        <x:v>0</x:v>
      </x:c>
      <x:c r="L3041" s="6">
        <x:v>0</x:v>
      </x:c>
      <x:c r="M3041" s="6">
        <x:v>0</x:v>
      </x:c>
      <x:c r="N3041" s="6">
        <x:f t="shared" si="151"/>
        <x:v>304159.81</x:v>
      </x:c>
    </x:row>
    <x:row r="3042" spans="1:14" x14ac:dyDescent="0.25">
      <x:c r="A3042" t="s">
        <x:v>38</x:v>
      </x:c>
      <x:c r="B3042" t="s">
        <x:v>749</x:v>
      </x:c>
      <x:c r="C3042" t="s">
        <x:v>750</x:v>
      </x:c>
      <x:c r="D3042" t="s">
        <x:v>676</x:v>
      </x:c>
      <x:c r="E3042" s="6">
        <x:v>34002.17</x:v>
      </x:c>
      <x:c r="F3042" s="6">
        <x:v>0</x:v>
      </x:c>
      <x:c r="G3042" s="6">
        <x:v>0</x:v>
      </x:c>
      <x:c r="H3042" s="6">
        <x:f t="shared" si="149"/>
        <x:v>34002.17</x:v>
      </x:c>
      <x:c r="I3042" s="6">
        <x:v>0</x:v>
      </x:c>
      <x:c r="J3042" s="6">
        <x:v>0</x:v>
      </x:c>
      <x:c r="K3042" s="6">
        <x:f t="shared" si="150"/>
        <x:v>0</x:v>
      </x:c>
      <x:c r="L3042" s="6">
        <x:v>0</x:v>
      </x:c>
      <x:c r="M3042" s="6">
        <x:v>0</x:v>
      </x:c>
      <x:c r="N3042" s="6">
        <x:f t="shared" si="151"/>
        <x:v>34002.17</x:v>
      </x:c>
    </x:row>
    <x:row r="3043" spans="1:14" x14ac:dyDescent="0.25">
      <x:c r="A3043" t="s">
        <x:v>38</x:v>
      </x:c>
      <x:c r="B3043" t="s">
        <x:v>751</x:v>
      </x:c>
      <x:c r="C3043" t="s">
        <x:v>752</x:v>
      </x:c>
      <x:c r="D3043" t="s">
        <x:v>832</x:v>
      </x:c>
      <x:c r="E3043" s="6">
        <x:v>32364.14</x:v>
      </x:c>
      <x:c r="F3043" s="6">
        <x:v>0</x:v>
      </x:c>
      <x:c r="G3043" s="6">
        <x:v>0</x:v>
      </x:c>
      <x:c r="H3043" s="6">
        <x:f t="shared" si="149"/>
        <x:v>32364.14</x:v>
      </x:c>
      <x:c r="I3043" s="6">
        <x:v>0</x:v>
      </x:c>
      <x:c r="J3043" s="6">
        <x:v>0</x:v>
      </x:c>
      <x:c r="K3043" s="6">
        <x:f t="shared" si="150"/>
        <x:v>0</x:v>
      </x:c>
      <x:c r="L3043" s="6">
        <x:v>0</x:v>
      </x:c>
      <x:c r="M3043" s="6">
        <x:v>0</x:v>
      </x:c>
      <x:c r="N3043" s="6">
        <x:f t="shared" si="151"/>
        <x:v>32364.14</x:v>
      </x:c>
    </x:row>
    <x:row r="3044" spans="1:14" x14ac:dyDescent="0.25">
      <x:c r="A3044" t="s">
        <x:v>38</x:v>
      </x:c>
      <x:c r="B3044" t="s">
        <x:v>751</x:v>
      </x:c>
      <x:c r="C3044" t="s">
        <x:v>752</x:v>
      </x:c>
      <x:c r="D3044" t="s">
        <x:v>676</x:v>
      </x:c>
      <x:c r="E3044" s="6">
        <x:v>20559.469999999998</x:v>
      </x:c>
      <x:c r="F3044" s="6">
        <x:v>0</x:v>
      </x:c>
      <x:c r="G3044" s="6">
        <x:v>0</x:v>
      </x:c>
      <x:c r="H3044" s="6">
        <x:f t="shared" si="149"/>
        <x:v>20559.469999999998</x:v>
      </x:c>
      <x:c r="I3044" s="6">
        <x:v>0</x:v>
      </x:c>
      <x:c r="J3044" s="6">
        <x:v>0</x:v>
      </x:c>
      <x:c r="K3044" s="6">
        <x:f t="shared" si="150"/>
        <x:v>0</x:v>
      </x:c>
      <x:c r="L3044" s="6">
        <x:v>0</x:v>
      </x:c>
      <x:c r="M3044" s="6">
        <x:v>0</x:v>
      </x:c>
      <x:c r="N3044" s="6">
        <x:f t="shared" si="151"/>
        <x:v>20559.469999999998</x:v>
      </x:c>
    </x:row>
    <x:row r="3045" spans="1:14" x14ac:dyDescent="0.25">
      <x:c r="A3045" t="s">
        <x:v>38</x:v>
      </x:c>
      <x:c r="B3045" t="s">
        <x:v>772</x:v>
      </x:c>
      <x:c r="C3045" t="s">
        <x:v>773</x:v>
      </x:c>
      <x:c r="D3045" t="s">
        <x:v>676</x:v>
      </x:c>
      <x:c r="E3045" s="6">
        <x:v>83535.400000000009</x:v>
      </x:c>
      <x:c r="F3045" s="6">
        <x:v>0</x:v>
      </x:c>
      <x:c r="G3045" s="6">
        <x:v>0</x:v>
      </x:c>
      <x:c r="H3045" s="6">
        <x:f t="shared" si="149"/>
        <x:v>83535.400000000009</x:v>
      </x:c>
      <x:c r="I3045" s="6">
        <x:v>21627.039999999997</x:v>
      </x:c>
      <x:c r="J3045" s="6">
        <x:v>0</x:v>
      </x:c>
      <x:c r="K3045" s="6">
        <x:f t="shared" si="150"/>
        <x:v>21627.039999999997</x:v>
      </x:c>
      <x:c r="L3045" s="6">
        <x:v>0</x:v>
      </x:c>
      <x:c r="M3045" s="6">
        <x:v>0</x:v>
      </x:c>
      <x:c r="N3045" s="6">
        <x:f t="shared" si="151"/>
        <x:v>105162.44</x:v>
      </x:c>
    </x:row>
    <x:row r="3046" spans="1:14" x14ac:dyDescent="0.25">
      <x:c r="A3046" t="s">
        <x:v>38</x:v>
      </x:c>
      <x:c r="B3046" t="s">
        <x:v>776</x:v>
      </x:c>
      <x:c r="C3046" t="s">
        <x:v>777</x:v>
      </x:c>
      <x:c r="D3046" t="s">
        <x:v>676</x:v>
      </x:c>
      <x:c r="E3046" s="6">
        <x:v>1976345.2300000002</x:v>
      </x:c>
      <x:c r="F3046" s="6">
        <x:v>0</x:v>
      </x:c>
      <x:c r="G3046" s="6">
        <x:v>0</x:v>
      </x:c>
      <x:c r="H3046" s="6">
        <x:f t="shared" si="149"/>
        <x:v>1976345.2300000002</x:v>
      </x:c>
      <x:c r="I3046" s="6">
        <x:v>19128.639999999996</x:v>
      </x:c>
      <x:c r="J3046" s="6">
        <x:v>0</x:v>
      </x:c>
      <x:c r="K3046" s="6">
        <x:f t="shared" si="150"/>
        <x:v>19128.639999999996</x:v>
      </x:c>
      <x:c r="L3046" s="6">
        <x:v>0</x:v>
      </x:c>
      <x:c r="M3046" s="6">
        <x:v>0</x:v>
      </x:c>
      <x:c r="N3046" s="6">
        <x:f t="shared" si="151"/>
        <x:v>1995473.87</x:v>
      </x:c>
    </x:row>
    <x:row r="3047" spans="1:14" x14ac:dyDescent="0.25">
      <x:c r="A3047" t="s">
        <x:v>38</x:v>
      </x:c>
      <x:c r="B3047" t="s">
        <x:v>778</x:v>
      </x:c>
      <x:c r="C3047" t="s">
        <x:v>779</x:v>
      </x:c>
      <x:c r="D3047" t="s">
        <x:v>676</x:v>
      </x:c>
      <x:c r="E3047" s="6">
        <x:v>272368</x:v>
      </x:c>
      <x:c r="F3047" s="6">
        <x:v>0</x:v>
      </x:c>
      <x:c r="G3047" s="6">
        <x:v>0</x:v>
      </x:c>
      <x:c r="H3047" s="6">
        <x:f t="shared" si="149"/>
        <x:v>272368</x:v>
      </x:c>
      <x:c r="I3047" s="6">
        <x:v>0</x:v>
      </x:c>
      <x:c r="J3047" s="6">
        <x:v>0</x:v>
      </x:c>
      <x:c r="K3047" s="6">
        <x:f t="shared" si="150"/>
        <x:v>0</x:v>
      </x:c>
      <x:c r="L3047" s="6">
        <x:v>0</x:v>
      </x:c>
      <x:c r="M3047" s="6">
        <x:v>0</x:v>
      </x:c>
      <x:c r="N3047" s="6">
        <x:f t="shared" si="151"/>
        <x:v>272368</x:v>
      </x:c>
    </x:row>
    <x:row r="3048" spans="1:14" x14ac:dyDescent="0.25">
      <x:c r="A3048" t="s">
        <x:v>38</x:v>
      </x:c>
      <x:c r="B3048" t="s">
        <x:v>780</x:v>
      </x:c>
      <x:c r="C3048" t="s">
        <x:v>781</x:v>
      </x:c>
      <x:c r="D3048" t="s">
        <x:v>676</x:v>
      </x:c>
      <x:c r="E3048" s="6">
        <x:v>273906.69</x:v>
      </x:c>
      <x:c r="F3048" s="6">
        <x:v>0</x:v>
      </x:c>
      <x:c r="G3048" s="6">
        <x:v>0</x:v>
      </x:c>
      <x:c r="H3048" s="6">
        <x:f t="shared" si="149"/>
        <x:v>273906.69</x:v>
      </x:c>
      <x:c r="I3048" s="6">
        <x:v>0</x:v>
      </x:c>
      <x:c r="J3048" s="6">
        <x:v>0</x:v>
      </x:c>
      <x:c r="K3048" s="6">
        <x:f t="shared" si="150"/>
        <x:v>0</x:v>
      </x:c>
      <x:c r="L3048" s="6">
        <x:v>0</x:v>
      </x:c>
      <x:c r="M3048" s="6">
        <x:v>0</x:v>
      </x:c>
      <x:c r="N3048" s="6">
        <x:f t="shared" si="151"/>
        <x:v>273906.69</x:v>
      </x:c>
    </x:row>
    <x:row r="3049" spans="1:14" x14ac:dyDescent="0.25">
      <x:c r="A3049" t="s">
        <x:v>38</x:v>
      </x:c>
      <x:c r="B3049" t="s">
        <x:v>753</x:v>
      </x:c>
      <x:c r="C3049" t="s">
        <x:v>754</x:v>
      </x:c>
      <x:c r="D3049" t="s">
        <x:v>676</x:v>
      </x:c>
      <x:c r="E3049" s="6">
        <x:v>307925.11000000004</x:v>
      </x:c>
      <x:c r="F3049" s="6">
        <x:v>0</x:v>
      </x:c>
      <x:c r="G3049" s="6">
        <x:v>0</x:v>
      </x:c>
      <x:c r="H3049" s="6">
        <x:f t="shared" si="149"/>
        <x:v>307925.11000000004</x:v>
      </x:c>
      <x:c r="I3049" s="6">
        <x:v>0</x:v>
      </x:c>
      <x:c r="J3049" s="6">
        <x:v>0</x:v>
      </x:c>
      <x:c r="K3049" s="6">
        <x:f t="shared" si="150"/>
        <x:v>0</x:v>
      </x:c>
      <x:c r="L3049" s="6">
        <x:v>0</x:v>
      </x:c>
      <x:c r="M3049" s="6">
        <x:v>0</x:v>
      </x:c>
      <x:c r="N3049" s="6">
        <x:f t="shared" si="151"/>
        <x:v>307925.11000000004</x:v>
      </x:c>
    </x:row>
    <x:row r="3050" spans="1:14" x14ac:dyDescent="0.25">
      <x:c r="A3050" t="s">
        <x:v>38</x:v>
      </x:c>
      <x:c r="B3050" s="3" t="s">
        <x:v>294</x:v>
      </x:c>
      <x:c r="C3050" s="3" t="s">
        <x:v>609</x:v>
      </x:c>
      <x:c r="D3050" t="s">
        <x:v>676</x:v>
      </x:c>
      <x:c r="E3050" s="6">
        <x:v>0</x:v>
      </x:c>
      <x:c r="F3050" s="6">
        <x:v>0</x:v>
      </x:c>
      <x:c r="G3050" s="6">
        <x:v>0</x:v>
      </x:c>
      <x:c r="H3050" s="6">
        <x:f t="shared" si="149"/>
        <x:v>0</x:v>
      </x:c>
      <x:c r="I3050" s="6">
        <x:v>0</x:v>
      </x:c>
      <x:c r="J3050" s="6">
        <x:v>0</x:v>
      </x:c>
      <x:c r="K3050" s="6">
        <x:f t="shared" si="150"/>
        <x:v>0</x:v>
      </x:c>
      <x:c r="L3050" s="6">
        <x:v>0</x:v>
      </x:c>
      <x:c r="M3050" s="6">
        <x:v>236774.30999999997</x:v>
      </x:c>
      <x:c r="N3050" s="6">
        <x:f t="shared" si="151"/>
        <x:v>236774.30999999997</x:v>
      </x:c>
    </x:row>
    <x:row r="3051" spans="1:14" x14ac:dyDescent="0.25">
      <x:c r="A3051" t="s">
        <x:v>38</x:v>
      </x:c>
      <x:c r="B3051" s="3" t="s">
        <x:v>331</x:v>
      </x:c>
      <x:c r="C3051" s="3" t="s">
        <x:v>646</x:v>
      </x:c>
      <x:c r="D3051" t="s">
        <x:v>676</x:v>
      </x:c>
      <x:c r="E3051" s="6">
        <x:v>0</x:v>
      </x:c>
      <x:c r="F3051" s="6">
        <x:v>0</x:v>
      </x:c>
      <x:c r="G3051" s="6">
        <x:v>0</x:v>
      </x:c>
      <x:c r="H3051" s="6">
        <x:f t="shared" si="149"/>
        <x:v>0</x:v>
      </x:c>
      <x:c r="I3051" s="6">
        <x:v>0</x:v>
      </x:c>
      <x:c r="J3051" s="6">
        <x:v>0</x:v>
      </x:c>
      <x:c r="K3051" s="6">
        <x:f t="shared" si="150"/>
        <x:v>0</x:v>
      </x:c>
      <x:c r="L3051" s="6">
        <x:v>0</x:v>
      </x:c>
      <x:c r="M3051" s="6">
        <x:v>307681.06</x:v>
      </x:c>
      <x:c r="N3051" s="6">
        <x:f t="shared" si="151"/>
        <x:v>307681.06</x:v>
      </x:c>
    </x:row>
    <x:row r="3052" spans="1:14" x14ac:dyDescent="0.25">
      <x:c r="A3052" t="s">
        <x:v>38</x:v>
      </x:c>
      <x:c r="B3052" s="3" t="s">
        <x:v>295</x:v>
      </x:c>
      <x:c r="C3052" s="3" t="s">
        <x:v>610</x:v>
      </x:c>
      <x:c r="D3052" t="s">
        <x:v>676</x:v>
      </x:c>
      <x:c r="E3052" s="6">
        <x:v>0</x:v>
      </x:c>
      <x:c r="F3052" s="6">
        <x:v>0</x:v>
      </x:c>
      <x:c r="G3052" s="6">
        <x:v>0</x:v>
      </x:c>
      <x:c r="H3052" s="6">
        <x:f t="shared" si="149"/>
        <x:v>0</x:v>
      </x:c>
      <x:c r="I3052" s="6">
        <x:v>0</x:v>
      </x:c>
      <x:c r="J3052" s="6">
        <x:v>0</x:v>
      </x:c>
      <x:c r="K3052" s="6">
        <x:f t="shared" si="150"/>
        <x:v>0</x:v>
      </x:c>
      <x:c r="L3052" s="6">
        <x:v>0</x:v>
      </x:c>
      <x:c r="M3052" s="6">
        <x:v>208173.84000000003</x:v>
      </x:c>
      <x:c r="N3052" s="6">
        <x:f t="shared" si="151"/>
        <x:v>208173.84000000003</x:v>
      </x:c>
    </x:row>
    <x:row r="3053" spans="1:14" x14ac:dyDescent="0.25">
      <x:c r="A3053" t="s">
        <x:v>38</x:v>
      </x:c>
      <x:c r="B3053" s="3" t="s">
        <x:v>314</x:v>
      </x:c>
      <x:c r="C3053" s="3" t="s">
        <x:v>629</x:v>
      </x:c>
      <x:c r="D3053" t="s">
        <x:v>676</x:v>
      </x:c>
      <x:c r="E3053" s="6">
        <x:v>0</x:v>
      </x:c>
      <x:c r="F3053" s="6">
        <x:v>0</x:v>
      </x:c>
      <x:c r="G3053" s="6">
        <x:v>0</x:v>
      </x:c>
      <x:c r="H3053" s="6">
        <x:f t="shared" si="149"/>
        <x:v>0</x:v>
      </x:c>
      <x:c r="I3053" s="6">
        <x:v>0</x:v>
      </x:c>
      <x:c r="J3053" s="6">
        <x:v>0</x:v>
      </x:c>
      <x:c r="K3053" s="6">
        <x:f t="shared" si="150"/>
        <x:v>0</x:v>
      </x:c>
      <x:c r="L3053" s="6">
        <x:v>0</x:v>
      </x:c>
      <x:c r="M3053" s="6">
        <x:v>220185.97</x:v>
      </x:c>
      <x:c r="N3053" s="6">
        <x:f t="shared" si="151"/>
        <x:v>220185.97</x:v>
      </x:c>
    </x:row>
    <x:row r="3054" spans="1:14" x14ac:dyDescent="0.25">
      <x:c r="A3054" t="s">
        <x:v>38</x:v>
      </x:c>
      <x:c r="B3054" s="3" t="s">
        <x:v>332</x:v>
      </x:c>
      <x:c r="C3054" s="3" t="s">
        <x:v>647</x:v>
      </x:c>
      <x:c r="D3054" t="s">
        <x:v>679</x:v>
      </x:c>
      <x:c r="E3054" s="6">
        <x:v>96410.950000000012</x:v>
      </x:c>
      <x:c r="F3054" s="6">
        <x:v>0</x:v>
      </x:c>
      <x:c r="G3054" s="6">
        <x:v>0</x:v>
      </x:c>
      <x:c r="H3054" s="6">
        <x:f t="shared" si="149"/>
        <x:v>96410.950000000012</x:v>
      </x:c>
      <x:c r="I3054" s="6">
        <x:v>257496.16</x:v>
      </x:c>
      <x:c r="J3054" s="6">
        <x:v>0</x:v>
      </x:c>
      <x:c r="K3054" s="6">
        <x:f t="shared" si="150"/>
        <x:v>257496.16</x:v>
      </x:c>
      <x:c r="L3054" s="6">
        <x:v>72007.990000000005</x:v>
      </x:c>
      <x:c r="M3054" s="6">
        <x:v>2959.2399999999761</x:v>
      </x:c>
      <x:c r="N3054" s="6">
        <x:f t="shared" si="151"/>
        <x:v>428874.33999999997</x:v>
      </x:c>
    </x:row>
    <x:row r="3055" spans="1:14" x14ac:dyDescent="0.25">
      <x:c r="A3055" t="s">
        <x:v>38</x:v>
      </x:c>
      <x:c r="B3055" s="3" t="s">
        <x:v>296</x:v>
      </x:c>
      <x:c r="C3055" s="3" t="s">
        <x:v>611</x:v>
      </x:c>
      <x:c r="D3055" t="s">
        <x:v>676</x:v>
      </x:c>
      <x:c r="E3055" s="6">
        <x:v>0</x:v>
      </x:c>
      <x:c r="F3055" s="6">
        <x:v>0</x:v>
      </x:c>
      <x:c r="G3055" s="6">
        <x:v>0</x:v>
      </x:c>
      <x:c r="H3055" s="6">
        <x:f t="shared" si="149"/>
        <x:v>0</x:v>
      </x:c>
      <x:c r="I3055" s="6">
        <x:v>0</x:v>
      </x:c>
      <x:c r="J3055" s="6">
        <x:v>0</x:v>
      </x:c>
      <x:c r="K3055" s="6">
        <x:f t="shared" si="150"/>
        <x:v>0</x:v>
      </x:c>
      <x:c r="L3055" s="6">
        <x:v>0</x:v>
      </x:c>
      <x:c r="M3055" s="6">
        <x:v>607270.54999999993</x:v>
      </x:c>
      <x:c r="N3055" s="6">
        <x:f t="shared" si="151"/>
        <x:v>607270.54999999993</x:v>
      </x:c>
    </x:row>
    <x:row r="3056" spans="1:14" x14ac:dyDescent="0.25">
      <x:c r="A3056" t="s">
        <x:v>38</x:v>
      </x:c>
      <x:c r="B3056" s="3" t="s">
        <x:v>315</x:v>
      </x:c>
      <x:c r="C3056" s="3" t="s">
        <x:v>630</x:v>
      </x:c>
      <x:c r="D3056" t="s">
        <x:v>676</x:v>
      </x:c>
      <x:c r="E3056" s="6">
        <x:v>0</x:v>
      </x:c>
      <x:c r="F3056" s="6">
        <x:v>0</x:v>
      </x:c>
      <x:c r="G3056" s="6">
        <x:v>0</x:v>
      </x:c>
      <x:c r="H3056" s="6">
        <x:f t="shared" si="149"/>
        <x:v>0</x:v>
      </x:c>
      <x:c r="I3056" s="6">
        <x:v>0</x:v>
      </x:c>
      <x:c r="J3056" s="6">
        <x:v>0</x:v>
      </x:c>
      <x:c r="K3056" s="6">
        <x:f t="shared" si="150"/>
        <x:v>0</x:v>
      </x:c>
      <x:c r="L3056" s="6">
        <x:v>0</x:v>
      </x:c>
      <x:c r="M3056" s="6">
        <x:v>105294.68</x:v>
      </x:c>
      <x:c r="N3056" s="6">
        <x:f t="shared" si="151"/>
        <x:v>105294.68</x:v>
      </x:c>
    </x:row>
    <x:row r="3057" spans="1:14" x14ac:dyDescent="0.25">
      <x:c r="A3057" t="s">
        <x:v>38</x:v>
      </x:c>
      <x:c r="B3057" s="3" t="s">
        <x:v>319</x:v>
      </x:c>
      <x:c r="C3057" s="3" t="s">
        <x:v>634</x:v>
      </x:c>
      <x:c r="D3057" t="s">
        <x:v>676</x:v>
      </x:c>
      <x:c r="E3057" s="6">
        <x:v>0</x:v>
      </x:c>
      <x:c r="F3057" s="6">
        <x:v>0</x:v>
      </x:c>
      <x:c r="G3057" s="6">
        <x:v>0</x:v>
      </x:c>
      <x:c r="H3057" s="6">
        <x:f t="shared" si="149"/>
        <x:v>0</x:v>
      </x:c>
      <x:c r="I3057" s="6">
        <x:v>0</x:v>
      </x:c>
      <x:c r="J3057" s="6">
        <x:v>0</x:v>
      </x:c>
      <x:c r="K3057" s="6">
        <x:f t="shared" si="150"/>
        <x:v>0</x:v>
      </x:c>
      <x:c r="L3057" s="6">
        <x:v>0</x:v>
      </x:c>
      <x:c r="M3057" s="6">
        <x:v>279296.25</x:v>
      </x:c>
      <x:c r="N3057" s="6">
        <x:f t="shared" si="151"/>
        <x:v>279296.25</x:v>
      </x:c>
    </x:row>
    <x:row r="3058" spans="1:14" x14ac:dyDescent="0.25">
      <x:c r="A3058" t="s">
        <x:v>38</x:v>
      </x:c>
      <x:c r="B3058" s="3" t="s">
        <x:v>223</x:v>
      </x:c>
      <x:c r="C3058" s="3" t="s">
        <x:v>539</x:v>
      </x:c>
      <x:c r="D3058" t="s">
        <x:v>676</x:v>
      </x:c>
      <x:c r="E3058" s="6">
        <x:v>0</x:v>
      </x:c>
      <x:c r="F3058" s="6">
        <x:v>0</x:v>
      </x:c>
      <x:c r="G3058" s="6">
        <x:v>0</x:v>
      </x:c>
      <x:c r="H3058" s="6">
        <x:f t="shared" si="149"/>
        <x:v>0</x:v>
      </x:c>
      <x:c r="I3058" s="6">
        <x:v>0</x:v>
      </x:c>
      <x:c r="J3058" s="6">
        <x:v>0</x:v>
      </x:c>
      <x:c r="K3058" s="6">
        <x:f t="shared" si="150"/>
        <x:v>0</x:v>
      </x:c>
      <x:c r="L3058" s="6">
        <x:v>0</x:v>
      </x:c>
      <x:c r="M3058" s="6">
        <x:v>463060.18</x:v>
      </x:c>
      <x:c r="N3058" s="6">
        <x:f t="shared" si="151"/>
        <x:v>463060.18</x:v>
      </x:c>
    </x:row>
    <x:row r="3059" spans="1:14" x14ac:dyDescent="0.25">
      <x:c r="A3059" t="s">
        <x:v>38</x:v>
      </x:c>
      <x:c r="B3059" s="3" t="s">
        <x:v>224</x:v>
      </x:c>
      <x:c r="C3059" s="3" t="s">
        <x:v>540</x:v>
      </x:c>
      <x:c r="D3059" t="s">
        <x:v>676</x:v>
      </x:c>
      <x:c r="E3059" s="6">
        <x:v>0</x:v>
      </x:c>
      <x:c r="F3059" s="6">
        <x:v>0</x:v>
      </x:c>
      <x:c r="G3059" s="6">
        <x:v>0</x:v>
      </x:c>
      <x:c r="H3059" s="6">
        <x:f t="shared" si="149"/>
        <x:v>0</x:v>
      </x:c>
      <x:c r="I3059" s="6">
        <x:v>0</x:v>
      </x:c>
      <x:c r="J3059" s="6">
        <x:v>0</x:v>
      </x:c>
      <x:c r="K3059" s="6">
        <x:f t="shared" si="150"/>
        <x:v>0</x:v>
      </x:c>
      <x:c r="L3059" s="6">
        <x:v>0</x:v>
      </x:c>
      <x:c r="M3059" s="6">
        <x:v>223032.90999999997</x:v>
      </x:c>
      <x:c r="N3059" s="6">
        <x:f t="shared" si="151"/>
        <x:v>223032.90999999997</x:v>
      </x:c>
    </x:row>
    <x:row r="3060" spans="1:14" x14ac:dyDescent="0.25">
      <x:c r="A3060" t="s">
        <x:v>38</x:v>
      </x:c>
      <x:c r="B3060" s="3" t="s">
        <x:v>225</x:v>
      </x:c>
      <x:c r="C3060" s="3" t="s">
        <x:v>541</x:v>
      </x:c>
      <x:c r="D3060" t="s">
        <x:v>676</x:v>
      </x:c>
      <x:c r="E3060" s="6">
        <x:v>0</x:v>
      </x:c>
      <x:c r="F3060" s="6">
        <x:v>0</x:v>
      </x:c>
      <x:c r="G3060" s="6">
        <x:v>0</x:v>
      </x:c>
      <x:c r="H3060" s="6">
        <x:f t="shared" si="149"/>
        <x:v>0</x:v>
      </x:c>
      <x:c r="I3060" s="6">
        <x:v>0</x:v>
      </x:c>
      <x:c r="J3060" s="6">
        <x:v>0</x:v>
      </x:c>
      <x:c r="K3060" s="6">
        <x:f t="shared" si="150"/>
        <x:v>0</x:v>
      </x:c>
      <x:c r="L3060" s="6">
        <x:v>0</x:v>
      </x:c>
      <x:c r="M3060" s="6">
        <x:v>229298.14</x:v>
      </x:c>
      <x:c r="N3060" s="6">
        <x:f t="shared" si="151"/>
        <x:v>229298.14</x:v>
      </x:c>
    </x:row>
    <x:row r="3061" spans="1:14" x14ac:dyDescent="0.25">
      <x:c r="A3061" t="s">
        <x:v>38</x:v>
      </x:c>
      <x:c r="B3061" s="3" t="s">
        <x:v>297</x:v>
      </x:c>
      <x:c r="C3061" s="3" t="s">
        <x:v>612</x:v>
      </x:c>
      <x:c r="D3061" t="s">
        <x:v>676</x:v>
      </x:c>
      <x:c r="E3061" s="6">
        <x:v>0</x:v>
      </x:c>
      <x:c r="F3061" s="6">
        <x:v>0</x:v>
      </x:c>
      <x:c r="G3061" s="6">
        <x:v>0</x:v>
      </x:c>
      <x:c r="H3061" s="6">
        <x:f t="shared" si="149"/>
        <x:v>0</x:v>
      </x:c>
      <x:c r="I3061" s="6">
        <x:v>0</x:v>
      </x:c>
      <x:c r="J3061" s="6">
        <x:v>0</x:v>
      </x:c>
      <x:c r="K3061" s="6">
        <x:f t="shared" si="150"/>
        <x:v>0</x:v>
      </x:c>
      <x:c r="L3061" s="6">
        <x:v>0</x:v>
      </x:c>
      <x:c r="M3061" s="6">
        <x:v>238027.92</x:v>
      </x:c>
      <x:c r="N3061" s="6">
        <x:f t="shared" si="151"/>
        <x:v>238027.92</x:v>
      </x:c>
    </x:row>
    <x:row r="3062" spans="1:14" x14ac:dyDescent="0.25">
      <x:c r="A3062" t="s">
        <x:v>38</x:v>
      </x:c>
      <x:c r="B3062" s="3" t="s">
        <x:v>68</x:v>
      </x:c>
      <x:c r="C3062" s="3" t="s">
        <x:v>385</x:v>
      </x:c>
      <x:c r="D3062" t="s">
        <x:v>679</x:v>
      </x:c>
      <x:c r="E3062" s="6">
        <x:v>178847.08</x:v>
      </x:c>
      <x:c r="F3062" s="6">
        <x:v>0</x:v>
      </x:c>
      <x:c r="G3062" s="6">
        <x:v>0</x:v>
      </x:c>
      <x:c r="H3062" s="6">
        <x:f t="shared" si="149"/>
        <x:v>178847.08</x:v>
      </x:c>
      <x:c r="I3062" s="6">
        <x:v>477668.09999999992</x:v>
      </x:c>
      <x:c r="J3062" s="6">
        <x:v>0</x:v>
      </x:c>
      <x:c r="K3062" s="6">
        <x:f t="shared" si="150"/>
        <x:v>477668.09999999992</x:v>
      </x:c>
      <x:c r="L3062" s="6">
        <x:v>133578.40999999997</x:v>
      </x:c>
      <x:c r="M3062" s="6">
        <x:v>5489.5099999999838</x:v>
      </x:c>
      <x:c r="N3062" s="6">
        <x:f t="shared" si="151"/>
        <x:v>795583.09999999986</x:v>
      </x:c>
    </x:row>
    <x:row r="3063" spans="1:14" x14ac:dyDescent="0.25">
      <x:c r="A3063" t="s">
        <x:v>38</x:v>
      </x:c>
      <x:c r="B3063" s="3" t="s">
        <x:v>333</x:v>
      </x:c>
      <x:c r="C3063" s="3" t="s">
        <x:v>648</x:v>
      </x:c>
      <x:c r="D3063" t="s">
        <x:v>679</x:v>
      </x:c>
      <x:c r="E3063" s="6">
        <x:v>36645.57</x:v>
      </x:c>
      <x:c r="F3063" s="6">
        <x:v>0</x:v>
      </x:c>
      <x:c r="G3063" s="6">
        <x:v>0</x:v>
      </x:c>
      <x:c r="H3063" s="6">
        <x:f t="shared" si="149"/>
        <x:v>36645.57</x:v>
      </x:c>
      <x:c r="I3063" s="6">
        <x:v>97873.680000000008</x:v>
      </x:c>
      <x:c r="J3063" s="6">
        <x:v>0</x:v>
      </x:c>
      <x:c r="K3063" s="6">
        <x:f t="shared" si="150"/>
        <x:v>97873.680000000008</x:v>
      </x:c>
      <x:c r="L3063" s="6">
        <x:v>27370.080000000002</x:v>
      </x:c>
      <x:c r="M3063" s="6">
        <x:v>1124.790000000015</x:v>
      </x:c>
      <x:c r="N3063" s="6">
        <x:f t="shared" si="151"/>
        <x:v>163014.12000000002</x:v>
      </x:c>
    </x:row>
    <x:row r="3064" spans="1:14" x14ac:dyDescent="0.25">
      <x:c r="A3064" t="s">
        <x:v>38</x:v>
      </x:c>
      <x:c r="B3064" s="3" t="s">
        <x:v>69</x:v>
      </x:c>
      <x:c r="C3064" s="3" t="s">
        <x:v>386</x:v>
      </x:c>
      <x:c r="D3064" t="s">
        <x:v>679</x:v>
      </x:c>
      <x:c r="E3064" s="6">
        <x:v>72290.759999999995</x:v>
      </x:c>
      <x:c r="F3064" s="6">
        <x:v>0</x:v>
      </x:c>
      <x:c r="G3064" s="6">
        <x:v>0</x:v>
      </x:c>
      <x:c r="H3064" s="6">
        <x:f t="shared" si="149"/>
        <x:v>72290.759999999995</x:v>
      </x:c>
      <x:c r="I3064" s="6">
        <x:v>193075.47</x:v>
      </x:c>
      <x:c r="J3064" s="6">
        <x:v>0</x:v>
      </x:c>
      <x:c r="K3064" s="6">
        <x:f t="shared" si="150"/>
        <x:v>193075.47</x:v>
      </x:c>
      <x:c r="L3064" s="6">
        <x:v>53992.950000000004</x:v>
      </x:c>
      <x:c r="M3064" s="6">
        <x:v>2218.8800000000019</x:v>
      </x:c>
      <x:c r="N3064" s="6">
        <x:f t="shared" si="151"/>
        <x:v>321578.06</x:v>
      </x:c>
    </x:row>
    <x:row r="3065" spans="1:14" x14ac:dyDescent="0.25">
      <x:c r="A3065" t="s">
        <x:v>38</x:v>
      </x:c>
      <x:c r="B3065" s="3" t="s">
        <x:v>334</x:v>
      </x:c>
      <x:c r="C3065" s="3" t="s">
        <x:v>649</x:v>
      </x:c>
      <x:c r="D3065" t="s">
        <x:v>679</x:v>
      </x:c>
      <x:c r="E3065" s="6">
        <x:v>57038.63</x:v>
      </x:c>
      <x:c r="F3065" s="6">
        <x:v>0</x:v>
      </x:c>
      <x:c r="G3065" s="6">
        <x:v>0</x:v>
      </x:c>
      <x:c r="H3065" s="6">
        <x:f t="shared" si="149"/>
        <x:v>57038.63</x:v>
      </x:c>
      <x:c r="I3065" s="6">
        <x:v>152339.84</x:v>
      </x:c>
      <x:c r="J3065" s="6">
        <x:v>0</x:v>
      </x:c>
      <x:c r="K3065" s="6">
        <x:f t="shared" si="150"/>
        <x:v>152339.84</x:v>
      </x:c>
      <x:c r="L3065" s="6">
        <x:v>42601.36</x:v>
      </x:c>
      <x:c r="M3065" s="6">
        <x:v>1750.74999999999</x:v>
      </x:c>
      <x:c r="N3065" s="6">
        <x:f t="shared" si="151"/>
        <x:v>253730.58000000002</x:v>
      </x:c>
    </x:row>
    <x:row r="3066" spans="1:14" x14ac:dyDescent="0.25">
      <x:c r="A3066" t="s">
        <x:v>38</x:v>
      </x:c>
      <x:c r="B3066" s="3" t="s">
        <x:v>70</x:v>
      </x:c>
      <x:c r="C3066" s="3" t="s">
        <x:v>387</x:v>
      </x:c>
      <x:c r="D3066" t="s">
        <x:v>679</x:v>
      </x:c>
      <x:c r="E3066" s="6">
        <x:v>46708.68</x:v>
      </x:c>
      <x:c r="F3066" s="6">
        <x:v>0</x:v>
      </x:c>
      <x:c r="G3066" s="6">
        <x:v>0</x:v>
      </x:c>
      <x:c r="H3066" s="6">
        <x:f t="shared" si="149"/>
        <x:v>46708.68</x:v>
      </x:c>
      <x:c r="I3066" s="6">
        <x:v>124750.41</x:v>
      </x:c>
      <x:c r="J3066" s="6">
        <x:v>0</x:v>
      </x:c>
      <x:c r="K3066" s="6">
        <x:f t="shared" si="150"/>
        <x:v>124750.41</x:v>
      </x:c>
      <x:c r="L3066" s="6">
        <x:v>34886.06</x:v>
      </x:c>
      <x:c r="M3066" s="6">
        <x:v>1433.6699999999964</x:v>
      </x:c>
      <x:c r="N3066" s="6">
        <x:f t="shared" si="151"/>
        <x:v>207778.81999999998</x:v>
      </x:c>
    </x:row>
    <x:row r="3067" spans="1:14" x14ac:dyDescent="0.25">
      <x:c r="A3067" t="s">
        <x:v>38</x:v>
      </x:c>
      <x:c r="B3067" s="3" t="s">
        <x:v>335</x:v>
      </x:c>
      <x:c r="C3067" s="3" t="s">
        <x:v>650</x:v>
      </x:c>
      <x:c r="D3067" t="s">
        <x:v>679</x:v>
      </x:c>
      <x:c r="E3067" s="6">
        <x:v>17896.53</x:v>
      </x:c>
      <x:c r="F3067" s="6">
        <x:v>0</x:v>
      </x:c>
      <x:c r="G3067" s="6">
        <x:v>0</x:v>
      </x:c>
      <x:c r="H3067" s="6">
        <x:f t="shared" si="149"/>
        <x:v>17896.53</x:v>
      </x:c>
      <x:c r="I3067" s="6">
        <x:v>47798.390000000007</x:v>
      </x:c>
      <x:c r="J3067" s="6">
        <x:v>0</x:v>
      </x:c>
      <x:c r="K3067" s="6">
        <x:f t="shared" si="150"/>
        <x:v>47798.390000000007</x:v>
      </x:c>
      <x:c r="L3067" s="6">
        <x:v>13366.67</x:v>
      </x:c>
      <x:c r="M3067" s="6">
        <x:v>549.31999999999675</x:v>
      </x:c>
      <x:c r="N3067" s="6">
        <x:f t="shared" si="151"/>
        <x:v>79610.91</x:v>
      </x:c>
    </x:row>
    <x:row r="3068" spans="1:14" x14ac:dyDescent="0.25">
      <x:c r="A3068" t="s">
        <x:v>38</x:v>
      </x:c>
      <x:c r="B3068" s="3" t="s">
        <x:v>298</x:v>
      </x:c>
      <x:c r="C3068" s="3" t="s">
        <x:v>613</x:v>
      </x:c>
      <x:c r="D3068" t="s">
        <x:v>679</x:v>
      </x:c>
      <x:c r="E3068" s="6">
        <x:v>77560.509999999995</x:v>
      </x:c>
      <x:c r="F3068" s="6">
        <x:v>0</x:v>
      </x:c>
      <x:c r="G3068" s="6">
        <x:v>0</x:v>
      </x:c>
      <x:c r="H3068" s="6">
        <x:f t="shared" si="149"/>
        <x:v>77560.509999999995</x:v>
      </x:c>
      <x:c r="I3068" s="6">
        <x:v>207150.04</x:v>
      </x:c>
      <x:c r="J3068" s="6">
        <x:v>0</x:v>
      </x:c>
      <x:c r="K3068" s="6">
        <x:f t="shared" si="150"/>
        <x:v>207150.04</x:v>
      </x:c>
      <x:c r="L3068" s="6">
        <x:v>57928.87</x:v>
      </x:c>
      <x:c r="M3068" s="6">
        <x:v>2380.6400000000003</x:v>
      </x:c>
      <x:c r="N3068" s="6">
        <x:f t="shared" si="151"/>
        <x:v>345020.06</x:v>
      </x:c>
    </x:row>
    <x:row r="3069" spans="1:14" x14ac:dyDescent="0.25">
      <x:c r="A3069" t="s">
        <x:v>38</x:v>
      </x:c>
      <x:c r="B3069" s="3" t="s">
        <x:v>336</x:v>
      </x:c>
      <x:c r="C3069" s="3" t="s">
        <x:v>651</x:v>
      </x:c>
      <x:c r="D3069" t="s">
        <x:v>679</x:v>
      </x:c>
      <x:c r="E3069" s="6">
        <x:v>42966.36</x:v>
      </x:c>
      <x:c r="F3069" s="6">
        <x:v>0</x:v>
      </x:c>
      <x:c r="G3069" s="6">
        <x:v>0</x:v>
      </x:c>
      <x:c r="H3069" s="6">
        <x:f t="shared" si="149"/>
        <x:v>42966.36</x:v>
      </x:c>
      <x:c r="I3069" s="6">
        <x:v>114755.35999999999</x:v>
      </x:c>
      <x:c r="J3069" s="6">
        <x:v>0</x:v>
      </x:c>
      <x:c r="K3069" s="6">
        <x:f t="shared" si="150"/>
        <x:v>114755.35999999999</x:v>
      </x:c>
      <x:c r="L3069" s="6">
        <x:v>32090.98</x:v>
      </x:c>
      <x:c r="M3069" s="6">
        <x:v>1318.7999999999984</x:v>
      </x:c>
      <x:c r="N3069" s="6">
        <x:f t="shared" si="151"/>
        <x:v>191131.49999999997</x:v>
      </x:c>
    </x:row>
    <x:row r="3070" spans="1:14" x14ac:dyDescent="0.25">
      <x:c r="A3070" t="s">
        <x:v>38</x:v>
      </x:c>
      <x:c r="B3070" s="3" t="s">
        <x:v>299</x:v>
      </x:c>
      <x:c r="C3070" s="3" t="s">
        <x:v>614</x:v>
      </x:c>
      <x:c r="D3070" t="s">
        <x:v>679</x:v>
      </x:c>
      <x:c r="E3070" s="6">
        <x:v>51549.97</x:v>
      </x:c>
      <x:c r="F3070" s="6">
        <x:v>0</x:v>
      </x:c>
      <x:c r="G3070" s="6">
        <x:v>0</x:v>
      </x:c>
      <x:c r="H3070" s="6">
        <x:f t="shared" si="149"/>
        <x:v>51549.97</x:v>
      </x:c>
      <x:c r="I3070" s="6">
        <x:v>137680.61000000002</x:v>
      </x:c>
      <x:c r="J3070" s="6">
        <x:v>0</x:v>
      </x:c>
      <x:c r="K3070" s="6">
        <x:f t="shared" si="150"/>
        <x:v>137680.61000000002</x:v>
      </x:c>
      <x:c r="L3070" s="6">
        <x:v>38501.96</x:v>
      </x:c>
      <x:c r="M3070" s="6">
        <x:v>1582.2800000000025</x:v>
      </x:c>
      <x:c r="N3070" s="6">
        <x:f t="shared" si="151"/>
        <x:v>229314.82</x:v>
      </x:c>
    </x:row>
    <x:row r="3071" spans="1:14" x14ac:dyDescent="0.25">
      <x:c r="A3071" t="s">
        <x:v>38</x:v>
      </x:c>
      <x:c r="B3071" s="3" t="s">
        <x:v>300</x:v>
      </x:c>
      <x:c r="C3071" s="3" t="s">
        <x:v>615</x:v>
      </x:c>
      <x:c r="D3071" t="s">
        <x:v>679</x:v>
      </x:c>
      <x:c r="E3071" s="6">
        <x:v>38733.870000000003</x:v>
      </x:c>
      <x:c r="F3071" s="6">
        <x:v>0</x:v>
      </x:c>
      <x:c r="G3071" s="6">
        <x:v>0</x:v>
      </x:c>
      <x:c r="H3071" s="6">
        <x:f t="shared" si="149"/>
        <x:v>38733.870000000003</x:v>
      </x:c>
      <x:c r="I3071" s="6">
        <x:v>103451.14</x:v>
      </x:c>
      <x:c r="J3071" s="6">
        <x:v>0</x:v>
      </x:c>
      <x:c r="K3071" s="6">
        <x:f t="shared" si="150"/>
        <x:v>103451.14</x:v>
      </x:c>
      <x:c r="L3071" s="6">
        <x:v>28929.789999999997</x:v>
      </x:c>
      <x:c r="M3071" s="6">
        <x:v>1188.8800000000056</x:v>
      </x:c>
      <x:c r="N3071" s="6">
        <x:f t="shared" si="151"/>
        <x:v>172303.68000000002</x:v>
      </x:c>
    </x:row>
    <x:row r="3072" spans="1:14" x14ac:dyDescent="0.25">
      <x:c r="A3072" t="s">
        <x:v>38</x:v>
      </x:c>
      <x:c r="B3072" s="3" t="s">
        <x:v>337</x:v>
      </x:c>
      <x:c r="C3072" s="3" t="s">
        <x:v>652</x:v>
      </x:c>
      <x:c r="D3072" t="s">
        <x:v>679</x:v>
      </x:c>
      <x:c r="E3072" s="6">
        <x:v>31283.71</x:v>
      </x:c>
      <x:c r="F3072" s="6">
        <x:v>0</x:v>
      </x:c>
      <x:c r="G3072" s="6">
        <x:v>0</x:v>
      </x:c>
      <x:c r="H3072" s="6">
        <x:f t="shared" si="149"/>
        <x:v>31283.71</x:v>
      </x:c>
      <x:c r="I3072" s="6">
        <x:v>83553.09</x:v>
      </x:c>
      <x:c r="J3072" s="6">
        <x:v>0</x:v>
      </x:c>
      <x:c r="K3072" s="6">
        <x:f t="shared" si="150"/>
        <x:v>83553.09</x:v>
      </x:c>
      <x:c r="L3072" s="6">
        <x:v>23365.370000000003</x:v>
      </x:c>
      <x:c r="M3072" s="6">
        <x:v>960.22000000000025</x:v>
      </x:c>
      <x:c r="N3072" s="6">
        <x:f t="shared" si="151"/>
        <x:v>139162.38999999998</x:v>
      </x:c>
    </x:row>
    <x:row r="3073" spans="1:14" x14ac:dyDescent="0.25">
      <x:c r="A3073" t="s">
        <x:v>38</x:v>
      </x:c>
      <x:c r="B3073" s="3" t="s">
        <x:v>338</x:v>
      </x:c>
      <x:c r="C3073" s="3" t="s">
        <x:v>653</x:v>
      </x:c>
      <x:c r="D3073" t="s">
        <x:v>679</x:v>
      </x:c>
      <x:c r="E3073" s="6">
        <x:v>16977.350000000002</x:v>
      </x:c>
      <x:c r="F3073" s="6">
        <x:v>0</x:v>
      </x:c>
      <x:c r="G3073" s="6">
        <x:v>0</x:v>
      </x:c>
      <x:c r="H3073" s="6">
        <x:f t="shared" si="149"/>
        <x:v>16977.350000000002</x:v>
      </x:c>
      <x:c r="I3073" s="6">
        <x:v>45343.4</x:v>
      </x:c>
      <x:c r="J3073" s="6">
        <x:v>0</x:v>
      </x:c>
      <x:c r="K3073" s="6">
        <x:f t="shared" si="150"/>
        <x:v>45343.4</x:v>
      </x:c>
      <x:c r="L3073" s="6">
        <x:v>12680.14</x:v>
      </x:c>
      <x:c r="M3073" s="6">
        <x:v>521.10000000000423</x:v>
      </x:c>
      <x:c r="N3073" s="6">
        <x:f t="shared" si="151"/>
        <x:v>75521.990000000005</x:v>
      </x:c>
    </x:row>
    <x:row r="3074" spans="1:14" x14ac:dyDescent="0.25">
      <x:c r="A3074" t="s">
        <x:v>38</x:v>
      </x:c>
      <x:c r="B3074" s="3" t="s">
        <x:v>339</x:v>
      </x:c>
      <x:c r="C3074" s="3" t="s">
        <x:v>654</x:v>
      </x:c>
      <x:c r="D3074" t="s">
        <x:v>679</x:v>
      </x:c>
      <x:c r="E3074" s="6">
        <x:v>40245.570000000007</x:v>
      </x:c>
      <x:c r="F3074" s="6">
        <x:v>0</x:v>
      </x:c>
      <x:c r="G3074" s="6">
        <x:v>0</x:v>
      </x:c>
      <x:c r="H3074" s="6">
        <x:f t="shared" si="149"/>
        <x:v>40245.570000000007</x:v>
      </x:c>
      <x:c r="I3074" s="6">
        <x:v>107488.62</x:v>
      </x:c>
      <x:c r="J3074" s="6">
        <x:v>0</x:v>
      </x:c>
      <x:c r="K3074" s="6">
        <x:f t="shared" si="150"/>
        <x:v>107488.62</x:v>
      </x:c>
      <x:c r="L3074" s="6">
        <x:v>30058.86</x:v>
      </x:c>
      <x:c r="M3074" s="6">
        <x:v>1235.2899999999813</x:v>
      </x:c>
      <x:c r="N3074" s="6">
        <x:f t="shared" si="151"/>
        <x:v>179028.33999999997</x:v>
      </x:c>
    </x:row>
    <x:row r="3075" spans="1:14" x14ac:dyDescent="0.25">
      <x:c r="A3075" t="s">
        <x:v>38</x:v>
      </x:c>
      <x:c r="B3075" s="3" t="s">
        <x:v>340</x:v>
      </x:c>
      <x:c r="C3075" s="3" t="s">
        <x:v>655</x:v>
      </x:c>
      <x:c r="D3075" t="s">
        <x:v>679</x:v>
      </x:c>
      <x:c r="E3075" s="6">
        <x:v>15034.9</x:v>
      </x:c>
      <x:c r="F3075" s="6">
        <x:v>0</x:v>
      </x:c>
      <x:c r="G3075" s="6">
        <x:v>0</x:v>
      </x:c>
      <x:c r="H3075" s="6">
        <x:f t="shared" si="149"/>
        <x:v>15034.9</x:v>
      </x:c>
      <x:c r="I3075" s="6">
        <x:v>40155.479999999996</x:v>
      </x:c>
      <x:c r="J3075" s="6">
        <x:v>0</x:v>
      </x:c>
      <x:c r="K3075" s="6">
        <x:f t="shared" si="150"/>
        <x:v>40155.479999999996</x:v>
      </x:c>
      <x:c r="L3075" s="6">
        <x:v>11229.359999999999</x:v>
      </x:c>
      <x:c r="M3075" s="6">
        <x:v>461.47000000000025</x:v>
      </x:c>
      <x:c r="N3075" s="6">
        <x:f t="shared" si="151"/>
        <x:v>66881.209999999992</x:v>
      </x:c>
    </x:row>
    <x:row r="3076" spans="1:14" x14ac:dyDescent="0.25">
      <x:c r="A3076" t="s">
        <x:v>38</x:v>
      </x:c>
      <x:c r="B3076" s="3" t="s">
        <x:v>301</x:v>
      </x:c>
      <x:c r="C3076" s="3" t="s">
        <x:v>616</x:v>
      </x:c>
      <x:c r="D3076" t="s">
        <x:v>679</x:v>
      </x:c>
      <x:c r="E3076" s="6">
        <x:v>79922.570000000007</x:v>
      </x:c>
      <x:c r="F3076" s="6">
        <x:v>0</x:v>
      </x:c>
      <x:c r="G3076" s="6">
        <x:v>0</x:v>
      </x:c>
      <x:c r="H3076" s="6">
        <x:f t="shared" si="149"/>
        <x:v>79922.570000000007</x:v>
      </x:c>
      <x:c r="I3076" s="6">
        <x:v>213458.69</x:v>
      </x:c>
      <x:c r="J3076" s="6">
        <x:v>0</x:v>
      </x:c>
      <x:c r="K3076" s="6">
        <x:f t="shared" si="150"/>
        <x:v>213458.69</x:v>
      </x:c>
      <x:c r="L3076" s="6">
        <x:v>59693.06</x:v>
      </x:c>
      <x:c r="M3076" s="6">
        <x:v>2453.1199999999858</x:v>
      </x:c>
      <x:c r="N3076" s="6">
        <x:f t="shared" si="151"/>
        <x:v>355527.44</x:v>
      </x:c>
    </x:row>
    <x:row r="3077" spans="1:14" x14ac:dyDescent="0.25">
      <x:c r="A3077" t="s">
        <x:v>38</x:v>
      </x:c>
      <x:c r="B3077" s="3" t="s">
        <x:v>341</x:v>
      </x:c>
      <x:c r="C3077" s="3" t="s">
        <x:v>656</x:v>
      </x:c>
      <x:c r="D3077" t="s">
        <x:v>679</x:v>
      </x:c>
      <x:c r="E3077" s="6">
        <x:v>32052.639999999999</x:v>
      </x:c>
      <x:c r="F3077" s="6">
        <x:v>0</x:v>
      </x:c>
      <x:c r="G3077" s="6">
        <x:v>0</x:v>
      </x:c>
      <x:c r="H3077" s="6">
        <x:f t="shared" si="149"/>
        <x:v>32052.639999999999</x:v>
      </x:c>
      <x:c r="I3077" s="6">
        <x:v>85606.8</x:v>
      </x:c>
      <x:c r="J3077" s="6">
        <x:v>0</x:v>
      </x:c>
      <x:c r="K3077" s="6">
        <x:f t="shared" si="150"/>
        <x:v>85606.8</x:v>
      </x:c>
      <x:c r="L3077" s="6">
        <x:v>23939.68</x:v>
      </x:c>
      <x:c r="M3077" s="6">
        <x:v>983.82000000000016</x:v>
      </x:c>
      <x:c r="N3077" s="6">
        <x:f t="shared" si="151"/>
        <x:v>142582.94</x:v>
      </x:c>
    </x:row>
    <x:row r="3078" spans="1:14" x14ac:dyDescent="0.25">
      <x:c r="A3078" t="s">
        <x:v>38</x:v>
      </x:c>
      <x:c r="B3078" s="3" t="s">
        <x:v>342</x:v>
      </x:c>
      <x:c r="C3078" s="3" t="s">
        <x:v>657</x:v>
      </x:c>
      <x:c r="D3078" t="s">
        <x:v>679</x:v>
      </x:c>
      <x:c r="E3078" s="6">
        <x:v>21884.899999999998</x:v>
      </x:c>
      <x:c r="F3078" s="6">
        <x:v>0</x:v>
      </x:c>
      <x:c r="G3078" s="6">
        <x:v>0</x:v>
      </x:c>
      <x:c r="H3078" s="6">
        <x:f t="shared" si="149"/>
        <x:v>21884.899999999998</x:v>
      </x:c>
      <x:c r="I3078" s="6">
        <x:v>58450.58</x:v>
      </x:c>
      <x:c r="J3078" s="6">
        <x:v>0</x:v>
      </x:c>
      <x:c r="K3078" s="6">
        <x:f t="shared" si="150"/>
        <x:v>58450.58</x:v>
      </x:c>
      <x:c r="L3078" s="6">
        <x:v>16345.52</x:v>
      </x:c>
      <x:c r="M3078" s="6">
        <x:v>671.7300000000032</x:v>
      </x:c>
      <x:c r="N3078" s="6">
        <x:f t="shared" si="151"/>
        <x:v>97352.73000000001</x:v>
      </x:c>
    </x:row>
    <x:row r="3079" spans="1:14" x14ac:dyDescent="0.25">
      <x:c r="A3079" t="s">
        <x:v>38</x:v>
      </x:c>
      <x:c r="B3079" s="3" t="s">
        <x:v>343</x:v>
      </x:c>
      <x:c r="C3079" s="3" t="s">
        <x:v>658</x:v>
      </x:c>
      <x:c r="D3079" t="s">
        <x:v>679</x:v>
      </x:c>
      <x:c r="E3079" s="6">
        <x:v>34186.080000000002</x:v>
      </x:c>
      <x:c r="F3079" s="6">
        <x:v>0</x:v>
      </x:c>
      <x:c r="G3079" s="6">
        <x:v>0</x:v>
      </x:c>
      <x:c r="H3079" s="6">
        <x:f t="shared" si="149"/>
        <x:v>34186.080000000002</x:v>
      </x:c>
      <x:c r="I3079" s="6">
        <x:v>91304.83</x:v>
      </x:c>
      <x:c r="J3079" s="6">
        <x:v>0</x:v>
      </x:c>
      <x:c r="K3079" s="6">
        <x:f t="shared" si="150"/>
        <x:v>91304.83</x:v>
      </x:c>
      <x:c r="L3079" s="6">
        <x:v>25533.11</x:v>
      </x:c>
      <x:c r="M3079" s="6">
        <x:v>1049.3099999999977</x:v>
      </x:c>
      <x:c r="N3079" s="6">
        <x:f t="shared" si="151"/>
        <x:v>152073.33000000002</x:v>
      </x:c>
    </x:row>
    <x:row r="3080" spans="1:14" x14ac:dyDescent="0.25">
      <x:c r="A3080" t="s">
        <x:v>38</x:v>
      </x:c>
      <x:c r="B3080" s="3" t="s">
        <x:v>344</x:v>
      </x:c>
      <x:c r="C3080" s="3" t="s">
        <x:v>659</x:v>
      </x:c>
      <x:c r="D3080" t="s">
        <x:v>679</x:v>
      </x:c>
      <x:c r="E3080" s="6">
        <x:v>45541.020000000004</x:v>
      </x:c>
      <x:c r="F3080" s="6">
        <x:v>0</x:v>
      </x:c>
      <x:c r="G3080" s="6">
        <x:v>0</x:v>
      </x:c>
      <x:c r="H3080" s="6">
        <x:f t="shared" si="149"/>
        <x:v>45541.020000000004</x:v>
      </x:c>
      <x:c r="I3080" s="6">
        <x:v>121631.81</x:v>
      </x:c>
      <x:c r="J3080" s="6">
        <x:v>0</x:v>
      </x:c>
      <x:c r="K3080" s="6">
        <x:f t="shared" si="150"/>
        <x:v>121631.81</x:v>
      </x:c>
      <x:c r="L3080" s="6">
        <x:v>34013.96</x:v>
      </x:c>
      <x:c r="M3080" s="6">
        <x:v>1397.8399999999938</x:v>
      </x:c>
      <x:c r="N3080" s="6">
        <x:f t="shared" si="151"/>
        <x:v>202584.63</x:v>
      </x:c>
    </x:row>
    <x:row r="3081" spans="1:14" x14ac:dyDescent="0.25">
      <x:c r="A3081" t="s">
        <x:v>38</x:v>
      </x:c>
      <x:c r="B3081" s="3" t="s">
        <x:v>302</x:v>
      </x:c>
      <x:c r="C3081" s="3" t="s">
        <x:v>617</x:v>
      </x:c>
      <x:c r="D3081" t="s">
        <x:v>679</x:v>
      </x:c>
      <x:c r="E3081" s="6">
        <x:v>97809.75</x:v>
      </x:c>
      <x:c r="F3081" s="6">
        <x:v>0</x:v>
      </x:c>
      <x:c r="G3081" s="6">
        <x:v>0</x:v>
      </x:c>
      <x:c r="H3081" s="6">
        <x:f t="shared" si="149"/>
        <x:v>97809.75</x:v>
      </x:c>
      <x:c r="I3081" s="6">
        <x:v>261232.08</x:v>
      </x:c>
      <x:c r="J3081" s="6">
        <x:v>0</x:v>
      </x:c>
      <x:c r="K3081" s="6">
        <x:f t="shared" si="150"/>
        <x:v>261232.08</x:v>
      </x:c>
      <x:c r="L3081" s="6">
        <x:v>73052.75</x:v>
      </x:c>
      <x:c r="M3081" s="6">
        <x:v>3002.1800000000535</x:v>
      </x:c>
      <x:c r="N3081" s="6">
        <x:f t="shared" si="151"/>
        <x:v>435096.76</x:v>
      </x:c>
    </x:row>
    <x:row r="3082" spans="1:14" x14ac:dyDescent="0.25">
      <x:c r="A3082" t="s">
        <x:v>38</x:v>
      </x:c>
      <x:c r="B3082" s="3" t="s">
        <x:v>345</x:v>
      </x:c>
      <x:c r="C3082" s="3" t="s">
        <x:v>660</x:v>
      </x:c>
      <x:c r="D3082" t="s">
        <x:v>679</x:v>
      </x:c>
      <x:c r="E3082" s="6">
        <x:v>29422.050000000003</x:v>
      </x:c>
      <x:c r="F3082" s="6">
        <x:v>0</x:v>
      </x:c>
      <x:c r="G3082" s="6">
        <x:v>0</x:v>
      </x:c>
      <x:c r="H3082" s="6">
        <x:f t="shared" si="149"/>
        <x:v>29422.050000000003</x:v>
      </x:c>
      <x:c r="I3082" s="6">
        <x:v>78580.98000000001</x:v>
      </x:c>
      <x:c r="J3082" s="6">
        <x:v>0</x:v>
      </x:c>
      <x:c r="K3082" s="6">
        <x:f t="shared" si="150"/>
        <x:v>78580.98000000001</x:v>
      </x:c>
      <x:c r="L3082" s="6">
        <x:v>21974.930000000004</x:v>
      </x:c>
      <x:c r="M3082" s="6">
        <x:v>903.0800000000072</x:v>
      </x:c>
      <x:c r="N3082" s="6">
        <x:f t="shared" si="151"/>
        <x:v>130881.04000000002</x:v>
      </x:c>
    </x:row>
    <x:row r="3083" spans="1:14" x14ac:dyDescent="0.25">
      <x:c r="A3083" t="s">
        <x:v>38</x:v>
      </x:c>
      <x:c r="B3083" s="3" t="s">
        <x:v>269</x:v>
      </x:c>
      <x:c r="C3083" s="3" t="s">
        <x:v>584</x:v>
      </x:c>
      <x:c r="D3083" t="s">
        <x:v>676</x:v>
      </x:c>
      <x:c r="E3083" s="6">
        <x:v>0</x:v>
      </x:c>
      <x:c r="F3083" s="6">
        <x:v>0</x:v>
      </x:c>
      <x:c r="G3083" s="6">
        <x:v>0</x:v>
      </x:c>
      <x:c r="H3083" s="6">
        <x:f t="shared" si="149"/>
        <x:v>0</x:v>
      </x:c>
      <x:c r="I3083" s="6">
        <x:v>0</x:v>
      </x:c>
      <x:c r="J3083" s="6">
        <x:v>0</x:v>
      </x:c>
      <x:c r="K3083" s="6">
        <x:f t="shared" si="150"/>
        <x:v>0</x:v>
      </x:c>
      <x:c r="L3083" s="6">
        <x:v>68003.51999999999</x:v>
      </x:c>
      <x:c r="M3083" s="6">
        <x:v>0</x:v>
      </x:c>
      <x:c r="N3083" s="6">
        <x:f t="shared" si="151"/>
        <x:v>68003.51999999999</x:v>
      </x:c>
    </x:row>
    <x:row r="3084" spans="1:14" x14ac:dyDescent="0.25">
      <x:c r="A3084" t="s">
        <x:v>38</x:v>
      </x:c>
      <x:c r="B3084" s="3" t="s">
        <x:v>226</x:v>
      </x:c>
      <x:c r="C3084" s="3" t="s">
        <x:v>542</x:v>
      </x:c>
      <x:c r="D3084" t="s">
        <x:v>679</x:v>
      </x:c>
      <x:c r="E3084" s="6">
        <x:v>220514.99999999988</x:v>
      </x:c>
      <x:c r="F3084" s="6">
        <x:v>0</x:v>
      </x:c>
      <x:c r="G3084" s="6">
        <x:v>0</x:v>
      </x:c>
      <x:c r="H3084" s="6">
        <x:f t="shared" si="149"/>
        <x:v>220514.99999999988</x:v>
      </x:c>
      <x:c r="I3084" s="6">
        <x:v>588955.46000000008</x:v>
      </x:c>
      <x:c r="J3084" s="6">
        <x:v>0</x:v>
      </x:c>
      <x:c r="K3084" s="6">
        <x:f t="shared" si="150"/>
        <x:v>588955.46000000008</x:v>
      </x:c>
      <x:c r="L3084" s="6">
        <x:v>164699.58999999994</x:v>
      </x:c>
      <x:c r="M3084" s="6">
        <x:v>6768.4200000000264</x:v>
      </x:c>
      <x:c r="N3084" s="6">
        <x:f t="shared" si="151"/>
        <x:v>980938.47</x:v>
      </x:c>
    </x:row>
    <x:row r="3085" spans="1:14" x14ac:dyDescent="0.25">
      <x:c r="A3085" t="s">
        <x:v>38</x:v>
      </x:c>
      <x:c r="B3085" s="3" t="s">
        <x:v>303</x:v>
      </x:c>
      <x:c r="C3085" s="3" t="s">
        <x:v>618</x:v>
      </x:c>
      <x:c r="D3085" t="s">
        <x:v>679</x:v>
      </x:c>
      <x:c r="E3085" s="6">
        <x:v>83469.67</x:v>
      </x:c>
      <x:c r="F3085" s="6">
        <x:v>0</x:v>
      </x:c>
      <x:c r="G3085" s="6">
        <x:v>0</x:v>
      </x:c>
      <x:c r="H3085" s="6">
        <x:f t="shared" si="149"/>
        <x:v>83469.67</x:v>
      </x:c>
      <x:c r="I3085" s="6">
        <x:v>222932.33</x:v>
      </x:c>
      <x:c r="J3085" s="6">
        <x:v>0</x:v>
      </x:c>
      <x:c r="K3085" s="6">
        <x:f t="shared" si="150"/>
        <x:v>222932.33</x:v>
      </x:c>
      <x:c r="L3085" s="6">
        <x:v>62342.34</x:v>
      </x:c>
      <x:c r="M3085" s="6">
        <x:v>2562.0099999999893</x:v>
      </x:c>
      <x:c r="N3085" s="6">
        <x:f t="shared" si="151"/>
        <x:v>371306.35</x:v>
      </x:c>
    </x:row>
    <x:row r="3086" spans="1:14" x14ac:dyDescent="0.25">
      <x:c r="A3086" t="s">
        <x:v>38</x:v>
      </x:c>
      <x:c r="B3086" s="3" t="s">
        <x:v>346</x:v>
      </x:c>
      <x:c r="C3086" s="3" t="s">
        <x:v>661</x:v>
      </x:c>
      <x:c r="D3086" t="s">
        <x:v>679</x:v>
      </x:c>
      <x:c r="E3086" s="6">
        <x:v>13693.470000000003</x:v>
      </x:c>
      <x:c r="F3086" s="6">
        <x:v>0</x:v>
      </x:c>
      <x:c r="G3086" s="6">
        <x:v>0</x:v>
      </x:c>
      <x:c r="H3086" s="6">
        <x:f t="shared" si="149"/>
        <x:v>13693.470000000003</x:v>
      </x:c>
      <x:c r="I3086" s="6">
        <x:v>36572.800000000003</x:v>
      </x:c>
      <x:c r="J3086" s="6">
        <x:v>0</x:v>
      </x:c>
      <x:c r="K3086" s="6">
        <x:f t="shared" si="150"/>
        <x:v>36572.800000000003</x:v>
      </x:c>
      <x:c r="L3086" s="6">
        <x:v>10227.459999999999</x:v>
      </x:c>
      <x:c r="M3086" s="6">
        <x:v>420.31999999999636</x:v>
      </x:c>
      <x:c r="N3086" s="6">
        <x:f t="shared" si="151"/>
        <x:v>60914.05</x:v>
      </x:c>
    </x:row>
    <x:row r="3087" spans="1:14" x14ac:dyDescent="0.25">
      <x:c r="A3087" t="s">
        <x:v>38</x:v>
      </x:c>
      <x:c r="B3087" s="3" t="s">
        <x:v>304</x:v>
      </x:c>
      <x:c r="C3087" s="3" t="s">
        <x:v>619</x:v>
      </x:c>
      <x:c r="D3087" t="s">
        <x:v>679</x:v>
      </x:c>
      <x:c r="E3087" s="6">
        <x:v>157919.10999999999</x:v>
      </x:c>
      <x:c r="F3087" s="6">
        <x:v>0</x:v>
      </x:c>
      <x:c r="G3087" s="6">
        <x:v>0</x:v>
      </x:c>
      <x:c r="H3087" s="6">
        <x:f t="shared" si="149"/>
        <x:v>157919.10999999999</x:v>
      </x:c>
      <x:c r="I3087" s="6">
        <x:v>421773.27</x:v>
      </x:c>
      <x:c r="J3087" s="6">
        <x:v>0</x:v>
      </x:c>
      <x:c r="K3087" s="6">
        <x:f t="shared" si="150"/>
        <x:v>421773.27</x:v>
      </x:c>
      <x:c r="L3087" s="6">
        <x:v>117947.59</x:v>
      </x:c>
      <x:c r="M3087" s="6">
        <x:v>4847.1500000000779</x:v>
      </x:c>
      <x:c r="N3087" s="6">
        <x:f t="shared" si="151"/>
        <x:v>702487.12</x:v>
      </x:c>
    </x:row>
    <x:row r="3088" spans="1:14" x14ac:dyDescent="0.25">
      <x:c r="A3088" t="s">
        <x:v>38</x:v>
      </x:c>
      <x:c r="B3088" s="3" t="s">
        <x:v>347</x:v>
      </x:c>
      <x:c r="C3088" s="3" t="s">
        <x:v>662</x:v>
      </x:c>
      <x:c r="D3088" t="s">
        <x:v>679</x:v>
      </x:c>
      <x:c r="E3088" s="6">
        <x:v>14544.91</x:v>
      </x:c>
      <x:c r="F3088" s="6">
        <x:v>0</x:v>
      </x:c>
      <x:c r="G3088" s="6">
        <x:v>0</x:v>
      </x:c>
      <x:c r="H3088" s="6">
        <x:f t="shared" si="149"/>
        <x:v>14544.91</x:v>
      </x:c>
      <x:c r="I3088" s="6">
        <x:v>38846.82</x:v>
      </x:c>
      <x:c r="J3088" s="6">
        <x:v>0</x:v>
      </x:c>
      <x:c r="K3088" s="6">
        <x:f t="shared" si="150"/>
        <x:v>38846.82</x:v>
      </x:c>
      <x:c r="L3088" s="6">
        <x:v>10863.39</x:v>
      </x:c>
      <x:c r="M3088" s="6">
        <x:v>446.44000000000096</x:v>
      </x:c>
      <x:c r="N3088" s="6">
        <x:f t="shared" si="151"/>
        <x:v>64701.56</x:v>
      </x:c>
    </x:row>
    <x:row r="3089" spans="1:14" x14ac:dyDescent="0.25">
      <x:c r="A3089" t="s">
        <x:v>38</x:v>
      </x:c>
      <x:c r="B3089" s="3" t="s">
        <x:v>348</x:v>
      </x:c>
      <x:c r="C3089" s="3" t="s">
        <x:v>663</x:v>
      </x:c>
      <x:c r="D3089" t="s">
        <x:v>679</x:v>
      </x:c>
      <x:c r="E3089" s="6">
        <x:v>43584.47</x:v>
      </x:c>
      <x:c r="F3089" s="6">
        <x:v>0</x:v>
      </x:c>
      <x:c r="G3089" s="6">
        <x:v>0</x:v>
      </x:c>
      <x:c r="H3089" s="6">
        <x:f t="shared" si="149"/>
        <x:v>43584.47</x:v>
      </x:c>
      <x:c r="I3089" s="6">
        <x:v>116406.19</x:v>
      </x:c>
      <x:c r="J3089" s="6">
        <x:v>0</x:v>
      </x:c>
      <x:c r="K3089" s="6">
        <x:f t="shared" si="150"/>
        <x:v>116406.19</x:v>
      </x:c>
      <x:c r="L3089" s="6">
        <x:v>32552.629999999997</x:v>
      </x:c>
      <x:c r="M3089" s="6">
        <x:v>1337.7900000000054</x:v>
      </x:c>
      <x:c r="N3089" s="6">
        <x:f t="shared" si="151"/>
        <x:v>193881.08000000002</x:v>
      </x:c>
    </x:row>
    <x:row r="3090" spans="1:14" x14ac:dyDescent="0.25">
      <x:c r="A3090" t="s">
        <x:v>38</x:v>
      </x:c>
      <x:c r="B3090" s="3" t="s">
        <x:v>349</x:v>
      </x:c>
      <x:c r="C3090" s="3" t="s">
        <x:v>664</x:v>
      </x:c>
      <x:c r="D3090" t="s">
        <x:v>679</x:v>
      </x:c>
      <x:c r="E3090" s="6">
        <x:v>209135.44</x:v>
      </x:c>
      <x:c r="F3090" s="6">
        <x:v>0</x:v>
      </x:c>
      <x:c r="G3090" s="6">
        <x:v>0</x:v>
      </x:c>
      <x:c r="H3090" s="6">
        <x:f t="shared" si="149"/>
        <x:v>209135.44</x:v>
      </x:c>
      <x:c r="I3090" s="6">
        <x:v>558562.82000000007</x:v>
      </x:c>
      <x:c r="J3090" s="6">
        <x:v>0</x:v>
      </x:c>
      <x:c r="K3090" s="6">
        <x:f t="shared" si="150"/>
        <x:v>558562.82000000007</x:v>
      </x:c>
      <x:c r="L3090" s="6">
        <x:v>156200.35999999999</x:v>
      </x:c>
      <x:c r="M3090" s="6">
        <x:v>6419.199999999968</x:v>
      </x:c>
      <x:c r="N3090" s="6">
        <x:f t="shared" si="151"/>
        <x:v>930317.82</x:v>
      </x:c>
    </x:row>
    <x:row r="3091" spans="1:14" x14ac:dyDescent="0.25">
      <x:c r="A3091" t="s">
        <x:v>38</x:v>
      </x:c>
      <x:c r="B3091" t="s">
        <x:v>755</x:v>
      </x:c>
      <x:c r="C3091" t="s">
        <x:v>756</x:v>
      </x:c>
      <x:c r="D3091" t="s">
        <x:v>832</x:v>
      </x:c>
      <x:c r="E3091" s="6">
        <x:v>42758.96</x:v>
      </x:c>
      <x:c r="F3091" s="6">
        <x:v>0</x:v>
      </x:c>
      <x:c r="G3091" s="6">
        <x:v>0</x:v>
      </x:c>
      <x:c r="H3091" s="6">
        <x:f t="shared" si="149"/>
        <x:v>42758.96</x:v>
      </x:c>
      <x:c r="I3091" s="6">
        <x:v>0</x:v>
      </x:c>
      <x:c r="J3091" s="6">
        <x:v>0</x:v>
      </x:c>
      <x:c r="K3091" s="6">
        <x:f t="shared" si="150"/>
        <x:v>0</x:v>
      </x:c>
      <x:c r="L3091" s="6">
        <x:v>0</x:v>
      </x:c>
      <x:c r="M3091" s="6">
        <x:v>0</x:v>
      </x:c>
      <x:c r="N3091" s="6">
        <x:f t="shared" si="151"/>
        <x:v>42758.96</x:v>
      </x:c>
    </x:row>
    <x:row r="3092" spans="1:14" x14ac:dyDescent="0.25">
      <x:c r="A3092" t="s">
        <x:v>38</x:v>
      </x:c>
      <x:c r="B3092" t="s">
        <x:v>755</x:v>
      </x:c>
      <x:c r="C3092" t="s">
        <x:v>756</x:v>
      </x:c>
      <x:c r="D3092" t="s">
        <x:v>834</x:v>
      </x:c>
      <x:c r="E3092" s="6">
        <x:v>-1635565.2900000012</x:v>
      </x:c>
      <x:c r="F3092" s="6">
        <x:v>0</x:v>
      </x:c>
      <x:c r="G3092" s="6">
        <x:v>0</x:v>
      </x:c>
      <x:c r="H3092" s="6">
        <x:f t="shared" si="149"/>
        <x:v>-1635565.2900000012</x:v>
      </x:c>
      <x:c r="I3092" s="6">
        <x:v>-327898.44000000117</x:v>
      </x:c>
      <x:c r="J3092" s="6">
        <x:v>0</x:v>
      </x:c>
      <x:c r="K3092" s="6">
        <x:f t="shared" si="150"/>
        <x:v>-327898.44000000117</x:v>
      </x:c>
      <x:c r="L3092" s="6">
        <x:v>0</x:v>
      </x:c>
      <x:c r="M3092" s="6">
        <x:v>0</x:v>
      </x:c>
      <x:c r="N3092" s="6">
        <x:f t="shared" si="151"/>
        <x:v>-1963463.7300000023</x:v>
      </x:c>
    </x:row>
    <x:row r="3093" spans="1:14" x14ac:dyDescent="0.25">
      <x:c r="A3093" t="s">
        <x:v>38</x:v>
      </x:c>
      <x:c r="B3093" t="s">
        <x:v>757</x:v>
      </x:c>
      <x:c r="C3093" t="s">
        <x:v>758</x:v>
      </x:c>
      <x:c r="D3093" t="s">
        <x:v>676</x:v>
      </x:c>
      <x:c r="E3093" s="6">
        <x:v>49735.87</x:v>
      </x:c>
      <x:c r="F3093" s="6">
        <x:v>0</x:v>
      </x:c>
      <x:c r="G3093" s="6">
        <x:v>0</x:v>
      </x:c>
      <x:c r="H3093" s="6">
        <x:f t="shared" si="149"/>
        <x:v>49735.87</x:v>
      </x:c>
      <x:c r="I3093" s="6">
        <x:v>2436.3300000000004</x:v>
      </x:c>
      <x:c r="J3093" s="6">
        <x:v>0</x:v>
      </x:c>
      <x:c r="K3093" s="6">
        <x:f t="shared" si="150"/>
        <x:v>2436.3300000000004</x:v>
      </x:c>
      <x:c r="L3093" s="6">
        <x:v>0</x:v>
      </x:c>
      <x:c r="M3093" s="6">
        <x:v>0</x:v>
      </x:c>
      <x:c r="N3093" s="6">
        <x:f t="shared" si="151"/>
        <x:v>52172.200000000004</x:v>
      </x:c>
    </x:row>
    <x:row r="3094" spans="1:14" x14ac:dyDescent="0.25">
      <x:c r="A3094" t="s">
        <x:v>38</x:v>
      </x:c>
      <x:c r="B3094" t="s">
        <x:v>821</x:v>
      </x:c>
      <x:c r="C3094" t="s">
        <x:v>822</x:v>
      </x:c>
      <x:c r="D3094" t="s">
        <x:v>832</x:v>
      </x:c>
      <x:c r="E3094" s="6">
        <x:v>256161.9</x:v>
      </x:c>
      <x:c r="F3094" s="6">
        <x:v>0</x:v>
      </x:c>
      <x:c r="G3094" s="6">
        <x:v>0</x:v>
      </x:c>
      <x:c r="H3094" s="6">
        <x:f t="shared" si="149"/>
        <x:v>256161.9</x:v>
      </x:c>
      <x:c r="I3094" s="6">
        <x:v>0</x:v>
      </x:c>
      <x:c r="J3094" s="6">
        <x:v>0</x:v>
      </x:c>
      <x:c r="K3094" s="6">
        <x:f t="shared" si="150"/>
        <x:v>0</x:v>
      </x:c>
      <x:c r="L3094" s="6">
        <x:v>0</x:v>
      </x:c>
      <x:c r="M3094" s="6">
        <x:v>0</x:v>
      </x:c>
      <x:c r="N3094" s="6">
        <x:f t="shared" si="151"/>
        <x:v>256161.9</x:v>
      </x:c>
    </x:row>
    <x:row r="3095" spans="1:14" x14ac:dyDescent="0.25">
      <x:c r="A3095" t="s">
        <x:v>38</x:v>
      </x:c>
      <x:c r="B3095" t="s">
        <x:v>823</x:v>
      </x:c>
      <x:c r="C3095" t="s">
        <x:v>621</x:v>
      </x:c>
      <x:c r="D3095" t="s">
        <x:v>835</x:v>
      </x:c>
      <x:c r="E3095" s="6">
        <x:v>87768.23000000001</x:v>
      </x:c>
      <x:c r="F3095" s="6">
        <x:v>0</x:v>
      </x:c>
      <x:c r="G3095" s="6">
        <x:v>0</x:v>
      </x:c>
      <x:c r="H3095" s="6">
        <x:f t="shared" si="149"/>
        <x:v>87768.23000000001</x:v>
      </x:c>
      <x:c r="I3095" s="6">
        <x:v>17595.8</x:v>
      </x:c>
      <x:c r="J3095" s="6">
        <x:v>0</x:v>
      </x:c>
      <x:c r="K3095" s="6">
        <x:f t="shared" si="150"/>
        <x:v>17595.8</x:v>
      </x:c>
      <x:c r="L3095" s="6">
        <x:v>0</x:v>
      </x:c>
      <x:c r="M3095" s="6">
        <x:v>0</x:v>
      </x:c>
      <x:c r="N3095" s="6">
        <x:f t="shared" si="151"/>
        <x:v>105364.03000000001</x:v>
      </x:c>
    </x:row>
    <x:row r="3096" spans="1:14" x14ac:dyDescent="0.25">
      <x:c r="A3096" t="s">
        <x:v>38</x:v>
      </x:c>
      <x:c r="B3096" t="s">
        <x:v>813</x:v>
      </x:c>
      <x:c r="C3096" t="s">
        <x:v>814</x:v>
      </x:c>
      <x:c r="D3096" t="s">
        <x:v>676</x:v>
      </x:c>
      <x:c r="E3096" s="6">
        <x:v>84656.549999999988</x:v>
      </x:c>
      <x:c r="F3096" s="6">
        <x:v>0</x:v>
      </x:c>
      <x:c r="G3096" s="6">
        <x:v>0</x:v>
      </x:c>
      <x:c r="H3096" s="6">
        <x:f t="shared" si="149"/>
        <x:v>84656.549999999988</x:v>
      </x:c>
      <x:c r="I3096" s="6">
        <x:v>0</x:v>
      </x:c>
      <x:c r="J3096" s="6">
        <x:v>0</x:v>
      </x:c>
      <x:c r="K3096" s="6">
        <x:f t="shared" si="150"/>
        <x:v>0</x:v>
      </x:c>
      <x:c r="L3096" s="6">
        <x:v>0</x:v>
      </x:c>
      <x:c r="M3096" s="6">
        <x:v>0</x:v>
      </x:c>
      <x:c r="N3096" s="6">
        <x:f t="shared" si="151"/>
        <x:v>84656.549999999988</x:v>
      </x:c>
    </x:row>
    <x:row r="3097" spans="1:14" x14ac:dyDescent="0.25">
      <x:c r="A3097" t="s">
        <x:v>38</x:v>
      </x:c>
      <x:c r="B3097" t="s">
        <x:v>815</x:v>
      </x:c>
      <x:c r="C3097" t="s">
        <x:v>558</x:v>
      </x:c>
      <x:c r="D3097" t="s">
        <x:v>676</x:v>
      </x:c>
      <x:c r="E3097" s="6">
        <x:v>155162.16999999998</x:v>
      </x:c>
      <x:c r="F3097" s="6">
        <x:v>0</x:v>
      </x:c>
      <x:c r="G3097" s="6">
        <x:v>0</x:v>
      </x:c>
      <x:c r="H3097" s="6">
        <x:f t="shared" si="149"/>
        <x:v>155162.16999999998</x:v>
      </x:c>
      <x:c r="I3097" s="6">
        <x:v>0</x:v>
      </x:c>
      <x:c r="J3097" s="6">
        <x:v>0</x:v>
      </x:c>
      <x:c r="K3097" s="6">
        <x:f t="shared" si="150"/>
        <x:v>0</x:v>
      </x:c>
      <x:c r="L3097" s="6">
        <x:v>0</x:v>
      </x:c>
      <x:c r="M3097" s="6">
        <x:v>0</x:v>
      </x:c>
      <x:c r="N3097" s="6">
        <x:f t="shared" si="151"/>
        <x:v>155162.16999999998</x:v>
      </x:c>
    </x:row>
    <x:row r="3098" spans="1:14" x14ac:dyDescent="0.25">
      <x:c r="A3098" t="s">
        <x:v>38</x:v>
      </x:c>
      <x:c r="B3098" t="s">
        <x:v>819</x:v>
      </x:c>
      <x:c r="C3098" t="s">
        <x:v>820</x:v>
      </x:c>
      <x:c r="D3098" t="s">
        <x:v>676</x:v>
      </x:c>
      <x:c r="E3098" s="6">
        <x:v>0</x:v>
      </x:c>
      <x:c r="F3098" s="6">
        <x:v>0</x:v>
      </x:c>
      <x:c r="G3098" s="6">
        <x:v>0</x:v>
      </x:c>
      <x:c r="H3098" s="6">
        <x:f t="shared" si="149"/>
        <x:v>0</x:v>
      </x:c>
      <x:c r="I3098" s="6">
        <x:v>38105.74</x:v>
      </x:c>
      <x:c r="J3098" s="6">
        <x:v>0</x:v>
      </x:c>
      <x:c r="K3098" s="6">
        <x:f t="shared" si="150"/>
        <x:v>38105.74</x:v>
      </x:c>
      <x:c r="L3098" s="6">
        <x:v>0</x:v>
      </x:c>
      <x:c r="M3098" s="6">
        <x:v>0</x:v>
      </x:c>
      <x:c r="N3098" s="6">
        <x:f t="shared" si="151"/>
        <x:v>38105.74</x:v>
      </x:c>
    </x:row>
    <x:row r="3099" spans="1:14" x14ac:dyDescent="0.25">
      <x:c r="A3099" t="s">
        <x:v>38</x:v>
      </x:c>
      <x:c r="B3099" t="s">
        <x:v>824</x:v>
      </x:c>
      <x:c r="C3099" t="s">
        <x:v>622</x:v>
      </x:c>
      <x:c r="D3099" t="s">
        <x:v>676</x:v>
      </x:c>
      <x:c r="E3099" s="6">
        <x:v>54400.59</x:v>
      </x:c>
      <x:c r="F3099" s="6">
        <x:v>0</x:v>
      </x:c>
      <x:c r="G3099" s="6">
        <x:v>0</x:v>
      </x:c>
      <x:c r="H3099" s="6">
        <x:f t="shared" si="149"/>
        <x:v>54400.59</x:v>
      </x:c>
      <x:c r="I3099" s="6">
        <x:v>10906.239999999998</x:v>
      </x:c>
      <x:c r="J3099" s="6">
        <x:v>0</x:v>
      </x:c>
      <x:c r="K3099" s="6">
        <x:f t="shared" si="150"/>
        <x:v>10906.239999999998</x:v>
      </x:c>
      <x:c r="L3099" s="6">
        <x:v>0</x:v>
      </x:c>
      <x:c r="M3099" s="6">
        <x:v>0</x:v>
      </x:c>
      <x:c r="N3099" s="6">
        <x:f t="shared" si="151"/>
        <x:v>65306.829999999994</x:v>
      </x:c>
    </x:row>
    <x:row r="3100" spans="1:14" x14ac:dyDescent="0.25">
      <x:c r="A3100" t="s">
        <x:v>38</x:v>
      </x:c>
      <x:c r="B3100" s="3" t="s">
        <x:v>350</x:v>
      </x:c>
      <x:c r="C3100" s="3" t="s">
        <x:v>665</x:v>
      </x:c>
      <x:c r="D3100" t="s">
        <x:v>679</x:v>
      </x:c>
      <x:c r="E3100" s="6">
        <x:v>109212.22</x:v>
      </x:c>
      <x:c r="F3100" s="6">
        <x:v>0</x:v>
      </x:c>
      <x:c r="G3100" s="6">
        <x:v>0</x:v>
      </x:c>
      <x:c r="H3100" s="6">
        <x:f t="shared" si="149"/>
        <x:v>109212.22</x:v>
      </x:c>
      <x:c r="I3100" s="6">
        <x:v>291686.02999999997</x:v>
      </x:c>
      <x:c r="J3100" s="6">
        <x:v>0</x:v>
      </x:c>
      <x:c r="K3100" s="6">
        <x:f t="shared" si="150"/>
        <x:v>291686.02999999997</x:v>
      </x:c>
      <x:c r="L3100" s="6">
        <x:v>81569.099999999991</x:v>
      </x:c>
      <x:c r="M3100" s="6">
        <x:v>3352.1500000000233</x:v>
      </x:c>
      <x:c r="N3100" s="6">
        <x:f t="shared" si="151"/>
        <x:v>485819.5</x:v>
      </x:c>
    </x:row>
    <x:row r="3101" spans="1:14" x14ac:dyDescent="0.25">
      <x:c r="A3101" t="s">
        <x:v>38</x:v>
      </x:c>
      <x:c r="B3101" s="3" t="s">
        <x:v>305</x:v>
      </x:c>
      <x:c r="C3101" s="3" t="s">
        <x:v>620</x:v>
      </x:c>
      <x:c r="D3101" t="s">
        <x:v>679</x:v>
      </x:c>
      <x:c r="E3101" s="6">
        <x:v>266931.32999999996</x:v>
      </x:c>
      <x:c r="F3101" s="6">
        <x:v>0</x:v>
      </x:c>
      <x:c r="G3101" s="6">
        <x:v>0</x:v>
      </x:c>
      <x:c r="H3101" s="6">
        <x:f t="shared" si="149"/>
        <x:v>266931.32999999996</x:v>
      </x:c>
      <x:c r="I3101" s="6">
        <x:v>712925.14</x:v>
      </x:c>
      <x:c r="J3101" s="6">
        <x:v>0</x:v>
      </x:c>
      <x:c r="K3101" s="6">
        <x:f t="shared" si="150"/>
        <x:v>712925.14</x:v>
      </x:c>
      <x:c r="L3101" s="6">
        <x:v>199367.31</x:v>
      </x:c>
      <x:c r="M3101" s="6">
        <x:v>8193.1600000001181</x:v>
      </x:c>
      <x:c r="N3101" s="6">
        <x:f t="shared" si="151"/>
        <x:v>1187416.9400000002</x:v>
      </x:c>
    </x:row>
    <x:row r="3102" spans="1:14" x14ac:dyDescent="0.25">
      <x:c r="A3102" t="s">
        <x:v>38</x:v>
      </x:c>
      <x:c r="B3102" s="3" t="s">
        <x:v>306</x:v>
      </x:c>
      <x:c r="C3102" s="3" t="s">
        <x:v>621</x:v>
      </x:c>
      <x:c r="D3102" t="s">
        <x:v>679</x:v>
      </x:c>
      <x:c r="E3102" s="6">
        <x:v>20558.5</x:v>
      </x:c>
      <x:c r="F3102" s="6">
        <x:v>0</x:v>
      </x:c>
      <x:c r="G3102" s="6">
        <x:v>0</x:v>
      </x:c>
      <x:c r="H3102" s="6">
        <x:f t="shared" si="149"/>
        <x:v>20558.5</x:v>
      </x:c>
      <x:c r="I3102" s="6">
        <x:v>54908</x:v>
      </x:c>
      <x:c r="J3102" s="6">
        <x:v>0</x:v>
      </x:c>
      <x:c r="K3102" s="6">
        <x:f t="shared" si="150"/>
        <x:v>54908</x:v>
      </x:c>
      <x:c r="L3102" s="6">
        <x:v>15354.85</x:v>
      </x:c>
      <x:c r="M3102" s="6">
        <x:v>631.01000000000477</x:v>
      </x:c>
      <x:c r="N3102" s="6">
        <x:f t="shared" si="151"/>
        <x:v>91452.360000000015</x:v>
      </x:c>
    </x:row>
    <x:row r="3103" spans="1:14" x14ac:dyDescent="0.25">
      <x:c r="A3103" t="s">
        <x:v>38</x:v>
      </x:c>
      <x:c r="B3103" s="3" t="s">
        <x:v>351</x:v>
      </x:c>
      <x:c r="C3103" s="3" t="s">
        <x:v>666</x:v>
      </x:c>
      <x:c r="D3103" t="s">
        <x:v>679</x:v>
      </x:c>
      <x:c r="E3103" s="6">
        <x:v>14075.380000000001</x:v>
      </x:c>
      <x:c r="F3103" s="6">
        <x:v>0</x:v>
      </x:c>
      <x:c r="G3103" s="6">
        <x:v>0</x:v>
      </x:c>
      <x:c r="H3103" s="6">
        <x:f t="shared" ref="H3103:H3166" si="152">SUM(E3103:G3103)</x:f>
        <x:v>14075.380000000001</x:v>
      </x:c>
      <x:c r="I3103" s="6">
        <x:v>37592.79</x:v>
      </x:c>
      <x:c r="J3103" s="6">
        <x:v>0</x:v>
      </x:c>
      <x:c r="K3103" s="6">
        <x:f t="shared" ref="K3103:K3166" si="153">SUM(I3103:J3103)</x:f>
        <x:v>37592.79</x:v>
      </x:c>
      <x:c r="L3103" s="6">
        <x:v>10512.71</x:v>
      </x:c>
      <x:c r="M3103" s="6">
        <x:v>432.02999999999463</x:v>
      </x:c>
      <x:c r="N3103" s="6">
        <x:f t="shared" ref="N3103:N3166" si="154">+E3103+F3103+G3103+I3103+J3103+L3103+M3103</x:f>
        <x:v>62612.909999999989</x:v>
      </x:c>
    </x:row>
    <x:row r="3104" spans="1:14" x14ac:dyDescent="0.25">
      <x:c r="A3104" t="s">
        <x:v>38</x:v>
      </x:c>
      <x:c r="B3104" s="3" t="s">
        <x:v>243</x:v>
      </x:c>
      <x:c r="C3104" s="3" t="s">
        <x:v>558</x:v>
      </x:c>
      <x:c r="D3104" t="s">
        <x:v>676</x:v>
      </x:c>
      <x:c r="E3104" s="6">
        <x:v>0</x:v>
      </x:c>
      <x:c r="F3104" s="6">
        <x:v>0</x:v>
      </x:c>
      <x:c r="G3104" s="6">
        <x:v>0</x:v>
      </x:c>
      <x:c r="H3104" s="6">
        <x:f t="shared" si="152"/>
        <x:v>0</x:v>
      </x:c>
      <x:c r="I3104" s="6">
        <x:v>365813.67</x:v>
      </x:c>
      <x:c r="J3104" s="6">
        <x:v>0</x:v>
      </x:c>
      <x:c r="K3104" s="6">
        <x:f t="shared" si="153"/>
        <x:v>365813.67</x:v>
      </x:c>
      <x:c r="L3104" s="6">
        <x:v>0</x:v>
      </x:c>
      <x:c r="M3104" s="6">
        <x:v>0</x:v>
      </x:c>
      <x:c r="N3104" s="6">
        <x:f t="shared" si="154"/>
        <x:v>365813.67</x:v>
      </x:c>
    </x:row>
    <x:row r="3105" spans="1:14" x14ac:dyDescent="0.25">
      <x:c r="A3105" t="s">
        <x:v>38</x:v>
      </x:c>
      <x:c r="B3105" s="3" t="s">
        <x:v>307</x:v>
      </x:c>
      <x:c r="C3105" s="3" t="s">
        <x:v>622</x:v>
      </x:c>
      <x:c r="D3105" t="s">
        <x:v>679</x:v>
      </x:c>
      <x:c r="E3105" s="6">
        <x:v>41677.339999999997</x:v>
      </x:c>
      <x:c r="F3105" s="6">
        <x:v>0</x:v>
      </x:c>
      <x:c r="G3105" s="6">
        <x:v>0</x:v>
      </x:c>
      <x:c r="H3105" s="6">
        <x:f t="shared" si="152"/>
        <x:v>41677.339999999997</x:v>
      </x:c>
      <x:c r="I3105" s="6">
        <x:v>111312.60999999999</x:v>
      </x:c>
      <x:c r="J3105" s="6">
        <x:v>0</x:v>
      </x:c>
      <x:c r="K3105" s="6">
        <x:f t="shared" si="153"/>
        <x:v>111312.60999999999</x:v>
      </x:c>
      <x:c r="L3105" s="6">
        <x:v>31128.22</x:v>
      </x:c>
      <x:c r="M3105" s="6">
        <x:v>1279.2600000000114</x:v>
      </x:c>
      <x:c r="N3105" s="6">
        <x:f t="shared" si="154"/>
        <x:v>185397.43</x:v>
      </x:c>
    </x:row>
    <x:row r="3106" spans="1:14" x14ac:dyDescent="0.25">
      <x:c r="A3106" t="s">
        <x:v>38</x:v>
      </x:c>
      <x:c r="B3106" s="3" t="s">
        <x:v>308</x:v>
      </x:c>
      <x:c r="C3106" s="3" t="s">
        <x:v>623</x:v>
      </x:c>
      <x:c r="D3106" t="s">
        <x:v>679</x:v>
      </x:c>
      <x:c r="E3106" s="6">
        <x:v>102710.96</x:v>
      </x:c>
      <x:c r="F3106" s="6">
        <x:v>0</x:v>
      </x:c>
      <x:c r="G3106" s="6">
        <x:v>0</x:v>
      </x:c>
      <x:c r="H3106" s="6">
        <x:f t="shared" si="152"/>
        <x:v>102710.96</x:v>
      </x:c>
      <x:c r="I3106" s="6">
        <x:v>274322.32</x:v>
      </x:c>
      <x:c r="J3106" s="6">
        <x:v>0</x:v>
      </x:c>
      <x:c r="K3106" s="6">
        <x:f t="shared" si="153"/>
        <x:v>274322.32</x:v>
      </x:c>
      <x:c r="L3106" s="6">
        <x:v>76713.39</x:v>
      </x:c>
      <x:c r="M3106" s="6">
        <x:v>3152.6099999999974</x:v>
      </x:c>
      <x:c r="N3106" s="6">
        <x:f t="shared" si="154"/>
        <x:v>456899.28</x:v>
      </x:c>
    </x:row>
    <x:row r="3107" spans="1:14" x14ac:dyDescent="0.25">
      <x:c r="A3107" t="s">
        <x:v>39</x:v>
      </x:c>
      <x:c r="B3107" s="3" t="s">
        <x:v>47</x:v>
      </x:c>
      <x:c r="C3107" s="3" t="s">
        <x:v>364</x:v>
      </x:c>
      <x:c r="D3107" t="s">
        <x:v>677</x:v>
      </x:c>
      <x:c r="E3107" s="6">
        <x:v>0</x:v>
      </x:c>
      <x:c r="F3107" s="6">
        <x:v>0</x:v>
      </x:c>
      <x:c r="G3107" s="6">
        <x:v>0</x:v>
      </x:c>
      <x:c r="H3107" s="6">
        <x:f t="shared" si="152"/>
        <x:v>0</x:v>
      </x:c>
      <x:c r="I3107" s="6">
        <x:v>6165208.0899999999</x:v>
      </x:c>
      <x:c r="J3107" s="6">
        <x:v>0</x:v>
      </x:c>
      <x:c r="K3107" s="6">
        <x:f t="shared" si="153"/>
        <x:v>6165208.0899999999</x:v>
      </x:c>
      <x:c r="L3107" s="6">
        <x:v>0</x:v>
      </x:c>
      <x:c r="M3107" s="6">
        <x:v>0</x:v>
      </x:c>
      <x:c r="N3107" s="6">
        <x:f t="shared" si="154"/>
        <x:v>6165208.0899999999</x:v>
      </x:c>
    </x:row>
    <x:row r="3108" spans="1:14" x14ac:dyDescent="0.25">
      <x:c r="A3108" t="s">
        <x:v>39</x:v>
      </x:c>
      <x:c r="B3108" t="s">
        <x:v>839</x:v>
      </x:c>
      <x:c r="C3108" t="s">
        <x:v>840</x:v>
      </x:c>
      <x:c r="D3108" t="s">
        <x:v>842</x:v>
      </x:c>
      <x:c r="E3108" s="6">
        <x:v>0</x:v>
      </x:c>
      <x:c r="F3108" s="6">
        <x:v>209845.6</x:v>
      </x:c>
      <x:c r="G3108" s="6">
        <x:v>0</x:v>
      </x:c>
      <x:c r="H3108" s="6">
        <x:f t="shared" si="152"/>
        <x:v>209845.6</x:v>
      </x:c>
      <x:c r="I3108" s="6">
        <x:v>0</x:v>
      </x:c>
      <x:c r="J3108" s="6">
        <x:v>310723.88</x:v>
      </x:c>
      <x:c r="K3108" s="6">
        <x:f t="shared" si="153"/>
        <x:v>310723.88</x:v>
      </x:c>
      <x:c r="L3108" s="6">
        <x:v>0</x:v>
      </x:c>
      <x:c r="M3108" s="6">
        <x:v>0</x:v>
      </x:c>
      <x:c r="N3108" s="6">
        <x:f t="shared" si="154"/>
        <x:v>520569.48</x:v>
      </x:c>
    </x:row>
    <x:row r="3109" spans="1:14" x14ac:dyDescent="0.25">
      <x:c r="A3109" t="s">
        <x:v>1</x:v>
      </x:c>
      <x:c r="B3109" s="3" t="s">
        <x:v>316</x:v>
      </x:c>
      <x:c r="C3109" s="3" t="s">
        <x:v>631</x:v>
      </x:c>
      <x:c r="D3109" t="s">
        <x:v>676</x:v>
      </x:c>
      <x:c r="E3109" s="6">
        <x:v>0</x:v>
      </x:c>
      <x:c r="F3109" s="6">
        <x:v>0</x:v>
      </x:c>
      <x:c r="G3109" s="6">
        <x:v>0</x:v>
      </x:c>
      <x:c r="H3109" s="6">
        <x:f t="shared" si="152"/>
        <x:v>0</x:v>
      </x:c>
      <x:c r="I3109" s="6">
        <x:v>0</x:v>
      </x:c>
      <x:c r="J3109" s="6">
        <x:v>0</x:v>
      </x:c>
      <x:c r="K3109" s="6">
        <x:f t="shared" si="153"/>
        <x:v>0</x:v>
      </x:c>
      <x:c r="L3109" s="6">
        <x:v>0</x:v>
      </x:c>
      <x:c r="M3109" s="6">
        <x:v>106365.5</x:v>
      </x:c>
      <x:c r="N3109" s="6">
        <x:f t="shared" si="154"/>
        <x:v>106365.5</x:v>
      </x:c>
    </x:row>
    <x:row r="3110" spans="1:14" x14ac:dyDescent="0.25">
      <x:c r="A3110" t="s">
        <x:v>1</x:v>
      </x:c>
      <x:c r="B3110" s="3" t="s">
        <x:v>125</x:v>
      </x:c>
      <x:c r="C3110" s="3" t="s">
        <x:v>442</x:v>
      </x:c>
      <x:c r="D3110" t="s">
        <x:v>676</x:v>
      </x:c>
      <x:c r="E3110" s="6">
        <x:v>0</x:v>
      </x:c>
      <x:c r="F3110" s="6">
        <x:v>0</x:v>
      </x:c>
      <x:c r="G3110" s="6">
        <x:v>0</x:v>
      </x:c>
      <x:c r="H3110" s="6">
        <x:f t="shared" si="152"/>
        <x:v>0</x:v>
      </x:c>
      <x:c r="I3110" s="6">
        <x:v>0</x:v>
      </x:c>
      <x:c r="J3110" s="6">
        <x:v>0</x:v>
      </x:c>
      <x:c r="K3110" s="6">
        <x:f t="shared" si="153"/>
        <x:v>0</x:v>
      </x:c>
      <x:c r="L3110" s="6">
        <x:v>0</x:v>
      </x:c>
      <x:c r="M3110" s="6">
        <x:v>920</x:v>
      </x:c>
      <x:c r="N3110" s="6">
        <x:f t="shared" si="154"/>
        <x:v>920</x:v>
      </x:c>
    </x:row>
    <x:row r="3111" spans="1:14" x14ac:dyDescent="0.25">
      <x:c r="A3111" t="s">
        <x:v>1</x:v>
      </x:c>
      <x:c r="B3111" s="3" t="s">
        <x:v>172</x:v>
      </x:c>
      <x:c r="C3111" s="3" t="s">
        <x:v>488</x:v>
      </x:c>
      <x:c r="D3111" t="s">
        <x:v>676</x:v>
      </x:c>
      <x:c r="E3111" s="6">
        <x:v>0</x:v>
      </x:c>
      <x:c r="F3111" s="6">
        <x:v>0</x:v>
      </x:c>
      <x:c r="G3111" s="6">
        <x:v>0</x:v>
      </x:c>
      <x:c r="H3111" s="6">
        <x:f t="shared" si="152"/>
        <x:v>0</x:v>
      </x:c>
      <x:c r="I3111" s="6">
        <x:v>193.44</x:v>
      </x:c>
      <x:c r="J3111" s="6">
        <x:v>0</x:v>
      </x:c>
      <x:c r="K3111" s="6">
        <x:f t="shared" si="153"/>
        <x:v>193.44</x:v>
      </x:c>
      <x:c r="L3111" s="6">
        <x:v>0</x:v>
      </x:c>
      <x:c r="M3111" s="6">
        <x:v>0</x:v>
      </x:c>
      <x:c r="N3111" s="6">
        <x:f t="shared" si="154"/>
        <x:v>193.44</x:v>
      </x:c>
    </x:row>
    <x:row r="3112" spans="1:14" x14ac:dyDescent="0.25">
      <x:c r="A3112" t="s">
        <x:v>1</x:v>
      </x:c>
      <x:c r="B3112" s="3" t="s">
        <x:v>325</x:v>
      </x:c>
      <x:c r="C3112" s="3" t="s">
        <x:v>640</x:v>
      </x:c>
      <x:c r="D3112" t="s">
        <x:v>679</x:v>
      </x:c>
      <x:c r="E3112" s="6">
        <x:v>20232</x:v>
      </x:c>
      <x:c r="F3112" s="6">
        <x:v>0</x:v>
      </x:c>
      <x:c r="G3112" s="6">
        <x:v>0</x:v>
      </x:c>
      <x:c r="H3112" s="6">
        <x:f t="shared" si="152"/>
        <x:v>20232</x:v>
      </x:c>
      <x:c r="I3112" s="6">
        <x:v>54036</x:v>
      </x:c>
      <x:c r="J3112" s="6">
        <x:v>0</x:v>
      </x:c>
      <x:c r="K3112" s="6">
        <x:f t="shared" si="153"/>
        <x:v>54036</x:v>
      </x:c>
      <x:c r="L3112" s="6">
        <x:v>15111</x:v>
      </x:c>
      <x:c r="M3112" s="6">
        <x:v>621</x:v>
      </x:c>
      <x:c r="N3112" s="6">
        <x:f t="shared" si="154"/>
        <x:v>90000</x:v>
      </x:c>
    </x:row>
    <x:row r="3113" spans="1:14" x14ac:dyDescent="0.25">
      <x:c r="A3113" t="s">
        <x:v>1</x:v>
      </x:c>
      <x:c r="B3113" s="3" t="s">
        <x:v>317</x:v>
      </x:c>
      <x:c r="C3113" s="3" t="s">
        <x:v>632</x:v>
      </x:c>
      <x:c r="D3113" t="s">
        <x:v>676</x:v>
      </x:c>
      <x:c r="E3113" s="6">
        <x:v>0</x:v>
      </x:c>
      <x:c r="F3113" s="6">
        <x:v>0</x:v>
      </x:c>
      <x:c r="G3113" s="6">
        <x:v>0</x:v>
      </x:c>
      <x:c r="H3113" s="6">
        <x:f t="shared" si="152"/>
        <x:v>0</x:v>
      </x:c>
      <x:c r="I3113" s="6">
        <x:v>0</x:v>
      </x:c>
      <x:c r="J3113" s="6">
        <x:v>0</x:v>
      </x:c>
      <x:c r="K3113" s="6">
        <x:f t="shared" si="153"/>
        <x:v>0</x:v>
      </x:c>
      <x:c r="L3113" s="6">
        <x:v>0</x:v>
      </x:c>
      <x:c r="M3113" s="6">
        <x:v>73058.540000000008</x:v>
      </x:c>
      <x:c r="N3113" s="6">
        <x:f t="shared" si="154"/>
        <x:v>73058.540000000008</x:v>
      </x:c>
    </x:row>
    <x:row r="3114" spans="1:14" x14ac:dyDescent="0.25">
      <x:c r="A3114" t="s">
        <x:v>1</x:v>
      </x:c>
      <x:c r="B3114" s="3" t="s">
        <x:v>67</x:v>
      </x:c>
      <x:c r="C3114" s="3" t="s">
        <x:v>384</x:v>
      </x:c>
      <x:c r="D3114" t="s">
        <x:v>679</x:v>
      </x:c>
      <x:c r="E3114" s="6">
        <x:v>35917.42</x:v>
      </x:c>
      <x:c r="F3114" s="6">
        <x:v>0</x:v>
      </x:c>
      <x:c r="G3114" s="6">
        <x:v>0</x:v>
      </x:c>
      <x:c r="H3114" s="6">
        <x:f t="shared" si="152"/>
        <x:v>35917.42</x:v>
      </x:c>
      <x:c r="I3114" s="6">
        <x:v>95928.91</x:v>
      </x:c>
      <x:c r="J3114" s="6">
        <x:v>0</x:v>
      </x:c>
      <x:c r="K3114" s="6">
        <x:f t="shared" si="153"/>
        <x:v>95928.91</x:v>
      </x:c>
      <x:c r="L3114" s="6">
        <x:v>26826.22</x:v>
      </x:c>
      <x:c r="M3114" s="6">
        <x:v>1102.4499999999971</x:v>
      </x:c>
      <x:c r="N3114" s="6">
        <x:f t="shared" si="154"/>
        <x:v>159775</x:v>
      </x:c>
    </x:row>
    <x:row r="3115" spans="1:14" x14ac:dyDescent="0.25">
      <x:c r="A3115" t="s">
        <x:v>1</x:v>
      </x:c>
      <x:c r="B3115" s="3" t="s">
        <x:v>290</x:v>
      </x:c>
      <x:c r="C3115" s="3" t="s">
        <x:v>605</x:v>
      </x:c>
      <x:c r="D3115" t="s">
        <x:v>676</x:v>
      </x:c>
      <x:c r="E3115" s="6">
        <x:v>0</x:v>
      </x:c>
      <x:c r="F3115" s="6">
        <x:v>0</x:v>
      </x:c>
      <x:c r="G3115" s="6">
        <x:v>0</x:v>
      </x:c>
      <x:c r="H3115" s="6">
        <x:f t="shared" si="152"/>
        <x:v>0</x:v>
      </x:c>
      <x:c r="I3115" s="6">
        <x:v>10459</x:v>
      </x:c>
      <x:c r="J3115" s="6">
        <x:v>0</x:v>
      </x:c>
      <x:c r="K3115" s="6">
        <x:f t="shared" si="153"/>
        <x:v>10459</x:v>
      </x:c>
      <x:c r="L3115" s="6">
        <x:v>0</x:v>
      </x:c>
      <x:c r="M3115" s="6">
        <x:v>0</x:v>
      </x:c>
      <x:c r="N3115" s="6">
        <x:f t="shared" si="154"/>
        <x:v>10459</x:v>
      </x:c>
    </x:row>
    <x:row r="3116" spans="1:14" x14ac:dyDescent="0.25">
      <x:c r="A3116" t="s">
        <x:v>1</x:v>
      </x:c>
      <x:c r="B3116" s="3" t="s">
        <x:v>331</x:v>
      </x:c>
      <x:c r="C3116" s="3" t="s">
        <x:v>646</x:v>
      </x:c>
      <x:c r="D3116" t="s">
        <x:v>676</x:v>
      </x:c>
      <x:c r="E3116" s="6">
        <x:v>0</x:v>
      </x:c>
      <x:c r="F3116" s="6">
        <x:v>0</x:v>
      </x:c>
      <x:c r="G3116" s="6">
        <x:v>0</x:v>
      </x:c>
      <x:c r="H3116" s="6">
        <x:f t="shared" si="152"/>
        <x:v>0</x:v>
      </x:c>
      <x:c r="I3116" s="6">
        <x:v>0</x:v>
      </x:c>
      <x:c r="J3116" s="6">
        <x:v>0</x:v>
      </x:c>
      <x:c r="K3116" s="6">
        <x:f t="shared" si="153"/>
        <x:v>0</x:v>
      </x:c>
      <x:c r="L3116" s="6">
        <x:v>0</x:v>
      </x:c>
      <x:c r="M3116" s="6">
        <x:v>101718</x:v>
      </x:c>
      <x:c r="N3116" s="6">
        <x:f t="shared" si="154"/>
        <x:v>101718</x:v>
      </x:c>
    </x:row>
    <x:row r="3117" spans="1:14" x14ac:dyDescent="0.25">
      <x:c r="A3117" t="s">
        <x:v>1</x:v>
      </x:c>
      <x:c r="B3117" s="3" t="s">
        <x:v>295</x:v>
      </x:c>
      <x:c r="C3117" s="3" t="s">
        <x:v>610</x:v>
      </x:c>
      <x:c r="D3117" t="s">
        <x:v>676</x:v>
      </x:c>
      <x:c r="E3117" s="6">
        <x:v>0</x:v>
      </x:c>
      <x:c r="F3117" s="6">
        <x:v>0</x:v>
      </x:c>
      <x:c r="G3117" s="6">
        <x:v>0</x:v>
      </x:c>
      <x:c r="H3117" s="6">
        <x:f t="shared" si="152"/>
        <x:v>0</x:v>
      </x:c>
      <x:c r="I3117" s="6">
        <x:v>0</x:v>
      </x:c>
      <x:c r="J3117" s="6">
        <x:v>0</x:v>
      </x:c>
      <x:c r="K3117" s="6">
        <x:f t="shared" si="153"/>
        <x:v>0</x:v>
      </x:c>
      <x:c r="L3117" s="6">
        <x:v>0</x:v>
      </x:c>
      <x:c r="M3117" s="6">
        <x:v>86228.359999999986</x:v>
      </x:c>
      <x:c r="N3117" s="6">
        <x:f t="shared" si="154"/>
        <x:v>86228.359999999986</x:v>
      </x:c>
    </x:row>
    <x:row r="3118" spans="1:14" x14ac:dyDescent="0.25">
      <x:c r="A3118" t="s">
        <x:v>1</x:v>
      </x:c>
      <x:c r="B3118" s="3" t="s">
        <x:v>314</x:v>
      </x:c>
      <x:c r="C3118" s="3" t="s">
        <x:v>629</x:v>
      </x:c>
      <x:c r="D3118" t="s">
        <x:v>676</x:v>
      </x:c>
      <x:c r="E3118" s="6">
        <x:v>0</x:v>
      </x:c>
      <x:c r="F3118" s="6">
        <x:v>0</x:v>
      </x:c>
      <x:c r="G3118" s="6">
        <x:v>0</x:v>
      </x:c>
      <x:c r="H3118" s="6">
        <x:f t="shared" si="152"/>
        <x:v>0</x:v>
      </x:c>
      <x:c r="I3118" s="6">
        <x:v>0</x:v>
      </x:c>
      <x:c r="J3118" s="6">
        <x:v>0</x:v>
      </x:c>
      <x:c r="K3118" s="6">
        <x:f t="shared" si="153"/>
        <x:v>0</x:v>
      </x:c>
      <x:c r="L3118" s="6">
        <x:v>0</x:v>
      </x:c>
      <x:c r="M3118" s="6">
        <x:v>39889.269999999997</x:v>
      </x:c>
      <x:c r="N3118" s="6">
        <x:f t="shared" si="154"/>
        <x:v>39889.269999999997</x:v>
      </x:c>
    </x:row>
    <x:row r="3119" spans="1:14" x14ac:dyDescent="0.25">
      <x:c r="A3119" t="s">
        <x:v>1</x:v>
      </x:c>
      <x:c r="B3119" s="3" t="s">
        <x:v>319</x:v>
      </x:c>
      <x:c r="C3119" s="3" t="s">
        <x:v>634</x:v>
      </x:c>
      <x:c r="D3119" t="s">
        <x:v>676</x:v>
      </x:c>
      <x:c r="E3119" s="6">
        <x:v>0</x:v>
      </x:c>
      <x:c r="F3119" s="6">
        <x:v>0</x:v>
      </x:c>
      <x:c r="G3119" s="6">
        <x:v>0</x:v>
      </x:c>
      <x:c r="H3119" s="6">
        <x:f t="shared" si="152"/>
        <x:v>0</x:v>
      </x:c>
      <x:c r="I3119" s="6">
        <x:v>0</x:v>
      </x:c>
      <x:c r="J3119" s="6">
        <x:v>0</x:v>
      </x:c>
      <x:c r="K3119" s="6">
        <x:f t="shared" si="153"/>
        <x:v>0</x:v>
      </x:c>
      <x:c r="L3119" s="6">
        <x:v>0</x:v>
      </x:c>
      <x:c r="M3119" s="6">
        <x:v>750</x:v>
      </x:c>
      <x:c r="N3119" s="6">
        <x:f t="shared" si="154"/>
        <x:v>750</x:v>
      </x:c>
    </x:row>
    <x:row r="3120" spans="1:14" x14ac:dyDescent="0.25">
      <x:c r="A3120" t="s">
        <x:v>1</x:v>
      </x:c>
      <x:c r="B3120" s="3" t="s">
        <x:v>223</x:v>
      </x:c>
      <x:c r="C3120" s="3" t="s">
        <x:v>539</x:v>
      </x:c>
      <x:c r="D3120" t="s">
        <x:v>676</x:v>
      </x:c>
      <x:c r="E3120" s="6">
        <x:v>0</x:v>
      </x:c>
      <x:c r="F3120" s="6">
        <x:v>0</x:v>
      </x:c>
      <x:c r="G3120" s="6">
        <x:v>0</x:v>
      </x:c>
      <x:c r="H3120" s="6">
        <x:f t="shared" si="152"/>
        <x:v>0</x:v>
      </x:c>
      <x:c r="I3120" s="6">
        <x:v>0</x:v>
      </x:c>
      <x:c r="J3120" s="6">
        <x:v>0</x:v>
      </x:c>
      <x:c r="K3120" s="6">
        <x:f t="shared" si="153"/>
        <x:v>0</x:v>
      </x:c>
      <x:c r="L3120" s="6">
        <x:v>0</x:v>
      </x:c>
      <x:c r="M3120" s="6">
        <x:v>104353.18</x:v>
      </x:c>
      <x:c r="N3120" s="6">
        <x:f t="shared" si="154"/>
        <x:v>104353.18</x:v>
      </x:c>
    </x:row>
    <x:row r="3121" spans="1:14" x14ac:dyDescent="0.25">
      <x:c r="A3121" t="s">
        <x:v>1</x:v>
      </x:c>
      <x:c r="B3121" s="3" t="s">
        <x:v>224</x:v>
      </x:c>
      <x:c r="C3121" s="3" t="s">
        <x:v>540</x:v>
      </x:c>
      <x:c r="D3121" t="s">
        <x:v>676</x:v>
      </x:c>
      <x:c r="E3121" s="6">
        <x:v>0</x:v>
      </x:c>
      <x:c r="F3121" s="6">
        <x:v>0</x:v>
      </x:c>
      <x:c r="G3121" s="6">
        <x:v>0</x:v>
      </x:c>
      <x:c r="H3121" s="6">
        <x:f t="shared" si="152"/>
        <x:v>0</x:v>
      </x:c>
      <x:c r="I3121" s="6">
        <x:v>0</x:v>
      </x:c>
      <x:c r="J3121" s="6">
        <x:v>0</x:v>
      </x:c>
      <x:c r="K3121" s="6">
        <x:f t="shared" si="153"/>
        <x:v>0</x:v>
      </x:c>
      <x:c r="L3121" s="6">
        <x:v>0</x:v>
      </x:c>
      <x:c r="M3121" s="6">
        <x:v>14967</x:v>
      </x:c>
      <x:c r="N3121" s="6">
        <x:f t="shared" si="154"/>
        <x:v>14967</x:v>
      </x:c>
    </x:row>
    <x:row r="3122" spans="1:14" x14ac:dyDescent="0.25">
      <x:c r="A3122" t="s">
        <x:v>1</x:v>
      </x:c>
      <x:c r="B3122" s="3" t="s">
        <x:v>225</x:v>
      </x:c>
      <x:c r="C3122" s="3" t="s">
        <x:v>541</x:v>
      </x:c>
      <x:c r="D3122" t="s">
        <x:v>676</x:v>
      </x:c>
      <x:c r="E3122" s="6">
        <x:v>0</x:v>
      </x:c>
      <x:c r="F3122" s="6">
        <x:v>0</x:v>
      </x:c>
      <x:c r="G3122" s="6">
        <x:v>0</x:v>
      </x:c>
      <x:c r="H3122" s="6">
        <x:f t="shared" si="152"/>
        <x:v>0</x:v>
      </x:c>
      <x:c r="I3122" s="6">
        <x:v>0</x:v>
      </x:c>
      <x:c r="J3122" s="6">
        <x:v>0</x:v>
      </x:c>
      <x:c r="K3122" s="6">
        <x:f t="shared" si="153"/>
        <x:v>0</x:v>
      </x:c>
      <x:c r="L3122" s="6">
        <x:v>0</x:v>
      </x:c>
      <x:c r="M3122" s="6">
        <x:v>1000</x:v>
      </x:c>
      <x:c r="N3122" s="6">
        <x:f t="shared" si="154"/>
        <x:v>1000</x:v>
      </x:c>
    </x:row>
    <x:row r="3123" spans="1:14" x14ac:dyDescent="0.25">
      <x:c r="A3123" t="s">
        <x:v>2</x:v>
      </x:c>
      <x:c r="B3123" s="3" t="s">
        <x:v>244</x:v>
      </x:c>
      <x:c r="C3123" s="3" t="s">
        <x:v>559</x:v>
      </x:c>
      <x:c r="D3123" t="s">
        <x:v>676</x:v>
      </x:c>
      <x:c r="E3123" s="6">
        <x:v>0</x:v>
      </x:c>
      <x:c r="F3123" s="6">
        <x:v>0</x:v>
      </x:c>
      <x:c r="G3123" s="6">
        <x:v>0</x:v>
      </x:c>
      <x:c r="H3123" s="6">
        <x:f t="shared" si="152"/>
        <x:v>0</x:v>
      </x:c>
      <x:c r="I3123" s="6">
        <x:v>2864688.39</x:v>
      </x:c>
      <x:c r="J3123" s="6">
        <x:v>0</x:v>
      </x:c>
      <x:c r="K3123" s="6">
        <x:f t="shared" si="153"/>
        <x:v>2864688.39</x:v>
      </x:c>
      <x:c r="L3123" s="6">
        <x:v>0</x:v>
      </x:c>
      <x:c r="M3123" s="6">
        <x:v>0</x:v>
      </x:c>
      <x:c r="N3123" s="6">
        <x:f t="shared" si="154"/>
        <x:v>2864688.39</x:v>
      </x:c>
    </x:row>
    <x:row r="3124" spans="1:14" x14ac:dyDescent="0.25">
      <x:c r="A3124" t="s">
        <x:v>2</x:v>
      </x:c>
      <x:c r="B3124" s="3" t="s">
        <x:v>53</x:v>
      </x:c>
      <x:c r="C3124" s="3" t="s">
        <x:v>370</x:v>
      </x:c>
      <x:c r="D3124" t="s">
        <x:v>676</x:v>
      </x:c>
      <x:c r="E3124" s="6">
        <x:v>0</x:v>
      </x:c>
      <x:c r="F3124" s="6">
        <x:v>0</x:v>
      </x:c>
      <x:c r="G3124" s="6">
        <x:v>0</x:v>
      </x:c>
      <x:c r="H3124" s="6">
        <x:f t="shared" si="152"/>
        <x:v>0</x:v>
      </x:c>
      <x:c r="I3124" s="6">
        <x:v>-0.03</x:v>
      </x:c>
      <x:c r="J3124" s="6">
        <x:v>0</x:v>
      </x:c>
      <x:c r="K3124" s="6">
        <x:f t="shared" si="153"/>
        <x:v>-0.03</x:v>
      </x:c>
      <x:c r="L3124" s="6">
        <x:v>0</x:v>
      </x:c>
      <x:c r="M3124" s="6">
        <x:v>0</x:v>
      </x:c>
      <x:c r="N3124" s="6">
        <x:f t="shared" si="154"/>
        <x:v>-0.03</x:v>
      </x:c>
    </x:row>
    <x:row r="3125" spans="1:14" x14ac:dyDescent="0.25">
      <x:c r="A3125" t="s">
        <x:v>2</x:v>
      </x:c>
      <x:c r="B3125" s="3" t="s">
        <x:v>48</x:v>
      </x:c>
      <x:c r="C3125" s="3" t="s">
        <x:v>365</x:v>
      </x:c>
      <x:c r="D3125" t="s">
        <x:v>679</x:v>
      </x:c>
      <x:c r="E3125" s="6">
        <x:v>1079.04</x:v>
      </x:c>
      <x:c r="F3125" s="6">
        <x:v>0</x:v>
      </x:c>
      <x:c r="G3125" s="6">
        <x:v>0</x:v>
      </x:c>
      <x:c r="H3125" s="6">
        <x:f t="shared" si="152"/>
        <x:v>1079.04</x:v>
      </x:c>
      <x:c r="I3125" s="6">
        <x:v>2881.92</x:v>
      </x:c>
      <x:c r="J3125" s="6">
        <x:v>0</x:v>
      </x:c>
      <x:c r="K3125" s="6">
        <x:f t="shared" si="153"/>
        <x:v>2881.92</x:v>
      </x:c>
      <x:c r="L3125" s="6">
        <x:v>805.92</x:v>
      </x:c>
      <x:c r="M3125" s="6">
        <x:v>33.120000000000005</x:v>
      </x:c>
      <x:c r="N3125" s="6">
        <x:f t="shared" si="154"/>
        <x:v>4800</x:v>
      </x:c>
    </x:row>
    <x:row r="3126" spans="1:14" x14ac:dyDescent="0.25">
      <x:c r="A3126" t="s">
        <x:v>2</x:v>
      </x:c>
      <x:c r="B3126" s="3" t="s">
        <x:v>55</x:v>
      </x:c>
      <x:c r="C3126" s="3" t="s">
        <x:v>372</x:v>
      </x:c>
      <x:c r="D3126" t="s">
        <x:v>676</x:v>
      </x:c>
      <x:c r="E3126" s="6">
        <x:v>0</x:v>
      </x:c>
      <x:c r="F3126" s="6">
        <x:v>0</x:v>
      </x:c>
      <x:c r="G3126" s="6">
        <x:v>0</x:v>
      </x:c>
      <x:c r="H3126" s="6">
        <x:f t="shared" si="152"/>
        <x:v>0</x:v>
      </x:c>
      <x:c r="I3126" s="6">
        <x:v>-0.01</x:v>
      </x:c>
      <x:c r="J3126" s="6">
        <x:v>0</x:v>
      </x:c>
      <x:c r="K3126" s="6">
        <x:f t="shared" si="153"/>
        <x:v>-0.01</x:v>
      </x:c>
      <x:c r="L3126" s="6">
        <x:v>0</x:v>
      </x:c>
      <x:c r="M3126" s="6">
        <x:v>0</x:v>
      </x:c>
      <x:c r="N3126" s="6">
        <x:f t="shared" si="154"/>
        <x:v>-0.01</x:v>
      </x:c>
    </x:row>
    <x:row r="3127" spans="1:14" x14ac:dyDescent="0.25">
      <x:c r="A3127" t="s">
        <x:v>2</x:v>
      </x:c>
      <x:c r="B3127" s="3" t="s">
        <x:v>76</x:v>
      </x:c>
      <x:c r="C3127" s="3" t="s">
        <x:v>393</x:v>
      </x:c>
      <x:c r="D3127" t="s">
        <x:v>676</x:v>
      </x:c>
      <x:c r="E3127" s="6">
        <x:v>0</x:v>
      </x:c>
      <x:c r="F3127" s="6">
        <x:v>0</x:v>
      </x:c>
      <x:c r="G3127" s="6">
        <x:v>0</x:v>
      </x:c>
      <x:c r="H3127" s="6">
        <x:f t="shared" si="152"/>
        <x:v>0</x:v>
      </x:c>
      <x:c r="I3127" s="6">
        <x:v>386.97</x:v>
      </x:c>
      <x:c r="J3127" s="6">
        <x:v>0</x:v>
      </x:c>
      <x:c r="K3127" s="6">
        <x:f t="shared" si="153"/>
        <x:v>386.97</x:v>
      </x:c>
      <x:c r="L3127" s="6">
        <x:v>0</x:v>
      </x:c>
      <x:c r="M3127" s="6">
        <x:v>0</x:v>
      </x:c>
      <x:c r="N3127" s="6">
        <x:f t="shared" si="154"/>
        <x:v>386.97</x:v>
      </x:c>
    </x:row>
    <x:row r="3128" spans="1:14" x14ac:dyDescent="0.25">
      <x:c r="A3128" t="s">
        <x:v>2</x:v>
      </x:c>
      <x:c r="B3128" s="3" t="s">
        <x:v>77</x:v>
      </x:c>
      <x:c r="C3128" s="3" t="s">
        <x:v>394</x:v>
      </x:c>
      <x:c r="D3128" t="s">
        <x:v>676</x:v>
      </x:c>
      <x:c r="E3128" s="6">
        <x:v>0</x:v>
      </x:c>
      <x:c r="F3128" s="6">
        <x:v>0</x:v>
      </x:c>
      <x:c r="G3128" s="6">
        <x:v>0</x:v>
      </x:c>
      <x:c r="H3128" s="6">
        <x:f t="shared" si="152"/>
        <x:v>0</x:v>
      </x:c>
      <x:c r="I3128" s="6">
        <x:v>-1514.53</x:v>
      </x:c>
      <x:c r="J3128" s="6">
        <x:v>0</x:v>
      </x:c>
      <x:c r="K3128" s="6">
        <x:f t="shared" si="153"/>
        <x:v>-1514.53</x:v>
      </x:c>
      <x:c r="L3128" s="6">
        <x:v>0</x:v>
      </x:c>
      <x:c r="M3128" s="6">
        <x:v>0</x:v>
      </x:c>
      <x:c r="N3128" s="6">
        <x:f t="shared" si="154"/>
        <x:v>-1514.53</x:v>
      </x:c>
    </x:row>
    <x:row r="3129" spans="1:14" x14ac:dyDescent="0.25">
      <x:c r="A3129" t="s">
        <x:v>2</x:v>
      </x:c>
      <x:c r="B3129" s="3" t="s">
        <x:v>78</x:v>
      </x:c>
      <x:c r="C3129" s="3" t="s">
        <x:v>395</x:v>
      </x:c>
      <x:c r="D3129" t="s">
        <x:v>676</x:v>
      </x:c>
      <x:c r="E3129" s="6">
        <x:v>0</x:v>
      </x:c>
      <x:c r="F3129" s="6">
        <x:v>0</x:v>
      </x:c>
      <x:c r="G3129" s="6">
        <x:v>0</x:v>
      </x:c>
      <x:c r="H3129" s="6">
        <x:f t="shared" si="152"/>
        <x:v>0</x:v>
      </x:c>
      <x:c r="I3129" s="6">
        <x:v>19.38</x:v>
      </x:c>
      <x:c r="J3129" s="6">
        <x:v>0</x:v>
      </x:c>
      <x:c r="K3129" s="6">
        <x:f t="shared" si="153"/>
        <x:v>19.38</x:v>
      </x:c>
      <x:c r="L3129" s="6">
        <x:v>0</x:v>
      </x:c>
      <x:c r="M3129" s="6">
        <x:v>0</x:v>
      </x:c>
      <x:c r="N3129" s="6">
        <x:f t="shared" si="154"/>
        <x:v>19.38</x:v>
      </x:c>
    </x:row>
    <x:row r="3130" spans="1:14" x14ac:dyDescent="0.25">
      <x:c r="A3130" t="s">
        <x:v>2</x:v>
      </x:c>
      <x:c r="B3130" s="3" t="s">
        <x:v>56</x:v>
      </x:c>
      <x:c r="C3130" s="3" t="s">
        <x:v>373</x:v>
      </x:c>
      <x:c r="D3130" t="s">
        <x:v>676</x:v>
      </x:c>
      <x:c r="E3130" s="6">
        <x:v>0</x:v>
      </x:c>
      <x:c r="F3130" s="6">
        <x:v>0</x:v>
      </x:c>
      <x:c r="G3130" s="6">
        <x:v>0</x:v>
      </x:c>
      <x:c r="H3130" s="6">
        <x:f t="shared" si="152"/>
        <x:v>0</x:v>
      </x:c>
      <x:c r="I3130" s="6">
        <x:v>154.09</x:v>
      </x:c>
      <x:c r="J3130" s="6">
        <x:v>0</x:v>
      </x:c>
      <x:c r="K3130" s="6">
        <x:f t="shared" si="153"/>
        <x:v>154.09</x:v>
      </x:c>
      <x:c r="L3130" s="6">
        <x:v>0</x:v>
      </x:c>
      <x:c r="M3130" s="6">
        <x:v>0</x:v>
      </x:c>
      <x:c r="N3130" s="6">
        <x:f t="shared" si="154"/>
        <x:v>154.09</x:v>
      </x:c>
    </x:row>
    <x:row r="3131" spans="1:14" x14ac:dyDescent="0.25">
      <x:c r="A3131" t="s">
        <x:v>2</x:v>
      </x:c>
      <x:c r="B3131" s="3" t="s">
        <x:v>82</x:v>
      </x:c>
      <x:c r="C3131" s="3" t="s">
        <x:v>399</x:v>
      </x:c>
      <x:c r="D3131" t="s">
        <x:v>676</x:v>
      </x:c>
      <x:c r="E3131" s="6">
        <x:v>0</x:v>
      </x:c>
      <x:c r="F3131" s="6">
        <x:v>0</x:v>
      </x:c>
      <x:c r="G3131" s="6">
        <x:v>0</x:v>
      </x:c>
      <x:c r="H3131" s="6">
        <x:f t="shared" si="152"/>
        <x:v>0</x:v>
      </x:c>
      <x:c r="I3131" s="6">
        <x:v>2490.35</x:v>
      </x:c>
      <x:c r="J3131" s="6">
        <x:v>0</x:v>
      </x:c>
      <x:c r="K3131" s="6">
        <x:f t="shared" si="153"/>
        <x:v>2490.35</x:v>
      </x:c>
      <x:c r="L3131" s="6">
        <x:v>0</x:v>
      </x:c>
      <x:c r="M3131" s="6">
        <x:v>0</x:v>
      </x:c>
      <x:c r="N3131" s="6">
        <x:f t="shared" si="154"/>
        <x:v>2490.35</x:v>
      </x:c>
    </x:row>
    <x:row r="3132" spans="1:14" x14ac:dyDescent="0.25">
      <x:c r="A3132" t="s">
        <x:v>2</x:v>
      </x:c>
      <x:c r="B3132" s="3" t="s">
        <x:v>83</x:v>
      </x:c>
      <x:c r="C3132" s="3" t="s">
        <x:v>400</x:v>
      </x:c>
      <x:c r="D3132" t="s">
        <x:v>676</x:v>
      </x:c>
      <x:c r="E3132" s="6">
        <x:v>0</x:v>
      </x:c>
      <x:c r="F3132" s="6">
        <x:v>0</x:v>
      </x:c>
      <x:c r="G3132" s="6">
        <x:v>0</x:v>
      </x:c>
      <x:c r="H3132" s="6">
        <x:f t="shared" si="152"/>
        <x:v>0</x:v>
      </x:c>
      <x:c r="I3132" s="6">
        <x:v>-0.01</x:v>
      </x:c>
      <x:c r="J3132" s="6">
        <x:v>0</x:v>
      </x:c>
      <x:c r="K3132" s="6">
        <x:f t="shared" si="153"/>
        <x:v>-0.01</x:v>
      </x:c>
      <x:c r="L3132" s="6">
        <x:v>0</x:v>
      </x:c>
      <x:c r="M3132" s="6">
        <x:v>0</x:v>
      </x:c>
      <x:c r="N3132" s="6">
        <x:f t="shared" si="154"/>
        <x:v>-0.01</x:v>
      </x:c>
    </x:row>
    <x:row r="3133" spans="1:14" x14ac:dyDescent="0.25">
      <x:c r="A3133" t="s">
        <x:v>2</x:v>
      </x:c>
      <x:c r="B3133" s="3" t="s">
        <x:v>84</x:v>
      </x:c>
      <x:c r="C3133" s="3" t="s">
        <x:v>401</x:v>
      </x:c>
      <x:c r="D3133" t="s">
        <x:v>676</x:v>
      </x:c>
      <x:c r="E3133" s="6">
        <x:v>0</x:v>
      </x:c>
      <x:c r="F3133" s="6">
        <x:v>0</x:v>
      </x:c>
      <x:c r="G3133" s="6">
        <x:v>0</x:v>
      </x:c>
      <x:c r="H3133" s="6">
        <x:f t="shared" si="152"/>
        <x:v>0</x:v>
      </x:c>
      <x:c r="I3133" s="6">
        <x:v>52.44</x:v>
      </x:c>
      <x:c r="J3133" s="6">
        <x:v>0</x:v>
      </x:c>
      <x:c r="K3133" s="6">
        <x:f t="shared" si="153"/>
        <x:v>52.44</x:v>
      </x:c>
      <x:c r="L3133" s="6">
        <x:v>0</x:v>
      </x:c>
      <x:c r="M3133" s="6">
        <x:v>0</x:v>
      </x:c>
      <x:c r="N3133" s="6">
        <x:f t="shared" si="154"/>
        <x:v>52.44</x:v>
      </x:c>
    </x:row>
    <x:row r="3134" spans="1:14" x14ac:dyDescent="0.25">
      <x:c r="A3134" t="s">
        <x:v>2</x:v>
      </x:c>
      <x:c r="B3134" s="3" t="s">
        <x:v>87</x:v>
      </x:c>
      <x:c r="C3134" s="3" t="s">
        <x:v>404</x:v>
      </x:c>
      <x:c r="D3134" t="s">
        <x:v>676</x:v>
      </x:c>
      <x:c r="E3134" s="6">
        <x:v>0</x:v>
      </x:c>
      <x:c r="F3134" s="6">
        <x:v>0</x:v>
      </x:c>
      <x:c r="G3134" s="6">
        <x:v>0</x:v>
      </x:c>
      <x:c r="H3134" s="6">
        <x:f t="shared" si="152"/>
        <x:v>0</x:v>
      </x:c>
      <x:c r="I3134" s="6">
        <x:v>-31.96</x:v>
      </x:c>
      <x:c r="J3134" s="6">
        <x:v>0</x:v>
      </x:c>
      <x:c r="K3134" s="6">
        <x:f t="shared" si="153"/>
        <x:v>-31.96</x:v>
      </x:c>
      <x:c r="L3134" s="6">
        <x:v>0</x:v>
      </x:c>
      <x:c r="M3134" s="6">
        <x:v>0</x:v>
      </x:c>
      <x:c r="N3134" s="6">
        <x:f t="shared" si="154"/>
        <x:v>-31.96</x:v>
      </x:c>
    </x:row>
    <x:row r="3135" spans="1:14" x14ac:dyDescent="0.25">
      <x:c r="A3135" t="s">
        <x:v>2</x:v>
      </x:c>
      <x:c r="B3135" s="3" t="s">
        <x:v>90</x:v>
      </x:c>
      <x:c r="C3135" s="3" t="s">
        <x:v>407</x:v>
      </x:c>
      <x:c r="D3135" t="s">
        <x:v>676</x:v>
      </x:c>
      <x:c r="E3135" s="6">
        <x:v>0</x:v>
      </x:c>
      <x:c r="F3135" s="6">
        <x:v>0</x:v>
      </x:c>
      <x:c r="G3135" s="6">
        <x:v>0</x:v>
      </x:c>
      <x:c r="H3135" s="6">
        <x:f t="shared" si="152"/>
        <x:v>0</x:v>
      </x:c>
      <x:c r="I3135" s="6">
        <x:v>0.87</x:v>
      </x:c>
      <x:c r="J3135" s="6">
        <x:v>0</x:v>
      </x:c>
      <x:c r="K3135" s="6">
        <x:f t="shared" si="153"/>
        <x:v>0.87</x:v>
      </x:c>
      <x:c r="L3135" s="6">
        <x:v>0</x:v>
      </x:c>
      <x:c r="M3135" s="6">
        <x:v>0</x:v>
      </x:c>
      <x:c r="N3135" s="6">
        <x:f t="shared" si="154"/>
        <x:v>0.87</x:v>
      </x:c>
    </x:row>
    <x:row r="3136" spans="1:14" x14ac:dyDescent="0.25">
      <x:c r="A3136" t="s">
        <x:v>2</x:v>
      </x:c>
      <x:c r="B3136" s="3" t="s">
        <x:v>94</x:v>
      </x:c>
      <x:c r="C3136" s="3" t="s">
        <x:v>411</x:v>
      </x:c>
      <x:c r="D3136" t="s">
        <x:v>676</x:v>
      </x:c>
      <x:c r="E3136" s="6">
        <x:v>0</x:v>
      </x:c>
      <x:c r="F3136" s="6">
        <x:v>0</x:v>
      </x:c>
      <x:c r="G3136" s="6">
        <x:v>0</x:v>
      </x:c>
      <x:c r="H3136" s="6">
        <x:f t="shared" si="152"/>
        <x:v>0</x:v>
      </x:c>
      <x:c r="I3136" s="6">
        <x:v>47.94</x:v>
      </x:c>
      <x:c r="J3136" s="6">
        <x:v>0</x:v>
      </x:c>
      <x:c r="K3136" s="6">
        <x:f t="shared" si="153"/>
        <x:v>47.94</x:v>
      </x:c>
      <x:c r="L3136" s="6">
        <x:v>0</x:v>
      </x:c>
      <x:c r="M3136" s="6">
        <x:v>0</x:v>
      </x:c>
      <x:c r="N3136" s="6">
        <x:f t="shared" si="154"/>
        <x:v>47.94</x:v>
      </x:c>
    </x:row>
    <x:row r="3137" spans="1:14" x14ac:dyDescent="0.25">
      <x:c r="A3137" t="s">
        <x:v>2</x:v>
      </x:c>
      <x:c r="B3137" s="3" t="s">
        <x:v>99</x:v>
      </x:c>
      <x:c r="C3137" s="3" t="s">
        <x:v>416</x:v>
      </x:c>
      <x:c r="D3137" t="s">
        <x:v>676</x:v>
      </x:c>
      <x:c r="E3137" s="6">
        <x:v>0</x:v>
      </x:c>
      <x:c r="F3137" s="6">
        <x:v>0</x:v>
      </x:c>
      <x:c r="G3137" s="6">
        <x:v>0</x:v>
      </x:c>
      <x:c r="H3137" s="6">
        <x:f t="shared" si="152"/>
        <x:v>0</x:v>
      </x:c>
      <x:c r="I3137" s="6">
        <x:v>-369.53</x:v>
      </x:c>
      <x:c r="J3137" s="6">
        <x:v>0</x:v>
      </x:c>
      <x:c r="K3137" s="6">
        <x:f t="shared" si="153"/>
        <x:v>-369.53</x:v>
      </x:c>
      <x:c r="L3137" s="6">
        <x:v>0</x:v>
      </x:c>
      <x:c r="M3137" s="6">
        <x:v>0</x:v>
      </x:c>
      <x:c r="N3137" s="6">
        <x:f t="shared" si="154"/>
        <x:v>-369.53</x:v>
      </x:c>
    </x:row>
    <x:row r="3138" spans="1:14" x14ac:dyDescent="0.25">
      <x:c r="A3138" t="s">
        <x:v>2</x:v>
      </x:c>
      <x:c r="B3138" s="3" t="s">
        <x:v>102</x:v>
      </x:c>
      <x:c r="C3138" s="3" t="s">
        <x:v>419</x:v>
      </x:c>
      <x:c r="D3138" t="s">
        <x:v>676</x:v>
      </x:c>
      <x:c r="E3138" s="6">
        <x:v>0</x:v>
      </x:c>
      <x:c r="F3138" s="6">
        <x:v>0</x:v>
      </x:c>
      <x:c r="G3138" s="6">
        <x:v>0</x:v>
      </x:c>
      <x:c r="H3138" s="6">
        <x:f t="shared" si="152"/>
        <x:v>0</x:v>
      </x:c>
      <x:c r="I3138" s="6">
        <x:v>3590.8199999999997</x:v>
      </x:c>
      <x:c r="J3138" s="6">
        <x:v>0</x:v>
      </x:c>
      <x:c r="K3138" s="6">
        <x:f t="shared" si="153"/>
        <x:v>3590.8199999999997</x:v>
      </x:c>
      <x:c r="L3138" s="6">
        <x:v>0</x:v>
      </x:c>
      <x:c r="M3138" s="6">
        <x:v>0</x:v>
      </x:c>
      <x:c r="N3138" s="6">
        <x:f t="shared" si="154"/>
        <x:v>3590.8199999999997</x:v>
      </x:c>
    </x:row>
    <x:row r="3139" spans="1:14" x14ac:dyDescent="0.25">
      <x:c r="A3139" t="s">
        <x:v>2</x:v>
      </x:c>
      <x:c r="B3139" s="3" t="s">
        <x:v>103</x:v>
      </x:c>
      <x:c r="C3139" s="3" t="s">
        <x:v>420</x:v>
      </x:c>
      <x:c r="D3139" t="s">
        <x:v>676</x:v>
      </x:c>
      <x:c r="E3139" s="6">
        <x:v>0</x:v>
      </x:c>
      <x:c r="F3139" s="6">
        <x:v>0</x:v>
      </x:c>
      <x:c r="G3139" s="6">
        <x:v>0</x:v>
      </x:c>
      <x:c r="H3139" s="6">
        <x:f t="shared" si="152"/>
        <x:v>0</x:v>
      </x:c>
      <x:c r="I3139" s="6">
        <x:v>1056.33</x:v>
      </x:c>
      <x:c r="J3139" s="6">
        <x:v>0</x:v>
      </x:c>
      <x:c r="K3139" s="6">
        <x:f t="shared" si="153"/>
        <x:v>1056.33</x:v>
      </x:c>
      <x:c r="L3139" s="6">
        <x:v>0</x:v>
      </x:c>
      <x:c r="M3139" s="6">
        <x:v>0</x:v>
      </x:c>
      <x:c r="N3139" s="6">
        <x:f t="shared" si="154"/>
        <x:v>1056.33</x:v>
      </x:c>
    </x:row>
    <x:row r="3140" spans="1:14" x14ac:dyDescent="0.25">
      <x:c r="A3140" t="s">
        <x:v>2</x:v>
      </x:c>
      <x:c r="B3140" s="3" t="s">
        <x:v>107</x:v>
      </x:c>
      <x:c r="C3140" s="3" t="s">
        <x:v>424</x:v>
      </x:c>
      <x:c r="D3140" t="s">
        <x:v>676</x:v>
      </x:c>
      <x:c r="E3140" s="6">
        <x:v>0</x:v>
      </x:c>
      <x:c r="F3140" s="6">
        <x:v>0</x:v>
      </x:c>
      <x:c r="G3140" s="6">
        <x:v>0</x:v>
      </x:c>
      <x:c r="H3140" s="6">
        <x:f t="shared" si="152"/>
        <x:v>0</x:v>
      </x:c>
      <x:c r="I3140" s="6">
        <x:v>436.4</x:v>
      </x:c>
      <x:c r="J3140" s="6">
        <x:v>0</x:v>
      </x:c>
      <x:c r="K3140" s="6">
        <x:f t="shared" si="153"/>
        <x:v>436.4</x:v>
      </x:c>
      <x:c r="L3140" s="6">
        <x:v>0</x:v>
      </x:c>
      <x:c r="M3140" s="6">
        <x:v>0</x:v>
      </x:c>
      <x:c r="N3140" s="6">
        <x:f t="shared" si="154"/>
        <x:v>436.4</x:v>
      </x:c>
    </x:row>
    <x:row r="3141" spans="1:14" x14ac:dyDescent="0.25">
      <x:c r="A3141" t="s">
        <x:v>2</x:v>
      </x:c>
      <x:c r="B3141" s="3" t="s">
        <x:v>110</x:v>
      </x:c>
      <x:c r="C3141" s="3" t="s">
        <x:v>427</x:v>
      </x:c>
      <x:c r="D3141" t="s">
        <x:v>676</x:v>
      </x:c>
      <x:c r="E3141" s="6">
        <x:v>0</x:v>
      </x:c>
      <x:c r="F3141" s="6">
        <x:v>0</x:v>
      </x:c>
      <x:c r="G3141" s="6">
        <x:v>0</x:v>
      </x:c>
      <x:c r="H3141" s="6">
        <x:f t="shared" si="152"/>
        <x:v>0</x:v>
      </x:c>
      <x:c r="I3141" s="6">
        <x:v>40</x:v>
      </x:c>
      <x:c r="J3141" s="6">
        <x:v>0</x:v>
      </x:c>
      <x:c r="K3141" s="6">
        <x:f t="shared" si="153"/>
        <x:v>40</x:v>
      </x:c>
      <x:c r="L3141" s="6">
        <x:v>0</x:v>
      </x:c>
      <x:c r="M3141" s="6">
        <x:v>0</x:v>
      </x:c>
      <x:c r="N3141" s="6">
        <x:f t="shared" si="154"/>
        <x:v>40</x:v>
      </x:c>
    </x:row>
    <x:row r="3142" spans="1:14" x14ac:dyDescent="0.25">
      <x:c r="A3142" t="s">
        <x:v>2</x:v>
      </x:c>
      <x:c r="B3142" s="3" t="s">
        <x:v>112</x:v>
      </x:c>
      <x:c r="C3142" s="3" t="s">
        <x:v>429</x:v>
      </x:c>
      <x:c r="D3142" t="s">
        <x:v>676</x:v>
      </x:c>
      <x:c r="E3142" s="6">
        <x:v>0</x:v>
      </x:c>
      <x:c r="F3142" s="6">
        <x:v>0</x:v>
      </x:c>
      <x:c r="G3142" s="6">
        <x:v>0</x:v>
      </x:c>
      <x:c r="H3142" s="6">
        <x:f t="shared" si="152"/>
        <x:v>0</x:v>
      </x:c>
      <x:c r="I3142" s="6">
        <x:v>0</x:v>
      </x:c>
      <x:c r="J3142" s="6">
        <x:v>0</x:v>
      </x:c>
      <x:c r="K3142" s="6">
        <x:f t="shared" si="153"/>
        <x:v>0</x:v>
      </x:c>
      <x:c r="L3142" s="6">
        <x:v>41.62</x:v>
      </x:c>
      <x:c r="M3142" s="6">
        <x:v>0</x:v>
      </x:c>
      <x:c r="N3142" s="6">
        <x:f t="shared" si="154"/>
        <x:v>41.62</x:v>
      </x:c>
    </x:row>
    <x:row r="3143" spans="1:14" x14ac:dyDescent="0.25">
      <x:c r="A3143" t="s">
        <x:v>2</x:v>
      </x:c>
      <x:c r="B3143" s="3" t="s">
        <x:v>251</x:v>
      </x:c>
      <x:c r="C3143" s="3" t="s">
        <x:v>566</x:v>
      </x:c>
      <x:c r="D3143" t="s">
        <x:v>676</x:v>
      </x:c>
      <x:c r="E3143" s="6">
        <x:v>0</x:v>
      </x:c>
      <x:c r="F3143" s="6">
        <x:v>0</x:v>
      </x:c>
      <x:c r="G3143" s="6">
        <x:v>0</x:v>
      </x:c>
      <x:c r="H3143" s="6">
        <x:f t="shared" si="152"/>
        <x:v>0</x:v>
      </x:c>
      <x:c r="I3143" s="6">
        <x:v>0</x:v>
      </x:c>
      <x:c r="J3143" s="6">
        <x:v>0</x:v>
      </x:c>
      <x:c r="K3143" s="6">
        <x:f t="shared" si="153"/>
        <x:v>0</x:v>
      </x:c>
      <x:c r="L3143" s="6">
        <x:v>13</x:v>
      </x:c>
      <x:c r="M3143" s="6">
        <x:v>0</x:v>
      </x:c>
      <x:c r="N3143" s="6">
        <x:f t="shared" si="154"/>
        <x:v>13</x:v>
      </x:c>
    </x:row>
    <x:row r="3144" spans="1:14" x14ac:dyDescent="0.25">
      <x:c r="A3144" t="s">
        <x:v>2</x:v>
      </x:c>
      <x:c r="B3144" s="3" t="s">
        <x:v>252</x:v>
      </x:c>
      <x:c r="C3144" s="3" t="s">
        <x:v>567</x:v>
      </x:c>
      <x:c r="D3144" t="s">
        <x:v>676</x:v>
      </x:c>
      <x:c r="E3144" s="6">
        <x:v>0</x:v>
      </x:c>
      <x:c r="F3144" s="6">
        <x:v>0</x:v>
      </x:c>
      <x:c r="G3144" s="6">
        <x:v>0</x:v>
      </x:c>
      <x:c r="H3144" s="6">
        <x:f t="shared" si="152"/>
        <x:v>0</x:v>
      </x:c>
      <x:c r="I3144" s="6">
        <x:v>0</x:v>
      </x:c>
      <x:c r="J3144" s="6">
        <x:v>0</x:v>
      </x:c>
      <x:c r="K3144" s="6">
        <x:f t="shared" si="153"/>
        <x:v>0</x:v>
      </x:c>
      <x:c r="L3144" s="6">
        <x:v>458.36</x:v>
      </x:c>
      <x:c r="M3144" s="6">
        <x:v>0</x:v>
      </x:c>
      <x:c r="N3144" s="6">
        <x:f t="shared" si="154"/>
        <x:v>458.36</x:v>
      </x:c>
    </x:row>
    <x:row r="3145" spans="1:14" x14ac:dyDescent="0.25">
      <x:c r="A3145" t="s">
        <x:v>2</x:v>
      </x:c>
      <x:c r="B3145" s="3" t="s">
        <x:v>258</x:v>
      </x:c>
      <x:c r="C3145" s="3" t="s">
        <x:v>573</x:v>
      </x:c>
      <x:c r="D3145" t="s">
        <x:v>676</x:v>
      </x:c>
      <x:c r="E3145" s="6">
        <x:v>0</x:v>
      </x:c>
      <x:c r="F3145" s="6">
        <x:v>0</x:v>
      </x:c>
      <x:c r="G3145" s="6">
        <x:v>0</x:v>
      </x:c>
      <x:c r="H3145" s="6">
        <x:f t="shared" si="152"/>
        <x:v>0</x:v>
      </x:c>
      <x:c r="I3145" s="6">
        <x:v>0</x:v>
      </x:c>
      <x:c r="J3145" s="6">
        <x:v>0</x:v>
      </x:c>
      <x:c r="K3145" s="6">
        <x:f t="shared" si="153"/>
        <x:v>0</x:v>
      </x:c>
      <x:c r="L3145" s="6">
        <x:v>222.99</x:v>
      </x:c>
      <x:c r="M3145" s="6">
        <x:v>0</x:v>
      </x:c>
      <x:c r="N3145" s="6">
        <x:f t="shared" si="154"/>
        <x:v>222.99</x:v>
      </x:c>
    </x:row>
    <x:row r="3146" spans="1:14" x14ac:dyDescent="0.25">
      <x:c r="A3146" t="s">
        <x:v>2</x:v>
      </x:c>
      <x:c r="B3146" s="3" t="s">
        <x:v>121</x:v>
      </x:c>
      <x:c r="C3146" s="3" t="s">
        <x:v>438</x:v>
      </x:c>
      <x:c r="D3146" t="s">
        <x:v>676</x:v>
      </x:c>
      <x:c r="E3146" s="6">
        <x:v>0</x:v>
      </x:c>
      <x:c r="F3146" s="6">
        <x:v>0</x:v>
      </x:c>
      <x:c r="G3146" s="6">
        <x:v>0</x:v>
      </x:c>
      <x:c r="H3146" s="6">
        <x:f t="shared" si="152"/>
        <x:v>0</x:v>
      </x:c>
      <x:c r="I3146" s="6">
        <x:v>-0.01</x:v>
      </x:c>
      <x:c r="J3146" s="6">
        <x:v>0</x:v>
      </x:c>
      <x:c r="K3146" s="6">
        <x:f t="shared" si="153"/>
        <x:v>-0.01</x:v>
      </x:c>
      <x:c r="L3146" s="6">
        <x:v>0</x:v>
      </x:c>
      <x:c r="M3146" s="6">
        <x:v>0</x:v>
      </x:c>
      <x:c r="N3146" s="6">
        <x:f t="shared" si="154"/>
        <x:v>-0.01</x:v>
      </x:c>
    </x:row>
    <x:row r="3147" spans="1:14" x14ac:dyDescent="0.25">
      <x:c r="A3147" t="s">
        <x:v>2</x:v>
      </x:c>
      <x:c r="B3147" t="s">
        <x:v>690</x:v>
      </x:c>
      <x:c r="C3147" t="s">
        <x:v>691</x:v>
      </x:c>
      <x:c r="D3147" t="s">
        <x:v>676</x:v>
      </x:c>
      <x:c r="E3147" s="6">
        <x:v>0.01</x:v>
      </x:c>
      <x:c r="F3147" s="6">
        <x:v>0</x:v>
      </x:c>
      <x:c r="G3147" s="6">
        <x:v>0</x:v>
      </x:c>
      <x:c r="H3147" s="6">
        <x:f t="shared" si="152"/>
        <x:v>0.01</x:v>
      </x:c>
      <x:c r="I3147" s="6">
        <x:v>0</x:v>
      </x:c>
      <x:c r="J3147" s="6">
        <x:v>0</x:v>
      </x:c>
      <x:c r="K3147" s="6">
        <x:f t="shared" si="153"/>
        <x:v>0</x:v>
      </x:c>
      <x:c r="L3147" s="6">
        <x:v>0</x:v>
      </x:c>
      <x:c r="M3147" s="6">
        <x:v>0</x:v>
      </x:c>
      <x:c r="N3147" s="6">
        <x:f t="shared" si="154"/>
        <x:v>0.01</x:v>
      </x:c>
    </x:row>
    <x:row r="3148" spans="1:14" x14ac:dyDescent="0.25">
      <x:c r="A3148" t="s">
        <x:v>2</x:v>
      </x:c>
      <x:c r="B3148" t="s">
        <x:v>692</x:v>
      </x:c>
      <x:c r="C3148" t="s">
        <x:v>693</x:v>
      </x:c>
      <x:c r="D3148" t="s">
        <x:v>832</x:v>
      </x:c>
      <x:c r="E3148" s="6">
        <x:v>-1593.58</x:v>
      </x:c>
      <x:c r="F3148" s="6">
        <x:v>0</x:v>
      </x:c>
      <x:c r="G3148" s="6">
        <x:v>0</x:v>
      </x:c>
      <x:c r="H3148" s="6">
        <x:f t="shared" si="152"/>
        <x:v>-1593.58</x:v>
      </x:c>
      <x:c r="I3148" s="6">
        <x:v>0</x:v>
      </x:c>
      <x:c r="J3148" s="6">
        <x:v>0</x:v>
      </x:c>
      <x:c r="K3148" s="6">
        <x:f t="shared" si="153"/>
        <x:v>0</x:v>
      </x:c>
      <x:c r="L3148" s="6">
        <x:v>0</x:v>
      </x:c>
      <x:c r="M3148" s="6">
        <x:v>0</x:v>
      </x:c>
      <x:c r="N3148" s="6">
        <x:f t="shared" si="154"/>
        <x:v>-1593.58</x:v>
      </x:c>
    </x:row>
    <x:row r="3149" spans="1:14" x14ac:dyDescent="0.25">
      <x:c r="A3149" t="s">
        <x:v>2</x:v>
      </x:c>
      <x:c r="B3149" t="s">
        <x:v>692</x:v>
      </x:c>
      <x:c r="C3149" t="s">
        <x:v>693</x:v>
      </x:c>
      <x:c r="D3149" t="s">
        <x:v>676</x:v>
      </x:c>
      <x:c r="E3149" s="6">
        <x:v>19.27</x:v>
      </x:c>
      <x:c r="F3149" s="6">
        <x:v>0</x:v>
      </x:c>
      <x:c r="G3149" s="6">
        <x:v>0</x:v>
      </x:c>
      <x:c r="H3149" s="6">
        <x:f t="shared" si="152"/>
        <x:v>19.27</x:v>
      </x:c>
      <x:c r="I3149" s="6">
        <x:v>13.19</x:v>
      </x:c>
      <x:c r="J3149" s="6">
        <x:v>0</x:v>
      </x:c>
      <x:c r="K3149" s="6">
        <x:f t="shared" si="153"/>
        <x:v>13.19</x:v>
      </x:c>
      <x:c r="L3149" s="6">
        <x:v>0</x:v>
      </x:c>
      <x:c r="M3149" s="6">
        <x:v>0</x:v>
      </x:c>
      <x:c r="N3149" s="6">
        <x:f t="shared" si="154"/>
        <x:v>32.46</x:v>
      </x:c>
    </x:row>
    <x:row r="3150" spans="1:14" x14ac:dyDescent="0.25">
      <x:c r="A3150" t="s">
        <x:v>2</x:v>
      </x:c>
      <x:c r="B3150" t="s">
        <x:v>696</x:v>
      </x:c>
      <x:c r="C3150" t="s">
        <x:v>697</x:v>
      </x:c>
      <x:c r="D3150" t="s">
        <x:v>832</x:v>
      </x:c>
      <x:c r="E3150" s="6">
        <x:v>842.31999999999994</x:v>
      </x:c>
      <x:c r="F3150" s="6">
        <x:v>0</x:v>
      </x:c>
      <x:c r="G3150" s="6">
        <x:v>0</x:v>
      </x:c>
      <x:c r="H3150" s="6">
        <x:f t="shared" si="152"/>
        <x:v>842.31999999999994</x:v>
      </x:c>
      <x:c r="I3150" s="6">
        <x:v>0</x:v>
      </x:c>
      <x:c r="J3150" s="6">
        <x:v>0</x:v>
      </x:c>
      <x:c r="K3150" s="6">
        <x:f t="shared" si="153"/>
        <x:v>0</x:v>
      </x:c>
      <x:c r="L3150" s="6">
        <x:v>0</x:v>
      </x:c>
      <x:c r="M3150" s="6">
        <x:v>0</x:v>
      </x:c>
      <x:c r="N3150" s="6">
        <x:f t="shared" si="154"/>
        <x:v>842.31999999999994</x:v>
      </x:c>
    </x:row>
    <x:row r="3151" spans="1:14" x14ac:dyDescent="0.25">
      <x:c r="A3151" t="s">
        <x:v>2</x:v>
      </x:c>
      <x:c r="B3151" t="s">
        <x:v>696</x:v>
      </x:c>
      <x:c r="C3151" t="s">
        <x:v>697</x:v>
      </x:c>
      <x:c r="D3151" t="s">
        <x:v>676</x:v>
      </x:c>
      <x:c r="E3151" s="6">
        <x:v>1100.82</x:v>
      </x:c>
      <x:c r="F3151" s="6">
        <x:v>0</x:v>
      </x:c>
      <x:c r="G3151" s="6">
        <x:v>0</x:v>
      </x:c>
      <x:c r="H3151" s="6">
        <x:f t="shared" si="152"/>
        <x:v>1100.82</x:v>
      </x:c>
      <x:c r="I3151" s="6">
        <x:v>369.98999999999995</x:v>
      </x:c>
      <x:c r="J3151" s="6">
        <x:v>0</x:v>
      </x:c>
      <x:c r="K3151" s="6">
        <x:f t="shared" si="153"/>
        <x:v>369.98999999999995</x:v>
      </x:c>
      <x:c r="L3151" s="6">
        <x:v>0</x:v>
      </x:c>
      <x:c r="M3151" s="6">
        <x:v>0</x:v>
      </x:c>
      <x:c r="N3151" s="6">
        <x:f t="shared" si="154"/>
        <x:v>1470.81</x:v>
      </x:c>
    </x:row>
    <x:row r="3152" spans="1:14" x14ac:dyDescent="0.25">
      <x:c r="A3152" t="s">
        <x:v>2</x:v>
      </x:c>
      <x:c r="B3152" t="s">
        <x:v>782</x:v>
      </x:c>
      <x:c r="C3152" t="s">
        <x:v>783</x:v>
      </x:c>
      <x:c r="D3152" t="s">
        <x:v>832</x:v>
      </x:c>
      <x:c r="E3152" s="6">
        <x:v>190.24</x:v>
      </x:c>
      <x:c r="F3152" s="6">
        <x:v>0</x:v>
      </x:c>
      <x:c r="G3152" s="6">
        <x:v>0</x:v>
      </x:c>
      <x:c r="H3152" s="6">
        <x:f t="shared" si="152"/>
        <x:v>190.24</x:v>
      </x:c>
      <x:c r="I3152" s="6">
        <x:v>0</x:v>
      </x:c>
      <x:c r="J3152" s="6">
        <x:v>0</x:v>
      </x:c>
      <x:c r="K3152" s="6">
        <x:f t="shared" si="153"/>
        <x:v>0</x:v>
      </x:c>
      <x:c r="L3152" s="6">
        <x:v>0</x:v>
      </x:c>
      <x:c r="M3152" s="6">
        <x:v>0</x:v>
      </x:c>
      <x:c r="N3152" s="6">
        <x:f t="shared" si="154"/>
        <x:v>190.24</x:v>
      </x:c>
    </x:row>
    <x:row r="3153" spans="1:14" x14ac:dyDescent="0.25">
      <x:c r="A3153" t="s">
        <x:v>2</x:v>
      </x:c>
      <x:c r="B3153" t="s">
        <x:v>782</x:v>
      </x:c>
      <x:c r="C3153" t="s">
        <x:v>783</x:v>
      </x:c>
      <x:c r="D3153" t="s">
        <x:v>676</x:v>
      </x:c>
      <x:c r="E3153" s="6">
        <x:v>251.02</x:v>
      </x:c>
      <x:c r="F3153" s="6">
        <x:v>0</x:v>
      </x:c>
      <x:c r="G3153" s="6">
        <x:v>0</x:v>
      </x:c>
      <x:c r="H3153" s="6">
        <x:f t="shared" si="152"/>
        <x:v>251.02</x:v>
      </x:c>
      <x:c r="I3153" s="6">
        <x:v>56.1</x:v>
      </x:c>
      <x:c r="J3153" s="6">
        <x:v>0</x:v>
      </x:c>
      <x:c r="K3153" s="6">
        <x:f t="shared" si="153"/>
        <x:v>56.1</x:v>
      </x:c>
      <x:c r="L3153" s="6">
        <x:v>0</x:v>
      </x:c>
      <x:c r="M3153" s="6">
        <x:v>0</x:v>
      </x:c>
      <x:c r="N3153" s="6">
        <x:f t="shared" si="154"/>
        <x:v>307.12</x:v>
      </x:c>
    </x:row>
    <x:row r="3154" spans="1:14" x14ac:dyDescent="0.25">
      <x:c r="A3154" t="s">
        <x:v>2</x:v>
      </x:c>
      <x:c r="B3154" t="s">
        <x:v>784</x:v>
      </x:c>
      <x:c r="C3154" t="s">
        <x:v>785</x:v>
      </x:c>
      <x:c r="D3154" t="s">
        <x:v>832</x:v>
      </x:c>
      <x:c r="E3154" s="6">
        <x:v>-706.18000000000006</x:v>
      </x:c>
      <x:c r="F3154" s="6">
        <x:v>0</x:v>
      </x:c>
      <x:c r="G3154" s="6">
        <x:v>0</x:v>
      </x:c>
      <x:c r="H3154" s="6">
        <x:f t="shared" si="152"/>
        <x:v>-706.18000000000006</x:v>
      </x:c>
      <x:c r="I3154" s="6">
        <x:v>0</x:v>
      </x:c>
      <x:c r="J3154" s="6">
        <x:v>0</x:v>
      </x:c>
      <x:c r="K3154" s="6">
        <x:f t="shared" si="153"/>
        <x:v>0</x:v>
      </x:c>
      <x:c r="L3154" s="6">
        <x:v>0</x:v>
      </x:c>
      <x:c r="M3154" s="6">
        <x:v>0</x:v>
      </x:c>
      <x:c r="N3154" s="6">
        <x:f t="shared" si="154"/>
        <x:v>-706.18000000000006</x:v>
      </x:c>
    </x:row>
    <x:row r="3155" spans="1:14" x14ac:dyDescent="0.25">
      <x:c r="A3155" t="s">
        <x:v>2</x:v>
      </x:c>
      <x:c r="B3155" t="s">
        <x:v>786</x:v>
      </x:c>
      <x:c r="C3155" t="s">
        <x:v>787</x:v>
      </x:c>
      <x:c r="D3155" t="s">
        <x:v>832</x:v>
      </x:c>
      <x:c r="E3155" s="6">
        <x:v>-43.16</x:v>
      </x:c>
      <x:c r="F3155" s="6">
        <x:v>0</x:v>
      </x:c>
      <x:c r="G3155" s="6">
        <x:v>0</x:v>
      </x:c>
      <x:c r="H3155" s="6">
        <x:f t="shared" si="152"/>
        <x:v>-43.16</x:v>
      </x:c>
      <x:c r="I3155" s="6">
        <x:v>0</x:v>
      </x:c>
      <x:c r="J3155" s="6">
        <x:v>0</x:v>
      </x:c>
      <x:c r="K3155" s="6">
        <x:f t="shared" si="153"/>
        <x:v>0</x:v>
      </x:c>
      <x:c r="L3155" s="6">
        <x:v>0</x:v>
      </x:c>
      <x:c r="M3155" s="6">
        <x:v>0</x:v>
      </x:c>
      <x:c r="N3155" s="6">
        <x:f t="shared" si="154"/>
        <x:v>-43.16</x:v>
      </x:c>
    </x:row>
    <x:row r="3156" spans="1:14" x14ac:dyDescent="0.25">
      <x:c r="A3156" t="s">
        <x:v>2</x:v>
      </x:c>
      <x:c r="B3156" t="s">
        <x:v>786</x:v>
      </x:c>
      <x:c r="C3156" t="s">
        <x:v>787</x:v>
      </x:c>
      <x:c r="D3156" t="s">
        <x:v>676</x:v>
      </x:c>
      <x:c r="E3156" s="6">
        <x:v>-223.06</x:v>
      </x:c>
      <x:c r="F3156" s="6">
        <x:v>0</x:v>
      </x:c>
      <x:c r="G3156" s="6">
        <x:v>0</x:v>
      </x:c>
      <x:c r="H3156" s="6">
        <x:f t="shared" si="152"/>
        <x:v>-223.06</x:v>
      </x:c>
      <x:c r="I3156" s="6">
        <x:v>-61.42</x:v>
      </x:c>
      <x:c r="J3156" s="6">
        <x:v>0</x:v>
      </x:c>
      <x:c r="K3156" s="6">
        <x:f t="shared" si="153"/>
        <x:v>-61.42</x:v>
      </x:c>
      <x:c r="L3156" s="6">
        <x:v>0</x:v>
      </x:c>
      <x:c r="M3156" s="6">
        <x:v>0</x:v>
      </x:c>
      <x:c r="N3156" s="6">
        <x:f t="shared" si="154"/>
        <x:v>-284.48</x:v>
      </x:c>
    </x:row>
    <x:row r="3157" spans="1:14" x14ac:dyDescent="0.25">
      <x:c r="A3157" t="s">
        <x:v>2</x:v>
      </x:c>
      <x:c r="B3157" t="s">
        <x:v>700</x:v>
      </x:c>
      <x:c r="C3157" t="s">
        <x:v>701</x:v>
      </x:c>
      <x:c r="D3157" t="s">
        <x:v>832</x:v>
      </x:c>
      <x:c r="E3157" s="6">
        <x:v>2409.91</x:v>
      </x:c>
      <x:c r="F3157" s="6">
        <x:v>0</x:v>
      </x:c>
      <x:c r="G3157" s="6">
        <x:v>0</x:v>
      </x:c>
      <x:c r="H3157" s="6">
        <x:f t="shared" si="152"/>
        <x:v>2409.91</x:v>
      </x:c>
      <x:c r="I3157" s="6">
        <x:v>0</x:v>
      </x:c>
      <x:c r="J3157" s="6">
        <x:v>0</x:v>
      </x:c>
      <x:c r="K3157" s="6">
        <x:f t="shared" si="153"/>
        <x:v>0</x:v>
      </x:c>
      <x:c r="L3157" s="6">
        <x:v>0</x:v>
      </x:c>
      <x:c r="M3157" s="6">
        <x:v>0</x:v>
      </x:c>
      <x:c r="N3157" s="6">
        <x:f t="shared" si="154"/>
        <x:v>2409.91</x:v>
      </x:c>
    </x:row>
    <x:row r="3158" spans="1:14" x14ac:dyDescent="0.25">
      <x:c r="A3158" t="s">
        <x:v>2</x:v>
      </x:c>
      <x:c r="B3158" t="s">
        <x:v>704</x:v>
      </x:c>
      <x:c r="C3158" t="s">
        <x:v>705</x:v>
      </x:c>
      <x:c r="D3158" t="s">
        <x:v>832</x:v>
      </x:c>
      <x:c r="E3158" s="6">
        <x:v>11992.25</x:v>
      </x:c>
      <x:c r="F3158" s="6">
        <x:v>0</x:v>
      </x:c>
      <x:c r="G3158" s="6">
        <x:v>0</x:v>
      </x:c>
      <x:c r="H3158" s="6">
        <x:f t="shared" si="152"/>
        <x:v>11992.25</x:v>
      </x:c>
      <x:c r="I3158" s="6">
        <x:v>0</x:v>
      </x:c>
      <x:c r="J3158" s="6">
        <x:v>0</x:v>
      </x:c>
      <x:c r="K3158" s="6">
        <x:f t="shared" si="153"/>
        <x:v>0</x:v>
      </x:c>
      <x:c r="L3158" s="6">
        <x:v>0</x:v>
      </x:c>
      <x:c r="M3158" s="6">
        <x:v>0</x:v>
      </x:c>
      <x:c r="N3158" s="6">
        <x:f t="shared" si="154"/>
        <x:v>11992.25</x:v>
      </x:c>
    </x:row>
    <x:row r="3159" spans="1:14" x14ac:dyDescent="0.25">
      <x:c r="A3159" t="s">
        <x:v>2</x:v>
      </x:c>
      <x:c r="B3159" t="s">
        <x:v>706</x:v>
      </x:c>
      <x:c r="C3159" t="s">
        <x:v>707</x:v>
      </x:c>
      <x:c r="D3159" t="s">
        <x:v>832</x:v>
      </x:c>
      <x:c r="E3159" s="6">
        <x:v>540.16999999999996</x:v>
      </x:c>
      <x:c r="F3159" s="6">
        <x:v>0</x:v>
      </x:c>
      <x:c r="G3159" s="6">
        <x:v>0</x:v>
      </x:c>
      <x:c r="H3159" s="6">
        <x:f t="shared" si="152"/>
        <x:v>540.16999999999996</x:v>
      </x:c>
      <x:c r="I3159" s="6">
        <x:v>0</x:v>
      </x:c>
      <x:c r="J3159" s="6">
        <x:v>0</x:v>
      </x:c>
      <x:c r="K3159" s="6">
        <x:f t="shared" si="153"/>
        <x:v>0</x:v>
      </x:c>
      <x:c r="L3159" s="6">
        <x:v>0</x:v>
      </x:c>
      <x:c r="M3159" s="6">
        <x:v>0</x:v>
      </x:c>
      <x:c r="N3159" s="6">
        <x:f t="shared" si="154"/>
        <x:v>540.16999999999996</x:v>
      </x:c>
    </x:row>
    <x:row r="3160" spans="1:14" x14ac:dyDescent="0.25">
      <x:c r="A3160" t="s">
        <x:v>2</x:v>
      </x:c>
      <x:c r="B3160" t="s">
        <x:v>708</x:v>
      </x:c>
      <x:c r="C3160" t="s">
        <x:v>709</x:v>
      </x:c>
      <x:c r="D3160" t="s">
        <x:v>832</x:v>
      </x:c>
      <x:c r="E3160" s="6">
        <x:v>227.33</x:v>
      </x:c>
      <x:c r="F3160" s="6">
        <x:v>0</x:v>
      </x:c>
      <x:c r="G3160" s="6">
        <x:v>0</x:v>
      </x:c>
      <x:c r="H3160" s="6">
        <x:f t="shared" si="152"/>
        <x:v>227.33</x:v>
      </x:c>
      <x:c r="I3160" s="6">
        <x:v>0</x:v>
      </x:c>
      <x:c r="J3160" s="6">
        <x:v>0</x:v>
      </x:c>
      <x:c r="K3160" s="6">
        <x:f t="shared" si="153"/>
        <x:v>0</x:v>
      </x:c>
      <x:c r="L3160" s="6">
        <x:v>0</x:v>
      </x:c>
      <x:c r="M3160" s="6">
        <x:v>0</x:v>
      </x:c>
      <x:c r="N3160" s="6">
        <x:f t="shared" si="154"/>
        <x:v>227.33</x:v>
      </x:c>
    </x:row>
    <x:row r="3161" spans="1:14" x14ac:dyDescent="0.25">
      <x:c r="A3161" t="s">
        <x:v>2</x:v>
      </x:c>
      <x:c r="B3161" t="s">
        <x:v>710</x:v>
      </x:c>
      <x:c r="C3161" t="s">
        <x:v>711</x:v>
      </x:c>
      <x:c r="D3161" t="s">
        <x:v>832</x:v>
      </x:c>
      <x:c r="E3161" s="6">
        <x:v>6698.7300000000005</x:v>
      </x:c>
      <x:c r="F3161" s="6">
        <x:v>0</x:v>
      </x:c>
      <x:c r="G3161" s="6">
        <x:v>0</x:v>
      </x:c>
      <x:c r="H3161" s="6">
        <x:f t="shared" si="152"/>
        <x:v>6698.7300000000005</x:v>
      </x:c>
      <x:c r="I3161" s="6">
        <x:v>0</x:v>
      </x:c>
      <x:c r="J3161" s="6">
        <x:v>0</x:v>
      </x:c>
      <x:c r="K3161" s="6">
        <x:f t="shared" si="153"/>
        <x:v>0</x:v>
      </x:c>
      <x:c r="L3161" s="6">
        <x:v>0</x:v>
      </x:c>
      <x:c r="M3161" s="6">
        <x:v>0</x:v>
      </x:c>
      <x:c r="N3161" s="6">
        <x:f t="shared" si="154"/>
        <x:v>6698.7300000000005</x:v>
      </x:c>
    </x:row>
    <x:row r="3162" spans="1:14" x14ac:dyDescent="0.25">
      <x:c r="A3162" t="s">
        <x:v>2</x:v>
      </x:c>
      <x:c r="B3162" t="s">
        <x:v>712</x:v>
      </x:c>
      <x:c r="C3162" t="s">
        <x:v>713</x:v>
      </x:c>
      <x:c r="D3162" t="s">
        <x:v>832</x:v>
      </x:c>
      <x:c r="E3162" s="6">
        <x:v>1229.23</x:v>
      </x:c>
      <x:c r="F3162" s="6">
        <x:v>0</x:v>
      </x:c>
      <x:c r="G3162" s="6">
        <x:v>0</x:v>
      </x:c>
      <x:c r="H3162" s="6">
        <x:f t="shared" si="152"/>
        <x:v>1229.23</x:v>
      </x:c>
      <x:c r="I3162" s="6">
        <x:v>0</x:v>
      </x:c>
      <x:c r="J3162" s="6">
        <x:v>0</x:v>
      </x:c>
      <x:c r="K3162" s="6">
        <x:f t="shared" si="153"/>
        <x:v>0</x:v>
      </x:c>
      <x:c r="L3162" s="6">
        <x:v>0</x:v>
      </x:c>
      <x:c r="M3162" s="6">
        <x:v>0</x:v>
      </x:c>
      <x:c r="N3162" s="6">
        <x:f t="shared" si="154"/>
        <x:v>1229.23</x:v>
      </x:c>
    </x:row>
    <x:row r="3163" spans="1:14" x14ac:dyDescent="0.25">
      <x:c r="A3163" t="s">
        <x:v>2</x:v>
      </x:c>
      <x:c r="B3163" t="s">
        <x:v>712</x:v>
      </x:c>
      <x:c r="C3163" t="s">
        <x:v>713</x:v>
      </x:c>
      <x:c r="D3163" t="s">
        <x:v>676</x:v>
      </x:c>
      <x:c r="E3163" s="6">
        <x:v>360.06</x:v>
      </x:c>
      <x:c r="F3163" s="6">
        <x:v>0</x:v>
      </x:c>
      <x:c r="G3163" s="6">
        <x:v>0</x:v>
      </x:c>
      <x:c r="H3163" s="6">
        <x:f t="shared" si="152"/>
        <x:v>360.06</x:v>
      </x:c>
      <x:c r="I3163" s="6">
        <x:v>108.91</x:v>
      </x:c>
      <x:c r="J3163" s="6">
        <x:v>0</x:v>
      </x:c>
      <x:c r="K3163" s="6">
        <x:f t="shared" si="153"/>
        <x:v>108.91</x:v>
      </x:c>
      <x:c r="L3163" s="6">
        <x:v>0</x:v>
      </x:c>
      <x:c r="M3163" s="6">
        <x:v>0</x:v>
      </x:c>
      <x:c r="N3163" s="6">
        <x:f t="shared" si="154"/>
        <x:v>468.97</x:v>
      </x:c>
    </x:row>
    <x:row r="3164" spans="1:14" x14ac:dyDescent="0.25">
      <x:c r="A3164" t="s">
        <x:v>2</x:v>
      </x:c>
      <x:c r="B3164" t="s">
        <x:v>714</x:v>
      </x:c>
      <x:c r="C3164" t="s">
        <x:v>715</x:v>
      </x:c>
      <x:c r="D3164" t="s">
        <x:v>832</x:v>
      </x:c>
      <x:c r="E3164" s="6">
        <x:v>148.07</x:v>
      </x:c>
      <x:c r="F3164" s="6">
        <x:v>0</x:v>
      </x:c>
      <x:c r="G3164" s="6">
        <x:v>0</x:v>
      </x:c>
      <x:c r="H3164" s="6">
        <x:f t="shared" si="152"/>
        <x:v>148.07</x:v>
      </x:c>
      <x:c r="I3164" s="6">
        <x:v>0</x:v>
      </x:c>
      <x:c r="J3164" s="6">
        <x:v>0</x:v>
      </x:c>
      <x:c r="K3164" s="6">
        <x:f t="shared" si="153"/>
        <x:v>0</x:v>
      </x:c>
      <x:c r="L3164" s="6">
        <x:v>0</x:v>
      </x:c>
      <x:c r="M3164" s="6">
        <x:v>0</x:v>
      </x:c>
      <x:c r="N3164" s="6">
        <x:f t="shared" si="154"/>
        <x:v>148.07</x:v>
      </x:c>
    </x:row>
    <x:row r="3165" spans="1:14" x14ac:dyDescent="0.25">
      <x:c r="A3165" t="s">
        <x:v>2</x:v>
      </x:c>
      <x:c r="B3165" t="s">
        <x:v>714</x:v>
      </x:c>
      <x:c r="C3165" t="s">
        <x:v>715</x:v>
      </x:c>
      <x:c r="D3165" t="s">
        <x:v>676</x:v>
      </x:c>
      <x:c r="E3165" s="6">
        <x:v>-142.33000000000001</x:v>
      </x:c>
      <x:c r="F3165" s="6">
        <x:v>0</x:v>
      </x:c>
      <x:c r="G3165" s="6">
        <x:v>0</x:v>
      </x:c>
      <x:c r="H3165" s="6">
        <x:f t="shared" si="152"/>
        <x:v>-142.33000000000001</x:v>
      </x:c>
      <x:c r="I3165" s="6">
        <x:v>-26.68</x:v>
      </x:c>
      <x:c r="J3165" s="6">
        <x:v>0</x:v>
      </x:c>
      <x:c r="K3165" s="6">
        <x:f t="shared" si="153"/>
        <x:v>-26.68</x:v>
      </x:c>
      <x:c r="L3165" s="6">
        <x:v>0</x:v>
      </x:c>
      <x:c r="M3165" s="6">
        <x:v>0</x:v>
      </x:c>
      <x:c r="N3165" s="6">
        <x:f t="shared" si="154"/>
        <x:v>-169.01000000000002</x:v>
      </x:c>
    </x:row>
    <x:row r="3166" spans="1:14" x14ac:dyDescent="0.25">
      <x:c r="A3166" t="s">
        <x:v>2</x:v>
      </x:c>
      <x:c r="B3166" t="s">
        <x:v>716</x:v>
      </x:c>
      <x:c r="C3166" t="s">
        <x:v>717</x:v>
      </x:c>
      <x:c r="D3166" t="s">
        <x:v>832</x:v>
      </x:c>
      <x:c r="E3166" s="6">
        <x:v>433</x:v>
      </x:c>
      <x:c r="F3166" s="6">
        <x:v>0</x:v>
      </x:c>
      <x:c r="G3166" s="6">
        <x:v>0</x:v>
      </x:c>
      <x:c r="H3166" s="6">
        <x:f t="shared" si="152"/>
        <x:v>433</x:v>
      </x:c>
      <x:c r="I3166" s="6">
        <x:v>0</x:v>
      </x:c>
      <x:c r="J3166" s="6">
        <x:v>0</x:v>
      </x:c>
      <x:c r="K3166" s="6">
        <x:f t="shared" si="153"/>
        <x:v>0</x:v>
      </x:c>
      <x:c r="L3166" s="6">
        <x:v>0</x:v>
      </x:c>
      <x:c r="M3166" s="6">
        <x:v>0</x:v>
      </x:c>
      <x:c r="N3166" s="6">
        <x:f t="shared" si="154"/>
        <x:v>433</x:v>
      </x:c>
    </x:row>
    <x:row r="3167" spans="1:14" x14ac:dyDescent="0.25">
      <x:c r="A3167" t="s">
        <x:v>2</x:v>
      </x:c>
      <x:c r="B3167" t="s">
        <x:v>716</x:v>
      </x:c>
      <x:c r="C3167" t="s">
        <x:v>717</x:v>
      </x:c>
      <x:c r="D3167" t="s">
        <x:v>676</x:v>
      </x:c>
      <x:c r="E3167" s="6">
        <x:v>456.95</x:v>
      </x:c>
      <x:c r="F3167" s="6">
        <x:v>0</x:v>
      </x:c>
      <x:c r="G3167" s="6">
        <x:v>0</x:v>
      </x:c>
      <x:c r="H3167" s="6">
        <x:f t="shared" ref="H3167:H3230" si="155">SUM(E3167:G3167)</x:f>
        <x:v>456.95</x:v>
      </x:c>
      <x:c r="I3167" s="6">
        <x:v>103.7</x:v>
      </x:c>
      <x:c r="J3167" s="6">
        <x:v>0</x:v>
      </x:c>
      <x:c r="K3167" s="6">
        <x:f t="shared" ref="K3167:K3230" si="156">SUM(I3167:J3167)</x:f>
        <x:v>103.7</x:v>
      </x:c>
      <x:c r="L3167" s="6">
        <x:v>0</x:v>
      </x:c>
      <x:c r="M3167" s="6">
        <x:v>0</x:v>
      </x:c>
      <x:c r="N3167" s="6">
        <x:f t="shared" ref="N3167:N3230" si="157">+E3167+F3167+G3167+I3167+J3167+L3167+M3167</x:f>
        <x:v>560.65</x:v>
      </x:c>
    </x:row>
    <x:row r="3168" spans="1:14" x14ac:dyDescent="0.25">
      <x:c r="A3168" t="s">
        <x:v>2</x:v>
      </x:c>
      <x:c r="B3168" t="s">
        <x:v>792</x:v>
      </x:c>
      <x:c r="C3168" t="s">
        <x:v>793</x:v>
      </x:c>
      <x:c r="D3168" t="s">
        <x:v>832</x:v>
      </x:c>
      <x:c r="E3168" s="6">
        <x:v>2697.6800000000003</x:v>
      </x:c>
      <x:c r="F3168" s="6">
        <x:v>0</x:v>
      </x:c>
      <x:c r="G3168" s="6">
        <x:v>0</x:v>
      </x:c>
      <x:c r="H3168" s="6">
        <x:f t="shared" si="155"/>
        <x:v>2697.6800000000003</x:v>
      </x:c>
      <x:c r="I3168" s="6">
        <x:v>0</x:v>
      </x:c>
      <x:c r="J3168" s="6">
        <x:v>0</x:v>
      </x:c>
      <x:c r="K3168" s="6">
        <x:f t="shared" si="156"/>
        <x:v>0</x:v>
      </x:c>
      <x:c r="L3168" s="6">
        <x:v>0</x:v>
      </x:c>
      <x:c r="M3168" s="6">
        <x:v>0</x:v>
      </x:c>
      <x:c r="N3168" s="6">
        <x:f t="shared" si="157"/>
        <x:v>2697.6800000000003</x:v>
      </x:c>
    </x:row>
    <x:row r="3169" spans="1:14" x14ac:dyDescent="0.25">
      <x:c r="A3169" t="s">
        <x:v>2</x:v>
      </x:c>
      <x:c r="B3169" t="s">
        <x:v>718</x:v>
      </x:c>
      <x:c r="C3169" t="s">
        <x:v>719</x:v>
      </x:c>
      <x:c r="D3169" t="s">
        <x:v>832</x:v>
      </x:c>
      <x:c r="E3169" s="6">
        <x:v>5070.16</x:v>
      </x:c>
      <x:c r="F3169" s="6">
        <x:v>0</x:v>
      </x:c>
      <x:c r="G3169" s="6">
        <x:v>0</x:v>
      </x:c>
      <x:c r="H3169" s="6">
        <x:f t="shared" si="155"/>
        <x:v>5070.16</x:v>
      </x:c>
      <x:c r="I3169" s="6">
        <x:v>0</x:v>
      </x:c>
      <x:c r="J3169" s="6">
        <x:v>0</x:v>
      </x:c>
      <x:c r="K3169" s="6">
        <x:f t="shared" si="156"/>
        <x:v>0</x:v>
      </x:c>
      <x:c r="L3169" s="6">
        <x:v>0</x:v>
      </x:c>
      <x:c r="M3169" s="6">
        <x:v>0</x:v>
      </x:c>
      <x:c r="N3169" s="6">
        <x:f t="shared" si="157"/>
        <x:v>5070.16</x:v>
      </x:c>
    </x:row>
    <x:row r="3170" spans="1:14" x14ac:dyDescent="0.25">
      <x:c r="A3170" t="s">
        <x:v>2</x:v>
      </x:c>
      <x:c r="B3170" t="s">
        <x:v>718</x:v>
      </x:c>
      <x:c r="C3170" t="s">
        <x:v>719</x:v>
      </x:c>
      <x:c r="D3170" t="s">
        <x:v>676</x:v>
      </x:c>
      <x:c r="E3170" s="6">
        <x:v>635.79</x:v>
      </x:c>
      <x:c r="F3170" s="6">
        <x:v>0</x:v>
      </x:c>
      <x:c r="G3170" s="6">
        <x:v>0</x:v>
      </x:c>
      <x:c r="H3170" s="6">
        <x:f t="shared" si="155"/>
        <x:v>635.79</x:v>
      </x:c>
      <x:c r="I3170" s="6">
        <x:v>108.66</x:v>
      </x:c>
      <x:c r="J3170" s="6">
        <x:v>0</x:v>
      </x:c>
      <x:c r="K3170" s="6">
        <x:f t="shared" si="156"/>
        <x:v>108.66</x:v>
      </x:c>
      <x:c r="L3170" s="6">
        <x:v>0</x:v>
      </x:c>
      <x:c r="M3170" s="6">
        <x:v>0</x:v>
      </x:c>
      <x:c r="N3170" s="6">
        <x:f t="shared" si="157"/>
        <x:v>744.44999999999993</x:v>
      </x:c>
    </x:row>
    <x:row r="3171" spans="1:14" x14ac:dyDescent="0.25">
      <x:c r="A3171" t="s">
        <x:v>2</x:v>
      </x:c>
      <x:c r="B3171" t="s">
        <x:v>722</x:v>
      </x:c>
      <x:c r="C3171" t="s">
        <x:v>723</x:v>
      </x:c>
      <x:c r="D3171" t="s">
        <x:v>832</x:v>
      </x:c>
      <x:c r="E3171" s="6">
        <x:v>11575.47</x:v>
      </x:c>
      <x:c r="F3171" s="6">
        <x:v>0</x:v>
      </x:c>
      <x:c r="G3171" s="6">
        <x:v>0</x:v>
      </x:c>
      <x:c r="H3171" s="6">
        <x:f t="shared" si="155"/>
        <x:v>11575.47</x:v>
      </x:c>
      <x:c r="I3171" s="6">
        <x:v>0</x:v>
      </x:c>
      <x:c r="J3171" s="6">
        <x:v>0</x:v>
      </x:c>
      <x:c r="K3171" s="6">
        <x:f t="shared" si="156"/>
        <x:v>0</x:v>
      </x:c>
      <x:c r="L3171" s="6">
        <x:v>0</x:v>
      </x:c>
      <x:c r="M3171" s="6">
        <x:v>0</x:v>
      </x:c>
      <x:c r="N3171" s="6">
        <x:f t="shared" si="157"/>
        <x:v>11575.47</x:v>
      </x:c>
    </x:row>
    <x:row r="3172" spans="1:14" x14ac:dyDescent="0.25">
      <x:c r="A3172" t="s">
        <x:v>2</x:v>
      </x:c>
      <x:c r="B3172" t="s">
        <x:v>722</x:v>
      </x:c>
      <x:c r="C3172" t="s">
        <x:v>723</x:v>
      </x:c>
      <x:c r="D3172" t="s">
        <x:v>676</x:v>
      </x:c>
      <x:c r="E3172" s="6">
        <x:v>-284.58</x:v>
      </x:c>
      <x:c r="F3172" s="6">
        <x:v>0</x:v>
      </x:c>
      <x:c r="G3172" s="6">
        <x:v>0</x:v>
      </x:c>
      <x:c r="H3172" s="6">
        <x:f t="shared" si="155"/>
        <x:v>-284.58</x:v>
      </x:c>
      <x:c r="I3172" s="6">
        <x:v>-172.83</x:v>
      </x:c>
      <x:c r="J3172" s="6">
        <x:v>0</x:v>
      </x:c>
      <x:c r="K3172" s="6">
        <x:f t="shared" si="156"/>
        <x:v>-172.83</x:v>
      </x:c>
      <x:c r="L3172" s="6">
        <x:v>0</x:v>
      </x:c>
      <x:c r="M3172" s="6">
        <x:v>0</x:v>
      </x:c>
      <x:c r="N3172" s="6">
        <x:f t="shared" si="157"/>
        <x:v>-457.40999999999997</x:v>
      </x:c>
    </x:row>
    <x:row r="3173" spans="1:14" x14ac:dyDescent="0.25">
      <x:c r="A3173" t="s">
        <x:v>2</x:v>
      </x:c>
      <x:c r="B3173" t="s">
        <x:v>724</x:v>
      </x:c>
      <x:c r="C3173" t="s">
        <x:v>725</x:v>
      </x:c>
      <x:c r="D3173" t="s">
        <x:v>832</x:v>
      </x:c>
      <x:c r="E3173" s="6">
        <x:v>488.73</x:v>
      </x:c>
      <x:c r="F3173" s="6">
        <x:v>0</x:v>
      </x:c>
      <x:c r="G3173" s="6">
        <x:v>0</x:v>
      </x:c>
      <x:c r="H3173" s="6">
        <x:f t="shared" si="155"/>
        <x:v>488.73</x:v>
      </x:c>
      <x:c r="I3173" s="6">
        <x:v>0</x:v>
      </x:c>
      <x:c r="J3173" s="6">
        <x:v>0</x:v>
      </x:c>
      <x:c r="K3173" s="6">
        <x:f t="shared" si="156"/>
        <x:v>0</x:v>
      </x:c>
      <x:c r="L3173" s="6">
        <x:v>0</x:v>
      </x:c>
      <x:c r="M3173" s="6">
        <x:v>0</x:v>
      </x:c>
      <x:c r="N3173" s="6">
        <x:f t="shared" si="157"/>
        <x:v>488.73</x:v>
      </x:c>
    </x:row>
    <x:row r="3174" spans="1:14" x14ac:dyDescent="0.25">
      <x:c r="A3174" t="s">
        <x:v>2</x:v>
      </x:c>
      <x:c r="B3174" t="s">
        <x:v>724</x:v>
      </x:c>
      <x:c r="C3174" t="s">
        <x:v>725</x:v>
      </x:c>
      <x:c r="D3174" t="s">
        <x:v>676</x:v>
      </x:c>
      <x:c r="E3174" s="6">
        <x:v>-3257.1899999999996</x:v>
      </x:c>
      <x:c r="F3174" s="6">
        <x:v>0</x:v>
      </x:c>
      <x:c r="G3174" s="6">
        <x:v>0</x:v>
      </x:c>
      <x:c r="H3174" s="6">
        <x:f t="shared" si="155"/>
        <x:v>-3257.1899999999996</x:v>
      </x:c>
      <x:c r="I3174" s="6">
        <x:v>-821.67000000000007</x:v>
      </x:c>
      <x:c r="J3174" s="6">
        <x:v>0</x:v>
      </x:c>
      <x:c r="K3174" s="6">
        <x:f t="shared" si="156"/>
        <x:v>-821.67000000000007</x:v>
      </x:c>
      <x:c r="L3174" s="6">
        <x:v>0</x:v>
      </x:c>
      <x:c r="M3174" s="6">
        <x:v>0</x:v>
      </x:c>
      <x:c r="N3174" s="6">
        <x:f t="shared" si="157"/>
        <x:v>-4078.8599999999997</x:v>
      </x:c>
    </x:row>
    <x:row r="3175" spans="1:14" x14ac:dyDescent="0.25">
      <x:c r="A3175" t="s">
        <x:v>2</x:v>
      </x:c>
      <x:c r="B3175" t="s">
        <x:v>794</x:v>
      </x:c>
      <x:c r="C3175" t="s">
        <x:v>795</x:v>
      </x:c>
      <x:c r="D3175" t="s">
        <x:v>832</x:v>
      </x:c>
      <x:c r="E3175" s="6">
        <x:v>2459.9299999999998</x:v>
      </x:c>
      <x:c r="F3175" s="6">
        <x:v>0</x:v>
      </x:c>
      <x:c r="G3175" s="6">
        <x:v>0</x:v>
      </x:c>
      <x:c r="H3175" s="6">
        <x:f t="shared" si="155"/>
        <x:v>2459.9299999999998</x:v>
      </x:c>
      <x:c r="I3175" s="6">
        <x:v>0</x:v>
      </x:c>
      <x:c r="J3175" s="6">
        <x:v>0</x:v>
      </x:c>
      <x:c r="K3175" s="6">
        <x:f t="shared" si="156"/>
        <x:v>0</x:v>
      </x:c>
      <x:c r="L3175" s="6">
        <x:v>0</x:v>
      </x:c>
      <x:c r="M3175" s="6">
        <x:v>0</x:v>
      </x:c>
      <x:c r="N3175" s="6">
        <x:f t="shared" si="157"/>
        <x:v>2459.9299999999998</x:v>
      </x:c>
    </x:row>
    <x:row r="3176" spans="1:14" x14ac:dyDescent="0.25">
      <x:c r="A3176" t="s">
        <x:v>2</x:v>
      </x:c>
      <x:c r="B3176" t="s">
        <x:v>796</x:v>
      </x:c>
      <x:c r="C3176" t="s">
        <x:v>797</x:v>
      </x:c>
      <x:c r="D3176" t="s">
        <x:v>832</x:v>
      </x:c>
      <x:c r="E3176" s="6">
        <x:v>101.36000000000001</x:v>
      </x:c>
      <x:c r="F3176" s="6">
        <x:v>0</x:v>
      </x:c>
      <x:c r="G3176" s="6">
        <x:v>0</x:v>
      </x:c>
      <x:c r="H3176" s="6">
        <x:f t="shared" si="155"/>
        <x:v>101.36000000000001</x:v>
      </x:c>
      <x:c r="I3176" s="6">
        <x:v>0</x:v>
      </x:c>
      <x:c r="J3176" s="6">
        <x:v>0</x:v>
      </x:c>
      <x:c r="K3176" s="6">
        <x:f t="shared" si="156"/>
        <x:v>0</x:v>
      </x:c>
      <x:c r="L3176" s="6">
        <x:v>0</x:v>
      </x:c>
      <x:c r="M3176" s="6">
        <x:v>0</x:v>
      </x:c>
      <x:c r="N3176" s="6">
        <x:f t="shared" si="157"/>
        <x:v>101.36000000000001</x:v>
      </x:c>
    </x:row>
    <x:row r="3177" spans="1:14" x14ac:dyDescent="0.25">
      <x:c r="A3177" t="s">
        <x:v>2</x:v>
      </x:c>
      <x:c r="B3177" t="s">
        <x:v>726</x:v>
      </x:c>
      <x:c r="C3177" t="s">
        <x:v>727</x:v>
      </x:c>
      <x:c r="D3177" t="s">
        <x:v>832</x:v>
      </x:c>
      <x:c r="E3177" s="6">
        <x:v>6547.54</x:v>
      </x:c>
      <x:c r="F3177" s="6">
        <x:v>0</x:v>
      </x:c>
      <x:c r="G3177" s="6">
        <x:v>0</x:v>
      </x:c>
      <x:c r="H3177" s="6">
        <x:f t="shared" si="155"/>
        <x:v>6547.54</x:v>
      </x:c>
      <x:c r="I3177" s="6">
        <x:v>0</x:v>
      </x:c>
      <x:c r="J3177" s="6">
        <x:v>0</x:v>
      </x:c>
      <x:c r="K3177" s="6">
        <x:f t="shared" si="156"/>
        <x:v>0</x:v>
      </x:c>
      <x:c r="L3177" s="6">
        <x:v>0</x:v>
      </x:c>
      <x:c r="M3177" s="6">
        <x:v>0</x:v>
      </x:c>
      <x:c r="N3177" s="6">
        <x:f t="shared" si="157"/>
        <x:v>6547.54</x:v>
      </x:c>
    </x:row>
    <x:row r="3178" spans="1:14" x14ac:dyDescent="0.25">
      <x:c r="A3178" t="s">
        <x:v>2</x:v>
      </x:c>
      <x:c r="B3178" t="s">
        <x:v>726</x:v>
      </x:c>
      <x:c r="C3178" t="s">
        <x:v>727</x:v>
      </x:c>
      <x:c r="D3178" t="s">
        <x:v>676</x:v>
      </x:c>
      <x:c r="E3178" s="6">
        <x:v>-157.07</x:v>
      </x:c>
      <x:c r="F3178" s="6">
        <x:v>0</x:v>
      </x:c>
      <x:c r="G3178" s="6">
        <x:v>0</x:v>
      </x:c>
      <x:c r="H3178" s="6">
        <x:f t="shared" si="155"/>
        <x:v>-157.07</x:v>
      </x:c>
      <x:c r="I3178" s="6">
        <x:v>-80</x:v>
      </x:c>
      <x:c r="J3178" s="6">
        <x:v>0</x:v>
      </x:c>
      <x:c r="K3178" s="6">
        <x:f t="shared" si="156"/>
        <x:v>-80</x:v>
      </x:c>
      <x:c r="L3178" s="6">
        <x:v>0</x:v>
      </x:c>
      <x:c r="M3178" s="6">
        <x:v>0</x:v>
      </x:c>
      <x:c r="N3178" s="6">
        <x:f t="shared" si="157"/>
        <x:v>-237.07</x:v>
      </x:c>
    </x:row>
    <x:row r="3179" spans="1:14" x14ac:dyDescent="0.25">
      <x:c r="A3179" t="s">
        <x:v>2</x:v>
      </x:c>
      <x:c r="B3179" t="s">
        <x:v>732</x:v>
      </x:c>
      <x:c r="C3179" t="s">
        <x:v>733</x:v>
      </x:c>
      <x:c r="D3179" t="s">
        <x:v>676</x:v>
      </x:c>
      <x:c r="E3179" s="6">
        <x:v>117.75</x:v>
      </x:c>
      <x:c r="F3179" s="6">
        <x:v>0</x:v>
      </x:c>
      <x:c r="G3179" s="6">
        <x:v>0</x:v>
      </x:c>
      <x:c r="H3179" s="6">
        <x:f t="shared" si="155"/>
        <x:v>117.75</x:v>
      </x:c>
      <x:c r="I3179" s="6">
        <x:v>19.16</x:v>
      </x:c>
      <x:c r="J3179" s="6">
        <x:v>0</x:v>
      </x:c>
      <x:c r="K3179" s="6">
        <x:f t="shared" si="156"/>
        <x:v>19.16</x:v>
      </x:c>
      <x:c r="L3179" s="6">
        <x:v>0</x:v>
      </x:c>
      <x:c r="M3179" s="6">
        <x:v>0</x:v>
      </x:c>
      <x:c r="N3179" s="6">
        <x:f t="shared" si="157"/>
        <x:v>136.91</x:v>
      </x:c>
    </x:row>
    <x:row r="3180" spans="1:14" x14ac:dyDescent="0.25">
      <x:c r="A3180" t="s">
        <x:v>2</x:v>
      </x:c>
      <x:c r="B3180" s="3" t="s">
        <x:v>122</x:v>
      </x:c>
      <x:c r="C3180" s="3" t="s">
        <x:v>439</x:v>
      </x:c>
      <x:c r="D3180" t="s">
        <x:v>676</x:v>
      </x:c>
      <x:c r="E3180" s="6">
        <x:v>0</x:v>
      </x:c>
      <x:c r="F3180" s="6">
        <x:v>0</x:v>
      </x:c>
      <x:c r="G3180" s="6">
        <x:v>0</x:v>
      </x:c>
      <x:c r="H3180" s="6">
        <x:f t="shared" si="155"/>
        <x:v>0</x:v>
      </x:c>
      <x:c r="I3180" s="6">
        <x:v>6689.3899999999994</x:v>
      </x:c>
      <x:c r="J3180" s="6">
        <x:v>0</x:v>
      </x:c>
      <x:c r="K3180" s="6">
        <x:f t="shared" si="156"/>
        <x:v>6689.3899999999994</x:v>
      </x:c>
      <x:c r="L3180" s="6">
        <x:v>0</x:v>
      </x:c>
      <x:c r="M3180" s="6">
        <x:v>0</x:v>
      </x:c>
      <x:c r="N3180" s="6">
        <x:f t="shared" si="157"/>
        <x:v>6689.3899999999994</x:v>
      </x:c>
    </x:row>
    <x:row r="3181" spans="1:14" x14ac:dyDescent="0.25">
      <x:c r="A3181" t="s">
        <x:v>2</x:v>
      </x:c>
      <x:c r="B3181" s="3" t="s">
        <x:v>276</x:v>
      </x:c>
      <x:c r="C3181" s="3" t="s">
        <x:v>591</x:v>
      </x:c>
      <x:c r="D3181" t="s">
        <x:v>676</x:v>
      </x:c>
      <x:c r="E3181" s="6">
        <x:v>0</x:v>
      </x:c>
      <x:c r="F3181" s="6">
        <x:v>0</x:v>
      </x:c>
      <x:c r="G3181" s="6">
        <x:v>0</x:v>
      </x:c>
      <x:c r="H3181" s="6">
        <x:f t="shared" si="155"/>
        <x:v>0</x:v>
      </x:c>
      <x:c r="I3181" s="6">
        <x:v>3750</x:v>
      </x:c>
      <x:c r="J3181" s="6">
        <x:v>0</x:v>
      </x:c>
      <x:c r="K3181" s="6">
        <x:f t="shared" si="156"/>
        <x:v>3750</x:v>
      </x:c>
      <x:c r="L3181" s="6">
        <x:v>0</x:v>
      </x:c>
      <x:c r="M3181" s="6">
        <x:v>0</x:v>
      </x:c>
      <x:c r="N3181" s="6">
        <x:f t="shared" si="157"/>
        <x:v>3750</x:v>
      </x:c>
    </x:row>
    <x:row r="3182" spans="1:14" x14ac:dyDescent="0.25">
      <x:c r="A3182" t="s">
        <x:v>2</x:v>
      </x:c>
      <x:c r="B3182" s="3" t="s">
        <x:v>316</x:v>
      </x:c>
      <x:c r="C3182" s="3" t="s">
        <x:v>631</x:v>
      </x:c>
      <x:c r="D3182" t="s">
        <x:v>676</x:v>
      </x:c>
      <x:c r="E3182" s="6">
        <x:v>0</x:v>
      </x:c>
      <x:c r="F3182" s="6">
        <x:v>0</x:v>
      </x:c>
      <x:c r="G3182" s="6">
        <x:v>0</x:v>
      </x:c>
      <x:c r="H3182" s="6">
        <x:f t="shared" si="155"/>
        <x:v>0</x:v>
      </x:c>
      <x:c r="I3182" s="6">
        <x:v>0</x:v>
      </x:c>
      <x:c r="J3182" s="6">
        <x:v>0</x:v>
      </x:c>
      <x:c r="K3182" s="6">
        <x:f t="shared" si="156"/>
        <x:v>0</x:v>
      </x:c>
      <x:c r="L3182" s="6">
        <x:v>0</x:v>
      </x:c>
      <x:c r="M3182" s="6">
        <x:v>49467.93</x:v>
      </x:c>
      <x:c r="N3182" s="6">
        <x:f t="shared" si="157"/>
        <x:v>49467.93</x:v>
      </x:c>
    </x:row>
    <x:row r="3183" spans="1:14" x14ac:dyDescent="0.25">
      <x:c r="A3183" t="s">
        <x:v>2</x:v>
      </x:c>
      <x:c r="B3183" s="3" t="s">
        <x:v>123</x:v>
      </x:c>
      <x:c r="C3183" s="3" t="s">
        <x:v>440</x:v>
      </x:c>
      <x:c r="D3183" t="s">
        <x:v>676</x:v>
      </x:c>
      <x:c r="E3183" s="6">
        <x:v>0</x:v>
      </x:c>
      <x:c r="F3183" s="6">
        <x:v>0</x:v>
      </x:c>
      <x:c r="G3183" s="6">
        <x:v>0</x:v>
      </x:c>
      <x:c r="H3183" s="6">
        <x:f t="shared" si="155"/>
        <x:v>0</x:v>
      </x:c>
      <x:c r="I3183" s="6">
        <x:v>0.01</x:v>
      </x:c>
      <x:c r="J3183" s="6">
        <x:v>0</x:v>
      </x:c>
      <x:c r="K3183" s="6">
        <x:f t="shared" si="156"/>
        <x:v>0.01</x:v>
      </x:c>
      <x:c r="L3183" s="6">
        <x:v>0</x:v>
      </x:c>
      <x:c r="M3183" s="6">
        <x:v>0</x:v>
      </x:c>
      <x:c r="N3183" s="6">
        <x:f t="shared" si="157"/>
        <x:v>0.01</x:v>
      </x:c>
    </x:row>
    <x:row r="3184" spans="1:14" x14ac:dyDescent="0.25">
      <x:c r="A3184" t="s">
        <x:v>2</x:v>
      </x:c>
      <x:c r="B3184" s="3" t="s">
        <x:v>124</x:v>
      </x:c>
      <x:c r="C3184" s="3" t="s">
        <x:v>441</x:v>
      </x:c>
      <x:c r="D3184" t="s">
        <x:v>676</x:v>
      </x:c>
      <x:c r="E3184" s="6">
        <x:v>0</x:v>
      </x:c>
      <x:c r="F3184" s="6">
        <x:v>0</x:v>
      </x:c>
      <x:c r="G3184" s="6">
        <x:v>0</x:v>
      </x:c>
      <x:c r="H3184" s="6">
        <x:f t="shared" si="155"/>
        <x:v>0</x:v>
      </x:c>
      <x:c r="I3184" s="6">
        <x:v>9513.19</x:v>
      </x:c>
      <x:c r="J3184" s="6">
        <x:v>0</x:v>
      </x:c>
      <x:c r="K3184" s="6">
        <x:f t="shared" si="156"/>
        <x:v>9513.19</x:v>
      </x:c>
      <x:c r="L3184" s="6">
        <x:v>0</x:v>
      </x:c>
      <x:c r="M3184" s="6">
        <x:v>0</x:v>
      </x:c>
      <x:c r="N3184" s="6">
        <x:f t="shared" si="157"/>
        <x:v>9513.19</x:v>
      </x:c>
    </x:row>
    <x:row r="3185" spans="1:14" x14ac:dyDescent="0.25">
      <x:c r="A3185" t="s">
        <x:v>2</x:v>
      </x:c>
      <x:c r="B3185" s="3" t="s">
        <x:v>125</x:v>
      </x:c>
      <x:c r="C3185" s="3" t="s">
        <x:v>442</x:v>
      </x:c>
      <x:c r="D3185" t="s">
        <x:v>676</x:v>
      </x:c>
      <x:c r="E3185" s="6">
        <x:v>0</x:v>
      </x:c>
      <x:c r="F3185" s="6">
        <x:v>0</x:v>
      </x:c>
      <x:c r="G3185" s="6">
        <x:v>0</x:v>
      </x:c>
      <x:c r="H3185" s="6">
        <x:f t="shared" si="155"/>
        <x:v>0</x:v>
      </x:c>
      <x:c r="I3185" s="6">
        <x:v>0</x:v>
      </x:c>
      <x:c r="J3185" s="6">
        <x:v>0</x:v>
      </x:c>
      <x:c r="K3185" s="6">
        <x:f t="shared" si="156"/>
        <x:v>0</x:v>
      </x:c>
      <x:c r="L3185" s="6">
        <x:v>0</x:v>
      </x:c>
      <x:c r="M3185" s="6">
        <x:v>144750</x:v>
      </x:c>
      <x:c r="N3185" s="6">
        <x:f t="shared" si="157"/>
        <x:v>144750</x:v>
      </x:c>
    </x:row>
    <x:row r="3186" spans="1:14" x14ac:dyDescent="0.25">
      <x:c r="A3186" t="s">
        <x:v>2</x:v>
      </x:c>
      <x:c r="B3186" s="3" t="s">
        <x:v>126</x:v>
      </x:c>
      <x:c r="C3186" s="3" t="s">
        <x:v>443</x:v>
      </x:c>
      <x:c r="D3186" t="s">
        <x:v>676</x:v>
      </x:c>
      <x:c r="E3186" s="6">
        <x:v>0</x:v>
      </x:c>
      <x:c r="F3186" s="6">
        <x:v>0</x:v>
      </x:c>
      <x:c r="G3186" s="6">
        <x:v>0</x:v>
      </x:c>
      <x:c r="H3186" s="6">
        <x:f t="shared" si="155"/>
        <x:v>0</x:v>
      </x:c>
      <x:c r="I3186" s="6">
        <x:v>561.21</x:v>
      </x:c>
      <x:c r="J3186" s="6">
        <x:v>0</x:v>
      </x:c>
      <x:c r="K3186" s="6">
        <x:f t="shared" si="156"/>
        <x:v>561.21</x:v>
      </x:c>
      <x:c r="L3186" s="6">
        <x:v>0</x:v>
      </x:c>
      <x:c r="M3186" s="6">
        <x:v>0</x:v>
      </x:c>
      <x:c r="N3186" s="6">
        <x:f t="shared" si="157"/>
        <x:v>561.21</x:v>
      </x:c>
    </x:row>
    <x:row r="3187" spans="1:14" x14ac:dyDescent="0.25">
      <x:c r="A3187" t="s">
        <x:v>2</x:v>
      </x:c>
      <x:c r="B3187" s="3" t="s">
        <x:v>230</x:v>
      </x:c>
      <x:c r="C3187" s="3" t="s">
        <x:v>545</x:v>
      </x:c>
      <x:c r="D3187" t="s">
        <x:v>676</x:v>
      </x:c>
      <x:c r="E3187" s="6">
        <x:v>0</x:v>
      </x:c>
      <x:c r="F3187" s="6">
        <x:v>0</x:v>
      </x:c>
      <x:c r="G3187" s="6">
        <x:v>0</x:v>
      </x:c>
      <x:c r="H3187" s="6">
        <x:f t="shared" si="155"/>
        <x:v>0</x:v>
      </x:c>
      <x:c r="I3187" s="6">
        <x:v>611.37</x:v>
      </x:c>
      <x:c r="J3187" s="6">
        <x:v>0</x:v>
      </x:c>
      <x:c r="K3187" s="6">
        <x:f t="shared" si="156"/>
        <x:v>611.37</x:v>
      </x:c>
      <x:c r="L3187" s="6">
        <x:v>0</x:v>
      </x:c>
      <x:c r="M3187" s="6">
        <x:v>0</x:v>
      </x:c>
      <x:c r="N3187" s="6">
        <x:f t="shared" si="157"/>
        <x:v>611.37</x:v>
      </x:c>
    </x:row>
    <x:row r="3188" spans="1:14" x14ac:dyDescent="0.25">
      <x:c r="A3188" t="s">
        <x:v>2</x:v>
      </x:c>
      <x:c r="B3188" s="3" t="s">
        <x:v>231</x:v>
      </x:c>
      <x:c r="C3188" s="3" t="s">
        <x:v>546</x:v>
      </x:c>
      <x:c r="D3188" t="s">
        <x:v>676</x:v>
      </x:c>
      <x:c r="E3188" s="6">
        <x:v>0</x:v>
      </x:c>
      <x:c r="F3188" s="6">
        <x:v>0</x:v>
      </x:c>
      <x:c r="G3188" s="6">
        <x:v>0</x:v>
      </x:c>
      <x:c r="H3188" s="6">
        <x:f t="shared" si="155"/>
        <x:v>0</x:v>
      </x:c>
      <x:c r="I3188" s="6">
        <x:v>106.77</x:v>
      </x:c>
      <x:c r="J3188" s="6">
        <x:v>0</x:v>
      </x:c>
      <x:c r="K3188" s="6">
        <x:f t="shared" si="156"/>
        <x:v>106.77</x:v>
      </x:c>
      <x:c r="L3188" s="6">
        <x:v>0</x:v>
      </x:c>
      <x:c r="M3188" s="6">
        <x:v>0</x:v>
      </x:c>
      <x:c r="N3188" s="6">
        <x:f t="shared" si="157"/>
        <x:v>106.77</x:v>
      </x:c>
    </x:row>
    <x:row r="3189" spans="1:14" x14ac:dyDescent="0.25">
      <x:c r="A3189" t="s">
        <x:v>2</x:v>
      </x:c>
      <x:c r="B3189" s="3" t="s">
        <x:v>131</x:v>
      </x:c>
      <x:c r="C3189" s="3" t="s">
        <x:v>448</x:v>
      </x:c>
      <x:c r="D3189" t="s">
        <x:v>676</x:v>
      </x:c>
      <x:c r="E3189" s="6">
        <x:v>0</x:v>
      </x:c>
      <x:c r="F3189" s="6">
        <x:v>0</x:v>
      </x:c>
      <x:c r="G3189" s="6">
        <x:v>0</x:v>
      </x:c>
      <x:c r="H3189" s="6">
        <x:f t="shared" si="155"/>
        <x:v>0</x:v>
      </x:c>
      <x:c r="I3189" s="6">
        <x:v>8376.66</x:v>
      </x:c>
      <x:c r="J3189" s="6">
        <x:v>0</x:v>
      </x:c>
      <x:c r="K3189" s="6">
        <x:f t="shared" si="156"/>
        <x:v>8376.66</x:v>
      </x:c>
      <x:c r="L3189" s="6">
        <x:v>0</x:v>
      </x:c>
      <x:c r="M3189" s="6">
        <x:v>0</x:v>
      </x:c>
      <x:c r="N3189" s="6">
        <x:f t="shared" si="157"/>
        <x:v>8376.66</x:v>
      </x:c>
    </x:row>
    <x:row r="3190" spans="1:14" x14ac:dyDescent="0.25">
      <x:c r="A3190" t="s">
        <x:v>2</x:v>
      </x:c>
      <x:c r="B3190" s="3" t="s">
        <x:v>133</x:v>
      </x:c>
      <x:c r="C3190" s="3" t="s">
        <x:v>450</x:v>
      </x:c>
      <x:c r="D3190" t="s">
        <x:v>676</x:v>
      </x:c>
      <x:c r="E3190" s="6">
        <x:v>0</x:v>
      </x:c>
      <x:c r="F3190" s="6">
        <x:v>0</x:v>
      </x:c>
      <x:c r="G3190" s="6">
        <x:v>0</x:v>
      </x:c>
      <x:c r="H3190" s="6">
        <x:f t="shared" si="155"/>
        <x:v>0</x:v>
      </x:c>
      <x:c r="I3190" s="6">
        <x:v>44040.87</x:v>
      </x:c>
      <x:c r="J3190" s="6">
        <x:v>0</x:v>
      </x:c>
      <x:c r="K3190" s="6">
        <x:f t="shared" si="156"/>
        <x:v>44040.87</x:v>
      </x:c>
      <x:c r="L3190" s="6">
        <x:v>0</x:v>
      </x:c>
      <x:c r="M3190" s="6">
        <x:v>0</x:v>
      </x:c>
      <x:c r="N3190" s="6">
        <x:f t="shared" si="157"/>
        <x:v>44040.87</x:v>
      </x:c>
    </x:row>
    <x:row r="3191" spans="1:14" x14ac:dyDescent="0.25">
      <x:c r="A3191" t="s">
        <x:v>2</x:v>
      </x:c>
      <x:c r="B3191" s="3" t="s">
        <x:v>135</x:v>
      </x:c>
      <x:c r="C3191" s="3" t="s">
        <x:v>452</x:v>
      </x:c>
      <x:c r="D3191" t="s">
        <x:v>676</x:v>
      </x:c>
      <x:c r="E3191" s="6">
        <x:v>0</x:v>
      </x:c>
      <x:c r="F3191" s="6">
        <x:v>0</x:v>
      </x:c>
      <x:c r="G3191" s="6">
        <x:v>0</x:v>
      </x:c>
      <x:c r="H3191" s="6">
        <x:f t="shared" si="155"/>
        <x:v>0</x:v>
      </x:c>
      <x:c r="I3191" s="6">
        <x:v>1029.79</x:v>
      </x:c>
      <x:c r="J3191" s="6">
        <x:v>0</x:v>
      </x:c>
      <x:c r="K3191" s="6">
        <x:f t="shared" si="156"/>
        <x:v>1029.79</x:v>
      </x:c>
      <x:c r="L3191" s="6">
        <x:v>0</x:v>
      </x:c>
      <x:c r="M3191" s="6">
        <x:v>0</x:v>
      </x:c>
      <x:c r="N3191" s="6">
        <x:f t="shared" si="157"/>
        <x:v>1029.79</x:v>
      </x:c>
    </x:row>
    <x:row r="3192" spans="1:14" x14ac:dyDescent="0.25">
      <x:c r="A3192" t="s">
        <x:v>2</x:v>
      </x:c>
      <x:c r="B3192" s="3" t="s">
        <x:v>137</x:v>
      </x:c>
      <x:c r="C3192" s="3" t="s">
        <x:v>454</x:v>
      </x:c>
      <x:c r="D3192" t="s">
        <x:v>676</x:v>
      </x:c>
      <x:c r="E3192" s="6">
        <x:v>0</x:v>
      </x:c>
      <x:c r="F3192" s="6">
        <x:v>0</x:v>
      </x:c>
      <x:c r="G3192" s="6">
        <x:v>0</x:v>
      </x:c>
      <x:c r="H3192" s="6">
        <x:f t="shared" si="155"/>
        <x:v>0</x:v>
      </x:c>
      <x:c r="I3192" s="6">
        <x:v>-151.66</x:v>
      </x:c>
      <x:c r="J3192" s="6">
        <x:v>0</x:v>
      </x:c>
      <x:c r="K3192" s="6">
        <x:f t="shared" si="156"/>
        <x:v>-151.66</x:v>
      </x:c>
      <x:c r="L3192" s="6">
        <x:v>0</x:v>
      </x:c>
      <x:c r="M3192" s="6">
        <x:v>0</x:v>
      </x:c>
      <x:c r="N3192" s="6">
        <x:f t="shared" si="157"/>
        <x:v>-151.66</x:v>
      </x:c>
    </x:row>
    <x:row r="3193" spans="1:14" x14ac:dyDescent="0.25">
      <x:c r="A3193" t="s">
        <x:v>2</x:v>
      </x:c>
      <x:c r="B3193" s="3" t="s">
        <x:v>138</x:v>
      </x:c>
      <x:c r="C3193" s="3" t="s">
        <x:v>455</x:v>
      </x:c>
      <x:c r="D3193" t="s">
        <x:v>676</x:v>
      </x:c>
      <x:c r="E3193" s="6">
        <x:v>0</x:v>
      </x:c>
      <x:c r="F3193" s="6">
        <x:v>0</x:v>
      </x:c>
      <x:c r="G3193" s="6">
        <x:v>0</x:v>
      </x:c>
      <x:c r="H3193" s="6">
        <x:f t="shared" si="155"/>
        <x:v>0</x:v>
      </x:c>
      <x:c r="I3193" s="6">
        <x:v>9661.1299999999992</x:v>
      </x:c>
      <x:c r="J3193" s="6">
        <x:v>0</x:v>
      </x:c>
      <x:c r="K3193" s="6">
        <x:f t="shared" si="156"/>
        <x:v>9661.1299999999992</x:v>
      </x:c>
      <x:c r="L3193" s="6">
        <x:v>0</x:v>
      </x:c>
      <x:c r="M3193" s="6">
        <x:v>0</x:v>
      </x:c>
      <x:c r="N3193" s="6">
        <x:f t="shared" si="157"/>
        <x:v>9661.1299999999992</x:v>
      </x:c>
    </x:row>
    <x:row r="3194" spans="1:14" x14ac:dyDescent="0.25">
      <x:c r="A3194" t="s">
        <x:v>2</x:v>
      </x:c>
      <x:c r="B3194" s="3" t="s">
        <x:v>139</x:v>
      </x:c>
      <x:c r="C3194" s="3" t="s">
        <x:v>456</x:v>
      </x:c>
      <x:c r="D3194" t="s">
        <x:v>676</x:v>
      </x:c>
      <x:c r="E3194" s="6">
        <x:v>0</x:v>
      </x:c>
      <x:c r="F3194" s="6">
        <x:v>0</x:v>
      </x:c>
      <x:c r="G3194" s="6">
        <x:v>0</x:v>
      </x:c>
      <x:c r="H3194" s="6">
        <x:f t="shared" si="155"/>
        <x:v>0</x:v>
      </x:c>
      <x:c r="I3194" s="6">
        <x:v>-475.67</x:v>
      </x:c>
      <x:c r="J3194" s="6">
        <x:v>0</x:v>
      </x:c>
      <x:c r="K3194" s="6">
        <x:f t="shared" si="156"/>
        <x:v>-475.67</x:v>
      </x:c>
      <x:c r="L3194" s="6">
        <x:v>0</x:v>
      </x:c>
      <x:c r="M3194" s="6">
        <x:v>0</x:v>
      </x:c>
      <x:c r="N3194" s="6">
        <x:f t="shared" si="157"/>
        <x:v>-475.67</x:v>
      </x:c>
    </x:row>
    <x:row r="3195" spans="1:14" x14ac:dyDescent="0.25">
      <x:c r="A3195" t="s">
        <x:v>2</x:v>
      </x:c>
      <x:c r="B3195" s="3" t="s">
        <x:v>140</x:v>
      </x:c>
      <x:c r="C3195" s="3" t="s">
        <x:v>457</x:v>
      </x:c>
      <x:c r="D3195" t="s">
        <x:v>676</x:v>
      </x:c>
      <x:c r="E3195" s="6">
        <x:v>0</x:v>
      </x:c>
      <x:c r="F3195" s="6">
        <x:v>0</x:v>
      </x:c>
      <x:c r="G3195" s="6">
        <x:v>0</x:v>
      </x:c>
      <x:c r="H3195" s="6">
        <x:f t="shared" si="155"/>
        <x:v>0</x:v>
      </x:c>
      <x:c r="I3195" s="6">
        <x:v>3480.33</x:v>
      </x:c>
      <x:c r="J3195" s="6">
        <x:v>0</x:v>
      </x:c>
      <x:c r="K3195" s="6">
        <x:f t="shared" si="156"/>
        <x:v>3480.33</x:v>
      </x:c>
      <x:c r="L3195" s="6">
        <x:v>0</x:v>
      </x:c>
      <x:c r="M3195" s="6">
        <x:v>0</x:v>
      </x:c>
      <x:c r="N3195" s="6">
        <x:f t="shared" si="157"/>
        <x:v>3480.33</x:v>
      </x:c>
    </x:row>
    <x:row r="3196" spans="1:14" x14ac:dyDescent="0.25">
      <x:c r="A3196" t="s">
        <x:v>2</x:v>
      </x:c>
      <x:c r="B3196" s="3" t="s">
        <x:v>141</x:v>
      </x:c>
      <x:c r="C3196" s="3" t="s">
        <x:v>458</x:v>
      </x:c>
      <x:c r="D3196" t="s">
        <x:v>676</x:v>
      </x:c>
      <x:c r="E3196" s="6">
        <x:v>0</x:v>
      </x:c>
      <x:c r="F3196" s="6">
        <x:v>0</x:v>
      </x:c>
      <x:c r="G3196" s="6">
        <x:v>0</x:v>
      </x:c>
      <x:c r="H3196" s="6">
        <x:f t="shared" si="155"/>
        <x:v>0</x:v>
      </x:c>
      <x:c r="I3196" s="6">
        <x:v>106806.72000000002</x:v>
      </x:c>
      <x:c r="J3196" s="6">
        <x:v>0</x:v>
      </x:c>
      <x:c r="K3196" s="6">
        <x:f t="shared" si="156"/>
        <x:v>106806.72000000002</x:v>
      </x:c>
      <x:c r="L3196" s="6">
        <x:v>0</x:v>
      </x:c>
      <x:c r="M3196" s="6">
        <x:v>0</x:v>
      </x:c>
      <x:c r="N3196" s="6">
        <x:f t="shared" si="157"/>
        <x:v>106806.72000000002</x:v>
      </x:c>
    </x:row>
    <x:row r="3197" spans="1:14" x14ac:dyDescent="0.25">
      <x:c r="A3197" t="s">
        <x:v>2</x:v>
      </x:c>
      <x:c r="B3197" s="3" t="s">
        <x:v>144</x:v>
      </x:c>
      <x:c r="C3197" s="3" t="s">
        <x:v>461</x:v>
      </x:c>
      <x:c r="D3197" t="s">
        <x:v>676</x:v>
      </x:c>
      <x:c r="E3197" s="6">
        <x:v>0</x:v>
      </x:c>
      <x:c r="F3197" s="6">
        <x:v>0</x:v>
      </x:c>
      <x:c r="G3197" s="6">
        <x:v>0</x:v>
      </x:c>
      <x:c r="H3197" s="6">
        <x:f t="shared" si="155"/>
        <x:v>0</x:v>
      </x:c>
      <x:c r="I3197" s="6">
        <x:v>0.01</x:v>
      </x:c>
      <x:c r="J3197" s="6">
        <x:v>0</x:v>
      </x:c>
      <x:c r="K3197" s="6">
        <x:f t="shared" si="156"/>
        <x:v>0.01</x:v>
      </x:c>
      <x:c r="L3197" s="6">
        <x:v>0</x:v>
      </x:c>
      <x:c r="M3197" s="6">
        <x:v>0</x:v>
      </x:c>
      <x:c r="N3197" s="6">
        <x:f t="shared" si="157"/>
        <x:v>0.01</x:v>
      </x:c>
    </x:row>
    <x:row r="3198" spans="1:14" x14ac:dyDescent="0.25">
      <x:c r="A3198" t="s">
        <x:v>2</x:v>
      </x:c>
      <x:c r="B3198" s="3" t="s">
        <x:v>146</x:v>
      </x:c>
      <x:c r="C3198" s="3" t="s">
        <x:v>463</x:v>
      </x:c>
      <x:c r="D3198" t="s">
        <x:v>676</x:v>
      </x:c>
      <x:c r="E3198" s="6">
        <x:v>0</x:v>
      </x:c>
      <x:c r="F3198" s="6">
        <x:v>0</x:v>
      </x:c>
      <x:c r="G3198" s="6">
        <x:v>0</x:v>
      </x:c>
      <x:c r="H3198" s="6">
        <x:f t="shared" si="155"/>
        <x:v>0</x:v>
      </x:c>
      <x:c r="I3198" s="6">
        <x:v>5760.42</x:v>
      </x:c>
      <x:c r="J3198" s="6">
        <x:v>0</x:v>
      </x:c>
      <x:c r="K3198" s="6">
        <x:f t="shared" si="156"/>
        <x:v>5760.42</x:v>
      </x:c>
      <x:c r="L3198" s="6">
        <x:v>0</x:v>
      </x:c>
      <x:c r="M3198" s="6">
        <x:v>0</x:v>
      </x:c>
      <x:c r="N3198" s="6">
        <x:f t="shared" si="157"/>
        <x:v>5760.42</x:v>
      </x:c>
    </x:row>
    <x:row r="3199" spans="1:14" x14ac:dyDescent="0.25">
      <x:c r="A3199" t="s">
        <x:v>2</x:v>
      </x:c>
      <x:c r="B3199" s="3" t="s">
        <x:v>150</x:v>
      </x:c>
      <x:c r="C3199" s="3" t="s">
        <x:v>467</x:v>
      </x:c>
      <x:c r="D3199" t="s">
        <x:v>676</x:v>
      </x:c>
      <x:c r="E3199" s="6">
        <x:v>0</x:v>
      </x:c>
      <x:c r="F3199" s="6">
        <x:v>0</x:v>
      </x:c>
      <x:c r="G3199" s="6">
        <x:v>0</x:v>
      </x:c>
      <x:c r="H3199" s="6">
        <x:f t="shared" si="155"/>
        <x:v>0</x:v>
      </x:c>
      <x:c r="I3199" s="6">
        <x:v>-118.14</x:v>
      </x:c>
      <x:c r="J3199" s="6">
        <x:v>0</x:v>
      </x:c>
      <x:c r="K3199" s="6">
        <x:f t="shared" si="156"/>
        <x:v>-118.14</x:v>
      </x:c>
      <x:c r="L3199" s="6">
        <x:v>0</x:v>
      </x:c>
      <x:c r="M3199" s="6">
        <x:v>0</x:v>
      </x:c>
      <x:c r="N3199" s="6">
        <x:f t="shared" si="157"/>
        <x:v>-118.14</x:v>
      </x:c>
    </x:row>
    <x:row r="3200" spans="1:14" x14ac:dyDescent="0.25">
      <x:c r="A3200" t="s">
        <x:v>2</x:v>
      </x:c>
      <x:c r="B3200" s="3" t="s">
        <x:v>151</x:v>
      </x:c>
      <x:c r="C3200" s="3" t="s">
        <x:v>468</x:v>
      </x:c>
      <x:c r="D3200" t="s">
        <x:v>676</x:v>
      </x:c>
      <x:c r="E3200" s="6">
        <x:v>0</x:v>
      </x:c>
      <x:c r="F3200" s="6">
        <x:v>0</x:v>
      </x:c>
      <x:c r="G3200" s="6">
        <x:v>0</x:v>
      </x:c>
      <x:c r="H3200" s="6">
        <x:f t="shared" si="155"/>
        <x:v>0</x:v>
      </x:c>
      <x:c r="I3200" s="6">
        <x:v>948.93</x:v>
      </x:c>
      <x:c r="J3200" s="6">
        <x:v>0</x:v>
      </x:c>
      <x:c r="K3200" s="6">
        <x:f t="shared" si="156"/>
        <x:v>948.93</x:v>
      </x:c>
      <x:c r="L3200" s="6">
        <x:v>0</x:v>
      </x:c>
      <x:c r="M3200" s="6">
        <x:v>0</x:v>
      </x:c>
      <x:c r="N3200" s="6">
        <x:f t="shared" si="157"/>
        <x:v>948.93</x:v>
      </x:c>
    </x:row>
    <x:row r="3201" spans="1:14" x14ac:dyDescent="0.25">
      <x:c r="A3201" t="s">
        <x:v>2</x:v>
      </x:c>
      <x:c r="B3201" s="3" t="s">
        <x:v>278</x:v>
      </x:c>
      <x:c r="C3201" s="3" t="s">
        <x:v>593</x:v>
      </x:c>
      <x:c r="D3201" t="s">
        <x:v>676</x:v>
      </x:c>
      <x:c r="E3201" s="6">
        <x:v>0</x:v>
      </x:c>
      <x:c r="F3201" s="6">
        <x:v>0</x:v>
      </x:c>
      <x:c r="G3201" s="6">
        <x:v>0</x:v>
      </x:c>
      <x:c r="H3201" s="6">
        <x:f t="shared" si="155"/>
        <x:v>0</x:v>
      </x:c>
      <x:c r="I3201" s="6">
        <x:v>8060.6599999999989</x:v>
      </x:c>
      <x:c r="J3201" s="6">
        <x:v>0</x:v>
      </x:c>
      <x:c r="K3201" s="6">
        <x:f t="shared" si="156"/>
        <x:v>8060.6599999999989</x:v>
      </x:c>
      <x:c r="L3201" s="6">
        <x:v>0</x:v>
      </x:c>
      <x:c r="M3201" s="6">
        <x:v>0</x:v>
      </x:c>
      <x:c r="N3201" s="6">
        <x:f t="shared" si="157"/>
        <x:v>8060.6599999999989</x:v>
      </x:c>
    </x:row>
    <x:row r="3202" spans="1:14" x14ac:dyDescent="0.25">
      <x:c r="A3202" t="s">
        <x:v>2</x:v>
      </x:c>
      <x:c r="B3202" s="3" t="s">
        <x:v>155</x:v>
      </x:c>
      <x:c r="C3202" s="3" t="s">
        <x:v>472</x:v>
      </x:c>
      <x:c r="D3202" t="s">
        <x:v>676</x:v>
      </x:c>
      <x:c r="E3202" s="6">
        <x:v>0</x:v>
      </x:c>
      <x:c r="F3202" s="6">
        <x:v>0</x:v>
      </x:c>
      <x:c r="G3202" s="6">
        <x:v>0</x:v>
      </x:c>
      <x:c r="H3202" s="6">
        <x:f t="shared" si="155"/>
        <x:v>0</x:v>
      </x:c>
      <x:c r="I3202" s="6">
        <x:v>146.76</x:v>
      </x:c>
      <x:c r="J3202" s="6">
        <x:v>0</x:v>
      </x:c>
      <x:c r="K3202" s="6">
        <x:f t="shared" si="156"/>
        <x:v>146.76</x:v>
      </x:c>
      <x:c r="L3202" s="6">
        <x:v>0</x:v>
      </x:c>
      <x:c r="M3202" s="6">
        <x:v>0</x:v>
      </x:c>
      <x:c r="N3202" s="6">
        <x:f t="shared" si="157"/>
        <x:v>146.76</x:v>
      </x:c>
    </x:row>
    <x:row r="3203" spans="1:14" x14ac:dyDescent="0.25">
      <x:c r="A3203" t="s">
        <x:v>2</x:v>
      </x:c>
      <x:c r="B3203" s="3" t="s">
        <x:v>156</x:v>
      </x:c>
      <x:c r="C3203" s="3" t="s">
        <x:v>473</x:v>
      </x:c>
      <x:c r="D3203" t="s">
        <x:v>676</x:v>
      </x:c>
      <x:c r="E3203" s="6">
        <x:v>0</x:v>
      </x:c>
      <x:c r="F3203" s="6">
        <x:v>0</x:v>
      </x:c>
      <x:c r="G3203" s="6">
        <x:v>0</x:v>
      </x:c>
      <x:c r="H3203" s="6">
        <x:f t="shared" si="155"/>
        <x:v>0</x:v>
      </x:c>
      <x:c r="I3203" s="6">
        <x:v>1197.48</x:v>
      </x:c>
      <x:c r="J3203" s="6">
        <x:v>0</x:v>
      </x:c>
      <x:c r="K3203" s="6">
        <x:f t="shared" si="156"/>
        <x:v>1197.48</x:v>
      </x:c>
      <x:c r="L3203" s="6">
        <x:v>0</x:v>
      </x:c>
      <x:c r="M3203" s="6">
        <x:v>0</x:v>
      </x:c>
      <x:c r="N3203" s="6">
        <x:f t="shared" si="157"/>
        <x:v>1197.48</x:v>
      </x:c>
    </x:row>
    <x:row r="3204" spans="1:14" x14ac:dyDescent="0.25">
      <x:c r="A3204" t="s">
        <x:v>2</x:v>
      </x:c>
      <x:c r="B3204" s="3" t="s">
        <x:v>157</x:v>
      </x:c>
      <x:c r="C3204" s="3" t="s">
        <x:v>474</x:v>
      </x:c>
      <x:c r="D3204" t="s">
        <x:v>676</x:v>
      </x:c>
      <x:c r="E3204" s="6">
        <x:v>0</x:v>
      </x:c>
      <x:c r="F3204" s="6">
        <x:v>0</x:v>
      </x:c>
      <x:c r="G3204" s="6">
        <x:v>0</x:v>
      </x:c>
      <x:c r="H3204" s="6">
        <x:f t="shared" si="155"/>
        <x:v>0</x:v>
      </x:c>
      <x:c r="I3204" s="6">
        <x:v>0.01</x:v>
      </x:c>
      <x:c r="J3204" s="6">
        <x:v>0</x:v>
      </x:c>
      <x:c r="K3204" s="6">
        <x:f t="shared" si="156"/>
        <x:v>0.01</x:v>
      </x:c>
      <x:c r="L3204" s="6">
        <x:v>0</x:v>
      </x:c>
      <x:c r="M3204" s="6">
        <x:v>0</x:v>
      </x:c>
      <x:c r="N3204" s="6">
        <x:f t="shared" si="157"/>
        <x:v>0.01</x:v>
      </x:c>
    </x:row>
    <x:row r="3205" spans="1:14" x14ac:dyDescent="0.25">
      <x:c r="A3205" t="s">
        <x:v>2</x:v>
      </x:c>
      <x:c r="B3205" s="3" t="s">
        <x:v>158</x:v>
      </x:c>
      <x:c r="C3205" s="3" t="s">
        <x:v>475</x:v>
      </x:c>
      <x:c r="D3205" t="s">
        <x:v>676</x:v>
      </x:c>
      <x:c r="E3205" s="6">
        <x:v>0</x:v>
      </x:c>
      <x:c r="F3205" s="6">
        <x:v>0</x:v>
      </x:c>
      <x:c r="G3205" s="6">
        <x:v>0</x:v>
      </x:c>
      <x:c r="H3205" s="6">
        <x:f t="shared" si="155"/>
        <x:v>0</x:v>
      </x:c>
      <x:c r="I3205" s="6">
        <x:v>716.22</x:v>
      </x:c>
      <x:c r="J3205" s="6">
        <x:v>0</x:v>
      </x:c>
      <x:c r="K3205" s="6">
        <x:f t="shared" si="156"/>
        <x:v>716.22</x:v>
      </x:c>
      <x:c r="L3205" s="6">
        <x:v>0</x:v>
      </x:c>
      <x:c r="M3205" s="6">
        <x:v>0</x:v>
      </x:c>
      <x:c r="N3205" s="6">
        <x:f t="shared" si="157"/>
        <x:v>716.22</x:v>
      </x:c>
    </x:row>
    <x:row r="3206" spans="1:14" x14ac:dyDescent="0.25">
      <x:c r="A3206" t="s">
        <x:v>2</x:v>
      </x:c>
      <x:c r="B3206" s="3" t="s">
        <x:v>162</x:v>
      </x:c>
      <x:c r="C3206" s="3" t="s">
        <x:v>479</x:v>
      </x:c>
      <x:c r="D3206" t="s">
        <x:v>676</x:v>
      </x:c>
      <x:c r="E3206" s="6">
        <x:v>0</x:v>
      </x:c>
      <x:c r="F3206" s="6">
        <x:v>0</x:v>
      </x:c>
      <x:c r="G3206" s="6">
        <x:v>0</x:v>
      </x:c>
      <x:c r="H3206" s="6">
        <x:f t="shared" si="155"/>
        <x:v>0</x:v>
      </x:c>
      <x:c r="I3206" s="6">
        <x:v>22606.55</x:v>
      </x:c>
      <x:c r="J3206" s="6">
        <x:v>0</x:v>
      </x:c>
      <x:c r="K3206" s="6">
        <x:f t="shared" si="156"/>
        <x:v>22606.55</x:v>
      </x:c>
      <x:c r="L3206" s="6">
        <x:v>0</x:v>
      </x:c>
      <x:c r="M3206" s="6">
        <x:v>0</x:v>
      </x:c>
      <x:c r="N3206" s="6">
        <x:f t="shared" si="157"/>
        <x:v>22606.55</x:v>
      </x:c>
    </x:row>
    <x:row r="3207" spans="1:14" x14ac:dyDescent="0.25">
      <x:c r="A3207" t="s">
        <x:v>2</x:v>
      </x:c>
      <x:c r="B3207" s="3" t="s">
        <x:v>164</x:v>
      </x:c>
      <x:c r="C3207" s="3" t="s">
        <x:v>481</x:v>
      </x:c>
      <x:c r="D3207" t="s">
        <x:v>676</x:v>
      </x:c>
      <x:c r="E3207" s="6">
        <x:v>0</x:v>
      </x:c>
      <x:c r="F3207" s="6">
        <x:v>0</x:v>
      </x:c>
      <x:c r="G3207" s="6">
        <x:v>0</x:v>
      </x:c>
      <x:c r="H3207" s="6">
        <x:f t="shared" si="155"/>
        <x:v>0</x:v>
      </x:c>
      <x:c r="I3207" s="6">
        <x:v>4542.2199999999993</x:v>
      </x:c>
      <x:c r="J3207" s="6">
        <x:v>0</x:v>
      </x:c>
      <x:c r="K3207" s="6">
        <x:f t="shared" si="156"/>
        <x:v>4542.2199999999993</x:v>
      </x:c>
      <x:c r="L3207" s="6">
        <x:v>0</x:v>
      </x:c>
      <x:c r="M3207" s="6">
        <x:v>0</x:v>
      </x:c>
      <x:c r="N3207" s="6">
        <x:f t="shared" si="157"/>
        <x:v>4542.2199999999993</x:v>
      </x:c>
    </x:row>
    <x:row r="3208" spans="1:14" x14ac:dyDescent="0.25">
      <x:c r="A3208" t="s">
        <x:v>2</x:v>
      </x:c>
      <x:c r="B3208" s="3" t="s">
        <x:v>49</x:v>
      </x:c>
      <x:c r="C3208" s="3" t="s">
        <x:v>366</x:v>
      </x:c>
      <x:c r="D3208" t="s">
        <x:v>676</x:v>
      </x:c>
      <x:c r="E3208" s="6">
        <x:v>0</x:v>
      </x:c>
      <x:c r="F3208" s="6">
        <x:v>0</x:v>
      </x:c>
      <x:c r="G3208" s="6">
        <x:v>0</x:v>
      </x:c>
      <x:c r="H3208" s="6">
        <x:f t="shared" si="155"/>
        <x:v>0</x:v>
      </x:c>
      <x:c r="I3208" s="6">
        <x:v>264.5</x:v>
      </x:c>
      <x:c r="J3208" s="6">
        <x:v>0</x:v>
      </x:c>
      <x:c r="K3208" s="6">
        <x:f t="shared" si="156"/>
        <x:v>264.5</x:v>
      </x:c>
      <x:c r="L3208" s="6">
        <x:v>0</x:v>
      </x:c>
      <x:c r="M3208" s="6">
        <x:v>0</x:v>
      </x:c>
      <x:c r="N3208" s="6">
        <x:f t="shared" si="157"/>
        <x:v>264.5</x:v>
      </x:c>
    </x:row>
    <x:row r="3209" spans="1:14" x14ac:dyDescent="0.25">
      <x:c r="A3209" t="s">
        <x:v>2</x:v>
      </x:c>
      <x:c r="B3209" s="3" t="s">
        <x:v>166</x:v>
      </x:c>
      <x:c r="C3209" s="3" t="s">
        <x:v>483</x:v>
      </x:c>
      <x:c r="D3209" t="s">
        <x:v>676</x:v>
      </x:c>
      <x:c r="E3209" s="6">
        <x:v>0</x:v>
      </x:c>
      <x:c r="F3209" s="6">
        <x:v>0</x:v>
      </x:c>
      <x:c r="G3209" s="6">
        <x:v>0</x:v>
      </x:c>
      <x:c r="H3209" s="6">
        <x:f t="shared" si="155"/>
        <x:v>0</x:v>
      </x:c>
      <x:c r="I3209" s="6">
        <x:v>100332.35</x:v>
      </x:c>
      <x:c r="J3209" s="6">
        <x:v>0</x:v>
      </x:c>
      <x:c r="K3209" s="6">
        <x:f t="shared" si="156"/>
        <x:v>100332.35</x:v>
      </x:c>
      <x:c r="L3209" s="6">
        <x:v>0</x:v>
      </x:c>
      <x:c r="M3209" s="6">
        <x:v>0</x:v>
      </x:c>
      <x:c r="N3209" s="6">
        <x:f t="shared" si="157"/>
        <x:v>100332.35</x:v>
      </x:c>
    </x:row>
    <x:row r="3210" spans="1:14" x14ac:dyDescent="0.25">
      <x:c r="A3210" t="s">
        <x:v>2</x:v>
      </x:c>
      <x:c r="B3210" s="3" t="s">
        <x:v>281</x:v>
      </x:c>
      <x:c r="C3210" s="3" t="s">
        <x:v>596</x:v>
      </x:c>
      <x:c r="D3210" t="s">
        <x:v>679</x:v>
      </x:c>
      <x:c r="E3210" s="6">
        <x:v>10996.09</x:v>
      </x:c>
      <x:c r="F3210" s="6">
        <x:v>0</x:v>
      </x:c>
      <x:c r="G3210" s="6">
        <x:v>0</x:v>
      </x:c>
      <x:c r="H3210" s="6">
        <x:f t="shared" si="155"/>
        <x:v>10996.09</x:v>
      </x:c>
      <x:c r="I3210" s="6">
        <x:v>29368.579999999998</x:v>
      </x:c>
      <x:c r="J3210" s="6">
        <x:v>0</x:v>
      </x:c>
      <x:c r="K3210" s="6">
        <x:f t="shared" si="156"/>
        <x:v>29368.579999999998</x:v>
      </x:c>
      <x:c r="L3210" s="6">
        <x:v>8212.83</x:v>
      </x:c>
      <x:c r="M3210" s="6">
        <x:v>337.51000000000386</x:v>
      </x:c>
      <x:c r="N3210" s="6">
        <x:f t="shared" si="157"/>
        <x:v>48915.01</x:v>
      </x:c>
    </x:row>
    <x:row r="3211" spans="1:14" x14ac:dyDescent="0.25">
      <x:c r="A3211" t="s">
        <x:v>2</x:v>
      </x:c>
      <x:c r="B3211" s="3" t="s">
        <x:v>227</x:v>
      </x:c>
      <x:c r="C3211" s="3" t="s">
        <x:v>485</x:v>
      </x:c>
      <x:c r="D3211" t="s">
        <x:v>676</x:v>
      </x:c>
      <x:c r="E3211" s="6">
        <x:v>0</x:v>
      </x:c>
      <x:c r="F3211" s="6">
        <x:v>0</x:v>
      </x:c>
      <x:c r="G3211" s="6">
        <x:v>0</x:v>
      </x:c>
      <x:c r="H3211" s="6">
        <x:f t="shared" si="155"/>
        <x:v>0</x:v>
      </x:c>
      <x:c r="I3211" s="6">
        <x:v>144.13999999999999</x:v>
      </x:c>
      <x:c r="J3211" s="6">
        <x:v>0</x:v>
      </x:c>
      <x:c r="K3211" s="6">
        <x:f t="shared" si="156"/>
        <x:v>144.13999999999999</x:v>
      </x:c>
      <x:c r="L3211" s="6">
        <x:v>0</x:v>
      </x:c>
      <x:c r="M3211" s="6">
        <x:v>0</x:v>
      </x:c>
      <x:c r="N3211" s="6">
        <x:f t="shared" si="157"/>
        <x:v>144.13999999999999</x:v>
      </x:c>
    </x:row>
    <x:row r="3212" spans="1:14" x14ac:dyDescent="0.25">
      <x:c r="A3212" t="s">
        <x:v>2</x:v>
      </x:c>
      <x:c r="B3212" s="3" t="s">
        <x:v>58</x:v>
      </x:c>
      <x:c r="C3212" s="3" t="s">
        <x:v>375</x:v>
      </x:c>
      <x:c r="D3212" t="s">
        <x:v>676</x:v>
      </x:c>
      <x:c r="E3212" s="6">
        <x:v>0</x:v>
      </x:c>
      <x:c r="F3212" s="6">
        <x:v>0</x:v>
      </x:c>
      <x:c r="G3212" s="6">
        <x:v>0</x:v>
      </x:c>
      <x:c r="H3212" s="6">
        <x:f t="shared" si="155"/>
        <x:v>0</x:v>
      </x:c>
      <x:c r="I3212" s="6">
        <x:v>866</x:v>
      </x:c>
      <x:c r="J3212" s="6">
        <x:v>0</x:v>
      </x:c>
      <x:c r="K3212" s="6">
        <x:f t="shared" si="156"/>
        <x:v>866</x:v>
      </x:c>
      <x:c r="L3212" s="6">
        <x:v>0</x:v>
      </x:c>
      <x:c r="M3212" s="6">
        <x:v>0</x:v>
      </x:c>
      <x:c r="N3212" s="6">
        <x:f t="shared" si="157"/>
        <x:v>866</x:v>
      </x:c>
    </x:row>
    <x:row r="3213" spans="1:14" x14ac:dyDescent="0.25">
      <x:c r="A3213" t="s">
        <x:v>2</x:v>
      </x:c>
      <x:c r="B3213" s="3" t="s">
        <x:v>234</x:v>
      </x:c>
      <x:c r="C3213" s="3" t="s">
        <x:v>549</x:v>
      </x:c>
      <x:c r="D3213" t="s">
        <x:v>676</x:v>
      </x:c>
      <x:c r="E3213" s="6">
        <x:v>0</x:v>
      </x:c>
      <x:c r="F3213" s="6">
        <x:v>0</x:v>
      </x:c>
      <x:c r="G3213" s="6">
        <x:v>0</x:v>
      </x:c>
      <x:c r="H3213" s="6">
        <x:f t="shared" si="155"/>
        <x:v>0</x:v>
      </x:c>
      <x:c r="I3213" s="6">
        <x:v>999</x:v>
      </x:c>
      <x:c r="J3213" s="6">
        <x:v>0</x:v>
      </x:c>
      <x:c r="K3213" s="6">
        <x:f t="shared" si="156"/>
        <x:v>999</x:v>
      </x:c>
      <x:c r="L3213" s="6">
        <x:v>0</x:v>
      </x:c>
      <x:c r="M3213" s="6">
        <x:v>0</x:v>
      </x:c>
      <x:c r="N3213" s="6">
        <x:f t="shared" si="157"/>
        <x:v>999</x:v>
      </x:c>
    </x:row>
    <x:row r="3214" spans="1:14" x14ac:dyDescent="0.25">
      <x:c r="A3214" t="s">
        <x:v>2</x:v>
      </x:c>
      <x:c r="B3214" s="3" t="s">
        <x:v>282</x:v>
      </x:c>
      <x:c r="C3214" s="3" t="s">
        <x:v>597</x:v>
      </x:c>
      <x:c r="D3214" t="s">
        <x:v>679</x:v>
      </x:c>
      <x:c r="E3214" s="6">
        <x:v>10563.85</x:v>
      </x:c>
      <x:c r="F3214" s="6">
        <x:v>0</x:v>
      </x:c>
      <x:c r="G3214" s="6">
        <x:v>0</x:v>
      </x:c>
      <x:c r="H3214" s="6">
        <x:f t="shared" si="155"/>
        <x:v>10563.85</x:v>
      </x:c>
      <x:c r="I3214" s="6">
        <x:v>28214.04</x:v>
      </x:c>
      <x:c r="J3214" s="6">
        <x:v>0</x:v>
      </x:c>
      <x:c r="K3214" s="6">
        <x:f t="shared" si="156"/>
        <x:v>28214.04</x:v>
      </x:c>
      <x:c r="L3214" s="6">
        <x:v>7889.95</x:v>
      </x:c>
      <x:c r="M3214" s="6">
        <x:v>324.23000000000076</x:v>
      </x:c>
      <x:c r="N3214" s="6">
        <x:f t="shared" si="157"/>
        <x:v>46992.07</x:v>
      </x:c>
    </x:row>
    <x:row r="3215" spans="1:14" x14ac:dyDescent="0.25">
      <x:c r="A3215" t="s">
        <x:v>2</x:v>
      </x:c>
      <x:c r="B3215" s="3" t="s">
        <x:v>283</x:v>
      </x:c>
      <x:c r="C3215" s="3" t="s">
        <x:v>598</x:v>
      </x:c>
      <x:c r="D3215" t="s">
        <x:v>679</x:v>
      </x:c>
      <x:c r="E3215" s="6">
        <x:v>47.11</x:v>
      </x:c>
      <x:c r="F3215" s="6">
        <x:v>0</x:v>
      </x:c>
      <x:c r="G3215" s="6">
        <x:v>0</x:v>
      </x:c>
      <x:c r="H3215" s="6">
        <x:f t="shared" si="155"/>
        <x:v>47.11</x:v>
      </x:c>
      <x:c r="I3215" s="6">
        <x:v>125.81</x:v>
      </x:c>
      <x:c r="J3215" s="6">
        <x:v>0</x:v>
      </x:c>
      <x:c r="K3215" s="6">
        <x:f t="shared" si="156"/>
        <x:v>125.81</x:v>
      </x:c>
      <x:c r="L3215" s="6">
        <x:v>35.199999999999996</x:v>
      </x:c>
      <x:c r="M3215" s="6">
        <x:v>1.4399999999999684</x:v>
      </x:c>
      <x:c r="N3215" s="6">
        <x:f t="shared" si="157"/>
        <x:v>209.55999999999997</x:v>
      </x:c>
    </x:row>
    <x:row r="3216" spans="1:14" x14ac:dyDescent="0.25">
      <x:c r="A3216" t="s">
        <x:v>2</x:v>
      </x:c>
      <x:c r="B3216" s="3" t="s">
        <x:v>60</x:v>
      </x:c>
      <x:c r="C3216" s="3" t="s">
        <x:v>377</x:v>
      </x:c>
      <x:c r="D3216" t="s">
        <x:v>679</x:v>
      </x:c>
      <x:c r="E3216" s="6">
        <x:v>1738.27</x:v>
      </x:c>
      <x:c r="F3216" s="6">
        <x:v>0</x:v>
      </x:c>
      <x:c r="G3216" s="6">
        <x:v>0</x:v>
      </x:c>
      <x:c r="H3216" s="6">
        <x:f t="shared" si="155"/>
        <x:v>1738.27</x:v>
      </x:c>
      <x:c r="I3216" s="6">
        <x:v>4642.62</x:v>
      </x:c>
      <x:c r="J3216" s="6">
        <x:v>0</x:v>
      </x:c>
      <x:c r="K3216" s="6">
        <x:f t="shared" si="156"/>
        <x:v>4642.62</x:v>
      </x:c>
      <x:c r="L3216" s="6">
        <x:v>1298.29</x:v>
      </x:c>
      <x:c r="M3216" s="6">
        <x:v>53.370000000000019</x:v>
      </x:c>
      <x:c r="N3216" s="6">
        <x:f t="shared" si="157"/>
        <x:v>7732.5499999999993</x:v>
      </x:c>
    </x:row>
    <x:row r="3217" spans="1:14" x14ac:dyDescent="0.25">
      <x:c r="A3217" t="s">
        <x:v>2</x:v>
      </x:c>
      <x:c r="B3217" s="3" t="s">
        <x:v>170</x:v>
      </x:c>
      <x:c r="C3217" s="3" t="s">
        <x:v>486</x:v>
      </x:c>
      <x:c r="D3217" t="s">
        <x:v>676</x:v>
      </x:c>
      <x:c r="E3217" s="6">
        <x:v>0</x:v>
      </x:c>
      <x:c r="F3217" s="6">
        <x:v>0</x:v>
      </x:c>
      <x:c r="G3217" s="6">
        <x:v>0</x:v>
      </x:c>
      <x:c r="H3217" s="6">
        <x:f t="shared" si="155"/>
        <x:v>0</x:v>
      </x:c>
      <x:c r="I3217" s="6">
        <x:v>61.27</x:v>
      </x:c>
      <x:c r="J3217" s="6">
        <x:v>0</x:v>
      </x:c>
      <x:c r="K3217" s="6">
        <x:f t="shared" si="156"/>
        <x:v>61.27</x:v>
      </x:c>
      <x:c r="L3217" s="6">
        <x:v>0</x:v>
      </x:c>
      <x:c r="M3217" s="6">
        <x:v>0</x:v>
      </x:c>
      <x:c r="N3217" s="6">
        <x:f t="shared" si="157"/>
        <x:v>61.27</x:v>
      </x:c>
    </x:row>
    <x:row r="3218" spans="1:14" x14ac:dyDescent="0.25">
      <x:c r="A3218" t="s">
        <x:v>2</x:v>
      </x:c>
      <x:c r="B3218" s="3" t="s">
        <x:v>172</x:v>
      </x:c>
      <x:c r="C3218" s="3" t="s">
        <x:v>488</x:v>
      </x:c>
      <x:c r="D3218" t="s">
        <x:v>676</x:v>
      </x:c>
      <x:c r="E3218" s="6">
        <x:v>0</x:v>
      </x:c>
      <x:c r="F3218" s="6">
        <x:v>0</x:v>
      </x:c>
      <x:c r="G3218" s="6">
        <x:v>0</x:v>
      </x:c>
      <x:c r="H3218" s="6">
        <x:f t="shared" si="155"/>
        <x:v>0</x:v>
      </x:c>
      <x:c r="I3218" s="6">
        <x:v>1189.42</x:v>
      </x:c>
      <x:c r="J3218" s="6">
        <x:v>0</x:v>
      </x:c>
      <x:c r="K3218" s="6">
        <x:f t="shared" si="156"/>
        <x:v>1189.42</x:v>
      </x:c>
      <x:c r="L3218" s="6">
        <x:v>0</x:v>
      </x:c>
      <x:c r="M3218" s="6">
        <x:v>0</x:v>
      </x:c>
      <x:c r="N3218" s="6">
        <x:f t="shared" si="157"/>
        <x:v>1189.42</x:v>
      </x:c>
    </x:row>
    <x:row r="3219" spans="1:14" x14ac:dyDescent="0.25">
      <x:c r="A3219" t="s">
        <x:v>2</x:v>
      </x:c>
      <x:c r="B3219" s="3" t="s">
        <x:v>173</x:v>
      </x:c>
      <x:c r="C3219" s="3" t="s">
        <x:v>489</x:v>
      </x:c>
      <x:c r="D3219" t="s">
        <x:v>676</x:v>
      </x:c>
      <x:c r="E3219" s="6">
        <x:v>0</x:v>
      </x:c>
      <x:c r="F3219" s="6">
        <x:v>0</x:v>
      </x:c>
      <x:c r="G3219" s="6">
        <x:v>0</x:v>
      </x:c>
      <x:c r="H3219" s="6">
        <x:f t="shared" si="155"/>
        <x:v>0</x:v>
      </x:c>
      <x:c r="I3219" s="6">
        <x:v>1062.73</x:v>
      </x:c>
      <x:c r="J3219" s="6">
        <x:v>0</x:v>
      </x:c>
      <x:c r="K3219" s="6">
        <x:f t="shared" si="156"/>
        <x:v>1062.73</x:v>
      </x:c>
      <x:c r="L3219" s="6">
        <x:v>0</x:v>
      </x:c>
      <x:c r="M3219" s="6">
        <x:v>0</x:v>
      </x:c>
      <x:c r="N3219" s="6">
        <x:f t="shared" si="157"/>
        <x:v>1062.73</x:v>
      </x:c>
    </x:row>
    <x:row r="3220" spans="1:14" x14ac:dyDescent="0.25">
      <x:c r="A3220" t="s">
        <x:v>2</x:v>
      </x:c>
      <x:c r="B3220" s="3" t="s">
        <x:v>174</x:v>
      </x:c>
      <x:c r="C3220" s="3" t="s">
        <x:v>490</x:v>
      </x:c>
      <x:c r="D3220" t="s">
        <x:v>676</x:v>
      </x:c>
      <x:c r="E3220" s="6">
        <x:v>0</x:v>
      </x:c>
      <x:c r="F3220" s="6">
        <x:v>0</x:v>
      </x:c>
      <x:c r="G3220" s="6">
        <x:v>0</x:v>
      </x:c>
      <x:c r="H3220" s="6">
        <x:f t="shared" si="155"/>
        <x:v>0</x:v>
      </x:c>
      <x:c r="I3220" s="6">
        <x:v>783.89</x:v>
      </x:c>
      <x:c r="J3220" s="6">
        <x:v>0</x:v>
      </x:c>
      <x:c r="K3220" s="6">
        <x:f t="shared" si="156"/>
        <x:v>783.89</x:v>
      </x:c>
      <x:c r="L3220" s="6">
        <x:v>0</x:v>
      </x:c>
      <x:c r="M3220" s="6">
        <x:v>0</x:v>
      </x:c>
      <x:c r="N3220" s="6">
        <x:f t="shared" si="157"/>
        <x:v>783.89</x:v>
      </x:c>
    </x:row>
    <x:row r="3221" spans="1:14" x14ac:dyDescent="0.25">
      <x:c r="A3221" t="s">
        <x:v>2</x:v>
      </x:c>
      <x:c r="B3221" s="3" t="s">
        <x:v>61</x:v>
      </x:c>
      <x:c r="C3221" s="3" t="s">
        <x:v>378</x:v>
      </x:c>
      <x:c r="D3221" t="s">
        <x:v>676</x:v>
      </x:c>
      <x:c r="E3221" s="6">
        <x:v>0</x:v>
      </x:c>
      <x:c r="F3221" s="6">
        <x:v>0</x:v>
      </x:c>
      <x:c r="G3221" s="6">
        <x:v>0</x:v>
      </x:c>
      <x:c r="H3221" s="6">
        <x:f t="shared" si="155"/>
        <x:v>0</x:v>
      </x:c>
      <x:c r="I3221" s="6">
        <x:v>0</x:v>
      </x:c>
      <x:c r="J3221" s="6">
        <x:v>0</x:v>
      </x:c>
      <x:c r="K3221" s="6">
        <x:f t="shared" si="156"/>
        <x:v>0</x:v>
      </x:c>
      <x:c r="L3221" s="6">
        <x:v>4248.6900000000005</x:v>
      </x:c>
      <x:c r="M3221" s="6">
        <x:v>0</x:v>
      </x:c>
      <x:c r="N3221" s="6">
        <x:f t="shared" si="157"/>
        <x:v>4248.6900000000005</x:v>
      </x:c>
    </x:row>
    <x:row r="3222" spans="1:14" x14ac:dyDescent="0.25">
      <x:c r="A3222" t="s">
        <x:v>2</x:v>
      </x:c>
      <x:c r="B3222" s="3" t="s">
        <x:v>175</x:v>
      </x:c>
      <x:c r="C3222" s="3" t="s">
        <x:v>491</x:v>
      </x:c>
      <x:c r="D3222" t="s">
        <x:v>676</x:v>
      </x:c>
      <x:c r="E3222" s="6">
        <x:v>0</x:v>
      </x:c>
      <x:c r="F3222" s="6">
        <x:v>0</x:v>
      </x:c>
      <x:c r="G3222" s="6">
        <x:v>0</x:v>
      </x:c>
      <x:c r="H3222" s="6">
        <x:f t="shared" si="155"/>
        <x:v>0</x:v>
      </x:c>
      <x:c r="I3222" s="6">
        <x:v>28389.599999999999</x:v>
      </x:c>
      <x:c r="J3222" s="6">
        <x:v>0</x:v>
      </x:c>
      <x:c r="K3222" s="6">
        <x:f t="shared" si="156"/>
        <x:v>28389.599999999999</x:v>
      </x:c>
      <x:c r="L3222" s="6">
        <x:v>0</x:v>
      </x:c>
      <x:c r="M3222" s="6">
        <x:v>0</x:v>
      </x:c>
      <x:c r="N3222" s="6">
        <x:f t="shared" si="157"/>
        <x:v>28389.599999999999</x:v>
      </x:c>
    </x:row>
    <x:row r="3223" spans="1:14" x14ac:dyDescent="0.25">
      <x:c r="A3223" t="s">
        <x:v>2</x:v>
      </x:c>
      <x:c r="B3223" s="3" t="s">
        <x:v>178</x:v>
      </x:c>
      <x:c r="C3223" s="3" t="s">
        <x:v>494</x:v>
      </x:c>
      <x:c r="D3223" t="s">
        <x:v>676</x:v>
      </x:c>
      <x:c r="E3223" s="6">
        <x:v>0</x:v>
      </x:c>
      <x:c r="F3223" s="6">
        <x:v>0</x:v>
      </x:c>
      <x:c r="G3223" s="6">
        <x:v>0</x:v>
      </x:c>
      <x:c r="H3223" s="6">
        <x:f t="shared" si="155"/>
        <x:v>0</x:v>
      </x:c>
      <x:c r="I3223" s="6">
        <x:v>74.44</x:v>
      </x:c>
      <x:c r="J3223" s="6">
        <x:v>0</x:v>
      </x:c>
      <x:c r="K3223" s="6">
        <x:f t="shared" si="156"/>
        <x:v>74.44</x:v>
      </x:c>
      <x:c r="L3223" s="6">
        <x:v>0</x:v>
      </x:c>
      <x:c r="M3223" s="6">
        <x:v>0</x:v>
      </x:c>
      <x:c r="N3223" s="6">
        <x:f t="shared" si="157"/>
        <x:v>74.44</x:v>
      </x:c>
    </x:row>
    <x:row r="3224" spans="1:14" x14ac:dyDescent="0.25">
      <x:c r="A3224" t="s">
        <x:v>2</x:v>
      </x:c>
      <x:c r="B3224" s="3" t="s">
        <x:v>180</x:v>
      </x:c>
      <x:c r="C3224" s="3" t="s">
        <x:v>496</x:v>
      </x:c>
      <x:c r="D3224" t="s">
        <x:v>676</x:v>
      </x:c>
      <x:c r="E3224" s="6">
        <x:v>0</x:v>
      </x:c>
      <x:c r="F3224" s="6">
        <x:v>0</x:v>
      </x:c>
      <x:c r="G3224" s="6">
        <x:v>0</x:v>
      </x:c>
      <x:c r="H3224" s="6">
        <x:f t="shared" si="155"/>
        <x:v>0</x:v>
      </x:c>
      <x:c r="I3224" s="6">
        <x:v>349.53</x:v>
      </x:c>
      <x:c r="J3224" s="6">
        <x:v>0</x:v>
      </x:c>
      <x:c r="K3224" s="6">
        <x:f t="shared" si="156"/>
        <x:v>349.53</x:v>
      </x:c>
      <x:c r="L3224" s="6">
        <x:v>0</x:v>
      </x:c>
      <x:c r="M3224" s="6">
        <x:v>0</x:v>
      </x:c>
      <x:c r="N3224" s="6">
        <x:f t="shared" si="157"/>
        <x:v>349.53</x:v>
      </x:c>
    </x:row>
    <x:row r="3225" spans="1:14" x14ac:dyDescent="0.25">
      <x:c r="A3225" t="s">
        <x:v>2</x:v>
      </x:c>
      <x:c r="B3225" s="3" t="s">
        <x:v>182</x:v>
      </x:c>
      <x:c r="C3225" s="3" t="s">
        <x:v>498</x:v>
      </x:c>
      <x:c r="D3225" t="s">
        <x:v>676</x:v>
      </x:c>
      <x:c r="E3225" s="6">
        <x:v>0</x:v>
      </x:c>
      <x:c r="F3225" s="6">
        <x:v>0</x:v>
      </x:c>
      <x:c r="G3225" s="6">
        <x:v>0</x:v>
      </x:c>
      <x:c r="H3225" s="6">
        <x:f t="shared" si="155"/>
        <x:v>0</x:v>
      </x:c>
      <x:c r="I3225" s="6">
        <x:v>1805.33</x:v>
      </x:c>
      <x:c r="J3225" s="6">
        <x:v>0</x:v>
      </x:c>
      <x:c r="K3225" s="6">
        <x:f t="shared" si="156"/>
        <x:v>1805.33</x:v>
      </x:c>
      <x:c r="L3225" s="6">
        <x:v>0</x:v>
      </x:c>
      <x:c r="M3225" s="6">
        <x:v>0</x:v>
      </x:c>
      <x:c r="N3225" s="6">
        <x:f t="shared" si="157"/>
        <x:v>1805.33</x:v>
      </x:c>
    </x:row>
    <x:row r="3226" spans="1:14" x14ac:dyDescent="0.25">
      <x:c r="A3226" t="s">
        <x:v>2</x:v>
      </x:c>
      <x:c r="B3226" s="3" t="s">
        <x:v>235</x:v>
      </x:c>
      <x:c r="C3226" s="3" t="s">
        <x:v>550</x:v>
      </x:c>
      <x:c r="D3226" t="s">
        <x:v>676</x:v>
      </x:c>
      <x:c r="E3226" s="6">
        <x:v>0</x:v>
      </x:c>
      <x:c r="F3226" s="6">
        <x:v>0</x:v>
      </x:c>
      <x:c r="G3226" s="6">
        <x:v>0</x:v>
      </x:c>
      <x:c r="H3226" s="6">
        <x:f t="shared" si="155"/>
        <x:v>0</x:v>
      </x:c>
      <x:c r="I3226" s="6">
        <x:v>882.63</x:v>
      </x:c>
      <x:c r="J3226" s="6">
        <x:v>0</x:v>
      </x:c>
      <x:c r="K3226" s="6">
        <x:f t="shared" si="156"/>
        <x:v>882.63</x:v>
      </x:c>
      <x:c r="L3226" s="6">
        <x:v>0</x:v>
      </x:c>
      <x:c r="M3226" s="6">
        <x:v>0</x:v>
      </x:c>
      <x:c r="N3226" s="6">
        <x:f t="shared" si="157"/>
        <x:v>882.63</x:v>
      </x:c>
    </x:row>
    <x:row r="3227" spans="1:14" x14ac:dyDescent="0.25">
      <x:c r="A3227" t="s">
        <x:v>2</x:v>
      </x:c>
      <x:c r="B3227" s="3" t="s">
        <x:v>184</x:v>
      </x:c>
      <x:c r="C3227" s="3" t="s">
        <x:v>500</x:v>
      </x:c>
      <x:c r="D3227" t="s">
        <x:v>676</x:v>
      </x:c>
      <x:c r="E3227" s="6">
        <x:v>0</x:v>
      </x:c>
      <x:c r="F3227" s="6">
        <x:v>0</x:v>
      </x:c>
      <x:c r="G3227" s="6">
        <x:v>0</x:v>
      </x:c>
      <x:c r="H3227" s="6">
        <x:f t="shared" si="155"/>
        <x:v>0</x:v>
      </x:c>
      <x:c r="I3227" s="6">
        <x:v>65.73</x:v>
      </x:c>
      <x:c r="J3227" s="6">
        <x:v>0</x:v>
      </x:c>
      <x:c r="K3227" s="6">
        <x:f t="shared" si="156"/>
        <x:v>65.73</x:v>
      </x:c>
      <x:c r="L3227" s="6">
        <x:v>0</x:v>
      </x:c>
      <x:c r="M3227" s="6">
        <x:v>0</x:v>
      </x:c>
      <x:c r="N3227" s="6">
        <x:f t="shared" si="157"/>
        <x:v>65.73</x:v>
      </x:c>
    </x:row>
    <x:row r="3228" spans="1:14" x14ac:dyDescent="0.25">
      <x:c r="A3228" t="s">
        <x:v>2</x:v>
      </x:c>
      <x:c r="B3228" s="3" t="s">
        <x:v>185</x:v>
      </x:c>
      <x:c r="C3228" s="3" t="s">
        <x:v>501</x:v>
      </x:c>
      <x:c r="D3228" t="s">
        <x:v>676</x:v>
      </x:c>
      <x:c r="E3228" s="6">
        <x:v>0</x:v>
      </x:c>
      <x:c r="F3228" s="6">
        <x:v>0</x:v>
      </x:c>
      <x:c r="G3228" s="6">
        <x:v>0</x:v>
      </x:c>
      <x:c r="H3228" s="6">
        <x:f t="shared" si="155"/>
        <x:v>0</x:v>
      </x:c>
      <x:c r="I3228" s="6">
        <x:v>943.2600000000001</x:v>
      </x:c>
      <x:c r="J3228" s="6">
        <x:v>0</x:v>
      </x:c>
      <x:c r="K3228" s="6">
        <x:f t="shared" si="156"/>
        <x:v>943.2600000000001</x:v>
      </x:c>
      <x:c r="L3228" s="6">
        <x:v>0</x:v>
      </x:c>
      <x:c r="M3228" s="6">
        <x:v>0</x:v>
      </x:c>
      <x:c r="N3228" s="6">
        <x:f t="shared" si="157"/>
        <x:v>943.2600000000001</x:v>
      </x:c>
    </x:row>
    <x:row r="3229" spans="1:14" x14ac:dyDescent="0.25">
      <x:c r="A3229" t="s">
        <x:v>2</x:v>
      </x:c>
      <x:c r="B3229" s="3" t="s">
        <x:v>187</x:v>
      </x:c>
      <x:c r="C3229" s="3" t="s">
        <x:v>503</x:v>
      </x:c>
      <x:c r="D3229" t="s">
        <x:v>676</x:v>
      </x:c>
      <x:c r="E3229" s="6">
        <x:v>0</x:v>
      </x:c>
      <x:c r="F3229" s="6">
        <x:v>0</x:v>
      </x:c>
      <x:c r="G3229" s="6">
        <x:v>0</x:v>
      </x:c>
      <x:c r="H3229" s="6">
        <x:f t="shared" si="155"/>
        <x:v>0</x:v>
      </x:c>
      <x:c r="I3229" s="6">
        <x:v>13.45</x:v>
      </x:c>
      <x:c r="J3229" s="6">
        <x:v>0</x:v>
      </x:c>
      <x:c r="K3229" s="6">
        <x:f t="shared" si="156"/>
        <x:v>13.45</x:v>
      </x:c>
      <x:c r="L3229" s="6">
        <x:v>0</x:v>
      </x:c>
      <x:c r="M3229" s="6">
        <x:v>0</x:v>
      </x:c>
      <x:c r="N3229" s="6">
        <x:f t="shared" si="157"/>
        <x:v>13.45</x:v>
      </x:c>
    </x:row>
    <x:row r="3230" spans="1:14" x14ac:dyDescent="0.25">
      <x:c r="A3230" t="s">
        <x:v>2</x:v>
      </x:c>
      <x:c r="B3230" s="3" t="s">
        <x:v>287</x:v>
      </x:c>
      <x:c r="C3230" s="3" t="s">
        <x:v>602</x:v>
      </x:c>
      <x:c r="D3230" t="s">
        <x:v>676</x:v>
      </x:c>
      <x:c r="E3230" s="6">
        <x:v>0</x:v>
      </x:c>
      <x:c r="F3230" s="6">
        <x:v>0</x:v>
      </x:c>
      <x:c r="G3230" s="6">
        <x:v>0</x:v>
      </x:c>
      <x:c r="H3230" s="6">
        <x:f t="shared" si="155"/>
        <x:v>0</x:v>
      </x:c>
      <x:c r="I3230" s="6">
        <x:v>600</x:v>
      </x:c>
      <x:c r="J3230" s="6">
        <x:v>0</x:v>
      </x:c>
      <x:c r="K3230" s="6">
        <x:f t="shared" si="156"/>
        <x:v>600</x:v>
      </x:c>
      <x:c r="L3230" s="6">
        <x:v>0</x:v>
      </x:c>
      <x:c r="M3230" s="6">
        <x:v>0</x:v>
      </x:c>
      <x:c r="N3230" s="6">
        <x:f t="shared" si="157"/>
        <x:v>600</x:v>
      </x:c>
    </x:row>
    <x:row r="3231" spans="1:14" x14ac:dyDescent="0.25">
      <x:c r="A3231" t="s">
        <x:v>2</x:v>
      </x:c>
      <x:c r="B3231" s="3" t="s">
        <x:v>264</x:v>
      </x:c>
      <x:c r="C3231" s="3" t="s">
        <x:v>579</x:v>
      </x:c>
      <x:c r="D3231" t="s">
        <x:v>676</x:v>
      </x:c>
      <x:c r="E3231" s="6">
        <x:v>0</x:v>
      </x:c>
      <x:c r="F3231" s="6">
        <x:v>0</x:v>
      </x:c>
      <x:c r="G3231" s="6">
        <x:v>0</x:v>
      </x:c>
      <x:c r="H3231" s="6">
        <x:f t="shared" ref="H3231:H3294" si="158">SUM(E3231:G3231)</x:f>
        <x:v>0</x:v>
      </x:c>
      <x:c r="I3231" s="6">
        <x:v>0</x:v>
      </x:c>
      <x:c r="J3231" s="6">
        <x:v>0</x:v>
      </x:c>
      <x:c r="K3231" s="6">
        <x:f t="shared" ref="K3231:K3294" si="159">SUM(I3231:J3231)</x:f>
        <x:v>0</x:v>
      </x:c>
      <x:c r="L3231" s="6">
        <x:v>3475.4800000000005</x:v>
      </x:c>
      <x:c r="M3231" s="6">
        <x:v>0</x:v>
      </x:c>
      <x:c r="N3231" s="6">
        <x:f t="shared" ref="N3231:N3294" si="160">+E3231+F3231+G3231+I3231+J3231+L3231+M3231</x:f>
        <x:v>3475.4800000000005</x:v>
      </x:c>
    </x:row>
    <x:row r="3232" spans="1:14" x14ac:dyDescent="0.25">
      <x:c r="A3232" t="s">
        <x:v>2</x:v>
      </x:c>
      <x:c r="B3232" s="3" t="s">
        <x:v>190</x:v>
      </x:c>
      <x:c r="C3232" s="3" t="s">
        <x:v>506</x:v>
      </x:c>
      <x:c r="D3232" t="s">
        <x:v>676</x:v>
      </x:c>
      <x:c r="E3232" s="6">
        <x:v>0</x:v>
      </x:c>
      <x:c r="F3232" s="6">
        <x:v>0</x:v>
      </x:c>
      <x:c r="G3232" s="6">
        <x:v>0</x:v>
      </x:c>
      <x:c r="H3232" s="6">
        <x:f t="shared" si="158"/>
        <x:v>0</x:v>
      </x:c>
      <x:c r="I3232" s="6">
        <x:v>-0.01</x:v>
      </x:c>
      <x:c r="J3232" s="6">
        <x:v>0</x:v>
      </x:c>
      <x:c r="K3232" s="6">
        <x:f t="shared" si="159"/>
        <x:v>-0.01</x:v>
      </x:c>
      <x:c r="L3232" s="6">
        <x:v>0</x:v>
      </x:c>
      <x:c r="M3232" s="6">
        <x:v>0</x:v>
      </x:c>
      <x:c r="N3232" s="6">
        <x:f t="shared" si="160"/>
        <x:v>-0.01</x:v>
      </x:c>
    </x:row>
    <x:row r="3233" spans="1:14" x14ac:dyDescent="0.25">
      <x:c r="A3233" t="s">
        <x:v>2</x:v>
      </x:c>
      <x:c r="B3233" s="3" t="s">
        <x:v>192</x:v>
      </x:c>
      <x:c r="C3233" s="3" t="s">
        <x:v>508</x:v>
      </x:c>
      <x:c r="D3233" t="s">
        <x:v>676</x:v>
      </x:c>
      <x:c r="E3233" s="6">
        <x:v>0</x:v>
      </x:c>
      <x:c r="F3233" s="6">
        <x:v>0</x:v>
      </x:c>
      <x:c r="G3233" s="6">
        <x:v>0</x:v>
      </x:c>
      <x:c r="H3233" s="6">
        <x:f t="shared" si="158"/>
        <x:v>0</x:v>
      </x:c>
      <x:c r="I3233" s="6">
        <x:v>3874.16</x:v>
      </x:c>
      <x:c r="J3233" s="6">
        <x:v>0</x:v>
      </x:c>
      <x:c r="K3233" s="6">
        <x:f t="shared" si="159"/>
        <x:v>3874.16</x:v>
      </x:c>
      <x:c r="L3233" s="6">
        <x:v>0</x:v>
      </x:c>
      <x:c r="M3233" s="6">
        <x:v>0</x:v>
      </x:c>
      <x:c r="N3233" s="6">
        <x:f t="shared" si="160"/>
        <x:v>3874.16</x:v>
      </x:c>
    </x:row>
    <x:row r="3234" spans="1:14" x14ac:dyDescent="0.25">
      <x:c r="A3234" t="s">
        <x:v>2</x:v>
      </x:c>
      <x:c r="B3234" s="3" t="s">
        <x:v>193</x:v>
      </x:c>
      <x:c r="C3234" s="3" t="s">
        <x:v>509</x:v>
      </x:c>
      <x:c r="D3234" t="s">
        <x:v>676</x:v>
      </x:c>
      <x:c r="E3234" s="6">
        <x:v>0</x:v>
      </x:c>
      <x:c r="F3234" s="6">
        <x:v>0</x:v>
      </x:c>
      <x:c r="G3234" s="6">
        <x:v>0</x:v>
      </x:c>
      <x:c r="H3234" s="6">
        <x:f t="shared" si="158"/>
        <x:v>0</x:v>
      </x:c>
      <x:c r="I3234" s="6">
        <x:v>946.36</x:v>
      </x:c>
      <x:c r="J3234" s="6">
        <x:v>0</x:v>
      </x:c>
      <x:c r="K3234" s="6">
        <x:f t="shared" si="159"/>
        <x:v>946.36</x:v>
      </x:c>
      <x:c r="L3234" s="6">
        <x:v>0</x:v>
      </x:c>
      <x:c r="M3234" s="6">
        <x:v>0</x:v>
      </x:c>
      <x:c r="N3234" s="6">
        <x:f t="shared" si="160"/>
        <x:v>946.36</x:v>
      </x:c>
    </x:row>
    <x:row r="3235" spans="1:14" x14ac:dyDescent="0.25">
      <x:c r="A3235" t="s">
        <x:v>2</x:v>
      </x:c>
      <x:c r="B3235" s="3" t="s">
        <x:v>194</x:v>
      </x:c>
      <x:c r="C3235" s="3" t="s">
        <x:v>510</x:v>
      </x:c>
      <x:c r="D3235" t="s">
        <x:v>676</x:v>
      </x:c>
      <x:c r="E3235" s="6">
        <x:v>0</x:v>
      </x:c>
      <x:c r="F3235" s="6">
        <x:v>0</x:v>
      </x:c>
      <x:c r="G3235" s="6">
        <x:v>0</x:v>
      </x:c>
      <x:c r="H3235" s="6">
        <x:f t="shared" si="158"/>
        <x:v>0</x:v>
      </x:c>
      <x:c r="I3235" s="6">
        <x:v>2808.93</x:v>
      </x:c>
      <x:c r="J3235" s="6">
        <x:v>0</x:v>
      </x:c>
      <x:c r="K3235" s="6">
        <x:f t="shared" si="159"/>
        <x:v>2808.93</x:v>
      </x:c>
      <x:c r="L3235" s="6">
        <x:v>0</x:v>
      </x:c>
      <x:c r="M3235" s="6">
        <x:v>0</x:v>
      </x:c>
      <x:c r="N3235" s="6">
        <x:f t="shared" si="160"/>
        <x:v>2808.93</x:v>
      </x:c>
    </x:row>
    <x:row r="3236" spans="1:14" x14ac:dyDescent="0.25">
      <x:c r="A3236" t="s">
        <x:v>2</x:v>
      </x:c>
      <x:c r="B3236" s="3" t="s">
        <x:v>46</x:v>
      </x:c>
      <x:c r="C3236" s="3" t="s">
        <x:v>363</x:v>
      </x:c>
      <x:c r="D3236" t="s">
        <x:v>676</x:v>
      </x:c>
      <x:c r="E3236" s="6">
        <x:v>0</x:v>
      </x:c>
      <x:c r="F3236" s="6">
        <x:v>0</x:v>
      </x:c>
      <x:c r="G3236" s="6">
        <x:v>0</x:v>
      </x:c>
      <x:c r="H3236" s="6">
        <x:f t="shared" si="158"/>
        <x:v>0</x:v>
      </x:c>
      <x:c r="I3236" s="6">
        <x:v>0</x:v>
      </x:c>
      <x:c r="J3236" s="6">
        <x:v>0</x:v>
      </x:c>
      <x:c r="K3236" s="6">
        <x:f t="shared" si="159"/>
        <x:v>0</x:v>
      </x:c>
      <x:c r="L3236" s="6">
        <x:v>150.44999999999999</x:v>
      </x:c>
      <x:c r="M3236" s="6">
        <x:v>0</x:v>
      </x:c>
      <x:c r="N3236" s="6">
        <x:f t="shared" si="160"/>
        <x:v>150.44999999999999</x:v>
      </x:c>
    </x:row>
    <x:row r="3237" spans="1:14" x14ac:dyDescent="0.25">
      <x:c r="A3237" t="s">
        <x:v>2</x:v>
      </x:c>
      <x:c r="B3237" s="3" t="s">
        <x:v>195</x:v>
      </x:c>
      <x:c r="C3237" s="3" t="s">
        <x:v>511</x:v>
      </x:c>
      <x:c r="D3237" t="s">
        <x:v>676</x:v>
      </x:c>
      <x:c r="E3237" s="6">
        <x:v>0</x:v>
      </x:c>
      <x:c r="F3237" s="6">
        <x:v>0</x:v>
      </x:c>
      <x:c r="G3237" s="6">
        <x:v>0</x:v>
      </x:c>
      <x:c r="H3237" s="6">
        <x:f t="shared" si="158"/>
        <x:v>0</x:v>
      </x:c>
      <x:c r="I3237" s="6">
        <x:v>2423.96</x:v>
      </x:c>
      <x:c r="J3237" s="6">
        <x:v>0</x:v>
      </x:c>
      <x:c r="K3237" s="6">
        <x:f t="shared" si="159"/>
        <x:v>2423.96</x:v>
      </x:c>
      <x:c r="L3237" s="6">
        <x:v>0</x:v>
      </x:c>
      <x:c r="M3237" s="6">
        <x:v>0</x:v>
      </x:c>
      <x:c r="N3237" s="6">
        <x:f t="shared" si="160"/>
        <x:v>2423.96</x:v>
      </x:c>
    </x:row>
    <x:row r="3238" spans="1:14" x14ac:dyDescent="0.25">
      <x:c r="A3238" t="s">
        <x:v>2</x:v>
      </x:c>
      <x:c r="B3238" s="3" t="s">
        <x:v>196</x:v>
      </x:c>
      <x:c r="C3238" s="3" t="s">
        <x:v>512</x:v>
      </x:c>
      <x:c r="D3238" t="s">
        <x:v>676</x:v>
      </x:c>
      <x:c r="E3238" s="6">
        <x:v>0</x:v>
      </x:c>
      <x:c r="F3238" s="6">
        <x:v>0</x:v>
      </x:c>
      <x:c r="G3238" s="6">
        <x:v>0</x:v>
      </x:c>
      <x:c r="H3238" s="6">
        <x:f t="shared" si="158"/>
        <x:v>0</x:v>
      </x:c>
      <x:c r="I3238" s="6">
        <x:v>1398.28</x:v>
      </x:c>
      <x:c r="J3238" s="6">
        <x:v>0</x:v>
      </x:c>
      <x:c r="K3238" s="6">
        <x:f t="shared" si="159"/>
        <x:v>1398.28</x:v>
      </x:c>
      <x:c r="L3238" s="6">
        <x:v>0</x:v>
      </x:c>
      <x:c r="M3238" s="6">
        <x:v>0</x:v>
      </x:c>
      <x:c r="N3238" s="6">
        <x:f t="shared" si="160"/>
        <x:v>1398.28</x:v>
      </x:c>
    </x:row>
    <x:row r="3239" spans="1:14" x14ac:dyDescent="0.25">
      <x:c r="A3239" t="s">
        <x:v>2</x:v>
      </x:c>
      <x:c r="B3239" s="3" t="s">
        <x:v>197</x:v>
      </x:c>
      <x:c r="C3239" s="3" t="s">
        <x:v>513</x:v>
      </x:c>
      <x:c r="D3239" t="s">
        <x:v>676</x:v>
      </x:c>
      <x:c r="E3239" s="6">
        <x:v>0</x:v>
      </x:c>
      <x:c r="F3239" s="6">
        <x:v>0</x:v>
      </x:c>
      <x:c r="G3239" s="6">
        <x:v>0</x:v>
      </x:c>
      <x:c r="H3239" s="6">
        <x:f t="shared" si="158"/>
        <x:v>0</x:v>
      </x:c>
      <x:c r="I3239" s="6">
        <x:v>0</x:v>
      </x:c>
      <x:c r="J3239" s="6">
        <x:v>0</x:v>
      </x:c>
      <x:c r="K3239" s="6">
        <x:f t="shared" si="159"/>
        <x:v>0</x:v>
      </x:c>
      <x:c r="L3239" s="6">
        <x:v>6691.6100000000006</x:v>
      </x:c>
      <x:c r="M3239" s="6">
        <x:v>0</x:v>
      </x:c>
      <x:c r="N3239" s="6">
        <x:f t="shared" si="160"/>
        <x:v>6691.6100000000006</x:v>
      </x:c>
    </x:row>
    <x:row r="3240" spans="1:14" x14ac:dyDescent="0.25">
      <x:c r="A3240" t="s">
        <x:v>2</x:v>
      </x:c>
      <x:c r="B3240" s="3" t="s">
        <x:v>63</x:v>
      </x:c>
      <x:c r="C3240" s="3" t="s">
        <x:v>380</x:v>
      </x:c>
      <x:c r="D3240" t="s">
        <x:v>676</x:v>
      </x:c>
      <x:c r="E3240" s="6">
        <x:v>0</x:v>
      </x:c>
      <x:c r="F3240" s="6">
        <x:v>0</x:v>
      </x:c>
      <x:c r="G3240" s="6">
        <x:v>0</x:v>
      </x:c>
      <x:c r="H3240" s="6">
        <x:f t="shared" si="158"/>
        <x:v>0</x:v>
      </x:c>
      <x:c r="I3240" s="6">
        <x:v>5374.85</x:v>
      </x:c>
      <x:c r="J3240" s="6">
        <x:v>0</x:v>
      </x:c>
      <x:c r="K3240" s="6">
        <x:f t="shared" si="159"/>
        <x:v>5374.85</x:v>
      </x:c>
      <x:c r="L3240" s="6">
        <x:v>0</x:v>
      </x:c>
      <x:c r="M3240" s="6">
        <x:v>0</x:v>
      </x:c>
      <x:c r="N3240" s="6">
        <x:f t="shared" si="160"/>
        <x:v>5374.85</x:v>
      </x:c>
    </x:row>
    <x:row r="3241" spans="1:14" x14ac:dyDescent="0.25">
      <x:c r="A3241" t="s">
        <x:v>2</x:v>
      </x:c>
      <x:c r="B3241" s="3" t="s">
        <x:v>199</x:v>
      </x:c>
      <x:c r="C3241" s="3" t="s">
        <x:v>515</x:v>
      </x:c>
      <x:c r="D3241" t="s">
        <x:v>676</x:v>
      </x:c>
      <x:c r="E3241" s="6">
        <x:v>0</x:v>
      </x:c>
      <x:c r="F3241" s="6">
        <x:v>0</x:v>
      </x:c>
      <x:c r="G3241" s="6">
        <x:v>0</x:v>
      </x:c>
      <x:c r="H3241" s="6">
        <x:f t="shared" si="158"/>
        <x:v>0</x:v>
      </x:c>
      <x:c r="I3241" s="6">
        <x:v>2177.1999999999998</x:v>
      </x:c>
      <x:c r="J3241" s="6">
        <x:v>0</x:v>
      </x:c>
      <x:c r="K3241" s="6">
        <x:f t="shared" si="159"/>
        <x:v>2177.1999999999998</x:v>
      </x:c>
      <x:c r="L3241" s="6">
        <x:v>0</x:v>
      </x:c>
      <x:c r="M3241" s="6">
        <x:v>0</x:v>
      </x:c>
      <x:c r="N3241" s="6">
        <x:f t="shared" si="160"/>
        <x:v>2177.1999999999998</x:v>
      </x:c>
    </x:row>
    <x:row r="3242" spans="1:14" x14ac:dyDescent="0.25">
      <x:c r="A3242" t="s">
        <x:v>2</x:v>
      </x:c>
      <x:c r="B3242" s="3" t="s">
        <x:v>200</x:v>
      </x:c>
      <x:c r="C3242" s="3" t="s">
        <x:v>516</x:v>
      </x:c>
      <x:c r="D3242" t="s">
        <x:v>676</x:v>
      </x:c>
      <x:c r="E3242" s="6">
        <x:v>0</x:v>
      </x:c>
      <x:c r="F3242" s="6">
        <x:v>0</x:v>
      </x:c>
      <x:c r="G3242" s="6">
        <x:v>0</x:v>
      </x:c>
      <x:c r="H3242" s="6">
        <x:f t="shared" si="158"/>
        <x:v>0</x:v>
      </x:c>
      <x:c r="I3242" s="6">
        <x:v>4713.4000000000005</x:v>
      </x:c>
      <x:c r="J3242" s="6">
        <x:v>0</x:v>
      </x:c>
      <x:c r="K3242" s="6">
        <x:f t="shared" si="159"/>
        <x:v>4713.4000000000005</x:v>
      </x:c>
      <x:c r="L3242" s="6">
        <x:v>0</x:v>
      </x:c>
      <x:c r="M3242" s="6">
        <x:v>0</x:v>
      </x:c>
      <x:c r="N3242" s="6">
        <x:f t="shared" si="160"/>
        <x:v>4713.4000000000005</x:v>
      </x:c>
    </x:row>
    <x:row r="3243" spans="1:14" x14ac:dyDescent="0.25">
      <x:c r="A3243" t="s">
        <x:v>2</x:v>
      </x:c>
      <x:c r="B3243" s="3" t="s">
        <x:v>202</x:v>
      </x:c>
      <x:c r="C3243" s="3" t="s">
        <x:v>518</x:v>
      </x:c>
      <x:c r="D3243" t="s">
        <x:v>676</x:v>
      </x:c>
      <x:c r="E3243" s="6">
        <x:v>0</x:v>
      </x:c>
      <x:c r="F3243" s="6">
        <x:v>0</x:v>
      </x:c>
      <x:c r="G3243" s="6">
        <x:v>0</x:v>
      </x:c>
      <x:c r="H3243" s="6">
        <x:f t="shared" si="158"/>
        <x:v>0</x:v>
      </x:c>
      <x:c r="I3243" s="6">
        <x:v>50034.969999999994</x:v>
      </x:c>
      <x:c r="J3243" s="6">
        <x:v>0</x:v>
      </x:c>
      <x:c r="K3243" s="6">
        <x:f t="shared" si="159"/>
        <x:v>50034.969999999994</x:v>
      </x:c>
      <x:c r="L3243" s="6">
        <x:v>0</x:v>
      </x:c>
      <x:c r="M3243" s="6">
        <x:v>0</x:v>
      </x:c>
      <x:c r="N3243" s="6">
        <x:f t="shared" si="160"/>
        <x:v>50034.969999999994</x:v>
      </x:c>
    </x:row>
    <x:row r="3244" spans="1:14" x14ac:dyDescent="0.25">
      <x:c r="A3244" t="s">
        <x:v>2</x:v>
      </x:c>
      <x:c r="B3244" s="3" t="s">
        <x:v>50</x:v>
      </x:c>
      <x:c r="C3244" s="3" t="s">
        <x:v>367</x:v>
      </x:c>
      <x:c r="D3244" t="s">
        <x:v>676</x:v>
      </x:c>
      <x:c r="E3244" s="6">
        <x:v>0</x:v>
      </x:c>
      <x:c r="F3244" s="6">
        <x:v>0</x:v>
      </x:c>
      <x:c r="G3244" s="6">
        <x:v>0</x:v>
      </x:c>
      <x:c r="H3244" s="6">
        <x:f t="shared" si="158"/>
        <x:v>0</x:v>
      </x:c>
      <x:c r="I3244" s="6">
        <x:v>252.92</x:v>
      </x:c>
      <x:c r="J3244" s="6">
        <x:v>0</x:v>
      </x:c>
      <x:c r="K3244" s="6">
        <x:f t="shared" si="159"/>
        <x:v>252.92</x:v>
      </x:c>
      <x:c r="L3244" s="6">
        <x:v>0</x:v>
      </x:c>
      <x:c r="M3244" s="6">
        <x:v>0</x:v>
      </x:c>
      <x:c r="N3244" s="6">
        <x:f t="shared" si="160"/>
        <x:v>252.92</x:v>
      </x:c>
    </x:row>
    <x:row r="3245" spans="1:14" x14ac:dyDescent="0.25">
      <x:c r="A3245" t="s">
        <x:v>2</x:v>
      </x:c>
      <x:c r="B3245" s="3" t="s">
        <x:v>205</x:v>
      </x:c>
      <x:c r="C3245" s="3" t="s">
        <x:v>521</x:v>
      </x:c>
      <x:c r="D3245" t="s">
        <x:v>676</x:v>
      </x:c>
      <x:c r="E3245" s="6">
        <x:v>0</x:v>
      </x:c>
      <x:c r="F3245" s="6">
        <x:v>0</x:v>
      </x:c>
      <x:c r="G3245" s="6">
        <x:v>0</x:v>
      </x:c>
      <x:c r="H3245" s="6">
        <x:f t="shared" si="158"/>
        <x:v>0</x:v>
      </x:c>
      <x:c r="I3245" s="6">
        <x:v>7289.54</x:v>
      </x:c>
      <x:c r="J3245" s="6">
        <x:v>0</x:v>
      </x:c>
      <x:c r="K3245" s="6">
        <x:f t="shared" si="159"/>
        <x:v>7289.54</x:v>
      </x:c>
      <x:c r="L3245" s="6">
        <x:v>0</x:v>
      </x:c>
      <x:c r="M3245" s="6">
        <x:v>0</x:v>
      </x:c>
      <x:c r="N3245" s="6">
        <x:f t="shared" si="160"/>
        <x:v>7289.54</x:v>
      </x:c>
    </x:row>
    <x:row r="3246" spans="1:14" x14ac:dyDescent="0.25">
      <x:c r="A3246" t="s">
        <x:v>2</x:v>
      </x:c>
      <x:c r="B3246" s="3" t="s">
        <x:v>240</x:v>
      </x:c>
      <x:c r="C3246" s="3" t="s">
        <x:v>555</x:v>
      </x:c>
      <x:c r="D3246" t="s">
        <x:v>676</x:v>
      </x:c>
      <x:c r="E3246" s="6">
        <x:v>0</x:v>
      </x:c>
      <x:c r="F3246" s="6">
        <x:v>0</x:v>
      </x:c>
      <x:c r="G3246" s="6">
        <x:v>0</x:v>
      </x:c>
      <x:c r="H3246" s="6">
        <x:f t="shared" si="158"/>
        <x:v>0</x:v>
      </x:c>
      <x:c r="I3246" s="6">
        <x:v>250.38</x:v>
      </x:c>
      <x:c r="J3246" s="6">
        <x:v>0</x:v>
      </x:c>
      <x:c r="K3246" s="6">
        <x:f t="shared" si="159"/>
        <x:v>250.38</x:v>
      </x:c>
      <x:c r="L3246" s="6">
        <x:v>0</x:v>
      </x:c>
      <x:c r="M3246" s="6">
        <x:v>0</x:v>
      </x:c>
      <x:c r="N3246" s="6">
        <x:f t="shared" si="160"/>
        <x:v>250.38</x:v>
      </x:c>
    </x:row>
    <x:row r="3247" spans="1:14" x14ac:dyDescent="0.25">
      <x:c r="A3247" t="s">
        <x:v>2</x:v>
      </x:c>
      <x:c r="B3247" s="3" t="s">
        <x:v>207</x:v>
      </x:c>
      <x:c r="C3247" s="3" t="s">
        <x:v>523</x:v>
      </x:c>
      <x:c r="D3247" t="s">
        <x:v>676</x:v>
      </x:c>
      <x:c r="E3247" s="6">
        <x:v>0</x:v>
      </x:c>
      <x:c r="F3247" s="6">
        <x:v>0</x:v>
      </x:c>
      <x:c r="G3247" s="6">
        <x:v>0</x:v>
      </x:c>
      <x:c r="H3247" s="6">
        <x:f t="shared" si="158"/>
        <x:v>0</x:v>
      </x:c>
      <x:c r="I3247" s="6">
        <x:v>19560.510000000002</x:v>
      </x:c>
      <x:c r="J3247" s="6">
        <x:v>0</x:v>
      </x:c>
      <x:c r="K3247" s="6">
        <x:f t="shared" si="159"/>
        <x:v>19560.510000000002</x:v>
      </x:c>
      <x:c r="L3247" s="6">
        <x:v>0</x:v>
      </x:c>
      <x:c r="M3247" s="6">
        <x:v>0</x:v>
      </x:c>
      <x:c r="N3247" s="6">
        <x:f t="shared" si="160"/>
        <x:v>19560.510000000002</x:v>
      </x:c>
    </x:row>
    <x:row r="3248" spans="1:14" x14ac:dyDescent="0.25">
      <x:c r="A3248" t="s">
        <x:v>2</x:v>
      </x:c>
      <x:c r="B3248" s="3" t="s">
        <x:v>208</x:v>
      </x:c>
      <x:c r="C3248" s="3" t="s">
        <x:v>524</x:v>
      </x:c>
      <x:c r="D3248" t="s">
        <x:v>676</x:v>
      </x:c>
      <x:c r="E3248" s="6">
        <x:v>0</x:v>
      </x:c>
      <x:c r="F3248" s="6">
        <x:v>0</x:v>
      </x:c>
      <x:c r="G3248" s="6">
        <x:v>0</x:v>
      </x:c>
      <x:c r="H3248" s="6">
        <x:f t="shared" si="158"/>
        <x:v>0</x:v>
      </x:c>
      <x:c r="I3248" s="6">
        <x:v>2626.9700000000003</x:v>
      </x:c>
      <x:c r="J3248" s="6">
        <x:v>0</x:v>
      </x:c>
      <x:c r="K3248" s="6">
        <x:f t="shared" si="159"/>
        <x:v>2626.9700000000003</x:v>
      </x:c>
      <x:c r="L3248" s="6">
        <x:v>0</x:v>
      </x:c>
      <x:c r="M3248" s="6">
        <x:v>0</x:v>
      </x:c>
      <x:c r="N3248" s="6">
        <x:f t="shared" si="160"/>
        <x:v>2626.9700000000003</x:v>
      </x:c>
    </x:row>
    <x:row r="3249" spans="1:14" x14ac:dyDescent="0.25">
      <x:c r="A3249" t="s">
        <x:v>2</x:v>
      </x:c>
      <x:c r="B3249" s="3" t="s">
        <x:v>209</x:v>
      </x:c>
      <x:c r="C3249" s="3" t="s">
        <x:v>525</x:v>
      </x:c>
      <x:c r="D3249" t="s">
        <x:v>676</x:v>
      </x:c>
      <x:c r="E3249" s="6">
        <x:v>0</x:v>
      </x:c>
      <x:c r="F3249" s="6">
        <x:v>0</x:v>
      </x:c>
      <x:c r="G3249" s="6">
        <x:v>0</x:v>
      </x:c>
      <x:c r="H3249" s="6">
        <x:f t="shared" si="158"/>
        <x:v>0</x:v>
      </x:c>
      <x:c r="I3249" s="6">
        <x:v>11726.630000000001</x:v>
      </x:c>
      <x:c r="J3249" s="6">
        <x:v>0</x:v>
      </x:c>
      <x:c r="K3249" s="6">
        <x:f t="shared" si="159"/>
        <x:v>11726.630000000001</x:v>
      </x:c>
      <x:c r="L3249" s="6">
        <x:v>0</x:v>
      </x:c>
      <x:c r="M3249" s="6">
        <x:v>0</x:v>
      </x:c>
      <x:c r="N3249" s="6">
        <x:f t="shared" si="160"/>
        <x:v>11726.630000000001</x:v>
      </x:c>
    </x:row>
    <x:row r="3250" spans="1:14" x14ac:dyDescent="0.25">
      <x:c r="A3250" t="s">
        <x:v>2</x:v>
      </x:c>
      <x:c r="B3250" s="3" t="s">
        <x:v>210</x:v>
      </x:c>
      <x:c r="C3250" s="3" t="s">
        <x:v>526</x:v>
      </x:c>
      <x:c r="D3250" t="s">
        <x:v>676</x:v>
      </x:c>
      <x:c r="E3250" s="6">
        <x:v>0</x:v>
      </x:c>
      <x:c r="F3250" s="6">
        <x:v>0</x:v>
      </x:c>
      <x:c r="G3250" s="6">
        <x:v>0</x:v>
      </x:c>
      <x:c r="H3250" s="6">
        <x:f t="shared" si="158"/>
        <x:v>0</x:v>
      </x:c>
      <x:c r="I3250" s="6">
        <x:v>361.69000000000005</x:v>
      </x:c>
      <x:c r="J3250" s="6">
        <x:v>0</x:v>
      </x:c>
      <x:c r="K3250" s="6">
        <x:f t="shared" si="159"/>
        <x:v>361.69000000000005</x:v>
      </x:c>
      <x:c r="L3250" s="6">
        <x:v>0</x:v>
      </x:c>
      <x:c r="M3250" s="6">
        <x:v>0</x:v>
      </x:c>
      <x:c r="N3250" s="6">
        <x:f t="shared" si="160"/>
        <x:v>361.69000000000005</x:v>
      </x:c>
    </x:row>
    <x:row r="3251" spans="1:14" x14ac:dyDescent="0.25">
      <x:c r="A3251" t="s">
        <x:v>2</x:v>
      </x:c>
      <x:c r="B3251" s="3" t="s">
        <x:v>211</x:v>
      </x:c>
      <x:c r="C3251" s="3" t="s">
        <x:v>527</x:v>
      </x:c>
      <x:c r="D3251" t="s">
        <x:v>676</x:v>
      </x:c>
      <x:c r="E3251" s="6">
        <x:v>0</x:v>
      </x:c>
      <x:c r="F3251" s="6">
        <x:v>0</x:v>
      </x:c>
      <x:c r="G3251" s="6">
        <x:v>0</x:v>
      </x:c>
      <x:c r="H3251" s="6">
        <x:f t="shared" si="158"/>
        <x:v>0</x:v>
      </x:c>
      <x:c r="I3251" s="6">
        <x:v>4451.0599999999995</x:v>
      </x:c>
      <x:c r="J3251" s="6">
        <x:v>0</x:v>
      </x:c>
      <x:c r="K3251" s="6">
        <x:f t="shared" si="159"/>
        <x:v>4451.0599999999995</x:v>
      </x:c>
      <x:c r="L3251" s="6">
        <x:v>0</x:v>
      </x:c>
      <x:c r="M3251" s="6">
        <x:v>0</x:v>
      </x:c>
      <x:c r="N3251" s="6">
        <x:f t="shared" si="160"/>
        <x:v>4451.0599999999995</x:v>
      </x:c>
    </x:row>
    <x:row r="3252" spans="1:14" x14ac:dyDescent="0.25">
      <x:c r="A3252" t="s">
        <x:v>2</x:v>
      </x:c>
      <x:c r="B3252" s="3" t="s">
        <x:v>212</x:v>
      </x:c>
      <x:c r="C3252" s="3" t="s">
        <x:v>528</x:v>
      </x:c>
      <x:c r="D3252" t="s">
        <x:v>676</x:v>
      </x:c>
      <x:c r="E3252" s="6">
        <x:v>0</x:v>
      </x:c>
      <x:c r="F3252" s="6">
        <x:v>0</x:v>
      </x:c>
      <x:c r="G3252" s="6">
        <x:v>0</x:v>
      </x:c>
      <x:c r="H3252" s="6">
        <x:f t="shared" si="158"/>
        <x:v>0</x:v>
      </x:c>
      <x:c r="I3252" s="6">
        <x:v>352.8</x:v>
      </x:c>
      <x:c r="J3252" s="6">
        <x:v>0</x:v>
      </x:c>
      <x:c r="K3252" s="6">
        <x:f t="shared" si="159"/>
        <x:v>352.8</x:v>
      </x:c>
      <x:c r="L3252" s="6">
        <x:v>0</x:v>
      </x:c>
      <x:c r="M3252" s="6">
        <x:v>0</x:v>
      </x:c>
      <x:c r="N3252" s="6">
        <x:f t="shared" si="160"/>
        <x:v>352.8</x:v>
      </x:c>
    </x:row>
    <x:row r="3253" spans="1:14" x14ac:dyDescent="0.25">
      <x:c r="A3253" t="s">
        <x:v>2</x:v>
      </x:c>
      <x:c r="B3253" s="3" t="s">
        <x:v>64</x:v>
      </x:c>
      <x:c r="C3253" s="3" t="s">
        <x:v>381</x:v>
      </x:c>
      <x:c r="D3253" t="s">
        <x:v>676</x:v>
      </x:c>
      <x:c r="E3253" s="6">
        <x:v>0</x:v>
      </x:c>
      <x:c r="F3253" s="6">
        <x:v>0</x:v>
      </x:c>
      <x:c r="G3253" s="6">
        <x:v>0</x:v>
      </x:c>
      <x:c r="H3253" s="6">
        <x:f t="shared" si="158"/>
        <x:v>0</x:v>
      </x:c>
      <x:c r="I3253" s="6">
        <x:v>3180.04</x:v>
      </x:c>
      <x:c r="J3253" s="6">
        <x:v>0</x:v>
      </x:c>
      <x:c r="K3253" s="6">
        <x:f t="shared" si="159"/>
        <x:v>3180.04</x:v>
      </x:c>
      <x:c r="L3253" s="6">
        <x:v>0</x:v>
      </x:c>
      <x:c r="M3253" s="6">
        <x:v>0</x:v>
      </x:c>
      <x:c r="N3253" s="6">
        <x:f t="shared" si="160"/>
        <x:v>3180.04</x:v>
      </x:c>
    </x:row>
    <x:row r="3254" spans="1:14" x14ac:dyDescent="0.25">
      <x:c r="A3254" t="s">
        <x:v>2</x:v>
      </x:c>
      <x:c r="B3254" s="3" t="s">
        <x:v>214</x:v>
      </x:c>
      <x:c r="C3254" s="3" t="s">
        <x:v>530</x:v>
      </x:c>
      <x:c r="D3254" t="s">
        <x:v>676</x:v>
      </x:c>
      <x:c r="E3254" s="6">
        <x:v>0</x:v>
      </x:c>
      <x:c r="F3254" s="6">
        <x:v>0</x:v>
      </x:c>
      <x:c r="G3254" s="6">
        <x:v>0</x:v>
      </x:c>
      <x:c r="H3254" s="6">
        <x:f t="shared" si="158"/>
        <x:v>0</x:v>
      </x:c>
      <x:c r="I3254" s="6">
        <x:v>36548.81</x:v>
      </x:c>
      <x:c r="J3254" s="6">
        <x:v>0</x:v>
      </x:c>
      <x:c r="K3254" s="6">
        <x:f t="shared" si="159"/>
        <x:v>36548.81</x:v>
      </x:c>
      <x:c r="L3254" s="6">
        <x:v>0</x:v>
      </x:c>
      <x:c r="M3254" s="6">
        <x:v>0</x:v>
      </x:c>
      <x:c r="N3254" s="6">
        <x:f t="shared" si="160"/>
        <x:v>36548.81</x:v>
      </x:c>
    </x:row>
    <x:row r="3255" spans="1:14" x14ac:dyDescent="0.25">
      <x:c r="A3255" t="s">
        <x:v>2</x:v>
      </x:c>
      <x:c r="B3255" s="3" t="s">
        <x:v>216</x:v>
      </x:c>
      <x:c r="C3255" s="3" t="s">
        <x:v>532</x:v>
      </x:c>
      <x:c r="D3255" t="s">
        <x:v>676</x:v>
      </x:c>
      <x:c r="E3255" s="6">
        <x:v>0</x:v>
      </x:c>
      <x:c r="F3255" s="6">
        <x:v>0</x:v>
      </x:c>
      <x:c r="G3255" s="6">
        <x:v>0</x:v>
      </x:c>
      <x:c r="H3255" s="6">
        <x:f t="shared" si="158"/>
        <x:v>0</x:v>
      </x:c>
      <x:c r="I3255" s="6">
        <x:v>191.82</x:v>
      </x:c>
      <x:c r="J3255" s="6">
        <x:v>0</x:v>
      </x:c>
      <x:c r="K3255" s="6">
        <x:f t="shared" si="159"/>
        <x:v>191.82</x:v>
      </x:c>
      <x:c r="L3255" s="6">
        <x:v>0</x:v>
      </x:c>
      <x:c r="M3255" s="6">
        <x:v>0</x:v>
      </x:c>
      <x:c r="N3255" s="6">
        <x:f t="shared" si="160"/>
        <x:v>191.82</x:v>
      </x:c>
    </x:row>
    <x:row r="3256" spans="1:14" x14ac:dyDescent="0.25">
      <x:c r="A3256" t="s">
        <x:v>2</x:v>
      </x:c>
      <x:c r="B3256" s="3" t="s">
        <x:v>267</x:v>
      </x:c>
      <x:c r="C3256" s="3" t="s">
        <x:v>582</x:v>
      </x:c>
      <x:c r="D3256" t="s">
        <x:v>676</x:v>
      </x:c>
      <x:c r="E3256" s="6">
        <x:v>0</x:v>
      </x:c>
      <x:c r="F3256" s="6">
        <x:v>0</x:v>
      </x:c>
      <x:c r="G3256" s="6">
        <x:v>0</x:v>
      </x:c>
      <x:c r="H3256" s="6">
        <x:f t="shared" si="158"/>
        <x:v>0</x:v>
      </x:c>
      <x:c r="I3256" s="6">
        <x:v>0</x:v>
      </x:c>
      <x:c r="J3256" s="6">
        <x:v>0</x:v>
      </x:c>
      <x:c r="K3256" s="6">
        <x:f t="shared" si="159"/>
        <x:v>0</x:v>
      </x:c>
      <x:c r="L3256" s="6">
        <x:v>1132.06</x:v>
      </x:c>
      <x:c r="M3256" s="6">
        <x:v>0</x:v>
      </x:c>
      <x:c r="N3256" s="6">
        <x:f t="shared" si="160"/>
        <x:v>1132.06</x:v>
      </x:c>
    </x:row>
    <x:row r="3257" spans="1:14" x14ac:dyDescent="0.25">
      <x:c r="A3257" t="s">
        <x:v>2</x:v>
      </x:c>
      <x:c r="B3257" s="3" t="s">
        <x:v>65</x:v>
      </x:c>
      <x:c r="C3257" s="3" t="s">
        <x:v>382</x:v>
      </x:c>
      <x:c r="D3257" t="s">
        <x:v>676</x:v>
      </x:c>
      <x:c r="E3257" s="6">
        <x:v>0</x:v>
      </x:c>
      <x:c r="F3257" s="6">
        <x:v>0</x:v>
      </x:c>
      <x:c r="G3257" s="6">
        <x:v>0</x:v>
      </x:c>
      <x:c r="H3257" s="6">
        <x:f t="shared" si="158"/>
        <x:v>0</x:v>
      </x:c>
      <x:c r="I3257" s="6">
        <x:v>446.59</x:v>
      </x:c>
      <x:c r="J3257" s="6">
        <x:v>0</x:v>
      </x:c>
      <x:c r="K3257" s="6">
        <x:f t="shared" si="159"/>
        <x:v>446.59</x:v>
      </x:c>
      <x:c r="L3257" s="6">
        <x:v>0</x:v>
      </x:c>
      <x:c r="M3257" s="6">
        <x:v>0</x:v>
      </x:c>
      <x:c r="N3257" s="6">
        <x:f t="shared" si="160"/>
        <x:v>446.59</x:v>
      </x:c>
    </x:row>
    <x:row r="3258" spans="1:14" x14ac:dyDescent="0.25">
      <x:c r="A3258" t="s">
        <x:v>2</x:v>
      </x:c>
      <x:c r="B3258" s="3" t="s">
        <x:v>218</x:v>
      </x:c>
      <x:c r="C3258" s="3" t="s">
        <x:v>534</x:v>
      </x:c>
      <x:c r="D3258" t="s">
        <x:v>676</x:v>
      </x:c>
      <x:c r="E3258" s="6">
        <x:v>0</x:v>
      </x:c>
      <x:c r="F3258" s="6">
        <x:v>0</x:v>
      </x:c>
      <x:c r="G3258" s="6">
        <x:v>0</x:v>
      </x:c>
      <x:c r="H3258" s="6">
        <x:f t="shared" si="158"/>
        <x:v>0</x:v>
      </x:c>
      <x:c r="I3258" s="6">
        <x:v>5233.54</x:v>
      </x:c>
      <x:c r="J3258" s="6">
        <x:v>0</x:v>
      </x:c>
      <x:c r="K3258" s="6">
        <x:f t="shared" si="159"/>
        <x:v>5233.54</x:v>
      </x:c>
      <x:c r="L3258" s="6">
        <x:v>0</x:v>
      </x:c>
      <x:c r="M3258" s="6">
        <x:v>0</x:v>
      </x:c>
      <x:c r="N3258" s="6">
        <x:f t="shared" si="160"/>
        <x:v>5233.54</x:v>
      </x:c>
    </x:row>
    <x:row r="3259" spans="1:14" x14ac:dyDescent="0.25">
      <x:c r="A3259" t="s">
        <x:v>2</x:v>
      </x:c>
      <x:c r="B3259" s="3" t="s">
        <x:v>220</x:v>
      </x:c>
      <x:c r="C3259" s="3" t="s">
        <x:v>536</x:v>
      </x:c>
      <x:c r="D3259" t="s">
        <x:v>676</x:v>
      </x:c>
      <x:c r="E3259" s="6">
        <x:v>0</x:v>
      </x:c>
      <x:c r="F3259" s="6">
        <x:v>0</x:v>
      </x:c>
      <x:c r="G3259" s="6">
        <x:v>0</x:v>
      </x:c>
      <x:c r="H3259" s="6">
        <x:f t="shared" si="158"/>
        <x:v>0</x:v>
      </x:c>
      <x:c r="I3259" s="6">
        <x:v>14302.8</x:v>
      </x:c>
      <x:c r="J3259" s="6">
        <x:v>0</x:v>
      </x:c>
      <x:c r="K3259" s="6">
        <x:f t="shared" si="159"/>
        <x:v>14302.8</x:v>
      </x:c>
      <x:c r="L3259" s="6">
        <x:v>0</x:v>
      </x:c>
      <x:c r="M3259" s="6">
        <x:v>0</x:v>
      </x:c>
      <x:c r="N3259" s="6">
        <x:f t="shared" si="160"/>
        <x:v>14302.8</x:v>
      </x:c>
    </x:row>
    <x:row r="3260" spans="1:14" x14ac:dyDescent="0.25">
      <x:c r="A3260" t="s">
        <x:v>2</x:v>
      </x:c>
      <x:c r="B3260" s="3" t="s">
        <x:v>325</x:v>
      </x:c>
      <x:c r="C3260" s="3" t="s">
        <x:v>640</x:v>
      </x:c>
      <x:c r="D3260" t="s">
        <x:v>679</x:v>
      </x:c>
      <x:c r="E3260" s="6">
        <x:v>221744.11000000002</x:v>
      </x:c>
      <x:c r="F3260" s="6">
        <x:v>0</x:v>
      </x:c>
      <x:c r="G3260" s="6">
        <x:v>0</x:v>
      </x:c>
      <x:c r="H3260" s="6">
        <x:f t="shared" si="158"/>
        <x:v>221744.11000000002</x:v>
      </x:c>
      <x:c r="I3260" s="6">
        <x:v>592238.27</x:v>
      </x:c>
      <x:c r="J3260" s="6">
        <x:v>0</x:v>
      </x:c>
      <x:c r="K3260" s="6">
        <x:f t="shared" si="159"/>
        <x:v>592238.27</x:v>
      </x:c>
      <x:c r="L3260" s="6">
        <x:v>165617.60000000001</x:v>
      </x:c>
      <x:c r="M3260" s="6">
        <x:v>6806.2100000000537</x:v>
      </x:c>
      <x:c r="N3260" s="6">
        <x:f t="shared" si="160"/>
        <x:v>986406.19000000006</x:v>
      </x:c>
    </x:row>
    <x:row r="3261" spans="1:14" x14ac:dyDescent="0.25">
      <x:c r="A3261" t="s">
        <x:v>2</x:v>
      </x:c>
      <x:c r="B3261" s="3" t="s">
        <x:v>66</x:v>
      </x:c>
      <x:c r="C3261" s="3" t="s">
        <x:v>383</x:v>
      </x:c>
      <x:c r="D3261" t="s">
        <x:v>676</x:v>
      </x:c>
      <x:c r="E3261" s="6">
        <x:v>194456</x:v>
      </x:c>
      <x:c r="F3261" s="6">
        <x:v>0</x:v>
      </x:c>
      <x:c r="G3261" s="6">
        <x:v>0</x:v>
      </x:c>
      <x:c r="H3261" s="6">
        <x:f t="shared" si="158"/>
        <x:v>194456</x:v>
      </x:c>
      <x:c r="I3261" s="6">
        <x:v>510620.12000000011</x:v>
      </x:c>
      <x:c r="J3261" s="6">
        <x:v>0</x:v>
      </x:c>
      <x:c r="K3261" s="6">
        <x:f t="shared" si="159"/>
        <x:v>510620.12000000011</x:v>
      </x:c>
      <x:c r="L3261" s="6">
        <x:v>0</x:v>
      </x:c>
      <x:c r="M3261" s="6">
        <x:v>0</x:v>
      </x:c>
      <x:c r="N3261" s="6">
        <x:f t="shared" si="160"/>
        <x:v>705076.12000000011</x:v>
      </x:c>
    </x:row>
    <x:row r="3262" spans="1:14" x14ac:dyDescent="0.25">
      <x:c r="A3262" t="s">
        <x:v>2</x:v>
      </x:c>
      <x:c r="B3262" s="3" t="s">
        <x:v>317</x:v>
      </x:c>
      <x:c r="C3262" s="3" t="s">
        <x:v>632</x:v>
      </x:c>
      <x:c r="D3262" t="s">
        <x:v>676</x:v>
      </x:c>
      <x:c r="E3262" s="6">
        <x:v>0</x:v>
      </x:c>
      <x:c r="F3262" s="6">
        <x:v>0</x:v>
      </x:c>
      <x:c r="G3262" s="6">
        <x:v>0</x:v>
      </x:c>
      <x:c r="H3262" s="6">
        <x:f t="shared" si="158"/>
        <x:v>0</x:v>
      </x:c>
      <x:c r="I3262" s="6">
        <x:v>0</x:v>
      </x:c>
      <x:c r="J3262" s="6">
        <x:v>0</x:v>
      </x:c>
      <x:c r="K3262" s="6">
        <x:f t="shared" si="159"/>
        <x:v>0</x:v>
      </x:c>
      <x:c r="L3262" s="6">
        <x:v>0</x:v>
      </x:c>
      <x:c r="M3262" s="6">
        <x:v>131200</x:v>
      </x:c>
      <x:c r="N3262" s="6">
        <x:f t="shared" si="160"/>
        <x:v>131200</x:v>
      </x:c>
    </x:row>
    <x:row r="3263" spans="1:14" x14ac:dyDescent="0.25">
      <x:c r="A3263" t="s">
        <x:v>2</x:v>
      </x:c>
      <x:c r="B3263" s="3" t="s">
        <x:v>318</x:v>
      </x:c>
      <x:c r="C3263" s="3" t="s">
        <x:v>633</x:v>
      </x:c>
      <x:c r="D3263" t="s">
        <x:v>676</x:v>
      </x:c>
      <x:c r="E3263" s="6">
        <x:v>0</x:v>
      </x:c>
      <x:c r="F3263" s="6">
        <x:v>0</x:v>
      </x:c>
      <x:c r="G3263" s="6">
        <x:v>0</x:v>
      </x:c>
      <x:c r="H3263" s="6">
        <x:f t="shared" si="158"/>
        <x:v>0</x:v>
      </x:c>
      <x:c r="I3263" s="6">
        <x:v>0</x:v>
      </x:c>
      <x:c r="J3263" s="6">
        <x:v>0</x:v>
      </x:c>
      <x:c r="K3263" s="6">
        <x:f t="shared" si="159"/>
        <x:v>0</x:v>
      </x:c>
      <x:c r="L3263" s="6">
        <x:v>0</x:v>
      </x:c>
      <x:c r="M3263" s="6">
        <x:v>-0.01</x:v>
      </x:c>
      <x:c r="N3263" s="6">
        <x:f t="shared" si="160"/>
        <x:v>-0.01</x:v>
      </x:c>
    </x:row>
    <x:row r="3264" spans="1:14" x14ac:dyDescent="0.25">
      <x:c r="A3264" t="s">
        <x:v>2</x:v>
      </x:c>
      <x:c r="B3264" s="3" t="s">
        <x:v>67</x:v>
      </x:c>
      <x:c r="C3264" s="3" t="s">
        <x:v>384</x:v>
      </x:c>
      <x:c r="D3264" t="s">
        <x:v>679</x:v>
      </x:c>
      <x:c r="E3264" s="6">
        <x:v>14162.4</x:v>
      </x:c>
      <x:c r="F3264" s="6">
        <x:v>0</x:v>
      </x:c>
      <x:c r="G3264" s="6">
        <x:v>0</x:v>
      </x:c>
      <x:c r="H3264" s="6">
        <x:f t="shared" si="158"/>
        <x:v>14162.4</x:v>
      </x:c>
      <x:c r="I3264" s="6">
        <x:v>37825.199999999997</x:v>
      </x:c>
      <x:c r="J3264" s="6">
        <x:v>0</x:v>
      </x:c>
      <x:c r="K3264" s="6">
        <x:f t="shared" si="159"/>
        <x:v>37825.199999999997</x:v>
      </x:c>
      <x:c r="L3264" s="6">
        <x:v>10577.7</x:v>
      </x:c>
      <x:c r="M3264" s="6">
        <x:v>434.699999999998</x:v>
      </x:c>
      <x:c r="N3264" s="6">
        <x:f t="shared" si="160"/>
        <x:v>63000</x:v>
      </x:c>
    </x:row>
    <x:row r="3265" spans="1:14" x14ac:dyDescent="0.25">
      <x:c r="A3265" t="s">
        <x:v>2</x:v>
      </x:c>
      <x:c r="B3265" s="3" t="s">
        <x:v>326</x:v>
      </x:c>
      <x:c r="C3265" s="3" t="s">
        <x:v>641</x:v>
      </x:c>
      <x:c r="D3265" t="s">
        <x:v>679</x:v>
      </x:c>
      <x:c r="E3265" s="6">
        <x:v>17928.439999999995</x:v>
      </x:c>
      <x:c r="F3265" s="6">
        <x:v>0</x:v>
      </x:c>
      <x:c r="G3265" s="6">
        <x:v>0</x:v>
      </x:c>
      <x:c r="H3265" s="6">
        <x:f t="shared" si="158"/>
        <x:v>17928.439999999995</x:v>
      </x:c>
      <x:c r="I3265" s="6">
        <x:v>47883.650000000009</x:v>
      </x:c>
      <x:c r="J3265" s="6">
        <x:v>0</x:v>
      </x:c>
      <x:c r="K3265" s="6">
        <x:f t="shared" si="159"/>
        <x:v>47883.650000000009</x:v>
      </x:c>
      <x:c r="L3265" s="6">
        <x:v>13390.52</x:v>
      </x:c>
      <x:c r="M3265" s="6">
        <x:v>550.28000000000225</x:v>
      </x:c>
      <x:c r="N3265" s="6">
        <x:f t="shared" si="160"/>
        <x:v>79752.89</x:v>
      </x:c>
    </x:row>
    <x:row r="3266" spans="1:14" x14ac:dyDescent="0.25">
      <x:c r="A3266" t="s">
        <x:v>2</x:v>
      </x:c>
      <x:c r="B3266" s="3" t="s">
        <x:v>358</x:v>
      </x:c>
      <x:c r="C3266" s="3" t="s">
        <x:v>673</x:v>
      </x:c>
      <x:c r="D3266" t="s">
        <x:v>679</x:v>
      </x:c>
      <x:c r="E3266" s="6">
        <x:v>511458.83</x:v>
      </x:c>
      <x:c r="F3266" s="6">
        <x:v>0</x:v>
      </x:c>
      <x:c r="G3266" s="6">
        <x:v>0</x:v>
      </x:c>
      <x:c r="H3266" s="6">
        <x:f t="shared" si="158"/>
        <x:v>511458.83</x:v>
      </x:c>
      <x:c r="I3266" s="6">
        <x:v>1366013.6800000002</x:v>
      </x:c>
      <x:c r="J3266" s="6">
        <x:v>0</x:v>
      </x:c>
      <x:c r="K3266" s="6">
        <x:f t="shared" si="159"/>
        <x:v>1366013.6800000002</x:v>
      </x:c>
      <x:c r="L3266" s="6">
        <x:v>382001.49</x:v>
      </x:c>
      <x:c r="M3266" s="6">
        <x:v>15698.699999999844</x:v>
      </x:c>
      <x:c r="N3266" s="6">
        <x:f t="shared" si="160"/>
        <x:v>2275172.6999999997</x:v>
      </x:c>
    </x:row>
    <x:row r="3267" spans="1:14" x14ac:dyDescent="0.25">
      <x:c r="A3267" t="s">
        <x:v>2</x:v>
      </x:c>
      <x:c r="B3267" s="3" t="s">
        <x:v>328</x:v>
      </x:c>
      <x:c r="C3267" s="3" t="s">
        <x:v>643</x:v>
      </x:c>
      <x:c r="D3267" t="s">
        <x:v>679</x:v>
      </x:c>
      <x:c r="E3267" s="6">
        <x:v>24390.13</x:v>
      </x:c>
      <x:c r="F3267" s="6">
        <x:v>0</x:v>
      </x:c>
      <x:c r="G3267" s="6">
        <x:v>0</x:v>
      </x:c>
      <x:c r="H3267" s="6">
        <x:f t="shared" si="158"/>
        <x:v>24390.13</x:v>
      </x:c>
      <x:c r="I3267" s="6">
        <x:v>65141.599999999999</x:v>
      </x:c>
      <x:c r="J3267" s="6">
        <x:v>0</x:v>
      </x:c>
      <x:c r="K3267" s="6">
        <x:f t="shared" si="159"/>
        <x:v>65141.599999999999</x:v>
      </x:c>
      <x:c r="L3267" s="6">
        <x:v>18216.650000000001</x:v>
      </x:c>
      <x:c r="M3267" s="6">
        <x:v>748.61999999999887</x:v>
      </x:c>
      <x:c r="N3267" s="6">
        <x:f t="shared" si="160"/>
        <x:v>108497</x:v>
      </x:c>
    </x:row>
    <x:row r="3268" spans="1:14" x14ac:dyDescent="0.25">
      <x:c r="A3268" t="s">
        <x:v>2</x:v>
      </x:c>
      <x:c r="B3268" s="3" t="s">
        <x:v>290</x:v>
      </x:c>
      <x:c r="C3268" s="3" t="s">
        <x:v>605</x:v>
      </x:c>
      <x:c r="D3268" t="s">
        <x:v>676</x:v>
      </x:c>
      <x:c r="E3268" s="6">
        <x:v>0</x:v>
      </x:c>
      <x:c r="F3268" s="6">
        <x:v>0</x:v>
      </x:c>
      <x:c r="G3268" s="6">
        <x:v>0</x:v>
      </x:c>
      <x:c r="H3268" s="6">
        <x:f t="shared" si="158"/>
        <x:v>0</x:v>
      </x:c>
      <x:c r="I3268" s="6">
        <x:v>66261.25</x:v>
      </x:c>
      <x:c r="J3268" s="6">
        <x:v>0</x:v>
      </x:c>
      <x:c r="K3268" s="6">
        <x:f t="shared" si="159"/>
        <x:v>66261.25</x:v>
      </x:c>
      <x:c r="L3268" s="6">
        <x:v>0</x:v>
      </x:c>
      <x:c r="M3268" s="6">
        <x:v>0</x:v>
      </x:c>
      <x:c r="N3268" s="6">
        <x:f t="shared" si="160"/>
        <x:v>66261.25</x:v>
      </x:c>
    </x:row>
    <x:row r="3269" spans="1:14" x14ac:dyDescent="0.25">
      <x:c r="A3269" t="s">
        <x:v>2</x:v>
      </x:c>
      <x:c r="B3269" s="3" t="s">
        <x:v>221</x:v>
      </x:c>
      <x:c r="C3269" s="3" t="s">
        <x:v>537</x:v>
      </x:c>
      <x:c r="D3269" t="s">
        <x:v>676</x:v>
      </x:c>
      <x:c r="E3269" s="6">
        <x:v>0</x:v>
      </x:c>
      <x:c r="F3269" s="6">
        <x:v>0</x:v>
      </x:c>
      <x:c r="G3269" s="6">
        <x:v>0</x:v>
      </x:c>
      <x:c r="H3269" s="6">
        <x:f t="shared" si="158"/>
        <x:v>0</x:v>
      </x:c>
      <x:c r="I3269" s="6">
        <x:v>47690.94</x:v>
      </x:c>
      <x:c r="J3269" s="6">
        <x:v>0</x:v>
      </x:c>
      <x:c r="K3269" s="6">
        <x:f t="shared" si="159"/>
        <x:v>47690.94</x:v>
      </x:c>
      <x:c r="L3269" s="6">
        <x:v>0</x:v>
      </x:c>
      <x:c r="M3269" s="6">
        <x:v>0</x:v>
      </x:c>
      <x:c r="N3269" s="6">
        <x:f t="shared" si="160"/>
        <x:v>47690.94</x:v>
      </x:c>
    </x:row>
    <x:row r="3270" spans="1:14" x14ac:dyDescent="0.25">
      <x:c r="A3270" t="s">
        <x:v>2</x:v>
      </x:c>
      <x:c r="B3270" s="3" t="s">
        <x:v>47</x:v>
      </x:c>
      <x:c r="C3270" s="3" t="s">
        <x:v>364</x:v>
      </x:c>
      <x:c r="D3270" t="s">
        <x:v>679</x:v>
      </x:c>
      <x:c r="E3270" s="6">
        <x:v>-603311.93999999994</x:v>
      </x:c>
      <x:c r="F3270" s="6">
        <x:v>0</x:v>
      </x:c>
      <x:c r="G3270" s="6">
        <x:v>0</x:v>
      </x:c>
      <x:c r="H3270" s="6">
        <x:f t="shared" si="158"/>
        <x:v>-603311.93999999994</x:v>
      </x:c>
      <x:c r="I3270" s="6">
        <x:v>-1611336.6800000002</x:v>
      </x:c>
      <x:c r="J3270" s="6">
        <x:v>0</x:v>
      </x:c>
      <x:c r="K3270" s="6">
        <x:f t="shared" si="159"/>
        <x:v>-1611336.6800000002</x:v>
      </x:c>
      <x:c r="L3270" s="6">
        <x:v>-450605.3</x:v>
      </x:c>
      <x:c r="M3270" s="6">
        <x:v>-18517.979999999639</x:v>
      </x:c>
      <x:c r="N3270" s="6">
        <x:f t="shared" si="160"/>
        <x:v>-2683771.8999999994</x:v>
      </x:c>
    </x:row>
    <x:row r="3271" spans="1:14" x14ac:dyDescent="0.25">
      <x:c r="A3271" t="s">
        <x:v>2</x:v>
      </x:c>
      <x:c r="B3271" s="3" t="s">
        <x:v>311</x:v>
      </x:c>
      <x:c r="C3271" s="3" t="s">
        <x:v>626</x:v>
      </x:c>
      <x:c r="D3271" t="s">
        <x:v>676</x:v>
      </x:c>
      <x:c r="E3271" s="6">
        <x:v>0</x:v>
      </x:c>
      <x:c r="F3271" s="6">
        <x:v>0</x:v>
      </x:c>
      <x:c r="G3271" s="6">
        <x:v>0</x:v>
      </x:c>
      <x:c r="H3271" s="6">
        <x:f t="shared" si="158"/>
        <x:v>0</x:v>
      </x:c>
      <x:c r="I3271" s="6">
        <x:v>0</x:v>
      </x:c>
      <x:c r="J3271" s="6">
        <x:v>0</x:v>
      </x:c>
      <x:c r="K3271" s="6">
        <x:f t="shared" si="159"/>
        <x:v>0</x:v>
      </x:c>
      <x:c r="L3271" s="6">
        <x:v>0</x:v>
      </x:c>
      <x:c r="M3271" s="6">
        <x:v>-0.01</x:v>
      </x:c>
      <x:c r="N3271" s="6">
        <x:f t="shared" si="160"/>
        <x:v>-0.01</x:v>
      </x:c>
    </x:row>
    <x:row r="3272" spans="1:14" x14ac:dyDescent="0.25">
      <x:c r="A3272" t="s">
        <x:v>2</x:v>
      </x:c>
      <x:c r="B3272" s="3" t="s">
        <x:v>312</x:v>
      </x:c>
      <x:c r="C3272" s="3" t="s">
        <x:v>627</x:v>
      </x:c>
      <x:c r="D3272" t="s">
        <x:v>676</x:v>
      </x:c>
      <x:c r="E3272" s="6">
        <x:v>0</x:v>
      </x:c>
      <x:c r="F3272" s="6">
        <x:v>0</x:v>
      </x:c>
      <x:c r="G3272" s="6">
        <x:v>0</x:v>
      </x:c>
      <x:c r="H3272" s="6">
        <x:f t="shared" si="158"/>
        <x:v>0</x:v>
      </x:c>
      <x:c r="I3272" s="6">
        <x:v>0</x:v>
      </x:c>
      <x:c r="J3272" s="6">
        <x:v>0</x:v>
      </x:c>
      <x:c r="K3272" s="6">
        <x:f t="shared" si="159"/>
        <x:v>0</x:v>
      </x:c>
      <x:c r="L3272" s="6">
        <x:v>0</x:v>
      </x:c>
      <x:c r="M3272" s="6">
        <x:v>-0.01</x:v>
      </x:c>
      <x:c r="N3272" s="6">
        <x:f t="shared" si="160"/>
        <x:v>-0.01</x:v>
      </x:c>
    </x:row>
    <x:row r="3273" spans="1:14" x14ac:dyDescent="0.25">
      <x:c r="A3273" t="s">
        <x:v>2</x:v>
      </x:c>
      <x:c r="B3273" s="3" t="s">
        <x:v>268</x:v>
      </x:c>
      <x:c r="C3273" s="3" t="s">
        <x:v>583</x:v>
      </x:c>
      <x:c r="D3273" t="s">
        <x:v>676</x:v>
      </x:c>
      <x:c r="E3273" s="6">
        <x:v>0</x:v>
      </x:c>
      <x:c r="F3273" s="6">
        <x:v>0</x:v>
      </x:c>
      <x:c r="G3273" s="6">
        <x:v>0</x:v>
      </x:c>
      <x:c r="H3273" s="6">
        <x:f t="shared" si="158"/>
        <x:v>0</x:v>
      </x:c>
      <x:c r="I3273" s="6">
        <x:v>0</x:v>
      </x:c>
      <x:c r="J3273" s="6">
        <x:v>0</x:v>
      </x:c>
      <x:c r="K3273" s="6">
        <x:f t="shared" si="159"/>
        <x:v>0</x:v>
      </x:c>
      <x:c r="L3273" s="6">
        <x:v>0.01</x:v>
      </x:c>
      <x:c r="M3273" s="6">
        <x:v>0</x:v>
      </x:c>
      <x:c r="N3273" s="6">
        <x:f t="shared" si="160"/>
        <x:v>0.01</x:v>
      </x:c>
    </x:row>
    <x:row r="3274" spans="1:14" x14ac:dyDescent="0.25">
      <x:c r="A3274" t="s">
        <x:v>2</x:v>
      </x:c>
      <x:c r="B3274" s="3" t="s">
        <x:v>310</x:v>
      </x:c>
      <x:c r="C3274" s="3" t="s">
        <x:v>625</x:v>
      </x:c>
      <x:c r="D3274" t="s">
        <x:v>676</x:v>
      </x:c>
      <x:c r="E3274" s="6">
        <x:v>0</x:v>
      </x:c>
      <x:c r="F3274" s="6">
        <x:v>0</x:v>
      </x:c>
      <x:c r="G3274" s="6">
        <x:v>0</x:v>
      </x:c>
      <x:c r="H3274" s="6">
        <x:f t="shared" si="158"/>
        <x:v>0</x:v>
      </x:c>
      <x:c r="I3274" s="6">
        <x:v>0</x:v>
      </x:c>
      <x:c r="J3274" s="6">
        <x:v>0</x:v>
      </x:c>
      <x:c r="K3274" s="6">
        <x:f t="shared" si="159"/>
        <x:v>0</x:v>
      </x:c>
      <x:c r="L3274" s="6">
        <x:v>0</x:v>
      </x:c>
      <x:c r="M3274" s="6">
        <x:v>19.47</x:v>
      </x:c>
      <x:c r="N3274" s="6">
        <x:f t="shared" si="160"/>
        <x:v>19.47</x:v>
      </x:c>
    </x:row>
    <x:row r="3275" spans="1:14" x14ac:dyDescent="0.25">
      <x:c r="A3275" t="s">
        <x:v>2</x:v>
      </x:c>
      <x:c r="B3275" s="3" t="s">
        <x:v>313</x:v>
      </x:c>
      <x:c r="C3275" s="3" t="s">
        <x:v>628</x:v>
      </x:c>
      <x:c r="D3275" t="s">
        <x:v>676</x:v>
      </x:c>
      <x:c r="E3275" s="6">
        <x:v>0</x:v>
      </x:c>
      <x:c r="F3275" s="6">
        <x:v>0</x:v>
      </x:c>
      <x:c r="G3275" s="6">
        <x:v>0</x:v>
      </x:c>
      <x:c r="H3275" s="6">
        <x:f t="shared" si="158"/>
        <x:v>0</x:v>
      </x:c>
      <x:c r="I3275" s="6">
        <x:v>0</x:v>
      </x:c>
      <x:c r="J3275" s="6">
        <x:v>0</x:v>
      </x:c>
      <x:c r="K3275" s="6">
        <x:f t="shared" si="159"/>
        <x:v>0</x:v>
      </x:c>
      <x:c r="L3275" s="6">
        <x:v>0</x:v>
      </x:c>
      <x:c r="M3275" s="6">
        <x:v>18.639999999999997</x:v>
      </x:c>
      <x:c r="N3275" s="6">
        <x:f t="shared" si="160"/>
        <x:v>18.639999999999997</x:v>
      </x:c>
    </x:row>
    <x:row r="3276" spans="1:14" x14ac:dyDescent="0.25">
      <x:c r="A3276" t="s">
        <x:v>2</x:v>
      </x:c>
      <x:c r="B3276" s="3" t="s">
        <x:v>329</x:v>
      </x:c>
      <x:c r="C3276" s="3" t="s">
        <x:v>644</x:v>
      </x:c>
      <x:c r="D3276" t="s">
        <x:v>676</x:v>
      </x:c>
      <x:c r="E3276" s="6">
        <x:v>0</x:v>
      </x:c>
      <x:c r="F3276" s="6">
        <x:v>0</x:v>
      </x:c>
      <x:c r="G3276" s="6">
        <x:v>0</x:v>
      </x:c>
      <x:c r="H3276" s="6">
        <x:f t="shared" si="158"/>
        <x:v>0</x:v>
      </x:c>
      <x:c r="I3276" s="6">
        <x:v>0</x:v>
      </x:c>
      <x:c r="J3276" s="6">
        <x:v>0</x:v>
      </x:c>
      <x:c r="K3276" s="6">
        <x:f t="shared" si="159"/>
        <x:v>0</x:v>
      </x:c>
      <x:c r="L3276" s="6">
        <x:v>0</x:v>
      </x:c>
      <x:c r="M3276" s="6">
        <x:v>2466.98</x:v>
      </x:c>
      <x:c r="N3276" s="6">
        <x:f t="shared" si="160"/>
        <x:v>2466.98</x:v>
      </x:c>
    </x:row>
    <x:row r="3277" spans="1:14" x14ac:dyDescent="0.25">
      <x:c r="A3277" t="s">
        <x:v>2</x:v>
      </x:c>
      <x:c r="B3277" s="3" t="s">
        <x:v>330</x:v>
      </x:c>
      <x:c r="C3277" s="3" t="s">
        <x:v>645</x:v>
      </x:c>
      <x:c r="D3277" t="s">
        <x:v>679</x:v>
      </x:c>
      <x:c r="E3277" s="6">
        <x:v>12612.23</x:v>
      </x:c>
      <x:c r="F3277" s="6">
        <x:v>0</x:v>
      </x:c>
      <x:c r="G3277" s="6">
        <x:v>0</x:v>
      </x:c>
      <x:c r="H3277" s="6">
        <x:f t="shared" si="158"/>
        <x:v>12612.23</x:v>
      </x:c>
      <x:c r="I3277" s="6">
        <x:v>33684.979999999996</x:v>
      </x:c>
      <x:c r="J3277" s="6">
        <x:v>0</x:v>
      </x:c>
      <x:c r="K3277" s="6">
        <x:f t="shared" si="159"/>
        <x:v>33684.979999999996</x:v>
      </x:c>
      <x:c r="L3277" s="6">
        <x:v>9419.91</x:v>
      </x:c>
      <x:c r="M3277" s="6">
        <x:v>387.11000000000155</x:v>
      </x:c>
      <x:c r="N3277" s="6">
        <x:f t="shared" si="160"/>
        <x:v>56104.229999999996</x:v>
      </x:c>
    </x:row>
    <x:row r="3278" spans="1:14" x14ac:dyDescent="0.25">
      <x:c r="A3278" t="s">
        <x:v>2</x:v>
      </x:c>
      <x:c r="B3278" t="s">
        <x:v>760</x:v>
      </x:c>
      <x:c r="C3278" t="s">
        <x:v>761</x:v>
      </x:c>
      <x:c r="D3278" t="s">
        <x:v>676</x:v>
      </x:c>
      <x:c r="E3278" s="6">
        <x:v>0.01</x:v>
      </x:c>
      <x:c r="F3278" s="6">
        <x:v>0</x:v>
      </x:c>
      <x:c r="G3278" s="6">
        <x:v>0</x:v>
      </x:c>
      <x:c r="H3278" s="6">
        <x:f t="shared" si="158"/>
        <x:v>0.01</x:v>
      </x:c>
      <x:c r="I3278" s="6">
        <x:v>0</x:v>
      </x:c>
      <x:c r="J3278" s="6">
        <x:v>0</x:v>
      </x:c>
      <x:c r="K3278" s="6">
        <x:f t="shared" si="159"/>
        <x:v>0</x:v>
      </x:c>
      <x:c r="L3278" s="6">
        <x:v>0</x:v>
      </x:c>
      <x:c r="M3278" s="6">
        <x:v>0</x:v>
      </x:c>
      <x:c r="N3278" s="6">
        <x:f t="shared" si="160"/>
        <x:v>0.01</x:v>
      </x:c>
    </x:row>
    <x:row r="3279" spans="1:14" x14ac:dyDescent="0.25">
      <x:c r="A3279" t="s">
        <x:v>2</x:v>
      </x:c>
      <x:c r="B3279" t="s">
        <x:v>762</x:v>
      </x:c>
      <x:c r="C3279" t="s">
        <x:v>763</x:v>
      </x:c>
      <x:c r="D3279" t="s">
        <x:v>676</x:v>
      </x:c>
      <x:c r="E3279" s="6">
        <x:v>-0.01</x:v>
      </x:c>
      <x:c r="F3279" s="6">
        <x:v>0</x:v>
      </x:c>
      <x:c r="G3279" s="6">
        <x:v>0</x:v>
      </x:c>
      <x:c r="H3279" s="6">
        <x:f t="shared" si="158"/>
        <x:v>-0.01</x:v>
      </x:c>
      <x:c r="I3279" s="6">
        <x:v>0</x:v>
      </x:c>
      <x:c r="J3279" s="6">
        <x:v>0</x:v>
      </x:c>
      <x:c r="K3279" s="6">
        <x:f t="shared" si="159"/>
        <x:v>0</x:v>
      </x:c>
      <x:c r="L3279" s="6">
        <x:v>0</x:v>
      </x:c>
      <x:c r="M3279" s="6">
        <x:v>0</x:v>
      </x:c>
      <x:c r="N3279" s="6">
        <x:f t="shared" si="160"/>
        <x:v>-0.01</x:v>
      </x:c>
    </x:row>
    <x:row r="3280" spans="1:14" x14ac:dyDescent="0.25">
      <x:c r="A3280" t="s">
        <x:v>2</x:v>
      </x:c>
      <x:c r="B3280" t="s">
        <x:v>764</x:v>
      </x:c>
      <x:c r="C3280" t="s">
        <x:v>765</x:v>
      </x:c>
      <x:c r="D3280" t="s">
        <x:v>676</x:v>
      </x:c>
      <x:c r="E3280" s="6">
        <x:v>-0.01</x:v>
      </x:c>
      <x:c r="F3280" s="6">
        <x:v>0</x:v>
      </x:c>
      <x:c r="G3280" s="6">
        <x:v>0</x:v>
      </x:c>
      <x:c r="H3280" s="6">
        <x:f t="shared" si="158"/>
        <x:v>-0.01</x:v>
      </x:c>
      <x:c r="I3280" s="6">
        <x:v>0</x:v>
      </x:c>
      <x:c r="J3280" s="6">
        <x:v>0</x:v>
      </x:c>
      <x:c r="K3280" s="6">
        <x:f t="shared" si="159"/>
        <x:v>0</x:v>
      </x:c>
      <x:c r="L3280" s="6">
        <x:v>0</x:v>
      </x:c>
      <x:c r="M3280" s="6">
        <x:v>0</x:v>
      </x:c>
      <x:c r="N3280" s="6">
        <x:f t="shared" si="160"/>
        <x:v>-0.01</x:v>
      </x:c>
    </x:row>
    <x:row r="3281" spans="1:14" x14ac:dyDescent="0.25">
      <x:c r="A3281" t="s">
        <x:v>2</x:v>
      </x:c>
      <x:c r="B3281" t="s">
        <x:v>751</x:v>
      </x:c>
      <x:c r="C3281" t="s">
        <x:v>752</x:v>
      </x:c>
      <x:c r="D3281" t="s">
        <x:v>676</x:v>
      </x:c>
      <x:c r="E3281" s="6">
        <x:v>-0.01</x:v>
      </x:c>
      <x:c r="F3281" s="6">
        <x:v>0</x:v>
      </x:c>
      <x:c r="G3281" s="6">
        <x:v>0</x:v>
      </x:c>
      <x:c r="H3281" s="6">
        <x:f t="shared" si="158"/>
        <x:v>-0.01</x:v>
      </x:c>
      <x:c r="I3281" s="6">
        <x:v>0</x:v>
      </x:c>
      <x:c r="J3281" s="6">
        <x:v>0</x:v>
      </x:c>
      <x:c r="K3281" s="6">
        <x:f t="shared" si="159"/>
        <x:v>0</x:v>
      </x:c>
      <x:c r="L3281" s="6">
        <x:v>0</x:v>
      </x:c>
      <x:c r="M3281" s="6">
        <x:v>0</x:v>
      </x:c>
      <x:c r="N3281" s="6">
        <x:f t="shared" si="160"/>
        <x:v>-0.01</x:v>
      </x:c>
    </x:row>
    <x:row r="3282" spans="1:14" x14ac:dyDescent="0.25">
      <x:c r="A3282" t="s">
        <x:v>2</x:v>
      </x:c>
      <x:c r="B3282" t="s">
        <x:v>772</x:v>
      </x:c>
      <x:c r="C3282" t="s">
        <x:v>773</x:v>
      </x:c>
      <x:c r="D3282" t="s">
        <x:v>676</x:v>
      </x:c>
      <x:c r="E3282" s="6">
        <x:v>-0.01</x:v>
      </x:c>
      <x:c r="F3282" s="6">
        <x:v>0</x:v>
      </x:c>
      <x:c r="G3282" s="6">
        <x:v>0</x:v>
      </x:c>
      <x:c r="H3282" s="6">
        <x:f t="shared" si="158"/>
        <x:v>-0.01</x:v>
      </x:c>
      <x:c r="I3282" s="6">
        <x:v>0</x:v>
      </x:c>
      <x:c r="J3282" s="6">
        <x:v>0</x:v>
      </x:c>
      <x:c r="K3282" s="6">
        <x:f t="shared" si="159"/>
        <x:v>0</x:v>
      </x:c>
      <x:c r="L3282" s="6">
        <x:v>0</x:v>
      </x:c>
      <x:c r="M3282" s="6">
        <x:v>0</x:v>
      </x:c>
      <x:c r="N3282" s="6">
        <x:f t="shared" si="160"/>
        <x:v>-0.01</x:v>
      </x:c>
    </x:row>
    <x:row r="3283" spans="1:14" x14ac:dyDescent="0.25">
      <x:c r="A3283" t="s">
        <x:v>2</x:v>
      </x:c>
      <x:c r="B3283" t="s">
        <x:v>753</x:v>
      </x:c>
      <x:c r="C3283" t="s">
        <x:v>754</x:v>
      </x:c>
      <x:c r="D3283" t="s">
        <x:v>676</x:v>
      </x:c>
      <x:c r="E3283" s="6">
        <x:v>824.84</x:v>
      </x:c>
      <x:c r="F3283" s="6">
        <x:v>0</x:v>
      </x:c>
      <x:c r="G3283" s="6">
        <x:v>0</x:v>
      </x:c>
      <x:c r="H3283" s="6">
        <x:f t="shared" si="158"/>
        <x:v>824.84</x:v>
      </x:c>
      <x:c r="I3283" s="6">
        <x:v>0</x:v>
      </x:c>
      <x:c r="J3283" s="6">
        <x:v>0</x:v>
      </x:c>
      <x:c r="K3283" s="6">
        <x:f t="shared" si="159"/>
        <x:v>0</x:v>
      </x:c>
      <x:c r="L3283" s="6">
        <x:v>0</x:v>
      </x:c>
      <x:c r="M3283" s="6">
        <x:v>0</x:v>
      </x:c>
      <x:c r="N3283" s="6">
        <x:f t="shared" si="160"/>
        <x:v>824.84</x:v>
      </x:c>
    </x:row>
    <x:row r="3284" spans="1:14" x14ac:dyDescent="0.25">
      <x:c r="A3284" t="s">
        <x:v>2</x:v>
      </x:c>
      <x:c r="B3284" s="3" t="s">
        <x:v>294</x:v>
      </x:c>
      <x:c r="C3284" s="3" t="s">
        <x:v>609</x:v>
      </x:c>
      <x:c r="D3284" t="s">
        <x:v>676</x:v>
      </x:c>
      <x:c r="E3284" s="6">
        <x:v>0</x:v>
      </x:c>
      <x:c r="F3284" s="6">
        <x:v>0</x:v>
      </x:c>
      <x:c r="G3284" s="6">
        <x:v>0</x:v>
      </x:c>
      <x:c r="H3284" s="6">
        <x:f t="shared" si="158"/>
        <x:v>0</x:v>
      </x:c>
      <x:c r="I3284" s="6">
        <x:v>0</x:v>
      </x:c>
      <x:c r="J3284" s="6">
        <x:v>0</x:v>
      </x:c>
      <x:c r="K3284" s="6">
        <x:f t="shared" si="159"/>
        <x:v>0</x:v>
      </x:c>
      <x:c r="L3284" s="6">
        <x:v>0</x:v>
      </x:c>
      <x:c r="M3284" s="6">
        <x:v>6600</x:v>
      </x:c>
      <x:c r="N3284" s="6">
        <x:f t="shared" si="160"/>
        <x:v>6600</x:v>
      </x:c>
    </x:row>
    <x:row r="3285" spans="1:14" x14ac:dyDescent="0.25">
      <x:c r="A3285" t="s">
        <x:v>2</x:v>
      </x:c>
      <x:c r="B3285" s="3" t="s">
        <x:v>359</x:v>
      </x:c>
      <x:c r="C3285" s="3" t="s">
        <x:v>674</x:v>
      </x:c>
      <x:c r="D3285" t="s">
        <x:v>676</x:v>
      </x:c>
      <x:c r="E3285" s="6">
        <x:v>0</x:v>
      </x:c>
      <x:c r="F3285" s="6">
        <x:v>0</x:v>
      </x:c>
      <x:c r="G3285" s="6">
        <x:v>0</x:v>
      </x:c>
      <x:c r="H3285" s="6">
        <x:f t="shared" si="158"/>
        <x:v>0</x:v>
      </x:c>
      <x:c r="I3285" s="6">
        <x:v>0</x:v>
      </x:c>
      <x:c r="J3285" s="6">
        <x:v>0</x:v>
      </x:c>
      <x:c r="K3285" s="6">
        <x:f t="shared" si="159"/>
        <x:v>0</x:v>
      </x:c>
      <x:c r="L3285" s="6">
        <x:v>0</x:v>
      </x:c>
      <x:c r="M3285" s="6">
        <x:v>2675996.5699999998</x:v>
      </x:c>
      <x:c r="N3285" s="6">
        <x:f t="shared" si="160"/>
        <x:v>2675996.5699999998</x:v>
      </x:c>
    </x:row>
    <x:row r="3286" spans="1:14" x14ac:dyDescent="0.25">
      <x:c r="A3286" t="s">
        <x:v>2</x:v>
      </x:c>
      <x:c r="B3286" s="3" t="s">
        <x:v>331</x:v>
      </x:c>
      <x:c r="C3286" s="3" t="s">
        <x:v>646</x:v>
      </x:c>
      <x:c r="D3286" t="s">
        <x:v>676</x:v>
      </x:c>
      <x:c r="E3286" s="6">
        <x:v>0</x:v>
      </x:c>
      <x:c r="F3286" s="6">
        <x:v>0</x:v>
      </x:c>
      <x:c r="G3286" s="6">
        <x:v>0</x:v>
      </x:c>
      <x:c r="H3286" s="6">
        <x:f t="shared" si="158"/>
        <x:v>0</x:v>
      </x:c>
      <x:c r="I3286" s="6">
        <x:v>0</x:v>
      </x:c>
      <x:c r="J3286" s="6">
        <x:v>0</x:v>
      </x:c>
      <x:c r="K3286" s="6">
        <x:f t="shared" si="159"/>
        <x:v>0</x:v>
      </x:c>
      <x:c r="L3286" s="6">
        <x:v>0</x:v>
      </x:c>
      <x:c r="M3286" s="6">
        <x:v>60050</x:v>
      </x:c>
      <x:c r="N3286" s="6">
        <x:f t="shared" si="160"/>
        <x:v>60050</x:v>
      </x:c>
    </x:row>
    <x:row r="3287" spans="1:14" x14ac:dyDescent="0.25">
      <x:c r="A3287" t="s">
        <x:v>2</x:v>
      </x:c>
      <x:c r="B3287" s="3" t="s">
        <x:v>295</x:v>
      </x:c>
      <x:c r="C3287" s="3" t="s">
        <x:v>610</x:v>
      </x:c>
      <x:c r="D3287" t="s">
        <x:v>676</x:v>
      </x:c>
      <x:c r="E3287" s="6">
        <x:v>0</x:v>
      </x:c>
      <x:c r="F3287" s="6">
        <x:v>0</x:v>
      </x:c>
      <x:c r="G3287" s="6">
        <x:v>0</x:v>
      </x:c>
      <x:c r="H3287" s="6">
        <x:f t="shared" si="158"/>
        <x:v>0</x:v>
      </x:c>
      <x:c r="I3287" s="6">
        <x:v>0</x:v>
      </x:c>
      <x:c r="J3287" s="6">
        <x:v>0</x:v>
      </x:c>
      <x:c r="K3287" s="6">
        <x:f t="shared" si="159"/>
        <x:v>0</x:v>
      </x:c>
      <x:c r="L3287" s="6">
        <x:v>0</x:v>
      </x:c>
      <x:c r="M3287" s="6">
        <x:v>136407.46</x:v>
      </x:c>
      <x:c r="N3287" s="6">
        <x:f t="shared" si="160"/>
        <x:v>136407.46</x:v>
      </x:c>
    </x:row>
    <x:row r="3288" spans="1:14" x14ac:dyDescent="0.25">
      <x:c r="A3288" t="s">
        <x:v>2</x:v>
      </x:c>
      <x:c r="B3288" s="3" t="s">
        <x:v>314</x:v>
      </x:c>
      <x:c r="C3288" s="3" t="s">
        <x:v>629</x:v>
      </x:c>
      <x:c r="D3288" t="s">
        <x:v>676</x:v>
      </x:c>
      <x:c r="E3288" s="6">
        <x:v>0</x:v>
      </x:c>
      <x:c r="F3288" s="6">
        <x:v>0</x:v>
      </x:c>
      <x:c r="G3288" s="6">
        <x:v>0</x:v>
      </x:c>
      <x:c r="H3288" s="6">
        <x:f t="shared" si="158"/>
        <x:v>0</x:v>
      </x:c>
      <x:c r="I3288" s="6">
        <x:v>0</x:v>
      </x:c>
      <x:c r="J3288" s="6">
        <x:v>0</x:v>
      </x:c>
      <x:c r="K3288" s="6">
        <x:f t="shared" si="159"/>
        <x:v>0</x:v>
      </x:c>
      <x:c r="L3288" s="6">
        <x:v>0</x:v>
      </x:c>
      <x:c r="M3288" s="6">
        <x:v>3197.2200000000003</x:v>
      </x:c>
      <x:c r="N3288" s="6">
        <x:f t="shared" si="160"/>
        <x:v>3197.2200000000003</x:v>
      </x:c>
    </x:row>
    <x:row r="3289" spans="1:14" x14ac:dyDescent="0.25">
      <x:c r="A3289" t="s">
        <x:v>2</x:v>
      </x:c>
      <x:c r="B3289" s="3" t="s">
        <x:v>296</x:v>
      </x:c>
      <x:c r="C3289" s="3" t="s">
        <x:v>611</x:v>
      </x:c>
      <x:c r="D3289" t="s">
        <x:v>676</x:v>
      </x:c>
      <x:c r="E3289" s="6">
        <x:v>0</x:v>
      </x:c>
      <x:c r="F3289" s="6">
        <x:v>0</x:v>
      </x:c>
      <x:c r="G3289" s="6">
        <x:v>0</x:v>
      </x:c>
      <x:c r="H3289" s="6">
        <x:f t="shared" si="158"/>
        <x:v>0</x:v>
      </x:c>
      <x:c r="I3289" s="6">
        <x:v>0</x:v>
      </x:c>
      <x:c r="J3289" s="6">
        <x:v>0</x:v>
      </x:c>
      <x:c r="K3289" s="6">
        <x:f t="shared" si="159"/>
        <x:v>0</x:v>
      </x:c>
      <x:c r="L3289" s="6">
        <x:v>0</x:v>
      </x:c>
      <x:c r="M3289" s="6">
        <x:v>11850</x:v>
      </x:c>
      <x:c r="N3289" s="6">
        <x:f t="shared" si="160"/>
        <x:v>11850</x:v>
      </x:c>
    </x:row>
    <x:row r="3290" spans="1:14" x14ac:dyDescent="0.25">
      <x:c r="A3290" t="s">
        <x:v>2</x:v>
      </x:c>
      <x:c r="B3290" s="3" t="s">
        <x:v>315</x:v>
      </x:c>
      <x:c r="C3290" s="3" t="s">
        <x:v>630</x:v>
      </x:c>
      <x:c r="D3290" t="s">
        <x:v>676</x:v>
      </x:c>
      <x:c r="E3290" s="6">
        <x:v>0</x:v>
      </x:c>
      <x:c r="F3290" s="6">
        <x:v>0</x:v>
      </x:c>
      <x:c r="G3290" s="6">
        <x:v>0</x:v>
      </x:c>
      <x:c r="H3290" s="6">
        <x:f t="shared" si="158"/>
        <x:v>0</x:v>
      </x:c>
      <x:c r="I3290" s="6">
        <x:v>0</x:v>
      </x:c>
      <x:c r="J3290" s="6">
        <x:v>0</x:v>
      </x:c>
      <x:c r="K3290" s="6">
        <x:f t="shared" si="159"/>
        <x:v>0</x:v>
      </x:c>
      <x:c r="L3290" s="6">
        <x:v>0</x:v>
      </x:c>
      <x:c r="M3290" s="6">
        <x:v>12500</x:v>
      </x:c>
      <x:c r="N3290" s="6">
        <x:f t="shared" si="160"/>
        <x:v>12500</x:v>
      </x:c>
    </x:row>
    <x:row r="3291" spans="1:14" x14ac:dyDescent="0.25">
      <x:c r="A3291" t="s">
        <x:v>2</x:v>
      </x:c>
      <x:c r="B3291" s="3" t="s">
        <x:v>319</x:v>
      </x:c>
      <x:c r="C3291" s="3" t="s">
        <x:v>634</x:v>
      </x:c>
      <x:c r="D3291" t="s">
        <x:v>676</x:v>
      </x:c>
      <x:c r="E3291" s="6">
        <x:v>0</x:v>
      </x:c>
      <x:c r="F3291" s="6">
        <x:v>0</x:v>
      </x:c>
      <x:c r="G3291" s="6">
        <x:v>0</x:v>
      </x:c>
      <x:c r="H3291" s="6">
        <x:f t="shared" si="158"/>
        <x:v>0</x:v>
      </x:c>
      <x:c r="I3291" s="6">
        <x:v>0</x:v>
      </x:c>
      <x:c r="J3291" s="6">
        <x:v>0</x:v>
      </x:c>
      <x:c r="K3291" s="6">
        <x:f t="shared" si="159"/>
        <x:v>0</x:v>
      </x:c>
      <x:c r="L3291" s="6">
        <x:v>0</x:v>
      </x:c>
      <x:c r="M3291" s="6">
        <x:v>103285.38</x:v>
      </x:c>
      <x:c r="N3291" s="6">
        <x:f t="shared" si="160"/>
        <x:v>103285.38</x:v>
      </x:c>
    </x:row>
    <x:row r="3292" spans="1:14" x14ac:dyDescent="0.25">
      <x:c r="A3292" t="s">
        <x:v>2</x:v>
      </x:c>
      <x:c r="B3292" s="3" t="s">
        <x:v>223</x:v>
      </x:c>
      <x:c r="C3292" s="3" t="s">
        <x:v>539</x:v>
      </x:c>
      <x:c r="D3292" t="s">
        <x:v>676</x:v>
      </x:c>
      <x:c r="E3292" s="6">
        <x:v>0</x:v>
      </x:c>
      <x:c r="F3292" s="6">
        <x:v>0</x:v>
      </x:c>
      <x:c r="G3292" s="6">
        <x:v>0</x:v>
      </x:c>
      <x:c r="H3292" s="6">
        <x:f t="shared" si="158"/>
        <x:v>0</x:v>
      </x:c>
      <x:c r="I3292" s="6">
        <x:v>0</x:v>
      </x:c>
      <x:c r="J3292" s="6">
        <x:v>0</x:v>
      </x:c>
      <x:c r="K3292" s="6">
        <x:f t="shared" si="159"/>
        <x:v>0</x:v>
      </x:c>
      <x:c r="L3292" s="6">
        <x:v>0</x:v>
      </x:c>
      <x:c r="M3292" s="6">
        <x:v>175230</x:v>
      </x:c>
      <x:c r="N3292" s="6">
        <x:f t="shared" si="160"/>
        <x:v>175230</x:v>
      </x:c>
    </x:row>
    <x:row r="3293" spans="1:14" x14ac:dyDescent="0.25">
      <x:c r="A3293" t="s">
        <x:v>2</x:v>
      </x:c>
      <x:c r="B3293" s="3" t="s">
        <x:v>224</x:v>
      </x:c>
      <x:c r="C3293" s="3" t="s">
        <x:v>540</x:v>
      </x:c>
      <x:c r="D3293" t="s">
        <x:v>676</x:v>
      </x:c>
      <x:c r="E3293" s="6">
        <x:v>0</x:v>
      </x:c>
      <x:c r="F3293" s="6">
        <x:v>0</x:v>
      </x:c>
      <x:c r="G3293" s="6">
        <x:v>0</x:v>
      </x:c>
      <x:c r="H3293" s="6">
        <x:f t="shared" si="158"/>
        <x:v>0</x:v>
      </x:c>
      <x:c r="I3293" s="6">
        <x:v>0</x:v>
      </x:c>
      <x:c r="J3293" s="6">
        <x:v>0</x:v>
      </x:c>
      <x:c r="K3293" s="6">
        <x:f t="shared" si="159"/>
        <x:v>0</x:v>
      </x:c>
      <x:c r="L3293" s="6">
        <x:v>0</x:v>
      </x:c>
      <x:c r="M3293" s="6">
        <x:v>175689.88</x:v>
      </x:c>
      <x:c r="N3293" s="6">
        <x:f t="shared" si="160"/>
        <x:v>175689.88</x:v>
      </x:c>
    </x:row>
    <x:row r="3294" spans="1:14" x14ac:dyDescent="0.25">
      <x:c r="A3294" t="s">
        <x:v>2</x:v>
      </x:c>
      <x:c r="B3294" s="3" t="s">
        <x:v>225</x:v>
      </x:c>
      <x:c r="C3294" s="3" t="s">
        <x:v>541</x:v>
      </x:c>
      <x:c r="D3294" t="s">
        <x:v>676</x:v>
      </x:c>
      <x:c r="E3294" s="6">
        <x:v>0</x:v>
      </x:c>
      <x:c r="F3294" s="6">
        <x:v>0</x:v>
      </x:c>
      <x:c r="G3294" s="6">
        <x:v>0</x:v>
      </x:c>
      <x:c r="H3294" s="6">
        <x:f t="shared" si="158"/>
        <x:v>0</x:v>
      </x:c>
      <x:c r="I3294" s="6">
        <x:v>0</x:v>
      </x:c>
      <x:c r="J3294" s="6">
        <x:v>0</x:v>
      </x:c>
      <x:c r="K3294" s="6">
        <x:f t="shared" si="159"/>
        <x:v>0</x:v>
      </x:c>
      <x:c r="L3294" s="6">
        <x:v>0</x:v>
      </x:c>
      <x:c r="M3294" s="6">
        <x:v>56461</x:v>
      </x:c>
      <x:c r="N3294" s="6">
        <x:f t="shared" si="160"/>
        <x:v>56461</x:v>
      </x:c>
    </x:row>
    <x:row r="3295" spans="1:14" x14ac:dyDescent="0.25">
      <x:c r="A3295" t="s">
        <x:v>2</x:v>
      </x:c>
      <x:c r="B3295" s="3" t="s">
        <x:v>297</x:v>
      </x:c>
      <x:c r="C3295" s="3" t="s">
        <x:v>612</x:v>
      </x:c>
      <x:c r="D3295" t="s">
        <x:v>676</x:v>
      </x:c>
      <x:c r="E3295" s="6">
        <x:v>0</x:v>
      </x:c>
      <x:c r="F3295" s="6">
        <x:v>0</x:v>
      </x:c>
      <x:c r="G3295" s="6">
        <x:v>0</x:v>
      </x:c>
      <x:c r="H3295" s="6">
        <x:f t="shared" ref="H3295:H3358" si="161">SUM(E3295:G3295)</x:f>
        <x:v>0</x:v>
      </x:c>
      <x:c r="I3295" s="6">
        <x:v>0</x:v>
      </x:c>
      <x:c r="J3295" s="6">
        <x:v>0</x:v>
      </x:c>
      <x:c r="K3295" s="6">
        <x:f t="shared" ref="K3295:K3358" si="162">SUM(I3295:J3295)</x:f>
        <x:v>0</x:v>
      </x:c>
      <x:c r="L3295" s="6">
        <x:v>0</x:v>
      </x:c>
      <x:c r="M3295" s="6">
        <x:v>66901.8</x:v>
      </x:c>
      <x:c r="N3295" s="6">
        <x:f t="shared" ref="N3295:N3358" si="163">+E3295+F3295+G3295+I3295+J3295+L3295+M3295</x:f>
        <x:v>66901.8</x:v>
      </x:c>
    </x:row>
    <x:row r="3296" spans="1:14" x14ac:dyDescent="0.25">
      <x:c r="A3296" t="s">
        <x:v>2</x:v>
      </x:c>
      <x:c r="B3296" s="3" t="s">
        <x:v>333</x:v>
      </x:c>
      <x:c r="C3296" s="3" t="s">
        <x:v>648</x:v>
      </x:c>
      <x:c r="D3296" t="s">
        <x:v>679</x:v>
      </x:c>
      <x:c r="E3296" s="6">
        <x:v>962.98</x:v>
      </x:c>
      <x:c r="F3296" s="6">
        <x:v>0</x:v>
      </x:c>
      <x:c r="G3296" s="6">
        <x:v>0</x:v>
      </x:c>
      <x:c r="H3296" s="6">
        <x:f t="shared" si="161"/>
        <x:v>962.98</x:v>
      </x:c>
      <x:c r="I3296" s="6">
        <x:v>2571.96</x:v>
      </x:c>
      <x:c r="J3296" s="6">
        <x:v>0</x:v>
      </x:c>
      <x:c r="K3296" s="6">
        <x:f t="shared" si="162"/>
        <x:v>2571.96</x:v>
      </x:c>
      <x:c r="L3296" s="6">
        <x:v>719.2399999999999</x:v>
      </x:c>
      <x:c r="M3296" s="6">
        <x:v>29.560000000000286</x:v>
      </x:c>
      <x:c r="N3296" s="6">
        <x:f t="shared" si="163"/>
        <x:v>4283.7400000000007</x:v>
      </x:c>
    </x:row>
    <x:row r="3297" spans="1:14" x14ac:dyDescent="0.25">
      <x:c r="A3297" t="s">
        <x:v>2</x:v>
      </x:c>
      <x:c r="B3297" s="3" t="s">
        <x:v>298</x:v>
      </x:c>
      <x:c r="C3297" s="3" t="s">
        <x:v>613</x:v>
      </x:c>
      <x:c r="D3297" t="s">
        <x:v>679</x:v>
      </x:c>
      <x:c r="E3297" s="6">
        <x:v>502.38</x:v>
      </x:c>
      <x:c r="F3297" s="6">
        <x:v>0</x:v>
      </x:c>
      <x:c r="G3297" s="6">
        <x:v>0</x:v>
      </x:c>
      <x:c r="H3297" s="6">
        <x:f t="shared" si="161"/>
        <x:v>502.38</x:v>
      </x:c>
      <x:c r="I3297" s="6">
        <x:v>1341.76</x:v>
      </x:c>
      <x:c r="J3297" s="6">
        <x:v>0</x:v>
      </x:c>
      <x:c r="K3297" s="6">
        <x:f t="shared" si="162"/>
        <x:v>1341.76</x:v>
      </x:c>
      <x:c r="L3297" s="6">
        <x:v>375.21</x:v>
      </x:c>
      <x:c r="M3297" s="6">
        <x:v>15.419999999999902</x:v>
      </x:c>
      <x:c r="N3297" s="6">
        <x:f t="shared" si="163"/>
        <x:v>2234.77</x:v>
      </x:c>
    </x:row>
    <x:row r="3298" spans="1:14" x14ac:dyDescent="0.25">
      <x:c r="A3298" t="s">
        <x:v>2</x:v>
      </x:c>
      <x:c r="B3298" s="3" t="s">
        <x:v>336</x:v>
      </x:c>
      <x:c r="C3298" s="3" t="s">
        <x:v>651</x:v>
      </x:c>
      <x:c r="D3298" t="s">
        <x:v>679</x:v>
      </x:c>
      <x:c r="E3298" s="6">
        <x:v>371.84</x:v>
      </x:c>
      <x:c r="F3298" s="6">
        <x:v>0</x:v>
      </x:c>
      <x:c r="G3298" s="6">
        <x:v>0</x:v>
      </x:c>
      <x:c r="H3298" s="6">
        <x:f t="shared" si="161"/>
        <x:v>371.84</x:v>
      </x:c>
      <x:c r="I3298" s="6">
        <x:v>993.12</x:v>
      </x:c>
      <x:c r="J3298" s="6">
        <x:v>0</x:v>
      </x:c>
      <x:c r="K3298" s="6">
        <x:f t="shared" si="162"/>
        <x:v>993.12</x:v>
      </x:c>
      <x:c r="L3298" s="6">
        <x:v>277.72000000000003</x:v>
      </x:c>
      <x:c r="M3298" s="6">
        <x:v>11.409999999999968</x:v>
      </x:c>
      <x:c r="N3298" s="6">
        <x:f t="shared" si="163"/>
        <x:v>1654.0900000000001</x:v>
      </x:c>
    </x:row>
    <x:row r="3299" spans="1:14" x14ac:dyDescent="0.25">
      <x:c r="A3299" t="s">
        <x:v>2</x:v>
      </x:c>
      <x:c r="B3299" s="3" t="s">
        <x:v>337</x:v>
      </x:c>
      <x:c r="C3299" s="3" t="s">
        <x:v>652</x:v>
      </x:c>
      <x:c r="D3299" t="s">
        <x:v>679</x:v>
      </x:c>
      <x:c r="E3299" s="6">
        <x:v>5656.65</x:v>
      </x:c>
      <x:c r="F3299" s="6">
        <x:v>0</x:v>
      </x:c>
      <x:c r="G3299" s="6">
        <x:v>0</x:v>
      </x:c>
      <x:c r="H3299" s="6">
        <x:f t="shared" si="161"/>
        <x:v>5656.65</x:v>
      </x:c>
      <x:c r="I3299" s="6">
        <x:v>15107.869999999999</x:v>
      </x:c>
      <x:c r="J3299" s="6">
        <x:v>0</x:v>
      </x:c>
      <x:c r="K3299" s="6">
        <x:f t="shared" si="162"/>
        <x:v>15107.869999999999</x:v>
      </x:c>
      <x:c r="L3299" s="6">
        <x:v>4224.8599999999997</x:v>
      </x:c>
      <x:c r="M3299" s="6">
        <x:v>173.63000000000002</x:v>
      </x:c>
      <x:c r="N3299" s="6">
        <x:f t="shared" si="163"/>
        <x:v>25163.01</x:v>
      </x:c>
    </x:row>
    <x:row r="3300" spans="1:14" x14ac:dyDescent="0.25">
      <x:c r="A3300" t="s">
        <x:v>2</x:v>
      </x:c>
      <x:c r="B3300" s="3" t="s">
        <x:v>301</x:v>
      </x:c>
      <x:c r="C3300" s="3" t="s">
        <x:v>616</x:v>
      </x:c>
      <x:c r="D3300" t="s">
        <x:v>679</x:v>
      </x:c>
      <x:c r="E3300" s="6">
        <x:v>14925.43</x:v>
      </x:c>
      <x:c r="F3300" s="6">
        <x:v>0</x:v>
      </x:c>
      <x:c r="G3300" s="6">
        <x:v>0</x:v>
      </x:c>
      <x:c r="H3300" s="6">
        <x:f t="shared" si="161"/>
        <x:v>14925.43</x:v>
      </x:c>
      <x:c r="I3300" s="6">
        <x:v>39863.079999999994</x:v>
      </x:c>
      <x:c r="J3300" s="6">
        <x:v>0</x:v>
      </x:c>
      <x:c r="K3300" s="6">
        <x:f t="shared" si="162"/>
        <x:v>39863.079999999994</x:v>
      </x:c>
      <x:c r="L3300" s="6">
        <x:v>11147.58</x:v>
      </x:c>
      <x:c r="M3300" s="6">
        <x:v>458.13000000000017</x:v>
      </x:c>
      <x:c r="N3300" s="6">
        <x:f t="shared" si="163"/>
        <x:v>66394.22</x:v>
      </x:c>
    </x:row>
    <x:row r="3301" spans="1:14" x14ac:dyDescent="0.25">
      <x:c r="A3301" t="s">
        <x:v>2</x:v>
      </x:c>
      <x:c r="B3301" s="3" t="s">
        <x:v>341</x:v>
      </x:c>
      <x:c r="C3301" s="3" t="s">
        <x:v>656</x:v>
      </x:c>
      <x:c r="D3301" t="s">
        <x:v>679</x:v>
      </x:c>
      <x:c r="E3301" s="6">
        <x:v>140.1</x:v>
      </x:c>
      <x:c r="F3301" s="6">
        <x:v>0</x:v>
      </x:c>
      <x:c r="G3301" s="6">
        <x:v>0</x:v>
      </x:c>
      <x:c r="H3301" s="6">
        <x:f t="shared" si="161"/>
        <x:v>140.1</x:v>
      </x:c>
      <x:c r="I3301" s="6">
        <x:v>374.18</x:v>
      </x:c>
      <x:c r="J3301" s="6">
        <x:v>0</x:v>
      </x:c>
      <x:c r="K3301" s="6">
        <x:f t="shared" si="162"/>
        <x:v>374.18</x:v>
      </x:c>
      <x:c r="L3301" s="6">
        <x:v>104.64</x:v>
      </x:c>
      <x:c r="M3301" s="6">
        <x:v>4.2999999999999972</x:v>
      </x:c>
      <x:c r="N3301" s="6">
        <x:f t="shared" si="163"/>
        <x:v>623.21999999999991</x:v>
      </x:c>
    </x:row>
    <x:row r="3302" spans="1:14" x14ac:dyDescent="0.25">
      <x:c r="A3302" t="s">
        <x:v>2</x:v>
      </x:c>
      <x:c r="B3302" s="3" t="s">
        <x:v>302</x:v>
      </x:c>
      <x:c r="C3302" s="3" t="s">
        <x:v>617</x:v>
      </x:c>
      <x:c r="D3302" t="s">
        <x:v>679</x:v>
      </x:c>
      <x:c r="E3302" s="6">
        <x:v>121953.35</x:v>
      </x:c>
      <x:c r="F3302" s="6">
        <x:v>0</x:v>
      </x:c>
      <x:c r="G3302" s="6">
        <x:v>0</x:v>
      </x:c>
      <x:c r="H3302" s="6">
        <x:f t="shared" si="161"/>
        <x:v>121953.35</x:v>
      </x:c>
      <x:c r="I3302" s="6">
        <x:v>325715.26</x:v>
      </x:c>
      <x:c r="J3302" s="6">
        <x:v>0</x:v>
      </x:c>
      <x:c r="K3302" s="6">
        <x:f t="shared" si="162"/>
        <x:v>325715.26</x:v>
      </x:c>
      <x:c r="L3302" s="6">
        <x:v>91085.26</x:v>
      </x:c>
      <x:c r="M3302" s="6">
        <x:v>3743.219999999912</x:v>
      </x:c>
      <x:c r="N3302" s="6">
        <x:f t="shared" si="163"/>
        <x:v>542497.08999999985</x:v>
      </x:c>
    </x:row>
    <x:row r="3303" spans="1:14" x14ac:dyDescent="0.25">
      <x:c r="A3303" t="s">
        <x:v>2</x:v>
      </x:c>
      <x:c r="B3303" s="3" t="s">
        <x:v>345</x:v>
      </x:c>
      <x:c r="C3303" s="3" t="s">
        <x:v>660</x:v>
      </x:c>
      <x:c r="D3303" t="s">
        <x:v>679</x:v>
      </x:c>
      <x:c r="E3303" s="6">
        <x:v>41.34</x:v>
      </x:c>
      <x:c r="F3303" s="6">
        <x:v>0</x:v>
      </x:c>
      <x:c r="G3303" s="6">
        <x:v>0</x:v>
      </x:c>
      <x:c r="H3303" s="6">
        <x:f t="shared" si="161"/>
        <x:v>41.34</x:v>
      </x:c>
      <x:c r="I3303" s="6">
        <x:v>110.4</x:v>
      </x:c>
      <x:c r="J3303" s="6">
        <x:v>0</x:v>
      </x:c>
      <x:c r="K3303" s="6">
        <x:f t="shared" si="162"/>
        <x:v>110.4</x:v>
      </x:c>
      <x:c r="L3303" s="6">
        <x:v>30.87</x:v>
      </x:c>
      <x:c r="M3303" s="6">
        <x:v>1.2699999999999854</x:v>
      </x:c>
      <x:c r="N3303" s="6">
        <x:f t="shared" si="163"/>
        <x:v>183.88</x:v>
      </x:c>
    </x:row>
    <x:row r="3304" spans="1:14" x14ac:dyDescent="0.25">
      <x:c r="A3304" t="s">
        <x:v>2</x:v>
      </x:c>
      <x:c r="B3304" s="3" t="s">
        <x:v>226</x:v>
      </x:c>
      <x:c r="C3304" s="3" t="s">
        <x:v>542</x:v>
      </x:c>
      <x:c r="D3304" t="s">
        <x:v>679</x:v>
      </x:c>
      <x:c r="E3304" s="6">
        <x:v>9860.67</x:v>
      </x:c>
      <x:c r="F3304" s="6">
        <x:v>0</x:v>
      </x:c>
      <x:c r="G3304" s="6">
        <x:v>0</x:v>
      </x:c>
      <x:c r="H3304" s="6">
        <x:f t="shared" si="161"/>
        <x:v>9860.67</x:v>
      </x:c>
      <x:c r="I3304" s="6">
        <x:v>26336.030000000002</x:v>
      </x:c>
      <x:c r="J3304" s="6">
        <x:v>0</x:v>
      </x:c>
      <x:c r="K3304" s="6">
        <x:f t="shared" si="162"/>
        <x:v>26336.030000000002</x:v>
      </x:c>
      <x:c r="L3304" s="6">
        <x:v>7364.79</x:v>
      </x:c>
      <x:c r="M3304" s="6">
        <x:v>302.65000000000225</x:v>
      </x:c>
      <x:c r="N3304" s="6">
        <x:f t="shared" si="163"/>
        <x:v>43864.140000000007</x:v>
      </x:c>
    </x:row>
    <x:row r="3305" spans="1:14" x14ac:dyDescent="0.25">
      <x:c r="A3305" t="s">
        <x:v>2</x:v>
      </x:c>
      <x:c r="B3305" s="3" t="s">
        <x:v>303</x:v>
      </x:c>
      <x:c r="C3305" s="3" t="s">
        <x:v>618</x:v>
      </x:c>
      <x:c r="D3305" t="s">
        <x:v>679</x:v>
      </x:c>
      <x:c r="E3305" s="6">
        <x:v>3038.42</x:v>
      </x:c>
      <x:c r="F3305" s="6">
        <x:v>0</x:v>
      </x:c>
      <x:c r="G3305" s="6">
        <x:v>0</x:v>
      </x:c>
      <x:c r="H3305" s="6">
        <x:f t="shared" si="161"/>
        <x:v>3038.42</x:v>
      </x:c>
      <x:c r="I3305" s="6">
        <x:v>8115.07</x:v>
      </x:c>
      <x:c r="J3305" s="6">
        <x:v>0</x:v>
      </x:c>
      <x:c r="K3305" s="6">
        <x:f t="shared" si="162"/>
        <x:v>8115.07</x:v>
      </x:c>
      <x:c r="L3305" s="6">
        <x:v>2269.35</x:v>
      </x:c>
      <x:c r="M3305" s="6">
        <x:v>93.259999999999792</x:v>
      </x:c>
      <x:c r="N3305" s="6">
        <x:f t="shared" si="163"/>
        <x:v>13516.1</x:v>
      </x:c>
    </x:row>
    <x:row r="3306" spans="1:14" x14ac:dyDescent="0.25">
      <x:c r="A3306" t="s">
        <x:v>2</x:v>
      </x:c>
      <x:c r="B3306" s="3" t="s">
        <x:v>346</x:v>
      </x:c>
      <x:c r="C3306" s="3" t="s">
        <x:v>661</x:v>
      </x:c>
      <x:c r="D3306" t="s">
        <x:v>679</x:v>
      </x:c>
      <x:c r="E3306" s="6">
        <x:v>2714.46</x:v>
      </x:c>
      <x:c r="F3306" s="6">
        <x:v>0</x:v>
      </x:c>
      <x:c r="G3306" s="6">
        <x:v>0</x:v>
      </x:c>
      <x:c r="H3306" s="6">
        <x:f t="shared" si="161"/>
        <x:v>2714.46</x:v>
      </x:c>
      <x:c r="I3306" s="6">
        <x:v>7249.82</x:v>
      </x:c>
      <x:c r="J3306" s="6">
        <x:v>0</x:v>
      </x:c>
      <x:c r="K3306" s="6">
        <x:f t="shared" si="162"/>
        <x:v>7249.82</x:v>
      </x:c>
      <x:c r="L3306" s="6">
        <x:v>2027.39</x:v>
      </x:c>
      <x:c r="M3306" s="6">
        <x:v>83.320000000000846</x:v>
      </x:c>
      <x:c r="N3306" s="6">
        <x:f t="shared" si="163"/>
        <x:v>12074.99</x:v>
      </x:c>
    </x:row>
    <x:row r="3307" spans="1:14" x14ac:dyDescent="0.25">
      <x:c r="A3307" t="s">
        <x:v>2</x:v>
      </x:c>
      <x:c r="B3307" s="3" t="s">
        <x:v>304</x:v>
      </x:c>
      <x:c r="C3307" s="3" t="s">
        <x:v>619</x:v>
      </x:c>
      <x:c r="D3307" t="s">
        <x:v>679</x:v>
      </x:c>
      <x:c r="E3307" s="6">
        <x:v>8198.65</x:v>
      </x:c>
      <x:c r="F3307" s="6">
        <x:v>0</x:v>
      </x:c>
      <x:c r="G3307" s="6">
        <x:v>0</x:v>
      </x:c>
      <x:c r="H3307" s="6">
        <x:f t="shared" si="161"/>
        <x:v>8198.65</x:v>
      </x:c>
      <x:c r="I3307" s="6">
        <x:v>21897.15</x:v>
      </x:c>
      <x:c r="J3307" s="6">
        <x:v>0</x:v>
      </x:c>
      <x:c r="K3307" s="6">
        <x:f t="shared" si="162"/>
        <x:v>21897.15</x:v>
      </x:c>
      <x:c r="L3307" s="6">
        <x:v>6123.4899999999989</x:v>
      </x:c>
      <x:c r="M3307" s="6">
        <x:v>251.6199999999975</x:v>
      </x:c>
      <x:c r="N3307" s="6">
        <x:f t="shared" si="163"/>
        <x:v>36470.909999999996</x:v>
      </x:c>
    </x:row>
    <x:row r="3308" spans="1:14" x14ac:dyDescent="0.25">
      <x:c r="A3308" t="s">
        <x:v>2</x:v>
      </x:c>
      <x:c r="B3308" s="3" t="s">
        <x:v>348</x:v>
      </x:c>
      <x:c r="C3308" s="3" t="s">
        <x:v>663</x:v>
      </x:c>
      <x:c r="D3308" t="s">
        <x:v>679</x:v>
      </x:c>
      <x:c r="E3308" s="6">
        <x:v>255.48</x:v>
      </x:c>
      <x:c r="F3308" s="6">
        <x:v>0</x:v>
      </x:c>
      <x:c r="G3308" s="6">
        <x:v>0</x:v>
      </x:c>
      <x:c r="H3308" s="6">
        <x:f t="shared" si="161"/>
        <x:v>255.48</x:v>
      </x:c>
      <x:c r="I3308" s="6">
        <x:v>682.34</x:v>
      </x:c>
      <x:c r="J3308" s="6">
        <x:v>0</x:v>
      </x:c>
      <x:c r="K3308" s="6">
        <x:f t="shared" si="162"/>
        <x:v>682.34</x:v>
      </x:c>
      <x:c r="L3308" s="6">
        <x:v>190.81</x:v>
      </x:c>
      <x:c r="M3308" s="6">
        <x:v>7.839999999999975</x:v>
      </x:c>
      <x:c r="N3308" s="6">
        <x:f t="shared" si="163"/>
        <x:v>1136.47</x:v>
      </x:c>
    </x:row>
    <x:row r="3309" spans="1:14" x14ac:dyDescent="0.25">
      <x:c r="A3309" t="s">
        <x:v>2</x:v>
      </x:c>
      <x:c r="B3309" s="3" t="s">
        <x:v>349</x:v>
      </x:c>
      <x:c r="C3309" s="3" t="s">
        <x:v>664</x:v>
      </x:c>
      <x:c r="D3309" t="s">
        <x:v>679</x:v>
      </x:c>
      <x:c r="E3309" s="6">
        <x:v>24.689999999999998</x:v>
      </x:c>
      <x:c r="F3309" s="6">
        <x:v>0</x:v>
      </x:c>
      <x:c r="G3309" s="6">
        <x:v>0</x:v>
      </x:c>
      <x:c r="H3309" s="6">
        <x:f t="shared" si="161"/>
        <x:v>24.689999999999998</x:v>
      </x:c>
      <x:c r="I3309" s="6">
        <x:v>65.94</x:v>
      </x:c>
      <x:c r="J3309" s="6">
        <x:v>0</x:v>
      </x:c>
      <x:c r="K3309" s="6">
        <x:f t="shared" si="162"/>
        <x:v>65.94</x:v>
      </x:c>
      <x:c r="L3309" s="6">
        <x:v>18.450000000000003</x:v>
      </x:c>
      <x:c r="M3309" s="6">
        <x:v>0.74999999999999112</x:v>
      </x:c>
      <x:c r="N3309" s="6">
        <x:f t="shared" si="163"/>
        <x:v>109.82999999999998</x:v>
      </x:c>
    </x:row>
    <x:row r="3310" spans="1:14" x14ac:dyDescent="0.25">
      <x:c r="A3310" t="s">
        <x:v>2</x:v>
      </x:c>
      <x:c r="B3310" t="s">
        <x:v>837</x:v>
      </x:c>
      <x:c r="C3310" t="s">
        <x:v>838</x:v>
      </x:c>
      <x:c r="D3310" t="s">
        <x:v>679</x:v>
      </x:c>
      <x:c r="E3310" s="6">
        <x:v>1382620.25</x:v>
      </x:c>
      <x:c r="F3310" s="6">
        <x:v>0</x:v>
      </x:c>
      <x:c r="G3310" s="6">
        <x:v>0</x:v>
      </x:c>
      <x:c r="H3310" s="6">
        <x:f t="shared" si="161"/>
        <x:v>1382620.25</x:v>
      </x:c>
      <x:c r="I3310" s="6">
        <x:v>3692727.73</x:v>
      </x:c>
      <x:c r="J3310" s="6">
        <x:v>0</x:v>
      </x:c>
      <x:c r="K3310" s="6">
        <x:f t="shared" si="162"/>
        <x:v>3692727.73</x:v>
      </x:c>
      <x:c r="L3310" s="6">
        <x:v>1032659.87</x:v>
      </x:c>
      <x:c r="M3310" s="6">
        <x:v>42438.07999999982</x:v>
      </x:c>
      <x:c r="N3310" s="6">
        <x:f t="shared" si="163"/>
        <x:v>6150445.9300000006</x:v>
      </x:c>
    </x:row>
    <x:row r="3311" spans="1:14" x14ac:dyDescent="0.25">
      <x:c r="A3311" t="s">
        <x:v>2</x:v>
      </x:c>
      <x:c r="B3311" t="s">
        <x:v>755</x:v>
      </x:c>
      <x:c r="C3311" t="s">
        <x:v>756</x:v>
      </x:c>
      <x:c r="D3311" t="s">
        <x:v>834</x:v>
      </x:c>
      <x:c r="E3311" s="6">
        <x:v>-257938.65</x:v>
      </x:c>
      <x:c r="F3311" s="6">
        <x:v>0</x:v>
      </x:c>
      <x:c r="G3311" s="6">
        <x:v>0</x:v>
      </x:c>
      <x:c r="H3311" s="6">
        <x:f t="shared" si="161"/>
        <x:v>-257938.65</x:v>
      </x:c>
      <x:c r="I3311" s="6">
        <x:v>-51711.59</x:v>
      </x:c>
      <x:c r="J3311" s="6">
        <x:v>0</x:v>
      </x:c>
      <x:c r="K3311" s="6">
        <x:f t="shared" si="162"/>
        <x:v>-51711.59</x:v>
      </x:c>
      <x:c r="L3311" s="6">
        <x:v>0</x:v>
      </x:c>
      <x:c r="M3311" s="6">
        <x:v>0</x:v>
      </x:c>
      <x:c r="N3311" s="6">
        <x:f t="shared" si="163"/>
        <x:v>-309650.24</x:v>
      </x:c>
    </x:row>
    <x:row r="3312" spans="1:14" x14ac:dyDescent="0.25">
      <x:c r="A3312" t="s">
        <x:v>2</x:v>
      </x:c>
      <x:c r="B3312" t="s">
        <x:v>757</x:v>
      </x:c>
      <x:c r="C3312" t="s">
        <x:v>758</x:v>
      </x:c>
      <x:c r="D3312" t="s">
        <x:v>676</x:v>
      </x:c>
      <x:c r="E3312" s="6">
        <x:v>-0.02</x:v>
      </x:c>
      <x:c r="F3312" s="6">
        <x:v>0</x:v>
      </x:c>
      <x:c r="G3312" s="6">
        <x:v>0</x:v>
      </x:c>
      <x:c r="H3312" s="6">
        <x:f t="shared" si="161"/>
        <x:v>-0.02</x:v>
      </x:c>
      <x:c r="I3312" s="6">
        <x:v>0</x:v>
      </x:c>
      <x:c r="J3312" s="6">
        <x:v>0</x:v>
      </x:c>
      <x:c r="K3312" s="6">
        <x:f t="shared" si="162"/>
        <x:v>0</x:v>
      </x:c>
      <x:c r="L3312" s="6">
        <x:v>0</x:v>
      </x:c>
      <x:c r="M3312" s="6">
        <x:v>0</x:v>
      </x:c>
      <x:c r="N3312" s="6">
        <x:f t="shared" si="163"/>
        <x:v>-0.02</x:v>
      </x:c>
    </x:row>
    <x:row r="3313" spans="1:14" x14ac:dyDescent="0.25">
      <x:c r="A3313" t="s">
        <x:v>2</x:v>
      </x:c>
      <x:c r="B3313" t="s">
        <x:v>821</x:v>
      </x:c>
      <x:c r="C3313" t="s">
        <x:v>822</x:v>
      </x:c>
      <x:c r="D3313" t="s">
        <x:v>832</x:v>
      </x:c>
      <x:c r="E3313" s="6">
        <x:v>401.46</x:v>
      </x:c>
      <x:c r="F3313" s="6">
        <x:v>0</x:v>
      </x:c>
      <x:c r="G3313" s="6">
        <x:v>0</x:v>
      </x:c>
      <x:c r="H3313" s="6">
        <x:f t="shared" si="161"/>
        <x:v>401.46</x:v>
      </x:c>
      <x:c r="I3313" s="6">
        <x:v>0</x:v>
      </x:c>
      <x:c r="J3313" s="6">
        <x:v>0</x:v>
      </x:c>
      <x:c r="K3313" s="6">
        <x:f t="shared" si="162"/>
        <x:v>0</x:v>
      </x:c>
      <x:c r="L3313" s="6">
        <x:v>0</x:v>
      </x:c>
      <x:c r="M3313" s="6">
        <x:v>0</x:v>
      </x:c>
      <x:c r="N3313" s="6">
        <x:f t="shared" si="163"/>
        <x:v>401.46</x:v>
      </x:c>
    </x:row>
    <x:row r="3314" spans="1:14" x14ac:dyDescent="0.25">
      <x:c r="A3314" t="s">
        <x:v>2</x:v>
      </x:c>
      <x:c r="B3314" t="s">
        <x:v>815</x:v>
      </x:c>
      <x:c r="C3314" t="s">
        <x:v>558</x:v>
      </x:c>
      <x:c r="D3314" t="s">
        <x:v>676</x:v>
      </x:c>
      <x:c r="E3314" s="6">
        <x:v>230.68</x:v>
      </x:c>
      <x:c r="F3314" s="6">
        <x:v>0</x:v>
      </x:c>
      <x:c r="G3314" s="6">
        <x:v>0</x:v>
      </x:c>
      <x:c r="H3314" s="6">
        <x:f t="shared" si="161"/>
        <x:v>230.68</x:v>
      </x:c>
      <x:c r="I3314" s="6">
        <x:v>0</x:v>
      </x:c>
      <x:c r="J3314" s="6">
        <x:v>0</x:v>
      </x:c>
      <x:c r="K3314" s="6">
        <x:f t="shared" si="162"/>
        <x:v>0</x:v>
      </x:c>
      <x:c r="L3314" s="6">
        <x:v>0</x:v>
      </x:c>
      <x:c r="M3314" s="6">
        <x:v>0</x:v>
      </x:c>
      <x:c r="N3314" s="6">
        <x:f t="shared" si="163"/>
        <x:v>230.68</x:v>
      </x:c>
    </x:row>
    <x:row r="3315" spans="1:14" x14ac:dyDescent="0.25">
      <x:c r="A3315" t="s">
        <x:v>2</x:v>
      </x:c>
      <x:c r="B3315" t="s">
        <x:v>819</x:v>
      </x:c>
      <x:c r="C3315" t="s">
        <x:v>820</x:v>
      </x:c>
      <x:c r="D3315" t="s">
        <x:v>676</x:v>
      </x:c>
      <x:c r="E3315" s="6">
        <x:v>0</x:v>
      </x:c>
      <x:c r="F3315" s="6">
        <x:v>0</x:v>
      </x:c>
      <x:c r="G3315" s="6">
        <x:v>0</x:v>
      </x:c>
      <x:c r="H3315" s="6">
        <x:f t="shared" si="161"/>
        <x:v>0</x:v>
      </x:c>
      <x:c r="I3315" s="6">
        <x:v>8188.58</x:v>
      </x:c>
      <x:c r="J3315" s="6">
        <x:v>0</x:v>
      </x:c>
      <x:c r="K3315" s="6">
        <x:f t="shared" si="162"/>
        <x:v>8188.58</x:v>
      </x:c>
      <x:c r="L3315" s="6">
        <x:v>0</x:v>
      </x:c>
      <x:c r="M3315" s="6">
        <x:v>0</x:v>
      </x:c>
      <x:c r="N3315" s="6">
        <x:f t="shared" si="163"/>
        <x:v>8188.58</x:v>
      </x:c>
    </x:row>
    <x:row r="3316" spans="1:14" x14ac:dyDescent="0.25">
      <x:c r="A3316" t="s">
        <x:v>2</x:v>
      </x:c>
      <x:c r="B3316" s="3" t="s">
        <x:v>305</x:v>
      </x:c>
      <x:c r="C3316" s="3" t="s">
        <x:v>620</x:v>
      </x:c>
      <x:c r="D3316" t="s">
        <x:v>679</x:v>
      </x:c>
      <x:c r="E3316" s="6">
        <x:v>37270.160000000003</x:v>
      </x:c>
      <x:c r="F3316" s="6">
        <x:v>0</x:v>
      </x:c>
      <x:c r="G3316" s="6">
        <x:v>0</x:v>
      </x:c>
      <x:c r="H3316" s="6">
        <x:f t="shared" si="161"/>
        <x:v>37270.160000000003</x:v>
      </x:c>
      <x:c r="I3316" s="6">
        <x:v>99541.849999999991</x:v>
      </x:c>
      <x:c r="J3316" s="6">
        <x:v>0</x:v>
      </x:c>
      <x:c r="K3316" s="6">
        <x:f t="shared" si="162"/>
        <x:v>99541.849999999991</x:v>
      </x:c>
      <x:c r="L3316" s="6">
        <x:v>27836.57</x:v>
      </x:c>
      <x:c r="M3316" s="6">
        <x:v>1143.9900000000075</x:v>
      </x:c>
      <x:c r="N3316" s="6">
        <x:f t="shared" si="163"/>
        <x:v>165792.57000000004</x:v>
      </x:c>
    </x:row>
    <x:row r="3317" spans="1:14" x14ac:dyDescent="0.25">
      <x:c r="A3317" t="s">
        <x:v>2</x:v>
      </x:c>
      <x:c r="B3317" s="3" t="s">
        <x:v>306</x:v>
      </x:c>
      <x:c r="C3317" s="3" t="s">
        <x:v>621</x:v>
      </x:c>
      <x:c r="D3317" t="s">
        <x:v>679</x:v>
      </x:c>
      <x:c r="E3317" s="6">
        <x:v>1124</x:v>
      </x:c>
      <x:c r="F3317" s="6">
        <x:v>0</x:v>
      </x:c>
      <x:c r="G3317" s="6">
        <x:v>0</x:v>
      </x:c>
      <x:c r="H3317" s="6">
        <x:f t="shared" si="161"/>
        <x:v>1124</x:v>
      </x:c>
      <x:c r="I3317" s="6">
        <x:v>3002</x:v>
      </x:c>
      <x:c r="J3317" s="6">
        <x:v>0</x:v>
      </x:c>
      <x:c r="K3317" s="6">
        <x:f t="shared" si="162"/>
        <x:v>3002</x:v>
      </x:c>
      <x:c r="L3317" s="6">
        <x:v>839.5</x:v>
      </x:c>
      <x:c r="M3317" s="6">
        <x:v>34.5</x:v>
      </x:c>
      <x:c r="N3317" s="6">
        <x:f t="shared" si="163"/>
        <x:v>5000</x:v>
      </x:c>
    </x:row>
    <x:row r="3318" spans="1:14" x14ac:dyDescent="0.25">
      <x:c r="A3318" t="s">
        <x:v>2</x:v>
      </x:c>
      <x:c r="B3318" s="3" t="s">
        <x:v>351</x:v>
      </x:c>
      <x:c r="C3318" s="3" t="s">
        <x:v>666</x:v>
      </x:c>
      <x:c r="D3318" t="s">
        <x:v>679</x:v>
      </x:c>
      <x:c r="E3318" s="6">
        <x:v>1627.26</x:v>
      </x:c>
      <x:c r="F3318" s="6">
        <x:v>0</x:v>
      </x:c>
      <x:c r="G3318" s="6">
        <x:v>0</x:v>
      </x:c>
      <x:c r="H3318" s="6">
        <x:f t="shared" si="161"/>
        <x:v>1627.26</x:v>
      </x:c>
      <x:c r="I3318" s="6">
        <x:v>4346.1000000000004</x:v>
      </x:c>
      <x:c r="J3318" s="6">
        <x:v>0</x:v>
      </x:c>
      <x:c r="K3318" s="6">
        <x:f t="shared" si="162"/>
        <x:v>4346.1000000000004</x:v>
      </x:c>
      <x:c r="L3318" s="6">
        <x:v>1215.3699999999999</x:v>
      </x:c>
      <x:c r="M3318" s="6">
        <x:v>49.949999999999818</x:v>
      </x:c>
      <x:c r="N3318" s="6">
        <x:f t="shared" si="163"/>
        <x:v>7238.68</x:v>
      </x:c>
    </x:row>
    <x:row r="3319" spans="1:14" x14ac:dyDescent="0.25">
      <x:c r="A3319" t="s">
        <x:v>2</x:v>
      </x:c>
      <x:c r="B3319" s="3" t="s">
        <x:v>243</x:v>
      </x:c>
      <x:c r="C3319" s="3" t="s">
        <x:v>558</x:v>
      </x:c>
      <x:c r="D3319" t="s">
        <x:v>676</x:v>
      </x:c>
      <x:c r="E3319" s="6">
        <x:v>0</x:v>
      </x:c>
      <x:c r="F3319" s="6">
        <x:v>0</x:v>
      </x:c>
      <x:c r="G3319" s="6">
        <x:v>0</x:v>
      </x:c>
      <x:c r="H3319" s="6">
        <x:f t="shared" si="161"/>
        <x:v>0</x:v>
      </x:c>
      <x:c r="I3319" s="6">
        <x:v>18029.939999999999</x:v>
      </x:c>
      <x:c r="J3319" s="6">
        <x:v>0</x:v>
      </x:c>
      <x:c r="K3319" s="6">
        <x:f t="shared" si="162"/>
        <x:v>18029.939999999999</x:v>
      </x:c>
      <x:c r="L3319" s="6">
        <x:v>0</x:v>
      </x:c>
      <x:c r="M3319" s="6">
        <x:v>0</x:v>
      </x:c>
      <x:c r="N3319" s="6">
        <x:f t="shared" si="163"/>
        <x:v>18029.939999999999</x:v>
      </x:c>
    </x:row>
    <x:row r="3320" spans="1:14" x14ac:dyDescent="0.25">
      <x:c r="A3320" t="s">
        <x:v>2</x:v>
      </x:c>
      <x:c r="B3320" t="s">
        <x:v>839</x:v>
      </x:c>
      <x:c r="C3320" t="s">
        <x:v>840</x:v>
      </x:c>
      <x:c r="D3320" t="s">
        <x:v>841</x:v>
      </x:c>
      <x:c r="E3320" s="6">
        <x:v>0</x:v>
      </x:c>
      <x:c r="F3320" s="6">
        <x:v>16.16</x:v>
      </x:c>
      <x:c r="G3320" s="6">
        <x:v>0</x:v>
      </x:c>
      <x:c r="H3320" s="6">
        <x:f t="shared" si="161"/>
        <x:v>16.16</x:v>
      </x:c>
      <x:c r="I3320" s="6">
        <x:v>0</x:v>
      </x:c>
      <x:c r="J3320" s="6">
        <x:v>0</x:v>
      </x:c>
      <x:c r="K3320" s="6">
        <x:f t="shared" si="162"/>
        <x:v>0</x:v>
      </x:c>
      <x:c r="L3320" s="6">
        <x:v>0</x:v>
      </x:c>
      <x:c r="M3320" s="6">
        <x:v>0</x:v>
      </x:c>
      <x:c r="N3320" s="6">
        <x:f t="shared" si="163"/>
        <x:v>16.16</x:v>
      </x:c>
    </x:row>
    <x:row r="3321" spans="1:14" x14ac:dyDescent="0.25">
      <x:c r="A3321" t="s">
        <x:v>2</x:v>
      </x:c>
      <x:c r="B3321" t="s">
        <x:v>839</x:v>
      </x:c>
      <x:c r="C3321" t="s">
        <x:v>840</x:v>
      </x:c>
      <x:c r="D3321" t="s">
        <x:v>676</x:v>
      </x:c>
      <x:c r="E3321" s="6">
        <x:v>0</x:v>
      </x:c>
      <x:c r="F3321" s="6">
        <x:v>30.700000000000003</x:v>
      </x:c>
      <x:c r="G3321" s="6">
        <x:v>0</x:v>
      </x:c>
      <x:c r="H3321" s="6">
        <x:f t="shared" si="161"/>
        <x:v>30.700000000000003</x:v>
      </x:c>
      <x:c r="I3321" s="6">
        <x:v>0</x:v>
      </x:c>
      <x:c r="J3321" s="6">
        <x:v>3.06</x:v>
      </x:c>
      <x:c r="K3321" s="6">
        <x:f t="shared" si="162"/>
        <x:v>3.06</x:v>
      </x:c>
      <x:c r="L3321" s="6">
        <x:v>0</x:v>
      </x:c>
      <x:c r="M3321" s="6">
        <x:v>0</x:v>
      </x:c>
      <x:c r="N3321" s="6">
        <x:f t="shared" si="163"/>
        <x:v>33.760000000000005</x:v>
      </x:c>
    </x:row>
    <x:row r="3322" spans="1:14" x14ac:dyDescent="0.25">
      <x:c r="A3322" t="s">
        <x:v>2</x:v>
      </x:c>
      <x:c r="B3322" t="s">
        <x:v>843</x:v>
      </x:c>
      <x:c r="C3322" t="s">
        <x:v>844</x:v>
      </x:c>
      <x:c r="D3322" t="s">
        <x:v>833</x:v>
      </x:c>
      <x:c r="E3322" s="6">
        <x:v>0</x:v>
      </x:c>
      <x:c r="F3322" s="6">
        <x:v>0</x:v>
      </x:c>
      <x:c r="G3322" s="6">
        <x:v>0</x:v>
      </x:c>
      <x:c r="H3322" s="6">
        <x:f t="shared" si="161"/>
        <x:v>0</x:v>
      </x:c>
      <x:c r="I3322" s="6">
        <x:v>0</x:v>
      </x:c>
      <x:c r="J3322" s="6">
        <x:v>0</x:v>
      </x:c>
      <x:c r="K3322" s="6">
        <x:f t="shared" si="162"/>
        <x:v>0</x:v>
      </x:c>
      <x:c r="L3322" s="6">
        <x:v>0</x:v>
      </x:c>
      <x:c r="M3322" s="6">
        <x:v>1929758.2999999998</x:v>
      </x:c>
      <x:c r="N3322" s="6">
        <x:f t="shared" si="163"/>
        <x:v>1929758.2999999998</x:v>
      </x:c>
    </x:row>
    <x:row r="3323" spans="1:14" x14ac:dyDescent="0.25">
      <x:c r="A3323" t="s">
        <x:v>40</x:v>
      </x:c>
      <x:c r="B3323" s="3" t="s">
        <x:v>352</x:v>
      </x:c>
      <x:c r="C3323" s="3" t="s">
        <x:v>667</x:v>
      </x:c>
      <x:c r="D3323" t="s">
        <x:v>679</x:v>
      </x:c>
      <x:c r="E3323" s="6">
        <x:v>74.180000000000007</x:v>
      </x:c>
      <x:c r="F3323" s="6">
        <x:v>0</x:v>
      </x:c>
      <x:c r="G3323" s="6">
        <x:v>0</x:v>
      </x:c>
      <x:c r="H3323" s="6">
        <x:f t="shared" si="161"/>
        <x:v>74.180000000000007</x:v>
      </x:c>
      <x:c r="I3323" s="6">
        <x:v>198.13</x:v>
      </x:c>
      <x:c r="J3323" s="6">
        <x:v>0</x:v>
      </x:c>
      <x:c r="K3323" s="6">
        <x:f t="shared" si="162"/>
        <x:v>198.13</x:v>
      </x:c>
      <x:c r="L3323" s="6">
        <x:v>55.41</x:v>
      </x:c>
      <x:c r="M3323" s="6">
        <x:v>2.2800000000000011</x:v>
      </x:c>
      <x:c r="N3323" s="6">
        <x:f t="shared" si="163"/>
        <x:v>330</x:v>
      </x:c>
    </x:row>
    <x:row r="3324" spans="1:14" x14ac:dyDescent="0.25">
      <x:c r="A3324" t="s">
        <x:v>40</x:v>
      </x:c>
      <x:c r="B3324" s="3" t="s">
        <x:v>60</x:v>
      </x:c>
      <x:c r="C3324" s="3" t="s">
        <x:v>377</x:v>
      </x:c>
      <x:c r="D3324" t="s">
        <x:v>679</x:v>
      </x:c>
      <x:c r="E3324" s="6">
        <x:v>445.95</x:v>
      </x:c>
      <x:c r="F3324" s="6">
        <x:v>0</x:v>
      </x:c>
      <x:c r="G3324" s="6">
        <x:v>0</x:v>
      </x:c>
      <x:c r="H3324" s="6">
        <x:f t="shared" si="161"/>
        <x:v>445.95</x:v>
      </x:c>
      <x:c r="I3324" s="6">
        <x:v>1191.05</x:v>
      </x:c>
      <x:c r="J3324" s="6">
        <x:v>0</x:v>
      </x:c>
      <x:c r="K3324" s="6">
        <x:f t="shared" si="162"/>
        <x:v>1191.05</x:v>
      </x:c>
      <x:c r="L3324" s="6">
        <x:v>333.07</x:v>
      </x:c>
      <x:c r="M3324" s="6">
        <x:v>13.689999999999998</x:v>
      </x:c>
      <x:c r="N3324" s="6">
        <x:f t="shared" si="163"/>
        <x:v>1983.76</x:v>
      </x:c>
    </x:row>
    <x:row r="3325" spans="1:14" x14ac:dyDescent="0.25">
      <x:c r="A3325" t="s">
        <x:v>40</x:v>
      </x:c>
      <x:c r="B3325" s="3" t="s">
        <x:v>327</x:v>
      </x:c>
      <x:c r="C3325" s="3" t="s">
        <x:v>642</x:v>
      </x:c>
      <x:c r="D3325" t="s">
        <x:v>679</x:v>
      </x:c>
      <x:c r="E3325" s="6">
        <x:v>18942.32</x:v>
      </x:c>
      <x:c r="F3325" s="6">
        <x:v>0</x:v>
      </x:c>
      <x:c r="G3325" s="6">
        <x:v>0</x:v>
      </x:c>
      <x:c r="H3325" s="6">
        <x:f t="shared" si="161"/>
        <x:v>18942.32</x:v>
      </x:c>
      <x:c r="I3325" s="6">
        <x:v>50591.51</x:v>
      </x:c>
      <x:c r="J3325" s="6">
        <x:v>0</x:v>
      </x:c>
      <x:c r="K3325" s="6">
        <x:f t="shared" si="162"/>
        <x:v>50591.51</x:v>
      </x:c>
      <x:c r="L3325" s="6">
        <x:v>14147.76</x:v>
      </x:c>
      <x:c r="M3325" s="6">
        <x:v>581.41999999999507</x:v>
      </x:c>
      <x:c r="N3325" s="6">
        <x:f t="shared" si="163"/>
        <x:v>84263.01</x:v>
      </x:c>
    </x:row>
    <x:row r="3326" spans="1:14" x14ac:dyDescent="0.25">
      <x:c r="A3326" t="s">
        <x:v>40</x:v>
      </x:c>
      <x:c r="B3326" s="3" t="s">
        <x:v>47</x:v>
      </x:c>
      <x:c r="C3326" s="3" t="s">
        <x:v>364</x:v>
      </x:c>
      <x:c r="D3326" t="s">
        <x:v>679</x:v>
      </x:c>
      <x:c r="E3326" s="6">
        <x:v>0</x:v>
      </x:c>
      <x:c r="F3326" s="6">
        <x:v>0</x:v>
      </x:c>
      <x:c r="G3326" s="6">
        <x:v>0</x:v>
      </x:c>
      <x:c r="H3326" s="6">
        <x:f t="shared" si="161"/>
        <x:v>0</x:v>
      </x:c>
      <x:c r="I3326" s="6">
        <x:v>0.01</x:v>
      </x:c>
      <x:c r="J3326" s="6">
        <x:v>0</x:v>
      </x:c>
      <x:c r="K3326" s="6">
        <x:f t="shared" si="162"/>
        <x:v>0.01</x:v>
      </x:c>
      <x:c r="L3326" s="6">
        <x:v>0</x:v>
      </x:c>
      <x:c r="M3326" s="6">
        <x:v>0.01</x:v>
      </x:c>
      <x:c r="N3326" s="6">
        <x:f t="shared" si="163"/>
        <x:v>0.02</x:v>
      </x:c>
    </x:row>
    <x:row r="3327" spans="1:14" x14ac:dyDescent="0.25">
      <x:c r="A3327" t="s">
        <x:v>40</x:v>
      </x:c>
      <x:c r="B3327" s="3" t="s">
        <x:v>331</x:v>
      </x:c>
      <x:c r="C3327" s="3" t="s">
        <x:v>646</x:v>
      </x:c>
      <x:c r="D3327" t="s">
        <x:v>676</x:v>
      </x:c>
      <x:c r="E3327" s="6">
        <x:v>0</x:v>
      </x:c>
      <x:c r="F3327" s="6">
        <x:v>0</x:v>
      </x:c>
      <x:c r="G3327" s="6">
        <x:v>0</x:v>
      </x:c>
      <x:c r="H3327" s="6">
        <x:f t="shared" si="161"/>
        <x:v>0</x:v>
      </x:c>
      <x:c r="I3327" s="6">
        <x:v>0</x:v>
      </x:c>
      <x:c r="J3327" s="6">
        <x:v>0</x:v>
      </x:c>
      <x:c r="K3327" s="6">
        <x:f t="shared" si="162"/>
        <x:v>0</x:v>
      </x:c>
      <x:c r="L3327" s="6">
        <x:v>0</x:v>
      </x:c>
      <x:c r="M3327" s="6">
        <x:v>23518.13</x:v>
      </x:c>
      <x:c r="N3327" s="6">
        <x:f t="shared" si="163"/>
        <x:v>23518.13</x:v>
      </x:c>
    </x:row>
    <x:row r="3328" spans="1:14" x14ac:dyDescent="0.25">
      <x:c r="A3328" t="s">
        <x:v>40</x:v>
      </x:c>
      <x:c r="B3328" s="3" t="s">
        <x:v>223</x:v>
      </x:c>
      <x:c r="C3328" s="3" t="s">
        <x:v>539</x:v>
      </x:c>
      <x:c r="D3328" t="s">
        <x:v>676</x:v>
      </x:c>
      <x:c r="E3328" s="6">
        <x:v>0</x:v>
      </x:c>
      <x:c r="F3328" s="6">
        <x:v>0</x:v>
      </x:c>
      <x:c r="G3328" s="6">
        <x:v>0</x:v>
      </x:c>
      <x:c r="H3328" s="6">
        <x:f t="shared" si="161"/>
        <x:v>0</x:v>
      </x:c>
      <x:c r="I3328" s="6">
        <x:v>0</x:v>
      </x:c>
      <x:c r="J3328" s="6">
        <x:v>0</x:v>
      </x:c>
      <x:c r="K3328" s="6">
        <x:f t="shared" si="162"/>
        <x:v>0</x:v>
      </x:c>
      <x:c r="L3328" s="6">
        <x:v>0</x:v>
      </x:c>
      <x:c r="M3328" s="6">
        <x:v>85572.52</x:v>
      </x:c>
      <x:c r="N3328" s="6">
        <x:f t="shared" si="163"/>
        <x:v>85572.52</x:v>
      </x:c>
    </x:row>
    <x:row r="3329" spans="1:14" x14ac:dyDescent="0.25">
      <x:c r="A3329" t="s">
        <x:v>40</x:v>
      </x:c>
      <x:c r="B3329" s="3" t="s">
        <x:v>224</x:v>
      </x:c>
      <x:c r="C3329" s="3" t="s">
        <x:v>540</x:v>
      </x:c>
      <x:c r="D3329" t="s">
        <x:v>676</x:v>
      </x:c>
      <x:c r="E3329" s="6">
        <x:v>0</x:v>
      </x:c>
      <x:c r="F3329" s="6">
        <x:v>0</x:v>
      </x:c>
      <x:c r="G3329" s="6">
        <x:v>0</x:v>
      </x:c>
      <x:c r="H3329" s="6">
        <x:f t="shared" si="161"/>
        <x:v>0</x:v>
      </x:c>
      <x:c r="I3329" s="6">
        <x:v>0</x:v>
      </x:c>
      <x:c r="J3329" s="6">
        <x:v>0</x:v>
      </x:c>
      <x:c r="K3329" s="6">
        <x:f t="shared" si="162"/>
        <x:v>0</x:v>
      </x:c>
      <x:c r="L3329" s="6">
        <x:v>0</x:v>
      </x:c>
      <x:c r="M3329" s="6">
        <x:v>1000</x:v>
      </x:c>
      <x:c r="N3329" s="6">
        <x:f t="shared" si="163"/>
        <x:v>1000</x:v>
      </x:c>
    </x:row>
    <x:row r="3330" spans="1:14" x14ac:dyDescent="0.25">
      <x:c r="A3330" t="s">
        <x:v>40</x:v>
      </x:c>
      <x:c r="B3330" s="3" t="s">
        <x:v>341</x:v>
      </x:c>
      <x:c r="C3330" s="3" t="s">
        <x:v>656</x:v>
      </x:c>
      <x:c r="D3330" t="s">
        <x:v>679</x:v>
      </x:c>
      <x:c r="E3330" s="6">
        <x:v>13323</x:v>
      </x:c>
      <x:c r="F3330" s="6">
        <x:v>0</x:v>
      </x:c>
      <x:c r="G3330" s="6">
        <x:v>0</x:v>
      </x:c>
      <x:c r="H3330" s="6">
        <x:f t="shared" si="161"/>
        <x:v>13323</x:v>
      </x:c>
      <x:c r="I3330" s="6">
        <x:v>35583.31</x:v>
      </x:c>
      <x:c r="J3330" s="6">
        <x:v>0</x:v>
      </x:c>
      <x:c r="K3330" s="6">
        <x:f t="shared" si="162"/>
        <x:v>35583.31</x:v>
      </x:c>
      <x:c r="L3330" s="6">
        <x:v>9950.76</x:v>
      </x:c>
      <x:c r="M3330" s="6">
        <x:v>408.92999999999751</x:v>
      </x:c>
      <x:c r="N3330" s="6">
        <x:f t="shared" si="163"/>
        <x:v>59266</x:v>
      </x:c>
    </x:row>
    <x:row r="3331" spans="1:14" x14ac:dyDescent="0.25">
      <x:c r="A3331" t="s">
        <x:v>40</x:v>
      </x:c>
      <x:c r="B3331" s="3" t="s">
        <x:v>302</x:v>
      </x:c>
      <x:c r="C3331" s="3" t="s">
        <x:v>617</x:v>
      </x:c>
      <x:c r="D3331" t="s">
        <x:v>679</x:v>
      </x:c>
      <x:c r="E3331" s="6">
        <x:v>3812.8</x:v>
      </x:c>
      <x:c r="F3331" s="6">
        <x:v>0</x:v>
      </x:c>
      <x:c r="G3331" s="6">
        <x:v>0</x:v>
      </x:c>
      <x:c r="H3331" s="6">
        <x:f t="shared" si="161"/>
        <x:v>3812.8</x:v>
      </x:c>
      <x:c r="I3331" s="6">
        <x:v>10183.290000000001</x:v>
      </x:c>
      <x:c r="J3331" s="6">
        <x:v>0</x:v>
      </x:c>
      <x:c r="K3331" s="6">
        <x:f t="shared" si="162"/>
        <x:v>10183.290000000001</x:v>
      </x:c>
      <x:c r="L3331" s="6">
        <x:v>2847.73</x:v>
      </x:c>
      <x:c r="M3331" s="6">
        <x:v>117.01999999999998</x:v>
      </x:c>
      <x:c r="N3331" s="6">
        <x:f t="shared" si="163"/>
        <x:v>16960.84</x:v>
      </x:c>
    </x:row>
    <x:row r="3332" spans="1:14" x14ac:dyDescent="0.25">
      <x:c r="A3332" t="s">
        <x:v>40</x:v>
      </x:c>
      <x:c r="B3332" s="3" t="s">
        <x:v>226</x:v>
      </x:c>
      <x:c r="C3332" s="3" t="s">
        <x:v>542</x:v>
      </x:c>
      <x:c r="D3332" t="s">
        <x:v>679</x:v>
      </x:c>
      <x:c r="E3332" s="6">
        <x:v>21271.41</x:v>
      </x:c>
      <x:c r="F3332" s="6">
        <x:v>0</x:v>
      </x:c>
      <x:c r="G3332" s="6">
        <x:v>0</x:v>
      </x:c>
      <x:c r="H3332" s="6">
        <x:f t="shared" si="161"/>
        <x:v>21271.41</x:v>
      </x:c>
      <x:c r="I3332" s="6">
        <x:v>56812.08</x:v>
      </x:c>
      <x:c r="J3332" s="6">
        <x:v>0</x:v>
      </x:c>
      <x:c r="K3332" s="6">
        <x:f t="shared" si="162"/>
        <x:v>56812.08</x:v>
      </x:c>
      <x:c r="L3332" s="6">
        <x:v>15887.32</x:v>
      </x:c>
      <x:c r="M3332" s="6">
        <x:v>652.90999999999622</x:v>
      </x:c>
      <x:c r="N3332" s="6">
        <x:f t="shared" si="163"/>
        <x:v>94623.72</x:v>
      </x:c>
    </x:row>
    <x:row r="3333" spans="1:14" x14ac:dyDescent="0.25">
      <x:c r="A3333" t="s">
        <x:v>40</x:v>
      </x:c>
      <x:c r="B3333" s="3" t="s">
        <x:v>348</x:v>
      </x:c>
      <x:c r="C3333" s="3" t="s">
        <x:v>663</x:v>
      </x:c>
      <x:c r="D3333" t="s">
        <x:v>679</x:v>
      </x:c>
      <x:c r="E3333" s="6">
        <x:v>37955.46</x:v>
      </x:c>
      <x:c r="F3333" s="6">
        <x:v>0</x:v>
      </x:c>
      <x:c r="G3333" s="6">
        <x:v>0</x:v>
      </x:c>
      <x:c r="H3333" s="6">
        <x:f t="shared" si="161"/>
        <x:v>37955.46</x:v>
      </x:c>
      <x:c r="I3333" s="6">
        <x:v>101372.16</x:v>
      </x:c>
      <x:c r="J3333" s="6">
        <x:v>0</x:v>
      </x:c>
      <x:c r="K3333" s="6">
        <x:f t="shared" si="162"/>
        <x:v>101372.16</x:v>
      </x:c>
      <x:c r="L3333" s="6">
        <x:v>28348.41</x:v>
      </x:c>
      <x:c r="M3333" s="6">
        <x:v>1165.0099999999918</x:v>
      </x:c>
      <x:c r="N3333" s="6">
        <x:f t="shared" si="163"/>
        <x:v>168841.03999999998</x:v>
      </x:c>
    </x:row>
    <x:row r="3334" spans="1:14" x14ac:dyDescent="0.25">
      <x:c r="A3334" t="s">
        <x:v>40</x:v>
      </x:c>
      <x:c r="B3334" t="s">
        <x:v>837</x:v>
      </x:c>
      <x:c r="C3334" t="s">
        <x:v>838</x:v>
      </x:c>
      <x:c r="D3334" t="s">
        <x:v>679</x:v>
      </x:c>
      <x:c r="E3334" s="6">
        <x:v>313491.92999999993</x:v>
      </x:c>
      <x:c r="F3334" s="6">
        <x:v>0</x:v>
      </x:c>
      <x:c r="G3334" s="6">
        <x:v>0</x:v>
      </x:c>
      <x:c r="H3334" s="6">
        <x:f t="shared" si="161"/>
        <x:v>313491.92999999993</x:v>
      </x:c>
      <x:c r="I3334" s="6">
        <x:v>837280.05999999994</x:v>
      </x:c>
      <x:c r="J3334" s="6">
        <x:v>0</x:v>
      </x:c>
      <x:c r="K3334" s="6">
        <x:f t="shared" si="162"/>
        <x:v>837280.05999999994</x:v>
      </x:c>
      <x:c r="L3334" s="6">
        <x:v>234142.78000000003</x:v>
      </x:c>
      <x:c r="M3334" s="6">
        <x:v>9622.3100000000522</x:v>
      </x:c>
      <x:c r="N3334" s="6">
        <x:f t="shared" si="163"/>
        <x:v>1394537.0799999998</x:v>
      </x:c>
    </x:row>
    <x:row r="3335" spans="1:14" x14ac:dyDescent="0.25">
      <x:c r="A3335" t="s">
        <x:v>40</x:v>
      </x:c>
      <x:c r="B3335" t="s">
        <x:v>755</x:v>
      </x:c>
      <x:c r="C3335" t="s">
        <x:v>756</x:v>
      </x:c>
      <x:c r="D3335" t="s">
        <x:v>834</x:v>
      </x:c>
      <x:c r="E3335" s="6">
        <x:v>91500.61</x:v>
      </x:c>
      <x:c r="F3335" s="6">
        <x:v>0</x:v>
      </x:c>
      <x:c r="G3335" s="6">
        <x:v>0</x:v>
      </x:c>
      <x:c r="H3335" s="6">
        <x:f t="shared" si="161"/>
        <x:v>91500.61</x:v>
      </x:c>
      <x:c r="I3335" s="6">
        <x:v>18344.050000000003</x:v>
      </x:c>
      <x:c r="J3335" s="6">
        <x:v>0</x:v>
      </x:c>
      <x:c r="K3335" s="6">
        <x:f t="shared" si="162"/>
        <x:v>18344.050000000003</x:v>
      </x:c>
      <x:c r="L3335" s="6">
        <x:v>0</x:v>
      </x:c>
      <x:c r="M3335" s="6">
        <x:v>0</x:v>
      </x:c>
      <x:c r="N3335" s="6">
        <x:f t="shared" si="163"/>
        <x:v>109844.66</x:v>
      </x:c>
    </x:row>
    <x:row r="3336" spans="1:14" x14ac:dyDescent="0.25">
      <x:c r="A3336" t="s">
        <x:v>40</x:v>
      </x:c>
      <x:c r="B3336" t="s">
        <x:v>813</x:v>
      </x:c>
      <x:c r="C3336" t="s">
        <x:v>814</x:v>
      </x:c>
      <x:c r="D3336" t="s">
        <x:v>676</x:v>
      </x:c>
      <x:c r="E3336" s="6">
        <x:v>1482.49</x:v>
      </x:c>
      <x:c r="F3336" s="6">
        <x:v>0</x:v>
      </x:c>
      <x:c r="G3336" s="6">
        <x:v>0</x:v>
      </x:c>
      <x:c r="H3336" s="6">
        <x:f t="shared" si="161"/>
        <x:v>1482.49</x:v>
      </x:c>
      <x:c r="I3336" s="6">
        <x:v>0</x:v>
      </x:c>
      <x:c r="J3336" s="6">
        <x:v>0</x:v>
      </x:c>
      <x:c r="K3336" s="6">
        <x:f t="shared" si="162"/>
        <x:v>0</x:v>
      </x:c>
      <x:c r="L3336" s="6">
        <x:v>0</x:v>
      </x:c>
      <x:c r="M3336" s="6">
        <x:v>0</x:v>
      </x:c>
      <x:c r="N3336" s="6">
        <x:f t="shared" si="163"/>
        <x:v>1482.49</x:v>
      </x:c>
    </x:row>
    <x:row r="3337" spans="1:14" x14ac:dyDescent="0.25">
      <x:c r="A3337" t="s">
        <x:v>40</x:v>
      </x:c>
      <x:c r="B3337" t="s">
        <x:v>815</x:v>
      </x:c>
      <x:c r="C3337" t="s">
        <x:v>558</x:v>
      </x:c>
      <x:c r="D3337" t="s">
        <x:v>676</x:v>
      </x:c>
      <x:c r="E3337" s="6">
        <x:v>6814.98</x:v>
      </x:c>
      <x:c r="F3337" s="6">
        <x:v>0</x:v>
      </x:c>
      <x:c r="G3337" s="6">
        <x:v>0</x:v>
      </x:c>
      <x:c r="H3337" s="6">
        <x:f t="shared" si="161"/>
        <x:v>6814.98</x:v>
      </x:c>
      <x:c r="I3337" s="6">
        <x:v>0</x:v>
      </x:c>
      <x:c r="J3337" s="6">
        <x:v>0</x:v>
      </x:c>
      <x:c r="K3337" s="6">
        <x:f t="shared" si="162"/>
        <x:v>0</x:v>
      </x:c>
      <x:c r="L3337" s="6">
        <x:v>0</x:v>
      </x:c>
      <x:c r="M3337" s="6">
        <x:v>0</x:v>
      </x:c>
      <x:c r="N3337" s="6">
        <x:f t="shared" si="163"/>
        <x:v>6814.98</x:v>
      </x:c>
    </x:row>
    <x:row r="3338" spans="1:14" x14ac:dyDescent="0.25">
      <x:c r="A3338" t="s">
        <x:v>40</x:v>
      </x:c>
      <x:c r="B3338" s="3" t="s">
        <x:v>351</x:v>
      </x:c>
      <x:c r="C3338" s="3" t="s">
        <x:v>666</x:v>
      </x:c>
      <x:c r="D3338" t="s">
        <x:v>679</x:v>
      </x:c>
      <x:c r="E3338" s="6">
        <x:v>278.29000000000002</x:v>
      </x:c>
      <x:c r="F3338" s="6">
        <x:v>0</x:v>
      </x:c>
      <x:c r="G3338" s="6">
        <x:v>0</x:v>
      </x:c>
      <x:c r="H3338" s="6">
        <x:f t="shared" si="161"/>
        <x:v>278.29000000000002</x:v>
      </x:c>
      <x:c r="I3338" s="6">
        <x:v>743.25</x:v>
      </x:c>
      <x:c r="J3338" s="6">
        <x:v>0</x:v>
      </x:c>
      <x:c r="K3338" s="6">
        <x:f t="shared" si="162"/>
        <x:v>743.25</x:v>
      </x:c>
      <x:c r="L3338" s="6">
        <x:v>207.85</x:v>
      </x:c>
      <x:c r="M3338" s="6">
        <x:v>8.5400000000001057</x:v>
      </x:c>
      <x:c r="N3338" s="6">
        <x:f t="shared" si="163"/>
        <x:v>1237.93</x:v>
      </x:c>
    </x:row>
    <x:row r="3339" spans="1:14" x14ac:dyDescent="0.25">
      <x:c r="A3339" t="s">
        <x:v>40</x:v>
      </x:c>
      <x:c r="B3339" s="3" t="s">
        <x:v>243</x:v>
      </x:c>
      <x:c r="C3339" s="3" t="s">
        <x:v>558</x:v>
      </x:c>
      <x:c r="D3339" t="s">
        <x:v>676</x:v>
      </x:c>
      <x:c r="E3339" s="6">
        <x:v>0</x:v>
      </x:c>
      <x:c r="F3339" s="6">
        <x:v>0</x:v>
      </x:c>
      <x:c r="G3339" s="6">
        <x:v>0</x:v>
      </x:c>
      <x:c r="H3339" s="6">
        <x:f t="shared" si="161"/>
        <x:v>0</x:v>
      </x:c>
      <x:c r="I3339" s="6">
        <x:v>14586.37</x:v>
      </x:c>
      <x:c r="J3339" s="6">
        <x:v>0</x:v>
      </x:c>
      <x:c r="K3339" s="6">
        <x:f t="shared" si="162"/>
        <x:v>14586.37</x:v>
      </x:c>
      <x:c r="L3339" s="6">
        <x:v>0</x:v>
      </x:c>
      <x:c r="M3339" s="6">
        <x:v>0</x:v>
      </x:c>
      <x:c r="N3339" s="6">
        <x:f t="shared" si="163"/>
        <x:v>14586.37</x:v>
      </x:c>
    </x:row>
    <x:row r="3340" spans="1:14" x14ac:dyDescent="0.25">
      <x:c r="A3340" t="s">
        <x:v>41</x:v>
      </x:c>
      <x:c r="B3340" s="3" t="s">
        <x:v>87</x:v>
      </x:c>
      <x:c r="C3340" s="3" t="s">
        <x:v>404</x:v>
      </x:c>
      <x:c r="D3340" t="s">
        <x:v>676</x:v>
      </x:c>
      <x:c r="E3340" s="6">
        <x:v>0</x:v>
      </x:c>
      <x:c r="F3340" s="6">
        <x:v>0</x:v>
      </x:c>
      <x:c r="G3340" s="6">
        <x:v>0</x:v>
      </x:c>
      <x:c r="H3340" s="6">
        <x:f t="shared" si="161"/>
        <x:v>0</x:v>
      </x:c>
      <x:c r="I3340" s="6">
        <x:v>20.98</x:v>
      </x:c>
      <x:c r="J3340" s="6">
        <x:v>0</x:v>
      </x:c>
      <x:c r="K3340" s="6">
        <x:f t="shared" si="162"/>
        <x:v>20.98</x:v>
      </x:c>
      <x:c r="L3340" s="6">
        <x:v>0</x:v>
      </x:c>
      <x:c r="M3340" s="6">
        <x:v>0</x:v>
      </x:c>
      <x:c r="N3340" s="6">
        <x:f t="shared" si="163"/>
        <x:v>20.98</x:v>
      </x:c>
    </x:row>
    <x:row r="3341" spans="1:14" x14ac:dyDescent="0.25">
      <x:c r="A3341" t="s">
        <x:v>41</x:v>
      </x:c>
      <x:c r="B3341" s="3" t="s">
        <x:v>121</x:v>
      </x:c>
      <x:c r="C3341" s="3" t="s">
        <x:v>438</x:v>
      </x:c>
      <x:c r="D3341" t="s">
        <x:v>676</x:v>
      </x:c>
      <x:c r="E3341" s="6">
        <x:v>0</x:v>
      </x:c>
      <x:c r="F3341" s="6">
        <x:v>0</x:v>
      </x:c>
      <x:c r="G3341" s="6">
        <x:v>0</x:v>
      </x:c>
      <x:c r="H3341" s="6">
        <x:f t="shared" si="161"/>
        <x:v>0</x:v>
      </x:c>
      <x:c r="I3341" s="6">
        <x:v>26.01</x:v>
      </x:c>
      <x:c r="J3341" s="6">
        <x:v>0</x:v>
      </x:c>
      <x:c r="K3341" s="6">
        <x:f t="shared" si="162"/>
        <x:v>26.01</x:v>
      </x:c>
      <x:c r="L3341" s="6">
        <x:v>0</x:v>
      </x:c>
      <x:c r="M3341" s="6">
        <x:v>0</x:v>
      </x:c>
      <x:c r="N3341" s="6">
        <x:f t="shared" si="163"/>
        <x:v>26.01</x:v>
      </x:c>
    </x:row>
    <x:row r="3342" spans="1:14" x14ac:dyDescent="0.25">
      <x:c r="A3342" t="s">
        <x:v>41</x:v>
      </x:c>
      <x:c r="B3342" s="3" t="s">
        <x:v>128</x:v>
      </x:c>
      <x:c r="C3342" s="3" t="s">
        <x:v>445</x:v>
      </x:c>
      <x:c r="D3342" t="s">
        <x:v>676</x:v>
      </x:c>
      <x:c r="E3342" s="6">
        <x:v>0</x:v>
      </x:c>
      <x:c r="F3342" s="6">
        <x:v>0</x:v>
      </x:c>
      <x:c r="G3342" s="6">
        <x:v>0</x:v>
      </x:c>
      <x:c r="H3342" s="6">
        <x:f t="shared" si="161"/>
        <x:v>0</x:v>
      </x:c>
      <x:c r="I3342" s="6">
        <x:v>27.52</x:v>
      </x:c>
      <x:c r="J3342" s="6">
        <x:v>0</x:v>
      </x:c>
      <x:c r="K3342" s="6">
        <x:f t="shared" si="162"/>
        <x:v>27.52</x:v>
      </x:c>
      <x:c r="L3342" s="6">
        <x:v>0</x:v>
      </x:c>
      <x:c r="M3342" s="6">
        <x:v>0</x:v>
      </x:c>
      <x:c r="N3342" s="6">
        <x:f t="shared" si="163"/>
        <x:v>27.52</x:v>
      </x:c>
    </x:row>
    <x:row r="3343" spans="1:14" x14ac:dyDescent="0.25">
      <x:c r="A3343" t="s">
        <x:v>41</x:v>
      </x:c>
      <x:c r="B3343" s="3" t="s">
        <x:v>129</x:v>
      </x:c>
      <x:c r="C3343" s="3" t="s">
        <x:v>446</x:v>
      </x:c>
      <x:c r="D3343" t="s">
        <x:v>676</x:v>
      </x:c>
      <x:c r="E3343" s="6">
        <x:v>0</x:v>
      </x:c>
      <x:c r="F3343" s="6">
        <x:v>0</x:v>
      </x:c>
      <x:c r="G3343" s="6">
        <x:v>0</x:v>
      </x:c>
      <x:c r="H3343" s="6">
        <x:f t="shared" si="161"/>
        <x:v>0</x:v>
      </x:c>
      <x:c r="I3343" s="6">
        <x:v>2.21</x:v>
      </x:c>
      <x:c r="J3343" s="6">
        <x:v>0</x:v>
      </x:c>
      <x:c r="K3343" s="6">
        <x:f t="shared" si="162"/>
        <x:v>2.21</x:v>
      </x:c>
      <x:c r="L3343" s="6">
        <x:v>0</x:v>
      </x:c>
      <x:c r="M3343" s="6">
        <x:v>0</x:v>
      </x:c>
      <x:c r="N3343" s="6">
        <x:f t="shared" si="163"/>
        <x:v>2.21</x:v>
      </x:c>
    </x:row>
    <x:row r="3344" spans="1:14" x14ac:dyDescent="0.25">
      <x:c r="A3344" t="s">
        <x:v>41</x:v>
      </x:c>
      <x:c r="B3344" s="3" t="s">
        <x:v>134</x:v>
      </x:c>
      <x:c r="C3344" s="3" t="s">
        <x:v>451</x:v>
      </x:c>
      <x:c r="D3344" t="s">
        <x:v>676</x:v>
      </x:c>
      <x:c r="E3344" s="6">
        <x:v>0</x:v>
      </x:c>
      <x:c r="F3344" s="6">
        <x:v>0</x:v>
      </x:c>
      <x:c r="G3344" s="6">
        <x:v>0</x:v>
      </x:c>
      <x:c r="H3344" s="6">
        <x:f t="shared" si="161"/>
        <x:v>0</x:v>
      </x:c>
      <x:c r="I3344" s="6">
        <x:v>851.75</x:v>
      </x:c>
      <x:c r="J3344" s="6">
        <x:v>0</x:v>
      </x:c>
      <x:c r="K3344" s="6">
        <x:f t="shared" si="162"/>
        <x:v>851.75</x:v>
      </x:c>
      <x:c r="L3344" s="6">
        <x:v>0</x:v>
      </x:c>
      <x:c r="M3344" s="6">
        <x:v>0</x:v>
      </x:c>
      <x:c r="N3344" s="6">
        <x:f t="shared" si="163"/>
        <x:v>851.75</x:v>
      </x:c>
    </x:row>
    <x:row r="3345" spans="1:14" x14ac:dyDescent="0.25">
      <x:c r="A3345" t="s">
        <x:v>41</x:v>
      </x:c>
      <x:c r="B3345" s="3" t="s">
        <x:v>148</x:v>
      </x:c>
      <x:c r="C3345" s="3" t="s">
        <x:v>465</x:v>
      </x:c>
      <x:c r="D3345" t="s">
        <x:v>676</x:v>
      </x:c>
      <x:c r="E3345" s="6">
        <x:v>0</x:v>
      </x:c>
      <x:c r="F3345" s="6">
        <x:v>0</x:v>
      </x:c>
      <x:c r="G3345" s="6">
        <x:v>0</x:v>
      </x:c>
      <x:c r="H3345" s="6">
        <x:f t="shared" si="161"/>
        <x:v>0</x:v>
      </x:c>
      <x:c r="I3345" s="6">
        <x:v>1962.3900000000003</x:v>
      </x:c>
      <x:c r="J3345" s="6">
        <x:v>0</x:v>
      </x:c>
      <x:c r="K3345" s="6">
        <x:f t="shared" si="162"/>
        <x:v>1962.3900000000003</x:v>
      </x:c>
      <x:c r="L3345" s="6">
        <x:v>0</x:v>
      </x:c>
      <x:c r="M3345" s="6">
        <x:v>0</x:v>
      </x:c>
      <x:c r="N3345" s="6">
        <x:f t="shared" si="163"/>
        <x:v>1962.3900000000003</x:v>
      </x:c>
    </x:row>
    <x:row r="3346" spans="1:14" x14ac:dyDescent="0.25">
      <x:c r="A3346" t="s">
        <x:v>41</x:v>
      </x:c>
      <x:c r="B3346" s="3" t="s">
        <x:v>150</x:v>
      </x:c>
      <x:c r="C3346" s="3" t="s">
        <x:v>467</x:v>
      </x:c>
      <x:c r="D3346" t="s">
        <x:v>676</x:v>
      </x:c>
      <x:c r="E3346" s="6">
        <x:v>0</x:v>
      </x:c>
      <x:c r="F3346" s="6">
        <x:v>0</x:v>
      </x:c>
      <x:c r="G3346" s="6">
        <x:v>0</x:v>
      </x:c>
      <x:c r="H3346" s="6">
        <x:f t="shared" si="161"/>
        <x:v>0</x:v>
      </x:c>
      <x:c r="I3346" s="6">
        <x:v>367.96999999999997</x:v>
      </x:c>
      <x:c r="J3346" s="6">
        <x:v>0</x:v>
      </x:c>
      <x:c r="K3346" s="6">
        <x:f t="shared" si="162"/>
        <x:v>367.96999999999997</x:v>
      </x:c>
      <x:c r="L3346" s="6">
        <x:v>0</x:v>
      </x:c>
      <x:c r="M3346" s="6">
        <x:v>0</x:v>
      </x:c>
      <x:c r="N3346" s="6">
        <x:f t="shared" si="163"/>
        <x:v>367.96999999999997</x:v>
      </x:c>
    </x:row>
    <x:row r="3347" spans="1:14" x14ac:dyDescent="0.25">
      <x:c r="A3347" t="s">
        <x:v>41</x:v>
      </x:c>
      <x:c r="B3347" s="3" t="s">
        <x:v>152</x:v>
      </x:c>
      <x:c r="C3347" s="3" t="s">
        <x:v>469</x:v>
      </x:c>
      <x:c r="D3347" t="s">
        <x:v>676</x:v>
      </x:c>
      <x:c r="E3347" s="6">
        <x:v>0</x:v>
      </x:c>
      <x:c r="F3347" s="6">
        <x:v>0</x:v>
      </x:c>
      <x:c r="G3347" s="6">
        <x:v>0</x:v>
      </x:c>
      <x:c r="H3347" s="6">
        <x:f t="shared" si="161"/>
        <x:v>0</x:v>
      </x:c>
      <x:c r="I3347" s="6">
        <x:v>11.99</x:v>
      </x:c>
      <x:c r="J3347" s="6">
        <x:v>0</x:v>
      </x:c>
      <x:c r="K3347" s="6">
        <x:f t="shared" si="162"/>
        <x:v>11.99</x:v>
      </x:c>
      <x:c r="L3347" s="6">
        <x:v>0</x:v>
      </x:c>
      <x:c r="M3347" s="6">
        <x:v>0</x:v>
      </x:c>
      <x:c r="N3347" s="6">
        <x:f t="shared" si="163"/>
        <x:v>11.99</x:v>
      </x:c>
    </x:row>
    <x:row r="3348" spans="1:14" x14ac:dyDescent="0.25">
      <x:c r="A3348" t="s">
        <x:v>41</x:v>
      </x:c>
      <x:c r="B3348" s="3" t="s">
        <x:v>158</x:v>
      </x:c>
      <x:c r="C3348" s="3" t="s">
        <x:v>475</x:v>
      </x:c>
      <x:c r="D3348" t="s">
        <x:v>676</x:v>
      </x:c>
      <x:c r="E3348" s="6">
        <x:v>0</x:v>
      </x:c>
      <x:c r="F3348" s="6">
        <x:v>0</x:v>
      </x:c>
      <x:c r="G3348" s="6">
        <x:v>0</x:v>
      </x:c>
      <x:c r="H3348" s="6">
        <x:f t="shared" si="161"/>
        <x:v>0</x:v>
      </x:c>
      <x:c r="I3348" s="6">
        <x:v>2.3699999999999997</x:v>
      </x:c>
      <x:c r="J3348" s="6">
        <x:v>0</x:v>
      </x:c>
      <x:c r="K3348" s="6">
        <x:f t="shared" si="162"/>
        <x:v>2.3699999999999997</x:v>
      </x:c>
      <x:c r="L3348" s="6">
        <x:v>0</x:v>
      </x:c>
      <x:c r="M3348" s="6">
        <x:v>0</x:v>
      </x:c>
      <x:c r="N3348" s="6">
        <x:f t="shared" si="163"/>
        <x:v>2.3699999999999997</x:v>
      </x:c>
    </x:row>
    <x:row r="3349" spans="1:14" x14ac:dyDescent="0.25">
      <x:c r="A3349" t="s">
        <x:v>41</x:v>
      </x:c>
      <x:c r="B3349" s="3" t="s">
        <x:v>162</x:v>
      </x:c>
      <x:c r="C3349" s="3" t="s">
        <x:v>479</x:v>
      </x:c>
      <x:c r="D3349" t="s">
        <x:v>676</x:v>
      </x:c>
      <x:c r="E3349" s="6">
        <x:v>0</x:v>
      </x:c>
      <x:c r="F3349" s="6">
        <x:v>0</x:v>
      </x:c>
      <x:c r="G3349" s="6">
        <x:v>0</x:v>
      </x:c>
      <x:c r="H3349" s="6">
        <x:f t="shared" si="161"/>
        <x:v>0</x:v>
      </x:c>
      <x:c r="I3349" s="6">
        <x:v>223.33999999999997</x:v>
      </x:c>
      <x:c r="J3349" s="6">
        <x:v>0</x:v>
      </x:c>
      <x:c r="K3349" s="6">
        <x:f t="shared" si="162"/>
        <x:v>223.33999999999997</x:v>
      </x:c>
      <x:c r="L3349" s="6">
        <x:v>0</x:v>
      </x:c>
      <x:c r="M3349" s="6">
        <x:v>0</x:v>
      </x:c>
      <x:c r="N3349" s="6">
        <x:f t="shared" si="163"/>
        <x:v>223.33999999999997</x:v>
      </x:c>
    </x:row>
    <x:row r="3350" spans="1:14" x14ac:dyDescent="0.25">
      <x:c r="A3350" t="s">
        <x:v>41</x:v>
      </x:c>
      <x:c r="B3350" s="3" t="s">
        <x:v>233</x:v>
      </x:c>
      <x:c r="C3350" s="3" t="s">
        <x:v>548</x:v>
      </x:c>
      <x:c r="D3350" t="s">
        <x:v>676</x:v>
      </x:c>
      <x:c r="E3350" s="6">
        <x:v>0</x:v>
      </x:c>
      <x:c r="F3350" s="6">
        <x:v>0</x:v>
      </x:c>
      <x:c r="G3350" s="6">
        <x:v>0</x:v>
      </x:c>
      <x:c r="H3350" s="6">
        <x:f t="shared" si="161"/>
        <x:v>0</x:v>
      </x:c>
      <x:c r="I3350" s="6">
        <x:v>17.93</x:v>
      </x:c>
      <x:c r="J3350" s="6">
        <x:v>0</x:v>
      </x:c>
      <x:c r="K3350" s="6">
        <x:f t="shared" si="162"/>
        <x:v>17.93</x:v>
      </x:c>
      <x:c r="L3350" s="6">
        <x:v>0</x:v>
      </x:c>
      <x:c r="M3350" s="6">
        <x:v>0</x:v>
      </x:c>
      <x:c r="N3350" s="6">
        <x:f t="shared" si="163"/>
        <x:v>17.93</x:v>
      </x:c>
    </x:row>
    <x:row r="3351" spans="1:14" x14ac:dyDescent="0.25">
      <x:c r="A3351" t="s">
        <x:v>41</x:v>
      </x:c>
      <x:c r="B3351" s="3" t="s">
        <x:v>180</x:v>
      </x:c>
      <x:c r="C3351" s="3" t="s">
        <x:v>496</x:v>
      </x:c>
      <x:c r="D3351" t="s">
        <x:v>676</x:v>
      </x:c>
      <x:c r="E3351" s="6">
        <x:v>0</x:v>
      </x:c>
      <x:c r="F3351" s="6">
        <x:v>0</x:v>
      </x:c>
      <x:c r="G3351" s="6">
        <x:v>0</x:v>
      </x:c>
      <x:c r="H3351" s="6">
        <x:f t="shared" si="161"/>
        <x:v>0</x:v>
      </x:c>
      <x:c r="I3351" s="6">
        <x:v>357.17</x:v>
      </x:c>
      <x:c r="J3351" s="6">
        <x:v>0</x:v>
      </x:c>
      <x:c r="K3351" s="6">
        <x:f t="shared" si="162"/>
        <x:v>357.17</x:v>
      </x:c>
      <x:c r="L3351" s="6">
        <x:v>0</x:v>
      </x:c>
      <x:c r="M3351" s="6">
        <x:v>0</x:v>
      </x:c>
      <x:c r="N3351" s="6">
        <x:f t="shared" si="163"/>
        <x:v>357.17</x:v>
      </x:c>
    </x:row>
    <x:row r="3352" spans="1:14" x14ac:dyDescent="0.25">
      <x:c r="A3352" t="s">
        <x:v>41</x:v>
      </x:c>
      <x:c r="B3352" s="3" t="s">
        <x:v>181</x:v>
      </x:c>
      <x:c r="C3352" s="3" t="s">
        <x:v>497</x:v>
      </x:c>
      <x:c r="D3352" t="s">
        <x:v>676</x:v>
      </x:c>
      <x:c r="E3352" s="6">
        <x:v>0</x:v>
      </x:c>
      <x:c r="F3352" s="6">
        <x:v>0</x:v>
      </x:c>
      <x:c r="G3352" s="6">
        <x:v>0</x:v>
      </x:c>
      <x:c r="H3352" s="6">
        <x:f t="shared" si="161"/>
        <x:v>0</x:v>
      </x:c>
      <x:c r="I3352" s="6">
        <x:v>270.18</x:v>
      </x:c>
      <x:c r="J3352" s="6">
        <x:v>0</x:v>
      </x:c>
      <x:c r="K3352" s="6">
        <x:f t="shared" si="162"/>
        <x:v>270.18</x:v>
      </x:c>
      <x:c r="L3352" s="6">
        <x:v>0</x:v>
      </x:c>
      <x:c r="M3352" s="6">
        <x:v>0</x:v>
      </x:c>
      <x:c r="N3352" s="6">
        <x:f t="shared" si="163"/>
        <x:v>270.18</x:v>
      </x:c>
    </x:row>
    <x:row r="3353" spans="1:14" x14ac:dyDescent="0.25">
      <x:c r="A3353" t="s">
        <x:v>41</x:v>
      </x:c>
      <x:c r="B3353" s="3" t="s">
        <x:v>182</x:v>
      </x:c>
      <x:c r="C3353" s="3" t="s">
        <x:v>498</x:v>
      </x:c>
      <x:c r="D3353" t="s">
        <x:v>676</x:v>
      </x:c>
      <x:c r="E3353" s="6">
        <x:v>0</x:v>
      </x:c>
      <x:c r="F3353" s="6">
        <x:v>0</x:v>
      </x:c>
      <x:c r="G3353" s="6">
        <x:v>0</x:v>
      </x:c>
      <x:c r="H3353" s="6">
        <x:f t="shared" si="161"/>
        <x:v>0</x:v>
      </x:c>
      <x:c r="I3353" s="6">
        <x:v>15.3</x:v>
      </x:c>
      <x:c r="J3353" s="6">
        <x:v>0</x:v>
      </x:c>
      <x:c r="K3353" s="6">
        <x:f t="shared" si="162"/>
        <x:v>15.3</x:v>
      </x:c>
      <x:c r="L3353" s="6">
        <x:v>0</x:v>
      </x:c>
      <x:c r="M3353" s="6">
        <x:v>0</x:v>
      </x:c>
      <x:c r="N3353" s="6">
        <x:f t="shared" si="163"/>
        <x:v>15.3</x:v>
      </x:c>
    </x:row>
    <x:row r="3354" spans="1:14" x14ac:dyDescent="0.25">
      <x:c r="A3354" t="s">
        <x:v>41</x:v>
      </x:c>
      <x:c r="B3354" s="3" t="s">
        <x:v>183</x:v>
      </x:c>
      <x:c r="C3354" s="3" t="s">
        <x:v>499</x:v>
      </x:c>
      <x:c r="D3354" t="s">
        <x:v>676</x:v>
      </x:c>
      <x:c r="E3354" s="6">
        <x:v>0</x:v>
      </x:c>
      <x:c r="F3354" s="6">
        <x:v>0</x:v>
      </x:c>
      <x:c r="G3354" s="6">
        <x:v>0</x:v>
      </x:c>
      <x:c r="H3354" s="6">
        <x:f t="shared" si="161"/>
        <x:v>0</x:v>
      </x:c>
      <x:c r="I3354" s="6">
        <x:v>248.52</x:v>
      </x:c>
      <x:c r="J3354" s="6">
        <x:v>0</x:v>
      </x:c>
      <x:c r="K3354" s="6">
        <x:f t="shared" si="162"/>
        <x:v>248.52</x:v>
      </x:c>
      <x:c r="L3354" s="6">
        <x:v>0</x:v>
      </x:c>
      <x:c r="M3354" s="6">
        <x:v>0</x:v>
      </x:c>
      <x:c r="N3354" s="6">
        <x:f t="shared" si="163"/>
        <x:v>248.52</x:v>
      </x:c>
    </x:row>
    <x:row r="3355" spans="1:14" x14ac:dyDescent="0.25">
      <x:c r="A3355" t="s">
        <x:v>41</x:v>
      </x:c>
      <x:c r="B3355" s="3" t="s">
        <x:v>186</x:v>
      </x:c>
      <x:c r="C3355" s="3" t="s">
        <x:v>502</x:v>
      </x:c>
      <x:c r="D3355" t="s">
        <x:v>676</x:v>
      </x:c>
      <x:c r="E3355" s="6">
        <x:v>0</x:v>
      </x:c>
      <x:c r="F3355" s="6">
        <x:v>0</x:v>
      </x:c>
      <x:c r="G3355" s="6">
        <x:v>0</x:v>
      </x:c>
      <x:c r="H3355" s="6">
        <x:f t="shared" si="161"/>
        <x:v>0</x:v>
      </x:c>
      <x:c r="I3355" s="6">
        <x:v>892.42</x:v>
      </x:c>
      <x:c r="J3355" s="6">
        <x:v>0</x:v>
      </x:c>
      <x:c r="K3355" s="6">
        <x:f t="shared" si="162"/>
        <x:v>892.42</x:v>
      </x:c>
      <x:c r="L3355" s="6">
        <x:v>0</x:v>
      </x:c>
      <x:c r="M3355" s="6">
        <x:v>0</x:v>
      </x:c>
      <x:c r="N3355" s="6">
        <x:f t="shared" si="163"/>
        <x:v>892.42</x:v>
      </x:c>
    </x:row>
    <x:row r="3356" spans="1:14" x14ac:dyDescent="0.25">
      <x:c r="A3356" t="s">
        <x:v>41</x:v>
      </x:c>
      <x:c r="B3356" s="3" t="s">
        <x:v>189</x:v>
      </x:c>
      <x:c r="C3356" s="3" t="s">
        <x:v>505</x:v>
      </x:c>
      <x:c r="D3356" t="s">
        <x:v>676</x:v>
      </x:c>
      <x:c r="E3356" s="6">
        <x:v>0</x:v>
      </x:c>
      <x:c r="F3356" s="6">
        <x:v>0</x:v>
      </x:c>
      <x:c r="G3356" s="6">
        <x:v>0</x:v>
      </x:c>
      <x:c r="H3356" s="6">
        <x:f t="shared" si="161"/>
        <x:v>0</x:v>
      </x:c>
      <x:c r="I3356" s="6">
        <x:v>1006.6400000000001</x:v>
      </x:c>
      <x:c r="J3356" s="6">
        <x:v>0</x:v>
      </x:c>
      <x:c r="K3356" s="6">
        <x:f t="shared" si="162"/>
        <x:v>1006.6400000000001</x:v>
      </x:c>
      <x:c r="L3356" s="6">
        <x:v>0</x:v>
      </x:c>
      <x:c r="M3356" s="6">
        <x:v>0</x:v>
      </x:c>
      <x:c r="N3356" s="6">
        <x:f t="shared" si="163"/>
        <x:v>1006.6400000000001</x:v>
      </x:c>
    </x:row>
    <x:row r="3357" spans="1:14" x14ac:dyDescent="0.25">
      <x:c r="A3357" t="s">
        <x:v>41</x:v>
      </x:c>
      <x:c r="B3357" s="3" t="s">
        <x:v>193</x:v>
      </x:c>
      <x:c r="C3357" s="3" t="s">
        <x:v>509</x:v>
      </x:c>
      <x:c r="D3357" t="s">
        <x:v>676</x:v>
      </x:c>
      <x:c r="E3357" s="6">
        <x:v>0</x:v>
      </x:c>
      <x:c r="F3357" s="6">
        <x:v>0</x:v>
      </x:c>
      <x:c r="G3357" s="6">
        <x:v>0</x:v>
      </x:c>
      <x:c r="H3357" s="6">
        <x:f t="shared" si="161"/>
        <x:v>0</x:v>
      </x:c>
      <x:c r="I3357" s="6">
        <x:v>-60.210000000000036</x:v>
      </x:c>
      <x:c r="J3357" s="6">
        <x:v>0</x:v>
      </x:c>
      <x:c r="K3357" s="6">
        <x:f t="shared" si="162"/>
        <x:v>-60.210000000000036</x:v>
      </x:c>
      <x:c r="L3357" s="6">
        <x:v>0</x:v>
      </x:c>
      <x:c r="M3357" s="6">
        <x:v>0</x:v>
      </x:c>
      <x:c r="N3357" s="6">
        <x:f t="shared" si="163"/>
        <x:v>-60.210000000000036</x:v>
      </x:c>
    </x:row>
    <x:row r="3358" spans="1:14" x14ac:dyDescent="0.25">
      <x:c r="A3358" t="s">
        <x:v>41</x:v>
      </x:c>
      <x:c r="B3358" s="3" t="s">
        <x:v>196</x:v>
      </x:c>
      <x:c r="C3358" s="3" t="s">
        <x:v>512</x:v>
      </x:c>
      <x:c r="D3358" t="s">
        <x:v>676</x:v>
      </x:c>
      <x:c r="E3358" s="6">
        <x:v>0</x:v>
      </x:c>
      <x:c r="F3358" s="6">
        <x:v>0</x:v>
      </x:c>
      <x:c r="G3358" s="6">
        <x:v>0</x:v>
      </x:c>
      <x:c r="H3358" s="6">
        <x:f t="shared" si="161"/>
        <x:v>0</x:v>
      </x:c>
      <x:c r="I3358" s="6">
        <x:v>36.36</x:v>
      </x:c>
      <x:c r="J3358" s="6">
        <x:v>0</x:v>
      </x:c>
      <x:c r="K3358" s="6">
        <x:f t="shared" si="162"/>
        <x:v>36.36</x:v>
      </x:c>
      <x:c r="L3358" s="6">
        <x:v>0</x:v>
      </x:c>
      <x:c r="M3358" s="6">
        <x:v>0</x:v>
      </x:c>
      <x:c r="N3358" s="6">
        <x:f t="shared" si="163"/>
        <x:v>36.36</x:v>
      </x:c>
    </x:row>
    <x:row r="3359" spans="1:14" x14ac:dyDescent="0.25">
      <x:c r="A3359" t="s">
        <x:v>41</x:v>
      </x:c>
      <x:c r="B3359" s="3" t="s">
        <x:v>199</x:v>
      </x:c>
      <x:c r="C3359" s="3" t="s">
        <x:v>515</x:v>
      </x:c>
      <x:c r="D3359" t="s">
        <x:v>676</x:v>
      </x:c>
      <x:c r="E3359" s="6">
        <x:v>0</x:v>
      </x:c>
      <x:c r="F3359" s="6">
        <x:v>0</x:v>
      </x:c>
      <x:c r="G3359" s="6">
        <x:v>0</x:v>
      </x:c>
      <x:c r="H3359" s="6">
        <x:f t="shared" ref="H3359:H3396" si="164">SUM(E3359:G3359)</x:f>
        <x:v>0</x:v>
      </x:c>
      <x:c r="I3359" s="6">
        <x:v>157.76</x:v>
      </x:c>
      <x:c r="J3359" s="6">
        <x:v>0</x:v>
      </x:c>
      <x:c r="K3359" s="6">
        <x:f t="shared" ref="K3359:K3396" si="165">SUM(I3359:J3359)</x:f>
        <x:v>157.76</x:v>
      </x:c>
      <x:c r="L3359" s="6">
        <x:v>0</x:v>
      </x:c>
      <x:c r="M3359" s="6">
        <x:v>0</x:v>
      </x:c>
      <x:c r="N3359" s="6">
        <x:f t="shared" ref="N3359:N3396" si="166">+E3359+F3359+G3359+I3359+J3359+L3359+M3359</x:f>
        <x:v>157.76</x:v>
      </x:c>
    </x:row>
    <x:row r="3360" spans="1:14" x14ac:dyDescent="0.25">
      <x:c r="A3360" t="s">
        <x:v>41</x:v>
      </x:c>
      <x:c r="B3360" s="3" t="s">
        <x:v>200</x:v>
      </x:c>
      <x:c r="C3360" s="3" t="s">
        <x:v>516</x:v>
      </x:c>
      <x:c r="D3360" t="s">
        <x:v>676</x:v>
      </x:c>
      <x:c r="E3360" s="6">
        <x:v>0</x:v>
      </x:c>
      <x:c r="F3360" s="6">
        <x:v>0</x:v>
      </x:c>
      <x:c r="G3360" s="6">
        <x:v>0</x:v>
      </x:c>
      <x:c r="H3360" s="6">
        <x:f t="shared" si="164"/>
        <x:v>0</x:v>
      </x:c>
      <x:c r="I3360" s="6">
        <x:v>981.64</x:v>
      </x:c>
      <x:c r="J3360" s="6">
        <x:v>0</x:v>
      </x:c>
      <x:c r="K3360" s="6">
        <x:f t="shared" si="165"/>
        <x:v>981.64</x:v>
      </x:c>
      <x:c r="L3360" s="6">
        <x:v>0</x:v>
      </x:c>
      <x:c r="M3360" s="6">
        <x:v>0</x:v>
      </x:c>
      <x:c r="N3360" s="6">
        <x:f t="shared" si="166"/>
        <x:v>981.64</x:v>
      </x:c>
    </x:row>
    <x:row r="3361" spans="1:14" x14ac:dyDescent="0.25">
      <x:c r="A3361" t="s">
        <x:v>41</x:v>
      </x:c>
      <x:c r="B3361" s="3" t="s">
        <x:v>202</x:v>
      </x:c>
      <x:c r="C3361" s="3" t="s">
        <x:v>518</x:v>
      </x:c>
      <x:c r="D3361" t="s">
        <x:v>676</x:v>
      </x:c>
      <x:c r="E3361" s="6">
        <x:v>0</x:v>
      </x:c>
      <x:c r="F3361" s="6">
        <x:v>0</x:v>
      </x:c>
      <x:c r="G3361" s="6">
        <x:v>0</x:v>
      </x:c>
      <x:c r="H3361" s="6">
        <x:f t="shared" si="164"/>
        <x:v>0</x:v>
      </x:c>
      <x:c r="I3361" s="6">
        <x:v>126.44</x:v>
      </x:c>
      <x:c r="J3361" s="6">
        <x:v>0</x:v>
      </x:c>
      <x:c r="K3361" s="6">
        <x:f t="shared" si="165"/>
        <x:v>126.44</x:v>
      </x:c>
      <x:c r="L3361" s="6">
        <x:v>0</x:v>
      </x:c>
      <x:c r="M3361" s="6">
        <x:v>0</x:v>
      </x:c>
      <x:c r="N3361" s="6">
        <x:f t="shared" si="166"/>
        <x:v>126.44</x:v>
      </x:c>
    </x:row>
    <x:row r="3362" spans="1:14" x14ac:dyDescent="0.25">
      <x:c r="A3362" t="s">
        <x:v>41</x:v>
      </x:c>
      <x:c r="B3362" s="3" t="s">
        <x:v>203</x:v>
      </x:c>
      <x:c r="C3362" s="3" t="s">
        <x:v>519</x:v>
      </x:c>
      <x:c r="D3362" t="s">
        <x:v>676</x:v>
      </x:c>
      <x:c r="E3362" s="6">
        <x:v>0</x:v>
      </x:c>
      <x:c r="F3362" s="6">
        <x:v>0</x:v>
      </x:c>
      <x:c r="G3362" s="6">
        <x:v>0</x:v>
      </x:c>
      <x:c r="H3362" s="6">
        <x:f t="shared" si="164"/>
        <x:v>0</x:v>
      </x:c>
      <x:c r="I3362" s="6">
        <x:v>751.27</x:v>
      </x:c>
      <x:c r="J3362" s="6">
        <x:v>0</x:v>
      </x:c>
      <x:c r="K3362" s="6">
        <x:f t="shared" si="165"/>
        <x:v>751.27</x:v>
      </x:c>
      <x:c r="L3362" s="6">
        <x:v>0</x:v>
      </x:c>
      <x:c r="M3362" s="6">
        <x:v>0</x:v>
      </x:c>
      <x:c r="N3362" s="6">
        <x:f t="shared" si="166"/>
        <x:v>751.27</x:v>
      </x:c>
    </x:row>
    <x:row r="3363" spans="1:14" x14ac:dyDescent="0.25">
      <x:c r="A3363" t="s">
        <x:v>41</x:v>
      </x:c>
      <x:c r="B3363" s="3" t="s">
        <x:v>239</x:v>
      </x:c>
      <x:c r="C3363" s="3" t="s">
        <x:v>554</x:v>
      </x:c>
      <x:c r="D3363" t="s">
        <x:v>676</x:v>
      </x:c>
      <x:c r="E3363" s="6">
        <x:v>0</x:v>
      </x:c>
      <x:c r="F3363" s="6">
        <x:v>0</x:v>
      </x:c>
      <x:c r="G3363" s="6">
        <x:v>0</x:v>
      </x:c>
      <x:c r="H3363" s="6">
        <x:f t="shared" si="164"/>
        <x:v>0</x:v>
      </x:c>
      <x:c r="I3363" s="6">
        <x:v>449.06000000000006</x:v>
      </x:c>
      <x:c r="J3363" s="6">
        <x:v>0</x:v>
      </x:c>
      <x:c r="K3363" s="6">
        <x:f t="shared" si="165"/>
        <x:v>449.06000000000006</x:v>
      </x:c>
      <x:c r="L3363" s="6">
        <x:v>0</x:v>
      </x:c>
      <x:c r="M3363" s="6">
        <x:v>0</x:v>
      </x:c>
      <x:c r="N3363" s="6">
        <x:f t="shared" si="166"/>
        <x:v>449.06000000000006</x:v>
      </x:c>
    </x:row>
    <x:row r="3364" spans="1:14" x14ac:dyDescent="0.25">
      <x:c r="A3364" t="s">
        <x:v>41</x:v>
      </x:c>
      <x:c r="B3364" s="3" t="s">
        <x:v>205</x:v>
      </x:c>
      <x:c r="C3364" s="3" t="s">
        <x:v>521</x:v>
      </x:c>
      <x:c r="D3364" t="s">
        <x:v>676</x:v>
      </x:c>
      <x:c r="E3364" s="6">
        <x:v>0</x:v>
      </x:c>
      <x:c r="F3364" s="6">
        <x:v>0</x:v>
      </x:c>
      <x:c r="G3364" s="6">
        <x:v>0</x:v>
      </x:c>
      <x:c r="H3364" s="6">
        <x:f t="shared" si="164"/>
        <x:v>0</x:v>
      </x:c>
      <x:c r="I3364" s="6">
        <x:v>2093.0699999999997</x:v>
      </x:c>
      <x:c r="J3364" s="6">
        <x:v>0</x:v>
      </x:c>
      <x:c r="K3364" s="6">
        <x:f t="shared" si="165"/>
        <x:v>2093.0699999999997</x:v>
      </x:c>
      <x:c r="L3364" s="6">
        <x:v>0</x:v>
      </x:c>
      <x:c r="M3364" s="6">
        <x:v>0</x:v>
      </x:c>
      <x:c r="N3364" s="6">
        <x:f t="shared" si="166"/>
        <x:v>2093.0699999999997</x:v>
      </x:c>
    </x:row>
    <x:row r="3365" spans="1:14" x14ac:dyDescent="0.25">
      <x:c r="A3365" t="s">
        <x:v>41</x:v>
      </x:c>
      <x:c r="B3365" s="3" t="s">
        <x:v>206</x:v>
      </x:c>
      <x:c r="C3365" s="3" t="s">
        <x:v>522</x:v>
      </x:c>
      <x:c r="D3365" t="s">
        <x:v>676</x:v>
      </x:c>
      <x:c r="E3365" s="6">
        <x:v>0</x:v>
      </x:c>
      <x:c r="F3365" s="6">
        <x:v>0</x:v>
      </x:c>
      <x:c r="G3365" s="6">
        <x:v>0</x:v>
      </x:c>
      <x:c r="H3365" s="6">
        <x:f t="shared" si="164"/>
        <x:v>0</x:v>
      </x:c>
      <x:c r="I3365" s="6">
        <x:v>702.85</x:v>
      </x:c>
      <x:c r="J3365" s="6">
        <x:v>0</x:v>
      </x:c>
      <x:c r="K3365" s="6">
        <x:f t="shared" si="165"/>
        <x:v>702.85</x:v>
      </x:c>
      <x:c r="L3365" s="6">
        <x:v>0</x:v>
      </x:c>
      <x:c r="M3365" s="6">
        <x:v>0</x:v>
      </x:c>
      <x:c r="N3365" s="6">
        <x:f t="shared" si="166"/>
        <x:v>702.85</x:v>
      </x:c>
    </x:row>
    <x:row r="3366" spans="1:14" x14ac:dyDescent="0.25">
      <x:c r="A3366" t="s">
        <x:v>41</x:v>
      </x:c>
      <x:c r="B3366" s="3" t="s">
        <x:v>209</x:v>
      </x:c>
      <x:c r="C3366" s="3" t="s">
        <x:v>525</x:v>
      </x:c>
      <x:c r="D3366" t="s">
        <x:v>676</x:v>
      </x:c>
      <x:c r="E3366" s="6">
        <x:v>0</x:v>
      </x:c>
      <x:c r="F3366" s="6">
        <x:v>0</x:v>
      </x:c>
      <x:c r="G3366" s="6">
        <x:v>0</x:v>
      </x:c>
      <x:c r="H3366" s="6">
        <x:f t="shared" si="164"/>
        <x:v>0</x:v>
      </x:c>
      <x:c r="I3366" s="6">
        <x:v>1198.5699999999997</x:v>
      </x:c>
      <x:c r="J3366" s="6">
        <x:v>0</x:v>
      </x:c>
      <x:c r="K3366" s="6">
        <x:f t="shared" si="165"/>
        <x:v>1198.5699999999997</x:v>
      </x:c>
      <x:c r="L3366" s="6">
        <x:v>0</x:v>
      </x:c>
      <x:c r="M3366" s="6">
        <x:v>0</x:v>
      </x:c>
      <x:c r="N3366" s="6">
        <x:f t="shared" si="166"/>
        <x:v>1198.5699999999997</x:v>
      </x:c>
    </x:row>
    <x:row r="3367" spans="1:14" x14ac:dyDescent="0.25">
      <x:c r="A3367" t="s">
        <x:v>41</x:v>
      </x:c>
      <x:c r="B3367" s="3" t="s">
        <x:v>210</x:v>
      </x:c>
      <x:c r="C3367" s="3" t="s">
        <x:v>526</x:v>
      </x:c>
      <x:c r="D3367" t="s">
        <x:v>676</x:v>
      </x:c>
      <x:c r="E3367" s="6">
        <x:v>0</x:v>
      </x:c>
      <x:c r="F3367" s="6">
        <x:v>0</x:v>
      </x:c>
      <x:c r="G3367" s="6">
        <x:v>0</x:v>
      </x:c>
      <x:c r="H3367" s="6">
        <x:f t="shared" si="164"/>
        <x:v>0</x:v>
      </x:c>
      <x:c r="I3367" s="6">
        <x:v>850.37</x:v>
      </x:c>
      <x:c r="J3367" s="6">
        <x:v>0</x:v>
      </x:c>
      <x:c r="K3367" s="6">
        <x:f t="shared" si="165"/>
        <x:v>850.37</x:v>
      </x:c>
      <x:c r="L3367" s="6">
        <x:v>0</x:v>
      </x:c>
      <x:c r="M3367" s="6">
        <x:v>0</x:v>
      </x:c>
      <x:c r="N3367" s="6">
        <x:f t="shared" si="166"/>
        <x:v>850.37</x:v>
      </x:c>
    </x:row>
    <x:row r="3368" spans="1:14" x14ac:dyDescent="0.25">
      <x:c r="A3368" t="s">
        <x:v>41</x:v>
      </x:c>
      <x:c r="B3368" s="3" t="s">
        <x:v>211</x:v>
      </x:c>
      <x:c r="C3368" s="3" t="s">
        <x:v>527</x:v>
      </x:c>
      <x:c r="D3368" t="s">
        <x:v>676</x:v>
      </x:c>
      <x:c r="E3368" s="6">
        <x:v>0</x:v>
      </x:c>
      <x:c r="F3368" s="6">
        <x:v>0</x:v>
      </x:c>
      <x:c r="G3368" s="6">
        <x:v>0</x:v>
      </x:c>
      <x:c r="H3368" s="6">
        <x:f t="shared" si="164"/>
        <x:v>0</x:v>
      </x:c>
      <x:c r="I3368" s="6">
        <x:v>1997.1599999999999</x:v>
      </x:c>
      <x:c r="J3368" s="6">
        <x:v>0</x:v>
      </x:c>
      <x:c r="K3368" s="6">
        <x:f t="shared" si="165"/>
        <x:v>1997.1599999999999</x:v>
      </x:c>
      <x:c r="L3368" s="6">
        <x:v>0</x:v>
      </x:c>
      <x:c r="M3368" s="6">
        <x:v>0</x:v>
      </x:c>
      <x:c r="N3368" s="6">
        <x:f t="shared" si="166"/>
        <x:v>1997.1599999999999</x:v>
      </x:c>
    </x:row>
    <x:row r="3369" spans="1:14" x14ac:dyDescent="0.25">
      <x:c r="A3369" t="s">
        <x:v>41</x:v>
      </x:c>
      <x:c r="B3369" s="3" t="s">
        <x:v>212</x:v>
      </x:c>
      <x:c r="C3369" s="3" t="s">
        <x:v>528</x:v>
      </x:c>
      <x:c r="D3369" t="s">
        <x:v>676</x:v>
      </x:c>
      <x:c r="E3369" s="6">
        <x:v>0</x:v>
      </x:c>
      <x:c r="F3369" s="6">
        <x:v>0</x:v>
      </x:c>
      <x:c r="G3369" s="6">
        <x:v>0</x:v>
      </x:c>
      <x:c r="H3369" s="6">
        <x:f t="shared" si="164"/>
        <x:v>0</x:v>
      </x:c>
      <x:c r="I3369" s="6">
        <x:v>1477.6599999999999</x:v>
      </x:c>
      <x:c r="J3369" s="6">
        <x:v>0</x:v>
      </x:c>
      <x:c r="K3369" s="6">
        <x:f t="shared" si="165"/>
        <x:v>1477.6599999999999</x:v>
      </x:c>
      <x:c r="L3369" s="6">
        <x:v>0</x:v>
      </x:c>
      <x:c r="M3369" s="6">
        <x:v>0</x:v>
      </x:c>
      <x:c r="N3369" s="6">
        <x:f t="shared" si="166"/>
        <x:v>1477.6599999999999</x:v>
      </x:c>
    </x:row>
    <x:row r="3370" spans="1:14" x14ac:dyDescent="0.25">
      <x:c r="A3370" t="s">
        <x:v>41</x:v>
      </x:c>
      <x:c r="B3370" s="3" t="s">
        <x:v>64</x:v>
      </x:c>
      <x:c r="C3370" s="3" t="s">
        <x:v>381</x:v>
      </x:c>
      <x:c r="D3370" t="s">
        <x:v>676</x:v>
      </x:c>
      <x:c r="E3370" s="6">
        <x:v>0</x:v>
      </x:c>
      <x:c r="F3370" s="6">
        <x:v>0</x:v>
      </x:c>
      <x:c r="G3370" s="6">
        <x:v>0</x:v>
      </x:c>
      <x:c r="H3370" s="6">
        <x:f t="shared" si="164"/>
        <x:v>0</x:v>
      </x:c>
      <x:c r="I3370" s="6">
        <x:v>338.47</x:v>
      </x:c>
      <x:c r="J3370" s="6">
        <x:v>0</x:v>
      </x:c>
      <x:c r="K3370" s="6">
        <x:f t="shared" si="165"/>
        <x:v>338.47</x:v>
      </x:c>
      <x:c r="L3370" s="6">
        <x:v>0</x:v>
      </x:c>
      <x:c r="M3370" s="6">
        <x:v>0</x:v>
      </x:c>
      <x:c r="N3370" s="6">
        <x:f t="shared" si="166"/>
        <x:v>338.47</x:v>
      </x:c>
    </x:row>
    <x:row r="3371" spans="1:14" x14ac:dyDescent="0.25">
      <x:c r="A3371" t="s">
        <x:v>41</x:v>
      </x:c>
      <x:c r="B3371" s="3" t="s">
        <x:v>215</x:v>
      </x:c>
      <x:c r="C3371" s="3" t="s">
        <x:v>531</x:v>
      </x:c>
      <x:c r="D3371" t="s">
        <x:v>676</x:v>
      </x:c>
      <x:c r="E3371" s="6">
        <x:v>0</x:v>
      </x:c>
      <x:c r="F3371" s="6">
        <x:v>0</x:v>
      </x:c>
      <x:c r="G3371" s="6">
        <x:v>0</x:v>
      </x:c>
      <x:c r="H3371" s="6">
        <x:f t="shared" si="164"/>
        <x:v>0</x:v>
      </x:c>
      <x:c r="I3371" s="6">
        <x:v>247.20999999999998</x:v>
      </x:c>
      <x:c r="J3371" s="6">
        <x:v>0</x:v>
      </x:c>
      <x:c r="K3371" s="6">
        <x:f t="shared" si="165"/>
        <x:v>247.20999999999998</x:v>
      </x:c>
      <x:c r="L3371" s="6">
        <x:v>0</x:v>
      </x:c>
      <x:c r="M3371" s="6">
        <x:v>0</x:v>
      </x:c>
      <x:c r="N3371" s="6">
        <x:f t="shared" si="166"/>
        <x:v>247.20999999999998</x:v>
      </x:c>
    </x:row>
    <x:row r="3372" spans="1:14" x14ac:dyDescent="0.25">
      <x:c r="A3372" t="s">
        <x:v>41</x:v>
      </x:c>
      <x:c r="B3372" s="3" t="s">
        <x:v>216</x:v>
      </x:c>
      <x:c r="C3372" s="3" t="s">
        <x:v>532</x:v>
      </x:c>
      <x:c r="D3372" t="s">
        <x:v>676</x:v>
      </x:c>
      <x:c r="E3372" s="6">
        <x:v>0</x:v>
      </x:c>
      <x:c r="F3372" s="6">
        <x:v>0</x:v>
      </x:c>
      <x:c r="G3372" s="6">
        <x:v>0</x:v>
      </x:c>
      <x:c r="H3372" s="6">
        <x:f t="shared" si="164"/>
        <x:v>0</x:v>
      </x:c>
      <x:c r="I3372" s="6">
        <x:v>211.49</x:v>
      </x:c>
      <x:c r="J3372" s="6">
        <x:v>0</x:v>
      </x:c>
      <x:c r="K3372" s="6">
        <x:f t="shared" si="165"/>
        <x:v>211.49</x:v>
      </x:c>
      <x:c r="L3372" s="6">
        <x:v>0</x:v>
      </x:c>
      <x:c r="M3372" s="6">
        <x:v>0</x:v>
      </x:c>
      <x:c r="N3372" s="6">
        <x:f t="shared" si="166"/>
        <x:v>211.49</x:v>
      </x:c>
    </x:row>
    <x:row r="3373" spans="1:14" x14ac:dyDescent="0.25">
      <x:c r="A3373" t="s">
        <x:v>41</x:v>
      </x:c>
      <x:c r="B3373" s="3" t="s">
        <x:v>65</x:v>
      </x:c>
      <x:c r="C3373" s="3" t="s">
        <x:v>382</x:v>
      </x:c>
      <x:c r="D3373" t="s">
        <x:v>676</x:v>
      </x:c>
      <x:c r="E3373" s="6">
        <x:v>0</x:v>
      </x:c>
      <x:c r="F3373" s="6">
        <x:v>0</x:v>
      </x:c>
      <x:c r="G3373" s="6">
        <x:v>0</x:v>
      </x:c>
      <x:c r="H3373" s="6">
        <x:f t="shared" si="164"/>
        <x:v>0</x:v>
      </x:c>
      <x:c r="I3373" s="6">
        <x:v>819.54999999999973</x:v>
      </x:c>
      <x:c r="J3373" s="6">
        <x:v>0</x:v>
      </x:c>
      <x:c r="K3373" s="6">
        <x:f t="shared" si="165"/>
        <x:v>819.54999999999973</x:v>
      </x:c>
      <x:c r="L3373" s="6">
        <x:v>0</x:v>
      </x:c>
      <x:c r="M3373" s="6">
        <x:v>0</x:v>
      </x:c>
      <x:c r="N3373" s="6">
        <x:f t="shared" si="166"/>
        <x:v>819.54999999999973</x:v>
      </x:c>
    </x:row>
    <x:row r="3374" spans="1:14" x14ac:dyDescent="0.25">
      <x:c r="A3374" t="s">
        <x:v>41</x:v>
      </x:c>
      <x:c r="B3374" s="3" t="s">
        <x:v>217</x:v>
      </x:c>
      <x:c r="C3374" s="3" t="s">
        <x:v>533</x:v>
      </x:c>
      <x:c r="D3374" t="s">
        <x:v>676</x:v>
      </x:c>
      <x:c r="E3374" s="6">
        <x:v>0</x:v>
      </x:c>
      <x:c r="F3374" s="6">
        <x:v>0</x:v>
      </x:c>
      <x:c r="G3374" s="6">
        <x:v>0</x:v>
      </x:c>
      <x:c r="H3374" s="6">
        <x:f t="shared" si="164"/>
        <x:v>0</x:v>
      </x:c>
      <x:c r="I3374" s="6">
        <x:v>1015.38</x:v>
      </x:c>
      <x:c r="J3374" s="6">
        <x:v>0</x:v>
      </x:c>
      <x:c r="K3374" s="6">
        <x:f t="shared" si="165"/>
        <x:v>1015.38</x:v>
      </x:c>
      <x:c r="L3374" s="6">
        <x:v>0</x:v>
      </x:c>
      <x:c r="M3374" s="6">
        <x:v>0</x:v>
      </x:c>
      <x:c r="N3374" s="6">
        <x:f t="shared" si="166"/>
        <x:v>1015.38</x:v>
      </x:c>
    </x:row>
    <x:row r="3375" spans="1:14" x14ac:dyDescent="0.25">
      <x:c r="A3375" t="s">
        <x:v>41</x:v>
      </x:c>
      <x:c r="B3375" s="3" t="s">
        <x:v>218</x:v>
      </x:c>
      <x:c r="C3375" s="3" t="s">
        <x:v>534</x:v>
      </x:c>
      <x:c r="D3375" t="s">
        <x:v>676</x:v>
      </x:c>
      <x:c r="E3375" s="6">
        <x:v>0</x:v>
      </x:c>
      <x:c r="F3375" s="6">
        <x:v>0</x:v>
      </x:c>
      <x:c r="G3375" s="6">
        <x:v>0</x:v>
      </x:c>
      <x:c r="H3375" s="6">
        <x:f t="shared" si="164"/>
        <x:v>0</x:v>
      </x:c>
      <x:c r="I3375" s="6">
        <x:v>145.07</x:v>
      </x:c>
      <x:c r="J3375" s="6">
        <x:v>0</x:v>
      </x:c>
      <x:c r="K3375" s="6">
        <x:f t="shared" si="165"/>
        <x:v>145.07</x:v>
      </x:c>
      <x:c r="L3375" s="6">
        <x:v>0</x:v>
      </x:c>
      <x:c r="M3375" s="6">
        <x:v>0</x:v>
      </x:c>
      <x:c r="N3375" s="6">
        <x:f t="shared" si="166"/>
        <x:v>145.07</x:v>
      </x:c>
    </x:row>
    <x:row r="3376" spans="1:14" x14ac:dyDescent="0.25">
      <x:c r="A3376" t="s">
        <x:v>41</x:v>
      </x:c>
      <x:c r="B3376" s="3" t="s">
        <x:v>220</x:v>
      </x:c>
      <x:c r="C3376" s="3" t="s">
        <x:v>536</x:v>
      </x:c>
      <x:c r="D3376" t="s">
        <x:v>676</x:v>
      </x:c>
      <x:c r="E3376" s="6">
        <x:v>0</x:v>
      </x:c>
      <x:c r="F3376" s="6">
        <x:v>0</x:v>
      </x:c>
      <x:c r="G3376" s="6">
        <x:v>0</x:v>
      </x:c>
      <x:c r="H3376" s="6">
        <x:f t="shared" si="164"/>
        <x:v>0</x:v>
      </x:c>
      <x:c r="I3376" s="6">
        <x:v>2538.0299999999997</x:v>
      </x:c>
      <x:c r="J3376" s="6">
        <x:v>0</x:v>
      </x:c>
      <x:c r="K3376" s="6">
        <x:f t="shared" si="165"/>
        <x:v>2538.0299999999997</x:v>
      </x:c>
      <x:c r="L3376" s="6">
        <x:v>0</x:v>
      </x:c>
      <x:c r="M3376" s="6">
        <x:v>0</x:v>
      </x:c>
      <x:c r="N3376" s="6">
        <x:f t="shared" si="166"/>
        <x:v>2538.0299999999997</x:v>
      </x:c>
    </x:row>
    <x:row r="3377" spans="1:14" x14ac:dyDescent="0.25">
      <x:c r="A3377" t="s">
        <x:v>41</x:v>
      </x:c>
      <x:c r="B3377" s="3" t="s">
        <x:v>358</x:v>
      </x:c>
      <x:c r="C3377" s="3" t="s">
        <x:v>673</x:v>
      </x:c>
      <x:c r="D3377" t="s">
        <x:v>679</x:v>
      </x:c>
      <x:c r="E3377" s="6">
        <x:v>19282.22</x:v>
      </x:c>
      <x:c r="F3377" s="6">
        <x:v>0</x:v>
      </x:c>
      <x:c r="G3377" s="6">
        <x:v>0</x:v>
      </x:c>
      <x:c r="H3377" s="6">
        <x:f t="shared" si="164"/>
        <x:v>19282.22</x:v>
      </x:c>
      <x:c r="I3377" s="6">
        <x:v>51499.31</x:v>
      </x:c>
      <x:c r="J3377" s="6">
        <x:v>0</x:v>
      </x:c>
      <x:c r="K3377" s="6">
        <x:f t="shared" si="165"/>
        <x:v>51499.31</x:v>
      </x:c>
      <x:c r="L3377" s="6">
        <x:v>14401.62</x:v>
      </x:c>
      <x:c r="M3377" s="6">
        <x:v>591.85000000000036</x:v>
      </x:c>
      <x:c r="N3377" s="6">
        <x:f t="shared" si="166"/>
        <x:v>85775</x:v>
      </x:c>
    </x:row>
    <x:row r="3378" spans="1:14" x14ac:dyDescent="0.25">
      <x:c r="A3378" t="s">
        <x:v>41</x:v>
      </x:c>
      <x:c r="B3378" s="3" t="s">
        <x:v>47</x:v>
      </x:c>
      <x:c r="C3378" s="3" t="s">
        <x:v>364</x:v>
      </x:c>
      <x:c r="D3378" t="s">
        <x:v>679</x:v>
      </x:c>
      <x:c r="E3378" s="6">
        <x:v>0</x:v>
      </x:c>
      <x:c r="F3378" s="6">
        <x:v>0</x:v>
      </x:c>
      <x:c r="G3378" s="6">
        <x:v>0</x:v>
      </x:c>
      <x:c r="H3378" s="6">
        <x:f t="shared" si="164"/>
        <x:v>0</x:v>
      </x:c>
      <x:c r="I3378" s="6">
        <x:v>0.01</x:v>
      </x:c>
      <x:c r="J3378" s="6">
        <x:v>0</x:v>
      </x:c>
      <x:c r="K3378" s="6">
        <x:f t="shared" si="165"/>
        <x:v>0.01</x:v>
      </x:c>
      <x:c r="L3378" s="6">
        <x:v>0</x:v>
      </x:c>
      <x:c r="M3378" s="6">
        <x:v>0.01</x:v>
      </x:c>
      <x:c r="N3378" s="6">
        <x:f t="shared" si="166"/>
        <x:v>0.02</x:v>
      </x:c>
    </x:row>
    <x:row r="3379" spans="1:14" x14ac:dyDescent="0.25">
      <x:c r="A3379" t="s">
        <x:v>41</x:v>
      </x:c>
      <x:c r="B3379" s="3" t="s">
        <x:v>295</x:v>
      </x:c>
      <x:c r="C3379" s="3" t="s">
        <x:v>610</x:v>
      </x:c>
      <x:c r="D3379" t="s">
        <x:v>676</x:v>
      </x:c>
      <x:c r="E3379" s="6">
        <x:v>0</x:v>
      </x:c>
      <x:c r="F3379" s="6">
        <x:v>0</x:v>
      </x:c>
      <x:c r="G3379" s="6">
        <x:v>0</x:v>
      </x:c>
      <x:c r="H3379" s="6">
        <x:f t="shared" si="164"/>
        <x:v>0</x:v>
      </x:c>
      <x:c r="I3379" s="6">
        <x:v>0</x:v>
      </x:c>
      <x:c r="J3379" s="6">
        <x:v>0</x:v>
      </x:c>
      <x:c r="K3379" s="6">
        <x:f t="shared" si="165"/>
        <x:v>0</x:v>
      </x:c>
      <x:c r="L3379" s="6">
        <x:v>0</x:v>
      </x:c>
      <x:c r="M3379" s="6">
        <x:v>1000</x:v>
      </x:c>
      <x:c r="N3379" s="6">
        <x:f t="shared" si="166"/>
        <x:v>1000</x:v>
      </x:c>
    </x:row>
    <x:row r="3380" spans="1:14" x14ac:dyDescent="0.25">
      <x:c r="A3380" t="s">
        <x:v>41</x:v>
      </x:c>
      <x:c r="B3380" s="3" t="s">
        <x:v>337</x:v>
      </x:c>
      <x:c r="C3380" s="3" t="s">
        <x:v>652</x:v>
      </x:c>
      <x:c r="D3380" t="s">
        <x:v>679</x:v>
      </x:c>
      <x:c r="E3380" s="6">
        <x:v>899.2</x:v>
      </x:c>
      <x:c r="F3380" s="6">
        <x:v>0</x:v>
      </x:c>
      <x:c r="G3380" s="6">
        <x:v>0</x:v>
      </x:c>
      <x:c r="H3380" s="6">
        <x:f t="shared" si="164"/>
        <x:v>899.2</x:v>
      </x:c>
      <x:c r="I3380" s="6">
        <x:v>2401.6</x:v>
      </x:c>
      <x:c r="J3380" s="6">
        <x:v>0</x:v>
      </x:c>
      <x:c r="K3380" s="6">
        <x:f t="shared" si="165"/>
        <x:v>2401.6</x:v>
      </x:c>
      <x:c r="L3380" s="6">
        <x:v>671.6</x:v>
      </x:c>
      <x:c r="M3380" s="6">
        <x:v>27.60000000000025</x:v>
      </x:c>
      <x:c r="N3380" s="6">
        <x:f t="shared" si="166"/>
        <x:v>4000.0000000000005</x:v>
      </x:c>
    </x:row>
    <x:row r="3381" spans="1:14" x14ac:dyDescent="0.25">
      <x:c r="A3381" t="s">
        <x:v>41</x:v>
      </x:c>
      <x:c r="B3381" s="3" t="s">
        <x:v>226</x:v>
      </x:c>
      <x:c r="C3381" s="3" t="s">
        <x:v>542</x:v>
      </x:c>
      <x:c r="D3381" t="s">
        <x:v>676</x:v>
      </x:c>
      <x:c r="E3381" s="6">
        <x:v>972.9</x:v>
      </x:c>
      <x:c r="F3381" s="6">
        <x:v>0</x:v>
      </x:c>
      <x:c r="G3381" s="6">
        <x:v>0</x:v>
      </x:c>
      <x:c r="H3381" s="6">
        <x:f t="shared" si="164"/>
        <x:v>972.9</x:v>
      </x:c>
      <x:c r="I3381" s="6">
        <x:v>2598.42</x:v>
      </x:c>
      <x:c r="J3381" s="6">
        <x:v>0</x:v>
      </x:c>
      <x:c r="K3381" s="6">
        <x:f t="shared" si="165"/>
        <x:v>2598.42</x:v>
      </x:c>
      <x:c r="L3381" s="6">
        <x:v>726.64</x:v>
      </x:c>
      <x:c r="M3381" s="6">
        <x:v>29.850000000000247</x:v>
      </x:c>
      <x:c r="N3381" s="6">
        <x:f t="shared" si="166"/>
        <x:v>4327.8100000000004</x:v>
      </x:c>
    </x:row>
    <x:row r="3382" spans="1:14" x14ac:dyDescent="0.25">
      <x:c r="A3382" t="s">
        <x:v>41</x:v>
      </x:c>
      <x:c r="B3382" s="3" t="s">
        <x:v>304</x:v>
      </x:c>
      <x:c r="C3382" s="3" t="s">
        <x:v>619</x:v>
      </x:c>
      <x:c r="D3382" t="s">
        <x:v>676</x:v>
      </x:c>
      <x:c r="E3382" s="6">
        <x:v>20.34</x:v>
      </x:c>
      <x:c r="F3382" s="6">
        <x:v>0</x:v>
      </x:c>
      <x:c r="G3382" s="6">
        <x:v>0</x:v>
      </x:c>
      <x:c r="H3382" s="6">
        <x:f t="shared" si="164"/>
        <x:v>20.34</x:v>
      </x:c>
      <x:c r="I3382" s="6">
        <x:v>54.34</x:v>
      </x:c>
      <x:c r="J3382" s="6">
        <x:v>0</x:v>
      </x:c>
      <x:c r="K3382" s="6">
        <x:f t="shared" si="165"/>
        <x:v>54.34</x:v>
      </x:c>
      <x:c r="L3382" s="6">
        <x:v>15.190000000000001</x:v>
      </x:c>
      <x:c r="M3382" s="6">
        <x:v>0.63000000000000345</x:v>
      </x:c>
      <x:c r="N3382" s="6">
        <x:f t="shared" si="166"/>
        <x:v>90.500000000000014</x:v>
      </x:c>
    </x:row>
    <x:row r="3383" spans="1:14" x14ac:dyDescent="0.25">
      <x:c r="A3383" t="s">
        <x:v>41</x:v>
      </x:c>
      <x:c r="B3383" t="s">
        <x:v>823</x:v>
      </x:c>
      <x:c r="C3383" t="s">
        <x:v>621</x:v>
      </x:c>
      <x:c r="D3383" t="s">
        <x:v>835</x:v>
      </x:c>
      <x:c r="E3383" s="6">
        <x:v>32.299999999999997</x:v>
      </x:c>
      <x:c r="F3383" s="6">
        <x:v>0</x:v>
      </x:c>
      <x:c r="G3383" s="6">
        <x:v>0</x:v>
      </x:c>
      <x:c r="H3383" s="6">
        <x:f t="shared" si="164"/>
        <x:v>32.299999999999997</x:v>
      </x:c>
      <x:c r="I3383" s="6">
        <x:v>6.47</x:v>
      </x:c>
      <x:c r="J3383" s="6">
        <x:v>0</x:v>
      </x:c>
      <x:c r="K3383" s="6">
        <x:f t="shared" si="165"/>
        <x:v>6.47</x:v>
      </x:c>
      <x:c r="L3383" s="6">
        <x:v>0</x:v>
      </x:c>
      <x:c r="M3383" s="6">
        <x:v>0</x:v>
      </x:c>
      <x:c r="N3383" s="6">
        <x:f t="shared" si="166"/>
        <x:v>38.769999999999996</x:v>
      </x:c>
    </x:row>
    <x:row r="3384" spans="1:14" x14ac:dyDescent="0.25">
      <x:c r="A3384" t="s">
        <x:v>41</x:v>
      </x:c>
      <x:c r="B3384" s="3" t="s">
        <x:v>306</x:v>
      </x:c>
      <x:c r="C3384" s="3" t="s">
        <x:v>621</x:v>
      </x:c>
      <x:c r="D3384" t="s">
        <x:v>676</x:v>
      </x:c>
      <x:c r="E3384" s="6">
        <x:v>7.06</x:v>
      </x:c>
      <x:c r="F3384" s="6">
        <x:v>0</x:v>
      </x:c>
      <x:c r="G3384" s="6">
        <x:v>0</x:v>
      </x:c>
      <x:c r="H3384" s="6">
        <x:f t="shared" si="164"/>
        <x:v>7.06</x:v>
      </x:c>
      <x:c r="I3384" s="6">
        <x:v>18.86</x:v>
      </x:c>
      <x:c r="J3384" s="6">
        <x:v>0</x:v>
      </x:c>
      <x:c r="K3384" s="6">
        <x:f t="shared" si="165"/>
        <x:v>18.86</x:v>
      </x:c>
      <x:c r="L3384" s="6">
        <x:v>5.27</x:v>
      </x:c>
      <x:c r="M3384" s="6">
        <x:v>0.22000000000000242</x:v>
      </x:c>
      <x:c r="N3384" s="6">
        <x:f t="shared" si="166"/>
        <x:v>31.41</x:v>
      </x:c>
    </x:row>
    <x:row r="3385" spans="1:14" x14ac:dyDescent="0.25">
      <x:c r="A3385" t="s">
        <x:v>42</x:v>
      </x:c>
      <x:c r="B3385" s="3" t="s">
        <x:v>170</x:v>
      </x:c>
      <x:c r="C3385" s="3" t="s">
        <x:v>486</x:v>
      </x:c>
      <x:c r="D3385" t="s">
        <x:v>676</x:v>
      </x:c>
      <x:c r="E3385" s="6">
        <x:v>0</x:v>
      </x:c>
      <x:c r="F3385" s="6">
        <x:v>0</x:v>
      </x:c>
      <x:c r="G3385" s="6">
        <x:v>0</x:v>
      </x:c>
      <x:c r="H3385" s="6">
        <x:f t="shared" si="164"/>
        <x:v>0</x:v>
      </x:c>
      <x:c r="I3385" s="6">
        <x:v>6410.670000000001</x:v>
      </x:c>
      <x:c r="J3385" s="6">
        <x:v>0</x:v>
      </x:c>
      <x:c r="K3385" s="6">
        <x:f t="shared" si="165"/>
        <x:v>6410.670000000001</x:v>
      </x:c>
      <x:c r="L3385" s="6">
        <x:v>0</x:v>
      </x:c>
      <x:c r="M3385" s="6">
        <x:v>0</x:v>
      </x:c>
      <x:c r="N3385" s="6">
        <x:f t="shared" si="166"/>
        <x:v>6410.670000000001</x:v>
      </x:c>
    </x:row>
    <x:row r="3386" spans="1:14" x14ac:dyDescent="0.25">
      <x:c r="A3386" t="s">
        <x:v>42</x:v>
      </x:c>
      <x:c r="B3386" s="3" t="s">
        <x:v>171</x:v>
      </x:c>
      <x:c r="C3386" s="3" t="s">
        <x:v>487</x:v>
      </x:c>
      <x:c r="D3386" t="s">
        <x:v>676</x:v>
      </x:c>
      <x:c r="E3386" s="6">
        <x:v>0</x:v>
      </x:c>
      <x:c r="F3386" s="6">
        <x:v>0</x:v>
      </x:c>
      <x:c r="G3386" s="6">
        <x:v>0</x:v>
      </x:c>
      <x:c r="H3386" s="6">
        <x:f t="shared" si="164"/>
        <x:v>0</x:v>
      </x:c>
      <x:c r="I3386" s="6">
        <x:v>4079.1499999999992</x:v>
      </x:c>
      <x:c r="J3386" s="6">
        <x:v>0</x:v>
      </x:c>
      <x:c r="K3386" s="6">
        <x:f t="shared" si="165"/>
        <x:v>4079.1499999999992</x:v>
      </x:c>
      <x:c r="L3386" s="6">
        <x:v>0</x:v>
      </x:c>
      <x:c r="M3386" s="6">
        <x:v>0</x:v>
      </x:c>
      <x:c r="N3386" s="6">
        <x:f t="shared" si="166"/>
        <x:v>4079.1499999999992</x:v>
      </x:c>
    </x:row>
    <x:row r="3387" spans="1:14" x14ac:dyDescent="0.25">
      <x:c r="A3387" t="s">
        <x:v>42</x:v>
      </x:c>
      <x:c r="B3387" s="3" t="s">
        <x:v>264</x:v>
      </x:c>
      <x:c r="C3387" s="3" t="s">
        <x:v>579</x:v>
      </x:c>
      <x:c r="D3387" t="s">
        <x:v>676</x:v>
      </x:c>
      <x:c r="E3387" s="6">
        <x:v>0</x:v>
      </x:c>
      <x:c r="F3387" s="6">
        <x:v>0</x:v>
      </x:c>
      <x:c r="G3387" s="6">
        <x:v>0</x:v>
      </x:c>
      <x:c r="H3387" s="6">
        <x:f t="shared" si="164"/>
        <x:v>0</x:v>
      </x:c>
      <x:c r="I3387" s="6">
        <x:v>0</x:v>
      </x:c>
      <x:c r="J3387" s="6">
        <x:v>0</x:v>
      </x:c>
      <x:c r="K3387" s="6">
        <x:f t="shared" si="165"/>
        <x:v>0</x:v>
      </x:c>
      <x:c r="L3387" s="6">
        <x:v>6951</x:v>
      </x:c>
      <x:c r="M3387" s="6">
        <x:v>0</x:v>
      </x:c>
      <x:c r="N3387" s="6">
        <x:f t="shared" si="166"/>
        <x:v>6951</x:v>
      </x:c>
    </x:row>
    <x:row r="3388" spans="1:14" x14ac:dyDescent="0.25">
      <x:c r="A3388" t="s">
        <x:v>42</x:v>
      </x:c>
      <x:c r="B3388" s="3" t="s">
        <x:v>207</x:v>
      </x:c>
      <x:c r="C3388" s="3" t="s">
        <x:v>523</x:v>
      </x:c>
      <x:c r="D3388" t="s">
        <x:v>676</x:v>
      </x:c>
      <x:c r="E3388" s="6">
        <x:v>0</x:v>
      </x:c>
      <x:c r="F3388" s="6">
        <x:v>0</x:v>
      </x:c>
      <x:c r="G3388" s="6">
        <x:v>0</x:v>
      </x:c>
      <x:c r="H3388" s="6">
        <x:f t="shared" si="164"/>
        <x:v>0</x:v>
      </x:c>
      <x:c r="I3388" s="6">
        <x:v>3334.1600000000003</x:v>
      </x:c>
      <x:c r="J3388" s="6">
        <x:v>0</x:v>
      </x:c>
      <x:c r="K3388" s="6">
        <x:f t="shared" si="165"/>
        <x:v>3334.1600000000003</x:v>
      </x:c>
      <x:c r="L3388" s="6">
        <x:v>0</x:v>
      </x:c>
      <x:c r="M3388" s="6">
        <x:v>0</x:v>
      </x:c>
      <x:c r="N3388" s="6">
        <x:f t="shared" si="166"/>
        <x:v>3334.1600000000003</x:v>
      </x:c>
    </x:row>
    <x:row r="3389" spans="1:14" x14ac:dyDescent="0.25">
      <x:c r="A3389" t="s">
        <x:v>42</x:v>
      </x:c>
      <x:c r="B3389" s="3" t="s">
        <x:v>221</x:v>
      </x:c>
      <x:c r="C3389" s="3" t="s">
        <x:v>537</x:v>
      </x:c>
      <x:c r="D3389" t="s">
        <x:v>676</x:v>
      </x:c>
      <x:c r="E3389" s="6">
        <x:v>0</x:v>
      </x:c>
      <x:c r="F3389" s="6">
        <x:v>0</x:v>
      </x:c>
      <x:c r="G3389" s="6">
        <x:v>0</x:v>
      </x:c>
      <x:c r="H3389" s="6">
        <x:f t="shared" si="164"/>
        <x:v>0</x:v>
      </x:c>
      <x:c r="I3389" s="6">
        <x:v>1255.4000000000001</x:v>
      </x:c>
      <x:c r="J3389" s="6">
        <x:v>0</x:v>
      </x:c>
      <x:c r="K3389" s="6">
        <x:f t="shared" si="165"/>
        <x:v>1255.4000000000001</x:v>
      </x:c>
      <x:c r="L3389" s="6">
        <x:v>0</x:v>
      </x:c>
      <x:c r="M3389" s="6">
        <x:v>0</x:v>
      </x:c>
      <x:c r="N3389" s="6">
        <x:f t="shared" si="166"/>
        <x:v>1255.4000000000001</x:v>
      </x:c>
    </x:row>
    <x:row r="3390" spans="1:14" x14ac:dyDescent="0.25">
      <x:c r="A3390" t="s">
        <x:v>42</x:v>
      </x:c>
      <x:c r="B3390" s="3" t="s">
        <x:v>47</x:v>
      </x:c>
      <x:c r="C3390" s="3" t="s">
        <x:v>364</x:v>
      </x:c>
      <x:c r="D3390" t="s">
        <x:v>679</x:v>
      </x:c>
      <x:c r="E3390" s="6">
        <x:v>4239.67</x:v>
      </x:c>
      <x:c r="F3390" s="6">
        <x:v>0</x:v>
      </x:c>
      <x:c r="G3390" s="6">
        <x:v>0</x:v>
      </x:c>
      <x:c r="H3390" s="6">
        <x:f t="shared" si="164"/>
        <x:v>4239.67</x:v>
      </x:c>
      <x:c r="I3390" s="6">
        <x:v>11323.369999999999</x:v>
      </x:c>
      <x:c r="J3390" s="6">
        <x:v>0</x:v>
      </x:c>
      <x:c r="K3390" s="6">
        <x:f t="shared" si="165"/>
        <x:v>11323.369999999999</x:v>
      </x:c>
      <x:c r="L3390" s="6">
        <x:v>3166.5299999999997</x:v>
      </x:c>
      <x:c r="M3390" s="6">
        <x:v>130.13000000000144</x:v>
      </x:c>
      <x:c r="N3390" s="6">
        <x:f t="shared" si="166"/>
        <x:v>18859.7</x:v>
      </x:c>
    </x:row>
    <x:row r="3391" spans="1:14" x14ac:dyDescent="0.25">
      <x:c r="A3391" t="s">
        <x:v>42</x:v>
      </x:c>
      <x:c r="B3391" s="3" t="s">
        <x:v>301</x:v>
      </x:c>
      <x:c r="C3391" s="3" t="s">
        <x:v>616</x:v>
      </x:c>
      <x:c r="D3391" t="s">
        <x:v>676</x:v>
      </x:c>
      <x:c r="E3391" s="6">
        <x:v>-221.95</x:v>
      </x:c>
      <x:c r="F3391" s="6">
        <x:v>0</x:v>
      </x:c>
      <x:c r="G3391" s="6">
        <x:v>0</x:v>
      </x:c>
      <x:c r="H3391" s="6">
        <x:f t="shared" si="164"/>
        <x:v>-221.95</x:v>
      </x:c>
      <x:c r="I3391" s="6">
        <x:v>-592.79999999999995</x:v>
      </x:c>
      <x:c r="J3391" s="6">
        <x:v>0</x:v>
      </x:c>
      <x:c r="K3391" s="6">
        <x:f t="shared" si="165"/>
        <x:v>-592.79999999999995</x:v>
      </x:c>
      <x:c r="L3391" s="6">
        <x:v>-165.77</x:v>
      </x:c>
      <x:c r="M3391" s="6">
        <x:v>-6.8200000000001353</x:v>
      </x:c>
      <x:c r="N3391" s="6">
        <x:f t="shared" si="166"/>
        <x:v>-987.34000000000015</x:v>
      </x:c>
    </x:row>
    <x:row r="3392" spans="1:14" x14ac:dyDescent="0.25">
      <x:c r="A3392" t="s">
        <x:v>42</x:v>
      </x:c>
      <x:c r="B3392" s="3" t="s">
        <x:v>269</x:v>
      </x:c>
      <x:c r="C3392" s="3" t="s">
        <x:v>584</x:v>
      </x:c>
      <x:c r="D3392" t="s">
        <x:v>676</x:v>
      </x:c>
      <x:c r="E3392" s="6">
        <x:v>0</x:v>
      </x:c>
      <x:c r="F3392" s="6">
        <x:v>0</x:v>
      </x:c>
      <x:c r="G3392" s="6">
        <x:v>0</x:v>
      </x:c>
      <x:c r="H3392" s="6">
        <x:f t="shared" si="164"/>
        <x:v>0</x:v>
      </x:c>
      <x:c r="I3392" s="6">
        <x:v>0</x:v>
      </x:c>
      <x:c r="J3392" s="6">
        <x:v>0</x:v>
      </x:c>
      <x:c r="K3392" s="6">
        <x:f t="shared" si="165"/>
        <x:v>0</x:v>
      </x:c>
      <x:c r="L3392" s="6">
        <x:v>1332.6</x:v>
      </x:c>
      <x:c r="M3392" s="6">
        <x:v>0</x:v>
      </x:c>
      <x:c r="N3392" s="6">
        <x:f t="shared" si="166"/>
        <x:v>1332.6</x:v>
      </x:c>
    </x:row>
    <x:row r="3393" spans="1:14" x14ac:dyDescent="0.25">
      <x:c r="A3393" t="s">
        <x:v>42</x:v>
      </x:c>
      <x:c r="B3393" s="3" t="s">
        <x:v>226</x:v>
      </x:c>
      <x:c r="C3393" s="3" t="s">
        <x:v>542</x:v>
      </x:c>
      <x:c r="D3393" t="s">
        <x:v>676</x:v>
      </x:c>
      <x:c r="E3393" s="6">
        <x:v>503323.92000000022</x:v>
      </x:c>
      <x:c r="F3393" s="6">
        <x:v>0</x:v>
      </x:c>
      <x:c r="G3393" s="6">
        <x:v>0</x:v>
      </x:c>
      <x:c r="H3393" s="6">
        <x:f t="shared" si="164"/>
        <x:v>503323.92000000022</x:v>
      </x:c>
      <x:c r="I3393" s="6">
        <x:v>1344286.8000000003</x:v>
      </x:c>
      <x:c r="J3393" s="6">
        <x:v>0</x:v>
      </x:c>
      <x:c r="K3393" s="6">
        <x:f t="shared" si="165"/>
        <x:v>1344286.8000000003</x:v>
      </x:c>
      <x:c r="L3393" s="6">
        <x:v>375925.64</x:v>
      </x:c>
      <x:c r="M3393" s="6">
        <x:v>15449.030000000042</x:v>
      </x:c>
      <x:c r="N3393" s="6">
        <x:f t="shared" si="166"/>
        <x:v>2238985.3900000006</x:v>
      </x:c>
    </x:row>
    <x:row r="3394" spans="1:14" x14ac:dyDescent="0.25">
      <x:c r="A3394" t="s">
        <x:v>42</x:v>
      </x:c>
      <x:c r="B3394" s="3" t="s">
        <x:v>303</x:v>
      </x:c>
      <x:c r="C3394" s="3" t="s">
        <x:v>618</x:v>
      </x:c>
      <x:c r="D3394" t="s">
        <x:v>676</x:v>
      </x:c>
      <x:c r="E3394" s="6">
        <x:v>103034.53</x:v>
      </x:c>
      <x:c r="F3394" s="6">
        <x:v>0</x:v>
      </x:c>
      <x:c r="G3394" s="6">
        <x:v>0</x:v>
      </x:c>
      <x:c r="H3394" s="6">
        <x:f t="shared" si="164"/>
        <x:v>103034.53</x:v>
      </x:c>
      <x:c r="I3394" s="6">
        <x:v>275186.52</x:v>
      </x:c>
      <x:c r="J3394" s="6">
        <x:v>0</x:v>
      </x:c>
      <x:c r="K3394" s="6">
        <x:f t="shared" si="165"/>
        <x:v>275186.52</x:v>
      </x:c>
      <x:c r="L3394" s="6">
        <x:v>76955.05</x:v>
      </x:c>
      <x:c r="M3394" s="6">
        <x:v>3162.5400000000109</x:v>
      </x:c>
      <x:c r="N3394" s="6">
        <x:f t="shared" si="166"/>
        <x:v>458338.64000000007</x:v>
      </x:c>
    </x:row>
    <x:row r="3395" spans="1:14" x14ac:dyDescent="0.25">
      <x:c r="A3395" t="s">
        <x:v>42</x:v>
      </x:c>
      <x:c r="B3395" t="s">
        <x:v>821</x:v>
      </x:c>
      <x:c r="C3395" t="s">
        <x:v>822</x:v>
      </x:c>
      <x:c r="D3395" t="s">
        <x:v>832</x:v>
      </x:c>
      <x:c r="E3395" s="6">
        <x:v>1564940.52</x:v>
      </x:c>
      <x:c r="F3395" s="6">
        <x:v>0</x:v>
      </x:c>
      <x:c r="G3395" s="6">
        <x:v>0</x:v>
      </x:c>
      <x:c r="H3395" s="6">
        <x:f t="shared" si="164"/>
        <x:v>1564940.52</x:v>
      </x:c>
      <x:c r="I3395" s="6">
        <x:v>0</x:v>
      </x:c>
      <x:c r="J3395" s="6">
        <x:v>0</x:v>
      </x:c>
      <x:c r="K3395" s="6">
        <x:f t="shared" si="165"/>
        <x:v>0</x:v>
      </x:c>
      <x:c r="L3395" s="6">
        <x:v>0</x:v>
      </x:c>
      <x:c r="M3395" s="6">
        <x:v>0</x:v>
      </x:c>
      <x:c r="N3395" s="6">
        <x:f t="shared" si="166"/>
        <x:v>1564940.52</x:v>
      </x:c>
    </x:row>
    <x:row r="3396" spans="1:14" x14ac:dyDescent="0.25">
      <x:c r="A3396" t="s">
        <x:v>42</x:v>
      </x:c>
      <x:c r="B3396" t="s">
        <x:v>839</x:v>
      </x:c>
      <x:c r="C3396" t="s">
        <x:v>840</x:v>
      </x:c>
      <x:c r="D3396" t="s">
        <x:v>841</x:v>
      </x:c>
      <x:c r="E3396" s="6">
        <x:v>0</x:v>
      </x:c>
      <x:c r="F3396" s="6">
        <x:v>63397.049999999996</x:v>
      </x:c>
      <x:c r="G3396" s="6">
        <x:v>0</x:v>
      </x:c>
      <x:c r="H3396" s="6">
        <x:f t="shared" si="164"/>
        <x:v>63397.049999999996</x:v>
      </x:c>
      <x:c r="I3396" s="6">
        <x:v>0</x:v>
      </x:c>
      <x:c r="J3396" s="6">
        <x:v>0</x:v>
      </x:c>
      <x:c r="K3396" s="6">
        <x:f t="shared" si="165"/>
        <x:v>0</x:v>
      </x:c>
      <x:c r="L3396" s="6">
        <x:v>0</x:v>
      </x:c>
      <x:c r="M3396" s="6">
        <x:v>0</x:v>
      </x:c>
      <x:c r="N3396" s="6">
        <x:f t="shared" si="166"/>
        <x:v>63397.049999999996</x:v>
      </x:c>
    </x:row>
    <x:row r="3397" spans="1:14" ht="15.75" thickBot="1" x14ac:dyDescent="0.3">
      <x:c r="C3397" s="8" t="s">
        <x:v>870</x:v>
      </x:c>
      <x:c r="E3397" s="9">
        <x:f>SUM(E2185:E3396)</x:f>
        <x:v>115857131.27000007</x:v>
      </x:c>
      <x:c r="F3397" s="9">
        <x:f t="shared" ref="F3397:N3397" si="167">SUM(F2185:F3396)</x:f>
        <x:v>3528071.0300000003</x:v>
      </x:c>
      <x:c r="G3397" s="9">
        <x:f t="shared" si="167"/>
        <x:v>0</x:v>
      </x:c>
      <x:c r="H3397" s="9">
        <x:f t="shared" si="167"/>
        <x:v>119385202.30000007</x:v>
      </x:c>
      <x:c r="I3397" s="9">
        <x:f t="shared" si="167"/>
        <x:v>492631916.41000056</x:v>
      </x:c>
      <x:c r="J3397" s="9">
        <x:f t="shared" si="167"/>
        <x:v>475499.95</x:v>
      </x:c>
      <x:c r="K3397" s="9">
        <x:f t="shared" si="167"/>
        <x:v>493107416.36000055</x:v>
      </x:c>
      <x:c r="L3397" s="9">
        <x:f t="shared" si="167"/>
        <x:v>50428868.14000003</x:v>
      </x:c>
      <x:c r="M3397" s="9">
        <x:f t="shared" si="167"/>
        <x:v>41122571.049999967</x:v>
      </x:c>
      <x:c r="N3397" s="9">
        <x:f t="shared" si="167"/>
        <x:v>704044057.85000074</x:v>
      </x:c>
    </x:row>
    <x:row r="3398" spans="1:14" ht="15.75" thickTop="1" x14ac:dyDescent="0.25"/>
    <x:row r="3399" spans="1:14" ht="15.75" thickBot="1" x14ac:dyDescent="0.3">
      <x:c r="C3399" s="8" t="s">
        <x:v>871</x:v>
      </x:c>
      <x:c r="E3399" s="10">
        <x:f>+E3397+E2181+E2156+E2126+E453</x:f>
        <x:v>241637203.8300001</x:v>
      </x:c>
      <x:c r="F3399" s="10">
        <x:f t="shared" ref="F3399:N3399" si="168">+F3397+F2181+F2156+F2126+F453</x:f>
        <x:v>8545882.0600000005</x:v>
      </x:c>
      <x:c r="G3399" s="10">
        <x:f t="shared" si="168"/>
        <x:v>475836.37</x:v>
      </x:c>
      <x:c r="H3399" s="10">
        <x:f t="shared" si="168"/>
        <x:v>250658922.26000011</x:v>
      </x:c>
      <x:c r="I3399" s="10">
        <x:f t="shared" si="168"/>
        <x:v>2813002450.1000013</x:v>
      </x:c>
      <x:c r="J3399" s="10">
        <x:f t="shared" si="168"/>
        <x:v>983223.52</x:v>
      </x:c>
      <x:c r="K3399" s="10">
        <x:f t="shared" si="168"/>
        <x:v>2813985673.6200008</x:v>
      </x:c>
      <x:c r="L3399" s="10">
        <x:f t="shared" si="168"/>
        <x:v>121604317.76000004</x:v>
      </x:c>
      <x:c r="M3399" s="10">
        <x:f t="shared" si="168"/>
        <x:v>118741948.15999997</x:v>
      </x:c>
      <x:c r="N3399" s="10">
        <x:f t="shared" si="168"/>
        <x:v>3304990861.8000011</x:v>
      </x:c>
    </x:row>
    <x:row r="3400" spans="1:14" ht="15.75" thickTop="1" x14ac:dyDescent="0.25"/>
  </x:sheetData>
  <x:sortState xmlns:xlrd2="http://schemas.microsoft.com/office/spreadsheetml/2017/richdata2" ref="A4:D3396">
    <x:sortCondition ref="A4:A3396"/>
    <x:sortCondition ref="B4:B3396"/>
    <x:sortCondition ref="D4:D3396"/>
  </x:sortState>
  <x:pageMargins left="0.25" right="0.25" top="2" bottom="0.5" header="1" footer="0.3"/>
  <x:pageSetup scale="55" fitToHeight="0" orientation="landscape" r:id="rId1"/>
  <x:headerFooter>
    <x:oddHeader>&amp;C
&amp;"-,Bold"2025 RATE CASE
ONCOR ELECTRIC DELIVERY COMPANY LLC
FUNCTIONALIZATION SUMMARY FOR OPERATION &amp;&amp; MAINTENANCE EXPENSES
TEST YEAR ENDING DECEMBER 31, 2024
SPONSOR:  R. PRACHYL&amp;R&amp;"-,Bold"WP/II-D FUNCTIONALIZATIION
PAGE &amp;P OF &amp;N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2025-04-01T14:26:51.0000000Z</dcterms:modified>
</coreProperties>
</file>