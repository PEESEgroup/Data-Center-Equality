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511820AA-9ABD-413D-9449-0166507626FE}" xr6:coauthVersionLast="47" xr6:coauthVersionMax="47" xr10:uidLastSave="{00000000-0000-0000-0000-000000000000}"/>
  <x:bookViews>
    <x:workbookView xWindow="-120" yWindow="-120" windowWidth="29040" windowHeight="15720" xr2:uid="{82FCBD9D-C33D-4CFA-AE59-C4444616EF49}"/>
  </x:bookViews>
  <x:sheets>
    <x:sheet name="Sheet1" sheetId="1" r:id="rId1"/>
  </x:sheet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F26" i="1" l="1"/>
  <x:c r="F8" i="1"/>
  <x:c r="F7" i="1"/>
  <x:c r="F9" i="1" s="1"/>
  <x:c r="F11" i="1" s="1"/>
</x:calcChain>
</file>

<file path=xl/sharedStrings.xml><?xml version="1.0" encoding="utf-8"?>
<sst xmlns="http://schemas.openxmlformats.org/spreadsheetml/2006/main" count="24" uniqueCount="24">
  <si>
    <t>Known and Measurable O&amp;M Adjustment for Distribution construction services (O&amp;M expense portion) related to economic change adjustment:</t>
  </si>
  <si>
    <t xml:space="preserve">Supplier </t>
  </si>
  <si>
    <t xml:space="preserve">Effective Date </t>
  </si>
  <si>
    <t>Proration Factor</t>
  </si>
  <si>
    <t xml:space="preserve">Unit Rate Change </t>
  </si>
  <si>
    <t>2024 Distribution O&amp;M</t>
  </si>
  <si>
    <t>Distribution Difference in Expense (2024 to 2025) Using 2024 Volume</t>
  </si>
  <si>
    <t>% of test year not affected by rate change</t>
  </si>
  <si>
    <t>Contractor 1</t>
  </si>
  <si>
    <t>Contractor 2</t>
  </si>
  <si>
    <t>Total Difference in O&amp;M Expense from 2024 to 2025</t>
  </si>
  <si>
    <t>K&amp;M O&amp;M Adjustment (annualized increases)</t>
  </si>
  <si>
    <t>2025 increase over 2024</t>
  </si>
  <si>
    <t>DIST Deptid 516001 EC 126</t>
  </si>
  <si>
    <t>FERC Account</t>
  </si>
  <si>
    <t>Amount</t>
  </si>
  <si>
    <t>5830000</t>
  </si>
  <si>
    <t>5840000</t>
  </si>
  <si>
    <t>5860000</t>
  </si>
  <si>
    <t>5920000</t>
  </si>
  <si>
    <t>5930000</t>
  </si>
  <si>
    <t>5940000</t>
  </si>
  <si>
    <t>5960000</t>
  </si>
  <si>
    <t>5980000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</si>
</sst>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.000_);[Red]\(&quot;$&quot;#,##0.000\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vertical="center" wrapText="1"/>
    </xf>
    <xf numFmtId="14" fontId="4" fillId="0" borderId="4" xfId="0" applyNumberFormat="1" applyFont="1" applyBorder="1" applyAlignment="1">
      <alignment horizontal="right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4" fillId="0" borderId="3" xfId="0" applyFont="1" applyBorder="1" applyAlignment="1">
      <alignment vertical="center"/>
    </xf>
    <xf numFmtId="10" fontId="4" fillId="0" borderId="4" xfId="0" applyNumberFormat="1" applyFont="1" applyBorder="1" applyAlignment="1">
      <alignment horizontal="right" vertical="center"/>
    </xf>
    <xf numFmtId="164" fontId="4" fillId="0" borderId="4" xfId="1" applyNumberFormat="1" applyFont="1" applyBorder="1" applyAlignment="1">
      <alignment vertical="center"/>
    </xf>
    <xf numFmtId="165" fontId="2" fillId="0" borderId="0" xfId="0" applyNumberFormat="1" applyFont="1"/>
    <xf numFmtId="0" fontId="2" fillId="0" borderId="0" xfId="0" applyFont="1" applyFill="1"/>
    <xf numFmtId="0" fontId="3" fillId="0" borderId="0" xfId="0" applyFont="1" applyFill="1" applyAlignment="1">
      <alignment horizontal="right" vertical="center"/>
    </xf>
    <xf numFmtId="164" fontId="4" fillId="0" borderId="0" xfId="0" applyNumberFormat="1" applyFont="1" applyFill="1" applyAlignment="1">
      <alignment vertical="center"/>
    </xf>
    <xf numFmtId="10" fontId="2" fillId="0" borderId="0" xfId="0" applyNumberFormat="1" applyFont="1" applyFill="1"/>
    <xf numFmtId="0" fontId="5" fillId="0" borderId="0" xfId="0" applyFont="1" applyFill="1" applyAlignment="1">
      <alignment horizontal="right"/>
    </xf>
    <xf numFmtId="0" fontId="2" fillId="0" borderId="0" xfId="0" applyFont="1" applyFill="1" applyAlignment="1">
      <alignment horizontal="right"/>
    </xf>
    <xf numFmtId="0" fontId="2" fillId="0" borderId="5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44" fontId="2" fillId="0" borderId="0" xfId="0" applyNumberFormat="1" applyFont="1" applyFill="1"/>
    <xf numFmtId="44" fontId="2" fillId="0" borderId="5" xfId="0" applyNumberFormat="1" applyFont="1" applyFill="1" applyBorder="1"/>
    <xf numFmtId="44" fontId="6" fillId="0" borderId="0" xfId="0" applyNumberFormat="1" applyFont="1" applyFill="1"/>
    <xf numFmtId="0" fontId="6" fillId="0" borderId="6" xfId="0" applyFont="1" applyFill="1" applyBorder="1"/>
    <xf numFmtId="0" fontId="6" fillId="0" borderId="7" xfId="0" applyFont="1" applyFill="1" applyBorder="1"/>
    <xf numFmtId="44" fontId="6" fillId="0" borderId="8" xfId="1" applyFont="1" applyFill="1" applyBorder="1"/>
    <xf numFmtId="0" fontId="6" fillId="0" borderId="9" xfId="0" applyFont="1" applyFill="1" applyBorder="1"/>
    <xf numFmtId="0" fontId="3" fillId="0" borderId="10" xfId="0" applyFont="1" applyFill="1" applyBorder="1" applyAlignment="1">
      <alignment horizontal="right" vertical="center"/>
    </xf>
    <xf numFmtId="164" fontId="3" fillId="0" borderId="4" xfId="1" applyNumberFormat="1" applyFont="1" applyFill="1" applyBorder="1" applyAlignment="1">
      <alignment horizontal="right" vertical="center"/>
    </xf>
    <xf numFmtId="0" fontId="2" fillId="0" borderId="0" xfId="0" applyFont="1" applyAlignment="1">
      <alignment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7AB4BFB1-4BD3-433B-97C4-D0B41187CD15}" mc:Ignorable="x14ac xr xr2 xr3">
  <x:sheetPr>
    <x:pageSetUpPr fitToPage="1"/>
  </x:sheetPr>
  <x:dimension ref="A3:J27"/>
  <x:sheetViews>
    <x:sheetView tabSelected="1" zoomScaleNormal="100" workbookViewId="0">
      <x:selection activeCell="K10" sqref="K10"/>
    </x:sheetView>
  </x:sheetViews>
  <x:sheetFormatPr defaultColWidth="8.7109375" defaultRowHeight="12.75" x14ac:dyDescent="0.2"/>
  <x:cols>
    <x:col min="1" max="1" width="13.140625" style="1" bestFit="1" customWidth="1"/>
    <x:col min="2" max="2" width="11" style="1" customWidth="1"/>
    <x:col min="3" max="4" width="8.7109375" style="1"/>
    <x:col min="5" max="5" width="14.85546875" style="1" bestFit="1" customWidth="1"/>
    <x:col min="6" max="6" width="24.85546875" style="1" bestFit="1" customWidth="1"/>
    <x:col min="7" max="9" width="8.7109375" style="1"/>
    <x:col min="10" max="10" width="12.42578125" style="1" bestFit="1" customWidth="1"/>
    <x:col min="11" max="16384" width="8.7109375" style="1"/>
  </x:cols>
  <x:sheetData>
    <x:row r="3" spans="1:10" ht="29.1" customHeight="1" x14ac:dyDescent="0.2">
      <x:c r="A3" s="30" t="s">
        <x:v>0</x:v>
      </x:c>
      <x:c r="B3" s="30"/>
      <x:c r="C3" s="30"/>
      <x:c r="D3" s="30"/>
      <x:c r="E3" s="30"/>
      <x:c r="F3" s="30"/>
    </x:row>
    <x:row r="4" spans="1:10" ht="13.5" thickBot="1" x14ac:dyDescent="0.25">
      <x:c r="A4" s="2"/>
    </x:row>
    <x:row r="5" spans="1:10" ht="39" thickBot="1" x14ac:dyDescent="0.25">
      <x:c r="A5" s="3" t="s">
        <x:v>1</x:v>
      </x:c>
      <x:c r="B5" s="4" t="s">
        <x:v>2</x:v>
      </x:c>
      <x:c r="C5" s="4" t="s">
        <x:v>3</x:v>
      </x:c>
      <x:c r="D5" s="4" t="s">
        <x:v>4</x:v>
      </x:c>
      <x:c r="E5" s="4" t="s">
        <x:v>5</x:v>
      </x:c>
      <x:c r="F5" s="4" t="s">
        <x:v>6</x:v>
      </x:c>
    </x:row>
    <x:row r="6" spans="1:10" ht="64.5" thickBot="1" x14ac:dyDescent="0.25">
      <x:c r="A6" s="5"/>
      <x:c r="B6" s="6"/>
      <x:c r="C6" s="7" t="s">
        <x:v>7</x:v>
      </x:c>
      <x:c r="D6" s="8"/>
      <x:c r="E6" s="8"/>
      <x:c r="F6" s="8"/>
    </x:row>
    <x:row r="7" spans="1:10" ht="13.5" thickBot="1" x14ac:dyDescent="0.25">
      <x:c r="A7" s="9" t="s">
        <x:v>8</x:v>
      </x:c>
      <x:c r="B7" s="6">
        <x:v>45600</x:v>
      </x:c>
      <x:c r="C7" s="10">
        <x:v>0.84109999999999996</x:v>
      </x:c>
      <x:c r="D7" s="10">
        <x:v>2.1000000000000001E-2</x:v>
      </x:c>
      <x:c r="E7" s="11">
        <x:v>33871260</x:v>
      </x:c>
      <x:c r="F7" s="11">
        <x:f>ROUND(C7*D7*E7,0)-2</x:f>
        <x:v>598269</x:v>
      </x:c>
      <x:c r="J7" s="12"/>
    </x:row>
    <x:row r="8" spans="1:10" ht="13.5" thickBot="1" x14ac:dyDescent="0.25">
      <x:c r="A8" s="9" t="s">
        <x:v>9</x:v>
      </x:c>
      <x:c r="B8" s="6">
        <x:v>45474</x:v>
      </x:c>
      <x:c r="C8" s="10">
        <x:v>0.49590000000000001</x:v>
      </x:c>
      <x:c r="D8" s="10">
        <x:v>4.5999999999999999E-2</x:v>
      </x:c>
      <x:c r="E8" s="11">
        <x:v>2763714</x:v>
      </x:c>
      <x:c r="F8" s="11">
        <x:f>ROUND(C8*D8*E8,0)-1</x:f>
        <x:v>63043</x:v>
      </x:c>
      <x:c r="J8" s="12"/>
    </x:row>
    <x:row r="9" spans="1:10" s="13" customFormat="1" ht="13.5" thickBot="1" x14ac:dyDescent="0.25">
      <x:c r="E9" s="14" t="s">
        <x:v>10</x:v>
      </x:c>
      <x:c r="F9" s="15">
        <x:f>SUM(F7:F8)</x:f>
        <x:v>661312</x:v>
      </x:c>
    </x:row>
    <x:row r="10" spans="1:10" s="13" customFormat="1" x14ac:dyDescent="0.2">
      <x:c r="D10" s="24" t="s">
        <x:v>11</x:v>
      </x:c>
      <x:c r="E10" s="25"/>
      <x:c r="F10" s="26"/>
    </x:row>
    <x:row r="11" spans="1:10" s="13" customFormat="1" ht="13.5" thickBot="1" x14ac:dyDescent="0.25">
      <x:c r="C11" s="16"/>
      <x:c r="D11" s="27"/>
      <x:c r="E11" s="28" t="s">
        <x:v>12</x:v>
      </x:c>
      <x:c r="F11" s="29">
        <x:f>F9</x:f>
        <x:v>661312</x:v>
      </x:c>
    </x:row>
    <x:row r="12" spans="1:10" s="13" customFormat="1" x14ac:dyDescent="0.2">
      <x:c r="C12" s="16"/>
    </x:row>
    <x:row r="13" spans="1:10" s="13" customFormat="1" x14ac:dyDescent="0.2">
      <x:c r="E13" s="17"/>
      <x:c r="F13" s="18" t="s">
        <x:v>13</x:v>
      </x:c>
    </x:row>
    <x:row r="14" spans="1:10" s="13" customFormat="1" x14ac:dyDescent="0.2"/>
    <x:row r="15" spans="1:10" s="13" customFormat="1" x14ac:dyDescent="0.2">
      <x:c r="C15" s="16"/>
      <x:c r="E15" s="19" t="s">
        <x:v>14</x:v>
      </x:c>
      <x:c r="F15" s="19" t="s">
        <x:v>15</x:v>
      </x:c>
    </x:row>
    <x:row r="16" spans="1:10" s="13" customFormat="1" x14ac:dyDescent="0.2">
      <x:c r="C16" s="16"/>
      <x:c r="E16" s="20" t="s">
        <x:v>16</x:v>
      </x:c>
      <x:c r="F16" s="21">
        <x:v>41499.74</x:v>
      </x:c>
    </x:row>
    <x:row r="17" spans="5:6" s="13" customFormat="1" x14ac:dyDescent="0.2">
      <x:c r="E17" s="20" t="s">
        <x:v>17</x:v>
      </x:c>
      <x:c r="F17" s="21">
        <x:v>44943.299999999996</x:v>
      </x:c>
    </x:row>
    <x:row r="18" spans="5:6" s="13" customFormat="1" x14ac:dyDescent="0.2">
      <x:c r="E18" s="20" t="s">
        <x:v>18</x:v>
      </x:c>
      <x:c r="F18" s="21">
        <x:v>172614.89</x:v>
      </x:c>
    </x:row>
    <x:row r="19" spans="5:6" s="13" customFormat="1" x14ac:dyDescent="0.2">
      <x:c r="E19" s="20">
        <x:v>5900000</x:v>
      </x:c>
      <x:c r="F19" s="21">
        <x:v>609.13</x:v>
      </x:c>
    </x:row>
    <x:row r="20" spans="5:6" s="13" customFormat="1" x14ac:dyDescent="0.2">
      <x:c r="E20" s="20" t="s">
        <x:v>19</x:v>
      </x:c>
      <x:c r="F20" s="21">
        <x:v>1718.4</x:v>
      </x:c>
    </x:row>
    <x:row r="21" spans="5:6" s="13" customFormat="1" x14ac:dyDescent="0.2">
      <x:c r="E21" s="20" t="s">
        <x:v>20</x:v>
      </x:c>
      <x:c r="F21" s="21">
        <x:v>3928.87</x:v>
      </x:c>
    </x:row>
    <x:row r="22" spans="5:6" s="13" customFormat="1" x14ac:dyDescent="0.2">
      <x:c r="E22" s="20" t="s">
        <x:v>21</x:v>
      </x:c>
      <x:c r="F22" s="21">
        <x:v>160080.93</x:v>
      </x:c>
    </x:row>
    <x:row r="23" spans="5:6" s="13" customFormat="1" x14ac:dyDescent="0.2">
      <x:c r="E23" s="20">
        <x:v>5950000</x:v>
      </x:c>
      <x:c r="F23" s="21">
        <x:v>69.349999999999994</x:v>
      </x:c>
    </x:row>
    <x:row r="24" spans="5:6" s="13" customFormat="1" x14ac:dyDescent="0.2">
      <x:c r="E24" s="20" t="s">
        <x:v>22</x:v>
      </x:c>
      <x:c r="F24" s="21">
        <x:v>213532.41</x:v>
      </x:c>
    </x:row>
    <x:row r="25" spans="5:6" s="13" customFormat="1" x14ac:dyDescent="0.2">
      <x:c r="E25" s="20" t="s">
        <x:v>23</x:v>
      </x:c>
      <x:c r="F25" s="22">
        <x:v>22314.98</x:v>
      </x:c>
    </x:row>
    <x:row r="26" spans="5:6" s="13" customFormat="1" x14ac:dyDescent="0.2">
      <x:c r="F26" s="23">
        <x:f>SUM(F16:F25)</x:f>
        <x:v>661312</x:v>
      </x:c>
    </x:row>
    <x:row r="27" spans="5:6" s="13" customFormat="1" x14ac:dyDescent="0.2"/>
  </x:sheetData>
  <x:mergeCells count="1">
    <x:mergeCell ref="A3:F3"/>
  </x:mergeCells>
  <x:printOptions horizontalCentered="1"/>
  <x:pageMargins left="0.25" right="0.25" top="2" bottom="0.25" header="1" footer="0.3"/>
  <x:pageSetup orientation="landscape" r:id="rId1"/>
  <x:headerFooter>
    <x:oddHeader>&amp;C&amp;"-,Bold"
ONCOR ELECTRIC DELIVERY COMPANY LLC
CONSTRUCTION SUPPLIERS ADJUSTMENT
FOR THE TEST YEAR ENDING DECEMBER 31, 2024
SPONSOR: R. PRACHYL &amp;&amp; K. HULL&amp;R&amp;"-,Bold"WP/II-D ADJUSTMENT/42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2025-04-29T16:08:44.0000000Z</dcterms:modified>
</coreProperties>
</file>