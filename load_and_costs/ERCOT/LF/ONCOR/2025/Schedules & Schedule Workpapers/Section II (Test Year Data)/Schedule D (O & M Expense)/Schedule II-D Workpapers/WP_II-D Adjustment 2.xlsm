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4" rupBuild="24332"/>
  <x:workbookPr defaultThemeVersion="124226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D5EA95C4-DCFC-450E-9534-181EE69FC3B1}" xr6:coauthVersionLast="47" xr6:coauthVersionMax="47" xr10:uidLastSave="{00000000-0000-0000-0000-000000000000}"/>
  <x:bookViews>
    <x:workbookView xWindow="28680" yWindow="-120" windowWidth="29040" windowHeight="15720" xr2:uid="{00000000-000D-0000-FFFF-FFFF00000000}"/>
  </x:bookViews>
  <x:sheets>
    <x:sheet name="Per Book" sheetId="2" r:id="rId1"/>
    <x:sheet name="2024 TY" sheetId="3" r:id="rId2"/>
  </x:sheets>
  <x:definedNames>
    <x:definedName name="NvsASD">"V2024-12-31"</x:definedName>
    <x:definedName name="NvsAutoDrillOk">"VN"</x:definedName>
    <x:definedName name="NvsElapsedTime">0.0000578703693463467</x:definedName>
    <x:definedName name="NvsEndTime">45776.7376851852</x:definedName>
    <x:definedName name="NvsInstLang">"VENG"</x:definedName>
    <x:definedName name="NvsInstSpec">"%,LTU_SUM01,SBAL,FACCOUNT,V5881008"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"'[ESD Trial Balance Dec 2024.xls]Sheet1'!$T$458"</x:definedName>
    <x:definedName name="NvsReqBU">"VESD"</x:definedName>
    <x:definedName name="NvsReqBUOnly">"VY"</x:definedName>
    <x:definedName name="NvsTransLed">"VY"</x:definedName>
    <x:definedName name="NvsTreeASD">"V2024-12-31"</x:definedName>
    <x:definedName name="_xlnm.Print_Area" localSheetId="1">'2024 TY'!$A$1:$O$51</x:definedName>
  </x:definedNames>
  <x:calcPr calcId="191029" iterate="1"/>
  <x:extLs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N44" i="3" l="1"/>
  <x:c r="M44" i="3"/>
  <x:c r="L44" i="3"/>
  <x:c r="K44" i="3"/>
  <x:c r="J44" i="3"/>
  <x:c r="I44" i="3"/>
  <x:c r="H44" i="3"/>
  <x:c r="G44" i="3"/>
  <x:c r="F44" i="3"/>
  <x:c r="E44" i="3"/>
  <x:c r="D44" i="3"/>
  <x:c r="C44" i="3"/>
  <x:c r="O44" i="3" s="1"/>
  <x:c r="O42" i="3"/>
  <x:c r="O41" i="3"/>
  <x:c r="O40" i="3"/>
  <x:c r="O39" i="3"/>
  <x:c r="O38" i="3"/>
  <x:c r="O37" i="3"/>
  <x:c r="O36" i="3"/>
  <x:c r="O35" i="3"/>
  <x:c r="O34" i="3"/>
  <x:c r="O33" i="3"/>
  <x:c r="O32" i="3"/>
  <x:c r="O31" i="3"/>
  <x:c r="O30" i="3"/>
  <x:c r="O29" i="3"/>
  <x:c r="O28" i="3"/>
  <x:c r="O27" i="3"/>
  <x:c r="O26" i="3"/>
  <x:c r="O25" i="3"/>
  <x:c r="O24" i="3"/>
  <x:c r="O23" i="3"/>
  <x:c r="O22" i="3"/>
  <x:c r="O21" i="3"/>
  <x:c r="O20" i="3"/>
  <x:c r="O19" i="3"/>
  <x:c r="O18" i="3"/>
  <x:c r="O17" i="3"/>
  <x:c r="O16" i="3"/>
  <x:c r="O15" i="3"/>
  <x:c r="O14" i="3"/>
  <x:c r="O13" i="3"/>
  <x:c r="O12" i="3"/>
  <x:c r="O11" i="3"/>
  <x:c r="O10" i="3"/>
  <x:c r="O9" i="3"/>
  <x:c r="N14" i="2"/>
</x:calcChain>
</file>

<file path=xl/sharedStrings.xml><?xml version="1.0" encoding="utf-8"?>
<sst xmlns="http://schemas.openxmlformats.org/spreadsheetml/2006/main" count="193" uniqueCount="83">
  <si>
    <t>BUSINESS_UNIT</t>
  </si>
  <si>
    <t>JOURNAL_ID</t>
  </si>
  <si>
    <t>DESCR254</t>
  </si>
  <si>
    <t>FISCAL_YEAR</t>
  </si>
  <si>
    <t>ACCOUNTING_PERIOD</t>
  </si>
  <si>
    <t>ACCOUNT</t>
  </si>
  <si>
    <t>DEPTID</t>
  </si>
  <si>
    <t>AFFILIATE</t>
  </si>
  <si>
    <t>TU_EC</t>
  </si>
  <si>
    <t>TU_ACTIVITY</t>
  </si>
  <si>
    <t>TU_LOCATION</t>
  </si>
  <si>
    <t>PROJECT_ID</t>
  </si>
  <si>
    <t>SOURCE</t>
  </si>
  <si>
    <t>MONETARY_AMOUNT</t>
  </si>
  <si>
    <t>ESD</t>
  </si>
  <si>
    <t>521900</t>
  </si>
  <si>
    <t>0000</t>
  </si>
  <si>
    <t>UJE</t>
  </si>
  <si>
    <t>4500</t>
  </si>
  <si>
    <t>00004500</t>
  </si>
  <si>
    <t>0000935628</t>
  </si>
  <si>
    <t>Accrue JAN 24 - To record Regulatory Asset for rate WDSS billed for Substations</t>
  </si>
  <si>
    <t>5881008</t>
  </si>
  <si>
    <t>NTUSU</t>
  </si>
  <si>
    <t>900</t>
  </si>
  <si>
    <t>Accrue FEB 24 - To record Regulatory Asset for rate WDSS billed for Substations</t>
  </si>
  <si>
    <t>Accrue Mar 24 - To record Regulatory Asset for rate WDSS billed for Substations</t>
  </si>
  <si>
    <t>Accrue Apr 24 - To Record Regulatory Asset for rate WDSS billed for Substations</t>
  </si>
  <si>
    <t>To Record Regulatory Asset for rate WDSS billed for Substations May 2024</t>
  </si>
  <si>
    <t>To Record Regulatory Asset for rate WDSS billed for Substations Jun 2024</t>
  </si>
  <si>
    <t>To Record Regulatory Asset for rate WDSS billed for Substations Jul 2024</t>
  </si>
  <si>
    <t>TO RECORD WDSS RATE BILLED FOR SUBSTATIONS TO REGULATORY ASSET - AUG 2024</t>
  </si>
  <si>
    <t>TO RECORD WDSS RATE BILLED FOR SUBSTATIONS TO REGULATORY ASSET - SEP 2024</t>
  </si>
  <si>
    <t>TO RECORD WDSS RATE BILLED FOR SUBSTATIONS TO REGULATORY ASSET - OCT 2024</t>
  </si>
  <si>
    <t>TO RECORD WDSS RATE BILLED FOR SUBSTATIONS TO REGULATORY ASSET - NOV 2024</t>
  </si>
  <si>
    <t>TO RECORD WDSS RATE BILLED FOR SUBSTATIONS TO REGULATORY ASSET - DEC 2024</t>
  </si>
  <si>
    <t>Oncor NTU DIST Monthly Billing for WDSS (FERC Account 4471008) to Oncor DIST (FERC Account 5881008)</t>
  </si>
  <si>
    <t>Test Year Ending 12-31-2024</t>
  </si>
  <si>
    <t>Point of Interconnection</t>
  </si>
  <si>
    <t>Unadjusted</t>
  </si>
  <si>
    <t>2024 Test Year</t>
  </si>
  <si>
    <t>AIRPORT</t>
  </si>
  <si>
    <t>BLUE ACRES</t>
  </si>
  <si>
    <t>BROWN</t>
  </si>
  <si>
    <t>BUFFALO</t>
  </si>
  <si>
    <t>BULLDOG</t>
  </si>
  <si>
    <t>CANAL ROAD</t>
  </si>
  <si>
    <t>CARTERVILLE</t>
  </si>
  <si>
    <t>CHAPARRAL PIPELINE</t>
  </si>
  <si>
    <t>COYOTE</t>
  </si>
  <si>
    <t>DRIVER</t>
  </si>
  <si>
    <t>EAST STILES</t>
  </si>
  <si>
    <t>EILAND</t>
  </si>
  <si>
    <t>ELBOW</t>
  </si>
  <si>
    <t>GLASS RANCH</t>
  </si>
  <si>
    <t>GRADY</t>
  </si>
  <si>
    <t>HADICOL CORNER</t>
  </si>
  <si>
    <t>LUTHER</t>
  </si>
  <si>
    <t>NATURAL DAM</t>
  </si>
  <si>
    <t>PECAN GROVE</t>
  </si>
  <si>
    <t>PRONGHORN</t>
  </si>
  <si>
    <t>REBEL</t>
  </si>
  <si>
    <t>RINGO</t>
  </si>
  <si>
    <t>ROCKY ROAD</t>
  </si>
  <si>
    <t>SALES RANCH</t>
  </si>
  <si>
    <t>SALT FLAT</t>
  </si>
  <si>
    <t>SALT MINE</t>
  </si>
  <si>
    <t>SOUTH MIDLAND</t>
  </si>
  <si>
    <t>ST LAWRENCE</t>
  </si>
  <si>
    <t>STILES</t>
  </si>
  <si>
    <t>TALL CITY</t>
  </si>
  <si>
    <t>TELEPHONE ROAD</t>
  </si>
  <si>
    <t>TRIANGLE</t>
  </si>
  <si>
    <t>VEALMOOR 138</t>
  </si>
  <si>
    <t>YOSEMITE</t>
  </si>
  <si>
    <t>Total XFMR Charges Due:</t>
  </si>
  <si>
    <t>Tariff Rate XFMR Components</t>
  </si>
  <si>
    <t>Rate</t>
  </si>
  <si>
    <t>Effective</t>
  </si>
  <si>
    <t>Customer Charge (CC)</t>
  </si>
  <si>
    <t>Metering Charge (MC)</t>
  </si>
  <si>
    <t>Distribution System Charge (DSC)</t>
  </si>
  <si>
    <t>Approved in Docket Nos. 53601 &amp; 54817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</si>
</sst>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&quot;$&quot;#,##0.00"/>
    <numFmt numFmtId="166" formatCode="_(&quot;$&quot;* #,##0.000000_);_(&quot;$&quot;* \(#,##0.000000\);_(&quot;$&quot;* &quot;-&quot;??_);_(@_)"/>
  </numFmts>
  <fonts count="5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E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44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NumberFormat="1" applyFont="1" applyFill="1" applyAlignment="1" applyProtection="1"/>
    <xf numFmtId="0" fontId="1" fillId="0" borderId="0" xfId="0" applyNumberFormat="1" applyFont="1" applyFill="1" applyAlignment="1" applyProtection="1">
      <alignment horizontal="right"/>
    </xf>
    <xf numFmtId="0" fontId="2" fillId="0" borderId="0" xfId="0" applyNumberFormat="1" applyFont="1" applyFill="1" applyAlignment="1" applyProtection="1"/>
    <xf numFmtId="43" fontId="2" fillId="0" borderId="0" xfId="1" applyFont="1" applyFill="1" applyAlignment="1" applyProtection="1"/>
    <xf numFmtId="43" fontId="1" fillId="0" borderId="0" xfId="1" applyFont="1" applyFill="1" applyAlignment="1" applyProtection="1">
      <alignment horizontal="right"/>
    </xf>
    <xf numFmtId="44" fontId="1" fillId="0" borderId="0" xfId="2" applyFont="1" applyFill="1" applyAlignment="1" applyProtection="1">
      <alignment horizontal="right"/>
    </xf>
    <xf numFmtId="44" fontId="2" fillId="0" borderId="1" xfId="2" applyFont="1" applyBorder="1"/>
    <xf numFmtId="0" fontId="3" fillId="0" borderId="0" xfId="3" applyAlignment="1">
      <alignment horizontal="center"/>
    </xf>
    <xf numFmtId="0" fontId="3" fillId="0" borderId="0" xfId="3"/>
    <xf numFmtId="0" fontId="4" fillId="0" borderId="0" xfId="4"/>
    <xf numFmtId="0" fontId="3" fillId="0" borderId="0" xfId="3" applyAlignment="1">
      <alignment horizontal="left"/>
    </xf>
    <xf numFmtId="0" fontId="3" fillId="2" borderId="0" xfId="3" applyFill="1" applyAlignment="1">
      <alignment horizontal="left"/>
    </xf>
    <xf numFmtId="0" fontId="3" fillId="0" borderId="0" xfId="3" applyAlignment="1">
      <alignment horizontal="right"/>
    </xf>
    <xf numFmtId="0" fontId="4" fillId="0" borderId="0" xfId="4" applyAlignment="1">
      <alignment horizontal="center"/>
    </xf>
    <xf numFmtId="0" fontId="3" fillId="0" borderId="0" xfId="3" quotePrefix="1" applyAlignment="1">
      <alignment horizontal="right"/>
    </xf>
    <xf numFmtId="17" fontId="3" fillId="0" borderId="2" xfId="3" quotePrefix="1" applyNumberFormat="1" applyBorder="1" applyAlignment="1">
      <alignment horizontal="center"/>
    </xf>
    <xf numFmtId="0" fontId="4" fillId="0" borderId="2" xfId="4" applyBorder="1" applyAlignment="1">
      <alignment horizontal="center"/>
    </xf>
    <xf numFmtId="4" fontId="3" fillId="0" borderId="0" xfId="3" applyNumberFormat="1" applyAlignment="1">
      <alignment horizontal="right"/>
    </xf>
    <xf numFmtId="165" fontId="4" fillId="0" borderId="0" xfId="4" applyNumberFormat="1"/>
    <xf numFmtId="4" fontId="3" fillId="2" borderId="0" xfId="3" applyNumberFormat="1" applyFill="1" applyAlignment="1">
      <alignment horizontal="right"/>
    </xf>
    <xf numFmtId="165" fontId="4" fillId="2" borderId="0" xfId="4" applyNumberFormat="1" applyFill="1"/>
    <xf numFmtId="165" fontId="4" fillId="2" borderId="2" xfId="4" applyNumberFormat="1" applyFill="1" applyBorder="1"/>
    <xf numFmtId="0" fontId="4" fillId="0" borderId="3" xfId="4" applyBorder="1"/>
    <xf numFmtId="4" fontId="3" fillId="0" borderId="3" xfId="5" applyNumberFormat="1" applyBorder="1" applyAlignment="1">
      <alignment horizontal="right"/>
    </xf>
    <xf numFmtId="4" fontId="3" fillId="0" borderId="3" xfId="6" applyNumberFormat="1" applyBorder="1" applyAlignment="1">
      <alignment horizontal="right"/>
    </xf>
    <xf numFmtId="4" fontId="3" fillId="0" borderId="3" xfId="7" applyNumberFormat="1" applyBorder="1" applyAlignment="1">
      <alignment horizontal="right"/>
    </xf>
    <xf numFmtId="4" fontId="3" fillId="0" borderId="3" xfId="3" applyNumberFormat="1" applyBorder="1" applyAlignment="1">
      <alignment horizontal="right"/>
    </xf>
    <xf numFmtId="44" fontId="3" fillId="0" borderId="0" xfId="8" applyFont="1" applyBorder="1" applyAlignment="1">
      <alignment horizontal="right"/>
    </xf>
    <xf numFmtId="44" fontId="0" fillId="0" borderId="0" xfId="8" applyFont="1"/>
    <xf numFmtId="0" fontId="3" fillId="3" borderId="4" xfId="3" applyFill="1" applyBorder="1" applyAlignment="1">
      <alignment horizontal="left"/>
    </xf>
    <xf numFmtId="0" fontId="3" fillId="3" borderId="5" xfId="3" applyFill="1" applyBorder="1" applyAlignment="1">
      <alignment horizontal="center"/>
    </xf>
    <xf numFmtId="44" fontId="3" fillId="3" borderId="5" xfId="8" applyFont="1" applyFill="1" applyBorder="1" applyAlignment="1">
      <alignment horizontal="right"/>
    </xf>
    <xf numFmtId="14" fontId="3" fillId="3" borderId="5" xfId="3" applyNumberFormat="1" applyFill="1" applyBorder="1" applyAlignment="1">
      <alignment horizontal="right"/>
    </xf>
    <xf numFmtId="166" fontId="3" fillId="3" borderId="5" xfId="8" applyNumberFormat="1" applyFont="1" applyFill="1" applyBorder="1" applyAlignment="1">
      <alignment horizontal="right"/>
    </xf>
    <xf numFmtId="0" fontId="3" fillId="0" borderId="6" xfId="3" applyBorder="1" applyAlignment="1">
      <alignment horizontal="left"/>
    </xf>
  </cellXfs>
  <cellStyles count="9">
    <cellStyle name="Comma" xfId="1" builtinId="3"/>
    <cellStyle name="Currency" xfId="2" builtinId="4"/>
    <cellStyle name="Currency 2" xfId="8" xr:uid="{BE59A08C-0BBA-4FA3-BAA1-EDE76DFED011}"/>
    <cellStyle name="Normal" xfId="0" builtinId="0"/>
    <cellStyle name="Normal 2" xfId="4" xr:uid="{14223E71-36B7-4B14-83BE-592A2A18047B}"/>
    <cellStyle name="Normal 3" xfId="5" xr:uid="{2B5E8CF8-BD1F-4EC5-A36A-9F3F20DD34E2}"/>
    <cellStyle name="Normal 4" xfId="6" xr:uid="{4B072677-A0CD-4C4D-BF9D-06DF2427D209}"/>
    <cellStyle name="Normal 5" xfId="7" xr:uid="{F3B24630-6FA6-4C81-A06F-DE5567F24F1E}"/>
    <cellStyle name="Normal 6" xfId="3" xr:uid="{C9187189-22F3-4727-8FB6-4A4989641D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320CB2F-F773-43EC-BDAE-811B28E4DB3F}" mc:Ignorable="x14ac xr xr2 xr3">
  <x:sheetPr>
    <x:pageSetUpPr fitToPage="1"/>
  </x:sheetPr>
  <x:dimension ref="A1:N15"/>
  <x:sheetViews>
    <x:sheetView tabSelected="1" workbookViewId="0">
      <x:selection activeCell="C8" sqref="C8"/>
    </x:sheetView>
  </x:sheetViews>
  <x:sheetFormatPr defaultRowHeight="15" x14ac:dyDescent="0.25"/>
  <x:cols>
    <x:col min="1" max="1" width="15.140625" bestFit="1" customWidth="1"/>
    <x:col min="2" max="2" width="12.140625" bestFit="1" customWidth="1"/>
    <x:col min="3" max="3" width="77" bestFit="1" customWidth="1"/>
    <x:col min="4" max="4" width="12.42578125" bestFit="1" customWidth="1"/>
    <x:col min="5" max="5" width="21.140625" bestFit="1" customWidth="1"/>
    <x:col min="6" max="6" width="9.85546875" bestFit="1" customWidth="1"/>
    <x:col min="7" max="7" width="7.28515625" bestFit="1" customWidth="1"/>
    <x:col min="8" max="8" width="9.5703125" bestFit="1" customWidth="1"/>
    <x:col min="9" max="9" width="6.5703125" bestFit="1" customWidth="1"/>
    <x:col min="10" max="10" width="12.42578125" bestFit="1" customWidth="1"/>
    <x:col min="11" max="11" width="13.7109375" bestFit="1" customWidth="1"/>
    <x:col min="12" max="12" width="11.42578125" bestFit="1" customWidth="1"/>
    <x:col min="13" max="13" width="8.140625" bestFit="1" customWidth="1"/>
    <x:col min="14" max="14" width="22.5703125" bestFit="1" customWidth="1"/>
  </x:cols>
  <x:sheetData>
    <x:row r="1" spans="1:14" x14ac:dyDescent="0.25">
      <x:c r="A1" s="3" t="s">
        <x:v>0</x:v>
      </x:c>
      <x:c r="B1" s="3" t="s">
        <x:v>1</x:v>
      </x:c>
      <x:c r="C1" s="3" t="s">
        <x:v>2</x:v>
      </x:c>
      <x:c r="D1" s="3" t="s">
        <x:v>3</x:v>
      </x:c>
      <x:c r="E1" s="3" t="s">
        <x:v>4</x:v>
      </x:c>
      <x:c r="F1" s="3" t="s">
        <x:v>5</x:v>
      </x:c>
      <x:c r="G1" s="3" t="s">
        <x:v>6</x:v>
      </x:c>
      <x:c r="H1" s="3" t="s">
        <x:v>7</x:v>
      </x:c>
      <x:c r="I1" s="3" t="s">
        <x:v>8</x:v>
      </x:c>
      <x:c r="J1" s="3" t="s">
        <x:v>9</x:v>
      </x:c>
      <x:c r="K1" s="3" t="s">
        <x:v>10</x:v>
      </x:c>
      <x:c r="L1" s="3" t="s">
        <x:v>11</x:v>
      </x:c>
      <x:c r="M1" s="3" t="s">
        <x:v>12</x:v>
      </x:c>
      <x:c r="N1" s="4" t="s">
        <x:v>13</x:v>
      </x:c>
    </x:row>
    <x:row r="2" spans="1:14" x14ac:dyDescent="0.25">
      <x:c r="A2" s="1" t="s">
        <x:v>14</x:v>
      </x:c>
      <x:c r="B2" s="1" t="s">
        <x:v>20</x:v>
      </x:c>
      <x:c r="C2" s="1" t="s">
        <x:v>21</x:v>
      </x:c>
      <x:c r="D2" s="2">
        <x:v>2024</x:v>
      </x:c>
      <x:c r="E2" s="2">
        <x:v>1</x:v>
      </x:c>
      <x:c r="F2" s="1" t="s">
        <x:v>22</x:v>
      </x:c>
      <x:c r="G2" s="1" t="s">
        <x:v>15</x:v>
      </x:c>
      <x:c r="H2" s="1" t="s">
        <x:v>23</x:v>
      </x:c>
      <x:c r="I2" s="1" t="s">
        <x:v>24</x:v>
      </x:c>
      <x:c r="J2" s="1" t="s">
        <x:v>18</x:v>
      </x:c>
      <x:c r="K2" s="1" t="s">
        <x:v>16</x:v>
      </x:c>
      <x:c r="L2" s="1" t="s">
        <x:v>19</x:v>
      </x:c>
      <x:c r="M2" s="1" t="s">
        <x:v>17</x:v>
      </x:c>
      <x:c r="N2" s="6">
        <x:v>1280735.76</x:v>
      </x:c>
    </x:row>
    <x:row r="3" spans="1:14" x14ac:dyDescent="0.25">
      <x:c r="A3" s="1" t="s">
        <x:v>14</x:v>
      </x:c>
      <x:c r="B3" s="1" t="s">
        <x:v>20</x:v>
      </x:c>
      <x:c r="C3" s="1" t="s">
        <x:v>25</x:v>
      </x:c>
      <x:c r="D3" s="2">
        <x:v>2024</x:v>
      </x:c>
      <x:c r="E3" s="2">
        <x:v>2</x:v>
      </x:c>
      <x:c r="F3" s="1" t="s">
        <x:v>22</x:v>
      </x:c>
      <x:c r="G3" s="1" t="s">
        <x:v>15</x:v>
      </x:c>
      <x:c r="H3" s="1" t="s">
        <x:v>23</x:v>
      </x:c>
      <x:c r="I3" s="1" t="s">
        <x:v>24</x:v>
      </x:c>
      <x:c r="J3" s="1" t="s">
        <x:v>18</x:v>
      </x:c>
      <x:c r="K3" s="1" t="s">
        <x:v>16</x:v>
      </x:c>
      <x:c r="L3" s="1" t="s">
        <x:v>19</x:v>
      </x:c>
      <x:c r="M3" s="1" t="s">
        <x:v>17</x:v>
      </x:c>
      <x:c r="N3" s="5">
        <x:v>1288695.98</x:v>
      </x:c>
    </x:row>
    <x:row r="4" spans="1:14" x14ac:dyDescent="0.25">
      <x:c r="A4" s="1" t="s">
        <x:v>14</x:v>
      </x:c>
      <x:c r="B4" s="1" t="s">
        <x:v>20</x:v>
      </x:c>
      <x:c r="C4" s="1" t="s">
        <x:v>26</x:v>
      </x:c>
      <x:c r="D4" s="2">
        <x:v>2024</x:v>
      </x:c>
      <x:c r="E4" s="2">
        <x:v>3</x:v>
      </x:c>
      <x:c r="F4" s="1" t="s">
        <x:v>22</x:v>
      </x:c>
      <x:c r="G4" s="1" t="s">
        <x:v>15</x:v>
      </x:c>
      <x:c r="H4" s="1" t="s">
        <x:v>23</x:v>
      </x:c>
      <x:c r="I4" s="1" t="s">
        <x:v>24</x:v>
      </x:c>
      <x:c r="J4" s="1" t="s">
        <x:v>18</x:v>
      </x:c>
      <x:c r="K4" s="1" t="s">
        <x:v>16</x:v>
      </x:c>
      <x:c r="L4" s="1" t="s">
        <x:v>19</x:v>
      </x:c>
      <x:c r="M4" s="1" t="s">
        <x:v>17</x:v>
      </x:c>
      <x:c r="N4" s="5">
        <x:v>1290336.96</x:v>
      </x:c>
    </x:row>
    <x:row r="5" spans="1:14" x14ac:dyDescent="0.25">
      <x:c r="A5" s="1" t="s">
        <x:v>14</x:v>
      </x:c>
      <x:c r="B5" s="1" t="s">
        <x:v>20</x:v>
      </x:c>
      <x:c r="C5" s="1" t="s">
        <x:v>27</x:v>
      </x:c>
      <x:c r="D5" s="2">
        <x:v>2024</x:v>
      </x:c>
      <x:c r="E5" s="2">
        <x:v>4</x:v>
      </x:c>
      <x:c r="F5" s="1" t="s">
        <x:v>22</x:v>
      </x:c>
      <x:c r="G5" s="1" t="s">
        <x:v>15</x:v>
      </x:c>
      <x:c r="H5" s="1" t="s">
        <x:v>23</x:v>
      </x:c>
      <x:c r="I5" s="1" t="s">
        <x:v>24</x:v>
      </x:c>
      <x:c r="J5" s="1" t="s">
        <x:v>18</x:v>
      </x:c>
      <x:c r="K5" s="1" t="s">
        <x:v>16</x:v>
      </x:c>
      <x:c r="L5" s="1" t="s">
        <x:v>19</x:v>
      </x:c>
      <x:c r="M5" s="1" t="s">
        <x:v>17</x:v>
      </x:c>
      <x:c r="N5" s="5">
        <x:v>1279858.06</x:v>
      </x:c>
    </x:row>
    <x:row r="6" spans="1:14" x14ac:dyDescent="0.25">
      <x:c r="A6" s="1" t="s">
        <x:v>14</x:v>
      </x:c>
      <x:c r="B6" s="1" t="s">
        <x:v>20</x:v>
      </x:c>
      <x:c r="C6" s="1" t="s">
        <x:v>28</x:v>
      </x:c>
      <x:c r="D6" s="2">
        <x:v>2024</x:v>
      </x:c>
      <x:c r="E6" s="2">
        <x:v>5</x:v>
      </x:c>
      <x:c r="F6" s="1" t="s">
        <x:v>22</x:v>
      </x:c>
      <x:c r="G6" s="1" t="s">
        <x:v>15</x:v>
      </x:c>
      <x:c r="H6" s="1" t="s">
        <x:v>23</x:v>
      </x:c>
      <x:c r="I6" s="1" t="s">
        <x:v>24</x:v>
      </x:c>
      <x:c r="J6" s="1" t="s">
        <x:v>18</x:v>
      </x:c>
      <x:c r="K6" s="1" t="s">
        <x:v>16</x:v>
      </x:c>
      <x:c r="L6" s="1" t="s">
        <x:v>19</x:v>
      </x:c>
      <x:c r="M6" s="1" t="s">
        <x:v>17</x:v>
      </x:c>
      <x:c r="N6" s="5">
        <x:v>1279004.51</x:v>
      </x:c>
    </x:row>
    <x:row r="7" spans="1:14" x14ac:dyDescent="0.25">
      <x:c r="A7" s="1" t="s">
        <x:v>14</x:v>
      </x:c>
      <x:c r="B7" s="1" t="s">
        <x:v>20</x:v>
      </x:c>
      <x:c r="C7" s="1" t="s">
        <x:v>29</x:v>
      </x:c>
      <x:c r="D7" s="2">
        <x:v>2024</x:v>
      </x:c>
      <x:c r="E7" s="2">
        <x:v>6</x:v>
      </x:c>
      <x:c r="F7" s="1" t="s">
        <x:v>22</x:v>
      </x:c>
      <x:c r="G7" s="1" t="s">
        <x:v>15</x:v>
      </x:c>
      <x:c r="H7" s="1" t="s">
        <x:v>23</x:v>
      </x:c>
      <x:c r="I7" s="1" t="s">
        <x:v>24</x:v>
      </x:c>
      <x:c r="J7" s="1" t="s">
        <x:v>18</x:v>
      </x:c>
      <x:c r="K7" s="1" t="s">
        <x:v>16</x:v>
      </x:c>
      <x:c r="L7" s="1" t="s">
        <x:v>19</x:v>
      </x:c>
      <x:c r="M7" s="1" t="s">
        <x:v>17</x:v>
      </x:c>
      <x:c r="N7" s="5">
        <x:v>1293776.3700000001</x:v>
      </x:c>
    </x:row>
    <x:row r="8" spans="1:14" x14ac:dyDescent="0.25">
      <x:c r="A8" s="1" t="s">
        <x:v>14</x:v>
      </x:c>
      <x:c r="B8" s="1" t="s">
        <x:v>20</x:v>
      </x:c>
      <x:c r="C8" s="1" t="s">
        <x:v>30</x:v>
      </x:c>
      <x:c r="D8" s="2">
        <x:v>2024</x:v>
      </x:c>
      <x:c r="E8" s="2">
        <x:v>7</x:v>
      </x:c>
      <x:c r="F8" s="1" t="s">
        <x:v>22</x:v>
      </x:c>
      <x:c r="G8" s="1" t="s">
        <x:v>15</x:v>
      </x:c>
      <x:c r="H8" s="1" t="s">
        <x:v>23</x:v>
      </x:c>
      <x:c r="I8" s="1" t="s">
        <x:v>24</x:v>
      </x:c>
      <x:c r="J8" s="1" t="s">
        <x:v>18</x:v>
      </x:c>
      <x:c r="K8" s="1" t="s">
        <x:v>16</x:v>
      </x:c>
      <x:c r="L8" s="1" t="s">
        <x:v>19</x:v>
      </x:c>
      <x:c r="M8" s="1" t="s">
        <x:v>17</x:v>
      </x:c>
      <x:c r="N8" s="5">
        <x:v>1306545.06</x:v>
      </x:c>
    </x:row>
    <x:row r="9" spans="1:14" x14ac:dyDescent="0.25">
      <x:c r="A9" s="1" t="s">
        <x:v>14</x:v>
      </x:c>
      <x:c r="B9" s="1" t="s">
        <x:v>20</x:v>
      </x:c>
      <x:c r="C9" s="1" t="s">
        <x:v>31</x:v>
      </x:c>
      <x:c r="D9" s="2">
        <x:v>2024</x:v>
      </x:c>
      <x:c r="E9" s="2">
        <x:v>8</x:v>
      </x:c>
      <x:c r="F9" s="1" t="s">
        <x:v>22</x:v>
      </x:c>
      <x:c r="G9" s="1" t="s">
        <x:v>15</x:v>
      </x:c>
      <x:c r="H9" s="1" t="s">
        <x:v>23</x:v>
      </x:c>
      <x:c r="I9" s="1" t="s">
        <x:v>24</x:v>
      </x:c>
      <x:c r="J9" s="1" t="s">
        <x:v>18</x:v>
      </x:c>
      <x:c r="K9" s="1" t="s">
        <x:v>16</x:v>
      </x:c>
      <x:c r="L9" s="1" t="s">
        <x:v>19</x:v>
      </x:c>
      <x:c r="M9" s="1" t="s">
        <x:v>17</x:v>
      </x:c>
      <x:c r="N9" s="5">
        <x:v>1277984</x:v>
      </x:c>
    </x:row>
    <x:row r="10" spans="1:14" x14ac:dyDescent="0.25">
      <x:c r="A10" s="1" t="s">
        <x:v>14</x:v>
      </x:c>
      <x:c r="B10" s="1" t="s">
        <x:v>20</x:v>
      </x:c>
      <x:c r="C10" s="1" t="s">
        <x:v>32</x:v>
      </x:c>
      <x:c r="D10" s="2">
        <x:v>2024</x:v>
      </x:c>
      <x:c r="E10" s="2">
        <x:v>9</x:v>
      </x:c>
      <x:c r="F10" s="1" t="s">
        <x:v>22</x:v>
      </x:c>
      <x:c r="G10" s="1" t="s">
        <x:v>15</x:v>
      </x:c>
      <x:c r="H10" s="1" t="s">
        <x:v>23</x:v>
      </x:c>
      <x:c r="I10" s="1" t="s">
        <x:v>24</x:v>
      </x:c>
      <x:c r="J10" s="1" t="s">
        <x:v>18</x:v>
      </x:c>
      <x:c r="K10" s="1" t="s">
        <x:v>16</x:v>
      </x:c>
      <x:c r="L10" s="1" t="s">
        <x:v>19</x:v>
      </x:c>
      <x:c r="M10" s="1" t="s">
        <x:v>17</x:v>
      </x:c>
      <x:c r="N10" s="5">
        <x:v>1267172.29</x:v>
      </x:c>
    </x:row>
    <x:row r="11" spans="1:14" x14ac:dyDescent="0.25">
      <x:c r="A11" s="1" t="s">
        <x:v>14</x:v>
      </x:c>
      <x:c r="B11" s="1" t="s">
        <x:v>20</x:v>
      </x:c>
      <x:c r="C11" s="1" t="s">
        <x:v>33</x:v>
      </x:c>
      <x:c r="D11" s="2">
        <x:v>2024</x:v>
      </x:c>
      <x:c r="E11" s="2">
        <x:v>10</x:v>
      </x:c>
      <x:c r="F11" s="1" t="s">
        <x:v>22</x:v>
      </x:c>
      <x:c r="G11" s="1" t="s">
        <x:v>15</x:v>
      </x:c>
      <x:c r="H11" s="1" t="s">
        <x:v>23</x:v>
      </x:c>
      <x:c r="I11" s="1" t="s">
        <x:v>24</x:v>
      </x:c>
      <x:c r="J11" s="1" t="s">
        <x:v>18</x:v>
      </x:c>
      <x:c r="K11" s="1" t="s">
        <x:v>16</x:v>
      </x:c>
      <x:c r="L11" s="1" t="s">
        <x:v>19</x:v>
      </x:c>
      <x:c r="M11" s="1" t="s">
        <x:v>17</x:v>
      </x:c>
      <x:c r="N11" s="5">
        <x:v>1278773.52</x:v>
      </x:c>
    </x:row>
    <x:row r="12" spans="1:14" x14ac:dyDescent="0.25">
      <x:c r="A12" s="1" t="s">
        <x:v>14</x:v>
      </x:c>
      <x:c r="B12" s="1" t="s">
        <x:v>20</x:v>
      </x:c>
      <x:c r="C12" s="1" t="s">
        <x:v>34</x:v>
      </x:c>
      <x:c r="D12" s="2">
        <x:v>2024</x:v>
      </x:c>
      <x:c r="E12" s="2">
        <x:v>11</x:v>
      </x:c>
      <x:c r="F12" s="1" t="s">
        <x:v>22</x:v>
      </x:c>
      <x:c r="G12" s="1" t="s">
        <x:v>15</x:v>
      </x:c>
      <x:c r="H12" s="1" t="s">
        <x:v>23</x:v>
      </x:c>
      <x:c r="I12" s="1" t="s">
        <x:v>24</x:v>
      </x:c>
      <x:c r="J12" s="1" t="s">
        <x:v>18</x:v>
      </x:c>
      <x:c r="K12" s="1" t="s">
        <x:v>16</x:v>
      </x:c>
      <x:c r="L12" s="1" t="s">
        <x:v>19</x:v>
      </x:c>
      <x:c r="M12" s="1" t="s">
        <x:v>17</x:v>
      </x:c>
      <x:c r="N12" s="5">
        <x:v>1276778.74</x:v>
      </x:c>
    </x:row>
    <x:row r="13" spans="1:14" x14ac:dyDescent="0.25">
      <x:c r="A13" s="1" t="s">
        <x:v>14</x:v>
      </x:c>
      <x:c r="B13" s="1" t="s">
        <x:v>20</x:v>
      </x:c>
      <x:c r="C13" s="1" t="s">
        <x:v>35</x:v>
      </x:c>
      <x:c r="D13" s="2">
        <x:v>2024</x:v>
      </x:c>
      <x:c r="E13" s="2">
        <x:v>12</x:v>
      </x:c>
      <x:c r="F13" s="1" t="s">
        <x:v>22</x:v>
      </x:c>
      <x:c r="G13" s="1" t="s">
        <x:v>15</x:v>
      </x:c>
      <x:c r="H13" s="1" t="s">
        <x:v>23</x:v>
      </x:c>
      <x:c r="I13" s="1" t="s">
        <x:v>24</x:v>
      </x:c>
      <x:c r="J13" s="1" t="s">
        <x:v>18</x:v>
      </x:c>
      <x:c r="K13" s="1" t="s">
        <x:v>16</x:v>
      </x:c>
      <x:c r="L13" s="1" t="s">
        <x:v>19</x:v>
      </x:c>
      <x:c r="M13" s="1" t="s">
        <x:v>17</x:v>
      </x:c>
      <x:c r="N13" s="5">
        <x:v>1262809</x:v>
      </x:c>
    </x:row>
    <x:row r="14" spans="1:14" ht="15.75" thickBot="1" x14ac:dyDescent="0.3">
      <x:c r="N14" s="7">
        <x:f>SUM(N2:N13)</x:f>
        <x:v>15382470.249999998</x:v>
      </x:c>
    </x:row>
    <x:row r="15" spans="1:14" ht="15.75" thickTop="1" x14ac:dyDescent="0.25"/>
  </x:sheetData>
  <x:printOptions horizontalCentered="1"/>
  <x:pageMargins left="0.25" right="0.25" top="2" bottom="0.25" header="1" footer="0.3"/>
  <x:pageSetup scale="55" orientation="landscape" r:id="rId1"/>
  <x:headerFooter>
    <x:oddHeader>&amp;C&amp;"Calibri,Bold"
ONCOR ELECTRIC DELIVERY COMPANY LLC
WHOLESALE DISTRIBUTION SUBSTATION SERVICE (From Oncor NTU DIST to Oncor Dist)
FOR THE TEST YEAR ENDING DECEMBER 31, 2024
SPONSOR: R. PRACHYL &amp;&amp; M. TROXLE&amp;R&amp;"Calibri,Bold"WP/ADJUSTMENT/2
Page 2 of 3</x:oddHeader>
  </x:headerFooter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4EE20B4A-77AF-4B46-B5E2-48AFCE2DED6B}" mc:Ignorable="x14ac xr xr2 xr3">
  <x:sheetPr>
    <x:pageSetUpPr fitToPage="1"/>
  </x:sheetPr>
  <x:dimension ref="A1:O51"/>
  <x:sheetViews>
    <x:sheetView zoomScaleNormal="100" workbookViewId="0"/>
  </x:sheetViews>
  <x:sheetFormatPr defaultRowHeight="12.75" x14ac:dyDescent="0.2"/>
  <x:cols>
    <x:col min="1" max="1" width="30.28515625" style="10" customWidth="1"/>
    <x:col min="2" max="2" width="12.5703125" style="10" bestFit="1" customWidth="1"/>
    <x:col min="3" max="6" width="15.5703125" style="10" bestFit="1" customWidth="1"/>
    <x:col min="7" max="7" width="14.85546875" style="10" bestFit="1" customWidth="1"/>
    <x:col min="8" max="10" width="15.5703125" style="10" bestFit="1" customWidth="1"/>
    <x:col min="11" max="11" width="14.85546875" style="10" bestFit="1" customWidth="1"/>
    <x:col min="12" max="15" width="15.5703125" style="10" bestFit="1" customWidth="1"/>
    <x:col min="16" max="256" width="9.140625" style="10"/>
    <x:col min="257" max="257" width="30.28515625" style="10" customWidth="1"/>
    <x:col min="258" max="258" width="12.5703125" style="10" bestFit="1" customWidth="1"/>
    <x:col min="259" max="262" width="15.5703125" style="10" bestFit="1" customWidth="1"/>
    <x:col min="263" max="263" width="14.85546875" style="10" bestFit="1" customWidth="1"/>
    <x:col min="264" max="266" width="15.5703125" style="10" bestFit="1" customWidth="1"/>
    <x:col min="267" max="267" width="14.85546875" style="10" bestFit="1" customWidth="1"/>
    <x:col min="268" max="271" width="15.5703125" style="10" bestFit="1" customWidth="1"/>
    <x:col min="272" max="512" width="9.140625" style="10"/>
    <x:col min="513" max="513" width="30.28515625" style="10" customWidth="1"/>
    <x:col min="514" max="514" width="12.5703125" style="10" bestFit="1" customWidth="1"/>
    <x:col min="515" max="518" width="15.5703125" style="10" bestFit="1" customWidth="1"/>
    <x:col min="519" max="519" width="14.85546875" style="10" bestFit="1" customWidth="1"/>
    <x:col min="520" max="522" width="15.5703125" style="10" bestFit="1" customWidth="1"/>
    <x:col min="523" max="523" width="14.85546875" style="10" bestFit="1" customWidth="1"/>
    <x:col min="524" max="527" width="15.5703125" style="10" bestFit="1" customWidth="1"/>
    <x:col min="528" max="768" width="9.140625" style="10"/>
    <x:col min="769" max="769" width="30.28515625" style="10" customWidth="1"/>
    <x:col min="770" max="770" width="12.5703125" style="10" bestFit="1" customWidth="1"/>
    <x:col min="771" max="774" width="15.5703125" style="10" bestFit="1" customWidth="1"/>
    <x:col min="775" max="775" width="14.85546875" style="10" bestFit="1" customWidth="1"/>
    <x:col min="776" max="778" width="15.5703125" style="10" bestFit="1" customWidth="1"/>
    <x:col min="779" max="779" width="14.85546875" style="10" bestFit="1" customWidth="1"/>
    <x:col min="780" max="783" width="15.5703125" style="10" bestFit="1" customWidth="1"/>
    <x:col min="784" max="1024" width="9.140625" style="10"/>
    <x:col min="1025" max="1025" width="30.28515625" style="10" customWidth="1"/>
    <x:col min="1026" max="1026" width="12.5703125" style="10" bestFit="1" customWidth="1"/>
    <x:col min="1027" max="1030" width="15.5703125" style="10" bestFit="1" customWidth="1"/>
    <x:col min="1031" max="1031" width="14.85546875" style="10" bestFit="1" customWidth="1"/>
    <x:col min="1032" max="1034" width="15.5703125" style="10" bestFit="1" customWidth="1"/>
    <x:col min="1035" max="1035" width="14.85546875" style="10" bestFit="1" customWidth="1"/>
    <x:col min="1036" max="1039" width="15.5703125" style="10" bestFit="1" customWidth="1"/>
    <x:col min="1040" max="1280" width="9.140625" style="10"/>
    <x:col min="1281" max="1281" width="30.28515625" style="10" customWidth="1"/>
    <x:col min="1282" max="1282" width="12.5703125" style="10" bestFit="1" customWidth="1"/>
    <x:col min="1283" max="1286" width="15.5703125" style="10" bestFit="1" customWidth="1"/>
    <x:col min="1287" max="1287" width="14.85546875" style="10" bestFit="1" customWidth="1"/>
    <x:col min="1288" max="1290" width="15.5703125" style="10" bestFit="1" customWidth="1"/>
    <x:col min="1291" max="1291" width="14.85546875" style="10" bestFit="1" customWidth="1"/>
    <x:col min="1292" max="1295" width="15.5703125" style="10" bestFit="1" customWidth="1"/>
    <x:col min="1296" max="1536" width="9.140625" style="10"/>
    <x:col min="1537" max="1537" width="30.28515625" style="10" customWidth="1"/>
    <x:col min="1538" max="1538" width="12.5703125" style="10" bestFit="1" customWidth="1"/>
    <x:col min="1539" max="1542" width="15.5703125" style="10" bestFit="1" customWidth="1"/>
    <x:col min="1543" max="1543" width="14.85546875" style="10" bestFit="1" customWidth="1"/>
    <x:col min="1544" max="1546" width="15.5703125" style="10" bestFit="1" customWidth="1"/>
    <x:col min="1547" max="1547" width="14.85546875" style="10" bestFit="1" customWidth="1"/>
    <x:col min="1548" max="1551" width="15.5703125" style="10" bestFit="1" customWidth="1"/>
    <x:col min="1552" max="1792" width="9.140625" style="10"/>
    <x:col min="1793" max="1793" width="30.28515625" style="10" customWidth="1"/>
    <x:col min="1794" max="1794" width="12.5703125" style="10" bestFit="1" customWidth="1"/>
    <x:col min="1795" max="1798" width="15.5703125" style="10" bestFit="1" customWidth="1"/>
    <x:col min="1799" max="1799" width="14.85546875" style="10" bestFit="1" customWidth="1"/>
    <x:col min="1800" max="1802" width="15.5703125" style="10" bestFit="1" customWidth="1"/>
    <x:col min="1803" max="1803" width="14.85546875" style="10" bestFit="1" customWidth="1"/>
    <x:col min="1804" max="1807" width="15.5703125" style="10" bestFit="1" customWidth="1"/>
    <x:col min="1808" max="2048" width="9.140625" style="10"/>
    <x:col min="2049" max="2049" width="30.28515625" style="10" customWidth="1"/>
    <x:col min="2050" max="2050" width="12.5703125" style="10" bestFit="1" customWidth="1"/>
    <x:col min="2051" max="2054" width="15.5703125" style="10" bestFit="1" customWidth="1"/>
    <x:col min="2055" max="2055" width="14.85546875" style="10" bestFit="1" customWidth="1"/>
    <x:col min="2056" max="2058" width="15.5703125" style="10" bestFit="1" customWidth="1"/>
    <x:col min="2059" max="2059" width="14.85546875" style="10" bestFit="1" customWidth="1"/>
    <x:col min="2060" max="2063" width="15.5703125" style="10" bestFit="1" customWidth="1"/>
    <x:col min="2064" max="2304" width="9.140625" style="10"/>
    <x:col min="2305" max="2305" width="30.28515625" style="10" customWidth="1"/>
    <x:col min="2306" max="2306" width="12.5703125" style="10" bestFit="1" customWidth="1"/>
    <x:col min="2307" max="2310" width="15.5703125" style="10" bestFit="1" customWidth="1"/>
    <x:col min="2311" max="2311" width="14.85546875" style="10" bestFit="1" customWidth="1"/>
    <x:col min="2312" max="2314" width="15.5703125" style="10" bestFit="1" customWidth="1"/>
    <x:col min="2315" max="2315" width="14.85546875" style="10" bestFit="1" customWidth="1"/>
    <x:col min="2316" max="2319" width="15.5703125" style="10" bestFit="1" customWidth="1"/>
    <x:col min="2320" max="2560" width="9.140625" style="10"/>
    <x:col min="2561" max="2561" width="30.28515625" style="10" customWidth="1"/>
    <x:col min="2562" max="2562" width="12.5703125" style="10" bestFit="1" customWidth="1"/>
    <x:col min="2563" max="2566" width="15.5703125" style="10" bestFit="1" customWidth="1"/>
    <x:col min="2567" max="2567" width="14.85546875" style="10" bestFit="1" customWidth="1"/>
    <x:col min="2568" max="2570" width="15.5703125" style="10" bestFit="1" customWidth="1"/>
    <x:col min="2571" max="2571" width="14.85546875" style="10" bestFit="1" customWidth="1"/>
    <x:col min="2572" max="2575" width="15.5703125" style="10" bestFit="1" customWidth="1"/>
    <x:col min="2576" max="2816" width="9.140625" style="10"/>
    <x:col min="2817" max="2817" width="30.28515625" style="10" customWidth="1"/>
    <x:col min="2818" max="2818" width="12.5703125" style="10" bestFit="1" customWidth="1"/>
    <x:col min="2819" max="2822" width="15.5703125" style="10" bestFit="1" customWidth="1"/>
    <x:col min="2823" max="2823" width="14.85546875" style="10" bestFit="1" customWidth="1"/>
    <x:col min="2824" max="2826" width="15.5703125" style="10" bestFit="1" customWidth="1"/>
    <x:col min="2827" max="2827" width="14.85546875" style="10" bestFit="1" customWidth="1"/>
    <x:col min="2828" max="2831" width="15.5703125" style="10" bestFit="1" customWidth="1"/>
    <x:col min="2832" max="3072" width="9.140625" style="10"/>
    <x:col min="3073" max="3073" width="30.28515625" style="10" customWidth="1"/>
    <x:col min="3074" max="3074" width="12.5703125" style="10" bestFit="1" customWidth="1"/>
    <x:col min="3075" max="3078" width="15.5703125" style="10" bestFit="1" customWidth="1"/>
    <x:col min="3079" max="3079" width="14.85546875" style="10" bestFit="1" customWidth="1"/>
    <x:col min="3080" max="3082" width="15.5703125" style="10" bestFit="1" customWidth="1"/>
    <x:col min="3083" max="3083" width="14.85546875" style="10" bestFit="1" customWidth="1"/>
    <x:col min="3084" max="3087" width="15.5703125" style="10" bestFit="1" customWidth="1"/>
    <x:col min="3088" max="3328" width="9.140625" style="10"/>
    <x:col min="3329" max="3329" width="30.28515625" style="10" customWidth="1"/>
    <x:col min="3330" max="3330" width="12.5703125" style="10" bestFit="1" customWidth="1"/>
    <x:col min="3331" max="3334" width="15.5703125" style="10" bestFit="1" customWidth="1"/>
    <x:col min="3335" max="3335" width="14.85546875" style="10" bestFit="1" customWidth="1"/>
    <x:col min="3336" max="3338" width="15.5703125" style="10" bestFit="1" customWidth="1"/>
    <x:col min="3339" max="3339" width="14.85546875" style="10" bestFit="1" customWidth="1"/>
    <x:col min="3340" max="3343" width="15.5703125" style="10" bestFit="1" customWidth="1"/>
    <x:col min="3344" max="3584" width="9.140625" style="10"/>
    <x:col min="3585" max="3585" width="30.28515625" style="10" customWidth="1"/>
    <x:col min="3586" max="3586" width="12.5703125" style="10" bestFit="1" customWidth="1"/>
    <x:col min="3587" max="3590" width="15.5703125" style="10" bestFit="1" customWidth="1"/>
    <x:col min="3591" max="3591" width="14.85546875" style="10" bestFit="1" customWidth="1"/>
    <x:col min="3592" max="3594" width="15.5703125" style="10" bestFit="1" customWidth="1"/>
    <x:col min="3595" max="3595" width="14.85546875" style="10" bestFit="1" customWidth="1"/>
    <x:col min="3596" max="3599" width="15.5703125" style="10" bestFit="1" customWidth="1"/>
    <x:col min="3600" max="3840" width="9.140625" style="10"/>
    <x:col min="3841" max="3841" width="30.28515625" style="10" customWidth="1"/>
    <x:col min="3842" max="3842" width="12.5703125" style="10" bestFit="1" customWidth="1"/>
    <x:col min="3843" max="3846" width="15.5703125" style="10" bestFit="1" customWidth="1"/>
    <x:col min="3847" max="3847" width="14.85546875" style="10" bestFit="1" customWidth="1"/>
    <x:col min="3848" max="3850" width="15.5703125" style="10" bestFit="1" customWidth="1"/>
    <x:col min="3851" max="3851" width="14.85546875" style="10" bestFit="1" customWidth="1"/>
    <x:col min="3852" max="3855" width="15.5703125" style="10" bestFit="1" customWidth="1"/>
    <x:col min="3856" max="4096" width="9.140625" style="10"/>
    <x:col min="4097" max="4097" width="30.28515625" style="10" customWidth="1"/>
    <x:col min="4098" max="4098" width="12.5703125" style="10" bestFit="1" customWidth="1"/>
    <x:col min="4099" max="4102" width="15.5703125" style="10" bestFit="1" customWidth="1"/>
    <x:col min="4103" max="4103" width="14.85546875" style="10" bestFit="1" customWidth="1"/>
    <x:col min="4104" max="4106" width="15.5703125" style="10" bestFit="1" customWidth="1"/>
    <x:col min="4107" max="4107" width="14.85546875" style="10" bestFit="1" customWidth="1"/>
    <x:col min="4108" max="4111" width="15.5703125" style="10" bestFit="1" customWidth="1"/>
    <x:col min="4112" max="4352" width="9.140625" style="10"/>
    <x:col min="4353" max="4353" width="30.28515625" style="10" customWidth="1"/>
    <x:col min="4354" max="4354" width="12.5703125" style="10" bestFit="1" customWidth="1"/>
    <x:col min="4355" max="4358" width="15.5703125" style="10" bestFit="1" customWidth="1"/>
    <x:col min="4359" max="4359" width="14.85546875" style="10" bestFit="1" customWidth="1"/>
    <x:col min="4360" max="4362" width="15.5703125" style="10" bestFit="1" customWidth="1"/>
    <x:col min="4363" max="4363" width="14.85546875" style="10" bestFit="1" customWidth="1"/>
    <x:col min="4364" max="4367" width="15.5703125" style="10" bestFit="1" customWidth="1"/>
    <x:col min="4368" max="4608" width="9.140625" style="10"/>
    <x:col min="4609" max="4609" width="30.28515625" style="10" customWidth="1"/>
    <x:col min="4610" max="4610" width="12.5703125" style="10" bestFit="1" customWidth="1"/>
    <x:col min="4611" max="4614" width="15.5703125" style="10" bestFit="1" customWidth="1"/>
    <x:col min="4615" max="4615" width="14.85546875" style="10" bestFit="1" customWidth="1"/>
    <x:col min="4616" max="4618" width="15.5703125" style="10" bestFit="1" customWidth="1"/>
    <x:col min="4619" max="4619" width="14.85546875" style="10" bestFit="1" customWidth="1"/>
    <x:col min="4620" max="4623" width="15.5703125" style="10" bestFit="1" customWidth="1"/>
    <x:col min="4624" max="4864" width="9.140625" style="10"/>
    <x:col min="4865" max="4865" width="30.28515625" style="10" customWidth="1"/>
    <x:col min="4866" max="4866" width="12.5703125" style="10" bestFit="1" customWidth="1"/>
    <x:col min="4867" max="4870" width="15.5703125" style="10" bestFit="1" customWidth="1"/>
    <x:col min="4871" max="4871" width="14.85546875" style="10" bestFit="1" customWidth="1"/>
    <x:col min="4872" max="4874" width="15.5703125" style="10" bestFit="1" customWidth="1"/>
    <x:col min="4875" max="4875" width="14.85546875" style="10" bestFit="1" customWidth="1"/>
    <x:col min="4876" max="4879" width="15.5703125" style="10" bestFit="1" customWidth="1"/>
    <x:col min="4880" max="5120" width="9.140625" style="10"/>
    <x:col min="5121" max="5121" width="30.28515625" style="10" customWidth="1"/>
    <x:col min="5122" max="5122" width="12.5703125" style="10" bestFit="1" customWidth="1"/>
    <x:col min="5123" max="5126" width="15.5703125" style="10" bestFit="1" customWidth="1"/>
    <x:col min="5127" max="5127" width="14.85546875" style="10" bestFit="1" customWidth="1"/>
    <x:col min="5128" max="5130" width="15.5703125" style="10" bestFit="1" customWidth="1"/>
    <x:col min="5131" max="5131" width="14.85546875" style="10" bestFit="1" customWidth="1"/>
    <x:col min="5132" max="5135" width="15.5703125" style="10" bestFit="1" customWidth="1"/>
    <x:col min="5136" max="5376" width="9.140625" style="10"/>
    <x:col min="5377" max="5377" width="30.28515625" style="10" customWidth="1"/>
    <x:col min="5378" max="5378" width="12.5703125" style="10" bestFit="1" customWidth="1"/>
    <x:col min="5379" max="5382" width="15.5703125" style="10" bestFit="1" customWidth="1"/>
    <x:col min="5383" max="5383" width="14.85546875" style="10" bestFit="1" customWidth="1"/>
    <x:col min="5384" max="5386" width="15.5703125" style="10" bestFit="1" customWidth="1"/>
    <x:col min="5387" max="5387" width="14.85546875" style="10" bestFit="1" customWidth="1"/>
    <x:col min="5388" max="5391" width="15.5703125" style="10" bestFit="1" customWidth="1"/>
    <x:col min="5392" max="5632" width="9.140625" style="10"/>
    <x:col min="5633" max="5633" width="30.28515625" style="10" customWidth="1"/>
    <x:col min="5634" max="5634" width="12.5703125" style="10" bestFit="1" customWidth="1"/>
    <x:col min="5635" max="5638" width="15.5703125" style="10" bestFit="1" customWidth="1"/>
    <x:col min="5639" max="5639" width="14.85546875" style="10" bestFit="1" customWidth="1"/>
    <x:col min="5640" max="5642" width="15.5703125" style="10" bestFit="1" customWidth="1"/>
    <x:col min="5643" max="5643" width="14.85546875" style="10" bestFit="1" customWidth="1"/>
    <x:col min="5644" max="5647" width="15.5703125" style="10" bestFit="1" customWidth="1"/>
    <x:col min="5648" max="5888" width="9.140625" style="10"/>
    <x:col min="5889" max="5889" width="30.28515625" style="10" customWidth="1"/>
    <x:col min="5890" max="5890" width="12.5703125" style="10" bestFit="1" customWidth="1"/>
    <x:col min="5891" max="5894" width="15.5703125" style="10" bestFit="1" customWidth="1"/>
    <x:col min="5895" max="5895" width="14.85546875" style="10" bestFit="1" customWidth="1"/>
    <x:col min="5896" max="5898" width="15.5703125" style="10" bestFit="1" customWidth="1"/>
    <x:col min="5899" max="5899" width="14.85546875" style="10" bestFit="1" customWidth="1"/>
    <x:col min="5900" max="5903" width="15.5703125" style="10" bestFit="1" customWidth="1"/>
    <x:col min="5904" max="6144" width="9.140625" style="10"/>
    <x:col min="6145" max="6145" width="30.28515625" style="10" customWidth="1"/>
    <x:col min="6146" max="6146" width="12.5703125" style="10" bestFit="1" customWidth="1"/>
    <x:col min="6147" max="6150" width="15.5703125" style="10" bestFit="1" customWidth="1"/>
    <x:col min="6151" max="6151" width="14.85546875" style="10" bestFit="1" customWidth="1"/>
    <x:col min="6152" max="6154" width="15.5703125" style="10" bestFit="1" customWidth="1"/>
    <x:col min="6155" max="6155" width="14.85546875" style="10" bestFit="1" customWidth="1"/>
    <x:col min="6156" max="6159" width="15.5703125" style="10" bestFit="1" customWidth="1"/>
    <x:col min="6160" max="6400" width="9.140625" style="10"/>
    <x:col min="6401" max="6401" width="30.28515625" style="10" customWidth="1"/>
    <x:col min="6402" max="6402" width="12.5703125" style="10" bestFit="1" customWidth="1"/>
    <x:col min="6403" max="6406" width="15.5703125" style="10" bestFit="1" customWidth="1"/>
    <x:col min="6407" max="6407" width="14.85546875" style="10" bestFit="1" customWidth="1"/>
    <x:col min="6408" max="6410" width="15.5703125" style="10" bestFit="1" customWidth="1"/>
    <x:col min="6411" max="6411" width="14.85546875" style="10" bestFit="1" customWidth="1"/>
    <x:col min="6412" max="6415" width="15.5703125" style="10" bestFit="1" customWidth="1"/>
    <x:col min="6416" max="6656" width="9.140625" style="10"/>
    <x:col min="6657" max="6657" width="30.28515625" style="10" customWidth="1"/>
    <x:col min="6658" max="6658" width="12.5703125" style="10" bestFit="1" customWidth="1"/>
    <x:col min="6659" max="6662" width="15.5703125" style="10" bestFit="1" customWidth="1"/>
    <x:col min="6663" max="6663" width="14.85546875" style="10" bestFit="1" customWidth="1"/>
    <x:col min="6664" max="6666" width="15.5703125" style="10" bestFit="1" customWidth="1"/>
    <x:col min="6667" max="6667" width="14.85546875" style="10" bestFit="1" customWidth="1"/>
    <x:col min="6668" max="6671" width="15.5703125" style="10" bestFit="1" customWidth="1"/>
    <x:col min="6672" max="6912" width="9.140625" style="10"/>
    <x:col min="6913" max="6913" width="30.28515625" style="10" customWidth="1"/>
    <x:col min="6914" max="6914" width="12.5703125" style="10" bestFit="1" customWidth="1"/>
    <x:col min="6915" max="6918" width="15.5703125" style="10" bestFit="1" customWidth="1"/>
    <x:col min="6919" max="6919" width="14.85546875" style="10" bestFit="1" customWidth="1"/>
    <x:col min="6920" max="6922" width="15.5703125" style="10" bestFit="1" customWidth="1"/>
    <x:col min="6923" max="6923" width="14.85546875" style="10" bestFit="1" customWidth="1"/>
    <x:col min="6924" max="6927" width="15.5703125" style="10" bestFit="1" customWidth="1"/>
    <x:col min="6928" max="7168" width="9.140625" style="10"/>
    <x:col min="7169" max="7169" width="30.28515625" style="10" customWidth="1"/>
    <x:col min="7170" max="7170" width="12.5703125" style="10" bestFit="1" customWidth="1"/>
    <x:col min="7171" max="7174" width="15.5703125" style="10" bestFit="1" customWidth="1"/>
    <x:col min="7175" max="7175" width="14.85546875" style="10" bestFit="1" customWidth="1"/>
    <x:col min="7176" max="7178" width="15.5703125" style="10" bestFit="1" customWidth="1"/>
    <x:col min="7179" max="7179" width="14.85546875" style="10" bestFit="1" customWidth="1"/>
    <x:col min="7180" max="7183" width="15.5703125" style="10" bestFit="1" customWidth="1"/>
    <x:col min="7184" max="7424" width="9.140625" style="10"/>
    <x:col min="7425" max="7425" width="30.28515625" style="10" customWidth="1"/>
    <x:col min="7426" max="7426" width="12.5703125" style="10" bestFit="1" customWidth="1"/>
    <x:col min="7427" max="7430" width="15.5703125" style="10" bestFit="1" customWidth="1"/>
    <x:col min="7431" max="7431" width="14.85546875" style="10" bestFit="1" customWidth="1"/>
    <x:col min="7432" max="7434" width="15.5703125" style="10" bestFit="1" customWidth="1"/>
    <x:col min="7435" max="7435" width="14.85546875" style="10" bestFit="1" customWidth="1"/>
    <x:col min="7436" max="7439" width="15.5703125" style="10" bestFit="1" customWidth="1"/>
    <x:col min="7440" max="7680" width="9.140625" style="10"/>
    <x:col min="7681" max="7681" width="30.28515625" style="10" customWidth="1"/>
    <x:col min="7682" max="7682" width="12.5703125" style="10" bestFit="1" customWidth="1"/>
    <x:col min="7683" max="7686" width="15.5703125" style="10" bestFit="1" customWidth="1"/>
    <x:col min="7687" max="7687" width="14.85546875" style="10" bestFit="1" customWidth="1"/>
    <x:col min="7688" max="7690" width="15.5703125" style="10" bestFit="1" customWidth="1"/>
    <x:col min="7691" max="7691" width="14.85546875" style="10" bestFit="1" customWidth="1"/>
    <x:col min="7692" max="7695" width="15.5703125" style="10" bestFit="1" customWidth="1"/>
    <x:col min="7696" max="7936" width="9.140625" style="10"/>
    <x:col min="7937" max="7937" width="30.28515625" style="10" customWidth="1"/>
    <x:col min="7938" max="7938" width="12.5703125" style="10" bestFit="1" customWidth="1"/>
    <x:col min="7939" max="7942" width="15.5703125" style="10" bestFit="1" customWidth="1"/>
    <x:col min="7943" max="7943" width="14.85546875" style="10" bestFit="1" customWidth="1"/>
    <x:col min="7944" max="7946" width="15.5703125" style="10" bestFit="1" customWidth="1"/>
    <x:col min="7947" max="7947" width="14.85546875" style="10" bestFit="1" customWidth="1"/>
    <x:col min="7948" max="7951" width="15.5703125" style="10" bestFit="1" customWidth="1"/>
    <x:col min="7952" max="8192" width="9.140625" style="10"/>
    <x:col min="8193" max="8193" width="30.28515625" style="10" customWidth="1"/>
    <x:col min="8194" max="8194" width="12.5703125" style="10" bestFit="1" customWidth="1"/>
    <x:col min="8195" max="8198" width="15.5703125" style="10" bestFit="1" customWidth="1"/>
    <x:col min="8199" max="8199" width="14.85546875" style="10" bestFit="1" customWidth="1"/>
    <x:col min="8200" max="8202" width="15.5703125" style="10" bestFit="1" customWidth="1"/>
    <x:col min="8203" max="8203" width="14.85546875" style="10" bestFit="1" customWidth="1"/>
    <x:col min="8204" max="8207" width="15.5703125" style="10" bestFit="1" customWidth="1"/>
    <x:col min="8208" max="8448" width="9.140625" style="10"/>
    <x:col min="8449" max="8449" width="30.28515625" style="10" customWidth="1"/>
    <x:col min="8450" max="8450" width="12.5703125" style="10" bestFit="1" customWidth="1"/>
    <x:col min="8451" max="8454" width="15.5703125" style="10" bestFit="1" customWidth="1"/>
    <x:col min="8455" max="8455" width="14.85546875" style="10" bestFit="1" customWidth="1"/>
    <x:col min="8456" max="8458" width="15.5703125" style="10" bestFit="1" customWidth="1"/>
    <x:col min="8459" max="8459" width="14.85546875" style="10" bestFit="1" customWidth="1"/>
    <x:col min="8460" max="8463" width="15.5703125" style="10" bestFit="1" customWidth="1"/>
    <x:col min="8464" max="8704" width="9.140625" style="10"/>
    <x:col min="8705" max="8705" width="30.28515625" style="10" customWidth="1"/>
    <x:col min="8706" max="8706" width="12.5703125" style="10" bestFit="1" customWidth="1"/>
    <x:col min="8707" max="8710" width="15.5703125" style="10" bestFit="1" customWidth="1"/>
    <x:col min="8711" max="8711" width="14.85546875" style="10" bestFit="1" customWidth="1"/>
    <x:col min="8712" max="8714" width="15.5703125" style="10" bestFit="1" customWidth="1"/>
    <x:col min="8715" max="8715" width="14.85546875" style="10" bestFit="1" customWidth="1"/>
    <x:col min="8716" max="8719" width="15.5703125" style="10" bestFit="1" customWidth="1"/>
    <x:col min="8720" max="8960" width="9.140625" style="10"/>
    <x:col min="8961" max="8961" width="30.28515625" style="10" customWidth="1"/>
    <x:col min="8962" max="8962" width="12.5703125" style="10" bestFit="1" customWidth="1"/>
    <x:col min="8963" max="8966" width="15.5703125" style="10" bestFit="1" customWidth="1"/>
    <x:col min="8967" max="8967" width="14.85546875" style="10" bestFit="1" customWidth="1"/>
    <x:col min="8968" max="8970" width="15.5703125" style="10" bestFit="1" customWidth="1"/>
    <x:col min="8971" max="8971" width="14.85546875" style="10" bestFit="1" customWidth="1"/>
    <x:col min="8972" max="8975" width="15.5703125" style="10" bestFit="1" customWidth="1"/>
    <x:col min="8976" max="9216" width="9.140625" style="10"/>
    <x:col min="9217" max="9217" width="30.28515625" style="10" customWidth="1"/>
    <x:col min="9218" max="9218" width="12.5703125" style="10" bestFit="1" customWidth="1"/>
    <x:col min="9219" max="9222" width="15.5703125" style="10" bestFit="1" customWidth="1"/>
    <x:col min="9223" max="9223" width="14.85546875" style="10" bestFit="1" customWidth="1"/>
    <x:col min="9224" max="9226" width="15.5703125" style="10" bestFit="1" customWidth="1"/>
    <x:col min="9227" max="9227" width="14.85546875" style="10" bestFit="1" customWidth="1"/>
    <x:col min="9228" max="9231" width="15.5703125" style="10" bestFit="1" customWidth="1"/>
    <x:col min="9232" max="9472" width="9.140625" style="10"/>
    <x:col min="9473" max="9473" width="30.28515625" style="10" customWidth="1"/>
    <x:col min="9474" max="9474" width="12.5703125" style="10" bestFit="1" customWidth="1"/>
    <x:col min="9475" max="9478" width="15.5703125" style="10" bestFit="1" customWidth="1"/>
    <x:col min="9479" max="9479" width="14.85546875" style="10" bestFit="1" customWidth="1"/>
    <x:col min="9480" max="9482" width="15.5703125" style="10" bestFit="1" customWidth="1"/>
    <x:col min="9483" max="9483" width="14.85546875" style="10" bestFit="1" customWidth="1"/>
    <x:col min="9484" max="9487" width="15.5703125" style="10" bestFit="1" customWidth="1"/>
    <x:col min="9488" max="9728" width="9.140625" style="10"/>
    <x:col min="9729" max="9729" width="30.28515625" style="10" customWidth="1"/>
    <x:col min="9730" max="9730" width="12.5703125" style="10" bestFit="1" customWidth="1"/>
    <x:col min="9731" max="9734" width="15.5703125" style="10" bestFit="1" customWidth="1"/>
    <x:col min="9735" max="9735" width="14.85546875" style="10" bestFit="1" customWidth="1"/>
    <x:col min="9736" max="9738" width="15.5703125" style="10" bestFit="1" customWidth="1"/>
    <x:col min="9739" max="9739" width="14.85546875" style="10" bestFit="1" customWidth="1"/>
    <x:col min="9740" max="9743" width="15.5703125" style="10" bestFit="1" customWidth="1"/>
    <x:col min="9744" max="9984" width="9.140625" style="10"/>
    <x:col min="9985" max="9985" width="30.28515625" style="10" customWidth="1"/>
    <x:col min="9986" max="9986" width="12.5703125" style="10" bestFit="1" customWidth="1"/>
    <x:col min="9987" max="9990" width="15.5703125" style="10" bestFit="1" customWidth="1"/>
    <x:col min="9991" max="9991" width="14.85546875" style="10" bestFit="1" customWidth="1"/>
    <x:col min="9992" max="9994" width="15.5703125" style="10" bestFit="1" customWidth="1"/>
    <x:col min="9995" max="9995" width="14.85546875" style="10" bestFit="1" customWidth="1"/>
    <x:col min="9996" max="9999" width="15.5703125" style="10" bestFit="1" customWidth="1"/>
    <x:col min="10000" max="10240" width="9.140625" style="10"/>
    <x:col min="10241" max="10241" width="30.28515625" style="10" customWidth="1"/>
    <x:col min="10242" max="10242" width="12.5703125" style="10" bestFit="1" customWidth="1"/>
    <x:col min="10243" max="10246" width="15.5703125" style="10" bestFit="1" customWidth="1"/>
    <x:col min="10247" max="10247" width="14.85546875" style="10" bestFit="1" customWidth="1"/>
    <x:col min="10248" max="10250" width="15.5703125" style="10" bestFit="1" customWidth="1"/>
    <x:col min="10251" max="10251" width="14.85546875" style="10" bestFit="1" customWidth="1"/>
    <x:col min="10252" max="10255" width="15.5703125" style="10" bestFit="1" customWidth="1"/>
    <x:col min="10256" max="10496" width="9.140625" style="10"/>
    <x:col min="10497" max="10497" width="30.28515625" style="10" customWidth="1"/>
    <x:col min="10498" max="10498" width="12.5703125" style="10" bestFit="1" customWidth="1"/>
    <x:col min="10499" max="10502" width="15.5703125" style="10" bestFit="1" customWidth="1"/>
    <x:col min="10503" max="10503" width="14.85546875" style="10" bestFit="1" customWidth="1"/>
    <x:col min="10504" max="10506" width="15.5703125" style="10" bestFit="1" customWidth="1"/>
    <x:col min="10507" max="10507" width="14.85546875" style="10" bestFit="1" customWidth="1"/>
    <x:col min="10508" max="10511" width="15.5703125" style="10" bestFit="1" customWidth="1"/>
    <x:col min="10512" max="10752" width="9.140625" style="10"/>
    <x:col min="10753" max="10753" width="30.28515625" style="10" customWidth="1"/>
    <x:col min="10754" max="10754" width="12.5703125" style="10" bestFit="1" customWidth="1"/>
    <x:col min="10755" max="10758" width="15.5703125" style="10" bestFit="1" customWidth="1"/>
    <x:col min="10759" max="10759" width="14.85546875" style="10" bestFit="1" customWidth="1"/>
    <x:col min="10760" max="10762" width="15.5703125" style="10" bestFit="1" customWidth="1"/>
    <x:col min="10763" max="10763" width="14.85546875" style="10" bestFit="1" customWidth="1"/>
    <x:col min="10764" max="10767" width="15.5703125" style="10" bestFit="1" customWidth="1"/>
    <x:col min="10768" max="11008" width="9.140625" style="10"/>
    <x:col min="11009" max="11009" width="30.28515625" style="10" customWidth="1"/>
    <x:col min="11010" max="11010" width="12.5703125" style="10" bestFit="1" customWidth="1"/>
    <x:col min="11011" max="11014" width="15.5703125" style="10" bestFit="1" customWidth="1"/>
    <x:col min="11015" max="11015" width="14.85546875" style="10" bestFit="1" customWidth="1"/>
    <x:col min="11016" max="11018" width="15.5703125" style="10" bestFit="1" customWidth="1"/>
    <x:col min="11019" max="11019" width="14.85546875" style="10" bestFit="1" customWidth="1"/>
    <x:col min="11020" max="11023" width="15.5703125" style="10" bestFit="1" customWidth="1"/>
    <x:col min="11024" max="11264" width="9.140625" style="10"/>
    <x:col min="11265" max="11265" width="30.28515625" style="10" customWidth="1"/>
    <x:col min="11266" max="11266" width="12.5703125" style="10" bestFit="1" customWidth="1"/>
    <x:col min="11267" max="11270" width="15.5703125" style="10" bestFit="1" customWidth="1"/>
    <x:col min="11271" max="11271" width="14.85546875" style="10" bestFit="1" customWidth="1"/>
    <x:col min="11272" max="11274" width="15.5703125" style="10" bestFit="1" customWidth="1"/>
    <x:col min="11275" max="11275" width="14.85546875" style="10" bestFit="1" customWidth="1"/>
    <x:col min="11276" max="11279" width="15.5703125" style="10" bestFit="1" customWidth="1"/>
    <x:col min="11280" max="11520" width="9.140625" style="10"/>
    <x:col min="11521" max="11521" width="30.28515625" style="10" customWidth="1"/>
    <x:col min="11522" max="11522" width="12.5703125" style="10" bestFit="1" customWidth="1"/>
    <x:col min="11523" max="11526" width="15.5703125" style="10" bestFit="1" customWidth="1"/>
    <x:col min="11527" max="11527" width="14.85546875" style="10" bestFit="1" customWidth="1"/>
    <x:col min="11528" max="11530" width="15.5703125" style="10" bestFit="1" customWidth="1"/>
    <x:col min="11531" max="11531" width="14.85546875" style="10" bestFit="1" customWidth="1"/>
    <x:col min="11532" max="11535" width="15.5703125" style="10" bestFit="1" customWidth="1"/>
    <x:col min="11536" max="11776" width="9.140625" style="10"/>
    <x:col min="11777" max="11777" width="30.28515625" style="10" customWidth="1"/>
    <x:col min="11778" max="11778" width="12.5703125" style="10" bestFit="1" customWidth="1"/>
    <x:col min="11779" max="11782" width="15.5703125" style="10" bestFit="1" customWidth="1"/>
    <x:col min="11783" max="11783" width="14.85546875" style="10" bestFit="1" customWidth="1"/>
    <x:col min="11784" max="11786" width="15.5703125" style="10" bestFit="1" customWidth="1"/>
    <x:col min="11787" max="11787" width="14.85546875" style="10" bestFit="1" customWidth="1"/>
    <x:col min="11788" max="11791" width="15.5703125" style="10" bestFit="1" customWidth="1"/>
    <x:col min="11792" max="12032" width="9.140625" style="10"/>
    <x:col min="12033" max="12033" width="30.28515625" style="10" customWidth="1"/>
    <x:col min="12034" max="12034" width="12.5703125" style="10" bestFit="1" customWidth="1"/>
    <x:col min="12035" max="12038" width="15.5703125" style="10" bestFit="1" customWidth="1"/>
    <x:col min="12039" max="12039" width="14.85546875" style="10" bestFit="1" customWidth="1"/>
    <x:col min="12040" max="12042" width="15.5703125" style="10" bestFit="1" customWidth="1"/>
    <x:col min="12043" max="12043" width="14.85546875" style="10" bestFit="1" customWidth="1"/>
    <x:col min="12044" max="12047" width="15.5703125" style="10" bestFit="1" customWidth="1"/>
    <x:col min="12048" max="12288" width="9.140625" style="10"/>
    <x:col min="12289" max="12289" width="30.28515625" style="10" customWidth="1"/>
    <x:col min="12290" max="12290" width="12.5703125" style="10" bestFit="1" customWidth="1"/>
    <x:col min="12291" max="12294" width="15.5703125" style="10" bestFit="1" customWidth="1"/>
    <x:col min="12295" max="12295" width="14.85546875" style="10" bestFit="1" customWidth="1"/>
    <x:col min="12296" max="12298" width="15.5703125" style="10" bestFit="1" customWidth="1"/>
    <x:col min="12299" max="12299" width="14.85546875" style="10" bestFit="1" customWidth="1"/>
    <x:col min="12300" max="12303" width="15.5703125" style="10" bestFit="1" customWidth="1"/>
    <x:col min="12304" max="12544" width="9.140625" style="10"/>
    <x:col min="12545" max="12545" width="30.28515625" style="10" customWidth="1"/>
    <x:col min="12546" max="12546" width="12.5703125" style="10" bestFit="1" customWidth="1"/>
    <x:col min="12547" max="12550" width="15.5703125" style="10" bestFit="1" customWidth="1"/>
    <x:col min="12551" max="12551" width="14.85546875" style="10" bestFit="1" customWidth="1"/>
    <x:col min="12552" max="12554" width="15.5703125" style="10" bestFit="1" customWidth="1"/>
    <x:col min="12555" max="12555" width="14.85546875" style="10" bestFit="1" customWidth="1"/>
    <x:col min="12556" max="12559" width="15.5703125" style="10" bestFit="1" customWidth="1"/>
    <x:col min="12560" max="12800" width="9.140625" style="10"/>
    <x:col min="12801" max="12801" width="30.28515625" style="10" customWidth="1"/>
    <x:col min="12802" max="12802" width="12.5703125" style="10" bestFit="1" customWidth="1"/>
    <x:col min="12803" max="12806" width="15.5703125" style="10" bestFit="1" customWidth="1"/>
    <x:col min="12807" max="12807" width="14.85546875" style="10" bestFit="1" customWidth="1"/>
    <x:col min="12808" max="12810" width="15.5703125" style="10" bestFit="1" customWidth="1"/>
    <x:col min="12811" max="12811" width="14.85546875" style="10" bestFit="1" customWidth="1"/>
    <x:col min="12812" max="12815" width="15.5703125" style="10" bestFit="1" customWidth="1"/>
    <x:col min="12816" max="13056" width="9.140625" style="10"/>
    <x:col min="13057" max="13057" width="30.28515625" style="10" customWidth="1"/>
    <x:col min="13058" max="13058" width="12.5703125" style="10" bestFit="1" customWidth="1"/>
    <x:col min="13059" max="13062" width="15.5703125" style="10" bestFit="1" customWidth="1"/>
    <x:col min="13063" max="13063" width="14.85546875" style="10" bestFit="1" customWidth="1"/>
    <x:col min="13064" max="13066" width="15.5703125" style="10" bestFit="1" customWidth="1"/>
    <x:col min="13067" max="13067" width="14.85546875" style="10" bestFit="1" customWidth="1"/>
    <x:col min="13068" max="13071" width="15.5703125" style="10" bestFit="1" customWidth="1"/>
    <x:col min="13072" max="13312" width="9.140625" style="10"/>
    <x:col min="13313" max="13313" width="30.28515625" style="10" customWidth="1"/>
    <x:col min="13314" max="13314" width="12.5703125" style="10" bestFit="1" customWidth="1"/>
    <x:col min="13315" max="13318" width="15.5703125" style="10" bestFit="1" customWidth="1"/>
    <x:col min="13319" max="13319" width="14.85546875" style="10" bestFit="1" customWidth="1"/>
    <x:col min="13320" max="13322" width="15.5703125" style="10" bestFit="1" customWidth="1"/>
    <x:col min="13323" max="13323" width="14.85546875" style="10" bestFit="1" customWidth="1"/>
    <x:col min="13324" max="13327" width="15.5703125" style="10" bestFit="1" customWidth="1"/>
    <x:col min="13328" max="13568" width="9.140625" style="10"/>
    <x:col min="13569" max="13569" width="30.28515625" style="10" customWidth="1"/>
    <x:col min="13570" max="13570" width="12.5703125" style="10" bestFit="1" customWidth="1"/>
    <x:col min="13571" max="13574" width="15.5703125" style="10" bestFit="1" customWidth="1"/>
    <x:col min="13575" max="13575" width="14.85546875" style="10" bestFit="1" customWidth="1"/>
    <x:col min="13576" max="13578" width="15.5703125" style="10" bestFit="1" customWidth="1"/>
    <x:col min="13579" max="13579" width="14.85546875" style="10" bestFit="1" customWidth="1"/>
    <x:col min="13580" max="13583" width="15.5703125" style="10" bestFit="1" customWidth="1"/>
    <x:col min="13584" max="13824" width="9.140625" style="10"/>
    <x:col min="13825" max="13825" width="30.28515625" style="10" customWidth="1"/>
    <x:col min="13826" max="13826" width="12.5703125" style="10" bestFit="1" customWidth="1"/>
    <x:col min="13827" max="13830" width="15.5703125" style="10" bestFit="1" customWidth="1"/>
    <x:col min="13831" max="13831" width="14.85546875" style="10" bestFit="1" customWidth="1"/>
    <x:col min="13832" max="13834" width="15.5703125" style="10" bestFit="1" customWidth="1"/>
    <x:col min="13835" max="13835" width="14.85546875" style="10" bestFit="1" customWidth="1"/>
    <x:col min="13836" max="13839" width="15.5703125" style="10" bestFit="1" customWidth="1"/>
    <x:col min="13840" max="14080" width="9.140625" style="10"/>
    <x:col min="14081" max="14081" width="30.28515625" style="10" customWidth="1"/>
    <x:col min="14082" max="14082" width="12.5703125" style="10" bestFit="1" customWidth="1"/>
    <x:col min="14083" max="14086" width="15.5703125" style="10" bestFit="1" customWidth="1"/>
    <x:col min="14087" max="14087" width="14.85546875" style="10" bestFit="1" customWidth="1"/>
    <x:col min="14088" max="14090" width="15.5703125" style="10" bestFit="1" customWidth="1"/>
    <x:col min="14091" max="14091" width="14.85546875" style="10" bestFit="1" customWidth="1"/>
    <x:col min="14092" max="14095" width="15.5703125" style="10" bestFit="1" customWidth="1"/>
    <x:col min="14096" max="14336" width="9.140625" style="10"/>
    <x:col min="14337" max="14337" width="30.28515625" style="10" customWidth="1"/>
    <x:col min="14338" max="14338" width="12.5703125" style="10" bestFit="1" customWidth="1"/>
    <x:col min="14339" max="14342" width="15.5703125" style="10" bestFit="1" customWidth="1"/>
    <x:col min="14343" max="14343" width="14.85546875" style="10" bestFit="1" customWidth="1"/>
    <x:col min="14344" max="14346" width="15.5703125" style="10" bestFit="1" customWidth="1"/>
    <x:col min="14347" max="14347" width="14.85546875" style="10" bestFit="1" customWidth="1"/>
    <x:col min="14348" max="14351" width="15.5703125" style="10" bestFit="1" customWidth="1"/>
    <x:col min="14352" max="14592" width="9.140625" style="10"/>
    <x:col min="14593" max="14593" width="30.28515625" style="10" customWidth="1"/>
    <x:col min="14594" max="14594" width="12.5703125" style="10" bestFit="1" customWidth="1"/>
    <x:col min="14595" max="14598" width="15.5703125" style="10" bestFit="1" customWidth="1"/>
    <x:col min="14599" max="14599" width="14.85546875" style="10" bestFit="1" customWidth="1"/>
    <x:col min="14600" max="14602" width="15.5703125" style="10" bestFit="1" customWidth="1"/>
    <x:col min="14603" max="14603" width="14.85546875" style="10" bestFit="1" customWidth="1"/>
    <x:col min="14604" max="14607" width="15.5703125" style="10" bestFit="1" customWidth="1"/>
    <x:col min="14608" max="14848" width="9.140625" style="10"/>
    <x:col min="14849" max="14849" width="30.28515625" style="10" customWidth="1"/>
    <x:col min="14850" max="14850" width="12.5703125" style="10" bestFit="1" customWidth="1"/>
    <x:col min="14851" max="14854" width="15.5703125" style="10" bestFit="1" customWidth="1"/>
    <x:col min="14855" max="14855" width="14.85546875" style="10" bestFit="1" customWidth="1"/>
    <x:col min="14856" max="14858" width="15.5703125" style="10" bestFit="1" customWidth="1"/>
    <x:col min="14859" max="14859" width="14.85546875" style="10" bestFit="1" customWidth="1"/>
    <x:col min="14860" max="14863" width="15.5703125" style="10" bestFit="1" customWidth="1"/>
    <x:col min="14864" max="15104" width="9.140625" style="10"/>
    <x:col min="15105" max="15105" width="30.28515625" style="10" customWidth="1"/>
    <x:col min="15106" max="15106" width="12.5703125" style="10" bestFit="1" customWidth="1"/>
    <x:col min="15107" max="15110" width="15.5703125" style="10" bestFit="1" customWidth="1"/>
    <x:col min="15111" max="15111" width="14.85546875" style="10" bestFit="1" customWidth="1"/>
    <x:col min="15112" max="15114" width="15.5703125" style="10" bestFit="1" customWidth="1"/>
    <x:col min="15115" max="15115" width="14.85546875" style="10" bestFit="1" customWidth="1"/>
    <x:col min="15116" max="15119" width="15.5703125" style="10" bestFit="1" customWidth="1"/>
    <x:col min="15120" max="15360" width="9.140625" style="10"/>
    <x:col min="15361" max="15361" width="30.28515625" style="10" customWidth="1"/>
    <x:col min="15362" max="15362" width="12.5703125" style="10" bestFit="1" customWidth="1"/>
    <x:col min="15363" max="15366" width="15.5703125" style="10" bestFit="1" customWidth="1"/>
    <x:col min="15367" max="15367" width="14.85546875" style="10" bestFit="1" customWidth="1"/>
    <x:col min="15368" max="15370" width="15.5703125" style="10" bestFit="1" customWidth="1"/>
    <x:col min="15371" max="15371" width="14.85546875" style="10" bestFit="1" customWidth="1"/>
    <x:col min="15372" max="15375" width="15.5703125" style="10" bestFit="1" customWidth="1"/>
    <x:col min="15376" max="15616" width="9.140625" style="10"/>
    <x:col min="15617" max="15617" width="30.28515625" style="10" customWidth="1"/>
    <x:col min="15618" max="15618" width="12.5703125" style="10" bestFit="1" customWidth="1"/>
    <x:col min="15619" max="15622" width="15.5703125" style="10" bestFit="1" customWidth="1"/>
    <x:col min="15623" max="15623" width="14.85546875" style="10" bestFit="1" customWidth="1"/>
    <x:col min="15624" max="15626" width="15.5703125" style="10" bestFit="1" customWidth="1"/>
    <x:col min="15627" max="15627" width="14.85546875" style="10" bestFit="1" customWidth="1"/>
    <x:col min="15628" max="15631" width="15.5703125" style="10" bestFit="1" customWidth="1"/>
    <x:col min="15632" max="15872" width="9.140625" style="10"/>
    <x:col min="15873" max="15873" width="30.28515625" style="10" customWidth="1"/>
    <x:col min="15874" max="15874" width="12.5703125" style="10" bestFit="1" customWidth="1"/>
    <x:col min="15875" max="15878" width="15.5703125" style="10" bestFit="1" customWidth="1"/>
    <x:col min="15879" max="15879" width="14.85546875" style="10" bestFit="1" customWidth="1"/>
    <x:col min="15880" max="15882" width="15.5703125" style="10" bestFit="1" customWidth="1"/>
    <x:col min="15883" max="15883" width="14.85546875" style="10" bestFit="1" customWidth="1"/>
    <x:col min="15884" max="15887" width="15.5703125" style="10" bestFit="1" customWidth="1"/>
    <x:col min="15888" max="16128" width="9.140625" style="10"/>
    <x:col min="16129" max="16129" width="30.28515625" style="10" customWidth="1"/>
    <x:col min="16130" max="16130" width="12.5703125" style="10" bestFit="1" customWidth="1"/>
    <x:col min="16131" max="16134" width="15.5703125" style="10" bestFit="1" customWidth="1"/>
    <x:col min="16135" max="16135" width="14.85546875" style="10" bestFit="1" customWidth="1"/>
    <x:col min="16136" max="16138" width="15.5703125" style="10" bestFit="1" customWidth="1"/>
    <x:col min="16139" max="16139" width="14.85546875" style="10" bestFit="1" customWidth="1"/>
    <x:col min="16140" max="16143" width="15.5703125" style="10" bestFit="1" customWidth="1"/>
    <x:col min="16144" max="16384" width="9.140625" style="10"/>
  </x:cols>
  <x:sheetData>
    <x:row r="1" spans="1:15" ht="15" x14ac:dyDescent="0.25">
      <x:c r="A1" s="8"/>
      <x:c r="B1" s="9"/>
    </x:row>
    <x:row r="2" spans="1:15" ht="15" x14ac:dyDescent="0.25">
      <x:c r="A2" s="8"/>
      <x:c r="B2" s="9"/>
    </x:row>
    <x:row r="3" spans="1:15" ht="15" x14ac:dyDescent="0.25">
      <x:c r="A3" s="11" t="s">
        <x:v>36</x:v>
      </x:c>
      <x:c r="B3" s="9"/>
    </x:row>
    <x:row r="4" spans="1:15" ht="15" x14ac:dyDescent="0.25">
      <x:c r="A4" s="9" t="s">
        <x:v>37</x:v>
      </x:c>
      <x:c r="B4" s="9"/>
    </x:row>
    <x:row r="5" spans="1:15" ht="15" x14ac:dyDescent="0.25">
      <x:c r="A5" s="9"/>
      <x:c r="B5" s="9"/>
    </x:row>
    <x:row r="6" spans="1:15" ht="15" x14ac:dyDescent="0.25">
      <x:c r="A6" s="9"/>
      <x:c r="B6" s="9"/>
    </x:row>
    <x:row r="7" spans="1:15" ht="15" x14ac:dyDescent="0.25">
      <x:c r="A7" s="12" t="s">
        <x:v>38</x:v>
      </x:c>
      <x:c r="B7" s="13"/>
      <x:c r="O7" s="14" t="s">
        <x:v>39</x:v>
      </x:c>
    </x:row>
    <x:row r="8" spans="1:15" ht="15" x14ac:dyDescent="0.25">
      <x:c r="A8" s="11"/>
      <x:c r="B8" s="15"/>
      <x:c r="C8" s="16">
        <x:v>45292</x:v>
      </x:c>
      <x:c r="D8" s="16">
        <x:v>45323</x:v>
      </x:c>
      <x:c r="E8" s="16">
        <x:v>45352</x:v>
      </x:c>
      <x:c r="F8" s="16">
        <x:v>45383</x:v>
      </x:c>
      <x:c r="G8" s="16">
        <x:v>45413</x:v>
      </x:c>
      <x:c r="H8" s="16">
        <x:v>45444</x:v>
      </x:c>
      <x:c r="I8" s="16">
        <x:v>45474</x:v>
      </x:c>
      <x:c r="J8" s="16">
        <x:v>45505</x:v>
      </x:c>
      <x:c r="K8" s="16">
        <x:v>45536</x:v>
      </x:c>
      <x:c r="L8" s="16">
        <x:v>45566</x:v>
      </x:c>
      <x:c r="M8" s="16">
        <x:v>45597</x:v>
      </x:c>
      <x:c r="N8" s="16">
        <x:v>45627</x:v>
      </x:c>
      <x:c r="O8" s="17" t="s">
        <x:v>40</x:v>
      </x:c>
    </x:row>
    <x:row r="9" spans="1:15" ht="15" x14ac:dyDescent="0.25">
      <x:c r="A9" s="11" t="s">
        <x:v>41</x:v>
      </x:c>
      <x:c r="B9" s="18"/>
      <x:c r="C9" s="19">
        <x:v>8670.9</x:v>
      </x:c>
      <x:c r="D9" s="19">
        <x:v>8670.9</x:v>
      </x:c>
      <x:c r="E9" s="19">
        <x:v>8670.9</x:v>
      </x:c>
      <x:c r="F9" s="19">
        <x:v>8670.9</x:v>
      </x:c>
      <x:c r="G9" s="19">
        <x:v>8670.9</x:v>
      </x:c>
      <x:c r="H9" s="19">
        <x:v>8670.9</x:v>
      </x:c>
      <x:c r="I9" s="19">
        <x:v>8670.9</x:v>
      </x:c>
      <x:c r="J9" s="19">
        <x:v>9239.94</x:v>
      </x:c>
      <x:c r="K9" s="19">
        <x:v>9239.94</x:v>
      </x:c>
      <x:c r="L9" s="19">
        <x:v>9239.94</x:v>
      </x:c>
      <x:c r="M9" s="19">
        <x:v>9239.94</x:v>
      </x:c>
      <x:c r="N9" s="19">
        <x:v>9720.7900000000009</x:v>
      </x:c>
      <x:c r="O9" s="19">
        <x:f>SUM(C9:N9)</x:f>
        <x:v>107376.85</x:v>
      </x:c>
    </x:row>
    <x:row r="10" spans="1:15" ht="15" x14ac:dyDescent="0.25">
      <x:c r="A10" s="12" t="s">
        <x:v>42</x:v>
      </x:c>
      <x:c r="B10" s="20"/>
      <x:c r="C10" s="21">
        <x:v>52528.76</x:v>
      </x:c>
      <x:c r="D10" s="21">
        <x:v>52528.76</x:v>
      </x:c>
      <x:c r="E10" s="21">
        <x:v>52528.76</x:v>
      </x:c>
      <x:c r="F10" s="21">
        <x:v>52528.76</x:v>
      </x:c>
      <x:c r="G10" s="21">
        <x:v>52528.76</x:v>
      </x:c>
      <x:c r="H10" s="21">
        <x:v>52528.76</x:v>
      </x:c>
      <x:c r="I10" s="21">
        <x:v>52528.76</x:v>
      </x:c>
      <x:c r="J10" s="21">
        <x:v>52528.76</x:v>
      </x:c>
      <x:c r="K10" s="21">
        <x:v>52528.76</x:v>
      </x:c>
      <x:c r="L10" s="21">
        <x:v>52528.76</x:v>
      </x:c>
      <x:c r="M10" s="21">
        <x:v>52528.76</x:v>
      </x:c>
      <x:c r="N10" s="21">
        <x:v>52528.76</x:v>
      </x:c>
      <x:c r="O10" s="21">
        <x:f t="shared" ref="O10:O42" si="0">SUM(C10:N10)</x:f>
        <x:v>630345.12</x:v>
      </x:c>
    </x:row>
    <x:row r="11" spans="1:15" ht="15" x14ac:dyDescent="0.25">
      <x:c r="A11" s="11" t="s">
        <x:v>43</x:v>
      </x:c>
      <x:c r="B11" s="18"/>
      <x:c r="C11" s="19">
        <x:v>26222.86</x:v>
      </x:c>
      <x:c r="D11" s="19">
        <x:v>26222.86</x:v>
      </x:c>
      <x:c r="E11" s="19">
        <x:v>26222.86</x:v>
      </x:c>
      <x:c r="F11" s="19">
        <x:v>26222.86</x:v>
      </x:c>
      <x:c r="G11" s="19">
        <x:v>26222.86</x:v>
      </x:c>
      <x:c r="H11" s="19">
        <x:v>26222.86</x:v>
      </x:c>
      <x:c r="I11" s="19">
        <x:v>26172.47</x:v>
      </x:c>
      <x:c r="J11" s="19">
        <x:v>24958.799999999999</x:v>
      </x:c>
      <x:c r="K11" s="19">
        <x:v>24958.799999999999</x:v>
      </x:c>
      <x:c r="L11" s="19">
        <x:v>25271.67</x:v>
      </x:c>
      <x:c r="M11" s="19">
        <x:v>26255.41</x:v>
      </x:c>
      <x:c r="N11" s="19">
        <x:v>26255.41</x:v>
      </x:c>
      <x:c r="O11" s="19">
        <x:f t="shared" si="0"/>
        <x:v>311209.71999999991</x:v>
      </x:c>
    </x:row>
    <x:row r="12" spans="1:15" ht="15" x14ac:dyDescent="0.25">
      <x:c r="A12" s="12" t="s">
        <x:v>44</x:v>
      </x:c>
      <x:c r="B12" s="20"/>
      <x:c r="C12" s="21">
        <x:v>40328.06</x:v>
      </x:c>
      <x:c r="D12" s="21">
        <x:v>40328.06</x:v>
      </x:c>
      <x:c r="E12" s="21">
        <x:v>40328.06</x:v>
      </x:c>
      <x:c r="F12" s="21">
        <x:v>40328.06</x:v>
      </x:c>
      <x:c r="G12" s="21">
        <x:v>40328.06</x:v>
      </x:c>
      <x:c r="H12" s="21">
        <x:v>40328.06</x:v>
      </x:c>
      <x:c r="I12" s="21">
        <x:v>40328.06</x:v>
      </x:c>
      <x:c r="J12" s="21">
        <x:v>40760.61</x:v>
      </x:c>
      <x:c r="K12" s="21">
        <x:v>40760.61</x:v>
      </x:c>
      <x:c r="L12" s="21">
        <x:v>40760.61</x:v>
      </x:c>
      <x:c r="M12" s="21">
        <x:v>40760.61</x:v>
      </x:c>
      <x:c r="N12" s="21">
        <x:v>40760.61</x:v>
      </x:c>
      <x:c r="O12" s="21">
        <x:f t="shared" si="0"/>
        <x:v>486099.46999999991</x:v>
      </x:c>
    </x:row>
    <x:row r="13" spans="1:15" ht="15" x14ac:dyDescent="0.25">
      <x:c r="A13" s="11" t="s">
        <x:v>45</x:v>
      </x:c>
      <x:c r="B13" s="18"/>
      <x:c r="C13" s="19">
        <x:v>13350.24</x:v>
      </x:c>
      <x:c r="D13" s="19">
        <x:v>13350.24</x:v>
      </x:c>
      <x:c r="E13" s="19">
        <x:v>13350.24</x:v>
      </x:c>
      <x:c r="F13" s="19">
        <x:v>13350.24</x:v>
      </x:c>
      <x:c r="G13" s="19">
        <x:v>18785.490000000002</x:v>
      </x:c>
      <x:c r="H13" s="19">
        <x:v>18806.48</x:v>
      </x:c>
      <x:c r="I13" s="19">
        <x:v>18806.48</x:v>
      </x:c>
      <x:c r="J13" s="19">
        <x:v>18806.48</x:v>
      </x:c>
      <x:c r="K13" s="19">
        <x:v>18806.48</x:v>
      </x:c>
      <x:c r="L13" s="19">
        <x:v>18806.48</x:v>
      </x:c>
      <x:c r="M13" s="19">
        <x:v>18806.48</x:v>
      </x:c>
      <x:c r="N13" s="19">
        <x:v>18806.48</x:v>
      </x:c>
      <x:c r="O13" s="19">
        <x:f t="shared" si="0"/>
        <x:v>203831.81000000003</x:v>
      </x:c>
    </x:row>
    <x:row r="14" spans="1:15" ht="15" x14ac:dyDescent="0.25">
      <x:c r="A14" s="12" t="s">
        <x:v>46</x:v>
      </x:c>
      <x:c r="B14" s="20"/>
      <x:c r="C14" s="21">
        <x:v>31672.81</x:v>
      </x:c>
      <x:c r="D14" s="21">
        <x:v>31672.81</x:v>
      </x:c>
      <x:c r="E14" s="21">
        <x:v>31672.81</x:v>
      </x:c>
      <x:c r="F14" s="21">
        <x:v>31672.81</x:v>
      </x:c>
      <x:c r="G14" s="21">
        <x:v>31672.81</x:v>
      </x:c>
      <x:c r="H14" s="21">
        <x:v>31672.81</x:v>
      </x:c>
      <x:c r="I14" s="21">
        <x:v>31672.81</x:v>
      </x:c>
      <x:c r="J14" s="21">
        <x:v>31672.81</x:v>
      </x:c>
      <x:c r="K14" s="21">
        <x:v>31672.81</x:v>
      </x:c>
      <x:c r="L14" s="21">
        <x:v>31672.81</x:v>
      </x:c>
      <x:c r="M14" s="21">
        <x:v>30746.81</x:v>
      </x:c>
      <x:c r="N14" s="21">
        <x:v>30746.81</x:v>
      </x:c>
      <x:c r="O14" s="21">
        <x:f t="shared" si="0"/>
        <x:v>378221.72000000003</x:v>
      </x:c>
    </x:row>
    <x:row r="15" spans="1:15" ht="15" x14ac:dyDescent="0.25">
      <x:c r="A15" s="11" t="s">
        <x:v>47</x:v>
      </x:c>
      <x:c r="B15" s="18"/>
      <x:c r="C15" s="19">
        <x:v>51221.65</x:v>
      </x:c>
      <x:c r="D15" s="19">
        <x:v>51221.65</x:v>
      </x:c>
      <x:c r="E15" s="19">
        <x:v>52621.15</x:v>
      </x:c>
      <x:c r="F15" s="19">
        <x:v>53489.4</x:v>
      </x:c>
      <x:c r="G15" s="19">
        <x:v>53489.4</x:v>
      </x:c>
      <x:c r="H15" s="19">
        <x:v>53489.4</x:v>
      </x:c>
      <x:c r="I15" s="19">
        <x:v>53489.4</x:v>
      </x:c>
      <x:c r="J15" s="19">
        <x:v>53489.4</x:v>
      </x:c>
      <x:c r="K15" s="19">
        <x:v>53489.4</x:v>
      </x:c>
      <x:c r="L15" s="19">
        <x:v>53489.4</x:v>
      </x:c>
      <x:c r="M15" s="19">
        <x:v>53489.4</x:v>
      </x:c>
      <x:c r="N15" s="19">
        <x:v>53489.4</x:v>
      </x:c>
      <x:c r="O15" s="19">
        <x:f t="shared" si="0"/>
        <x:v>636469.05000000016</x:v>
      </x:c>
    </x:row>
    <x:row r="16" spans="1:15" ht="15" x14ac:dyDescent="0.25">
      <x:c r="A16" s="12" t="s">
        <x:v>48</x:v>
      </x:c>
      <x:c r="B16" s="20"/>
      <x:c r="C16" s="21">
        <x:v>2995.23</x:v>
      </x:c>
      <x:c r="D16" s="21">
        <x:v>2987.88</x:v>
      </x:c>
      <x:c r="E16" s="21">
        <x:v>2920.69</x:v>
      </x:c>
      <x:c r="F16" s="21">
        <x:v>2898.64</x:v>
      </x:c>
      <x:c r="G16" s="21">
        <x:v>3071.87</x:v>
      </x:c>
      <x:c r="H16" s="21">
        <x:v>3071.87</x:v>
      </x:c>
      <x:c r="I16" s="21">
        <x:v>3071.87</x:v>
      </x:c>
      <x:c r="J16" s="21">
        <x:v>3071.87</x:v>
      </x:c>
      <x:c r="K16" s="21">
        <x:v>3071.87</x:v>
      </x:c>
      <x:c r="L16" s="21">
        <x:v>3071.87</x:v>
      </x:c>
      <x:c r="M16" s="21">
        <x:v>3071.87</x:v>
      </x:c>
      <x:c r="N16" s="21">
        <x:v>3071.87</x:v>
      </x:c>
      <x:c r="O16" s="21">
        <x:f t="shared" si="0"/>
        <x:v>36377.4</x:v>
      </x:c>
    </x:row>
    <x:row r="17" spans="1:15" ht="15" x14ac:dyDescent="0.25">
      <x:c r="A17" s="11" t="s">
        <x:v>49</x:v>
      </x:c>
      <x:c r="B17" s="18"/>
      <x:c r="C17" s="19">
        <x:v>50320.85</x:v>
      </x:c>
      <x:c r="D17" s="19">
        <x:v>50320.85</x:v>
      </x:c>
      <x:c r="E17" s="19">
        <x:v>50320.85</x:v>
      </x:c>
      <x:c r="F17" s="19">
        <x:v>50320.85</x:v>
      </x:c>
      <x:c r="G17" s="19">
        <x:v>50320.85</x:v>
      </x:c>
      <x:c r="H17" s="19">
        <x:v>50320.85</x:v>
      </x:c>
      <x:c r="I17" s="19">
        <x:v>50320.85</x:v>
      </x:c>
      <x:c r="J17" s="19">
        <x:v>50320.85</x:v>
      </x:c>
      <x:c r="K17" s="19">
        <x:v>47200.6</x:v>
      </x:c>
      <x:c r="L17" s="19">
        <x:v>47173.3</x:v>
      </x:c>
      <x:c r="M17" s="19">
        <x:v>47173.3</x:v>
      </x:c>
      <x:c r="N17" s="19">
        <x:v>40688.17</x:v>
      </x:c>
      <x:c r="O17" s="19">
        <x:f t="shared" si="0"/>
        <x:v>584802.16999999993</x:v>
      </x:c>
    </x:row>
    <x:row r="18" spans="1:15" ht="15" x14ac:dyDescent="0.25">
      <x:c r="A18" s="12" t="s">
        <x:v>50</x:v>
      </x:c>
      <x:c r="B18" s="20"/>
      <x:c r="C18" s="21">
        <x:v>101250.72</x:v>
      </x:c>
      <x:c r="D18" s="21">
        <x:v>101250.72</x:v>
      </x:c>
      <x:c r="E18" s="21">
        <x:v>101250.72</x:v>
      </x:c>
      <x:c r="F18" s="21">
        <x:v>101250.72</x:v>
      </x:c>
      <x:c r="G18" s="21">
        <x:v>101250.72</x:v>
      </x:c>
      <x:c r="H18" s="21">
        <x:v>101250.72</x:v>
      </x:c>
      <x:c r="I18" s="21">
        <x:v>101250.72</x:v>
      </x:c>
      <x:c r="J18" s="21">
        <x:v>77951.7</x:v>
      </x:c>
      <x:c r="K18" s="21">
        <x:v>77256.67</x:v>
      </x:c>
      <x:c r="L18" s="21">
        <x:v>77256.67</x:v>
      </x:c>
      <x:c r="M18" s="21">
        <x:v>76662.44</x:v>
      </x:c>
      <x:c r="N18" s="21">
        <x:v>70983.62</x:v>
      </x:c>
      <x:c r="O18" s="21">
        <x:f t="shared" si="0"/>
        <x:v>1088866.1400000001</x:v>
      </x:c>
    </x:row>
    <x:row r="19" spans="1:15" ht="15" x14ac:dyDescent="0.25">
      <x:c r="A19" s="11" t="s">
        <x:v>51</x:v>
      </x:c>
      <x:c r="B19" s="18"/>
      <x:c r="C19" s="19">
        <x:v>39708.620000000003</x:v>
      </x:c>
      <x:c r="D19" s="19">
        <x:v>39832.51</x:v>
      </x:c>
      <x:c r="E19" s="19">
        <x:v>39832.51</x:v>
      </x:c>
      <x:c r="F19" s="19">
        <x:v>39878.699999999997</x:v>
      </x:c>
      <x:c r="G19" s="19">
        <x:v>41535.42</x:v>
      </x:c>
      <x:c r="H19" s="19">
        <x:v>41535.42</x:v>
      </x:c>
      <x:c r="I19" s="19">
        <x:v>41535.42</x:v>
      </x:c>
      <x:c r="J19" s="19">
        <x:v>41535.42</x:v>
      </x:c>
      <x:c r="K19" s="19">
        <x:v>41535.42</x:v>
      </x:c>
      <x:c r="L19" s="19">
        <x:v>41535.42</x:v>
      </x:c>
      <x:c r="M19" s="19">
        <x:v>41535.42</x:v>
      </x:c>
      <x:c r="N19" s="19">
        <x:v>41535.42</x:v>
      </x:c>
      <x:c r="O19" s="19">
        <x:f t="shared" si="0"/>
        <x:v>491535.6999999999</x:v>
      </x:c>
    </x:row>
    <x:row r="20" spans="1:15" ht="15" x14ac:dyDescent="0.25">
      <x:c r="A20" s="12" t="s">
        <x:v>52</x:v>
      </x:c>
      <x:c r="B20" s="20"/>
      <x:c r="C20" s="21">
        <x:v>33242.39</x:v>
      </x:c>
      <x:c r="D20" s="21">
        <x:v>33242.39</x:v>
      </x:c>
      <x:c r="E20" s="21">
        <x:v>33242.39</x:v>
      </x:c>
      <x:c r="F20" s="21">
        <x:v>31226.61</x:v>
      </x:c>
      <x:c r="G20" s="21">
        <x:v>31226.61</x:v>
      </x:c>
      <x:c r="H20" s="21">
        <x:v>31968.880000000001</x:v>
      </x:c>
      <x:c r="I20" s="21">
        <x:v>32396.18</x:v>
      </x:c>
      <x:c r="J20" s="21">
        <x:v>32396.18</x:v>
      </x:c>
      <x:c r="K20" s="21">
        <x:v>32396.18</x:v>
      </x:c>
      <x:c r="L20" s="21">
        <x:v>32396.18</x:v>
      </x:c>
      <x:c r="M20" s="21">
        <x:v>32396.18</x:v>
      </x:c>
      <x:c r="N20" s="21">
        <x:v>32396.18</x:v>
      </x:c>
      <x:c r="O20" s="21">
        <x:f t="shared" si="0"/>
        <x:v>388526.35</x:v>
      </x:c>
    </x:row>
    <x:row r="21" spans="1:15" ht="15" x14ac:dyDescent="0.25">
      <x:c r="A21" s="11" t="s">
        <x:v>53</x:v>
      </x:c>
      <x:c r="B21" s="18"/>
      <x:c r="C21" s="19">
        <x:v>19402.82</x:v>
      </x:c>
      <x:c r="D21" s="19">
        <x:v>19402.82</x:v>
      </x:c>
      <x:c r="E21" s="19">
        <x:v>19402.82</x:v>
      </x:c>
      <x:c r="F21" s="19">
        <x:v>19402.82</x:v>
      </x:c>
      <x:c r="G21" s="19">
        <x:v>19402.82</x:v>
      </x:c>
      <x:c r="H21" s="19">
        <x:v>19402.82</x:v>
      </x:c>
      <x:c r="I21" s="19">
        <x:v>19402.82</x:v>
      </x:c>
      <x:c r="J21" s="19">
        <x:v>19402.82</x:v>
      </x:c>
      <x:c r="K21" s="19">
        <x:v>19402.82</x:v>
      </x:c>
      <x:c r="L21" s="19">
        <x:v>19402.82</x:v>
      </x:c>
      <x:c r="M21" s="19">
        <x:v>19402.82</x:v>
      </x:c>
      <x:c r="N21" s="19">
        <x:v>19402.82</x:v>
      </x:c>
      <x:c r="O21" s="19">
        <x:f t="shared" si="0"/>
        <x:v>232833.84000000005</x:v>
      </x:c>
    </x:row>
    <x:row r="22" spans="1:15" ht="15" x14ac:dyDescent="0.25">
      <x:c r="A22" s="12" t="s">
        <x:v>54</x:v>
      </x:c>
      <x:c r="B22" s="20"/>
      <x:c r="C22" s="21">
        <x:v>84368.59</x:v>
      </x:c>
      <x:c r="D22" s="21">
        <x:v>84368.59</x:v>
      </x:c>
      <x:c r="E22" s="21">
        <x:v>84368.59</x:v>
      </x:c>
      <x:c r="F22" s="21">
        <x:v>84368.59</x:v>
      </x:c>
      <x:c r="G22" s="21">
        <x:v>84368.59</x:v>
      </x:c>
      <x:c r="H22" s="21">
        <x:v>84050.47</x:v>
      </x:c>
      <x:c r="I22" s="21">
        <x:v>83012.14</x:v>
      </x:c>
      <x:c r="J22" s="21">
        <x:v>78864.05</x:v>
      </x:c>
      <x:c r="K22" s="21">
        <x:v>76992.100000000006</x:v>
      </x:c>
      <x:c r="L22" s="21">
        <x:v>78067.19</x:v>
      </x:c>
      <x:c r="M22" s="21">
        <x:v>78067.19</x:v>
      </x:c>
      <x:c r="N22" s="21">
        <x:v>78067.19</x:v>
      </x:c>
      <x:c r="O22" s="21">
        <x:f t="shared" si="0"/>
        <x:v>978963.2799999998</x:v>
      </x:c>
    </x:row>
    <x:row r="23" spans="1:15" ht="15" x14ac:dyDescent="0.25">
      <x:c r="A23" s="11" t="s">
        <x:v>55</x:v>
      </x:c>
      <x:c r="B23" s="18"/>
      <x:c r="C23" s="19">
        <x:v>32561.01</x:v>
      </x:c>
      <x:c r="D23" s="19">
        <x:v>35757.910000000003</x:v>
      </x:c>
      <x:c r="E23" s="19">
        <x:v>35757.910000000003</x:v>
      </x:c>
      <x:c r="F23" s="19">
        <x:v>35757.910000000003</x:v>
      </x:c>
      <x:c r="G23" s="19">
        <x:v>35757.910000000003</x:v>
      </x:c>
      <x:c r="H23" s="19">
        <x:v>35757.910000000003</x:v>
      </x:c>
      <x:c r="I23" s="19">
        <x:v>35757.910000000003</x:v>
      </x:c>
      <x:c r="J23" s="19">
        <x:v>36101.22</x:v>
      </x:c>
      <x:c r="K23" s="19">
        <x:v>36101.22</x:v>
      </x:c>
      <x:c r="L23" s="19">
        <x:v>37135.360000000001</x:v>
      </x:c>
      <x:c r="M23" s="19">
        <x:v>37135.360000000001</x:v>
      </x:c>
      <x:c r="N23" s="19">
        <x:v>37135.360000000001</x:v>
      </x:c>
      <x:c r="O23" s="19">
        <x:f t="shared" si="0"/>
        <x:v>430716.99</x:v>
      </x:c>
    </x:row>
    <x:row r="24" spans="1:15" ht="15" x14ac:dyDescent="0.25">
      <x:c r="A24" s="12" t="s">
        <x:v>56</x:v>
      </x:c>
      <x:c r="B24" s="20"/>
      <x:c r="C24" s="21">
        <x:v>35920.639999999999</x:v>
      </x:c>
      <x:c r="D24" s="21">
        <x:v>35920.639999999999</x:v>
      </x:c>
      <x:c r="E24" s="21">
        <x:v>35920.639999999999</x:v>
      </x:c>
      <x:c r="F24" s="21">
        <x:v>36934.83</x:v>
      </x:c>
      <x:c r="G24" s="21">
        <x:v>36934.83</x:v>
      </x:c>
      <x:c r="H24" s="21">
        <x:v>39886.050000000003</x:v>
      </x:c>
      <x:c r="I24" s="21">
        <x:v>39886.050000000003</x:v>
      </x:c>
      <x:c r="J24" s="21">
        <x:v>39886.050000000003</x:v>
      </x:c>
      <x:c r="K24" s="21">
        <x:v>39886.050000000003</x:v>
      </x:c>
      <x:c r="L24" s="21">
        <x:v>39886.050000000003</x:v>
      </x:c>
      <x:c r="M24" s="21">
        <x:v>39886.050000000003</x:v>
      </x:c>
      <x:c r="N24" s="21">
        <x:v>39886.050000000003</x:v>
      </x:c>
      <x:c r="O24" s="21">
        <x:f t="shared" si="0"/>
        <x:v>460833.92999999993</x:v>
      </x:c>
    </x:row>
    <x:row r="25" spans="1:15" ht="15" x14ac:dyDescent="0.25">
      <x:c r="A25" s="11" t="s">
        <x:v>57</x:v>
      </x:c>
      <x:c r="B25" s="18"/>
      <x:c r="C25" s="19">
        <x:v>25972.99</x:v>
      </x:c>
      <x:c r="D25" s="19">
        <x:v>25972.99</x:v>
      </x:c>
      <x:c r="E25" s="19">
        <x:v>25972.99</x:v>
      </x:c>
      <x:c r="F25" s="19">
        <x:v>25972.99</x:v>
      </x:c>
      <x:c r="G25" s="19">
        <x:v>24114.7</x:v>
      </x:c>
      <x:c r="H25" s="19">
        <x:v>22904.18</x:v>
      </x:c>
      <x:c r="I25" s="19">
        <x:v>22904.18</x:v>
      </x:c>
      <x:c r="J25" s="19">
        <x:v>22904.18</x:v>
      </x:c>
      <x:c r="K25" s="19">
        <x:v>22904.18</x:v>
      </x:c>
      <x:c r="L25" s="19">
        <x:v>22904.18</x:v>
      </x:c>
      <x:c r="M25" s="19">
        <x:v>22904.18</x:v>
      </x:c>
      <x:c r="N25" s="19">
        <x:v>21664.27</x:v>
      </x:c>
      <x:c r="O25" s="19">
        <x:f t="shared" si="0"/>
        <x:v>287096.01</x:v>
      </x:c>
    </x:row>
    <x:row r="26" spans="1:15" ht="15" x14ac:dyDescent="0.25">
      <x:c r="A26" s="12" t="s">
        <x:v>58</x:v>
      </x:c>
      <x:c r="B26" s="20"/>
      <x:c r="C26" s="21">
        <x:v>53199.63</x:v>
      </x:c>
      <x:c r="D26" s="21">
        <x:v>53199.63</x:v>
      </x:c>
      <x:c r="E26" s="21">
        <x:v>53199.63</x:v>
      </x:c>
      <x:c r="F26" s="21">
        <x:v>53855.81</x:v>
      </x:c>
      <x:c r="G26" s="21">
        <x:v>53855.81</x:v>
      </x:c>
      <x:c r="H26" s="21">
        <x:v>53855.81</x:v>
      </x:c>
      <x:c r="I26" s="21">
        <x:v>53855.81</x:v>
      </x:c>
      <x:c r="J26" s="21">
        <x:v>53855.81</x:v>
      </x:c>
      <x:c r="K26" s="21">
        <x:v>53855.81</x:v>
      </x:c>
      <x:c r="L26" s="21">
        <x:v>53855.81</x:v>
      </x:c>
      <x:c r="M26" s="21">
        <x:v>53855.81</x:v>
      </x:c>
      <x:c r="N26" s="21">
        <x:v>53855.81</x:v>
      </x:c>
      <x:c r="O26" s="21">
        <x:f t="shared" si="0"/>
        <x:v>644301.18000000017</x:v>
      </x:c>
    </x:row>
    <x:row r="27" spans="1:15" ht="15" x14ac:dyDescent="0.25">
      <x:c r="A27" s="11" t="s">
        <x:v>59</x:v>
      </x:c>
      <x:c r="B27" s="18"/>
      <x:c r="C27" s="19">
        <x:v>44971.69</x:v>
      </x:c>
      <x:c r="D27" s="19">
        <x:v>44971.69</x:v>
      </x:c>
      <x:c r="E27" s="19">
        <x:v>44971.69</x:v>
      </x:c>
      <x:c r="F27" s="19">
        <x:v>44971.69</x:v>
      </x:c>
      <x:c r="G27" s="19">
        <x:v>44971.69</x:v>
      </x:c>
      <x:c r="H27" s="19">
        <x:v>44971.69</x:v>
      </x:c>
      <x:c r="I27" s="19">
        <x:v>44971.69</x:v>
      </x:c>
      <x:c r="J27" s="19">
        <x:v>44971.69</x:v>
      </x:c>
      <x:c r="K27" s="19">
        <x:v>44971.69</x:v>
      </x:c>
      <x:c r="L27" s="19">
        <x:v>44971.69</x:v>
      </x:c>
      <x:c r="M27" s="19">
        <x:v>44971.69</x:v>
      </x:c>
      <x:c r="N27" s="19">
        <x:v>44971.69</x:v>
      </x:c>
      <x:c r="O27" s="19">
        <x:f t="shared" si="0"/>
        <x:v>539660.28</x:v>
      </x:c>
    </x:row>
    <x:row r="28" spans="1:15" ht="15" x14ac:dyDescent="0.25">
      <x:c r="A28" s="12" t="s">
        <x:v>60</x:v>
      </x:c>
      <x:c r="B28" s="20"/>
      <x:c r="C28" s="21">
        <x:v>41972.17</x:v>
      </x:c>
      <x:c r="D28" s="21">
        <x:v>41972.17</x:v>
      </x:c>
      <x:c r="E28" s="21">
        <x:v>41972.17</x:v>
      </x:c>
      <x:c r="F28" s="21">
        <x:v>30755.21</x:v>
      </x:c>
      <x:c r="G28" s="21">
        <x:v>30755.21</x:v>
      </x:c>
      <x:c r="H28" s="21">
        <x:v>38948.51</x:v>
      </x:c>
      <x:c r="I28" s="21">
        <x:v>38948.51</x:v>
      </x:c>
      <x:c r="J28" s="21">
        <x:v>38948.51</x:v>
      </x:c>
      <x:c r="K28" s="21">
        <x:v>38948.51</x:v>
      </x:c>
      <x:c r="L28" s="21">
        <x:v>38948.51</x:v>
      </x:c>
      <x:c r="M28" s="21">
        <x:v>38948.51</x:v>
      </x:c>
      <x:c r="N28" s="21">
        <x:v>38948.51</x:v>
      </x:c>
      <x:c r="O28" s="21">
        <x:f t="shared" si="0"/>
        <x:v>460066.50000000006</x:v>
      </x:c>
    </x:row>
    <x:row r="29" spans="1:15" ht="15" x14ac:dyDescent="0.25">
      <x:c r="A29" s="11" t="s">
        <x:v>61</x:v>
      </x:c>
      <x:c r="B29" s="18"/>
      <x:c r="C29" s="19">
        <x:v>82948.100000000006</x:v>
      </x:c>
      <x:c r="D29" s="19">
        <x:v>86632.14</x:v>
      </x:c>
      <x:c r="E29" s="19">
        <x:v>86632.14</x:v>
      </x:c>
      <x:c r="F29" s="19">
        <x:v>86632.14</x:v>
      </x:c>
      <x:c r="G29" s="19">
        <x:v>86632.14</x:v>
      </x:c>
      <x:c r="H29" s="19">
        <x:v>86632.14</x:v>
      </x:c>
      <x:c r="I29" s="19">
        <x:v>86632.14</x:v>
      </x:c>
      <x:c r="J29" s="19">
        <x:v>86632.14</x:v>
      </x:c>
      <x:c r="K29" s="19">
        <x:v>86632.14</x:v>
      </x:c>
      <x:c r="L29" s="19">
        <x:v>86632.14</x:v>
      </x:c>
      <x:c r="M29" s="19">
        <x:v>86632.14</x:v>
      </x:c>
      <x:c r="N29" s="19">
        <x:v>86632.14</x:v>
      </x:c>
      <x:c r="O29" s="19">
        <x:f t="shared" si="0"/>
        <x:v>1035901.6400000001</x:v>
      </x:c>
    </x:row>
    <x:row r="30" spans="1:15" ht="15" x14ac:dyDescent="0.25">
      <x:c r="A30" s="12" t="s">
        <x:v>62</x:v>
      </x:c>
      <x:c r="B30" s="20"/>
      <x:c r="C30" s="21">
        <x:v>42830.98</x:v>
      </x:c>
      <x:c r="D30" s="21">
        <x:v>43793.72</x:v>
      </x:c>
      <x:c r="E30" s="21">
        <x:v>43793.72</x:v>
      </x:c>
      <x:c r="F30" s="21">
        <x:v>43845.17</x:v>
      </x:c>
      <x:c r="G30" s="21">
        <x:v>45387.45</x:v>
      </x:c>
      <x:c r="H30" s="21">
        <x:v>45387.45</x:v>
      </x:c>
      <x:c r="I30" s="21">
        <x:v>52352.38</x:v>
      </x:c>
      <x:c r="J30" s="21">
        <x:v>52352.38</x:v>
      </x:c>
      <x:c r="K30" s="21">
        <x:v>52352.38</x:v>
      </x:c>
      <x:c r="L30" s="21">
        <x:v>52352.38</x:v>
      </x:c>
      <x:c r="M30" s="21">
        <x:v>52352.38</x:v>
      </x:c>
      <x:c r="N30" s="21">
        <x:v>52352.38</x:v>
      </x:c>
      <x:c r="O30" s="21">
        <x:f t="shared" si="0"/>
        <x:v>579152.77</x:v>
      </x:c>
    </x:row>
    <x:row r="31" spans="1:15" ht="15" x14ac:dyDescent="0.25">
      <x:c r="A31" s="11" t="s">
        <x:v>63</x:v>
      </x:c>
      <x:c r="B31" s="18"/>
      <x:c r="C31" s="19">
        <x:v>10647.83</x:v>
      </x:c>
      <x:c r="D31" s="19">
        <x:v>10647.83</x:v>
      </x:c>
      <x:c r="E31" s="19">
        <x:v>10647.83</x:v>
      </x:c>
      <x:c r="F31" s="19">
        <x:v>10647.83</x:v>
      </x:c>
      <x:c r="G31" s="19">
        <x:v>10702.43</x:v>
      </x:c>
      <x:c r="H31" s="19">
        <x:v>11350.21</x:v>
      </x:c>
      <x:c r="I31" s="19">
        <x:v>12115.57</x:v>
      </x:c>
      <x:c r="J31" s="19">
        <x:v>12115.57</x:v>
      </x:c>
      <x:c r="K31" s="19">
        <x:v>12115.57</x:v>
      </x:c>
      <x:c r="L31" s="19">
        <x:v>12115.57</x:v>
      </x:c>
      <x:c r="M31" s="19">
        <x:v>12115.57</x:v>
      </x:c>
      <x:c r="N31" s="19">
        <x:v>12115.57</x:v>
      </x:c>
      <x:c r="O31" s="19">
        <x:f t="shared" si="0"/>
        <x:v>137337.38000000003</x:v>
      </x:c>
    </x:row>
    <x:row r="32" spans="1:15" ht="15" x14ac:dyDescent="0.25">
      <x:c r="A32" s="12" t="s">
        <x:v>64</x:v>
      </x:c>
      <x:c r="B32" s="20"/>
      <x:c r="C32" s="21">
        <x:v>34612.49</x:v>
      </x:c>
      <x:c r="D32" s="21">
        <x:v>34612.49</x:v>
      </x:c>
      <x:c r="E32" s="21">
        <x:v>34612.49</x:v>
      </x:c>
      <x:c r="F32" s="21">
        <x:v>34612.49</x:v>
      </x:c>
      <x:c r="G32" s="21">
        <x:v>26755.15</x:v>
      </x:c>
      <x:c r="H32" s="21">
        <x:v>27092.17</x:v>
      </x:c>
      <x:c r="I32" s="21">
        <x:v>27092.17</x:v>
      </x:c>
      <x:c r="J32" s="21">
        <x:v>27092.17</x:v>
      </x:c>
      <x:c r="K32" s="21">
        <x:v>27092.17</x:v>
      </x:c>
      <x:c r="L32" s="21">
        <x:v>36757.4</x:v>
      </x:c>
      <x:c r="M32" s="21">
        <x:v>36757.4</x:v>
      </x:c>
      <x:c r="N32" s="21">
        <x:v>36757.4</x:v>
      </x:c>
      <x:c r="O32" s="21">
        <x:f t="shared" si="0"/>
        <x:v>383845.99</x:v>
      </x:c>
    </x:row>
    <x:row r="33" spans="1:15" ht="15" x14ac:dyDescent="0.25">
      <x:c r="A33" s="11" t="s">
        <x:v>65</x:v>
      </x:c>
      <x:c r="B33" s="18"/>
      <x:c r="C33" s="19">
        <x:v>49113.48</x:v>
      </x:c>
      <x:c r="D33" s="19">
        <x:v>49113.48</x:v>
      </x:c>
      <x:c r="E33" s="19">
        <x:v>49113.48</x:v>
      </x:c>
      <x:c r="F33" s="19">
        <x:v>49113.48</x:v>
      </x:c>
      <x:c r="G33" s="19">
        <x:v>49113.48</x:v>
      </x:c>
      <x:c r="H33" s="19">
        <x:v>49113.48</x:v>
      </x:c>
      <x:c r="I33" s="19">
        <x:v>49113.48</x:v>
      </x:c>
      <x:c r="J33" s="19">
        <x:v>49113.48</x:v>
      </x:c>
      <x:c r="K33" s="19">
        <x:v>44449.9</x:v>
      </x:c>
      <x:c r="L33" s="19">
        <x:v>44449.9</x:v>
      </x:c>
      <x:c r="M33" s="19">
        <x:v>42991.61</x:v>
      </x:c>
      <x:c r="N33" s="19">
        <x:v>41876.629999999997</x:v>
      </x:c>
      <x:c r="O33" s="19">
        <x:f t="shared" si="0"/>
        <x:v>566675.88</x:v>
      </x:c>
    </x:row>
    <x:row r="34" spans="1:15" ht="15" x14ac:dyDescent="0.25">
      <x:c r="A34" s="12" t="s">
        <x:v>66</x:v>
      </x:c>
      <x:c r="B34" s="20"/>
      <x:c r="C34" s="21">
        <x:v>10308.719999999999</x:v>
      </x:c>
      <x:c r="D34" s="21">
        <x:v>10308.719999999999</x:v>
      </x:c>
      <x:c r="E34" s="21">
        <x:v>10617.39</x:v>
      </x:c>
      <x:c r="F34" s="21">
        <x:v>10757.02</x:v>
      </x:c>
      <x:c r="G34" s="21">
        <x:v>10757.02</x:v>
      </x:c>
      <x:c r="H34" s="21">
        <x:v>11386.95</x:v>
      </x:c>
      <x:c r="I34" s="21">
        <x:v>16024.29</x:v>
      </x:c>
      <x:c r="J34" s="21">
        <x:v>16875.75</x:v>
      </x:c>
      <x:c r="K34" s="21">
        <x:v>16875.75</x:v>
      </x:c>
      <x:c r="L34" s="21">
        <x:v>16875.75</x:v>
      </x:c>
      <x:c r="M34" s="21">
        <x:v>16875.75</x:v>
      </x:c>
      <x:c r="N34" s="21">
        <x:v>16875.75</x:v>
      </x:c>
      <x:c r="O34" s="21">
        <x:f t="shared" si="0"/>
        <x:v>164538.85999999999</x:v>
      </x:c>
    </x:row>
    <x:row r="35" spans="1:15" ht="15" x14ac:dyDescent="0.25">
      <x:c r="A35" s="11" t="s">
        <x:v>67</x:v>
      </x:c>
      <x:c r="B35" s="18"/>
      <x:c r="C35" s="19">
        <x:v>45719.21</x:v>
      </x:c>
      <x:c r="D35" s="19">
        <x:v>45719.21</x:v>
      </x:c>
      <x:c r="E35" s="19">
        <x:v>45719.21</x:v>
      </x:c>
      <x:c r="F35" s="19">
        <x:v>45719.21</x:v>
      </x:c>
      <x:c r="G35" s="19">
        <x:v>45719.21</x:v>
      </x:c>
      <x:c r="H35" s="19">
        <x:v>45719.21</x:v>
      </x:c>
      <x:c r="I35" s="19">
        <x:v>45719.21</x:v>
      </x:c>
      <x:c r="J35" s="19">
        <x:v>46228.4</x:v>
      </x:c>
      <x:c r="K35" s="19">
        <x:v>46228.4</x:v>
      </x:c>
      <x:c r="L35" s="19">
        <x:v>46228.4</x:v>
      </x:c>
      <x:c r="M35" s="19">
        <x:v>46228.4</x:v>
      </x:c>
      <x:c r="N35" s="19">
        <x:v>46228.4</x:v>
      </x:c>
      <x:c r="O35" s="19">
        <x:f t="shared" si="0"/>
        <x:v>551176.47000000009</x:v>
      </x:c>
    </x:row>
    <x:row r="36" spans="1:15" ht="15" x14ac:dyDescent="0.25">
      <x:c r="A36" s="12" t="s">
        <x:v>68</x:v>
      </x:c>
      <x:c r="B36" s="20"/>
      <x:c r="C36" s="21">
        <x:v>21034.34</x:v>
      </x:c>
      <x:c r="D36" s="21">
        <x:v>21034.34</x:v>
      </x:c>
      <x:c r="E36" s="21">
        <x:v>21034.34</x:v>
      </x:c>
      <x:c r="F36" s="21">
        <x:v>21034.34</x:v>
      </x:c>
      <x:c r="G36" s="21">
        <x:v>21034.34</x:v>
      </x:c>
      <x:c r="H36" s="21">
        <x:v>21034.34</x:v>
      </x:c>
      <x:c r="I36" s="21">
        <x:v>21034.34</x:v>
      </x:c>
      <x:c r="J36" s="21">
        <x:v>16574.43</x:v>
      </x:c>
      <x:c r="K36" s="21">
        <x:v>16574.43</x:v>
      </x:c>
      <x:c r="L36" s="21">
        <x:v>16574.43</x:v>
      </x:c>
      <x:c r="M36" s="21">
        <x:v>16574.43</x:v>
      </x:c>
      <x:c r="N36" s="21">
        <x:v>16574.43</x:v>
      </x:c>
      <x:c r="O36" s="21">
        <x:f t="shared" si="0"/>
        <x:v>230112.52999999997</x:v>
      </x:c>
    </x:row>
    <x:row r="37" spans="1:15" ht="15" x14ac:dyDescent="0.25">
      <x:c r="A37" s="11" t="s">
        <x:v>69</x:v>
      </x:c>
      <x:c r="B37" s="18"/>
      <x:c r="C37" s="19">
        <x:v>49757.06</x:v>
      </x:c>
      <x:c r="D37" s="19">
        <x:v>49757.06</x:v>
      </x:c>
      <x:c r="E37" s="19">
        <x:v>49757.06</x:v>
      </x:c>
      <x:c r="F37" s="19">
        <x:v>49757.06</x:v>
      </x:c>
      <x:c r="G37" s="19">
        <x:v>49757.06</x:v>
      </x:c>
      <x:c r="H37" s="19">
        <x:v>49757.06</x:v>
      </x:c>
      <x:c r="I37" s="19">
        <x:v>49757.06</x:v>
      </x:c>
      <x:c r="J37" s="19">
        <x:v>49757.06</x:v>
      </x:c>
      <x:c r="K37" s="19">
        <x:v>49757.06</x:v>
      </x:c>
      <x:c r="L37" s="19">
        <x:v>49406.400000000001</x:v>
      </x:c>
      <x:c r="M37" s="19">
        <x:v>49406.400000000001</x:v>
      </x:c>
      <x:c r="N37" s="19">
        <x:v>48999.05</x:v>
      </x:c>
      <x:c r="O37" s="19">
        <x:f t="shared" si="0"/>
        <x:v>595625.39</x:v>
      </x:c>
    </x:row>
    <x:row r="38" spans="1:15" ht="15" x14ac:dyDescent="0.25">
      <x:c r="A38" s="12" t="s">
        <x:v>70</x:v>
      </x:c>
      <x:c r="B38" s="20"/>
      <x:c r="C38" s="21">
        <x:v>50817.45</x:v>
      </x:c>
      <x:c r="D38" s="21">
        <x:v>50817.45</x:v>
      </x:c>
      <x:c r="E38" s="21">
        <x:v>50817.45</x:v>
      </x:c>
      <x:c r="F38" s="21">
        <x:v>50817.45</x:v>
      </x:c>
      <x:c r="G38" s="21">
        <x:v>50817.45</x:v>
      </x:c>
      <x:c r="H38" s="21">
        <x:v>50817.45</x:v>
      </x:c>
      <x:c r="I38" s="21">
        <x:v>50817.45</x:v>
      </x:c>
      <x:c r="J38" s="21">
        <x:v>53961.85</x:v>
      </x:c>
      <x:c r="K38" s="21">
        <x:v>53961.85</x:v>
      </x:c>
      <x:c r="L38" s="21">
        <x:v>53961.85</x:v>
      </x:c>
      <x:c r="M38" s="21">
        <x:v>53961.85</x:v>
      </x:c>
      <x:c r="N38" s="21">
        <x:v>53961.85</x:v>
      </x:c>
      <x:c r="O38" s="21">
        <x:f t="shared" si="0"/>
        <x:v>625531.39999999991</x:v>
      </x:c>
    </x:row>
    <x:row r="39" spans="1:15" ht="15" x14ac:dyDescent="0.25">
      <x:c r="A39" s="11" t="s">
        <x:v>71</x:v>
      </x:c>
      <x:c r="B39" s="18"/>
      <x:c r="C39" s="19">
        <x:v>32504.32</x:v>
      </x:c>
      <x:c r="D39" s="19">
        <x:v>32504.32</x:v>
      </x:c>
      <x:c r="E39" s="19">
        <x:v>32504.32</x:v>
      </x:c>
      <x:c r="F39" s="19">
        <x:v>32504.32</x:v>
      </x:c>
      <x:c r="G39" s="19">
        <x:v>32504.32</x:v>
      </x:c>
      <x:c r="H39" s="19">
        <x:v>35282.31</x:v>
      </x:c>
      <x:c r="I39" s="19">
        <x:v>35282.31</x:v>
      </x:c>
      <x:c r="J39" s="19">
        <x:v>35282.31</x:v>
      </x:c>
      <x:c r="K39" s="19">
        <x:v>35282.31</x:v>
      </x:c>
      <x:c r="L39" s="19">
        <x:v>35282.31</x:v>
      </x:c>
      <x:c r="M39" s="19">
        <x:v>35282.31</x:v>
      </x:c>
      <x:c r="N39" s="19">
        <x:v>35282.31</x:v>
      </x:c>
      <x:c r="O39" s="19">
        <x:f t="shared" si="0"/>
        <x:v>409497.77</x:v>
      </x:c>
    </x:row>
    <x:row r="40" spans="1:15" ht="15" x14ac:dyDescent="0.25">
      <x:c r="A40" s="12" t="s">
        <x:v>72</x:v>
      </x:c>
      <x:c r="B40" s="20"/>
      <x:c r="C40" s="21">
        <x:v>20406.509999999998</x:v>
      </x:c>
      <x:c r="D40" s="21">
        <x:v>20406.509999999998</x:v>
      </x:c>
      <x:c r="E40" s="21">
        <x:v>20406.509999999998</x:v>
      </x:c>
      <x:c r="F40" s="21">
        <x:v>20406.509999999998</x:v>
      </x:c>
      <x:c r="G40" s="21">
        <x:v>20406.509999999998</x:v>
      </x:c>
      <x:c r="H40" s="21">
        <x:v>20406.509999999998</x:v>
      </x:c>
      <x:c r="I40" s="21">
        <x:v>20406.509999999998</x:v>
      </x:c>
      <x:c r="J40" s="21">
        <x:v>18737.189999999999</x:v>
      </x:c>
      <x:c r="K40" s="21">
        <x:v>18276.29</x:v>
      </x:c>
      <x:c r="L40" s="21">
        <x:v>18168.150000000001</x:v>
      </x:c>
      <x:c r="M40" s="21">
        <x:v>18168.150000000001</x:v>
      </x:c>
      <x:c r="N40" s="21">
        <x:v>18168.150000000001</x:v>
      </x:c>
      <x:c r="O40" s="21">
        <x:f t="shared" si="0"/>
        <x:v>234363.49999999997</x:v>
      </x:c>
    </x:row>
    <x:row r="41" spans="1:15" ht="15" x14ac:dyDescent="0.25">
      <x:c r="A41" s="11" t="s">
        <x:v>73</x:v>
      </x:c>
      <x:c r="B41" s="18"/>
      <x:c r="C41" s="19">
        <x:v>19036.41</x:v>
      </x:c>
      <x:c r="D41" s="19">
        <x:v>19036.41</x:v>
      </x:c>
      <x:c r="E41" s="19">
        <x:v>19036.41</x:v>
      </x:c>
      <x:c r="F41" s="19">
        <x:v>19036.41</x:v>
      </x:c>
      <x:c r="G41" s="19">
        <x:v>19036.41</x:v>
      </x:c>
      <x:c r="H41" s="19">
        <x:v>19036.41</x:v>
      </x:c>
      <x:c r="I41" s="19">
        <x:v>20098.89</x:v>
      </x:c>
      <x:c r="J41" s="19">
        <x:v>20973.439999999999</x:v>
      </x:c>
      <x:c r="K41" s="19">
        <x:v>20973.439999999999</x:v>
      </x:c>
      <x:c r="L41" s="19">
        <x:v>20973.439999999999</x:v>
      </x:c>
      <x:c r="M41" s="19">
        <x:v>20973.439999999999</x:v>
      </x:c>
      <x:c r="N41" s="19">
        <x:v>21449.040000000001</x:v>
      </x:c>
      <x:c r="O41" s="19">
        <x:f t="shared" si="0"/>
        <x:v>239660.15000000002</x:v>
      </x:c>
    </x:row>
    <x:row r="42" spans="1:15" ht="15" x14ac:dyDescent="0.25">
      <x:c r="A42" s="12" t="s">
        <x:v>74</x:v>
      </x:c>
      <x:c r="B42" s="20"/>
      <x:c r="C42" s="22">
        <x:v>21116.23</x:v>
      </x:c>
      <x:c r="D42" s="22">
        <x:v>21116.23</x:v>
      </x:c>
      <x:c r="E42" s="22">
        <x:v>21116.23</x:v>
      </x:c>
      <x:c r="F42" s="22">
        <x:v>21116.23</x:v>
      </x:c>
      <x:c r="G42" s="22">
        <x:v>21116.23</x:v>
      </x:c>
      <x:c r="H42" s="22">
        <x:v>21116.23</x:v>
      </x:c>
      <x:c r="I42" s="22">
        <x:v>21116.23</x:v>
      </x:c>
      <x:c r="J42" s="22">
        <x:v>20620.68</x:v>
      </x:c>
      <x:c r="K42" s="22">
        <x:v>20620.68</x:v>
      </x:c>
      <x:c r="L42" s="22">
        <x:v>20620.68</x:v>
      </x:c>
      <x:c r="M42" s="22">
        <x:v>20620.68</x:v>
      </x:c>
      <x:c r="N42" s="22">
        <x:v>20620.68</x:v>
      </x:c>
      <x:c r="O42" s="22">
        <x:f t="shared" si="0"/>
        <x:v>250917.00999999995</x:v>
      </x:c>
    </x:row>
    <x:row r="43" spans="1:15" ht="15.75" thickBot="1" x14ac:dyDescent="0.3">
      <x:c r="A43" s="11"/>
      <x:c r="B43" s="18"/>
      <x:c r="C43" s="23"/>
      <x:c r="D43" s="23"/>
      <x:c r="E43" s="23"/>
      <x:c r="F43" s="23"/>
      <x:c r="G43" s="23"/>
      <x:c r="H43" s="23"/>
      <x:c r="I43" s="24"/>
      <x:c r="J43" s="24"/>
      <x:c r="K43" s="24"/>
      <x:c r="L43" s="25"/>
      <x:c r="M43" s="26"/>
      <x:c r="N43" s="27"/>
      <x:c r="O43" s="19"/>
    </x:row>
    <x:row r="44" spans="1:15" ht="16.5" thickTop="1" thickBot="1" x14ac:dyDescent="0.3">
      <x:c r="A44" s="35" t="s">
        <x:v>75</x:v>
      </x:c>
      <x:c r="B44" s="18"/>
      <x:c r="C44" s="28">
        <x:f t="shared" ref="C44:N44" si="1">SUM(C9:C43)</x:f>
        <x:v>1280735.76</x:v>
      </x:c>
      <x:c r="D44" s="28">
        <x:f t="shared" si="1"/>
        <x:v>1288695.9800000002</x:v>
      </x:c>
      <x:c r="E44" s="28">
        <x:f t="shared" si="1"/>
        <x:v>1290336.9600000002</x:v>
      </x:c>
      <x:c r="F44" s="28">
        <x:f t="shared" si="1"/>
        <x:v>1279858.06</x:v>
      </x:c>
      <x:c r="G44" s="28">
        <x:f t="shared" si="1"/>
        <x:v>1279004.51</x:v>
      </x:c>
      <x:c r="H44" s="28">
        <x:f t="shared" si="1"/>
        <x:v>1293776.3699999999</x:v>
      </x:c>
      <x:c r="I44" s="28">
        <x:f t="shared" si="1"/>
        <x:v>1306545.06</x:v>
      </x:c>
      <x:c r="J44" s="28">
        <x:f t="shared" si="1"/>
        <x:v>1277983.9999999998</x:v>
      </x:c>
      <x:c r="K44" s="28">
        <x:f t="shared" si="1"/>
        <x:v>1267172.29</x:v>
      </x:c>
      <x:c r="L44" s="28">
        <x:f t="shared" si="1"/>
        <x:v>1278773.5199999998</x:v>
      </x:c>
      <x:c r="M44" s="28">
        <x:f t="shared" si="1"/>
        <x:v>1276778.7399999998</x:v>
      </x:c>
      <x:c r="N44" s="28">
        <x:f t="shared" si="1"/>
        <x:v>1262809</x:v>
      </x:c>
      <x:c r="O44" s="29">
        <x:f>SUM(C44:N44)</x:f>
        <x:v>15382470.249999998</x:v>
      </x:c>
    </x:row>
    <x:row r="45" spans="1:15" ht="15.75" thickTop="1" x14ac:dyDescent="0.25">
      <x:c r="A45" s="11"/>
      <x:c r="B45" s="9"/>
    </x:row>
    <x:row r="46" spans="1:15" ht="15" x14ac:dyDescent="0.25">
      <x:c r="A46" s="30" t="s">
        <x:v>76</x:v>
      </x:c>
      <x:c r="B46" s="31" t="s">
        <x:v>77</x:v>
      </x:c>
      <x:c r="C46" s="31" t="s">
        <x:v>78</x:v>
      </x:c>
    </x:row>
    <x:row r="47" spans="1:15" ht="15" x14ac:dyDescent="0.25">
      <x:c r="A47" s="30" t="s">
        <x:v>79</x:v>
      </x:c>
      <x:c r="B47" s="32">
        <x:v>1253.97</x:v>
      </x:c>
      <x:c r="C47" s="33">
        <x:v>45047</x:v>
      </x:c>
    </x:row>
    <x:row r="48" spans="1:15" ht="15" x14ac:dyDescent="0.25">
      <x:c r="A48" s="30" t="s">
        <x:v>80</x:v>
      </x:c>
      <x:c r="B48" s="32">
        <x:v>564.34</x:v>
      </x:c>
      <x:c r="C48" s="33">
        <x:v>45047</x:v>
      </x:c>
    </x:row>
    <x:row r="49" spans="1:3" ht="15" x14ac:dyDescent="0.25">
      <x:c r="A49" s="30" t="s">
        <x:v>81</x:v>
      </x:c>
      <x:c r="B49" s="34">
        <x:v>1.049884</x:v>
      </x:c>
      <x:c r="C49" s="33">
        <x:v>45047</x:v>
      </x:c>
    </x:row>
    <x:row r="51" spans="1:3" x14ac:dyDescent="0.2">
      <x:c r="A51" s="10" t="s">
        <x:v>82</x:v>
      </x:c>
    </x:row>
  </x:sheetData>
  <x:printOptions horizontalCentered="1"/>
  <x:pageMargins left="0.25" right="0.25" top="2" bottom="0.25" header="1" footer="0.3"/>
  <x:pageSetup scale="54" orientation="landscape" r:id="rId1"/>
  <x:headerFooter>
    <x:oddHeader>&amp;C&amp;"Calibri,Bold"
ONCOR ELECTRIC DELIVERY COMPANY LLC
WHOLESALE DISTRIBUTIONI SUBSTATION SERVICE (From Oncor NTU Dist to Oncor Dist)
FOR THE TEST YEAR ENDING DECEMBER 31, 2024
SPONSOR: R. PRACHYL &amp;&amp; M. TROXLE&amp;R&amp;"Calibri,Bold"WP/ADJUSTMENT/2
Page 3 of 3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2025-04-30T12:08:00.0000000Z</dcterms:modified>
</coreProperties>
</file>