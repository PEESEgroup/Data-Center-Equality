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62E9489D-24DE-4045-BB5D-623790A40128}" xr6:coauthVersionLast="47" xr6:coauthVersionMax="47" xr10:uidLastSave="{00000000-0000-0000-0000-000000000000}"/>
  <x:bookViews>
    <x:workbookView xWindow="-120" yWindow="-120" windowWidth="29040" windowHeight="15720" xr2:uid="{D0D7B77E-6877-45B3-AAD0-A470951B6E1B}"/>
  </x:bookViews>
  <x:sheets>
    <x:sheet name="Sheet2" sheetId="2" r:id="rId1"/>
  </x:sheets>
  <x:definedNames>
    <x:definedName name="_xlnm.Print_Area" localSheetId="0">Sheet2!$A$1:$L$12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J11" i="2" l="1"/>
</x:calcChain>
</file>

<file path=xl/sharedStrings.xml><?xml version="1.0" encoding="utf-8"?>
<sst xmlns="http://schemas.openxmlformats.org/spreadsheetml/2006/main" count="75" uniqueCount="38">
  <si>
    <t>TRN</t>
  </si>
  <si>
    <t>Description:</t>
  </si>
  <si>
    <t>NTUSU Billing for Measurement Svc and Total Cost of Ownership and Sept 2023 Billing Correction</t>
  </si>
  <si>
    <t>Errors</t>
  </si>
  <si>
    <t>BU</t>
  </si>
  <si>
    <t>DeptID</t>
  </si>
  <si>
    <t>Account - Description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</si>
  <si>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</si>
  <si>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</si>
  <si>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</si>
  <si>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</si>
  <si>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</si>
  <si>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</si>
  <si>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</si>
  <si>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</si>
  <si>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NTUSU</t>
  </si>
  <si>
    <t>660000</t>
  </si>
  <si>
    <t>5610000 - O&amp;M - LOAD DISPATCHING EXP</t>
  </si>
  <si>
    <t>497</t>
  </si>
  <si>
    <t>0000</t>
  </si>
  <si>
    <t>290D</t>
  </si>
  <si>
    <t>075</t>
  </si>
  <si>
    <t/>
  </si>
  <si>
    <t>000</t>
  </si>
  <si>
    <t>00000000</t>
  </si>
  <si>
    <t>571900</t>
  </si>
  <si>
    <t>4549000 - OTH OP REV - ELECPROP RENT OTH</t>
  </si>
  <si>
    <t>046</t>
  </si>
  <si>
    <t>2412710 - TAX COLL PAY - ST - OTHER</t>
  </si>
  <si>
    <t>8999</t>
  </si>
  <si>
    <t>2412720 - TAX COLL PAY - ST - CITY</t>
  </si>
  <si>
    <t>8171</t>
  </si>
  <si>
    <t>2412730 - TAX COLL PAY - ST - MTA</t>
  </si>
  <si>
    <t>7920</t>
  </si>
  <si>
    <t>TRNSOPER</t>
  </si>
  <si>
    <t>SEPT 2023</t>
  </si>
  <si>
    <t>CORRECT  OPS SERVICES BILLING</t>
  </si>
  <si>
    <t xml:space="preserve">Total Adjustment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</si>
</sst>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"/>
    <numFmt numFmtId="165" formatCode="_(&quot;$&quot;* #,##0_);_(&quot;$&quot;* \(#,##0\);_(&quot;$&quot;* &quot;-&quot;??_);_(@_)"/>
    <numFmt numFmtId="166" formatCode="_(* #,##0_);_(* \(#,##0\);_(* &quot;-&quot;??_);_(@_)"/>
  </numFmts>
  <fonts count="6" x14ac:knownFonts="1"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2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3" fillId="0" borderId="0" xfId="1" applyNumberFormat="1" applyFont="1" applyFill="1" applyProtection="1">
      <protection locked="0"/>
    </xf>
    <xf numFmtId="0" fontId="3" fillId="0" borderId="0" xfId="1" applyNumberFormat="1" applyFont="1" applyFill="1" applyAlignment="1" applyProtection="1">
      <alignment horizontal="center" vertical="top" wrapText="1"/>
      <protection locked="0"/>
    </xf>
    <xf numFmtId="164" fontId="1" fillId="0" borderId="0" xfId="1" applyFill="1" applyProtection="1">
      <protection locked="0"/>
    </xf>
    <xf numFmtId="49" fontId="1" fillId="0" borderId="0" xfId="1" applyNumberFormat="1" applyFill="1" applyProtection="1">
      <protection locked="0"/>
    </xf>
    <xf numFmtId="49" fontId="3" fillId="0" borderId="0" xfId="1" applyNumberFormat="1" applyFont="1" applyFill="1" applyBorder="1" applyAlignment="1" applyProtection="1">
      <alignment horizontal="right"/>
      <protection locked="0"/>
    </xf>
    <xf numFmtId="49" fontId="4" fillId="0" borderId="0" xfId="1" applyNumberFormat="1" applyFont="1" applyFill="1" applyBorder="1" applyAlignment="1" applyProtection="1">
      <alignment horizontal="center"/>
      <protection locked="0"/>
    </xf>
    <xf numFmtId="49" fontId="5" fillId="0" borderId="0" xfId="1" applyNumberFormat="1" applyFont="1" applyFill="1" applyBorder="1" applyAlignment="1" applyProtection="1">
      <alignment horizontal="center" vertical="top" wrapText="1"/>
      <protection locked="0"/>
    </xf>
    <xf numFmtId="49" fontId="4" fillId="0" borderId="0" xfId="1" applyNumberFormat="1" applyFont="1" applyFill="1" applyBorder="1" applyAlignment="1" applyProtection="1">
      <alignment horizontal="left"/>
      <protection locked="0"/>
    </xf>
    <xf numFmtId="49" fontId="3" fillId="0" borderId="1" xfId="1" applyNumberFormat="1" applyFont="1" applyFill="1" applyBorder="1" applyAlignment="1" applyProtection="1">
      <alignment horizontal="center" vertical="top" wrapText="1"/>
      <protection locked="0"/>
    </xf>
    <xf numFmtId="164" fontId="2" fillId="0" borderId="0" xfId="1" applyFont="1" applyFill="1" applyBorder="1" applyAlignment="1" applyProtection="1">
      <alignment horizontal="left"/>
      <protection locked="0"/>
    </xf>
    <xf numFmtId="49" fontId="2" fillId="0" borderId="0" xfId="1" applyNumberFormat="1" applyFont="1" applyFill="1" applyBorder="1" applyAlignment="1" applyProtection="1">
      <alignment horizontal="left"/>
      <protection locked="0"/>
    </xf>
    <xf numFmtId="49" fontId="4" fillId="0" borderId="0" xfId="1" applyNumberFormat="1" applyFont="1" applyFill="1" applyBorder="1" applyAlignment="1" applyProtection="1">
      <alignment horizontal="left"/>
      <protection locked="0"/>
    </xf>
    <xf numFmtId="0" fontId="3" fillId="0" borderId="0" xfId="0" applyFont="1" applyAlignment="1">
      <alignment horizontal="right"/>
    </xf>
    <xf numFmtId="165" fontId="3" fillId="0" borderId="2" xfId="2" applyNumberFormat="1" applyFont="1" applyBorder="1"/>
    <xf numFmtId="49" fontId="3" fillId="0" borderId="0" xfId="1" applyNumberFormat="1" applyFont="1" applyFill="1" applyBorder="1" applyAlignment="1" applyProtection="1">
      <alignment horizontal="center" vertical="top" wrapText="1"/>
      <protection locked="0"/>
    </xf>
    <xf numFmtId="165" fontId="4" fillId="0" borderId="3" xfId="2" applyNumberFormat="1" applyFont="1" applyFill="1" applyBorder="1" applyAlignment="1" applyProtection="1">
      <alignment horizontal="right"/>
      <protection locked="0"/>
    </xf>
    <xf numFmtId="166" fontId="4" fillId="0" borderId="4" xfId="1" applyNumberFormat="1" applyFont="1" applyFill="1" applyBorder="1" applyAlignment="1" applyProtection="1">
      <alignment horizontal="right"/>
      <protection locked="0"/>
    </xf>
    <xf numFmtId="166" fontId="4" fillId="0" borderId="0" xfId="1" applyNumberFormat="1" applyFont="1" applyFill="1" applyBorder="1" applyAlignment="1" applyProtection="1">
      <alignment horizontal="right"/>
      <protection locked="0"/>
    </xf>
    <xf numFmtId="49" fontId="3" fillId="0" borderId="0" xfId="1" applyNumberFormat="1" applyFont="1" applyFill="1" applyBorder="1" applyAlignment="1" applyProtection="1">
      <alignment horizontal="right"/>
      <protection locked="0"/>
    </xf>
    <xf numFmtId="164" fontId="2" fillId="0" borderId="0" xfId="1" applyFont="1" applyFill="1" applyBorder="1" applyAlignment="1" applyProtection="1">
      <alignment horizontal="left"/>
      <protection locked="0"/>
    </xf>
    <xf numFmtId="49" fontId="4" fillId="0" borderId="0" xfId="1" applyNumberFormat="1" applyFont="1" applyFill="1" applyBorder="1" applyAlignment="1" applyProtection="1">
      <alignment horizontal="left"/>
      <protection locked="0"/>
    </xf>
    <xf numFmtId="49" fontId="2" fillId="0" borderId="0" xfId="1" applyNumberFormat="1" applyFont="1" applyFill="1" applyBorder="1" applyAlignment="1" applyProtection="1">
      <alignment horizontal="left"/>
      <protection locked="0"/>
    </xf>
  </cellXfs>
  <cellStyles count="3">
    <cellStyle name="Currency" xfId="2" builtinId="4"/>
    <cellStyle name="Normal" xfId="0" builtinId="0"/>
    <cellStyle name="Normal_JE_UPLOAD_sub" xfId="1" xr:uid="{E205DFBF-FEF3-42A4-9205-F158536D13AC}"/>
  </cellStyles>
  <dxfs count="1">
    <dxf>
      <font>
        <b/>
        <i val="0"/>
        <strike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D90562-4773-4E57-8E4E-3040D3218501}" mc:Ignorable="x14ac xr xr2 xr3">
  <x:sheetPr>
    <x:pageSetUpPr fitToPage="1"/>
  </x:sheetPr>
  <x:dimension ref="A1:L12"/>
  <x:sheetViews>
    <x:sheetView tabSelected="1" zoomScaleNormal="100" workbookViewId="0">
      <x:selection activeCell="J17" sqref="J17"/>
    </x:sheetView>
  </x:sheetViews>
  <x:sheetFormatPr defaultRowHeight="12.75" x14ac:dyDescent="0.2"/>
  <x:cols>
    <x:col min="2" max="2" width="7.140625" bestFit="1" customWidth="1"/>
    <x:col min="4" max="4" width="44.5703125" bestFit="1" customWidth="1"/>
    <x:col min="5" max="5" width="4" bestFit="1" customWidth="1"/>
    <x:col min="6" max="6" width="11.5703125" bestFit="1" customWidth="1"/>
    <x:col min="7" max="7" width="8.85546875" bestFit="1" customWidth="1"/>
    <x:col min="8" max="8" width="7.5703125" bestFit="1" customWidth="1"/>
    <x:col min="10" max="10" width="12.85546875" bestFit="1" customWidth="1"/>
    <x:col min="11" max="11" width="10.7109375" bestFit="1" customWidth="1"/>
    <x:col min="12" max="12" width="33.140625" bestFit="1" customWidth="1"/>
  </x:cols>
  <x:sheetData>
    <x:row r="1" spans="1:12" s="1" customFormat="1" ht="14.1" customHeight="1" x14ac:dyDescent="0.2">
      <x:c r="A1" s="19" t="s">
        <x:v>1</x:v>
      </x:c>
      <x:c r="B1" s="20"/>
      <x:c r="C1" s="21" t="s">
        <x:v>2</x:v>
      </x:c>
      <x:c r="D1" s="22"/>
      <x:c r="E1" s="22"/>
      <x:c r="F1" s="22"/>
      <x:c r="G1" s="22"/>
      <x:c r="H1" s="22"/>
      <x:c r="I1" s="22"/>
      <x:c r="J1" s="22"/>
      <x:c r="K1" s="5"/>
      <x:c r="L1" s="6"/>
    </x:row>
    <x:row r="2" spans="1:12" s="1" customFormat="1" ht="14.1" customHeight="1" x14ac:dyDescent="0.2">
      <x:c r="A2" s="5"/>
      <x:c r="B2" s="10"/>
      <x:c r="C2" s="8"/>
      <x:c r="D2" s="11"/>
      <x:c r="E2" s="11"/>
      <x:c r="F2" s="11"/>
      <x:c r="G2" s="11"/>
      <x:c r="H2" s="11"/>
      <x:c r="I2" s="11"/>
      <x:c r="J2" s="11"/>
      <x:c r="K2" s="5"/>
      <x:c r="L2" s="6"/>
    </x:row>
    <x:row r="3" spans="1:12" s="2" customFormat="1" ht="13.35" customHeight="1" thickBot="1" x14ac:dyDescent="0.25">
      <x:c r="A3" s="7" t="s">
        <x:v>3</x:v>
      </x:c>
      <x:c r="B3" s="9" t="s">
        <x:v>4</x:v>
      </x:c>
      <x:c r="C3" s="9" t="s">
        <x:v>5</x:v>
      </x:c>
      <x:c r="D3" s="9" t="s">
        <x:v>6</x:v>
      </x:c>
      <x:c r="E3" s="9" t="s">
        <x:v>7</x:v>
      </x:c>
      <x:c r="F3" s="9" t="s">
        <x:v>8</x:v>
      </x:c>
      <x:c r="G3" s="9" t="s">
        <x:v>9</x:v>
      </x:c>
      <x:c r="H3" s="9" t="s">
        <x:v>10</x:v>
      </x:c>
      <x:c r="I3" s="9" t="s">
        <x:v>11</x:v>
      </x:c>
      <x:c r="J3" s="15" t="s">
        <x:v>12</x:v>
      </x:c>
      <x:c r="K3" s="9" t="s">
        <x:v>13</x:v>
      </x:c>
      <x:c r="L3" s="9" t="s">
        <x:v>14</x:v>
      </x:c>
    </x:row>
    <x:row r="4" spans="1:12" s="3" customFormat="1" x14ac:dyDescent="0.2">
      <x:c r="A4" s="6"/>
      <x:c r="B4" s="6" t="s">
        <x:v>15</x:v>
      </x:c>
      <x:c r="C4" s="6" t="s">
        <x:v>16</x:v>
      </x:c>
      <x:c r="D4" s="8" t="s">
        <x:v>17</x:v>
      </x:c>
      <x:c r="E4" s="6" t="s">
        <x:v>18</x:v>
      </x:c>
      <x:c r="F4" s="6" t="s">
        <x:v>34</x:v>
      </x:c>
      <x:c r="G4" s="6" t="s">
        <x:v>19</x:v>
      </x:c>
      <x:c r="H4" s="6" t="s">
        <x:v>19</x:v>
      </x:c>
      <x:c r="I4" s="6" t="s">
        <x:v>0</x:v>
      </x:c>
      <x:c r="J4" s="16">
        <x:v>-246892.34</x:v>
      </x:c>
      <x:c r="K4" s="6" t="s">
        <x:v>35</x:v>
      </x:c>
      <x:c r="L4" s="6" t="s">
        <x:v>36</x:v>
      </x:c>
    </x:row>
    <x:row r="5" spans="1:12" s="3" customFormat="1" ht="13.5" thickBot="1" x14ac:dyDescent="0.25">
      <x:c r="A5" s="6"/>
      <x:c r="B5" s="6" t="s">
        <x:v>15</x:v>
      </x:c>
      <x:c r="C5" s="6" t="s">
        <x:v>16</x:v>
      </x:c>
      <x:c r="D5" s="8" t="s">
        <x:v>17</x:v>
      </x:c>
      <x:c r="E5" s="6" t="s">
        <x:v>21</x:v>
      </x:c>
      <x:c r="F5" s="6" t="s">
        <x:v>34</x:v>
      </x:c>
      <x:c r="G5" s="6" t="s">
        <x:v>19</x:v>
      </x:c>
      <x:c r="H5" s="6" t="s">
        <x:v>20</x:v>
      </x:c>
      <x:c r="I5" s="6" t="s">
        <x:v>22</x:v>
      </x:c>
      <x:c r="J5" s="17">
        <x:v>-20368.61</x:v>
      </x:c>
      <x:c r="K5" s="6" t="s">
        <x:v>35</x:v>
      </x:c>
      <x:c r="L5" s="6" t="s">
        <x:v>36</x:v>
      </x:c>
    </x:row>
    <x:row r="6" spans="1:12" s="3" customFormat="1" x14ac:dyDescent="0.2">
      <x:c r="A6" s="6"/>
      <x:c r="B6" s="6" t="s">
        <x:v>0</x:v>
      </x:c>
      <x:c r="C6" s="6" t="s">
        <x:v>25</x:v>
      </x:c>
      <x:c r="D6" s="12" t="s">
        <x:v>26</x:v>
      </x:c>
      <x:c r="E6" s="6" t="s">
        <x:v>27</x:v>
      </x:c>
      <x:c r="F6" s="6" t="s">
        <x:v>24</x:v>
      </x:c>
      <x:c r="G6" s="6" t="s">
        <x:v>19</x:v>
      </x:c>
      <x:c r="H6" s="6" t="s">
        <x:v>19</x:v>
      </x:c>
      <x:c r="I6" s="6" t="s">
        <x:v>15</x:v>
      </x:c>
      <x:c r="J6" s="18">
        <x:v>246892.34</x:v>
      </x:c>
      <x:c r="K6" s="6" t="s">
        <x:v>35</x:v>
      </x:c>
      <x:c r="L6" s="6" t="s">
        <x:v>36</x:v>
      </x:c>
    </x:row>
    <x:row r="7" spans="1:12" s="3" customFormat="1" x14ac:dyDescent="0.2">
      <x:c r="A7" s="4"/>
      <x:c r="B7" s="6" t="s">
        <x:v>0</x:v>
      </x:c>
      <x:c r="C7" s="6" t="s">
        <x:v>25</x:v>
      </x:c>
      <x:c r="D7" s="8" t="s">
        <x:v>30</x:v>
      </x:c>
      <x:c r="E7" s="6" t="s">
        <x:v>23</x:v>
      </x:c>
      <x:c r="F7" s="6" t="s">
        <x:v>24</x:v>
      </x:c>
      <x:c r="G7" s="6" t="s">
        <x:v>31</x:v>
      </x:c>
      <x:c r="H7" s="6" t="s">
        <x:v>19</x:v>
      </x:c>
      <x:c r="I7" s="6" t="s">
        <x:v>22</x:v>
      </x:c>
      <x:c r="J7" s="18">
        <x:v>2468.92</x:v>
      </x:c>
      <x:c r="K7" s="6" t="s">
        <x:v>35</x:v>
      </x:c>
      <x:c r="L7" s="6" t="s">
        <x:v>36</x:v>
      </x:c>
    </x:row>
    <x:row r="8" spans="1:12" x14ac:dyDescent="0.2">
      <x:c r="B8" s="6" t="s">
        <x:v>0</x:v>
      </x:c>
      <x:c r="C8" s="6" t="s">
        <x:v>25</x:v>
      </x:c>
      <x:c r="D8" s="8" t="s">
        <x:v>32</x:v>
      </x:c>
      <x:c r="E8" s="6" t="s">
        <x:v>23</x:v>
      </x:c>
      <x:c r="F8" s="6" t="s">
        <x:v>24</x:v>
      </x:c>
      <x:c r="G8" s="6" t="s">
        <x:v>33</x:v>
      </x:c>
      <x:c r="H8" s="6" t="s">
        <x:v>19</x:v>
      </x:c>
      <x:c r="I8" s="6" t="s">
        <x:v>22</x:v>
      </x:c>
      <x:c r="J8" s="18">
        <x:v>2468.92</x:v>
      </x:c>
      <x:c r="K8" s="6" t="s">
        <x:v>35</x:v>
      </x:c>
      <x:c r="L8" s="6" t="s">
        <x:v>36</x:v>
      </x:c>
    </x:row>
    <x:row r="9" spans="1:12" x14ac:dyDescent="0.2">
      <x:c r="B9" s="6" t="s">
        <x:v>0</x:v>
      </x:c>
      <x:c r="C9" s="6" t="s">
        <x:v>25</x:v>
      </x:c>
      <x:c r="D9" s="8" t="s">
        <x:v>28</x:v>
      </x:c>
      <x:c r="E9" s="6" t="s">
        <x:v>23</x:v>
      </x:c>
      <x:c r="F9" s="6" t="s">
        <x:v>24</x:v>
      </x:c>
      <x:c r="G9" s="6" t="s">
        <x:v>29</x:v>
      </x:c>
      <x:c r="H9" s="6" t="s">
        <x:v>19</x:v>
      </x:c>
      <x:c r="I9" s="6" t="s">
        <x:v>22</x:v>
      </x:c>
      <x:c r="J9" s="18">
        <x:v>15430.77</x:v>
      </x:c>
      <x:c r="K9" s="6" t="s">
        <x:v>35</x:v>
      </x:c>
      <x:c r="L9" s="6" t="s">
        <x:v>36</x:v>
      </x:c>
    </x:row>
    <x:row r="11" spans="1:12" ht="13.5" thickBot="1" x14ac:dyDescent="0.25">
      <x:c r="I11" s="13" t="s">
        <x:v>37</x:v>
      </x:c>
      <x:c r="J11" s="14">
        <x:f>+J4+J5</x:f>
        <x:v>-267260.95</x:v>
      </x:c>
    </x:row>
    <x:row r="12" spans="1:12" ht="13.5" thickTop="1" x14ac:dyDescent="0.2"/>
  </x:sheetData>
  <x:mergeCells count="2">
    <x:mergeCell ref="A1:B1"/>
    <x:mergeCell ref="C1:J1"/>
  </x:mergeCells>
  <x:conditionalFormatting sqref="L1:L2">
    <x:cfRule type="cellIs" dxfId="0" priority="1" stopIfTrue="1" operator="between">
      <x:formula>35431</x:formula>
      <x:formula>35461</x:formula>
    </x:cfRule>
  </x:conditionalFormatting>
  <x:pageMargins left="0.25" right="0.25" top="2" bottom="0.25" header="1" footer="0.3"/>
  <x:pageSetup scale="81" orientation="landscape" r:id="rId1"/>
  <x:headerFooter>
    <x:oddHeader>&amp;C&amp;"Arial,Bold"
ONCOR ELECTRIC DELIVERY COMPANY LLC
REMOVE AFFILIATE BILLING CORRECTION FROM 2023
FOR THE TEST YEAR ENDING DECEMBER 31, 2024
SPONSOR: R. PRACHYL&amp;R&amp;"Arial,Bold"WP/II-D ADJUSTMENT/35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2025-05-16T20:44:26.0000000Z</dcterms:modified>
</coreProperties>
</file>