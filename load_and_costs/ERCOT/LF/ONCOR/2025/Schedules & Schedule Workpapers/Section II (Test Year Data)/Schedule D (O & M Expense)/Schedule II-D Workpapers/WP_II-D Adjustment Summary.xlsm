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fileSharing readOnlyRecommended="1" userName="Logi, Jason" algorithmName="SHA-512" hashValue="Z3kix/4SH9Lc9+I+eJDjWuKjwy3sJrzvbrSDJsOxWmONqPV8gQgA9lna6sBT7QUHYs5FtIc/PSAvkNSIXAFHCg==" saltValue="fF3F6/TVf/QiiQ9za9dzxw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chedules &amp; Schedule Workpapers\Section II (Test Year Data)\Schedule D (O &amp; M Expense)\Schedule II-D Workpapers\"/>
    </mc:Choice>
  </mc:AlternateContent>
  <xr:revisionPtr revIDLastSave="0" documentId="13_ncr:10001_{A2520783-C525-467A-BFDA-640C543CB8B9}" xr6:coauthVersionLast="47" xr6:coauthVersionMax="47" xr10:uidLastSave="{00000000-0000-0000-0000-000000000000}"/>
  <bookViews>
    <workbookView xWindow="-120" yWindow="-120" windowWidth="29040" windowHeight="15720" tabRatio="987" xr2:uid="{00000000-000D-0000-FFFF-FFFF00000000}"/>
  </bookViews>
  <sheets>
    <sheet name="Total Summary" sheetId="16" r:id="rId1"/>
    <sheet name="Labor Summary" sheetId="42" r:id="rId2"/>
    <sheet name="Template" sheetId="17" r:id="rId3"/>
    <sheet name="Adj. #1" sheetId="143" r:id="rId4"/>
    <sheet name="Adj. #2" sheetId="144" r:id="rId5"/>
    <sheet name="Adj. #3" sheetId="145" r:id="rId6"/>
    <sheet name="Adj. #4" sheetId="146" r:id="rId7"/>
    <sheet name="Adj. #5" sheetId="147" r:id="rId8"/>
    <sheet name="Adj. #6" sheetId="148" r:id="rId9"/>
    <sheet name="Adj. #7" sheetId="149" r:id="rId10"/>
    <sheet name="Adj. #8" sheetId="150" r:id="rId11"/>
    <sheet name="Adj. #9" sheetId="151" r:id="rId12"/>
    <sheet name="Adj. #10" sheetId="152" r:id="rId13"/>
    <sheet name="Adj. #11" sheetId="153" r:id="rId14"/>
    <sheet name="Adj. #12" sheetId="154" r:id="rId15"/>
    <sheet name="Adj. #13" sheetId="155" r:id="rId16"/>
    <sheet name="Adj. #14" sheetId="156" r:id="rId17"/>
    <sheet name="Adj. #15" sheetId="157" r:id="rId18"/>
    <sheet name="Adj. #16" sheetId="158" r:id="rId19"/>
    <sheet name="Adj. #17" sheetId="159" r:id="rId20"/>
    <sheet name="Adj. #18" sheetId="160" r:id="rId21"/>
    <sheet name="Adj. #19" sheetId="161" r:id="rId22"/>
    <sheet name="Adj. #20" sheetId="162" r:id="rId23"/>
    <sheet name="Adj. #21" sheetId="163" r:id="rId24"/>
    <sheet name="Adj. #22" sheetId="164" r:id="rId25"/>
    <sheet name="Adj. #23" sheetId="165" r:id="rId26"/>
    <sheet name="Adj. #24" sheetId="166" r:id="rId27"/>
    <sheet name="Adj. #25" sheetId="167" r:id="rId28"/>
    <sheet name="Adj. #26" sheetId="168" r:id="rId29"/>
    <sheet name="Adj. #27" sheetId="169" r:id="rId30"/>
    <sheet name="Adj. #28" sheetId="170" r:id="rId31"/>
    <sheet name="Adj. #29" sheetId="171" r:id="rId32"/>
    <sheet name="Adj. #30" sheetId="172" r:id="rId33"/>
    <sheet name="Adj. #31" sheetId="173" r:id="rId34"/>
    <sheet name="Adj. #32" sheetId="174" r:id="rId35"/>
    <sheet name="Adj. #33" sheetId="175" r:id="rId36"/>
    <sheet name="Adj. #34" sheetId="176" r:id="rId37"/>
    <sheet name="Adj. #35" sheetId="177" r:id="rId38"/>
    <sheet name="Adj. #36" sheetId="178" r:id="rId39"/>
    <sheet name="Adj. #37" sheetId="179" r:id="rId40"/>
    <sheet name="Adj. #38" sheetId="180" r:id="rId41"/>
    <sheet name="Adj. #39" sheetId="181" r:id="rId42"/>
    <sheet name="Adj. #40" sheetId="182" r:id="rId43"/>
    <sheet name="Adj. #41" sheetId="183" r:id="rId44"/>
    <sheet name="Adj. #42" sheetId="184" r:id="rId45"/>
    <sheet name="Adj. #43" sheetId="185" r:id="rId46"/>
    <sheet name="Adj. #44" sheetId="186" r:id="rId47"/>
    <sheet name="Adj. #45" sheetId="187" r:id="rId48"/>
  </sheets>
  <externalReferences>
    <externalReference r:id="rId49"/>
    <externalReference r:id="rId50"/>
    <externalReference r:id="rId51"/>
    <externalReference r:id="rId52"/>
    <externalReference r:id="rId53"/>
  </externalReferences>
  <definedNames>
    <definedName name="_xlnm._FilterDatabase" localSheetId="3" hidden="1">'Adj. #1'!#REF!</definedName>
    <definedName name="_xlnm._FilterDatabase" localSheetId="12" hidden="1">'Adj. #10'!#REF!</definedName>
    <definedName name="_xlnm._FilterDatabase" localSheetId="13" hidden="1">'Adj. #11'!#REF!</definedName>
    <definedName name="_xlnm._FilterDatabase" localSheetId="14" hidden="1">'Adj. #12'!#REF!</definedName>
    <definedName name="_xlnm._FilterDatabase" localSheetId="15" hidden="1">'Adj. #13'!#REF!</definedName>
    <definedName name="_xlnm._FilterDatabase" localSheetId="16" hidden="1">'Adj. #14'!#REF!</definedName>
    <definedName name="_xlnm._FilterDatabase" localSheetId="17" hidden="1">'Adj. #15'!#REF!</definedName>
    <definedName name="_xlnm._FilterDatabase" localSheetId="18" hidden="1">'Adj. #16'!#REF!</definedName>
    <definedName name="_xlnm._FilterDatabase" localSheetId="19" hidden="1">'Adj. #17'!#REF!</definedName>
    <definedName name="_xlnm._FilterDatabase" localSheetId="20" hidden="1">'Adj. #18'!#REF!</definedName>
    <definedName name="_xlnm._FilterDatabase" localSheetId="21" hidden="1">'Adj. #19'!#REF!</definedName>
    <definedName name="_xlnm._FilterDatabase" localSheetId="4" hidden="1">'Adj. #2'!#REF!</definedName>
    <definedName name="_xlnm._FilterDatabase" localSheetId="22" hidden="1">'Adj. #20'!#REF!</definedName>
    <definedName name="_xlnm._FilterDatabase" localSheetId="23" hidden="1">'Adj. #21'!#REF!</definedName>
    <definedName name="_xlnm._FilterDatabase" localSheetId="24" hidden="1">'Adj. #22'!#REF!</definedName>
    <definedName name="_xlnm._FilterDatabase" localSheetId="25" hidden="1">'Adj. #23'!#REF!</definedName>
    <definedName name="_xlnm._FilterDatabase" localSheetId="26" hidden="1">'Adj. #24'!#REF!</definedName>
    <definedName name="_xlnm._FilterDatabase" localSheetId="27" hidden="1">'Adj. #25'!#REF!</definedName>
    <definedName name="_xlnm._FilterDatabase" localSheetId="28" hidden="1">'Adj. #26'!#REF!</definedName>
    <definedName name="_xlnm._FilterDatabase" localSheetId="29" hidden="1">'Adj. #27'!#REF!</definedName>
    <definedName name="_xlnm._FilterDatabase" localSheetId="30" hidden="1">'Adj. #28'!#REF!</definedName>
    <definedName name="_xlnm._FilterDatabase" localSheetId="31" hidden="1">'Adj. #29'!#REF!</definedName>
    <definedName name="_xlnm._FilterDatabase" localSheetId="5" hidden="1">'Adj. #3'!#REF!</definedName>
    <definedName name="_xlnm._FilterDatabase" localSheetId="32" hidden="1">'Adj. #30'!#REF!</definedName>
    <definedName name="_xlnm._FilterDatabase" localSheetId="33" hidden="1">'Adj. #31'!#REF!</definedName>
    <definedName name="_xlnm._FilterDatabase" localSheetId="34" hidden="1">'Adj. #32'!#REF!</definedName>
    <definedName name="_xlnm._FilterDatabase" localSheetId="35" hidden="1">'Adj. #33'!#REF!</definedName>
    <definedName name="_xlnm._FilterDatabase" localSheetId="36" hidden="1">'Adj. #34'!#REF!</definedName>
    <definedName name="_xlnm._FilterDatabase" localSheetId="37" hidden="1">'Adj. #35'!#REF!</definedName>
    <definedName name="_xlnm._FilterDatabase" localSheetId="38" hidden="1">'Adj. #36'!#REF!</definedName>
    <definedName name="_xlnm._FilterDatabase" localSheetId="39" hidden="1">'Adj. #37'!#REF!</definedName>
    <definedName name="_xlnm._FilterDatabase" localSheetId="40" hidden="1">'Adj. #38'!#REF!</definedName>
    <definedName name="_xlnm._FilterDatabase" localSheetId="41" hidden="1">'Adj. #39'!#REF!</definedName>
    <definedName name="_xlnm._FilterDatabase" localSheetId="6" hidden="1">'Adj. #4'!#REF!</definedName>
    <definedName name="_xlnm._FilterDatabase" localSheetId="42" hidden="1">'Adj. #40'!#REF!</definedName>
    <definedName name="_xlnm._FilterDatabase" localSheetId="43" hidden="1">'Adj. #41'!#REF!</definedName>
    <definedName name="_xlnm._FilterDatabase" localSheetId="44" hidden="1">'Adj. #42'!#REF!</definedName>
    <definedName name="_xlnm._FilterDatabase" localSheetId="45" hidden="1">'Adj. #43'!#REF!</definedName>
    <definedName name="_xlnm._FilterDatabase" localSheetId="46" hidden="1">'Adj. #44'!#REF!</definedName>
    <definedName name="_xlnm._FilterDatabase" localSheetId="47" hidden="1">'Adj. #45'!#REF!</definedName>
    <definedName name="_xlnm._FilterDatabase" localSheetId="7" hidden="1">'Adj. #5'!#REF!</definedName>
    <definedName name="_xlnm._FilterDatabase" localSheetId="8" hidden="1">'Adj. #6'!#REF!</definedName>
    <definedName name="_xlnm._FilterDatabase" localSheetId="9" hidden="1">'Adj. #7'!#REF!</definedName>
    <definedName name="_xlnm._FilterDatabase" localSheetId="10" hidden="1">'Adj. #8'!#REF!</definedName>
    <definedName name="_xlnm._FilterDatabase" localSheetId="11" hidden="1">'Adj. #9'!#REF!</definedName>
    <definedName name="_xlnm._FilterDatabase" localSheetId="2" hidden="1">Template!#REF!</definedName>
    <definedName name="_xlnm._FilterDatabase" localSheetId="0" hidden="1">'Total Summary'!#REF!</definedName>
    <definedName name="_xlnm.Print_Area" localSheetId="3">'Adj. #1'!$A$1:$M$26</definedName>
    <definedName name="_xlnm.Print_Area" localSheetId="12">'Adj. #10'!$A$1:$M$26</definedName>
    <definedName name="_xlnm.Print_Area" localSheetId="13">'Adj. #11'!$A$1:$M$26</definedName>
    <definedName name="_xlnm.Print_Area" localSheetId="14">'Adj. #12'!$A$1:$M$26</definedName>
    <definedName name="_xlnm.Print_Area" localSheetId="15">'Adj. #13'!$A$1:$M$26</definedName>
    <definedName name="_xlnm.Print_Area" localSheetId="16">'Adj. #14'!$A$1:$M$26</definedName>
    <definedName name="_xlnm.Print_Area" localSheetId="17">'Adj. #15'!$A$1:$M$26</definedName>
    <definedName name="_xlnm.Print_Area" localSheetId="18">'Adj. #16'!$A$1:$M$26</definedName>
    <definedName name="_xlnm.Print_Area" localSheetId="19">'Adj. #17'!$A$1:$M$26</definedName>
    <definedName name="_xlnm.Print_Area" localSheetId="20">'Adj. #18'!$A$1:$M$26</definedName>
    <definedName name="_xlnm.Print_Area" localSheetId="21">'Adj. #19'!$A$1:$M$26</definedName>
    <definedName name="_xlnm.Print_Area" localSheetId="4">'Adj. #2'!$A$1:$M$26</definedName>
    <definedName name="_xlnm.Print_Area" localSheetId="22">'Adj. #20'!$A$1:$M$26</definedName>
    <definedName name="_xlnm.Print_Area" localSheetId="23">'Adj. #21'!$A$1:$M$26</definedName>
    <definedName name="_xlnm.Print_Area" localSheetId="24">'Adj. #22'!$A$1:$M$26</definedName>
    <definedName name="_xlnm.Print_Area" localSheetId="25">'Adj. #23'!$A$1:$M$29</definedName>
    <definedName name="_xlnm.Print_Area" localSheetId="26">'Adj. #24'!$A$1:$M$32</definedName>
    <definedName name="_xlnm.Print_Area" localSheetId="27">'Adj. #25'!$A$1:$M$26</definedName>
    <definedName name="_xlnm.Print_Area" localSheetId="28">'Adj. #26'!$A$1:$M$26</definedName>
    <definedName name="_xlnm.Print_Area" localSheetId="29">'Adj. #27'!$A$1:$M$26</definedName>
    <definedName name="_xlnm.Print_Area" localSheetId="30">'Adj. #28'!$A$1:$M$26</definedName>
    <definedName name="_xlnm.Print_Area" localSheetId="31">'Adj. #29'!$A$1:$M$31</definedName>
    <definedName name="_xlnm.Print_Area" localSheetId="5">'Adj. #3'!$A$1:$M$26</definedName>
    <definedName name="_xlnm.Print_Area" localSheetId="32">'Adj. #30'!$A$1:$M$28</definedName>
    <definedName name="_xlnm.Print_Area" localSheetId="33">'Adj. #31'!$A$1:$M$26</definedName>
    <definedName name="_xlnm.Print_Area" localSheetId="34">'Adj. #32'!$A$1:$M$36</definedName>
    <definedName name="_xlnm.Print_Area" localSheetId="35">'Adj. #33'!$A$1:$M$26</definedName>
    <definedName name="_xlnm.Print_Area" localSheetId="36">'Adj. #34'!$A$1:$M$26</definedName>
    <definedName name="_xlnm.Print_Area" localSheetId="37">'Adj. #35'!$A$1:$M$26</definedName>
    <definedName name="_xlnm.Print_Area" localSheetId="38">'Adj. #36'!$A$1:$M$26</definedName>
    <definedName name="_xlnm.Print_Area" localSheetId="39">'Adj. #37'!$A$1:$M$26</definedName>
    <definedName name="_xlnm.Print_Area" localSheetId="40">'Adj. #38'!$A$1:$M$26</definedName>
    <definedName name="_xlnm.Print_Area" localSheetId="41">'Adj. #39'!$A$1:$M$26</definedName>
    <definedName name="_xlnm.Print_Area" localSheetId="6">'Adj. #4'!$A$1:$M$26</definedName>
    <definedName name="_xlnm.Print_Area" localSheetId="42">'Adj. #40'!$A$1:$M$26</definedName>
    <definedName name="_xlnm.Print_Area" localSheetId="43">'Adj. #41'!$A$1:$M$26</definedName>
    <definedName name="_xlnm.Print_Area" localSheetId="44">'Adj. #42'!$A$1:$M$34</definedName>
    <definedName name="_xlnm.Print_Area" localSheetId="45">'Adj. #43'!$A$1:$M$26</definedName>
    <definedName name="_xlnm.Print_Area" localSheetId="46">'Adj. #44'!$A$1:$M$27</definedName>
    <definedName name="_xlnm.Print_Area" localSheetId="47">'Adj. #45'!$A$1:$M$27</definedName>
    <definedName name="_xlnm.Print_Area" localSheetId="7">'Adj. #5'!$A$1:$M$26</definedName>
    <definedName name="_xlnm.Print_Area" localSheetId="8">'Adj. #6'!$A$1:$M$26</definedName>
    <definedName name="_xlnm.Print_Area" localSheetId="9">'Adj. #7'!$A$1:$M$26</definedName>
    <definedName name="_xlnm.Print_Area" localSheetId="10">'Adj. #8'!$A$1:$M$26</definedName>
    <definedName name="_xlnm.Print_Area" localSheetId="11">'Adj. #9'!$A$1:$M$26</definedName>
    <definedName name="_xlnm.Print_Area" localSheetId="1">'Labor Summary'!$Q$92:$R$95</definedName>
    <definedName name="_xlnm.Print_Area" localSheetId="2">Template!$A$1:$M$26</definedName>
    <definedName name="_xlnm.Print_Area" localSheetId="0">'Total Summary'!$B$85:$J$164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47" l="1"/>
  <c r="D23" i="147"/>
  <c r="E9" i="143"/>
  <c r="I24" i="159"/>
  <c r="F23" i="159"/>
  <c r="E23" i="159"/>
  <c r="D23" i="159"/>
  <c r="M24" i="158"/>
  <c r="L24" i="158"/>
  <c r="J24" i="158"/>
  <c r="I24" i="158"/>
  <c r="D23" i="158"/>
  <c r="M23" i="157"/>
  <c r="L23" i="157"/>
  <c r="J23" i="157"/>
  <c r="I23" i="157"/>
  <c r="G23" i="157"/>
  <c r="F23" i="157"/>
  <c r="E23" i="157"/>
  <c r="M23" i="156"/>
  <c r="L23" i="156"/>
  <c r="J23" i="156"/>
  <c r="I23" i="156"/>
  <c r="G23" i="156"/>
  <c r="F23" i="156"/>
  <c r="E23" i="156"/>
  <c r="M23" i="155"/>
  <c r="L23" i="155"/>
  <c r="J23" i="155"/>
  <c r="I23" i="155"/>
  <c r="G23" i="155"/>
  <c r="F23" i="155"/>
  <c r="E23" i="155"/>
  <c r="M24" i="154"/>
  <c r="L24" i="154"/>
  <c r="J24" i="154"/>
  <c r="I24" i="154"/>
  <c r="G24" i="154"/>
  <c r="F24" i="154"/>
  <c r="E24" i="154"/>
  <c r="M23" i="154"/>
  <c r="L23" i="154"/>
  <c r="J23" i="154"/>
  <c r="I23" i="154"/>
  <c r="G23" i="154"/>
  <c r="F23" i="154"/>
  <c r="E23" i="154"/>
  <c r="D23" i="154"/>
  <c r="G15" i="171"/>
  <c r="F15" i="171"/>
  <c r="G13" i="171"/>
  <c r="F13" i="171"/>
  <c r="M9" i="163"/>
  <c r="M9" i="162"/>
  <c r="M9" i="161"/>
  <c r="M9" i="160"/>
  <c r="M9" i="159"/>
  <c r="M9" i="158"/>
  <c r="M9" i="157"/>
  <c r="M9" i="156"/>
  <c r="M9" i="155"/>
  <c r="D24" i="154"/>
  <c r="M9" i="154"/>
  <c r="M25" i="185"/>
  <c r="L25" i="185"/>
  <c r="J25" i="185"/>
  <c r="I25" i="185"/>
  <c r="G25" i="185"/>
  <c r="F25" i="185"/>
  <c r="E25" i="185"/>
  <c r="M23" i="181"/>
  <c r="L23" i="181"/>
  <c r="J23" i="181"/>
  <c r="I23" i="181"/>
  <c r="G23" i="181"/>
  <c r="F23" i="181"/>
  <c r="E23" i="181"/>
  <c r="M23" i="180"/>
  <c r="L23" i="180"/>
  <c r="J23" i="180"/>
  <c r="I23" i="180"/>
  <c r="G23" i="180"/>
  <c r="F23" i="180"/>
  <c r="E23" i="180"/>
  <c r="M23" i="168"/>
  <c r="L23" i="168"/>
  <c r="J23" i="168"/>
  <c r="I23" i="168"/>
  <c r="G23" i="168"/>
  <c r="F23" i="168"/>
  <c r="E23" i="168"/>
  <c r="M25" i="153"/>
  <c r="L25" i="153"/>
  <c r="J25" i="153"/>
  <c r="I25" i="153"/>
  <c r="G25" i="153"/>
  <c r="F25" i="153"/>
  <c r="E25" i="153"/>
  <c r="M23" i="152"/>
  <c r="L23" i="152"/>
  <c r="J23" i="152"/>
  <c r="G23" i="152"/>
  <c r="F23" i="152"/>
  <c r="E23" i="152"/>
  <c r="M23" i="151"/>
  <c r="L23" i="151"/>
  <c r="J23" i="151"/>
  <c r="G23" i="151"/>
  <c r="F23" i="151"/>
  <c r="E23" i="151"/>
  <c r="M23" i="150"/>
  <c r="L23" i="150"/>
  <c r="J23" i="150"/>
  <c r="G23" i="150"/>
  <c r="F23" i="150"/>
  <c r="E23" i="150"/>
  <c r="M23" i="149"/>
  <c r="L23" i="149"/>
  <c r="J23" i="149"/>
  <c r="I23" i="149"/>
  <c r="G23" i="149"/>
  <c r="F23" i="149"/>
  <c r="E23" i="149"/>
  <c r="M23" i="148"/>
  <c r="L23" i="148"/>
  <c r="J23" i="148"/>
  <c r="I23" i="148"/>
  <c r="G23" i="148"/>
  <c r="F23" i="148"/>
  <c r="E23" i="148"/>
  <c r="M25" i="146"/>
  <c r="L25" i="146"/>
  <c r="J25" i="146"/>
  <c r="G25" i="146"/>
  <c r="F25" i="146"/>
  <c r="E25" i="146"/>
  <c r="F11" i="144"/>
  <c r="E11" i="143"/>
  <c r="I10" i="143"/>
  <c r="L77" i="16"/>
  <c r="K77" i="16"/>
  <c r="I77" i="16"/>
  <c r="H77" i="16"/>
  <c r="F77" i="16"/>
  <c r="E77" i="16"/>
  <c r="D77" i="16"/>
  <c r="L35" i="16"/>
  <c r="K35" i="16"/>
  <c r="I35" i="16"/>
  <c r="H35" i="16"/>
  <c r="F35" i="16"/>
  <c r="E35" i="16"/>
  <c r="D35" i="16"/>
  <c r="L5" i="16"/>
  <c r="K5" i="16"/>
  <c r="I5" i="16"/>
  <c r="H5" i="16"/>
  <c r="F5" i="16"/>
  <c r="E5" i="16"/>
  <c r="D5" i="16"/>
  <c r="D138" i="16"/>
  <c r="E26" i="187"/>
  <c r="E25" i="187"/>
  <c r="E24" i="187"/>
  <c r="E23" i="187"/>
  <c r="K24" i="187" l="1"/>
  <c r="I24" i="187"/>
  <c r="H24" i="187"/>
  <c r="M14" i="187"/>
  <c r="M27" i="187"/>
  <c r="L27" i="187"/>
  <c r="J27" i="187"/>
  <c r="G27" i="187"/>
  <c r="F27" i="187"/>
  <c r="E27" i="187"/>
  <c r="K26" i="187"/>
  <c r="H26" i="187"/>
  <c r="I25" i="187"/>
  <c r="I27" i="187" s="1"/>
  <c r="H25" i="187"/>
  <c r="K23" i="187"/>
  <c r="H23" i="187"/>
  <c r="N24" i="187" l="1"/>
  <c r="H27" i="187"/>
  <c r="K25" i="187"/>
  <c r="N25" i="187" s="1"/>
  <c r="D27" i="187"/>
  <c r="N23" i="187"/>
  <c r="N26" i="187"/>
  <c r="K27" i="187" l="1"/>
  <c r="N27" i="187" s="1"/>
  <c r="L45" i="16" l="1"/>
  <c r="K45" i="16"/>
  <c r="I45" i="16"/>
  <c r="H45" i="16"/>
  <c r="F45" i="16"/>
  <c r="E45" i="16"/>
  <c r="D45" i="16"/>
  <c r="D137" i="16"/>
  <c r="K26" i="186"/>
  <c r="H26" i="186"/>
  <c r="K25" i="186"/>
  <c r="H25" i="186"/>
  <c r="K24" i="186"/>
  <c r="H24" i="186"/>
  <c r="N25" i="186" l="1"/>
  <c r="M27" i="186"/>
  <c r="L27" i="186"/>
  <c r="J27" i="186"/>
  <c r="G27" i="186"/>
  <c r="F27" i="186"/>
  <c r="E27" i="186"/>
  <c r="I27" i="186"/>
  <c r="K23" i="186"/>
  <c r="H23" i="186"/>
  <c r="M14" i="186"/>
  <c r="N26" i="186" l="1"/>
  <c r="N24" i="186"/>
  <c r="H27" i="186"/>
  <c r="N23" i="186"/>
  <c r="D27" i="186"/>
  <c r="K27" i="186" l="1"/>
  <c r="N27" i="186" s="1"/>
  <c r="M23" i="167" l="1"/>
  <c r="F29" i="16" l="1"/>
  <c r="E29" i="16"/>
  <c r="D29" i="16"/>
  <c r="L9" i="16"/>
  <c r="K9" i="16"/>
  <c r="I9" i="16"/>
  <c r="H9" i="16"/>
  <c r="F9" i="16"/>
  <c r="E9" i="16"/>
  <c r="D136" i="16"/>
  <c r="O63" i="16"/>
  <c r="O62" i="16"/>
  <c r="O61" i="16"/>
  <c r="O60" i="16"/>
  <c r="O59" i="16"/>
  <c r="O58" i="16"/>
  <c r="O56" i="16"/>
  <c r="O55" i="16"/>
  <c r="O54" i="16"/>
  <c r="O53" i="16"/>
  <c r="O52" i="16"/>
  <c r="O51" i="16"/>
  <c r="O48" i="16"/>
  <c r="O46" i="16"/>
  <c r="O44" i="16"/>
  <c r="O41" i="16"/>
  <c r="O40" i="16"/>
  <c r="O39" i="16"/>
  <c r="O38" i="16"/>
  <c r="O37" i="16"/>
  <c r="O36" i="16"/>
  <c r="O34" i="16"/>
  <c r="O33" i="16"/>
  <c r="O30" i="16"/>
  <c r="O28" i="16"/>
  <c r="O27" i="16"/>
  <c r="O26" i="16"/>
  <c r="O25" i="16"/>
  <c r="O23" i="16"/>
  <c r="O22" i="16"/>
  <c r="O21" i="16"/>
  <c r="O19" i="16"/>
  <c r="O18" i="16"/>
  <c r="O17" i="16"/>
  <c r="O16" i="16"/>
  <c r="O15" i="16"/>
  <c r="O14" i="16"/>
  <c r="O13" i="16"/>
  <c r="O4" i="16"/>
  <c r="O7" i="16"/>
  <c r="O10" i="16"/>
  <c r="O3" i="16"/>
  <c r="I24" i="185"/>
  <c r="E23" i="185"/>
  <c r="M9" i="185"/>
  <c r="M26" i="185" l="1"/>
  <c r="L26" i="185"/>
  <c r="J26" i="185"/>
  <c r="I26" i="185"/>
  <c r="G26" i="185"/>
  <c r="F26" i="185"/>
  <c r="E26" i="185"/>
  <c r="K25" i="185"/>
  <c r="H25" i="185"/>
  <c r="K24" i="185"/>
  <c r="H24" i="185"/>
  <c r="K23" i="185"/>
  <c r="H23" i="185"/>
  <c r="M14" i="185"/>
  <c r="N24" i="185" l="1"/>
  <c r="H26" i="185"/>
  <c r="N25" i="185"/>
  <c r="D26" i="185"/>
  <c r="N23" i="185"/>
  <c r="K26" i="185"/>
  <c r="I24" i="172"/>
  <c r="N26" i="185" l="1"/>
  <c r="K35" i="174"/>
  <c r="K34" i="174"/>
  <c r="K33" i="174"/>
  <c r="H33" i="174"/>
  <c r="K31" i="174"/>
  <c r="L36" i="16"/>
  <c r="K36" i="16"/>
  <c r="K30" i="174"/>
  <c r="I36" i="16"/>
  <c r="E36" i="16"/>
  <c r="L25" i="16"/>
  <c r="K25" i="16"/>
  <c r="I25" i="16"/>
  <c r="D25" i="16"/>
  <c r="K27" i="174"/>
  <c r="K26" i="174"/>
  <c r="K25" i="174"/>
  <c r="H25" i="174"/>
  <c r="F36" i="174"/>
  <c r="L41" i="16"/>
  <c r="K41" i="16"/>
  <c r="I41" i="16"/>
  <c r="F41" i="16"/>
  <c r="E41" i="16"/>
  <c r="D41" i="16"/>
  <c r="L39" i="16"/>
  <c r="K39" i="16"/>
  <c r="I39" i="16"/>
  <c r="H39" i="16"/>
  <c r="F39" i="16"/>
  <c r="E39" i="16"/>
  <c r="D39" i="16"/>
  <c r="L38" i="16"/>
  <c r="K38" i="16"/>
  <c r="I38" i="16"/>
  <c r="F38" i="16"/>
  <c r="E38" i="16"/>
  <c r="D38" i="16"/>
  <c r="L37" i="16"/>
  <c r="K37" i="16"/>
  <c r="I37" i="16"/>
  <c r="F37" i="16"/>
  <c r="E37" i="16"/>
  <c r="D37" i="16"/>
  <c r="F36" i="16"/>
  <c r="L33" i="16"/>
  <c r="K33" i="16"/>
  <c r="I33" i="16"/>
  <c r="H33" i="16"/>
  <c r="F33" i="16"/>
  <c r="E33" i="16"/>
  <c r="D33" i="16"/>
  <c r="L27" i="16"/>
  <c r="I27" i="16"/>
  <c r="H27" i="16"/>
  <c r="F27" i="16"/>
  <c r="E27" i="16"/>
  <c r="D27" i="16"/>
  <c r="H25" i="16"/>
  <c r="F25" i="16"/>
  <c r="E25" i="16"/>
  <c r="L25" i="184"/>
  <c r="K27" i="16" s="1"/>
  <c r="H25" i="184"/>
  <c r="K25" i="184"/>
  <c r="H26" i="184"/>
  <c r="I26" i="184"/>
  <c r="K26" i="184" s="1"/>
  <c r="H27" i="184"/>
  <c r="I27" i="184"/>
  <c r="K27" i="184" s="1"/>
  <c r="H28" i="184"/>
  <c r="I28" i="184"/>
  <c r="H36" i="16" s="1"/>
  <c r="H29" i="184"/>
  <c r="I29" i="184"/>
  <c r="H37" i="16" s="1"/>
  <c r="K29" i="184"/>
  <c r="H30" i="184"/>
  <c r="I30" i="184"/>
  <c r="K30" i="184" s="1"/>
  <c r="H31" i="184"/>
  <c r="I31" i="184"/>
  <c r="K31" i="184" s="1"/>
  <c r="H32" i="184"/>
  <c r="I32" i="184"/>
  <c r="H41" i="16" s="1"/>
  <c r="K32" i="184"/>
  <c r="I24" i="184"/>
  <c r="I23" i="184"/>
  <c r="H24" i="174" l="1"/>
  <c r="K28" i="174"/>
  <c r="I36" i="174"/>
  <c r="K24" i="174"/>
  <c r="H31" i="174"/>
  <c r="K28" i="184"/>
  <c r="H29" i="174"/>
  <c r="H35" i="174"/>
  <c r="N35" i="174" s="1"/>
  <c r="H27" i="174"/>
  <c r="K29" i="174"/>
  <c r="H38" i="16"/>
  <c r="H30" i="174"/>
  <c r="H32" i="174"/>
  <c r="H34" i="174"/>
  <c r="J36" i="174"/>
  <c r="H28" i="174"/>
  <c r="H26" i="174"/>
  <c r="K32" i="174"/>
  <c r="L36" i="174"/>
  <c r="M36" i="174"/>
  <c r="D36" i="16"/>
  <c r="G36" i="174"/>
  <c r="E36" i="174"/>
  <c r="D36" i="174"/>
  <c r="N25" i="184"/>
  <c r="N26" i="184"/>
  <c r="K24" i="184"/>
  <c r="N27" i="184"/>
  <c r="N29" i="184"/>
  <c r="N31" i="184"/>
  <c r="H24" i="184"/>
  <c r="L24" i="16"/>
  <c r="K24" i="16"/>
  <c r="I24" i="16"/>
  <c r="F24" i="16"/>
  <c r="E24" i="16"/>
  <c r="N24" i="184" l="1"/>
  <c r="N30" i="184"/>
  <c r="N28" i="184"/>
  <c r="M34" i="184" l="1"/>
  <c r="L34" i="184"/>
  <c r="J34" i="184"/>
  <c r="G34" i="184"/>
  <c r="F34" i="184"/>
  <c r="K33" i="184"/>
  <c r="N33" i="184" s="1"/>
  <c r="H33" i="184"/>
  <c r="K23" i="184"/>
  <c r="M14" i="184"/>
  <c r="D135" i="16" s="1"/>
  <c r="D24" i="16" l="1"/>
  <c r="H23" i="184" l="1"/>
  <c r="H34" i="184" s="1"/>
  <c r="E34" i="184"/>
  <c r="N32" i="184" l="1"/>
  <c r="I34" i="184"/>
  <c r="D34" i="184"/>
  <c r="N23" i="184"/>
  <c r="I15" i="143"/>
  <c r="G11" i="143"/>
  <c r="K34" i="184" l="1"/>
  <c r="N34" i="184" s="1"/>
  <c r="F11" i="166"/>
  <c r="L26" i="183" l="1"/>
  <c r="J26" i="183"/>
  <c r="G26" i="183"/>
  <c r="F26" i="183"/>
  <c r="E26" i="183"/>
  <c r="K25" i="183"/>
  <c r="H25" i="183"/>
  <c r="I24" i="183"/>
  <c r="I26" i="183" s="1"/>
  <c r="H24" i="183"/>
  <c r="K23" i="183"/>
  <c r="H23" i="183"/>
  <c r="M14" i="183"/>
  <c r="D23" i="183" s="1"/>
  <c r="M23" i="183" s="1"/>
  <c r="M26" i="183" s="1"/>
  <c r="H26" i="183" l="1"/>
  <c r="N25" i="183"/>
  <c r="D134" i="16"/>
  <c r="D26" i="183"/>
  <c r="N23" i="183"/>
  <c r="K24" i="183"/>
  <c r="N24" i="183" s="1"/>
  <c r="K26" i="183" l="1"/>
  <c r="N26" i="183" s="1"/>
  <c r="K25" i="182"/>
  <c r="H25" i="182"/>
  <c r="I24" i="182"/>
  <c r="K24" i="182" s="1"/>
  <c r="N24" i="182" s="1"/>
  <c r="H24" i="182"/>
  <c r="M14" i="182"/>
  <c r="D132" i="16"/>
  <c r="N25" i="182" l="1"/>
  <c r="D23" i="182"/>
  <c r="I23" i="182" s="1"/>
  <c r="D133" i="16"/>
  <c r="D26" i="182"/>
  <c r="K25" i="181"/>
  <c r="N25" i="181" s="1"/>
  <c r="H25" i="181"/>
  <c r="I24" i="181"/>
  <c r="K24" i="181" s="1"/>
  <c r="N24" i="181" s="1"/>
  <c r="H24" i="181"/>
  <c r="M14" i="181"/>
  <c r="D23" i="181" s="1"/>
  <c r="D131" i="16"/>
  <c r="M26" i="180"/>
  <c r="L26" i="180"/>
  <c r="J26" i="180"/>
  <c r="G26" i="180"/>
  <c r="F26" i="180"/>
  <c r="E26" i="180"/>
  <c r="K25" i="180"/>
  <c r="H25" i="180"/>
  <c r="I24" i="180"/>
  <c r="K24" i="180" s="1"/>
  <c r="N24" i="180" s="1"/>
  <c r="H24" i="180"/>
  <c r="M14" i="180"/>
  <c r="D23" i="180" s="1"/>
  <c r="K24" i="179"/>
  <c r="G26" i="179"/>
  <c r="M14" i="179"/>
  <c r="D130" i="16" s="1"/>
  <c r="J26" i="179"/>
  <c r="I25" i="178"/>
  <c r="I24" i="178"/>
  <c r="E23" i="178"/>
  <c r="H23" i="178" s="1"/>
  <c r="H26" i="178" s="1"/>
  <c r="M14" i="178"/>
  <c r="D129" i="16" s="1"/>
  <c r="M26" i="178"/>
  <c r="L26" i="178"/>
  <c r="J26" i="178"/>
  <c r="G26" i="178"/>
  <c r="F26" i="178"/>
  <c r="H25" i="178"/>
  <c r="H24" i="178"/>
  <c r="K23" i="178"/>
  <c r="N25" i="180" l="1"/>
  <c r="K25" i="178"/>
  <c r="L74" i="16"/>
  <c r="K74" i="16"/>
  <c r="H74" i="16"/>
  <c r="E74" i="16"/>
  <c r="F74" i="16"/>
  <c r="D74" i="16"/>
  <c r="I74" i="16"/>
  <c r="H25" i="179"/>
  <c r="M26" i="179"/>
  <c r="I25" i="179"/>
  <c r="K25" i="179" s="1"/>
  <c r="N25" i="179" s="1"/>
  <c r="E26" i="179"/>
  <c r="L26" i="179"/>
  <c r="H23" i="179"/>
  <c r="H26" i="179" s="1"/>
  <c r="F26" i="179"/>
  <c r="D26" i="181"/>
  <c r="K23" i="180"/>
  <c r="K26" i="180" s="1"/>
  <c r="I26" i="180"/>
  <c r="H23" i="180"/>
  <c r="H26" i="180" s="1"/>
  <c r="D26" i="180"/>
  <c r="K23" i="179"/>
  <c r="H24" i="179"/>
  <c r="N24" i="179" s="1"/>
  <c r="D26" i="179"/>
  <c r="I26" i="178"/>
  <c r="K24" i="178"/>
  <c r="K26" i="178" s="1"/>
  <c r="E26" i="178"/>
  <c r="N25" i="178"/>
  <c r="N23" i="178"/>
  <c r="D26" i="178"/>
  <c r="M14" i="177"/>
  <c r="D23" i="177" s="1"/>
  <c r="F23" i="177" s="1"/>
  <c r="M26" i="177"/>
  <c r="L26" i="177"/>
  <c r="J26" i="177"/>
  <c r="G26" i="177"/>
  <c r="E26" i="177"/>
  <c r="K25" i="177"/>
  <c r="H25" i="177"/>
  <c r="I24" i="177"/>
  <c r="K24" i="177" s="1"/>
  <c r="N24" i="177" s="1"/>
  <c r="H24" i="177"/>
  <c r="K23" i="177"/>
  <c r="F26" i="181" l="1"/>
  <c r="M26" i="181"/>
  <c r="K26" i="177"/>
  <c r="J26" i="181"/>
  <c r="I26" i="177"/>
  <c r="K23" i="181"/>
  <c r="K26" i="181" s="1"/>
  <c r="I26" i="181"/>
  <c r="N25" i="177"/>
  <c r="E26" i="181"/>
  <c r="H23" i="181"/>
  <c r="H26" i="181" s="1"/>
  <c r="L26" i="181"/>
  <c r="I26" i="179"/>
  <c r="G26" i="181"/>
  <c r="I26" i="182"/>
  <c r="K23" i="182"/>
  <c r="K26" i="182" s="1"/>
  <c r="L26" i="182"/>
  <c r="M26" i="182"/>
  <c r="E26" i="182"/>
  <c r="H23" i="182"/>
  <c r="H26" i="182" s="1"/>
  <c r="G26" i="182"/>
  <c r="F26" i="182"/>
  <c r="J26" i="182"/>
  <c r="K26" i="179"/>
  <c r="N26" i="179" s="1"/>
  <c r="N23" i="179"/>
  <c r="F26" i="177"/>
  <c r="D128" i="16"/>
  <c r="N23" i="180"/>
  <c r="N26" i="180"/>
  <c r="N24" i="178"/>
  <c r="N26" i="178"/>
  <c r="H23" i="177"/>
  <c r="N23" i="177"/>
  <c r="D26" i="177"/>
  <c r="N26" i="181" l="1"/>
  <c r="N23" i="181"/>
  <c r="N23" i="182"/>
  <c r="N26" i="182"/>
  <c r="H26" i="177"/>
  <c r="N26" i="177" s="1"/>
  <c r="L6" i="16" l="1"/>
  <c r="K6" i="16"/>
  <c r="I6" i="16"/>
  <c r="F6" i="16"/>
  <c r="E26" i="176"/>
  <c r="M14" i="176"/>
  <c r="D23" i="176" s="1"/>
  <c r="F23" i="176" s="1"/>
  <c r="F26" i="176" s="1"/>
  <c r="M26" i="176"/>
  <c r="L26" i="176"/>
  <c r="J26" i="176"/>
  <c r="G26" i="176"/>
  <c r="K25" i="176"/>
  <c r="H25" i="176"/>
  <c r="I24" i="176"/>
  <c r="I26" i="176" s="1"/>
  <c r="H24" i="176"/>
  <c r="K23" i="176"/>
  <c r="D127" i="16" l="1"/>
  <c r="K24" i="176"/>
  <c r="N24" i="176" s="1"/>
  <c r="N25" i="176"/>
  <c r="K26" i="176"/>
  <c r="H23" i="176"/>
  <c r="N23" i="176" s="1"/>
  <c r="D26" i="176"/>
  <c r="L26" i="175"/>
  <c r="J26" i="175"/>
  <c r="G26" i="175"/>
  <c r="F26" i="175"/>
  <c r="E26" i="175"/>
  <c r="K25" i="175"/>
  <c r="H25" i="175"/>
  <c r="I24" i="175"/>
  <c r="K24" i="175" s="1"/>
  <c r="H24" i="175"/>
  <c r="K23" i="175"/>
  <c r="H23" i="175"/>
  <c r="M14" i="175"/>
  <c r="K53" i="16"/>
  <c r="I53" i="16"/>
  <c r="E53" i="16"/>
  <c r="D53" i="16"/>
  <c r="K46" i="16"/>
  <c r="I46" i="16"/>
  <c r="F46" i="16"/>
  <c r="E46" i="16"/>
  <c r="D46" i="16"/>
  <c r="L21" i="16"/>
  <c r="K21" i="16"/>
  <c r="I21" i="16"/>
  <c r="H21" i="16"/>
  <c r="F21" i="16"/>
  <c r="E21" i="16"/>
  <c r="D21" i="16"/>
  <c r="L4" i="16"/>
  <c r="K4" i="16"/>
  <c r="I4" i="16"/>
  <c r="H4" i="16"/>
  <c r="F4" i="16"/>
  <c r="E4" i="16"/>
  <c r="D4" i="16"/>
  <c r="L3" i="16"/>
  <c r="K3" i="16"/>
  <c r="I3" i="16"/>
  <c r="F3" i="16"/>
  <c r="E3" i="16"/>
  <c r="H23" i="174"/>
  <c r="M14" i="174"/>
  <c r="D125" i="16" s="1"/>
  <c r="L26" i="173"/>
  <c r="I26" i="173"/>
  <c r="G26" i="173"/>
  <c r="F26" i="173"/>
  <c r="H23" i="173"/>
  <c r="M14" i="173"/>
  <c r="D124" i="16" s="1"/>
  <c r="K24" i="173"/>
  <c r="K23" i="173"/>
  <c r="H26" i="175" l="1"/>
  <c r="I26" i="175"/>
  <c r="K23" i="174"/>
  <c r="K36" i="174" s="1"/>
  <c r="H3" i="16"/>
  <c r="H46" i="16"/>
  <c r="M26" i="173"/>
  <c r="N30" i="174"/>
  <c r="N25" i="175"/>
  <c r="H36" i="174"/>
  <c r="D3" i="16"/>
  <c r="N29" i="174"/>
  <c r="F53" i="16"/>
  <c r="K25" i="173"/>
  <c r="K26" i="173" s="1"/>
  <c r="K26" i="175"/>
  <c r="N33" i="174"/>
  <c r="H53" i="16"/>
  <c r="D23" i="175"/>
  <c r="M23" i="175" s="1"/>
  <c r="D126" i="16"/>
  <c r="N24" i="175"/>
  <c r="H26" i="176"/>
  <c r="N26" i="176" s="1"/>
  <c r="D26" i="175"/>
  <c r="N23" i="175"/>
  <c r="J26" i="173"/>
  <c r="H25" i="173"/>
  <c r="H24" i="173"/>
  <c r="H26" i="173" s="1"/>
  <c r="E26" i="173"/>
  <c r="D26" i="173"/>
  <c r="N23" i="173"/>
  <c r="N25" i="173" l="1"/>
  <c r="M26" i="175"/>
  <c r="L46" i="16"/>
  <c r="N23" i="174"/>
  <c r="N32" i="174"/>
  <c r="N27" i="174"/>
  <c r="N31" i="174"/>
  <c r="N25" i="174"/>
  <c r="N24" i="174"/>
  <c r="N34" i="174"/>
  <c r="N26" i="174"/>
  <c r="G4" i="16"/>
  <c r="N26" i="175"/>
  <c r="N36" i="174"/>
  <c r="N28" i="174"/>
  <c r="N24" i="173"/>
  <c r="N26" i="173"/>
  <c r="L72" i="16" l="1"/>
  <c r="L30" i="16"/>
  <c r="L23" i="16"/>
  <c r="K72" i="16"/>
  <c r="K30" i="16"/>
  <c r="K23" i="16"/>
  <c r="I72" i="16"/>
  <c r="I30" i="16"/>
  <c r="I23" i="16"/>
  <c r="H30" i="16"/>
  <c r="H23" i="16"/>
  <c r="F72" i="16"/>
  <c r="F30" i="16"/>
  <c r="F23" i="16"/>
  <c r="E72" i="16"/>
  <c r="E30" i="16"/>
  <c r="E23" i="16"/>
  <c r="D72" i="16"/>
  <c r="D30" i="16"/>
  <c r="D23" i="16"/>
  <c r="H26" i="172" l="1"/>
  <c r="N26" i="172" s="1"/>
  <c r="K25" i="172"/>
  <c r="K26" i="172"/>
  <c r="H25" i="172"/>
  <c r="N25" i="172" s="1"/>
  <c r="M28" i="172" l="1"/>
  <c r="L28" i="172"/>
  <c r="J28" i="172"/>
  <c r="G28" i="172"/>
  <c r="F28" i="172"/>
  <c r="E28" i="172"/>
  <c r="I28" i="172"/>
  <c r="H24" i="172"/>
  <c r="K23" i="172"/>
  <c r="H23" i="172"/>
  <c r="M14" i="172"/>
  <c r="D123" i="16" s="1"/>
  <c r="H28" i="172" l="1"/>
  <c r="D28" i="172"/>
  <c r="N23" i="172"/>
  <c r="K24" i="172"/>
  <c r="N24" i="172" s="1"/>
  <c r="M31" i="171"/>
  <c r="L31" i="171"/>
  <c r="J31" i="171"/>
  <c r="G31" i="171"/>
  <c r="F31" i="171"/>
  <c r="E31" i="171"/>
  <c r="K30" i="171"/>
  <c r="H30" i="171"/>
  <c r="I29" i="171"/>
  <c r="H29" i="171"/>
  <c r="H28" i="171"/>
  <c r="M14" i="170"/>
  <c r="M26" i="170"/>
  <c r="L26" i="170"/>
  <c r="J26" i="170"/>
  <c r="G26" i="170"/>
  <c r="F26" i="170"/>
  <c r="E26" i="170"/>
  <c r="K25" i="170"/>
  <c r="H25" i="170"/>
  <c r="I24" i="170"/>
  <c r="K24" i="170" s="1"/>
  <c r="N24" i="170" s="1"/>
  <c r="H24" i="170"/>
  <c r="H23" i="170"/>
  <c r="M14" i="169"/>
  <c r="K25" i="169"/>
  <c r="N25" i="169" s="1"/>
  <c r="H25" i="169"/>
  <c r="I24" i="169"/>
  <c r="H24" i="169"/>
  <c r="N25" i="170" l="1"/>
  <c r="D23" i="169"/>
  <c r="D118" i="16"/>
  <c r="D23" i="170"/>
  <c r="I23" i="170" s="1"/>
  <c r="I26" i="170" s="1"/>
  <c r="D120" i="16"/>
  <c r="H26" i="170"/>
  <c r="K28" i="172"/>
  <c r="N28" i="172" s="1"/>
  <c r="H31" i="171"/>
  <c r="K29" i="171"/>
  <c r="N29" i="171" s="1"/>
  <c r="N30" i="171"/>
  <c r="K23" i="170"/>
  <c r="K26" i="170" s="1"/>
  <c r="D26" i="170"/>
  <c r="D26" i="169"/>
  <c r="K24" i="169"/>
  <c r="N24" i="169" s="1"/>
  <c r="N23" i="170" l="1"/>
  <c r="N26" i="170"/>
  <c r="M14" i="168" l="1"/>
  <c r="K25" i="168"/>
  <c r="H25" i="168"/>
  <c r="I24" i="168"/>
  <c r="K24" i="168" s="1"/>
  <c r="N24" i="168" s="1"/>
  <c r="H24" i="168"/>
  <c r="N25" i="168" l="1"/>
  <c r="D23" i="168"/>
  <c r="D117" i="16"/>
  <c r="D26" i="168"/>
  <c r="H68" i="16" l="1"/>
  <c r="I26" i="168" l="1"/>
  <c r="L26" i="169"/>
  <c r="K68" i="16"/>
  <c r="F26" i="169"/>
  <c r="E68" i="16"/>
  <c r="J26" i="169"/>
  <c r="I68" i="16"/>
  <c r="G26" i="169"/>
  <c r="F68" i="16"/>
  <c r="D68" i="16"/>
  <c r="J26" i="168" l="1"/>
  <c r="F26" i="168"/>
  <c r="G26" i="168"/>
  <c r="L26" i="168"/>
  <c r="E26" i="169"/>
  <c r="H23" i="169"/>
  <c r="H26" i="169" s="1"/>
  <c r="E26" i="168"/>
  <c r="H23" i="168"/>
  <c r="H26" i="168" s="1"/>
  <c r="K23" i="168"/>
  <c r="K26" i="168" s="1"/>
  <c r="M14" i="167"/>
  <c r="K25" i="167"/>
  <c r="H25" i="167"/>
  <c r="I24" i="167"/>
  <c r="K24" i="167" s="1"/>
  <c r="N24" i="167" s="1"/>
  <c r="H24" i="167"/>
  <c r="D23" i="167" l="1"/>
  <c r="D116" i="16"/>
  <c r="L68" i="16"/>
  <c r="N25" i="167"/>
  <c r="D26" i="167"/>
  <c r="M26" i="168" l="1"/>
  <c r="N26" i="168" s="1"/>
  <c r="N23" i="168"/>
  <c r="M26" i="169"/>
  <c r="F13" i="166"/>
  <c r="L73" i="16"/>
  <c r="K73" i="16"/>
  <c r="I73" i="16"/>
  <c r="H73" i="16"/>
  <c r="F73" i="16"/>
  <c r="E73" i="16"/>
  <c r="F26" i="167" l="1"/>
  <c r="J26" i="167"/>
  <c r="L26" i="167"/>
  <c r="G26" i="167"/>
  <c r="F17" i="166"/>
  <c r="M9" i="166" s="1"/>
  <c r="H26" i="166"/>
  <c r="K28" i="166"/>
  <c r="M32" i="166"/>
  <c r="H28" i="166"/>
  <c r="J32" i="166"/>
  <c r="D32" i="166"/>
  <c r="D114" i="16" s="1"/>
  <c r="K26" i="166"/>
  <c r="D108" i="42"/>
  <c r="I32" i="166"/>
  <c r="H29" i="166"/>
  <c r="H27" i="166"/>
  <c r="K27" i="166"/>
  <c r="D73" i="16"/>
  <c r="M26" i="167"/>
  <c r="E26" i="167"/>
  <c r="H23" i="167"/>
  <c r="H26" i="167" s="1"/>
  <c r="K29" i="166"/>
  <c r="K23" i="167"/>
  <c r="K26" i="167" s="1"/>
  <c r="I26" i="167"/>
  <c r="G32" i="166"/>
  <c r="K30" i="166"/>
  <c r="I26" i="169"/>
  <c r="K23" i="169"/>
  <c r="E32" i="166"/>
  <c r="F32" i="166"/>
  <c r="L32" i="166"/>
  <c r="H30" i="166"/>
  <c r="H25" i="166"/>
  <c r="K25" i="166"/>
  <c r="N28" i="166" l="1"/>
  <c r="N26" i="166"/>
  <c r="N27" i="166"/>
  <c r="N30" i="166"/>
  <c r="H32" i="166"/>
  <c r="K32" i="166"/>
  <c r="N23" i="167"/>
  <c r="N26" i="167"/>
  <c r="N23" i="169"/>
  <c r="K26" i="169"/>
  <c r="N26" i="169" s="1"/>
  <c r="N29" i="166"/>
  <c r="M16" i="166"/>
  <c r="K27" i="165"/>
  <c r="K24" i="165"/>
  <c r="H27" i="165"/>
  <c r="M14" i="165"/>
  <c r="D112" i="16" s="1"/>
  <c r="H26" i="165"/>
  <c r="K25" i="165"/>
  <c r="H25" i="165"/>
  <c r="K28" i="165" l="1"/>
  <c r="K26" i="165"/>
  <c r="N26" i="165" s="1"/>
  <c r="E29" i="165"/>
  <c r="F29" i="165"/>
  <c r="M29" i="165"/>
  <c r="J29" i="165"/>
  <c r="K23" i="165"/>
  <c r="H28" i="165"/>
  <c r="N28" i="165" s="1"/>
  <c r="H23" i="165"/>
  <c r="H24" i="165"/>
  <c r="N25" i="166"/>
  <c r="L29" i="165"/>
  <c r="N25" i="165"/>
  <c r="N24" i="165"/>
  <c r="G29" i="165"/>
  <c r="N27" i="165"/>
  <c r="I29" i="165"/>
  <c r="D29" i="165"/>
  <c r="N23" i="165" l="1"/>
  <c r="K29" i="165"/>
  <c r="H29" i="165"/>
  <c r="N32" i="166"/>
  <c r="N29" i="165"/>
  <c r="E15" i="164" l="1"/>
  <c r="M9" i="164" s="1"/>
  <c r="M14" i="164" s="1"/>
  <c r="M26" i="164"/>
  <c r="L26" i="164"/>
  <c r="J26" i="164"/>
  <c r="G26" i="164"/>
  <c r="K25" i="164"/>
  <c r="H25" i="164"/>
  <c r="N25" i="164" l="1"/>
  <c r="D111" i="16"/>
  <c r="D24" i="164" l="1"/>
  <c r="D26" i="164" l="1"/>
  <c r="K23" i="164"/>
  <c r="E26" i="164"/>
  <c r="F23" i="164"/>
  <c r="H23" i="164"/>
  <c r="M26" i="163"/>
  <c r="L26" i="163"/>
  <c r="J26" i="163"/>
  <c r="G26" i="163"/>
  <c r="F26" i="163"/>
  <c r="E26" i="163"/>
  <c r="K25" i="163"/>
  <c r="H25" i="163"/>
  <c r="I24" i="163"/>
  <c r="K24" i="163" s="1"/>
  <c r="N24" i="163" s="1"/>
  <c r="H24" i="163"/>
  <c r="H23" i="163"/>
  <c r="M26" i="162"/>
  <c r="L26" i="162"/>
  <c r="J26" i="162"/>
  <c r="G26" i="162"/>
  <c r="F26" i="162"/>
  <c r="E26" i="162"/>
  <c r="K25" i="162"/>
  <c r="H25" i="162"/>
  <c r="I24" i="162"/>
  <c r="K24" i="162" s="1"/>
  <c r="H24" i="162"/>
  <c r="H23" i="162"/>
  <c r="M26" i="161"/>
  <c r="L26" i="161"/>
  <c r="J26" i="161"/>
  <c r="G26" i="161"/>
  <c r="F26" i="161"/>
  <c r="E26" i="161"/>
  <c r="K25" i="161"/>
  <c r="H25" i="161"/>
  <c r="I24" i="161"/>
  <c r="K24" i="161" s="1"/>
  <c r="H24" i="161"/>
  <c r="H23" i="161"/>
  <c r="M26" i="160"/>
  <c r="L26" i="160"/>
  <c r="J26" i="160"/>
  <c r="G26" i="160"/>
  <c r="F26" i="160"/>
  <c r="E26" i="160"/>
  <c r="K25" i="160"/>
  <c r="N25" i="160" s="1"/>
  <c r="H25" i="160"/>
  <c r="I24" i="160"/>
  <c r="K24" i="160" s="1"/>
  <c r="N24" i="160" s="1"/>
  <c r="H24" i="160"/>
  <c r="H23" i="160"/>
  <c r="H24" i="16"/>
  <c r="M26" i="159"/>
  <c r="L26" i="159"/>
  <c r="J26" i="159"/>
  <c r="G26" i="159"/>
  <c r="K25" i="159"/>
  <c r="H25" i="159"/>
  <c r="H24" i="159"/>
  <c r="N25" i="161" l="1"/>
  <c r="N25" i="163"/>
  <c r="N25" i="162"/>
  <c r="N24" i="161"/>
  <c r="F26" i="159"/>
  <c r="E6" i="16"/>
  <c r="K24" i="159"/>
  <c r="N25" i="159"/>
  <c r="H26" i="160"/>
  <c r="H26" i="161"/>
  <c r="H26" i="162"/>
  <c r="H26" i="163"/>
  <c r="F26" i="164"/>
  <c r="N23" i="164"/>
  <c r="H24" i="164"/>
  <c r="H26" i="164" s="1"/>
  <c r="I24" i="164"/>
  <c r="N24" i="162"/>
  <c r="K47" i="16"/>
  <c r="I47" i="16"/>
  <c r="F47" i="16"/>
  <c r="E47" i="16"/>
  <c r="D47" i="16"/>
  <c r="G26" i="158"/>
  <c r="F26" i="158"/>
  <c r="K25" i="158"/>
  <c r="H25" i="158"/>
  <c r="H24" i="158"/>
  <c r="K23" i="158"/>
  <c r="K25" i="157"/>
  <c r="H25" i="157"/>
  <c r="K25" i="156"/>
  <c r="H25" i="156"/>
  <c r="I24" i="156"/>
  <c r="H24" i="156"/>
  <c r="K25" i="155"/>
  <c r="H25" i="155"/>
  <c r="I24" i="155"/>
  <c r="K24" i="155" s="1"/>
  <c r="N24" i="155" s="1"/>
  <c r="H24" i="155"/>
  <c r="L70" i="16"/>
  <c r="L69" i="16"/>
  <c r="K70" i="16"/>
  <c r="K69" i="16"/>
  <c r="I70" i="16"/>
  <c r="I69" i="16"/>
  <c r="F70" i="16"/>
  <c r="F69" i="16"/>
  <c r="E70" i="16"/>
  <c r="K25" i="154"/>
  <c r="H25" i="154"/>
  <c r="N25" i="158" l="1"/>
  <c r="N25" i="155"/>
  <c r="N25" i="156"/>
  <c r="K23" i="157"/>
  <c r="L26" i="157"/>
  <c r="E26" i="154"/>
  <c r="J26" i="157"/>
  <c r="N25" i="154"/>
  <c r="N25" i="157"/>
  <c r="M26" i="154"/>
  <c r="L26" i="154"/>
  <c r="K24" i="164"/>
  <c r="I26" i="164"/>
  <c r="G26" i="154"/>
  <c r="H24" i="154"/>
  <c r="J26" i="154"/>
  <c r="H47" i="16"/>
  <c r="K24" i="157"/>
  <c r="G26" i="157"/>
  <c r="F26" i="157"/>
  <c r="H24" i="157"/>
  <c r="I26" i="157"/>
  <c r="H23" i="157"/>
  <c r="E26" i="157"/>
  <c r="K24" i="156"/>
  <c r="N24" i="156" s="1"/>
  <c r="K26" i="157" l="1"/>
  <c r="N24" i="164"/>
  <c r="K26" i="164"/>
  <c r="N26" i="164" s="1"/>
  <c r="N24" i="157"/>
  <c r="H26" i="157"/>
  <c r="L29" i="42" l="1"/>
  <c r="K29" i="42"/>
  <c r="I29" i="42"/>
  <c r="F29" i="42"/>
  <c r="E29" i="42"/>
  <c r="D29" i="42"/>
  <c r="L9" i="42"/>
  <c r="K9" i="42"/>
  <c r="I9" i="42"/>
  <c r="H9" i="42"/>
  <c r="F9" i="42"/>
  <c r="E9" i="42"/>
  <c r="M14" i="153"/>
  <c r="H24" i="153"/>
  <c r="K23" i="153"/>
  <c r="I24" i="153" l="1"/>
  <c r="K24" i="153" s="1"/>
  <c r="N24" i="153" s="1"/>
  <c r="E23" i="153"/>
  <c r="H23" i="153" s="1"/>
  <c r="D95" i="42"/>
  <c r="D98" i="16"/>
  <c r="D26" i="153" l="1"/>
  <c r="N23" i="153"/>
  <c r="G26" i="153" l="1"/>
  <c r="E26" i="153"/>
  <c r="M26" i="153"/>
  <c r="I26" i="153"/>
  <c r="F26" i="153"/>
  <c r="L26" i="153"/>
  <c r="H25" i="153" l="1"/>
  <c r="H26" i="153" s="1"/>
  <c r="K25" i="153"/>
  <c r="K26" i="153" s="1"/>
  <c r="J26" i="153"/>
  <c r="M14" i="152"/>
  <c r="K25" i="152"/>
  <c r="H25" i="152"/>
  <c r="N25" i="152" s="1"/>
  <c r="I24" i="152"/>
  <c r="H24" i="152"/>
  <c r="M14" i="151"/>
  <c r="K25" i="151"/>
  <c r="N25" i="151" s="1"/>
  <c r="H25" i="151"/>
  <c r="I24" i="151"/>
  <c r="H24" i="151"/>
  <c r="M14" i="150"/>
  <c r="D23" i="150" s="1"/>
  <c r="K25" i="150"/>
  <c r="H25" i="150"/>
  <c r="I24" i="150"/>
  <c r="K24" i="150" s="1"/>
  <c r="N24" i="150" s="1"/>
  <c r="H24" i="150"/>
  <c r="M14" i="149"/>
  <c r="K25" i="149"/>
  <c r="H25" i="149"/>
  <c r="I24" i="149"/>
  <c r="H24" i="149"/>
  <c r="N26" i="153" l="1"/>
  <c r="N25" i="153"/>
  <c r="F26" i="150"/>
  <c r="E26" i="150"/>
  <c r="N25" i="150"/>
  <c r="N25" i="149"/>
  <c r="D23" i="151"/>
  <c r="D26" i="151" s="1"/>
  <c r="D96" i="16"/>
  <c r="D23" i="149"/>
  <c r="D26" i="149" s="1"/>
  <c r="D94" i="16"/>
  <c r="G26" i="150"/>
  <c r="M26" i="150"/>
  <c r="J26" i="150"/>
  <c r="D95" i="16"/>
  <c r="L26" i="150"/>
  <c r="D23" i="152"/>
  <c r="K66" i="16" s="1"/>
  <c r="D97" i="16"/>
  <c r="K24" i="152"/>
  <c r="N24" i="152" s="1"/>
  <c r="K24" i="151"/>
  <c r="N24" i="151" s="1"/>
  <c r="D26" i="150"/>
  <c r="K24" i="149"/>
  <c r="N24" i="149" s="1"/>
  <c r="H23" i="150" l="1"/>
  <c r="H26" i="150" s="1"/>
  <c r="L66" i="16"/>
  <c r="D26" i="152"/>
  <c r="D66" i="16"/>
  <c r="E66" i="16"/>
  <c r="F66" i="16"/>
  <c r="I23" i="150"/>
  <c r="G26" i="149"/>
  <c r="M26" i="149"/>
  <c r="F26" i="149"/>
  <c r="J26" i="149"/>
  <c r="L26" i="149"/>
  <c r="I66" i="16"/>
  <c r="L26" i="151"/>
  <c r="J26" i="151"/>
  <c r="F26" i="151"/>
  <c r="M26" i="151"/>
  <c r="G26" i="151"/>
  <c r="M26" i="152"/>
  <c r="L26" i="152"/>
  <c r="H23" i="152" l="1"/>
  <c r="H26" i="152" s="1"/>
  <c r="E26" i="152"/>
  <c r="F26" i="152"/>
  <c r="G26" i="152"/>
  <c r="I23" i="152"/>
  <c r="H66" i="16" s="1"/>
  <c r="I26" i="149"/>
  <c r="K23" i="149"/>
  <c r="K26" i="149" s="1"/>
  <c r="J26" i="152"/>
  <c r="E26" i="149"/>
  <c r="H23" i="149"/>
  <c r="H26" i="149" s="1"/>
  <c r="I26" i="150"/>
  <c r="K23" i="150"/>
  <c r="E26" i="151"/>
  <c r="H23" i="151"/>
  <c r="H26" i="151" s="1"/>
  <c r="I23" i="151"/>
  <c r="K25" i="148"/>
  <c r="N25" i="148" s="1"/>
  <c r="H25" i="148"/>
  <c r="I24" i="148"/>
  <c r="K24" i="148" s="1"/>
  <c r="N24" i="148" s="1"/>
  <c r="H24" i="148"/>
  <c r="M14" i="148"/>
  <c r="D23" i="148" s="1"/>
  <c r="M26" i="148" s="1"/>
  <c r="K23" i="152" l="1"/>
  <c r="K26" i="152" s="1"/>
  <c r="N26" i="152" s="1"/>
  <c r="N23" i="149"/>
  <c r="D93" i="16"/>
  <c r="N26" i="149"/>
  <c r="K23" i="151"/>
  <c r="I26" i="151"/>
  <c r="K26" i="150"/>
  <c r="N26" i="150" s="1"/>
  <c r="N23" i="150"/>
  <c r="L26" i="148"/>
  <c r="E26" i="148"/>
  <c r="F26" i="148"/>
  <c r="G26" i="148"/>
  <c r="I26" i="148"/>
  <c r="J26" i="148"/>
  <c r="I26" i="152"/>
  <c r="D26" i="148"/>
  <c r="N23" i="152" l="1"/>
  <c r="K23" i="148"/>
  <c r="H23" i="148"/>
  <c r="H26" i="148" s="1"/>
  <c r="K26" i="151"/>
  <c r="N26" i="151" s="1"/>
  <c r="N23" i="151"/>
  <c r="K26" i="148"/>
  <c r="N26" i="148" s="1"/>
  <c r="N23" i="148" l="1"/>
  <c r="H24" i="147"/>
  <c r="M14" i="147"/>
  <c r="D89" i="42" l="1"/>
  <c r="D92" i="16"/>
  <c r="I24" i="147"/>
  <c r="E23" i="147"/>
  <c r="D9" i="42" l="1"/>
  <c r="H23" i="147"/>
  <c r="D25" i="147"/>
  <c r="H29" i="42"/>
  <c r="K24" i="147"/>
  <c r="N24" i="147" s="1"/>
  <c r="K23" i="147"/>
  <c r="D26" i="147" l="1"/>
  <c r="J25" i="147"/>
  <c r="G25" i="147"/>
  <c r="E25" i="147"/>
  <c r="M25" i="147"/>
  <c r="L65" i="16" s="1"/>
  <c r="L25" i="147"/>
  <c r="K65" i="16" s="1"/>
  <c r="F25" i="147"/>
  <c r="F65" i="16"/>
  <c r="E65" i="16"/>
  <c r="D65" i="16"/>
  <c r="I65" i="16"/>
  <c r="N23" i="147"/>
  <c r="D65" i="42" l="1"/>
  <c r="K65" i="42"/>
  <c r="I65" i="42"/>
  <c r="L65" i="42"/>
  <c r="E65" i="42"/>
  <c r="F65" i="42"/>
  <c r="M26" i="147"/>
  <c r="J26" i="147"/>
  <c r="I25" i="147"/>
  <c r="H65" i="16" s="1"/>
  <c r="F26" i="147"/>
  <c r="L26" i="147"/>
  <c r="H25" i="147"/>
  <c r="H26" i="147" s="1"/>
  <c r="E26" i="147"/>
  <c r="G26" i="147"/>
  <c r="H65" i="42" l="1"/>
  <c r="I26" i="147"/>
  <c r="K25" i="147"/>
  <c r="N25" i="147" l="1"/>
  <c r="K26" i="147"/>
  <c r="N26" i="147" s="1"/>
  <c r="D69" i="16" l="1"/>
  <c r="M14" i="146"/>
  <c r="D90" i="16" s="1"/>
  <c r="M14" i="145"/>
  <c r="D23" i="145" s="1"/>
  <c r="M23" i="145" s="1"/>
  <c r="L53" i="16" s="1"/>
  <c r="L26" i="145"/>
  <c r="J26" i="145"/>
  <c r="G26" i="145"/>
  <c r="F26" i="145"/>
  <c r="E26" i="145"/>
  <c r="K25" i="145"/>
  <c r="H25" i="145"/>
  <c r="I24" i="145"/>
  <c r="K24" i="145" s="1"/>
  <c r="N24" i="145" s="1"/>
  <c r="H24" i="145"/>
  <c r="H23" i="145"/>
  <c r="L8" i="16"/>
  <c r="K8" i="16"/>
  <c r="I8" i="16"/>
  <c r="E8" i="16"/>
  <c r="F8" i="16"/>
  <c r="D8" i="16"/>
  <c r="M26" i="144"/>
  <c r="L26" i="144"/>
  <c r="J26" i="144"/>
  <c r="G26" i="144"/>
  <c r="F26" i="144"/>
  <c r="E26" i="144"/>
  <c r="K25" i="144"/>
  <c r="H25" i="144"/>
  <c r="I24" i="144"/>
  <c r="K24" i="144" s="1"/>
  <c r="N24" i="144" s="1"/>
  <c r="H24" i="144"/>
  <c r="H23" i="144"/>
  <c r="H26" i="144" s="1"/>
  <c r="M26" i="143"/>
  <c r="L26" i="143"/>
  <c r="J26" i="143"/>
  <c r="G26" i="143"/>
  <c r="F26" i="143"/>
  <c r="E26" i="143"/>
  <c r="K25" i="143"/>
  <c r="H25" i="143"/>
  <c r="I24" i="143"/>
  <c r="K24" i="143" s="1"/>
  <c r="N24" i="143" s="1"/>
  <c r="H24" i="143"/>
  <c r="H23" i="143"/>
  <c r="H26" i="143" s="1"/>
  <c r="M9" i="17"/>
  <c r="M14" i="17" s="1"/>
  <c r="N25" i="144" l="1"/>
  <c r="N25" i="145"/>
  <c r="H26" i="145"/>
  <c r="M26" i="145"/>
  <c r="L26" i="146"/>
  <c r="G26" i="146"/>
  <c r="F26" i="146"/>
  <c r="J26" i="146"/>
  <c r="M26" i="146"/>
  <c r="D88" i="16"/>
  <c r="N25" i="143"/>
  <c r="H24" i="146"/>
  <c r="D70" i="16"/>
  <c r="H23" i="146"/>
  <c r="K24" i="146"/>
  <c r="D26" i="146"/>
  <c r="D26" i="145"/>
  <c r="N24" i="146" l="1"/>
  <c r="I25" i="146"/>
  <c r="K25" i="146" s="1"/>
  <c r="H25" i="146"/>
  <c r="H26" i="146" s="1"/>
  <c r="E26" i="146"/>
  <c r="K23" i="146"/>
  <c r="I26" i="145"/>
  <c r="K23" i="145"/>
  <c r="I26" i="146" l="1"/>
  <c r="N25" i="146"/>
  <c r="K26" i="146"/>
  <c r="N26" i="146" s="1"/>
  <c r="N23" i="146"/>
  <c r="K26" i="145"/>
  <c r="N26" i="145" s="1"/>
  <c r="N23" i="145"/>
  <c r="J77" i="42" l="1"/>
  <c r="G77" i="42"/>
  <c r="J76" i="42"/>
  <c r="G76" i="42"/>
  <c r="J75" i="42"/>
  <c r="G75" i="42"/>
  <c r="J74" i="42"/>
  <c r="G74" i="42"/>
  <c r="J73" i="42"/>
  <c r="G73" i="42"/>
  <c r="J72" i="42"/>
  <c r="G72" i="42"/>
  <c r="J71" i="42"/>
  <c r="G71" i="42"/>
  <c r="J70" i="42"/>
  <c r="G70" i="42"/>
  <c r="J69" i="42"/>
  <c r="G69" i="42"/>
  <c r="J68" i="42"/>
  <c r="G68" i="42"/>
  <c r="J67" i="42"/>
  <c r="G67" i="42"/>
  <c r="J66" i="42"/>
  <c r="G66" i="42"/>
  <c r="J62" i="42"/>
  <c r="G62" i="42"/>
  <c r="J61" i="42"/>
  <c r="G61" i="42"/>
  <c r="J60" i="42"/>
  <c r="G60" i="42"/>
  <c r="J59" i="42"/>
  <c r="G59" i="42"/>
  <c r="J58" i="42"/>
  <c r="G58" i="42"/>
  <c r="J55" i="42"/>
  <c r="G55" i="42"/>
  <c r="J54" i="42"/>
  <c r="G54" i="42"/>
  <c r="J53" i="42"/>
  <c r="G53" i="42"/>
  <c r="J52" i="42"/>
  <c r="G52" i="42"/>
  <c r="J51" i="42"/>
  <c r="G51" i="42"/>
  <c r="J48" i="42"/>
  <c r="G48" i="42"/>
  <c r="J47" i="42"/>
  <c r="G47" i="42"/>
  <c r="J46" i="42"/>
  <c r="G46" i="42"/>
  <c r="J45" i="42"/>
  <c r="G45" i="42"/>
  <c r="J44" i="42"/>
  <c r="G44" i="42"/>
  <c r="J41" i="42"/>
  <c r="G41" i="42"/>
  <c r="J40" i="42"/>
  <c r="G40" i="42"/>
  <c r="J39" i="42"/>
  <c r="G39" i="42"/>
  <c r="J38" i="42"/>
  <c r="G38" i="42"/>
  <c r="J37" i="42"/>
  <c r="G37" i="42"/>
  <c r="J36" i="42"/>
  <c r="G36" i="42"/>
  <c r="J35" i="42"/>
  <c r="G35" i="42"/>
  <c r="J34" i="42"/>
  <c r="G34" i="42"/>
  <c r="J33" i="42"/>
  <c r="G33" i="42"/>
  <c r="J30" i="42"/>
  <c r="G30" i="42"/>
  <c r="G29" i="42"/>
  <c r="J28" i="42"/>
  <c r="G28" i="42"/>
  <c r="J27" i="42"/>
  <c r="G27" i="42"/>
  <c r="J26" i="42"/>
  <c r="G26" i="42"/>
  <c r="J25" i="42"/>
  <c r="G25" i="42"/>
  <c r="J24" i="42"/>
  <c r="G24" i="42"/>
  <c r="J23" i="42"/>
  <c r="G23" i="42"/>
  <c r="J22" i="42"/>
  <c r="G22" i="42"/>
  <c r="J21" i="42"/>
  <c r="G21" i="42"/>
  <c r="J18" i="42"/>
  <c r="G18" i="42"/>
  <c r="J17" i="42"/>
  <c r="G17" i="42"/>
  <c r="J16" i="42"/>
  <c r="G16" i="42"/>
  <c r="J15" i="42"/>
  <c r="G15" i="42"/>
  <c r="J14" i="42"/>
  <c r="G14" i="42"/>
  <c r="J13" i="42"/>
  <c r="G13" i="42"/>
  <c r="J10" i="42"/>
  <c r="G10" i="42"/>
  <c r="J9" i="42"/>
  <c r="J8" i="42"/>
  <c r="G8" i="42"/>
  <c r="J7" i="42"/>
  <c r="G7" i="42"/>
  <c r="J5" i="42"/>
  <c r="G5" i="42"/>
  <c r="J4" i="42"/>
  <c r="G4" i="42"/>
  <c r="J3" i="42"/>
  <c r="G3" i="42"/>
  <c r="J77" i="16" l="1"/>
  <c r="G77" i="16"/>
  <c r="J76" i="16"/>
  <c r="G76" i="16"/>
  <c r="J73" i="16"/>
  <c r="G73" i="16"/>
  <c r="J67" i="16"/>
  <c r="G67" i="16"/>
  <c r="J62" i="16"/>
  <c r="G62" i="16"/>
  <c r="J61" i="16"/>
  <c r="G61" i="16"/>
  <c r="J60" i="16"/>
  <c r="G60" i="16"/>
  <c r="J59" i="16"/>
  <c r="G59" i="16"/>
  <c r="J58" i="16"/>
  <c r="G58" i="16"/>
  <c r="J55" i="16"/>
  <c r="G55" i="16"/>
  <c r="J54" i="16"/>
  <c r="G54" i="16"/>
  <c r="J53" i="16"/>
  <c r="G53" i="16"/>
  <c r="J52" i="16"/>
  <c r="G52" i="16"/>
  <c r="J51" i="16"/>
  <c r="G51" i="16"/>
  <c r="J48" i="16"/>
  <c r="G48" i="16"/>
  <c r="J47" i="16"/>
  <c r="G47" i="16"/>
  <c r="J45" i="16"/>
  <c r="G45" i="16"/>
  <c r="J44" i="16"/>
  <c r="G44" i="16"/>
  <c r="J41" i="16"/>
  <c r="G41" i="16"/>
  <c r="J40" i="16"/>
  <c r="G40" i="16"/>
  <c r="J39" i="16"/>
  <c r="G39" i="16"/>
  <c r="J38" i="16"/>
  <c r="G38" i="16"/>
  <c r="J37" i="16"/>
  <c r="G37" i="16"/>
  <c r="G36" i="16"/>
  <c r="G35" i="16"/>
  <c r="J34" i="16"/>
  <c r="G34" i="16"/>
  <c r="J33" i="16"/>
  <c r="G33" i="16"/>
  <c r="G30" i="16"/>
  <c r="G29" i="16"/>
  <c r="J28" i="16"/>
  <c r="G28" i="16"/>
  <c r="J27" i="16"/>
  <c r="G27" i="16"/>
  <c r="J26" i="16"/>
  <c r="G26" i="16"/>
  <c r="J25" i="16"/>
  <c r="G25" i="16"/>
  <c r="J24" i="16"/>
  <c r="G24" i="16"/>
  <c r="J23" i="16"/>
  <c r="G23" i="16"/>
  <c r="J22" i="16"/>
  <c r="G22" i="16"/>
  <c r="J21" i="16"/>
  <c r="G21" i="16"/>
  <c r="J18" i="16"/>
  <c r="G18" i="16"/>
  <c r="J17" i="16"/>
  <c r="G17" i="16"/>
  <c r="J16" i="16"/>
  <c r="J15" i="16"/>
  <c r="G15" i="16"/>
  <c r="J14" i="16"/>
  <c r="G14" i="16"/>
  <c r="J13" i="16"/>
  <c r="G13" i="16"/>
  <c r="J10" i="16"/>
  <c r="G10" i="16"/>
  <c r="J9" i="16"/>
  <c r="G8" i="16"/>
  <c r="J5" i="16"/>
  <c r="G5" i="16"/>
  <c r="J4" i="16"/>
  <c r="J3" i="16"/>
  <c r="G3" i="16"/>
  <c r="J36" i="16" l="1"/>
  <c r="J30" i="16"/>
  <c r="J35" i="16"/>
  <c r="J74" i="16" l="1"/>
  <c r="J75" i="16"/>
  <c r="J66" i="16"/>
  <c r="J46" i="16"/>
  <c r="G46" i="16"/>
  <c r="G75" i="16" l="1"/>
  <c r="G74" i="16"/>
  <c r="J68" i="16"/>
  <c r="G66" i="16"/>
  <c r="G68" i="16"/>
  <c r="G16" i="16"/>
  <c r="F26" i="17" l="1"/>
  <c r="G26" i="17"/>
  <c r="J26" i="17"/>
  <c r="L26" i="17"/>
  <c r="M26" i="17"/>
  <c r="K25" i="17"/>
  <c r="H25" i="17"/>
  <c r="H24" i="17"/>
  <c r="H23" i="17"/>
  <c r="H26" i="17" l="1"/>
  <c r="N25" i="17"/>
  <c r="M77" i="42" l="1"/>
  <c r="N77" i="42"/>
  <c r="M76" i="42"/>
  <c r="M75" i="42"/>
  <c r="M74" i="42"/>
  <c r="M73" i="42"/>
  <c r="N73" i="42"/>
  <c r="M72" i="42"/>
  <c r="M71" i="42"/>
  <c r="N70" i="42"/>
  <c r="L63" i="42"/>
  <c r="K63" i="42"/>
  <c r="I63" i="42"/>
  <c r="H63" i="42"/>
  <c r="F63" i="42"/>
  <c r="E63" i="42"/>
  <c r="D63" i="42"/>
  <c r="N61" i="42"/>
  <c r="G63" i="42"/>
  <c r="L56" i="42"/>
  <c r="K56" i="42"/>
  <c r="I56" i="42"/>
  <c r="H56" i="42"/>
  <c r="F56" i="42"/>
  <c r="E56" i="42"/>
  <c r="D56" i="42"/>
  <c r="N53" i="42"/>
  <c r="L49" i="42"/>
  <c r="K49" i="42"/>
  <c r="I49" i="42"/>
  <c r="H49" i="42"/>
  <c r="F49" i="42"/>
  <c r="E49" i="42"/>
  <c r="D49" i="42"/>
  <c r="N45" i="42"/>
  <c r="L42" i="42"/>
  <c r="K42" i="42"/>
  <c r="I42" i="42"/>
  <c r="H42" i="42"/>
  <c r="F42" i="42"/>
  <c r="E42" i="42"/>
  <c r="D42" i="42"/>
  <c r="N41" i="42"/>
  <c r="N37" i="42"/>
  <c r="L31" i="42"/>
  <c r="K31" i="42"/>
  <c r="I31" i="42"/>
  <c r="F31" i="42"/>
  <c r="E31" i="42"/>
  <c r="D31" i="42"/>
  <c r="N22" i="42"/>
  <c r="L19" i="42"/>
  <c r="K19" i="42"/>
  <c r="I19" i="42"/>
  <c r="H19" i="42"/>
  <c r="F19" i="42"/>
  <c r="E19" i="42"/>
  <c r="D19" i="42"/>
  <c r="L11" i="42"/>
  <c r="K11" i="42"/>
  <c r="I11" i="42"/>
  <c r="H11" i="42"/>
  <c r="F11" i="42"/>
  <c r="E11" i="42"/>
  <c r="N10" i="42"/>
  <c r="J6" i="42"/>
  <c r="G6" i="42"/>
  <c r="N6" i="42" s="1"/>
  <c r="E63" i="16"/>
  <c r="F63" i="16"/>
  <c r="H63" i="16"/>
  <c r="I63" i="16"/>
  <c r="K63" i="16"/>
  <c r="L63" i="16"/>
  <c r="E56" i="16"/>
  <c r="F56" i="16"/>
  <c r="H56" i="16"/>
  <c r="I56" i="16"/>
  <c r="L56" i="16"/>
  <c r="E49" i="16"/>
  <c r="F49" i="16"/>
  <c r="H49" i="16"/>
  <c r="I49" i="16"/>
  <c r="E42" i="16"/>
  <c r="F42" i="16"/>
  <c r="H42" i="16"/>
  <c r="I42" i="16"/>
  <c r="K42" i="16"/>
  <c r="L42" i="16"/>
  <c r="E31" i="16"/>
  <c r="F31" i="16"/>
  <c r="E19" i="16"/>
  <c r="F19" i="16"/>
  <c r="H19" i="16"/>
  <c r="I19" i="16"/>
  <c r="K19" i="16"/>
  <c r="L19" i="16"/>
  <c r="N77" i="16"/>
  <c r="O77" i="16" s="1"/>
  <c r="N41" i="16"/>
  <c r="N40" i="16"/>
  <c r="N39" i="16"/>
  <c r="N38" i="16"/>
  <c r="N28" i="16"/>
  <c r="N27" i="16"/>
  <c r="N23" i="16"/>
  <c r="J63" i="16"/>
  <c r="G63" i="16"/>
  <c r="E11" i="16"/>
  <c r="F11" i="16"/>
  <c r="I11" i="16"/>
  <c r="K11" i="16"/>
  <c r="L11" i="16"/>
  <c r="J7" i="16"/>
  <c r="G7" i="16"/>
  <c r="N10" i="16" l="1"/>
  <c r="G56" i="16"/>
  <c r="N21" i="42"/>
  <c r="N25" i="42"/>
  <c r="N47" i="42"/>
  <c r="N55" i="42"/>
  <c r="J56" i="16"/>
  <c r="J19" i="42"/>
  <c r="N17" i="42"/>
  <c r="N34" i="42"/>
  <c r="N36" i="42"/>
  <c r="N69" i="42"/>
  <c r="N7" i="16"/>
  <c r="N5" i="42"/>
  <c r="N14" i="42"/>
  <c r="N19" i="42" s="1"/>
  <c r="N28" i="42"/>
  <c r="N58" i="16"/>
  <c r="N30" i="16"/>
  <c r="N55" i="16"/>
  <c r="N62" i="16"/>
  <c r="N73" i="16"/>
  <c r="O73" i="16" s="1"/>
  <c r="N13" i="42"/>
  <c r="N4" i="42"/>
  <c r="N23" i="42"/>
  <c r="J42" i="42"/>
  <c r="G42" i="42"/>
  <c r="N38" i="42"/>
  <c r="N40" i="42"/>
  <c r="J49" i="42"/>
  <c r="G49" i="42"/>
  <c r="N52" i="42"/>
  <c r="N58" i="42"/>
  <c r="N60" i="42"/>
  <c r="N67" i="42"/>
  <c r="N72" i="42"/>
  <c r="N76" i="42"/>
  <c r="N17" i="16"/>
  <c r="N48" i="16"/>
  <c r="N60" i="16"/>
  <c r="N67" i="16"/>
  <c r="O67" i="16" s="1"/>
  <c r="N7" i="42"/>
  <c r="N15" i="42"/>
  <c r="N33" i="16"/>
  <c r="N51" i="16"/>
  <c r="N14" i="16"/>
  <c r="N34" i="16"/>
  <c r="N52" i="16"/>
  <c r="N54" i="16"/>
  <c r="N59" i="16"/>
  <c r="N61" i="16"/>
  <c r="N8" i="42"/>
  <c r="G19" i="42"/>
  <c r="N16" i="42"/>
  <c r="N18" i="42"/>
  <c r="N27" i="42"/>
  <c r="N33" i="42"/>
  <c r="N35" i="42"/>
  <c r="N46" i="42"/>
  <c r="N48" i="42"/>
  <c r="G56" i="42"/>
  <c r="N54" i="42"/>
  <c r="N62" i="42"/>
  <c r="N71" i="42"/>
  <c r="N75" i="42"/>
  <c r="N24" i="42"/>
  <c r="N26" i="42"/>
  <c r="N30" i="42"/>
  <c r="N39" i="42"/>
  <c r="N51" i="42"/>
  <c r="N59" i="42"/>
  <c r="N66" i="42"/>
  <c r="N68" i="42"/>
  <c r="N74" i="42"/>
  <c r="G31" i="42"/>
  <c r="J11" i="42"/>
  <c r="N75" i="16"/>
  <c r="O75" i="16" s="1"/>
  <c r="N76" i="16"/>
  <c r="O76" i="16" s="1"/>
  <c r="N46" i="16"/>
  <c r="J49" i="16"/>
  <c r="G49" i="16"/>
  <c r="N44" i="16"/>
  <c r="N37" i="16"/>
  <c r="N35" i="16"/>
  <c r="O35" i="16" s="1"/>
  <c r="J42" i="16"/>
  <c r="G42" i="16"/>
  <c r="N26" i="16"/>
  <c r="N22" i="16"/>
  <c r="N18" i="16"/>
  <c r="N15" i="16"/>
  <c r="J19" i="16"/>
  <c r="G19" i="16"/>
  <c r="N13" i="16"/>
  <c r="N5" i="16"/>
  <c r="O5" i="16" s="1"/>
  <c r="N4" i="16"/>
  <c r="N3" i="16"/>
  <c r="N36" i="16"/>
  <c r="N16" i="16"/>
  <c r="N68" i="16"/>
  <c r="N74" i="16"/>
  <c r="N25" i="16"/>
  <c r="N24" i="16"/>
  <c r="G31" i="16"/>
  <c r="N21" i="16"/>
  <c r="N66" i="16"/>
  <c r="N44" i="42"/>
  <c r="J56" i="42"/>
  <c r="N3" i="42"/>
  <c r="J63" i="42"/>
  <c r="O66" i="16" l="1"/>
  <c r="O24" i="16"/>
  <c r="O74" i="16"/>
  <c r="O68" i="16"/>
  <c r="N63" i="42"/>
  <c r="N56" i="42"/>
  <c r="N42" i="42"/>
  <c r="N42" i="16"/>
  <c r="N49" i="42"/>
  <c r="N63" i="16"/>
  <c r="N19" i="16"/>
  <c r="I24" i="17"/>
  <c r="K24" i="17" s="1"/>
  <c r="N24" i="17" s="1"/>
  <c r="E26" i="17" l="1"/>
  <c r="H85" i="16" l="1"/>
  <c r="H85" i="42" l="1"/>
  <c r="D63" i="16" l="1"/>
  <c r="D56" i="16"/>
  <c r="D49" i="16"/>
  <c r="D42" i="16"/>
  <c r="O42" i="16" s="1"/>
  <c r="D31" i="16"/>
  <c r="D19" i="16"/>
  <c r="D23" i="17" l="1"/>
  <c r="D26" i="17" l="1"/>
  <c r="I26" i="17" l="1"/>
  <c r="K23" i="17"/>
  <c r="K26" i="17" l="1"/>
  <c r="N26" i="17" s="1"/>
  <c r="N23" i="17"/>
  <c r="J29" i="42" l="1"/>
  <c r="H31" i="42"/>
  <c r="D11" i="42"/>
  <c r="G9" i="42"/>
  <c r="D135" i="42"/>
  <c r="F78" i="42" l="1"/>
  <c r="F82" i="42" s="1"/>
  <c r="E78" i="42"/>
  <c r="E82" i="42" s="1"/>
  <c r="I78" i="42"/>
  <c r="I82" i="42" s="1"/>
  <c r="K78" i="42"/>
  <c r="K82" i="42" s="1"/>
  <c r="G11" i="42"/>
  <c r="N9" i="42"/>
  <c r="J31" i="42"/>
  <c r="N29" i="42"/>
  <c r="L78" i="42"/>
  <c r="L82" i="42" s="1"/>
  <c r="J65" i="42"/>
  <c r="J78" i="42" s="1"/>
  <c r="H78" i="42"/>
  <c r="H82" i="42" s="1"/>
  <c r="G65" i="42"/>
  <c r="G78" i="42" s="1"/>
  <c r="D78" i="42"/>
  <c r="D82" i="42" s="1"/>
  <c r="J65" i="16"/>
  <c r="G65" i="16"/>
  <c r="J82" i="42" l="1"/>
  <c r="N31" i="42"/>
  <c r="G82" i="42"/>
  <c r="N11" i="42"/>
  <c r="N65" i="42"/>
  <c r="N65" i="16"/>
  <c r="O65" i="16" l="1"/>
  <c r="N78" i="42"/>
  <c r="N82" i="42" s="1"/>
  <c r="N85" i="42" s="1"/>
  <c r="O85" i="42" l="1"/>
  <c r="G70" i="16" l="1"/>
  <c r="K49" i="16"/>
  <c r="N45" i="16"/>
  <c r="O45" i="16" s="1"/>
  <c r="K56" i="16" l="1"/>
  <c r="N53" i="16"/>
  <c r="N56" i="16" l="1"/>
  <c r="G72" i="16" l="1"/>
  <c r="M14" i="160" l="1"/>
  <c r="M14" i="163"/>
  <c r="M14" i="156"/>
  <c r="M14" i="159"/>
  <c r="M14" i="158"/>
  <c r="D104" i="16" s="1"/>
  <c r="M14" i="157"/>
  <c r="M14" i="155"/>
  <c r="M14" i="162"/>
  <c r="D26" i="154" l="1"/>
  <c r="M14" i="154"/>
  <c r="D100" i="16" s="1"/>
  <c r="D105" i="16"/>
  <c r="D23" i="155"/>
  <c r="D26" i="155" s="1"/>
  <c r="D101" i="16"/>
  <c r="D23" i="156"/>
  <c r="D26" i="156" s="1"/>
  <c r="D102" i="16"/>
  <c r="D23" i="163"/>
  <c r="D109" i="16"/>
  <c r="D103" i="16"/>
  <c r="D23" i="157"/>
  <c r="D23" i="160"/>
  <c r="D106" i="16"/>
  <c r="D23" i="162"/>
  <c r="D108" i="16"/>
  <c r="M14" i="161"/>
  <c r="I23" i="162" l="1"/>
  <c r="D26" i="162"/>
  <c r="I23" i="163"/>
  <c r="D26" i="163"/>
  <c r="I23" i="160"/>
  <c r="D26" i="160"/>
  <c r="K23" i="154"/>
  <c r="I26" i="154"/>
  <c r="H69" i="16"/>
  <c r="D26" i="157"/>
  <c r="N23" i="157"/>
  <c r="D6" i="16"/>
  <c r="D23" i="161"/>
  <c r="D107" i="16"/>
  <c r="K24" i="154"/>
  <c r="H70" i="16"/>
  <c r="J70" i="16" l="1"/>
  <c r="N70" i="16" s="1"/>
  <c r="J69" i="16"/>
  <c r="I23" i="161"/>
  <c r="D26" i="161"/>
  <c r="K23" i="160"/>
  <c r="I26" i="160"/>
  <c r="E26" i="159"/>
  <c r="G6" i="16"/>
  <c r="H23" i="159"/>
  <c r="H26" i="159" s="1"/>
  <c r="D24" i="159"/>
  <c r="N24" i="159" s="1"/>
  <c r="K23" i="163"/>
  <c r="I26" i="163"/>
  <c r="K23" i="162"/>
  <c r="I26" i="162"/>
  <c r="M26" i="157"/>
  <c r="N26" i="157" s="1"/>
  <c r="L47" i="16"/>
  <c r="K26" i="154"/>
  <c r="N24" i="154"/>
  <c r="O70" i="16" l="1"/>
  <c r="D26" i="159"/>
  <c r="I23" i="159"/>
  <c r="H6" i="16" s="1"/>
  <c r="L49" i="16"/>
  <c r="N47" i="16"/>
  <c r="K26" i="160"/>
  <c r="N26" i="160" s="1"/>
  <c r="N23" i="160"/>
  <c r="K26" i="162"/>
  <c r="N26" i="162" s="1"/>
  <c r="N23" i="162"/>
  <c r="I26" i="161"/>
  <c r="K23" i="161"/>
  <c r="K26" i="163"/>
  <c r="N26" i="163" s="1"/>
  <c r="N23" i="163"/>
  <c r="H23" i="154"/>
  <c r="E69" i="16"/>
  <c r="F26" i="154"/>
  <c r="O47" i="16" l="1"/>
  <c r="N49" i="16"/>
  <c r="O49" i="16" s="1"/>
  <c r="I26" i="159"/>
  <c r="K23" i="159"/>
  <c r="K26" i="159" s="1"/>
  <c r="N26" i="159" s="1"/>
  <c r="H26" i="154"/>
  <c r="N26" i="154" s="1"/>
  <c r="N23" i="154"/>
  <c r="J6" i="16"/>
  <c r="G69" i="16"/>
  <c r="K26" i="161"/>
  <c r="N26" i="161" s="1"/>
  <c r="N23" i="161"/>
  <c r="N23" i="159" l="1"/>
  <c r="N69" i="16"/>
  <c r="N6" i="16"/>
  <c r="O69" i="16" l="1"/>
  <c r="O6" i="16"/>
  <c r="G18" i="171" l="1"/>
  <c r="M9" i="171" s="1"/>
  <c r="M19" i="171" s="1"/>
  <c r="D121" i="16" l="1"/>
  <c r="D28" i="171"/>
  <c r="I28" i="171" l="1"/>
  <c r="D31" i="171"/>
  <c r="K28" i="171" l="1"/>
  <c r="H72" i="16"/>
  <c r="I31" i="171"/>
  <c r="J72" i="16" l="1"/>
  <c r="K31" i="171"/>
  <c r="N31" i="171" s="1"/>
  <c r="N28" i="171"/>
  <c r="N72" i="16" l="1"/>
  <c r="O72" i="16" l="1"/>
  <c r="J26" i="156" l="1"/>
  <c r="L26" i="156"/>
  <c r="F26" i="156"/>
  <c r="G26" i="156"/>
  <c r="H23" i="156" l="1"/>
  <c r="H26" i="156" s="1"/>
  <c r="E26" i="156"/>
  <c r="K29" i="16"/>
  <c r="L26" i="158"/>
  <c r="L26" i="155"/>
  <c r="K71" i="16"/>
  <c r="K23" i="156"/>
  <c r="K26" i="156" s="1"/>
  <c r="I26" i="156"/>
  <c r="H23" i="155"/>
  <c r="H26" i="155" s="1"/>
  <c r="D71" i="16"/>
  <c r="E26" i="155"/>
  <c r="F26" i="155"/>
  <c r="E71" i="16"/>
  <c r="F71" i="16"/>
  <c r="G26" i="155"/>
  <c r="D24" i="158"/>
  <c r="E23" i="158"/>
  <c r="J26" i="158"/>
  <c r="I29" i="16"/>
  <c r="I26" i="155"/>
  <c r="K23" i="155"/>
  <c r="K26" i="155" s="1"/>
  <c r="H71" i="16"/>
  <c r="I26" i="158"/>
  <c r="K24" i="158"/>
  <c r="K26" i="158" s="1"/>
  <c r="J26" i="155"/>
  <c r="I71" i="16"/>
  <c r="I78" i="16" l="1"/>
  <c r="F78" i="16"/>
  <c r="F82" i="16" s="1"/>
  <c r="K78" i="16"/>
  <c r="G71" i="16"/>
  <c r="G78" i="16" s="1"/>
  <c r="D78" i="16"/>
  <c r="H78" i="16"/>
  <c r="J71" i="16"/>
  <c r="J78" i="16" s="1"/>
  <c r="K31" i="16"/>
  <c r="K82" i="16" s="1"/>
  <c r="D26" i="158"/>
  <c r="E78" i="16"/>
  <c r="E82" i="16" s="1"/>
  <c r="I31" i="16"/>
  <c r="I82" i="16" s="1"/>
  <c r="E26" i="158"/>
  <c r="D9" i="16"/>
  <c r="H23" i="158"/>
  <c r="M26" i="158" l="1"/>
  <c r="L29" i="16"/>
  <c r="D11" i="16"/>
  <c r="D82" i="16" s="1"/>
  <c r="G9" i="16"/>
  <c r="N24" i="158"/>
  <c r="M26" i="156"/>
  <c r="N26" i="156" s="1"/>
  <c r="N23" i="156"/>
  <c r="H26" i="158"/>
  <c r="N26" i="158" s="1"/>
  <c r="N23" i="158"/>
  <c r="N23" i="155"/>
  <c r="M26" i="155"/>
  <c r="N26" i="155" s="1"/>
  <c r="L71" i="16"/>
  <c r="N71" i="16" l="1"/>
  <c r="L78" i="16"/>
  <c r="G11" i="16"/>
  <c r="G82" i="16" s="1"/>
  <c r="N9" i="16"/>
  <c r="L31" i="16"/>
  <c r="L82" i="16" l="1"/>
  <c r="O9" i="16"/>
  <c r="O71" i="16"/>
  <c r="N78" i="16"/>
  <c r="O78" i="16" s="1"/>
  <c r="F13" i="144" l="1"/>
  <c r="M9" i="144" s="1"/>
  <c r="M14" i="144" s="1"/>
  <c r="D86" i="16" l="1"/>
  <c r="D23" i="144"/>
  <c r="I23" i="144" l="1"/>
  <c r="D26" i="144"/>
  <c r="K23" i="144" l="1"/>
  <c r="I26" i="144"/>
  <c r="H29" i="16"/>
  <c r="I11" i="143" l="1"/>
  <c r="I9" i="143" s="1"/>
  <c r="E13" i="143"/>
  <c r="M9" i="143" s="1"/>
  <c r="M14" i="143" s="1"/>
  <c r="J29" i="16"/>
  <c r="H31" i="16"/>
  <c r="K26" i="144"/>
  <c r="N26" i="144" s="1"/>
  <c r="N23" i="144"/>
  <c r="N29" i="16" l="1"/>
  <c r="J31" i="16"/>
  <c r="D85" i="16"/>
  <c r="D23" i="143"/>
  <c r="I23" i="143" l="1"/>
  <c r="D26" i="143"/>
  <c r="O29" i="16"/>
  <c r="N31" i="16"/>
  <c r="O31" i="16" s="1"/>
  <c r="D164" i="16"/>
  <c r="H8" i="16" l="1"/>
  <c r="K23" i="143"/>
  <c r="I26" i="143"/>
  <c r="K26" i="143" l="1"/>
  <c r="N26" i="143" s="1"/>
  <c r="N23" i="143"/>
  <c r="H11" i="16"/>
  <c r="H82" i="16" s="1"/>
  <c r="J8" i="16"/>
  <c r="N8" i="16" l="1"/>
  <c r="J11" i="16"/>
  <c r="J82" i="16" s="1"/>
  <c r="N11" i="16" l="1"/>
  <c r="O8" i="16"/>
  <c r="N82" i="16" l="1"/>
  <c r="O11" i="16"/>
  <c r="P85" i="16" l="1"/>
  <c r="O85" i="16"/>
  <c r="O82" i="16"/>
</calcChain>
</file>

<file path=xl/sharedStrings.xml><?xml version="1.0" encoding="utf-8"?>
<sst xmlns="http://schemas.openxmlformats.org/spreadsheetml/2006/main" count="1937" uniqueCount="341">
  <si>
    <t>Line</t>
  </si>
  <si>
    <t>Test Year</t>
  </si>
  <si>
    <t>No</t>
  </si>
  <si>
    <t>Description</t>
  </si>
  <si>
    <t>Amount</t>
  </si>
  <si>
    <t>Acct</t>
  </si>
  <si>
    <t>Total</t>
  </si>
  <si>
    <t>TRAN</t>
  </si>
  <si>
    <t>DIST</t>
  </si>
  <si>
    <t>MET</t>
  </si>
  <si>
    <t>TDCS</t>
  </si>
  <si>
    <t>A560</t>
  </si>
  <si>
    <t>A561</t>
  </si>
  <si>
    <t>A562</t>
  </si>
  <si>
    <t>A563</t>
  </si>
  <si>
    <t>A564</t>
  </si>
  <si>
    <t>A566</t>
  </si>
  <si>
    <t>A568</t>
  </si>
  <si>
    <t>A570</t>
  </si>
  <si>
    <t>A571</t>
  </si>
  <si>
    <t>A572</t>
  </si>
  <si>
    <t>A573</t>
  </si>
  <si>
    <t>A580</t>
  </si>
  <si>
    <t>A581</t>
  </si>
  <si>
    <t>A582</t>
  </si>
  <si>
    <t>A583</t>
  </si>
  <si>
    <t>A584</t>
  </si>
  <si>
    <t>A586</t>
  </si>
  <si>
    <t>A587</t>
  </si>
  <si>
    <t>A588</t>
  </si>
  <si>
    <t>A590</t>
  </si>
  <si>
    <t>A592</t>
  </si>
  <si>
    <t>A593</t>
  </si>
  <si>
    <t>A594</t>
  </si>
  <si>
    <t>A595</t>
  </si>
  <si>
    <t>A596</t>
  </si>
  <si>
    <t>A597</t>
  </si>
  <si>
    <t>A598</t>
  </si>
  <si>
    <t>A901</t>
  </si>
  <si>
    <t>A902</t>
  </si>
  <si>
    <t>A903</t>
  </si>
  <si>
    <t>A907</t>
  </si>
  <si>
    <t>A908</t>
  </si>
  <si>
    <t>A911</t>
  </si>
  <si>
    <t>A920</t>
  </si>
  <si>
    <t>A921</t>
  </si>
  <si>
    <t>A585</t>
  </si>
  <si>
    <t>A930.2</t>
  </si>
  <si>
    <t>A926</t>
  </si>
  <si>
    <t>A924</t>
  </si>
  <si>
    <t>A928</t>
  </si>
  <si>
    <t>A565</t>
  </si>
  <si>
    <t>A589</t>
  </si>
  <si>
    <t>A923</t>
  </si>
  <si>
    <t>A931</t>
  </si>
  <si>
    <t>A910</t>
  </si>
  <si>
    <t>A913</t>
  </si>
  <si>
    <t>A912</t>
  </si>
  <si>
    <t>A935</t>
  </si>
  <si>
    <t>A567</t>
  </si>
  <si>
    <t>A569</t>
  </si>
  <si>
    <t>A591</t>
  </si>
  <si>
    <t>A904</t>
  </si>
  <si>
    <t>A905</t>
  </si>
  <si>
    <t>A906</t>
  </si>
  <si>
    <t>A909</t>
  </si>
  <si>
    <t>A916</t>
  </si>
  <si>
    <t>A917</t>
  </si>
  <si>
    <t>A922</t>
  </si>
  <si>
    <t>A925</t>
  </si>
  <si>
    <t>A930.1</t>
  </si>
  <si>
    <t>Operation Supervision and Engineering</t>
  </si>
  <si>
    <t xml:space="preserve">Load Dispatching </t>
  </si>
  <si>
    <t>Miscellaneous Transmission Expenses</t>
  </si>
  <si>
    <t>Maintenance of Overhead Lines</t>
  </si>
  <si>
    <t>Load Dispatching</t>
  </si>
  <si>
    <t>Miscellaneous Distribution Expenses</t>
  </si>
  <si>
    <t>Supervision</t>
  </si>
  <si>
    <t>Customer Assistance Expenses</t>
  </si>
  <si>
    <t>Administrative and General Salaries</t>
  </si>
  <si>
    <t>Office Supplies and Expenses</t>
  </si>
  <si>
    <t>Outside Services Employed</t>
  </si>
  <si>
    <t>Miscellaneous General Expenses</t>
  </si>
  <si>
    <t>Employee Pensions and Benefits</t>
  </si>
  <si>
    <t>Station Expenses</t>
  </si>
  <si>
    <t>Overhead Line Expenses</t>
  </si>
  <si>
    <t>Underground Line Expenses</t>
  </si>
  <si>
    <t>Transmission of Electricity by Others</t>
  </si>
  <si>
    <t xml:space="preserve">Rents </t>
  </si>
  <si>
    <t>Maintenance Supervision and Engineering</t>
  </si>
  <si>
    <t>Maintenance of Structures</t>
  </si>
  <si>
    <t>Maintenance of Station Equipment</t>
  </si>
  <si>
    <t>Maintenance of Underground Lines</t>
  </si>
  <si>
    <t>Maintenance of Miscellaneous Transmission Plant</t>
  </si>
  <si>
    <t>Street Lighting and Signal System Expenses</t>
  </si>
  <si>
    <t>Meter Expenses</t>
  </si>
  <si>
    <t>Customer Installation Expenses</t>
  </si>
  <si>
    <t>Rents</t>
  </si>
  <si>
    <t>Maintenance of Line Transformers</t>
  </si>
  <si>
    <t>Maintenance of Street Lighting and Signal Systems</t>
  </si>
  <si>
    <t>Maintenance of Meters</t>
  </si>
  <si>
    <t>Maintenance of Miscellaneous Distribution Plant</t>
  </si>
  <si>
    <t>Meter Reading Expenses</t>
  </si>
  <si>
    <t>Customer Records and Collection Expenses</t>
  </si>
  <si>
    <t>Uncollectible Accounts</t>
  </si>
  <si>
    <t>Miscellaneous Customer Service and Informational Expenses</t>
  </si>
  <si>
    <t>Demonstrating and Selling Expenses</t>
  </si>
  <si>
    <t>Admin Expense Transferred - Credit</t>
  </si>
  <si>
    <t>Property Insurance</t>
  </si>
  <si>
    <t>Injuries and Damages</t>
  </si>
  <si>
    <t>Regulatory Commission Expenses</t>
  </si>
  <si>
    <t>General Advertising Expenses</t>
  </si>
  <si>
    <t>Maintenance of General Plant</t>
  </si>
  <si>
    <t>Miscellaneous Customer Account Expenses</t>
  </si>
  <si>
    <t>Customer Service and Informational Expenses</t>
  </si>
  <si>
    <t>Informational and Instructional Advertising Expenses</t>
  </si>
  <si>
    <t>Advertising Expenses</t>
  </si>
  <si>
    <t>Miscellaneous Sales Expenses</t>
  </si>
  <si>
    <t>Sales Expenses</t>
  </si>
  <si>
    <t>Functionalized
Adjustment</t>
  </si>
  <si>
    <t>Method of Functionalization:</t>
  </si>
  <si>
    <t>A932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</si>
  <si>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</si>
  <si>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</si>
  <si>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</si>
  <si>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</si>
  <si>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</si>
  <si>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</si>
  <si>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</si>
  <si>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</si>
  <si>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</si>
  <si>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</si>
  <si>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</si>
  <si>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</si>
  <si>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</si>
  <si>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</si>
  <si>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</si>
  <si>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</si>
  <si>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</si>
  <si>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</si>
  <si>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</si>
  <si>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</si>
  <si>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</si>
  <si>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</si>
  <si>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Proposed Adjustment: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</si>
  <si>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</si>
  <si>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</si>
  <si>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</si>
  <si>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</si>
  <si>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</si>
  <si>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</si>
  <si>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</si>
  <si>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</si>
  <si>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</si>
  <si>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</si>
  <si>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</si>
  <si>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</si>
  <si>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Adjustment</t>
  </si>
  <si>
    <t>Adjustment Needed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</si>
  <si>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</si>
  <si>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</si>
  <si>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</si>
  <si>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</si>
  <si>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</si>
  <si>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</si>
  <si>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</si>
  <si>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</si>
  <si>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</si>
  <si>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NTU</t>
  </si>
  <si>
    <t>DC</t>
  </si>
  <si>
    <t>TIE</t>
  </si>
  <si>
    <t>Consol</t>
  </si>
  <si>
    <t>(a)</t>
  </si>
  <si>
    <t>(b)</t>
  </si>
  <si>
    <t>(c) = (b) - (a)</t>
  </si>
  <si>
    <t>Test Year Amount to Adjust</t>
  </si>
  <si>
    <t>#44</t>
  </si>
  <si>
    <t>#45</t>
  </si>
  <si>
    <t>#46</t>
  </si>
  <si>
    <t>#47</t>
  </si>
  <si>
    <t>#48</t>
  </si>
  <si>
    <t>#49</t>
  </si>
  <si>
    <t>#50</t>
  </si>
  <si>
    <t>Proposed Adjustment:  Remove EECRF Amounts from test year.</t>
  </si>
  <si>
    <t>Proposed Adjustment:  Wholesale Transmission Service Expense</t>
  </si>
  <si>
    <t>Wholesale Transmission Service Expense</t>
  </si>
  <si>
    <t>PAYXAG Factor</t>
  </si>
  <si>
    <t>Return to Summary</t>
  </si>
  <si>
    <t>Merit Increase and Wages Annualized</t>
  </si>
  <si>
    <t>Proposed Adjustment: Merit Increase and Wages Annualized</t>
  </si>
  <si>
    <t>Direct Assigned and PAYXAG Factor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</si>
  <si>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</si>
  <si>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</si>
  <si>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</si>
  <si>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</si>
  <si>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</si>
  <si>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</si>
  <si>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</si>
  <si>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</si>
  <si>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</si>
  <si>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</si>
  <si>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</si>
  <si>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</si>
  <si>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</si>
  <si>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</si>
  <si>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</si>
  <si>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</si>
  <si>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</si>
  <si>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</si>
  <si>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</si>
  <si>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</si>
  <si>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Wholesale Distribution Substation Service (Oncor NTU Dist to Oncor Dist)</t>
  </si>
  <si>
    <t>Per Book Balance:</t>
  </si>
  <si>
    <t xml:space="preserve">Account A565  </t>
  </si>
  <si>
    <t>New Calculated Wholesale Transmission Service</t>
  </si>
  <si>
    <t>Proposed Adjustment: Wholesale Distribution Substation Service (From Oncor NTU Dist to Oncor Dist)</t>
  </si>
  <si>
    <t>EECRF</t>
  </si>
  <si>
    <t>Direct Assigned (A924 and A925) and PAYXAG Factor (A926)</t>
  </si>
  <si>
    <t>Proposed Adjustment:  Adjustment to Remove Incurred But Not Reported Credit in 2024 and Include Q4 2024 Benefit Expenses Paid in 2025</t>
  </si>
  <si>
    <t>Admin. Fees and IBNR Benefits Adjustment</t>
  </si>
  <si>
    <t>Pension Expense Adjustment</t>
  </si>
  <si>
    <t>OPEB Expense Adjustment</t>
  </si>
  <si>
    <t>Direct Assigned and PAYXAG</t>
  </si>
  <si>
    <t>Incentive Compensation Adjustment</t>
  </si>
  <si>
    <t>Self-Insurance Reserve Reg Asset Amortization - To Be Reviewed</t>
  </si>
  <si>
    <t>* See Schedule II-E-4.1.1, Lines 44, 45, and 46.</t>
  </si>
  <si>
    <t>Direct Assigned</t>
  </si>
  <si>
    <t>Pension Reg Asset Amortization - To Be Reviewed</t>
  </si>
  <si>
    <t>OPEB Reg Asset Amortization - To Be Reviewed</t>
  </si>
  <si>
    <t>COVID19 Incremental Expense Reg Asset Amortization</t>
  </si>
  <si>
    <t>Defaulted REPs 16 TAC § 25.107 Bad Debt Expense Reg Asset Amortization</t>
  </si>
  <si>
    <t>*  See Scheduled II-E-4.1.1, Line 41</t>
  </si>
  <si>
    <t>Power Line Safety Act PURA § 36.066 Reg Asset Amortization</t>
  </si>
  <si>
    <t>Rider CSR - Capital Structure Refund - Over-Refund</t>
  </si>
  <si>
    <t>Rider TRF - FIT Rate Refund - Over-Refund</t>
  </si>
  <si>
    <t>Interest-Rate Savings Dkt 47675 &amp; 55453</t>
  </si>
  <si>
    <t>Non-Standard Metering Service (Docket No. 41890)</t>
  </si>
  <si>
    <t>Self-Insurance Reserve - Cost of Service Accrual</t>
  </si>
  <si>
    <t>Proposed Adjustment:  Self-Insurance Reserve - Cost of Service Accrual</t>
  </si>
  <si>
    <t>Incremental Annual Accrual Adjustment</t>
  </si>
  <si>
    <t>Per Book Accrual Amount</t>
  </si>
  <si>
    <t>Remove Weather Events 30 - 32</t>
  </si>
  <si>
    <t>Excluded Project Costs</t>
  </si>
  <si>
    <t>NORECOVR</t>
  </si>
  <si>
    <t>NORECOV1</t>
  </si>
  <si>
    <t>RANGER18</t>
  </si>
  <si>
    <t>TMLCONFR</t>
  </si>
  <si>
    <t>A920 - Labor</t>
  </si>
  <si>
    <t>IT HCL COLA New Resource Adjustment</t>
  </si>
  <si>
    <t>Proposed Adjustment:  IT HCL COLA New Resource Adjustment</t>
  </si>
  <si>
    <t>TOMXFP Factor</t>
  </si>
  <si>
    <t>Hardware and Software Maintenance Adjustment</t>
  </si>
  <si>
    <t>Proposed Adjustment:  IT IBM COLA New Resource Adjustment</t>
  </si>
  <si>
    <t>IT IBM COLA New Resource Adjustment</t>
  </si>
  <si>
    <t>Remove Rate Case Expense Amortization for Docket No. 53601 Riders RCE and WRCE</t>
  </si>
  <si>
    <t>Mobile Gen</t>
  </si>
  <si>
    <t>Sales Tax Audit</t>
  </si>
  <si>
    <t>GC Services</t>
  </si>
  <si>
    <t>Social Club</t>
  </si>
  <si>
    <t>NetJets</t>
  </si>
  <si>
    <t>Credit Facility Fees</t>
  </si>
  <si>
    <t>Everman Lease</t>
  </si>
  <si>
    <t>A9302</t>
  </si>
  <si>
    <t>Expense Report Adjustment</t>
  </si>
  <si>
    <t>Adjustment for Powerline Safety (PURA Sec. 36.066) Accrual Based on 2025 Estimate</t>
  </si>
  <si>
    <t>Proposed Adjustment:  Adjustment for Powerline Safety (PURA Sec. 36.066) Accrual Based on 2025 Estimate</t>
  </si>
  <si>
    <t>Remove Affiliate Billing Correction from 2023</t>
  </si>
  <si>
    <t>Waxahachie Lease Transfer Adjustment</t>
  </si>
  <si>
    <t>Proposed Adjustment:  Waxahachie Lease Transfer Adjustment</t>
  </si>
  <si>
    <t>Proposed Adjustment:  Adjust Credit Facility Fees</t>
  </si>
  <si>
    <t>Labor - Financially Based LTIP</t>
  </si>
  <si>
    <t>Labor - Financially Based EAIP</t>
  </si>
  <si>
    <t>Total NORECOVR</t>
  </si>
  <si>
    <t>Test Year Amount (Unadjusted) - A588</t>
  </si>
  <si>
    <t>Increase / (Decrease)</t>
  </si>
  <si>
    <t>*Oncor and NTU</t>
  </si>
  <si>
    <t>*Third Party</t>
  </si>
  <si>
    <t>Per Book</t>
  </si>
  <si>
    <t>Calculated</t>
  </si>
  <si>
    <t>Avg 4CP Load (Oncor)</t>
  </si>
  <si>
    <t>Avg 4CP Load (Total)</t>
  </si>
  <si>
    <t>Oncor DSP's Share of Oncor TSP Revenue</t>
  </si>
  <si>
    <t>Construction Suppliers Adjustment</t>
  </si>
  <si>
    <t>Proposed Adjustment:  Construction Suppliers Adjustment</t>
  </si>
  <si>
    <t>Direct Assigned and TOMXFP Factor</t>
  </si>
  <si>
    <t>Capgemini F&amp;A and Supply Chain Adjustment</t>
  </si>
  <si>
    <t>* See Schedule II-E-4.1.1, Line 47.</t>
  </si>
  <si>
    <t>* See Schedule II-E-4.1.1, Line 48.</t>
  </si>
  <si>
    <t>* See Schedule II-E-4.1.1, Line 43.</t>
  </si>
  <si>
    <t>* See Schedule II-E-4.1.1, Line 42.</t>
  </si>
  <si>
    <t>*  See Scheduled II-E-4.1.1, Line 49</t>
  </si>
  <si>
    <t>*  See Scheduled II-E-4.1.1, Line 50</t>
  </si>
  <si>
    <t>*  See Scheduled II-E-4.1.1, Line 51</t>
  </si>
  <si>
    <t>Proposed Adjustment:  Non-Standard Metering Service (Docket No. 41890) *</t>
  </si>
  <si>
    <t>*  See Scheduled II-E-4.1.1, Line 52</t>
  </si>
  <si>
    <t>REMOVE WEATHER EVENTS 30 - 32</t>
  </si>
  <si>
    <t>Lobbying Expense Exclusion Adjustment</t>
  </si>
  <si>
    <t>Proposed Adjustment:  Lobbying Expense Exclusion Adjustment</t>
  </si>
  <si>
    <t>Remove AR Facility Affiliate Servicer Fees</t>
  </si>
  <si>
    <t>Amortization Adjustment for Deferred PUCT Docket Costs</t>
  </si>
  <si>
    <t>Proposed Adjustment:  Remove AR Facility Affiliate Servicer Fees</t>
  </si>
  <si>
    <t>Proposed Adjustment:  Capgemini F&amp;A and Supply Chain Adjustment</t>
  </si>
  <si>
    <t>Proposed Adjustment:  Expense Adjustment for SRP Transmission-Related (Docket No. 56545)</t>
  </si>
  <si>
    <t>Expense Adjustment for SRP Transmission-Related (Docket No. 56545)</t>
  </si>
  <si>
    <t>Proposed Adjustment:  Insurance Premium Expense</t>
  </si>
  <si>
    <t>Insurance Premium Expense</t>
  </si>
  <si>
    <t>Proposed Adjustment:  Pension Expense Adjustment to Incorporate the 2025 Pension Expense Based on the AON Report x O&amp;M Factor</t>
  </si>
  <si>
    <t>Proposed Adjustment:  OPEB Expense Adjustment to Incorporate the 2025 OPEB Expense Based on the AON Rpt x O&amp;M Factor</t>
  </si>
  <si>
    <t>Proposed Adjustment:  FAS 112 (ASC 712) Expense Adjustment</t>
  </si>
  <si>
    <t>Proposed Adjustment:  HR Contract(s) Paid for and Effective for 2025</t>
  </si>
  <si>
    <t>Proposed Adjustment: Self-Insurance Reserve Reg Asset 5 Year Amortization - To Be Reviewed *</t>
  </si>
  <si>
    <t>HR Contracts</t>
  </si>
  <si>
    <t>FAS 112 (ASC 712) Expense Adjustment</t>
  </si>
  <si>
    <t>Proposed Adjustment: Pension Reg Asset 5 Year Amortization - To Be Reviewed *</t>
  </si>
  <si>
    <t>Proposed Adjustment: OPEB Reg Asset 5 Year Amortization - To Be Reviewed *</t>
  </si>
  <si>
    <t>Proposed Adjustment: Defaulted REPs 16 TAC § 25.107 Bad Debt Expense Reg Asset 5 Year Amortization - To Be Reviewed *</t>
  </si>
  <si>
    <t>Proposed Adjustment: COVID19 Incremental Expense Reg Asset 5 Year Amortization - To Be Reviewed *</t>
  </si>
  <si>
    <t>Proposed Adjustment:  Power Line Safety Act PURA § 36.066 Reg Asset 5 Year Amortization - To Be Reviewed *</t>
  </si>
  <si>
    <t>Proposed Adjustment:  Rider CSR - Capital Structure Refund - Over-Refund 5 Year Amortization - To Be Reviewed *</t>
  </si>
  <si>
    <t xml:space="preserve">See Schedules II-E-4.1 and II-E-4.1.1 for related regulatory asset/liability amortization included in O&amp;M expense.  </t>
  </si>
  <si>
    <t>Also reference Schedule II-B-12 supporting workpaper for regulatory asset/liability and related amortization.</t>
  </si>
  <si>
    <t>Proposed Adjustment:  Rider TRF - FIT Rate Refund - Over-Refund 5 Year Amortization - To Be Reviewed *</t>
  </si>
  <si>
    <t>Proposed Adjustment:  Interest-Rate Savings Dkt 47675 &amp; 55453 5 Year Amortization - To Be Reviewed *</t>
  </si>
  <si>
    <t>Proposed Adjustment:  Remove Weather Events 30 - 32 - Should Have Been Reclassed for SIR</t>
  </si>
  <si>
    <t>Proposed Adjustment:  Excluded Non-Recoverable Project Costs</t>
  </si>
  <si>
    <t>Proposed Adjustment:  Hardware and Software Maintenance Adjustment Including Veritas Affiliate</t>
  </si>
  <si>
    <t>Proposed Adjustment: Remove Test Year Rate Case Expense Amortization for Docket No. 53601 Riders RCE and WRCE</t>
  </si>
  <si>
    <t>Proposed Adjustment:  5 Year Amortization Adjustment for Deferred PUCT Docket Costs</t>
  </si>
  <si>
    <t>Proposed Adjustment:  Mobile Gen Adjustment Test Year Expense Removal</t>
  </si>
  <si>
    <t>Proposed Adjustment:  Sales Tax Audit Settlement Refund</t>
  </si>
  <si>
    <t>Proposed Adjustment:  Expense Report Adjustment - Employee Appreciation Costs</t>
  </si>
  <si>
    <t>Proposed Adjustment:  Contact Center - GC Services Adjustment</t>
  </si>
  <si>
    <t>Proposed Adjustment:  Remove NTU Total Cost of Ownership Affiliate Billing Correction from 2023 Booked in Test Year</t>
  </si>
  <si>
    <t>Proposed Adjustment:  Social Club Dues Adjustment EC 303</t>
  </si>
  <si>
    <t>Proposed Adjustment:  Remove O&amp;M Costs for Net Jets - Aviation Transportation Assets</t>
  </si>
  <si>
    <t>Proposed Adjustment:  Everman Material Storage and Distribution Warehouse and Office Lease Adjustment</t>
  </si>
  <si>
    <t>Reference the Direct Testimony of W. Alan Ledbetter</t>
  </si>
  <si>
    <t>Docket No. 53601 Order on Rehearing Page 7 and 34 (Finding of Fact No. 149) of 73 Pages</t>
  </si>
  <si>
    <t>Schedule I-A-1 (Page 1)  NTUDIST</t>
  </si>
  <si>
    <t>Non-Labor Schedule II-D-3.7.5 exclusion - SERP and Executive Physical &amp; Financial Planning</t>
  </si>
  <si>
    <t>Proposed Adjustment:  Incentive Compensation Plan Financially-Based Adjustments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</si>
</sst>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000000000_);_(* \(#,##0.0000000000\);_(* &quot;-&quot;??_);_(@_)"/>
    <numFmt numFmtId="167" formatCode="_(&quot;$&quot;* #,##0.0000000000000000_);_(&quot;$&quot;* \(#,##0.0000000000000000\);_(&quot;$&quot;* &quot;-&quot;??_);_(@_)"/>
    <numFmt numFmtId="168" formatCode="0.00000_);\(0.00000\)"/>
    <numFmt numFmtId="169" formatCode="0.00000%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indexed="62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u val="singleAccounting"/>
      <sz val="10"/>
      <name val="Arial"/>
      <family val="2"/>
    </font>
    <font>
      <sz val="10"/>
      <color indexed="16"/>
      <name val="Arial"/>
      <family val="2"/>
    </font>
    <font>
      <sz val="10"/>
      <color indexed="16"/>
      <name val="Arial"/>
      <family val="2"/>
    </font>
    <font>
      <b/>
      <sz val="10"/>
      <color rgb="FFFF0000"/>
      <name val="Arial"/>
      <family val="2"/>
    </font>
    <font>
      <sz val="10"/>
      <name val="Arial Unicode MS"/>
      <family val="2"/>
    </font>
    <font>
      <b/>
      <sz val="10"/>
      <name val="Arial Unicode MS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vertAlign val="subscript"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mediumGray">
        <fgColor indexed="22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9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3" fontId="12" fillId="0" borderId="0"/>
    <xf numFmtId="0" fontId="13" fillId="0" borderId="1" applyNumberFormat="0" applyAlignment="0" applyProtection="0"/>
    <xf numFmtId="0" fontId="14" fillId="2" borderId="0" applyNumberFormat="0" applyFont="0" applyBorder="0" applyAlignment="0" applyProtection="0"/>
    <xf numFmtId="0" fontId="15" fillId="3" borderId="2" applyNumberFormat="0" applyFont="0" applyBorder="0" applyAlignment="0" applyProtection="0">
      <alignment horizontal="center"/>
    </xf>
    <xf numFmtId="0" fontId="15" fillId="4" borderId="2" applyNumberFormat="0" applyFont="0" applyBorder="0" applyAlignment="0" applyProtection="0">
      <alignment horizontal="center"/>
    </xf>
    <xf numFmtId="0" fontId="14" fillId="0" borderId="3" applyNumberFormat="0" applyAlignment="0" applyProtection="0"/>
    <xf numFmtId="0" fontId="14" fillId="0" borderId="4" applyNumberFormat="0" applyAlignment="0" applyProtection="0"/>
    <xf numFmtId="0" fontId="13" fillId="0" borderId="5" applyNumberFormat="0" applyAlignment="0" applyProtection="0"/>
    <xf numFmtId="9" fontId="8" fillId="0" borderId="0" applyFont="0" applyFill="0" applyBorder="0" applyAlignment="0" applyProtection="0"/>
    <xf numFmtId="0" fontId="16" fillId="0" borderId="0" applyNumberFormat="0" applyFont="0" applyFill="0" applyBorder="0" applyAlignment="0" applyProtection="0">
      <alignment horizontal="left"/>
    </xf>
    <xf numFmtId="15" fontId="16" fillId="0" borderId="0" applyFont="0" applyFill="0" applyBorder="0" applyAlignment="0" applyProtection="0"/>
    <xf numFmtId="4" fontId="16" fillId="0" borderId="0" applyFont="0" applyFill="0" applyBorder="0" applyAlignment="0" applyProtection="0"/>
    <xf numFmtId="0" fontId="17" fillId="0" borderId="6">
      <alignment horizontal="center"/>
    </xf>
    <xf numFmtId="3" fontId="16" fillId="0" borderId="0" applyFont="0" applyFill="0" applyBorder="0" applyAlignment="0" applyProtection="0"/>
    <xf numFmtId="0" fontId="16" fillId="5" borderId="0" applyNumberFormat="0" applyFont="0" applyBorder="0" applyAlignment="0" applyProtection="0"/>
    <xf numFmtId="43" fontId="1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3" borderId="2" applyNumberFormat="0" applyFont="0" applyBorder="0" applyAlignment="0" applyProtection="0">
      <alignment horizontal="center"/>
    </xf>
    <xf numFmtId="0" fontId="9" fillId="4" borderId="2" applyNumberFormat="0" applyFont="0" applyBorder="0" applyAlignment="0" applyProtection="0">
      <alignment horizontal="center"/>
    </xf>
    <xf numFmtId="43" fontId="9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22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0" fontId="10" fillId="0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8" fillId="0" borderId="0" xfId="1" applyNumberFormat="1"/>
    <xf numFmtId="43" fontId="10" fillId="0" borderId="0" xfId="1" applyFont="1" applyAlignment="1">
      <alignment horizontal="right"/>
    </xf>
    <xf numFmtId="43" fontId="18" fillId="0" borderId="0" xfId="1" applyFont="1" applyFill="1" applyBorder="1" applyAlignment="1">
      <alignment horizontal="center"/>
    </xf>
    <xf numFmtId="0" fontId="11" fillId="0" borderId="0" xfId="0" applyFont="1" applyFill="1" applyBorder="1"/>
    <xf numFmtId="0" fontId="0" fillId="0" borderId="0" xfId="0" applyFill="1"/>
    <xf numFmtId="0" fontId="19" fillId="0" borderId="0" xfId="0" applyFont="1" applyFill="1" applyBorder="1"/>
    <xf numFmtId="0" fontId="19" fillId="0" borderId="0" xfId="0" applyFont="1" applyFill="1"/>
    <xf numFmtId="0" fontId="20" fillId="0" borderId="0" xfId="0" applyFont="1" applyFill="1"/>
    <xf numFmtId="0" fontId="10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0" borderId="8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0" xfId="0" applyFont="1"/>
    <xf numFmtId="10" fontId="8" fillId="0" borderId="0" xfId="11" applyNumberFormat="1" applyFont="1"/>
    <xf numFmtId="0" fontId="0" fillId="0" borderId="0" xfId="0" applyBorder="1"/>
    <xf numFmtId="165" fontId="8" fillId="0" borderId="0" xfId="2" applyNumberFormat="1" applyBorder="1"/>
    <xf numFmtId="165" fontId="0" fillId="0" borderId="0" xfId="2" applyNumberFormat="1" applyFont="1" applyBorder="1"/>
    <xf numFmtId="164" fontId="0" fillId="0" borderId="0" xfId="1" applyNumberFormat="1" applyFont="1" applyBorder="1" applyAlignment="1">
      <alignment horizontal="right"/>
    </xf>
    <xf numFmtId="164" fontId="0" fillId="0" borderId="0" xfId="1" applyNumberFormat="1" applyFont="1" applyBorder="1"/>
    <xf numFmtId="165" fontId="0" fillId="0" borderId="0" xfId="2" applyNumberFormat="1" applyFont="1"/>
    <xf numFmtId="164" fontId="0" fillId="0" borderId="0" xfId="1" applyNumberFormat="1" applyFont="1"/>
    <xf numFmtId="0" fontId="0" fillId="0" borderId="0" xfId="0" applyAlignment="1">
      <alignment horizontal="right"/>
    </xf>
    <xf numFmtId="165" fontId="10" fillId="0" borderId="12" xfId="0" applyNumberFormat="1" applyFont="1" applyBorder="1"/>
    <xf numFmtId="165" fontId="0" fillId="0" borderId="0" xfId="0" applyNumberFormat="1"/>
    <xf numFmtId="164" fontId="0" fillId="0" borderId="0" xfId="1" applyNumberFormat="1" applyFont="1" applyFill="1"/>
    <xf numFmtId="164" fontId="10" fillId="0" borderId="0" xfId="1" applyNumberFormat="1" applyFont="1" applyFill="1"/>
    <xf numFmtId="164" fontId="10" fillId="0" borderId="0" xfId="1" applyNumberFormat="1" applyFont="1" applyBorder="1"/>
    <xf numFmtId="166" fontId="0" fillId="0" borderId="0" xfId="1" applyNumberFormat="1" applyFont="1" applyFill="1"/>
    <xf numFmtId="164" fontId="18" fillId="0" borderId="0" xfId="1" applyNumberFormat="1" applyFont="1" applyFill="1" applyBorder="1" applyAlignment="1">
      <alignment horizontal="center"/>
    </xf>
    <xf numFmtId="0" fontId="11" fillId="0" borderId="0" xfId="0" applyFont="1"/>
    <xf numFmtId="0" fontId="8" fillId="0" borderId="0" xfId="0" applyFont="1"/>
    <xf numFmtId="43" fontId="0" fillId="0" borderId="0" xfId="1" applyFont="1" applyFill="1" applyBorder="1"/>
    <xf numFmtId="0" fontId="0" fillId="0" borderId="0" xfId="0" applyFill="1" applyBorder="1"/>
    <xf numFmtId="164" fontId="10" fillId="0" borderId="0" xfId="1" applyNumberFormat="1" applyFont="1" applyFill="1" applyBorder="1"/>
    <xf numFmtId="42" fontId="10" fillId="0" borderId="12" xfId="1" applyNumberFormat="1" applyFont="1" applyFill="1" applyBorder="1"/>
    <xf numFmtId="42" fontId="0" fillId="0" borderId="0" xfId="0" applyNumberFormat="1" applyFill="1"/>
    <xf numFmtId="41" fontId="10" fillId="0" borderId="0" xfId="1" applyNumberFormat="1" applyFont="1" applyFill="1"/>
    <xf numFmtId="42" fontId="10" fillId="0" borderId="0" xfId="0" applyNumberFormat="1" applyFont="1"/>
    <xf numFmtId="0" fontId="21" fillId="0" borderId="0" xfId="0" applyFont="1"/>
    <xf numFmtId="41" fontId="0" fillId="0" borderId="0" xfId="0" applyNumberFormat="1"/>
    <xf numFmtId="167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Border="1"/>
    <xf numFmtId="165" fontId="0" fillId="0" borderId="0" xfId="2" applyNumberFormat="1" applyFont="1" applyBorder="1"/>
    <xf numFmtId="164" fontId="0" fillId="0" borderId="0" xfId="1" applyNumberFormat="1" applyFont="1" applyBorder="1" applyAlignment="1">
      <alignment horizontal="right"/>
    </xf>
    <xf numFmtId="164" fontId="0" fillId="0" borderId="0" xfId="1" applyNumberFormat="1" applyFont="1" applyBorder="1"/>
    <xf numFmtId="0" fontId="8" fillId="0" borderId="0" xfId="0" applyFont="1" applyBorder="1"/>
    <xf numFmtId="165" fontId="8" fillId="0" borderId="0" xfId="2" applyNumberFormat="1" applyBorder="1"/>
    <xf numFmtId="10" fontId="8" fillId="0" borderId="0" xfId="11" applyNumberFormat="1" applyFont="1"/>
    <xf numFmtId="42" fontId="10" fillId="0" borderId="12" xfId="0" applyNumberFormat="1" applyFont="1" applyBorder="1"/>
    <xf numFmtId="42" fontId="0" fillId="0" borderId="0" xfId="2" applyNumberFormat="1" applyFont="1"/>
    <xf numFmtId="0" fontId="0" fillId="0" borderId="17" xfId="0" applyBorder="1"/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165" fontId="10" fillId="0" borderId="0" xfId="0" applyNumberFormat="1" applyFont="1" applyBorder="1"/>
    <xf numFmtId="0" fontId="10" fillId="0" borderId="0" xfId="0" applyFont="1" applyAlignment="1">
      <alignment horizontal="center"/>
    </xf>
    <xf numFmtId="42" fontId="10" fillId="0" borderId="0" xfId="1" applyNumberFormat="1" applyFont="1" applyFill="1"/>
    <xf numFmtId="42" fontId="0" fillId="0" borderId="0" xfId="2" applyNumberFormat="1" applyFont="1" applyFill="1"/>
    <xf numFmtId="41" fontId="0" fillId="0" borderId="0" xfId="1" applyNumberFormat="1" applyFont="1" applyFill="1"/>
    <xf numFmtId="41" fontId="0" fillId="0" borderId="0" xfId="0" applyNumberFormat="1" applyFill="1"/>
    <xf numFmtId="165" fontId="8" fillId="0" borderId="0" xfId="2" applyNumberFormat="1" applyFont="1" applyBorder="1"/>
    <xf numFmtId="164" fontId="8" fillId="0" borderId="0" xfId="1" applyNumberFormat="1" applyFont="1"/>
    <xf numFmtId="41" fontId="10" fillId="0" borderId="0" xfId="0" applyNumberFormat="1" applyFont="1"/>
    <xf numFmtId="165" fontId="10" fillId="0" borderId="0" xfId="0" applyNumberFormat="1" applyFont="1" applyFill="1" applyBorder="1"/>
    <xf numFmtId="0" fontId="24" fillId="0" borderId="0" xfId="0" applyFont="1"/>
    <xf numFmtId="164" fontId="24" fillId="0" borderId="0" xfId="1" applyNumberFormat="1" applyFont="1"/>
    <xf numFmtId="41" fontId="24" fillId="0" borderId="0" xfId="0" applyNumberFormat="1" applyFont="1"/>
    <xf numFmtId="0" fontId="11" fillId="0" borderId="0" xfId="0" applyFont="1" applyFill="1"/>
    <xf numFmtId="164" fontId="25" fillId="0" borderId="0" xfId="48" applyNumberFormat="1"/>
    <xf numFmtId="164" fontId="25" fillId="0" borderId="0" xfId="48" applyNumberFormat="1" applyFill="1"/>
    <xf numFmtId="0" fontId="25" fillId="0" borderId="0" xfId="48"/>
    <xf numFmtId="165" fontId="8" fillId="0" borderId="0" xfId="2" applyNumberFormat="1" applyBorder="1"/>
    <xf numFmtId="41" fontId="25" fillId="0" borderId="0" xfId="48" applyNumberFormat="1" applyFill="1"/>
    <xf numFmtId="165" fontId="25" fillId="0" borderId="0" xfId="48" applyNumberFormat="1" applyFill="1" applyBorder="1"/>
    <xf numFmtId="43" fontId="0" fillId="0" borderId="0" xfId="1" applyNumberFormat="1" applyFont="1" applyFill="1"/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165" fontId="10" fillId="0" borderId="12" xfId="2" applyNumberFormat="1" applyFont="1" applyBorder="1"/>
    <xf numFmtId="0" fontId="0" fillId="0" borderId="0" xfId="0" applyFont="1" applyAlignment="1">
      <alignment horizontal="right"/>
    </xf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164" fontId="8" fillId="0" borderId="0" xfId="1" applyNumberFormat="1" applyBorder="1"/>
    <xf numFmtId="165" fontId="10" fillId="0" borderId="0" xfId="2" applyNumberFormat="1" applyFont="1" applyBorder="1"/>
    <xf numFmtId="0" fontId="0" fillId="0" borderId="0" xfId="0" applyFont="1" applyFill="1" applyBorder="1" applyAlignment="1">
      <alignment horizontal="right"/>
    </xf>
    <xf numFmtId="165" fontId="10" fillId="0" borderId="11" xfId="2" applyNumberFormat="1" applyFont="1" applyBorder="1"/>
    <xf numFmtId="165" fontId="10" fillId="0" borderId="12" xfId="2" applyNumberFormat="1" applyFont="1" applyBorder="1" applyAlignment="1">
      <alignment horizontal="right"/>
    </xf>
    <xf numFmtId="165" fontId="8" fillId="0" borderId="0" xfId="2" applyNumberFormat="1" applyBorder="1" applyAlignment="1">
      <alignment horizontal="right"/>
    </xf>
    <xf numFmtId="5" fontId="0" fillId="0" borderId="0" xfId="2" applyNumberFormat="1" applyFo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1" fillId="0" borderId="11" xfId="0" applyFont="1" applyBorder="1" applyAlignment="1"/>
    <xf numFmtId="164" fontId="8" fillId="0" borderId="0" xfId="1" applyNumberFormat="1" applyFont="1" applyBorder="1" applyAlignment="1">
      <alignment horizontal="right"/>
    </xf>
    <xf numFmtId="164" fontId="8" fillId="0" borderId="0" xfId="1" applyNumberFormat="1" applyFont="1" applyFill="1" applyBorder="1" applyAlignment="1">
      <alignment horizontal="right"/>
    </xf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165" fontId="0" fillId="0" borderId="0" xfId="2" applyNumberFormat="1" applyFont="1" applyFill="1" applyBorder="1"/>
    <xf numFmtId="165" fontId="10" fillId="0" borderId="12" xfId="2" applyNumberFormat="1" applyFont="1" applyFill="1" applyBorder="1"/>
    <xf numFmtId="164" fontId="0" fillId="0" borderId="0" xfId="1" applyNumberFormat="1" applyFont="1" applyFill="1" applyBorder="1"/>
    <xf numFmtId="168" fontId="0" fillId="0" borderId="0" xfId="1" applyNumberFormat="1" applyFont="1" applyFill="1" applyBorder="1"/>
    <xf numFmtId="169" fontId="0" fillId="0" borderId="0" xfId="11" applyNumberFormat="1" applyFont="1" applyFill="1" applyBorder="1"/>
    <xf numFmtId="164" fontId="8" fillId="0" borderId="0" xfId="1" applyNumberFormat="1" applyFill="1" applyBorder="1"/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165" fontId="0" fillId="0" borderId="0" xfId="1" applyNumberFormat="1" applyFont="1"/>
    <xf numFmtId="165" fontId="0" fillId="0" borderId="0" xfId="1" applyNumberFormat="1" applyFont="1" applyFill="1"/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164" fontId="10" fillId="0" borderId="0" xfId="1" applyNumberFormat="1" applyFont="1"/>
    <xf numFmtId="165" fontId="26" fillId="0" borderId="0" xfId="2" applyNumberFormat="1" applyFont="1" applyBorder="1"/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1" fillId="0" borderId="16" xfId="0" applyFont="1" applyBorder="1" applyAlignment="1"/>
    <xf numFmtId="0" fontId="11" fillId="0" borderId="11" xfId="0" applyFont="1" applyBorder="1" applyAlignment="1"/>
    <xf numFmtId="0" fontId="10" fillId="0" borderId="9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 wrapText="1"/>
    </xf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165" fontId="8" fillId="0" borderId="16" xfId="2" applyNumberFormat="1" applyBorder="1" applyAlignment="1">
      <alignment horizontal="center"/>
    </xf>
    <xf numFmtId="165" fontId="8" fillId="0" borderId="17" xfId="2" applyNumberFormat="1" applyBorder="1" applyAlignment="1">
      <alignment horizontal="center"/>
    </xf>
    <xf numFmtId="0" fontId="8" fillId="0" borderId="16" xfId="0" applyFont="1" applyBorder="1" applyAlignment="1"/>
    <xf numFmtId="0" fontId="8" fillId="0" borderId="16" xfId="0" applyFont="1" applyBorder="1"/>
    <xf numFmtId="0" fontId="8" fillId="0" borderId="11" xfId="0" applyFont="1" applyBorder="1"/>
  </cellXfs>
  <cellStyles count="89">
    <cellStyle name="Comma" xfId="1" builtinId="3"/>
    <cellStyle name="Comma 2" xfId="20" xr:uid="{00000000-0005-0000-0000-000001000000}"/>
    <cellStyle name="Comma 2 2" xfId="27" xr:uid="{00000000-0005-0000-0000-000002000000}"/>
    <cellStyle name="Comma 2 2 2" xfId="54" xr:uid="{00000000-0005-0000-0000-000003000000}"/>
    <cellStyle name="Comma 2 2 3" xfId="74" xr:uid="{00000000-0005-0000-0000-000004000000}"/>
    <cellStyle name="Comma 2 3" xfId="32" xr:uid="{00000000-0005-0000-0000-000005000000}"/>
    <cellStyle name="Comma 2 3 2" xfId="58" xr:uid="{00000000-0005-0000-0000-000006000000}"/>
    <cellStyle name="Comma 2 3 3" xfId="78" xr:uid="{00000000-0005-0000-0000-000007000000}"/>
    <cellStyle name="Comma 2 4" xfId="40" xr:uid="{00000000-0005-0000-0000-000008000000}"/>
    <cellStyle name="Comma 2 5" xfId="50" xr:uid="{00000000-0005-0000-0000-000009000000}"/>
    <cellStyle name="Comma 2 6" xfId="70" xr:uid="{00000000-0005-0000-0000-00000A000000}"/>
    <cellStyle name="Comma 3" xfId="43" xr:uid="{00000000-0005-0000-0000-00000B000000}"/>
    <cellStyle name="Comma 4" xfId="36" xr:uid="{00000000-0005-0000-0000-00000C000000}"/>
    <cellStyle name="Comma 4 2" xfId="62" xr:uid="{00000000-0005-0000-0000-00000D000000}"/>
    <cellStyle name="Comma 4 3" xfId="82" xr:uid="{00000000-0005-0000-0000-00000E000000}"/>
    <cellStyle name="Comma 5" xfId="45" xr:uid="{00000000-0005-0000-0000-00000F000000}"/>
    <cellStyle name="Comma 5 2" xfId="66" xr:uid="{00000000-0005-0000-0000-000010000000}"/>
    <cellStyle name="Comma 5 3" xfId="86" xr:uid="{00000000-0005-0000-0000-000011000000}"/>
    <cellStyle name="Currency" xfId="2" builtinId="4"/>
    <cellStyle name="Currency 2" xfId="21" xr:uid="{00000000-0005-0000-0000-000013000000}"/>
    <cellStyle name="Currency 2 2" xfId="28" xr:uid="{00000000-0005-0000-0000-000014000000}"/>
    <cellStyle name="Currency 2 2 2" xfId="55" xr:uid="{00000000-0005-0000-0000-000015000000}"/>
    <cellStyle name="Currency 2 2 3" xfId="75" xr:uid="{00000000-0005-0000-0000-000016000000}"/>
    <cellStyle name="Currency 2 3" xfId="33" xr:uid="{00000000-0005-0000-0000-000017000000}"/>
    <cellStyle name="Currency 2 3 2" xfId="59" xr:uid="{00000000-0005-0000-0000-000018000000}"/>
    <cellStyle name="Currency 2 3 3" xfId="79" xr:uid="{00000000-0005-0000-0000-000019000000}"/>
    <cellStyle name="Currency 2 4" xfId="51" xr:uid="{00000000-0005-0000-0000-00001A000000}"/>
    <cellStyle name="Currency 2 5" xfId="71" xr:uid="{00000000-0005-0000-0000-00001B000000}"/>
    <cellStyle name="Currency 3" xfId="37" xr:uid="{00000000-0005-0000-0000-00001C000000}"/>
    <cellStyle name="Currency 3 2" xfId="63" xr:uid="{00000000-0005-0000-0000-00001D000000}"/>
    <cellStyle name="Currency 3 3" xfId="83" xr:uid="{00000000-0005-0000-0000-00001E000000}"/>
    <cellStyle name="Currency 4" xfId="46" xr:uid="{00000000-0005-0000-0000-00001F000000}"/>
    <cellStyle name="Currency 4 2" xfId="67" xr:uid="{00000000-0005-0000-0000-000020000000}"/>
    <cellStyle name="Currency 4 3" xfId="87" xr:uid="{00000000-0005-0000-0000-000021000000}"/>
    <cellStyle name="Hyperlink" xfId="48" builtinId="8"/>
    <cellStyle name="Normal" xfId="0" builtinId="0"/>
    <cellStyle name="Normal 2" xfId="19" xr:uid="{00000000-0005-0000-0000-000024000000}"/>
    <cellStyle name="Normal 2 2" xfId="26" xr:uid="{00000000-0005-0000-0000-000025000000}"/>
    <cellStyle name="Normal 2 2 2" xfId="53" xr:uid="{00000000-0005-0000-0000-000026000000}"/>
    <cellStyle name="Normal 2 2 3" xfId="73" xr:uid="{00000000-0005-0000-0000-000027000000}"/>
    <cellStyle name="Normal 2 3" xfId="31" xr:uid="{00000000-0005-0000-0000-000028000000}"/>
    <cellStyle name="Normal 2 3 2" xfId="57" xr:uid="{00000000-0005-0000-0000-000029000000}"/>
    <cellStyle name="Normal 2 3 3" xfId="77" xr:uid="{00000000-0005-0000-0000-00002A000000}"/>
    <cellStyle name="Normal 2 4" xfId="39" xr:uid="{00000000-0005-0000-0000-00002B000000}"/>
    <cellStyle name="Normal 2 5" xfId="49" xr:uid="{00000000-0005-0000-0000-00002C000000}"/>
    <cellStyle name="Normal 2 6" xfId="69" xr:uid="{00000000-0005-0000-0000-00002D000000}"/>
    <cellStyle name="Normal 3" xfId="30" xr:uid="{00000000-0005-0000-0000-00002E000000}"/>
    <cellStyle name="Normal 3 2" xfId="41" xr:uid="{00000000-0005-0000-0000-00002F000000}"/>
    <cellStyle name="Normal 4" xfId="35" xr:uid="{00000000-0005-0000-0000-000030000000}"/>
    <cellStyle name="Normal 4 2" xfId="61" xr:uid="{00000000-0005-0000-0000-000031000000}"/>
    <cellStyle name="Normal 4 3" xfId="81" xr:uid="{00000000-0005-0000-0000-000032000000}"/>
    <cellStyle name="Normal 5" xfId="44" xr:uid="{00000000-0005-0000-0000-000033000000}"/>
    <cellStyle name="Normal 5 2" xfId="65" xr:uid="{00000000-0005-0000-0000-000034000000}"/>
    <cellStyle name="Normal 5 3" xfId="85" xr:uid="{00000000-0005-0000-0000-000035000000}"/>
    <cellStyle name="nPlosion" xfId="3" xr:uid="{00000000-0005-0000-0000-000036000000}"/>
    <cellStyle name="PB Table Heading" xfId="4" xr:uid="{00000000-0005-0000-0000-000037000000}"/>
    <cellStyle name="PB Table Highlight1" xfId="5" xr:uid="{00000000-0005-0000-0000-000038000000}"/>
    <cellStyle name="PB Table Highlight2" xfId="6" xr:uid="{00000000-0005-0000-0000-000039000000}"/>
    <cellStyle name="PB Table Highlight2 2" xfId="23" xr:uid="{00000000-0005-0000-0000-00003A000000}"/>
    <cellStyle name="PB Table Highlight3" xfId="7" xr:uid="{00000000-0005-0000-0000-00003B000000}"/>
    <cellStyle name="PB Table Highlight3 2" xfId="24" xr:uid="{00000000-0005-0000-0000-00003C000000}"/>
    <cellStyle name="PB Table Standard Row" xfId="8" xr:uid="{00000000-0005-0000-0000-00003D000000}"/>
    <cellStyle name="PB Table Subtotal Row" xfId="9" xr:uid="{00000000-0005-0000-0000-00003E000000}"/>
    <cellStyle name="PB Table Total Row" xfId="10" xr:uid="{00000000-0005-0000-0000-00003F000000}"/>
    <cellStyle name="Percent" xfId="11" builtinId="5"/>
    <cellStyle name="Percent 2" xfId="22" xr:uid="{00000000-0005-0000-0000-000041000000}"/>
    <cellStyle name="Percent 2 2" xfId="29" xr:uid="{00000000-0005-0000-0000-000042000000}"/>
    <cellStyle name="Percent 2 2 2" xfId="56" xr:uid="{00000000-0005-0000-0000-000043000000}"/>
    <cellStyle name="Percent 2 2 3" xfId="76" xr:uid="{00000000-0005-0000-0000-000044000000}"/>
    <cellStyle name="Percent 2 3" xfId="34" xr:uid="{00000000-0005-0000-0000-000045000000}"/>
    <cellStyle name="Percent 2 3 2" xfId="60" xr:uid="{00000000-0005-0000-0000-000046000000}"/>
    <cellStyle name="Percent 2 3 3" xfId="80" xr:uid="{00000000-0005-0000-0000-000047000000}"/>
    <cellStyle name="Percent 2 4" xfId="42" xr:uid="{00000000-0005-0000-0000-000048000000}"/>
    <cellStyle name="Percent 2 5" xfId="52" xr:uid="{00000000-0005-0000-0000-000049000000}"/>
    <cellStyle name="Percent 2 6" xfId="72" xr:uid="{00000000-0005-0000-0000-00004A000000}"/>
    <cellStyle name="Percent 3" xfId="38" xr:uid="{00000000-0005-0000-0000-00004B000000}"/>
    <cellStyle name="Percent 3 2" xfId="64" xr:uid="{00000000-0005-0000-0000-00004C000000}"/>
    <cellStyle name="Percent 3 3" xfId="84" xr:uid="{00000000-0005-0000-0000-00004D000000}"/>
    <cellStyle name="Percent 4" xfId="47" xr:uid="{00000000-0005-0000-0000-00004E000000}"/>
    <cellStyle name="Percent 4 2" xfId="68" xr:uid="{00000000-0005-0000-0000-00004F000000}"/>
    <cellStyle name="Percent 4 3" xfId="88" xr:uid="{00000000-0005-0000-0000-000050000000}"/>
    <cellStyle name="PSChar" xfId="12" xr:uid="{00000000-0005-0000-0000-000051000000}"/>
    <cellStyle name="PSDate" xfId="13" xr:uid="{00000000-0005-0000-0000-000052000000}"/>
    <cellStyle name="PSDec" xfId="14" xr:uid="{00000000-0005-0000-0000-000053000000}"/>
    <cellStyle name="PSHeading" xfId="15" xr:uid="{00000000-0005-0000-0000-000054000000}"/>
    <cellStyle name="PSInt" xfId="16" xr:uid="{00000000-0005-0000-0000-000055000000}"/>
    <cellStyle name="PSSpacer" xfId="17" xr:uid="{00000000-0005-0000-0000-000056000000}"/>
    <cellStyle name="Report" xfId="18" xr:uid="{00000000-0005-0000-0000-000057000000}"/>
    <cellStyle name="Report 2" xfId="25" xr:uid="{00000000-0005-0000-0000-00005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2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Iter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%20(Summary)/Schedule%20I-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F%20(Functionalization%20Factors)/Schedule%20II-F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E%20(Other%20Items)/Schedule%20II-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ection%20II%20(Test%20Year%20Data)/Schedule%20D%20(O%20&amp;%20M%20Expense)/Schedule%20II-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 Lag"/>
      <sheetName val="Wholesale_NTS_RO"/>
    </sheetNames>
    <sheetDataSet>
      <sheetData sheetId="0"/>
      <sheetData sheetId="1">
        <row r="64">
          <cell r="H64">
            <v>2100841472.6600001</v>
          </cell>
        </row>
        <row r="67">
          <cell r="N67">
            <v>681838726.03999996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-A"/>
      <sheetName val="I-A-1"/>
      <sheetName val="I-A-2"/>
    </sheetNames>
    <sheetDataSet>
      <sheetData sheetId="0"/>
      <sheetData sheetId="1"/>
      <sheetData sheetId="2">
        <row r="31">
          <cell r="L31">
            <v>12691180.663816001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F Alloc_Data"/>
      <sheetName val="II-F Alloc_Factor"/>
    </sheetNames>
    <sheetDataSet>
      <sheetData sheetId="0"/>
      <sheetData sheetId="1"/>
      <sheetData sheetId="2">
        <row r="17">
          <cell r="E17">
            <v>0.2248192628221051</v>
          </cell>
          <cell r="F17">
            <v>0</v>
          </cell>
          <cell r="G17">
            <v>0</v>
          </cell>
          <cell r="I17">
            <v>0.60040851838364839</v>
          </cell>
          <cell r="J17">
            <v>0</v>
          </cell>
          <cell r="L17">
            <v>0.16789036047896269</v>
          </cell>
          <cell r="M17">
            <v>6.8818583152838453E-3</v>
          </cell>
        </row>
        <row r="18">
          <cell r="E18">
            <v>7.3528132448274067E-2</v>
          </cell>
          <cell r="F18">
            <v>0</v>
          </cell>
          <cell r="G18">
            <v>0</v>
          </cell>
          <cell r="I18">
            <v>0.85597256320590254</v>
          </cell>
          <cell r="J18">
            <v>0</v>
          </cell>
          <cell r="L18">
            <v>3.7003152829188597E-2</v>
          </cell>
          <cell r="M18">
            <v>3.3496151516634813E-2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55">
          <cell r="N55">
            <v>676413.424</v>
          </cell>
          <cell r="O55">
            <v>10544.25</v>
          </cell>
          <cell r="R55">
            <v>6581.33</v>
          </cell>
        </row>
        <row r="56">
          <cell r="N56">
            <v>35329.22</v>
          </cell>
          <cell r="R56">
            <v>411282.61</v>
          </cell>
          <cell r="S56">
            <v>0</v>
          </cell>
          <cell r="U56">
            <v>17779.490000000002</v>
          </cell>
          <cell r="V56">
            <v>16094.424000000105</v>
          </cell>
        </row>
        <row r="57">
          <cell r="N57">
            <v>0</v>
          </cell>
          <cell r="O57">
            <v>0</v>
          </cell>
          <cell r="P57">
            <v>0</v>
          </cell>
          <cell r="R57">
            <v>0</v>
          </cell>
          <cell r="S57">
            <v>0</v>
          </cell>
          <cell r="U57">
            <v>0</v>
          </cell>
          <cell r="V57">
            <v>532280.16</v>
          </cell>
        </row>
        <row r="58">
          <cell r="H58">
            <v>148794960.11000001</v>
          </cell>
          <cell r="N58">
            <v>6509484.3100000005</v>
          </cell>
          <cell r="O58">
            <v>0</v>
          </cell>
          <cell r="P58">
            <v>0</v>
          </cell>
          <cell r="R58">
            <v>142285475.80000001</v>
          </cell>
          <cell r="S58">
            <v>0</v>
          </cell>
          <cell r="U58">
            <v>0</v>
          </cell>
          <cell r="V58">
            <v>0</v>
          </cell>
        </row>
        <row r="59">
          <cell r="H59">
            <v>-189256.14</v>
          </cell>
          <cell r="N59">
            <v>0</v>
          </cell>
          <cell r="O59">
            <v>-189256.14</v>
          </cell>
          <cell r="P59">
            <v>0</v>
          </cell>
          <cell r="R59">
            <v>0</v>
          </cell>
          <cell r="S59">
            <v>0</v>
          </cell>
          <cell r="U59">
            <v>0</v>
          </cell>
          <cell r="V59">
            <v>0</v>
          </cell>
        </row>
        <row r="60">
          <cell r="N60">
            <v>-5868.4539999999924</v>
          </cell>
          <cell r="O60">
            <v>0</v>
          </cell>
          <cell r="P60">
            <v>0</v>
          </cell>
          <cell r="R60">
            <v>2972743.7139999997</v>
          </cell>
          <cell r="S60">
            <v>0</v>
          </cell>
          <cell r="U60">
            <v>0</v>
          </cell>
          <cell r="V60">
            <v>0</v>
          </cell>
        </row>
        <row r="61">
          <cell r="N61">
            <v>-2024644.29</v>
          </cell>
          <cell r="O61">
            <v>0</v>
          </cell>
          <cell r="P61">
            <v>0</v>
          </cell>
          <cell r="R61">
            <v>-5407070.8399999999</v>
          </cell>
          <cell r="S61">
            <v>0</v>
          </cell>
          <cell r="U61">
            <v>-1511962.35</v>
          </cell>
          <cell r="V61">
            <v>-61975.629999999423</v>
          </cell>
        </row>
        <row r="62">
          <cell r="N62">
            <v>-1791512.91</v>
          </cell>
          <cell r="O62">
            <v>0</v>
          </cell>
          <cell r="P62">
            <v>0</v>
          </cell>
          <cell r="R62">
            <v>-4784463.74</v>
          </cell>
          <cell r="S62">
            <v>0</v>
          </cell>
          <cell r="U62">
            <v>-1337864.67</v>
          </cell>
          <cell r="V62">
            <v>-54839.319999999367</v>
          </cell>
        </row>
      </sheetData>
      <sheetData sheetId="34">
        <row r="53">
          <cell r="P53">
            <v>693539.00399999996</v>
          </cell>
        </row>
        <row r="54">
          <cell r="P54">
            <v>480485.74400000006</v>
          </cell>
        </row>
        <row r="55">
          <cell r="P55">
            <v>532280.16</v>
          </cell>
        </row>
        <row r="56">
          <cell r="P56">
            <v>148794960.11000001</v>
          </cell>
        </row>
        <row r="57">
          <cell r="P57">
            <v>-189256.14</v>
          </cell>
        </row>
        <row r="58">
          <cell r="K58">
            <v>2966875.26</v>
          </cell>
          <cell r="P58">
            <v>2966875.26</v>
          </cell>
        </row>
        <row r="59">
          <cell r="P59">
            <v>-9005653.1099999994</v>
          </cell>
        </row>
        <row r="60">
          <cell r="P60">
            <v>-7968680.6399999997</v>
          </cell>
        </row>
        <row r="61">
          <cell r="P61">
            <v>-10.73</v>
          </cell>
        </row>
        <row r="62">
          <cell r="P62">
            <v>-148.41</v>
          </cell>
        </row>
        <row r="63">
          <cell r="P63">
            <v>-5171.8500000000004</v>
          </cell>
        </row>
        <row r="64">
          <cell r="P64">
            <v>-2429.3100000000004</v>
          </cell>
        </row>
        <row r="69">
          <cell r="C69" t="str">
            <v>SRP Application and Compliance, Docket No. 56545 &amp; 57147</v>
          </cell>
          <cell r="P69">
            <v>964765.79</v>
          </cell>
        </row>
        <row r="71">
          <cell r="C71" t="str">
            <v>Insurance Case, Docket No. 57774 &amp; 57932</v>
          </cell>
          <cell r="P71">
            <v>29299.91</v>
          </cell>
        </row>
      </sheetData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 Sheet"/>
      <sheetName val="II-D-1"/>
      <sheetName val="II-D-1a"/>
      <sheetName val="II-D-1.1"/>
      <sheetName val="II-D-2"/>
      <sheetName val="II-D-2a"/>
      <sheetName val="II-D-2.1"/>
      <sheetName val="II-D-2.2.1"/>
      <sheetName val="II-D-2.2.2"/>
      <sheetName val="II-D-2.2.3"/>
      <sheetName val="II-D-2.2a"/>
      <sheetName val="II-D-2.3"/>
      <sheetName val="II-D-2.4"/>
      <sheetName val="II-D-2.4a"/>
      <sheetName val="II-D-2.5"/>
      <sheetName val="II-D-2.6"/>
      <sheetName val="II-D-2.6a"/>
      <sheetName val="II-D-2.6b"/>
      <sheetName val="II-D-2.6c"/>
      <sheetName val="II-D-2.7 Conf."/>
      <sheetName val="II-D-2.8"/>
      <sheetName val="II-D-2.9"/>
      <sheetName val="II-D-2.9a"/>
      <sheetName val="II-D-2.9b"/>
      <sheetName val="II-D-2.9c"/>
      <sheetName val="II-D-2.9 Attachment 1"/>
      <sheetName val="II-D-3"/>
      <sheetName val="II-D-3.1"/>
      <sheetName val="II-D-3.2"/>
      <sheetName val="II-D-3.3"/>
      <sheetName val="II-D-3.4"/>
      <sheetName val="II-D-3.5"/>
      <sheetName val="II-D-3.6"/>
      <sheetName val="II-D-3.7.1"/>
      <sheetName val="II-D-3.7.2"/>
      <sheetName val="II-D-3.7.3"/>
      <sheetName val="II-D-3.7.4"/>
      <sheetName val="II-D-3.7.4a"/>
      <sheetName val="II-D-3.7.5"/>
      <sheetName val="II-D-3.8.1"/>
      <sheetName val="II-D-3.8.2"/>
      <sheetName val="II-D-3.8.3"/>
      <sheetName val="II-D-3.9.1"/>
      <sheetName val="II-D-3.9.2"/>
      <sheetName val="II-D-3.9.3"/>
      <sheetName val="II-D-3.10"/>
      <sheetName val="II-D-3.10 Attachment 1"/>
      <sheetName val="II-D-4"/>
    </sheetNames>
    <sheetDataSet>
      <sheetData sheetId="0"/>
      <sheetData sheetId="1">
        <row r="22">
          <cell r="E22">
            <v>1967817098.26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8">
          <cell r="AA38">
            <v>0.14909926157742481</v>
          </cell>
        </row>
        <row r="69">
          <cell r="AA69">
            <v>0.48536209166334454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8"/>
    <pageSetUpPr fitToPage="1"/>
  </sheetPr>
  <dimension ref="A1:P165"/>
  <sheetViews>
    <sheetView tabSelected="1" zoomScale="85" zoomScaleNormal="85" workbookViewId="0">
      <pane xSplit="3" ySplit="2" topLeftCell="D80" activePane="bottomRight" state="frozen"/>
      <selection activeCell="B2" sqref="B2:I3"/>
      <selection pane="topRight" activeCell="B2" sqref="B2:I3"/>
      <selection pane="bottomLeft" activeCell="B2" sqref="B2:I3"/>
      <selection pane="bottomRight" activeCell="E114" sqref="E114"/>
    </sheetView>
  </sheetViews>
  <sheetFormatPr defaultRowHeight="12.75" x14ac:dyDescent="0.2"/>
  <cols>
    <col min="2" max="2" width="52.85546875" bestFit="1" customWidth="1"/>
    <col min="3" max="3" width="1.7109375" customWidth="1"/>
    <col min="4" max="4" width="16.140625" customWidth="1"/>
    <col min="5" max="7" width="16" style="45" customWidth="1"/>
    <col min="8" max="8" width="16" customWidth="1"/>
    <col min="9" max="10" width="16" style="45" customWidth="1"/>
    <col min="11" max="11" width="12.5703125" bestFit="1" customWidth="1"/>
    <col min="12" max="12" width="16" bestFit="1" customWidth="1"/>
    <col min="13" max="13" width="1.7109375" customWidth="1"/>
    <col min="14" max="14" width="16" style="24" bestFit="1" customWidth="1"/>
    <col min="16" max="16" width="37.42578125" customWidth="1"/>
  </cols>
  <sheetData>
    <row r="1" spans="1:15" x14ac:dyDescent="0.2">
      <c r="E1" s="62" t="s">
        <v>168</v>
      </c>
      <c r="F1" s="62" t="s">
        <v>169</v>
      </c>
      <c r="G1" s="62" t="s">
        <v>171</v>
      </c>
      <c r="H1" s="62"/>
      <c r="I1" s="62" t="s">
        <v>168</v>
      </c>
      <c r="J1" s="62" t="s">
        <v>171</v>
      </c>
    </row>
    <row r="2" spans="1:15" s="5" customFormat="1" ht="15" x14ac:dyDescent="0.35">
      <c r="A2" s="5" t="s">
        <v>5</v>
      </c>
      <c r="B2" s="5" t="s">
        <v>3</v>
      </c>
      <c r="D2" s="5" t="s">
        <v>7</v>
      </c>
      <c r="E2" s="5" t="s">
        <v>7</v>
      </c>
      <c r="F2" s="5" t="s">
        <v>170</v>
      </c>
      <c r="G2" s="5" t="s">
        <v>7</v>
      </c>
      <c r="H2" s="5" t="s">
        <v>8</v>
      </c>
      <c r="I2" s="5" t="s">
        <v>8</v>
      </c>
      <c r="J2" s="5" t="s">
        <v>8</v>
      </c>
      <c r="K2" s="5" t="s">
        <v>9</v>
      </c>
      <c r="L2" s="5" t="s">
        <v>10</v>
      </c>
      <c r="N2" s="32" t="s">
        <v>6</v>
      </c>
    </row>
    <row r="3" spans="1:15" s="7" customFormat="1" x14ac:dyDescent="0.2">
      <c r="A3" s="6" t="s">
        <v>11</v>
      </c>
      <c r="B3" s="6" t="s">
        <v>71</v>
      </c>
      <c r="D3" s="64">
        <f>+'Adj. #32'!E23</f>
        <v>-7.52</v>
      </c>
      <c r="E3" s="64">
        <f>+'Adj. #32'!F23</f>
        <v>0</v>
      </c>
      <c r="F3" s="64">
        <f>+'Adj. #32'!G23</f>
        <v>0</v>
      </c>
      <c r="G3" s="64">
        <f t="shared" ref="G3:G6" si="0">SUM(D3:F3)</f>
        <v>-7.52</v>
      </c>
      <c r="H3" s="64">
        <f>+'Adj. #32'!I23</f>
        <v>0</v>
      </c>
      <c r="I3" s="64">
        <f>+'Adj. #32'!J23</f>
        <v>0</v>
      </c>
      <c r="J3" s="64">
        <f t="shared" ref="J3:J6" si="1">SUM(H3:I3)</f>
        <v>0</v>
      </c>
      <c r="K3" s="64">
        <f>+'Adj. #32'!L23</f>
        <v>0</v>
      </c>
      <c r="L3" s="64">
        <f>+'Adj. #32'!M23</f>
        <v>0</v>
      </c>
      <c r="M3" s="64"/>
      <c r="N3" s="63">
        <f>+L3+K3+J3+G3</f>
        <v>-7.52</v>
      </c>
      <c r="O3" s="7" t="b">
        <f>+N3=+D3+E3+F3+H3+I3+K3+L3</f>
        <v>1</v>
      </c>
    </row>
    <row r="4" spans="1:15" s="7" customFormat="1" x14ac:dyDescent="0.2">
      <c r="A4" s="6" t="s">
        <v>12</v>
      </c>
      <c r="B4" s="6" t="s">
        <v>72</v>
      </c>
      <c r="D4" s="65">
        <f>+'Adj. #32'!E24+'Adj. #35'!E23</f>
        <v>-89.83</v>
      </c>
      <c r="E4" s="65">
        <f>+'Adj. #32'!F24+'Adj. #35'!F23</f>
        <v>267260.95</v>
      </c>
      <c r="F4" s="65">
        <f>+'Adj. #32'!G24+'Adj. #35'!G23</f>
        <v>0</v>
      </c>
      <c r="G4" s="65">
        <f>+'Adj. #32'!H24+'Adj. #35'!H23</f>
        <v>267171.12</v>
      </c>
      <c r="H4" s="65">
        <f>+'Adj. #32'!I24+'Adj. #35'!I23</f>
        <v>0</v>
      </c>
      <c r="I4" s="65">
        <f>+'Adj. #32'!J24+'Adj. #35'!J23</f>
        <v>0</v>
      </c>
      <c r="J4" s="65">
        <f t="shared" si="1"/>
        <v>0</v>
      </c>
      <c r="K4" s="65">
        <f>+'Adj. #32'!L24+'Adj. #35'!L23</f>
        <v>0</v>
      </c>
      <c r="L4" s="65">
        <f>+'Adj. #32'!M24+'Adj. #35'!M23</f>
        <v>0</v>
      </c>
      <c r="M4" s="65"/>
      <c r="N4" s="40">
        <f t="shared" ref="N4:N10" si="2">+L4+K4+J4+G4</f>
        <v>267171.12</v>
      </c>
      <c r="O4" s="7" t="b">
        <f t="shared" ref="O4:O67" si="3">+N4=+D4+E4+F4+H4+I4+K4+L4</f>
        <v>1</v>
      </c>
    </row>
    <row r="5" spans="1:15" s="7" customFormat="1" x14ac:dyDescent="0.2">
      <c r="A5" s="6" t="s">
        <v>13</v>
      </c>
      <c r="B5" s="6" t="s">
        <v>84</v>
      </c>
      <c r="D5" s="65">
        <f>+'Adj. #45'!E23</f>
        <v>1282583.33</v>
      </c>
      <c r="E5" s="65">
        <f>+'Adj. #45'!F23</f>
        <v>0</v>
      </c>
      <c r="F5" s="65">
        <f>+'Adj. #45'!G23</f>
        <v>0</v>
      </c>
      <c r="G5" s="65">
        <f t="shared" si="0"/>
        <v>1282583.33</v>
      </c>
      <c r="H5" s="65">
        <f>+'Adj. #45'!I23</f>
        <v>0</v>
      </c>
      <c r="I5" s="65">
        <f>+'Adj. #45'!J23</f>
        <v>0</v>
      </c>
      <c r="J5" s="65">
        <f t="shared" si="1"/>
        <v>0</v>
      </c>
      <c r="K5" s="65">
        <f>+'Adj. #45'!L23</f>
        <v>0</v>
      </c>
      <c r="L5" s="65">
        <f>+'Adj. #45'!M23</f>
        <v>0</v>
      </c>
      <c r="M5" s="66"/>
      <c r="N5" s="40">
        <f t="shared" si="2"/>
        <v>1282583.33</v>
      </c>
      <c r="O5" s="7" t="b">
        <f t="shared" si="3"/>
        <v>1</v>
      </c>
    </row>
    <row r="6" spans="1:15" s="7" customFormat="1" x14ac:dyDescent="0.2">
      <c r="A6" s="6" t="s">
        <v>14</v>
      </c>
      <c r="B6" s="6" t="s">
        <v>85</v>
      </c>
      <c r="D6" s="65">
        <f>+'Adj. #17'!E23+'Adj. #34'!E23</f>
        <v>1026273.3800000001</v>
      </c>
      <c r="E6" s="65">
        <f>+'Adj. #17'!F23+'Adj. #34'!F23</f>
        <v>60684.209999999963</v>
      </c>
      <c r="F6" s="65">
        <f>+'Adj. #17'!G23+'Adj. #34'!G23</f>
        <v>0</v>
      </c>
      <c r="G6" s="65">
        <f t="shared" si="0"/>
        <v>1086957.5900000001</v>
      </c>
      <c r="H6" s="65">
        <f>+'Adj. #17'!I23+'Adj. #34'!I23</f>
        <v>0</v>
      </c>
      <c r="I6" s="65">
        <f>+'Adj. #17'!J23+'Adj. #34'!J23</f>
        <v>0</v>
      </c>
      <c r="J6" s="65">
        <f t="shared" si="1"/>
        <v>0</v>
      </c>
      <c r="K6" s="65">
        <f>+'Adj. #17'!L23+'Adj. #34'!L23</f>
        <v>0</v>
      </c>
      <c r="L6" s="65">
        <f>+'Adj. #17'!M23+'Adj. #34'!M23</f>
        <v>0</v>
      </c>
      <c r="M6" s="66"/>
      <c r="N6" s="40">
        <f t="shared" si="2"/>
        <v>1086957.5900000001</v>
      </c>
      <c r="O6" s="7" t="b">
        <f t="shared" si="3"/>
        <v>1</v>
      </c>
    </row>
    <row r="7" spans="1:15" s="7" customFormat="1" x14ac:dyDescent="0.2">
      <c r="A7" s="6" t="s">
        <v>15</v>
      </c>
      <c r="B7" s="6" t="s">
        <v>86</v>
      </c>
      <c r="D7" s="65">
        <v>0</v>
      </c>
      <c r="E7" s="65">
        <v>0</v>
      </c>
      <c r="F7" s="65">
        <v>0</v>
      </c>
      <c r="G7" s="65">
        <f t="shared" ref="G7" si="4">SUM(D7:F7)</f>
        <v>0</v>
      </c>
      <c r="H7" s="65">
        <v>0</v>
      </c>
      <c r="I7" s="65">
        <v>0</v>
      </c>
      <c r="J7" s="65">
        <f t="shared" ref="J7" si="5">SUM(H7:I7)</f>
        <v>0</v>
      </c>
      <c r="K7" s="65">
        <v>0</v>
      </c>
      <c r="L7" s="65">
        <v>0</v>
      </c>
      <c r="M7" s="66"/>
      <c r="N7" s="40">
        <f t="shared" si="2"/>
        <v>0</v>
      </c>
      <c r="O7" s="7" t="b">
        <f t="shared" si="3"/>
        <v>1</v>
      </c>
    </row>
    <row r="8" spans="1:15" s="7" customFormat="1" x14ac:dyDescent="0.2">
      <c r="A8" s="7" t="s">
        <v>51</v>
      </c>
      <c r="B8" s="6" t="s">
        <v>87</v>
      </c>
      <c r="D8" s="65">
        <f>+'Adj. #1'!E23</f>
        <v>0</v>
      </c>
      <c r="E8" s="65">
        <f>+'Adj. #1'!F23</f>
        <v>0</v>
      </c>
      <c r="F8" s="65">
        <f>+'Adj. #1'!G23</f>
        <v>0</v>
      </c>
      <c r="G8" s="65">
        <f t="shared" ref="G8:G10" si="6">SUM(D8:F8)</f>
        <v>0</v>
      </c>
      <c r="H8" s="65">
        <f>+'Adj. #1'!I23</f>
        <v>133024374.4000001</v>
      </c>
      <c r="I8" s="65">
        <f>+'Adj. #1'!J23</f>
        <v>0</v>
      </c>
      <c r="J8" s="65">
        <f t="shared" ref="J8:J10" si="7">SUM(H8:I8)</f>
        <v>133024374.4000001</v>
      </c>
      <c r="K8" s="65">
        <f>+'Adj. #1'!L23</f>
        <v>0</v>
      </c>
      <c r="L8" s="65">
        <f>+'Adj. #1'!M23</f>
        <v>0</v>
      </c>
      <c r="M8" s="66"/>
      <c r="N8" s="40">
        <f t="shared" si="2"/>
        <v>133024374.4000001</v>
      </c>
      <c r="O8" s="7" t="b">
        <f t="shared" si="3"/>
        <v>1</v>
      </c>
    </row>
    <row r="9" spans="1:15" s="7" customFormat="1" x14ac:dyDescent="0.2">
      <c r="A9" s="6" t="s">
        <v>16</v>
      </c>
      <c r="B9" s="6" t="s">
        <v>73</v>
      </c>
      <c r="D9" s="65">
        <f>+'Adj. #5'!E23+'Adj. #11'!E23+'Adj. #16'!E23+'Adj. #31'!E23+'Adj. #32'!E25+'Adj. #36'!E23+'Adj. #37'!E23+'Adj. #43'!E23</f>
        <v>6965192.6499999994</v>
      </c>
      <c r="E9" s="65">
        <f>+'Adj. #5'!F23+'Adj. #11'!F23+'Adj. #16'!F23+'Adj. #31'!F23+'Adj. #32'!F25+'Adj. #36'!F23+'Adj. #37'!F23+'Adj. #43'!F23</f>
        <v>0</v>
      </c>
      <c r="F9" s="65">
        <f>+'Adj. #5'!G23+'Adj. #11'!G23+'Adj. #16'!G23+'Adj. #31'!G23+'Adj. #32'!G25+'Adj. #36'!G23+'Adj. #37'!G23+'Adj. #43'!G23</f>
        <v>0</v>
      </c>
      <c r="G9" s="65">
        <f t="shared" si="6"/>
        <v>6965192.6499999994</v>
      </c>
      <c r="H9" s="65">
        <f>+'Adj. #5'!I23+'Adj. #11'!I23+'Adj. #16'!I23+'Adj. #31'!I23+'Adj. #32'!I25+'Adj. #36'!I23+'Adj. #37'!I23+'Adj. #43'!I23</f>
        <v>-27.77</v>
      </c>
      <c r="I9" s="65">
        <f>+'Adj. #5'!J23+'Adj. #11'!J23+'Adj. #16'!J23+'Adj. #31'!J23+'Adj. #32'!J25+'Adj. #36'!J23+'Adj. #37'!J23+'Adj. #43'!J23</f>
        <v>0</v>
      </c>
      <c r="J9" s="65">
        <f t="shared" si="7"/>
        <v>-27.77</v>
      </c>
      <c r="K9" s="65">
        <f>+'Adj. #5'!L23+'Adj. #11'!L23+'Adj. #16'!L23+'Adj. #31'!L23+'Adj. #32'!L25+'Adj. #36'!L23+'Adj. #37'!L23+'Adj. #43'!L23</f>
        <v>0</v>
      </c>
      <c r="L9" s="65">
        <f>+'Adj. #5'!M23+'Adj. #11'!M23+'Adj. #16'!M23+'Adj. #31'!M23+'Adj. #32'!M25+'Adj. #36'!M23+'Adj. #37'!M23+'Adj. #43'!M23</f>
        <v>0</v>
      </c>
      <c r="M9" s="66"/>
      <c r="N9" s="40">
        <f t="shared" si="2"/>
        <v>6965164.8799999999</v>
      </c>
      <c r="O9" s="7" t="b">
        <f t="shared" si="3"/>
        <v>1</v>
      </c>
    </row>
    <row r="10" spans="1:15" s="7" customFormat="1" x14ac:dyDescent="0.2">
      <c r="A10" s="6" t="s">
        <v>59</v>
      </c>
      <c r="B10" s="6" t="s">
        <v>88</v>
      </c>
      <c r="D10" s="65">
        <v>0</v>
      </c>
      <c r="E10" s="65">
        <v>0</v>
      </c>
      <c r="F10" s="65">
        <v>0</v>
      </c>
      <c r="G10" s="65">
        <f t="shared" si="6"/>
        <v>0</v>
      </c>
      <c r="H10" s="65">
        <v>0</v>
      </c>
      <c r="I10" s="65">
        <v>0</v>
      </c>
      <c r="J10" s="65">
        <f t="shared" si="7"/>
        <v>0</v>
      </c>
      <c r="K10" s="65">
        <v>0</v>
      </c>
      <c r="L10" s="65">
        <v>0</v>
      </c>
      <c r="M10" s="66"/>
      <c r="N10" s="40">
        <f t="shared" si="2"/>
        <v>0</v>
      </c>
      <c r="O10" s="7" t="b">
        <f t="shared" si="3"/>
        <v>1</v>
      </c>
    </row>
    <row r="11" spans="1:15" s="7" customFormat="1" ht="13.5" thickBot="1" x14ac:dyDescent="0.25">
      <c r="A11" s="6"/>
      <c r="B11" s="6"/>
      <c r="D11" s="38">
        <f>SUM(D3:D10)</f>
        <v>9273952.0099999998</v>
      </c>
      <c r="E11" s="38">
        <f t="shared" ref="E11:N11" si="8">SUM(E3:E10)</f>
        <v>327945.15999999997</v>
      </c>
      <c r="F11" s="38">
        <f t="shared" si="8"/>
        <v>0</v>
      </c>
      <c r="G11" s="38">
        <f t="shared" si="8"/>
        <v>9601897.1699999999</v>
      </c>
      <c r="H11" s="38">
        <f t="shared" si="8"/>
        <v>133024346.6300001</v>
      </c>
      <c r="I11" s="38">
        <f t="shared" si="8"/>
        <v>0</v>
      </c>
      <c r="J11" s="38">
        <f t="shared" si="8"/>
        <v>133024346.6300001</v>
      </c>
      <c r="K11" s="38">
        <f t="shared" si="8"/>
        <v>0</v>
      </c>
      <c r="L11" s="38">
        <f t="shared" si="8"/>
        <v>0</v>
      </c>
      <c r="M11" s="39"/>
      <c r="N11" s="38">
        <f t="shared" si="8"/>
        <v>142626243.8000001</v>
      </c>
      <c r="O11" s="7" t="b">
        <f t="shared" si="3"/>
        <v>1</v>
      </c>
    </row>
    <row r="12" spans="1:15" s="7" customFormat="1" ht="13.5" thickTop="1" x14ac:dyDescent="0.2">
      <c r="A12" s="6"/>
      <c r="B12" s="6"/>
      <c r="D12" s="28"/>
      <c r="E12" s="28"/>
      <c r="F12" s="28"/>
      <c r="G12" s="28"/>
      <c r="H12" s="28"/>
      <c r="I12" s="28"/>
      <c r="J12" s="28"/>
      <c r="K12" s="28"/>
      <c r="L12" s="28"/>
      <c r="N12" s="29"/>
    </row>
    <row r="13" spans="1:15" s="7" customFormat="1" x14ac:dyDescent="0.2">
      <c r="A13" s="8" t="s">
        <v>17</v>
      </c>
      <c r="B13" s="6" t="s">
        <v>89</v>
      </c>
      <c r="D13" s="64">
        <v>0</v>
      </c>
      <c r="E13" s="64">
        <v>0</v>
      </c>
      <c r="F13" s="64">
        <v>0</v>
      </c>
      <c r="G13" s="64">
        <f t="shared" ref="G13:G18" si="9">SUM(D13:F13)</f>
        <v>0</v>
      </c>
      <c r="H13" s="64">
        <v>0</v>
      </c>
      <c r="I13" s="64">
        <v>0</v>
      </c>
      <c r="J13" s="64">
        <f t="shared" ref="J13:J18" si="10">SUM(H13:I13)</f>
        <v>0</v>
      </c>
      <c r="K13" s="64">
        <v>0</v>
      </c>
      <c r="L13" s="64">
        <v>0</v>
      </c>
      <c r="M13" s="64"/>
      <c r="N13" s="63">
        <f>+L13+K13+J13+G13</f>
        <v>0</v>
      </c>
      <c r="O13" s="7" t="b">
        <f t="shared" si="3"/>
        <v>1</v>
      </c>
    </row>
    <row r="14" spans="1:15" s="7" customFormat="1" x14ac:dyDescent="0.2">
      <c r="A14" s="8" t="s">
        <v>60</v>
      </c>
      <c r="B14" s="6" t="s">
        <v>90</v>
      </c>
      <c r="D14" s="65">
        <v>0</v>
      </c>
      <c r="E14" s="65">
        <v>0</v>
      </c>
      <c r="F14" s="65">
        <v>0</v>
      </c>
      <c r="G14" s="65">
        <f t="shared" si="9"/>
        <v>0</v>
      </c>
      <c r="H14" s="65">
        <v>0</v>
      </c>
      <c r="I14" s="65">
        <v>0</v>
      </c>
      <c r="J14" s="65">
        <f t="shared" si="10"/>
        <v>0</v>
      </c>
      <c r="K14" s="65">
        <v>0</v>
      </c>
      <c r="L14" s="65">
        <v>0</v>
      </c>
      <c r="M14" s="65"/>
      <c r="N14" s="40">
        <f t="shared" ref="N14:N18" si="11">+L14+K14+J14+G14</f>
        <v>0</v>
      </c>
      <c r="O14" s="7" t="b">
        <f t="shared" si="3"/>
        <v>1</v>
      </c>
    </row>
    <row r="15" spans="1:15" s="7" customFormat="1" x14ac:dyDescent="0.2">
      <c r="A15" s="8" t="s">
        <v>18</v>
      </c>
      <c r="B15" s="6" t="s">
        <v>91</v>
      </c>
      <c r="D15" s="65">
        <v>0</v>
      </c>
      <c r="E15" s="65">
        <v>0</v>
      </c>
      <c r="F15" s="65">
        <v>0</v>
      </c>
      <c r="G15" s="65">
        <f t="shared" si="9"/>
        <v>0</v>
      </c>
      <c r="H15" s="65">
        <v>0</v>
      </c>
      <c r="I15" s="65">
        <v>0</v>
      </c>
      <c r="J15" s="65">
        <f t="shared" si="10"/>
        <v>0</v>
      </c>
      <c r="K15" s="65">
        <v>0</v>
      </c>
      <c r="L15" s="65">
        <v>0</v>
      </c>
      <c r="M15" s="65"/>
      <c r="N15" s="40">
        <f t="shared" si="11"/>
        <v>0</v>
      </c>
      <c r="O15" s="7" t="b">
        <f t="shared" si="3"/>
        <v>1</v>
      </c>
    </row>
    <row r="16" spans="1:15" s="7" customFormat="1" x14ac:dyDescent="0.2">
      <c r="A16" s="8" t="s">
        <v>19</v>
      </c>
      <c r="B16" s="6" t="s">
        <v>74</v>
      </c>
      <c r="D16" s="81">
        <v>0</v>
      </c>
      <c r="E16" s="81">
        <v>0</v>
      </c>
      <c r="F16" s="81">
        <v>0</v>
      </c>
      <c r="G16" s="65">
        <f t="shared" si="9"/>
        <v>0</v>
      </c>
      <c r="H16" s="81">
        <v>0</v>
      </c>
      <c r="I16" s="81">
        <v>0</v>
      </c>
      <c r="J16" s="65">
        <f t="shared" si="10"/>
        <v>0</v>
      </c>
      <c r="K16" s="81">
        <v>0</v>
      </c>
      <c r="L16" s="81">
        <v>0</v>
      </c>
      <c r="M16" s="65"/>
      <c r="N16" s="40">
        <f t="shared" si="11"/>
        <v>0</v>
      </c>
      <c r="O16" s="7" t="b">
        <f t="shared" si="3"/>
        <v>1</v>
      </c>
    </row>
    <row r="17" spans="1:15" s="7" customFormat="1" x14ac:dyDescent="0.2">
      <c r="A17" s="8" t="s">
        <v>20</v>
      </c>
      <c r="B17" s="6" t="s">
        <v>92</v>
      </c>
      <c r="D17" s="65">
        <v>0</v>
      </c>
      <c r="E17" s="65">
        <v>0</v>
      </c>
      <c r="F17" s="65">
        <v>0</v>
      </c>
      <c r="G17" s="65">
        <f t="shared" si="9"/>
        <v>0</v>
      </c>
      <c r="H17" s="65">
        <v>0</v>
      </c>
      <c r="I17" s="65">
        <v>0</v>
      </c>
      <c r="J17" s="65">
        <f t="shared" si="10"/>
        <v>0</v>
      </c>
      <c r="K17" s="65">
        <v>0</v>
      </c>
      <c r="L17" s="65">
        <v>0</v>
      </c>
      <c r="M17" s="65"/>
      <c r="N17" s="40">
        <f t="shared" si="11"/>
        <v>0</v>
      </c>
      <c r="O17" s="7" t="b">
        <f t="shared" si="3"/>
        <v>1</v>
      </c>
    </row>
    <row r="18" spans="1:15" s="7" customFormat="1" x14ac:dyDescent="0.2">
      <c r="A18" s="8" t="s">
        <v>21</v>
      </c>
      <c r="B18" s="6" t="s">
        <v>93</v>
      </c>
      <c r="D18" s="65">
        <v>0</v>
      </c>
      <c r="E18" s="65">
        <v>0</v>
      </c>
      <c r="F18" s="65">
        <v>0</v>
      </c>
      <c r="G18" s="65">
        <f t="shared" si="9"/>
        <v>0</v>
      </c>
      <c r="H18" s="65">
        <v>0</v>
      </c>
      <c r="I18" s="65">
        <v>0</v>
      </c>
      <c r="J18" s="65">
        <f t="shared" si="10"/>
        <v>0</v>
      </c>
      <c r="K18" s="65">
        <v>0</v>
      </c>
      <c r="L18" s="65">
        <v>0</v>
      </c>
      <c r="M18" s="65"/>
      <c r="N18" s="40">
        <f t="shared" si="11"/>
        <v>0</v>
      </c>
      <c r="O18" s="7" t="b">
        <f t="shared" si="3"/>
        <v>1</v>
      </c>
    </row>
    <row r="19" spans="1:15" s="7" customFormat="1" ht="13.5" thickBot="1" x14ac:dyDescent="0.25">
      <c r="A19" s="8"/>
      <c r="B19" s="6"/>
      <c r="D19" s="38">
        <f>SUM(D13:D18)</f>
        <v>0</v>
      </c>
      <c r="E19" s="38">
        <f t="shared" ref="E19:N19" si="12">SUM(E13:E18)</f>
        <v>0</v>
      </c>
      <c r="F19" s="38">
        <f t="shared" si="12"/>
        <v>0</v>
      </c>
      <c r="G19" s="38">
        <f t="shared" si="12"/>
        <v>0</v>
      </c>
      <c r="H19" s="38">
        <f t="shared" si="12"/>
        <v>0</v>
      </c>
      <c r="I19" s="38">
        <f t="shared" si="12"/>
        <v>0</v>
      </c>
      <c r="J19" s="38">
        <f t="shared" si="12"/>
        <v>0</v>
      </c>
      <c r="K19" s="38">
        <f t="shared" si="12"/>
        <v>0</v>
      </c>
      <c r="L19" s="38">
        <f t="shared" si="12"/>
        <v>0</v>
      </c>
      <c r="M19" s="39"/>
      <c r="N19" s="38">
        <f t="shared" si="12"/>
        <v>0</v>
      </c>
      <c r="O19" s="7" t="b">
        <f t="shared" si="3"/>
        <v>1</v>
      </c>
    </row>
    <row r="20" spans="1:15" s="7" customFormat="1" ht="13.5" thickTop="1" x14ac:dyDescent="0.2">
      <c r="A20" s="8"/>
      <c r="B20" s="6"/>
      <c r="D20" s="28"/>
      <c r="E20" s="28"/>
      <c r="F20" s="28"/>
      <c r="G20" s="28"/>
      <c r="H20" s="28"/>
      <c r="I20" s="28"/>
      <c r="J20" s="28"/>
      <c r="K20" s="28"/>
      <c r="L20" s="28"/>
      <c r="N20" s="29"/>
    </row>
    <row r="21" spans="1:15" s="7" customFormat="1" x14ac:dyDescent="0.2">
      <c r="A21" s="6" t="s">
        <v>22</v>
      </c>
      <c r="B21" s="6" t="s">
        <v>71</v>
      </c>
      <c r="D21" s="64">
        <f>+'Adj. #32'!E26+'Adj. #36'!E24</f>
        <v>0</v>
      </c>
      <c r="E21" s="64">
        <f>+'Adj. #32'!F26+'Adj. #36'!F24</f>
        <v>0</v>
      </c>
      <c r="F21" s="64">
        <f>+'Adj. #32'!G26+'Adj. #36'!G24</f>
        <v>0</v>
      </c>
      <c r="G21" s="64">
        <f t="shared" ref="G21:G30" si="13">SUM(D21:F21)</f>
        <v>0</v>
      </c>
      <c r="H21" s="64">
        <f>+'Adj. #32'!I26+'Adj. #36'!I24</f>
        <v>-100930.06999999999</v>
      </c>
      <c r="I21" s="64">
        <f>+'Adj. #32'!J26+'Adj. #36'!J24</f>
        <v>0</v>
      </c>
      <c r="J21" s="64">
        <f t="shared" ref="J21:J30" si="14">SUM(H21:I21)</f>
        <v>-100930.06999999999</v>
      </c>
      <c r="K21" s="64">
        <f>+'Adj. #32'!L26+'Adj. #36'!L24</f>
        <v>0</v>
      </c>
      <c r="L21" s="64">
        <f>+'Adj. #32'!M26+'Adj. #36'!M24</f>
        <v>-200</v>
      </c>
      <c r="M21" s="64"/>
      <c r="N21" s="63">
        <f>+L21+K21+J21+G21</f>
        <v>-101130.06999999999</v>
      </c>
      <c r="O21" s="7" t="b">
        <f t="shared" si="3"/>
        <v>1</v>
      </c>
    </row>
    <row r="22" spans="1:15" s="7" customFormat="1" x14ac:dyDescent="0.2">
      <c r="A22" s="6" t="s">
        <v>23</v>
      </c>
      <c r="B22" s="6" t="s">
        <v>75</v>
      </c>
      <c r="D22" s="65">
        <v>0</v>
      </c>
      <c r="E22" s="65">
        <v>0</v>
      </c>
      <c r="F22" s="65">
        <v>0</v>
      </c>
      <c r="G22" s="65">
        <f t="shared" si="13"/>
        <v>0</v>
      </c>
      <c r="H22" s="65">
        <v>0</v>
      </c>
      <c r="I22" s="65">
        <v>0</v>
      </c>
      <c r="J22" s="65">
        <f t="shared" si="14"/>
        <v>0</v>
      </c>
      <c r="K22" s="65">
        <v>0</v>
      </c>
      <c r="L22" s="65">
        <v>0</v>
      </c>
      <c r="M22" s="65"/>
      <c r="N22" s="40">
        <f t="shared" ref="N22:N30" si="15">+L22+K22+J22+G22</f>
        <v>0</v>
      </c>
      <c r="O22" s="7" t="b">
        <f t="shared" si="3"/>
        <v>1</v>
      </c>
    </row>
    <row r="23" spans="1:15" s="7" customFormat="1" x14ac:dyDescent="0.2">
      <c r="A23" s="6" t="s">
        <v>24</v>
      </c>
      <c r="B23" s="6" t="s">
        <v>84</v>
      </c>
      <c r="D23" s="65">
        <f>+'Adj. #30'!E23</f>
        <v>0</v>
      </c>
      <c r="E23" s="65">
        <f>+'Adj. #30'!F23</f>
        <v>0</v>
      </c>
      <c r="F23" s="65">
        <f>+'Adj. #30'!G23</f>
        <v>0</v>
      </c>
      <c r="G23" s="65">
        <f t="shared" si="13"/>
        <v>0</v>
      </c>
      <c r="H23" s="65">
        <f>+'Adj. #30'!I23</f>
        <v>-2838233.33</v>
      </c>
      <c r="I23" s="65">
        <f>+'Adj. #30'!J23</f>
        <v>0</v>
      </c>
      <c r="J23" s="65">
        <f t="shared" si="14"/>
        <v>-2838233.33</v>
      </c>
      <c r="K23" s="65">
        <f>+'Adj. #30'!L23</f>
        <v>0</v>
      </c>
      <c r="L23" s="65">
        <f>+'Adj. #30'!M23</f>
        <v>0</v>
      </c>
      <c r="M23" s="65"/>
      <c r="N23" s="40">
        <f t="shared" si="15"/>
        <v>-2838233.33</v>
      </c>
      <c r="O23" s="7" t="b">
        <f t="shared" si="3"/>
        <v>1</v>
      </c>
    </row>
    <row r="24" spans="1:15" s="7" customFormat="1" x14ac:dyDescent="0.2">
      <c r="A24" s="7" t="s">
        <v>25</v>
      </c>
      <c r="B24" s="6" t="s">
        <v>85</v>
      </c>
      <c r="D24" s="65">
        <f>+'Adj. #17'!E24+'Adj. #23'!E23+'Adj. #32'!E27+'Adj. #42'!E23</f>
        <v>0</v>
      </c>
      <c r="E24" s="65">
        <f>+'Adj. #17'!F24+'Adj. #23'!F23+'Adj. #32'!F27+'Adj. #42'!F23</f>
        <v>0</v>
      </c>
      <c r="F24" s="65">
        <f>+'Adj. #17'!G24+'Adj. #23'!G23+'Adj. #32'!G27+'Adj. #42'!G23</f>
        <v>0</v>
      </c>
      <c r="G24" s="65">
        <f t="shared" si="13"/>
        <v>0</v>
      </c>
      <c r="H24" s="65">
        <f>+'Adj. #17'!I24+'Adj. #23'!I23+'Adj. #32'!I27+'Adj. #42'!I23</f>
        <v>44069.88</v>
      </c>
      <c r="I24" s="65">
        <f>+'Adj. #17'!J24+'Adj. #23'!J23+'Adj. #32'!J27+'Adj. #42'!J23</f>
        <v>0</v>
      </c>
      <c r="J24" s="65">
        <f t="shared" si="14"/>
        <v>44069.88</v>
      </c>
      <c r="K24" s="65">
        <f>+'Adj. #17'!L24+'Adj. #23'!L23+'Adj. #32'!L27+'Adj. #42'!L23</f>
        <v>0</v>
      </c>
      <c r="L24" s="65">
        <f>+'Adj. #17'!M24+'Adj. #23'!M23+'Adj. #32'!M27+'Adj. #42'!M23</f>
        <v>0</v>
      </c>
      <c r="M24" s="65"/>
      <c r="N24" s="40">
        <f t="shared" si="15"/>
        <v>44069.88</v>
      </c>
      <c r="O24" s="7" t="b">
        <f t="shared" si="3"/>
        <v>1</v>
      </c>
    </row>
    <row r="25" spans="1:15" s="7" customFormat="1" x14ac:dyDescent="0.2">
      <c r="A25" s="6" t="s">
        <v>26</v>
      </c>
      <c r="B25" s="6" t="s">
        <v>86</v>
      </c>
      <c r="D25" s="65">
        <f>+'Adj. #32'!E28+'Adj. #42'!E24</f>
        <v>0</v>
      </c>
      <c r="E25" s="65">
        <f>+'Adj. #32'!F28+'Adj. #42'!F24</f>
        <v>0</v>
      </c>
      <c r="F25" s="65">
        <f>+'Adj. #32'!G28+'Adj. #42'!G24</f>
        <v>0</v>
      </c>
      <c r="G25" s="65">
        <f t="shared" si="13"/>
        <v>0</v>
      </c>
      <c r="H25" s="65">
        <f>+'Adj. #32'!I28+'Adj. #42'!I24</f>
        <v>44942.420000000006</v>
      </c>
      <c r="I25" s="65">
        <f>+'Adj. #32'!J28+'Adj. #42'!J24</f>
        <v>0</v>
      </c>
      <c r="J25" s="65">
        <f t="shared" si="14"/>
        <v>44942.420000000006</v>
      </c>
      <c r="K25" s="65">
        <f>+'Adj. #32'!L28+'Adj. #42'!L24</f>
        <v>0</v>
      </c>
      <c r="L25" s="65">
        <f>+'Adj. #32'!M28+'Adj. #42'!M24</f>
        <v>0</v>
      </c>
      <c r="M25" s="65"/>
      <c r="N25" s="40">
        <f t="shared" si="15"/>
        <v>44942.420000000006</v>
      </c>
      <c r="O25" s="7" t="b">
        <f t="shared" si="3"/>
        <v>1</v>
      </c>
    </row>
    <row r="26" spans="1:15" s="7" customFormat="1" x14ac:dyDescent="0.2">
      <c r="A26" s="6" t="s">
        <v>46</v>
      </c>
      <c r="B26" s="6" t="s">
        <v>94</v>
      </c>
      <c r="D26" s="65">
        <v>0</v>
      </c>
      <c r="E26" s="65">
        <v>0</v>
      </c>
      <c r="F26" s="65">
        <v>0</v>
      </c>
      <c r="G26" s="65">
        <f t="shared" si="13"/>
        <v>0</v>
      </c>
      <c r="H26" s="65">
        <v>0</v>
      </c>
      <c r="I26" s="65">
        <v>0</v>
      </c>
      <c r="J26" s="65">
        <f t="shared" si="14"/>
        <v>0</v>
      </c>
      <c r="K26" s="65">
        <v>0</v>
      </c>
      <c r="L26" s="65">
        <v>0</v>
      </c>
      <c r="M26" s="65"/>
      <c r="N26" s="40">
        <f t="shared" si="15"/>
        <v>0</v>
      </c>
      <c r="O26" s="7" t="b">
        <f t="shared" si="3"/>
        <v>1</v>
      </c>
    </row>
    <row r="27" spans="1:15" s="7" customFormat="1" x14ac:dyDescent="0.2">
      <c r="A27" s="6" t="s">
        <v>27</v>
      </c>
      <c r="B27" s="6" t="s">
        <v>95</v>
      </c>
      <c r="D27" s="65">
        <f>+'Adj. #42'!E25</f>
        <v>0</v>
      </c>
      <c r="E27" s="65">
        <f>+'Adj. #42'!F25</f>
        <v>0</v>
      </c>
      <c r="F27" s="65">
        <f>+'Adj. #42'!G25</f>
        <v>0</v>
      </c>
      <c r="G27" s="65">
        <f t="shared" si="13"/>
        <v>0</v>
      </c>
      <c r="H27" s="65">
        <f>+'Adj. #42'!I25</f>
        <v>0</v>
      </c>
      <c r="I27" s="65">
        <f>+'Adj. #42'!J25</f>
        <v>0</v>
      </c>
      <c r="J27" s="65">
        <f t="shared" si="14"/>
        <v>0</v>
      </c>
      <c r="K27" s="65">
        <f>+'Adj. #42'!L25</f>
        <v>172614.89</v>
      </c>
      <c r="L27" s="65">
        <f>+'Adj. #42'!M25</f>
        <v>0</v>
      </c>
      <c r="M27" s="65"/>
      <c r="N27" s="40">
        <f t="shared" si="15"/>
        <v>172614.89</v>
      </c>
      <c r="O27" s="7" t="b">
        <f t="shared" si="3"/>
        <v>1</v>
      </c>
    </row>
    <row r="28" spans="1:15" s="7" customFormat="1" x14ac:dyDescent="0.2">
      <c r="A28" s="6" t="s">
        <v>28</v>
      </c>
      <c r="B28" s="6" t="s">
        <v>96</v>
      </c>
      <c r="D28" s="65">
        <v>0</v>
      </c>
      <c r="E28" s="65">
        <v>0</v>
      </c>
      <c r="F28" s="65">
        <v>0</v>
      </c>
      <c r="G28" s="65">
        <f t="shared" si="13"/>
        <v>0</v>
      </c>
      <c r="H28" s="65">
        <v>0</v>
      </c>
      <c r="I28" s="65">
        <v>0</v>
      </c>
      <c r="J28" s="65">
        <f t="shared" si="14"/>
        <v>0</v>
      </c>
      <c r="K28" s="65">
        <v>0</v>
      </c>
      <c r="L28" s="65">
        <v>0</v>
      </c>
      <c r="M28" s="65"/>
      <c r="N28" s="40">
        <f t="shared" si="15"/>
        <v>0</v>
      </c>
      <c r="O28" s="7" t="b">
        <f t="shared" si="3"/>
        <v>1</v>
      </c>
    </row>
    <row r="29" spans="1:15" s="7" customFormat="1" x14ac:dyDescent="0.2">
      <c r="A29" s="6" t="s">
        <v>29</v>
      </c>
      <c r="B29" s="6" t="s">
        <v>76</v>
      </c>
      <c r="D29" s="65">
        <f>+'Adj. #2'!E23+'Adj. #5'!E24+'Adj. #11'!E24+'Adj. #16'!E24+'Adj. #23'!E24+'Adj. #31'!E24+'Adj. #32'!E29+'Adj. #37'!E24+'Adj. #40'!E23+'Adj. #43'!E24</f>
        <v>0</v>
      </c>
      <c r="E29" s="65">
        <f>+'Adj. #2'!F23+'Adj. #5'!F24+'Adj. #11'!F24+'Adj. #16'!F24+'Adj. #23'!F24+'Adj. #31'!F24+'Adj. #32'!F29+'Adj. #37'!F24+'Adj. #40'!F23+'Adj. #43'!F24</f>
        <v>0</v>
      </c>
      <c r="F29" s="65">
        <f>+'Adj. #2'!G23+'Adj. #5'!G24+'Adj. #11'!G24+'Adj. #16'!G24+'Adj. #23'!G24+'Adj. #31'!G24+'Adj. #32'!G29+'Adj. #37'!G24+'Adj. #40'!G23+'Adj. #43'!G24</f>
        <v>0</v>
      </c>
      <c r="G29" s="65">
        <f t="shared" si="13"/>
        <v>0</v>
      </c>
      <c r="H29" s="65">
        <f>+'Adj. #2'!I23+'Adj. #5'!I24+'Adj. #11'!I24+'Adj. #16'!I24+'Adj. #23'!I24+'Adj. #31'!I24+'Adj. #32'!I29+'Adj. #37'!I24+'Adj. #40'!I23+'Adj. #43'!I24</f>
        <v>19151257.849999994</v>
      </c>
      <c r="I29" s="65">
        <f>+'Adj. #2'!J23+'Adj. #5'!J24+'Adj. #11'!J24+'Adj. #16'!J24+'Adj. #23'!J24+'Adj. #31'!J24+'Adj. #32'!J29+'Adj. #37'!J24+'Adj. #40'!J23+'Adj. #43'!J24</f>
        <v>0</v>
      </c>
      <c r="J29" s="65">
        <f t="shared" si="14"/>
        <v>19151257.849999994</v>
      </c>
      <c r="K29" s="65">
        <f>+'Adj. #2'!L23+'Adj. #5'!L24+'Adj. #11'!L24+'Adj. #16'!L24+'Adj. #23'!L24+'Adj. #31'!L24+'Adj. #32'!L29+'Adj. #37'!L24+'Adj. #40'!L23+'Adj. #43'!L24</f>
        <v>17779.490000000002</v>
      </c>
      <c r="L29" s="65">
        <f>+'Adj. #2'!M23+'Adj. #5'!M24+'Adj. #11'!M24+'Adj. #16'!M24+'Adj. #23'!M24+'Adj. #31'!M24+'Adj. #32'!M29+'Adj. #37'!M24+'Adj. #40'!M23+'Adj. #43'!M24</f>
        <v>16094.42</v>
      </c>
      <c r="M29" s="65"/>
      <c r="N29" s="40">
        <f t="shared" si="15"/>
        <v>19185131.759999994</v>
      </c>
      <c r="O29" s="7" t="b">
        <f t="shared" si="3"/>
        <v>1</v>
      </c>
    </row>
    <row r="30" spans="1:15" s="7" customFormat="1" x14ac:dyDescent="0.2">
      <c r="A30" s="6" t="s">
        <v>52</v>
      </c>
      <c r="B30" s="6" t="s">
        <v>97</v>
      </c>
      <c r="D30" s="65">
        <f>+'Adj. #30'!E24</f>
        <v>0</v>
      </c>
      <c r="E30" s="65">
        <f>+'Adj. #30'!F24</f>
        <v>0</v>
      </c>
      <c r="F30" s="65">
        <f>+'Adj. #30'!G24</f>
        <v>0</v>
      </c>
      <c r="G30" s="65">
        <f t="shared" si="13"/>
        <v>0</v>
      </c>
      <c r="H30" s="65">
        <f>+'Adj. #30'!I24</f>
        <v>-2609865.7999999998</v>
      </c>
      <c r="I30" s="65">
        <f>+'Adj. #30'!J24</f>
        <v>0</v>
      </c>
      <c r="J30" s="65">
        <f t="shared" si="14"/>
        <v>-2609865.7999999998</v>
      </c>
      <c r="K30" s="65">
        <f>+'Adj. #30'!L24</f>
        <v>0</v>
      </c>
      <c r="L30" s="65">
        <f>+'Adj. #30'!M24</f>
        <v>0</v>
      </c>
      <c r="M30" s="65"/>
      <c r="N30" s="40">
        <f t="shared" si="15"/>
        <v>-2609865.7999999998</v>
      </c>
      <c r="O30" s="7" t="b">
        <f t="shared" si="3"/>
        <v>1</v>
      </c>
    </row>
    <row r="31" spans="1:15" s="7" customFormat="1" ht="13.5" thickBot="1" x14ac:dyDescent="0.25">
      <c r="A31" s="6"/>
      <c r="B31" s="6"/>
      <c r="D31" s="38">
        <f>SUM(D21:D30)</f>
        <v>0</v>
      </c>
      <c r="E31" s="38">
        <f t="shared" ref="E31:N31" si="16">SUM(E21:E30)</f>
        <v>0</v>
      </c>
      <c r="F31" s="38">
        <f t="shared" si="16"/>
        <v>0</v>
      </c>
      <c r="G31" s="38">
        <f t="shared" si="16"/>
        <v>0</v>
      </c>
      <c r="H31" s="38">
        <f t="shared" si="16"/>
        <v>13691240.949999996</v>
      </c>
      <c r="I31" s="38">
        <f t="shared" si="16"/>
        <v>0</v>
      </c>
      <c r="J31" s="38">
        <f t="shared" si="16"/>
        <v>13691240.949999996</v>
      </c>
      <c r="K31" s="38">
        <f t="shared" si="16"/>
        <v>190394.38</v>
      </c>
      <c r="L31" s="38">
        <f t="shared" si="16"/>
        <v>15894.42</v>
      </c>
      <c r="M31" s="39"/>
      <c r="N31" s="38">
        <f t="shared" si="16"/>
        <v>13897529.749999993</v>
      </c>
      <c r="O31" s="7" t="b">
        <f t="shared" si="3"/>
        <v>1</v>
      </c>
    </row>
    <row r="32" spans="1:15" s="7" customFormat="1" ht="13.5" thickTop="1" x14ac:dyDescent="0.2">
      <c r="A32" s="6"/>
      <c r="B32" s="6"/>
      <c r="D32" s="28"/>
      <c r="E32" s="28"/>
      <c r="F32" s="28"/>
      <c r="G32" s="28"/>
      <c r="H32" s="28"/>
      <c r="I32" s="28"/>
      <c r="J32" s="28"/>
      <c r="K32" s="28"/>
      <c r="L32" s="28"/>
      <c r="N32" s="29"/>
    </row>
    <row r="33" spans="1:15" s="7" customFormat="1" x14ac:dyDescent="0.2">
      <c r="A33" s="8" t="s">
        <v>30</v>
      </c>
      <c r="B33" s="6" t="s">
        <v>89</v>
      </c>
      <c r="D33" s="64">
        <f>+'Adj. #42'!E26</f>
        <v>0</v>
      </c>
      <c r="E33" s="64">
        <f>+'Adj. #42'!F26</f>
        <v>0</v>
      </c>
      <c r="F33" s="64">
        <f>+'Adj. #42'!G26</f>
        <v>0</v>
      </c>
      <c r="G33" s="64">
        <f t="shared" ref="G33:G41" si="17">SUM(D33:F33)</f>
        <v>0</v>
      </c>
      <c r="H33" s="64">
        <f>+'Adj. #42'!I26</f>
        <v>609.13</v>
      </c>
      <c r="I33" s="64">
        <f>+'Adj. #42'!J26</f>
        <v>0</v>
      </c>
      <c r="J33" s="64">
        <f t="shared" ref="J33:J41" si="18">SUM(H33:I33)</f>
        <v>609.13</v>
      </c>
      <c r="K33" s="64">
        <f>+'Adj. #42'!L26</f>
        <v>0</v>
      </c>
      <c r="L33" s="64">
        <f>+'Adj. #42'!M26</f>
        <v>0</v>
      </c>
      <c r="M33" s="64"/>
      <c r="N33" s="63">
        <f>+L33+K33+J33+G33</f>
        <v>609.13</v>
      </c>
      <c r="O33" s="7" t="b">
        <f t="shared" si="3"/>
        <v>1</v>
      </c>
    </row>
    <row r="34" spans="1:15" s="7" customFormat="1" x14ac:dyDescent="0.2">
      <c r="A34" s="8" t="s">
        <v>61</v>
      </c>
      <c r="B34" s="6" t="s">
        <v>90</v>
      </c>
      <c r="D34" s="65">
        <v>0</v>
      </c>
      <c r="E34" s="65">
        <v>0</v>
      </c>
      <c r="F34" s="65">
        <v>0</v>
      </c>
      <c r="G34" s="65">
        <f t="shared" si="17"/>
        <v>0</v>
      </c>
      <c r="H34" s="65">
        <v>0</v>
      </c>
      <c r="I34" s="65">
        <v>0</v>
      </c>
      <c r="J34" s="65">
        <f t="shared" si="18"/>
        <v>0</v>
      </c>
      <c r="K34" s="65">
        <v>0</v>
      </c>
      <c r="L34" s="65">
        <v>0</v>
      </c>
      <c r="M34" s="65"/>
      <c r="N34" s="40">
        <f t="shared" ref="N34:N41" si="19">+L34+K34+J34+G34</f>
        <v>0</v>
      </c>
      <c r="O34" s="7" t="b">
        <f t="shared" si="3"/>
        <v>1</v>
      </c>
    </row>
    <row r="35" spans="1:15" s="7" customFormat="1" x14ac:dyDescent="0.2">
      <c r="A35" s="8" t="s">
        <v>31</v>
      </c>
      <c r="B35" s="6" t="s">
        <v>91</v>
      </c>
      <c r="D35" s="65">
        <f>+'Adj. #23'!E25+'Adj. #30'!E25+'Adj. #42'!E27+'Adj. #45'!E24</f>
        <v>10079.32</v>
      </c>
      <c r="E35" s="65">
        <f>+'Adj. #23'!F25+'Adj. #30'!F25+'Adj. #42'!F27+'Adj. #45'!F24</f>
        <v>0</v>
      </c>
      <c r="F35" s="65">
        <f>+'Adj. #23'!G25+'Adj. #30'!G25+'Adj. #42'!G27+'Adj. #45'!G24</f>
        <v>0</v>
      </c>
      <c r="G35" s="65">
        <f t="shared" si="17"/>
        <v>10079.32</v>
      </c>
      <c r="H35" s="65">
        <f>+'Adj. #23'!I25+'Adj. #30'!I25+'Adj. #42'!I27+'Adj. #45'!I24</f>
        <v>4641.7299999999996</v>
      </c>
      <c r="I35" s="65">
        <f>+'Adj. #23'!J25+'Adj. #30'!J25+'Adj. #42'!J27+'Adj. #45'!J24</f>
        <v>0</v>
      </c>
      <c r="J35" s="65">
        <f t="shared" si="18"/>
        <v>4641.7299999999996</v>
      </c>
      <c r="K35" s="65">
        <f>+'Adj. #23'!L25+'Adj. #30'!L25+'Adj. #42'!L27+'Adj. #45'!L24</f>
        <v>0</v>
      </c>
      <c r="L35" s="65">
        <f>+'Adj. #23'!M25+'Adj. #30'!M25+'Adj. #42'!M27+'Adj. #45'!M24</f>
        <v>0</v>
      </c>
      <c r="M35" s="65"/>
      <c r="N35" s="40">
        <f t="shared" si="19"/>
        <v>14721.05</v>
      </c>
      <c r="O35" s="7" t="b">
        <f t="shared" si="3"/>
        <v>1</v>
      </c>
    </row>
    <row r="36" spans="1:15" s="7" customFormat="1" x14ac:dyDescent="0.2">
      <c r="A36" s="8" t="s">
        <v>32</v>
      </c>
      <c r="B36" s="6" t="s">
        <v>74</v>
      </c>
      <c r="D36" s="65">
        <f>+'Adj. #23'!E26+'Adj. #32'!E30+'Adj. #42'!E28</f>
        <v>0</v>
      </c>
      <c r="E36" s="65">
        <f>+'Adj. #23'!F26+'Adj. #32'!F30+'Adj. #42'!F28</f>
        <v>0</v>
      </c>
      <c r="F36" s="65">
        <f>+'Adj. #23'!G26+'Adj. #32'!G30+'Adj. #42'!G28</f>
        <v>0</v>
      </c>
      <c r="G36" s="65">
        <f t="shared" si="17"/>
        <v>0</v>
      </c>
      <c r="H36" s="65">
        <f>+'Adj. #23'!I26+'Adj. #32'!I30+'Adj. #42'!I28</f>
        <v>-1214603.6399999997</v>
      </c>
      <c r="I36" s="65">
        <f>+'Adj. #23'!J26+'Adj. #32'!J30+'Adj. #42'!J28</f>
        <v>0</v>
      </c>
      <c r="J36" s="65">
        <f t="shared" si="18"/>
        <v>-1214603.6399999997</v>
      </c>
      <c r="K36" s="65">
        <f>+'Adj. #23'!L26+'Adj. #32'!L30+'Adj. #42'!L28</f>
        <v>0</v>
      </c>
      <c r="L36" s="65">
        <f>+'Adj. #23'!M26+'Adj. #32'!M30+'Adj. #42'!M28</f>
        <v>0</v>
      </c>
      <c r="M36" s="65"/>
      <c r="N36" s="40">
        <f t="shared" si="19"/>
        <v>-1214603.6399999997</v>
      </c>
      <c r="O36" s="7" t="b">
        <f t="shared" si="3"/>
        <v>1</v>
      </c>
    </row>
    <row r="37" spans="1:15" s="7" customFormat="1" x14ac:dyDescent="0.2">
      <c r="A37" s="8" t="s">
        <v>33</v>
      </c>
      <c r="B37" s="6" t="s">
        <v>92</v>
      </c>
      <c r="D37" s="65">
        <f>+'Adj. #23'!E27+'Adj. #42'!E29</f>
        <v>0</v>
      </c>
      <c r="E37" s="65">
        <f>+'Adj. #23'!F27+'Adj. #42'!F29</f>
        <v>0</v>
      </c>
      <c r="F37" s="65">
        <f>+'Adj. #23'!G27+'Adj. #42'!G29</f>
        <v>0</v>
      </c>
      <c r="G37" s="65">
        <f t="shared" si="17"/>
        <v>0</v>
      </c>
      <c r="H37" s="65">
        <f>+'Adj. #23'!I27+'Adj. #42'!I29</f>
        <v>73041.930000000008</v>
      </c>
      <c r="I37" s="65">
        <f>+'Adj. #23'!J27+'Adj. #42'!J29</f>
        <v>0</v>
      </c>
      <c r="J37" s="65">
        <f t="shared" si="18"/>
        <v>73041.930000000008</v>
      </c>
      <c r="K37" s="65">
        <f>+'Adj. #23'!L27+'Adj. #42'!L29</f>
        <v>0</v>
      </c>
      <c r="L37" s="65">
        <f>+'Adj. #23'!M27+'Adj. #42'!M29</f>
        <v>0</v>
      </c>
      <c r="M37" s="65"/>
      <c r="N37" s="40">
        <f t="shared" si="19"/>
        <v>73041.930000000008</v>
      </c>
      <c r="O37" s="7" t="b">
        <f t="shared" si="3"/>
        <v>1</v>
      </c>
    </row>
    <row r="38" spans="1:15" s="7" customFormat="1" x14ac:dyDescent="0.2">
      <c r="A38" s="8" t="s">
        <v>34</v>
      </c>
      <c r="B38" s="6" t="s">
        <v>98</v>
      </c>
      <c r="D38" s="65">
        <f>+'Adj. #42'!E30</f>
        <v>0</v>
      </c>
      <c r="E38" s="65">
        <f>+'Adj. #42'!F30</f>
        <v>0</v>
      </c>
      <c r="F38" s="65">
        <f>+'Adj. #42'!G30</f>
        <v>0</v>
      </c>
      <c r="G38" s="65">
        <f t="shared" si="17"/>
        <v>0</v>
      </c>
      <c r="H38" s="65">
        <f>+'Adj. #42'!I30</f>
        <v>69.349999999999994</v>
      </c>
      <c r="I38" s="65">
        <f>+'Adj. #42'!J30</f>
        <v>0</v>
      </c>
      <c r="J38" s="65">
        <f t="shared" si="18"/>
        <v>69.349999999999994</v>
      </c>
      <c r="K38" s="65">
        <f>+'Adj. #42'!L30</f>
        <v>0</v>
      </c>
      <c r="L38" s="65">
        <f>+'Adj. #42'!M30</f>
        <v>0</v>
      </c>
      <c r="M38" s="65"/>
      <c r="N38" s="40">
        <f t="shared" si="19"/>
        <v>69.349999999999994</v>
      </c>
      <c r="O38" s="7" t="b">
        <f t="shared" si="3"/>
        <v>1</v>
      </c>
    </row>
    <row r="39" spans="1:15" s="7" customFormat="1" x14ac:dyDescent="0.2">
      <c r="A39" s="8" t="s">
        <v>35</v>
      </c>
      <c r="B39" s="6" t="s">
        <v>99</v>
      </c>
      <c r="D39" s="65">
        <f>+'Adj. #42'!E31</f>
        <v>0</v>
      </c>
      <c r="E39" s="65">
        <f>+'Adj. #42'!F31</f>
        <v>0</v>
      </c>
      <c r="F39" s="65">
        <f>+'Adj. #42'!G31</f>
        <v>0</v>
      </c>
      <c r="G39" s="65">
        <f t="shared" si="17"/>
        <v>0</v>
      </c>
      <c r="H39" s="65">
        <f>+'Adj. #42'!I31</f>
        <v>213532.41</v>
      </c>
      <c r="I39" s="65">
        <f>+'Adj. #42'!J31</f>
        <v>0</v>
      </c>
      <c r="J39" s="65">
        <f t="shared" si="18"/>
        <v>213532.41</v>
      </c>
      <c r="K39" s="65">
        <f>+'Adj. #42'!L31</f>
        <v>0</v>
      </c>
      <c r="L39" s="65">
        <f>+'Adj. #42'!M31</f>
        <v>0</v>
      </c>
      <c r="M39" s="65"/>
      <c r="N39" s="40">
        <f t="shared" si="19"/>
        <v>213532.41</v>
      </c>
      <c r="O39" s="7" t="b">
        <f t="shared" si="3"/>
        <v>1</v>
      </c>
    </row>
    <row r="40" spans="1:15" s="7" customFormat="1" x14ac:dyDescent="0.2">
      <c r="A40" s="8" t="s">
        <v>36</v>
      </c>
      <c r="B40" s="6" t="s">
        <v>100</v>
      </c>
      <c r="D40" s="65">
        <v>0</v>
      </c>
      <c r="E40" s="65">
        <v>0</v>
      </c>
      <c r="F40" s="65">
        <v>0</v>
      </c>
      <c r="G40" s="65">
        <f t="shared" si="17"/>
        <v>0</v>
      </c>
      <c r="H40" s="65">
        <v>0</v>
      </c>
      <c r="I40" s="65">
        <v>0</v>
      </c>
      <c r="J40" s="65">
        <f t="shared" si="18"/>
        <v>0</v>
      </c>
      <c r="K40" s="65">
        <v>0</v>
      </c>
      <c r="L40" s="65">
        <v>0</v>
      </c>
      <c r="M40" s="65"/>
      <c r="N40" s="40">
        <f t="shared" si="19"/>
        <v>0</v>
      </c>
      <c r="O40" s="7" t="b">
        <f t="shared" si="3"/>
        <v>1</v>
      </c>
    </row>
    <row r="41" spans="1:15" s="7" customFormat="1" x14ac:dyDescent="0.2">
      <c r="A41" s="8" t="s">
        <v>37</v>
      </c>
      <c r="B41" s="6" t="s">
        <v>101</v>
      </c>
      <c r="D41" s="65">
        <f>+'Adj. #42'!E32</f>
        <v>0</v>
      </c>
      <c r="E41" s="65">
        <f>+'Adj. #42'!F32</f>
        <v>0</v>
      </c>
      <c r="F41" s="65">
        <f>+'Adj. #42'!G32</f>
        <v>0</v>
      </c>
      <c r="G41" s="65">
        <f t="shared" si="17"/>
        <v>0</v>
      </c>
      <c r="H41" s="65">
        <f>+'Adj. #42'!I32</f>
        <v>22314.98</v>
      </c>
      <c r="I41" s="65">
        <f>+'Adj. #42'!J32</f>
        <v>0</v>
      </c>
      <c r="J41" s="65">
        <f t="shared" si="18"/>
        <v>22314.98</v>
      </c>
      <c r="K41" s="65">
        <f>+'Adj. #42'!L32</f>
        <v>0</v>
      </c>
      <c r="L41" s="65">
        <f>+'Adj. #42'!M32</f>
        <v>0</v>
      </c>
      <c r="M41" s="65"/>
      <c r="N41" s="40">
        <f t="shared" si="19"/>
        <v>22314.98</v>
      </c>
      <c r="O41" s="7" t="b">
        <f t="shared" si="3"/>
        <v>1</v>
      </c>
    </row>
    <row r="42" spans="1:15" s="7" customFormat="1" ht="13.5" thickBot="1" x14ac:dyDescent="0.25">
      <c r="A42" s="8"/>
      <c r="B42" s="6"/>
      <c r="D42" s="38">
        <f>SUM(D33:D41)</f>
        <v>10079.32</v>
      </c>
      <c r="E42" s="38">
        <f t="shared" ref="E42:N42" si="20">SUM(E33:E41)</f>
        <v>0</v>
      </c>
      <c r="F42" s="38">
        <f t="shared" si="20"/>
        <v>0</v>
      </c>
      <c r="G42" s="38">
        <f t="shared" si="20"/>
        <v>10079.32</v>
      </c>
      <c r="H42" s="38">
        <f t="shared" si="20"/>
        <v>-900394.10999999952</v>
      </c>
      <c r="I42" s="38">
        <f t="shared" si="20"/>
        <v>0</v>
      </c>
      <c r="J42" s="38">
        <f t="shared" si="20"/>
        <v>-900394.10999999952</v>
      </c>
      <c r="K42" s="38">
        <f t="shared" si="20"/>
        <v>0</v>
      </c>
      <c r="L42" s="38">
        <f t="shared" si="20"/>
        <v>0</v>
      </c>
      <c r="M42" s="39"/>
      <c r="N42" s="38">
        <f t="shared" si="20"/>
        <v>-890314.78999999969</v>
      </c>
      <c r="O42" s="7" t="b">
        <f t="shared" si="3"/>
        <v>1</v>
      </c>
    </row>
    <row r="43" spans="1:15" s="7" customFormat="1" ht="13.5" thickTop="1" x14ac:dyDescent="0.2">
      <c r="A43" s="8"/>
      <c r="B43" s="6"/>
      <c r="D43" s="28"/>
      <c r="E43" s="28"/>
      <c r="F43" s="28"/>
      <c r="G43" s="28"/>
      <c r="H43" s="28"/>
      <c r="I43" s="28"/>
      <c r="J43" s="28"/>
      <c r="K43" s="28"/>
      <c r="L43" s="28"/>
      <c r="N43" s="29"/>
    </row>
    <row r="44" spans="1:15" s="7" customFormat="1" x14ac:dyDescent="0.2">
      <c r="A44" s="6" t="s">
        <v>38</v>
      </c>
      <c r="B44" s="6" t="s">
        <v>77</v>
      </c>
      <c r="D44" s="64">
        <v>0</v>
      </c>
      <c r="E44" s="64">
        <v>0</v>
      </c>
      <c r="F44" s="64">
        <v>0</v>
      </c>
      <c r="G44" s="64">
        <f t="shared" ref="G44:G48" si="21">SUM(D44:F44)</f>
        <v>0</v>
      </c>
      <c r="H44" s="64">
        <v>0</v>
      </c>
      <c r="I44" s="64">
        <v>0</v>
      </c>
      <c r="J44" s="64">
        <f t="shared" ref="J44:J48" si="22">SUM(H44:I44)</f>
        <v>0</v>
      </c>
      <c r="K44" s="64">
        <v>0</v>
      </c>
      <c r="L44" s="64">
        <v>0</v>
      </c>
      <c r="M44" s="64"/>
      <c r="N44" s="63">
        <f>+L44+K44+J44+G44</f>
        <v>0</v>
      </c>
      <c r="O44" s="7" t="b">
        <f t="shared" si="3"/>
        <v>1</v>
      </c>
    </row>
    <row r="45" spans="1:15" s="7" customFormat="1" x14ac:dyDescent="0.2">
      <c r="A45" s="6" t="s">
        <v>39</v>
      </c>
      <c r="B45" s="6" t="s">
        <v>102</v>
      </c>
      <c r="D45" s="65">
        <f>+'Adj. #32'!E31+'Adj. #44'!E23</f>
        <v>0</v>
      </c>
      <c r="E45" s="65">
        <f>+'Adj. #32'!F31+'Adj. #44'!F23</f>
        <v>0</v>
      </c>
      <c r="F45" s="65">
        <f>+'Adj. #32'!G31+'Adj. #44'!G23</f>
        <v>0</v>
      </c>
      <c r="G45" s="65">
        <f t="shared" si="21"/>
        <v>0</v>
      </c>
      <c r="H45" s="65">
        <f>+'Adj. #32'!I31+'Adj. #44'!I23</f>
        <v>0</v>
      </c>
      <c r="I45" s="65">
        <f>+'Adj. #32'!J31+'Adj. #44'!J23</f>
        <v>0</v>
      </c>
      <c r="J45" s="65">
        <f t="shared" si="22"/>
        <v>0</v>
      </c>
      <c r="K45" s="65">
        <f>+'Adj. #32'!L31+'Adj. #44'!L23</f>
        <v>-4254.72</v>
      </c>
      <c r="L45" s="65">
        <f>+'Adj. #32'!M31+'Adj. #44'!M23</f>
        <v>0</v>
      </c>
      <c r="M45" s="65"/>
      <c r="N45" s="40">
        <f t="shared" ref="N45:N48" si="23">+L45+K45+J45+G45</f>
        <v>-4254.72</v>
      </c>
      <c r="O45" s="7" t="b">
        <f t="shared" si="3"/>
        <v>1</v>
      </c>
    </row>
    <row r="46" spans="1:15" s="7" customFormat="1" x14ac:dyDescent="0.2">
      <c r="A46" s="6" t="s">
        <v>40</v>
      </c>
      <c r="B46" s="6" t="s">
        <v>103</v>
      </c>
      <c r="D46" s="65">
        <f>+'Adj. #23'!E28+'Adj. #33'!E23+'Adj. #32'!E32+'Adj. #41'!E23</f>
        <v>0</v>
      </c>
      <c r="E46" s="65">
        <f>+'Adj. #23'!F28+'Adj. #33'!F23+'Adj. #32'!F32+'Adj. #41'!F23</f>
        <v>0</v>
      </c>
      <c r="F46" s="65">
        <f>+'Adj. #23'!G28+'Adj. #33'!G23+'Adj. #32'!G32+'Adj. #41'!G23</f>
        <v>0</v>
      </c>
      <c r="G46" s="65">
        <f t="shared" si="21"/>
        <v>0</v>
      </c>
      <c r="H46" s="65">
        <f>+'Adj. #23'!I28+'Adj. #33'!I23+'Adj. #32'!I32+'Adj. #41'!I23</f>
        <v>0</v>
      </c>
      <c r="I46" s="65">
        <f>+'Adj. #23'!J28+'Adj. #33'!J23+'Adj. #32'!J32+'Adj. #41'!J23</f>
        <v>0</v>
      </c>
      <c r="J46" s="65">
        <f t="shared" si="22"/>
        <v>0</v>
      </c>
      <c r="K46" s="65">
        <f>+'Adj. #23'!L28+'Adj. #33'!L23+'Adj. #32'!L32+'Adj. #41'!L23</f>
        <v>0</v>
      </c>
      <c r="L46" s="65">
        <f>+'Adj. #23'!M28+'Adj. #33'!M23+'Adj. #32'!M32+'Adj. #41'!M23</f>
        <v>-6560230.1299999999</v>
      </c>
      <c r="M46" s="65"/>
      <c r="N46" s="40">
        <f t="shared" si="23"/>
        <v>-6560230.1299999999</v>
      </c>
      <c r="O46" s="7" t="b">
        <f t="shared" si="3"/>
        <v>1</v>
      </c>
    </row>
    <row r="47" spans="1:15" s="7" customFormat="1" x14ac:dyDescent="0.2">
      <c r="A47" s="6" t="s">
        <v>62</v>
      </c>
      <c r="B47" s="6" t="s">
        <v>104</v>
      </c>
      <c r="D47" s="65">
        <f>+'Adj. #15'!E23</f>
        <v>0</v>
      </c>
      <c r="E47" s="65">
        <f>+'Adj. #15'!F23</f>
        <v>0</v>
      </c>
      <c r="F47" s="65">
        <f>+'Adj. #15'!G23</f>
        <v>0</v>
      </c>
      <c r="G47" s="65">
        <f t="shared" si="21"/>
        <v>0</v>
      </c>
      <c r="H47" s="65">
        <f>+'Adj. #15'!I23</f>
        <v>0</v>
      </c>
      <c r="I47" s="65">
        <f>+'Adj. #15'!J23</f>
        <v>0</v>
      </c>
      <c r="J47" s="65">
        <f t="shared" si="22"/>
        <v>0</v>
      </c>
      <c r="K47" s="65">
        <f>+'Adj. #15'!L23</f>
        <v>0</v>
      </c>
      <c r="L47" s="65">
        <f>+'Adj. #15'!M23</f>
        <v>532280.16</v>
      </c>
      <c r="M47" s="65"/>
      <c r="N47" s="40">
        <f t="shared" si="23"/>
        <v>532280.16</v>
      </c>
      <c r="O47" s="7" t="b">
        <f t="shared" si="3"/>
        <v>1</v>
      </c>
    </row>
    <row r="48" spans="1:15" s="7" customFormat="1" x14ac:dyDescent="0.2">
      <c r="A48" s="6" t="s">
        <v>63</v>
      </c>
      <c r="B48" s="6" t="s">
        <v>113</v>
      </c>
      <c r="D48" s="65">
        <v>0</v>
      </c>
      <c r="E48" s="65">
        <v>0</v>
      </c>
      <c r="F48" s="65">
        <v>0</v>
      </c>
      <c r="G48" s="65">
        <f t="shared" si="21"/>
        <v>0</v>
      </c>
      <c r="H48" s="65">
        <v>0</v>
      </c>
      <c r="I48" s="65">
        <v>0</v>
      </c>
      <c r="J48" s="65">
        <f t="shared" si="22"/>
        <v>0</v>
      </c>
      <c r="K48" s="65">
        <v>0</v>
      </c>
      <c r="L48" s="65">
        <v>0</v>
      </c>
      <c r="M48" s="65"/>
      <c r="N48" s="40">
        <f t="shared" si="23"/>
        <v>0</v>
      </c>
      <c r="O48" s="7" t="b">
        <f t="shared" si="3"/>
        <v>1</v>
      </c>
    </row>
    <row r="49" spans="1:15" s="7" customFormat="1" ht="13.5" thickBot="1" x14ac:dyDescent="0.25">
      <c r="A49" s="6"/>
      <c r="B49" s="6"/>
      <c r="D49" s="38">
        <f>SUM(D44:D48)</f>
        <v>0</v>
      </c>
      <c r="E49" s="38">
        <f t="shared" ref="E49:N49" si="24">SUM(E44:E48)</f>
        <v>0</v>
      </c>
      <c r="F49" s="38">
        <f t="shared" si="24"/>
        <v>0</v>
      </c>
      <c r="G49" s="38">
        <f t="shared" si="24"/>
        <v>0</v>
      </c>
      <c r="H49" s="38">
        <f t="shared" si="24"/>
        <v>0</v>
      </c>
      <c r="I49" s="38">
        <f t="shared" si="24"/>
        <v>0</v>
      </c>
      <c r="J49" s="38">
        <f t="shared" si="24"/>
        <v>0</v>
      </c>
      <c r="K49" s="38">
        <f t="shared" si="24"/>
        <v>-4254.72</v>
      </c>
      <c r="L49" s="38">
        <f t="shared" si="24"/>
        <v>-6027949.9699999997</v>
      </c>
      <c r="M49" s="39"/>
      <c r="N49" s="38">
        <f t="shared" si="24"/>
        <v>-6032204.6899999995</v>
      </c>
      <c r="O49" s="7" t="b">
        <f t="shared" si="3"/>
        <v>1</v>
      </c>
    </row>
    <row r="50" spans="1:15" s="7" customFormat="1" ht="13.5" thickTop="1" x14ac:dyDescent="0.2">
      <c r="A50" s="6"/>
      <c r="B50" s="6"/>
      <c r="D50" s="28"/>
      <c r="E50" s="28"/>
      <c r="F50" s="28"/>
      <c r="G50" s="28"/>
      <c r="H50" s="28"/>
      <c r="I50" s="28"/>
      <c r="J50" s="28"/>
      <c r="K50" s="28"/>
      <c r="L50" s="28"/>
      <c r="N50" s="29"/>
    </row>
    <row r="51" spans="1:15" s="7" customFormat="1" x14ac:dyDescent="0.2">
      <c r="A51" s="8" t="s">
        <v>64</v>
      </c>
      <c r="B51" s="6" t="s">
        <v>114</v>
      </c>
      <c r="D51" s="64">
        <v>0</v>
      </c>
      <c r="E51" s="64">
        <v>0</v>
      </c>
      <c r="F51" s="64">
        <v>0</v>
      </c>
      <c r="G51" s="64">
        <f t="shared" ref="G51:G55" si="25">SUM(D51:F51)</f>
        <v>0</v>
      </c>
      <c r="H51" s="64">
        <v>0</v>
      </c>
      <c r="I51" s="64">
        <v>0</v>
      </c>
      <c r="J51" s="64">
        <f t="shared" ref="J51:J55" si="26">SUM(H51:I51)</f>
        <v>0</v>
      </c>
      <c r="K51" s="64">
        <v>0</v>
      </c>
      <c r="L51" s="64">
        <v>0</v>
      </c>
      <c r="M51" s="64"/>
      <c r="N51" s="63">
        <f>+L51+K51+J51+G51</f>
        <v>0</v>
      </c>
      <c r="O51" s="7" t="b">
        <f t="shared" si="3"/>
        <v>1</v>
      </c>
    </row>
    <row r="52" spans="1:15" s="7" customFormat="1" x14ac:dyDescent="0.2">
      <c r="A52" s="8" t="s">
        <v>41</v>
      </c>
      <c r="B52" s="6" t="s">
        <v>77</v>
      </c>
      <c r="D52" s="65">
        <v>0</v>
      </c>
      <c r="E52" s="65">
        <v>0</v>
      </c>
      <c r="F52" s="65">
        <v>0</v>
      </c>
      <c r="G52" s="65">
        <f t="shared" si="25"/>
        <v>0</v>
      </c>
      <c r="H52" s="65">
        <v>0</v>
      </c>
      <c r="I52" s="65">
        <v>0</v>
      </c>
      <c r="J52" s="65">
        <f t="shared" si="26"/>
        <v>0</v>
      </c>
      <c r="K52" s="65">
        <v>0</v>
      </c>
      <c r="L52" s="65">
        <v>0</v>
      </c>
      <c r="M52" s="65"/>
      <c r="N52" s="40">
        <f t="shared" ref="N52:N55" si="27">+L52+K52+J52+G52</f>
        <v>0</v>
      </c>
      <c r="O52" s="7" t="b">
        <f t="shared" si="3"/>
        <v>1</v>
      </c>
    </row>
    <row r="53" spans="1:15" s="7" customFormat="1" x14ac:dyDescent="0.2">
      <c r="A53" s="8" t="s">
        <v>42</v>
      </c>
      <c r="B53" s="6" t="s">
        <v>78</v>
      </c>
      <c r="D53" s="65">
        <f>+'Adj. #3'!E23+'Adj. #32'!E33</f>
        <v>0</v>
      </c>
      <c r="E53" s="65">
        <f>+'Adj. #3'!F23+'Adj. #32'!F33</f>
        <v>0</v>
      </c>
      <c r="F53" s="65">
        <f>+'Adj. #3'!G23+'Adj. #32'!G33</f>
        <v>0</v>
      </c>
      <c r="G53" s="65">
        <f t="shared" si="25"/>
        <v>0</v>
      </c>
      <c r="H53" s="65">
        <f>+'Adj. #3'!I23+'Adj. #32'!I33</f>
        <v>0</v>
      </c>
      <c r="I53" s="65">
        <f>+'Adj. #3'!J23+'Adj. #32'!J33</f>
        <v>0</v>
      </c>
      <c r="J53" s="65">
        <f t="shared" si="26"/>
        <v>0</v>
      </c>
      <c r="K53" s="65">
        <f>+'Adj. #3'!L23+'Adj. #32'!L33</f>
        <v>0</v>
      </c>
      <c r="L53" s="65">
        <f>+'Adj. #3'!M23+'Adj. #32'!M33</f>
        <v>-54320514.229999997</v>
      </c>
      <c r="M53" s="65"/>
      <c r="N53" s="40">
        <f t="shared" si="27"/>
        <v>-54320514.229999997</v>
      </c>
      <c r="O53" s="7" t="b">
        <f t="shared" si="3"/>
        <v>1</v>
      </c>
    </row>
    <row r="54" spans="1:15" s="7" customFormat="1" x14ac:dyDescent="0.2">
      <c r="A54" s="8" t="s">
        <v>65</v>
      </c>
      <c r="B54" s="6" t="s">
        <v>115</v>
      </c>
      <c r="D54" s="65">
        <v>0</v>
      </c>
      <c r="E54" s="65">
        <v>0</v>
      </c>
      <c r="F54" s="65">
        <v>0</v>
      </c>
      <c r="G54" s="65">
        <f t="shared" si="25"/>
        <v>0</v>
      </c>
      <c r="H54" s="65">
        <v>0</v>
      </c>
      <c r="I54" s="65">
        <v>0</v>
      </c>
      <c r="J54" s="65">
        <f t="shared" si="26"/>
        <v>0</v>
      </c>
      <c r="K54" s="65">
        <v>0</v>
      </c>
      <c r="L54" s="65">
        <v>0</v>
      </c>
      <c r="M54" s="65"/>
      <c r="N54" s="40">
        <f t="shared" si="27"/>
        <v>0</v>
      </c>
      <c r="O54" s="7" t="b">
        <f t="shared" si="3"/>
        <v>1</v>
      </c>
    </row>
    <row r="55" spans="1:15" s="7" customFormat="1" x14ac:dyDescent="0.2">
      <c r="A55" s="9" t="s">
        <v>55</v>
      </c>
      <c r="B55" s="6" t="s">
        <v>105</v>
      </c>
      <c r="D55" s="65">
        <v>0</v>
      </c>
      <c r="E55" s="65">
        <v>0</v>
      </c>
      <c r="F55" s="65">
        <v>0</v>
      </c>
      <c r="G55" s="65">
        <f t="shared" si="25"/>
        <v>0</v>
      </c>
      <c r="H55" s="65">
        <v>0</v>
      </c>
      <c r="I55" s="65">
        <v>0</v>
      </c>
      <c r="J55" s="65">
        <f t="shared" si="26"/>
        <v>0</v>
      </c>
      <c r="K55" s="65">
        <v>0</v>
      </c>
      <c r="L55" s="65">
        <v>0</v>
      </c>
      <c r="M55" s="65"/>
      <c r="N55" s="40">
        <f t="shared" si="27"/>
        <v>0</v>
      </c>
      <c r="O55" s="7" t="b">
        <f t="shared" si="3"/>
        <v>1</v>
      </c>
    </row>
    <row r="56" spans="1:15" s="7" customFormat="1" ht="13.5" thickBot="1" x14ac:dyDescent="0.25">
      <c r="A56" s="9"/>
      <c r="B56" s="6"/>
      <c r="D56" s="38">
        <f>SUM(D51:D55)</f>
        <v>0</v>
      </c>
      <c r="E56" s="38">
        <f t="shared" ref="E56:N56" si="28">SUM(E51:E55)</f>
        <v>0</v>
      </c>
      <c r="F56" s="38">
        <f t="shared" si="28"/>
        <v>0</v>
      </c>
      <c r="G56" s="38">
        <f t="shared" si="28"/>
        <v>0</v>
      </c>
      <c r="H56" s="38">
        <f t="shared" si="28"/>
        <v>0</v>
      </c>
      <c r="I56" s="38">
        <f t="shared" si="28"/>
        <v>0</v>
      </c>
      <c r="J56" s="38">
        <f t="shared" si="28"/>
        <v>0</v>
      </c>
      <c r="K56" s="38">
        <f t="shared" si="28"/>
        <v>0</v>
      </c>
      <c r="L56" s="38">
        <f t="shared" si="28"/>
        <v>-54320514.229999997</v>
      </c>
      <c r="M56" s="39"/>
      <c r="N56" s="38">
        <f t="shared" si="28"/>
        <v>-54320514.229999997</v>
      </c>
      <c r="O56" s="7" t="b">
        <f t="shared" si="3"/>
        <v>1</v>
      </c>
    </row>
    <row r="57" spans="1:15" s="7" customFormat="1" ht="13.5" thickTop="1" x14ac:dyDescent="0.2">
      <c r="A57" s="9"/>
      <c r="B57" s="6"/>
      <c r="D57" s="28"/>
      <c r="E57" s="28"/>
      <c r="F57" s="28"/>
      <c r="G57" s="28"/>
      <c r="H57" s="28"/>
      <c r="I57" s="28"/>
      <c r="J57" s="28"/>
      <c r="K57" s="28"/>
      <c r="L57" s="28"/>
      <c r="N57" s="29"/>
    </row>
    <row r="58" spans="1:15" s="7" customFormat="1" x14ac:dyDescent="0.2">
      <c r="A58" s="7" t="s">
        <v>43</v>
      </c>
      <c r="B58" s="6" t="s">
        <v>77</v>
      </c>
      <c r="D58" s="64">
        <v>0</v>
      </c>
      <c r="E58" s="64">
        <v>0</v>
      </c>
      <c r="F58" s="64">
        <v>0</v>
      </c>
      <c r="G58" s="64">
        <f t="shared" ref="G58:G62" si="29">SUM(D58:F58)</f>
        <v>0</v>
      </c>
      <c r="H58" s="64">
        <v>0</v>
      </c>
      <c r="I58" s="64">
        <v>0</v>
      </c>
      <c r="J58" s="64">
        <f t="shared" ref="J58:J62" si="30">SUM(H58:I58)</f>
        <v>0</v>
      </c>
      <c r="K58" s="64">
        <v>0</v>
      </c>
      <c r="L58" s="64">
        <v>0</v>
      </c>
      <c r="M58" s="64"/>
      <c r="N58" s="63">
        <f>+L58+K58+J58+G58</f>
        <v>0</v>
      </c>
      <c r="O58" s="7" t="b">
        <f t="shared" si="3"/>
        <v>1</v>
      </c>
    </row>
    <row r="59" spans="1:15" s="7" customFormat="1" x14ac:dyDescent="0.2">
      <c r="A59" s="7" t="s">
        <v>57</v>
      </c>
      <c r="B59" s="6" t="s">
        <v>106</v>
      </c>
      <c r="D59" s="65">
        <v>0</v>
      </c>
      <c r="E59" s="65">
        <v>0</v>
      </c>
      <c r="F59" s="65">
        <v>0</v>
      </c>
      <c r="G59" s="65">
        <f t="shared" si="29"/>
        <v>0</v>
      </c>
      <c r="H59" s="65">
        <v>0</v>
      </c>
      <c r="I59" s="65">
        <v>0</v>
      </c>
      <c r="J59" s="65">
        <f t="shared" si="30"/>
        <v>0</v>
      </c>
      <c r="K59" s="65">
        <v>0</v>
      </c>
      <c r="L59" s="65">
        <v>0</v>
      </c>
      <c r="M59" s="65"/>
      <c r="N59" s="40">
        <f t="shared" ref="N59:N62" si="31">+L59+K59+J59+G59</f>
        <v>0</v>
      </c>
      <c r="O59" s="7" t="b">
        <f t="shared" si="3"/>
        <v>1</v>
      </c>
    </row>
    <row r="60" spans="1:15" s="7" customFormat="1" x14ac:dyDescent="0.2">
      <c r="A60" s="7" t="s">
        <v>56</v>
      </c>
      <c r="B60" s="6" t="s">
        <v>116</v>
      </c>
      <c r="D60" s="65">
        <v>0</v>
      </c>
      <c r="E60" s="65">
        <v>0</v>
      </c>
      <c r="F60" s="65">
        <v>0</v>
      </c>
      <c r="G60" s="65">
        <f t="shared" si="29"/>
        <v>0</v>
      </c>
      <c r="H60" s="65">
        <v>0</v>
      </c>
      <c r="I60" s="65">
        <v>0</v>
      </c>
      <c r="J60" s="65">
        <f t="shared" si="30"/>
        <v>0</v>
      </c>
      <c r="K60" s="65">
        <v>0</v>
      </c>
      <c r="L60" s="65">
        <v>0</v>
      </c>
      <c r="M60" s="65"/>
      <c r="N60" s="40">
        <f t="shared" si="31"/>
        <v>0</v>
      </c>
      <c r="O60" s="7" t="b">
        <f t="shared" si="3"/>
        <v>1</v>
      </c>
    </row>
    <row r="61" spans="1:15" s="7" customFormat="1" x14ac:dyDescent="0.2">
      <c r="A61" s="7" t="s">
        <v>66</v>
      </c>
      <c r="B61" s="6" t="s">
        <v>117</v>
      </c>
      <c r="D61" s="65">
        <v>0</v>
      </c>
      <c r="E61" s="65">
        <v>0</v>
      </c>
      <c r="F61" s="65">
        <v>0</v>
      </c>
      <c r="G61" s="65">
        <f t="shared" si="29"/>
        <v>0</v>
      </c>
      <c r="H61" s="65">
        <v>0</v>
      </c>
      <c r="I61" s="65">
        <v>0</v>
      </c>
      <c r="J61" s="65">
        <f t="shared" si="30"/>
        <v>0</v>
      </c>
      <c r="K61" s="65">
        <v>0</v>
      </c>
      <c r="L61" s="65">
        <v>0</v>
      </c>
      <c r="M61" s="65"/>
      <c r="N61" s="40">
        <f t="shared" si="31"/>
        <v>0</v>
      </c>
      <c r="O61" s="7" t="b">
        <f t="shared" si="3"/>
        <v>1</v>
      </c>
    </row>
    <row r="62" spans="1:15" s="7" customFormat="1" x14ac:dyDescent="0.2">
      <c r="A62" s="7" t="s">
        <v>67</v>
      </c>
      <c r="B62" s="6" t="s">
        <v>118</v>
      </c>
      <c r="D62" s="65">
        <v>0</v>
      </c>
      <c r="E62" s="65">
        <v>0</v>
      </c>
      <c r="F62" s="65">
        <v>0</v>
      </c>
      <c r="G62" s="65">
        <f t="shared" si="29"/>
        <v>0</v>
      </c>
      <c r="H62" s="65">
        <v>0</v>
      </c>
      <c r="I62" s="65">
        <v>0</v>
      </c>
      <c r="J62" s="65">
        <f t="shared" si="30"/>
        <v>0</v>
      </c>
      <c r="K62" s="65">
        <v>0</v>
      </c>
      <c r="L62" s="65">
        <v>0</v>
      </c>
      <c r="M62" s="65"/>
      <c r="N62" s="40">
        <f t="shared" si="31"/>
        <v>0</v>
      </c>
      <c r="O62" s="7" t="b">
        <f t="shared" si="3"/>
        <v>1</v>
      </c>
    </row>
    <row r="63" spans="1:15" s="7" customFormat="1" ht="13.5" thickBot="1" x14ac:dyDescent="0.25">
      <c r="B63" s="6"/>
      <c r="D63" s="38">
        <f>SUM(D58:D62)</f>
        <v>0</v>
      </c>
      <c r="E63" s="38">
        <f t="shared" ref="E63:N63" si="32">SUM(E58:E62)</f>
        <v>0</v>
      </c>
      <c r="F63" s="38">
        <f t="shared" si="32"/>
        <v>0</v>
      </c>
      <c r="G63" s="38">
        <f t="shared" si="32"/>
        <v>0</v>
      </c>
      <c r="H63" s="38">
        <f t="shared" si="32"/>
        <v>0</v>
      </c>
      <c r="I63" s="38">
        <f t="shared" si="32"/>
        <v>0</v>
      </c>
      <c r="J63" s="38">
        <f t="shared" si="32"/>
        <v>0</v>
      </c>
      <c r="K63" s="38">
        <f t="shared" si="32"/>
        <v>0</v>
      </c>
      <c r="L63" s="38">
        <f t="shared" si="32"/>
        <v>0</v>
      </c>
      <c r="M63" s="39"/>
      <c r="N63" s="38">
        <f t="shared" si="32"/>
        <v>0</v>
      </c>
      <c r="O63" s="7" t="b">
        <f t="shared" si="3"/>
        <v>1</v>
      </c>
    </row>
    <row r="64" spans="1:15" s="7" customFormat="1" ht="13.5" thickTop="1" x14ac:dyDescent="0.2">
      <c r="B64" s="6"/>
      <c r="D64" s="28"/>
      <c r="E64" s="28"/>
      <c r="F64" s="28"/>
      <c r="G64" s="28"/>
      <c r="H64" s="28"/>
      <c r="I64" s="28"/>
      <c r="J64" s="28"/>
      <c r="K64" s="28"/>
      <c r="L64" s="28"/>
      <c r="N64" s="29"/>
    </row>
    <row r="65" spans="1:15" s="7" customFormat="1" x14ac:dyDescent="0.2">
      <c r="A65" s="10" t="s">
        <v>44</v>
      </c>
      <c r="B65" s="6" t="s">
        <v>79</v>
      </c>
      <c r="D65" s="64">
        <f>+'Adj. #5'!E25+'Adj. #11'!E25+'Adj. #24'!E25</f>
        <v>-13461.539999999572</v>
      </c>
      <c r="E65" s="64">
        <f>+'Adj. #5'!F25+'Adj. #11'!F25+'Adj. #24'!F25</f>
        <v>0</v>
      </c>
      <c r="F65" s="64">
        <f>+'Adj. #5'!G25+'Adj. #11'!G25+'Adj. #24'!G25</f>
        <v>0</v>
      </c>
      <c r="G65" s="64">
        <f t="shared" ref="G65:G77" si="33">SUM(D65:F65)</f>
        <v>-13461.539999999572</v>
      </c>
      <c r="H65" s="64">
        <f>+'Adj. #5'!I25+'Adj. #11'!I25+'Adj. #24'!I25</f>
        <v>1073674.2199999997</v>
      </c>
      <c r="I65" s="64">
        <f>+'Adj. #5'!J25+'Adj. #11'!J25+'Adj. #24'!J25</f>
        <v>0</v>
      </c>
      <c r="J65" s="64">
        <f t="shared" ref="J65:J77" si="34">SUM(H65:I65)</f>
        <v>1073674.2199999997</v>
      </c>
      <c r="K65" s="64">
        <f>+'Adj. #5'!L25+'Adj. #11'!L25+'Adj. #24'!L25</f>
        <v>322068.41999999993</v>
      </c>
      <c r="L65" s="64">
        <f>+'Adj. #5'!M25+'Adj. #11'!M25+'Adj. #24'!M25</f>
        <v>13071.070000000007</v>
      </c>
      <c r="M65" s="64"/>
      <c r="N65" s="63">
        <f>+L65+K65+J65+G65</f>
        <v>1395352.1700000002</v>
      </c>
      <c r="O65" s="7" t="b">
        <f t="shared" si="3"/>
        <v>1</v>
      </c>
    </row>
    <row r="66" spans="1:15" s="7" customFormat="1" x14ac:dyDescent="0.2">
      <c r="A66" s="10" t="s">
        <v>45</v>
      </c>
      <c r="B66" s="6" t="s">
        <v>80</v>
      </c>
      <c r="D66" s="65">
        <f>+'Adj. #10'!E23+'Adj. #24'!E26+'Adj. #32'!E34+'Adj. #37'!E25+'Adj. #38'!E23+'Adj. #44'!E24</f>
        <v>-480589.30000000005</v>
      </c>
      <c r="E66" s="65">
        <f>+'Adj. #10'!F23+'Adj. #24'!F26+'Adj. #32'!F34+'Adj. #37'!F25+'Adj. #38'!F23+'Adj. #44'!F24</f>
        <v>0</v>
      </c>
      <c r="F66" s="65">
        <f>+'Adj. #10'!G23+'Adj. #24'!G26+'Adj. #32'!G34+'Adj. #37'!G25+'Adj. #38'!G23+'Adj. #44'!G24</f>
        <v>0</v>
      </c>
      <c r="G66" s="65">
        <f t="shared" si="33"/>
        <v>-480589.30000000005</v>
      </c>
      <c r="H66" s="65">
        <f>+'Adj. #10'!I23+'Adj. #24'!I26+'Adj. #32'!I34+'Adj. #37'!I25+'Adj. #38'!I23+'Adj. #44'!I24</f>
        <v>-1277784.2200000002</v>
      </c>
      <c r="I66" s="65">
        <f>+'Adj. #10'!J23+'Adj. #24'!J26+'Adj. #32'!J34+'Adj. #37'!J25+'Adj. #38'!J23+'Adj. #44'!J24</f>
        <v>0</v>
      </c>
      <c r="J66" s="65">
        <f t="shared" si="34"/>
        <v>-1277784.2200000002</v>
      </c>
      <c r="K66" s="65">
        <f>+'Adj. #10'!L23+'Adj. #24'!L26+'Adj. #32'!L34+'Adj. #37'!L25+'Adj. #38'!L23+'Adj. #44'!L24</f>
        <v>-357190.74</v>
      </c>
      <c r="L66" s="65">
        <f>+'Adj. #10'!M23+'Adj. #24'!M26+'Adj. #32'!M34+'Adj. #37'!M25+'Adj. #38'!M23+'Adj. #44'!M24</f>
        <v>-236201.05000000002</v>
      </c>
      <c r="M66" s="65"/>
      <c r="N66" s="40">
        <f t="shared" ref="N66:N77" si="35">+L66+K66+J66+G66</f>
        <v>-2351765.3100000005</v>
      </c>
      <c r="O66" s="7" t="b">
        <f t="shared" si="3"/>
        <v>1</v>
      </c>
    </row>
    <row r="67" spans="1:15" s="7" customFormat="1" x14ac:dyDescent="0.2">
      <c r="A67" s="10" t="s">
        <v>68</v>
      </c>
      <c r="B67" s="6" t="s">
        <v>107</v>
      </c>
      <c r="D67" s="65">
        <v>0</v>
      </c>
      <c r="E67" s="65">
        <v>0</v>
      </c>
      <c r="F67" s="65">
        <v>0</v>
      </c>
      <c r="G67" s="65">
        <f t="shared" si="33"/>
        <v>0</v>
      </c>
      <c r="H67" s="65">
        <v>0</v>
      </c>
      <c r="I67" s="65">
        <v>0</v>
      </c>
      <c r="J67" s="65">
        <f t="shared" si="34"/>
        <v>0</v>
      </c>
      <c r="K67" s="65">
        <v>0</v>
      </c>
      <c r="L67" s="65">
        <v>0</v>
      </c>
      <c r="M67" s="65"/>
      <c r="N67" s="40">
        <f t="shared" si="35"/>
        <v>0</v>
      </c>
      <c r="O67" s="7" t="b">
        <f t="shared" si="3"/>
        <v>1</v>
      </c>
    </row>
    <row r="68" spans="1:15" s="7" customFormat="1" x14ac:dyDescent="0.2">
      <c r="A68" s="10" t="s">
        <v>53</v>
      </c>
      <c r="B68" s="6" t="s">
        <v>81</v>
      </c>
      <c r="D68" s="65">
        <f>+'Adj. #24'!E27+'Adj. #25'!E23+'Adj. #26'!E23+'Adj. #27'!E23+'Adj. #30'!E26+'Adj. #43'!E25+'Adj. #44'!E25+'Adj. #45'!E25</f>
        <v>5113897.2699999996</v>
      </c>
      <c r="E68" s="65">
        <f>+'Adj. #24'!F27+'Adj. #25'!F23+'Adj. #26'!F23+'Adj. #27'!F23+'Adj. #30'!F26+'Adj. #43'!F25+'Adj. #44'!F25+'Adj. #45'!F25</f>
        <v>0</v>
      </c>
      <c r="F68" s="65">
        <f>+'Adj. #24'!G27+'Adj. #25'!G23+'Adj. #26'!G23+'Adj. #27'!G23+'Adj. #30'!G26+'Adj. #43'!G25+'Adj. #44'!G25+'Adj. #45'!G25</f>
        <v>0</v>
      </c>
      <c r="G68" s="65">
        <f t="shared" si="33"/>
        <v>5113897.2699999996</v>
      </c>
      <c r="H68" s="65">
        <f>+'Adj. #24'!I27+'Adj. #25'!I23+'Adj. #26'!I23+'Adj. #27'!I23+'Adj. #30'!I26+'Adj. #43'!I25+'Adj. #44'!I25+'Adj. #45'!I25</f>
        <v>1782680.9699999997</v>
      </c>
      <c r="I68" s="65">
        <f>+'Adj. #24'!J27+'Adj. #25'!J23+'Adj. #26'!J23+'Adj. #27'!J23+'Adj. #30'!J26+'Adj. #43'!J25+'Adj. #44'!J25+'Adj. #45'!J25</f>
        <v>0</v>
      </c>
      <c r="J68" s="65">
        <f t="shared" si="34"/>
        <v>1782680.9699999997</v>
      </c>
      <c r="K68" s="65">
        <f>+'Adj. #24'!L27+'Adj. #25'!L23+'Adj. #26'!L23+'Adj. #27'!L23+'Adj. #30'!L26+'Adj. #43'!L25+'Adj. #44'!L25+'Adj. #45'!L25</f>
        <v>48363.450000000004</v>
      </c>
      <c r="L68" s="65">
        <f>+'Adj. #24'!M27+'Adj. #25'!M23+'Adj. #26'!M23+'Adj. #27'!M23+'Adj. #30'!M26+'Adj. #43'!M25+'Adj. #44'!M25+'Adj. #45'!M25</f>
        <v>48135.54000000003</v>
      </c>
      <c r="M68" s="65"/>
      <c r="N68" s="40">
        <f t="shared" si="35"/>
        <v>6993077.2299999995</v>
      </c>
      <c r="O68" s="7" t="b">
        <f t="shared" ref="O68:O78" si="36">+N68=+D68+E68+F68+H68+I68+K68+L68</f>
        <v>1</v>
      </c>
    </row>
    <row r="69" spans="1:15" s="7" customFormat="1" x14ac:dyDescent="0.2">
      <c r="A69" s="10" t="s">
        <v>49</v>
      </c>
      <c r="B69" s="6" t="s">
        <v>108</v>
      </c>
      <c r="D69" s="65">
        <f>+'Adj. #4'!E23+'Adj. #12'!E23+'Adj. #22'!E23</f>
        <v>16019495.32</v>
      </c>
      <c r="E69" s="65">
        <f>+'Adj. #4'!F23+'Adj. #12'!F23+'Adj. #22'!F23</f>
        <v>-166415.23999999405</v>
      </c>
      <c r="F69" s="65">
        <f>+'Adj. #4'!G23+'Adj. #12'!G23+'Adj. #22'!G23</f>
        <v>0</v>
      </c>
      <c r="G69" s="65">
        <f t="shared" si="33"/>
        <v>15853080.080000006</v>
      </c>
      <c r="H69" s="65">
        <f>+'Adj. #4'!I23+'Adj. #12'!I23+'Adj. #22'!I23</f>
        <v>354378028.25999999</v>
      </c>
      <c r="I69" s="65">
        <f>+'Adj. #4'!J23+'Adj. #12'!J23+'Adj. #22'!J23</f>
        <v>0</v>
      </c>
      <c r="J69" s="65">
        <f t="shared" si="34"/>
        <v>354378028.25999999</v>
      </c>
      <c r="K69" s="65">
        <f>+'Adj. #4'!L23+'Adj. #12'!L23+'Adj. #22'!L23</f>
        <v>0</v>
      </c>
      <c r="L69" s="65">
        <f>+'Adj. #4'!M23+'Adj. #12'!M23+'Adj. #22'!M23</f>
        <v>0</v>
      </c>
      <c r="M69" s="65"/>
      <c r="N69" s="40">
        <f t="shared" si="35"/>
        <v>370231108.33999997</v>
      </c>
      <c r="O69" s="7" t="b">
        <f t="shared" si="36"/>
        <v>1</v>
      </c>
    </row>
    <row r="70" spans="1:15" s="7" customFormat="1" x14ac:dyDescent="0.2">
      <c r="A70" s="10" t="s">
        <v>69</v>
      </c>
      <c r="B70" s="6" t="s">
        <v>109</v>
      </c>
      <c r="D70" s="65">
        <f>+'Adj. #4'!E24+'Adj. #12'!E24+'Adj. #22'!E24</f>
        <v>6629147.7960000001</v>
      </c>
      <c r="E70" s="65">
        <f>+'Adj. #4'!F24+'Adj. #12'!F24+'Adj. #22'!F24</f>
        <v>0</v>
      </c>
      <c r="F70" s="65">
        <f>+'Adj. #4'!G24+'Adj. #12'!G24+'Adj. #22'!G24</f>
        <v>0</v>
      </c>
      <c r="G70" s="65">
        <f t="shared" si="33"/>
        <v>6629147.7960000001</v>
      </c>
      <c r="H70" s="65">
        <f>+'Adj. #4'!I24+'Adj. #12'!I24+'Adj. #22'!I24</f>
        <v>22831341.803999998</v>
      </c>
      <c r="I70" s="65">
        <f>+'Adj. #4'!J24+'Adj. #12'!J24+'Adj. #22'!J24</f>
        <v>0</v>
      </c>
      <c r="J70" s="65">
        <f t="shared" si="34"/>
        <v>22831341.803999998</v>
      </c>
      <c r="K70" s="65">
        <f>+'Adj. #4'!L24+'Adj. #12'!L24+'Adj. #22'!L24</f>
        <v>0</v>
      </c>
      <c r="L70" s="65">
        <f>+'Adj. #4'!M24+'Adj. #12'!M24+'Adj. #22'!M24</f>
        <v>0</v>
      </c>
      <c r="M70" s="65"/>
      <c r="N70" s="40">
        <f t="shared" si="35"/>
        <v>29460489.599999998</v>
      </c>
      <c r="O70" s="7" t="b">
        <f t="shared" si="36"/>
        <v>1</v>
      </c>
    </row>
    <row r="71" spans="1:15" s="7" customFormat="1" x14ac:dyDescent="0.2">
      <c r="A71" s="10" t="s">
        <v>48</v>
      </c>
      <c r="B71" s="6" t="s">
        <v>83</v>
      </c>
      <c r="D71" s="65">
        <f>+'Adj. #4'!E25+'Adj. #6'!E23+'Adj. #7'!E23+'Adj. #8'!E23+'Adj. #9'!E23+'Adj. #13'!E23+'Adj. #14'!E23+'Adj. #24'!E28</f>
        <v>-1477352.4700000007</v>
      </c>
      <c r="E71" s="65">
        <f>+'Adj. #4'!F25+'Adj. #6'!F23+'Adj. #7'!F23+'Adj. #8'!F23+'Adj. #9'!F23+'Adj. #13'!F23+'Adj. #14'!F23+'Adj. #24'!F28</f>
        <v>0</v>
      </c>
      <c r="F71" s="65">
        <f>+'Adj. #4'!G25+'Adj. #6'!G23+'Adj. #7'!G23+'Adj. #8'!G23+'Adj. #9'!G23+'Adj. #13'!G23+'Adj. #14'!G23+'Adj. #24'!G28</f>
        <v>0</v>
      </c>
      <c r="G71" s="65">
        <f t="shared" si="33"/>
        <v>-1477352.4700000007</v>
      </c>
      <c r="H71" s="65">
        <f>+'Adj. #4'!I25+'Adj. #6'!I23+'Adj. #7'!I23+'Adj. #8'!I23+'Adj. #9'!I23+'Adj. #13'!I23+'Adj. #14'!I23+'Adj. #24'!I28</f>
        <v>-7773219.0299999993</v>
      </c>
      <c r="I71" s="65">
        <f>+'Adj. #4'!J25+'Adj. #6'!J23+'Adj. #7'!J23+'Adj. #8'!J23+'Adj. #9'!J23+'Adj. #13'!J23+'Adj. #14'!J23+'Adj. #24'!J28</f>
        <v>0</v>
      </c>
      <c r="J71" s="65">
        <f t="shared" si="34"/>
        <v>-7773219.0299999993</v>
      </c>
      <c r="K71" s="65">
        <f>+'Adj. #4'!L25+'Adj. #6'!L23+'Adj. #7'!L23+'Adj. #8'!L23+'Adj. #9'!L23+'Adj. #13'!L23+'Adj. #14'!L23+'Adj. #24'!L28</f>
        <v>-2262928.6700000004</v>
      </c>
      <c r="L71" s="65">
        <f>+'Adj. #4'!M25+'Adj. #6'!M23+'Adj. #7'!M23+'Adj. #8'!M23+'Adj. #9'!M23+'Adj. #13'!M23+'Adj. #14'!M23+'Adj. #24'!M28</f>
        <v>-92645.759999999354</v>
      </c>
      <c r="M71" s="65"/>
      <c r="N71" s="40">
        <f t="shared" si="35"/>
        <v>-11606145.93</v>
      </c>
      <c r="O71" s="7" t="b">
        <f t="shared" si="36"/>
        <v>1</v>
      </c>
    </row>
    <row r="72" spans="1:15" s="7" customFormat="1" x14ac:dyDescent="0.2">
      <c r="A72" s="10" t="s">
        <v>50</v>
      </c>
      <c r="B72" s="6" t="s">
        <v>110</v>
      </c>
      <c r="D72" s="65">
        <f>+'Adj. #18'!E23+'Adj. #19'!E23+'Adj. #20'!E23+'Adj. #21'!E23+'Adj. #28'!E23+'Adj. #29'!E28+'Adj. #30'!E27</f>
        <v>0</v>
      </c>
      <c r="E72" s="65">
        <f>+'Adj. #18'!F23+'Adj. #19'!F23+'Adj. #20'!F23+'Adj. #21'!F23+'Adj. #28'!F23+'Adj. #29'!F28+'Adj. #30'!F27</f>
        <v>0</v>
      </c>
      <c r="F72" s="65">
        <f>+'Adj. #18'!G23+'Adj. #19'!G23+'Adj. #20'!G23+'Adj. #21'!G23+'Adj. #28'!G23+'Adj. #29'!G28+'Adj. #30'!G27</f>
        <v>0</v>
      </c>
      <c r="G72" s="65">
        <f t="shared" si="33"/>
        <v>0</v>
      </c>
      <c r="H72" s="65">
        <f>+'Adj. #18'!I23+'Adj. #19'!I23+'Adj. #20'!I23+'Adj. #21'!I23+'Adj. #28'!I23+'Adj. #29'!I28+'Adj. #30'!I27</f>
        <v>-4561010.7799999993</v>
      </c>
      <c r="I72" s="65">
        <f>+'Adj. #18'!J23+'Adj. #19'!J23+'Adj. #20'!J23+'Adj. #21'!J23+'Adj. #28'!J23+'Adj. #29'!J28+'Adj. #30'!J27</f>
        <v>0</v>
      </c>
      <c r="J72" s="65">
        <f t="shared" si="34"/>
        <v>-4561010.7799999993</v>
      </c>
      <c r="K72" s="65">
        <f>+'Adj. #18'!L23+'Adj. #19'!L23+'Adj. #20'!L23+'Adj. #21'!L23+'Adj. #28'!L23+'Adj. #29'!L28+'Adj. #30'!L27</f>
        <v>0</v>
      </c>
      <c r="L72" s="65">
        <f>+'Adj. #18'!M23+'Adj. #19'!M23+'Adj. #20'!M23+'Adj. #21'!M23+'Adj. #28'!M23+'Adj. #29'!M28+'Adj. #30'!M27</f>
        <v>0</v>
      </c>
      <c r="M72" s="65"/>
      <c r="N72" s="40">
        <f t="shared" si="35"/>
        <v>-4561010.7799999993</v>
      </c>
      <c r="O72" s="7" t="b">
        <f t="shared" si="36"/>
        <v>1</v>
      </c>
    </row>
    <row r="73" spans="1:15" s="7" customFormat="1" x14ac:dyDescent="0.2">
      <c r="A73" s="10" t="s">
        <v>70</v>
      </c>
      <c r="B73" s="6" t="s">
        <v>111</v>
      </c>
      <c r="D73" s="65">
        <f>+'Adj. #24'!E29</f>
        <v>0</v>
      </c>
      <c r="E73" s="65">
        <f>+'Adj. #24'!F29</f>
        <v>0</v>
      </c>
      <c r="F73" s="65">
        <f>+'Adj. #24'!G29</f>
        <v>0</v>
      </c>
      <c r="G73" s="65">
        <f t="shared" si="33"/>
        <v>0</v>
      </c>
      <c r="H73" s="65">
        <f>+'Adj. #24'!I29</f>
        <v>0</v>
      </c>
      <c r="I73" s="65">
        <f>+'Adj. #24'!J29</f>
        <v>0</v>
      </c>
      <c r="J73" s="65">
        <f t="shared" si="34"/>
        <v>0</v>
      </c>
      <c r="K73" s="65">
        <f>+'Adj. #24'!L29</f>
        <v>0</v>
      </c>
      <c r="L73" s="65">
        <f>+'Adj. #24'!M29</f>
        <v>-20015</v>
      </c>
      <c r="M73" s="65"/>
      <c r="N73" s="40">
        <f t="shared" si="35"/>
        <v>-20015</v>
      </c>
      <c r="O73" s="7" t="b">
        <f t="shared" si="36"/>
        <v>1</v>
      </c>
    </row>
    <row r="74" spans="1:15" s="7" customFormat="1" x14ac:dyDescent="0.2">
      <c r="A74" s="10" t="s">
        <v>47</v>
      </c>
      <c r="B74" s="6" t="s">
        <v>82</v>
      </c>
      <c r="D74" s="65">
        <f>+'Adj. #24'!E30+'Adj. #31'!E25+'Adj. #32'!E35+'Adj. #36'!E25+'Adj. #39'!E23+'Adj. #44'!E26</f>
        <v>1395920.24</v>
      </c>
      <c r="E74" s="65">
        <f>+'Adj. #24'!F30+'Adj. #31'!F25+'Adj. #32'!F35+'Adj. #36'!F25+'Adj. #39'!F23+'Adj. #44'!F26</f>
        <v>0</v>
      </c>
      <c r="F74" s="65">
        <f>+'Adj. #24'!G30+'Adj. #31'!G25+'Adj. #32'!G35+'Adj. #36'!G25+'Adj. #39'!G23+'Adj. #44'!G26</f>
        <v>0</v>
      </c>
      <c r="G74" s="65">
        <f t="shared" si="33"/>
        <v>1395920.24</v>
      </c>
      <c r="H74" s="65">
        <f>+'Adj. #24'!I30+'Adj. #31'!I25+'Adj. #32'!I35+'Adj. #36'!I25+'Adj. #39'!I23+'Adj. #44'!I26</f>
        <v>3168448.4499999997</v>
      </c>
      <c r="I74" s="65">
        <f>+'Adj. #24'!J30+'Adj. #31'!J25+'Adj. #32'!J35+'Adj. #36'!J25+'Adj. #39'!J23+'Adj. #44'!J26</f>
        <v>0</v>
      </c>
      <c r="J74" s="65">
        <f t="shared" si="34"/>
        <v>3168448.4499999997</v>
      </c>
      <c r="K74" s="65">
        <f>+'Adj. #24'!L30+'Adj. #31'!L25+'Adj. #32'!L35+'Adj. #36'!L25+'Adj. #39'!L23+'Adj. #44'!L26</f>
        <v>877009.19</v>
      </c>
      <c r="L74" s="65">
        <f>+'Adj. #24'!M30+'Adj. #31'!M25+'Adj. #32'!M35+'Adj. #36'!M25+'Adj. #39'!M23+'Adj. #44'!M26</f>
        <v>14615.849999999999</v>
      </c>
      <c r="M74" s="65"/>
      <c r="N74" s="40">
        <f t="shared" si="35"/>
        <v>5455993.7299999995</v>
      </c>
      <c r="O74" s="7" t="b">
        <f t="shared" si="36"/>
        <v>1</v>
      </c>
    </row>
    <row r="75" spans="1:15" s="7" customFormat="1" x14ac:dyDescent="0.2">
      <c r="A75" s="10" t="s">
        <v>54</v>
      </c>
      <c r="B75" s="6" t="s">
        <v>97</v>
      </c>
      <c r="D75" s="65">
        <v>0</v>
      </c>
      <c r="E75" s="65">
        <v>0</v>
      </c>
      <c r="F75" s="65">
        <v>0</v>
      </c>
      <c r="G75" s="65">
        <f t="shared" si="33"/>
        <v>0</v>
      </c>
      <c r="H75" s="65">
        <v>0</v>
      </c>
      <c r="I75" s="65">
        <v>0</v>
      </c>
      <c r="J75" s="65">
        <f t="shared" si="34"/>
        <v>0</v>
      </c>
      <c r="K75" s="65">
        <v>0</v>
      </c>
      <c r="L75" s="65">
        <v>0</v>
      </c>
      <c r="M75" s="65"/>
      <c r="N75" s="40">
        <f t="shared" si="35"/>
        <v>0</v>
      </c>
      <c r="O75" s="7" t="b">
        <f t="shared" si="36"/>
        <v>1</v>
      </c>
    </row>
    <row r="76" spans="1:15" s="7" customFormat="1" x14ac:dyDescent="0.2">
      <c r="A76" s="10" t="s">
        <v>121</v>
      </c>
      <c r="B76" s="6" t="s">
        <v>112</v>
      </c>
      <c r="D76" s="65">
        <v>0</v>
      </c>
      <c r="E76" s="65">
        <v>0</v>
      </c>
      <c r="F76" s="65">
        <v>0</v>
      </c>
      <c r="G76" s="65">
        <f t="shared" si="33"/>
        <v>0</v>
      </c>
      <c r="H76" s="65">
        <v>0</v>
      </c>
      <c r="I76" s="65">
        <v>0</v>
      </c>
      <c r="J76" s="65">
        <f t="shared" si="34"/>
        <v>0</v>
      </c>
      <c r="K76" s="65">
        <v>0</v>
      </c>
      <c r="L76" s="65">
        <v>0</v>
      </c>
      <c r="M76" s="65"/>
      <c r="N76" s="40">
        <f t="shared" si="35"/>
        <v>0</v>
      </c>
      <c r="O76" s="7" t="b">
        <f t="shared" si="36"/>
        <v>1</v>
      </c>
    </row>
    <row r="77" spans="1:15" s="7" customFormat="1" x14ac:dyDescent="0.2">
      <c r="A77" s="10" t="s">
        <v>58</v>
      </c>
      <c r="B77" s="6" t="s">
        <v>112</v>
      </c>
      <c r="D77" s="65">
        <f>+'Adj. #45'!E26</f>
        <v>3309088.41</v>
      </c>
      <c r="E77" s="65">
        <f>+'Adj. #45'!F26</f>
        <v>0</v>
      </c>
      <c r="F77" s="65">
        <f>+'Adj. #45'!G26</f>
        <v>0</v>
      </c>
      <c r="G77" s="65">
        <f t="shared" si="33"/>
        <v>3309088.41</v>
      </c>
      <c r="H77" s="65">
        <f>+'Adj. #45'!I26</f>
        <v>0</v>
      </c>
      <c r="I77" s="65">
        <f>+'Adj. #45'!J26</f>
        <v>0</v>
      </c>
      <c r="J77" s="65">
        <f t="shared" si="34"/>
        <v>0</v>
      </c>
      <c r="K77" s="65">
        <f>+'Adj. #45'!L26</f>
        <v>0</v>
      </c>
      <c r="L77" s="65">
        <f>+'Adj. #45'!M26</f>
        <v>0</v>
      </c>
      <c r="M77" s="65"/>
      <c r="N77" s="40">
        <f t="shared" si="35"/>
        <v>3309088.41</v>
      </c>
      <c r="O77" s="7" t="b">
        <f t="shared" si="36"/>
        <v>1</v>
      </c>
    </row>
    <row r="78" spans="1:15" s="7" customFormat="1" ht="13.5" thickBot="1" x14ac:dyDescent="0.25">
      <c r="A78" s="10"/>
      <c r="B78" s="6"/>
      <c r="D78" s="38">
        <f>SUM(D65:D77)</f>
        <v>30496145.725999996</v>
      </c>
      <c r="E78" s="38">
        <f t="shared" ref="E78:N78" si="37">SUM(E65:E77)</f>
        <v>-166415.23999999405</v>
      </c>
      <c r="F78" s="38">
        <f t="shared" si="37"/>
        <v>0</v>
      </c>
      <c r="G78" s="38">
        <f t="shared" si="37"/>
        <v>30329730.486000001</v>
      </c>
      <c r="H78" s="38">
        <f t="shared" si="37"/>
        <v>369622159.67400008</v>
      </c>
      <c r="I78" s="38">
        <f t="shared" si="37"/>
        <v>0</v>
      </c>
      <c r="J78" s="38">
        <f t="shared" si="37"/>
        <v>369622159.67400008</v>
      </c>
      <c r="K78" s="38">
        <f t="shared" si="37"/>
        <v>-1372678.3500000006</v>
      </c>
      <c r="L78" s="38">
        <f t="shared" si="37"/>
        <v>-273039.34999999934</v>
      </c>
      <c r="M78" s="39"/>
      <c r="N78" s="38">
        <f t="shared" si="37"/>
        <v>398306172.46000004</v>
      </c>
      <c r="O78" s="7" t="b">
        <f t="shared" si="36"/>
        <v>1</v>
      </c>
    </row>
    <row r="79" spans="1:15" s="7" customFormat="1" ht="13.5" thickTop="1" x14ac:dyDescent="0.2">
      <c r="D79" s="35"/>
      <c r="E79" s="35"/>
      <c r="F79" s="35"/>
      <c r="G79" s="35"/>
      <c r="H79" s="35"/>
      <c r="I79" s="35"/>
      <c r="J79" s="35"/>
      <c r="K79" s="35"/>
      <c r="L79" s="35"/>
      <c r="M79" s="36"/>
      <c r="N79" s="37"/>
    </row>
    <row r="80" spans="1:15" x14ac:dyDescent="0.2">
      <c r="D80" s="18"/>
      <c r="E80" s="48"/>
      <c r="F80" s="48"/>
      <c r="G80" s="48"/>
      <c r="H80" s="18"/>
      <c r="I80" s="48"/>
      <c r="J80" s="48"/>
      <c r="K80" s="18"/>
      <c r="L80" s="18"/>
      <c r="M80" s="18"/>
      <c r="N80" s="22"/>
    </row>
    <row r="81" spans="2:16" x14ac:dyDescent="0.2">
      <c r="D81" s="18"/>
      <c r="E81" s="48"/>
      <c r="F81" s="48"/>
      <c r="G81" s="48"/>
      <c r="H81" s="18"/>
      <c r="I81" s="48"/>
      <c r="J81" s="48"/>
      <c r="K81" s="18"/>
      <c r="L81" s="18"/>
      <c r="M81" s="18"/>
      <c r="N81" s="22"/>
    </row>
    <row r="82" spans="2:16" ht="13.5" thickBot="1" x14ac:dyDescent="0.25">
      <c r="D82" s="38">
        <f>+D11+D19+D31+D42+D49+D56+D63+D78</f>
        <v>39780177.055999994</v>
      </c>
      <c r="E82" s="38">
        <f t="shared" ref="E82:N82" si="38">+E11+E19+E31+E42+E49+E56+E63+E78</f>
        <v>161529.92000000592</v>
      </c>
      <c r="F82" s="38">
        <f t="shared" si="38"/>
        <v>0</v>
      </c>
      <c r="G82" s="38">
        <f t="shared" si="38"/>
        <v>39941706.976000004</v>
      </c>
      <c r="H82" s="38">
        <f t="shared" si="38"/>
        <v>515437353.14400017</v>
      </c>
      <c r="I82" s="38">
        <f t="shared" si="38"/>
        <v>0</v>
      </c>
      <c r="J82" s="38">
        <f t="shared" si="38"/>
        <v>515437353.14400017</v>
      </c>
      <c r="K82" s="38">
        <f t="shared" si="38"/>
        <v>-1186538.6900000006</v>
      </c>
      <c r="L82" s="38">
        <f t="shared" si="38"/>
        <v>-60605609.129999995</v>
      </c>
      <c r="M82" s="39"/>
      <c r="N82" s="38">
        <f t="shared" si="38"/>
        <v>493586912.30000019</v>
      </c>
      <c r="O82" s="7" t="b">
        <f t="shared" ref="O82" si="39">+N82=+D82+E82+F82+H82+I82+K82+L82</f>
        <v>1</v>
      </c>
    </row>
    <row r="83" spans="2:16" ht="13.5" thickTop="1" x14ac:dyDescent="0.2"/>
    <row r="84" spans="2:16" x14ac:dyDescent="0.2">
      <c r="E84" s="7"/>
    </row>
    <row r="85" spans="2:16" x14ac:dyDescent="0.2">
      <c r="B85" s="25" t="s">
        <v>122</v>
      </c>
      <c r="D85" s="23">
        <f>+'Adj. #1'!M14</f>
        <v>133024374.4000001</v>
      </c>
      <c r="E85" s="76" t="s">
        <v>185</v>
      </c>
      <c r="F85" s="23"/>
      <c r="G85" s="23"/>
      <c r="H85" s="34" t="str">
        <f>MID(Template!$B$6,22,45)</f>
        <v/>
      </c>
      <c r="I85" s="34"/>
      <c r="J85" s="34"/>
      <c r="O85" s="42" t="b">
        <f>ROUND(+N82,2)=ROUND(D164,2)</f>
        <v>1</v>
      </c>
      <c r="P85" s="44">
        <f>ROUND(+N82,2)-ROUND(D164,2)</f>
        <v>0</v>
      </c>
    </row>
    <row r="86" spans="2:16" x14ac:dyDescent="0.2">
      <c r="B86" s="25" t="s">
        <v>123</v>
      </c>
      <c r="D86" s="121">
        <f>+'Adj. #2'!M14</f>
        <v>-2691289.59</v>
      </c>
      <c r="E86" s="76" t="s">
        <v>211</v>
      </c>
      <c r="F86" s="24"/>
      <c r="G86" s="24"/>
      <c r="H86" s="34"/>
      <c r="I86" s="34"/>
      <c r="J86" s="34"/>
    </row>
    <row r="87" spans="2:16" x14ac:dyDescent="0.2">
      <c r="D87" s="121"/>
      <c r="E87" s="76"/>
      <c r="F87" s="24"/>
      <c r="G87" s="24"/>
      <c r="H87" s="33"/>
      <c r="I87" s="33"/>
      <c r="J87" s="33"/>
    </row>
    <row r="88" spans="2:16" x14ac:dyDescent="0.2">
      <c r="B88" s="25" t="s">
        <v>124</v>
      </c>
      <c r="D88" s="121">
        <f>+'Adj. #3'!M14</f>
        <v>-54319348.25</v>
      </c>
      <c r="E88" s="76" t="s">
        <v>216</v>
      </c>
      <c r="F88" s="24"/>
      <c r="G88" s="24"/>
      <c r="H88" s="33"/>
      <c r="I88" s="33"/>
      <c r="J88" s="33"/>
    </row>
    <row r="89" spans="2:16" x14ac:dyDescent="0.2">
      <c r="B89" s="25"/>
      <c r="D89" s="27"/>
      <c r="F89" s="24"/>
      <c r="G89" s="24"/>
      <c r="H89" s="33"/>
      <c r="I89" s="33"/>
      <c r="J89" s="33"/>
    </row>
    <row r="90" spans="2:16" x14ac:dyDescent="0.2">
      <c r="B90" s="90" t="s">
        <v>125</v>
      </c>
      <c r="D90" s="121">
        <f>+'Adj. #4'!M14</f>
        <v>17557053.710000008</v>
      </c>
      <c r="E90" s="76" t="s">
        <v>305</v>
      </c>
      <c r="F90" s="24"/>
      <c r="G90" s="24"/>
      <c r="H90" s="33"/>
      <c r="I90" s="33"/>
      <c r="J90" s="33"/>
    </row>
    <row r="91" spans="2:16" s="45" customFormat="1" x14ac:dyDescent="0.2">
      <c r="B91" s="90"/>
      <c r="D91" s="121"/>
      <c r="E91" s="76"/>
      <c r="F91" s="24"/>
      <c r="G91" s="24"/>
      <c r="H91" s="33"/>
      <c r="I91" s="33"/>
      <c r="J91" s="33"/>
      <c r="N91" s="24"/>
    </row>
    <row r="92" spans="2:16" x14ac:dyDescent="0.2">
      <c r="B92" s="25" t="s">
        <v>126</v>
      </c>
      <c r="C92" s="71"/>
      <c r="D92" s="121">
        <f>+'Adj. #5'!M14</f>
        <v>28497231.190000001</v>
      </c>
      <c r="E92" s="76" t="s">
        <v>188</v>
      </c>
      <c r="F92" s="72"/>
      <c r="G92" s="72"/>
      <c r="H92" s="33"/>
      <c r="I92" s="33"/>
      <c r="J92" s="33"/>
    </row>
    <row r="93" spans="2:16" x14ac:dyDescent="0.2">
      <c r="B93" s="25" t="s">
        <v>127</v>
      </c>
      <c r="D93" s="121">
        <f>+'Adj. #6'!M14</f>
        <v>701340.01</v>
      </c>
      <c r="E93" s="76" t="s">
        <v>219</v>
      </c>
      <c r="F93" s="24"/>
      <c r="G93" s="24"/>
      <c r="H93" s="33"/>
      <c r="I93" s="33"/>
      <c r="J93" s="33"/>
    </row>
    <row r="94" spans="2:16" x14ac:dyDescent="0.2">
      <c r="B94" s="25" t="s">
        <v>128</v>
      </c>
      <c r="D94" s="121">
        <f>+'Adj. #7'!M14</f>
        <v>-5115880.75</v>
      </c>
      <c r="E94" s="76" t="s">
        <v>220</v>
      </c>
      <c r="F94" s="24"/>
      <c r="G94" s="24"/>
      <c r="H94" s="33"/>
      <c r="I94" s="33"/>
      <c r="J94" s="33"/>
    </row>
    <row r="95" spans="2:16" x14ac:dyDescent="0.2">
      <c r="B95" s="25" t="s">
        <v>129</v>
      </c>
      <c r="D95" s="121">
        <f>+'Adj. #8'!M14</f>
        <v>365748.34</v>
      </c>
      <c r="E95" s="76" t="s">
        <v>221</v>
      </c>
      <c r="F95" s="24"/>
      <c r="G95" s="24"/>
      <c r="H95" s="33"/>
      <c r="I95" s="33"/>
      <c r="J95" s="33"/>
    </row>
    <row r="96" spans="2:16" x14ac:dyDescent="0.2">
      <c r="B96" s="25" t="s">
        <v>130</v>
      </c>
      <c r="D96" s="121">
        <f>+'Adj. #9'!M14</f>
        <v>87693.69</v>
      </c>
      <c r="E96" s="76" t="s">
        <v>312</v>
      </c>
      <c r="F96" s="24"/>
      <c r="G96" s="24"/>
      <c r="H96" s="33"/>
      <c r="I96" s="33"/>
      <c r="J96" s="33"/>
    </row>
    <row r="97" spans="2:10" x14ac:dyDescent="0.2">
      <c r="B97" s="25" t="s">
        <v>131</v>
      </c>
      <c r="D97" s="121">
        <f>+'Adj. #10'!M14</f>
        <v>225108.27</v>
      </c>
      <c r="E97" s="76" t="s">
        <v>311</v>
      </c>
      <c r="F97" s="24"/>
      <c r="G97" s="24"/>
      <c r="H97" s="33"/>
      <c r="I97" s="33"/>
      <c r="J97" s="33"/>
    </row>
    <row r="98" spans="2:10" x14ac:dyDescent="0.2">
      <c r="B98" s="25" t="s">
        <v>132</v>
      </c>
      <c r="D98" s="121">
        <f>+'Adj. #11'!M14</f>
        <v>2064850.82</v>
      </c>
      <c r="E98" s="76" t="s">
        <v>223</v>
      </c>
      <c r="F98" s="24"/>
      <c r="G98" s="24"/>
      <c r="H98" s="33"/>
      <c r="I98" s="33"/>
      <c r="J98" s="33"/>
    </row>
    <row r="99" spans="2:10" x14ac:dyDescent="0.2">
      <c r="D99" s="121"/>
      <c r="E99" s="76"/>
      <c r="F99" s="24"/>
      <c r="G99" s="24"/>
      <c r="H99" s="33"/>
      <c r="I99" s="33"/>
      <c r="J99" s="33"/>
    </row>
    <row r="100" spans="2:10" x14ac:dyDescent="0.2">
      <c r="B100" s="25" t="s">
        <v>133</v>
      </c>
      <c r="D100" s="121">
        <f>+'Adj. #12'!M14</f>
        <v>151572579.23000002</v>
      </c>
      <c r="E100" s="79" t="s">
        <v>224</v>
      </c>
      <c r="F100" s="24"/>
      <c r="G100" s="24"/>
      <c r="H100" s="33"/>
      <c r="I100" s="33"/>
      <c r="J100" s="33"/>
    </row>
    <row r="101" spans="2:10" x14ac:dyDescent="0.2">
      <c r="B101" s="25" t="s">
        <v>134</v>
      </c>
      <c r="D101" s="121">
        <f>+'Adj. #13'!M14</f>
        <v>-9005653.1099999994</v>
      </c>
      <c r="E101" s="79" t="s">
        <v>227</v>
      </c>
      <c r="F101" s="24"/>
      <c r="G101" s="24"/>
      <c r="H101" s="33"/>
      <c r="I101" s="33"/>
      <c r="J101" s="33"/>
    </row>
    <row r="102" spans="2:10" x14ac:dyDescent="0.2">
      <c r="B102" s="25" t="s">
        <v>135</v>
      </c>
      <c r="D102" s="121">
        <f>+'Adj. #14'!M14</f>
        <v>-7968680.6399999997</v>
      </c>
      <c r="E102" s="79" t="s">
        <v>228</v>
      </c>
      <c r="F102" s="24"/>
      <c r="G102" s="24"/>
      <c r="H102" s="33"/>
      <c r="I102" s="33"/>
      <c r="J102" s="33"/>
    </row>
    <row r="103" spans="2:10" x14ac:dyDescent="0.2">
      <c r="B103" s="25" t="s">
        <v>136</v>
      </c>
      <c r="D103" s="121">
        <f>+'Adj. #15'!M14</f>
        <v>532280.16</v>
      </c>
      <c r="E103" s="79" t="s">
        <v>230</v>
      </c>
      <c r="F103" s="24"/>
      <c r="G103" s="24"/>
      <c r="H103" s="33"/>
      <c r="I103" s="33"/>
      <c r="J103" s="33"/>
    </row>
    <row r="104" spans="2:10" x14ac:dyDescent="0.2">
      <c r="B104" s="25" t="s">
        <v>137</v>
      </c>
      <c r="D104" s="121">
        <f>+'Adj. #16'!M14</f>
        <v>480485.74</v>
      </c>
      <c r="E104" s="79" t="s">
        <v>229</v>
      </c>
      <c r="F104" s="24"/>
      <c r="G104" s="24"/>
      <c r="H104" s="33"/>
      <c r="I104" s="33"/>
      <c r="J104" s="33"/>
    </row>
    <row r="105" spans="2:10" x14ac:dyDescent="0.2">
      <c r="B105" s="25" t="s">
        <v>138</v>
      </c>
      <c r="D105" s="121">
        <f>+'Adj. #17'!M14</f>
        <v>693539.00399999996</v>
      </c>
      <c r="E105" s="76" t="s">
        <v>232</v>
      </c>
      <c r="F105" s="24"/>
      <c r="G105" s="24"/>
      <c r="H105" s="33"/>
      <c r="I105" s="33"/>
      <c r="J105" s="33"/>
    </row>
    <row r="106" spans="2:10" x14ac:dyDescent="0.2">
      <c r="B106" s="25" t="s">
        <v>139</v>
      </c>
      <c r="D106" s="121">
        <f>+'Adj. #18'!M14</f>
        <v>-10.73</v>
      </c>
      <c r="E106" s="76" t="s">
        <v>233</v>
      </c>
      <c r="F106" s="24"/>
      <c r="G106" s="24"/>
      <c r="H106" s="33"/>
      <c r="I106" s="33"/>
      <c r="J106" s="33"/>
    </row>
    <row r="107" spans="2:10" x14ac:dyDescent="0.2">
      <c r="B107" s="25" t="s">
        <v>140</v>
      </c>
      <c r="D107" s="121">
        <f>+'Adj. #19'!M14</f>
        <v>-148.41</v>
      </c>
      <c r="E107" s="76" t="s">
        <v>234</v>
      </c>
      <c r="F107" s="28"/>
      <c r="G107" s="28"/>
      <c r="H107" s="74"/>
      <c r="I107" s="33"/>
      <c r="J107" s="33"/>
    </row>
    <row r="108" spans="2:10" x14ac:dyDescent="0.2">
      <c r="B108" s="25" t="s">
        <v>141</v>
      </c>
      <c r="D108" s="121">
        <f>+'Adj. #20'!M14</f>
        <v>-5171.8500000000004</v>
      </c>
      <c r="E108" s="76" t="s">
        <v>235</v>
      </c>
      <c r="F108" s="28"/>
      <c r="G108" s="28"/>
      <c r="H108" s="74"/>
      <c r="I108" s="33"/>
      <c r="J108" s="33"/>
    </row>
    <row r="109" spans="2:10" x14ac:dyDescent="0.2">
      <c r="B109" s="25" t="s">
        <v>142</v>
      </c>
      <c r="D109" s="122">
        <f>+'Adj. #21'!M14</f>
        <v>-2429.31</v>
      </c>
      <c r="E109" s="76" t="s">
        <v>236</v>
      </c>
      <c r="F109" s="28"/>
      <c r="G109" s="28"/>
      <c r="H109" s="74"/>
      <c r="I109" s="33"/>
      <c r="J109" s="33"/>
    </row>
    <row r="110" spans="2:10" x14ac:dyDescent="0.2">
      <c r="D110" s="27"/>
      <c r="H110" s="74"/>
      <c r="I110" s="33"/>
      <c r="J110" s="33"/>
    </row>
    <row r="111" spans="2:10" x14ac:dyDescent="0.2">
      <c r="B111" s="25" t="s">
        <v>143</v>
      </c>
      <c r="D111" s="122">
        <f>+'Adj. #22'!M14</f>
        <v>231700000</v>
      </c>
      <c r="E111" s="76" t="s">
        <v>237</v>
      </c>
      <c r="F111" s="28"/>
      <c r="G111" s="28"/>
      <c r="H111" s="74"/>
      <c r="I111" s="33"/>
      <c r="J111" s="33"/>
    </row>
    <row r="112" spans="2:10" x14ac:dyDescent="0.2">
      <c r="B112" s="25" t="s">
        <v>145</v>
      </c>
      <c r="D112" s="122">
        <f>+'Adj. #23'!M14</f>
        <v>-1323573.54</v>
      </c>
      <c r="E112" s="76" t="s">
        <v>241</v>
      </c>
      <c r="F112" s="28"/>
      <c r="G112" s="28"/>
      <c r="H112" s="74"/>
      <c r="I112" s="33"/>
      <c r="J112" s="33"/>
    </row>
    <row r="113" spans="2:14" x14ac:dyDescent="0.2">
      <c r="D113" s="27"/>
      <c r="G113" s="28"/>
      <c r="H113" s="74"/>
      <c r="I113" s="33"/>
      <c r="J113" s="33"/>
    </row>
    <row r="114" spans="2:14" x14ac:dyDescent="0.2">
      <c r="B114" s="25" t="s">
        <v>146</v>
      </c>
      <c r="D114" s="122">
        <f>+'Adj. #24'!D32</f>
        <v>-118339.58</v>
      </c>
      <c r="E114" s="76" t="s">
        <v>242</v>
      </c>
      <c r="F114" s="28"/>
      <c r="G114" s="28"/>
      <c r="H114" s="74"/>
      <c r="I114" s="33"/>
      <c r="J114" s="33"/>
    </row>
    <row r="115" spans="2:14" x14ac:dyDescent="0.2">
      <c r="D115" s="27"/>
      <c r="F115" s="28"/>
      <c r="G115" s="28"/>
      <c r="H115" s="74"/>
      <c r="I115" s="33"/>
      <c r="J115" s="33"/>
    </row>
    <row r="116" spans="2:14" x14ac:dyDescent="0.2">
      <c r="B116" s="25" t="s">
        <v>147</v>
      </c>
      <c r="D116" s="122">
        <f>+'Adj. #25'!M14</f>
        <v>763564.99</v>
      </c>
      <c r="E116" s="76" t="s">
        <v>248</v>
      </c>
      <c r="F116" s="28"/>
      <c r="G116" s="28"/>
      <c r="H116" s="74"/>
      <c r="I116" s="33"/>
      <c r="J116" s="33"/>
    </row>
    <row r="117" spans="2:14" x14ac:dyDescent="0.2">
      <c r="B117" s="25" t="s">
        <v>148</v>
      </c>
      <c r="D117" s="122">
        <f>+'Adj. #26'!M14</f>
        <v>947743.96</v>
      </c>
      <c r="E117" s="76" t="s">
        <v>251</v>
      </c>
      <c r="F117" s="28"/>
      <c r="G117" s="28"/>
      <c r="H117" s="74"/>
      <c r="I117" s="33"/>
      <c r="J117" s="33"/>
    </row>
    <row r="118" spans="2:14" x14ac:dyDescent="0.2">
      <c r="B118" s="25" t="s">
        <v>149</v>
      </c>
      <c r="D118" s="122">
        <f>+'Adj. #27'!M14</f>
        <v>1763210.11</v>
      </c>
      <c r="E118" s="76" t="s">
        <v>253</v>
      </c>
      <c r="F118" s="28"/>
      <c r="G118" s="28"/>
      <c r="H118" s="74"/>
      <c r="I118" s="33"/>
      <c r="J118" s="33"/>
    </row>
    <row r="119" spans="2:14" x14ac:dyDescent="0.2">
      <c r="D119" s="27"/>
      <c r="G119" s="28"/>
      <c r="H119" s="74"/>
      <c r="I119" s="33"/>
      <c r="J119" s="33"/>
    </row>
    <row r="120" spans="2:14" x14ac:dyDescent="0.2">
      <c r="B120" s="25" t="s">
        <v>150</v>
      </c>
      <c r="D120" s="122">
        <f>+'Adj. #28'!M14</f>
        <v>-5547316.1799999997</v>
      </c>
      <c r="E120" s="76" t="s">
        <v>254</v>
      </c>
      <c r="F120" s="28"/>
      <c r="G120" s="28"/>
      <c r="H120" s="74"/>
      <c r="I120" s="33"/>
      <c r="J120" s="33"/>
    </row>
    <row r="121" spans="2:14" x14ac:dyDescent="0.2">
      <c r="B121" s="25" t="s">
        <v>151</v>
      </c>
      <c r="D121" s="122">
        <f>+'Adj. #29'!M19</f>
        <v>994065.7</v>
      </c>
      <c r="E121" s="76" t="s">
        <v>299</v>
      </c>
      <c r="F121" s="28"/>
      <c r="G121" s="66"/>
      <c r="H121" s="74"/>
      <c r="I121" s="33"/>
      <c r="J121" s="33"/>
    </row>
    <row r="122" spans="2:14" x14ac:dyDescent="0.2">
      <c r="D122" s="27"/>
      <c r="F122" s="28"/>
      <c r="G122" s="66"/>
      <c r="H122" s="74"/>
      <c r="I122" s="33"/>
      <c r="J122" s="33"/>
    </row>
    <row r="123" spans="2:14" x14ac:dyDescent="0.2">
      <c r="B123" s="25" t="s">
        <v>152</v>
      </c>
      <c r="D123" s="122">
        <f>+'Adj. #30'!M14</f>
        <v>-5575605.0300000003</v>
      </c>
      <c r="E123" s="76" t="s">
        <v>255</v>
      </c>
      <c r="F123" s="66"/>
      <c r="G123" s="66"/>
      <c r="H123" s="74"/>
      <c r="I123" s="33"/>
      <c r="J123" s="33"/>
    </row>
    <row r="124" spans="2:14" x14ac:dyDescent="0.2">
      <c r="B124" s="25" t="s">
        <v>153</v>
      </c>
      <c r="D124" s="122">
        <f>+'Adj. #31'!M14</f>
        <v>10119072.210000001</v>
      </c>
      <c r="E124" s="76" t="s">
        <v>256</v>
      </c>
      <c r="F124" s="66"/>
      <c r="G124" s="66"/>
      <c r="H124" s="74"/>
      <c r="I124" s="33"/>
      <c r="J124" s="33"/>
    </row>
    <row r="125" spans="2:14" x14ac:dyDescent="0.2">
      <c r="B125" s="25" t="s">
        <v>154</v>
      </c>
      <c r="D125" s="122">
        <f>+'Adj. #32'!M14</f>
        <v>-580732.24999999988</v>
      </c>
      <c r="E125" s="79" t="s">
        <v>263</v>
      </c>
      <c r="F125" s="66"/>
      <c r="G125" s="66"/>
      <c r="H125" s="74"/>
      <c r="I125" s="33"/>
      <c r="J125" s="33"/>
    </row>
    <row r="126" spans="2:14" x14ac:dyDescent="0.2">
      <c r="B126" s="25" t="s">
        <v>155</v>
      </c>
      <c r="D126" s="122">
        <f>+'Adj. #33'!M14</f>
        <v>186632.3</v>
      </c>
      <c r="E126" s="79" t="s">
        <v>257</v>
      </c>
      <c r="F126" s="66"/>
      <c r="G126" s="66"/>
      <c r="H126" s="33"/>
      <c r="I126" s="33"/>
      <c r="J126" s="33"/>
    </row>
    <row r="127" spans="2:14" s="45" customFormat="1" x14ac:dyDescent="0.2">
      <c r="B127" s="25" t="s">
        <v>156</v>
      </c>
      <c r="C127"/>
      <c r="D127" s="122">
        <f>+'Adj. #34'!M14</f>
        <v>399999.92</v>
      </c>
      <c r="E127" s="79" t="s">
        <v>264</v>
      </c>
      <c r="F127" s="66"/>
      <c r="G127" s="43"/>
      <c r="H127" s="33"/>
      <c r="I127" s="33"/>
      <c r="J127" s="33"/>
      <c r="N127" s="24"/>
    </row>
    <row r="128" spans="2:14" s="45" customFormat="1" x14ac:dyDescent="0.2">
      <c r="B128" s="25" t="s">
        <v>159</v>
      </c>
      <c r="C128"/>
      <c r="D128" s="122">
        <f>+'Adj. #35'!M14</f>
        <v>267260.95</v>
      </c>
      <c r="E128" s="79" t="s">
        <v>266</v>
      </c>
      <c r="F128" s="66"/>
      <c r="G128" s="43"/>
      <c r="H128" s="33"/>
      <c r="I128" s="33"/>
      <c r="J128" s="33"/>
      <c r="N128" s="24"/>
    </row>
    <row r="129" spans="2:14" s="45" customFormat="1" x14ac:dyDescent="0.2">
      <c r="B129" s="25" t="s">
        <v>160</v>
      </c>
      <c r="C129"/>
      <c r="D129" s="122">
        <f>+'Adj. #36'!M14</f>
        <v>-3313.35</v>
      </c>
      <c r="E129" s="79" t="s">
        <v>267</v>
      </c>
      <c r="F129" s="43"/>
      <c r="G129" s="43"/>
      <c r="N129" s="24"/>
    </row>
    <row r="130" spans="2:14" s="45" customFormat="1" x14ac:dyDescent="0.2">
      <c r="B130" s="25" t="s">
        <v>161</v>
      </c>
      <c r="C130"/>
      <c r="D130" s="122">
        <f>+'Adj. #37'!M14</f>
        <v>-265337.74</v>
      </c>
      <c r="E130" s="79" t="s">
        <v>258</v>
      </c>
      <c r="F130" s="43"/>
      <c r="G130" s="43"/>
      <c r="N130" s="24"/>
    </row>
    <row r="131" spans="2:14" x14ac:dyDescent="0.2">
      <c r="B131" s="25" t="s">
        <v>162</v>
      </c>
      <c r="D131" s="122">
        <f>+'Adj. #38'!M14</f>
        <v>-1800882.79</v>
      </c>
      <c r="E131" s="79" t="s">
        <v>259</v>
      </c>
      <c r="F131" s="73"/>
      <c r="G131" s="43"/>
    </row>
    <row r="132" spans="2:14" x14ac:dyDescent="0.2">
      <c r="B132" s="25" t="s">
        <v>163</v>
      </c>
      <c r="C132" s="45"/>
      <c r="D132" s="122">
        <f>+'Adj. #39'!M9</f>
        <v>2203528.2999999998</v>
      </c>
      <c r="E132" s="79" t="s">
        <v>260</v>
      </c>
      <c r="F132" s="73"/>
      <c r="H132" s="7"/>
      <c r="I132" s="7"/>
    </row>
    <row r="133" spans="2:14" x14ac:dyDescent="0.2">
      <c r="B133" s="25" t="s">
        <v>164</v>
      </c>
      <c r="C133" s="71"/>
      <c r="D133" s="122">
        <f>+'Adj. #40'!M14</f>
        <v>246021</v>
      </c>
      <c r="E133" s="79" t="s">
        <v>261</v>
      </c>
      <c r="F133" s="43"/>
      <c r="G133" s="70"/>
    </row>
    <row r="134" spans="2:14" x14ac:dyDescent="0.2">
      <c r="B134" s="25" t="s">
        <v>165</v>
      </c>
      <c r="C134" s="71"/>
      <c r="D134" s="122">
        <f>+'Adj. #41'!M14</f>
        <v>-6733011.7000000002</v>
      </c>
      <c r="E134" s="79" t="s">
        <v>298</v>
      </c>
    </row>
    <row r="135" spans="2:14" x14ac:dyDescent="0.2">
      <c r="B135" s="25" t="s">
        <v>166</v>
      </c>
      <c r="C135" s="45"/>
      <c r="D135" s="122">
        <f>+'Adj. #42'!M14</f>
        <v>661312</v>
      </c>
      <c r="E135" s="79" t="s">
        <v>282</v>
      </c>
      <c r="F135" s="70"/>
    </row>
    <row r="136" spans="2:14" s="45" customFormat="1" x14ac:dyDescent="0.2">
      <c r="B136" s="25" t="s">
        <v>167</v>
      </c>
      <c r="C136"/>
      <c r="D136" s="122">
        <f>+'Adj. #43'!M14</f>
        <v>115856.1</v>
      </c>
      <c r="E136" s="79" t="s">
        <v>285</v>
      </c>
      <c r="N136" s="24"/>
    </row>
    <row r="137" spans="2:14" s="45" customFormat="1" x14ac:dyDescent="0.2">
      <c r="B137" s="25" t="s">
        <v>176</v>
      </c>
      <c r="C137"/>
      <c r="D137" s="122">
        <f>+'Adj. #44'!M14</f>
        <v>-45333.41</v>
      </c>
      <c r="E137" s="79" t="s">
        <v>296</v>
      </c>
      <c r="N137" s="24"/>
    </row>
    <row r="138" spans="2:14" s="45" customFormat="1" x14ac:dyDescent="0.2">
      <c r="B138" s="25" t="s">
        <v>177</v>
      </c>
      <c r="C138"/>
      <c r="D138" s="122">
        <f>+'Adj. #45'!M14</f>
        <v>8518418.4100000001</v>
      </c>
      <c r="E138" s="79" t="s">
        <v>303</v>
      </c>
      <c r="N138" s="24"/>
    </row>
    <row r="139" spans="2:14" s="45" customFormat="1" x14ac:dyDescent="0.2">
      <c r="B139" s="25" t="s">
        <v>178</v>
      </c>
      <c r="C139"/>
      <c r="D139" s="122"/>
      <c r="E139" s="79"/>
      <c r="N139" s="24"/>
    </row>
    <row r="140" spans="2:14" s="45" customFormat="1" x14ac:dyDescent="0.2">
      <c r="B140" s="25" t="s">
        <v>179</v>
      </c>
      <c r="C140"/>
      <c r="D140" s="122"/>
      <c r="E140" s="79"/>
      <c r="N140" s="24"/>
    </row>
    <row r="141" spans="2:14" s="45" customFormat="1" x14ac:dyDescent="0.2">
      <c r="B141" s="25" t="s">
        <v>180</v>
      </c>
      <c r="D141" s="122"/>
      <c r="E141" s="79"/>
      <c r="N141" s="24"/>
    </row>
    <row r="142" spans="2:14" s="45" customFormat="1" x14ac:dyDescent="0.2">
      <c r="B142" s="25" t="s">
        <v>181</v>
      </c>
      <c r="D142" s="122"/>
      <c r="E142" s="79"/>
      <c r="N142" s="24"/>
    </row>
    <row r="143" spans="2:14" s="45" customFormat="1" x14ac:dyDescent="0.2">
      <c r="B143" s="25" t="s">
        <v>182</v>
      </c>
      <c r="D143" s="122"/>
      <c r="E143" s="79"/>
      <c r="N143" s="24"/>
    </row>
    <row r="144" spans="2:14" s="45" customFormat="1" x14ac:dyDescent="0.2">
      <c r="B144" s="25" t="s">
        <v>191</v>
      </c>
      <c r="D144" s="122"/>
      <c r="E144" s="79"/>
      <c r="N144" s="24"/>
    </row>
    <row r="145" spans="2:14" s="45" customFormat="1" x14ac:dyDescent="0.2">
      <c r="B145" s="25" t="s">
        <v>192</v>
      </c>
      <c r="D145" s="122"/>
      <c r="E145" s="80"/>
      <c r="N145" s="24"/>
    </row>
    <row r="146" spans="2:14" s="45" customFormat="1" x14ac:dyDescent="0.2">
      <c r="B146" s="25" t="s">
        <v>193</v>
      </c>
      <c r="D146" s="122"/>
      <c r="E146" s="79"/>
      <c r="N146" s="24"/>
    </row>
    <row r="147" spans="2:14" s="45" customFormat="1" x14ac:dyDescent="0.2">
      <c r="B147" s="25" t="s">
        <v>194</v>
      </c>
      <c r="D147" s="122"/>
      <c r="E147" s="79"/>
      <c r="N147" s="24"/>
    </row>
    <row r="148" spans="2:14" s="45" customFormat="1" x14ac:dyDescent="0.2">
      <c r="B148" s="25" t="s">
        <v>195</v>
      </c>
      <c r="D148" s="122"/>
      <c r="E148" s="79"/>
      <c r="N148" s="24"/>
    </row>
    <row r="149" spans="2:14" s="45" customFormat="1" x14ac:dyDescent="0.2">
      <c r="B149" s="25" t="s">
        <v>196</v>
      </c>
      <c r="D149" s="122"/>
      <c r="E149" s="79"/>
      <c r="N149" s="24"/>
    </row>
    <row r="150" spans="2:14" s="45" customFormat="1" x14ac:dyDescent="0.2">
      <c r="B150" s="25" t="s">
        <v>197</v>
      </c>
      <c r="D150" s="122"/>
      <c r="E150" s="79"/>
      <c r="N150" s="24"/>
    </row>
    <row r="151" spans="2:14" s="45" customFormat="1" x14ac:dyDescent="0.2">
      <c r="B151" s="25" t="s">
        <v>198</v>
      </c>
      <c r="D151" s="122"/>
      <c r="E151" s="79"/>
      <c r="N151" s="24"/>
    </row>
    <row r="152" spans="2:14" s="45" customFormat="1" x14ac:dyDescent="0.2">
      <c r="B152" s="25" t="s">
        <v>199</v>
      </c>
      <c r="D152" s="122"/>
      <c r="E152" s="79"/>
      <c r="N152" s="24"/>
    </row>
    <row r="153" spans="2:14" s="45" customFormat="1" x14ac:dyDescent="0.2">
      <c r="B153" s="25" t="s">
        <v>200</v>
      </c>
      <c r="D153" s="24"/>
      <c r="E153" s="66"/>
      <c r="N153" s="24"/>
    </row>
    <row r="154" spans="2:14" s="45" customFormat="1" x14ac:dyDescent="0.2">
      <c r="B154" s="25" t="s">
        <v>201</v>
      </c>
      <c r="D154" s="24"/>
      <c r="E154" s="66"/>
      <c r="N154" s="24"/>
    </row>
    <row r="155" spans="2:14" s="45" customFormat="1" x14ac:dyDescent="0.2">
      <c r="B155" s="25" t="s">
        <v>202</v>
      </c>
      <c r="D155" s="24"/>
      <c r="E155" s="66"/>
      <c r="N155" s="24"/>
    </row>
    <row r="156" spans="2:14" x14ac:dyDescent="0.2">
      <c r="B156" s="25" t="s">
        <v>203</v>
      </c>
      <c r="C156" s="45"/>
      <c r="D156" s="45"/>
      <c r="E156" s="66"/>
    </row>
    <row r="157" spans="2:14" x14ac:dyDescent="0.2">
      <c r="B157" s="25" t="s">
        <v>204</v>
      </c>
      <c r="C157" s="45"/>
      <c r="D157" s="45"/>
      <c r="E157" s="66"/>
    </row>
    <row r="158" spans="2:14" x14ac:dyDescent="0.2">
      <c r="B158" s="25" t="s">
        <v>205</v>
      </c>
      <c r="C158" s="45"/>
      <c r="D158" s="45"/>
      <c r="E158" s="66"/>
      <c r="H158" s="31"/>
      <c r="I158" s="31"/>
      <c r="J158" s="31"/>
      <c r="K158" s="31"/>
      <c r="L158" s="31"/>
    </row>
    <row r="159" spans="2:14" x14ac:dyDescent="0.2">
      <c r="B159" s="25" t="s">
        <v>206</v>
      </c>
      <c r="C159" s="45"/>
      <c r="D159" s="45"/>
      <c r="E159" s="66"/>
      <c r="G159" s="31"/>
    </row>
    <row r="160" spans="2:14" x14ac:dyDescent="0.2">
      <c r="B160" s="25" t="s">
        <v>207</v>
      </c>
      <c r="C160" s="45"/>
      <c r="D160" s="45"/>
      <c r="E160" s="66"/>
    </row>
    <row r="161" spans="2:6" x14ac:dyDescent="0.2">
      <c r="B161" s="25" t="s">
        <v>208</v>
      </c>
      <c r="D161" s="45"/>
      <c r="E161" s="66"/>
      <c r="F161" s="31"/>
    </row>
    <row r="162" spans="2:6" x14ac:dyDescent="0.2">
      <c r="B162" s="25" t="s">
        <v>209</v>
      </c>
      <c r="D162" s="45"/>
    </row>
    <row r="163" spans="2:6" x14ac:dyDescent="0.2">
      <c r="B163" s="25" t="s">
        <v>210</v>
      </c>
      <c r="D163" s="45"/>
      <c r="E163" s="31"/>
    </row>
    <row r="164" spans="2:6" x14ac:dyDescent="0.2">
      <c r="D164" s="27">
        <f>SUM(D85:D163)</f>
        <v>493586912.30400014</v>
      </c>
    </row>
    <row r="165" spans="2:6" x14ac:dyDescent="0.2">
      <c r="D165" s="45"/>
    </row>
  </sheetData>
  <phoneticPr fontId="9" type="noConversion"/>
  <hyperlinks>
    <hyperlink ref="E85" location="'Adj. #1'!A1" display="Wholesale Transmission Service Expense" xr:uid="{8D49AD21-7EC3-4487-A200-A90EAB158604}"/>
    <hyperlink ref="E86" location="'Adj. #2'!A1" display="Wholesale Distribution Substation Service (Oncor NTU Dist to Oncor Dist)" xr:uid="{1D351E53-F506-4B6A-A324-61E0B2F2973B}"/>
    <hyperlink ref="E88" location="'Adj. #3'!A1" display="EECRF" xr:uid="{D66F6723-BAD1-41F7-8F56-EF1E240E944B}"/>
    <hyperlink ref="E92" location="'Adj. #5'!A1" display="Merit Increase and Wages Annualized" xr:uid="{5402C664-1E2B-4E9D-842B-DB84A2CBC022}"/>
    <hyperlink ref="E93" location="'Adj. #6'!A1" display="Admin. Fees and IBNR Benefits Adjustment" xr:uid="{D64CB068-1B98-40AE-8593-8849A681AAD4}"/>
    <hyperlink ref="E94" location="'Adj. #7'!A1" display="Pension Expense Adjustment" xr:uid="{CD535A45-7EE9-4098-8689-E46E8092C3DB}"/>
    <hyperlink ref="E95" location="'Adj. #8'!A1" display="OPEB Expense Adjustment" xr:uid="{C6C7646A-5F3C-4BDF-9470-DADEA963C606}"/>
    <hyperlink ref="E96" location="'Adj. #9'!A1" display="FAS 112 Expense Adjustment" xr:uid="{7EEB63F5-B60D-4725-8D17-C9872A9C58AA}"/>
    <hyperlink ref="E97" location="'Adj. #10'!A1" display="HR Contract with Visier Inc." xr:uid="{FC1B456F-739B-4553-B052-D56D9E610EFF}"/>
    <hyperlink ref="E98" location="'Adj. #11'!A1" display="Incentive Compensation Adjustment" xr:uid="{16ECD6A4-7A0B-4264-B60D-50A46EE924C7}"/>
    <hyperlink ref="E100" location="'Adj. #12'!A1" display="Self-Insurance Reserve Reg Asset Amortization - To Be Reviewed" xr:uid="{8B1FC753-3C43-4F79-89DE-B326EFB0FA02}"/>
    <hyperlink ref="E101" location="'Adj. #13'!A1" display="Pension Reg Asset Amortization - To Be Reviewed" xr:uid="{746EE089-CAC9-42D3-AB61-342561DF2DD3}"/>
    <hyperlink ref="E102" location="'Adj. #14'!A1" display="OPEB Reg Asset Amortization - To Be Reviewed" xr:uid="{0958A9DE-1D17-46F0-826E-D95BB3762FD9}"/>
    <hyperlink ref="E104" location="'Adj. #16'!A1" display="COVID19 Incremental Expense Reg Asset Amortization" xr:uid="{36AF70C3-F359-40B5-85C0-7984DBB41D9E}"/>
    <hyperlink ref="E103" location="'Adj. #15'!A1" display="Defaulted REPs 16 TAC § 25.107 Bad Debt Expense Reg Asset Amortization" xr:uid="{EFF7333A-07CB-429C-90B0-8686323603E0}"/>
    <hyperlink ref="E105" location="'Adj. #17'!A1" display="Power Line Safety Act PURA § 36.066 Reg Asset Amortization" xr:uid="{4ABAB5EA-35C0-4B86-BE44-A7DFC00778DE}"/>
    <hyperlink ref="E106" location="'Adj. #18'!A1" display="Rider CSR - Capital Structure Refund - Over-Refund" xr:uid="{F6E93476-DCCB-48D5-8C19-B4DA4A81A373}"/>
    <hyperlink ref="E107" location="'Adj. #19'!A1" display="Rider TRF - FIT Rate Refund - Over-Refund" xr:uid="{888A307F-A394-4FEC-9525-1A318E0E2A5B}"/>
    <hyperlink ref="E108" location="'Adj. #20'!A1" display="Interest-Rate Savings Dkt 47675 &amp; 55453" xr:uid="{F358814C-8900-4A52-B951-8A1DE6373C06}"/>
    <hyperlink ref="E109" location="'Adj. #21'!A1" display="Non-Standard Metering Service (Docket No. 41890)" xr:uid="{8618A4FA-463E-494A-B0A0-8E387D88F676}"/>
    <hyperlink ref="E111" location="'Adj. #22'!A1" display="Self-Insurance Reserve - Cost of Service Accrual" xr:uid="{175A910E-C1EE-4EB5-A823-B7EDE454568D}"/>
    <hyperlink ref="E112" location="'Adj. #23'!A1" display="Remove Weather Events 30 - 32" xr:uid="{EAED41F4-A1E7-4E4F-BFEA-74A12FAB6B26}"/>
    <hyperlink ref="E116" location="'Adj. #25'!A1" display="IT HCL COLA New Resource Adjustment" xr:uid="{FAB2C13F-F56D-44DE-9436-D8DC958C6EC9}"/>
    <hyperlink ref="E117" location="'Adj. #26'!A1" display="Hardware and Software Maintenance Adjustment" xr:uid="{553C636D-DD6E-4295-8F35-8A168C588DF8}"/>
    <hyperlink ref="E118" location="'Adj. #27'!A1" display="IT IBM COLA New Resource Adjustment" xr:uid="{41C9B5B6-B20F-4F7F-B6CB-AE2C3289EAAE}"/>
    <hyperlink ref="E120" location="'Adj. #28'!A1" display="Remove Rate Case Expense Amortization for Docket No. 53601 Riders RCE and WRCE" xr:uid="{9FEB9E2B-AA48-4C1D-A061-075974F9C0BC}"/>
    <hyperlink ref="E123" location="'Adj. #30'!A1" display="Mobile Gen" xr:uid="{5983D31D-6590-4CE2-8A70-5A478F2FC7FA}"/>
    <hyperlink ref="E124" location="'Adj. #31'!A1" display="Sales Tax Audit" xr:uid="{2C122938-C09F-4DB4-9DD6-06BF98EF9166}"/>
    <hyperlink ref="E125" location="'Adj. #32'!A1" display="Expense Report Adjustment" xr:uid="{65FD3232-ECA1-4225-95D7-D9D3FCEB199E}"/>
    <hyperlink ref="E126" location="'Adj. #33'!A1" display="GC Services" xr:uid="{D082837D-2CE4-438A-B095-E40E0D98D2A6}"/>
    <hyperlink ref="E127" location="'Adj. #34'!A1" display="Adjustment for Powerline Safety (PURA Sec. 36.066) Accrual Based on 2025 Estimate" xr:uid="{107B467C-B0AD-4F9D-9343-5ED96E50555B}"/>
    <hyperlink ref="E128" location="'Adj. #35'!A1" display="Remove Affiliate Billing Correction from 2023" xr:uid="{A341DA0F-FFEB-4694-8575-B6CDCD5FE3BB}"/>
    <hyperlink ref="E129" location="'Adj. #36'!A1" display="Waxahachie Lease Transfer Adjustment" xr:uid="{926143A3-ED46-4F37-91E6-5C6ECF2D7F0D}"/>
    <hyperlink ref="E130" location="'Adj. #37'!A1" display="Social Club" xr:uid="{092C5A31-D66D-44D7-92F9-F16BD97E6829}"/>
    <hyperlink ref="E131" location="'Adj. #38'!A1" display="NetJets" xr:uid="{A6BD8808-CC54-4185-87C2-7D90A9B891DE}"/>
    <hyperlink ref="E133" location="'Adj. #40'!A1" display="Everman Lease" xr:uid="{30082D0D-CDB4-444F-BA00-E9924A8F0F1B}"/>
    <hyperlink ref="E132" location="'Adj. #39'!A1" display="Credit Facility Fees" xr:uid="{AC57B822-1DCA-4E5B-8A4E-8A52B0F37EF4}"/>
    <hyperlink ref="E134" location="'Adj. #41'!A1" display="Remove ARSPE Affiliate Servicer Fees" xr:uid="{D9325C25-1A26-452A-904C-67F1956F51C6}"/>
    <hyperlink ref="E135" location="'Adj. #42'!A1" display="T&amp;D Construction Suppliers Adjustment" xr:uid="{48E34F88-35D7-470D-A50D-1246D824D3B5}"/>
    <hyperlink ref="E114" location="'Adj. #24'!A1" display="Excluded Project Costs" xr:uid="{FA7817BF-8A12-47AC-83B3-F7A6075B717A}"/>
    <hyperlink ref="E136" location="'Adj. #43'!A1" display="Capgemini F&amp;A and Supply Chain Adjustment" xr:uid="{FA5DEEFD-FEB2-468E-8BBB-C90132713513}"/>
    <hyperlink ref="E121" location="'Adj. #29'!A1" display="Amortization Adjustment for Deferred PUCT Docket Costs" xr:uid="{4759A094-B06B-4CC4-AE48-5C9952E27C87}"/>
    <hyperlink ref="E138" location="'Adj. #45'!A1" display="Expense Adjustment for SRP Transmission-Related (Docket No. 56545)" xr:uid="{918C7A24-B423-476C-B2F9-5FF3A14F90AE}"/>
    <hyperlink ref="E90" location="'Adj. #4'!A1" display="Insurance Premium Expense" xr:uid="{788DD1FA-C501-48DD-B4B9-32D5AB28B351}"/>
  </hyperlinks>
  <printOptions horizontalCentered="1"/>
  <pageMargins left="1" right="0.25" top="1.75" bottom="0.25" header="0.75" footer="0.5"/>
  <pageSetup scale="56" orientation="portrait"/>
  <headerFooter alignWithMargins="0">
    <oddHeader>&amp;C&amp;"Arial,Bold"
2025 RATE CASE
ONCOR ELECTRIC DELIVERY COMPANY LLC
SUMMARY OF O&amp;&amp;M ADJUSTMENTS
SPONSOR:  W. ALAN LEDBETTER&amp;R&amp;"Arial,Bold"WP/II-D ADJUSTMENT
PAGE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O136"/>
  <sheetViews>
    <sheetView zoomScale="85" zoomScaleNormal="85" workbookViewId="0">
      <pane xSplit="2" ySplit="2" topLeftCell="C81" activePane="bottomRight" state="frozen"/>
      <selection activeCell="B2" sqref="B2:I3"/>
      <selection pane="topRight" activeCell="B2" sqref="B2:I3"/>
      <selection pane="bottomLeft" activeCell="B2" sqref="B2:I3"/>
      <selection pane="bottomRight" activeCell="K102" sqref="K102"/>
    </sheetView>
  </sheetViews>
  <sheetFormatPr defaultRowHeight="12.75" x14ac:dyDescent="0.2"/>
  <cols>
    <col min="2" max="2" width="52.85546875" bestFit="1" customWidth="1"/>
    <col min="3" max="3" width="1.7109375" customWidth="1"/>
    <col min="4" max="4" width="13.7109375" bestFit="1" customWidth="1"/>
    <col min="5" max="7" width="13.7109375" style="45" customWidth="1"/>
    <col min="8" max="8" width="16.42578125" customWidth="1"/>
    <col min="9" max="10" width="16.42578125" style="45" customWidth="1"/>
    <col min="11" max="12" width="14.28515625" bestFit="1" customWidth="1"/>
    <col min="13" max="13" width="1.7109375" customWidth="1"/>
    <col min="14" max="14" width="15.28515625" style="24" bestFit="1" customWidth="1"/>
    <col min="15" max="15" width="27.42578125" bestFit="1" customWidth="1"/>
  </cols>
  <sheetData>
    <row r="1" spans="1:14" x14ac:dyDescent="0.2">
      <c r="D1" s="45"/>
      <c r="E1" s="62" t="s">
        <v>168</v>
      </c>
      <c r="F1" s="62" t="s">
        <v>169</v>
      </c>
      <c r="G1" s="62" t="s">
        <v>171</v>
      </c>
      <c r="H1" s="62"/>
      <c r="I1" s="62" t="s">
        <v>168</v>
      </c>
      <c r="J1" s="62" t="s">
        <v>171</v>
      </c>
      <c r="K1" s="45"/>
      <c r="L1" s="45"/>
      <c r="M1" s="45"/>
    </row>
    <row r="2" spans="1:14" s="5" customFormat="1" ht="15" x14ac:dyDescent="0.35">
      <c r="A2" s="5" t="s">
        <v>5</v>
      </c>
      <c r="B2" s="5" t="s">
        <v>3</v>
      </c>
      <c r="D2" s="5" t="s">
        <v>7</v>
      </c>
      <c r="E2" s="5" t="s">
        <v>7</v>
      </c>
      <c r="F2" s="5" t="s">
        <v>170</v>
      </c>
      <c r="G2" s="5" t="s">
        <v>7</v>
      </c>
      <c r="H2" s="5" t="s">
        <v>8</v>
      </c>
      <c r="I2" s="5" t="s">
        <v>8</v>
      </c>
      <c r="J2" s="5" t="s">
        <v>8</v>
      </c>
      <c r="K2" s="5" t="s">
        <v>9</v>
      </c>
      <c r="L2" s="5" t="s">
        <v>10</v>
      </c>
      <c r="N2" s="32" t="s">
        <v>6</v>
      </c>
    </row>
    <row r="3" spans="1:14" s="7" customFormat="1" x14ac:dyDescent="0.2">
      <c r="A3" s="6" t="s">
        <v>11</v>
      </c>
      <c r="B3" s="6" t="s">
        <v>71</v>
      </c>
      <c r="D3" s="64">
        <v>0</v>
      </c>
      <c r="E3" s="64">
        <v>0</v>
      </c>
      <c r="F3" s="64">
        <v>0</v>
      </c>
      <c r="G3" s="64">
        <f t="shared" ref="G3:G5" si="0">SUM(D3:F3)</f>
        <v>0</v>
      </c>
      <c r="H3" s="64">
        <v>0</v>
      </c>
      <c r="I3" s="64">
        <v>0</v>
      </c>
      <c r="J3" s="64">
        <f t="shared" ref="J3:J5" si="1">SUM(H3:I3)</f>
        <v>0</v>
      </c>
      <c r="K3" s="64">
        <v>0</v>
      </c>
      <c r="L3" s="64">
        <v>0</v>
      </c>
      <c r="M3" s="64"/>
      <c r="N3" s="63">
        <f>+L3+K3+J3+G3</f>
        <v>0</v>
      </c>
    </row>
    <row r="4" spans="1:14" s="7" customFormat="1" x14ac:dyDescent="0.2">
      <c r="A4" s="6" t="s">
        <v>12</v>
      </c>
      <c r="B4" s="6" t="s">
        <v>72</v>
      </c>
      <c r="D4" s="65">
        <v>0</v>
      </c>
      <c r="E4" s="65">
        <v>0</v>
      </c>
      <c r="F4" s="65">
        <v>0</v>
      </c>
      <c r="G4" s="65">
        <f t="shared" si="0"/>
        <v>0</v>
      </c>
      <c r="H4" s="65">
        <v>0</v>
      </c>
      <c r="I4" s="65">
        <v>0</v>
      </c>
      <c r="J4" s="65">
        <f t="shared" si="1"/>
        <v>0</v>
      </c>
      <c r="K4" s="65">
        <v>0</v>
      </c>
      <c r="L4" s="65">
        <v>0</v>
      </c>
      <c r="M4" s="65"/>
      <c r="N4" s="40">
        <f t="shared" ref="N4:N10" si="2">+L4+K4+J4+G4</f>
        <v>0</v>
      </c>
    </row>
    <row r="5" spans="1:14" s="7" customFormat="1" x14ac:dyDescent="0.2">
      <c r="A5" s="6" t="s">
        <v>13</v>
      </c>
      <c r="B5" s="6" t="s">
        <v>84</v>
      </c>
      <c r="D5" s="65">
        <v>0</v>
      </c>
      <c r="E5" s="65">
        <v>0</v>
      </c>
      <c r="F5" s="65">
        <v>0</v>
      </c>
      <c r="G5" s="65">
        <f t="shared" si="0"/>
        <v>0</v>
      </c>
      <c r="H5" s="65">
        <v>0</v>
      </c>
      <c r="I5" s="65">
        <v>0</v>
      </c>
      <c r="J5" s="65">
        <f t="shared" si="1"/>
        <v>0</v>
      </c>
      <c r="K5" s="65">
        <v>0</v>
      </c>
      <c r="L5" s="65">
        <v>0</v>
      </c>
      <c r="M5" s="66"/>
      <c r="N5" s="40">
        <f t="shared" si="2"/>
        <v>0</v>
      </c>
    </row>
    <row r="6" spans="1:14" s="7" customFormat="1" x14ac:dyDescent="0.2">
      <c r="A6" s="6" t="s">
        <v>14</v>
      </c>
      <c r="B6" s="6" t="s">
        <v>85</v>
      </c>
      <c r="D6" s="65">
        <v>0</v>
      </c>
      <c r="E6" s="65">
        <v>0</v>
      </c>
      <c r="F6" s="65">
        <v>0</v>
      </c>
      <c r="G6" s="65">
        <f t="shared" ref="G6" si="3">SUM(D6:F6)</f>
        <v>0</v>
      </c>
      <c r="H6" s="65">
        <v>0</v>
      </c>
      <c r="I6" s="65">
        <v>0</v>
      </c>
      <c r="J6" s="65">
        <f t="shared" ref="J6" si="4">SUM(H6:I6)</f>
        <v>0</v>
      </c>
      <c r="K6" s="65">
        <v>0</v>
      </c>
      <c r="L6" s="65">
        <v>0</v>
      </c>
      <c r="M6" s="66"/>
      <c r="N6" s="40">
        <f t="shared" si="2"/>
        <v>0</v>
      </c>
    </row>
    <row r="7" spans="1:14" s="7" customFormat="1" x14ac:dyDescent="0.2">
      <c r="A7" s="6" t="s">
        <v>15</v>
      </c>
      <c r="B7" s="6" t="s">
        <v>86</v>
      </c>
      <c r="D7" s="65">
        <v>0</v>
      </c>
      <c r="E7" s="65">
        <v>0</v>
      </c>
      <c r="F7" s="65">
        <v>0</v>
      </c>
      <c r="G7" s="65">
        <f t="shared" ref="G7:G10" si="5">SUM(D7:F7)</f>
        <v>0</v>
      </c>
      <c r="H7" s="65">
        <v>0</v>
      </c>
      <c r="I7" s="65">
        <v>0</v>
      </c>
      <c r="J7" s="65">
        <f t="shared" ref="J7:J10" si="6">SUM(H7:I7)</f>
        <v>0</v>
      </c>
      <c r="K7" s="65">
        <v>0</v>
      </c>
      <c r="L7" s="65">
        <v>0</v>
      </c>
      <c r="M7" s="66"/>
      <c r="N7" s="40">
        <f t="shared" si="2"/>
        <v>0</v>
      </c>
    </row>
    <row r="8" spans="1:14" s="7" customFormat="1" x14ac:dyDescent="0.2">
      <c r="A8" s="7" t="s">
        <v>51</v>
      </c>
      <c r="B8" s="6" t="s">
        <v>87</v>
      </c>
      <c r="D8" s="65">
        <v>0</v>
      </c>
      <c r="E8" s="65">
        <v>0</v>
      </c>
      <c r="F8" s="65">
        <v>0</v>
      </c>
      <c r="G8" s="65">
        <f t="shared" si="5"/>
        <v>0</v>
      </c>
      <c r="H8" s="65">
        <v>0</v>
      </c>
      <c r="I8" s="65">
        <v>0</v>
      </c>
      <c r="J8" s="65">
        <f t="shared" si="6"/>
        <v>0</v>
      </c>
      <c r="K8" s="65">
        <v>0</v>
      </c>
      <c r="L8" s="65">
        <v>0</v>
      </c>
      <c r="M8" s="66"/>
      <c r="N8" s="40">
        <f t="shared" si="2"/>
        <v>0</v>
      </c>
    </row>
    <row r="9" spans="1:14" s="7" customFormat="1" x14ac:dyDescent="0.2">
      <c r="A9" s="6" t="s">
        <v>16</v>
      </c>
      <c r="B9" s="6" t="s">
        <v>73</v>
      </c>
      <c r="D9" s="65">
        <f>+'Adj. #5'!E23+'Adj. #11'!E23</f>
        <v>5755084.3099999996</v>
      </c>
      <c r="E9" s="65">
        <f>+'Adj. #5'!F23+'Adj. #11'!F23</f>
        <v>0</v>
      </c>
      <c r="F9" s="65">
        <f>+'Adj. #5'!G23+'Adj. #11'!G23</f>
        <v>0</v>
      </c>
      <c r="G9" s="65">
        <f t="shared" si="5"/>
        <v>5755084.3099999996</v>
      </c>
      <c r="H9" s="65">
        <f>+'Adj. #5'!I23+'Adj. #11'!I23</f>
        <v>0</v>
      </c>
      <c r="I9" s="65">
        <f>+'Adj. #5'!J23+'Adj. #11'!J23</f>
        <v>0</v>
      </c>
      <c r="J9" s="65">
        <f t="shared" si="6"/>
        <v>0</v>
      </c>
      <c r="K9" s="65">
        <f>+'Adj. #5'!L23+'Adj. #11'!L23</f>
        <v>0</v>
      </c>
      <c r="L9" s="65">
        <f>+'Adj. #5'!M23+'Adj. #11'!M23</f>
        <v>0</v>
      </c>
      <c r="M9" s="66"/>
      <c r="N9" s="40">
        <f t="shared" si="2"/>
        <v>5755084.3099999996</v>
      </c>
    </row>
    <row r="10" spans="1:14" s="7" customFormat="1" x14ac:dyDescent="0.2">
      <c r="A10" s="6" t="s">
        <v>59</v>
      </c>
      <c r="B10" s="6" t="s">
        <v>88</v>
      </c>
      <c r="D10" s="65">
        <v>0</v>
      </c>
      <c r="E10" s="65">
        <v>0</v>
      </c>
      <c r="F10" s="65">
        <v>0</v>
      </c>
      <c r="G10" s="65">
        <f t="shared" si="5"/>
        <v>0</v>
      </c>
      <c r="H10" s="65">
        <v>0</v>
      </c>
      <c r="I10" s="65">
        <v>0</v>
      </c>
      <c r="J10" s="65">
        <f t="shared" si="6"/>
        <v>0</v>
      </c>
      <c r="K10" s="65">
        <v>0</v>
      </c>
      <c r="L10" s="65">
        <v>0</v>
      </c>
      <c r="M10" s="66"/>
      <c r="N10" s="40">
        <f t="shared" si="2"/>
        <v>0</v>
      </c>
    </row>
    <row r="11" spans="1:14" s="7" customFormat="1" ht="13.5" thickBot="1" x14ac:dyDescent="0.25">
      <c r="A11" s="6"/>
      <c r="B11" s="6"/>
      <c r="D11" s="38">
        <f>SUM(D3:D10)</f>
        <v>5755084.3099999996</v>
      </c>
      <c r="E11" s="38">
        <f t="shared" ref="E11:N11" si="7">SUM(E3:E10)</f>
        <v>0</v>
      </c>
      <c r="F11" s="38">
        <f t="shared" si="7"/>
        <v>0</v>
      </c>
      <c r="G11" s="38">
        <f t="shared" si="7"/>
        <v>5755084.3099999996</v>
      </c>
      <c r="H11" s="38">
        <f t="shared" si="7"/>
        <v>0</v>
      </c>
      <c r="I11" s="38">
        <f t="shared" si="7"/>
        <v>0</v>
      </c>
      <c r="J11" s="38">
        <f t="shared" si="7"/>
        <v>0</v>
      </c>
      <c r="K11" s="38">
        <f t="shared" si="7"/>
        <v>0</v>
      </c>
      <c r="L11" s="38">
        <f t="shared" si="7"/>
        <v>0</v>
      </c>
      <c r="M11" s="39"/>
      <c r="N11" s="38">
        <f t="shared" si="7"/>
        <v>5755084.3099999996</v>
      </c>
    </row>
    <row r="12" spans="1:14" s="7" customFormat="1" ht="13.5" thickTop="1" x14ac:dyDescent="0.2">
      <c r="A12" s="6"/>
      <c r="B12" s="6"/>
      <c r="D12" s="28"/>
      <c r="E12" s="28"/>
      <c r="F12" s="28"/>
      <c r="G12" s="28"/>
      <c r="H12" s="28"/>
      <c r="I12" s="28"/>
      <c r="J12" s="28"/>
      <c r="K12" s="28"/>
      <c r="L12" s="28"/>
      <c r="N12" s="29"/>
    </row>
    <row r="13" spans="1:14" s="7" customFormat="1" x14ac:dyDescent="0.2">
      <c r="A13" s="8" t="s">
        <v>17</v>
      </c>
      <c r="B13" s="6" t="s">
        <v>89</v>
      </c>
      <c r="D13" s="64">
        <v>0</v>
      </c>
      <c r="E13" s="64">
        <v>0</v>
      </c>
      <c r="F13" s="64">
        <v>0</v>
      </c>
      <c r="G13" s="64">
        <f t="shared" ref="G13:G18" si="8">SUM(D13:F13)</f>
        <v>0</v>
      </c>
      <c r="H13" s="64">
        <v>0</v>
      </c>
      <c r="I13" s="64">
        <v>0</v>
      </c>
      <c r="J13" s="64">
        <f t="shared" ref="J13:J18" si="9">SUM(H13:I13)</f>
        <v>0</v>
      </c>
      <c r="K13" s="64">
        <v>0</v>
      </c>
      <c r="L13" s="64">
        <v>0</v>
      </c>
      <c r="M13" s="64"/>
      <c r="N13" s="63">
        <f>+L13+K13+J13+G13</f>
        <v>0</v>
      </c>
    </row>
    <row r="14" spans="1:14" s="7" customFormat="1" x14ac:dyDescent="0.2">
      <c r="A14" s="8" t="s">
        <v>60</v>
      </c>
      <c r="B14" s="6" t="s">
        <v>90</v>
      </c>
      <c r="D14" s="65">
        <v>0</v>
      </c>
      <c r="E14" s="65">
        <v>0</v>
      </c>
      <c r="F14" s="65">
        <v>0</v>
      </c>
      <c r="G14" s="65">
        <f t="shared" si="8"/>
        <v>0</v>
      </c>
      <c r="H14" s="65">
        <v>0</v>
      </c>
      <c r="I14" s="65">
        <v>0</v>
      </c>
      <c r="J14" s="65">
        <f t="shared" si="9"/>
        <v>0</v>
      </c>
      <c r="K14" s="65">
        <v>0</v>
      </c>
      <c r="L14" s="65">
        <v>0</v>
      </c>
      <c r="M14" s="65"/>
      <c r="N14" s="40">
        <f t="shared" ref="N14:N18" si="10">+L14+K14+J14+G14</f>
        <v>0</v>
      </c>
    </row>
    <row r="15" spans="1:14" s="7" customFormat="1" x14ac:dyDescent="0.2">
      <c r="A15" s="8" t="s">
        <v>18</v>
      </c>
      <c r="B15" s="6" t="s">
        <v>91</v>
      </c>
      <c r="D15" s="65">
        <v>0</v>
      </c>
      <c r="E15" s="65">
        <v>0</v>
      </c>
      <c r="F15" s="65">
        <v>0</v>
      </c>
      <c r="G15" s="65">
        <f t="shared" si="8"/>
        <v>0</v>
      </c>
      <c r="H15" s="65">
        <v>0</v>
      </c>
      <c r="I15" s="65">
        <v>0</v>
      </c>
      <c r="J15" s="65">
        <f t="shared" si="9"/>
        <v>0</v>
      </c>
      <c r="K15" s="65">
        <v>0</v>
      </c>
      <c r="L15" s="65">
        <v>0</v>
      </c>
      <c r="M15" s="65"/>
      <c r="N15" s="40">
        <f t="shared" si="10"/>
        <v>0</v>
      </c>
    </row>
    <row r="16" spans="1:14" s="7" customFormat="1" x14ac:dyDescent="0.2">
      <c r="A16" s="8" t="s">
        <v>19</v>
      </c>
      <c r="B16" s="6" t="s">
        <v>74</v>
      </c>
      <c r="D16" s="65">
        <v>0</v>
      </c>
      <c r="E16" s="65">
        <v>0</v>
      </c>
      <c r="F16" s="65">
        <v>0</v>
      </c>
      <c r="G16" s="65">
        <f t="shared" si="8"/>
        <v>0</v>
      </c>
      <c r="H16" s="65">
        <v>0</v>
      </c>
      <c r="I16" s="65">
        <v>0</v>
      </c>
      <c r="J16" s="65">
        <f t="shared" si="9"/>
        <v>0</v>
      </c>
      <c r="K16" s="65">
        <v>0</v>
      </c>
      <c r="L16" s="65">
        <v>0</v>
      </c>
      <c r="M16" s="65"/>
      <c r="N16" s="40">
        <f t="shared" si="10"/>
        <v>0</v>
      </c>
    </row>
    <row r="17" spans="1:14" s="7" customFormat="1" x14ac:dyDescent="0.2">
      <c r="A17" s="8" t="s">
        <v>20</v>
      </c>
      <c r="B17" s="6" t="s">
        <v>92</v>
      </c>
      <c r="D17" s="65">
        <v>0</v>
      </c>
      <c r="E17" s="65">
        <v>0</v>
      </c>
      <c r="F17" s="65">
        <v>0</v>
      </c>
      <c r="G17" s="65">
        <f t="shared" si="8"/>
        <v>0</v>
      </c>
      <c r="H17" s="65">
        <v>0</v>
      </c>
      <c r="I17" s="65">
        <v>0</v>
      </c>
      <c r="J17" s="65">
        <f t="shared" si="9"/>
        <v>0</v>
      </c>
      <c r="K17" s="65">
        <v>0</v>
      </c>
      <c r="L17" s="65">
        <v>0</v>
      </c>
      <c r="M17" s="65"/>
      <c r="N17" s="40">
        <f t="shared" si="10"/>
        <v>0</v>
      </c>
    </row>
    <row r="18" spans="1:14" s="7" customFormat="1" x14ac:dyDescent="0.2">
      <c r="A18" s="8" t="s">
        <v>21</v>
      </c>
      <c r="B18" s="6" t="s">
        <v>93</v>
      </c>
      <c r="D18" s="65">
        <v>0</v>
      </c>
      <c r="E18" s="65">
        <v>0</v>
      </c>
      <c r="F18" s="65">
        <v>0</v>
      </c>
      <c r="G18" s="65">
        <f t="shared" si="8"/>
        <v>0</v>
      </c>
      <c r="H18" s="65">
        <v>0</v>
      </c>
      <c r="I18" s="65">
        <v>0</v>
      </c>
      <c r="J18" s="65">
        <f t="shared" si="9"/>
        <v>0</v>
      </c>
      <c r="K18" s="65">
        <v>0</v>
      </c>
      <c r="L18" s="65">
        <v>0</v>
      </c>
      <c r="M18" s="65"/>
      <c r="N18" s="40">
        <f t="shared" si="10"/>
        <v>0</v>
      </c>
    </row>
    <row r="19" spans="1:14" s="7" customFormat="1" ht="13.5" thickBot="1" x14ac:dyDescent="0.25">
      <c r="A19" s="8"/>
      <c r="B19" s="6"/>
      <c r="D19" s="38">
        <f>SUM(D13:D18)</f>
        <v>0</v>
      </c>
      <c r="E19" s="38">
        <f t="shared" ref="E19:N19" si="11">SUM(E13:E18)</f>
        <v>0</v>
      </c>
      <c r="F19" s="38">
        <f t="shared" si="11"/>
        <v>0</v>
      </c>
      <c r="G19" s="38">
        <f t="shared" si="11"/>
        <v>0</v>
      </c>
      <c r="H19" s="38">
        <f t="shared" si="11"/>
        <v>0</v>
      </c>
      <c r="I19" s="38">
        <f t="shared" si="11"/>
        <v>0</v>
      </c>
      <c r="J19" s="38">
        <f t="shared" si="11"/>
        <v>0</v>
      </c>
      <c r="K19" s="38">
        <f t="shared" si="11"/>
        <v>0</v>
      </c>
      <c r="L19" s="38">
        <f t="shared" si="11"/>
        <v>0</v>
      </c>
      <c r="M19" s="39"/>
      <c r="N19" s="38">
        <f t="shared" si="11"/>
        <v>0</v>
      </c>
    </row>
    <row r="20" spans="1:14" s="7" customFormat="1" ht="13.5" thickTop="1" x14ac:dyDescent="0.2">
      <c r="A20" s="8"/>
      <c r="B20" s="6"/>
      <c r="D20" s="28"/>
      <c r="E20" s="28"/>
      <c r="F20" s="28"/>
      <c r="G20" s="28"/>
      <c r="H20" s="28"/>
      <c r="I20" s="28"/>
      <c r="J20" s="28"/>
      <c r="K20" s="28"/>
      <c r="L20" s="28"/>
      <c r="N20" s="29"/>
    </row>
    <row r="21" spans="1:14" s="7" customFormat="1" x14ac:dyDescent="0.2">
      <c r="A21" s="6" t="s">
        <v>22</v>
      </c>
      <c r="B21" s="6" t="s">
        <v>71</v>
      </c>
      <c r="D21" s="64">
        <v>0</v>
      </c>
      <c r="E21" s="64">
        <v>0</v>
      </c>
      <c r="F21" s="64">
        <v>0</v>
      </c>
      <c r="G21" s="64">
        <f t="shared" ref="G21:G30" si="12">SUM(D21:F21)</f>
        <v>0</v>
      </c>
      <c r="H21" s="64">
        <v>0</v>
      </c>
      <c r="I21" s="64">
        <v>0</v>
      </c>
      <c r="J21" s="64">
        <f t="shared" ref="J21:J30" si="13">SUM(H21:I21)</f>
        <v>0</v>
      </c>
      <c r="K21" s="64">
        <v>0</v>
      </c>
      <c r="L21" s="64">
        <v>0</v>
      </c>
      <c r="M21" s="64"/>
      <c r="N21" s="63">
        <f>+L21+K21+J21+G21</f>
        <v>0</v>
      </c>
    </row>
    <row r="22" spans="1:14" s="7" customFormat="1" x14ac:dyDescent="0.2">
      <c r="A22" s="6" t="s">
        <v>23</v>
      </c>
      <c r="B22" s="6" t="s">
        <v>75</v>
      </c>
      <c r="D22" s="65">
        <v>0</v>
      </c>
      <c r="E22" s="65">
        <v>0</v>
      </c>
      <c r="F22" s="65">
        <v>0</v>
      </c>
      <c r="G22" s="65">
        <f t="shared" si="12"/>
        <v>0</v>
      </c>
      <c r="H22" s="65">
        <v>0</v>
      </c>
      <c r="I22" s="65">
        <v>0</v>
      </c>
      <c r="J22" s="65">
        <f t="shared" si="13"/>
        <v>0</v>
      </c>
      <c r="K22" s="65">
        <v>0</v>
      </c>
      <c r="L22" s="65">
        <v>0</v>
      </c>
      <c r="M22" s="65"/>
      <c r="N22" s="40">
        <f t="shared" ref="N22:N30" si="14">+L22+K22+J22+G22</f>
        <v>0</v>
      </c>
    </row>
    <row r="23" spans="1:14" s="7" customFormat="1" x14ac:dyDescent="0.2">
      <c r="A23" s="6" t="s">
        <v>24</v>
      </c>
      <c r="B23" s="6" t="s">
        <v>84</v>
      </c>
      <c r="D23" s="65">
        <v>0</v>
      </c>
      <c r="E23" s="65">
        <v>0</v>
      </c>
      <c r="F23" s="65">
        <v>0</v>
      </c>
      <c r="G23" s="65">
        <f t="shared" si="12"/>
        <v>0</v>
      </c>
      <c r="H23" s="65">
        <v>0</v>
      </c>
      <c r="I23" s="65">
        <v>0</v>
      </c>
      <c r="J23" s="65">
        <f t="shared" si="13"/>
        <v>0</v>
      </c>
      <c r="K23" s="65">
        <v>0</v>
      </c>
      <c r="L23" s="65">
        <v>0</v>
      </c>
      <c r="M23" s="65"/>
      <c r="N23" s="40">
        <f t="shared" si="14"/>
        <v>0</v>
      </c>
    </row>
    <row r="24" spans="1:14" s="7" customFormat="1" x14ac:dyDescent="0.2">
      <c r="A24" s="7" t="s">
        <v>25</v>
      </c>
      <c r="B24" s="6" t="s">
        <v>85</v>
      </c>
      <c r="D24" s="65">
        <v>0</v>
      </c>
      <c r="E24" s="65">
        <v>0</v>
      </c>
      <c r="F24" s="65">
        <v>0</v>
      </c>
      <c r="G24" s="65">
        <f t="shared" si="12"/>
        <v>0</v>
      </c>
      <c r="H24" s="65">
        <v>0</v>
      </c>
      <c r="I24" s="65">
        <v>0</v>
      </c>
      <c r="J24" s="65">
        <f t="shared" si="13"/>
        <v>0</v>
      </c>
      <c r="K24" s="65">
        <v>0</v>
      </c>
      <c r="L24" s="65">
        <v>0</v>
      </c>
      <c r="M24" s="65"/>
      <c r="N24" s="40">
        <f t="shared" si="14"/>
        <v>0</v>
      </c>
    </row>
    <row r="25" spans="1:14" s="7" customFormat="1" x14ac:dyDescent="0.2">
      <c r="A25" s="6" t="s">
        <v>26</v>
      </c>
      <c r="B25" s="6" t="s">
        <v>86</v>
      </c>
      <c r="D25" s="65">
        <v>0</v>
      </c>
      <c r="E25" s="65">
        <v>0</v>
      </c>
      <c r="F25" s="65">
        <v>0</v>
      </c>
      <c r="G25" s="65">
        <f t="shared" si="12"/>
        <v>0</v>
      </c>
      <c r="H25" s="65">
        <v>0</v>
      </c>
      <c r="I25" s="65">
        <v>0</v>
      </c>
      <c r="J25" s="65">
        <f t="shared" si="13"/>
        <v>0</v>
      </c>
      <c r="K25" s="65">
        <v>0</v>
      </c>
      <c r="L25" s="65">
        <v>0</v>
      </c>
      <c r="M25" s="65"/>
      <c r="N25" s="40">
        <f t="shared" si="14"/>
        <v>0</v>
      </c>
    </row>
    <row r="26" spans="1:14" s="7" customFormat="1" x14ac:dyDescent="0.2">
      <c r="A26" s="6" t="s">
        <v>46</v>
      </c>
      <c r="B26" s="6" t="s">
        <v>94</v>
      </c>
      <c r="D26" s="65">
        <v>0</v>
      </c>
      <c r="E26" s="65">
        <v>0</v>
      </c>
      <c r="F26" s="65">
        <v>0</v>
      </c>
      <c r="G26" s="65">
        <f t="shared" si="12"/>
        <v>0</v>
      </c>
      <c r="H26" s="65">
        <v>0</v>
      </c>
      <c r="I26" s="65">
        <v>0</v>
      </c>
      <c r="J26" s="65">
        <f t="shared" si="13"/>
        <v>0</v>
      </c>
      <c r="K26" s="65">
        <v>0</v>
      </c>
      <c r="L26" s="65">
        <v>0</v>
      </c>
      <c r="M26" s="65"/>
      <c r="N26" s="40">
        <f t="shared" si="14"/>
        <v>0</v>
      </c>
    </row>
    <row r="27" spans="1:14" s="7" customFormat="1" x14ac:dyDescent="0.2">
      <c r="A27" s="6" t="s">
        <v>27</v>
      </c>
      <c r="B27" s="6" t="s">
        <v>95</v>
      </c>
      <c r="D27" s="65">
        <v>0</v>
      </c>
      <c r="E27" s="65">
        <v>0</v>
      </c>
      <c r="F27" s="65">
        <v>0</v>
      </c>
      <c r="G27" s="65">
        <f t="shared" si="12"/>
        <v>0</v>
      </c>
      <c r="H27" s="65">
        <v>0</v>
      </c>
      <c r="I27" s="65">
        <v>0</v>
      </c>
      <c r="J27" s="65">
        <f t="shared" si="13"/>
        <v>0</v>
      </c>
      <c r="K27" s="65">
        <v>0</v>
      </c>
      <c r="L27" s="65">
        <v>0</v>
      </c>
      <c r="M27" s="65"/>
      <c r="N27" s="40">
        <f t="shared" si="14"/>
        <v>0</v>
      </c>
    </row>
    <row r="28" spans="1:14" s="7" customFormat="1" x14ac:dyDescent="0.2">
      <c r="A28" s="6" t="s">
        <v>28</v>
      </c>
      <c r="B28" s="6" t="s">
        <v>96</v>
      </c>
      <c r="D28" s="65">
        <v>0</v>
      </c>
      <c r="E28" s="65">
        <v>0</v>
      </c>
      <c r="F28" s="65">
        <v>0</v>
      </c>
      <c r="G28" s="65">
        <f t="shared" si="12"/>
        <v>0</v>
      </c>
      <c r="H28" s="65">
        <v>0</v>
      </c>
      <c r="I28" s="65">
        <v>0</v>
      </c>
      <c r="J28" s="65">
        <f t="shared" si="13"/>
        <v>0</v>
      </c>
      <c r="K28" s="65">
        <v>0</v>
      </c>
      <c r="L28" s="65">
        <v>0</v>
      </c>
      <c r="M28" s="65"/>
      <c r="N28" s="40">
        <f t="shared" si="14"/>
        <v>0</v>
      </c>
    </row>
    <row r="29" spans="1:14" s="7" customFormat="1" x14ac:dyDescent="0.2">
      <c r="A29" s="6" t="s">
        <v>29</v>
      </c>
      <c r="B29" s="6" t="s">
        <v>76</v>
      </c>
      <c r="D29" s="65">
        <f>+'Adj. #5'!E24+'Adj. #11'!E24</f>
        <v>0</v>
      </c>
      <c r="E29" s="65">
        <f>+'Adj. #5'!F24+'Adj. #11'!F24</f>
        <v>0</v>
      </c>
      <c r="F29" s="65">
        <f>+'Adj. #5'!G24+'Adj. #11'!G24</f>
        <v>0</v>
      </c>
      <c r="G29" s="65">
        <f t="shared" si="12"/>
        <v>0</v>
      </c>
      <c r="H29" s="65">
        <f>+'Adj. #5'!I24+'Adj. #11'!I24</f>
        <v>15530655.01</v>
      </c>
      <c r="I29" s="65">
        <f>+'Adj. #5'!J24+'Adj. #11'!J24</f>
        <v>0</v>
      </c>
      <c r="J29" s="65">
        <f t="shared" si="13"/>
        <v>15530655.01</v>
      </c>
      <c r="K29" s="65">
        <f>+'Adj. #5'!L24+'Adj. #11'!L24</f>
        <v>0</v>
      </c>
      <c r="L29" s="65">
        <f>+'Adj. #5'!M24+'Adj. #11'!M24</f>
        <v>0</v>
      </c>
      <c r="M29" s="65"/>
      <c r="N29" s="40">
        <f t="shared" si="14"/>
        <v>15530655.01</v>
      </c>
    </row>
    <row r="30" spans="1:14" s="7" customFormat="1" x14ac:dyDescent="0.2">
      <c r="A30" s="6" t="s">
        <v>52</v>
      </c>
      <c r="B30" s="6" t="s">
        <v>97</v>
      </c>
      <c r="D30" s="65">
        <v>0</v>
      </c>
      <c r="E30" s="65">
        <v>0</v>
      </c>
      <c r="F30" s="65">
        <v>0</v>
      </c>
      <c r="G30" s="65">
        <f t="shared" si="12"/>
        <v>0</v>
      </c>
      <c r="H30" s="65">
        <v>0</v>
      </c>
      <c r="I30" s="65">
        <v>0</v>
      </c>
      <c r="J30" s="65">
        <f t="shared" si="13"/>
        <v>0</v>
      </c>
      <c r="K30" s="65">
        <v>0</v>
      </c>
      <c r="L30" s="65">
        <v>0</v>
      </c>
      <c r="M30" s="65"/>
      <c r="N30" s="40">
        <f t="shared" si="14"/>
        <v>0</v>
      </c>
    </row>
    <row r="31" spans="1:14" s="7" customFormat="1" ht="13.5" thickBot="1" x14ac:dyDescent="0.25">
      <c r="A31" s="6"/>
      <c r="B31" s="6"/>
      <c r="D31" s="38">
        <f>SUM(D21:D30)</f>
        <v>0</v>
      </c>
      <c r="E31" s="38">
        <f t="shared" ref="E31:N31" si="15">SUM(E21:E30)</f>
        <v>0</v>
      </c>
      <c r="F31" s="38">
        <f t="shared" si="15"/>
        <v>0</v>
      </c>
      <c r="G31" s="38">
        <f t="shared" si="15"/>
        <v>0</v>
      </c>
      <c r="H31" s="38">
        <f t="shared" si="15"/>
        <v>15530655.01</v>
      </c>
      <c r="I31" s="38">
        <f t="shared" si="15"/>
        <v>0</v>
      </c>
      <c r="J31" s="38">
        <f t="shared" si="15"/>
        <v>15530655.01</v>
      </c>
      <c r="K31" s="38">
        <f t="shared" si="15"/>
        <v>0</v>
      </c>
      <c r="L31" s="38">
        <f t="shared" si="15"/>
        <v>0</v>
      </c>
      <c r="M31" s="39"/>
      <c r="N31" s="38">
        <f t="shared" si="15"/>
        <v>15530655.01</v>
      </c>
    </row>
    <row r="32" spans="1:14" s="7" customFormat="1" ht="13.5" thickTop="1" x14ac:dyDescent="0.2">
      <c r="A32" s="6"/>
      <c r="B32" s="6"/>
      <c r="D32" s="28"/>
      <c r="E32" s="28"/>
      <c r="F32" s="28"/>
      <c r="G32" s="28"/>
      <c r="H32" s="28"/>
      <c r="I32" s="28"/>
      <c r="J32" s="28"/>
      <c r="K32" s="28"/>
      <c r="L32" s="28"/>
      <c r="N32" s="29"/>
    </row>
    <row r="33" spans="1:14" s="7" customFormat="1" x14ac:dyDescent="0.2">
      <c r="A33" s="8" t="s">
        <v>30</v>
      </c>
      <c r="B33" s="6" t="s">
        <v>89</v>
      </c>
      <c r="D33" s="64">
        <v>0</v>
      </c>
      <c r="E33" s="64">
        <v>0</v>
      </c>
      <c r="F33" s="64">
        <v>0</v>
      </c>
      <c r="G33" s="64">
        <f t="shared" ref="G33:G41" si="16">SUM(D33:F33)</f>
        <v>0</v>
      </c>
      <c r="H33" s="64">
        <v>0</v>
      </c>
      <c r="I33" s="64">
        <v>0</v>
      </c>
      <c r="J33" s="64">
        <f t="shared" ref="J33:J41" si="17">SUM(H33:I33)</f>
        <v>0</v>
      </c>
      <c r="K33" s="64">
        <v>0</v>
      </c>
      <c r="L33" s="64">
        <v>0</v>
      </c>
      <c r="M33" s="64"/>
      <c r="N33" s="63">
        <f>+L33+K33+J33+G33</f>
        <v>0</v>
      </c>
    </row>
    <row r="34" spans="1:14" s="7" customFormat="1" x14ac:dyDescent="0.2">
      <c r="A34" s="8" t="s">
        <v>61</v>
      </c>
      <c r="B34" s="6" t="s">
        <v>90</v>
      </c>
      <c r="D34" s="65">
        <v>0</v>
      </c>
      <c r="E34" s="65">
        <v>0</v>
      </c>
      <c r="F34" s="65">
        <v>0</v>
      </c>
      <c r="G34" s="65">
        <f t="shared" si="16"/>
        <v>0</v>
      </c>
      <c r="H34" s="65">
        <v>0</v>
      </c>
      <c r="I34" s="65">
        <v>0</v>
      </c>
      <c r="J34" s="65">
        <f t="shared" si="17"/>
        <v>0</v>
      </c>
      <c r="K34" s="65">
        <v>0</v>
      </c>
      <c r="L34" s="65">
        <v>0</v>
      </c>
      <c r="M34" s="65"/>
      <c r="N34" s="40">
        <f t="shared" ref="N34:N41" si="18">+L34+K34+J34+G34</f>
        <v>0</v>
      </c>
    </row>
    <row r="35" spans="1:14" s="7" customFormat="1" x14ac:dyDescent="0.2">
      <c r="A35" s="8" t="s">
        <v>31</v>
      </c>
      <c r="B35" s="6" t="s">
        <v>91</v>
      </c>
      <c r="D35" s="65">
        <v>0</v>
      </c>
      <c r="E35" s="65">
        <v>0</v>
      </c>
      <c r="F35" s="65">
        <v>0</v>
      </c>
      <c r="G35" s="65">
        <f t="shared" si="16"/>
        <v>0</v>
      </c>
      <c r="H35" s="65">
        <v>0</v>
      </c>
      <c r="I35" s="65">
        <v>0</v>
      </c>
      <c r="J35" s="65">
        <f t="shared" si="17"/>
        <v>0</v>
      </c>
      <c r="K35" s="65">
        <v>0</v>
      </c>
      <c r="L35" s="65">
        <v>0</v>
      </c>
      <c r="M35" s="65"/>
      <c r="N35" s="40">
        <f t="shared" si="18"/>
        <v>0</v>
      </c>
    </row>
    <row r="36" spans="1:14" s="7" customFormat="1" x14ac:dyDescent="0.2">
      <c r="A36" s="8" t="s">
        <v>32</v>
      </c>
      <c r="B36" s="6" t="s">
        <v>74</v>
      </c>
      <c r="D36" s="65">
        <v>0</v>
      </c>
      <c r="E36" s="65">
        <v>0</v>
      </c>
      <c r="F36" s="65">
        <v>0</v>
      </c>
      <c r="G36" s="65">
        <f t="shared" si="16"/>
        <v>0</v>
      </c>
      <c r="H36" s="65">
        <v>0</v>
      </c>
      <c r="I36" s="65">
        <v>0</v>
      </c>
      <c r="J36" s="65">
        <f t="shared" si="17"/>
        <v>0</v>
      </c>
      <c r="K36" s="65">
        <v>0</v>
      </c>
      <c r="L36" s="65">
        <v>0</v>
      </c>
      <c r="M36" s="65"/>
      <c r="N36" s="40">
        <f t="shared" si="18"/>
        <v>0</v>
      </c>
    </row>
    <row r="37" spans="1:14" s="7" customFormat="1" x14ac:dyDescent="0.2">
      <c r="A37" s="8" t="s">
        <v>33</v>
      </c>
      <c r="B37" s="6" t="s">
        <v>92</v>
      </c>
      <c r="D37" s="65">
        <v>0</v>
      </c>
      <c r="E37" s="65">
        <v>0</v>
      </c>
      <c r="F37" s="65">
        <v>0</v>
      </c>
      <c r="G37" s="65">
        <f t="shared" si="16"/>
        <v>0</v>
      </c>
      <c r="H37" s="65">
        <v>0</v>
      </c>
      <c r="I37" s="65">
        <v>0</v>
      </c>
      <c r="J37" s="65">
        <f t="shared" si="17"/>
        <v>0</v>
      </c>
      <c r="K37" s="65">
        <v>0</v>
      </c>
      <c r="L37" s="65">
        <v>0</v>
      </c>
      <c r="M37" s="65"/>
      <c r="N37" s="40">
        <f t="shared" si="18"/>
        <v>0</v>
      </c>
    </row>
    <row r="38" spans="1:14" s="7" customFormat="1" x14ac:dyDescent="0.2">
      <c r="A38" s="8" t="s">
        <v>34</v>
      </c>
      <c r="B38" s="6" t="s">
        <v>98</v>
      </c>
      <c r="D38" s="65">
        <v>0</v>
      </c>
      <c r="E38" s="65">
        <v>0</v>
      </c>
      <c r="F38" s="65">
        <v>0</v>
      </c>
      <c r="G38" s="65">
        <f t="shared" si="16"/>
        <v>0</v>
      </c>
      <c r="H38" s="65">
        <v>0</v>
      </c>
      <c r="I38" s="65">
        <v>0</v>
      </c>
      <c r="J38" s="65">
        <f t="shared" si="17"/>
        <v>0</v>
      </c>
      <c r="K38" s="65">
        <v>0</v>
      </c>
      <c r="L38" s="65">
        <v>0</v>
      </c>
      <c r="M38" s="65"/>
      <c r="N38" s="40">
        <f t="shared" si="18"/>
        <v>0</v>
      </c>
    </row>
    <row r="39" spans="1:14" s="7" customFormat="1" x14ac:dyDescent="0.2">
      <c r="A39" s="8" t="s">
        <v>35</v>
      </c>
      <c r="B39" s="6" t="s">
        <v>99</v>
      </c>
      <c r="D39" s="65">
        <v>0</v>
      </c>
      <c r="E39" s="65">
        <v>0</v>
      </c>
      <c r="F39" s="65">
        <v>0</v>
      </c>
      <c r="G39" s="65">
        <f t="shared" si="16"/>
        <v>0</v>
      </c>
      <c r="H39" s="65">
        <v>0</v>
      </c>
      <c r="I39" s="65">
        <v>0</v>
      </c>
      <c r="J39" s="65">
        <f t="shared" si="17"/>
        <v>0</v>
      </c>
      <c r="K39" s="65">
        <v>0</v>
      </c>
      <c r="L39" s="65">
        <v>0</v>
      </c>
      <c r="M39" s="65"/>
      <c r="N39" s="40">
        <f t="shared" si="18"/>
        <v>0</v>
      </c>
    </row>
    <row r="40" spans="1:14" s="7" customFormat="1" x14ac:dyDescent="0.2">
      <c r="A40" s="8" t="s">
        <v>36</v>
      </c>
      <c r="B40" s="6" t="s">
        <v>100</v>
      </c>
      <c r="D40" s="65">
        <v>0</v>
      </c>
      <c r="E40" s="65">
        <v>0</v>
      </c>
      <c r="F40" s="65">
        <v>0</v>
      </c>
      <c r="G40" s="65">
        <f t="shared" si="16"/>
        <v>0</v>
      </c>
      <c r="H40" s="65">
        <v>0</v>
      </c>
      <c r="I40" s="65">
        <v>0</v>
      </c>
      <c r="J40" s="65">
        <f t="shared" si="17"/>
        <v>0</v>
      </c>
      <c r="K40" s="65">
        <v>0</v>
      </c>
      <c r="L40" s="65">
        <v>0</v>
      </c>
      <c r="M40" s="65"/>
      <c r="N40" s="40">
        <f t="shared" si="18"/>
        <v>0</v>
      </c>
    </row>
    <row r="41" spans="1:14" s="7" customFormat="1" x14ac:dyDescent="0.2">
      <c r="A41" s="8" t="s">
        <v>37</v>
      </c>
      <c r="B41" s="6" t="s">
        <v>101</v>
      </c>
      <c r="D41" s="65">
        <v>0</v>
      </c>
      <c r="E41" s="65">
        <v>0</v>
      </c>
      <c r="F41" s="65">
        <v>0</v>
      </c>
      <c r="G41" s="65">
        <f t="shared" si="16"/>
        <v>0</v>
      </c>
      <c r="H41" s="65">
        <v>0</v>
      </c>
      <c r="I41" s="65">
        <v>0</v>
      </c>
      <c r="J41" s="65">
        <f t="shared" si="17"/>
        <v>0</v>
      </c>
      <c r="K41" s="65">
        <v>0</v>
      </c>
      <c r="L41" s="65">
        <v>0</v>
      </c>
      <c r="M41" s="65"/>
      <c r="N41" s="40">
        <f t="shared" si="18"/>
        <v>0</v>
      </c>
    </row>
    <row r="42" spans="1:14" s="7" customFormat="1" ht="13.5" thickBot="1" x14ac:dyDescent="0.25">
      <c r="A42" s="8"/>
      <c r="B42" s="6"/>
      <c r="D42" s="38">
        <f>SUM(D33:D41)</f>
        <v>0</v>
      </c>
      <c r="E42" s="38">
        <f t="shared" ref="E42:N42" si="19">SUM(E33:E41)</f>
        <v>0</v>
      </c>
      <c r="F42" s="38">
        <f t="shared" si="19"/>
        <v>0</v>
      </c>
      <c r="G42" s="38">
        <f t="shared" si="19"/>
        <v>0</v>
      </c>
      <c r="H42" s="38">
        <f t="shared" si="19"/>
        <v>0</v>
      </c>
      <c r="I42" s="38">
        <f t="shared" si="19"/>
        <v>0</v>
      </c>
      <c r="J42" s="38">
        <f t="shared" si="19"/>
        <v>0</v>
      </c>
      <c r="K42" s="38">
        <f t="shared" si="19"/>
        <v>0</v>
      </c>
      <c r="L42" s="38">
        <f t="shared" si="19"/>
        <v>0</v>
      </c>
      <c r="M42" s="39"/>
      <c r="N42" s="38">
        <f t="shared" si="19"/>
        <v>0</v>
      </c>
    </row>
    <row r="43" spans="1:14" s="7" customFormat="1" ht="13.5" thickTop="1" x14ac:dyDescent="0.2">
      <c r="A43" s="8"/>
      <c r="B43" s="6"/>
      <c r="D43" s="28"/>
      <c r="E43" s="28"/>
      <c r="F43" s="28"/>
      <c r="G43" s="28"/>
      <c r="H43" s="28"/>
      <c r="I43" s="28"/>
      <c r="J43" s="28"/>
      <c r="K43" s="28"/>
      <c r="L43" s="28"/>
      <c r="N43" s="29"/>
    </row>
    <row r="44" spans="1:14" s="7" customFormat="1" x14ac:dyDescent="0.2">
      <c r="A44" s="6" t="s">
        <v>38</v>
      </c>
      <c r="B44" s="6" t="s">
        <v>77</v>
      </c>
      <c r="D44" s="64">
        <v>0</v>
      </c>
      <c r="E44" s="64">
        <v>0</v>
      </c>
      <c r="F44" s="64">
        <v>0</v>
      </c>
      <c r="G44" s="64">
        <f t="shared" ref="G44:G48" si="20">SUM(D44:F44)</f>
        <v>0</v>
      </c>
      <c r="H44" s="64">
        <v>0</v>
      </c>
      <c r="I44" s="64">
        <v>0</v>
      </c>
      <c r="J44" s="64">
        <f t="shared" ref="J44:J48" si="21">SUM(H44:I44)</f>
        <v>0</v>
      </c>
      <c r="K44" s="64">
        <v>0</v>
      </c>
      <c r="L44" s="64">
        <v>0</v>
      </c>
      <c r="M44" s="64"/>
      <c r="N44" s="63">
        <f>+L44+K44+J44+G44</f>
        <v>0</v>
      </c>
    </row>
    <row r="45" spans="1:14" s="7" customFormat="1" x14ac:dyDescent="0.2">
      <c r="A45" s="6" t="s">
        <v>39</v>
      </c>
      <c r="B45" s="6" t="s">
        <v>102</v>
      </c>
      <c r="D45" s="65">
        <v>0</v>
      </c>
      <c r="E45" s="65">
        <v>0</v>
      </c>
      <c r="F45" s="65">
        <v>0</v>
      </c>
      <c r="G45" s="65">
        <f t="shared" si="20"/>
        <v>0</v>
      </c>
      <c r="H45" s="65">
        <v>0</v>
      </c>
      <c r="I45" s="65">
        <v>0</v>
      </c>
      <c r="J45" s="65">
        <f t="shared" si="21"/>
        <v>0</v>
      </c>
      <c r="K45" s="65">
        <v>0</v>
      </c>
      <c r="L45" s="65">
        <v>0</v>
      </c>
      <c r="M45" s="65"/>
      <c r="N45" s="40">
        <f t="shared" ref="N45:N48" si="22">+L45+K45+J45+G45</f>
        <v>0</v>
      </c>
    </row>
    <row r="46" spans="1:14" s="7" customFormat="1" x14ac:dyDescent="0.2">
      <c r="A46" s="6" t="s">
        <v>40</v>
      </c>
      <c r="B46" s="6" t="s">
        <v>103</v>
      </c>
      <c r="D46" s="65">
        <v>0</v>
      </c>
      <c r="E46" s="65">
        <v>0</v>
      </c>
      <c r="F46" s="65">
        <v>0</v>
      </c>
      <c r="G46" s="65">
        <f t="shared" si="20"/>
        <v>0</v>
      </c>
      <c r="H46" s="65">
        <v>0</v>
      </c>
      <c r="I46" s="65">
        <v>0</v>
      </c>
      <c r="J46" s="65">
        <f t="shared" si="21"/>
        <v>0</v>
      </c>
      <c r="K46" s="65">
        <v>0</v>
      </c>
      <c r="L46" s="65">
        <v>0</v>
      </c>
      <c r="M46" s="65"/>
      <c r="N46" s="40">
        <f t="shared" si="22"/>
        <v>0</v>
      </c>
    </row>
    <row r="47" spans="1:14" s="7" customFormat="1" x14ac:dyDescent="0.2">
      <c r="A47" s="6" t="s">
        <v>62</v>
      </c>
      <c r="B47" s="6" t="s">
        <v>104</v>
      </c>
      <c r="D47" s="65">
        <v>0</v>
      </c>
      <c r="E47" s="65">
        <v>0</v>
      </c>
      <c r="F47" s="65">
        <v>0</v>
      </c>
      <c r="G47" s="65">
        <f t="shared" si="20"/>
        <v>0</v>
      </c>
      <c r="H47" s="65">
        <v>0</v>
      </c>
      <c r="I47" s="65">
        <v>0</v>
      </c>
      <c r="J47" s="65">
        <f t="shared" si="21"/>
        <v>0</v>
      </c>
      <c r="K47" s="65">
        <v>0</v>
      </c>
      <c r="L47" s="65">
        <v>0</v>
      </c>
      <c r="M47" s="65"/>
      <c r="N47" s="40">
        <f t="shared" si="22"/>
        <v>0</v>
      </c>
    </row>
    <row r="48" spans="1:14" s="7" customFormat="1" x14ac:dyDescent="0.2">
      <c r="A48" s="6" t="s">
        <v>63</v>
      </c>
      <c r="B48" s="6" t="s">
        <v>113</v>
      </c>
      <c r="D48" s="65">
        <v>0</v>
      </c>
      <c r="E48" s="65">
        <v>0</v>
      </c>
      <c r="F48" s="65">
        <v>0</v>
      </c>
      <c r="G48" s="65">
        <f t="shared" si="20"/>
        <v>0</v>
      </c>
      <c r="H48" s="65">
        <v>0</v>
      </c>
      <c r="I48" s="65">
        <v>0</v>
      </c>
      <c r="J48" s="65">
        <f t="shared" si="21"/>
        <v>0</v>
      </c>
      <c r="K48" s="65">
        <v>0</v>
      </c>
      <c r="L48" s="65">
        <v>0</v>
      </c>
      <c r="M48" s="65"/>
      <c r="N48" s="40">
        <f t="shared" si="22"/>
        <v>0</v>
      </c>
    </row>
    <row r="49" spans="1:14" s="7" customFormat="1" ht="13.5" thickBot="1" x14ac:dyDescent="0.25">
      <c r="A49" s="6"/>
      <c r="B49" s="6"/>
      <c r="D49" s="38">
        <f>SUM(D44:D48)</f>
        <v>0</v>
      </c>
      <c r="E49" s="38">
        <f t="shared" ref="E49:N49" si="23">SUM(E44:E48)</f>
        <v>0</v>
      </c>
      <c r="F49" s="38">
        <f t="shared" si="23"/>
        <v>0</v>
      </c>
      <c r="G49" s="38">
        <f t="shared" si="23"/>
        <v>0</v>
      </c>
      <c r="H49" s="38">
        <f t="shared" si="23"/>
        <v>0</v>
      </c>
      <c r="I49" s="38">
        <f t="shared" si="23"/>
        <v>0</v>
      </c>
      <c r="J49" s="38">
        <f t="shared" si="23"/>
        <v>0</v>
      </c>
      <c r="K49" s="38">
        <f t="shared" si="23"/>
        <v>0</v>
      </c>
      <c r="L49" s="38">
        <f t="shared" si="23"/>
        <v>0</v>
      </c>
      <c r="M49" s="39"/>
      <c r="N49" s="38">
        <f t="shared" si="23"/>
        <v>0</v>
      </c>
    </row>
    <row r="50" spans="1:14" s="7" customFormat="1" ht="13.5" thickTop="1" x14ac:dyDescent="0.2">
      <c r="A50" s="6"/>
      <c r="B50" s="6"/>
      <c r="D50" s="28"/>
      <c r="E50" s="28"/>
      <c r="F50" s="28"/>
      <c r="G50" s="28"/>
      <c r="H50" s="28"/>
      <c r="I50" s="28"/>
      <c r="J50" s="28"/>
      <c r="K50" s="28"/>
      <c r="L50" s="28"/>
      <c r="N50" s="29"/>
    </row>
    <row r="51" spans="1:14" s="7" customFormat="1" x14ac:dyDescent="0.2">
      <c r="A51" s="8" t="s">
        <v>64</v>
      </c>
      <c r="B51" s="6" t="s">
        <v>114</v>
      </c>
      <c r="D51" s="64">
        <v>0</v>
      </c>
      <c r="E51" s="64">
        <v>0</v>
      </c>
      <c r="F51" s="64">
        <v>0</v>
      </c>
      <c r="G51" s="64">
        <f t="shared" ref="G51:G55" si="24">SUM(D51:F51)</f>
        <v>0</v>
      </c>
      <c r="H51" s="64">
        <v>0</v>
      </c>
      <c r="I51" s="64">
        <v>0</v>
      </c>
      <c r="J51" s="64">
        <f t="shared" ref="J51:J55" si="25">SUM(H51:I51)</f>
        <v>0</v>
      </c>
      <c r="K51" s="64">
        <v>0</v>
      </c>
      <c r="L51" s="64">
        <v>0</v>
      </c>
      <c r="M51" s="64"/>
      <c r="N51" s="63">
        <f>+L51+K51+J51+G51</f>
        <v>0</v>
      </c>
    </row>
    <row r="52" spans="1:14" s="7" customFormat="1" x14ac:dyDescent="0.2">
      <c r="A52" s="8" t="s">
        <v>41</v>
      </c>
      <c r="B52" s="6" t="s">
        <v>77</v>
      </c>
      <c r="D52" s="65">
        <v>0</v>
      </c>
      <c r="E52" s="65">
        <v>0</v>
      </c>
      <c r="F52" s="65">
        <v>0</v>
      </c>
      <c r="G52" s="65">
        <f t="shared" si="24"/>
        <v>0</v>
      </c>
      <c r="H52" s="65">
        <v>0</v>
      </c>
      <c r="I52" s="65">
        <v>0</v>
      </c>
      <c r="J52" s="65">
        <f t="shared" si="25"/>
        <v>0</v>
      </c>
      <c r="K52" s="65">
        <v>0</v>
      </c>
      <c r="L52" s="65">
        <v>0</v>
      </c>
      <c r="M52" s="65"/>
      <c r="N52" s="40">
        <f t="shared" ref="N52:N55" si="26">+L52+K52+J52+G52</f>
        <v>0</v>
      </c>
    </row>
    <row r="53" spans="1:14" s="7" customFormat="1" x14ac:dyDescent="0.2">
      <c r="A53" s="8" t="s">
        <v>42</v>
      </c>
      <c r="B53" s="6" t="s">
        <v>78</v>
      </c>
      <c r="D53" s="65">
        <v>0</v>
      </c>
      <c r="E53" s="65">
        <v>0</v>
      </c>
      <c r="F53" s="65">
        <v>0</v>
      </c>
      <c r="G53" s="65">
        <f t="shared" si="24"/>
        <v>0</v>
      </c>
      <c r="H53" s="65">
        <v>0</v>
      </c>
      <c r="I53" s="65">
        <v>0</v>
      </c>
      <c r="J53" s="65">
        <f t="shared" si="25"/>
        <v>0</v>
      </c>
      <c r="K53" s="65">
        <v>0</v>
      </c>
      <c r="L53" s="65">
        <v>0</v>
      </c>
      <c r="M53" s="65"/>
      <c r="N53" s="40">
        <f t="shared" si="26"/>
        <v>0</v>
      </c>
    </row>
    <row r="54" spans="1:14" s="7" customFormat="1" x14ac:dyDescent="0.2">
      <c r="A54" s="8" t="s">
        <v>65</v>
      </c>
      <c r="B54" s="6" t="s">
        <v>115</v>
      </c>
      <c r="D54" s="65">
        <v>0</v>
      </c>
      <c r="E54" s="65">
        <v>0</v>
      </c>
      <c r="F54" s="65">
        <v>0</v>
      </c>
      <c r="G54" s="65">
        <f t="shared" si="24"/>
        <v>0</v>
      </c>
      <c r="H54" s="65">
        <v>0</v>
      </c>
      <c r="I54" s="65">
        <v>0</v>
      </c>
      <c r="J54" s="65">
        <f t="shared" si="25"/>
        <v>0</v>
      </c>
      <c r="K54" s="65">
        <v>0</v>
      </c>
      <c r="L54" s="65">
        <v>0</v>
      </c>
      <c r="M54" s="65"/>
      <c r="N54" s="40">
        <f t="shared" si="26"/>
        <v>0</v>
      </c>
    </row>
    <row r="55" spans="1:14" s="7" customFormat="1" x14ac:dyDescent="0.2">
      <c r="A55" s="9" t="s">
        <v>55</v>
      </c>
      <c r="B55" s="6" t="s">
        <v>105</v>
      </c>
      <c r="D55" s="65">
        <v>0</v>
      </c>
      <c r="E55" s="65">
        <v>0</v>
      </c>
      <c r="F55" s="65">
        <v>0</v>
      </c>
      <c r="G55" s="65">
        <f t="shared" si="24"/>
        <v>0</v>
      </c>
      <c r="H55" s="65">
        <v>0</v>
      </c>
      <c r="I55" s="65">
        <v>0</v>
      </c>
      <c r="J55" s="65">
        <f t="shared" si="25"/>
        <v>0</v>
      </c>
      <c r="K55" s="65">
        <v>0</v>
      </c>
      <c r="L55" s="65">
        <v>0</v>
      </c>
      <c r="M55" s="65"/>
      <c r="N55" s="40">
        <f t="shared" si="26"/>
        <v>0</v>
      </c>
    </row>
    <row r="56" spans="1:14" s="7" customFormat="1" ht="13.5" thickBot="1" x14ac:dyDescent="0.25">
      <c r="A56" s="9"/>
      <c r="B56" s="6"/>
      <c r="D56" s="38">
        <f>SUM(D51:D55)</f>
        <v>0</v>
      </c>
      <c r="E56" s="38">
        <f t="shared" ref="E56:N56" si="27">SUM(E51:E55)</f>
        <v>0</v>
      </c>
      <c r="F56" s="38">
        <f t="shared" si="27"/>
        <v>0</v>
      </c>
      <c r="G56" s="38">
        <f t="shared" si="27"/>
        <v>0</v>
      </c>
      <c r="H56" s="38">
        <f t="shared" si="27"/>
        <v>0</v>
      </c>
      <c r="I56" s="38">
        <f t="shared" si="27"/>
        <v>0</v>
      </c>
      <c r="J56" s="38">
        <f t="shared" si="27"/>
        <v>0</v>
      </c>
      <c r="K56" s="38">
        <f t="shared" si="27"/>
        <v>0</v>
      </c>
      <c r="L56" s="38">
        <f t="shared" si="27"/>
        <v>0</v>
      </c>
      <c r="M56" s="39"/>
      <c r="N56" s="38">
        <f t="shared" si="27"/>
        <v>0</v>
      </c>
    </row>
    <row r="57" spans="1:14" s="7" customFormat="1" ht="13.5" thickTop="1" x14ac:dyDescent="0.2">
      <c r="A57" s="9"/>
      <c r="B57" s="6"/>
      <c r="D57" s="28"/>
      <c r="E57" s="28"/>
      <c r="F57" s="28"/>
      <c r="G57" s="28"/>
      <c r="H57" s="28"/>
      <c r="I57" s="28"/>
      <c r="J57" s="28"/>
      <c r="K57" s="28"/>
      <c r="L57" s="28"/>
      <c r="N57" s="29"/>
    </row>
    <row r="58" spans="1:14" s="7" customFormat="1" x14ac:dyDescent="0.2">
      <c r="A58" s="7" t="s">
        <v>43</v>
      </c>
      <c r="B58" s="6" t="s">
        <v>77</v>
      </c>
      <c r="D58" s="64">
        <v>0</v>
      </c>
      <c r="E58" s="64">
        <v>0</v>
      </c>
      <c r="F58" s="64">
        <v>0</v>
      </c>
      <c r="G58" s="64">
        <f t="shared" ref="G58:G62" si="28">SUM(D58:F58)</f>
        <v>0</v>
      </c>
      <c r="H58" s="64">
        <v>0</v>
      </c>
      <c r="I58" s="64">
        <v>0</v>
      </c>
      <c r="J58" s="64">
        <f t="shared" ref="J58:J62" si="29">SUM(H58:I58)</f>
        <v>0</v>
      </c>
      <c r="K58" s="64">
        <v>0</v>
      </c>
      <c r="L58" s="64">
        <v>0</v>
      </c>
      <c r="M58" s="64"/>
      <c r="N58" s="63">
        <f>+L58+K58+J58+G58</f>
        <v>0</v>
      </c>
    </row>
    <row r="59" spans="1:14" s="7" customFormat="1" x14ac:dyDescent="0.2">
      <c r="A59" s="7" t="s">
        <v>57</v>
      </c>
      <c r="B59" s="6" t="s">
        <v>106</v>
      </c>
      <c r="D59" s="65">
        <v>0</v>
      </c>
      <c r="E59" s="65">
        <v>0</v>
      </c>
      <c r="F59" s="65">
        <v>0</v>
      </c>
      <c r="G59" s="65">
        <f t="shared" si="28"/>
        <v>0</v>
      </c>
      <c r="H59" s="65">
        <v>0</v>
      </c>
      <c r="I59" s="65">
        <v>0</v>
      </c>
      <c r="J59" s="65">
        <f t="shared" si="29"/>
        <v>0</v>
      </c>
      <c r="K59" s="65">
        <v>0</v>
      </c>
      <c r="L59" s="65">
        <v>0</v>
      </c>
      <c r="M59" s="65"/>
      <c r="N59" s="40">
        <f t="shared" ref="N59:N62" si="30">+L59+K59+J59+G59</f>
        <v>0</v>
      </c>
    </row>
    <row r="60" spans="1:14" s="7" customFormat="1" x14ac:dyDescent="0.2">
      <c r="A60" s="7" t="s">
        <v>56</v>
      </c>
      <c r="B60" s="6" t="s">
        <v>116</v>
      </c>
      <c r="D60" s="65">
        <v>0</v>
      </c>
      <c r="E60" s="65">
        <v>0</v>
      </c>
      <c r="F60" s="65">
        <v>0</v>
      </c>
      <c r="G60" s="65">
        <f t="shared" si="28"/>
        <v>0</v>
      </c>
      <c r="H60" s="65">
        <v>0</v>
      </c>
      <c r="I60" s="65">
        <v>0</v>
      </c>
      <c r="J60" s="65">
        <f t="shared" si="29"/>
        <v>0</v>
      </c>
      <c r="K60" s="65">
        <v>0</v>
      </c>
      <c r="L60" s="65">
        <v>0</v>
      </c>
      <c r="M60" s="65"/>
      <c r="N60" s="40">
        <f t="shared" si="30"/>
        <v>0</v>
      </c>
    </row>
    <row r="61" spans="1:14" s="7" customFormat="1" x14ac:dyDescent="0.2">
      <c r="A61" s="7" t="s">
        <v>66</v>
      </c>
      <c r="B61" s="6" t="s">
        <v>117</v>
      </c>
      <c r="D61" s="65">
        <v>0</v>
      </c>
      <c r="E61" s="65">
        <v>0</v>
      </c>
      <c r="F61" s="65">
        <v>0</v>
      </c>
      <c r="G61" s="65">
        <f t="shared" si="28"/>
        <v>0</v>
      </c>
      <c r="H61" s="65">
        <v>0</v>
      </c>
      <c r="I61" s="65">
        <v>0</v>
      </c>
      <c r="J61" s="65">
        <f t="shared" si="29"/>
        <v>0</v>
      </c>
      <c r="K61" s="65">
        <v>0</v>
      </c>
      <c r="L61" s="65">
        <v>0</v>
      </c>
      <c r="M61" s="65"/>
      <c r="N61" s="40">
        <f t="shared" si="30"/>
        <v>0</v>
      </c>
    </row>
    <row r="62" spans="1:14" s="7" customFormat="1" x14ac:dyDescent="0.2">
      <c r="A62" s="7" t="s">
        <v>67</v>
      </c>
      <c r="B62" s="6" t="s">
        <v>118</v>
      </c>
      <c r="D62" s="65">
        <v>0</v>
      </c>
      <c r="E62" s="65">
        <v>0</v>
      </c>
      <c r="F62" s="65">
        <v>0</v>
      </c>
      <c r="G62" s="65">
        <f t="shared" si="28"/>
        <v>0</v>
      </c>
      <c r="H62" s="65">
        <v>0</v>
      </c>
      <c r="I62" s="65">
        <v>0</v>
      </c>
      <c r="J62" s="65">
        <f t="shared" si="29"/>
        <v>0</v>
      </c>
      <c r="K62" s="65">
        <v>0</v>
      </c>
      <c r="L62" s="65">
        <v>0</v>
      </c>
      <c r="M62" s="65"/>
      <c r="N62" s="40">
        <f t="shared" si="30"/>
        <v>0</v>
      </c>
    </row>
    <row r="63" spans="1:14" s="7" customFormat="1" ht="13.5" thickBot="1" x14ac:dyDescent="0.25">
      <c r="B63" s="6"/>
      <c r="D63" s="38">
        <f>SUM(D58:D62)</f>
        <v>0</v>
      </c>
      <c r="E63" s="38">
        <f t="shared" ref="E63:N63" si="31">SUM(E58:E62)</f>
        <v>0</v>
      </c>
      <c r="F63" s="38">
        <f t="shared" si="31"/>
        <v>0</v>
      </c>
      <c r="G63" s="38">
        <f t="shared" si="31"/>
        <v>0</v>
      </c>
      <c r="H63" s="38">
        <f t="shared" si="31"/>
        <v>0</v>
      </c>
      <c r="I63" s="38">
        <f t="shared" si="31"/>
        <v>0</v>
      </c>
      <c r="J63" s="38">
        <f t="shared" si="31"/>
        <v>0</v>
      </c>
      <c r="K63" s="38">
        <f t="shared" si="31"/>
        <v>0</v>
      </c>
      <c r="L63" s="38">
        <f t="shared" si="31"/>
        <v>0</v>
      </c>
      <c r="M63" s="39"/>
      <c r="N63" s="38">
        <f t="shared" si="31"/>
        <v>0</v>
      </c>
    </row>
    <row r="64" spans="1:14" s="7" customFormat="1" ht="13.5" thickTop="1" x14ac:dyDescent="0.2">
      <c r="B64" s="6"/>
      <c r="D64" s="28"/>
      <c r="E64" s="28"/>
      <c r="F64" s="28"/>
      <c r="G64" s="28"/>
      <c r="H64" s="28"/>
      <c r="I64" s="28"/>
      <c r="J64" s="28"/>
      <c r="K64" s="28"/>
      <c r="L64" s="28"/>
      <c r="N64" s="29"/>
    </row>
    <row r="65" spans="1:14" s="7" customFormat="1" x14ac:dyDescent="0.2">
      <c r="A65" s="10" t="s">
        <v>44</v>
      </c>
      <c r="B65" s="6" t="s">
        <v>79</v>
      </c>
      <c r="D65" s="64">
        <f>+'Adj. #5'!E25+'Adj. #11'!E25+'Adj. #24'!E25</f>
        <v>-13461.539999999572</v>
      </c>
      <c r="E65" s="64">
        <f>+'Adj. #5'!F25+'Adj. #11'!F25+'Adj. #24'!F25</f>
        <v>0</v>
      </c>
      <c r="F65" s="64">
        <f>+'Adj. #5'!G25+'Adj. #11'!G25+'Adj. #24'!G25</f>
        <v>0</v>
      </c>
      <c r="G65" s="64">
        <f t="shared" ref="G65:G77" si="32">SUM(D65:F65)</f>
        <v>-13461.539999999572</v>
      </c>
      <c r="H65" s="64">
        <f>+'Adj. #5'!I25+'Adj. #11'!I25+'Adj. #24'!I25</f>
        <v>1073674.2199999997</v>
      </c>
      <c r="I65" s="64">
        <f>+'Adj. #5'!J25+'Adj. #11'!J25+'Adj. #24'!J25</f>
        <v>0</v>
      </c>
      <c r="J65" s="64">
        <f t="shared" ref="J65:J77" si="33">SUM(H65:I65)</f>
        <v>1073674.2199999997</v>
      </c>
      <c r="K65" s="64">
        <f>+'Adj. #5'!L25+'Adj. #11'!L25+'Adj. #24'!L25</f>
        <v>322068.41999999993</v>
      </c>
      <c r="L65" s="64">
        <f>+'Adj. #5'!M25+'Adj. #11'!M25+'Adj. #24'!M25</f>
        <v>13071.070000000007</v>
      </c>
      <c r="M65" s="64"/>
      <c r="N65" s="63">
        <f>+L65+K65+J65+G65</f>
        <v>1395352.1700000002</v>
      </c>
    </row>
    <row r="66" spans="1:14" s="7" customFormat="1" x14ac:dyDescent="0.2">
      <c r="A66" s="10" t="s">
        <v>45</v>
      </c>
      <c r="B66" s="6" t="s">
        <v>80</v>
      </c>
      <c r="D66" s="65">
        <v>0</v>
      </c>
      <c r="E66" s="65">
        <v>0</v>
      </c>
      <c r="F66" s="65">
        <v>0</v>
      </c>
      <c r="G66" s="65">
        <f t="shared" si="32"/>
        <v>0</v>
      </c>
      <c r="H66" s="65">
        <v>0</v>
      </c>
      <c r="I66" s="65">
        <v>0</v>
      </c>
      <c r="J66" s="65">
        <f t="shared" si="33"/>
        <v>0</v>
      </c>
      <c r="K66" s="65">
        <v>0</v>
      </c>
      <c r="L66" s="65">
        <v>0</v>
      </c>
      <c r="M66" s="65"/>
      <c r="N66" s="40">
        <f t="shared" ref="N66:N77" si="34">+L66+K66+J66+G66</f>
        <v>0</v>
      </c>
    </row>
    <row r="67" spans="1:14" s="7" customFormat="1" x14ac:dyDescent="0.2">
      <c r="A67" s="10" t="s">
        <v>68</v>
      </c>
      <c r="B67" s="6" t="s">
        <v>107</v>
      </c>
      <c r="D67" s="65">
        <v>0</v>
      </c>
      <c r="E67" s="65">
        <v>0</v>
      </c>
      <c r="F67" s="65">
        <v>0</v>
      </c>
      <c r="G67" s="65">
        <f t="shared" si="32"/>
        <v>0</v>
      </c>
      <c r="H67" s="65">
        <v>0</v>
      </c>
      <c r="I67" s="65">
        <v>0</v>
      </c>
      <c r="J67" s="65">
        <f t="shared" si="33"/>
        <v>0</v>
      </c>
      <c r="K67" s="65">
        <v>0</v>
      </c>
      <c r="L67" s="65">
        <v>0</v>
      </c>
      <c r="M67" s="65"/>
      <c r="N67" s="40">
        <f t="shared" si="34"/>
        <v>0</v>
      </c>
    </row>
    <row r="68" spans="1:14" s="7" customFormat="1" x14ac:dyDescent="0.2">
      <c r="A68" s="10" t="s">
        <v>53</v>
      </c>
      <c r="B68" s="6" t="s">
        <v>81</v>
      </c>
      <c r="D68" s="65">
        <v>0</v>
      </c>
      <c r="E68" s="65">
        <v>0</v>
      </c>
      <c r="F68" s="65">
        <v>0</v>
      </c>
      <c r="G68" s="65">
        <f t="shared" si="32"/>
        <v>0</v>
      </c>
      <c r="H68" s="65">
        <v>0</v>
      </c>
      <c r="I68" s="65">
        <v>0</v>
      </c>
      <c r="J68" s="65">
        <f t="shared" si="33"/>
        <v>0</v>
      </c>
      <c r="K68" s="65">
        <v>0</v>
      </c>
      <c r="L68" s="65">
        <v>0</v>
      </c>
      <c r="M68" s="65"/>
      <c r="N68" s="40">
        <f t="shared" si="34"/>
        <v>0</v>
      </c>
    </row>
    <row r="69" spans="1:14" s="7" customFormat="1" x14ac:dyDescent="0.2">
      <c r="A69" s="10" t="s">
        <v>49</v>
      </c>
      <c r="B69" s="6" t="s">
        <v>108</v>
      </c>
      <c r="D69" s="65">
        <v>0</v>
      </c>
      <c r="E69" s="65">
        <v>0</v>
      </c>
      <c r="F69" s="65">
        <v>0</v>
      </c>
      <c r="G69" s="65">
        <f t="shared" si="32"/>
        <v>0</v>
      </c>
      <c r="H69" s="65">
        <v>0</v>
      </c>
      <c r="I69" s="65">
        <v>0</v>
      </c>
      <c r="J69" s="65">
        <f t="shared" si="33"/>
        <v>0</v>
      </c>
      <c r="K69" s="65">
        <v>0</v>
      </c>
      <c r="L69" s="65">
        <v>0</v>
      </c>
      <c r="M69" s="65"/>
      <c r="N69" s="40">
        <f t="shared" si="34"/>
        <v>0</v>
      </c>
    </row>
    <row r="70" spans="1:14" s="7" customFormat="1" x14ac:dyDescent="0.2">
      <c r="A70" s="10" t="s">
        <v>69</v>
      </c>
      <c r="B70" s="6" t="s">
        <v>109</v>
      </c>
      <c r="D70" s="65">
        <v>0</v>
      </c>
      <c r="E70" s="65">
        <v>0</v>
      </c>
      <c r="F70" s="65">
        <v>0</v>
      </c>
      <c r="G70" s="65">
        <f t="shared" si="32"/>
        <v>0</v>
      </c>
      <c r="H70" s="65">
        <v>0</v>
      </c>
      <c r="I70" s="65">
        <v>0</v>
      </c>
      <c r="J70" s="65">
        <f t="shared" si="33"/>
        <v>0</v>
      </c>
      <c r="K70" s="65">
        <v>0</v>
      </c>
      <c r="L70" s="65">
        <v>0</v>
      </c>
      <c r="M70" s="65"/>
      <c r="N70" s="40">
        <f t="shared" si="34"/>
        <v>0</v>
      </c>
    </row>
    <row r="71" spans="1:14" s="7" customFormat="1" x14ac:dyDescent="0.2">
      <c r="A71" s="10" t="s">
        <v>48</v>
      </c>
      <c r="B71" s="6" t="s">
        <v>83</v>
      </c>
      <c r="D71" s="65">
        <v>0</v>
      </c>
      <c r="E71" s="65">
        <v>0</v>
      </c>
      <c r="F71" s="65">
        <v>0</v>
      </c>
      <c r="G71" s="65">
        <f t="shared" si="32"/>
        <v>0</v>
      </c>
      <c r="H71" s="65">
        <v>0</v>
      </c>
      <c r="I71" s="65">
        <v>0</v>
      </c>
      <c r="J71" s="65">
        <f t="shared" si="33"/>
        <v>0</v>
      </c>
      <c r="K71" s="65">
        <v>0</v>
      </c>
      <c r="L71" s="65">
        <v>0</v>
      </c>
      <c r="M71" s="65" t="e">
        <f>+#REF!</f>
        <v>#REF!</v>
      </c>
      <c r="N71" s="40">
        <f t="shared" si="34"/>
        <v>0</v>
      </c>
    </row>
    <row r="72" spans="1:14" s="7" customFormat="1" x14ac:dyDescent="0.2">
      <c r="A72" s="10" t="s">
        <v>50</v>
      </c>
      <c r="B72" s="6" t="s">
        <v>110</v>
      </c>
      <c r="D72" s="65">
        <v>0</v>
      </c>
      <c r="E72" s="65">
        <v>0</v>
      </c>
      <c r="F72" s="65">
        <v>0</v>
      </c>
      <c r="G72" s="65">
        <f t="shared" si="32"/>
        <v>0</v>
      </c>
      <c r="H72" s="65">
        <v>0</v>
      </c>
      <c r="I72" s="65">
        <v>0</v>
      </c>
      <c r="J72" s="65">
        <f t="shared" si="33"/>
        <v>0</v>
      </c>
      <c r="K72" s="65">
        <v>0</v>
      </c>
      <c r="L72" s="65">
        <v>0</v>
      </c>
      <c r="M72" s="65" t="e">
        <f>+#REF!</f>
        <v>#REF!</v>
      </c>
      <c r="N72" s="40">
        <f t="shared" si="34"/>
        <v>0</v>
      </c>
    </row>
    <row r="73" spans="1:14" s="7" customFormat="1" x14ac:dyDescent="0.2">
      <c r="A73" s="10" t="s">
        <v>70</v>
      </c>
      <c r="B73" s="6" t="s">
        <v>111</v>
      </c>
      <c r="D73" s="65">
        <v>0</v>
      </c>
      <c r="E73" s="65">
        <v>0</v>
      </c>
      <c r="F73" s="65">
        <v>0</v>
      </c>
      <c r="G73" s="65">
        <f t="shared" si="32"/>
        <v>0</v>
      </c>
      <c r="H73" s="65">
        <v>0</v>
      </c>
      <c r="I73" s="65">
        <v>0</v>
      </c>
      <c r="J73" s="65">
        <f t="shared" si="33"/>
        <v>0</v>
      </c>
      <c r="K73" s="65">
        <v>0</v>
      </c>
      <c r="L73" s="65">
        <v>0</v>
      </c>
      <c r="M73" s="65" t="e">
        <f>+#REF!</f>
        <v>#REF!</v>
      </c>
      <c r="N73" s="40">
        <f t="shared" si="34"/>
        <v>0</v>
      </c>
    </row>
    <row r="74" spans="1:14" s="7" customFormat="1" x14ac:dyDescent="0.2">
      <c r="A74" s="10" t="s">
        <v>47</v>
      </c>
      <c r="B74" s="6" t="s">
        <v>82</v>
      </c>
      <c r="D74" s="65">
        <v>0</v>
      </c>
      <c r="E74" s="65">
        <v>0</v>
      </c>
      <c r="F74" s="65">
        <v>0</v>
      </c>
      <c r="G74" s="65">
        <f t="shared" si="32"/>
        <v>0</v>
      </c>
      <c r="H74" s="65">
        <v>0</v>
      </c>
      <c r="I74" s="65">
        <v>0</v>
      </c>
      <c r="J74" s="65">
        <f t="shared" si="33"/>
        <v>0</v>
      </c>
      <c r="K74" s="65">
        <v>0</v>
      </c>
      <c r="L74" s="65">
        <v>0</v>
      </c>
      <c r="M74" s="65" t="e">
        <f>+#REF!</f>
        <v>#REF!</v>
      </c>
      <c r="N74" s="40">
        <f t="shared" si="34"/>
        <v>0</v>
      </c>
    </row>
    <row r="75" spans="1:14" s="7" customFormat="1" x14ac:dyDescent="0.2">
      <c r="A75" s="10" t="s">
        <v>54</v>
      </c>
      <c r="B75" s="6" t="s">
        <v>97</v>
      </c>
      <c r="D75" s="65">
        <v>0</v>
      </c>
      <c r="E75" s="65">
        <v>0</v>
      </c>
      <c r="F75" s="65">
        <v>0</v>
      </c>
      <c r="G75" s="65">
        <f t="shared" si="32"/>
        <v>0</v>
      </c>
      <c r="H75" s="65">
        <v>0</v>
      </c>
      <c r="I75" s="65">
        <v>0</v>
      </c>
      <c r="J75" s="65">
        <f t="shared" si="33"/>
        <v>0</v>
      </c>
      <c r="K75" s="65">
        <v>0</v>
      </c>
      <c r="L75" s="65">
        <v>0</v>
      </c>
      <c r="M75" s="65" t="e">
        <f>+#REF!</f>
        <v>#REF!</v>
      </c>
      <c r="N75" s="40">
        <f t="shared" si="34"/>
        <v>0</v>
      </c>
    </row>
    <row r="76" spans="1:14" s="7" customFormat="1" x14ac:dyDescent="0.2">
      <c r="A76" s="10" t="s">
        <v>121</v>
      </c>
      <c r="B76" s="6" t="s">
        <v>112</v>
      </c>
      <c r="D76" s="65">
        <v>0</v>
      </c>
      <c r="E76" s="65">
        <v>0</v>
      </c>
      <c r="F76" s="65">
        <v>0</v>
      </c>
      <c r="G76" s="65">
        <f t="shared" si="32"/>
        <v>0</v>
      </c>
      <c r="H76" s="65">
        <v>0</v>
      </c>
      <c r="I76" s="65">
        <v>0</v>
      </c>
      <c r="J76" s="65">
        <f t="shared" si="33"/>
        <v>0</v>
      </c>
      <c r="K76" s="65">
        <v>0</v>
      </c>
      <c r="L76" s="65">
        <v>0</v>
      </c>
      <c r="M76" s="65" t="e">
        <f>+#REF!</f>
        <v>#REF!</v>
      </c>
      <c r="N76" s="40">
        <f t="shared" si="34"/>
        <v>0</v>
      </c>
    </row>
    <row r="77" spans="1:14" s="7" customFormat="1" x14ac:dyDescent="0.2">
      <c r="A77" s="10" t="s">
        <v>58</v>
      </c>
      <c r="B77" s="6" t="s">
        <v>112</v>
      </c>
      <c r="D77" s="65">
        <v>0</v>
      </c>
      <c r="E77" s="65">
        <v>0</v>
      </c>
      <c r="F77" s="65">
        <v>0</v>
      </c>
      <c r="G77" s="65">
        <f t="shared" si="32"/>
        <v>0</v>
      </c>
      <c r="H77" s="65">
        <v>0</v>
      </c>
      <c r="I77" s="65">
        <v>0</v>
      </c>
      <c r="J77" s="65">
        <f t="shared" si="33"/>
        <v>0</v>
      </c>
      <c r="K77" s="65">
        <v>0</v>
      </c>
      <c r="L77" s="65">
        <v>0</v>
      </c>
      <c r="M77" s="65" t="e">
        <f>+#REF!</f>
        <v>#REF!</v>
      </c>
      <c r="N77" s="40">
        <f t="shared" si="34"/>
        <v>0</v>
      </c>
    </row>
    <row r="78" spans="1:14" s="7" customFormat="1" ht="13.5" thickBot="1" x14ac:dyDescent="0.25">
      <c r="A78" s="10"/>
      <c r="B78" s="6"/>
      <c r="D78" s="38">
        <f>SUM(D65:D77)</f>
        <v>-13461.539999999572</v>
      </c>
      <c r="E78" s="38">
        <f t="shared" ref="E78:N78" si="35">SUM(E65:E77)</f>
        <v>0</v>
      </c>
      <c r="F78" s="38">
        <f t="shared" si="35"/>
        <v>0</v>
      </c>
      <c r="G78" s="38">
        <f t="shared" si="35"/>
        <v>-13461.539999999572</v>
      </c>
      <c r="H78" s="38">
        <f t="shared" si="35"/>
        <v>1073674.2199999997</v>
      </c>
      <c r="I78" s="38">
        <f t="shared" si="35"/>
        <v>0</v>
      </c>
      <c r="J78" s="38">
        <f t="shared" si="35"/>
        <v>1073674.2199999997</v>
      </c>
      <c r="K78" s="38">
        <f t="shared" si="35"/>
        <v>322068.41999999993</v>
      </c>
      <c r="L78" s="38">
        <f t="shared" si="35"/>
        <v>13071.070000000007</v>
      </c>
      <c r="M78" s="39"/>
      <c r="N78" s="38">
        <f t="shared" si="35"/>
        <v>1395352.1700000002</v>
      </c>
    </row>
    <row r="79" spans="1:14" s="7" customFormat="1" ht="13.5" thickTop="1" x14ac:dyDescent="0.2">
      <c r="D79" s="35"/>
      <c r="E79" s="35"/>
      <c r="F79" s="35"/>
      <c r="G79" s="35"/>
      <c r="H79" s="35"/>
      <c r="I79" s="35"/>
      <c r="J79" s="35"/>
      <c r="K79" s="35"/>
      <c r="L79" s="35"/>
      <c r="M79" s="36"/>
      <c r="N79" s="37"/>
    </row>
    <row r="80" spans="1:14" x14ac:dyDescent="0.2"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51"/>
    </row>
    <row r="81" spans="2:15" x14ac:dyDescent="0.2"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51"/>
    </row>
    <row r="82" spans="2:15" ht="13.5" thickBot="1" x14ac:dyDescent="0.25">
      <c r="D82" s="38">
        <f>+D11+D19+D31+D42+D49+D56+D63+D78</f>
        <v>5741622.7699999996</v>
      </c>
      <c r="E82" s="38">
        <f t="shared" ref="E82:N82" si="36">+E11+E19+E31+E42+E49+E56+E63+E78</f>
        <v>0</v>
      </c>
      <c r="F82" s="38">
        <f t="shared" si="36"/>
        <v>0</v>
      </c>
      <c r="G82" s="38">
        <f t="shared" si="36"/>
        <v>5741622.7699999996</v>
      </c>
      <c r="H82" s="38">
        <f t="shared" si="36"/>
        <v>16604329.23</v>
      </c>
      <c r="I82" s="38">
        <f t="shared" si="36"/>
        <v>0</v>
      </c>
      <c r="J82" s="38">
        <f t="shared" si="36"/>
        <v>16604329.23</v>
      </c>
      <c r="K82" s="38">
        <f t="shared" si="36"/>
        <v>322068.41999999993</v>
      </c>
      <c r="L82" s="38">
        <f t="shared" si="36"/>
        <v>13071.070000000007</v>
      </c>
      <c r="M82" s="39"/>
      <c r="N82" s="38">
        <f t="shared" si="36"/>
        <v>22681091.490000002</v>
      </c>
    </row>
    <row r="83" spans="2:15" ht="13.5" thickTop="1" x14ac:dyDescent="0.2"/>
    <row r="85" spans="2:15" x14ac:dyDescent="0.2">
      <c r="B85" s="25" t="s">
        <v>122</v>
      </c>
      <c r="D85" s="23"/>
      <c r="E85" s="23"/>
      <c r="F85" s="23"/>
      <c r="G85" s="23"/>
      <c r="H85" s="33" t="str">
        <f>+'Total Summary'!H85</f>
        <v/>
      </c>
      <c r="I85" s="33"/>
      <c r="J85" s="33"/>
      <c r="N85" s="42" t="b">
        <f>ROUND(+N82,2)=ROUND(D135,2)</f>
        <v>1</v>
      </c>
      <c r="O85" s="44">
        <f>ROUND(+N82,2)-ROUND(D135,2)</f>
        <v>0</v>
      </c>
    </row>
    <row r="86" spans="2:15" x14ac:dyDescent="0.2">
      <c r="B86" s="25" t="s">
        <v>123</v>
      </c>
      <c r="D86" s="24"/>
      <c r="E86" s="24"/>
      <c r="F86" s="24"/>
      <c r="G86" s="24"/>
      <c r="H86" s="33"/>
      <c r="I86" s="33"/>
      <c r="J86" s="33"/>
    </row>
    <row r="87" spans="2:15" x14ac:dyDescent="0.2">
      <c r="B87" s="25" t="s">
        <v>124</v>
      </c>
      <c r="D87" s="24"/>
      <c r="E87" s="24"/>
      <c r="F87" s="24"/>
      <c r="G87" s="24"/>
      <c r="H87" s="33"/>
      <c r="I87" s="33"/>
      <c r="J87" s="33"/>
    </row>
    <row r="88" spans="2:15" x14ac:dyDescent="0.2">
      <c r="B88" s="25" t="s">
        <v>125</v>
      </c>
      <c r="D88" s="24"/>
      <c r="E88" s="24"/>
      <c r="F88" s="24"/>
      <c r="G88" s="24"/>
      <c r="H88" s="33"/>
      <c r="I88" s="33"/>
      <c r="J88" s="33"/>
    </row>
    <row r="89" spans="2:15" x14ac:dyDescent="0.2">
      <c r="B89" s="25" t="s">
        <v>126</v>
      </c>
      <c r="D89" s="24">
        <f>+'Adj. #5'!M14</f>
        <v>28497231.190000001</v>
      </c>
      <c r="E89" s="76" t="s">
        <v>188</v>
      </c>
      <c r="F89" s="24"/>
      <c r="G89" s="24"/>
      <c r="H89" s="33"/>
      <c r="I89" s="33"/>
      <c r="J89" s="33"/>
    </row>
    <row r="90" spans="2:15" x14ac:dyDescent="0.2">
      <c r="B90" s="25" t="s">
        <v>127</v>
      </c>
      <c r="D90" s="24"/>
      <c r="E90" s="24"/>
      <c r="F90" s="24"/>
      <c r="G90" s="24"/>
      <c r="H90" s="33"/>
      <c r="I90" s="33"/>
      <c r="J90" s="33"/>
    </row>
    <row r="91" spans="2:15" x14ac:dyDescent="0.2">
      <c r="B91" s="25" t="s">
        <v>128</v>
      </c>
      <c r="D91" s="24"/>
      <c r="E91" s="68"/>
      <c r="F91" s="24"/>
      <c r="G91" s="24"/>
      <c r="H91" s="33"/>
      <c r="I91" s="33"/>
      <c r="J91" s="33"/>
    </row>
    <row r="92" spans="2:15" x14ac:dyDescent="0.2">
      <c r="B92" s="25" t="s">
        <v>129</v>
      </c>
      <c r="D92" s="24"/>
      <c r="E92" s="75"/>
      <c r="F92" s="24"/>
      <c r="G92" s="24"/>
      <c r="H92" s="33"/>
      <c r="I92" s="33"/>
      <c r="J92" s="33"/>
    </row>
    <row r="93" spans="2:15" x14ac:dyDescent="0.2">
      <c r="B93" s="25" t="s">
        <v>130</v>
      </c>
      <c r="D93" s="24"/>
      <c r="E93" s="24"/>
      <c r="F93" s="24"/>
      <c r="G93" s="24"/>
      <c r="H93" s="33"/>
      <c r="I93" s="33"/>
      <c r="J93" s="33"/>
    </row>
    <row r="94" spans="2:15" x14ac:dyDescent="0.2">
      <c r="B94" s="25" t="s">
        <v>131</v>
      </c>
      <c r="D94" s="24"/>
      <c r="E94" s="24"/>
      <c r="F94" s="24"/>
      <c r="G94" s="24"/>
      <c r="H94" s="33"/>
      <c r="I94" s="33"/>
      <c r="J94" s="33"/>
    </row>
    <row r="95" spans="2:15" x14ac:dyDescent="0.2">
      <c r="B95" s="25" t="s">
        <v>132</v>
      </c>
      <c r="D95" s="24">
        <f>+'Adj. #11'!M14</f>
        <v>2064850.82</v>
      </c>
      <c r="E95" s="76" t="s">
        <v>223</v>
      </c>
      <c r="F95" s="24"/>
      <c r="G95" s="24"/>
      <c r="H95" s="33"/>
      <c r="I95" s="33"/>
      <c r="J95" s="33"/>
    </row>
    <row r="96" spans="2:15" x14ac:dyDescent="0.2">
      <c r="B96" s="25" t="s">
        <v>133</v>
      </c>
      <c r="D96" s="24"/>
      <c r="E96" s="24"/>
      <c r="F96" s="24"/>
      <c r="G96" s="24"/>
      <c r="H96" s="33"/>
      <c r="I96" s="33"/>
      <c r="J96" s="33"/>
    </row>
    <row r="97" spans="2:10" x14ac:dyDescent="0.2">
      <c r="B97" s="25" t="s">
        <v>134</v>
      </c>
      <c r="D97" s="24"/>
      <c r="E97" s="24"/>
      <c r="F97" s="24"/>
      <c r="G97" s="24"/>
      <c r="H97" s="33"/>
      <c r="I97" s="33"/>
      <c r="J97" s="33"/>
    </row>
    <row r="98" spans="2:10" x14ac:dyDescent="0.2">
      <c r="B98" s="25" t="s">
        <v>135</v>
      </c>
      <c r="D98" s="24"/>
      <c r="E98" s="24"/>
      <c r="F98" s="24"/>
      <c r="G98" s="24"/>
      <c r="H98" s="33"/>
      <c r="I98" s="33"/>
      <c r="J98" s="33"/>
    </row>
    <row r="99" spans="2:10" x14ac:dyDescent="0.2">
      <c r="B99" s="25" t="s">
        <v>136</v>
      </c>
      <c r="D99" s="24"/>
      <c r="E99" s="24"/>
      <c r="F99" s="24"/>
      <c r="G99" s="24"/>
      <c r="H99" s="33"/>
      <c r="I99" s="33"/>
      <c r="J99" s="33"/>
    </row>
    <row r="100" spans="2:10" x14ac:dyDescent="0.2">
      <c r="B100" s="25" t="s">
        <v>137</v>
      </c>
      <c r="D100" s="24"/>
      <c r="E100" s="24"/>
      <c r="F100" s="24"/>
      <c r="G100" s="24"/>
      <c r="H100" s="33"/>
      <c r="I100" s="33"/>
      <c r="J100" s="33"/>
    </row>
    <row r="101" spans="2:10" x14ac:dyDescent="0.2">
      <c r="B101" s="25" t="s">
        <v>138</v>
      </c>
      <c r="D101" s="24"/>
      <c r="E101" s="24"/>
      <c r="F101" s="24"/>
      <c r="G101" s="24"/>
      <c r="H101" s="33"/>
      <c r="I101" s="33"/>
      <c r="J101" s="33"/>
    </row>
    <row r="102" spans="2:10" x14ac:dyDescent="0.2">
      <c r="B102" s="25" t="s">
        <v>139</v>
      </c>
      <c r="D102" s="24"/>
      <c r="E102" s="24"/>
      <c r="F102" s="24"/>
      <c r="G102" s="24"/>
      <c r="H102" s="33"/>
      <c r="I102" s="33"/>
      <c r="J102" s="33"/>
    </row>
    <row r="103" spans="2:10" x14ac:dyDescent="0.2">
      <c r="B103" s="25" t="s">
        <v>140</v>
      </c>
      <c r="D103" s="24"/>
      <c r="E103" s="24"/>
      <c r="F103" s="24"/>
      <c r="G103" s="24"/>
      <c r="H103" s="33"/>
      <c r="I103" s="33"/>
      <c r="J103" s="33"/>
    </row>
    <row r="104" spans="2:10" x14ac:dyDescent="0.2">
      <c r="B104" s="25" t="s">
        <v>141</v>
      </c>
      <c r="D104" s="24"/>
      <c r="E104" s="24"/>
      <c r="F104" s="24"/>
      <c r="G104" s="24"/>
      <c r="H104" s="33"/>
      <c r="I104" s="33"/>
      <c r="J104" s="33"/>
    </row>
    <row r="105" spans="2:10" x14ac:dyDescent="0.2">
      <c r="B105" s="25" t="s">
        <v>142</v>
      </c>
      <c r="D105" s="24"/>
      <c r="E105" s="75"/>
      <c r="F105" s="24"/>
      <c r="G105" s="24"/>
      <c r="H105" s="33"/>
      <c r="I105" s="33"/>
      <c r="J105" s="33"/>
    </row>
    <row r="106" spans="2:10" x14ac:dyDescent="0.2">
      <c r="B106" s="25" t="s">
        <v>143</v>
      </c>
      <c r="D106" s="24"/>
      <c r="E106" s="24"/>
      <c r="F106" s="24"/>
      <c r="G106" s="24"/>
      <c r="H106" s="33"/>
      <c r="I106" s="33"/>
      <c r="J106" s="33"/>
    </row>
    <row r="107" spans="2:10" x14ac:dyDescent="0.2">
      <c r="B107" s="25" t="s">
        <v>145</v>
      </c>
      <c r="D107" s="24"/>
      <c r="E107" s="76"/>
      <c r="F107" s="24"/>
      <c r="G107" s="24"/>
      <c r="H107" s="33"/>
      <c r="I107" s="33"/>
      <c r="J107" s="33"/>
    </row>
    <row r="108" spans="2:10" x14ac:dyDescent="0.2">
      <c r="B108" s="25" t="s">
        <v>146</v>
      </c>
      <c r="D108" s="24">
        <f>+'Adj. #24'!D25</f>
        <v>-7880990.5199999996</v>
      </c>
      <c r="E108" s="76" t="s">
        <v>242</v>
      </c>
      <c r="F108" s="24"/>
      <c r="G108" s="24"/>
      <c r="H108" s="33"/>
      <c r="I108" s="33"/>
      <c r="J108" s="33"/>
    </row>
    <row r="109" spans="2:10" x14ac:dyDescent="0.2">
      <c r="B109" s="25" t="s">
        <v>147</v>
      </c>
      <c r="D109" s="24"/>
      <c r="E109" s="24"/>
      <c r="F109" s="24"/>
      <c r="G109" s="24"/>
      <c r="H109" s="33"/>
      <c r="I109" s="33"/>
      <c r="J109" s="33"/>
    </row>
    <row r="110" spans="2:10" x14ac:dyDescent="0.2">
      <c r="B110" s="25" t="s">
        <v>148</v>
      </c>
      <c r="D110" s="24"/>
      <c r="E110" s="24"/>
      <c r="F110" s="24"/>
      <c r="G110" s="24"/>
      <c r="H110" s="33"/>
      <c r="I110" s="33"/>
      <c r="J110" s="33"/>
    </row>
    <row r="111" spans="2:10" x14ac:dyDescent="0.2">
      <c r="B111" s="25" t="s">
        <v>149</v>
      </c>
      <c r="D111" s="24"/>
      <c r="E111" s="24"/>
      <c r="F111" s="24"/>
      <c r="G111" s="24"/>
      <c r="H111" s="33"/>
      <c r="I111" s="33"/>
      <c r="J111" s="33"/>
    </row>
    <row r="112" spans="2:10" x14ac:dyDescent="0.2">
      <c r="B112" s="25" t="s">
        <v>150</v>
      </c>
      <c r="D112" s="24"/>
      <c r="E112" s="76"/>
      <c r="F112" s="24"/>
      <c r="G112" s="24"/>
      <c r="H112" s="33"/>
      <c r="I112" s="33"/>
      <c r="J112" s="33"/>
    </row>
    <row r="113" spans="2:10" x14ac:dyDescent="0.2">
      <c r="B113" s="25" t="s">
        <v>151</v>
      </c>
      <c r="D113" s="24"/>
      <c r="E113" s="24"/>
      <c r="F113" s="24"/>
      <c r="G113" s="24"/>
      <c r="H113" s="33"/>
      <c r="I113" s="33"/>
      <c r="J113" s="33"/>
    </row>
    <row r="114" spans="2:10" x14ac:dyDescent="0.2">
      <c r="B114" s="25" t="s">
        <v>152</v>
      </c>
      <c r="D114" s="24"/>
      <c r="E114" s="24"/>
      <c r="F114" s="24"/>
      <c r="G114" s="24"/>
      <c r="H114" s="33"/>
      <c r="I114" s="33"/>
      <c r="J114" s="33"/>
    </row>
    <row r="115" spans="2:10" x14ac:dyDescent="0.2">
      <c r="B115" s="25" t="s">
        <v>153</v>
      </c>
      <c r="D115" s="24"/>
      <c r="E115" s="24"/>
      <c r="F115" s="24"/>
      <c r="G115" s="24"/>
      <c r="H115" s="33"/>
      <c r="I115" s="33"/>
      <c r="J115" s="33"/>
    </row>
    <row r="116" spans="2:10" x14ac:dyDescent="0.2">
      <c r="B116" s="25" t="s">
        <v>154</v>
      </c>
      <c r="D116" s="24"/>
      <c r="E116" s="24"/>
      <c r="F116" s="24"/>
      <c r="G116" s="24"/>
      <c r="H116" s="33"/>
      <c r="I116" s="33"/>
      <c r="J116" s="33"/>
    </row>
    <row r="117" spans="2:10" x14ac:dyDescent="0.2">
      <c r="B117" s="25" t="s">
        <v>155</v>
      </c>
      <c r="D117" s="24"/>
      <c r="E117" s="24"/>
      <c r="F117" s="24"/>
      <c r="G117" s="24"/>
      <c r="H117" s="33"/>
      <c r="I117" s="33"/>
      <c r="J117" s="33"/>
    </row>
    <row r="118" spans="2:10" x14ac:dyDescent="0.2">
      <c r="B118" s="25" t="s">
        <v>156</v>
      </c>
      <c r="D118" s="24"/>
      <c r="E118" s="24"/>
      <c r="F118" s="24"/>
      <c r="G118" s="24"/>
      <c r="H118" s="33"/>
      <c r="I118" s="33"/>
      <c r="J118" s="33"/>
    </row>
    <row r="119" spans="2:10" x14ac:dyDescent="0.2">
      <c r="B119" s="25" t="s">
        <v>159</v>
      </c>
    </row>
    <row r="120" spans="2:10" x14ac:dyDescent="0.2">
      <c r="B120" s="25" t="s">
        <v>160</v>
      </c>
    </row>
    <row r="121" spans="2:10" x14ac:dyDescent="0.2">
      <c r="B121" s="25" t="s">
        <v>161</v>
      </c>
    </row>
    <row r="122" spans="2:10" x14ac:dyDescent="0.2">
      <c r="B122" s="25" t="s">
        <v>162</v>
      </c>
      <c r="D122" s="27"/>
      <c r="E122" s="27"/>
      <c r="F122" s="27"/>
      <c r="G122" s="27"/>
    </row>
    <row r="123" spans="2:10" x14ac:dyDescent="0.2">
      <c r="B123" s="25" t="s">
        <v>163</v>
      </c>
    </row>
    <row r="124" spans="2:10" x14ac:dyDescent="0.2">
      <c r="B124" s="25" t="s">
        <v>164</v>
      </c>
    </row>
    <row r="125" spans="2:10" x14ac:dyDescent="0.2">
      <c r="B125" s="25" t="s">
        <v>165</v>
      </c>
    </row>
    <row r="126" spans="2:10" x14ac:dyDescent="0.2">
      <c r="B126" s="25" t="s">
        <v>166</v>
      </c>
    </row>
    <row r="127" spans="2:10" x14ac:dyDescent="0.2">
      <c r="B127" s="25" t="s">
        <v>167</v>
      </c>
      <c r="D127" s="43"/>
      <c r="E127" s="61"/>
      <c r="F127" s="61"/>
      <c r="G127" s="61"/>
    </row>
    <row r="128" spans="2:10" x14ac:dyDescent="0.2">
      <c r="B128" s="25" t="s">
        <v>176</v>
      </c>
      <c r="D128" s="43"/>
      <c r="E128" s="61"/>
    </row>
    <row r="129" spans="2:12" x14ac:dyDescent="0.2">
      <c r="B129" s="25" t="s">
        <v>177</v>
      </c>
    </row>
    <row r="130" spans="2:12" x14ac:dyDescent="0.2">
      <c r="B130" s="25" t="s">
        <v>178</v>
      </c>
    </row>
    <row r="131" spans="2:12" x14ac:dyDescent="0.2">
      <c r="B131" s="25" t="s">
        <v>179</v>
      </c>
    </row>
    <row r="132" spans="2:12" x14ac:dyDescent="0.2">
      <c r="B132" s="25" t="s">
        <v>180</v>
      </c>
    </row>
    <row r="133" spans="2:12" x14ac:dyDescent="0.2">
      <c r="B133" s="25" t="s">
        <v>181</v>
      </c>
      <c r="D133" s="31"/>
      <c r="E133" s="31"/>
      <c r="F133" s="31"/>
      <c r="G133" s="31"/>
      <c r="H133" s="31"/>
      <c r="I133" s="31"/>
      <c r="J133" s="31"/>
      <c r="K133" s="31"/>
      <c r="L133" s="31"/>
    </row>
    <row r="135" spans="2:12" ht="13.5" thickBot="1" x14ac:dyDescent="0.25">
      <c r="D135" s="26">
        <f>SUM(D85:D133)</f>
        <v>22681091.490000002</v>
      </c>
    </row>
    <row r="136" spans="2:12" ht="13.5" thickTop="1" x14ac:dyDescent="0.2"/>
  </sheetData>
  <phoneticPr fontId="9" type="noConversion"/>
  <hyperlinks>
    <hyperlink ref="E89" location="'Adj. #5'!A1" display="Merit Increase and Wages Annualized" xr:uid="{8E954A45-9F7E-40E6-87BF-85CE8441531E}"/>
    <hyperlink ref="E95" location="'Adj. #11'!A1" display="Incentive Compensation Adjustment" xr:uid="{027E65BA-7E9B-4D36-ADC9-D2399A8643C6}"/>
    <hyperlink ref="E108" location="'Adj. #24'!A1" display="Excluded Project Costs" xr:uid="{BE548463-82C5-4042-BCA1-9DDCD865A3BB}"/>
  </hyperlinks>
  <printOptions horizontalCentered="1"/>
  <pageMargins left="0" right="0" top="1" bottom="0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0C0"/>
    <pageSetUpPr fitToPage="1"/>
  </sheetPr>
  <dimension ref="A1:N30"/>
  <sheetViews>
    <sheetView zoomScaleNormal="100" workbookViewId="0">
      <selection activeCell="H25" sqref="H25"/>
    </sheetView>
  </sheetViews>
  <sheetFormatPr defaultRowHeight="12.75" x14ac:dyDescent="0.2"/>
  <cols>
    <col min="1" max="1" width="5.140625" bestFit="1" customWidth="1"/>
    <col min="2" max="2" width="15.7109375" customWidth="1"/>
    <col min="3" max="3" width="8.7109375" bestFit="1" customWidth="1"/>
    <col min="4" max="4" width="20.5703125" bestFit="1" customWidth="1"/>
    <col min="5" max="5" width="14.7109375" customWidth="1"/>
    <col min="6" max="8" width="14.7109375" style="45" customWidth="1"/>
    <col min="9" max="9" width="14.7109375" customWidth="1"/>
    <col min="10" max="11" width="14.7109375" style="45" customWidth="1"/>
    <col min="12" max="12" width="14.7109375" customWidth="1"/>
    <col min="13" max="13" width="21" customWidth="1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2">
        <v>1</v>
      </c>
      <c r="B6" s="16" t="s">
        <v>144</v>
      </c>
      <c r="C6" s="16"/>
      <c r="D6" s="16"/>
    </row>
    <row r="7" spans="1:13" x14ac:dyDescent="0.2">
      <c r="A7" s="2">
        <v>2</v>
      </c>
      <c r="B7" s="18"/>
      <c r="C7" s="18"/>
      <c r="D7" s="18"/>
      <c r="E7" s="18"/>
      <c r="F7" s="48"/>
      <c r="G7" s="48"/>
      <c r="H7" s="48"/>
      <c r="I7" s="18"/>
      <c r="J7" s="48"/>
      <c r="K7" s="48"/>
    </row>
    <row r="8" spans="1:13" x14ac:dyDescent="0.2">
      <c r="A8" s="2">
        <v>3</v>
      </c>
      <c r="B8" s="18"/>
      <c r="C8" s="18"/>
      <c r="D8" s="18"/>
      <c r="E8" s="19"/>
      <c r="F8" s="53"/>
      <c r="G8" s="53"/>
      <c r="H8" s="53"/>
      <c r="I8" s="20"/>
      <c r="J8" s="49"/>
      <c r="K8" s="49"/>
      <c r="M8" s="56"/>
    </row>
    <row r="9" spans="1:13" s="45" customFormat="1" x14ac:dyDescent="0.2">
      <c r="A9" s="46">
        <v>4</v>
      </c>
      <c r="B9" s="48"/>
      <c r="C9" s="52"/>
      <c r="D9" s="88"/>
      <c r="E9" s="53"/>
      <c r="F9" s="53"/>
      <c r="G9" s="53"/>
      <c r="H9" s="53"/>
      <c r="I9" s="49"/>
      <c r="J9" s="49"/>
      <c r="K9" s="67" t="s">
        <v>175</v>
      </c>
      <c r="M9" s="56">
        <f>+E13</f>
        <v>0</v>
      </c>
    </row>
    <row r="10" spans="1:13" s="45" customFormat="1" x14ac:dyDescent="0.2">
      <c r="A10" s="46">
        <v>5</v>
      </c>
      <c r="B10" s="48"/>
      <c r="C10" s="52"/>
      <c r="D10" s="48"/>
      <c r="E10" s="53"/>
      <c r="F10" s="53"/>
      <c r="G10" s="53"/>
      <c r="H10" s="53"/>
      <c r="I10" s="49"/>
      <c r="J10" s="49"/>
      <c r="K10" s="49"/>
      <c r="M10" s="43"/>
    </row>
    <row r="11" spans="1:13" s="45" customFormat="1" x14ac:dyDescent="0.2">
      <c r="A11" s="46">
        <v>6</v>
      </c>
      <c r="B11" s="48"/>
      <c r="C11" s="52"/>
      <c r="D11" s="48"/>
      <c r="E11" s="53"/>
      <c r="F11" s="53"/>
      <c r="G11" s="53"/>
      <c r="H11" s="53"/>
      <c r="I11" s="49"/>
      <c r="J11" s="49"/>
      <c r="K11" s="49"/>
      <c r="M11" s="43"/>
    </row>
    <row r="12" spans="1:13" x14ac:dyDescent="0.2">
      <c r="A12" s="46">
        <v>7</v>
      </c>
      <c r="B12" s="52"/>
      <c r="C12" s="18"/>
      <c r="D12" s="18"/>
      <c r="E12" s="21"/>
      <c r="F12" s="50"/>
      <c r="G12" s="50"/>
      <c r="H12" s="50"/>
      <c r="I12" s="22"/>
      <c r="J12" s="51"/>
      <c r="K12" s="51"/>
      <c r="M12" s="43"/>
    </row>
    <row r="13" spans="1:13" x14ac:dyDescent="0.2">
      <c r="A13" s="46">
        <v>8</v>
      </c>
      <c r="B13" s="18"/>
      <c r="C13" s="18"/>
      <c r="D13" s="18"/>
      <c r="E13" s="78"/>
      <c r="F13" s="51"/>
      <c r="G13" s="51"/>
      <c r="H13" s="51"/>
      <c r="I13" s="22"/>
      <c r="J13" s="51"/>
      <c r="K13" s="51"/>
    </row>
    <row r="14" spans="1:13" s="45" customFormat="1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0</v>
      </c>
    </row>
    <row r="15" spans="1:13" ht="13.5" thickTop="1" x14ac:dyDescent="0.2">
      <c r="A15" s="46">
        <v>10</v>
      </c>
      <c r="B15" s="18"/>
      <c r="C15" s="18"/>
      <c r="D15" s="18"/>
      <c r="E15" s="18"/>
      <c r="F15" s="48"/>
      <c r="G15" s="48"/>
      <c r="H15" s="48"/>
      <c r="I15" s="1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58"/>
      <c r="K17" s="58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59" t="s">
        <v>168</v>
      </c>
      <c r="G20" s="59" t="s">
        <v>169</v>
      </c>
      <c r="H20" s="59" t="s">
        <v>171</v>
      </c>
      <c r="I20" s="135" t="s">
        <v>8</v>
      </c>
      <c r="J20" s="59" t="s">
        <v>168</v>
      </c>
      <c r="K20" s="59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60" t="s">
        <v>7</v>
      </c>
      <c r="G21" s="60" t="s">
        <v>170</v>
      </c>
      <c r="H21" s="60" t="s">
        <v>7</v>
      </c>
      <c r="I21" s="137"/>
      <c r="J21" s="60" t="s">
        <v>8</v>
      </c>
      <c r="K21" s="60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17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s="45" customFormat="1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0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E17:I17"/>
    <mergeCell ref="B2:L3"/>
    <mergeCell ref="B20:B21"/>
    <mergeCell ref="B17:D17"/>
    <mergeCell ref="B4:L4"/>
    <mergeCell ref="C20:C21"/>
    <mergeCell ref="E20:E21"/>
    <mergeCell ref="I20:I21"/>
    <mergeCell ref="L20:L21"/>
  </mergeCells>
  <phoneticPr fontId="9" type="noConversion"/>
  <hyperlinks>
    <hyperlink ref="B30" location="'Total Summary'!A80" display="Return to Summary" xr:uid="{C2EBB54B-F8F4-448E-A296-E1ED312A3E63}"/>
  </hyperlinks>
  <printOptions horizontalCentered="1"/>
  <pageMargins left="0.05" right="0.05" top="2.6" bottom="0.5" header="1.5" footer="0.5"/>
  <pageSetup scale="72" orientation="landscape"/>
  <headerFooter alignWithMargins="0">
    <oddHeader>&amp;C&amp;"Arial,Bold"
ONCOR ELECTRIC DELIVERY COMPANY LLC
xxxxxx
FOR THE TEST YEAR ENDING DECEMBER 31, 2020
SPONSOR: A. LEDBETTER&amp;R&amp;"Arial,Bold"WP/II-D ADJUSTMENT/1
Page &amp;P of &amp;N</oddHeader>
  </headerFooter>
  <ignoredErrors>
    <ignoredError sqref="H24:H2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6A61E-D4AD-4DBC-9988-B459C8B45D75}">
  <sheetPr codeName="Sheet5">
    <pageSetUpPr fitToPage="1"/>
  </sheetPr>
  <dimension ref="A1:N30"/>
  <sheetViews>
    <sheetView zoomScaleNormal="100" workbookViewId="0">
      <selection activeCell="B30" sqref="B30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184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143" t="s">
        <v>277</v>
      </c>
      <c r="H8" s="144"/>
      <c r="I8" s="143" t="s">
        <v>278</v>
      </c>
      <c r="J8" s="144"/>
      <c r="K8" s="49"/>
      <c r="M8" s="56"/>
    </row>
    <row r="9" spans="1:13" x14ac:dyDescent="0.2">
      <c r="A9" s="46">
        <v>4</v>
      </c>
      <c r="B9" s="48" t="s">
        <v>212</v>
      </c>
      <c r="C9" s="52"/>
      <c r="D9" s="88" t="s">
        <v>213</v>
      </c>
      <c r="E9" s="78">
        <f>+'[5]II-D-1'!$E$22</f>
        <v>1967817098.26</v>
      </c>
      <c r="F9" s="78" t="s">
        <v>172</v>
      </c>
      <c r="G9" s="78">
        <v>1393777237.05</v>
      </c>
      <c r="H9" s="78" t="s">
        <v>276</v>
      </c>
      <c r="I9" s="112">
        <f>+I11-I10</f>
        <v>1419002746.6200001</v>
      </c>
      <c r="J9" s="78" t="s">
        <v>276</v>
      </c>
      <c r="K9" s="67" t="s">
        <v>175</v>
      </c>
      <c r="M9" s="56">
        <f>+E13</f>
        <v>133024374.4000001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97">
        <v>574039861.22000003</v>
      </c>
      <c r="H10" s="78" t="s">
        <v>275</v>
      </c>
      <c r="I10" s="114">
        <f>+[1]Wholesale_NTS_RO!$N$67</f>
        <v>681838726.03999996</v>
      </c>
      <c r="J10" s="78" t="s">
        <v>275</v>
      </c>
      <c r="K10" s="49"/>
      <c r="M10" s="43"/>
    </row>
    <row r="11" spans="1:13" ht="13.5" thickBot="1" x14ac:dyDescent="0.25">
      <c r="A11" s="46">
        <v>6</v>
      </c>
      <c r="B11" s="48" t="s">
        <v>214</v>
      </c>
      <c r="C11" s="52"/>
      <c r="D11" s="48"/>
      <c r="E11" s="78">
        <f>+[1]Wholesale_NTS_RO!$H$64</f>
        <v>2100841472.6600001</v>
      </c>
      <c r="F11" s="78" t="s">
        <v>173</v>
      </c>
      <c r="G11" s="89">
        <f>+G9+G10</f>
        <v>1967817098.27</v>
      </c>
      <c r="I11" s="113">
        <f>+E11</f>
        <v>2100841472.6600001</v>
      </c>
      <c r="J11" s="49"/>
      <c r="K11" s="49"/>
      <c r="M11" s="43"/>
    </row>
    <row r="12" spans="1:13" ht="13.5" thickTop="1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114"/>
      <c r="J12" s="51"/>
      <c r="K12" s="51"/>
      <c r="M12" s="43"/>
    </row>
    <row r="13" spans="1:13" ht="13.5" thickBot="1" x14ac:dyDescent="0.25">
      <c r="A13" s="46">
        <v>8</v>
      </c>
      <c r="B13" s="48"/>
      <c r="C13" s="48"/>
      <c r="D13" s="48"/>
      <c r="E13" s="89">
        <f>+E11-E9</f>
        <v>133024374.4000001</v>
      </c>
      <c r="F13" s="51" t="s">
        <v>174</v>
      </c>
      <c r="H13" s="107" t="s">
        <v>279</v>
      </c>
      <c r="I13" s="115">
        <v>28908.86087</v>
      </c>
      <c r="J13" s="51"/>
      <c r="K13" s="51"/>
    </row>
    <row r="14" spans="1:13" ht="14.25" thickTop="1" thickBot="1" x14ac:dyDescent="0.25">
      <c r="A14" s="46">
        <v>9</v>
      </c>
      <c r="B14" s="48"/>
      <c r="C14" s="48"/>
      <c r="D14" s="48"/>
      <c r="E14" s="51"/>
      <c r="F14" s="51"/>
      <c r="G14" s="51"/>
      <c r="H14" s="107" t="s">
        <v>280</v>
      </c>
      <c r="I14" s="115">
        <v>81042.656556000002</v>
      </c>
      <c r="J14" s="51"/>
      <c r="K14" s="30" t="s">
        <v>158</v>
      </c>
      <c r="M14" s="55">
        <f>+M9</f>
        <v>133024374.4000001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108" t="s">
        <v>281</v>
      </c>
      <c r="I15" s="116">
        <f>ROUND(+I13/I14,7)</f>
        <v>0.35671170000000002</v>
      </c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51</v>
      </c>
      <c r="D23" s="41">
        <f>+M14</f>
        <v>133024374.4000001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133024374.4000001</v>
      </c>
      <c r="J23" s="56">
        <v>0</v>
      </c>
      <c r="K23" s="56">
        <f>SUM(I23:J23)</f>
        <v>133024374.4000001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133024374.4000001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133024374.4000001</v>
      </c>
      <c r="J26" s="55">
        <f t="shared" si="2"/>
        <v>0</v>
      </c>
      <c r="K26" s="55">
        <f t="shared" si="2"/>
        <v>133024374.4000001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2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  <mergeCell ref="G8:H8"/>
    <mergeCell ref="I8:J8"/>
  </mergeCells>
  <hyperlinks>
    <hyperlink ref="B30" location="'Total Summary'!A80" display="Return to Summary" xr:uid="{A00A3644-EA20-44DB-BE63-3D72FCA96CBC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WHOLESALE TRANSMISSION SERVICE EXPENSE ADJUSTMENT
FOR THE TEST YEAR ENDING DECEMBER 31, 2024
SPONSOR: R. PRACHYL &amp;&amp; M. TROXLE &amp;&amp; J. FENNELL&amp;R&amp;"Arial,Bold"WP/II-D ADJUSTMENT/1
Page 1 of 2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ED6A8-2D49-406B-83D3-DD45C5B589D0}">
  <sheetPr codeName="Sheet6">
    <pageSetUpPr fitToPage="1"/>
  </sheetPr>
  <dimension ref="A1:N30"/>
  <sheetViews>
    <sheetView zoomScale="85" zoomScaleNormal="85" workbookViewId="0">
      <selection activeCell="E12" sqref="E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215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102" t="s">
        <v>273</v>
      </c>
      <c r="F9" s="78">
        <v>15382470.25</v>
      </c>
      <c r="G9" s="78"/>
      <c r="H9" s="78"/>
      <c r="I9" s="49"/>
      <c r="J9" s="49"/>
      <c r="K9" s="67" t="s">
        <v>175</v>
      </c>
      <c r="M9" s="56">
        <f>ROUND(+F13,2)</f>
        <v>-2691289.59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102" t="s">
        <v>338</v>
      </c>
      <c r="F11" s="117">
        <f>+'[2]I-A-1'!L31</f>
        <v>12691180.663816001</v>
      </c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ht="13.5" thickBot="1" x14ac:dyDescent="0.25">
      <c r="A13" s="46">
        <v>8</v>
      </c>
      <c r="B13" s="48"/>
      <c r="C13" s="48"/>
      <c r="D13" s="48"/>
      <c r="E13" s="102" t="s">
        <v>274</v>
      </c>
      <c r="F13" s="89">
        <f>+F11-F9</f>
        <v>-2691289.5861839987</v>
      </c>
      <c r="G13" s="51"/>
      <c r="H13" s="51"/>
      <c r="I13" s="51"/>
      <c r="J13" s="51"/>
      <c r="K13" s="51"/>
    </row>
    <row r="14" spans="1:13" ht="14.25" thickTop="1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-2691289.59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29</v>
      </c>
      <c r="D23" s="41">
        <f>+M14</f>
        <v>-2691289.59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-2691289.59</v>
      </c>
      <c r="J23" s="56">
        <v>0</v>
      </c>
      <c r="K23" s="56">
        <f>SUM(I23:J23)</f>
        <v>-2691289.59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-2691289.59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-2691289.59</v>
      </c>
      <c r="J26" s="55">
        <f t="shared" si="2"/>
        <v>0</v>
      </c>
      <c r="K26" s="55">
        <f t="shared" si="2"/>
        <v>-2691289.59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91C5CAAF-02FB-42DD-8E89-F12A3BDFC1C7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WHOLESALE DISTRIBUTION SUBSTATION SERVICE (From Oncor NTU Dist to Oncor Dist)
FOR THE TEST YEAR ENDING DECEMBER 31, 2024
SPONSOR: R. PRACHYL &amp;&amp; M. TROXLE&amp;R&amp;"Arial,Bold"WP/II-D ADJUSTMENT/2
Page 1 of 3</oddHeader>
  </headerFooter>
  <ignoredErrors>
    <ignoredError sqref="H24:H25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CBD1F-74DB-40D3-AF41-99B37B030839}">
  <sheetPr codeName="Sheet7">
    <pageSetUpPr fitToPage="1"/>
  </sheetPr>
  <dimension ref="A1:N30"/>
  <sheetViews>
    <sheetView zoomScaleNormal="100" workbookViewId="0"/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183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54319348.25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-M9</f>
        <v>-54319348.25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42</v>
      </c>
      <c r="D23" s="41">
        <f>+M14</f>
        <v>-54319348.25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f>+D23</f>
        <v>-54319348.25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-54319348.25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-54319348.25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6F398B38-9204-4B6F-9AEB-07D0DF90BE6A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REMOVE EECRF AMOUNTS FROM TEST YEAR
FOR THE TEST YEAR ENDING DECEMBER 31, 2024
SPONSOR: R. PRACHYL &amp;&amp; M. TROXLE&amp;R&amp;"Arial,Bold"WP/II-D ADJUSTMENT/3
Page 1 of 2</oddHeader>
  </headerFooter>
  <ignoredErrors>
    <ignoredError sqref="H24:H25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C3D8-2F4F-4DAE-B46D-D00D45354F29}">
  <sheetPr codeName="Sheet8">
    <pageSetUpPr fitToPage="1"/>
  </sheetPr>
  <dimension ref="A1:N30"/>
  <sheetViews>
    <sheetView zoomScaleNormal="100" workbookViewId="0">
      <selection activeCell="D9" sqref="D9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304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17557053.710000008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17557053.710000008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217</v>
      </c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49</v>
      </c>
      <c r="D23" s="41">
        <v>66444.37</v>
      </c>
      <c r="E23" s="56">
        <v>72809.570000000007</v>
      </c>
      <c r="F23" s="56">
        <v>0</v>
      </c>
      <c r="G23" s="56">
        <v>0</v>
      </c>
      <c r="H23" s="56">
        <f>SUM(E23:G23)</f>
        <v>72809.570000000007</v>
      </c>
      <c r="I23" s="56">
        <v>-6365.2</v>
      </c>
      <c r="J23" s="56">
        <v>0</v>
      </c>
      <c r="K23" s="56">
        <f>SUM(I23:J23)</f>
        <v>-6365.2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69</v>
      </c>
      <c r="D24" s="69">
        <v>16352574.340000007</v>
      </c>
      <c r="E24" s="43">
        <v>6544077.8099999996</v>
      </c>
      <c r="F24" s="43">
        <v>0</v>
      </c>
      <c r="G24" s="43">
        <v>0</v>
      </c>
      <c r="H24" s="43">
        <f t="shared" ref="H24:H25" si="0">SUM(E24:G24)</f>
        <v>6544077.8099999996</v>
      </c>
      <c r="I24" s="43">
        <v>9808496.5299999993</v>
      </c>
      <c r="J24" s="43">
        <v>0</v>
      </c>
      <c r="K24" s="43">
        <f t="shared" ref="K24:K25" si="1">SUM(I24:J24)</f>
        <v>9808496.5299999993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48</v>
      </c>
      <c r="D25" s="69">
        <v>1138035</v>
      </c>
      <c r="E25" s="43">
        <f>ROUND(+$D25*'[3]II-F Alloc_Factor'!E$17,2)</f>
        <v>255852.19</v>
      </c>
      <c r="F25" s="43">
        <f>ROUND(+$D25*'[3]II-F Alloc_Factor'!F$17,2)</f>
        <v>0</v>
      </c>
      <c r="G25" s="43">
        <f>ROUND(+$D25*'[3]II-F Alloc_Factor'!G$17,2)</f>
        <v>0</v>
      </c>
      <c r="H25" s="43">
        <f t="shared" si="0"/>
        <v>255852.19</v>
      </c>
      <c r="I25" s="43">
        <f>+D25-E25-F25-G25-J25-L25-M25</f>
        <v>683285.9</v>
      </c>
      <c r="J25" s="43">
        <f>ROUND(+$D25*'[3]II-F Alloc_Factor'!J$17,2)</f>
        <v>0</v>
      </c>
      <c r="K25" s="43">
        <f t="shared" si="1"/>
        <v>683285.9</v>
      </c>
      <c r="L25" s="43">
        <f>ROUND(+$D25*'[3]II-F Alloc_Factor'!L$17,2)</f>
        <v>191065.11</v>
      </c>
      <c r="M25" s="43">
        <f>ROUND(+$D25*'[3]II-F Alloc_Factor'!M$17,2)</f>
        <v>7831.8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17557053.710000008</v>
      </c>
      <c r="E26" s="55">
        <f t="shared" si="2"/>
        <v>6872739.5700000003</v>
      </c>
      <c r="F26" s="55">
        <f t="shared" si="2"/>
        <v>0</v>
      </c>
      <c r="G26" s="55">
        <f t="shared" si="2"/>
        <v>0</v>
      </c>
      <c r="H26" s="55">
        <f t="shared" si="2"/>
        <v>6872739.5700000003</v>
      </c>
      <c r="I26" s="55">
        <f t="shared" si="2"/>
        <v>10485417.23</v>
      </c>
      <c r="J26" s="55">
        <f t="shared" si="2"/>
        <v>0</v>
      </c>
      <c r="K26" s="55">
        <f t="shared" si="2"/>
        <v>10485417.23</v>
      </c>
      <c r="L26" s="55">
        <f t="shared" si="2"/>
        <v>191065.11</v>
      </c>
      <c r="M26" s="55">
        <f t="shared" si="2"/>
        <v>7831.8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0E98FD2C-6F49-4029-AC67-92FD12F0D242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INSURANCE PREMIUM EXPENSE
FOR THE TEST YEAR ENDING DECEMBER 31, 2024
SPONSOR: R. PRACHYL &amp;&amp; S. CORRIE&amp;R&amp;"Arial,Bold"WP/II-D ADJUSTMENT/4
Page 1 of 2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EA0D1-C103-4D7B-B1BD-EAB26A43688B}">
  <sheetPr codeName="Sheet9">
    <tabColor rgb="FFFF0000"/>
    <pageSetUpPr fitToPage="1"/>
  </sheetPr>
  <dimension ref="A1:N30"/>
  <sheetViews>
    <sheetView zoomScaleNormal="100" workbookViewId="0">
      <selection activeCell="J30" sqref="J30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189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28497231.190000001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28497231.190000001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6" t="s">
        <v>190</v>
      </c>
      <c r="F17" s="147"/>
      <c r="G17" s="147"/>
      <c r="H17" s="147"/>
      <c r="I17" s="147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16</v>
      </c>
      <c r="D23" s="41">
        <f>ROUND(+M14*'[5]II-D-3'!$AA$38,2)</f>
        <v>4248916.13</v>
      </c>
      <c r="E23" s="56">
        <f>+D23</f>
        <v>4248916.13</v>
      </c>
      <c r="F23" s="56">
        <v>0</v>
      </c>
      <c r="G23" s="56">
        <v>0</v>
      </c>
      <c r="H23" s="56">
        <f>SUM(E23:G23)</f>
        <v>4248916.13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29</v>
      </c>
      <c r="D24" s="69">
        <f>ROUND(+M14*'[5]II-D-3'!$AA$69,2)</f>
        <v>13831475.74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+D24</f>
        <v>13831475.74</v>
      </c>
      <c r="J24" s="43">
        <v>0</v>
      </c>
      <c r="K24" s="43">
        <f t="shared" ref="K24:K25" si="1">SUM(I24:J24)</f>
        <v>13831475.74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44</v>
      </c>
      <c r="D25" s="69">
        <f>+M14-D24-D23</f>
        <v>10416839.32</v>
      </c>
      <c r="E25" s="43">
        <f>ROUND(+$D25*'[3]II-F Alloc_Factor'!E$17,2)</f>
        <v>2341906.14</v>
      </c>
      <c r="F25" s="43">
        <f>ROUND(+$D25*'[3]II-F Alloc_Factor'!F$17,2)</f>
        <v>0</v>
      </c>
      <c r="G25" s="43">
        <f>ROUND(+$D25*'[3]II-F Alloc_Factor'!G$17,2)</f>
        <v>0</v>
      </c>
      <c r="H25" s="43">
        <f t="shared" si="0"/>
        <v>2341906.14</v>
      </c>
      <c r="I25" s="43">
        <f>+D25-E25-F25-G25-J25-L25-M25</f>
        <v>6254359.0599999996</v>
      </c>
      <c r="J25" s="43">
        <f>ROUND(+$D25*'[3]II-F Alloc_Factor'!J$17,2)</f>
        <v>0</v>
      </c>
      <c r="K25" s="43">
        <f t="shared" si="1"/>
        <v>6254359.0599999996</v>
      </c>
      <c r="L25" s="43">
        <f>ROUND(+$D25*'[3]II-F Alloc_Factor'!L$17,2)</f>
        <v>1748886.91</v>
      </c>
      <c r="M25" s="43">
        <f>ROUND(+$D25*'[3]II-F Alloc_Factor'!M$17,2)</f>
        <v>71687.210000000006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28497231.190000001</v>
      </c>
      <c r="E26" s="55">
        <f t="shared" si="2"/>
        <v>6590822.2699999996</v>
      </c>
      <c r="F26" s="55">
        <f t="shared" si="2"/>
        <v>0</v>
      </c>
      <c r="G26" s="55">
        <f t="shared" si="2"/>
        <v>0</v>
      </c>
      <c r="H26" s="55">
        <f t="shared" si="2"/>
        <v>6590822.2699999996</v>
      </c>
      <c r="I26" s="55">
        <f t="shared" si="2"/>
        <v>20085834.800000001</v>
      </c>
      <c r="J26" s="55">
        <f t="shared" si="2"/>
        <v>0</v>
      </c>
      <c r="K26" s="55">
        <f t="shared" si="2"/>
        <v>20085834.800000001</v>
      </c>
      <c r="L26" s="55">
        <f t="shared" si="2"/>
        <v>1748886.91</v>
      </c>
      <c r="M26" s="55">
        <f t="shared" si="2"/>
        <v>71687.210000000006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821E0A41-74B1-4255-9E41-6E97FE62095F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MERIT INCREASE AND WAGES ANNUALIZED
FOR THE TEST YEAR ENDING DECEMBER 31, 2024
SPONSOR: R. PRACHYL &amp;&amp; A. GUILLORY&amp;R&amp;"Arial,Bold"WP/II-D ADJUSTMENT/5
Page 1 of 2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48169-6666-4CBF-8173-AEC74E417616}">
  <sheetPr codeName="Sheet10">
    <pageSetUpPr fitToPage="1"/>
  </sheetPr>
  <dimension ref="A1:N30"/>
  <sheetViews>
    <sheetView zoomScaleNormal="100" workbookViewId="0">
      <selection activeCell="B30" sqref="B30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218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701340.01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701340.01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48</v>
      </c>
      <c r="D23" s="41">
        <f>+M14</f>
        <v>701340.01</v>
      </c>
      <c r="E23" s="56">
        <f>ROUND(+$D23*'[3]II-F Alloc_Factor'!E$17,2)</f>
        <v>157674.74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157674.74</v>
      </c>
      <c r="I23" s="56">
        <f>ROUND(+$D23*'[3]II-F Alloc_Factor'!I$17,2)</f>
        <v>421090.52</v>
      </c>
      <c r="J23" s="56">
        <f>ROUND(+$D23*'[3]II-F Alloc_Factor'!J$17,2)</f>
        <v>0</v>
      </c>
      <c r="K23" s="56">
        <f>SUM(I23:J23)</f>
        <v>421090.52</v>
      </c>
      <c r="L23" s="56">
        <f>ROUND(+$D23*'[3]II-F Alloc_Factor'!L$17,2)</f>
        <v>117748.23</v>
      </c>
      <c r="M23" s="56">
        <f>ROUND(+$D23*'[3]II-F Alloc_Factor'!M$17,2)</f>
        <v>4826.5200000000004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701340.01</v>
      </c>
      <c r="E26" s="55">
        <f t="shared" si="2"/>
        <v>157674.74</v>
      </c>
      <c r="F26" s="55">
        <f t="shared" si="2"/>
        <v>0</v>
      </c>
      <c r="G26" s="55">
        <f t="shared" si="2"/>
        <v>0</v>
      </c>
      <c r="H26" s="55">
        <f t="shared" si="2"/>
        <v>157674.74</v>
      </c>
      <c r="I26" s="55">
        <f t="shared" si="2"/>
        <v>421090.52</v>
      </c>
      <c r="J26" s="55">
        <f t="shared" si="2"/>
        <v>0</v>
      </c>
      <c r="K26" s="55">
        <f t="shared" si="2"/>
        <v>421090.52</v>
      </c>
      <c r="L26" s="55">
        <f t="shared" si="2"/>
        <v>117748.23</v>
      </c>
      <c r="M26" s="55">
        <f t="shared" si="2"/>
        <v>4826.5200000000004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1B1F86F9-85B4-4ADE-B926-6AA2D7161380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REMOVE CREDIT IN 2024 / Q4 BENEFIT EXP PAID IN 2025
FOR THE TEST YEAR ENDING DECEMBER 31, 2024
SPONSOR: R. PRACHYL &amp;&amp; A. GUILLORY&amp;R&amp;"Arial,Bold"WP/II-D ADJUSTMENT/6
Page 1 of 2</oddHeader>
  </headerFooter>
  <ignoredErrors>
    <ignoredError sqref="H24:H25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43621-56C8-4482-B69D-AFD07C0A6268}">
  <sheetPr codeName="Sheet11">
    <pageSetUpPr fitToPage="1"/>
  </sheetPr>
  <dimension ref="A1:N30"/>
  <sheetViews>
    <sheetView zoomScaleNormal="100" workbookViewId="0">
      <selection activeCell="I31" sqref="I31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306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-5115880.75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-5115880.75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48</v>
      </c>
      <c r="D23" s="41">
        <f>+M14</f>
        <v>-5115880.75</v>
      </c>
      <c r="E23" s="56">
        <f>ROUND(+$D23*'[3]II-F Alloc_Factor'!E$17,2)</f>
        <v>-1150148.54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-1150148.54</v>
      </c>
      <c r="I23" s="56">
        <f>ROUND(+$D23*'[3]II-F Alloc_Factor'!I$17,2)</f>
        <v>-3071618.38</v>
      </c>
      <c r="J23" s="56">
        <f>ROUND(+$D23*'[3]II-F Alloc_Factor'!J$17,2)</f>
        <v>0</v>
      </c>
      <c r="K23" s="56">
        <f>SUM(I23:J23)</f>
        <v>-3071618.38</v>
      </c>
      <c r="L23" s="56">
        <f>ROUND(+$D23*'[3]II-F Alloc_Factor'!L$17,2)</f>
        <v>-858907.06</v>
      </c>
      <c r="M23" s="56">
        <f>ROUND(+$D23*'[3]II-F Alloc_Factor'!M$17,2)</f>
        <v>-35206.769999999997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-5115880.75</v>
      </c>
      <c r="E26" s="55">
        <f t="shared" si="2"/>
        <v>-1150148.54</v>
      </c>
      <c r="F26" s="55">
        <f t="shared" si="2"/>
        <v>0</v>
      </c>
      <c r="G26" s="55">
        <f t="shared" si="2"/>
        <v>0</v>
      </c>
      <c r="H26" s="55">
        <f t="shared" si="2"/>
        <v>-1150148.54</v>
      </c>
      <c r="I26" s="55">
        <f t="shared" si="2"/>
        <v>-3071618.38</v>
      </c>
      <c r="J26" s="55">
        <f t="shared" si="2"/>
        <v>0</v>
      </c>
      <c r="K26" s="55">
        <f t="shared" si="2"/>
        <v>-3071618.38</v>
      </c>
      <c r="L26" s="55">
        <f t="shared" si="2"/>
        <v>-858907.06</v>
      </c>
      <c r="M26" s="55">
        <f t="shared" si="2"/>
        <v>-35206.769999999997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FAE51F5D-03FB-4DB0-B94F-7957552ABBB4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PENSION EXPENSE ADJUSTMENT
FOR THE TEST YEAR ENDING DECEMBER 31, 2024
SPONSOR: R. PRACHYL &amp;&amp; A. LOGAN&amp;R&amp;"Arial,Bold"WP/II-D ADJUSTMENT/7
Page 1 of 2</oddHeader>
  </headerFooter>
  <ignoredErrors>
    <ignoredError sqref="H24:H25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A16BC-3887-4725-8BE8-04FD0861294E}">
  <sheetPr codeName="Sheet12">
    <pageSetUpPr fitToPage="1"/>
  </sheetPr>
  <dimension ref="A1:N30"/>
  <sheetViews>
    <sheetView zoomScaleNormal="100" workbookViewId="0">
      <selection activeCell="J35" sqref="J35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307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365748.34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365748.34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48</v>
      </c>
      <c r="D23" s="41">
        <f>+M14</f>
        <v>365748.34</v>
      </c>
      <c r="E23" s="56">
        <f>ROUND(+$D23*'[3]II-F Alloc_Factor'!E$17,2)</f>
        <v>82227.27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82227.27</v>
      </c>
      <c r="I23" s="56">
        <f>+D23-E23-F23-G23-J23-L23-M23</f>
        <v>219598.42</v>
      </c>
      <c r="J23" s="56">
        <f>ROUND(+$D23*'[3]II-F Alloc_Factor'!J$17,2)</f>
        <v>0</v>
      </c>
      <c r="K23" s="56">
        <f>SUM(I23:J23)</f>
        <v>219598.42</v>
      </c>
      <c r="L23" s="56">
        <f>ROUND(+$D23*'[3]II-F Alloc_Factor'!L$17,2)</f>
        <v>61405.62</v>
      </c>
      <c r="M23" s="56">
        <f>ROUND(+$D23*'[3]II-F Alloc_Factor'!M$17,2)</f>
        <v>2517.0300000000002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365748.34</v>
      </c>
      <c r="E26" s="55">
        <f t="shared" si="2"/>
        <v>82227.27</v>
      </c>
      <c r="F26" s="55">
        <f t="shared" si="2"/>
        <v>0</v>
      </c>
      <c r="G26" s="55">
        <f t="shared" si="2"/>
        <v>0</v>
      </c>
      <c r="H26" s="55">
        <f t="shared" si="2"/>
        <v>82227.27</v>
      </c>
      <c r="I26" s="55">
        <f t="shared" si="2"/>
        <v>219598.42</v>
      </c>
      <c r="J26" s="55">
        <f t="shared" si="2"/>
        <v>0</v>
      </c>
      <c r="K26" s="55">
        <f t="shared" si="2"/>
        <v>219598.42</v>
      </c>
      <c r="L26" s="55">
        <f t="shared" si="2"/>
        <v>61405.62</v>
      </c>
      <c r="M26" s="55">
        <f t="shared" si="2"/>
        <v>2517.0300000000002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4641C819-28D4-40AE-89EB-F7C476CEFC9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OPEB EXPENSE ADJUSTMENT
FOR THE TEST YEAR ENDING DECEMBER 31, 2024
SPONSOR: R. PRACHYL &amp;&amp; A. LOGAN&amp;R&amp;"Arial,Bold"WP/II-D ADJUSTMENT/8
Page 1 OF 2</oddHeader>
  </headerFooter>
  <ignoredErrors>
    <ignoredError sqref="H24:H25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68D90-F228-4750-BDC0-ADAB5D611EEE}">
  <sheetPr codeName="Sheet13">
    <pageSetUpPr fitToPage="1"/>
  </sheetPr>
  <dimension ref="A1:N30"/>
  <sheetViews>
    <sheetView zoomScaleNormal="100" workbookViewId="0"/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308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87693.69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87693.69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48</v>
      </c>
      <c r="D23" s="41">
        <f>+M14</f>
        <v>87693.69</v>
      </c>
      <c r="E23" s="56">
        <f>ROUND(+$D23*'[3]II-F Alloc_Factor'!E$17,2)</f>
        <v>19715.23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19715.23</v>
      </c>
      <c r="I23" s="56">
        <f>+D23-E23-F23-G23-J23-L23-M23</f>
        <v>52652.030000000006</v>
      </c>
      <c r="J23" s="56">
        <f>ROUND(+$D23*'[3]II-F Alloc_Factor'!J$17,2)</f>
        <v>0</v>
      </c>
      <c r="K23" s="56">
        <f>SUM(I23:J23)</f>
        <v>52652.030000000006</v>
      </c>
      <c r="L23" s="56">
        <f>ROUND(+$D23*'[3]II-F Alloc_Factor'!L$17,2)</f>
        <v>14722.93</v>
      </c>
      <c r="M23" s="56">
        <f>ROUND(+$D23*'[3]II-F Alloc_Factor'!M$17,2)</f>
        <v>603.5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87693.69</v>
      </c>
      <c r="E26" s="55">
        <f t="shared" si="2"/>
        <v>19715.23</v>
      </c>
      <c r="F26" s="55">
        <f t="shared" si="2"/>
        <v>0</v>
      </c>
      <c r="G26" s="55">
        <f t="shared" si="2"/>
        <v>0</v>
      </c>
      <c r="H26" s="55">
        <f t="shared" si="2"/>
        <v>19715.23</v>
      </c>
      <c r="I26" s="55">
        <f t="shared" si="2"/>
        <v>52652.030000000006</v>
      </c>
      <c r="J26" s="55">
        <f t="shared" si="2"/>
        <v>0</v>
      </c>
      <c r="K26" s="55">
        <f t="shared" si="2"/>
        <v>52652.030000000006</v>
      </c>
      <c r="L26" s="55">
        <f t="shared" si="2"/>
        <v>14722.93</v>
      </c>
      <c r="M26" s="55">
        <f t="shared" si="2"/>
        <v>603.5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D651D6BC-E178-4F34-8763-E70E35E96660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FAS 112 (ASC 712) EXPENSE ADJUSTMENT
FOR THE TEST YEAR ENDING DECEMBER 31, 2024
SPONSOR: R. PRACHYL&amp;R&amp;"Arial,Bold"WP/II-D ADJUSTMENT/9
Page 1 of 2</oddHeader>
  </headerFooter>
  <ignoredErrors>
    <ignoredError sqref="H24:H25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10AE2-4DBC-48A9-84A6-8D971A0FDBDC}">
  <sheetPr codeName="Sheet14">
    <pageSetUpPr fitToPage="1"/>
  </sheetPr>
  <dimension ref="A1:N30"/>
  <sheetViews>
    <sheetView zoomScaleNormal="100" workbookViewId="0">
      <selection activeCell="D11" sqref="D11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309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225108.27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225108.27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82"/>
      <c r="K17" s="82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3" t="s">
        <v>168</v>
      </c>
      <c r="G20" s="83" t="s">
        <v>169</v>
      </c>
      <c r="H20" s="83" t="s">
        <v>171</v>
      </c>
      <c r="I20" s="135" t="s">
        <v>8</v>
      </c>
      <c r="J20" s="83" t="s">
        <v>168</v>
      </c>
      <c r="K20" s="83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4" t="s">
        <v>7</v>
      </c>
      <c r="G21" s="84" t="s">
        <v>170</v>
      </c>
      <c r="H21" s="84" t="s">
        <v>7</v>
      </c>
      <c r="I21" s="137"/>
      <c r="J21" s="84" t="s">
        <v>8</v>
      </c>
      <c r="K21" s="84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45</v>
      </c>
      <c r="D23" s="41">
        <f>+M14</f>
        <v>225108.27</v>
      </c>
      <c r="E23" s="56">
        <f>ROUND(+$D23*'[3]II-F Alloc_Factor'!E$17,2)</f>
        <v>50608.68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50608.68</v>
      </c>
      <c r="I23" s="56">
        <f>+D23-E23-F23-G23-J23-L23-M23</f>
        <v>135156.91999999998</v>
      </c>
      <c r="J23" s="56">
        <f>ROUND(+$D23*'[3]II-F Alloc_Factor'!J$17,2)</f>
        <v>0</v>
      </c>
      <c r="K23" s="56">
        <f>SUM(I23:J23)</f>
        <v>135156.91999999998</v>
      </c>
      <c r="L23" s="56">
        <f>ROUND(+$D23*'[3]II-F Alloc_Factor'!L$17,2)</f>
        <v>37793.51</v>
      </c>
      <c r="M23" s="56">
        <f>ROUND(+$D23*'[3]II-F Alloc_Factor'!M$17,2)</f>
        <v>1549.16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225108.27</v>
      </c>
      <c r="E26" s="55">
        <f t="shared" si="2"/>
        <v>50608.68</v>
      </c>
      <c r="F26" s="55">
        <f t="shared" si="2"/>
        <v>0</v>
      </c>
      <c r="G26" s="55">
        <f t="shared" si="2"/>
        <v>0</v>
      </c>
      <c r="H26" s="55">
        <f t="shared" si="2"/>
        <v>50608.68</v>
      </c>
      <c r="I26" s="55">
        <f t="shared" si="2"/>
        <v>135156.91999999998</v>
      </c>
      <c r="J26" s="55">
        <f t="shared" si="2"/>
        <v>0</v>
      </c>
      <c r="K26" s="55">
        <f t="shared" si="2"/>
        <v>135156.91999999998</v>
      </c>
      <c r="L26" s="55">
        <f t="shared" si="2"/>
        <v>37793.51</v>
      </c>
      <c r="M26" s="55">
        <f t="shared" si="2"/>
        <v>1549.16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F391BBEE-5296-4DC8-BE2F-8848E60991AE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HR CONTRACTS  / HR SERVICES ADJUSTMENT
FOR THE TEST YEAR ENDING DECEMBER 31, 2024
SPONSOR: R. PRACHYL &amp;&amp; A. GUILLORY&amp;R&amp;"Arial,Bold"WP/II-D ADJUSTMENT/10
Page 1 of 2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B81B8-31FB-4AF2-AEB4-31F78EFA3743}">
  <sheetPr codeName="Sheet15">
    <tabColor rgb="FFFF0000"/>
    <pageSetUpPr fitToPage="1"/>
  </sheetPr>
  <dimension ref="A1:N30"/>
  <sheetViews>
    <sheetView zoomScaleNormal="100" workbookViewId="0">
      <selection activeCell="F11" sqref="F11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340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2064850.82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2064850.82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222</v>
      </c>
      <c r="F17" s="134"/>
      <c r="G17" s="134"/>
      <c r="H17" s="134"/>
      <c r="I17" s="134"/>
      <c r="J17" s="85"/>
      <c r="K17" s="85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86" t="s">
        <v>168</v>
      </c>
      <c r="G20" s="86" t="s">
        <v>169</v>
      </c>
      <c r="H20" s="86" t="s">
        <v>171</v>
      </c>
      <c r="I20" s="135" t="s">
        <v>8</v>
      </c>
      <c r="J20" s="86" t="s">
        <v>168</v>
      </c>
      <c r="K20" s="86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87" t="s">
        <v>7</v>
      </c>
      <c r="G21" s="87" t="s">
        <v>170</v>
      </c>
      <c r="H21" s="87" t="s">
        <v>7</v>
      </c>
      <c r="I21" s="137"/>
      <c r="J21" s="87" t="s">
        <v>8</v>
      </c>
      <c r="K21" s="87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16</v>
      </c>
      <c r="D23" s="41">
        <v>1506168.18</v>
      </c>
      <c r="E23" s="56">
        <f>+D23</f>
        <v>1506168.18</v>
      </c>
      <c r="F23" s="56">
        <v>0</v>
      </c>
      <c r="G23" s="56">
        <v>0</v>
      </c>
      <c r="H23" s="56">
        <f>SUM(E23:G23)</f>
        <v>1506168.18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29</v>
      </c>
      <c r="D24" s="69">
        <v>1699179.27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+D24</f>
        <v>1699179.27</v>
      </c>
      <c r="J24" s="43">
        <v>0</v>
      </c>
      <c r="K24" s="43">
        <f t="shared" ref="K24:K25" si="1">SUM(I24:J24)</f>
        <v>1699179.27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44</v>
      </c>
      <c r="D25" s="69">
        <v>-1140496.6299999999</v>
      </c>
      <c r="E25" s="43">
        <f>ROUND(+$D25*'[3]II-F Alloc_Factor'!E$17,2)</f>
        <v>-256405.61</v>
      </c>
      <c r="F25" s="43">
        <f>ROUND(+$D25*'[3]II-F Alloc_Factor'!F$17,2)</f>
        <v>0</v>
      </c>
      <c r="G25" s="43">
        <f>ROUND(+$D25*'[3]II-F Alloc_Factor'!G$17,2)</f>
        <v>0</v>
      </c>
      <c r="H25" s="43">
        <f t="shared" si="0"/>
        <v>-256405.61</v>
      </c>
      <c r="I25" s="43">
        <f>ROUND(+$D25*'[3]II-F Alloc_Factor'!I$17,2)</f>
        <v>-684763.89</v>
      </c>
      <c r="J25" s="43">
        <f>ROUND(+$D25*'[3]II-F Alloc_Factor'!J$17,2)</f>
        <v>0</v>
      </c>
      <c r="K25" s="43">
        <f t="shared" si="1"/>
        <v>-684763.89</v>
      </c>
      <c r="L25" s="43">
        <f>ROUND(+$D25*'[3]II-F Alloc_Factor'!L$17,2)</f>
        <v>-191478.39</v>
      </c>
      <c r="M25" s="43">
        <f>ROUND(+$D25*'[3]II-F Alloc_Factor'!M$17,2)</f>
        <v>-7848.74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2064850.8200000003</v>
      </c>
      <c r="E26" s="55">
        <f t="shared" si="2"/>
        <v>1249762.5699999998</v>
      </c>
      <c r="F26" s="55">
        <f t="shared" si="2"/>
        <v>0</v>
      </c>
      <c r="G26" s="55">
        <f t="shared" si="2"/>
        <v>0</v>
      </c>
      <c r="H26" s="55">
        <f t="shared" si="2"/>
        <v>1249762.5699999998</v>
      </c>
      <c r="I26" s="55">
        <f t="shared" si="2"/>
        <v>1014415.38</v>
      </c>
      <c r="J26" s="55">
        <f t="shared" si="2"/>
        <v>0</v>
      </c>
      <c r="K26" s="55">
        <f t="shared" si="2"/>
        <v>1014415.38</v>
      </c>
      <c r="L26" s="55">
        <f t="shared" si="2"/>
        <v>-191478.39</v>
      </c>
      <c r="M26" s="55">
        <f t="shared" si="2"/>
        <v>-7848.74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2AEBD239-9DBB-4440-878C-9BB425AEE6D2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INCENTIVE COMPENSATION PLAN FINANCIALLY-BASED ADJUSTMENTS
FOR THE TEST YEAR ENDING DECEMBER 31, 2024
SPONSOR: R. PRACHYL &amp;&amp; A. GUILLORY&amp;R&amp;"Arial,Bold"WP/II-D ADJUSTMENT/11
Page 1 of 3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751C9-6C25-485B-BDAB-3F975CA5FD97}">
  <sheetPr codeName="Sheet16">
    <pageSetUpPr fitToPage="1"/>
  </sheetPr>
  <dimension ref="A1:N30"/>
  <sheetViews>
    <sheetView zoomScaleNormal="100" workbookViewId="0">
      <selection activeCell="B11" sqref="B11:B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310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34" t="s">
        <v>225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+'[4]II-E-4.1.1'!$P$56+'[4]II-E-4.1.1'!$P$57+'[4]II-E-4.1.1'!$P$58</f>
        <v>151572579.23000002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151572579.23000002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1"/>
      <c r="K17" s="91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2" t="s">
        <v>168</v>
      </c>
      <c r="G20" s="92" t="s">
        <v>169</v>
      </c>
      <c r="H20" s="92" t="s">
        <v>171</v>
      </c>
      <c r="I20" s="135" t="s">
        <v>8</v>
      </c>
      <c r="J20" s="92" t="s">
        <v>168</v>
      </c>
      <c r="K20" s="92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3" t="s">
        <v>7</v>
      </c>
      <c r="G21" s="93" t="s">
        <v>170</v>
      </c>
      <c r="H21" s="93" t="s">
        <v>7</v>
      </c>
      <c r="I21" s="137"/>
      <c r="J21" s="93" t="s">
        <v>8</v>
      </c>
      <c r="K21" s="93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49</v>
      </c>
      <c r="D23" s="41">
        <f>ROUND(+'[4]II-E-4.1'!$H$58+'[4]II-E-4.1'!$H$59,2)</f>
        <v>148605703.97</v>
      </c>
      <c r="E23" s="56">
        <f>+'[4]II-E-4.1'!N58+'[4]II-E-4.1'!N59</f>
        <v>6509484.3100000005</v>
      </c>
      <c r="F23" s="56">
        <f>+'[4]II-E-4.1'!O58+'[4]II-E-4.1'!O59</f>
        <v>-189256.14</v>
      </c>
      <c r="G23" s="56">
        <f>+'[4]II-E-4.1'!P58+'[4]II-E-4.1'!P59</f>
        <v>0</v>
      </c>
      <c r="H23" s="56">
        <f>SUM(E23:G23)</f>
        <v>6320228.1700000009</v>
      </c>
      <c r="I23" s="56">
        <f>+'[4]II-E-4.1'!R58+'[4]II-E-4.1'!R59</f>
        <v>142285475.80000001</v>
      </c>
      <c r="J23" s="56">
        <f>+'[4]II-E-4.1'!S58+'[4]II-E-4.1'!S59</f>
        <v>0</v>
      </c>
      <c r="K23" s="56">
        <f>SUM(I23:J23)</f>
        <v>142285475.80000001</v>
      </c>
      <c r="L23" s="56">
        <f>+'[4]II-E-4.1'!U58+'[4]II-E-4.1'!U59</f>
        <v>0</v>
      </c>
      <c r="M23" s="56">
        <f>+'[4]II-E-4.1'!V58+'[4]II-E-4.1'!V59</f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69</v>
      </c>
      <c r="D24" s="69">
        <f>ROUND(+'[4]II-E-4.1.1'!$K$58,2)</f>
        <v>2966875.26</v>
      </c>
      <c r="E24" s="43">
        <f>+'[4]II-E-4.1'!N60</f>
        <v>-5868.4539999999924</v>
      </c>
      <c r="F24" s="43">
        <f>+'[4]II-E-4.1'!O60</f>
        <v>0</v>
      </c>
      <c r="G24" s="43">
        <f>+'[4]II-E-4.1'!P60</f>
        <v>0</v>
      </c>
      <c r="H24" s="43">
        <f t="shared" ref="H24:H25" si="0">SUM(E24:G24)</f>
        <v>-5868.4539999999924</v>
      </c>
      <c r="I24" s="43">
        <f>+'[4]II-E-4.1'!R60</f>
        <v>2972743.7139999997</v>
      </c>
      <c r="J24" s="43">
        <f>+'[4]II-E-4.1'!S60</f>
        <v>0</v>
      </c>
      <c r="K24" s="43">
        <f t="shared" ref="K24:K25" si="1">SUM(I24:J24)</f>
        <v>2972743.7139999997</v>
      </c>
      <c r="L24" s="43">
        <f>+'[4]II-E-4.1'!U60</f>
        <v>0</v>
      </c>
      <c r="M24" s="43">
        <f>+'[4]II-E-4.1'!V60</f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151572579.22999999</v>
      </c>
      <c r="E26" s="55">
        <f t="shared" si="2"/>
        <v>6503615.8560000006</v>
      </c>
      <c r="F26" s="55">
        <f t="shared" si="2"/>
        <v>-189256.14</v>
      </c>
      <c r="G26" s="55">
        <f t="shared" si="2"/>
        <v>0</v>
      </c>
      <c r="H26" s="55">
        <f t="shared" si="2"/>
        <v>6314359.7160000009</v>
      </c>
      <c r="I26" s="55">
        <f t="shared" si="2"/>
        <v>145258219.514</v>
      </c>
      <c r="J26" s="55">
        <f t="shared" si="2"/>
        <v>0</v>
      </c>
      <c r="K26" s="55">
        <f t="shared" si="2"/>
        <v>145258219.514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2C811F20-FF10-4AF0-BFBE-A71D93507679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SELF-INSURANCE RESERVE REG ASSET AMORTIZATION
FOR THE TEST YEAR ENDING DECEMBER 31, 2024
SPONSOR: R. PRACHYL &amp;&amp; A. THENMADATHIL &amp;&amp; A. LEDBETTER&amp;R&amp;"Arial,Bold"WP/II-D ADJUSTMENT/12
Page &amp;P of &amp;N</oddHeader>
  </headerFooter>
  <ignoredErrors>
    <ignoredError sqref="H25" formulaRange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891C4-3EF7-4D70-B3DE-B232D2C04F21}">
  <sheetPr codeName="Sheet17">
    <pageSetUpPr fitToPage="1"/>
  </sheetPr>
  <dimension ref="A1:N30"/>
  <sheetViews>
    <sheetView zoomScaleNormal="100" workbookViewId="0">
      <selection activeCell="B11" sqref="B11:B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313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34" t="s">
        <v>286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+'[4]II-E-4.1.1'!$P$59</f>
        <v>-9005653.1099999994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-9005653.1099999994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91"/>
      <c r="K17" s="91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2" t="s">
        <v>168</v>
      </c>
      <c r="G20" s="92" t="s">
        <v>169</v>
      </c>
      <c r="H20" s="92" t="s">
        <v>171</v>
      </c>
      <c r="I20" s="135" t="s">
        <v>8</v>
      </c>
      <c r="J20" s="92" t="s">
        <v>168</v>
      </c>
      <c r="K20" s="92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3" t="s">
        <v>7</v>
      </c>
      <c r="G21" s="93" t="s">
        <v>170</v>
      </c>
      <c r="H21" s="93" t="s">
        <v>7</v>
      </c>
      <c r="I21" s="137"/>
      <c r="J21" s="93" t="s">
        <v>8</v>
      </c>
      <c r="K21" s="93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48</v>
      </c>
      <c r="D23" s="41">
        <f>+M14</f>
        <v>-9005653.1099999994</v>
      </c>
      <c r="E23" s="56">
        <f>ROUND(+'[4]II-E-4.1'!N61,2)</f>
        <v>-2024644.29</v>
      </c>
      <c r="F23" s="56">
        <f>ROUND(+'[4]II-E-4.1'!O61,2)</f>
        <v>0</v>
      </c>
      <c r="G23" s="56">
        <f>ROUND(+'[4]II-E-4.1'!P61,2)</f>
        <v>0</v>
      </c>
      <c r="H23" s="56">
        <f>SUM(E23:G23)</f>
        <v>-2024644.29</v>
      </c>
      <c r="I23" s="56">
        <f>ROUND(+'[4]II-E-4.1'!R61,2)</f>
        <v>-5407070.8399999999</v>
      </c>
      <c r="J23" s="56">
        <f>ROUND(+'[4]II-E-4.1'!S61,2)</f>
        <v>0</v>
      </c>
      <c r="K23" s="56">
        <f>SUM(I23:J23)</f>
        <v>-5407070.8399999999</v>
      </c>
      <c r="L23" s="56">
        <f>ROUND(+'[4]II-E-4.1'!U61,2)</f>
        <v>-1511962.35</v>
      </c>
      <c r="M23" s="56">
        <f>ROUND(+'[4]II-E-4.1'!V61,2)</f>
        <v>-61975.63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-9005653.1099999994</v>
      </c>
      <c r="E26" s="55">
        <f t="shared" si="2"/>
        <v>-2024644.29</v>
      </c>
      <c r="F26" s="55">
        <f t="shared" si="2"/>
        <v>0</v>
      </c>
      <c r="G26" s="55">
        <f t="shared" si="2"/>
        <v>0</v>
      </c>
      <c r="H26" s="55">
        <f t="shared" si="2"/>
        <v>-2024644.29</v>
      </c>
      <c r="I26" s="55">
        <f t="shared" si="2"/>
        <v>-5407070.8399999999</v>
      </c>
      <c r="J26" s="55">
        <f t="shared" si="2"/>
        <v>0</v>
      </c>
      <c r="K26" s="55">
        <f t="shared" si="2"/>
        <v>-5407070.8399999999</v>
      </c>
      <c r="L26" s="55">
        <f t="shared" si="2"/>
        <v>-1511962.35</v>
      </c>
      <c r="M26" s="55">
        <f t="shared" si="2"/>
        <v>-61975.63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14668B40-4C63-47DC-94A2-7B4950E8C56A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PENSION REG ASSET AMORTIZATION
FOR THE TEST YEAR ENDING DECEMBER 31, 2024
SPONSOR: R. PRACHYL &amp;&amp; A. LEDBETTER&amp;R&amp;"Arial,Bold"WP/II-D ADJUSTMENT/13
Page &amp;P of &amp;N</oddHeader>
  </headerFooter>
  <ignoredErrors>
    <ignoredError sqref="H24:H25" formulaRange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9565D-FE2D-487F-9B3D-8820A17BBEB9}">
  <sheetPr codeName="Sheet18">
    <pageSetUpPr fitToPage="1"/>
  </sheetPr>
  <dimension ref="A1:N30"/>
  <sheetViews>
    <sheetView zoomScaleNormal="100" workbookViewId="0">
      <selection activeCell="B11" sqref="B11:B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314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34" t="s">
        <v>287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+'[4]II-E-4.1.1'!$P$60</f>
        <v>-7968680.6399999997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-7968680.6399999997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91"/>
      <c r="K17" s="91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2" t="s">
        <v>168</v>
      </c>
      <c r="G20" s="92" t="s">
        <v>169</v>
      </c>
      <c r="H20" s="92" t="s">
        <v>171</v>
      </c>
      <c r="I20" s="135" t="s">
        <v>8</v>
      </c>
      <c r="J20" s="92" t="s">
        <v>168</v>
      </c>
      <c r="K20" s="92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3" t="s">
        <v>7</v>
      </c>
      <c r="G21" s="93" t="s">
        <v>170</v>
      </c>
      <c r="H21" s="93" t="s">
        <v>7</v>
      </c>
      <c r="I21" s="137"/>
      <c r="J21" s="93" t="s">
        <v>8</v>
      </c>
      <c r="K21" s="93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48</v>
      </c>
      <c r="D23" s="41">
        <f>+M14</f>
        <v>-7968680.6399999997</v>
      </c>
      <c r="E23" s="56">
        <f>+'[4]II-E-4.1'!N62</f>
        <v>-1791512.91</v>
      </c>
      <c r="F23" s="56">
        <f>+'[4]II-E-4.1'!O62</f>
        <v>0</v>
      </c>
      <c r="G23" s="56">
        <f>+'[4]II-E-4.1'!P62</f>
        <v>0</v>
      </c>
      <c r="H23" s="56">
        <f>SUM(E23:G23)</f>
        <v>-1791512.91</v>
      </c>
      <c r="I23" s="56">
        <f>+'[4]II-E-4.1'!R62</f>
        <v>-4784463.74</v>
      </c>
      <c r="J23" s="56">
        <f>+'[4]II-E-4.1'!S62</f>
        <v>0</v>
      </c>
      <c r="K23" s="56">
        <f>SUM(I23:J23)</f>
        <v>-4784463.74</v>
      </c>
      <c r="L23" s="56">
        <f>+'[4]II-E-4.1'!U62</f>
        <v>-1337864.67</v>
      </c>
      <c r="M23" s="56">
        <f>+'[4]II-E-4.1'!V62</f>
        <v>-54839.319999999367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-7968680.6399999997</v>
      </c>
      <c r="E26" s="55">
        <f t="shared" si="2"/>
        <v>-1791512.91</v>
      </c>
      <c r="F26" s="55">
        <f t="shared" si="2"/>
        <v>0</v>
      </c>
      <c r="G26" s="55">
        <f t="shared" si="2"/>
        <v>0</v>
      </c>
      <c r="H26" s="55">
        <f t="shared" si="2"/>
        <v>-1791512.91</v>
      </c>
      <c r="I26" s="55">
        <f t="shared" si="2"/>
        <v>-4784463.74</v>
      </c>
      <c r="J26" s="55">
        <f t="shared" si="2"/>
        <v>0</v>
      </c>
      <c r="K26" s="55">
        <f t="shared" si="2"/>
        <v>-4784463.74</v>
      </c>
      <c r="L26" s="55">
        <f t="shared" si="2"/>
        <v>-1337864.67</v>
      </c>
      <c r="M26" s="55">
        <f t="shared" si="2"/>
        <v>-54839.319999999367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75EE28B8-3043-4431-BE4A-BDB9E73A6A9E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OPEB REG ASSET AMORTIZATION
FOR THE TEST YEAR ENDING DECEMBER 31, 2024
SPONSOR: R. PRACHYL &amp;&amp; A. LEDBETTER&amp;R&amp;"Arial,Bold"WP/II-D ADJUSTMENT/14
Page &amp;P of &amp;N</oddHeader>
  </headerFooter>
  <ignoredErrors>
    <ignoredError sqref="H24:H25" formulaRange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8E3B8-3AC7-49A2-A0F9-3DB6651ABEF6}">
  <sheetPr codeName="Sheet19">
    <pageSetUpPr fitToPage="1"/>
  </sheetPr>
  <dimension ref="A1:N30"/>
  <sheetViews>
    <sheetView zoomScaleNormal="100" workbookViewId="0">
      <selection activeCell="B11" sqref="B11:B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315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34" t="s">
        <v>288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+'[4]II-E-4.1.1'!$P$55</f>
        <v>532280.16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532280.16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1"/>
      <c r="K17" s="91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2" t="s">
        <v>168</v>
      </c>
      <c r="G20" s="92" t="s">
        <v>169</v>
      </c>
      <c r="H20" s="92" t="s">
        <v>171</v>
      </c>
      <c r="I20" s="135" t="s">
        <v>8</v>
      </c>
      <c r="J20" s="92" t="s">
        <v>168</v>
      </c>
      <c r="K20" s="92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3" t="s">
        <v>7</v>
      </c>
      <c r="G21" s="93" t="s">
        <v>170</v>
      </c>
      <c r="H21" s="93" t="s">
        <v>7</v>
      </c>
      <c r="I21" s="137"/>
      <c r="J21" s="93" t="s">
        <v>8</v>
      </c>
      <c r="K21" s="93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62</v>
      </c>
      <c r="D23" s="41">
        <f>+M14</f>
        <v>532280.16</v>
      </c>
      <c r="E23" s="56">
        <f>+'[4]II-E-4.1'!N57</f>
        <v>0</v>
      </c>
      <c r="F23" s="56">
        <f>+'[4]II-E-4.1'!O57</f>
        <v>0</v>
      </c>
      <c r="G23" s="56">
        <f>+'[4]II-E-4.1'!P57</f>
        <v>0</v>
      </c>
      <c r="H23" s="56">
        <f>SUM(E23:G23)</f>
        <v>0</v>
      </c>
      <c r="I23" s="56">
        <f>+'[4]II-E-4.1'!R57</f>
        <v>0</v>
      </c>
      <c r="J23" s="56">
        <f>+'[4]II-E-4.1'!S57</f>
        <v>0</v>
      </c>
      <c r="K23" s="56">
        <f>SUM(I23:J23)</f>
        <v>0</v>
      </c>
      <c r="L23" s="56">
        <f>+'[4]II-E-4.1'!U57</f>
        <v>0</v>
      </c>
      <c r="M23" s="56">
        <f>+'[4]II-E-4.1'!V57</f>
        <v>532280.16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532280.16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532280.16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DCB8F874-31A1-4D71-B6D8-59D6F0B74268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DEFAULTED REPs 16 TAC § 25.107 BAD DEBT EXPENSE REG ASSET AMORTIZATION
FOR THE TEST YEAR ENDING DECEMBER 31, 2024
SPONSOR: R. PRACHYL &amp;&amp; A. LEDBETTER&amp;R&amp;"Arial,Bold"WP/II-D ADJUSTMENT/15
Page &amp;P of &amp;N</oddHeader>
  </headerFooter>
  <ignoredErrors>
    <ignoredError sqref="H24:H25" formulaRange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D9AF-4763-45A2-B554-7EFEF9EAB1F9}">
  <sheetPr codeName="Sheet20">
    <pageSetUpPr fitToPage="1"/>
  </sheetPr>
  <dimension ref="A1:N30"/>
  <sheetViews>
    <sheetView zoomScaleNormal="100" workbookViewId="0">
      <selection activeCell="B11" sqref="B11:B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316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34" t="s">
        <v>289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ROUND(+'[4]II-E-4.1.1'!$P$54,2)</f>
        <v>480485.74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480485.74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1"/>
      <c r="K17" s="91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2" t="s">
        <v>168</v>
      </c>
      <c r="G20" s="92" t="s">
        <v>169</v>
      </c>
      <c r="H20" s="92" t="s">
        <v>171</v>
      </c>
      <c r="I20" s="135" t="s">
        <v>8</v>
      </c>
      <c r="J20" s="92" t="s">
        <v>168</v>
      </c>
      <c r="K20" s="92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3" t="s">
        <v>7</v>
      </c>
      <c r="G21" s="93" t="s">
        <v>170</v>
      </c>
      <c r="H21" s="93" t="s">
        <v>7</v>
      </c>
      <c r="I21" s="137"/>
      <c r="J21" s="93" t="s">
        <v>8</v>
      </c>
      <c r="K21" s="93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16</v>
      </c>
      <c r="D23" s="41">
        <f>ROUND(+'[4]II-E-4.1'!$N$56,2)</f>
        <v>35329.22</v>
      </c>
      <c r="E23" s="56">
        <f>+D23</f>
        <v>35329.22</v>
      </c>
      <c r="F23" s="56">
        <v>0</v>
      </c>
      <c r="G23" s="56">
        <v>0</v>
      </c>
      <c r="H23" s="56">
        <f>SUM(E23:G23)</f>
        <v>35329.22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29</v>
      </c>
      <c r="D24" s="69">
        <f>+M14-D23</f>
        <v>445156.52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ROUND(+'[4]II-E-4.1'!R56,2)</f>
        <v>411282.61</v>
      </c>
      <c r="J24" s="43">
        <f>ROUND(+'[4]II-E-4.1'!S56,2)</f>
        <v>0</v>
      </c>
      <c r="K24" s="43">
        <f t="shared" ref="K24:K25" si="1">SUM(I24:J24)</f>
        <v>411282.61</v>
      </c>
      <c r="L24" s="43">
        <f>ROUND(+'[4]II-E-4.1'!U56,2)</f>
        <v>17779.490000000002</v>
      </c>
      <c r="M24" s="43">
        <f>ROUND(+'[4]II-E-4.1'!V56,2)</f>
        <v>16094.42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480485.74</v>
      </c>
      <c r="E26" s="55">
        <f t="shared" si="2"/>
        <v>35329.22</v>
      </c>
      <c r="F26" s="55">
        <f t="shared" si="2"/>
        <v>0</v>
      </c>
      <c r="G26" s="55">
        <f t="shared" si="2"/>
        <v>0</v>
      </c>
      <c r="H26" s="55">
        <f t="shared" si="2"/>
        <v>35329.22</v>
      </c>
      <c r="I26" s="55">
        <f t="shared" si="2"/>
        <v>411282.61</v>
      </c>
      <c r="J26" s="55">
        <f t="shared" si="2"/>
        <v>0</v>
      </c>
      <c r="K26" s="55">
        <f t="shared" si="2"/>
        <v>411282.61</v>
      </c>
      <c r="L26" s="55">
        <f t="shared" si="2"/>
        <v>17779.490000000002</v>
      </c>
      <c r="M26" s="55">
        <f t="shared" si="2"/>
        <v>16094.42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D5D2EAD8-9C3D-43B0-8D52-33E244973E42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COVID19 INCREMENTAL EXPENSE REG ASSET AMORTIZATION
FOR THE TEST YEAR ENDING DECEMBER 31, 2024
SPONSOR: R. PRACHYL &amp;&amp; A. LEDBETTER&amp;R&amp;"Arial,Bold"WP/II-D ADJUSTMENT/16
Page &amp;P of &amp;N</oddHeader>
  </headerFooter>
  <ignoredErrors>
    <ignoredError sqref="H25" formulaRange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7D74F-7C5F-4F95-A7D6-16B332D18A3A}">
  <sheetPr codeName="Sheet21">
    <pageSetUpPr fitToPage="1"/>
  </sheetPr>
  <dimension ref="A1:N30"/>
  <sheetViews>
    <sheetView zoomScaleNormal="100" workbookViewId="0">
      <selection activeCell="B11" sqref="B11:B12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317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 t="s">
        <v>231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+'[4]II-E-4.1.1'!$P$53</f>
        <v>693539.00399999996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693539.00399999996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14</v>
      </c>
      <c r="D23" s="41">
        <f>ROUND(+'[4]II-E-4.1'!$N$55+'[4]II-E-4.1'!$O$55,2)</f>
        <v>686957.67</v>
      </c>
      <c r="E23" s="56">
        <f>ROUND(+'[4]II-E-4.1'!N55,2)</f>
        <v>676413.42</v>
      </c>
      <c r="F23" s="56">
        <f>ROUND(+'[4]II-E-4.1'!O55,2)</f>
        <v>10544.25</v>
      </c>
      <c r="G23" s="56">
        <v>0</v>
      </c>
      <c r="H23" s="56">
        <f>SUM(E23:G23)</f>
        <v>686957.67</v>
      </c>
      <c r="I23" s="56">
        <f>+D23-H23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25</v>
      </c>
      <c r="D24" s="69">
        <f>ROUND(+M14-D23,2)</f>
        <v>6581.33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ROUND(+'[4]II-E-4.1'!$R$55,2)</f>
        <v>6581.33</v>
      </c>
      <c r="J24" s="43">
        <v>0</v>
      </c>
      <c r="K24" s="43">
        <f t="shared" ref="K24:K25" si="1">SUM(I24:J24)</f>
        <v>6581.33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693539</v>
      </c>
      <c r="E26" s="55">
        <f t="shared" si="2"/>
        <v>676413.42</v>
      </c>
      <c r="F26" s="55">
        <f t="shared" si="2"/>
        <v>10544.25</v>
      </c>
      <c r="G26" s="55">
        <f t="shared" si="2"/>
        <v>0</v>
      </c>
      <c r="H26" s="55">
        <f t="shared" si="2"/>
        <v>686957.67</v>
      </c>
      <c r="I26" s="55">
        <f t="shared" si="2"/>
        <v>6581.33</v>
      </c>
      <c r="J26" s="55">
        <f t="shared" si="2"/>
        <v>0</v>
      </c>
      <c r="K26" s="55">
        <f t="shared" si="2"/>
        <v>6581.33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F576F09C-5913-4288-B1C6-B4BC6EF33A95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POWER LINE SAFETY ACT PURA § 36.066 REG ASSET AMORTIZATION
FOR THE TEST YEAR ENDING DECEMBER 31, 2024
SPONSOR: R. PRACHYL &amp;&amp; A. LEDBETTER&amp;R&amp;"Arial,Bold"WP/II-D ADJUSTMENT/17
Page &amp;P of &amp;N</oddHeader>
  </headerFooter>
  <ignoredErrors>
    <ignoredError sqref="H25" formulaRang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2E03-FD1A-4A83-AA0B-C784D03C82F6}">
  <sheetPr codeName="Sheet22">
    <pageSetUpPr fitToPage="1"/>
  </sheetPr>
  <dimension ref="A1:N30"/>
  <sheetViews>
    <sheetView zoomScaleNormal="100" workbookViewId="0">
      <selection activeCell="E14" sqref="E14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318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52" t="s">
        <v>290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ROUND(+'[4]II-E-4.1.1'!$P$61,2)</f>
        <v>-10.73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-10.73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50</v>
      </c>
      <c r="D23" s="41">
        <f>+M14</f>
        <v>-10.73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-10.73</v>
      </c>
      <c r="J23" s="56">
        <v>0</v>
      </c>
      <c r="K23" s="56">
        <f>SUM(I23:J23)</f>
        <v>-10.73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-10.73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-10.73</v>
      </c>
      <c r="J26" s="55">
        <f t="shared" si="2"/>
        <v>0</v>
      </c>
      <c r="K26" s="55">
        <f t="shared" si="2"/>
        <v>-10.73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BDC247C2-A53B-4833-A6C2-DEFCD31F2074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RIDER CSR - CAPITAL STRUCTURE REFUND - OVER-REFUND ADJUSTMENT
FOR THE TEST YEAR ENDING DECEMBER 31, 2024
SPONSOR: R. PRACHYL &amp;&amp; A. LEDBETTER&amp;R&amp;"Arial,Bold"WP/II-D ADJUSTMENT/18
Page &amp;P of &amp;N</oddHeader>
  </headerFooter>
  <ignoredErrors>
    <ignoredError sqref="H24:H25" formulaRange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A844E-E18B-44BB-9511-2F6186D365CE}">
  <sheetPr codeName="Sheet23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321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52" t="s">
        <v>291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ROUND('[4]II-E-4.1.1'!$P$62,2)</f>
        <v>-148.41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-148.41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50</v>
      </c>
      <c r="D23" s="41">
        <f>+M14</f>
        <v>-148.41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-148.41</v>
      </c>
      <c r="J23" s="56">
        <v>0</v>
      </c>
      <c r="K23" s="56">
        <f>SUM(I23:J23)</f>
        <v>-148.41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-148.41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-148.41</v>
      </c>
      <c r="J26" s="55">
        <f t="shared" si="2"/>
        <v>0</v>
      </c>
      <c r="K26" s="55">
        <f t="shared" si="2"/>
        <v>-148.41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4B732218-20DE-472E-969B-0710A5644F95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RIDER TRF - FIT RATE REFUND - OVER-REFUND
FOR THE TEST YEAR ENDING DECEMBER 31, 2024
SPONSOR: R. PRACHYL &amp;&amp; A. LEDBETTER&amp;R&amp;"Arial,Bold"WP/II-D ADJUSTMENT/19
Page &amp;P of &amp;N</oddHeader>
  </headerFooter>
  <ignoredErrors>
    <ignoredError sqref="H24:H25" formulaRange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6052-4A13-4375-B054-D9BA69446AFA}">
  <sheetPr codeName="Sheet24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322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52" t="s">
        <v>292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ROUND(+'[4]II-E-4.1.1'!$P$63,2)</f>
        <v>-5171.8500000000004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52" t="s">
        <v>319</v>
      </c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 t="s">
        <v>320</v>
      </c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-5171.8500000000004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50</v>
      </c>
      <c r="D23" s="41">
        <f>+M14</f>
        <v>-5171.8500000000004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-5171.8500000000004</v>
      </c>
      <c r="J23" s="56">
        <v>0</v>
      </c>
      <c r="K23" s="56">
        <f>SUM(I23:J23)</f>
        <v>-5171.8500000000004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-5171.8500000000004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-5171.8500000000004</v>
      </c>
      <c r="J26" s="55">
        <f t="shared" si="2"/>
        <v>0</v>
      </c>
      <c r="K26" s="55">
        <f t="shared" si="2"/>
        <v>-5171.8500000000004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C66C6AF2-15AD-470C-9091-444DF8D42015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INTEREST-RATE SAVINGS DKT 47675 &amp; 55453
FOR THE TEST YEAR ENDING DECEMBER 31, 2024
SPONSOR: R. PRACHYL &amp;&amp; A. LEDBETTER&amp;R&amp;"Arial,Bold"WP/II-D ADJUSTMENT/20
Page &amp;P of &amp;N</oddHeader>
  </headerFooter>
  <ignoredErrors>
    <ignoredError sqref="H24:H25" formulaRange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57AB2-2E49-4FB3-BF5B-8719C44C27E0}">
  <sheetPr codeName="Sheet25">
    <pageSetUpPr fitToPage="1"/>
  </sheetPr>
  <dimension ref="A1:N35"/>
  <sheetViews>
    <sheetView zoomScaleNormal="100" workbookViewId="0">
      <selection activeCell="E35" sqref="E35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293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52" t="s">
        <v>294</v>
      </c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ROUND(+'[4]II-E-4.1.1'!$P$64,2)</f>
        <v>-2429.31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-2429.31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50</v>
      </c>
      <c r="D23" s="41">
        <f>+M14</f>
        <v>-2429.31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-2429.31</v>
      </c>
      <c r="J23" s="56">
        <v>0</v>
      </c>
      <c r="K23" s="56">
        <f>SUM(I23:J23)</f>
        <v>-2429.31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-2429.31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-2429.31</v>
      </c>
      <c r="J26" s="55">
        <f t="shared" si="2"/>
        <v>0</v>
      </c>
      <c r="K26" s="55">
        <f t="shared" si="2"/>
        <v>-2429.31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  <row r="35" spans="5:5" x14ac:dyDescent="0.2">
      <c r="E35" s="34"/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029AD694-4AE6-4A45-AA12-712B89EE4896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NON-STANDARD METERING SERVICE (DOCKET NO. 41890)
FOR THE TEST YEAR ENDING DECEMBER 31, 2024
SPONSOR: R. PRACHYL &amp;&amp; A. LEDBETTER&amp;R&amp;"Arial,Bold"WP/II-D ADJUSTMENT/21
Page &amp;P of &amp;N</oddHeader>
  </headerFooter>
  <ignoredErrors>
    <ignoredError sqref="H24:H25" formulaRange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6451-3A4F-498B-A5ED-558626713ED2}">
  <sheetPr codeName="Sheet26">
    <pageSetUpPr fitToPage="1"/>
  </sheetPr>
  <dimension ref="A1:N30"/>
  <sheetViews>
    <sheetView zoomScaleNormal="100" workbookViewId="0">
      <selection activeCell="F15" sqref="F15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238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f>ROUND(+E15,2)</f>
        <v>231700000</v>
      </c>
    </row>
    <row r="10" spans="1:13" x14ac:dyDescent="0.2">
      <c r="A10" s="46">
        <v>5</v>
      </c>
      <c r="B10" s="48"/>
      <c r="C10" s="52"/>
      <c r="D10" s="88"/>
      <c r="E10" s="97"/>
      <c r="F10" s="78"/>
      <c r="G10" s="78"/>
      <c r="H10" s="78"/>
      <c r="I10" s="49"/>
      <c r="J10" s="49"/>
      <c r="K10" s="49"/>
      <c r="M10" s="43"/>
    </row>
    <row r="11" spans="1:13" ht="15.75" x14ac:dyDescent="0.3">
      <c r="A11" s="46">
        <v>6</v>
      </c>
      <c r="B11" s="48"/>
      <c r="C11" s="52"/>
      <c r="D11" s="88" t="s">
        <v>239</v>
      </c>
      <c r="E11" s="98">
        <v>353900000</v>
      </c>
      <c r="F11" s="130" t="s">
        <v>336</v>
      </c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ht="15.75" x14ac:dyDescent="0.3">
      <c r="A13" s="46">
        <v>8</v>
      </c>
      <c r="B13" s="48"/>
      <c r="C13" s="48"/>
      <c r="D13" s="99" t="s">
        <v>240</v>
      </c>
      <c r="E13" s="97">
        <v>122200000</v>
      </c>
      <c r="F13" s="130" t="s">
        <v>337</v>
      </c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231700000</v>
      </c>
    </row>
    <row r="15" spans="1:13" ht="14.25" thickTop="1" thickBot="1" x14ac:dyDescent="0.25">
      <c r="A15" s="46">
        <v>10</v>
      </c>
      <c r="B15" s="48"/>
      <c r="C15" s="48"/>
      <c r="D15" s="99" t="s">
        <v>157</v>
      </c>
      <c r="E15" s="26">
        <f>+E11-E13</f>
        <v>231700000</v>
      </c>
      <c r="F15" s="48"/>
      <c r="G15" s="48"/>
      <c r="H15" s="48"/>
      <c r="I15" s="48"/>
      <c r="J15" s="48"/>
      <c r="K15" s="48"/>
    </row>
    <row r="16" spans="1:13" ht="14.25" thickTop="1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49</v>
      </c>
      <c r="D23" s="41">
        <v>221558960</v>
      </c>
      <c r="E23" s="56">
        <v>9437201.4399999995</v>
      </c>
      <c r="F23" s="56">
        <f>+D23-E23-I23</f>
        <v>22840.90000000596</v>
      </c>
      <c r="G23" s="56">
        <v>0</v>
      </c>
      <c r="H23" s="56">
        <f>SUM(E23:G23)</f>
        <v>9460042.3400000054</v>
      </c>
      <c r="I23" s="56">
        <v>212098917.66</v>
      </c>
      <c r="J23" s="56">
        <v>0</v>
      </c>
      <c r="K23" s="56">
        <f>SUM(I23:J23)</f>
        <v>212098917.66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69</v>
      </c>
      <c r="D24" s="69">
        <f>ROUND(+M14-D23,2)</f>
        <v>10141040</v>
      </c>
      <c r="E24" s="43">
        <v>90938.44</v>
      </c>
      <c r="F24" s="43">
        <v>0</v>
      </c>
      <c r="G24" s="43">
        <v>0</v>
      </c>
      <c r="H24" s="43">
        <f t="shared" ref="H24:H25" si="0">SUM(E24:G24)</f>
        <v>90938.44</v>
      </c>
      <c r="I24" s="43">
        <f>+D24-E24</f>
        <v>10050101.560000001</v>
      </c>
      <c r="J24" s="43">
        <v>0</v>
      </c>
      <c r="K24" s="43">
        <f t="shared" ref="K24:K25" si="1">SUM(I24:J24)</f>
        <v>10050101.560000001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231700000</v>
      </c>
      <c r="E26" s="55">
        <f t="shared" si="2"/>
        <v>9528139.879999999</v>
      </c>
      <c r="F26" s="55">
        <f t="shared" si="2"/>
        <v>22840.90000000596</v>
      </c>
      <c r="G26" s="55">
        <f t="shared" si="2"/>
        <v>0</v>
      </c>
      <c r="H26" s="55">
        <f t="shared" si="2"/>
        <v>9550980.7800000049</v>
      </c>
      <c r="I26" s="55">
        <f t="shared" si="2"/>
        <v>222149019.22</v>
      </c>
      <c r="J26" s="55">
        <f t="shared" si="2"/>
        <v>0</v>
      </c>
      <c r="K26" s="55">
        <f t="shared" si="2"/>
        <v>222149019.22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D5DA6916-CBF0-4200-A95B-C30979C8DDF5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SIR - COST OF SERVICE ACCRUAL
FOR THE TEST YEAR ENDING DECEMBER 31, 2024
SPONSOR: R. PRACHYL &amp;&amp; A. THENMADATHIL &amp;&amp; A. LEDBETTER &amp;&amp; G. WILSON&amp;R&amp;"Arial,Bold"WP/II-D ADJUSTMENT/22
Page &amp;P of &amp;N</oddHeader>
  </headerFooter>
  <ignoredErrors>
    <ignoredError sqref="H24:H25" formulaRange="1"/>
  </ignoredError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DBF5-FBB4-4003-BEEF-676FEA6821A9}">
  <sheetPr codeName="Sheet27">
    <pageSetUpPr fitToPage="1"/>
  </sheetPr>
  <dimension ref="A1:N3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323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-1323573.54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-1323573.54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25</v>
      </c>
      <c r="D23" s="41">
        <v>-3982.13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-3982.13</v>
      </c>
      <c r="J23" s="56">
        <v>0</v>
      </c>
      <c r="K23" s="56">
        <f>SUM(I23:J23)</f>
        <v>-3982.13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29</v>
      </c>
      <c r="D24" s="69">
        <v>-2216.14</v>
      </c>
      <c r="E24" s="43">
        <v>0</v>
      </c>
      <c r="F24" s="43">
        <v>0</v>
      </c>
      <c r="G24" s="43">
        <v>0</v>
      </c>
      <c r="H24" s="43">
        <f t="shared" ref="H24" si="0">SUM(E24:G24)</f>
        <v>0</v>
      </c>
      <c r="I24" s="43">
        <v>-2216.14</v>
      </c>
      <c r="J24" s="43">
        <v>0</v>
      </c>
      <c r="K24" s="43">
        <f t="shared" ref="K24" si="1">SUM(I24:J24)</f>
        <v>-2216.14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31</v>
      </c>
      <c r="D25" s="69">
        <v>-110.99</v>
      </c>
      <c r="E25" s="43">
        <v>-0.68</v>
      </c>
      <c r="F25" s="43">
        <v>0</v>
      </c>
      <c r="G25" s="43">
        <v>0</v>
      </c>
      <c r="H25" s="43">
        <f t="shared" ref="H25:H28" si="2">SUM(E25:G25)</f>
        <v>-0.68</v>
      </c>
      <c r="I25" s="43">
        <v>-110.31</v>
      </c>
      <c r="J25" s="43">
        <v>0</v>
      </c>
      <c r="K25" s="43">
        <f t="shared" ref="K25:K28" si="3">SUM(I25:J25)</f>
        <v>-110.31</v>
      </c>
      <c r="L25" s="43">
        <v>0</v>
      </c>
      <c r="M25" s="43">
        <v>0</v>
      </c>
      <c r="N25" s="45" t="b">
        <f t="shared" ref="N25:N28" si="4">+D25=(M25+L25+K25+H25)</f>
        <v>1</v>
      </c>
    </row>
    <row r="26" spans="1:14" x14ac:dyDescent="0.2">
      <c r="A26" s="46">
        <v>21</v>
      </c>
      <c r="C26" s="34" t="s">
        <v>32</v>
      </c>
      <c r="D26" s="69">
        <v>-1218529.55</v>
      </c>
      <c r="E26" s="43">
        <v>0</v>
      </c>
      <c r="F26" s="43">
        <v>0</v>
      </c>
      <c r="G26" s="43">
        <v>0</v>
      </c>
      <c r="H26" s="43">
        <f t="shared" si="2"/>
        <v>0</v>
      </c>
      <c r="I26" s="43">
        <v>-1218529.5499999998</v>
      </c>
      <c r="J26" s="43">
        <v>0</v>
      </c>
      <c r="K26" s="43">
        <f t="shared" si="3"/>
        <v>-1218529.5499999998</v>
      </c>
      <c r="L26" s="43">
        <v>0</v>
      </c>
      <c r="M26" s="43">
        <v>0</v>
      </c>
      <c r="N26" s="45" t="b">
        <f t="shared" si="4"/>
        <v>1</v>
      </c>
    </row>
    <row r="27" spans="1:14" x14ac:dyDescent="0.2">
      <c r="A27" s="46">
        <v>22</v>
      </c>
      <c r="C27" s="34" t="s">
        <v>33</v>
      </c>
      <c r="D27" s="69">
        <v>-87039</v>
      </c>
      <c r="E27" s="43">
        <v>0</v>
      </c>
      <c r="F27" s="43">
        <v>0</v>
      </c>
      <c r="G27" s="43">
        <v>0</v>
      </c>
      <c r="H27" s="43">
        <f t="shared" si="2"/>
        <v>0</v>
      </c>
      <c r="I27" s="43">
        <v>-87038.999999999985</v>
      </c>
      <c r="J27" s="43">
        <v>0</v>
      </c>
      <c r="K27" s="43">
        <f t="shared" si="3"/>
        <v>-87038.999999999985</v>
      </c>
      <c r="L27" s="43">
        <v>0</v>
      </c>
      <c r="M27" s="43">
        <v>0</v>
      </c>
      <c r="N27" s="45" t="b">
        <f t="shared" si="4"/>
        <v>1</v>
      </c>
    </row>
    <row r="28" spans="1:14" x14ac:dyDescent="0.2">
      <c r="A28" s="46">
        <v>23</v>
      </c>
      <c r="C28" s="34" t="s">
        <v>40</v>
      </c>
      <c r="D28" s="69">
        <v>-11695.73</v>
      </c>
      <c r="E28" s="43">
        <v>0</v>
      </c>
      <c r="F28" s="43">
        <v>0</v>
      </c>
      <c r="G28" s="43">
        <v>0</v>
      </c>
      <c r="H28" s="43">
        <f t="shared" si="2"/>
        <v>0</v>
      </c>
      <c r="I28" s="43">
        <v>0</v>
      </c>
      <c r="J28" s="43">
        <v>0</v>
      </c>
      <c r="K28" s="43">
        <f t="shared" si="3"/>
        <v>0</v>
      </c>
      <c r="L28" s="43">
        <v>0</v>
      </c>
      <c r="M28" s="43">
        <v>-11695.73</v>
      </c>
      <c r="N28" s="45" t="b">
        <f t="shared" si="4"/>
        <v>1</v>
      </c>
    </row>
    <row r="29" spans="1:14" ht="13.5" thickBot="1" x14ac:dyDescent="0.25">
      <c r="A29" s="46">
        <v>24</v>
      </c>
      <c r="D29" s="55">
        <f t="shared" ref="D29:M29" si="5">SUM(D23:D28)</f>
        <v>-1323573.54</v>
      </c>
      <c r="E29" s="55">
        <f t="shared" si="5"/>
        <v>-0.68</v>
      </c>
      <c r="F29" s="55">
        <f t="shared" si="5"/>
        <v>0</v>
      </c>
      <c r="G29" s="55">
        <f t="shared" si="5"/>
        <v>0</v>
      </c>
      <c r="H29" s="55">
        <f t="shared" si="5"/>
        <v>-0.68</v>
      </c>
      <c r="I29" s="55">
        <f t="shared" si="5"/>
        <v>-1311877.1299999999</v>
      </c>
      <c r="J29" s="55">
        <f t="shared" si="5"/>
        <v>0</v>
      </c>
      <c r="K29" s="55">
        <f t="shared" si="5"/>
        <v>-1311877.1299999999</v>
      </c>
      <c r="L29" s="55">
        <f t="shared" si="5"/>
        <v>0</v>
      </c>
      <c r="M29" s="55">
        <f t="shared" si="5"/>
        <v>-11695.73</v>
      </c>
      <c r="N29" s="45" t="b">
        <f>+D29=(M29+L29+K29+H29)</f>
        <v>1</v>
      </c>
    </row>
    <row r="30" spans="1:14" ht="13.5" thickTop="1" x14ac:dyDescent="0.2">
      <c r="A30" s="46">
        <v>25</v>
      </c>
    </row>
    <row r="33" spans="2:5" x14ac:dyDescent="0.2">
      <c r="B33" s="77" t="s">
        <v>187</v>
      </c>
      <c r="E33" s="45" t="s">
        <v>241</v>
      </c>
    </row>
    <row r="35" spans="2:5" x14ac:dyDescent="0.2">
      <c r="E35" s="34" t="s">
        <v>295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3" location="'Total Summary'!A80" display="Return to Summary" xr:uid="{074E5FAB-9695-449A-97EE-7C9243B6AECA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REMOVE WEATHER EVENTS 30 - 32
FOR THE TEST YEAR ENDING DECEMBER 31, 2024
SPONSOR: R. PRACHYL &amp;&amp; A. LEDBETTER &amp;&amp; A. THENMADATHIL&amp;R&amp;"Arial,Bold"WP/II-D ADJUSTMENT/23
Page 1 of 2</oddHeader>
  </headerFooter>
  <ignoredErrors>
    <ignoredError sqref="H24:H28" formulaRange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7A03-E250-4478-A7CE-7FB3659AF66B}">
  <sheetPr codeName="Sheet28">
    <tabColor rgb="FFFF0000"/>
    <pageSetUpPr fitToPage="1"/>
  </sheetPr>
  <dimension ref="A1:N36"/>
  <sheetViews>
    <sheetView zoomScaleNormal="100" workbookViewId="0">
      <selection activeCell="H17" sqref="H1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15.570312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324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 t="s">
        <v>243</v>
      </c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F9" s="23">
        <v>-2638411.0100000002</v>
      </c>
      <c r="G9" s="78" t="s">
        <v>271</v>
      </c>
      <c r="H9" s="78"/>
      <c r="I9" s="49"/>
      <c r="J9" s="49"/>
      <c r="K9" s="67" t="s">
        <v>175</v>
      </c>
      <c r="M9" s="56">
        <f>ROUND(F17,2)</f>
        <v>-118339.58</v>
      </c>
    </row>
    <row r="10" spans="1:13" x14ac:dyDescent="0.2">
      <c r="A10" s="46">
        <v>5</v>
      </c>
      <c r="B10" s="48"/>
      <c r="C10" s="52"/>
      <c r="D10" s="88"/>
      <c r="F10" s="24">
        <v>-5242579.51</v>
      </c>
      <c r="G10" s="78" t="s">
        <v>270</v>
      </c>
      <c r="H10" s="78"/>
      <c r="I10" s="49"/>
      <c r="J10" s="49"/>
      <c r="K10" s="67"/>
      <c r="M10" s="56"/>
    </row>
    <row r="11" spans="1:13" x14ac:dyDescent="0.2">
      <c r="A11" s="46">
        <v>6</v>
      </c>
      <c r="B11" s="48"/>
      <c r="C11" s="52"/>
      <c r="D11" s="88"/>
      <c r="F11" s="100">
        <f>SUM(F9:F10)</f>
        <v>-7880990.5199999996</v>
      </c>
      <c r="G11" s="78"/>
      <c r="H11" s="78"/>
      <c r="I11" s="49"/>
      <c r="J11" s="49"/>
      <c r="K11" s="67"/>
      <c r="M11" s="56"/>
    </row>
    <row r="12" spans="1:13" x14ac:dyDescent="0.2">
      <c r="A12" s="46">
        <v>7</v>
      </c>
      <c r="B12" s="48"/>
      <c r="C12" s="52"/>
      <c r="D12" s="48"/>
      <c r="F12" s="24">
        <v>8191251.5300000003</v>
      </c>
      <c r="G12" s="78" t="s">
        <v>339</v>
      </c>
      <c r="H12" s="78"/>
      <c r="I12" s="49"/>
      <c r="J12" s="49"/>
      <c r="K12" s="49"/>
      <c r="M12" s="43"/>
    </row>
    <row r="13" spans="1:13" x14ac:dyDescent="0.2">
      <c r="A13" s="46">
        <v>8</v>
      </c>
      <c r="B13" s="48"/>
      <c r="C13" s="52"/>
      <c r="D13" s="48"/>
      <c r="F13" s="100">
        <f>+F11+F12</f>
        <v>310261.01000000071</v>
      </c>
      <c r="G13" s="78" t="s">
        <v>272</v>
      </c>
      <c r="H13" s="78"/>
      <c r="I13" s="49"/>
      <c r="J13" s="49"/>
      <c r="K13" s="49"/>
      <c r="M13" s="43"/>
    </row>
    <row r="14" spans="1:13" x14ac:dyDescent="0.2">
      <c r="A14" s="46">
        <v>9</v>
      </c>
      <c r="B14" s="52"/>
      <c r="C14" s="48"/>
      <c r="D14" s="48"/>
      <c r="E14" s="78" t="s">
        <v>244</v>
      </c>
      <c r="F14" s="97">
        <v>-141258</v>
      </c>
      <c r="G14" s="50"/>
      <c r="H14" s="50"/>
      <c r="I14" s="51"/>
      <c r="J14" s="51"/>
      <c r="K14" s="51"/>
      <c r="M14" s="43"/>
    </row>
    <row r="15" spans="1:13" x14ac:dyDescent="0.2">
      <c r="A15" s="46">
        <v>10</v>
      </c>
      <c r="B15" s="48"/>
      <c r="C15" s="48"/>
      <c r="D15" s="48"/>
      <c r="E15" s="78" t="s">
        <v>245</v>
      </c>
      <c r="F15" s="97">
        <v>-1200</v>
      </c>
      <c r="G15" s="51"/>
      <c r="H15" s="51"/>
      <c r="I15" s="51"/>
      <c r="J15" s="51"/>
      <c r="K15" s="51"/>
    </row>
    <row r="16" spans="1:13" ht="13.5" thickBot="1" x14ac:dyDescent="0.25">
      <c r="A16" s="46">
        <v>11</v>
      </c>
      <c r="B16" s="48"/>
      <c r="C16" s="48"/>
      <c r="D16" s="48"/>
      <c r="E16" s="78" t="s">
        <v>246</v>
      </c>
      <c r="F16" s="97">
        <v>-286142.59000000003</v>
      </c>
      <c r="G16" s="51"/>
      <c r="H16" s="51"/>
      <c r="I16" s="51"/>
      <c r="J16" s="51"/>
      <c r="K16" s="30" t="s">
        <v>158</v>
      </c>
      <c r="M16" s="55">
        <f>+M9</f>
        <v>-118339.58</v>
      </c>
    </row>
    <row r="17" spans="1:14" ht="14.25" thickTop="1" thickBot="1" x14ac:dyDescent="0.25">
      <c r="A17" s="46">
        <v>12</v>
      </c>
      <c r="B17" s="48"/>
      <c r="C17" s="48"/>
      <c r="D17" s="48"/>
      <c r="E17" s="78"/>
      <c r="F17" s="101">
        <f>SUM(F13:F16)</f>
        <v>-118339.57999999932</v>
      </c>
      <c r="G17" s="48"/>
      <c r="H17" s="48"/>
      <c r="I17" s="48"/>
      <c r="J17" s="48"/>
      <c r="K17" s="48"/>
    </row>
    <row r="18" spans="1:14" ht="14.25" thickTop="1" thickBot="1" x14ac:dyDescent="0.25">
      <c r="A18" s="46">
        <v>13</v>
      </c>
    </row>
    <row r="19" spans="1:14" ht="13.5" thickBot="1" x14ac:dyDescent="0.25">
      <c r="A19" s="46">
        <v>14</v>
      </c>
      <c r="B19" s="140" t="s">
        <v>120</v>
      </c>
      <c r="C19" s="141"/>
      <c r="D19" s="141"/>
      <c r="E19" s="145" t="s">
        <v>226</v>
      </c>
      <c r="F19" s="134"/>
      <c r="G19" s="134"/>
      <c r="H19" s="134"/>
      <c r="I19" s="134"/>
      <c r="J19" s="94"/>
      <c r="K19" s="94"/>
      <c r="L19" s="57"/>
    </row>
    <row r="20" spans="1:14" x14ac:dyDescent="0.2">
      <c r="A20" s="46">
        <v>15</v>
      </c>
    </row>
    <row r="21" spans="1:14" ht="13.5" thickBot="1" x14ac:dyDescent="0.25">
      <c r="A21" s="46">
        <v>16</v>
      </c>
    </row>
    <row r="22" spans="1:14" x14ac:dyDescent="0.2">
      <c r="A22" s="46">
        <v>17</v>
      </c>
      <c r="B22" s="139" t="s">
        <v>119</v>
      </c>
      <c r="C22" s="135" t="s">
        <v>5</v>
      </c>
      <c r="D22" s="15" t="s">
        <v>1</v>
      </c>
      <c r="E22" s="135" t="s">
        <v>7</v>
      </c>
      <c r="F22" s="95" t="s">
        <v>168</v>
      </c>
      <c r="G22" s="95" t="s">
        <v>169</v>
      </c>
      <c r="H22" s="95" t="s">
        <v>171</v>
      </c>
      <c r="I22" s="135" t="s">
        <v>8</v>
      </c>
      <c r="J22" s="95" t="s">
        <v>168</v>
      </c>
      <c r="K22" s="95" t="s">
        <v>171</v>
      </c>
      <c r="L22" s="135" t="s">
        <v>9</v>
      </c>
      <c r="M22" s="131" t="s">
        <v>10</v>
      </c>
    </row>
    <row r="23" spans="1:14" ht="13.5" thickBot="1" x14ac:dyDescent="0.25">
      <c r="A23" s="46">
        <v>18</v>
      </c>
      <c r="B23" s="137"/>
      <c r="C23" s="137"/>
      <c r="D23" s="1" t="s">
        <v>157</v>
      </c>
      <c r="E23" s="137"/>
      <c r="F23" s="96" t="s">
        <v>7</v>
      </c>
      <c r="G23" s="96" t="s">
        <v>170</v>
      </c>
      <c r="H23" s="96" t="s">
        <v>7</v>
      </c>
      <c r="I23" s="137"/>
      <c r="J23" s="96" t="s">
        <v>8</v>
      </c>
      <c r="K23" s="96" t="s">
        <v>8</v>
      </c>
      <c r="L23" s="137"/>
      <c r="M23" s="132"/>
    </row>
    <row r="24" spans="1:14" x14ac:dyDescent="0.2">
      <c r="A24" s="46">
        <v>19</v>
      </c>
      <c r="B24" s="4"/>
      <c r="C24" s="4"/>
      <c r="D24" s="4"/>
      <c r="E24" s="54"/>
      <c r="F24" s="54"/>
      <c r="G24" s="54"/>
      <c r="H24" s="54"/>
      <c r="I24" s="3"/>
      <c r="J24" s="3"/>
      <c r="K24" s="3"/>
    </row>
    <row r="25" spans="1:14" x14ac:dyDescent="0.2">
      <c r="A25" s="46">
        <v>20</v>
      </c>
      <c r="C25" s="34" t="s">
        <v>247</v>
      </c>
      <c r="D25" s="41">
        <v>-7880990.5199999996</v>
      </c>
      <c r="E25" s="56">
        <v>-2098962.0699999998</v>
      </c>
      <c r="F25" s="56">
        <v>0</v>
      </c>
      <c r="G25" s="56">
        <v>0</v>
      </c>
      <c r="H25" s="56">
        <f>ROUND(SUM(E25:G25),2)</f>
        <v>-2098962.0699999998</v>
      </c>
      <c r="I25" s="56">
        <v>-4495920.95</v>
      </c>
      <c r="J25" s="56">
        <v>0</v>
      </c>
      <c r="K25" s="56">
        <f>ROUND(SUM(I25:J25),2)</f>
        <v>-4495920.95</v>
      </c>
      <c r="L25" s="56">
        <v>-1235340.1000000001</v>
      </c>
      <c r="M25" s="56">
        <v>-50767.4</v>
      </c>
      <c r="N25" s="45" t="b">
        <f>+D25=(M25+L25+K25+H25)</f>
        <v>1</v>
      </c>
    </row>
    <row r="26" spans="1:14" x14ac:dyDescent="0.2">
      <c r="A26" s="46">
        <v>21</v>
      </c>
      <c r="C26" s="34" t="s">
        <v>45</v>
      </c>
      <c r="D26" s="69">
        <v>-27323.68</v>
      </c>
      <c r="E26" s="43">
        <v>0</v>
      </c>
      <c r="F26" s="43">
        <v>0</v>
      </c>
      <c r="G26" s="43">
        <v>0</v>
      </c>
      <c r="H26" s="43">
        <f t="shared" ref="H26:H30" si="0">ROUND(SUM(E26:G26),2)</f>
        <v>0</v>
      </c>
      <c r="I26" s="43">
        <v>0</v>
      </c>
      <c r="J26" s="43">
        <v>0</v>
      </c>
      <c r="K26" s="43">
        <f t="shared" ref="K26:K30" si="1">ROUND(SUM(I26:J26),2)</f>
        <v>0</v>
      </c>
      <c r="L26" s="43">
        <v>0</v>
      </c>
      <c r="M26" s="43">
        <v>-27323.68</v>
      </c>
      <c r="N26" s="45" t="b">
        <f t="shared" ref="N26:N30" si="2">+D26=(M26+L26+K26+H26)</f>
        <v>1</v>
      </c>
    </row>
    <row r="27" spans="1:14" x14ac:dyDescent="0.2">
      <c r="A27" s="46">
        <v>22</v>
      </c>
      <c r="C27" s="34" t="s">
        <v>53</v>
      </c>
      <c r="D27" s="69">
        <v>-367675.57</v>
      </c>
      <c r="E27" s="43">
        <v>-55665.63</v>
      </c>
      <c r="F27" s="43">
        <v>0</v>
      </c>
      <c r="G27" s="43">
        <v>0</v>
      </c>
      <c r="H27" s="43">
        <f t="shared" si="0"/>
        <v>-55665.63</v>
      </c>
      <c r="I27" s="43">
        <v>-241860</v>
      </c>
      <c r="J27" s="43">
        <v>0</v>
      </c>
      <c r="K27" s="43">
        <f t="shared" si="1"/>
        <v>-241860</v>
      </c>
      <c r="L27" s="43">
        <v>-39047.93</v>
      </c>
      <c r="M27" s="43">
        <v>-31102.01</v>
      </c>
      <c r="N27" s="45" t="b">
        <f t="shared" si="2"/>
        <v>1</v>
      </c>
    </row>
    <row r="28" spans="1:14" x14ac:dyDescent="0.2">
      <c r="A28" s="46">
        <v>23</v>
      </c>
      <c r="C28" s="34" t="s">
        <v>48</v>
      </c>
      <c r="D28" s="69">
        <v>8191251.5300000003</v>
      </c>
      <c r="E28" s="43">
        <v>2973483.84</v>
      </c>
      <c r="F28" s="43">
        <v>0</v>
      </c>
      <c r="G28" s="43">
        <v>0</v>
      </c>
      <c r="H28" s="43">
        <f t="shared" si="0"/>
        <v>2973483.84</v>
      </c>
      <c r="I28" s="43">
        <v>4113307.06</v>
      </c>
      <c r="J28" s="43">
        <v>0</v>
      </c>
      <c r="K28" s="43">
        <f t="shared" si="1"/>
        <v>4113307.06</v>
      </c>
      <c r="L28" s="43">
        <v>1060863.52</v>
      </c>
      <c r="M28" s="43">
        <v>43597.11</v>
      </c>
      <c r="N28" s="45" t="b">
        <f t="shared" si="2"/>
        <v>1</v>
      </c>
    </row>
    <row r="29" spans="1:14" x14ac:dyDescent="0.2">
      <c r="A29" s="46">
        <v>24</v>
      </c>
      <c r="C29" s="34" t="s">
        <v>70</v>
      </c>
      <c r="D29" s="69">
        <v>-20015</v>
      </c>
      <c r="E29" s="43">
        <v>0</v>
      </c>
      <c r="F29" s="43">
        <v>0</v>
      </c>
      <c r="G29" s="43">
        <v>0</v>
      </c>
      <c r="H29" s="43">
        <f t="shared" si="0"/>
        <v>0</v>
      </c>
      <c r="I29" s="43">
        <v>0</v>
      </c>
      <c r="J29" s="43">
        <v>0</v>
      </c>
      <c r="K29" s="43">
        <f t="shared" si="1"/>
        <v>0</v>
      </c>
      <c r="L29" s="43">
        <v>0</v>
      </c>
      <c r="M29" s="43">
        <v>-20015</v>
      </c>
      <c r="N29" s="45" t="b">
        <f t="shared" si="2"/>
        <v>1</v>
      </c>
    </row>
    <row r="30" spans="1:14" x14ac:dyDescent="0.2">
      <c r="A30" s="46">
        <v>25</v>
      </c>
      <c r="C30" s="34" t="s">
        <v>47</v>
      </c>
      <c r="D30" s="69">
        <v>-13586.34</v>
      </c>
      <c r="E30" s="43">
        <v>-2368.5700000000002</v>
      </c>
      <c r="F30" s="43">
        <v>0</v>
      </c>
      <c r="G30" s="43">
        <v>0</v>
      </c>
      <c r="H30" s="43">
        <f t="shared" si="0"/>
        <v>-2368.5700000000002</v>
      </c>
      <c r="I30" s="43">
        <v>-6326</v>
      </c>
      <c r="J30" s="43">
        <v>0</v>
      </c>
      <c r="K30" s="43">
        <f t="shared" si="1"/>
        <v>-6326</v>
      </c>
      <c r="L30" s="43">
        <v>-1769.07</v>
      </c>
      <c r="M30" s="43">
        <v>-3122.7</v>
      </c>
      <c r="N30" s="45" t="b">
        <f t="shared" si="2"/>
        <v>1</v>
      </c>
    </row>
    <row r="31" spans="1:14" x14ac:dyDescent="0.2">
      <c r="A31" s="46">
        <v>26</v>
      </c>
      <c r="C31" s="34"/>
      <c r="D31" s="69"/>
      <c r="E31" s="43"/>
      <c r="F31" s="43"/>
      <c r="G31" s="43"/>
      <c r="H31" s="43"/>
      <c r="I31" s="43"/>
      <c r="J31" s="43"/>
      <c r="K31" s="43"/>
      <c r="L31" s="43"/>
      <c r="M31" s="43"/>
    </row>
    <row r="32" spans="1:14" ht="13.5" thickBot="1" x14ac:dyDescent="0.25">
      <c r="A32" s="46">
        <v>27</v>
      </c>
      <c r="D32" s="55">
        <f>ROUND(SUM(D25:D31),2)</f>
        <v>-118339.58</v>
      </c>
      <c r="E32" s="55">
        <f t="shared" ref="E32:M32" si="3">SUM(E25:E31)</f>
        <v>816487.57000000018</v>
      </c>
      <c r="F32" s="55">
        <f t="shared" si="3"/>
        <v>0</v>
      </c>
      <c r="G32" s="55">
        <f t="shared" si="3"/>
        <v>0</v>
      </c>
      <c r="H32" s="55">
        <f t="shared" si="3"/>
        <v>816487.57000000018</v>
      </c>
      <c r="I32" s="55">
        <f t="shared" si="3"/>
        <v>-630799.89000000013</v>
      </c>
      <c r="J32" s="55">
        <f t="shared" si="3"/>
        <v>0</v>
      </c>
      <c r="K32" s="55">
        <f t="shared" si="3"/>
        <v>-630799.89000000013</v>
      </c>
      <c r="L32" s="55">
        <f t="shared" si="3"/>
        <v>-215293.58000000002</v>
      </c>
      <c r="M32" s="55">
        <f t="shared" si="3"/>
        <v>-88733.68</v>
      </c>
      <c r="N32" s="45" t="b">
        <f>+D32=(M32+L32+K32+H32)</f>
        <v>1</v>
      </c>
    </row>
    <row r="33" spans="1:2" ht="13.5" thickTop="1" x14ac:dyDescent="0.2">
      <c r="A33" s="46"/>
    </row>
    <row r="36" spans="1:2" x14ac:dyDescent="0.2">
      <c r="B36" s="77" t="s">
        <v>187</v>
      </c>
    </row>
  </sheetData>
  <mergeCells count="10">
    <mergeCell ref="M22:M23"/>
    <mergeCell ref="B2:L3"/>
    <mergeCell ref="B4:L4"/>
    <mergeCell ref="B19:D19"/>
    <mergeCell ref="E19:I19"/>
    <mergeCell ref="B22:B23"/>
    <mergeCell ref="C22:C23"/>
    <mergeCell ref="E22:E23"/>
    <mergeCell ref="I22:I23"/>
    <mergeCell ref="L22:L23"/>
  </mergeCells>
  <hyperlinks>
    <hyperlink ref="B36" location="'Total Summary'!A80" display="Return to Summary" xr:uid="{9F56BF96-79F7-4B01-B1BC-C1E5D395B060}"/>
  </hyperlinks>
  <printOptions horizontalCentered="1"/>
  <pageMargins left="0.05" right="0.05" top="2.6" bottom="0.5" header="1.5" footer="0.5"/>
  <pageSetup scale="70" orientation="landscape"/>
  <headerFooter alignWithMargins="0">
    <oddHeader>&amp;C&amp;"Arial,Bold"
ONCOR ELECTRIC DELIVERY COMPANY LLC
EXCLUDED NON-RECOVERABLE PROJECT COSTS
FOR THE TEST YEAR ENDING DECEMBER 31, 2024
SPONSOR: R. PRACHYL&amp;R&amp;"Arial,Bold"WP/II-D ADJUSTMENT/24
Page 1 of 3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C72D-EE9C-4D82-88C1-57EA474981B5}">
  <sheetPr codeName="Sheet29">
    <pageSetUpPr fitToPage="1"/>
  </sheetPr>
  <dimension ref="A1:N33"/>
  <sheetViews>
    <sheetView zoomScaleNormal="100" workbookViewId="0"/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249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763564.99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763564.99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53</v>
      </c>
      <c r="D23" s="41">
        <f>+M14</f>
        <v>763564.99</v>
      </c>
      <c r="E23" s="56">
        <v>241336.46</v>
      </c>
      <c r="F23" s="56">
        <v>0</v>
      </c>
      <c r="G23" s="56">
        <v>0</v>
      </c>
      <c r="H23" s="56">
        <f>SUM(E23:G23)</f>
        <v>241336.46</v>
      </c>
      <c r="I23" s="56">
        <v>482489.88</v>
      </c>
      <c r="J23" s="56">
        <v>0</v>
      </c>
      <c r="K23" s="56">
        <f>SUM(I23:J23)</f>
        <v>482489.88</v>
      </c>
      <c r="L23" s="56">
        <v>20857.73</v>
      </c>
      <c r="M23" s="56">
        <f>+D23-E23-F23-G23-I23-J23-L23</f>
        <v>18880.920000000024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763564.99</v>
      </c>
      <c r="E26" s="55">
        <f t="shared" si="2"/>
        <v>241336.46</v>
      </c>
      <c r="F26" s="55">
        <f t="shared" si="2"/>
        <v>0</v>
      </c>
      <c r="G26" s="55">
        <f t="shared" si="2"/>
        <v>0</v>
      </c>
      <c r="H26" s="55">
        <f t="shared" si="2"/>
        <v>241336.46</v>
      </c>
      <c r="I26" s="55">
        <f t="shared" si="2"/>
        <v>482489.88</v>
      </c>
      <c r="J26" s="55">
        <f t="shared" si="2"/>
        <v>0</v>
      </c>
      <c r="K26" s="55">
        <f t="shared" si="2"/>
        <v>482489.88</v>
      </c>
      <c r="L26" s="55">
        <f t="shared" si="2"/>
        <v>20857.73</v>
      </c>
      <c r="M26" s="55">
        <f t="shared" si="2"/>
        <v>18880.920000000024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  <row r="33" spans="5:5" x14ac:dyDescent="0.2">
      <c r="E33" s="34"/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508C05E0-2CA8-4809-B9EA-CBD97B4409E7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IT HCL COLA NEW RESOURCE ADJUSTMENT
FOR THE TEST YEAR ENDING DECEMBER 31, 2024
SPONSOR: R. PRACHYL &amp;&amp; M. HODGES&amp;R&amp;"Arial,Bold"WP/II-D ADJUSTMENT/25
Page 1 of 2</oddHeader>
  </headerFooter>
  <ignoredErrors>
    <ignoredError sqref="H24:H25" formulaRange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E117-D670-42DB-826F-988FE2776249}">
  <sheetPr codeName="Sheet30">
    <pageSetUpPr fitToPage="1"/>
  </sheetPr>
  <dimension ref="A1:N30"/>
  <sheetViews>
    <sheetView zoomScaleNormal="100" workbookViewId="0">
      <selection activeCell="B30" sqref="B30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325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947743.96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947743.96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250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53</v>
      </c>
      <c r="D23" s="41">
        <f>+M14</f>
        <v>947743.96</v>
      </c>
      <c r="E23" s="56">
        <f>ROUND(+$D23*'[3]II-F Alloc_Factor'!E$18,2)</f>
        <v>69685.84</v>
      </c>
      <c r="F23" s="56">
        <f>ROUND(+$D23*'[3]II-F Alloc_Factor'!F$18,2)</f>
        <v>0</v>
      </c>
      <c r="G23" s="56">
        <f>ROUND(+$D23*'[3]II-F Alloc_Factor'!G$18,2)</f>
        <v>0</v>
      </c>
      <c r="H23" s="56">
        <f>SUM(E23:G23)</f>
        <v>69685.84</v>
      </c>
      <c r="I23" s="56">
        <f>ROUND(+$D23*'[3]II-F Alloc_Factor'!I$18,2)</f>
        <v>811242.83</v>
      </c>
      <c r="J23" s="56">
        <f>ROUND(+$D23*'[3]II-F Alloc_Factor'!J$18,2)</f>
        <v>0</v>
      </c>
      <c r="K23" s="56">
        <f>SUM(I23:J23)</f>
        <v>811242.83</v>
      </c>
      <c r="L23" s="56">
        <f>ROUND(+$D23*'[3]II-F Alloc_Factor'!L$18,2)</f>
        <v>35069.51</v>
      </c>
      <c r="M23" s="56">
        <f>ROUND(+$D23*'[3]II-F Alloc_Factor'!M$18,2)</f>
        <v>31745.78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947743.96</v>
      </c>
      <c r="E26" s="55">
        <f t="shared" si="2"/>
        <v>69685.84</v>
      </c>
      <c r="F26" s="55">
        <f t="shared" si="2"/>
        <v>0</v>
      </c>
      <c r="G26" s="55">
        <f t="shared" si="2"/>
        <v>0</v>
      </c>
      <c r="H26" s="55">
        <f t="shared" si="2"/>
        <v>69685.84</v>
      </c>
      <c r="I26" s="55">
        <f t="shared" si="2"/>
        <v>811242.83</v>
      </c>
      <c r="J26" s="55">
        <f t="shared" si="2"/>
        <v>0</v>
      </c>
      <c r="K26" s="55">
        <f t="shared" si="2"/>
        <v>811242.83</v>
      </c>
      <c r="L26" s="55">
        <f t="shared" si="2"/>
        <v>35069.51</v>
      </c>
      <c r="M26" s="55">
        <f t="shared" si="2"/>
        <v>31745.78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BCAC65F6-A0A0-49C8-9AD3-C74A85D4226A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HARDWARE AND SOFTWARE MAINTENANCE ADJUSTMENT
FOR THE TEST YEAR ENDING DECEMBER 31, 2024
SPONSOR: R. PRACHYL &amp;&amp; C. BANKHEAD&amp;R&amp;"Arial,Bold"WP/II-D ADJUSTMENT/26
Page 1 of 2</oddHeader>
  </headerFooter>
  <ignoredErrors>
    <ignoredError sqref="H24:H25" formulaRange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BA429-5839-406D-A269-83F28B87C6BA}">
  <sheetPr codeName="Sheet31">
    <pageSetUpPr fitToPage="1"/>
  </sheetPr>
  <dimension ref="A1:N30"/>
  <sheetViews>
    <sheetView zoomScaleNormal="100" workbookViewId="0"/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252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1763210.11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1763210.11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53</v>
      </c>
      <c r="D23" s="41">
        <f>+M14</f>
        <v>1763210.11</v>
      </c>
      <c r="E23" s="56">
        <v>944226.95</v>
      </c>
      <c r="F23" s="56">
        <v>0</v>
      </c>
      <c r="G23" s="56">
        <v>0</v>
      </c>
      <c r="H23" s="56">
        <f>SUM(E23:G23)</f>
        <v>944226.95</v>
      </c>
      <c r="I23" s="56">
        <v>756663.15</v>
      </c>
      <c r="J23" s="56">
        <v>0</v>
      </c>
      <c r="K23" s="56">
        <f>SUM(I23:J23)</f>
        <v>756663.15</v>
      </c>
      <c r="L23" s="56">
        <v>32710.06</v>
      </c>
      <c r="M23" s="56">
        <v>29609.95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1763210.11</v>
      </c>
      <c r="E26" s="55">
        <f t="shared" si="2"/>
        <v>944226.95</v>
      </c>
      <c r="F26" s="55">
        <f t="shared" si="2"/>
        <v>0</v>
      </c>
      <c r="G26" s="55">
        <f t="shared" si="2"/>
        <v>0</v>
      </c>
      <c r="H26" s="55">
        <f t="shared" si="2"/>
        <v>944226.95</v>
      </c>
      <c r="I26" s="55">
        <f t="shared" si="2"/>
        <v>756663.15</v>
      </c>
      <c r="J26" s="55">
        <f t="shared" si="2"/>
        <v>0</v>
      </c>
      <c r="K26" s="55">
        <f t="shared" si="2"/>
        <v>756663.15</v>
      </c>
      <c r="L26" s="55">
        <f t="shared" si="2"/>
        <v>32710.06</v>
      </c>
      <c r="M26" s="55">
        <f t="shared" si="2"/>
        <v>29609.95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1A06F8AC-7F8A-477F-B11A-A7D65220A37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IT IBM COLA NEW RESOURCE ADJUSTMENT
FOR THE TEST YEAR ENDING DECEMBER 31, 2024
SPONSOR: R. PRACHYL &amp;&amp; M. HODGES&amp;R&amp;"Arial,Bold"WP/II-D ADJUSTMENT/27
Page 1 of 2</oddHeader>
  </headerFooter>
  <ignoredErrors>
    <ignoredError sqref="H24:H25" formulaRange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576EA-FA6E-40E1-B9E6-0F26D2DF49E9}">
  <sheetPr codeName="Sheet32">
    <pageSetUpPr fitToPage="1"/>
  </sheetPr>
  <dimension ref="A1:N35"/>
  <sheetViews>
    <sheetView zoomScaleNormal="100" workbookViewId="0">
      <selection activeCell="B30" sqref="B30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326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-5547316.1799999997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-5547316.1799999997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50</v>
      </c>
      <c r="D23" s="41">
        <f>+M14</f>
        <v>-5547316.1799999997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-5547316.1799999997</v>
      </c>
      <c r="J23" s="56">
        <v>0</v>
      </c>
      <c r="K23" s="56">
        <f>SUM(I23:J23)</f>
        <v>-5547316.1799999997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-5547316.1799999997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-5547316.1799999997</v>
      </c>
      <c r="J26" s="55">
        <f t="shared" si="2"/>
        <v>0</v>
      </c>
      <c r="K26" s="55">
        <f t="shared" si="2"/>
        <v>-5547316.1799999997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  <row r="35" spans="5:5" x14ac:dyDescent="0.2">
      <c r="E35" s="34"/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9D730B3B-B9F7-4A4A-B5E9-F8FC2750103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REMOVE RATE CASE EXPENSE AMORTIZATION FOR DOCKET NO. 53601 RIDERS RCE AND WRCE
FOR THE TEST YEAR ENDING DECEMBER 31, 2024
SPONSOR: R. PRACHYL&amp;R&amp;"Arial,Bold"WP/II-D ADJUSTMENT/28
Page 1 of 2</oddHeader>
  </headerFooter>
  <ignoredErrors>
    <ignoredError sqref="H24:H25" formulaRange="1"/>
  </ignoredError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94E6-E324-4AAF-97FB-83B71A6B3DE6}">
  <sheetPr codeName="Sheet33">
    <pageSetUpPr fitToPage="1"/>
  </sheetPr>
  <dimension ref="A1:N37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327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52" t="s">
        <v>319</v>
      </c>
      <c r="C9" s="52"/>
      <c r="D9" s="88"/>
      <c r="F9" s="102"/>
      <c r="G9" s="78"/>
      <c r="H9" s="78"/>
      <c r="I9" s="49"/>
      <c r="J9" s="49"/>
      <c r="K9" s="67" t="s">
        <v>175</v>
      </c>
      <c r="M9" s="56">
        <f>ROUND(G18,2)</f>
        <v>994065.7</v>
      </c>
    </row>
    <row r="10" spans="1:13" x14ac:dyDescent="0.2">
      <c r="A10" s="46">
        <v>5</v>
      </c>
      <c r="B10" s="52" t="s">
        <v>320</v>
      </c>
      <c r="C10" s="52"/>
      <c r="D10" s="48"/>
      <c r="F10" s="102"/>
      <c r="G10" s="97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F11" s="102"/>
      <c r="G11" s="97"/>
      <c r="H11" s="78"/>
      <c r="I11" s="49"/>
      <c r="J11" s="49"/>
      <c r="K11" s="49"/>
      <c r="M11" s="43"/>
    </row>
    <row r="12" spans="1:13" x14ac:dyDescent="0.2">
      <c r="A12" s="46">
        <v>7</v>
      </c>
      <c r="B12" s="48"/>
      <c r="C12" s="52"/>
      <c r="D12" s="48"/>
      <c r="F12" s="102"/>
      <c r="G12" s="97"/>
      <c r="H12" s="78"/>
      <c r="I12" s="49"/>
      <c r="J12" s="49"/>
      <c r="K12" s="49"/>
      <c r="M12" s="43"/>
    </row>
    <row r="13" spans="1:13" x14ac:dyDescent="0.2">
      <c r="A13" s="46">
        <v>8</v>
      </c>
      <c r="B13" s="48"/>
      <c r="C13" s="52"/>
      <c r="D13" s="48"/>
      <c r="F13" s="102" t="str">
        <f>+'[4]II-E-4.1.1'!$C$69</f>
        <v>SRP Application and Compliance, Docket No. 56545 &amp; 57147</v>
      </c>
      <c r="G13" s="78">
        <f>ROUND(+'[4]II-E-4.1.1'!P69,2)</f>
        <v>964765.79</v>
      </c>
      <c r="H13" s="78"/>
      <c r="I13" s="49"/>
      <c r="J13" s="49"/>
      <c r="K13" s="49"/>
      <c r="M13" s="43"/>
    </row>
    <row r="14" spans="1:13" x14ac:dyDescent="0.2">
      <c r="A14" s="46">
        <v>9</v>
      </c>
      <c r="B14" s="48"/>
      <c r="C14" s="52"/>
      <c r="D14" s="48"/>
      <c r="F14" s="102"/>
      <c r="G14" s="97"/>
      <c r="H14" s="78"/>
      <c r="I14" s="49"/>
      <c r="J14" s="49"/>
      <c r="K14" s="49"/>
      <c r="M14" s="43"/>
    </row>
    <row r="15" spans="1:13" x14ac:dyDescent="0.2">
      <c r="A15" s="46">
        <v>10</v>
      </c>
      <c r="B15" s="48"/>
      <c r="C15" s="52"/>
      <c r="D15" s="48"/>
      <c r="F15" s="102" t="str">
        <f>+'[4]II-E-4.1.1'!$C$71</f>
        <v>Insurance Case, Docket No. 57774 &amp; 57932</v>
      </c>
      <c r="G15" s="97">
        <f>ROUND(+'[4]II-E-4.1.1'!P71,2)</f>
        <v>29299.91</v>
      </c>
      <c r="H15" s="78"/>
      <c r="I15" s="49"/>
      <c r="J15" s="49"/>
      <c r="K15" s="49"/>
      <c r="M15" s="43"/>
    </row>
    <row r="16" spans="1:13" x14ac:dyDescent="0.2">
      <c r="A16" s="46">
        <v>11</v>
      </c>
      <c r="B16" s="48"/>
      <c r="C16" s="52"/>
      <c r="D16" s="48"/>
      <c r="F16" s="102"/>
      <c r="G16" s="97"/>
      <c r="H16" s="78"/>
      <c r="I16" s="49"/>
      <c r="J16" s="49"/>
      <c r="K16" s="49"/>
      <c r="M16" s="43"/>
    </row>
    <row r="17" spans="1:14" x14ac:dyDescent="0.2">
      <c r="A17" s="46">
        <v>12</v>
      </c>
      <c r="B17" s="52"/>
      <c r="C17" s="48"/>
      <c r="D17" s="48"/>
      <c r="F17" s="50"/>
      <c r="G17" s="50"/>
      <c r="H17" s="50"/>
      <c r="I17" s="51"/>
      <c r="J17" s="51"/>
      <c r="K17" s="51"/>
      <c r="M17" s="43"/>
    </row>
    <row r="18" spans="1:14" ht="13.5" thickBot="1" x14ac:dyDescent="0.25">
      <c r="A18" s="46">
        <v>13</v>
      </c>
      <c r="B18" s="48"/>
      <c r="C18" s="48"/>
      <c r="D18" s="48"/>
      <c r="E18" s="78"/>
      <c r="F18" s="51"/>
      <c r="G18" s="89">
        <f>SUM(G9:G17)</f>
        <v>994065.70000000007</v>
      </c>
      <c r="H18" s="51"/>
      <c r="I18" s="51"/>
      <c r="J18" s="51"/>
      <c r="K18" s="51"/>
    </row>
    <row r="19" spans="1:14" ht="14.25" thickTop="1" thickBot="1" x14ac:dyDescent="0.25">
      <c r="A19" s="46">
        <v>14</v>
      </c>
      <c r="B19" s="48"/>
      <c r="C19" s="48"/>
      <c r="D19" s="48"/>
      <c r="E19" s="51"/>
      <c r="F19" s="51"/>
      <c r="G19" s="51"/>
      <c r="H19" s="51"/>
      <c r="I19" s="51"/>
      <c r="J19" s="51"/>
      <c r="K19" s="30" t="s">
        <v>158</v>
      </c>
      <c r="M19" s="55">
        <f>+M9</f>
        <v>994065.7</v>
      </c>
    </row>
    <row r="20" spans="1:14" ht="13.5" thickTop="1" x14ac:dyDescent="0.2">
      <c r="A20" s="46">
        <v>15</v>
      </c>
      <c r="B20" s="48"/>
      <c r="C20" s="48"/>
      <c r="D20" s="48"/>
      <c r="E20" s="48"/>
      <c r="F20" s="48"/>
      <c r="G20" s="48"/>
      <c r="H20" s="48"/>
      <c r="I20" s="48"/>
      <c r="J20" s="48"/>
      <c r="K20" s="48"/>
    </row>
    <row r="21" spans="1:14" ht="13.5" thickBot="1" x14ac:dyDescent="0.25">
      <c r="A21" s="46">
        <v>16</v>
      </c>
    </row>
    <row r="22" spans="1:14" ht="13.5" thickBot="1" x14ac:dyDescent="0.25">
      <c r="A22" s="46">
        <v>17</v>
      </c>
      <c r="B22" s="140" t="s">
        <v>120</v>
      </c>
      <c r="C22" s="141"/>
      <c r="D22" s="141"/>
      <c r="E22" s="145" t="s">
        <v>226</v>
      </c>
      <c r="F22" s="134"/>
      <c r="G22" s="134"/>
      <c r="H22" s="134"/>
      <c r="I22" s="134"/>
      <c r="J22" s="94"/>
      <c r="K22" s="94"/>
      <c r="L22" s="57"/>
    </row>
    <row r="23" spans="1:14" x14ac:dyDescent="0.2">
      <c r="A23" s="46">
        <v>18</v>
      </c>
    </row>
    <row r="24" spans="1:14" ht="13.5" thickBot="1" x14ac:dyDescent="0.25">
      <c r="A24" s="46">
        <v>19</v>
      </c>
    </row>
    <row r="25" spans="1:14" x14ac:dyDescent="0.2">
      <c r="A25" s="46">
        <v>20</v>
      </c>
      <c r="B25" s="139" t="s">
        <v>119</v>
      </c>
      <c r="C25" s="135" t="s">
        <v>5</v>
      </c>
      <c r="D25" s="15" t="s">
        <v>1</v>
      </c>
      <c r="E25" s="135" t="s">
        <v>7</v>
      </c>
      <c r="F25" s="95" t="s">
        <v>168</v>
      </c>
      <c r="G25" s="95" t="s">
        <v>169</v>
      </c>
      <c r="H25" s="95" t="s">
        <v>171</v>
      </c>
      <c r="I25" s="135" t="s">
        <v>8</v>
      </c>
      <c r="J25" s="95" t="s">
        <v>168</v>
      </c>
      <c r="K25" s="95" t="s">
        <v>171</v>
      </c>
      <c r="L25" s="135" t="s">
        <v>9</v>
      </c>
      <c r="M25" s="131" t="s">
        <v>10</v>
      </c>
    </row>
    <row r="26" spans="1:14" ht="13.5" thickBot="1" x14ac:dyDescent="0.25">
      <c r="A26" s="46">
        <v>21</v>
      </c>
      <c r="B26" s="137"/>
      <c r="C26" s="137"/>
      <c r="D26" s="1" t="s">
        <v>157</v>
      </c>
      <c r="E26" s="137"/>
      <c r="F26" s="96" t="s">
        <v>7</v>
      </c>
      <c r="G26" s="96" t="s">
        <v>170</v>
      </c>
      <c r="H26" s="96" t="s">
        <v>7</v>
      </c>
      <c r="I26" s="137"/>
      <c r="J26" s="96" t="s">
        <v>8</v>
      </c>
      <c r="K26" s="96" t="s">
        <v>8</v>
      </c>
      <c r="L26" s="137"/>
      <c r="M26" s="132"/>
    </row>
    <row r="27" spans="1:14" x14ac:dyDescent="0.2">
      <c r="A27" s="46">
        <v>22</v>
      </c>
      <c r="B27" s="4"/>
      <c r="C27" s="4"/>
      <c r="D27" s="4"/>
      <c r="E27" s="54"/>
      <c r="F27" s="54"/>
      <c r="G27" s="54"/>
      <c r="H27" s="54"/>
      <c r="I27" s="3"/>
      <c r="J27" s="3"/>
      <c r="K27" s="3"/>
    </row>
    <row r="28" spans="1:14" x14ac:dyDescent="0.2">
      <c r="A28" s="46">
        <v>23</v>
      </c>
      <c r="C28" s="34" t="s">
        <v>50</v>
      </c>
      <c r="D28" s="41">
        <f>+M19</f>
        <v>994065.7</v>
      </c>
      <c r="E28" s="56">
        <v>0</v>
      </c>
      <c r="F28" s="56">
        <v>0</v>
      </c>
      <c r="G28" s="56">
        <v>0</v>
      </c>
      <c r="H28" s="56">
        <f>SUM(E28:G28)</f>
        <v>0</v>
      </c>
      <c r="I28" s="56">
        <f>+D28</f>
        <v>994065.7</v>
      </c>
      <c r="J28" s="56">
        <v>0</v>
      </c>
      <c r="K28" s="56">
        <f>SUM(I28:J28)</f>
        <v>994065.7</v>
      </c>
      <c r="L28" s="56">
        <v>0</v>
      </c>
      <c r="M28" s="56">
        <v>0</v>
      </c>
      <c r="N28" s="45" t="b">
        <f>+D28=(M28+L28+K28+H28)</f>
        <v>1</v>
      </c>
    </row>
    <row r="29" spans="1:14" x14ac:dyDescent="0.2">
      <c r="A29" s="46">
        <v>24</v>
      </c>
      <c r="C29" s="34"/>
      <c r="D29" s="69">
        <v>0</v>
      </c>
      <c r="E29" s="43">
        <v>0</v>
      </c>
      <c r="F29" s="43">
        <v>0</v>
      </c>
      <c r="G29" s="43">
        <v>0</v>
      </c>
      <c r="H29" s="43">
        <f t="shared" ref="H29:H30" si="0">SUM(E29:G29)</f>
        <v>0</v>
      </c>
      <c r="I29" s="43">
        <f>+M8</f>
        <v>0</v>
      </c>
      <c r="J29" s="43">
        <v>0</v>
      </c>
      <c r="K29" s="43">
        <f t="shared" ref="K29:K30" si="1">SUM(I29:J29)</f>
        <v>0</v>
      </c>
      <c r="L29" s="43">
        <v>0</v>
      </c>
      <c r="M29" s="43">
        <v>0</v>
      </c>
      <c r="N29" s="45" t="b">
        <f>+D29=(M29+L29+K29+H29)</f>
        <v>1</v>
      </c>
    </row>
    <row r="30" spans="1:14" x14ac:dyDescent="0.2">
      <c r="A30" s="46">
        <v>25</v>
      </c>
      <c r="C30" s="34"/>
      <c r="D30" s="69">
        <v>0</v>
      </c>
      <c r="E30" s="43">
        <v>0</v>
      </c>
      <c r="F30" s="43">
        <v>0</v>
      </c>
      <c r="G30" s="43">
        <v>0</v>
      </c>
      <c r="H30" s="43">
        <f t="shared" si="0"/>
        <v>0</v>
      </c>
      <c r="I30" s="43">
        <v>0</v>
      </c>
      <c r="J30" s="43">
        <v>0</v>
      </c>
      <c r="K30" s="43">
        <f t="shared" si="1"/>
        <v>0</v>
      </c>
      <c r="L30" s="43">
        <v>0</v>
      </c>
      <c r="M30" s="43">
        <v>0</v>
      </c>
      <c r="N30" s="45" t="b">
        <f>+D30=(M30+L30+K30+H30)</f>
        <v>1</v>
      </c>
    </row>
    <row r="31" spans="1:14" ht="13.5" thickBot="1" x14ac:dyDescent="0.25">
      <c r="A31" s="46">
        <v>26</v>
      </c>
      <c r="D31" s="55">
        <f t="shared" ref="D31:M31" si="2">SUM(D28:D30)</f>
        <v>994065.7</v>
      </c>
      <c r="E31" s="55">
        <f t="shared" si="2"/>
        <v>0</v>
      </c>
      <c r="F31" s="55">
        <f t="shared" si="2"/>
        <v>0</v>
      </c>
      <c r="G31" s="55">
        <f t="shared" si="2"/>
        <v>0</v>
      </c>
      <c r="H31" s="55">
        <f t="shared" si="2"/>
        <v>0</v>
      </c>
      <c r="I31" s="55">
        <f t="shared" si="2"/>
        <v>994065.7</v>
      </c>
      <c r="J31" s="55">
        <f t="shared" si="2"/>
        <v>0</v>
      </c>
      <c r="K31" s="55">
        <f t="shared" si="2"/>
        <v>994065.7</v>
      </c>
      <c r="L31" s="55">
        <f t="shared" si="2"/>
        <v>0</v>
      </c>
      <c r="M31" s="55">
        <f t="shared" si="2"/>
        <v>0</v>
      </c>
      <c r="N31" s="45" t="b">
        <f>+D31=(M31+L31+K31+H31)</f>
        <v>1</v>
      </c>
    </row>
    <row r="32" spans="1:14" ht="13.5" thickTop="1" x14ac:dyDescent="0.2">
      <c r="A32" s="46">
        <v>27</v>
      </c>
    </row>
    <row r="35" spans="2:4" x14ac:dyDescent="0.2">
      <c r="B35" s="77" t="s">
        <v>187</v>
      </c>
    </row>
    <row r="37" spans="2:4" x14ac:dyDescent="0.2">
      <c r="D37" s="34"/>
    </row>
  </sheetData>
  <mergeCells count="10">
    <mergeCell ref="M25:M26"/>
    <mergeCell ref="B2:L3"/>
    <mergeCell ref="B4:L4"/>
    <mergeCell ref="B22:D22"/>
    <mergeCell ref="E22:I22"/>
    <mergeCell ref="B25:B26"/>
    <mergeCell ref="C25:C26"/>
    <mergeCell ref="E25:E26"/>
    <mergeCell ref="I25:I26"/>
    <mergeCell ref="L25:L26"/>
  </mergeCells>
  <hyperlinks>
    <hyperlink ref="B35" location="'Total Summary'!A80" display="Return to Summary" xr:uid="{0BC3D4E2-B2D3-43E1-BFCB-7B0E4718CB53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AMORTIZATION ADJUSTMENT FOR DEFERRED PUCT DOCKET COSTS
FOR THE TEST YEAR ENDING DECEMBER 31, 2024
SPONSOR: R. PRACHYL &amp;&amp; C. SANDERS&amp;R&amp;"Arial,Bold"WP/II-D ADJUSTMENT/29
Page 1 of 1</oddHeader>
  </headerFooter>
  <ignoredErrors>
    <ignoredError sqref="H29:H30" formulaRange="1"/>
  </ignoredError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1019-76DD-496C-BCB0-8223623C60C3}">
  <sheetPr codeName="Sheet34">
    <pageSetUpPr fitToPage="1"/>
  </sheetPr>
  <dimension ref="A1:N32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328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-5575605.0300000003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-5575605.0300000003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24</v>
      </c>
      <c r="D23" s="41">
        <v>-2838233.33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-2838233.33</v>
      </c>
      <c r="J23" s="56">
        <v>0</v>
      </c>
      <c r="K23" s="56">
        <f>SUM(I23:J23)</f>
        <v>-2838233.33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52</v>
      </c>
      <c r="D24" s="69">
        <v>-2609865.7999999998</v>
      </c>
      <c r="E24" s="43">
        <v>0</v>
      </c>
      <c r="F24" s="43">
        <v>0</v>
      </c>
      <c r="G24" s="43">
        <v>0</v>
      </c>
      <c r="H24" s="43">
        <f t="shared" ref="H24" si="0">SUM(E24:G24)</f>
        <v>0</v>
      </c>
      <c r="I24" s="43">
        <f>+D24</f>
        <v>-2609865.7999999998</v>
      </c>
      <c r="J24" s="43">
        <v>0</v>
      </c>
      <c r="K24" s="43">
        <f t="shared" ref="K24" si="1">SUM(I24:J24)</f>
        <v>-2609865.7999999998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31</v>
      </c>
      <c r="D25" s="69">
        <v>3033.64</v>
      </c>
      <c r="E25" s="43">
        <v>0</v>
      </c>
      <c r="F25" s="43">
        <v>0</v>
      </c>
      <c r="G25" s="43">
        <v>0</v>
      </c>
      <c r="H25" s="43">
        <f t="shared" ref="H25:H26" si="2">SUM(E25:G25)</f>
        <v>0</v>
      </c>
      <c r="I25" s="43">
        <v>3033.64</v>
      </c>
      <c r="J25" s="43">
        <v>0</v>
      </c>
      <c r="K25" s="43">
        <f t="shared" ref="K25:K26" si="3">SUM(I25:J25)</f>
        <v>3033.64</v>
      </c>
      <c r="L25" s="43">
        <v>0</v>
      </c>
      <c r="M25" s="43">
        <v>0</v>
      </c>
      <c r="N25" s="45" t="b">
        <f t="shared" ref="N25:N26" si="4">+D25=(M25+L25+K25+H25)</f>
        <v>1</v>
      </c>
    </row>
    <row r="26" spans="1:14" x14ac:dyDescent="0.2">
      <c r="A26" s="46">
        <v>21</v>
      </c>
      <c r="C26" s="34" t="s">
        <v>53</v>
      </c>
      <c r="D26" s="69">
        <v>-130539.54</v>
      </c>
      <c r="E26" s="43">
        <v>-9598.33</v>
      </c>
      <c r="F26" s="43">
        <v>0</v>
      </c>
      <c r="G26" s="43">
        <v>0</v>
      </c>
      <c r="H26" s="43">
        <f t="shared" si="2"/>
        <v>-9598.33</v>
      </c>
      <c r="I26" s="43">
        <v>-111738.26</v>
      </c>
      <c r="J26" s="43">
        <v>0</v>
      </c>
      <c r="K26" s="43">
        <f t="shared" si="3"/>
        <v>-111738.26</v>
      </c>
      <c r="L26" s="43">
        <v>-4830.37</v>
      </c>
      <c r="M26" s="43">
        <v>-4372.58</v>
      </c>
      <c r="N26" s="45" t="b">
        <f t="shared" si="4"/>
        <v>1</v>
      </c>
    </row>
    <row r="27" spans="1:14" x14ac:dyDescent="0.2">
      <c r="A27" s="46">
        <v>22</v>
      </c>
      <c r="C27" s="34"/>
      <c r="D27" s="69"/>
      <c r="E27" s="43"/>
      <c r="F27" s="43"/>
      <c r="G27" s="43"/>
      <c r="H27" s="43"/>
      <c r="I27" s="43"/>
      <c r="J27" s="43"/>
      <c r="K27" s="43"/>
      <c r="L27" s="43"/>
      <c r="M27" s="43"/>
    </row>
    <row r="28" spans="1:14" ht="13.5" thickBot="1" x14ac:dyDescent="0.25">
      <c r="A28" s="46">
        <v>23</v>
      </c>
      <c r="D28" s="55">
        <f t="shared" ref="D28:M28" si="5">SUM(D23:D27)</f>
        <v>-5575605.0300000003</v>
      </c>
      <c r="E28" s="55">
        <f t="shared" si="5"/>
        <v>-9598.33</v>
      </c>
      <c r="F28" s="55">
        <f t="shared" si="5"/>
        <v>0</v>
      </c>
      <c r="G28" s="55">
        <f t="shared" si="5"/>
        <v>0</v>
      </c>
      <c r="H28" s="55">
        <f t="shared" si="5"/>
        <v>-9598.33</v>
      </c>
      <c r="I28" s="55">
        <f t="shared" si="5"/>
        <v>-5556803.75</v>
      </c>
      <c r="J28" s="55">
        <f t="shared" si="5"/>
        <v>0</v>
      </c>
      <c r="K28" s="55">
        <f t="shared" si="5"/>
        <v>-5556803.75</v>
      </c>
      <c r="L28" s="55">
        <f t="shared" si="5"/>
        <v>-4830.37</v>
      </c>
      <c r="M28" s="55">
        <f t="shared" si="5"/>
        <v>-4372.58</v>
      </c>
      <c r="N28" s="45" t="b">
        <f>+D28=(M28+L28+K28+H28)</f>
        <v>1</v>
      </c>
    </row>
    <row r="29" spans="1:14" ht="13.5" thickTop="1" x14ac:dyDescent="0.2">
      <c r="A29" s="46"/>
    </row>
    <row r="32" spans="1:14" x14ac:dyDescent="0.2">
      <c r="B32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2" location="'Total Summary'!A80" display="Return to Summary" xr:uid="{B2A18819-793E-4895-9819-3F7B114661CF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MOBILE GEN ADJUSTMENT
FOR THE TEST YEAR ENDING DECEMBER 31, 2024
SPONSOR: R. PRACHYL &amp;&amp; A. LEDBETTER&amp;R&amp;"Arial,Bold"WP/II-D ADJUSTMENT/30
Page 1 of 2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8C3B-B447-419F-BF43-A0DCAB8E8077}">
  <sheetPr codeName="Sheet35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329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10119072.210000001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10119072.210000001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16</v>
      </c>
      <c r="D23" s="41">
        <v>1101557.3400000001</v>
      </c>
      <c r="E23" s="56">
        <v>1101557.3400000001</v>
      </c>
      <c r="F23" s="56">
        <v>0</v>
      </c>
      <c r="G23" s="56">
        <v>0</v>
      </c>
      <c r="H23" s="56">
        <f>SUM(E23:G23)</f>
        <v>1101557.3400000001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29</v>
      </c>
      <c r="D24" s="69">
        <v>5698446.6600000001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v>5698446.6600000001</v>
      </c>
      <c r="J24" s="43">
        <v>0</v>
      </c>
      <c r="K24" s="43">
        <f t="shared" ref="K24:K25" si="1">SUM(I24:J24)</f>
        <v>5698446.6600000001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262</v>
      </c>
      <c r="D25" s="69">
        <v>3319068.21</v>
      </c>
      <c r="E25" s="43">
        <v>908107.23</v>
      </c>
      <c r="F25" s="43">
        <v>0</v>
      </c>
      <c r="G25" s="43">
        <v>0</v>
      </c>
      <c r="H25" s="43">
        <f t="shared" si="0"/>
        <v>908107.23</v>
      </c>
      <c r="I25" s="43">
        <v>1877407.89</v>
      </c>
      <c r="J25" s="43">
        <v>0</v>
      </c>
      <c r="K25" s="43">
        <f t="shared" si="1"/>
        <v>1877407.89</v>
      </c>
      <c r="L25" s="43">
        <v>512543.84</v>
      </c>
      <c r="M25" s="43">
        <v>21009.25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10119072.210000001</v>
      </c>
      <c r="E26" s="55">
        <f t="shared" si="2"/>
        <v>2009664.57</v>
      </c>
      <c r="F26" s="55">
        <f t="shared" si="2"/>
        <v>0</v>
      </c>
      <c r="G26" s="55">
        <f t="shared" si="2"/>
        <v>0</v>
      </c>
      <c r="H26" s="55">
        <f t="shared" si="2"/>
        <v>2009664.57</v>
      </c>
      <c r="I26" s="55">
        <f t="shared" si="2"/>
        <v>7575854.5499999998</v>
      </c>
      <c r="J26" s="55">
        <f t="shared" si="2"/>
        <v>0</v>
      </c>
      <c r="K26" s="55">
        <f t="shared" si="2"/>
        <v>7575854.5499999998</v>
      </c>
      <c r="L26" s="55">
        <f t="shared" si="2"/>
        <v>512543.84</v>
      </c>
      <c r="M26" s="55">
        <f t="shared" si="2"/>
        <v>21009.25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8BADEA82-90AB-48E7-B4A9-68D24A9CEE40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SALES TAX AUDIT SETTLEMENT REFUND
FOR THE TEST YEAR ENDING DECEMBER 31, 2024
SPONSOR: R. PRACHYL &amp;&amp; B. CLUTTER&amp;R&amp;"Arial,Bold"WP/II-D ADJUSTMENT/31
Page 1 of 2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A900-7820-4E80-9A22-12BD76E5EE2C}">
  <sheetPr codeName="Sheet36">
    <pageSetUpPr fitToPage="1"/>
  </sheetPr>
  <dimension ref="A1:N4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330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-580732.24999999988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-580732.24999999988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11</v>
      </c>
      <c r="D23" s="41">
        <v>-7.52</v>
      </c>
      <c r="E23" s="56">
        <v>-7.52</v>
      </c>
      <c r="F23" s="56">
        <v>0</v>
      </c>
      <c r="G23" s="56">
        <v>0</v>
      </c>
      <c r="H23" s="56">
        <f>SUM(E23:G23)</f>
        <v>-7.52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12</v>
      </c>
      <c r="D24" s="69">
        <v>-89.83</v>
      </c>
      <c r="E24" s="43">
        <v>-89.83</v>
      </c>
      <c r="F24" s="43">
        <v>0</v>
      </c>
      <c r="G24" s="43">
        <v>0</v>
      </c>
      <c r="H24" s="43">
        <f t="shared" ref="H24:H35" si="0">SUM(E24:G24)</f>
        <v>-89.83</v>
      </c>
      <c r="I24" s="43">
        <v>0</v>
      </c>
      <c r="J24" s="43">
        <v>0</v>
      </c>
      <c r="K24" s="43">
        <f t="shared" ref="K24:K35" si="1">SUM(I24:J24)</f>
        <v>0</v>
      </c>
      <c r="L24" s="43">
        <v>0</v>
      </c>
      <c r="M24" s="43">
        <v>0</v>
      </c>
      <c r="N24" s="45" t="b">
        <f t="shared" ref="N24:N32" si="2">+D24=(M24+L24+K24+H24)</f>
        <v>1</v>
      </c>
    </row>
    <row r="25" spans="1:14" x14ac:dyDescent="0.2">
      <c r="A25" s="46">
        <v>20</v>
      </c>
      <c r="C25" s="34" t="s">
        <v>16</v>
      </c>
      <c r="D25" s="69">
        <v>-34273.519999999997</v>
      </c>
      <c r="E25" s="43">
        <v>-34245.75</v>
      </c>
      <c r="F25" s="43">
        <v>0</v>
      </c>
      <c r="G25" s="43">
        <v>0</v>
      </c>
      <c r="H25" s="43">
        <f t="shared" si="0"/>
        <v>-34245.75</v>
      </c>
      <c r="I25" s="43">
        <v>-27.77</v>
      </c>
      <c r="J25" s="43">
        <v>0</v>
      </c>
      <c r="K25" s="43">
        <f t="shared" si="1"/>
        <v>-27.77</v>
      </c>
      <c r="L25" s="43">
        <v>0</v>
      </c>
      <c r="M25" s="43">
        <v>0</v>
      </c>
      <c r="N25" s="45" t="b">
        <f t="shared" si="2"/>
        <v>1</v>
      </c>
    </row>
    <row r="26" spans="1:14" x14ac:dyDescent="0.2">
      <c r="A26" s="46">
        <v>21</v>
      </c>
      <c r="C26" s="34" t="s">
        <v>22</v>
      </c>
      <c r="D26" s="69">
        <v>-204.28</v>
      </c>
      <c r="E26" s="43">
        <v>0</v>
      </c>
      <c r="F26" s="43">
        <v>0</v>
      </c>
      <c r="G26" s="43">
        <v>0</v>
      </c>
      <c r="H26" s="43">
        <f t="shared" si="0"/>
        <v>0</v>
      </c>
      <c r="I26" s="43">
        <v>-4.28</v>
      </c>
      <c r="J26" s="43">
        <v>0</v>
      </c>
      <c r="K26" s="43">
        <f t="shared" si="1"/>
        <v>-4.28</v>
      </c>
      <c r="L26" s="43">
        <v>0</v>
      </c>
      <c r="M26" s="43">
        <v>-200</v>
      </c>
      <c r="N26" s="45" t="b">
        <f t="shared" si="2"/>
        <v>1</v>
      </c>
    </row>
    <row r="27" spans="1:14" x14ac:dyDescent="0.2">
      <c r="A27" s="46">
        <v>22</v>
      </c>
      <c r="C27" s="34" t="s">
        <v>25</v>
      </c>
      <c r="D27" s="69">
        <v>-29.06</v>
      </c>
      <c r="E27" s="43">
        <v>0</v>
      </c>
      <c r="F27" s="43">
        <v>0</v>
      </c>
      <c r="G27" s="43">
        <v>0</v>
      </c>
      <c r="H27" s="43">
        <f t="shared" si="0"/>
        <v>0</v>
      </c>
      <c r="I27" s="43">
        <v>-29.06</v>
      </c>
      <c r="J27" s="43">
        <v>0</v>
      </c>
      <c r="K27" s="43">
        <f t="shared" si="1"/>
        <v>-29.06</v>
      </c>
      <c r="L27" s="43">
        <v>0</v>
      </c>
      <c r="M27" s="43">
        <v>0</v>
      </c>
      <c r="N27" s="45" t="b">
        <f t="shared" si="2"/>
        <v>1</v>
      </c>
    </row>
    <row r="28" spans="1:14" x14ac:dyDescent="0.2">
      <c r="A28" s="46">
        <v>23</v>
      </c>
      <c r="C28" s="34" t="s">
        <v>26</v>
      </c>
      <c r="D28" s="69">
        <v>-0.88</v>
      </c>
      <c r="E28" s="43">
        <v>0</v>
      </c>
      <c r="F28" s="43">
        <v>0</v>
      </c>
      <c r="G28" s="43">
        <v>0</v>
      </c>
      <c r="H28" s="43">
        <f t="shared" si="0"/>
        <v>0</v>
      </c>
      <c r="I28" s="43">
        <v>-0.88</v>
      </c>
      <c r="J28" s="43">
        <v>0</v>
      </c>
      <c r="K28" s="43">
        <f t="shared" si="1"/>
        <v>-0.88</v>
      </c>
      <c r="L28" s="43">
        <v>0</v>
      </c>
      <c r="M28" s="43">
        <v>0</v>
      </c>
      <c r="N28" s="45" t="b">
        <f t="shared" si="2"/>
        <v>1</v>
      </c>
    </row>
    <row r="29" spans="1:14" x14ac:dyDescent="0.2">
      <c r="A29" s="46">
        <v>24</v>
      </c>
      <c r="C29" s="34" t="s">
        <v>29</v>
      </c>
      <c r="D29" s="69">
        <v>-49820.160000000003</v>
      </c>
      <c r="E29" s="43">
        <v>0</v>
      </c>
      <c r="F29" s="43">
        <v>0</v>
      </c>
      <c r="G29" s="43">
        <v>0</v>
      </c>
      <c r="H29" s="43">
        <f t="shared" si="0"/>
        <v>0</v>
      </c>
      <c r="I29" s="43">
        <v>-49820.160000000003</v>
      </c>
      <c r="J29" s="43">
        <v>0</v>
      </c>
      <c r="K29" s="43">
        <f t="shared" si="1"/>
        <v>-49820.160000000003</v>
      </c>
      <c r="L29" s="43">
        <v>0</v>
      </c>
      <c r="M29" s="43">
        <v>0</v>
      </c>
      <c r="N29" s="45" t="b">
        <f t="shared" si="2"/>
        <v>1</v>
      </c>
    </row>
    <row r="30" spans="1:14" x14ac:dyDescent="0.2">
      <c r="A30" s="46">
        <v>25</v>
      </c>
      <c r="C30" s="34" t="s">
        <v>32</v>
      </c>
      <c r="D30" s="69">
        <v>-2.96</v>
      </c>
      <c r="E30" s="43">
        <v>0</v>
      </c>
      <c r="F30" s="43">
        <v>0</v>
      </c>
      <c r="G30" s="43">
        <v>0</v>
      </c>
      <c r="H30" s="43">
        <f t="shared" si="0"/>
        <v>0</v>
      </c>
      <c r="I30" s="43">
        <v>-2.96</v>
      </c>
      <c r="J30" s="43">
        <v>0</v>
      </c>
      <c r="K30" s="43">
        <f t="shared" si="1"/>
        <v>-2.96</v>
      </c>
      <c r="L30" s="43">
        <v>0</v>
      </c>
      <c r="M30" s="43">
        <v>0</v>
      </c>
      <c r="N30" s="45" t="b">
        <f t="shared" si="2"/>
        <v>1</v>
      </c>
    </row>
    <row r="31" spans="1:14" x14ac:dyDescent="0.2">
      <c r="A31" s="46">
        <v>26</v>
      </c>
      <c r="C31" s="34" t="s">
        <v>39</v>
      </c>
      <c r="D31" s="69">
        <v>-302.72000000000003</v>
      </c>
      <c r="E31" s="43">
        <v>0</v>
      </c>
      <c r="F31" s="43">
        <v>0</v>
      </c>
      <c r="G31" s="43">
        <v>0</v>
      </c>
      <c r="H31" s="43">
        <f t="shared" si="0"/>
        <v>0</v>
      </c>
      <c r="I31" s="43">
        <v>0</v>
      </c>
      <c r="J31" s="43">
        <v>0</v>
      </c>
      <c r="K31" s="43">
        <f t="shared" si="1"/>
        <v>0</v>
      </c>
      <c r="L31" s="43">
        <v>-302.72000000000003</v>
      </c>
      <c r="M31" s="43">
        <v>0</v>
      </c>
      <c r="N31" s="45" t="b">
        <f t="shared" si="2"/>
        <v>1</v>
      </c>
    </row>
    <row r="32" spans="1:14" x14ac:dyDescent="0.2">
      <c r="A32" s="46">
        <v>27</v>
      </c>
      <c r="C32" s="34" t="s">
        <v>40</v>
      </c>
      <c r="D32" s="69">
        <v>-2155</v>
      </c>
      <c r="E32" s="43">
        <v>0</v>
      </c>
      <c r="F32" s="43">
        <v>0</v>
      </c>
      <c r="G32" s="43">
        <v>0</v>
      </c>
      <c r="H32" s="43">
        <f t="shared" si="0"/>
        <v>0</v>
      </c>
      <c r="I32" s="43">
        <v>0</v>
      </c>
      <c r="J32" s="43">
        <v>0</v>
      </c>
      <c r="K32" s="43">
        <f t="shared" si="1"/>
        <v>0</v>
      </c>
      <c r="L32" s="43">
        <v>0</v>
      </c>
      <c r="M32" s="43">
        <v>-2155</v>
      </c>
      <c r="N32" s="45" t="b">
        <f t="shared" si="2"/>
        <v>1</v>
      </c>
    </row>
    <row r="33" spans="1:14" x14ac:dyDescent="0.2">
      <c r="A33" s="46">
        <v>28</v>
      </c>
      <c r="C33" s="34" t="s">
        <v>42</v>
      </c>
      <c r="D33" s="69">
        <v>-1165.98</v>
      </c>
      <c r="E33" s="43">
        <v>0</v>
      </c>
      <c r="F33" s="43">
        <v>0</v>
      </c>
      <c r="G33" s="43">
        <v>0</v>
      </c>
      <c r="H33" s="43">
        <f t="shared" si="0"/>
        <v>0</v>
      </c>
      <c r="I33" s="43">
        <v>0</v>
      </c>
      <c r="J33" s="43">
        <v>0</v>
      </c>
      <c r="K33" s="43">
        <f t="shared" si="1"/>
        <v>0</v>
      </c>
      <c r="L33" s="43">
        <v>0</v>
      </c>
      <c r="M33" s="43">
        <v>-1165.98</v>
      </c>
      <c r="N33" s="45" t="b">
        <f>+D33=(M33+L33+K33+H33)</f>
        <v>1</v>
      </c>
    </row>
    <row r="34" spans="1:14" x14ac:dyDescent="0.2">
      <c r="A34" s="46">
        <v>29</v>
      </c>
      <c r="C34" s="34" t="s">
        <v>45</v>
      </c>
      <c r="D34" s="69">
        <v>-491818.4</v>
      </c>
      <c r="E34" s="43">
        <v>-100830.2</v>
      </c>
      <c r="F34" s="43">
        <v>0</v>
      </c>
      <c r="G34" s="43">
        <v>0</v>
      </c>
      <c r="H34" s="43">
        <f t="shared" si="0"/>
        <v>-100830.2</v>
      </c>
      <c r="I34" s="43">
        <v>-263584.24</v>
      </c>
      <c r="J34" s="43">
        <v>0</v>
      </c>
      <c r="K34" s="43">
        <f t="shared" si="1"/>
        <v>-263584.24</v>
      </c>
      <c r="L34" s="43">
        <v>-73591.8</v>
      </c>
      <c r="M34" s="43">
        <v>-53812.160000000003</v>
      </c>
      <c r="N34" s="45" t="b">
        <f>+D34=(M34+L34+K34+H34)</f>
        <v>1</v>
      </c>
    </row>
    <row r="35" spans="1:14" x14ac:dyDescent="0.2">
      <c r="A35" s="46">
        <v>30</v>
      </c>
      <c r="C35" s="34" t="s">
        <v>47</v>
      </c>
      <c r="D35" s="69">
        <v>-861.94</v>
      </c>
      <c r="E35" s="43">
        <v>-237.72</v>
      </c>
      <c r="F35" s="43">
        <v>0</v>
      </c>
      <c r="G35" s="43">
        <v>0</v>
      </c>
      <c r="H35" s="43">
        <f t="shared" si="0"/>
        <v>-237.72</v>
      </c>
      <c r="I35" s="43">
        <v>-624.22</v>
      </c>
      <c r="J35" s="43">
        <v>0</v>
      </c>
      <c r="K35" s="43">
        <f t="shared" si="1"/>
        <v>-624.22</v>
      </c>
      <c r="L35" s="43">
        <v>0</v>
      </c>
      <c r="M35" s="43">
        <v>0</v>
      </c>
      <c r="N35" s="45" t="b">
        <f>+D35=(M35+L35+K35+H35)</f>
        <v>1</v>
      </c>
    </row>
    <row r="36" spans="1:14" ht="13.5" thickBot="1" x14ac:dyDescent="0.25">
      <c r="A36" s="46">
        <v>31</v>
      </c>
      <c r="D36" s="55">
        <f>SUM(D23:D35)</f>
        <v>-580732.25</v>
      </c>
      <c r="E36" s="55">
        <f t="shared" ref="E36:M36" si="3">SUM(E23:E35)</f>
        <v>-135411.01999999999</v>
      </c>
      <c r="F36" s="55">
        <f t="shared" si="3"/>
        <v>0</v>
      </c>
      <c r="G36" s="55">
        <f t="shared" si="3"/>
        <v>0</v>
      </c>
      <c r="H36" s="55">
        <f t="shared" si="3"/>
        <v>-135411.01999999999</v>
      </c>
      <c r="I36" s="55">
        <f t="shared" si="3"/>
        <v>-314093.56999999995</v>
      </c>
      <c r="J36" s="55">
        <f t="shared" si="3"/>
        <v>0</v>
      </c>
      <c r="K36" s="55">
        <f t="shared" si="3"/>
        <v>-314093.56999999995</v>
      </c>
      <c r="L36" s="55">
        <f t="shared" si="3"/>
        <v>-73894.52</v>
      </c>
      <c r="M36" s="55">
        <f t="shared" si="3"/>
        <v>-57333.140000000007</v>
      </c>
      <c r="N36" s="45" t="b">
        <f>+D36=(M36+L36+K36+H36)</f>
        <v>1</v>
      </c>
    </row>
    <row r="37" spans="1:14" ht="13.5" thickTop="1" x14ac:dyDescent="0.2">
      <c r="A37" s="46"/>
    </row>
    <row r="40" spans="1:14" x14ac:dyDescent="0.2">
      <c r="B4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40" location="'Total Summary'!A80" display="Return to Summary" xr:uid="{01D5C9BF-DB8D-49FA-82B9-AAA7AF7FFF22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EXPENSE REPORT ADJUSTMENT
FOR THE TEST YEAR ENDING DECEMBER 31, 2024
SPONSOR: R. PRACHYL&amp;R&amp;"Arial,Bold"WP/II-D ADJUSTMENT/32
Page 1 of 14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FF188-16F8-4B58-88C2-EB4DC77B39CD}">
  <sheetPr codeName="Sheet37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331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186632.3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186632.3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40</v>
      </c>
      <c r="D23" s="41">
        <f>+M14</f>
        <v>186632.3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f>+D23</f>
        <v>186632.3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186632.3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186632.3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E392D57F-819E-4471-9A44-9D4949307FC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CONTACT CENTER - GC SERVICES ADJUSTMENT
FOR THE TEST YEAR ENDING DECEMBER 31, 2024
SPONSOR: R. PRACHYL &amp;&amp; M. HODGES&amp;R&amp;"Arial,Bold"WP/II-D ADJUSTMENT/33
Page 1 of 2</oddHeader>
  </headerFooter>
  <ignoredErrors>
    <ignoredError sqref="H24:H25" formulaRange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5018A-AC0C-4EDA-90B8-2B89CB499551}">
  <sheetPr codeName="Sheet38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265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23">
        <v>399999.92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399999.92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14</v>
      </c>
      <c r="D23" s="41">
        <f>+M14</f>
        <v>399999.92</v>
      </c>
      <c r="E23" s="103">
        <v>349859.96</v>
      </c>
      <c r="F23" s="56">
        <f>+D23-E23</f>
        <v>50139.959999999963</v>
      </c>
      <c r="G23" s="56">
        <v>0</v>
      </c>
      <c r="H23" s="56">
        <f>SUM(E23:G23)</f>
        <v>399999.92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399999.92</v>
      </c>
      <c r="E26" s="55">
        <f t="shared" si="2"/>
        <v>349859.96</v>
      </c>
      <c r="F26" s="55">
        <f t="shared" si="2"/>
        <v>50139.959999999963</v>
      </c>
      <c r="G26" s="55">
        <f t="shared" si="2"/>
        <v>0</v>
      </c>
      <c r="H26" s="55">
        <f t="shared" si="2"/>
        <v>399999.92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DCA1D49F-0CEA-42D9-AADC-829D5C83338F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ADJ. FOR POWERLINE SAFETY (PURA Sec. 36.066) ACCRUAL BASED ON 2025 ESTIMATE
FOR THE TEST YEAR ENDING DECEMBER 31, 2024
SPONSOR: R. PRACHYL &amp;&amp; A. MACHOKA&amp;R&amp;"Arial,Bold"WP/II-D ADJUSTMENT/34
Page 1 of 2</oddHeader>
  </headerFooter>
  <ignoredErrors>
    <ignoredError sqref="H24:H25" formulaRange="1"/>
  </ignoredError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5925-6D9A-41EB-9109-CA94A5E7E8DD}">
  <sheetPr codeName="Sheet39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332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267260.95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267260.95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12</v>
      </c>
      <c r="D23" s="41">
        <f>+M14</f>
        <v>267260.95</v>
      </c>
      <c r="E23" s="56">
        <v>0</v>
      </c>
      <c r="F23" s="56">
        <f>+D23</f>
        <v>267260.95</v>
      </c>
      <c r="G23" s="56">
        <v>0</v>
      </c>
      <c r="H23" s="56">
        <f>SUM(E23:G23)</f>
        <v>267260.95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267260.95</v>
      </c>
      <c r="E26" s="55">
        <f t="shared" si="2"/>
        <v>0</v>
      </c>
      <c r="F26" s="55">
        <f t="shared" si="2"/>
        <v>267260.95</v>
      </c>
      <c r="G26" s="55">
        <f t="shared" si="2"/>
        <v>0</v>
      </c>
      <c r="H26" s="55">
        <f t="shared" si="2"/>
        <v>267260.95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478CE360-659D-44EB-AE8C-D0FA84C564C4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REMOVE AFFILIATE BILLING CORRECTION FROM 2023
FOR THE TEST YEAR ENDING DECEMBER 31, 2024
SPONSOR: R. PRACHYL&amp;R&amp;"Arial,Bold"WP/II-D ADJUSTMENT/35
Page 1 of 2</oddHeader>
  </headerFooter>
  <ignoredErrors>
    <ignoredError sqref="H24:H25" formulaRange="1"/>
  </ignoredError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3AB93-9FBF-4FC5-B3AE-3A11FB68C7AB}">
  <sheetPr codeName="Sheet40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268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-3313.35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-3313.35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16</v>
      </c>
      <c r="D23" s="41">
        <v>109348</v>
      </c>
      <c r="E23" s="56">
        <f>+D23</f>
        <v>109348</v>
      </c>
      <c r="F23" s="56">
        <v>0</v>
      </c>
      <c r="G23" s="56">
        <v>0</v>
      </c>
      <c r="H23" s="56">
        <f>SUM(E23:G23)</f>
        <v>109348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22</v>
      </c>
      <c r="D24" s="69">
        <v>-100925.79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+D24</f>
        <v>-100925.79</v>
      </c>
      <c r="J24" s="43">
        <v>0</v>
      </c>
      <c r="K24" s="43">
        <f t="shared" ref="K24:K25" si="1">SUM(I24:J24)</f>
        <v>-100925.79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47</v>
      </c>
      <c r="D25" s="69">
        <v>-11735.56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f>+D25</f>
        <v>-11735.56</v>
      </c>
      <c r="J25" s="43">
        <v>0</v>
      </c>
      <c r="K25" s="43">
        <f t="shared" si="1"/>
        <v>-11735.56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-3313.3499999999931</v>
      </c>
      <c r="E26" s="55">
        <f t="shared" si="2"/>
        <v>109348</v>
      </c>
      <c r="F26" s="55">
        <f t="shared" si="2"/>
        <v>0</v>
      </c>
      <c r="G26" s="55">
        <f t="shared" si="2"/>
        <v>0</v>
      </c>
      <c r="H26" s="55">
        <f t="shared" si="2"/>
        <v>109348</v>
      </c>
      <c r="I26" s="55">
        <f t="shared" si="2"/>
        <v>-112661.34999999999</v>
      </c>
      <c r="J26" s="55">
        <f t="shared" si="2"/>
        <v>0</v>
      </c>
      <c r="K26" s="55">
        <f t="shared" si="2"/>
        <v>-112661.34999999999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2900A7DD-26F8-4EA5-9AF4-356D50051912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WAXAHACHIE LEASE TRANSFER ADJUSTMENT
FOR THE TEST YEAR ENDING DECEMBER 31, 2024
SPONSOR: R. PRACHYL&amp;R&amp;"Arial,Bold"WP/II-D ADJUSTMENT/36
Page 1 of 2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4296-8B8F-4EDC-94B2-E8CDA5664373}">
  <sheetPr codeName="Sheet41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333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-265337.74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-265337.74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16</v>
      </c>
      <c r="D23" s="41">
        <v>-3500</v>
      </c>
      <c r="E23" s="56">
        <v>-3500</v>
      </c>
      <c r="F23" s="56">
        <v>0</v>
      </c>
      <c r="G23" s="56">
        <v>0</v>
      </c>
      <c r="H23" s="56">
        <f>SUM(E23:G23)</f>
        <v>-3500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29</v>
      </c>
      <c r="D24" s="69">
        <v>-5189.03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v>-5189.03</v>
      </c>
      <c r="J24" s="43">
        <v>0</v>
      </c>
      <c r="K24" s="43">
        <f t="shared" ref="K24:K25" si="1">SUM(I24:J24)</f>
        <v>-5189.03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45</v>
      </c>
      <c r="D25" s="69">
        <v>-256648.71</v>
      </c>
      <c r="E25" s="43">
        <v>-25494.639999999999</v>
      </c>
      <c r="F25" s="43">
        <v>0</v>
      </c>
      <c r="G25" s="43">
        <v>0</v>
      </c>
      <c r="H25" s="43">
        <f t="shared" si="0"/>
        <v>-25494.639999999999</v>
      </c>
      <c r="I25" s="43">
        <f>+D25-E25-F25-G25-J25-L25-M25</f>
        <v>-68091.53</v>
      </c>
      <c r="J25" s="43">
        <v>0</v>
      </c>
      <c r="K25" s="43">
        <f t="shared" si="1"/>
        <v>-68091.53</v>
      </c>
      <c r="L25" s="43">
        <v>-19041.59</v>
      </c>
      <c r="M25" s="43">
        <v>-144020.95000000001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-265337.74</v>
      </c>
      <c r="E26" s="55">
        <f t="shared" si="2"/>
        <v>-28994.639999999999</v>
      </c>
      <c r="F26" s="55">
        <f t="shared" si="2"/>
        <v>0</v>
      </c>
      <c r="G26" s="55">
        <f t="shared" si="2"/>
        <v>0</v>
      </c>
      <c r="H26" s="55">
        <f t="shared" si="2"/>
        <v>-28994.639999999999</v>
      </c>
      <c r="I26" s="55">
        <f t="shared" si="2"/>
        <v>-73280.56</v>
      </c>
      <c r="J26" s="55">
        <f t="shared" si="2"/>
        <v>0</v>
      </c>
      <c r="K26" s="55">
        <f t="shared" si="2"/>
        <v>-73280.56</v>
      </c>
      <c r="L26" s="55">
        <f t="shared" si="2"/>
        <v>-19041.59</v>
      </c>
      <c r="M26" s="55">
        <f t="shared" si="2"/>
        <v>-144020.95000000001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1B0A793A-2686-4CAF-BDF9-BD1B0B43A412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SOCIAL CLUB DUES ADJUSTMENT
FOR THE TEST YEAR ENDING DECEMBER 31, 2024
SPONSOR: R. PRACHYL&amp;R&amp;"Arial,Bold"WP/II-D ADJUSTMENT/37
Page 1 of 8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E32EE-377F-4885-94C4-9DE841FD9ED6}">
  <sheetPr codeName="Sheet42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334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-1800882.79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-1800882.79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45</v>
      </c>
      <c r="D23" s="41">
        <f>+M14</f>
        <v>-1800882.79</v>
      </c>
      <c r="E23" s="56">
        <f>ROUND(+$D23*'[3]II-F Alloc_Factor'!E$17,2)</f>
        <v>-404873.14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-404873.14</v>
      </c>
      <c r="I23" s="56">
        <f>ROUND(+$D23*'[3]II-F Alloc_Factor'!I$17,2)</f>
        <v>-1081265.3700000001</v>
      </c>
      <c r="J23" s="56">
        <f>ROUND(+$D23*'[3]II-F Alloc_Factor'!J$17,2)</f>
        <v>0</v>
      </c>
      <c r="K23" s="56">
        <f>SUM(I23:J23)</f>
        <v>-1081265.3700000001</v>
      </c>
      <c r="L23" s="56">
        <f>ROUND(+$D23*'[3]II-F Alloc_Factor'!L$17,2)</f>
        <v>-302350.86</v>
      </c>
      <c r="M23" s="56">
        <f>ROUND(+$D23*'[3]II-F Alloc_Factor'!M$17,2)</f>
        <v>-12393.42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-1800882.79</v>
      </c>
      <c r="E26" s="55">
        <f t="shared" si="2"/>
        <v>-404873.14</v>
      </c>
      <c r="F26" s="55">
        <f t="shared" si="2"/>
        <v>0</v>
      </c>
      <c r="G26" s="55">
        <f t="shared" si="2"/>
        <v>0</v>
      </c>
      <c r="H26" s="55">
        <f t="shared" si="2"/>
        <v>-404873.14</v>
      </c>
      <c r="I26" s="55">
        <f t="shared" si="2"/>
        <v>-1081265.3700000001</v>
      </c>
      <c r="J26" s="55">
        <f t="shared" si="2"/>
        <v>0</v>
      </c>
      <c r="K26" s="55">
        <f t="shared" si="2"/>
        <v>-1081265.3700000001</v>
      </c>
      <c r="L26" s="55">
        <f t="shared" si="2"/>
        <v>-302350.86</v>
      </c>
      <c r="M26" s="55">
        <f t="shared" si="2"/>
        <v>-12393.42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FCC7AE45-67F8-4E0F-A19E-A0E196826E3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REMOVE O&amp;&amp;M COSTS FOR NET JETS
FOR THE TEST YEAR ENDING DECEMBER 31, 2024
SPONSOR: R. PRACHYL&amp;R&amp;"Arial,Bold"WP/II-D ADJUSTMENT/38
Page 1 of 2</oddHeader>
  </headerFooter>
  <ignoredErrors>
    <ignoredError sqref="H24:H25" formulaRange="1"/>
  </ignoredError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6C9E4-10E7-4891-9FD5-C5A81B90E3B2}">
  <sheetPr codeName="Sheet43">
    <pageSetUpPr fitToPage="1"/>
  </sheetPr>
  <dimension ref="A1:N30"/>
  <sheetViews>
    <sheetView zoomScaleNormal="100" workbookViewId="0">
      <selection activeCell="B30" sqref="B30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269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2203528.2999999998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2203528.2999999998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186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47</v>
      </c>
      <c r="D23" s="41">
        <f>+M14</f>
        <v>2203528.2999999998</v>
      </c>
      <c r="E23" s="56">
        <f>ROUND(+$D23*'[3]II-F Alloc_Factor'!E$17,2)</f>
        <v>495395.61</v>
      </c>
      <c r="F23" s="56">
        <f>ROUND(+$D23*'[3]II-F Alloc_Factor'!F$17,2)</f>
        <v>0</v>
      </c>
      <c r="G23" s="56">
        <f>ROUND(+$D23*'[3]II-F Alloc_Factor'!G$17,2)</f>
        <v>0</v>
      </c>
      <c r="H23" s="56">
        <f>SUM(E23:G23)</f>
        <v>495395.61</v>
      </c>
      <c r="I23" s="56">
        <f>ROUND(+$D23*'[3]II-F Alloc_Factor'!I$17,2)</f>
        <v>1323017.1599999999</v>
      </c>
      <c r="J23" s="56">
        <f>ROUND(+$D23*'[3]II-F Alloc_Factor'!J$17,2)</f>
        <v>0</v>
      </c>
      <c r="K23" s="56">
        <f>SUM(I23:J23)</f>
        <v>1323017.1599999999</v>
      </c>
      <c r="L23" s="56">
        <f>ROUND(+$D23*'[3]II-F Alloc_Factor'!L$17,2)</f>
        <v>369951.16</v>
      </c>
      <c r="M23" s="56">
        <f>ROUND(+$D23*'[3]II-F Alloc_Factor'!M$17,2)</f>
        <v>15164.37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2203528.2999999998</v>
      </c>
      <c r="E26" s="55">
        <f t="shared" si="2"/>
        <v>495395.61</v>
      </c>
      <c r="F26" s="55">
        <f t="shared" si="2"/>
        <v>0</v>
      </c>
      <c r="G26" s="55">
        <f t="shared" si="2"/>
        <v>0</v>
      </c>
      <c r="H26" s="55">
        <f t="shared" si="2"/>
        <v>495395.61</v>
      </c>
      <c r="I26" s="55">
        <f t="shared" si="2"/>
        <v>1323017.1599999999</v>
      </c>
      <c r="J26" s="55">
        <f t="shared" si="2"/>
        <v>0</v>
      </c>
      <c r="K26" s="55">
        <f t="shared" si="2"/>
        <v>1323017.1599999999</v>
      </c>
      <c r="L26" s="55">
        <f t="shared" si="2"/>
        <v>369951.16</v>
      </c>
      <c r="M26" s="55">
        <f t="shared" si="2"/>
        <v>15164.37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E04FA595-FD37-431D-912A-986D8BCE54A9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ADJUST CREDIT FACILITY FEES
FOR THE TEST YEAR ENDING DECEMBER 31, 2024
SPONSOR: R. PRACHYL &amp;&amp; K. FEASE&amp;R&amp;"Arial,Bold"WP/II-D ADJUSTMENT/39
Page 1 of 2</oddHeader>
  </headerFooter>
  <ignoredErrors>
    <ignoredError sqref="H24:H25" formulaRange="1"/>
  </ignoredError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37219-A033-411A-839B-156138A98702}">
  <sheetPr codeName="Sheet44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335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23">
        <v>246021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246021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94"/>
      <c r="K17" s="94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95" t="s">
        <v>168</v>
      </c>
      <c r="G20" s="95" t="s">
        <v>169</v>
      </c>
      <c r="H20" s="95" t="s">
        <v>171</v>
      </c>
      <c r="I20" s="135" t="s">
        <v>8</v>
      </c>
      <c r="J20" s="95" t="s">
        <v>168</v>
      </c>
      <c r="K20" s="95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96" t="s">
        <v>7</v>
      </c>
      <c r="G21" s="96" t="s">
        <v>170</v>
      </c>
      <c r="H21" s="96" t="s">
        <v>7</v>
      </c>
      <c r="I21" s="137"/>
      <c r="J21" s="96" t="s">
        <v>8</v>
      </c>
      <c r="K21" s="96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29</v>
      </c>
      <c r="D23" s="41">
        <f>+M14</f>
        <v>246021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246021</v>
      </c>
      <c r="J23" s="56">
        <v>0</v>
      </c>
      <c r="K23" s="56">
        <f>SUM(I23:J23)</f>
        <v>246021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246021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246021</v>
      </c>
      <c r="J26" s="55">
        <f t="shared" si="2"/>
        <v>0</v>
      </c>
      <c r="K26" s="55">
        <f t="shared" si="2"/>
        <v>246021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AD45EE00-C029-4181-A2B0-3B5BD12DBF6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EVERMAN LEASE ADJUSTMENT
FOR THE TEST YEAR ENDING DECEMBER 31, 2024
SPONSOR: R. PRACHYL&amp;R&amp;"Arial,Bold"WP/II-D ADJUSTMENT/40
Page 1 of 2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F4C0-99EA-42B8-89CB-46FB1E9E19D4}">
  <sheetPr codeName="Sheet45">
    <pageSetUpPr fitToPage="1"/>
  </sheetPr>
  <dimension ref="A1:N30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300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-6733011.7000000002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-6733011.7000000002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106"/>
      <c r="K17" s="106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104" t="s">
        <v>168</v>
      </c>
      <c r="G20" s="104" t="s">
        <v>169</v>
      </c>
      <c r="H20" s="104" t="s">
        <v>171</v>
      </c>
      <c r="I20" s="135" t="s">
        <v>8</v>
      </c>
      <c r="J20" s="104" t="s">
        <v>168</v>
      </c>
      <c r="K20" s="104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105" t="s">
        <v>7</v>
      </c>
      <c r="G21" s="105" t="s">
        <v>170</v>
      </c>
      <c r="H21" s="105" t="s">
        <v>7</v>
      </c>
      <c r="I21" s="137"/>
      <c r="J21" s="105" t="s">
        <v>8</v>
      </c>
      <c r="K21" s="105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40</v>
      </c>
      <c r="D23" s="41">
        <f>+M14</f>
        <v>-6733011.7000000002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f>+D23</f>
        <v>-6733011.7000000002</v>
      </c>
      <c r="N23" s="45" t="b">
        <f>+D23=(M23+L23+K23+H23)</f>
        <v>1</v>
      </c>
    </row>
    <row r="24" spans="1:14" x14ac:dyDescent="0.2">
      <c r="A24" s="46">
        <v>19</v>
      </c>
      <c r="C24" s="34"/>
      <c r="D24" s="69">
        <v>0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+M8</f>
        <v>0</v>
      </c>
      <c r="J24" s="43">
        <v>0</v>
      </c>
      <c r="K24" s="43">
        <f t="shared" ref="K24:K25" si="1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/>
      <c r="D25" s="69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-6733011.7000000002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-6733011.7000000002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465F50CC-AD46-4614-ACBF-1176D99ED7B1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AR FACILITY AFFILIATE SERVICES FEES
FOR THE TEST YEAR ENDING DECEMBER 31, 2024
SPONSOR: R. PRACHYL&amp;R&amp;"Arial,Bold"WP/II-D ADJUSTMENT/41
Page 1 of 2</oddHead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C0036-0D07-4756-9706-0E3E7B6E1FA2}">
  <sheetPr codeName="Sheet46">
    <pageSetUpPr fitToPage="1"/>
  </sheetPr>
  <dimension ref="A1:N38"/>
  <sheetViews>
    <sheetView zoomScaleNormal="100" workbookViewId="0">
      <selection activeCell="B6" sqref="B6"/>
    </sheetView>
  </sheetViews>
  <sheetFormatPr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283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661312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661312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109"/>
      <c r="K17" s="109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110" t="s">
        <v>168</v>
      </c>
      <c r="G20" s="110" t="s">
        <v>169</v>
      </c>
      <c r="H20" s="110" t="s">
        <v>171</v>
      </c>
      <c r="I20" s="135" t="s">
        <v>8</v>
      </c>
      <c r="J20" s="110" t="s">
        <v>168</v>
      </c>
      <c r="K20" s="110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111" t="s">
        <v>7</v>
      </c>
      <c r="G21" s="111" t="s">
        <v>170</v>
      </c>
      <c r="H21" s="111" t="s">
        <v>7</v>
      </c>
      <c r="I21" s="137"/>
      <c r="J21" s="111" t="s">
        <v>8</v>
      </c>
      <c r="K21" s="111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25</v>
      </c>
      <c r="D23" s="41">
        <v>41499.74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</f>
        <v>41499.74</v>
      </c>
      <c r="J23" s="56">
        <v>0</v>
      </c>
      <c r="K23" s="56">
        <f>SUM(I23:J23)</f>
        <v>41499.74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26</v>
      </c>
      <c r="D24" s="69">
        <v>44943.3</v>
      </c>
      <c r="E24" s="43">
        <v>0</v>
      </c>
      <c r="F24" s="43">
        <v>0</v>
      </c>
      <c r="G24" s="43">
        <v>0</v>
      </c>
      <c r="H24" s="43">
        <f t="shared" ref="H24" si="0">SUM(E24:G24)</f>
        <v>0</v>
      </c>
      <c r="I24" s="43">
        <f>+D24</f>
        <v>44943.3</v>
      </c>
      <c r="J24" s="43">
        <v>0</v>
      </c>
      <c r="K24" s="43">
        <f t="shared" ref="K24" si="1">SUM(I24:J24)</f>
        <v>44943.3</v>
      </c>
      <c r="L24" s="43">
        <v>0</v>
      </c>
      <c r="M24" s="43">
        <v>0</v>
      </c>
      <c r="N24" s="45" t="b">
        <f t="shared" ref="N24:N34" si="2">+D24=(M24+L24+K24+H24)</f>
        <v>1</v>
      </c>
    </row>
    <row r="25" spans="1:14" x14ac:dyDescent="0.2">
      <c r="A25" s="46">
        <v>20</v>
      </c>
      <c r="C25" s="34" t="s">
        <v>27</v>
      </c>
      <c r="D25" s="69">
        <v>172614.89</v>
      </c>
      <c r="E25" s="43">
        <v>0</v>
      </c>
      <c r="F25" s="43">
        <v>0</v>
      </c>
      <c r="G25" s="43">
        <v>0</v>
      </c>
      <c r="H25" s="43">
        <f t="shared" ref="H25:H32" si="3">SUM(E25:G25)</f>
        <v>0</v>
      </c>
      <c r="I25" s="43">
        <v>0</v>
      </c>
      <c r="J25" s="43">
        <v>0</v>
      </c>
      <c r="K25" s="43">
        <f t="shared" ref="K25:K32" si="4">SUM(I25:J25)</f>
        <v>0</v>
      </c>
      <c r="L25" s="43">
        <f>+D25</f>
        <v>172614.89</v>
      </c>
      <c r="M25" s="43">
        <v>0</v>
      </c>
      <c r="N25" s="45" t="b">
        <f t="shared" si="2"/>
        <v>1</v>
      </c>
    </row>
    <row r="26" spans="1:14" x14ac:dyDescent="0.2">
      <c r="A26" s="46">
        <v>21</v>
      </c>
      <c r="C26" s="34" t="s">
        <v>30</v>
      </c>
      <c r="D26" s="69">
        <v>609.13</v>
      </c>
      <c r="E26" s="43">
        <v>0</v>
      </c>
      <c r="F26" s="43">
        <v>0</v>
      </c>
      <c r="G26" s="43">
        <v>0</v>
      </c>
      <c r="H26" s="43">
        <f t="shared" si="3"/>
        <v>0</v>
      </c>
      <c r="I26" s="43">
        <f t="shared" ref="I26:I32" si="5">+D26</f>
        <v>609.13</v>
      </c>
      <c r="J26" s="43">
        <v>0</v>
      </c>
      <c r="K26" s="43">
        <f t="shared" si="4"/>
        <v>609.13</v>
      </c>
      <c r="L26" s="43">
        <v>0</v>
      </c>
      <c r="M26" s="43">
        <v>0</v>
      </c>
      <c r="N26" s="45" t="b">
        <f t="shared" si="2"/>
        <v>1</v>
      </c>
    </row>
    <row r="27" spans="1:14" x14ac:dyDescent="0.2">
      <c r="A27" s="46">
        <v>22</v>
      </c>
      <c r="C27" s="34" t="s">
        <v>31</v>
      </c>
      <c r="D27" s="69">
        <v>1718.4</v>
      </c>
      <c r="E27" s="43">
        <v>0</v>
      </c>
      <c r="F27" s="43">
        <v>0</v>
      </c>
      <c r="G27" s="43">
        <v>0</v>
      </c>
      <c r="H27" s="43">
        <f t="shared" si="3"/>
        <v>0</v>
      </c>
      <c r="I27" s="43">
        <f t="shared" si="5"/>
        <v>1718.4</v>
      </c>
      <c r="J27" s="43">
        <v>0</v>
      </c>
      <c r="K27" s="43">
        <f t="shared" si="4"/>
        <v>1718.4</v>
      </c>
      <c r="L27" s="43">
        <v>0</v>
      </c>
      <c r="M27" s="43">
        <v>0</v>
      </c>
      <c r="N27" s="45" t="b">
        <f t="shared" si="2"/>
        <v>1</v>
      </c>
    </row>
    <row r="28" spans="1:14" x14ac:dyDescent="0.2">
      <c r="A28" s="46">
        <v>23</v>
      </c>
      <c r="C28" s="34" t="s">
        <v>32</v>
      </c>
      <c r="D28" s="69">
        <v>3928.87</v>
      </c>
      <c r="E28" s="43">
        <v>0</v>
      </c>
      <c r="F28" s="43">
        <v>0</v>
      </c>
      <c r="G28" s="43">
        <v>0</v>
      </c>
      <c r="H28" s="43">
        <f t="shared" si="3"/>
        <v>0</v>
      </c>
      <c r="I28" s="43">
        <f t="shared" si="5"/>
        <v>3928.87</v>
      </c>
      <c r="J28" s="43">
        <v>0</v>
      </c>
      <c r="K28" s="43">
        <f t="shared" si="4"/>
        <v>3928.87</v>
      </c>
      <c r="L28" s="43">
        <v>0</v>
      </c>
      <c r="M28" s="43">
        <v>0</v>
      </c>
      <c r="N28" s="45" t="b">
        <f t="shared" si="2"/>
        <v>1</v>
      </c>
    </row>
    <row r="29" spans="1:14" x14ac:dyDescent="0.2">
      <c r="A29" s="46">
        <v>24</v>
      </c>
      <c r="C29" s="34" t="s">
        <v>33</v>
      </c>
      <c r="D29" s="69">
        <v>160080.93</v>
      </c>
      <c r="E29" s="43">
        <v>0</v>
      </c>
      <c r="F29" s="43">
        <v>0</v>
      </c>
      <c r="G29" s="43">
        <v>0</v>
      </c>
      <c r="H29" s="43">
        <f t="shared" si="3"/>
        <v>0</v>
      </c>
      <c r="I29" s="43">
        <f t="shared" si="5"/>
        <v>160080.93</v>
      </c>
      <c r="J29" s="43">
        <v>0</v>
      </c>
      <c r="K29" s="43">
        <f t="shared" si="4"/>
        <v>160080.93</v>
      </c>
      <c r="L29" s="43">
        <v>0</v>
      </c>
      <c r="M29" s="43">
        <v>0</v>
      </c>
      <c r="N29" s="45" t="b">
        <f t="shared" si="2"/>
        <v>1</v>
      </c>
    </row>
    <row r="30" spans="1:14" x14ac:dyDescent="0.2">
      <c r="A30" s="46">
        <v>25</v>
      </c>
      <c r="C30" s="34" t="s">
        <v>34</v>
      </c>
      <c r="D30" s="69">
        <v>69.349999999999994</v>
      </c>
      <c r="E30" s="43">
        <v>0</v>
      </c>
      <c r="F30" s="43">
        <v>0</v>
      </c>
      <c r="G30" s="43">
        <v>0</v>
      </c>
      <c r="H30" s="43">
        <f t="shared" si="3"/>
        <v>0</v>
      </c>
      <c r="I30" s="43">
        <f t="shared" si="5"/>
        <v>69.349999999999994</v>
      </c>
      <c r="J30" s="43">
        <v>0</v>
      </c>
      <c r="K30" s="43">
        <f t="shared" si="4"/>
        <v>69.349999999999994</v>
      </c>
      <c r="L30" s="43">
        <v>0</v>
      </c>
      <c r="M30" s="43">
        <v>0</v>
      </c>
      <c r="N30" s="45" t="b">
        <f t="shared" si="2"/>
        <v>1</v>
      </c>
    </row>
    <row r="31" spans="1:14" x14ac:dyDescent="0.2">
      <c r="A31" s="46">
        <v>26</v>
      </c>
      <c r="C31" s="34" t="s">
        <v>35</v>
      </c>
      <c r="D31" s="69">
        <v>213532.41</v>
      </c>
      <c r="E31" s="43">
        <v>0</v>
      </c>
      <c r="F31" s="43">
        <v>0</v>
      </c>
      <c r="G31" s="43">
        <v>0</v>
      </c>
      <c r="H31" s="43">
        <f t="shared" si="3"/>
        <v>0</v>
      </c>
      <c r="I31" s="43">
        <f t="shared" si="5"/>
        <v>213532.41</v>
      </c>
      <c r="J31" s="43">
        <v>0</v>
      </c>
      <c r="K31" s="43">
        <f t="shared" si="4"/>
        <v>213532.41</v>
      </c>
      <c r="L31" s="43">
        <v>0</v>
      </c>
      <c r="M31" s="43">
        <v>0</v>
      </c>
      <c r="N31" s="45" t="b">
        <f t="shared" si="2"/>
        <v>1</v>
      </c>
    </row>
    <row r="32" spans="1:14" x14ac:dyDescent="0.2">
      <c r="A32" s="46">
        <v>27</v>
      </c>
      <c r="C32" s="34" t="s">
        <v>37</v>
      </c>
      <c r="D32" s="69">
        <v>22314.98</v>
      </c>
      <c r="E32" s="43">
        <v>0</v>
      </c>
      <c r="F32" s="43">
        <v>0</v>
      </c>
      <c r="G32" s="43">
        <v>0</v>
      </c>
      <c r="H32" s="43">
        <f t="shared" si="3"/>
        <v>0</v>
      </c>
      <c r="I32" s="43">
        <f t="shared" si="5"/>
        <v>22314.98</v>
      </c>
      <c r="J32" s="43">
        <v>0</v>
      </c>
      <c r="K32" s="43">
        <f t="shared" si="4"/>
        <v>22314.98</v>
      </c>
      <c r="L32" s="43">
        <v>0</v>
      </c>
      <c r="M32" s="43">
        <v>0</v>
      </c>
      <c r="N32" s="45" t="b">
        <f t="shared" si="2"/>
        <v>1</v>
      </c>
    </row>
    <row r="33" spans="1:14" x14ac:dyDescent="0.2">
      <c r="A33" s="46">
        <v>28</v>
      </c>
      <c r="C33" s="34"/>
      <c r="D33" s="69">
        <v>0</v>
      </c>
      <c r="E33" s="43">
        <v>0</v>
      </c>
      <c r="F33" s="43">
        <v>0</v>
      </c>
      <c r="G33" s="43">
        <v>0</v>
      </c>
      <c r="H33" s="43">
        <f t="shared" ref="H33" si="6">SUM(E33:G33)</f>
        <v>0</v>
      </c>
      <c r="I33" s="43">
        <v>0</v>
      </c>
      <c r="J33" s="43">
        <v>0</v>
      </c>
      <c r="K33" s="43">
        <f t="shared" ref="K33" si="7">SUM(I33:J33)</f>
        <v>0</v>
      </c>
      <c r="L33" s="43">
        <v>0</v>
      </c>
      <c r="M33" s="43">
        <v>0</v>
      </c>
      <c r="N33" s="45" t="b">
        <f t="shared" si="2"/>
        <v>1</v>
      </c>
    </row>
    <row r="34" spans="1:14" ht="13.5" thickBot="1" x14ac:dyDescent="0.25">
      <c r="A34" s="46">
        <v>29</v>
      </c>
      <c r="D34" s="55">
        <f t="shared" ref="D34:M34" si="8">SUM(D23:D33)</f>
        <v>661312</v>
      </c>
      <c r="E34" s="55">
        <f t="shared" si="8"/>
        <v>0</v>
      </c>
      <c r="F34" s="55">
        <f t="shared" si="8"/>
        <v>0</v>
      </c>
      <c r="G34" s="55">
        <f t="shared" si="8"/>
        <v>0</v>
      </c>
      <c r="H34" s="55">
        <f t="shared" si="8"/>
        <v>0</v>
      </c>
      <c r="I34" s="55">
        <f t="shared" si="8"/>
        <v>488697.11</v>
      </c>
      <c r="J34" s="55">
        <f t="shared" si="8"/>
        <v>0</v>
      </c>
      <c r="K34" s="55">
        <f t="shared" si="8"/>
        <v>488697.11</v>
      </c>
      <c r="L34" s="55">
        <f t="shared" si="8"/>
        <v>172614.89</v>
      </c>
      <c r="M34" s="55">
        <f t="shared" si="8"/>
        <v>0</v>
      </c>
      <c r="N34" s="45" t="b">
        <f t="shared" si="2"/>
        <v>1</v>
      </c>
    </row>
    <row r="35" spans="1:14" ht="13.5" thickTop="1" x14ac:dyDescent="0.2">
      <c r="A35" s="46">
        <v>30</v>
      </c>
    </row>
    <row r="38" spans="1:14" x14ac:dyDescent="0.2">
      <c r="B38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8" location="'Total Summary'!A80" display="Return to Summary" xr:uid="{6194C411-E708-4544-84A1-8A888FF3F86D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CONSTRUCTION SUPPLIERS ADJUSTMENT
FOR THE TEST YEAR ENDING DECEMBER 31, 2024
SPONSOR: R. PRACHYL &amp;&amp; K. HULL&amp;R&amp;"Arial,Bold"WP/II-D ADJUSTMENT/42
Page 1 of 2</oddHeader>
  </headerFooter>
  <ignoredErrors>
    <ignoredError sqref="H33" formulaRange="1"/>
  </ignoredError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61D05-4A9A-4EBB-82B6-56868CE9ECDE}">
  <sheetPr codeName="Sheet47">
    <pageSetUpPr fitToPage="1"/>
  </sheetPr>
  <dimension ref="A1:N30"/>
  <sheetViews>
    <sheetView zoomScaleNormal="100" workbookViewId="0">
      <selection activeCell="B7" sqref="B7"/>
    </sheetView>
  </sheetViews>
  <sheetFormatPr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301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23">
        <f>ROUND(115856.1,2)</f>
        <v>115856.1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115856.1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284</v>
      </c>
      <c r="F17" s="134"/>
      <c r="G17" s="134"/>
      <c r="H17" s="134"/>
      <c r="I17" s="134"/>
      <c r="J17" s="118"/>
      <c r="K17" s="118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119" t="s">
        <v>168</v>
      </c>
      <c r="G20" s="119" t="s">
        <v>169</v>
      </c>
      <c r="H20" s="119" t="s">
        <v>171</v>
      </c>
      <c r="I20" s="135" t="s">
        <v>8</v>
      </c>
      <c r="J20" s="119" t="s">
        <v>168</v>
      </c>
      <c r="K20" s="119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120" t="s">
        <v>7</v>
      </c>
      <c r="G21" s="120" t="s">
        <v>170</v>
      </c>
      <c r="H21" s="120" t="s">
        <v>7</v>
      </c>
      <c r="I21" s="137"/>
      <c r="J21" s="120" t="s">
        <v>8</v>
      </c>
      <c r="K21" s="120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45" t="s">
        <v>16</v>
      </c>
      <c r="D23" s="41">
        <v>1619.53</v>
      </c>
      <c r="E23" s="56">
        <f>ROUND(D23,2)</f>
        <v>1619.53</v>
      </c>
      <c r="F23" s="56">
        <v>0</v>
      </c>
      <c r="G23" s="56">
        <v>0</v>
      </c>
      <c r="H23" s="56">
        <f>SUM(E23:G23)</f>
        <v>1619.53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45" t="s">
        <v>29</v>
      </c>
      <c r="D24" s="69">
        <v>13367.49</v>
      </c>
      <c r="E24" s="43">
        <v>0</v>
      </c>
      <c r="F24" s="43">
        <v>0</v>
      </c>
      <c r="G24" s="43">
        <v>0</v>
      </c>
      <c r="H24" s="43">
        <f t="shared" ref="H24:H25" si="0">SUM(E24:G24)</f>
        <v>0</v>
      </c>
      <c r="I24" s="43">
        <f>ROUND(D24,2)</f>
        <v>13367.49</v>
      </c>
      <c r="J24" s="43">
        <v>0</v>
      </c>
      <c r="K24" s="43">
        <f t="shared" ref="K24:K25" si="1">SUM(I24:J24)</f>
        <v>13367.49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45" t="s">
        <v>53</v>
      </c>
      <c r="D25" s="69">
        <v>100869.08</v>
      </c>
      <c r="E25" s="43">
        <f>ROUND(+$D25*'[3]II-F Alloc_Factor'!E$18,2)</f>
        <v>7416.72</v>
      </c>
      <c r="F25" s="43">
        <f>ROUND(+$D25*'[3]II-F Alloc_Factor'!F$18,2)</f>
        <v>0</v>
      </c>
      <c r="G25" s="43">
        <f>ROUND(+$D25*'[3]II-F Alloc_Factor'!G$18,2)</f>
        <v>0</v>
      </c>
      <c r="H25" s="43">
        <f t="shared" si="0"/>
        <v>7416.72</v>
      </c>
      <c r="I25" s="43">
        <f>ROUND(+$D25*'[3]II-F Alloc_Factor'!I$18,2)</f>
        <v>86341.16</v>
      </c>
      <c r="J25" s="43">
        <f>ROUND(+$D25*'[3]II-F Alloc_Factor'!J$18,2)</f>
        <v>0</v>
      </c>
      <c r="K25" s="43">
        <f t="shared" si="1"/>
        <v>86341.16</v>
      </c>
      <c r="L25" s="43">
        <f>ROUND(+$D25*'[3]II-F Alloc_Factor'!L$18,2)</f>
        <v>3732.47</v>
      </c>
      <c r="M25" s="43">
        <f>ROUND(+$D25*'[3]II-F Alloc_Factor'!M$18,2)</f>
        <v>3378.73</v>
      </c>
      <c r="N25" s="45" t="b">
        <f>+D25=(M25+L25+K25+H25)</f>
        <v>1</v>
      </c>
    </row>
    <row r="26" spans="1:14" ht="13.5" thickBot="1" x14ac:dyDescent="0.25">
      <c r="A26" s="46">
        <v>21</v>
      </c>
      <c r="D26" s="55">
        <f t="shared" ref="D26:M26" si="2">SUM(D23:D25)</f>
        <v>115856.1</v>
      </c>
      <c r="E26" s="55">
        <f t="shared" si="2"/>
        <v>9036.25</v>
      </c>
      <c r="F26" s="55">
        <f t="shared" si="2"/>
        <v>0</v>
      </c>
      <c r="G26" s="55">
        <f t="shared" si="2"/>
        <v>0</v>
      </c>
      <c r="H26" s="55">
        <f t="shared" si="2"/>
        <v>9036.25</v>
      </c>
      <c r="I26" s="55">
        <f t="shared" si="2"/>
        <v>99708.650000000009</v>
      </c>
      <c r="J26" s="55">
        <f t="shared" si="2"/>
        <v>0</v>
      </c>
      <c r="K26" s="55">
        <f t="shared" si="2"/>
        <v>99708.650000000009</v>
      </c>
      <c r="L26" s="55">
        <f t="shared" si="2"/>
        <v>3732.47</v>
      </c>
      <c r="M26" s="55">
        <f t="shared" si="2"/>
        <v>3378.73</v>
      </c>
      <c r="N26" s="45" t="b">
        <f>+D26=(M26+L26+K26+H26)</f>
        <v>1</v>
      </c>
    </row>
    <row r="27" spans="1:14" ht="13.5" thickTop="1" x14ac:dyDescent="0.2">
      <c r="A27" s="46">
        <v>22</v>
      </c>
    </row>
    <row r="30" spans="1:14" x14ac:dyDescent="0.2">
      <c r="B30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0" location="'Total Summary'!A80" display="Return to Summary" xr:uid="{05CD0A5F-B313-4155-9119-3A3DB452A02A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CAPGEMINI F&amp;&amp;A AND SUPPLY CHAIN ADJUSTMENT
FOR THE TEST YEAR ENDING DECEMBER 31, 2024
SPONSOR: R. PRACHYL&amp;R&amp;"Arial,Bold"WP/II-D ADJUSTMENT/43
Page 1 of 2</oddHead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16990-8843-40A2-BDD2-C7BE7B1F1351}">
  <sheetPr codeName="Sheet48">
    <pageSetUpPr fitToPage="1"/>
  </sheetPr>
  <dimension ref="A1:N31"/>
  <sheetViews>
    <sheetView zoomScaleNormal="100" workbookViewId="0">
      <selection activeCell="B31" sqref="B31"/>
    </sheetView>
  </sheetViews>
  <sheetFormatPr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297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-45333.41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-45333.41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33"/>
      <c r="F17" s="134"/>
      <c r="G17" s="134"/>
      <c r="H17" s="134"/>
      <c r="I17" s="134"/>
      <c r="J17" s="123"/>
      <c r="K17" s="123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124" t="s">
        <v>168</v>
      </c>
      <c r="G20" s="124" t="s">
        <v>169</v>
      </c>
      <c r="H20" s="124" t="s">
        <v>171</v>
      </c>
      <c r="I20" s="135" t="s">
        <v>8</v>
      </c>
      <c r="J20" s="124" t="s">
        <v>168</v>
      </c>
      <c r="K20" s="124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125" t="s">
        <v>7</v>
      </c>
      <c r="G21" s="125" t="s">
        <v>170</v>
      </c>
      <c r="H21" s="125" t="s">
        <v>7</v>
      </c>
      <c r="I21" s="137"/>
      <c r="J21" s="125" t="s">
        <v>8</v>
      </c>
      <c r="K21" s="125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39</v>
      </c>
      <c r="D23" s="41">
        <v>-3952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-3952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45</v>
      </c>
      <c r="D24" s="69">
        <v>-200</v>
      </c>
      <c r="E24" s="43">
        <v>0</v>
      </c>
      <c r="F24" s="43">
        <v>0</v>
      </c>
      <c r="G24" s="43">
        <v>0</v>
      </c>
      <c r="H24" s="43">
        <f t="shared" ref="H24:H26" si="0">SUM(E24:G24)</f>
        <v>0</v>
      </c>
      <c r="I24" s="43">
        <v>0</v>
      </c>
      <c r="J24" s="43">
        <v>0</v>
      </c>
      <c r="K24" s="43">
        <f t="shared" ref="K24:K26" si="1">SUM(I24:J24)</f>
        <v>0</v>
      </c>
      <c r="L24" s="43">
        <v>0</v>
      </c>
      <c r="M24" s="43">
        <v>-200</v>
      </c>
      <c r="N24" s="45" t="b">
        <f>+D24=(M24+L24+K24+H24)</f>
        <v>1</v>
      </c>
    </row>
    <row r="25" spans="1:14" x14ac:dyDescent="0.2">
      <c r="A25" s="46">
        <v>20</v>
      </c>
      <c r="C25" s="34" t="s">
        <v>53</v>
      </c>
      <c r="D25" s="69">
        <v>-762.47</v>
      </c>
      <c r="E25" s="43">
        <v>-171.41</v>
      </c>
      <c r="F25" s="43">
        <v>0</v>
      </c>
      <c r="G25" s="43">
        <v>0</v>
      </c>
      <c r="H25" s="43">
        <f t="shared" si="0"/>
        <v>-171.41</v>
      </c>
      <c r="I25" s="43">
        <v>-457.79</v>
      </c>
      <c r="J25" s="43">
        <v>0</v>
      </c>
      <c r="K25" s="43">
        <f t="shared" si="1"/>
        <v>-457.79</v>
      </c>
      <c r="L25" s="43">
        <v>-128.02000000000001</v>
      </c>
      <c r="M25" s="43">
        <v>-5.25</v>
      </c>
      <c r="N25" s="45" t="b">
        <f>+D25=(M25+L25+K25+H25)</f>
        <v>1</v>
      </c>
    </row>
    <row r="26" spans="1:14" x14ac:dyDescent="0.2">
      <c r="A26" s="46">
        <v>21</v>
      </c>
      <c r="C26" s="34" t="s">
        <v>47</v>
      </c>
      <c r="D26" s="69">
        <v>-40418.94</v>
      </c>
      <c r="E26" s="43">
        <v>-4976.3100000000004</v>
      </c>
      <c r="F26" s="43">
        <v>0</v>
      </c>
      <c r="G26" s="43">
        <v>0</v>
      </c>
      <c r="H26" s="43">
        <f t="shared" si="0"/>
        <v>-4976.3100000000004</v>
      </c>
      <c r="I26" s="43">
        <v>-13290.82</v>
      </c>
      <c r="J26" s="43">
        <v>0</v>
      </c>
      <c r="K26" s="43">
        <f t="shared" si="1"/>
        <v>-13290.82</v>
      </c>
      <c r="L26" s="43">
        <v>-3716.74</v>
      </c>
      <c r="M26" s="43">
        <v>-18435.07</v>
      </c>
      <c r="N26" s="45" t="b">
        <f>+D26=(M26+L26+K26+H26)</f>
        <v>1</v>
      </c>
    </row>
    <row r="27" spans="1:14" ht="13.5" thickBot="1" x14ac:dyDescent="0.25">
      <c r="A27" s="46">
        <v>22</v>
      </c>
      <c r="D27" s="55">
        <f t="shared" ref="D27:M27" si="2">SUM(D23:D26)</f>
        <v>-45333.41</v>
      </c>
      <c r="E27" s="55">
        <f t="shared" si="2"/>
        <v>-5147.72</v>
      </c>
      <c r="F27" s="55">
        <f t="shared" si="2"/>
        <v>0</v>
      </c>
      <c r="G27" s="55">
        <f t="shared" si="2"/>
        <v>0</v>
      </c>
      <c r="H27" s="55">
        <f t="shared" si="2"/>
        <v>-5147.72</v>
      </c>
      <c r="I27" s="55">
        <f t="shared" si="2"/>
        <v>-13748.61</v>
      </c>
      <c r="J27" s="55">
        <f t="shared" si="2"/>
        <v>0</v>
      </c>
      <c r="K27" s="55">
        <f t="shared" si="2"/>
        <v>-13748.61</v>
      </c>
      <c r="L27" s="55">
        <f t="shared" si="2"/>
        <v>-7796.76</v>
      </c>
      <c r="M27" s="55">
        <f t="shared" si="2"/>
        <v>-18640.32</v>
      </c>
      <c r="N27" s="45" t="b">
        <f>+D27=(M27+L27+K27+H27)</f>
        <v>1</v>
      </c>
    </row>
    <row r="28" spans="1:14" ht="13.5" thickTop="1" x14ac:dyDescent="0.2">
      <c r="A28" s="46">
        <v>23</v>
      </c>
    </row>
    <row r="31" spans="1:14" x14ac:dyDescent="0.2">
      <c r="B31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1" location="'Total Summary'!A80" display="Return to Summary" xr:uid="{7F1AC6A8-4F5C-4266-A623-4642E8C4FB56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LOBBYING EXPENSE EXCLUSION ADJUSTMENT
FOR THE TEST YEAR ENDING DECEMBER 31, 2024
SPONSOR: R. PRACHYL&amp;R&amp;"Arial,Bold"WP/II-D ADJUSTMENT/44
Page 1 of 4</oddHead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44D95-830F-44D0-B193-BD8A5599DF2C}">
  <sheetPr codeName="Sheet49">
    <pageSetUpPr fitToPage="1"/>
  </sheetPr>
  <dimension ref="A1:N31"/>
  <sheetViews>
    <sheetView zoomScaleNormal="100" workbookViewId="0">
      <selection activeCell="B31" sqref="B31"/>
    </sheetView>
  </sheetViews>
  <sheetFormatPr defaultRowHeight="12.75" x14ac:dyDescent="0.2"/>
  <cols>
    <col min="1" max="1" width="5.140625" style="45" bestFit="1" customWidth="1"/>
    <col min="2" max="2" width="15.7109375" style="45" customWidth="1"/>
    <col min="3" max="3" width="8.7109375" style="45" bestFit="1" customWidth="1"/>
    <col min="4" max="4" width="20.5703125" style="45" bestFit="1" customWidth="1"/>
    <col min="5" max="12" width="14.7109375" style="45" customWidth="1"/>
    <col min="13" max="13" width="21" style="45" customWidth="1"/>
    <col min="14" max="16384" width="9.140625" style="45"/>
  </cols>
  <sheetData>
    <row r="1" spans="1:13" ht="13.5" thickBot="1" x14ac:dyDescent="0.25"/>
    <row r="2" spans="1:13" x14ac:dyDescent="0.2">
      <c r="A2" s="14" t="s">
        <v>0</v>
      </c>
      <c r="B2" s="135" t="s">
        <v>3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5" t="s">
        <v>1</v>
      </c>
    </row>
    <row r="3" spans="1:13" ht="13.5" thickBot="1" x14ac:dyDescent="0.25">
      <c r="A3" s="13" t="s">
        <v>2</v>
      </c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" t="s">
        <v>4</v>
      </c>
    </row>
    <row r="4" spans="1:13" x14ac:dyDescent="0.2">
      <c r="A4" s="11"/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2"/>
    </row>
    <row r="6" spans="1:13" x14ac:dyDescent="0.2">
      <c r="A6" s="46">
        <v>1</v>
      </c>
      <c r="B6" s="47" t="s">
        <v>302</v>
      </c>
      <c r="C6" s="47"/>
      <c r="D6" s="47"/>
    </row>
    <row r="7" spans="1:13" x14ac:dyDescent="0.2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x14ac:dyDescent="0.2">
      <c r="A8" s="46">
        <v>3</v>
      </c>
      <c r="B8" s="48"/>
      <c r="C8" s="48"/>
      <c r="D8" s="48"/>
      <c r="E8" s="78"/>
      <c r="F8" s="78"/>
      <c r="G8" s="78"/>
      <c r="H8" s="78"/>
      <c r="I8" s="49"/>
      <c r="J8" s="49"/>
      <c r="K8" s="49"/>
      <c r="M8" s="56"/>
    </row>
    <row r="9" spans="1:13" x14ac:dyDescent="0.2">
      <c r="A9" s="46">
        <v>4</v>
      </c>
      <c r="B9" s="48"/>
      <c r="C9" s="52"/>
      <c r="D9" s="88"/>
      <c r="E9" s="78"/>
      <c r="F9" s="78"/>
      <c r="G9" s="78"/>
      <c r="H9" s="78"/>
      <c r="I9" s="49"/>
      <c r="J9" s="49"/>
      <c r="K9" s="67" t="s">
        <v>175</v>
      </c>
      <c r="M9" s="56">
        <v>8518418.4100000001</v>
      </c>
    </row>
    <row r="10" spans="1:13" x14ac:dyDescent="0.2">
      <c r="A10" s="46">
        <v>5</v>
      </c>
      <c r="B10" s="48"/>
      <c r="C10" s="52"/>
      <c r="D10" s="48"/>
      <c r="E10" s="78"/>
      <c r="F10" s="78"/>
      <c r="G10" s="78"/>
      <c r="H10" s="78"/>
      <c r="I10" s="49"/>
      <c r="J10" s="49"/>
      <c r="K10" s="49"/>
      <c r="M10" s="43"/>
    </row>
    <row r="11" spans="1:13" x14ac:dyDescent="0.2">
      <c r="A11" s="46">
        <v>6</v>
      </c>
      <c r="B11" s="48"/>
      <c r="C11" s="52"/>
      <c r="D11" s="48"/>
      <c r="E11" s="78"/>
      <c r="F11" s="78"/>
      <c r="G11" s="78"/>
      <c r="H11" s="78"/>
      <c r="I11" s="49"/>
      <c r="J11" s="49"/>
      <c r="K11" s="49"/>
      <c r="M11" s="43"/>
    </row>
    <row r="12" spans="1:13" x14ac:dyDescent="0.2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3" x14ac:dyDescent="0.2">
      <c r="A13" s="46">
        <v>8</v>
      </c>
      <c r="B13" s="48"/>
      <c r="C13" s="48"/>
      <c r="D13" s="48"/>
      <c r="E13" s="78"/>
      <c r="F13" s="51"/>
      <c r="G13" s="51"/>
      <c r="H13" s="51"/>
      <c r="I13" s="51"/>
      <c r="J13" s="51"/>
      <c r="K13" s="51"/>
    </row>
    <row r="14" spans="1:13" ht="13.5" thickBot="1" x14ac:dyDescent="0.25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+M9</f>
        <v>8518418.4100000001</v>
      </c>
    </row>
    <row r="15" spans="1:13" ht="13.5" thickTop="1" x14ac:dyDescent="0.2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3" ht="13.5" thickBot="1" x14ac:dyDescent="0.25">
      <c r="A16" s="46">
        <v>11</v>
      </c>
    </row>
    <row r="17" spans="1:14" ht="13.5" thickBot="1" x14ac:dyDescent="0.25">
      <c r="A17" s="46">
        <v>12</v>
      </c>
      <c r="B17" s="140" t="s">
        <v>120</v>
      </c>
      <c r="C17" s="141"/>
      <c r="D17" s="141"/>
      <c r="E17" s="145" t="s">
        <v>226</v>
      </c>
      <c r="F17" s="134"/>
      <c r="G17" s="134"/>
      <c r="H17" s="134"/>
      <c r="I17" s="134"/>
      <c r="J17" s="126"/>
      <c r="K17" s="126"/>
      <c r="L17" s="57"/>
    </row>
    <row r="18" spans="1:14" x14ac:dyDescent="0.2">
      <c r="A18" s="46">
        <v>13</v>
      </c>
    </row>
    <row r="19" spans="1:14" ht="13.5" thickBot="1" x14ac:dyDescent="0.25">
      <c r="A19" s="46">
        <v>14</v>
      </c>
    </row>
    <row r="20" spans="1:14" x14ac:dyDescent="0.2">
      <c r="A20" s="46">
        <v>15</v>
      </c>
      <c r="B20" s="139" t="s">
        <v>119</v>
      </c>
      <c r="C20" s="135" t="s">
        <v>5</v>
      </c>
      <c r="D20" s="15" t="s">
        <v>1</v>
      </c>
      <c r="E20" s="135" t="s">
        <v>7</v>
      </c>
      <c r="F20" s="127" t="s">
        <v>168</v>
      </c>
      <c r="G20" s="127" t="s">
        <v>169</v>
      </c>
      <c r="H20" s="127" t="s">
        <v>171</v>
      </c>
      <c r="I20" s="135" t="s">
        <v>8</v>
      </c>
      <c r="J20" s="127" t="s">
        <v>168</v>
      </c>
      <c r="K20" s="127" t="s">
        <v>171</v>
      </c>
      <c r="L20" s="135" t="s">
        <v>9</v>
      </c>
      <c r="M20" s="131" t="s">
        <v>10</v>
      </c>
    </row>
    <row r="21" spans="1:14" ht="13.5" thickBot="1" x14ac:dyDescent="0.25">
      <c r="A21" s="46">
        <v>16</v>
      </c>
      <c r="B21" s="137"/>
      <c r="C21" s="137"/>
      <c r="D21" s="1" t="s">
        <v>157</v>
      </c>
      <c r="E21" s="137"/>
      <c r="F21" s="128" t="s">
        <v>7</v>
      </c>
      <c r="G21" s="128" t="s">
        <v>170</v>
      </c>
      <c r="H21" s="128" t="s">
        <v>7</v>
      </c>
      <c r="I21" s="137"/>
      <c r="J21" s="128" t="s">
        <v>8</v>
      </c>
      <c r="K21" s="128" t="s">
        <v>8</v>
      </c>
      <c r="L21" s="137"/>
      <c r="M21" s="132"/>
    </row>
    <row r="22" spans="1:14" x14ac:dyDescent="0.2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x14ac:dyDescent="0.2">
      <c r="A23" s="46">
        <v>18</v>
      </c>
      <c r="C23" s="34" t="s">
        <v>13</v>
      </c>
      <c r="D23" s="41">
        <v>1282583.33</v>
      </c>
      <c r="E23" s="56">
        <f>+D23</f>
        <v>1282583.33</v>
      </c>
      <c r="F23" s="56">
        <v>0</v>
      </c>
      <c r="G23" s="56">
        <v>0</v>
      </c>
      <c r="H23" s="56">
        <f>SUM(E23:G23)</f>
        <v>1282583.33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x14ac:dyDescent="0.2">
      <c r="A24" s="46">
        <v>19</v>
      </c>
      <c r="C24" s="34" t="s">
        <v>31</v>
      </c>
      <c r="D24" s="129">
        <v>10080</v>
      </c>
      <c r="E24" s="43">
        <f t="shared" ref="E24:E26" si="0">+D24</f>
        <v>10080</v>
      </c>
      <c r="F24" s="43">
        <v>0</v>
      </c>
      <c r="G24" s="43">
        <v>0</v>
      </c>
      <c r="H24" s="43">
        <f t="shared" ref="H24" si="1">SUM(E24:G24)</f>
        <v>10080</v>
      </c>
      <c r="I24" s="43">
        <f>+M7</f>
        <v>0</v>
      </c>
      <c r="J24" s="43">
        <v>0</v>
      </c>
      <c r="K24" s="43">
        <f t="shared" ref="K24" si="2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x14ac:dyDescent="0.2">
      <c r="A25" s="46">
        <v>20</v>
      </c>
      <c r="C25" s="34" t="s">
        <v>53</v>
      </c>
      <c r="D25" s="129">
        <v>3916666.67</v>
      </c>
      <c r="E25" s="43">
        <f t="shared" si="0"/>
        <v>3916666.67</v>
      </c>
      <c r="F25" s="43">
        <v>0</v>
      </c>
      <c r="G25" s="43">
        <v>0</v>
      </c>
      <c r="H25" s="43">
        <f t="shared" ref="H25:H26" si="3">SUM(E25:G25)</f>
        <v>3916666.67</v>
      </c>
      <c r="I25" s="43">
        <f>+M8</f>
        <v>0</v>
      </c>
      <c r="J25" s="43">
        <v>0</v>
      </c>
      <c r="K25" s="43">
        <f t="shared" ref="K25:K26" si="4">SUM(I25:J25)</f>
        <v>0</v>
      </c>
      <c r="L25" s="43">
        <v>0</v>
      </c>
      <c r="M25" s="43">
        <v>0</v>
      </c>
      <c r="N25" s="45" t="b">
        <f>+D25=(M25+L25+K25+H25)</f>
        <v>1</v>
      </c>
    </row>
    <row r="26" spans="1:14" x14ac:dyDescent="0.2">
      <c r="A26" s="46">
        <v>21</v>
      </c>
      <c r="C26" s="34" t="s">
        <v>58</v>
      </c>
      <c r="D26" s="129">
        <v>3309088.41</v>
      </c>
      <c r="E26" s="43">
        <f t="shared" si="0"/>
        <v>3309088.41</v>
      </c>
      <c r="F26" s="43">
        <v>0</v>
      </c>
      <c r="G26" s="43">
        <v>0</v>
      </c>
      <c r="H26" s="43">
        <f t="shared" si="3"/>
        <v>3309088.41</v>
      </c>
      <c r="I26" s="43">
        <v>0</v>
      </c>
      <c r="J26" s="43">
        <v>0</v>
      </c>
      <c r="K26" s="43">
        <f t="shared" si="4"/>
        <v>0</v>
      </c>
      <c r="L26" s="43">
        <v>0</v>
      </c>
      <c r="M26" s="43">
        <v>0</v>
      </c>
      <c r="N26" s="45" t="b">
        <f>+D26=(M26+L26+K26+H26)</f>
        <v>1</v>
      </c>
    </row>
    <row r="27" spans="1:14" ht="13.5" thickBot="1" x14ac:dyDescent="0.25">
      <c r="A27" s="46">
        <v>22</v>
      </c>
      <c r="D27" s="55">
        <f t="shared" ref="D27:M27" si="5">SUM(D23:D26)</f>
        <v>8518418.4100000001</v>
      </c>
      <c r="E27" s="55">
        <f t="shared" si="5"/>
        <v>8518418.4100000001</v>
      </c>
      <c r="F27" s="55">
        <f t="shared" si="5"/>
        <v>0</v>
      </c>
      <c r="G27" s="55">
        <f t="shared" si="5"/>
        <v>0</v>
      </c>
      <c r="H27" s="55">
        <f t="shared" si="5"/>
        <v>8518418.4100000001</v>
      </c>
      <c r="I27" s="55">
        <f t="shared" si="5"/>
        <v>0</v>
      </c>
      <c r="J27" s="55">
        <f t="shared" si="5"/>
        <v>0</v>
      </c>
      <c r="K27" s="55">
        <f t="shared" si="5"/>
        <v>0</v>
      </c>
      <c r="L27" s="55">
        <f t="shared" si="5"/>
        <v>0</v>
      </c>
      <c r="M27" s="55">
        <f t="shared" si="5"/>
        <v>0</v>
      </c>
      <c r="N27" s="45" t="b">
        <f>+D27=(M27+L27+K27+H27)</f>
        <v>1</v>
      </c>
    </row>
    <row r="28" spans="1:14" ht="13.5" thickTop="1" x14ac:dyDescent="0.2">
      <c r="A28" s="46">
        <v>23</v>
      </c>
    </row>
    <row r="31" spans="1:14" x14ac:dyDescent="0.2">
      <c r="B31" s="77" t="s">
        <v>187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1" location="'Total Summary'!A80" display="Return to Summary" xr:uid="{63DE85E2-2522-4105-9AC9-13412DAFBEC8}"/>
  </hyperlinks>
  <printOptions horizontalCentered="1"/>
  <pageMargins left="0.05" right="0.05" top="2.6" bottom="0.5" header="1.5" footer="0.5"/>
  <pageSetup scale="73" orientation="landscape"/>
  <headerFooter alignWithMargins="0">
    <oddHeader>&amp;C&amp;"Arial,Bold"
ONCOR ELECTRIC DELIVERY COMPANY LLC
 EXPENSE ADJUSTMENT FOR SRP TRANSMISSION-RELATED (DOCKET NO. 56545)
FOR THE TEST YEAR ENDING DECEMBER 31, 2024
SPONSOR: R. PRACHYL &amp;&amp; R. LULSEGED&amp;R&amp;"Arial,Bold"WP/II-D ADJUSTMENT/45
Page 1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48</vt:i4>
      </vt:variant>
    </vt:vector>
  </HeadingPairs>
  <TitlesOfParts>
    <vt:vector size="96" baseType="lpstr">
      <vt:lpstr>Total Summary</vt:lpstr>
      <vt:lpstr>Labor Summary</vt:lpstr>
      <vt:lpstr>Template</vt:lpstr>
      <vt:lpstr>Adj. #1</vt:lpstr>
      <vt:lpstr>Adj. #2</vt:lpstr>
      <vt:lpstr>Adj. #3</vt:lpstr>
      <vt:lpstr>Adj. #4</vt:lpstr>
      <vt:lpstr>Adj. #5</vt:lpstr>
      <vt:lpstr>Adj. #6</vt:lpstr>
      <vt:lpstr>Adj. #7</vt:lpstr>
      <vt:lpstr>Adj. #8</vt:lpstr>
      <vt:lpstr>Adj. #9</vt:lpstr>
      <vt:lpstr>Adj. #10</vt:lpstr>
      <vt:lpstr>Adj. #11</vt:lpstr>
      <vt:lpstr>Adj. #12</vt:lpstr>
      <vt:lpstr>Adj. #13</vt:lpstr>
      <vt:lpstr>Adj. #14</vt:lpstr>
      <vt:lpstr>Adj. #15</vt:lpstr>
      <vt:lpstr>Adj. #16</vt:lpstr>
      <vt:lpstr>Adj. #17</vt:lpstr>
      <vt:lpstr>Adj. #18</vt:lpstr>
      <vt:lpstr>Adj. #19</vt:lpstr>
      <vt:lpstr>Adj. #20</vt:lpstr>
      <vt:lpstr>Adj. #21</vt:lpstr>
      <vt:lpstr>Adj. #22</vt:lpstr>
      <vt:lpstr>Adj. #23</vt:lpstr>
      <vt:lpstr>Adj. #24</vt:lpstr>
      <vt:lpstr>Adj. #25</vt:lpstr>
      <vt:lpstr>Adj. #26</vt:lpstr>
      <vt:lpstr>Adj. #27</vt:lpstr>
      <vt:lpstr>Adj. #28</vt:lpstr>
      <vt:lpstr>Adj. #29</vt:lpstr>
      <vt:lpstr>Adj. #30</vt:lpstr>
      <vt:lpstr>Adj. #31</vt:lpstr>
      <vt:lpstr>Adj. #32</vt:lpstr>
      <vt:lpstr>Adj. #33</vt:lpstr>
      <vt:lpstr>Adj. #34</vt:lpstr>
      <vt:lpstr>Adj. #35</vt:lpstr>
      <vt:lpstr>Adj. #36</vt:lpstr>
      <vt:lpstr>Adj. #37</vt:lpstr>
      <vt:lpstr>Adj. #38</vt:lpstr>
      <vt:lpstr>Adj. #39</vt:lpstr>
      <vt:lpstr>Adj. #40</vt:lpstr>
      <vt:lpstr>Adj. #41</vt:lpstr>
      <vt:lpstr>Adj. #42</vt:lpstr>
      <vt:lpstr>Adj. #43</vt:lpstr>
      <vt:lpstr>Adj. #44</vt:lpstr>
      <vt:lpstr>Adj. #45</vt:lpstr>
      <vt:lpstr>'Adj. #1'!Print_Area</vt:lpstr>
      <vt:lpstr>'Adj. #10'!Print_Area</vt:lpstr>
      <vt:lpstr>'Adj. #11'!Print_Area</vt:lpstr>
      <vt:lpstr>'Adj. #12'!Print_Area</vt:lpstr>
      <vt:lpstr>'Adj. #13'!Print_Area</vt:lpstr>
      <vt:lpstr>'Adj. #14'!Print_Area</vt:lpstr>
      <vt:lpstr>'Adj. #15'!Print_Area</vt:lpstr>
      <vt:lpstr>'Adj. #16'!Print_Area</vt:lpstr>
      <vt:lpstr>'Adj. #17'!Print_Area</vt:lpstr>
      <vt:lpstr>'Adj. #18'!Print_Area</vt:lpstr>
      <vt:lpstr>'Adj. #19'!Print_Area</vt:lpstr>
      <vt:lpstr>'Adj. #2'!Print_Area</vt:lpstr>
      <vt:lpstr>'Adj. #20'!Print_Area</vt:lpstr>
      <vt:lpstr>'Adj. #21'!Print_Area</vt:lpstr>
      <vt:lpstr>'Adj. #22'!Print_Area</vt:lpstr>
      <vt:lpstr>'Adj. #23'!Print_Area</vt:lpstr>
      <vt:lpstr>'Adj. #24'!Print_Area</vt:lpstr>
      <vt:lpstr>'Adj. #25'!Print_Area</vt:lpstr>
      <vt:lpstr>'Adj. #26'!Print_Area</vt:lpstr>
      <vt:lpstr>'Adj. #27'!Print_Area</vt:lpstr>
      <vt:lpstr>'Adj. #28'!Print_Area</vt:lpstr>
      <vt:lpstr>'Adj. #29'!Print_Area</vt:lpstr>
      <vt:lpstr>'Adj. #3'!Print_Area</vt:lpstr>
      <vt:lpstr>'Adj. #30'!Print_Area</vt:lpstr>
      <vt:lpstr>'Adj. #31'!Print_Area</vt:lpstr>
      <vt:lpstr>'Adj. #32'!Print_Area</vt:lpstr>
      <vt:lpstr>'Adj. #33'!Print_Area</vt:lpstr>
      <vt:lpstr>'Adj. #34'!Print_Area</vt:lpstr>
      <vt:lpstr>'Adj. #35'!Print_Area</vt:lpstr>
      <vt:lpstr>'Adj. #36'!Print_Area</vt:lpstr>
      <vt:lpstr>'Adj. #37'!Print_Area</vt:lpstr>
      <vt:lpstr>'Adj. #38'!Print_Area</vt:lpstr>
      <vt:lpstr>'Adj. #39'!Print_Area</vt:lpstr>
      <vt:lpstr>'Adj. #4'!Print_Area</vt:lpstr>
      <vt:lpstr>'Adj. #40'!Print_Area</vt:lpstr>
      <vt:lpstr>'Adj. #41'!Print_Area</vt:lpstr>
      <vt:lpstr>'Adj. #42'!Print_Area</vt:lpstr>
      <vt:lpstr>'Adj. #43'!Print_Area</vt:lpstr>
      <vt:lpstr>'Adj. #44'!Print_Area</vt:lpstr>
      <vt:lpstr>'Adj. #45'!Print_Area</vt:lpstr>
      <vt:lpstr>'Adj. #5'!Print_Area</vt:lpstr>
      <vt:lpstr>'Adj. #6'!Print_Area</vt:lpstr>
      <vt:lpstr>'Adj. #7'!Print_Area</vt:lpstr>
      <vt:lpstr>'Adj. #8'!Print_Area</vt:lpstr>
      <vt:lpstr>'Adj. #9'!Print_Area</vt:lpstr>
      <vt:lpstr>'Labor Summary'!Print_Area</vt:lpstr>
      <vt:lpstr>Template!Print_Area</vt:lpstr>
      <vt:lpstr>'Total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Tenorio, Stephanie</cp:lastModifiedBy>
  <cp:lastPrinted>1900-01-01T06:00:00Z</cp:lastPrinted>
  <dcterms:created xsi:type="dcterms:W3CDTF">1900-01-01T06:00:00Z</dcterms:created>
  <dcterms:modified xsi:type="dcterms:W3CDTF">2025-06-25T18:24:18Z</dcterms:modified>
</cp:coreProperties>
</file>