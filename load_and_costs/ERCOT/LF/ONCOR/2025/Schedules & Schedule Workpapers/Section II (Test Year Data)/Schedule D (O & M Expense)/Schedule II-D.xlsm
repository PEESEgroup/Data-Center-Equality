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fileSharing readOnlyRecommended="1" userName="Logi, Jason" algorithmName="SHA-512" hashValue="+WHed78lkvhOi3y0aBDeRtcSwIW1CjqsqKvX/fvVOj6HX8Nkj/HtpqLU0jX1DeJ24DT3oZPspNtJnwvzTFhvvA==" saltValue="kbwpru4eU4ERBxQE243ocg==" spinCount="100000"/>
  <workbookPr codeName="ThisWorkbook" defaultThemeVersion="124226"/>
  <mc:AlternateContent xmlns:mc="http://schemas.openxmlformats.org/markup-compatibility/2006">
    <mc:Choice Requires="x15">
      <x15ac:absPath xmlns:x15ac="http://schemas.microsoft.com/office/spreadsheetml/2010/11/ac" url="D:\Schedules &amp; Schedule Workpapers\Section II (Test Year Data)\Schedule D (O &amp; M Expense)\"/>
    </mc:Choice>
  </mc:AlternateContent>
  <xr:revisionPtr revIDLastSave="0" documentId="13_ncr:10001_{7ECD804D-080A-469C-BE47-15A9DC3FFCBD}" xr6:coauthVersionLast="47" xr6:coauthVersionMax="47" xr10:uidLastSave="{00000000-0000-0000-0000-000000000000}"/>
  <bookViews>
    <workbookView xWindow="-120" yWindow="-120" windowWidth="29040" windowHeight="15720" tabRatio="918" firstSheet="4" activeTab="4" xr2:uid="{00000000-000D-0000-FFFF-FFFF00000000}"/>
  </bookViews>
  <sheets>
    <sheet name="Link Sheet" sheetId="138" r:id="rId1"/>
    <sheet name="II-D-1" sheetId="21" r:id="rId2"/>
    <sheet name="II-D-1a" sheetId="136" r:id="rId3"/>
    <sheet name="II-D-1.1" sheetId="82" r:id="rId4"/>
    <sheet name="II-D-2" sheetId="20" r:id="rId5"/>
    <sheet name="II-D-2a" sheetId="137" r:id="rId6"/>
    <sheet name="II-D-2.1" sheetId="96" r:id="rId7"/>
    <sheet name="II-D-2.2.1" sheetId="155" r:id="rId8"/>
    <sheet name="II-D-2.2.2" sheetId="162" r:id="rId9"/>
    <sheet name="II-D-2.2.3" sheetId="95" r:id="rId10"/>
    <sheet name="II-D-2.2a" sheetId="163" r:id="rId11"/>
    <sheet name="II-D-2.3" sheetId="94" r:id="rId12"/>
    <sheet name="II-D-2.4" sheetId="93" r:id="rId13"/>
    <sheet name="II-D-2.4a" sheetId="92" r:id="rId14"/>
    <sheet name="II-D-2.5" sheetId="91" r:id="rId15"/>
    <sheet name="II-D-2.6" sheetId="90" r:id="rId16"/>
    <sheet name="II-D-2.6a" sheetId="89" r:id="rId17"/>
    <sheet name="II-D-2.6b" sheetId="88" r:id="rId18"/>
    <sheet name="II-D-2.6c" sheetId="87" r:id="rId19"/>
    <sheet name="II-D-2.7 Conf." sheetId="179" r:id="rId20"/>
    <sheet name="II-D-2.8" sheetId="85" r:id="rId21"/>
    <sheet name="II-D-2.9" sheetId="84" r:id="rId22"/>
    <sheet name="II-D-2.9a" sheetId="173" r:id="rId23"/>
    <sheet name="II-D-2.9b" sheetId="174" r:id="rId24"/>
    <sheet name="II-D-2.9c" sheetId="175" r:id="rId25"/>
    <sheet name="II-D-2.9 Attachment 1" sheetId="159" r:id="rId26"/>
    <sheet name="II-D-3" sheetId="139" r:id="rId27"/>
    <sheet name="II-D-3.1" sheetId="140" r:id="rId28"/>
    <sheet name="II-D-3.2" sheetId="141" r:id="rId29"/>
    <sheet name="II-D-3.3" sheetId="142" r:id="rId30"/>
    <sheet name="II-D-3.4" sheetId="143" r:id="rId31"/>
    <sheet name="II-D-3.5" sheetId="144" r:id="rId32"/>
    <sheet name="II-D-3.6" sheetId="145" r:id="rId33"/>
    <sheet name="II-D-3.7.1" sheetId="161" r:id="rId34"/>
    <sheet name="II-D-3.7.2" sheetId="152" r:id="rId35"/>
    <sheet name="II-D-3.7.3" sheetId="153" r:id="rId36"/>
    <sheet name="II-D-3.7.4" sheetId="165" r:id="rId37"/>
    <sheet name="II-D-3.7.4a" sheetId="172" r:id="rId38"/>
    <sheet name="II-D-3.7.5" sheetId="164" r:id="rId39"/>
    <sheet name="II-D-3.8.1" sheetId="147" r:id="rId40"/>
    <sheet name="II-D-3.8.2" sheetId="158" r:id="rId41"/>
    <sheet name="II-D-3.8.3" sheetId="157" r:id="rId42"/>
    <sheet name="II-D-3.9.1" sheetId="176" r:id="rId43"/>
    <sheet name="II-D-3.9.2" sheetId="177" r:id="rId44"/>
    <sheet name="II-D-3.9.3" sheetId="148" r:id="rId45"/>
    <sheet name="II-D-3.10" sheetId="149" r:id="rId46"/>
    <sheet name="II-D-3.10 Attachment 1" sheetId="160" r:id="rId47"/>
    <sheet name="II-D-4" sheetId="150" r:id="rId48"/>
  </sheets>
  <externalReferences>
    <externalReference r:id="rId49"/>
    <externalReference r:id="rId50"/>
    <externalReference r:id="rId51"/>
    <externalReference r:id="rId52"/>
    <externalReference r:id="rId53"/>
    <externalReference r:id="rId54"/>
  </externalReferences>
  <definedNames>
    <definedName name="_xlnm._FilterDatabase" localSheetId="17" hidden="1">'II-D-2.6b'!$A$16:$AA$458</definedName>
    <definedName name="_xlnm._FilterDatabase" localSheetId="21" hidden="1">'II-D-2.9'!$B$11:$AB$11</definedName>
    <definedName name="_xlnm._FilterDatabase" localSheetId="22" hidden="1">'II-D-2.9a'!$B$11:$AB$11</definedName>
    <definedName name="_xlnm._FilterDatabase" localSheetId="23" hidden="1">'II-D-2.9b'!$A$13:$AC$15</definedName>
    <definedName name="_xlnm._FilterDatabase" localSheetId="24" hidden="1">'II-D-2.9c'!$A$13:$AB$15</definedName>
    <definedName name="_xlnm._FilterDatabase" localSheetId="26" hidden="1">'II-D-3'!$A$14:$Z$121</definedName>
    <definedName name="_xlnm._FilterDatabase" localSheetId="30" hidden="1">'II-D-3.4'!$A$1:$G$1</definedName>
    <definedName name="_xlnm._FilterDatabase" localSheetId="32" hidden="1">'II-D-3.6'!$A$1:$V$1</definedName>
    <definedName name="_xlnm._FilterDatabase" localSheetId="42" hidden="1">'II-D-3.9.1'!$A$1:$L$1</definedName>
    <definedName name="_xlnm.Print_Area" localSheetId="1">'II-D-1'!$A$15:$X$102</definedName>
    <definedName name="_xlnm.Print_Area" localSheetId="3">'II-D-1.1'!$A$14:$U$101</definedName>
    <definedName name="_xlnm.Print_Area" localSheetId="2">'II-D-1a'!$A$16:$H$103</definedName>
    <definedName name="_xlnm.Print_Area" localSheetId="4">'II-D-2'!$A$15:$X$35</definedName>
    <definedName name="_xlnm.Print_Area" localSheetId="6">'II-D-2.1'!$A$15:$U$35</definedName>
    <definedName name="_xlnm.Print_Area" localSheetId="7">'II-D-2.2.1'!$A$10:$L$25</definedName>
    <definedName name="_xlnm.Print_Area" localSheetId="8">'II-D-2.2.2'!$A$10:$L$23</definedName>
    <definedName name="_xlnm.Print_Area" localSheetId="9">'II-D-2.2.3'!$A$10:$N$40</definedName>
    <definedName name="_xlnm.Print_Area" localSheetId="10">'II-D-2.2a'!$A$10:$P$53</definedName>
    <definedName name="_xlnm.Print_Area" localSheetId="11">'II-D-2.3'!$A$10:$X$36</definedName>
    <definedName name="_xlnm.Print_Area" localSheetId="12">'II-D-2.4'!$A$10:$X$26</definedName>
    <definedName name="_xlnm.Print_Area" localSheetId="13">'II-D-2.4a'!$A$10:$X$20</definedName>
    <definedName name="_xlnm.Print_Area" localSheetId="14">'II-D-2.5'!$A$15:$X$30</definedName>
    <definedName name="_xlnm.Print_Area" localSheetId="15">'II-D-2.6'!$E$15:$X$21</definedName>
    <definedName name="_xlnm.Print_Area" localSheetId="16">'II-D-2.6a'!$E$15:$X$32</definedName>
    <definedName name="_xlnm.Print_Area" localSheetId="17">'II-D-2.6b'!$A$15:$X$441</definedName>
    <definedName name="_xlnm.Print_Area" localSheetId="18">'II-D-2.6c'!$A$15:$X$76</definedName>
    <definedName name="_xlnm.Print_Area" localSheetId="19">'II-D-2.7 Conf.'!$A$10:$O$13</definedName>
    <definedName name="_xlnm.Print_Area" localSheetId="20">'II-D-2.8'!$A$9:$K$14</definedName>
    <definedName name="_xlnm.Print_Area" localSheetId="21">'II-D-2.9'!$D$14:$AA$70</definedName>
    <definedName name="_xlnm.Print_Area" localSheetId="25">'II-D-2.9 Attachment 1'!$A$7:$O$21</definedName>
    <definedName name="_xlnm.Print_Area" localSheetId="22">'II-D-2.9a'!$D$14:$AA$76</definedName>
    <definedName name="_xlnm.Print_Area" localSheetId="23">'II-D-2.9b'!$D$14:$AA$85</definedName>
    <definedName name="_xlnm.Print_Area" localSheetId="24">'II-D-2.9c'!$D$14:$AA$84</definedName>
    <definedName name="_xlnm.Print_Area" localSheetId="5">'II-D-2a'!$E$16:$H$34</definedName>
    <definedName name="_xlnm.Print_Area" localSheetId="26">'II-D-3'!$A$15:$X$121</definedName>
    <definedName name="_xlnm.Print_Area" localSheetId="27">'II-D-3.1'!$A$9:$N$39</definedName>
    <definedName name="_xlnm.Print_Area" localSheetId="45">'II-D-3.10'!$A$10:$L$13</definedName>
    <definedName name="_xlnm.Print_Area" localSheetId="46">'II-D-3.10 Attachment 1'!$A$10:$Q$16</definedName>
    <definedName name="_xlnm.Print_Area" localSheetId="28">'II-D-3.2'!$A$10:$H$39,'II-D-3.2'!$A$40:$Z$70,'II-D-3.2'!$A$71:$T$101,'II-D-3.2'!$A$102:$H$162</definedName>
    <definedName name="_xlnm.Print_Area" localSheetId="29">'II-D-3.3'!$A$10:$F$39,'II-D-3.3'!$A$40:$R$69,'II-D-3.3'!$A$70:$N$101,'II-D-3.3'!$A$102:$F$162</definedName>
    <definedName name="_xlnm.Print_Area" localSheetId="30">'II-D-3.4'!$A$10:$G$39,'II-D-3.4'!$A$40:$V$69,'II-D-3.4'!$A$70:$Q$100,'II-D-3.4'!$A$101:$G$162</definedName>
    <definedName name="_xlnm.Print_Area" localSheetId="31">'II-D-3.5'!$A$15:$H$37</definedName>
    <definedName name="_xlnm.Print_Area" localSheetId="32">'II-D-3.6'!$A$10:$G$39,'II-D-3.6'!$A$40:$V$69,'II-D-3.6'!$A$70:$R$167</definedName>
    <definedName name="_xlnm.Print_Area" localSheetId="34">'II-D-3.7.2'!$A$9:$K$12</definedName>
    <definedName name="_xlnm.Print_Area" localSheetId="35">'II-D-3.7.3'!$A$9:$L$12</definedName>
    <definedName name="_xlnm.Print_Area" localSheetId="36">'II-D-3.7.4'!$A$12:$N$30</definedName>
    <definedName name="_xlnm.Print_Area" localSheetId="37">'II-D-3.7.4a'!$A$13:$O$55</definedName>
    <definedName name="_xlnm.Print_Area" localSheetId="38">'II-D-3.7.5'!$B$8:$F$53</definedName>
    <definedName name="_xlnm.Print_Area" localSheetId="39">'II-D-3.8.1'!$A$11:$Q$17</definedName>
    <definedName name="_xlnm.Print_Area" localSheetId="40">'II-D-3.8.2'!$A$10:$Q$17</definedName>
    <definedName name="_xlnm.Print_Area" localSheetId="41">'II-D-3.8.3'!$A$11:$O$144</definedName>
    <definedName name="_xlnm.Print_Area" localSheetId="42">'II-D-3.9.1'!$A$11:$B$16</definedName>
    <definedName name="_xlnm.Print_Area" localSheetId="43">'II-D-3.9.2'!$A$10:$Q$17</definedName>
    <definedName name="_xlnm.Print_Area" localSheetId="44">'II-D-3.9.3'!$A$15:$O$124</definedName>
    <definedName name="_xlnm.Print_Area" localSheetId="47">'II-D-4'!$A$15:$W$21</definedName>
    <definedName name="_xlnm.Print_Titles" localSheetId="1">'II-D-1'!$A:$C,'II-D-1'!$9:$14</definedName>
    <definedName name="_xlnm.Print_Titles" localSheetId="3">'II-D-1.1'!$A:$C,'II-D-1.1'!$9:$13</definedName>
    <definedName name="_xlnm.Print_Titles" localSheetId="2">'II-D-1a'!$A:$D,'II-D-1a'!$10:$15</definedName>
    <definedName name="_xlnm.Print_Titles" localSheetId="4">'II-D-2'!$A:$C,'II-D-2'!$9:$14</definedName>
    <definedName name="_xlnm.Print_Titles" localSheetId="6">'II-D-2.1'!$A:$C,'II-D-2.1'!$10:$14</definedName>
    <definedName name="_xlnm.Print_Titles" localSheetId="9">'II-D-2.2.3'!$A:$C</definedName>
    <definedName name="_xlnm.Print_Titles" localSheetId="11">'II-D-2.3'!$A:$D</definedName>
    <definedName name="_xlnm.Print_Titles" localSheetId="12">'II-D-2.4'!$A:$C</definedName>
    <definedName name="_xlnm.Print_Titles" localSheetId="13">'II-D-2.4a'!$A:$C</definedName>
    <definedName name="_xlnm.Print_Titles" localSheetId="14">'II-D-2.5'!$A:$C,'II-D-2.5'!$10:$14</definedName>
    <definedName name="_xlnm.Print_Titles" localSheetId="15">'II-D-2.6'!$A:$D,'II-D-2.6'!$9:$14</definedName>
    <definedName name="_xlnm.Print_Titles" localSheetId="16">'II-D-2.6a'!$A:$D,'II-D-2.6a'!$10:$14</definedName>
    <definedName name="_xlnm.Print_Titles" localSheetId="17">'II-D-2.6b'!$A:$C,'II-D-2.6b'!$10:$14</definedName>
    <definedName name="_xlnm.Print_Titles" localSheetId="18">'II-D-2.6c'!$A:$D,'II-D-2.6c'!$10:$14</definedName>
    <definedName name="_xlnm.Print_Titles" localSheetId="21">'II-D-2.9'!$A:$C,'II-D-2.9'!$10:$13</definedName>
    <definedName name="_xlnm.Print_Titles" localSheetId="22">'II-D-2.9a'!$A:$C,'II-D-2.9a'!$10:$13</definedName>
    <definedName name="_xlnm.Print_Titles" localSheetId="23">'II-D-2.9b'!$A:$C,'II-D-2.9b'!$10:$13</definedName>
    <definedName name="_xlnm.Print_Titles" localSheetId="24">'II-D-2.9c'!$A:$C,'II-D-2.9c'!$10:$13</definedName>
    <definedName name="_xlnm.Print_Titles" localSheetId="5">'II-D-2a'!$A:$D,'II-D-2a'!$10:$15</definedName>
    <definedName name="_xlnm.Print_Titles" localSheetId="26">'II-D-3'!$A:$C,'II-D-3'!$9:$14</definedName>
    <definedName name="_xlnm.Print_Titles" localSheetId="45">'II-D-3.10'!$A:$C</definedName>
    <definedName name="_xlnm.Print_Titles" localSheetId="31">'II-D-3.5'!$A:$B,'II-D-3.5'!$10:$14</definedName>
    <definedName name="_xlnm.Print_Titles" localSheetId="34">'II-D-3.7.2'!$A:$C</definedName>
    <definedName name="_xlnm.Print_Titles" localSheetId="35">'II-D-3.7.3'!$A:$C</definedName>
    <definedName name="_xlnm.Print_Titles" localSheetId="37">'II-D-3.7.4a'!$9:$12</definedName>
    <definedName name="_xlnm.Print_Titles" localSheetId="41">'II-D-3.8.3'!$13:$17</definedName>
    <definedName name="_xlnm.Print_Titles" localSheetId="44">'II-D-3.9.3'!$10:$14</definedName>
    <definedName name="_xlnm.Print_Titles" localSheetId="47">'II-D-4'!$A:$C,'II-D-4'!$9:$14</definedName>
  </definedNames>
  <calcPr calcId="191029"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7" i="94" l="1"/>
  <c r="E17" i="150"/>
  <c r="E16" i="150"/>
  <c r="E15" i="150"/>
  <c r="N103" i="148"/>
  <c r="M103" i="148"/>
  <c r="L103" i="148"/>
  <c r="K103" i="148"/>
  <c r="J103" i="148"/>
  <c r="I103" i="148"/>
  <c r="H103" i="148"/>
  <c r="G103" i="148"/>
  <c r="F103" i="148"/>
  <c r="N102" i="148"/>
  <c r="M102" i="148"/>
  <c r="L102" i="148"/>
  <c r="K102" i="148"/>
  <c r="J102" i="148"/>
  <c r="I102" i="148"/>
  <c r="H102" i="148"/>
  <c r="G102" i="148"/>
  <c r="F102" i="148"/>
  <c r="N101" i="148"/>
  <c r="M101" i="148"/>
  <c r="L101" i="148"/>
  <c r="K101" i="148"/>
  <c r="J101" i="148"/>
  <c r="I101" i="148"/>
  <c r="H101" i="148"/>
  <c r="G101" i="148"/>
  <c r="F101" i="148"/>
  <c r="N97" i="148"/>
  <c r="M97" i="148"/>
  <c r="L97" i="148"/>
  <c r="K97" i="148"/>
  <c r="J97" i="148"/>
  <c r="I97" i="148"/>
  <c r="H97" i="148"/>
  <c r="G97" i="148"/>
  <c r="F97" i="148"/>
  <c r="N96" i="148"/>
  <c r="M96" i="148"/>
  <c r="L96" i="148"/>
  <c r="K96" i="148"/>
  <c r="J96" i="148"/>
  <c r="I96" i="148"/>
  <c r="H96" i="148"/>
  <c r="G96" i="148"/>
  <c r="F96" i="148"/>
  <c r="N95" i="148"/>
  <c r="M95" i="148"/>
  <c r="L95" i="148"/>
  <c r="K95" i="148"/>
  <c r="J95" i="148"/>
  <c r="I95" i="148"/>
  <c r="H95" i="148"/>
  <c r="G95" i="148"/>
  <c r="F95" i="148"/>
  <c r="N91" i="148"/>
  <c r="M91" i="148"/>
  <c r="L91" i="148"/>
  <c r="K91" i="148"/>
  <c r="J91" i="148"/>
  <c r="I91" i="148"/>
  <c r="H91" i="148"/>
  <c r="G91" i="148"/>
  <c r="F91" i="148"/>
  <c r="N90" i="148"/>
  <c r="M90" i="148"/>
  <c r="L90" i="148"/>
  <c r="K90" i="148"/>
  <c r="J90" i="148"/>
  <c r="I90" i="148"/>
  <c r="H90" i="148"/>
  <c r="G90" i="148"/>
  <c r="F90" i="148"/>
  <c r="N89" i="148"/>
  <c r="M89" i="148"/>
  <c r="L89" i="148"/>
  <c r="K89" i="148"/>
  <c r="J89" i="148"/>
  <c r="I89" i="148"/>
  <c r="H89" i="148"/>
  <c r="G89" i="148"/>
  <c r="F89" i="148"/>
  <c r="N63" i="148"/>
  <c r="M63" i="148"/>
  <c r="L63" i="148"/>
  <c r="K63" i="148"/>
  <c r="J63" i="148"/>
  <c r="I63" i="148"/>
  <c r="H63" i="148"/>
  <c r="G63" i="148"/>
  <c r="F63" i="148"/>
  <c r="N62" i="148"/>
  <c r="M62" i="148"/>
  <c r="L62" i="148"/>
  <c r="K62" i="148"/>
  <c r="J62" i="148"/>
  <c r="I62" i="148"/>
  <c r="H62" i="148"/>
  <c r="G62" i="148"/>
  <c r="F62" i="148"/>
  <c r="N61" i="148"/>
  <c r="M61" i="148"/>
  <c r="L61" i="148"/>
  <c r="K61" i="148"/>
  <c r="J61" i="148"/>
  <c r="I61" i="148"/>
  <c r="H61" i="148"/>
  <c r="G61" i="148"/>
  <c r="F61" i="148"/>
  <c r="N57" i="148"/>
  <c r="M57" i="148"/>
  <c r="L57" i="148"/>
  <c r="K57" i="148"/>
  <c r="J57" i="148"/>
  <c r="I57" i="148"/>
  <c r="H57" i="148"/>
  <c r="G57" i="148"/>
  <c r="F57" i="148"/>
  <c r="N56" i="148"/>
  <c r="M56" i="148"/>
  <c r="L56" i="148"/>
  <c r="K56" i="148"/>
  <c r="J56" i="148"/>
  <c r="I56" i="148"/>
  <c r="H56" i="148"/>
  <c r="G56" i="148"/>
  <c r="F56" i="148"/>
  <c r="N55" i="148"/>
  <c r="M55" i="148"/>
  <c r="L55" i="148"/>
  <c r="K55" i="148"/>
  <c r="J55" i="148"/>
  <c r="I55" i="148"/>
  <c r="H55" i="148"/>
  <c r="G55" i="148"/>
  <c r="F55" i="148"/>
  <c r="N51" i="148"/>
  <c r="M51" i="148"/>
  <c r="L51" i="148"/>
  <c r="K51" i="148"/>
  <c r="J51" i="148"/>
  <c r="I51" i="148"/>
  <c r="H51" i="148"/>
  <c r="G51" i="148"/>
  <c r="F51" i="148"/>
  <c r="N50" i="148"/>
  <c r="M50" i="148"/>
  <c r="L50" i="148"/>
  <c r="K50" i="148"/>
  <c r="J50" i="148"/>
  <c r="I50" i="148"/>
  <c r="H50" i="148"/>
  <c r="G50" i="148"/>
  <c r="F50" i="148"/>
  <c r="N49" i="148"/>
  <c r="M49" i="148"/>
  <c r="L49" i="148"/>
  <c r="K49" i="148"/>
  <c r="J49" i="148"/>
  <c r="I49" i="148"/>
  <c r="H49" i="148"/>
  <c r="G49" i="148"/>
  <c r="F49" i="148"/>
  <c r="N32" i="148"/>
  <c r="M32" i="148"/>
  <c r="L32" i="148"/>
  <c r="K32" i="148"/>
  <c r="J32" i="148"/>
  <c r="I32" i="148"/>
  <c r="H32" i="148"/>
  <c r="G32" i="148"/>
  <c r="F32" i="148"/>
  <c r="N31" i="148"/>
  <c r="M31" i="148"/>
  <c r="L31" i="148"/>
  <c r="K31" i="148"/>
  <c r="J31" i="148"/>
  <c r="I31" i="148"/>
  <c r="H31" i="148"/>
  <c r="G31" i="148"/>
  <c r="F31" i="148"/>
  <c r="N30" i="148"/>
  <c r="M30" i="148"/>
  <c r="L30" i="148"/>
  <c r="K30" i="148"/>
  <c r="J30" i="148"/>
  <c r="I30" i="148"/>
  <c r="H30" i="148"/>
  <c r="G30" i="148"/>
  <c r="F30" i="148"/>
  <c r="N26" i="148"/>
  <c r="M26" i="148"/>
  <c r="L26" i="148"/>
  <c r="K26" i="148"/>
  <c r="J26" i="148"/>
  <c r="I26" i="148"/>
  <c r="H26" i="148"/>
  <c r="G26" i="148"/>
  <c r="F26" i="148"/>
  <c r="N25" i="148"/>
  <c r="M25" i="148"/>
  <c r="L25" i="148"/>
  <c r="K25" i="148"/>
  <c r="J25" i="148"/>
  <c r="I25" i="148"/>
  <c r="H25" i="148"/>
  <c r="G25" i="148"/>
  <c r="F25" i="148"/>
  <c r="N24" i="148"/>
  <c r="M24" i="148"/>
  <c r="L24" i="148"/>
  <c r="K24" i="148"/>
  <c r="J24" i="148"/>
  <c r="I24" i="148"/>
  <c r="H24" i="148"/>
  <c r="G24" i="148"/>
  <c r="F24" i="148"/>
  <c r="N20" i="148"/>
  <c r="M20" i="148"/>
  <c r="L20" i="148"/>
  <c r="K20" i="148"/>
  <c r="J20" i="148"/>
  <c r="I20" i="148"/>
  <c r="H20" i="148"/>
  <c r="G20" i="148"/>
  <c r="F20" i="148"/>
  <c r="N19" i="148"/>
  <c r="M19" i="148"/>
  <c r="L19" i="148"/>
  <c r="K19" i="148"/>
  <c r="J19" i="148"/>
  <c r="I19" i="148"/>
  <c r="H19" i="148"/>
  <c r="G19" i="148"/>
  <c r="F19" i="148"/>
  <c r="N18" i="148"/>
  <c r="M18" i="148"/>
  <c r="L18" i="148"/>
  <c r="K18" i="148"/>
  <c r="J18" i="148"/>
  <c r="I18" i="148"/>
  <c r="H18" i="148"/>
  <c r="G18" i="148"/>
  <c r="F18" i="148"/>
  <c r="N117" i="157"/>
  <c r="M117" i="157"/>
  <c r="L117" i="157"/>
  <c r="K117" i="157"/>
  <c r="J117" i="157"/>
  <c r="I117" i="157"/>
  <c r="H117" i="157"/>
  <c r="G117" i="157"/>
  <c r="F117" i="157"/>
  <c r="N116" i="157"/>
  <c r="M116" i="157"/>
  <c r="L116" i="157"/>
  <c r="K116" i="157"/>
  <c r="J116" i="157"/>
  <c r="I116" i="157"/>
  <c r="H116" i="157"/>
  <c r="G116" i="157"/>
  <c r="F116" i="157"/>
  <c r="N115" i="157"/>
  <c r="M115" i="157"/>
  <c r="L115" i="157"/>
  <c r="K115" i="157"/>
  <c r="J115" i="157"/>
  <c r="I115" i="157"/>
  <c r="H115" i="157"/>
  <c r="G115" i="157"/>
  <c r="F115" i="157"/>
  <c r="N111" i="157"/>
  <c r="M111" i="157"/>
  <c r="L111" i="157"/>
  <c r="K111" i="157"/>
  <c r="J111" i="157"/>
  <c r="I111" i="157"/>
  <c r="H111" i="157"/>
  <c r="G111" i="157"/>
  <c r="F111" i="157"/>
  <c r="N110" i="157"/>
  <c r="M110" i="157"/>
  <c r="L110" i="157"/>
  <c r="K110" i="157"/>
  <c r="J110" i="157"/>
  <c r="I110" i="157"/>
  <c r="H110" i="157"/>
  <c r="G110" i="157"/>
  <c r="F110" i="157"/>
  <c r="N109" i="157"/>
  <c r="M109" i="157"/>
  <c r="L109" i="157"/>
  <c r="K109" i="157"/>
  <c r="J109" i="157"/>
  <c r="I109" i="157"/>
  <c r="H109" i="157"/>
  <c r="G109" i="157"/>
  <c r="F109" i="157"/>
  <c r="N105" i="157"/>
  <c r="M105" i="157"/>
  <c r="L105" i="157"/>
  <c r="K105" i="157"/>
  <c r="J105" i="157"/>
  <c r="I105" i="157"/>
  <c r="H105" i="157"/>
  <c r="G105" i="157"/>
  <c r="F105" i="157"/>
  <c r="N104" i="157"/>
  <c r="M104" i="157"/>
  <c r="L104" i="157"/>
  <c r="K104" i="157"/>
  <c r="J104" i="157"/>
  <c r="I104" i="157"/>
  <c r="H104" i="157"/>
  <c r="G104" i="157"/>
  <c r="F104" i="157"/>
  <c r="N103" i="157"/>
  <c r="M103" i="157"/>
  <c r="L103" i="157"/>
  <c r="K103" i="157"/>
  <c r="J103" i="157"/>
  <c r="I103" i="157"/>
  <c r="H103" i="157"/>
  <c r="G103" i="157"/>
  <c r="F103" i="157"/>
  <c r="N71" i="157"/>
  <c r="M71" i="157"/>
  <c r="L71" i="157"/>
  <c r="K71" i="157"/>
  <c r="J71" i="157"/>
  <c r="I71" i="157"/>
  <c r="H71" i="157"/>
  <c r="G71" i="157"/>
  <c r="F71" i="157"/>
  <c r="N70" i="157"/>
  <c r="M70" i="157"/>
  <c r="L70" i="157"/>
  <c r="K70" i="157"/>
  <c r="J70" i="157"/>
  <c r="I70" i="157"/>
  <c r="H70" i="157"/>
  <c r="G70" i="157"/>
  <c r="F70" i="157"/>
  <c r="N69" i="157"/>
  <c r="M69" i="157"/>
  <c r="L69" i="157"/>
  <c r="K69" i="157"/>
  <c r="J69" i="157"/>
  <c r="I69" i="157"/>
  <c r="H69" i="157"/>
  <c r="G69" i="157"/>
  <c r="F69" i="157"/>
  <c r="N65" i="157"/>
  <c r="M65" i="157"/>
  <c r="L65" i="157"/>
  <c r="K65" i="157"/>
  <c r="J65" i="157"/>
  <c r="I65" i="157"/>
  <c r="H65" i="157"/>
  <c r="G65" i="157"/>
  <c r="F65" i="157"/>
  <c r="N64" i="157"/>
  <c r="M64" i="157"/>
  <c r="L64" i="157"/>
  <c r="K64" i="157"/>
  <c r="J64" i="157"/>
  <c r="I64" i="157"/>
  <c r="H64" i="157"/>
  <c r="G64" i="157"/>
  <c r="F64" i="157"/>
  <c r="N63" i="157"/>
  <c r="M63" i="157"/>
  <c r="L63" i="157"/>
  <c r="K63" i="157"/>
  <c r="J63" i="157"/>
  <c r="I63" i="157"/>
  <c r="H63" i="157"/>
  <c r="G63" i="157"/>
  <c r="F63" i="157"/>
  <c r="N59" i="157"/>
  <c r="M59" i="157"/>
  <c r="L59" i="157"/>
  <c r="K59" i="157"/>
  <c r="J59" i="157"/>
  <c r="I59" i="157"/>
  <c r="H59" i="157"/>
  <c r="G59" i="157"/>
  <c r="F59" i="157"/>
  <c r="N58" i="157"/>
  <c r="M58" i="157"/>
  <c r="L58" i="157"/>
  <c r="K58" i="157"/>
  <c r="J58" i="157"/>
  <c r="I58" i="157"/>
  <c r="H58" i="157"/>
  <c r="G58" i="157"/>
  <c r="F58" i="157"/>
  <c r="N57" i="157"/>
  <c r="M57" i="157"/>
  <c r="L57" i="157"/>
  <c r="K57" i="157"/>
  <c r="J57" i="157"/>
  <c r="I57" i="157"/>
  <c r="H57" i="157"/>
  <c r="G57" i="157"/>
  <c r="F57" i="157"/>
  <c r="N35" i="157"/>
  <c r="M35" i="157"/>
  <c r="L35" i="157"/>
  <c r="K35" i="157"/>
  <c r="J35" i="157"/>
  <c r="I35" i="157"/>
  <c r="H35" i="157"/>
  <c r="G35" i="157"/>
  <c r="F35" i="157"/>
  <c r="N34" i="157"/>
  <c r="M34" i="157"/>
  <c r="L34" i="157"/>
  <c r="K34" i="157"/>
  <c r="J34" i="157"/>
  <c r="I34" i="157"/>
  <c r="H34" i="157"/>
  <c r="G34" i="157"/>
  <c r="F34" i="157"/>
  <c r="N33" i="157"/>
  <c r="M33" i="157"/>
  <c r="L33" i="157"/>
  <c r="K33" i="157"/>
  <c r="J33" i="157"/>
  <c r="I33" i="157"/>
  <c r="H33" i="157"/>
  <c r="G33" i="157"/>
  <c r="F33" i="157"/>
  <c r="N29" i="157"/>
  <c r="M29" i="157"/>
  <c r="L29" i="157"/>
  <c r="K29" i="157"/>
  <c r="J29" i="157"/>
  <c r="I29" i="157"/>
  <c r="H29" i="157"/>
  <c r="G29" i="157"/>
  <c r="F29" i="157"/>
  <c r="N28" i="157"/>
  <c r="M28" i="157"/>
  <c r="L28" i="157"/>
  <c r="K28" i="157"/>
  <c r="J28" i="157"/>
  <c r="I28" i="157"/>
  <c r="H28" i="157"/>
  <c r="G28" i="157"/>
  <c r="F28" i="157"/>
  <c r="N27" i="157"/>
  <c r="M27" i="157"/>
  <c r="L27" i="157"/>
  <c r="K27" i="157"/>
  <c r="J27" i="157"/>
  <c r="I27" i="157"/>
  <c r="H27" i="157"/>
  <c r="G27" i="157"/>
  <c r="F27" i="157"/>
  <c r="N23" i="157"/>
  <c r="M23" i="157"/>
  <c r="L23" i="157"/>
  <c r="K23" i="157"/>
  <c r="J23" i="157"/>
  <c r="I23" i="157"/>
  <c r="H23" i="157"/>
  <c r="G23" i="157"/>
  <c r="F23" i="157"/>
  <c r="N22" i="157"/>
  <c r="M22" i="157"/>
  <c r="L22" i="157"/>
  <c r="K22" i="157"/>
  <c r="J22" i="157"/>
  <c r="I22" i="157"/>
  <c r="H22" i="157"/>
  <c r="G22" i="157"/>
  <c r="F22" i="157"/>
  <c r="N21" i="157"/>
  <c r="M21" i="157"/>
  <c r="L21" i="157"/>
  <c r="K21" i="157"/>
  <c r="J21" i="157"/>
  <c r="I21" i="157"/>
  <c r="H21" i="157"/>
  <c r="G21" i="157"/>
  <c r="F21" i="157"/>
  <c r="W117" i="139"/>
  <c r="V117" i="139"/>
  <c r="T117" i="139"/>
  <c r="S117" i="139"/>
  <c r="Q117" i="139"/>
  <c r="P117" i="139"/>
  <c r="O117" i="139"/>
  <c r="W116" i="139"/>
  <c r="V116" i="139"/>
  <c r="T116" i="139"/>
  <c r="S116" i="139"/>
  <c r="Q116" i="139"/>
  <c r="P116" i="139"/>
  <c r="O116" i="139"/>
  <c r="W115" i="139"/>
  <c r="V115" i="139"/>
  <c r="T115" i="139"/>
  <c r="S115" i="139"/>
  <c r="Q115" i="139"/>
  <c r="P115" i="139"/>
  <c r="O115" i="139"/>
  <c r="W114" i="139"/>
  <c r="V114" i="139"/>
  <c r="T114" i="139"/>
  <c r="S114" i="139"/>
  <c r="Q114" i="139"/>
  <c r="P114" i="139"/>
  <c r="O114" i="139"/>
  <c r="W113" i="139"/>
  <c r="V113" i="139"/>
  <c r="T113" i="139"/>
  <c r="S113" i="139"/>
  <c r="Q113" i="139"/>
  <c r="P113" i="139"/>
  <c r="O113" i="139"/>
  <c r="W112" i="139"/>
  <c r="V112" i="139"/>
  <c r="T112" i="139"/>
  <c r="S112" i="139"/>
  <c r="Q112" i="139"/>
  <c r="P112" i="139"/>
  <c r="O112" i="139"/>
  <c r="W111" i="139"/>
  <c r="V111" i="139"/>
  <c r="T111" i="139"/>
  <c r="S111" i="139"/>
  <c r="Q111" i="139"/>
  <c r="P111" i="139"/>
  <c r="O111" i="139"/>
  <c r="W110" i="139"/>
  <c r="V110" i="139"/>
  <c r="T110" i="139"/>
  <c r="S110" i="139"/>
  <c r="Q110" i="139"/>
  <c r="P110" i="139"/>
  <c r="O110" i="139"/>
  <c r="W109" i="139"/>
  <c r="V109" i="139"/>
  <c r="T109" i="139"/>
  <c r="S109" i="139"/>
  <c r="Q109" i="139"/>
  <c r="P109" i="139"/>
  <c r="O109" i="139"/>
  <c r="W108" i="139"/>
  <c r="V108" i="139"/>
  <c r="T108" i="139"/>
  <c r="S108" i="139"/>
  <c r="Q108" i="139"/>
  <c r="P108" i="139"/>
  <c r="O108" i="139"/>
  <c r="W107" i="139"/>
  <c r="V107" i="139"/>
  <c r="T107" i="139"/>
  <c r="S107" i="139"/>
  <c r="Q107" i="139"/>
  <c r="P107" i="139"/>
  <c r="O107" i="139"/>
  <c r="W106" i="139"/>
  <c r="V106" i="139"/>
  <c r="T106" i="139"/>
  <c r="S106" i="139"/>
  <c r="Q106" i="139"/>
  <c r="P106" i="139"/>
  <c r="O106" i="139"/>
  <c r="W105" i="139"/>
  <c r="V105" i="139"/>
  <c r="T105" i="139"/>
  <c r="S105" i="139"/>
  <c r="Q105" i="139"/>
  <c r="P105" i="139"/>
  <c r="O105" i="139"/>
  <c r="I117" i="139"/>
  <c r="I116" i="139"/>
  <c r="I115" i="139"/>
  <c r="I114" i="139"/>
  <c r="I113" i="139"/>
  <c r="I112" i="139"/>
  <c r="I111" i="139"/>
  <c r="I110" i="139"/>
  <c r="I109" i="139"/>
  <c r="I108" i="139"/>
  <c r="I107" i="139"/>
  <c r="I106" i="139"/>
  <c r="I105" i="139"/>
  <c r="W97" i="139"/>
  <c r="V97" i="139"/>
  <c r="T97" i="139"/>
  <c r="S97" i="139"/>
  <c r="Q97" i="139"/>
  <c r="P97" i="139"/>
  <c r="O97" i="139"/>
  <c r="W96" i="139"/>
  <c r="V96" i="139"/>
  <c r="T96" i="139"/>
  <c r="S96" i="139"/>
  <c r="Q96" i="139"/>
  <c r="P96" i="139"/>
  <c r="O96" i="139"/>
  <c r="W95" i="139"/>
  <c r="V95" i="139"/>
  <c r="T95" i="139"/>
  <c r="S95" i="139"/>
  <c r="Q95" i="139"/>
  <c r="P95" i="139"/>
  <c r="O95" i="139"/>
  <c r="W94" i="139"/>
  <c r="V94" i="139"/>
  <c r="T94" i="139"/>
  <c r="S94" i="139"/>
  <c r="Q94" i="139"/>
  <c r="P94" i="139"/>
  <c r="O94" i="139"/>
  <c r="W93" i="139"/>
  <c r="V93" i="139"/>
  <c r="T93" i="139"/>
  <c r="S93" i="139"/>
  <c r="Q93" i="139"/>
  <c r="P93" i="139"/>
  <c r="O93" i="139"/>
  <c r="I97" i="139"/>
  <c r="I96" i="139"/>
  <c r="I95" i="139"/>
  <c r="I94" i="139"/>
  <c r="I93" i="139"/>
  <c r="W87" i="139"/>
  <c r="V87" i="139"/>
  <c r="T87" i="139"/>
  <c r="S87" i="139"/>
  <c r="Q87" i="139"/>
  <c r="P87" i="139"/>
  <c r="O87" i="139"/>
  <c r="W86" i="139"/>
  <c r="V86" i="139"/>
  <c r="T86" i="139"/>
  <c r="S86" i="139"/>
  <c r="Q86" i="139"/>
  <c r="P86" i="139"/>
  <c r="O86" i="139"/>
  <c r="W85" i="139"/>
  <c r="V85" i="139"/>
  <c r="T85" i="139"/>
  <c r="S85" i="139"/>
  <c r="Q85" i="139"/>
  <c r="P85" i="139"/>
  <c r="O85" i="139"/>
  <c r="W84" i="139"/>
  <c r="V84" i="139"/>
  <c r="T84" i="139"/>
  <c r="S84" i="139"/>
  <c r="Q84" i="139"/>
  <c r="P84" i="139"/>
  <c r="O84" i="139"/>
  <c r="W83" i="139"/>
  <c r="V83" i="139"/>
  <c r="T83" i="139"/>
  <c r="S83" i="139"/>
  <c r="Q83" i="139"/>
  <c r="P83" i="139"/>
  <c r="O83" i="139"/>
  <c r="I87" i="139"/>
  <c r="I86" i="139"/>
  <c r="I85" i="139"/>
  <c r="I84" i="139"/>
  <c r="I83" i="139"/>
  <c r="W77" i="139"/>
  <c r="V77" i="139"/>
  <c r="T77" i="139"/>
  <c r="S77" i="139"/>
  <c r="Q77" i="139"/>
  <c r="P77" i="139"/>
  <c r="O77" i="139"/>
  <c r="W76" i="139"/>
  <c r="V76" i="139"/>
  <c r="T76" i="139"/>
  <c r="S76" i="139"/>
  <c r="Q76" i="139"/>
  <c r="P76" i="139"/>
  <c r="O76" i="139"/>
  <c r="W75" i="139"/>
  <c r="V75" i="139"/>
  <c r="T75" i="139"/>
  <c r="S75" i="139"/>
  <c r="Q75" i="139"/>
  <c r="P75" i="139"/>
  <c r="O75" i="139"/>
  <c r="W74" i="139"/>
  <c r="V74" i="139"/>
  <c r="T74" i="139"/>
  <c r="S74" i="139"/>
  <c r="Q74" i="139"/>
  <c r="P74" i="139"/>
  <c r="O74" i="139"/>
  <c r="W73" i="139"/>
  <c r="V73" i="139"/>
  <c r="T73" i="139"/>
  <c r="S73" i="139"/>
  <c r="Q73" i="139"/>
  <c r="P73" i="139"/>
  <c r="O73" i="139"/>
  <c r="I77" i="139"/>
  <c r="I76" i="139"/>
  <c r="I75" i="139"/>
  <c r="I74" i="139"/>
  <c r="I73" i="139"/>
  <c r="W65" i="139"/>
  <c r="V65" i="139"/>
  <c r="T65" i="139"/>
  <c r="S65" i="139"/>
  <c r="Q65" i="139"/>
  <c r="P65" i="139"/>
  <c r="O65" i="139"/>
  <c r="W64" i="139"/>
  <c r="V64" i="139"/>
  <c r="T64" i="139"/>
  <c r="S64" i="139"/>
  <c r="Q64" i="139"/>
  <c r="P64" i="139"/>
  <c r="O64" i="139"/>
  <c r="W63" i="139"/>
  <c r="V63" i="139"/>
  <c r="T63" i="139"/>
  <c r="S63" i="139"/>
  <c r="Q63" i="139"/>
  <c r="P63" i="139"/>
  <c r="O63" i="139"/>
  <c r="W62" i="139"/>
  <c r="V62" i="139"/>
  <c r="T62" i="139"/>
  <c r="S62" i="139"/>
  <c r="Q62" i="139"/>
  <c r="P62" i="139"/>
  <c r="O62" i="139"/>
  <c r="W61" i="139"/>
  <c r="V61" i="139"/>
  <c r="T61" i="139"/>
  <c r="S61" i="139"/>
  <c r="Q61" i="139"/>
  <c r="P61" i="139"/>
  <c r="O61" i="139"/>
  <c r="W60" i="139"/>
  <c r="V60" i="139"/>
  <c r="T60" i="139"/>
  <c r="S60" i="139"/>
  <c r="Q60" i="139"/>
  <c r="P60" i="139"/>
  <c r="O60" i="139"/>
  <c r="W59" i="139"/>
  <c r="V59" i="139"/>
  <c r="T59" i="139"/>
  <c r="S59" i="139"/>
  <c r="Q59" i="139"/>
  <c r="P59" i="139"/>
  <c r="O59" i="139"/>
  <c r="W58" i="139"/>
  <c r="V58" i="139"/>
  <c r="T58" i="139"/>
  <c r="S58" i="139"/>
  <c r="Q58" i="139"/>
  <c r="P58" i="139"/>
  <c r="O58" i="139"/>
  <c r="W57" i="139"/>
  <c r="V57" i="139"/>
  <c r="T57" i="139"/>
  <c r="S57" i="139"/>
  <c r="Q57" i="139"/>
  <c r="P57" i="139"/>
  <c r="O57" i="139"/>
  <c r="I65" i="139"/>
  <c r="I64" i="139"/>
  <c r="I63" i="139"/>
  <c r="I62" i="139"/>
  <c r="I61" i="139"/>
  <c r="I60" i="139"/>
  <c r="I59" i="139"/>
  <c r="I58" i="139"/>
  <c r="I57" i="139"/>
  <c r="W52" i="139"/>
  <c r="V52" i="139"/>
  <c r="T52" i="139"/>
  <c r="S52" i="139"/>
  <c r="Q52" i="139"/>
  <c r="P52" i="139"/>
  <c r="O52" i="139"/>
  <c r="W51" i="139"/>
  <c r="V51" i="139"/>
  <c r="T51" i="139"/>
  <c r="S51" i="139"/>
  <c r="Q51" i="139"/>
  <c r="P51" i="139"/>
  <c r="O51" i="139"/>
  <c r="W50" i="139"/>
  <c r="V50" i="139"/>
  <c r="T50" i="139"/>
  <c r="S50" i="139"/>
  <c r="Q50" i="139"/>
  <c r="P50" i="139"/>
  <c r="O50" i="139"/>
  <c r="W49" i="139"/>
  <c r="V49" i="139"/>
  <c r="T49" i="139"/>
  <c r="S49" i="139"/>
  <c r="Q49" i="139"/>
  <c r="P49" i="139"/>
  <c r="O49" i="139"/>
  <c r="W48" i="139"/>
  <c r="V48" i="139"/>
  <c r="T48" i="139"/>
  <c r="S48" i="139"/>
  <c r="Q48" i="139"/>
  <c r="P48" i="139"/>
  <c r="O48" i="139"/>
  <c r="W47" i="139"/>
  <c r="V47" i="139"/>
  <c r="T47" i="139"/>
  <c r="S47" i="139"/>
  <c r="Q47" i="139"/>
  <c r="P47" i="139"/>
  <c r="O47" i="139"/>
  <c r="W46" i="139"/>
  <c r="V46" i="139"/>
  <c r="T46" i="139"/>
  <c r="S46" i="139"/>
  <c r="Q46" i="139"/>
  <c r="P46" i="139"/>
  <c r="O46" i="139"/>
  <c r="W45" i="139"/>
  <c r="V45" i="139"/>
  <c r="T45" i="139"/>
  <c r="S45" i="139"/>
  <c r="Q45" i="139"/>
  <c r="P45" i="139"/>
  <c r="O45" i="139"/>
  <c r="W44" i="139"/>
  <c r="V44" i="139"/>
  <c r="T44" i="139"/>
  <c r="S44" i="139"/>
  <c r="Q44" i="139"/>
  <c r="P44" i="139"/>
  <c r="O44" i="139"/>
  <c r="W43" i="139"/>
  <c r="V43" i="139"/>
  <c r="T43" i="139"/>
  <c r="S43" i="139"/>
  <c r="Q43" i="139"/>
  <c r="P43" i="139"/>
  <c r="O43" i="139"/>
  <c r="I52" i="139"/>
  <c r="I51" i="139"/>
  <c r="I50" i="139"/>
  <c r="I49" i="139"/>
  <c r="I48" i="139"/>
  <c r="I47" i="139"/>
  <c r="I46" i="139"/>
  <c r="I45" i="139"/>
  <c r="I44" i="139"/>
  <c r="I43" i="139"/>
  <c r="W34" i="139"/>
  <c r="V34" i="139"/>
  <c r="T34" i="139"/>
  <c r="S34" i="139"/>
  <c r="Q34" i="139"/>
  <c r="P34" i="139"/>
  <c r="O34" i="139"/>
  <c r="W33" i="139"/>
  <c r="V33" i="139"/>
  <c r="T33" i="139"/>
  <c r="S33" i="139"/>
  <c r="Q33" i="139"/>
  <c r="P33" i="139"/>
  <c r="O33" i="139"/>
  <c r="W32" i="139"/>
  <c r="V32" i="139"/>
  <c r="T32" i="139"/>
  <c r="S32" i="139"/>
  <c r="Q32" i="139"/>
  <c r="P32" i="139"/>
  <c r="O32" i="139"/>
  <c r="W31" i="139"/>
  <c r="V31" i="139"/>
  <c r="T31" i="139"/>
  <c r="S31" i="139"/>
  <c r="Q31" i="139"/>
  <c r="P31" i="139"/>
  <c r="O31" i="139"/>
  <c r="W30" i="139"/>
  <c r="V30" i="139"/>
  <c r="T30" i="139"/>
  <c r="S30" i="139"/>
  <c r="Q30" i="139"/>
  <c r="P30" i="139"/>
  <c r="O30" i="139"/>
  <c r="W29" i="139"/>
  <c r="V29" i="139"/>
  <c r="T29" i="139"/>
  <c r="S29" i="139"/>
  <c r="Q29" i="139"/>
  <c r="P29" i="139"/>
  <c r="O29" i="139"/>
  <c r="I34" i="139"/>
  <c r="I33" i="139"/>
  <c r="I32" i="139"/>
  <c r="I31" i="139"/>
  <c r="I30" i="139"/>
  <c r="I29" i="139"/>
  <c r="W24" i="139"/>
  <c r="V24" i="139"/>
  <c r="T24" i="139"/>
  <c r="S24" i="139"/>
  <c r="Q24" i="139"/>
  <c r="P24" i="139"/>
  <c r="O24" i="139"/>
  <c r="W23" i="139"/>
  <c r="V23" i="139"/>
  <c r="T23" i="139"/>
  <c r="S23" i="139"/>
  <c r="Q23" i="139"/>
  <c r="P23" i="139"/>
  <c r="O23" i="139"/>
  <c r="W22" i="139"/>
  <c r="V22" i="139"/>
  <c r="T22" i="139"/>
  <c r="S22" i="139"/>
  <c r="Q22" i="139"/>
  <c r="P22" i="139"/>
  <c r="O22" i="139"/>
  <c r="W21" i="139"/>
  <c r="V21" i="139"/>
  <c r="T21" i="139"/>
  <c r="S21" i="139"/>
  <c r="Q21" i="139"/>
  <c r="P21" i="139"/>
  <c r="O21" i="139"/>
  <c r="W20" i="139"/>
  <c r="V20" i="139"/>
  <c r="T20" i="139"/>
  <c r="S20" i="139"/>
  <c r="Q20" i="139"/>
  <c r="P20" i="139"/>
  <c r="O20" i="139"/>
  <c r="W19" i="139"/>
  <c r="V19" i="139"/>
  <c r="T19" i="139"/>
  <c r="S19" i="139"/>
  <c r="Q19" i="139"/>
  <c r="P19" i="139"/>
  <c r="O19" i="139"/>
  <c r="W18" i="139"/>
  <c r="V18" i="139"/>
  <c r="T18" i="139"/>
  <c r="S18" i="139"/>
  <c r="Q18" i="139"/>
  <c r="P18" i="139"/>
  <c r="O18" i="139"/>
  <c r="W17" i="139"/>
  <c r="V17" i="139"/>
  <c r="T17" i="139"/>
  <c r="S17" i="139"/>
  <c r="Q17" i="139"/>
  <c r="P17" i="139"/>
  <c r="O17" i="139"/>
  <c r="I24" i="139"/>
  <c r="I23" i="139"/>
  <c r="I22" i="139"/>
  <c r="I21" i="139"/>
  <c r="I20" i="139"/>
  <c r="I19" i="139"/>
  <c r="I18" i="139"/>
  <c r="I17" i="139"/>
  <c r="E18" i="150"/>
  <c r="T29" i="96"/>
  <c r="T28" i="96"/>
  <c r="T27" i="96"/>
  <c r="T26" i="96"/>
  <c r="T25" i="96"/>
  <c r="T24" i="96"/>
  <c r="T23" i="96"/>
  <c r="T22" i="96"/>
  <c r="T21" i="96"/>
  <c r="T20" i="96"/>
  <c r="T19" i="96"/>
  <c r="T18" i="96"/>
  <c r="T17" i="96"/>
  <c r="W29" i="20"/>
  <c r="V29" i="20"/>
  <c r="T29" i="20"/>
  <c r="S29" i="20"/>
  <c r="Q29" i="20"/>
  <c r="P29" i="20"/>
  <c r="O29" i="20"/>
  <c r="W28" i="20"/>
  <c r="V28" i="20"/>
  <c r="T28" i="20"/>
  <c r="S28" i="20"/>
  <c r="Q28" i="20"/>
  <c r="P28" i="20"/>
  <c r="O28" i="20"/>
  <c r="W27" i="20"/>
  <c r="V27" i="20"/>
  <c r="T27" i="20"/>
  <c r="S27" i="20"/>
  <c r="Q27" i="20"/>
  <c r="P27" i="20"/>
  <c r="O27" i="20"/>
  <c r="W26" i="20"/>
  <c r="V26" i="20"/>
  <c r="T26" i="20"/>
  <c r="S26" i="20"/>
  <c r="Q26" i="20"/>
  <c r="P26" i="20"/>
  <c r="O26" i="20"/>
  <c r="W25" i="20"/>
  <c r="V25" i="20"/>
  <c r="T25" i="20"/>
  <c r="S25" i="20"/>
  <c r="Q25" i="20"/>
  <c r="P25" i="20"/>
  <c r="O25" i="20"/>
  <c r="W24" i="20"/>
  <c r="V24" i="20"/>
  <c r="T24" i="20"/>
  <c r="S24" i="20"/>
  <c r="Q24" i="20"/>
  <c r="P24" i="20"/>
  <c r="O24" i="20"/>
  <c r="W23" i="20"/>
  <c r="V23" i="20"/>
  <c r="T23" i="20"/>
  <c r="Q23" i="20"/>
  <c r="P23" i="20"/>
  <c r="O23" i="20"/>
  <c r="W22" i="20"/>
  <c r="V22" i="20"/>
  <c r="T22" i="20"/>
  <c r="S22" i="20"/>
  <c r="Q22" i="20"/>
  <c r="P22" i="20"/>
  <c r="O22" i="20"/>
  <c r="W21" i="20"/>
  <c r="V21" i="20"/>
  <c r="T21" i="20"/>
  <c r="S21" i="20"/>
  <c r="Q21" i="20"/>
  <c r="P21" i="20"/>
  <c r="O21" i="20"/>
  <c r="W20" i="20"/>
  <c r="V20" i="20"/>
  <c r="T20" i="20"/>
  <c r="S20" i="20"/>
  <c r="Q20" i="20"/>
  <c r="P20" i="20"/>
  <c r="O20" i="20"/>
  <c r="W19" i="20"/>
  <c r="V19" i="20"/>
  <c r="T19" i="20"/>
  <c r="S19" i="20"/>
  <c r="Q19" i="20"/>
  <c r="P19" i="20"/>
  <c r="O19" i="20"/>
  <c r="W18" i="20"/>
  <c r="V18" i="20"/>
  <c r="T18" i="20"/>
  <c r="S18" i="20"/>
  <c r="Q18" i="20"/>
  <c r="P18" i="20"/>
  <c r="O18" i="20"/>
  <c r="W17" i="20"/>
  <c r="V17" i="20"/>
  <c r="T17" i="20"/>
  <c r="S17" i="20"/>
  <c r="Q17" i="20"/>
  <c r="P17" i="20"/>
  <c r="O17" i="20"/>
  <c r="T96" i="82"/>
  <c r="T95" i="82"/>
  <c r="T94" i="82"/>
  <c r="T93" i="82"/>
  <c r="T92" i="82"/>
  <c r="T86" i="82"/>
  <c r="T85" i="82"/>
  <c r="T84" i="82"/>
  <c r="T83" i="82"/>
  <c r="T82" i="82"/>
  <c r="T76" i="82"/>
  <c r="T75" i="82"/>
  <c r="T74" i="82"/>
  <c r="T73" i="82"/>
  <c r="T72" i="82"/>
  <c r="T64" i="82"/>
  <c r="T63" i="82"/>
  <c r="T62" i="82"/>
  <c r="T61" i="82"/>
  <c r="T60" i="82"/>
  <c r="T59" i="82"/>
  <c r="T58" i="82"/>
  <c r="T57" i="82"/>
  <c r="T56" i="82"/>
  <c r="T51" i="82"/>
  <c r="T50" i="82"/>
  <c r="T49" i="82"/>
  <c r="T48" i="82"/>
  <c r="T47" i="82"/>
  <c r="T46" i="82"/>
  <c r="T45" i="82"/>
  <c r="T44" i="82"/>
  <c r="T43" i="82"/>
  <c r="T42" i="82"/>
  <c r="T33" i="82"/>
  <c r="T32" i="82"/>
  <c r="T31" i="82"/>
  <c r="T30" i="82"/>
  <c r="T29" i="82"/>
  <c r="T28" i="82"/>
  <c r="T23" i="82"/>
  <c r="T22" i="82"/>
  <c r="T21" i="82"/>
  <c r="T20" i="82"/>
  <c r="T19" i="82"/>
  <c r="T18" i="82"/>
  <c r="T17" i="82"/>
  <c r="T16" i="82"/>
  <c r="W97" i="21"/>
  <c r="V97" i="21"/>
  <c r="T97" i="21"/>
  <c r="S97" i="21"/>
  <c r="Q97" i="21"/>
  <c r="P97" i="21"/>
  <c r="O97" i="21"/>
  <c r="W96" i="21"/>
  <c r="V96" i="21"/>
  <c r="T96" i="21"/>
  <c r="S96" i="21"/>
  <c r="Q96" i="21"/>
  <c r="P96" i="21"/>
  <c r="O96" i="21"/>
  <c r="W95" i="21"/>
  <c r="V95" i="21"/>
  <c r="T95" i="21"/>
  <c r="S95" i="21"/>
  <c r="Q95" i="21"/>
  <c r="P95" i="21"/>
  <c r="O95" i="21"/>
  <c r="W94" i="21"/>
  <c r="V94" i="21"/>
  <c r="T94" i="21"/>
  <c r="S94" i="21"/>
  <c r="Q94" i="21"/>
  <c r="P94" i="21"/>
  <c r="O94" i="21"/>
  <c r="W93" i="21"/>
  <c r="V93" i="21"/>
  <c r="T93" i="21"/>
  <c r="S93" i="21"/>
  <c r="Q93" i="21"/>
  <c r="P93" i="21"/>
  <c r="O93" i="21"/>
  <c r="W87" i="21"/>
  <c r="V87" i="21"/>
  <c r="T87" i="21"/>
  <c r="S87" i="21"/>
  <c r="Q87" i="21"/>
  <c r="P87" i="21"/>
  <c r="O87" i="21"/>
  <c r="W86" i="21"/>
  <c r="V86" i="21"/>
  <c r="T86" i="21"/>
  <c r="S86" i="21"/>
  <c r="Q86" i="21"/>
  <c r="P86" i="21"/>
  <c r="O86" i="21"/>
  <c r="W85" i="21"/>
  <c r="V85" i="21"/>
  <c r="T85" i="21"/>
  <c r="S85" i="21"/>
  <c r="Q85" i="21"/>
  <c r="P85" i="21"/>
  <c r="O85" i="21"/>
  <c r="W84" i="21"/>
  <c r="V84" i="21"/>
  <c r="T84" i="21"/>
  <c r="S84" i="21"/>
  <c r="Q84" i="21"/>
  <c r="P84" i="21"/>
  <c r="O84" i="21"/>
  <c r="W83" i="21"/>
  <c r="V83" i="21"/>
  <c r="T83" i="21"/>
  <c r="S83" i="21"/>
  <c r="Q83" i="21"/>
  <c r="P83" i="21"/>
  <c r="O83" i="21"/>
  <c r="W77" i="21"/>
  <c r="V77" i="21"/>
  <c r="T77" i="21"/>
  <c r="S77" i="21"/>
  <c r="Q77" i="21"/>
  <c r="P77" i="21"/>
  <c r="O77" i="21"/>
  <c r="W76" i="21"/>
  <c r="V76" i="21"/>
  <c r="T76" i="21"/>
  <c r="S76" i="21"/>
  <c r="Q76" i="21"/>
  <c r="P76" i="21"/>
  <c r="O76" i="21"/>
  <c r="W75" i="21"/>
  <c r="V75" i="21"/>
  <c r="T75" i="21"/>
  <c r="S75" i="21"/>
  <c r="Q75" i="21"/>
  <c r="P75" i="21"/>
  <c r="O75" i="21"/>
  <c r="W74" i="21"/>
  <c r="V74" i="21"/>
  <c r="T74" i="21"/>
  <c r="S74" i="21"/>
  <c r="Q74" i="21"/>
  <c r="P74" i="21"/>
  <c r="O74" i="21"/>
  <c r="W73" i="21"/>
  <c r="V73" i="21"/>
  <c r="T73" i="21"/>
  <c r="S73" i="21"/>
  <c r="Q73" i="21"/>
  <c r="P73" i="21"/>
  <c r="O73" i="21"/>
  <c r="W65" i="21"/>
  <c r="V65" i="21"/>
  <c r="T65" i="21"/>
  <c r="S65" i="21"/>
  <c r="Q65" i="21"/>
  <c r="P65" i="21"/>
  <c r="O65" i="21"/>
  <c r="W64" i="21"/>
  <c r="V64" i="21"/>
  <c r="T64" i="21"/>
  <c r="S64" i="21"/>
  <c r="Q64" i="21"/>
  <c r="P64" i="21"/>
  <c r="O64" i="21"/>
  <c r="W63" i="21"/>
  <c r="V63" i="21"/>
  <c r="T63" i="21"/>
  <c r="S63" i="21"/>
  <c r="Q63" i="21"/>
  <c r="P63" i="21"/>
  <c r="O63" i="21"/>
  <c r="W62" i="21"/>
  <c r="V62" i="21"/>
  <c r="T62" i="21"/>
  <c r="S62" i="21"/>
  <c r="Q62" i="21"/>
  <c r="P62" i="21"/>
  <c r="O62" i="21"/>
  <c r="W61" i="21"/>
  <c r="V61" i="21"/>
  <c r="T61" i="21"/>
  <c r="S61" i="21"/>
  <c r="Q61" i="21"/>
  <c r="P61" i="21"/>
  <c r="O61" i="21"/>
  <c r="W60" i="21"/>
  <c r="V60" i="21"/>
  <c r="T60" i="21"/>
  <c r="S60" i="21"/>
  <c r="Q60" i="21"/>
  <c r="P60" i="21"/>
  <c r="O60" i="21"/>
  <c r="W59" i="21"/>
  <c r="V59" i="21"/>
  <c r="T59" i="21"/>
  <c r="S59" i="21"/>
  <c r="Q59" i="21"/>
  <c r="P59" i="21"/>
  <c r="O59" i="21"/>
  <c r="W58" i="21"/>
  <c r="V58" i="21"/>
  <c r="T58" i="21"/>
  <c r="S58" i="21"/>
  <c r="Q58" i="21"/>
  <c r="P58" i="21"/>
  <c r="O58" i="21"/>
  <c r="W57" i="21"/>
  <c r="V57" i="21"/>
  <c r="T57" i="21"/>
  <c r="S57" i="21"/>
  <c r="Q57" i="21"/>
  <c r="P57" i="21"/>
  <c r="O57" i="21"/>
  <c r="W52" i="21"/>
  <c r="V52" i="21"/>
  <c r="T52" i="21"/>
  <c r="S52" i="21"/>
  <c r="Q52" i="21"/>
  <c r="P52" i="21"/>
  <c r="O52" i="21"/>
  <c r="W51" i="21"/>
  <c r="V51" i="21"/>
  <c r="T51" i="21"/>
  <c r="S51" i="21"/>
  <c r="Q51" i="21"/>
  <c r="P51" i="21"/>
  <c r="O51" i="21"/>
  <c r="W50" i="21"/>
  <c r="V50" i="21"/>
  <c r="T50" i="21"/>
  <c r="S50" i="21"/>
  <c r="Q50" i="21"/>
  <c r="P50" i="21"/>
  <c r="O50" i="21"/>
  <c r="W49" i="21"/>
  <c r="V49" i="21"/>
  <c r="T49" i="21"/>
  <c r="S49" i="21"/>
  <c r="Q49" i="21"/>
  <c r="P49" i="21"/>
  <c r="O49" i="21"/>
  <c r="W48" i="21"/>
  <c r="V48" i="21"/>
  <c r="T48" i="21"/>
  <c r="S48" i="21"/>
  <c r="Q48" i="21"/>
  <c r="P48" i="21"/>
  <c r="O48" i="21"/>
  <c r="W47" i="21"/>
  <c r="V47" i="21"/>
  <c r="T47" i="21"/>
  <c r="S47" i="21"/>
  <c r="Q47" i="21"/>
  <c r="P47" i="21"/>
  <c r="O47" i="21"/>
  <c r="W46" i="21"/>
  <c r="V46" i="21"/>
  <c r="T46" i="21"/>
  <c r="S46" i="21"/>
  <c r="Q46" i="21"/>
  <c r="P46" i="21"/>
  <c r="O46" i="21"/>
  <c r="W45" i="21"/>
  <c r="V45" i="21"/>
  <c r="T45" i="21"/>
  <c r="S45" i="21"/>
  <c r="Q45" i="21"/>
  <c r="P45" i="21"/>
  <c r="O45" i="21"/>
  <c r="W44" i="21"/>
  <c r="V44" i="21"/>
  <c r="T44" i="21"/>
  <c r="S44" i="21"/>
  <c r="Q44" i="21"/>
  <c r="P44" i="21"/>
  <c r="O44" i="21"/>
  <c r="W43" i="21"/>
  <c r="V43" i="21"/>
  <c r="T43" i="21"/>
  <c r="S43" i="21"/>
  <c r="Q43" i="21"/>
  <c r="P43" i="21"/>
  <c r="O43" i="21"/>
  <c r="W34" i="21"/>
  <c r="V34" i="21"/>
  <c r="T34" i="21"/>
  <c r="S34" i="21"/>
  <c r="Q34" i="21"/>
  <c r="P34" i="21"/>
  <c r="O34" i="21"/>
  <c r="W33" i="21"/>
  <c r="V33" i="21"/>
  <c r="T33" i="21"/>
  <c r="S33" i="21"/>
  <c r="Q33" i="21"/>
  <c r="P33" i="21"/>
  <c r="O33" i="21"/>
  <c r="W32" i="21"/>
  <c r="V32" i="21"/>
  <c r="T32" i="21"/>
  <c r="S32" i="21"/>
  <c r="Q32" i="21"/>
  <c r="P32" i="21"/>
  <c r="O32" i="21"/>
  <c r="W31" i="21"/>
  <c r="V31" i="21"/>
  <c r="T31" i="21"/>
  <c r="S31" i="21"/>
  <c r="Q31" i="21"/>
  <c r="P31" i="21"/>
  <c r="O31" i="21"/>
  <c r="W30" i="21"/>
  <c r="V30" i="21"/>
  <c r="T30" i="21"/>
  <c r="S30" i="21"/>
  <c r="Q30" i="21"/>
  <c r="P30" i="21"/>
  <c r="O30" i="21"/>
  <c r="W29" i="21"/>
  <c r="V29" i="21"/>
  <c r="T29" i="21"/>
  <c r="S29" i="21"/>
  <c r="Q29" i="21"/>
  <c r="P29" i="21"/>
  <c r="O29" i="21"/>
  <c r="W24" i="21"/>
  <c r="V24" i="21"/>
  <c r="T24" i="21"/>
  <c r="S24" i="21"/>
  <c r="Q24" i="21"/>
  <c r="P24" i="21"/>
  <c r="O24" i="21"/>
  <c r="W23" i="21"/>
  <c r="V23" i="21"/>
  <c r="T23" i="21"/>
  <c r="S23" i="21"/>
  <c r="Q23" i="21"/>
  <c r="P23" i="21"/>
  <c r="O23" i="21"/>
  <c r="W22" i="21"/>
  <c r="V22" i="21"/>
  <c r="T22" i="21"/>
  <c r="S22" i="21"/>
  <c r="Q22" i="21"/>
  <c r="P22" i="21"/>
  <c r="O22" i="21"/>
  <c r="W21" i="21"/>
  <c r="V21" i="21"/>
  <c r="T21" i="21"/>
  <c r="S21" i="21"/>
  <c r="Q21" i="21"/>
  <c r="P21" i="21"/>
  <c r="O21" i="21"/>
  <c r="W20" i="21"/>
  <c r="V20" i="21"/>
  <c r="T20" i="21"/>
  <c r="S20" i="21"/>
  <c r="Q20" i="21"/>
  <c r="P20" i="21"/>
  <c r="O20" i="21"/>
  <c r="W19" i="21"/>
  <c r="V19" i="21"/>
  <c r="T19" i="21"/>
  <c r="S19" i="21"/>
  <c r="Q19" i="21"/>
  <c r="P19" i="21"/>
  <c r="O19" i="21"/>
  <c r="W18" i="21"/>
  <c r="V18" i="21"/>
  <c r="T18" i="21"/>
  <c r="S18" i="21"/>
  <c r="Q18" i="21"/>
  <c r="P18" i="21"/>
  <c r="O18" i="21"/>
  <c r="W17" i="21"/>
  <c r="V17" i="21"/>
  <c r="T17" i="21"/>
  <c r="S17" i="21"/>
  <c r="Q17" i="21"/>
  <c r="P17" i="21"/>
  <c r="O17" i="21"/>
  <c r="A5" i="150"/>
  <c r="A3" i="150"/>
  <c r="A5" i="160"/>
  <c r="A3" i="160"/>
  <c r="A5" i="149"/>
  <c r="A3" i="149"/>
  <c r="A5" i="148"/>
  <c r="A3" i="148"/>
  <c r="A5" i="177"/>
  <c r="A3" i="177"/>
  <c r="A5" i="176"/>
  <c r="A3" i="176"/>
  <c r="A5" i="157"/>
  <c r="A3" i="157"/>
  <c r="A5" i="158"/>
  <c r="A3" i="158"/>
  <c r="A5" i="147"/>
  <c r="A3" i="147"/>
  <c r="A5" i="164"/>
  <c r="A3" i="164"/>
  <c r="A5" i="172"/>
  <c r="A3" i="172"/>
  <c r="A5" i="165"/>
  <c r="A3" i="165"/>
  <c r="A5" i="153"/>
  <c r="A3" i="153"/>
  <c r="A5" i="152"/>
  <c r="A3" i="152"/>
  <c r="A5" i="161"/>
  <c r="A3" i="161"/>
  <c r="A5" i="145"/>
  <c r="A3" i="145"/>
  <c r="A5" i="144"/>
  <c r="A3" i="144"/>
  <c r="A5" i="143"/>
  <c r="A3" i="143"/>
  <c r="A5" i="142"/>
  <c r="A3" i="142"/>
  <c r="A5" i="141"/>
  <c r="A3" i="141"/>
  <c r="A5" i="140"/>
  <c r="A3" i="140"/>
  <c r="A5" i="139"/>
  <c r="A3" i="139"/>
  <c r="A5" i="159"/>
  <c r="A3" i="159"/>
  <c r="A5" i="175"/>
  <c r="A3" i="175"/>
  <c r="A5" i="174"/>
  <c r="A3" i="174"/>
  <c r="A5" i="173"/>
  <c r="A3" i="173"/>
  <c r="A5" i="84"/>
  <c r="A3" i="84"/>
  <c r="A5" i="85"/>
  <c r="A3" i="85"/>
  <c r="A5" i="179"/>
  <c r="A3" i="179"/>
  <c r="A5" i="87"/>
  <c r="A3" i="87"/>
  <c r="A5" i="88"/>
  <c r="A3" i="88"/>
  <c r="A5" i="89"/>
  <c r="A3" i="89"/>
  <c r="A5" i="90"/>
  <c r="A3" i="90"/>
  <c r="A5" i="91"/>
  <c r="A3" i="91"/>
  <c r="A5" i="92"/>
  <c r="A3" i="92"/>
  <c r="A5" i="93"/>
  <c r="A3" i="93"/>
  <c r="A5" i="94"/>
  <c r="A3" i="94"/>
  <c r="A5" i="163"/>
  <c r="A3" i="163"/>
  <c r="A5" i="95"/>
  <c r="A3" i="95"/>
  <c r="A5" i="162"/>
  <c r="A3" i="162"/>
  <c r="A5" i="155"/>
  <c r="A3" i="155"/>
  <c r="A5" i="96"/>
  <c r="A3" i="96"/>
  <c r="A5" i="137"/>
  <c r="A5" i="20"/>
  <c r="A3" i="20"/>
  <c r="A5" i="82"/>
  <c r="A3" i="82"/>
  <c r="A5" i="136"/>
  <c r="A5" i="21"/>
  <c r="A3" i="21"/>
  <c r="A4" i="150"/>
  <c r="A2" i="150"/>
  <c r="A1" i="150"/>
  <c r="A4" i="160"/>
  <c r="A2" i="160"/>
  <c r="A1" i="160"/>
  <c r="A4" i="149"/>
  <c r="A2" i="149"/>
  <c r="A1" i="149"/>
  <c r="A4" i="148"/>
  <c r="A2" i="148"/>
  <c r="A1" i="148"/>
  <c r="A4" i="177"/>
  <c r="A2" i="177"/>
  <c r="A1" i="177"/>
  <c r="A4" i="176"/>
  <c r="A2" i="176"/>
  <c r="A1" i="176"/>
  <c r="A4" i="157"/>
  <c r="A2" i="157"/>
  <c r="A1" i="157"/>
  <c r="A4" i="158"/>
  <c r="A2" i="158"/>
  <c r="A1" i="158"/>
  <c r="A4" i="147"/>
  <c r="A2" i="147"/>
  <c r="A1" i="147"/>
  <c r="A4" i="164"/>
  <c r="A2" i="164"/>
  <c r="A1" i="164"/>
  <c r="A4" i="172"/>
  <c r="A2" i="172"/>
  <c r="A1" i="172"/>
  <c r="A4" i="165"/>
  <c r="A2" i="165"/>
  <c r="A1" i="165"/>
  <c r="A4" i="153"/>
  <c r="A2" i="153"/>
  <c r="A1" i="153"/>
  <c r="A4" i="152"/>
  <c r="A2" i="152"/>
  <c r="A1" i="152"/>
  <c r="A4" i="161"/>
  <c r="A2" i="161"/>
  <c r="A1" i="161"/>
  <c r="A4" i="145"/>
  <c r="A2" i="145"/>
  <c r="A1" i="145"/>
  <c r="A4" i="144"/>
  <c r="A2" i="144"/>
  <c r="A1" i="144"/>
  <c r="A4" i="143"/>
  <c r="A2" i="143"/>
  <c r="A1" i="143"/>
  <c r="A4" i="142"/>
  <c r="A2" i="142"/>
  <c r="A1" i="142"/>
  <c r="A4" i="141"/>
  <c r="A2" i="141"/>
  <c r="A1" i="141"/>
  <c r="A4" i="140"/>
  <c r="A2" i="140"/>
  <c r="A1" i="140"/>
  <c r="A4" i="139"/>
  <c r="A2" i="139"/>
  <c r="A1" i="139"/>
  <c r="A4" i="159"/>
  <c r="A2" i="159"/>
  <c r="A1" i="159"/>
  <c r="A4" i="175"/>
  <c r="A2" i="175"/>
  <c r="A1" i="175"/>
  <c r="A4" i="174"/>
  <c r="A2" i="174"/>
  <c r="A1" i="174"/>
  <c r="A4" i="173"/>
  <c r="A2" i="173"/>
  <c r="A1" i="173"/>
  <c r="A4" i="84"/>
  <c r="A2" i="84"/>
  <c r="A1" i="84"/>
  <c r="A4" i="85"/>
  <c r="A2" i="85"/>
  <c r="A1" i="85"/>
  <c r="A4" i="179"/>
  <c r="A2" i="179"/>
  <c r="A1" i="179"/>
  <c r="A4" i="87"/>
  <c r="A2" i="87"/>
  <c r="A1" i="87"/>
  <c r="A4" i="88"/>
  <c r="A2" i="88"/>
  <c r="A1" i="88"/>
  <c r="A4" i="89"/>
  <c r="A2" i="89"/>
  <c r="A1" i="89"/>
  <c r="A4" i="90"/>
  <c r="A2" i="90"/>
  <c r="A1" i="90"/>
  <c r="A4" i="91"/>
  <c r="A2" i="91"/>
  <c r="A1" i="91"/>
  <c r="A4" i="92"/>
  <c r="A2" i="92"/>
  <c r="A1" i="92"/>
  <c r="A4" i="93"/>
  <c r="A2" i="93"/>
  <c r="A1" i="93"/>
  <c r="A4" i="94"/>
  <c r="A2" i="94"/>
  <c r="A1" i="94"/>
  <c r="A4" i="163"/>
  <c r="A2" i="163"/>
  <c r="A1" i="163"/>
  <c r="A4" i="95"/>
  <c r="A2" i="95"/>
  <c r="A1" i="95"/>
  <c r="A4" i="162"/>
  <c r="A2" i="162"/>
  <c r="A1" i="162"/>
  <c r="A4" i="155"/>
  <c r="A2" i="155"/>
  <c r="A1" i="155"/>
  <c r="A4" i="96"/>
  <c r="A2" i="96"/>
  <c r="A1" i="96"/>
  <c r="A4" i="137"/>
  <c r="A2" i="137"/>
  <c r="A1" i="137"/>
  <c r="A4" i="20"/>
  <c r="A2" i="20"/>
  <c r="A1" i="20"/>
  <c r="A4" i="82"/>
  <c r="A2" i="82"/>
  <c r="A1" i="82"/>
  <c r="A4" i="136"/>
  <c r="A2" i="136"/>
  <c r="A1" i="136"/>
  <c r="A4" i="21"/>
  <c r="A2" i="21"/>
  <c r="A1" i="21"/>
  <c r="D112" i="148"/>
  <c r="D132" i="157" l="1"/>
  <c r="O458" i="88"/>
  <c r="P458" i="88"/>
  <c r="Q458" i="88"/>
  <c r="S458" i="88"/>
  <c r="T458" i="88"/>
  <c r="A161" i="145"/>
  <c r="A162" i="145"/>
  <c r="E64" i="142"/>
  <c r="E63" i="142"/>
  <c r="E62" i="142"/>
  <c r="E157" i="142"/>
  <c r="E156" i="142"/>
  <c r="E155" i="142"/>
  <c r="E126" i="142"/>
  <c r="E125" i="142"/>
  <c r="E124" i="142"/>
  <c r="E95" i="142"/>
  <c r="E94" i="142"/>
  <c r="E93" i="142"/>
  <c r="U28" i="20"/>
  <c r="U61" i="21"/>
  <c r="U86" i="21" l="1"/>
  <c r="U23" i="21"/>
  <c r="U58" i="21"/>
  <c r="U87" i="21"/>
  <c r="U19" i="21"/>
  <c r="U34" i="21"/>
  <c r="U77" i="21"/>
  <c r="U24" i="21"/>
  <c r="R34" i="21"/>
  <c r="U32" i="21"/>
  <c r="U47" i="21"/>
  <c r="R64" i="21"/>
  <c r="R27" i="20"/>
  <c r="U74" i="21"/>
  <c r="U96" i="21"/>
  <c r="U64" i="21"/>
  <c r="U60" i="21"/>
  <c r="R47" i="21"/>
  <c r="U75" i="21"/>
  <c r="R51" i="21"/>
  <c r="R74" i="21"/>
  <c r="U85" i="21"/>
  <c r="U21" i="21"/>
  <c r="R24" i="21"/>
  <c r="U63" i="21"/>
  <c r="R84" i="21"/>
  <c r="R21" i="21"/>
  <c r="R97" i="21"/>
  <c r="R30" i="21"/>
  <c r="U52" i="21"/>
  <c r="R61" i="21"/>
  <c r="U65" i="21"/>
  <c r="R44" i="21"/>
  <c r="R58" i="21"/>
  <c r="U62" i="21"/>
  <c r="R96" i="21"/>
  <c r="U49" i="21"/>
  <c r="R65" i="21"/>
  <c r="U94" i="21"/>
  <c r="R19" i="21"/>
  <c r="U45" i="21"/>
  <c r="U97" i="21"/>
  <c r="R28" i="20"/>
  <c r="R19" i="20"/>
  <c r="R18" i="21"/>
  <c r="R45" i="21"/>
  <c r="R31" i="21"/>
  <c r="U50" i="21"/>
  <c r="U29" i="20"/>
  <c r="U33" i="21"/>
  <c r="R94" i="21"/>
  <c r="U19" i="20"/>
  <c r="R25" i="20"/>
  <c r="U18" i="21"/>
  <c r="U59" i="21"/>
  <c r="U27" i="20"/>
  <c r="R49" i="21"/>
  <c r="U25" i="20"/>
  <c r="R48" i="21"/>
  <c r="R59" i="21"/>
  <c r="R75" i="21"/>
  <c r="R29" i="20"/>
  <c r="R22" i="21"/>
  <c r="U30" i="21"/>
  <c r="R32" i="21"/>
  <c r="U48" i="21"/>
  <c r="R50" i="21"/>
  <c r="R62" i="21"/>
  <c r="R85" i="21"/>
  <c r="R95" i="21"/>
  <c r="R52" i="21"/>
  <c r="R77" i="21"/>
  <c r="R87" i="21"/>
  <c r="U95" i="21"/>
  <c r="R60" i="21"/>
  <c r="U31" i="21"/>
  <c r="R33" i="21"/>
  <c r="U44" i="21"/>
  <c r="R46" i="21"/>
  <c r="R63" i="21"/>
  <c r="U84" i="21"/>
  <c r="R86" i="21"/>
  <c r="R24" i="20"/>
  <c r="V81" i="174"/>
  <c r="V73" i="174"/>
  <c r="V72" i="174"/>
  <c r="X72" i="174" s="1"/>
  <c r="V71" i="174"/>
  <c r="V69" i="174"/>
  <c r="V65" i="174"/>
  <c r="V60" i="174"/>
  <c r="V53" i="174"/>
  <c r="V52" i="174"/>
  <c r="X52" i="174" s="1"/>
  <c r="X82" i="174"/>
  <c r="U82" i="174"/>
  <c r="X81" i="174"/>
  <c r="U81" i="174"/>
  <c r="X80" i="174"/>
  <c r="U80" i="174"/>
  <c r="X79" i="174"/>
  <c r="U79" i="174"/>
  <c r="X78" i="174"/>
  <c r="U78" i="174"/>
  <c r="X77" i="174"/>
  <c r="U77" i="174"/>
  <c r="X76" i="174"/>
  <c r="U76" i="174"/>
  <c r="X75" i="174"/>
  <c r="U75" i="174"/>
  <c r="X74" i="174"/>
  <c r="U74" i="174"/>
  <c r="X73" i="174"/>
  <c r="U73" i="174"/>
  <c r="U72" i="174"/>
  <c r="X71" i="174"/>
  <c r="U71" i="174"/>
  <c r="X70" i="174"/>
  <c r="U70" i="174"/>
  <c r="X69" i="174"/>
  <c r="U69" i="174"/>
  <c r="X68" i="174"/>
  <c r="U68" i="174"/>
  <c r="X67" i="174"/>
  <c r="U67" i="174"/>
  <c r="X66" i="174"/>
  <c r="U66" i="174"/>
  <c r="X65" i="174"/>
  <c r="U65" i="174"/>
  <c r="X64" i="174"/>
  <c r="U64" i="174"/>
  <c r="X63" i="174"/>
  <c r="U63" i="174"/>
  <c r="X62" i="174"/>
  <c r="U62" i="174"/>
  <c r="X61" i="174"/>
  <c r="U61" i="174"/>
  <c r="X60" i="174"/>
  <c r="U60" i="174"/>
  <c r="X59" i="174"/>
  <c r="U59" i="174"/>
  <c r="X58" i="174"/>
  <c r="U58" i="174"/>
  <c r="X57" i="174"/>
  <c r="U57" i="174"/>
  <c r="X56" i="174"/>
  <c r="U56" i="174"/>
  <c r="X55" i="174"/>
  <c r="U55" i="174"/>
  <c r="X54" i="174"/>
  <c r="U54" i="174"/>
  <c r="X53" i="174"/>
  <c r="U53" i="174"/>
  <c r="U52" i="174"/>
  <c r="V68" i="173"/>
  <c r="V64" i="173"/>
  <c r="V58" i="173"/>
  <c r="X75" i="173"/>
  <c r="U75" i="173"/>
  <c r="X74" i="173"/>
  <c r="U74" i="173"/>
  <c r="X73" i="173"/>
  <c r="U73" i="173"/>
  <c r="X72" i="173"/>
  <c r="U72" i="173"/>
  <c r="X71" i="173"/>
  <c r="U71" i="173"/>
  <c r="X70" i="173"/>
  <c r="U70" i="173"/>
  <c r="X69" i="173"/>
  <c r="U69" i="173"/>
  <c r="X68" i="173"/>
  <c r="U68" i="173"/>
  <c r="X67" i="173"/>
  <c r="U67" i="173"/>
  <c r="X66" i="173"/>
  <c r="U66" i="173"/>
  <c r="X65" i="173"/>
  <c r="U65" i="173"/>
  <c r="X64" i="173"/>
  <c r="U64" i="173"/>
  <c r="X63" i="173"/>
  <c r="U63" i="173"/>
  <c r="X62" i="173"/>
  <c r="U62" i="173"/>
  <c r="X61" i="173"/>
  <c r="U61" i="173"/>
  <c r="X60" i="173"/>
  <c r="U60" i="173"/>
  <c r="X59" i="173"/>
  <c r="U59" i="173"/>
  <c r="X58" i="173"/>
  <c r="U58" i="173"/>
  <c r="X57" i="173"/>
  <c r="U57" i="173"/>
  <c r="X56" i="173"/>
  <c r="U56" i="173"/>
  <c r="X55" i="173"/>
  <c r="U55" i="173"/>
  <c r="X54" i="173"/>
  <c r="U54" i="173"/>
  <c r="X53" i="173"/>
  <c r="U53" i="173"/>
  <c r="X52" i="173"/>
  <c r="U52" i="173"/>
  <c r="X51" i="173"/>
  <c r="U51" i="173"/>
  <c r="V55" i="84"/>
  <c r="V51" i="84"/>
  <c r="V50" i="84"/>
  <c r="V47" i="84"/>
  <c r="X69" i="84"/>
  <c r="U69" i="84"/>
  <c r="X68" i="84"/>
  <c r="U68" i="84"/>
  <c r="X67" i="84"/>
  <c r="U67" i="84"/>
  <c r="X66" i="84"/>
  <c r="U66" i="84"/>
  <c r="X65" i="84"/>
  <c r="U65" i="84"/>
  <c r="X64" i="84"/>
  <c r="U64" i="84"/>
  <c r="X63" i="84"/>
  <c r="U63" i="84"/>
  <c r="X62" i="84"/>
  <c r="U62" i="84"/>
  <c r="X61" i="84"/>
  <c r="U61" i="84"/>
  <c r="X60" i="84"/>
  <c r="U60" i="84"/>
  <c r="X59" i="84"/>
  <c r="U59" i="84"/>
  <c r="X58" i="84"/>
  <c r="U58" i="84"/>
  <c r="X57" i="84"/>
  <c r="U57" i="84"/>
  <c r="X56" i="84"/>
  <c r="U56" i="84"/>
  <c r="X55" i="84"/>
  <c r="U55" i="84"/>
  <c r="X54" i="84"/>
  <c r="U54" i="84"/>
  <c r="X53" i="84"/>
  <c r="U53" i="84"/>
  <c r="X52" i="84"/>
  <c r="U52" i="84"/>
  <c r="X51" i="84"/>
  <c r="U51" i="84"/>
  <c r="X50" i="84"/>
  <c r="U50" i="84"/>
  <c r="X49" i="84"/>
  <c r="U49" i="84"/>
  <c r="X48" i="84"/>
  <c r="U48" i="84"/>
  <c r="V82" i="175" l="1"/>
  <c r="V81" i="175"/>
  <c r="V69" i="175"/>
  <c r="V68" i="175"/>
  <c r="V67" i="175"/>
  <c r="X67" i="175" s="1"/>
  <c r="V64" i="175"/>
  <c r="V61" i="175"/>
  <c r="V60" i="175"/>
  <c r="V55" i="175"/>
  <c r="X82" i="175"/>
  <c r="U82" i="175"/>
  <c r="X81" i="175"/>
  <c r="U81" i="175"/>
  <c r="X80" i="175"/>
  <c r="U80" i="175"/>
  <c r="X79" i="175"/>
  <c r="U79" i="175"/>
  <c r="X78" i="175"/>
  <c r="U78" i="175"/>
  <c r="X77" i="175"/>
  <c r="U77" i="175"/>
  <c r="X76" i="175"/>
  <c r="U76" i="175"/>
  <c r="X75" i="175"/>
  <c r="U75" i="175"/>
  <c r="X74" i="175"/>
  <c r="U74" i="175"/>
  <c r="X73" i="175"/>
  <c r="U73" i="175"/>
  <c r="X72" i="175"/>
  <c r="U72" i="175"/>
  <c r="X71" i="175"/>
  <c r="U71" i="175"/>
  <c r="X70" i="175"/>
  <c r="U70" i="175"/>
  <c r="X69" i="175"/>
  <c r="U69" i="175"/>
  <c r="X68" i="175"/>
  <c r="U68" i="175"/>
  <c r="U67" i="175"/>
  <c r="X66" i="175"/>
  <c r="U66" i="175"/>
  <c r="X65" i="175"/>
  <c r="U65" i="175"/>
  <c r="X64" i="175"/>
  <c r="U64" i="175"/>
  <c r="X63" i="175"/>
  <c r="U63" i="175"/>
  <c r="X62" i="175"/>
  <c r="U62" i="175"/>
  <c r="X61" i="175"/>
  <c r="U61" i="175"/>
  <c r="X60" i="175"/>
  <c r="U60" i="175"/>
  <c r="X59" i="175"/>
  <c r="U59" i="175"/>
  <c r="X58" i="175"/>
  <c r="U58" i="175"/>
  <c r="X57" i="175"/>
  <c r="U57" i="175"/>
  <c r="X56" i="175"/>
  <c r="U56" i="175"/>
  <c r="X55" i="175"/>
  <c r="U55" i="175"/>
  <c r="X54" i="175"/>
  <c r="U54" i="175"/>
  <c r="X53" i="175"/>
  <c r="U53" i="175"/>
  <c r="X52" i="175"/>
  <c r="U52" i="175"/>
  <c r="X51" i="175"/>
  <c r="U51" i="175"/>
  <c r="F41" i="163" l="1"/>
  <c r="F40" i="163"/>
  <c r="F39" i="163"/>
  <c r="F38" i="163"/>
  <c r="F37" i="163"/>
  <c r="F36" i="163"/>
  <c r="F25" i="163"/>
  <c r="E25" i="163"/>
  <c r="D25" i="163"/>
  <c r="G22" i="163"/>
  <c r="G21" i="163"/>
  <c r="G20" i="163"/>
  <c r="G19" i="163"/>
  <c r="G46" i="138" l="1"/>
  <c r="U73" i="87" l="1"/>
  <c r="U72" i="87"/>
  <c r="U71" i="87"/>
  <c r="U70" i="87"/>
  <c r="U69" i="87"/>
  <c r="U68" i="87"/>
  <c r="U67" i="87"/>
  <c r="U66" i="87"/>
  <c r="U65" i="87"/>
  <c r="U64" i="87"/>
  <c r="U63" i="87"/>
  <c r="U62" i="87"/>
  <c r="U61" i="87"/>
  <c r="U60" i="87"/>
  <c r="U59" i="87"/>
  <c r="U58" i="87"/>
  <c r="U57" i="87"/>
  <c r="U56" i="87"/>
  <c r="U55" i="87"/>
  <c r="U54" i="87"/>
  <c r="U53" i="87"/>
  <c r="U52" i="87"/>
  <c r="U51" i="87"/>
  <c r="U50" i="87"/>
  <c r="U49" i="87"/>
  <c r="U48" i="87"/>
  <c r="U47" i="87"/>
  <c r="U46" i="87"/>
  <c r="U45" i="87"/>
  <c r="U44" i="87"/>
  <c r="U43" i="87"/>
  <c r="U42" i="87"/>
  <c r="U41" i="87"/>
  <c r="U40" i="87"/>
  <c r="U39" i="87"/>
  <c r="U38" i="87"/>
  <c r="U37" i="87"/>
  <c r="U36" i="87"/>
  <c r="U35" i="87"/>
  <c r="U34" i="87"/>
  <c r="U33" i="87"/>
  <c r="U32" i="87"/>
  <c r="U31" i="87"/>
  <c r="U30" i="87"/>
  <c r="U29" i="87"/>
  <c r="U28" i="87"/>
  <c r="U27" i="87"/>
  <c r="U26" i="87"/>
  <c r="U25" i="87"/>
  <c r="U24" i="87"/>
  <c r="U23" i="87"/>
  <c r="U22" i="87"/>
  <c r="U21" i="87"/>
  <c r="U20" i="87"/>
  <c r="U19" i="87"/>
  <c r="U18" i="87"/>
  <c r="U17" i="87"/>
  <c r="R73" i="87"/>
  <c r="R72" i="87"/>
  <c r="R71" i="87"/>
  <c r="R70" i="87"/>
  <c r="R69" i="87"/>
  <c r="R68" i="87"/>
  <c r="R67" i="87"/>
  <c r="R66" i="87"/>
  <c r="R65" i="87"/>
  <c r="R64" i="87"/>
  <c r="R63" i="87"/>
  <c r="R62" i="87"/>
  <c r="R61" i="87"/>
  <c r="R60" i="87"/>
  <c r="R59" i="87"/>
  <c r="R58" i="87"/>
  <c r="R57" i="87"/>
  <c r="R56" i="87"/>
  <c r="R55" i="87"/>
  <c r="R54" i="87"/>
  <c r="R53" i="87"/>
  <c r="R52" i="87"/>
  <c r="R51" i="87"/>
  <c r="R50" i="87"/>
  <c r="R49" i="87"/>
  <c r="R48" i="87"/>
  <c r="R47" i="87"/>
  <c r="R46" i="87"/>
  <c r="R45" i="87"/>
  <c r="R44" i="87"/>
  <c r="R43" i="87"/>
  <c r="R42" i="87"/>
  <c r="R41" i="87"/>
  <c r="R40" i="87"/>
  <c r="R39" i="87"/>
  <c r="R38" i="87"/>
  <c r="R37" i="87"/>
  <c r="R36" i="87"/>
  <c r="R35" i="87"/>
  <c r="R34" i="87"/>
  <c r="R33" i="87"/>
  <c r="R32" i="87"/>
  <c r="R31" i="87"/>
  <c r="R30" i="87"/>
  <c r="R29" i="87"/>
  <c r="R28" i="87"/>
  <c r="R27" i="87"/>
  <c r="R26" i="87"/>
  <c r="R25" i="87"/>
  <c r="R24" i="87"/>
  <c r="R23" i="87"/>
  <c r="R22" i="87"/>
  <c r="R21" i="87"/>
  <c r="R20" i="87"/>
  <c r="R19" i="87"/>
  <c r="R18" i="87"/>
  <c r="R17" i="87"/>
  <c r="B458" i="88"/>
  <c r="U29" i="89"/>
  <c r="U28" i="89"/>
  <c r="U27" i="89"/>
  <c r="U26" i="89"/>
  <c r="U25" i="89"/>
  <c r="U24" i="89"/>
  <c r="U23" i="89"/>
  <c r="U22" i="89"/>
  <c r="U21" i="89"/>
  <c r="U20" i="89"/>
  <c r="U19" i="89"/>
  <c r="U18" i="89"/>
  <c r="U17" i="89"/>
  <c r="R29" i="89"/>
  <c r="R28" i="89"/>
  <c r="R27" i="89"/>
  <c r="R26" i="89"/>
  <c r="R25" i="89"/>
  <c r="R24" i="89"/>
  <c r="R23" i="89"/>
  <c r="R22" i="89"/>
  <c r="R21" i="89"/>
  <c r="R20" i="89"/>
  <c r="R19" i="89"/>
  <c r="R18" i="89"/>
  <c r="R17" i="89"/>
  <c r="U456" i="88"/>
  <c r="U455" i="88"/>
  <c r="U454" i="88"/>
  <c r="U453" i="88"/>
  <c r="U452" i="88"/>
  <c r="U451" i="88"/>
  <c r="U450" i="88"/>
  <c r="U449" i="88"/>
  <c r="U448" i="88"/>
  <c r="U447" i="88"/>
  <c r="U446" i="88"/>
  <c r="U445" i="88"/>
  <c r="U444" i="88"/>
  <c r="U443" i="88"/>
  <c r="U442" i="88"/>
  <c r="U441" i="88"/>
  <c r="U440" i="88"/>
  <c r="U439" i="88"/>
  <c r="U438" i="88"/>
  <c r="U437" i="88"/>
  <c r="U436" i="88"/>
  <c r="U435" i="88"/>
  <c r="U434" i="88"/>
  <c r="U433" i="88"/>
  <c r="U432" i="88"/>
  <c r="U431" i="88"/>
  <c r="U430" i="88"/>
  <c r="U429" i="88"/>
  <c r="U428" i="88"/>
  <c r="U427" i="88"/>
  <c r="U426" i="88"/>
  <c r="U425" i="88"/>
  <c r="U424" i="88"/>
  <c r="U423" i="88"/>
  <c r="U422" i="88"/>
  <c r="U421" i="88"/>
  <c r="U420" i="88"/>
  <c r="U419" i="88"/>
  <c r="U418" i="88"/>
  <c r="U417" i="88"/>
  <c r="U416" i="88"/>
  <c r="U415" i="88"/>
  <c r="U414" i="88"/>
  <c r="U413" i="88"/>
  <c r="U412" i="88"/>
  <c r="U411" i="88"/>
  <c r="U410" i="88"/>
  <c r="U409" i="88"/>
  <c r="U408" i="88"/>
  <c r="U407" i="88"/>
  <c r="U406" i="88"/>
  <c r="U405" i="88"/>
  <c r="U404" i="88"/>
  <c r="U403" i="88"/>
  <c r="U402" i="88"/>
  <c r="U401" i="88"/>
  <c r="U400" i="88"/>
  <c r="U399" i="88"/>
  <c r="U398" i="88"/>
  <c r="U397" i="88"/>
  <c r="U396" i="88"/>
  <c r="U395" i="88"/>
  <c r="U394" i="88"/>
  <c r="U393" i="88"/>
  <c r="U392" i="88"/>
  <c r="U391" i="88"/>
  <c r="U390" i="88"/>
  <c r="U389" i="88"/>
  <c r="U388" i="88"/>
  <c r="U387" i="88"/>
  <c r="U386" i="88"/>
  <c r="U385" i="88"/>
  <c r="U384" i="88"/>
  <c r="U383" i="88"/>
  <c r="U382" i="88"/>
  <c r="U381" i="88"/>
  <c r="U380" i="88"/>
  <c r="U379" i="88"/>
  <c r="U378" i="88"/>
  <c r="U377" i="88"/>
  <c r="U376" i="88"/>
  <c r="U375" i="88"/>
  <c r="U374" i="88"/>
  <c r="U373" i="88"/>
  <c r="U372" i="88"/>
  <c r="U371" i="88"/>
  <c r="U370" i="88"/>
  <c r="U369" i="88"/>
  <c r="U368" i="88"/>
  <c r="U367" i="88"/>
  <c r="U366" i="88"/>
  <c r="U365" i="88"/>
  <c r="U364" i="88"/>
  <c r="U363" i="88"/>
  <c r="U362" i="88"/>
  <c r="U361" i="88"/>
  <c r="U360" i="88"/>
  <c r="U359" i="88"/>
  <c r="U358" i="88"/>
  <c r="U357" i="88"/>
  <c r="U356" i="88"/>
  <c r="U355" i="88"/>
  <c r="U354" i="88"/>
  <c r="U353" i="88"/>
  <c r="U352" i="88"/>
  <c r="U351" i="88"/>
  <c r="U350" i="88"/>
  <c r="U349" i="88"/>
  <c r="U348" i="88"/>
  <c r="U347" i="88"/>
  <c r="U346" i="88"/>
  <c r="U345" i="88"/>
  <c r="U344" i="88"/>
  <c r="U343" i="88"/>
  <c r="U342" i="88"/>
  <c r="U341" i="88"/>
  <c r="U340" i="88"/>
  <c r="U339" i="88"/>
  <c r="U338" i="88"/>
  <c r="U337" i="88"/>
  <c r="U336" i="88"/>
  <c r="U335" i="88"/>
  <c r="U334" i="88"/>
  <c r="U333" i="88"/>
  <c r="U332" i="88"/>
  <c r="U331" i="88"/>
  <c r="U330" i="88"/>
  <c r="U329" i="88"/>
  <c r="U328" i="88"/>
  <c r="U327" i="88"/>
  <c r="U326" i="88"/>
  <c r="U325" i="88"/>
  <c r="U324" i="88"/>
  <c r="U323" i="88"/>
  <c r="U322" i="88"/>
  <c r="U321" i="88"/>
  <c r="U320" i="88"/>
  <c r="U319" i="88"/>
  <c r="U318" i="88"/>
  <c r="U317" i="88"/>
  <c r="U316" i="88"/>
  <c r="U315" i="88"/>
  <c r="U314" i="88"/>
  <c r="U313" i="88"/>
  <c r="U312" i="88"/>
  <c r="U311" i="88"/>
  <c r="U310" i="88"/>
  <c r="U309" i="88"/>
  <c r="U308" i="88"/>
  <c r="U307" i="88"/>
  <c r="U306" i="88"/>
  <c r="U305" i="88"/>
  <c r="U304" i="88"/>
  <c r="U303" i="88"/>
  <c r="U302" i="88"/>
  <c r="U301" i="88"/>
  <c r="U300" i="88"/>
  <c r="U299" i="88"/>
  <c r="U298" i="88"/>
  <c r="U297" i="88"/>
  <c r="U296" i="88"/>
  <c r="U295" i="88"/>
  <c r="U294" i="88"/>
  <c r="U293" i="88"/>
  <c r="U292" i="88"/>
  <c r="U291" i="88"/>
  <c r="U290" i="88"/>
  <c r="U289" i="88"/>
  <c r="U288" i="88"/>
  <c r="U287" i="88"/>
  <c r="U286" i="88"/>
  <c r="U285" i="88"/>
  <c r="U284" i="88"/>
  <c r="U283" i="88"/>
  <c r="U282" i="88"/>
  <c r="U281" i="88"/>
  <c r="U280" i="88"/>
  <c r="U279" i="88"/>
  <c r="U278" i="88"/>
  <c r="U277" i="88"/>
  <c r="U276" i="88"/>
  <c r="U275" i="88"/>
  <c r="U274" i="88"/>
  <c r="U273" i="88"/>
  <c r="U272" i="88"/>
  <c r="U271" i="88"/>
  <c r="U270" i="88"/>
  <c r="U269" i="88"/>
  <c r="U268" i="88"/>
  <c r="U267" i="88"/>
  <c r="U266" i="88"/>
  <c r="U265" i="88"/>
  <c r="U264" i="88"/>
  <c r="U263" i="88"/>
  <c r="U262" i="88"/>
  <c r="U261" i="88"/>
  <c r="U260" i="88"/>
  <c r="U259" i="88"/>
  <c r="U258" i="88"/>
  <c r="U257" i="88"/>
  <c r="U256" i="88"/>
  <c r="U255" i="88"/>
  <c r="U254" i="88"/>
  <c r="U253" i="88"/>
  <c r="U252" i="88"/>
  <c r="U251" i="88"/>
  <c r="U250" i="88"/>
  <c r="U249" i="88"/>
  <c r="U248" i="88"/>
  <c r="U247" i="88"/>
  <c r="U246" i="88"/>
  <c r="U245" i="88"/>
  <c r="U244" i="88"/>
  <c r="U243" i="88"/>
  <c r="U242" i="88"/>
  <c r="U241" i="88"/>
  <c r="U240" i="88"/>
  <c r="U239" i="88"/>
  <c r="U238" i="88"/>
  <c r="U237" i="88"/>
  <c r="U236" i="88"/>
  <c r="U235" i="88"/>
  <c r="U234" i="88"/>
  <c r="U233" i="88"/>
  <c r="U232" i="88"/>
  <c r="U231" i="88"/>
  <c r="U230" i="88"/>
  <c r="U229" i="88"/>
  <c r="U228" i="88"/>
  <c r="U227" i="88"/>
  <c r="U226" i="88"/>
  <c r="U225" i="88"/>
  <c r="U224" i="88"/>
  <c r="U223" i="88"/>
  <c r="U222" i="88"/>
  <c r="U221" i="88"/>
  <c r="U220" i="88"/>
  <c r="U219" i="88"/>
  <c r="U218" i="88"/>
  <c r="U217" i="88"/>
  <c r="U216" i="88"/>
  <c r="U215" i="88"/>
  <c r="U214" i="88"/>
  <c r="U213" i="88"/>
  <c r="U212" i="88"/>
  <c r="U211" i="88"/>
  <c r="U210" i="88"/>
  <c r="U209" i="88"/>
  <c r="U208" i="88"/>
  <c r="U207" i="88"/>
  <c r="U206" i="88"/>
  <c r="U205" i="88"/>
  <c r="U204" i="88"/>
  <c r="U203" i="88"/>
  <c r="U202" i="88"/>
  <c r="U201" i="88"/>
  <c r="U200" i="88"/>
  <c r="U199" i="88"/>
  <c r="U198" i="88"/>
  <c r="U197" i="88"/>
  <c r="U196" i="88"/>
  <c r="U195" i="88"/>
  <c r="U194" i="88"/>
  <c r="U193" i="88"/>
  <c r="U192" i="88"/>
  <c r="U191" i="88"/>
  <c r="U190" i="88"/>
  <c r="U189" i="88"/>
  <c r="U188" i="88"/>
  <c r="U187" i="88"/>
  <c r="U186" i="88"/>
  <c r="U185" i="88"/>
  <c r="U184" i="88"/>
  <c r="U183" i="88"/>
  <c r="U182" i="88"/>
  <c r="U181" i="88"/>
  <c r="U180" i="88"/>
  <c r="U179" i="88"/>
  <c r="U178" i="88"/>
  <c r="U177" i="88"/>
  <c r="U176" i="88"/>
  <c r="U175" i="88"/>
  <c r="U174" i="88"/>
  <c r="U173" i="88"/>
  <c r="U172" i="88"/>
  <c r="U171" i="88"/>
  <c r="U170" i="88"/>
  <c r="U169" i="88"/>
  <c r="U168" i="88"/>
  <c r="U167" i="88"/>
  <c r="U166" i="88"/>
  <c r="U165" i="88"/>
  <c r="U164" i="88"/>
  <c r="U163" i="88"/>
  <c r="U162" i="88"/>
  <c r="U161" i="88"/>
  <c r="U160" i="88"/>
  <c r="U159" i="88"/>
  <c r="U158" i="88"/>
  <c r="U157" i="88"/>
  <c r="U156" i="88"/>
  <c r="U155" i="88"/>
  <c r="U154" i="88"/>
  <c r="U153" i="88"/>
  <c r="U152" i="88"/>
  <c r="U151" i="88"/>
  <c r="U150" i="88"/>
  <c r="U149" i="88"/>
  <c r="U148" i="88"/>
  <c r="U147" i="88"/>
  <c r="U146" i="88"/>
  <c r="U145" i="88"/>
  <c r="U144" i="88"/>
  <c r="U143" i="88"/>
  <c r="U142" i="88"/>
  <c r="U141" i="88"/>
  <c r="U140" i="88"/>
  <c r="U139" i="88"/>
  <c r="U138" i="88"/>
  <c r="U137" i="88"/>
  <c r="U136" i="88"/>
  <c r="U135" i="88"/>
  <c r="U134" i="88"/>
  <c r="U133" i="88"/>
  <c r="U132" i="88"/>
  <c r="U131" i="88"/>
  <c r="U130" i="88"/>
  <c r="U129" i="88"/>
  <c r="U128" i="88"/>
  <c r="U127" i="88"/>
  <c r="U126" i="88"/>
  <c r="U125" i="88"/>
  <c r="U124" i="88"/>
  <c r="U123" i="88"/>
  <c r="U122" i="88"/>
  <c r="U121" i="88"/>
  <c r="U120" i="88"/>
  <c r="U119" i="88"/>
  <c r="U118" i="88"/>
  <c r="U117" i="88"/>
  <c r="U116" i="88"/>
  <c r="U115" i="88"/>
  <c r="U114" i="88"/>
  <c r="U113" i="88"/>
  <c r="U112" i="88"/>
  <c r="U111" i="88"/>
  <c r="U110" i="88"/>
  <c r="U109" i="88"/>
  <c r="U108" i="88"/>
  <c r="U107" i="88"/>
  <c r="U106" i="88"/>
  <c r="U105" i="88"/>
  <c r="U104" i="88"/>
  <c r="U103" i="88"/>
  <c r="U102" i="88"/>
  <c r="U101" i="88"/>
  <c r="U100" i="88"/>
  <c r="U99" i="88"/>
  <c r="U98" i="88"/>
  <c r="U97" i="88"/>
  <c r="U96" i="88"/>
  <c r="U95" i="88"/>
  <c r="U94" i="88"/>
  <c r="U93" i="88"/>
  <c r="U92" i="88"/>
  <c r="U91" i="88"/>
  <c r="U90" i="88"/>
  <c r="U89" i="88"/>
  <c r="U88" i="88"/>
  <c r="U87" i="88"/>
  <c r="U86" i="88"/>
  <c r="U85" i="88"/>
  <c r="U84" i="88"/>
  <c r="U83" i="88"/>
  <c r="U82" i="88"/>
  <c r="U81" i="88"/>
  <c r="U80" i="88"/>
  <c r="U79" i="88"/>
  <c r="U78" i="88"/>
  <c r="U77" i="88"/>
  <c r="U76" i="88"/>
  <c r="U75" i="88"/>
  <c r="U74" i="88"/>
  <c r="U73" i="88"/>
  <c r="U72" i="88"/>
  <c r="U71" i="88"/>
  <c r="U70" i="88"/>
  <c r="U69" i="88"/>
  <c r="U68" i="88"/>
  <c r="U67" i="88"/>
  <c r="U66" i="88"/>
  <c r="U65" i="88"/>
  <c r="U64" i="88"/>
  <c r="U63" i="88"/>
  <c r="U62" i="88"/>
  <c r="U61" i="88"/>
  <c r="U60" i="88"/>
  <c r="U59" i="88"/>
  <c r="U58" i="88"/>
  <c r="U57" i="88"/>
  <c r="U56" i="88"/>
  <c r="U55" i="88"/>
  <c r="U54" i="88"/>
  <c r="U53" i="88"/>
  <c r="U52" i="88"/>
  <c r="U51" i="88"/>
  <c r="U50" i="88"/>
  <c r="U49" i="88"/>
  <c r="U48" i="88"/>
  <c r="U47" i="88"/>
  <c r="U46" i="88"/>
  <c r="U45" i="88"/>
  <c r="U44" i="88"/>
  <c r="U43" i="88"/>
  <c r="U42" i="88"/>
  <c r="U41" i="88"/>
  <c r="U40" i="88"/>
  <c r="U39" i="88"/>
  <c r="U38" i="88"/>
  <c r="U37" i="88"/>
  <c r="U36" i="88"/>
  <c r="U35" i="88"/>
  <c r="U34" i="88"/>
  <c r="U33" i="88"/>
  <c r="U32" i="88"/>
  <c r="U31" i="88"/>
  <c r="U30" i="88"/>
  <c r="U29" i="88"/>
  <c r="U28" i="88"/>
  <c r="U27" i="88"/>
  <c r="U26" i="88"/>
  <c r="U25" i="88"/>
  <c r="U24" i="88"/>
  <c r="U23" i="88"/>
  <c r="U22" i="88"/>
  <c r="U21" i="88"/>
  <c r="U20" i="88"/>
  <c r="U19" i="88"/>
  <c r="U18" i="88"/>
  <c r="U17" i="88"/>
  <c r="R456" i="88"/>
  <c r="R455" i="88"/>
  <c r="R454" i="88"/>
  <c r="R453" i="88"/>
  <c r="R452" i="88"/>
  <c r="R451" i="88"/>
  <c r="R450" i="88"/>
  <c r="R449" i="88"/>
  <c r="R448" i="88"/>
  <c r="R447" i="88"/>
  <c r="R446" i="88"/>
  <c r="R445" i="88"/>
  <c r="R444" i="88"/>
  <c r="R443" i="88"/>
  <c r="R442" i="88"/>
  <c r="R441" i="88"/>
  <c r="R440" i="88"/>
  <c r="R439" i="88"/>
  <c r="R438" i="88"/>
  <c r="R437" i="88"/>
  <c r="R436" i="88"/>
  <c r="R435" i="88"/>
  <c r="R434" i="88"/>
  <c r="R433" i="88"/>
  <c r="R432" i="88"/>
  <c r="R431" i="88"/>
  <c r="R430" i="88"/>
  <c r="R429" i="88"/>
  <c r="R428" i="88"/>
  <c r="R427" i="88"/>
  <c r="R426" i="88"/>
  <c r="R425" i="88"/>
  <c r="R424" i="88"/>
  <c r="R423" i="88"/>
  <c r="R422" i="88"/>
  <c r="R421" i="88"/>
  <c r="R420" i="88"/>
  <c r="R419" i="88"/>
  <c r="R418" i="88"/>
  <c r="R417" i="88"/>
  <c r="R416" i="88"/>
  <c r="R415" i="88"/>
  <c r="R414" i="88"/>
  <c r="R413" i="88"/>
  <c r="R412" i="88"/>
  <c r="R411" i="88"/>
  <c r="R410" i="88"/>
  <c r="R409" i="88"/>
  <c r="R408" i="88"/>
  <c r="R407" i="88"/>
  <c r="R406" i="88"/>
  <c r="R405" i="88"/>
  <c r="R404" i="88"/>
  <c r="R403" i="88"/>
  <c r="R402" i="88"/>
  <c r="R401" i="88"/>
  <c r="R400" i="88"/>
  <c r="R399" i="88"/>
  <c r="R398" i="88"/>
  <c r="R397" i="88"/>
  <c r="R396" i="88"/>
  <c r="R395" i="88"/>
  <c r="R394" i="88"/>
  <c r="R393" i="88"/>
  <c r="R392" i="88"/>
  <c r="R391" i="88"/>
  <c r="R390" i="88"/>
  <c r="R389" i="88"/>
  <c r="R388" i="88"/>
  <c r="R387" i="88"/>
  <c r="R386" i="88"/>
  <c r="R385" i="88"/>
  <c r="R384" i="88"/>
  <c r="R383" i="88"/>
  <c r="R382" i="88"/>
  <c r="R381" i="88"/>
  <c r="R380" i="88"/>
  <c r="R379" i="88"/>
  <c r="R378" i="88"/>
  <c r="R377" i="88"/>
  <c r="R376" i="88"/>
  <c r="R375" i="88"/>
  <c r="R374" i="88"/>
  <c r="R373" i="88"/>
  <c r="R372" i="88"/>
  <c r="R371" i="88"/>
  <c r="R370" i="88"/>
  <c r="R369" i="88"/>
  <c r="R368" i="88"/>
  <c r="R367" i="88"/>
  <c r="R366" i="88"/>
  <c r="R365" i="88"/>
  <c r="R364" i="88"/>
  <c r="R363" i="88"/>
  <c r="R362" i="88"/>
  <c r="R361" i="88"/>
  <c r="R360" i="88"/>
  <c r="R359" i="88"/>
  <c r="R358" i="88"/>
  <c r="R357" i="88"/>
  <c r="R356" i="88"/>
  <c r="R355" i="88"/>
  <c r="R354" i="88"/>
  <c r="R353" i="88"/>
  <c r="R352" i="88"/>
  <c r="R351" i="88"/>
  <c r="R350" i="88"/>
  <c r="R349" i="88"/>
  <c r="R348" i="88"/>
  <c r="R347" i="88"/>
  <c r="R346" i="88"/>
  <c r="R345" i="88"/>
  <c r="R344" i="88"/>
  <c r="R343" i="88"/>
  <c r="R342" i="88"/>
  <c r="R341" i="88"/>
  <c r="R340" i="88"/>
  <c r="R339" i="88"/>
  <c r="R338" i="88"/>
  <c r="R337" i="88"/>
  <c r="R336" i="88"/>
  <c r="R335" i="88"/>
  <c r="R334" i="88"/>
  <c r="R333" i="88"/>
  <c r="R332" i="88"/>
  <c r="R331" i="88"/>
  <c r="R330" i="88"/>
  <c r="R329" i="88"/>
  <c r="R328" i="88"/>
  <c r="R327" i="88"/>
  <c r="R326" i="88"/>
  <c r="R325" i="88"/>
  <c r="R324" i="88"/>
  <c r="R323" i="88"/>
  <c r="R322" i="88"/>
  <c r="R321" i="88"/>
  <c r="R320" i="88"/>
  <c r="R319" i="88"/>
  <c r="R318" i="88"/>
  <c r="R317" i="88"/>
  <c r="R316" i="88"/>
  <c r="R315" i="88"/>
  <c r="R314" i="88"/>
  <c r="R313" i="88"/>
  <c r="R312" i="88"/>
  <c r="R311" i="88"/>
  <c r="R310" i="88"/>
  <c r="R309" i="88"/>
  <c r="R308" i="88"/>
  <c r="R307" i="88"/>
  <c r="R306" i="88"/>
  <c r="R305" i="88"/>
  <c r="R304" i="88"/>
  <c r="R303" i="88"/>
  <c r="R302" i="88"/>
  <c r="R301" i="88"/>
  <c r="R300" i="88"/>
  <c r="R299" i="88"/>
  <c r="R298" i="88"/>
  <c r="R297" i="88"/>
  <c r="R296" i="88"/>
  <c r="R295" i="88"/>
  <c r="R294" i="88"/>
  <c r="R293" i="88"/>
  <c r="R292" i="88"/>
  <c r="R291" i="88"/>
  <c r="R290" i="88"/>
  <c r="R289" i="88"/>
  <c r="R288" i="88"/>
  <c r="R287" i="88"/>
  <c r="R286" i="88"/>
  <c r="R285" i="88"/>
  <c r="R284" i="88"/>
  <c r="R283" i="88"/>
  <c r="R282" i="88"/>
  <c r="R281" i="88"/>
  <c r="R280" i="88"/>
  <c r="R279" i="88"/>
  <c r="R278" i="88"/>
  <c r="R277" i="88"/>
  <c r="R276" i="88"/>
  <c r="R275" i="88"/>
  <c r="R274" i="88"/>
  <c r="R273" i="88"/>
  <c r="R272" i="88"/>
  <c r="R271" i="88"/>
  <c r="R270" i="88"/>
  <c r="R269" i="88"/>
  <c r="R268" i="88"/>
  <c r="R267" i="88"/>
  <c r="R266" i="88"/>
  <c r="R265" i="88"/>
  <c r="R264" i="88"/>
  <c r="R263" i="88"/>
  <c r="R262" i="88"/>
  <c r="R261" i="88"/>
  <c r="R260" i="88"/>
  <c r="R259" i="88"/>
  <c r="R258" i="88"/>
  <c r="R257" i="88"/>
  <c r="R256" i="88"/>
  <c r="R255" i="88"/>
  <c r="R254" i="88"/>
  <c r="R253" i="88"/>
  <c r="R252" i="88"/>
  <c r="R251" i="88"/>
  <c r="R250" i="88"/>
  <c r="R249" i="88"/>
  <c r="R248" i="88"/>
  <c r="R247" i="88"/>
  <c r="R246" i="88"/>
  <c r="R245" i="88"/>
  <c r="R244" i="88"/>
  <c r="R243" i="88"/>
  <c r="R242" i="88"/>
  <c r="R241" i="88"/>
  <c r="R240" i="88"/>
  <c r="R239" i="88"/>
  <c r="R238" i="88"/>
  <c r="R237" i="88"/>
  <c r="R236" i="88"/>
  <c r="R235" i="88"/>
  <c r="R234" i="88"/>
  <c r="R233" i="88"/>
  <c r="R232" i="88"/>
  <c r="R231" i="88"/>
  <c r="R230" i="88"/>
  <c r="R229" i="88"/>
  <c r="R228" i="88"/>
  <c r="R227" i="88"/>
  <c r="R226" i="88"/>
  <c r="R225" i="88"/>
  <c r="R224" i="88"/>
  <c r="R223" i="88"/>
  <c r="R222" i="88"/>
  <c r="R221" i="88"/>
  <c r="R220" i="88"/>
  <c r="R219" i="88"/>
  <c r="R218" i="88"/>
  <c r="R217" i="88"/>
  <c r="R216" i="88"/>
  <c r="R215" i="88"/>
  <c r="R214" i="88"/>
  <c r="R213" i="88"/>
  <c r="R212" i="88"/>
  <c r="R211" i="88"/>
  <c r="R210" i="88"/>
  <c r="R209" i="88"/>
  <c r="R208" i="88"/>
  <c r="R207" i="88"/>
  <c r="R206" i="88"/>
  <c r="R205" i="88"/>
  <c r="R204" i="88"/>
  <c r="R203" i="88"/>
  <c r="R202" i="88"/>
  <c r="R201" i="88"/>
  <c r="R200" i="88"/>
  <c r="R199" i="88"/>
  <c r="R198" i="88"/>
  <c r="R197" i="88"/>
  <c r="R196" i="88"/>
  <c r="R195" i="88"/>
  <c r="R194" i="88"/>
  <c r="R193" i="88"/>
  <c r="R192" i="88"/>
  <c r="R191" i="88"/>
  <c r="R190" i="88"/>
  <c r="R189" i="88"/>
  <c r="R188" i="88"/>
  <c r="R187" i="88"/>
  <c r="R186" i="88"/>
  <c r="R185" i="88"/>
  <c r="R184" i="88"/>
  <c r="R183" i="88"/>
  <c r="R182" i="88"/>
  <c r="R181" i="88"/>
  <c r="R180" i="88"/>
  <c r="R179" i="88"/>
  <c r="R178" i="88"/>
  <c r="R177" i="88"/>
  <c r="R176" i="88"/>
  <c r="R175" i="88"/>
  <c r="R174" i="88"/>
  <c r="R173" i="88"/>
  <c r="R172" i="88"/>
  <c r="R171" i="88"/>
  <c r="R170" i="88"/>
  <c r="R169" i="88"/>
  <c r="R168" i="88"/>
  <c r="R167" i="88"/>
  <c r="R166" i="88"/>
  <c r="R165" i="88"/>
  <c r="R164" i="88"/>
  <c r="R163" i="88"/>
  <c r="R162" i="88"/>
  <c r="R161" i="88"/>
  <c r="R160" i="88"/>
  <c r="R159" i="88"/>
  <c r="R158" i="88"/>
  <c r="R157" i="88"/>
  <c r="R156" i="88"/>
  <c r="R155" i="88"/>
  <c r="R154" i="88"/>
  <c r="R153" i="88"/>
  <c r="R152" i="88"/>
  <c r="R151" i="88"/>
  <c r="R150" i="88"/>
  <c r="R149" i="88"/>
  <c r="R148" i="88"/>
  <c r="R147" i="88"/>
  <c r="R146" i="88"/>
  <c r="R145" i="88"/>
  <c r="R144" i="88"/>
  <c r="R143" i="88"/>
  <c r="R142" i="88"/>
  <c r="R141" i="88"/>
  <c r="R140" i="88"/>
  <c r="R139" i="88"/>
  <c r="R138" i="88"/>
  <c r="R137" i="88"/>
  <c r="R136" i="88"/>
  <c r="R135" i="88"/>
  <c r="R134" i="88"/>
  <c r="R133" i="88"/>
  <c r="R132" i="88"/>
  <c r="R131" i="88"/>
  <c r="R130" i="88"/>
  <c r="R129" i="88"/>
  <c r="R128" i="88"/>
  <c r="R127" i="88"/>
  <c r="R126" i="88"/>
  <c r="R125" i="88"/>
  <c r="R124" i="88"/>
  <c r="R123" i="88"/>
  <c r="R122" i="88"/>
  <c r="R121" i="88"/>
  <c r="R120" i="88"/>
  <c r="R119" i="88"/>
  <c r="R118" i="88"/>
  <c r="R117" i="88"/>
  <c r="R116" i="88"/>
  <c r="R115" i="88"/>
  <c r="R114" i="88"/>
  <c r="R113" i="88"/>
  <c r="R112" i="88"/>
  <c r="R111" i="88"/>
  <c r="R110" i="88"/>
  <c r="R109" i="88"/>
  <c r="R108" i="88"/>
  <c r="R107" i="88"/>
  <c r="R106" i="88"/>
  <c r="R105" i="88"/>
  <c r="R104" i="88"/>
  <c r="R103" i="88"/>
  <c r="R102" i="88"/>
  <c r="R101" i="88"/>
  <c r="R100" i="88"/>
  <c r="R99" i="88"/>
  <c r="R98" i="88"/>
  <c r="R97" i="88"/>
  <c r="R96" i="88"/>
  <c r="R95" i="88"/>
  <c r="R94" i="88"/>
  <c r="R93" i="88"/>
  <c r="R92" i="88"/>
  <c r="R91" i="88"/>
  <c r="R90" i="88"/>
  <c r="R89" i="88"/>
  <c r="R88" i="88"/>
  <c r="R87" i="88"/>
  <c r="R86" i="88"/>
  <c r="R85" i="88"/>
  <c r="R84" i="88"/>
  <c r="R83" i="88"/>
  <c r="R82" i="88"/>
  <c r="R81" i="88"/>
  <c r="R80" i="88"/>
  <c r="R79" i="88"/>
  <c r="R78" i="88"/>
  <c r="R77" i="88"/>
  <c r="R76" i="88"/>
  <c r="R75" i="88"/>
  <c r="R74" i="88"/>
  <c r="R73" i="88"/>
  <c r="R72" i="88"/>
  <c r="R71" i="88"/>
  <c r="R70" i="88"/>
  <c r="R69" i="88"/>
  <c r="R68" i="88"/>
  <c r="R67" i="88"/>
  <c r="R66" i="88"/>
  <c r="R65" i="88"/>
  <c r="R64" i="88"/>
  <c r="R63" i="88"/>
  <c r="R62" i="88"/>
  <c r="R61" i="88"/>
  <c r="R60" i="88"/>
  <c r="R59" i="88"/>
  <c r="R58" i="88"/>
  <c r="R57" i="88"/>
  <c r="R56" i="88"/>
  <c r="R55" i="88"/>
  <c r="R54" i="88"/>
  <c r="R53" i="88"/>
  <c r="R52" i="88"/>
  <c r="R51" i="88"/>
  <c r="R50" i="88"/>
  <c r="R49" i="88"/>
  <c r="R48" i="88"/>
  <c r="R47" i="88"/>
  <c r="R46" i="88"/>
  <c r="R45" i="88"/>
  <c r="R44" i="88"/>
  <c r="R43" i="88"/>
  <c r="R42" i="88"/>
  <c r="R41" i="88"/>
  <c r="R40" i="88"/>
  <c r="R39" i="88"/>
  <c r="R38" i="88"/>
  <c r="R37" i="88"/>
  <c r="R36" i="88"/>
  <c r="R35" i="88"/>
  <c r="R34" i="88"/>
  <c r="R33" i="88"/>
  <c r="R32" i="88"/>
  <c r="R31" i="88"/>
  <c r="R30" i="88"/>
  <c r="R29" i="88"/>
  <c r="R28" i="88"/>
  <c r="R27" i="88"/>
  <c r="R26" i="88"/>
  <c r="R25" i="88"/>
  <c r="R24" i="88"/>
  <c r="R23" i="88"/>
  <c r="R22" i="88"/>
  <c r="R21" i="88"/>
  <c r="R20" i="88"/>
  <c r="R19" i="88"/>
  <c r="R18" i="88"/>
  <c r="R17" i="88"/>
  <c r="T18" i="90"/>
  <c r="S18" i="90"/>
  <c r="Q18" i="90"/>
  <c r="P18" i="90"/>
  <c r="O18" i="90"/>
  <c r="X456" i="88"/>
  <c r="X455" i="88"/>
  <c r="X454" i="88"/>
  <c r="X453" i="88"/>
  <c r="X452" i="88"/>
  <c r="X451" i="88"/>
  <c r="X450" i="88"/>
  <c r="X449" i="88"/>
  <c r="X448" i="88"/>
  <c r="X447" i="88"/>
  <c r="X445" i="88"/>
  <c r="X444" i="88"/>
  <c r="X443" i="88"/>
  <c r="X442" i="88"/>
  <c r="X441" i="88"/>
  <c r="X440" i="88"/>
  <c r="X439" i="88"/>
  <c r="X438" i="88"/>
  <c r="X437" i="88"/>
  <c r="X436" i="88"/>
  <c r="X434" i="88"/>
  <c r="X433" i="88"/>
  <c r="X432" i="88"/>
  <c r="X431" i="88"/>
  <c r="X429" i="88"/>
  <c r="X428" i="88"/>
  <c r="X426" i="88"/>
  <c r="X424" i="88"/>
  <c r="X422" i="88"/>
  <c r="X421" i="88"/>
  <c r="X420" i="88"/>
  <c r="X419" i="88"/>
  <c r="X418" i="88"/>
  <c r="X417" i="88"/>
  <c r="X416" i="88"/>
  <c r="X415" i="88"/>
  <c r="X414" i="88"/>
  <c r="X411" i="88"/>
  <c r="X410" i="88"/>
  <c r="X409" i="88"/>
  <c r="X408" i="88"/>
  <c r="X407" i="88"/>
  <c r="X406" i="88"/>
  <c r="X404" i="88"/>
  <c r="X401" i="88"/>
  <c r="X400" i="88"/>
  <c r="X399" i="88"/>
  <c r="X397" i="88"/>
  <c r="X396" i="88"/>
  <c r="X395" i="88"/>
  <c r="X394" i="88"/>
  <c r="X393" i="88"/>
  <c r="X392" i="88"/>
  <c r="X391" i="88"/>
  <c r="X390" i="88"/>
  <c r="X388" i="88"/>
  <c r="X386" i="88"/>
  <c r="X385" i="88"/>
  <c r="X384" i="88"/>
  <c r="X382" i="88"/>
  <c r="X381" i="88"/>
  <c r="X380" i="88"/>
  <c r="X379" i="88"/>
  <c r="X378" i="88"/>
  <c r="X377" i="88"/>
  <c r="X376" i="88"/>
  <c r="X374" i="88"/>
  <c r="X372" i="88"/>
  <c r="X371" i="88"/>
  <c r="X370" i="88"/>
  <c r="X369" i="88"/>
  <c r="X368" i="88"/>
  <c r="X367" i="88"/>
  <c r="X366" i="88"/>
  <c r="X365" i="88"/>
  <c r="X364" i="88"/>
  <c r="X363" i="88"/>
  <c r="X362" i="88"/>
  <c r="X361" i="88"/>
  <c r="X359" i="88"/>
  <c r="X358" i="88"/>
  <c r="X357" i="88"/>
  <c r="X356" i="88"/>
  <c r="X355" i="88"/>
  <c r="X354" i="88"/>
  <c r="X353" i="88"/>
  <c r="X351" i="88"/>
  <c r="X350" i="88"/>
  <c r="X349" i="88"/>
  <c r="X346" i="88"/>
  <c r="X342" i="88"/>
  <c r="X341" i="88"/>
  <c r="X340" i="88"/>
  <c r="X338" i="88"/>
  <c r="X337" i="88"/>
  <c r="X334" i="88"/>
  <c r="X331" i="88"/>
  <c r="X330" i="88"/>
  <c r="X329" i="88"/>
  <c r="X327" i="88"/>
  <c r="X325" i="88"/>
  <c r="X323" i="88"/>
  <c r="X322" i="88"/>
  <c r="X319" i="88"/>
  <c r="X318" i="88"/>
  <c r="X317" i="88"/>
  <c r="X316" i="88"/>
  <c r="X315" i="88"/>
  <c r="X313" i="88"/>
  <c r="X307" i="88"/>
  <c r="X304" i="88"/>
  <c r="X303" i="88"/>
  <c r="X302" i="88"/>
  <c r="X300" i="88"/>
  <c r="X298" i="88"/>
  <c r="X295" i="88"/>
  <c r="X294" i="88"/>
  <c r="X293" i="88"/>
  <c r="X290" i="88"/>
  <c r="X289" i="88"/>
  <c r="X287" i="88"/>
  <c r="X286" i="88"/>
  <c r="X285" i="88"/>
  <c r="X282" i="88"/>
  <c r="X280" i="88"/>
  <c r="X279" i="88"/>
  <c r="X277" i="88"/>
  <c r="X276" i="88"/>
  <c r="X275" i="88"/>
  <c r="X273" i="88"/>
  <c r="X271" i="88"/>
  <c r="X270" i="88"/>
  <c r="X269" i="88"/>
  <c r="X268" i="88"/>
  <c r="X267" i="88"/>
  <c r="X266" i="88"/>
  <c r="X265" i="88"/>
  <c r="X262" i="88"/>
  <c r="X261" i="88"/>
  <c r="X260" i="88"/>
  <c r="X259" i="88"/>
  <c r="X255" i="88"/>
  <c r="X254" i="88"/>
  <c r="X253" i="88"/>
  <c r="X252" i="88"/>
  <c r="X251" i="88"/>
  <c r="X250" i="88"/>
  <c r="X249" i="88"/>
  <c r="X248" i="88"/>
  <c r="X246" i="88"/>
  <c r="X245" i="88"/>
  <c r="X244" i="88"/>
  <c r="X243" i="88"/>
  <c r="X242" i="88"/>
  <c r="X241" i="88"/>
  <c r="X240" i="88"/>
  <c r="X239" i="88"/>
  <c r="X238" i="88"/>
  <c r="X237" i="88"/>
  <c r="X235" i="88"/>
  <c r="X234" i="88"/>
  <c r="X232" i="88"/>
  <c r="X224" i="88"/>
  <c r="X223" i="88"/>
  <c r="X222" i="88"/>
  <c r="X220" i="88"/>
  <c r="X217" i="88"/>
  <c r="X213" i="88"/>
  <c r="X210" i="88"/>
  <c r="X209" i="88"/>
  <c r="X208" i="88"/>
  <c r="X207" i="88"/>
  <c r="X204" i="88"/>
  <c r="X203" i="88"/>
  <c r="X202" i="88"/>
  <c r="X201" i="88"/>
  <c r="X200" i="88"/>
  <c r="X199" i="88"/>
  <c r="X198" i="88"/>
  <c r="X197" i="88"/>
  <c r="X196" i="88"/>
  <c r="X195" i="88"/>
  <c r="X194" i="88"/>
  <c r="X193" i="88"/>
  <c r="X192" i="88"/>
  <c r="X191" i="88"/>
  <c r="X190" i="88"/>
  <c r="X189" i="88"/>
  <c r="X188" i="88"/>
  <c r="X187" i="88"/>
  <c r="X186" i="88"/>
  <c r="X185" i="88"/>
  <c r="X184" i="88"/>
  <c r="X183" i="88"/>
  <c r="X182" i="88"/>
  <c r="X181" i="88"/>
  <c r="X180" i="88"/>
  <c r="X179" i="88"/>
  <c r="X178" i="88"/>
  <c r="X177" i="88"/>
  <c r="X176" i="88"/>
  <c r="X175" i="88"/>
  <c r="X174" i="88"/>
  <c r="X173" i="88"/>
  <c r="X172" i="88"/>
  <c r="X171" i="88"/>
  <c r="X170" i="88"/>
  <c r="X169" i="88"/>
  <c r="X168" i="88"/>
  <c r="X167" i="88"/>
  <c r="X166" i="88"/>
  <c r="X165" i="88"/>
  <c r="X164" i="88"/>
  <c r="X163" i="88"/>
  <c r="X162" i="88"/>
  <c r="X161" i="88"/>
  <c r="X160" i="88"/>
  <c r="X159" i="88"/>
  <c r="X158" i="88"/>
  <c r="X157" i="88"/>
  <c r="X156" i="88"/>
  <c r="X155" i="88"/>
  <c r="X154" i="88"/>
  <c r="X153" i="88"/>
  <c r="X152" i="88"/>
  <c r="X151" i="88"/>
  <c r="X150" i="88"/>
  <c r="X149" i="88"/>
  <c r="X148" i="88"/>
  <c r="X147" i="88"/>
  <c r="X146" i="88"/>
  <c r="X145" i="88"/>
  <c r="X144" i="88"/>
  <c r="X143" i="88"/>
  <c r="X142" i="88"/>
  <c r="X141" i="88"/>
  <c r="X140" i="88"/>
  <c r="X139" i="88"/>
  <c r="X138" i="88"/>
  <c r="X137" i="88"/>
  <c r="X136" i="88"/>
  <c r="X135" i="88"/>
  <c r="X134" i="88"/>
  <c r="X133" i="88"/>
  <c r="X132" i="88"/>
  <c r="X131" i="88"/>
  <c r="X130" i="88"/>
  <c r="X129" i="88"/>
  <c r="X128" i="88"/>
  <c r="X127" i="88"/>
  <c r="X126" i="88"/>
  <c r="X125" i="88"/>
  <c r="X124" i="88"/>
  <c r="X123" i="88"/>
  <c r="X122" i="88"/>
  <c r="X121" i="88"/>
  <c r="X120" i="88"/>
  <c r="X119" i="88"/>
  <c r="X118" i="88"/>
  <c r="X117" i="88"/>
  <c r="X116" i="88"/>
  <c r="X115" i="88"/>
  <c r="X114" i="88"/>
  <c r="X113" i="88"/>
  <c r="X112" i="88"/>
  <c r="X111" i="88"/>
  <c r="X110" i="88"/>
  <c r="X108" i="88"/>
  <c r="X107" i="88"/>
  <c r="X106" i="88"/>
  <c r="X105" i="88"/>
  <c r="X104" i="88"/>
  <c r="X103" i="88"/>
  <c r="X102" i="88"/>
  <c r="X101" i="88"/>
  <c r="X100" i="88"/>
  <c r="X99" i="88"/>
  <c r="X98" i="88"/>
  <c r="X97" i="88"/>
  <c r="X96" i="88"/>
  <c r="X95" i="88"/>
  <c r="X94" i="88"/>
  <c r="X93" i="88"/>
  <c r="X92" i="88"/>
  <c r="X91" i="88"/>
  <c r="X90" i="88"/>
  <c r="X89" i="88"/>
  <c r="X88" i="88"/>
  <c r="X87" i="88"/>
  <c r="X86" i="88"/>
  <c r="X85" i="88"/>
  <c r="X84" i="88"/>
  <c r="X83" i="88"/>
  <c r="X82" i="88"/>
  <c r="X81" i="88"/>
  <c r="X80" i="88"/>
  <c r="X79" i="88"/>
  <c r="X78" i="88"/>
  <c r="X77" i="88"/>
  <c r="X76" i="88"/>
  <c r="X75" i="88"/>
  <c r="X74" i="88"/>
  <c r="X72" i="88"/>
  <c r="X71" i="88"/>
  <c r="X70" i="88"/>
  <c r="X69" i="88"/>
  <c r="X68" i="88"/>
  <c r="X67" i="88"/>
  <c r="X66" i="88"/>
  <c r="X65" i="88"/>
  <c r="X64" i="88"/>
  <c r="X63" i="88"/>
  <c r="X62" i="88"/>
  <c r="X61" i="88"/>
  <c r="X60" i="88"/>
  <c r="X59" i="88"/>
  <c r="X58" i="88"/>
  <c r="X57" i="88"/>
  <c r="X56" i="88"/>
  <c r="X55" i="88"/>
  <c r="X54" i="88"/>
  <c r="X53" i="88"/>
  <c r="X52" i="88"/>
  <c r="X51" i="88"/>
  <c r="X50" i="88"/>
  <c r="X49" i="88"/>
  <c r="X48" i="88"/>
  <c r="X47" i="88"/>
  <c r="X46" i="88"/>
  <c r="X45" i="88"/>
  <c r="X44" i="88"/>
  <c r="X43" i="88"/>
  <c r="X42" i="88"/>
  <c r="X41" i="88"/>
  <c r="X40" i="88"/>
  <c r="X39" i="88"/>
  <c r="X38" i="88"/>
  <c r="X37" i="88"/>
  <c r="X36" i="88"/>
  <c r="X35" i="88"/>
  <c r="X34" i="88"/>
  <c r="X33" i="88"/>
  <c r="X32" i="88"/>
  <c r="X31" i="88"/>
  <c r="X30" i="88"/>
  <c r="X29" i="88"/>
  <c r="X28" i="88"/>
  <c r="X27" i="88"/>
  <c r="X26" i="88"/>
  <c r="X25" i="88"/>
  <c r="X24" i="88"/>
  <c r="X23" i="88"/>
  <c r="X22" i="88"/>
  <c r="X21" i="88"/>
  <c r="X20" i="88"/>
  <c r="X19" i="88"/>
  <c r="X18" i="88"/>
  <c r="X17" i="88"/>
  <c r="I458" i="88"/>
  <c r="G458" i="88"/>
  <c r="G18" i="90" s="1"/>
  <c r="F458" i="88"/>
  <c r="F18" i="90" s="1"/>
  <c r="E458" i="88"/>
  <c r="E18" i="90" s="1"/>
  <c r="H456" i="88"/>
  <c r="J456" i="88" s="1"/>
  <c r="L456" i="88" s="1"/>
  <c r="Y456" i="88" s="1"/>
  <c r="H455" i="88"/>
  <c r="J455" i="88" s="1"/>
  <c r="L455" i="88" s="1"/>
  <c r="H454" i="88"/>
  <c r="J454" i="88" s="1"/>
  <c r="L454" i="88" s="1"/>
  <c r="H453" i="88"/>
  <c r="J453" i="88" s="1"/>
  <c r="L453" i="88" s="1"/>
  <c r="H452" i="88"/>
  <c r="J452" i="88" s="1"/>
  <c r="L452" i="88" s="1"/>
  <c r="H451" i="88"/>
  <c r="J451" i="88" s="1"/>
  <c r="L451" i="88" s="1"/>
  <c r="H450" i="88"/>
  <c r="J450" i="88" s="1"/>
  <c r="L450" i="88" s="1"/>
  <c r="H449" i="88"/>
  <c r="J449" i="88" s="1"/>
  <c r="L449" i="88" s="1"/>
  <c r="H448" i="88"/>
  <c r="J448" i="88" s="1"/>
  <c r="L448" i="88" s="1"/>
  <c r="H447" i="88"/>
  <c r="J447" i="88" s="1"/>
  <c r="L447" i="88" s="1"/>
  <c r="H446" i="88"/>
  <c r="J446" i="88" s="1"/>
  <c r="L446" i="88" s="1"/>
  <c r="H445" i="88"/>
  <c r="J445" i="88" s="1"/>
  <c r="L445" i="88" s="1"/>
  <c r="H444" i="88"/>
  <c r="J444" i="88" s="1"/>
  <c r="L444" i="88" s="1"/>
  <c r="Y444" i="88" s="1"/>
  <c r="H443" i="88"/>
  <c r="J443" i="88" s="1"/>
  <c r="L443" i="88" s="1"/>
  <c r="H442" i="88"/>
  <c r="J442" i="88" s="1"/>
  <c r="L442" i="88" s="1"/>
  <c r="H441" i="88"/>
  <c r="J441" i="88" s="1"/>
  <c r="L441" i="88" s="1"/>
  <c r="H440" i="88"/>
  <c r="J440" i="88" s="1"/>
  <c r="L440" i="88" s="1"/>
  <c r="Y440" i="88" s="1"/>
  <c r="H439" i="88"/>
  <c r="J439" i="88" s="1"/>
  <c r="L439" i="88" s="1"/>
  <c r="H438" i="88"/>
  <c r="J438" i="88" s="1"/>
  <c r="L438" i="88" s="1"/>
  <c r="H437" i="88"/>
  <c r="J437" i="88" s="1"/>
  <c r="L437" i="88" s="1"/>
  <c r="H436" i="88"/>
  <c r="J436" i="88" s="1"/>
  <c r="L436" i="88" s="1"/>
  <c r="H435" i="88"/>
  <c r="J435" i="88" s="1"/>
  <c r="L435" i="88" s="1"/>
  <c r="W435" i="88" s="1"/>
  <c r="X435" i="88" s="1"/>
  <c r="H434" i="88"/>
  <c r="J434" i="88" s="1"/>
  <c r="L434" i="88" s="1"/>
  <c r="H433" i="88"/>
  <c r="J433" i="88" s="1"/>
  <c r="L433" i="88" s="1"/>
  <c r="H432" i="88"/>
  <c r="J432" i="88" s="1"/>
  <c r="L432" i="88" s="1"/>
  <c r="H431" i="88"/>
  <c r="J431" i="88" s="1"/>
  <c r="L431" i="88" s="1"/>
  <c r="H430" i="88"/>
  <c r="J430" i="88" s="1"/>
  <c r="L430" i="88" s="1"/>
  <c r="W430" i="88" s="1"/>
  <c r="X430" i="88" s="1"/>
  <c r="H429" i="88"/>
  <c r="J429" i="88" s="1"/>
  <c r="L429" i="88" s="1"/>
  <c r="H428" i="88"/>
  <c r="J428" i="88" s="1"/>
  <c r="L428" i="88" s="1"/>
  <c r="H427" i="88"/>
  <c r="J427" i="88" s="1"/>
  <c r="L427" i="88" s="1"/>
  <c r="W427" i="88" s="1"/>
  <c r="X427" i="88" s="1"/>
  <c r="H426" i="88"/>
  <c r="J426" i="88" s="1"/>
  <c r="L426" i="88" s="1"/>
  <c r="H425" i="88"/>
  <c r="J425" i="88" s="1"/>
  <c r="L425" i="88" s="1"/>
  <c r="W425" i="88" s="1"/>
  <c r="X425" i="88" s="1"/>
  <c r="H424" i="88"/>
  <c r="J424" i="88" s="1"/>
  <c r="L424" i="88" s="1"/>
  <c r="H423" i="88"/>
  <c r="J423" i="88" s="1"/>
  <c r="L423" i="88" s="1"/>
  <c r="W423" i="88" s="1"/>
  <c r="X423" i="88" s="1"/>
  <c r="H422" i="88"/>
  <c r="J422" i="88" s="1"/>
  <c r="L422" i="88" s="1"/>
  <c r="H421" i="88"/>
  <c r="J421" i="88" s="1"/>
  <c r="L421" i="88" s="1"/>
  <c r="H420" i="88"/>
  <c r="J420" i="88" s="1"/>
  <c r="L420" i="88" s="1"/>
  <c r="H419" i="88"/>
  <c r="J419" i="88" s="1"/>
  <c r="L419" i="88" s="1"/>
  <c r="H418" i="88"/>
  <c r="J418" i="88" s="1"/>
  <c r="L418" i="88" s="1"/>
  <c r="H417" i="88"/>
  <c r="J417" i="88" s="1"/>
  <c r="L417" i="88" s="1"/>
  <c r="H416" i="88"/>
  <c r="J416" i="88" s="1"/>
  <c r="L416" i="88" s="1"/>
  <c r="H415" i="88"/>
  <c r="J415" i="88" s="1"/>
  <c r="L415" i="88" s="1"/>
  <c r="H414" i="88"/>
  <c r="J414" i="88" s="1"/>
  <c r="L414" i="88" s="1"/>
  <c r="H413" i="88"/>
  <c r="J413" i="88" s="1"/>
  <c r="L413" i="88" s="1"/>
  <c r="W413" i="88" s="1"/>
  <c r="X413" i="88" s="1"/>
  <c r="H412" i="88"/>
  <c r="J412" i="88" s="1"/>
  <c r="L412" i="88" s="1"/>
  <c r="W412" i="88" s="1"/>
  <c r="X412" i="88" s="1"/>
  <c r="H411" i="88"/>
  <c r="J411" i="88" s="1"/>
  <c r="L411" i="88" s="1"/>
  <c r="H410" i="88"/>
  <c r="J410" i="88" s="1"/>
  <c r="L410" i="88" s="1"/>
  <c r="H409" i="88"/>
  <c r="J409" i="88" s="1"/>
  <c r="L409" i="88" s="1"/>
  <c r="H408" i="88"/>
  <c r="J408" i="88" s="1"/>
  <c r="L408" i="88" s="1"/>
  <c r="H407" i="88"/>
  <c r="J407" i="88" s="1"/>
  <c r="L407" i="88" s="1"/>
  <c r="H406" i="88"/>
  <c r="J406" i="88" s="1"/>
  <c r="L406" i="88" s="1"/>
  <c r="H405" i="88"/>
  <c r="J405" i="88" s="1"/>
  <c r="L405" i="88" s="1"/>
  <c r="W405" i="88" s="1"/>
  <c r="X405" i="88" s="1"/>
  <c r="H404" i="88"/>
  <c r="J404" i="88" s="1"/>
  <c r="L404" i="88" s="1"/>
  <c r="H403" i="88"/>
  <c r="J403" i="88" s="1"/>
  <c r="L403" i="88" s="1"/>
  <c r="W403" i="88" s="1"/>
  <c r="X403" i="88" s="1"/>
  <c r="H402" i="88"/>
  <c r="J402" i="88" s="1"/>
  <c r="L402" i="88" s="1"/>
  <c r="W402" i="88" s="1"/>
  <c r="X402" i="88" s="1"/>
  <c r="H401" i="88"/>
  <c r="J401" i="88" s="1"/>
  <c r="L401" i="88" s="1"/>
  <c r="H400" i="88"/>
  <c r="J400" i="88" s="1"/>
  <c r="L400" i="88" s="1"/>
  <c r="H399" i="88"/>
  <c r="J399" i="88" s="1"/>
  <c r="L399" i="88" s="1"/>
  <c r="H398" i="88"/>
  <c r="J398" i="88" s="1"/>
  <c r="L398" i="88" s="1"/>
  <c r="W398" i="88" s="1"/>
  <c r="X398" i="88" s="1"/>
  <c r="H397" i="88"/>
  <c r="J397" i="88" s="1"/>
  <c r="L397" i="88" s="1"/>
  <c r="H396" i="88"/>
  <c r="J396" i="88" s="1"/>
  <c r="L396" i="88" s="1"/>
  <c r="H395" i="88"/>
  <c r="J395" i="88" s="1"/>
  <c r="L395" i="88" s="1"/>
  <c r="H394" i="88"/>
  <c r="J394" i="88" s="1"/>
  <c r="L394" i="88" s="1"/>
  <c r="H393" i="88"/>
  <c r="J393" i="88" s="1"/>
  <c r="L393" i="88" s="1"/>
  <c r="H392" i="88"/>
  <c r="J392" i="88" s="1"/>
  <c r="L392" i="88" s="1"/>
  <c r="H391" i="88"/>
  <c r="J391" i="88" s="1"/>
  <c r="L391" i="88" s="1"/>
  <c r="H390" i="88"/>
  <c r="J390" i="88" s="1"/>
  <c r="L390" i="88" s="1"/>
  <c r="H389" i="88"/>
  <c r="J389" i="88" s="1"/>
  <c r="L389" i="88" s="1"/>
  <c r="W389" i="88" s="1"/>
  <c r="X389" i="88" s="1"/>
  <c r="H388" i="88"/>
  <c r="J388" i="88" s="1"/>
  <c r="L388" i="88" s="1"/>
  <c r="H387" i="88"/>
  <c r="J387" i="88" s="1"/>
  <c r="L387" i="88" s="1"/>
  <c r="W387" i="88" s="1"/>
  <c r="X387" i="88" s="1"/>
  <c r="H386" i="88"/>
  <c r="J386" i="88" s="1"/>
  <c r="L386" i="88" s="1"/>
  <c r="H385" i="88"/>
  <c r="J385" i="88" s="1"/>
  <c r="L385" i="88" s="1"/>
  <c r="H384" i="88"/>
  <c r="J384" i="88" s="1"/>
  <c r="L384" i="88" s="1"/>
  <c r="H383" i="88"/>
  <c r="J383" i="88" s="1"/>
  <c r="L383" i="88" s="1"/>
  <c r="W383" i="88" s="1"/>
  <c r="X383" i="88" s="1"/>
  <c r="H382" i="88"/>
  <c r="J382" i="88" s="1"/>
  <c r="L382" i="88" s="1"/>
  <c r="H381" i="88"/>
  <c r="J381" i="88" s="1"/>
  <c r="L381" i="88" s="1"/>
  <c r="H380" i="88"/>
  <c r="J380" i="88" s="1"/>
  <c r="L380" i="88" s="1"/>
  <c r="H379" i="88"/>
  <c r="J379" i="88" s="1"/>
  <c r="L379" i="88" s="1"/>
  <c r="H378" i="88"/>
  <c r="J378" i="88" s="1"/>
  <c r="L378" i="88" s="1"/>
  <c r="H377" i="88"/>
  <c r="J377" i="88" s="1"/>
  <c r="L377" i="88" s="1"/>
  <c r="H376" i="88"/>
  <c r="J376" i="88" s="1"/>
  <c r="L376" i="88" s="1"/>
  <c r="H375" i="88"/>
  <c r="J375" i="88" s="1"/>
  <c r="L375" i="88" s="1"/>
  <c r="W375" i="88" s="1"/>
  <c r="X375" i="88" s="1"/>
  <c r="H374" i="88"/>
  <c r="J374" i="88" s="1"/>
  <c r="L374" i="88" s="1"/>
  <c r="H373" i="88"/>
  <c r="J373" i="88" s="1"/>
  <c r="L373" i="88" s="1"/>
  <c r="W373" i="88" s="1"/>
  <c r="X373" i="88" s="1"/>
  <c r="H372" i="88"/>
  <c r="J372" i="88" s="1"/>
  <c r="L372" i="88" s="1"/>
  <c r="H371" i="88"/>
  <c r="J371" i="88" s="1"/>
  <c r="L371" i="88" s="1"/>
  <c r="H370" i="88"/>
  <c r="J370" i="88" s="1"/>
  <c r="L370" i="88" s="1"/>
  <c r="H369" i="88"/>
  <c r="J369" i="88" s="1"/>
  <c r="L369" i="88" s="1"/>
  <c r="H368" i="88"/>
  <c r="J368" i="88" s="1"/>
  <c r="L368" i="88" s="1"/>
  <c r="H367" i="88"/>
  <c r="J367" i="88" s="1"/>
  <c r="L367" i="88" s="1"/>
  <c r="H366" i="88"/>
  <c r="J366" i="88" s="1"/>
  <c r="L366" i="88" s="1"/>
  <c r="H365" i="88"/>
  <c r="J365" i="88" s="1"/>
  <c r="L365" i="88" s="1"/>
  <c r="H364" i="88"/>
  <c r="J364" i="88" s="1"/>
  <c r="L364" i="88" s="1"/>
  <c r="H363" i="88"/>
  <c r="J363" i="88" s="1"/>
  <c r="L363" i="88" s="1"/>
  <c r="H362" i="88"/>
  <c r="J362" i="88" s="1"/>
  <c r="L362" i="88" s="1"/>
  <c r="H361" i="88"/>
  <c r="J361" i="88" s="1"/>
  <c r="L361" i="88" s="1"/>
  <c r="H360" i="88"/>
  <c r="J360" i="88" s="1"/>
  <c r="L360" i="88" s="1"/>
  <c r="W360" i="88" s="1"/>
  <c r="X360" i="88" s="1"/>
  <c r="H359" i="88"/>
  <c r="J359" i="88" s="1"/>
  <c r="L359" i="88" s="1"/>
  <c r="H358" i="88"/>
  <c r="J358" i="88" s="1"/>
  <c r="L358" i="88" s="1"/>
  <c r="H357" i="88"/>
  <c r="J357" i="88" s="1"/>
  <c r="L357" i="88" s="1"/>
  <c r="H356" i="88"/>
  <c r="J356" i="88" s="1"/>
  <c r="L356" i="88" s="1"/>
  <c r="H355" i="88"/>
  <c r="J355" i="88" s="1"/>
  <c r="L355" i="88" s="1"/>
  <c r="H354" i="88"/>
  <c r="J354" i="88" s="1"/>
  <c r="L354" i="88" s="1"/>
  <c r="H353" i="88"/>
  <c r="J353" i="88" s="1"/>
  <c r="L353" i="88" s="1"/>
  <c r="H352" i="88"/>
  <c r="J352" i="88" s="1"/>
  <c r="L352" i="88" s="1"/>
  <c r="W352" i="88" s="1"/>
  <c r="X352" i="88" s="1"/>
  <c r="H351" i="88"/>
  <c r="J351" i="88" s="1"/>
  <c r="L351" i="88" s="1"/>
  <c r="H350" i="88"/>
  <c r="J350" i="88" s="1"/>
  <c r="L350" i="88" s="1"/>
  <c r="H349" i="88"/>
  <c r="J349" i="88" s="1"/>
  <c r="L349" i="88" s="1"/>
  <c r="H348" i="88"/>
  <c r="J348" i="88" s="1"/>
  <c r="L348" i="88" s="1"/>
  <c r="W348" i="88" s="1"/>
  <c r="X348" i="88" s="1"/>
  <c r="H347" i="88"/>
  <c r="J347" i="88" s="1"/>
  <c r="L347" i="88" s="1"/>
  <c r="W347" i="88" s="1"/>
  <c r="X347" i="88" s="1"/>
  <c r="H346" i="88"/>
  <c r="J346" i="88" s="1"/>
  <c r="L346" i="88" s="1"/>
  <c r="H345" i="88"/>
  <c r="J345" i="88" s="1"/>
  <c r="L345" i="88" s="1"/>
  <c r="W345" i="88" s="1"/>
  <c r="X345" i="88" s="1"/>
  <c r="H344" i="88"/>
  <c r="J344" i="88" s="1"/>
  <c r="L344" i="88" s="1"/>
  <c r="W344" i="88" s="1"/>
  <c r="X344" i="88" s="1"/>
  <c r="H343" i="88"/>
  <c r="J343" i="88" s="1"/>
  <c r="L343" i="88" s="1"/>
  <c r="W343" i="88" s="1"/>
  <c r="X343" i="88" s="1"/>
  <c r="H342" i="88"/>
  <c r="J342" i="88" s="1"/>
  <c r="L342" i="88" s="1"/>
  <c r="H341" i="88"/>
  <c r="J341" i="88" s="1"/>
  <c r="L341" i="88" s="1"/>
  <c r="H340" i="88"/>
  <c r="J340" i="88" s="1"/>
  <c r="L340" i="88" s="1"/>
  <c r="H339" i="88"/>
  <c r="J339" i="88" s="1"/>
  <c r="L339" i="88" s="1"/>
  <c r="W339" i="88" s="1"/>
  <c r="X339" i="88" s="1"/>
  <c r="H338" i="88"/>
  <c r="J338" i="88" s="1"/>
  <c r="L338" i="88" s="1"/>
  <c r="H337" i="88"/>
  <c r="J337" i="88" s="1"/>
  <c r="L337" i="88" s="1"/>
  <c r="H336" i="88"/>
  <c r="J336" i="88" s="1"/>
  <c r="L336" i="88" s="1"/>
  <c r="W336" i="88" s="1"/>
  <c r="X336" i="88" s="1"/>
  <c r="H335" i="88"/>
  <c r="J335" i="88" s="1"/>
  <c r="L335" i="88" s="1"/>
  <c r="W335" i="88" s="1"/>
  <c r="X335" i="88" s="1"/>
  <c r="H334" i="88"/>
  <c r="J334" i="88" s="1"/>
  <c r="L334" i="88" s="1"/>
  <c r="H333" i="88"/>
  <c r="J333" i="88" s="1"/>
  <c r="L333" i="88" s="1"/>
  <c r="W333" i="88" s="1"/>
  <c r="X333" i="88" s="1"/>
  <c r="H332" i="88"/>
  <c r="J332" i="88" s="1"/>
  <c r="L332" i="88" s="1"/>
  <c r="W332" i="88" s="1"/>
  <c r="X332" i="88" s="1"/>
  <c r="H331" i="88"/>
  <c r="J331" i="88" s="1"/>
  <c r="L331" i="88" s="1"/>
  <c r="H330" i="88"/>
  <c r="J330" i="88" s="1"/>
  <c r="L330" i="88" s="1"/>
  <c r="H329" i="88"/>
  <c r="J329" i="88" s="1"/>
  <c r="L329" i="88" s="1"/>
  <c r="H328" i="88"/>
  <c r="J328" i="88" s="1"/>
  <c r="L328" i="88" s="1"/>
  <c r="W328" i="88" s="1"/>
  <c r="X328" i="88" s="1"/>
  <c r="H327" i="88"/>
  <c r="J327" i="88" s="1"/>
  <c r="L327" i="88" s="1"/>
  <c r="H326" i="88"/>
  <c r="J326" i="88" s="1"/>
  <c r="L326" i="88" s="1"/>
  <c r="W326" i="88" s="1"/>
  <c r="X326" i="88" s="1"/>
  <c r="H325" i="88"/>
  <c r="J325" i="88" s="1"/>
  <c r="L325" i="88" s="1"/>
  <c r="H324" i="88"/>
  <c r="J324" i="88" s="1"/>
  <c r="L324" i="88" s="1"/>
  <c r="W324" i="88" s="1"/>
  <c r="X324" i="88" s="1"/>
  <c r="H323" i="88"/>
  <c r="J323" i="88" s="1"/>
  <c r="L323" i="88" s="1"/>
  <c r="H322" i="88"/>
  <c r="J322" i="88" s="1"/>
  <c r="L322" i="88" s="1"/>
  <c r="H321" i="88"/>
  <c r="J321" i="88" s="1"/>
  <c r="L321" i="88" s="1"/>
  <c r="W321" i="88" s="1"/>
  <c r="X321" i="88" s="1"/>
  <c r="H320" i="88"/>
  <c r="J320" i="88" s="1"/>
  <c r="L320" i="88" s="1"/>
  <c r="W320" i="88" s="1"/>
  <c r="X320" i="88" s="1"/>
  <c r="H319" i="88"/>
  <c r="J319" i="88" s="1"/>
  <c r="L319" i="88" s="1"/>
  <c r="H318" i="88"/>
  <c r="J318" i="88" s="1"/>
  <c r="L318" i="88" s="1"/>
  <c r="H317" i="88"/>
  <c r="J317" i="88" s="1"/>
  <c r="L317" i="88" s="1"/>
  <c r="H316" i="88"/>
  <c r="J316" i="88" s="1"/>
  <c r="L316" i="88" s="1"/>
  <c r="H315" i="88"/>
  <c r="J315" i="88" s="1"/>
  <c r="L315" i="88" s="1"/>
  <c r="H314" i="88"/>
  <c r="J314" i="88" s="1"/>
  <c r="L314" i="88" s="1"/>
  <c r="W314" i="88" s="1"/>
  <c r="X314" i="88" s="1"/>
  <c r="H313" i="88"/>
  <c r="J313" i="88" s="1"/>
  <c r="L313" i="88" s="1"/>
  <c r="H312" i="88"/>
  <c r="J312" i="88" s="1"/>
  <c r="L312" i="88" s="1"/>
  <c r="W312" i="88" s="1"/>
  <c r="X312" i="88" s="1"/>
  <c r="H311" i="88"/>
  <c r="J311" i="88" s="1"/>
  <c r="L311" i="88" s="1"/>
  <c r="W311" i="88" s="1"/>
  <c r="X311" i="88" s="1"/>
  <c r="H310" i="88"/>
  <c r="J310" i="88" s="1"/>
  <c r="L310" i="88" s="1"/>
  <c r="W310" i="88" s="1"/>
  <c r="X310" i="88" s="1"/>
  <c r="H309" i="88"/>
  <c r="J309" i="88" s="1"/>
  <c r="L309" i="88" s="1"/>
  <c r="W309" i="88" s="1"/>
  <c r="X309" i="88" s="1"/>
  <c r="H308" i="88"/>
  <c r="J308" i="88" s="1"/>
  <c r="L308" i="88" s="1"/>
  <c r="W308" i="88" s="1"/>
  <c r="X308" i="88" s="1"/>
  <c r="H307" i="88"/>
  <c r="J307" i="88" s="1"/>
  <c r="L307" i="88" s="1"/>
  <c r="H306" i="88"/>
  <c r="J306" i="88" s="1"/>
  <c r="L306" i="88" s="1"/>
  <c r="W306" i="88" s="1"/>
  <c r="X306" i="88" s="1"/>
  <c r="H305" i="88"/>
  <c r="J305" i="88" s="1"/>
  <c r="L305" i="88" s="1"/>
  <c r="W305" i="88" s="1"/>
  <c r="X305" i="88" s="1"/>
  <c r="H304" i="88"/>
  <c r="J304" i="88" s="1"/>
  <c r="L304" i="88" s="1"/>
  <c r="H303" i="88"/>
  <c r="J303" i="88" s="1"/>
  <c r="L303" i="88" s="1"/>
  <c r="H302" i="88"/>
  <c r="J302" i="88" s="1"/>
  <c r="L302" i="88" s="1"/>
  <c r="H301" i="88"/>
  <c r="J301" i="88" s="1"/>
  <c r="L301" i="88" s="1"/>
  <c r="W301" i="88" s="1"/>
  <c r="X301" i="88" s="1"/>
  <c r="H300" i="88"/>
  <c r="J300" i="88" s="1"/>
  <c r="L300" i="88" s="1"/>
  <c r="H299" i="88"/>
  <c r="J299" i="88" s="1"/>
  <c r="L299" i="88" s="1"/>
  <c r="W299" i="88" s="1"/>
  <c r="X299" i="88" s="1"/>
  <c r="H298" i="88"/>
  <c r="J298" i="88" s="1"/>
  <c r="L298" i="88" s="1"/>
  <c r="H297" i="88"/>
  <c r="J297" i="88" s="1"/>
  <c r="L297" i="88" s="1"/>
  <c r="W297" i="88" s="1"/>
  <c r="X297" i="88" s="1"/>
  <c r="H296" i="88"/>
  <c r="J296" i="88" s="1"/>
  <c r="L296" i="88" s="1"/>
  <c r="W296" i="88" s="1"/>
  <c r="X296" i="88" s="1"/>
  <c r="H295" i="88"/>
  <c r="J295" i="88" s="1"/>
  <c r="L295" i="88" s="1"/>
  <c r="H294" i="88"/>
  <c r="J294" i="88" s="1"/>
  <c r="L294" i="88" s="1"/>
  <c r="H293" i="88"/>
  <c r="J293" i="88" s="1"/>
  <c r="L293" i="88" s="1"/>
  <c r="H292" i="88"/>
  <c r="J292" i="88" s="1"/>
  <c r="L292" i="88" s="1"/>
  <c r="W292" i="88" s="1"/>
  <c r="X292" i="88" s="1"/>
  <c r="H291" i="88"/>
  <c r="J291" i="88" s="1"/>
  <c r="L291" i="88" s="1"/>
  <c r="W291" i="88" s="1"/>
  <c r="X291" i="88" s="1"/>
  <c r="H290" i="88"/>
  <c r="J290" i="88" s="1"/>
  <c r="L290" i="88" s="1"/>
  <c r="H289" i="88"/>
  <c r="J289" i="88" s="1"/>
  <c r="L289" i="88" s="1"/>
  <c r="H288" i="88"/>
  <c r="J288" i="88" s="1"/>
  <c r="L288" i="88" s="1"/>
  <c r="W288" i="88" s="1"/>
  <c r="X288" i="88" s="1"/>
  <c r="H287" i="88"/>
  <c r="J287" i="88" s="1"/>
  <c r="L287" i="88" s="1"/>
  <c r="H286" i="88"/>
  <c r="J286" i="88" s="1"/>
  <c r="L286" i="88" s="1"/>
  <c r="H285" i="88"/>
  <c r="J285" i="88" s="1"/>
  <c r="L285" i="88" s="1"/>
  <c r="H284" i="88"/>
  <c r="J284" i="88" s="1"/>
  <c r="L284" i="88" s="1"/>
  <c r="W284" i="88" s="1"/>
  <c r="X284" i="88" s="1"/>
  <c r="H283" i="88"/>
  <c r="J283" i="88" s="1"/>
  <c r="L283" i="88" s="1"/>
  <c r="W283" i="88" s="1"/>
  <c r="X283" i="88" s="1"/>
  <c r="H282" i="88"/>
  <c r="J282" i="88" s="1"/>
  <c r="L282" i="88" s="1"/>
  <c r="H281" i="88"/>
  <c r="J281" i="88" s="1"/>
  <c r="L281" i="88" s="1"/>
  <c r="W281" i="88" s="1"/>
  <c r="X281" i="88" s="1"/>
  <c r="H280" i="88"/>
  <c r="J280" i="88" s="1"/>
  <c r="L280" i="88" s="1"/>
  <c r="H279" i="88"/>
  <c r="J279" i="88" s="1"/>
  <c r="L279" i="88" s="1"/>
  <c r="H278" i="88"/>
  <c r="J278" i="88" s="1"/>
  <c r="L278" i="88" s="1"/>
  <c r="W278" i="88" s="1"/>
  <c r="X278" i="88" s="1"/>
  <c r="H277" i="88"/>
  <c r="J277" i="88" s="1"/>
  <c r="L277" i="88" s="1"/>
  <c r="H276" i="88"/>
  <c r="J276" i="88" s="1"/>
  <c r="L276" i="88" s="1"/>
  <c r="H275" i="88"/>
  <c r="J275" i="88" s="1"/>
  <c r="L275" i="88" s="1"/>
  <c r="H274" i="88"/>
  <c r="J274" i="88" s="1"/>
  <c r="L274" i="88" s="1"/>
  <c r="W274" i="88" s="1"/>
  <c r="X274" i="88" s="1"/>
  <c r="H273" i="88"/>
  <c r="J273" i="88" s="1"/>
  <c r="L273" i="88" s="1"/>
  <c r="H272" i="88"/>
  <c r="J272" i="88" s="1"/>
  <c r="L272" i="88" s="1"/>
  <c r="W272" i="88" s="1"/>
  <c r="X272" i="88" s="1"/>
  <c r="H271" i="88"/>
  <c r="J271" i="88" s="1"/>
  <c r="L271" i="88" s="1"/>
  <c r="H270" i="88"/>
  <c r="J270" i="88" s="1"/>
  <c r="L270" i="88" s="1"/>
  <c r="H269" i="88"/>
  <c r="J269" i="88" s="1"/>
  <c r="L269" i="88" s="1"/>
  <c r="H268" i="88"/>
  <c r="J268" i="88" s="1"/>
  <c r="L268" i="88" s="1"/>
  <c r="H267" i="88"/>
  <c r="J267" i="88" s="1"/>
  <c r="L267" i="88" s="1"/>
  <c r="H266" i="88"/>
  <c r="J266" i="88" s="1"/>
  <c r="L266" i="88" s="1"/>
  <c r="H265" i="88"/>
  <c r="J265" i="88" s="1"/>
  <c r="L265" i="88" s="1"/>
  <c r="H264" i="88"/>
  <c r="J264" i="88" s="1"/>
  <c r="L264" i="88" s="1"/>
  <c r="W264" i="88" s="1"/>
  <c r="X264" i="88" s="1"/>
  <c r="H263" i="88"/>
  <c r="J263" i="88" s="1"/>
  <c r="L263" i="88" s="1"/>
  <c r="W263" i="88" s="1"/>
  <c r="X263" i="88" s="1"/>
  <c r="H262" i="88"/>
  <c r="J262" i="88" s="1"/>
  <c r="L262" i="88" s="1"/>
  <c r="H261" i="88"/>
  <c r="J261" i="88" s="1"/>
  <c r="L261" i="88" s="1"/>
  <c r="H260" i="88"/>
  <c r="J260" i="88" s="1"/>
  <c r="L260" i="88" s="1"/>
  <c r="H259" i="88"/>
  <c r="J259" i="88" s="1"/>
  <c r="L259" i="88" s="1"/>
  <c r="H258" i="88"/>
  <c r="J258" i="88" s="1"/>
  <c r="L258" i="88" s="1"/>
  <c r="W258" i="88" s="1"/>
  <c r="X258" i="88" s="1"/>
  <c r="H257" i="88"/>
  <c r="J257" i="88" s="1"/>
  <c r="L257" i="88" s="1"/>
  <c r="W257" i="88" s="1"/>
  <c r="X257" i="88" s="1"/>
  <c r="H256" i="88"/>
  <c r="J256" i="88" s="1"/>
  <c r="L256" i="88" s="1"/>
  <c r="W256" i="88" s="1"/>
  <c r="X256" i="88" s="1"/>
  <c r="H255" i="88"/>
  <c r="J255" i="88" s="1"/>
  <c r="L255" i="88" s="1"/>
  <c r="H254" i="88"/>
  <c r="J254" i="88" s="1"/>
  <c r="L254" i="88" s="1"/>
  <c r="H253" i="88"/>
  <c r="J253" i="88" s="1"/>
  <c r="L253" i="88" s="1"/>
  <c r="H252" i="88"/>
  <c r="J252" i="88" s="1"/>
  <c r="L252" i="88" s="1"/>
  <c r="H251" i="88"/>
  <c r="J251" i="88" s="1"/>
  <c r="L251" i="88" s="1"/>
  <c r="H250" i="88"/>
  <c r="J250" i="88" s="1"/>
  <c r="L250" i="88" s="1"/>
  <c r="H249" i="88"/>
  <c r="J249" i="88" s="1"/>
  <c r="L249" i="88" s="1"/>
  <c r="H248" i="88"/>
  <c r="J248" i="88" s="1"/>
  <c r="L248" i="88" s="1"/>
  <c r="H247" i="88"/>
  <c r="J247" i="88" s="1"/>
  <c r="L247" i="88" s="1"/>
  <c r="W247" i="88" s="1"/>
  <c r="X247" i="88" s="1"/>
  <c r="H246" i="88"/>
  <c r="J246" i="88" s="1"/>
  <c r="L246" i="88" s="1"/>
  <c r="H245" i="88"/>
  <c r="J245" i="88" s="1"/>
  <c r="L245" i="88" s="1"/>
  <c r="H244" i="88"/>
  <c r="J244" i="88" s="1"/>
  <c r="L244" i="88" s="1"/>
  <c r="H243" i="88"/>
  <c r="J243" i="88" s="1"/>
  <c r="L243" i="88" s="1"/>
  <c r="H242" i="88"/>
  <c r="J242" i="88" s="1"/>
  <c r="L242" i="88" s="1"/>
  <c r="H241" i="88"/>
  <c r="J241" i="88" s="1"/>
  <c r="L241" i="88" s="1"/>
  <c r="H240" i="88"/>
  <c r="J240" i="88" s="1"/>
  <c r="L240" i="88" s="1"/>
  <c r="H239" i="88"/>
  <c r="J239" i="88" s="1"/>
  <c r="L239" i="88" s="1"/>
  <c r="H238" i="88"/>
  <c r="J238" i="88" s="1"/>
  <c r="L238" i="88" s="1"/>
  <c r="H237" i="88"/>
  <c r="J237" i="88" s="1"/>
  <c r="L237" i="88" s="1"/>
  <c r="H236" i="88"/>
  <c r="J236" i="88" s="1"/>
  <c r="L236" i="88" s="1"/>
  <c r="W236" i="88" s="1"/>
  <c r="X236" i="88" s="1"/>
  <c r="H235" i="88"/>
  <c r="J235" i="88" s="1"/>
  <c r="L235" i="88" s="1"/>
  <c r="H234" i="88"/>
  <c r="J234" i="88" s="1"/>
  <c r="L234" i="88" s="1"/>
  <c r="H233" i="88"/>
  <c r="J233" i="88" s="1"/>
  <c r="L233" i="88" s="1"/>
  <c r="W233" i="88" s="1"/>
  <c r="X233" i="88" s="1"/>
  <c r="H232" i="88"/>
  <c r="J232" i="88" s="1"/>
  <c r="L232" i="88" s="1"/>
  <c r="H231" i="88"/>
  <c r="J231" i="88" s="1"/>
  <c r="L231" i="88" s="1"/>
  <c r="W231" i="88" s="1"/>
  <c r="X231" i="88" s="1"/>
  <c r="H230" i="88"/>
  <c r="J230" i="88" s="1"/>
  <c r="L230" i="88" s="1"/>
  <c r="W230" i="88" s="1"/>
  <c r="X230" i="88" s="1"/>
  <c r="H229" i="88"/>
  <c r="J229" i="88" s="1"/>
  <c r="L229" i="88" s="1"/>
  <c r="W229" i="88" s="1"/>
  <c r="X229" i="88" s="1"/>
  <c r="H228" i="88"/>
  <c r="J228" i="88" s="1"/>
  <c r="L228" i="88" s="1"/>
  <c r="W228" i="88" s="1"/>
  <c r="X228" i="88" s="1"/>
  <c r="H227" i="88"/>
  <c r="J227" i="88" s="1"/>
  <c r="L227" i="88" s="1"/>
  <c r="W227" i="88" s="1"/>
  <c r="X227" i="88" s="1"/>
  <c r="H226" i="88"/>
  <c r="J226" i="88" s="1"/>
  <c r="L226" i="88" s="1"/>
  <c r="W226" i="88" s="1"/>
  <c r="X226" i="88" s="1"/>
  <c r="H225" i="88"/>
  <c r="J225" i="88" s="1"/>
  <c r="L225" i="88" s="1"/>
  <c r="W225" i="88" s="1"/>
  <c r="X225" i="88" s="1"/>
  <c r="H224" i="88"/>
  <c r="J224" i="88" s="1"/>
  <c r="L224" i="88" s="1"/>
  <c r="H223" i="88"/>
  <c r="J223" i="88" s="1"/>
  <c r="L223" i="88" s="1"/>
  <c r="H222" i="88"/>
  <c r="J222" i="88" s="1"/>
  <c r="L222" i="88" s="1"/>
  <c r="H221" i="88"/>
  <c r="J221" i="88" s="1"/>
  <c r="L221" i="88" s="1"/>
  <c r="W221" i="88" s="1"/>
  <c r="X221" i="88" s="1"/>
  <c r="H220" i="88"/>
  <c r="J220" i="88" s="1"/>
  <c r="L220" i="88" s="1"/>
  <c r="Y220" i="88" s="1"/>
  <c r="H219" i="88"/>
  <c r="J219" i="88" s="1"/>
  <c r="L219" i="88" s="1"/>
  <c r="W219" i="88" s="1"/>
  <c r="X219" i="88" s="1"/>
  <c r="H218" i="88"/>
  <c r="J218" i="88" s="1"/>
  <c r="L218" i="88" s="1"/>
  <c r="W218" i="88" s="1"/>
  <c r="X218" i="88" s="1"/>
  <c r="H217" i="88"/>
  <c r="J217" i="88" s="1"/>
  <c r="L217" i="88" s="1"/>
  <c r="H216" i="88"/>
  <c r="J216" i="88" s="1"/>
  <c r="L216" i="88" s="1"/>
  <c r="H215" i="88"/>
  <c r="J215" i="88" s="1"/>
  <c r="L215" i="88" s="1"/>
  <c r="H214" i="88"/>
  <c r="J214" i="88" s="1"/>
  <c r="L214" i="88" s="1"/>
  <c r="W214" i="88" s="1"/>
  <c r="X214" i="88" s="1"/>
  <c r="H213" i="88"/>
  <c r="J213" i="88" s="1"/>
  <c r="L213" i="88" s="1"/>
  <c r="H212" i="88"/>
  <c r="J212" i="88" s="1"/>
  <c r="L212" i="88" s="1"/>
  <c r="W212" i="88" s="1"/>
  <c r="X212" i="88" s="1"/>
  <c r="H211" i="88"/>
  <c r="J211" i="88" s="1"/>
  <c r="L211" i="88" s="1"/>
  <c r="W211" i="88" s="1"/>
  <c r="X211" i="88" s="1"/>
  <c r="H210" i="88"/>
  <c r="J210" i="88" s="1"/>
  <c r="L210" i="88" s="1"/>
  <c r="H209" i="88"/>
  <c r="J209" i="88" s="1"/>
  <c r="L209" i="88" s="1"/>
  <c r="H208" i="88"/>
  <c r="J208" i="88" s="1"/>
  <c r="L208" i="88" s="1"/>
  <c r="H207" i="88"/>
  <c r="J207" i="88" s="1"/>
  <c r="L207" i="88" s="1"/>
  <c r="H206" i="88"/>
  <c r="J206" i="88" s="1"/>
  <c r="L206" i="88" s="1"/>
  <c r="W206" i="88" s="1"/>
  <c r="X206" i="88" s="1"/>
  <c r="H205" i="88"/>
  <c r="J205" i="88" s="1"/>
  <c r="L205" i="88" s="1"/>
  <c r="W205" i="88" s="1"/>
  <c r="X205" i="88" s="1"/>
  <c r="H204" i="88"/>
  <c r="J204" i="88" s="1"/>
  <c r="L204" i="88" s="1"/>
  <c r="Y204" i="88" s="1"/>
  <c r="H203" i="88"/>
  <c r="J203" i="88" s="1"/>
  <c r="L203" i="88" s="1"/>
  <c r="H202" i="88"/>
  <c r="J202" i="88" s="1"/>
  <c r="L202" i="88" s="1"/>
  <c r="H201" i="88"/>
  <c r="J201" i="88" s="1"/>
  <c r="L201" i="88" s="1"/>
  <c r="Y201" i="88" s="1"/>
  <c r="H200" i="88"/>
  <c r="J200" i="88" s="1"/>
  <c r="L200" i="88" s="1"/>
  <c r="Y200" i="88" s="1"/>
  <c r="H199" i="88"/>
  <c r="J199" i="88" s="1"/>
  <c r="L199" i="88" s="1"/>
  <c r="H198" i="88"/>
  <c r="J198" i="88" s="1"/>
  <c r="L198" i="88" s="1"/>
  <c r="H197" i="88"/>
  <c r="J197" i="88" s="1"/>
  <c r="L197" i="88" s="1"/>
  <c r="Y197" i="88" s="1"/>
  <c r="H196" i="88"/>
  <c r="J196" i="88" s="1"/>
  <c r="L196" i="88" s="1"/>
  <c r="H195" i="88"/>
  <c r="J195" i="88" s="1"/>
  <c r="L195" i="88" s="1"/>
  <c r="H194" i="88"/>
  <c r="J194" i="88" s="1"/>
  <c r="L194" i="88" s="1"/>
  <c r="H193" i="88"/>
  <c r="J193" i="88" s="1"/>
  <c r="L193" i="88" s="1"/>
  <c r="H192" i="88"/>
  <c r="J192" i="88" s="1"/>
  <c r="L192" i="88" s="1"/>
  <c r="H191" i="88"/>
  <c r="J191" i="88" s="1"/>
  <c r="L191" i="88" s="1"/>
  <c r="H190" i="88"/>
  <c r="J190" i="88" s="1"/>
  <c r="L190" i="88" s="1"/>
  <c r="H189" i="88"/>
  <c r="J189" i="88" s="1"/>
  <c r="L189" i="88" s="1"/>
  <c r="H188" i="88"/>
  <c r="J188" i="88" s="1"/>
  <c r="L188" i="88" s="1"/>
  <c r="Y188" i="88" s="1"/>
  <c r="H187" i="88"/>
  <c r="J187" i="88" s="1"/>
  <c r="L187" i="88" s="1"/>
  <c r="H186" i="88"/>
  <c r="J186" i="88" s="1"/>
  <c r="L186" i="88" s="1"/>
  <c r="H185" i="88"/>
  <c r="J185" i="88" s="1"/>
  <c r="L185" i="88" s="1"/>
  <c r="Y185" i="88" s="1"/>
  <c r="H184" i="88"/>
  <c r="J184" i="88" s="1"/>
  <c r="L184" i="88" s="1"/>
  <c r="Y184" i="88" s="1"/>
  <c r="H183" i="88"/>
  <c r="J183" i="88" s="1"/>
  <c r="L183" i="88" s="1"/>
  <c r="H182" i="88"/>
  <c r="J182" i="88" s="1"/>
  <c r="L182" i="88" s="1"/>
  <c r="H181" i="88"/>
  <c r="J181" i="88" s="1"/>
  <c r="L181" i="88" s="1"/>
  <c r="Y181" i="88" s="1"/>
  <c r="H180" i="88"/>
  <c r="J180" i="88" s="1"/>
  <c r="L180" i="88" s="1"/>
  <c r="H179" i="88"/>
  <c r="J179" i="88" s="1"/>
  <c r="L179" i="88" s="1"/>
  <c r="H178" i="88"/>
  <c r="J178" i="88" s="1"/>
  <c r="L178" i="88" s="1"/>
  <c r="H177" i="88"/>
  <c r="J177" i="88" s="1"/>
  <c r="L177" i="88" s="1"/>
  <c r="H176" i="88"/>
  <c r="J176" i="88" s="1"/>
  <c r="L176" i="88" s="1"/>
  <c r="H175" i="88"/>
  <c r="J175" i="88" s="1"/>
  <c r="L175" i="88" s="1"/>
  <c r="H174" i="88"/>
  <c r="J174" i="88" s="1"/>
  <c r="L174" i="88" s="1"/>
  <c r="H173" i="88"/>
  <c r="J173" i="88" s="1"/>
  <c r="L173" i="88" s="1"/>
  <c r="H172" i="88"/>
  <c r="J172" i="88" s="1"/>
  <c r="L172" i="88" s="1"/>
  <c r="Y172" i="88" s="1"/>
  <c r="H171" i="88"/>
  <c r="J171" i="88" s="1"/>
  <c r="L171" i="88" s="1"/>
  <c r="H170" i="88"/>
  <c r="J170" i="88" s="1"/>
  <c r="L170" i="88" s="1"/>
  <c r="H169" i="88"/>
  <c r="J169" i="88" s="1"/>
  <c r="L169" i="88" s="1"/>
  <c r="Y169" i="88" s="1"/>
  <c r="H168" i="88"/>
  <c r="J168" i="88" s="1"/>
  <c r="L168" i="88" s="1"/>
  <c r="Y168" i="88" s="1"/>
  <c r="H167" i="88"/>
  <c r="J167" i="88" s="1"/>
  <c r="L167" i="88" s="1"/>
  <c r="H166" i="88"/>
  <c r="J166" i="88" s="1"/>
  <c r="L166" i="88" s="1"/>
  <c r="H165" i="88"/>
  <c r="J165" i="88" s="1"/>
  <c r="L165" i="88" s="1"/>
  <c r="H164" i="88"/>
  <c r="J164" i="88" s="1"/>
  <c r="L164" i="88" s="1"/>
  <c r="H163" i="88"/>
  <c r="J163" i="88" s="1"/>
  <c r="L163" i="88" s="1"/>
  <c r="H162" i="88"/>
  <c r="J162" i="88" s="1"/>
  <c r="L162" i="88" s="1"/>
  <c r="H161" i="88"/>
  <c r="J161" i="88" s="1"/>
  <c r="L161" i="88" s="1"/>
  <c r="H160" i="88"/>
  <c r="J160" i="88" s="1"/>
  <c r="L160" i="88" s="1"/>
  <c r="H159" i="88"/>
  <c r="J159" i="88" s="1"/>
  <c r="L159" i="88" s="1"/>
  <c r="H158" i="88"/>
  <c r="J158" i="88" s="1"/>
  <c r="L158" i="88" s="1"/>
  <c r="H157" i="88"/>
  <c r="J157" i="88" s="1"/>
  <c r="L157" i="88" s="1"/>
  <c r="H156" i="88"/>
  <c r="J156" i="88" s="1"/>
  <c r="L156" i="88" s="1"/>
  <c r="Y156" i="88" s="1"/>
  <c r="H155" i="88"/>
  <c r="J155" i="88" s="1"/>
  <c r="L155" i="88" s="1"/>
  <c r="H154" i="88"/>
  <c r="J154" i="88" s="1"/>
  <c r="L154" i="88" s="1"/>
  <c r="H153" i="88"/>
  <c r="J153" i="88" s="1"/>
  <c r="L153" i="88" s="1"/>
  <c r="Y153" i="88" s="1"/>
  <c r="H152" i="88"/>
  <c r="J152" i="88" s="1"/>
  <c r="L152" i="88" s="1"/>
  <c r="Y152" i="88" s="1"/>
  <c r="H151" i="88"/>
  <c r="J151" i="88" s="1"/>
  <c r="L151" i="88" s="1"/>
  <c r="H150" i="88"/>
  <c r="J150" i="88" s="1"/>
  <c r="L150" i="88" s="1"/>
  <c r="H149" i="88"/>
  <c r="J149" i="88" s="1"/>
  <c r="L149" i="88" s="1"/>
  <c r="Y149" i="88" s="1"/>
  <c r="H148" i="88"/>
  <c r="J148" i="88" s="1"/>
  <c r="L148" i="88" s="1"/>
  <c r="H147" i="88"/>
  <c r="J147" i="88" s="1"/>
  <c r="L147" i="88" s="1"/>
  <c r="H146" i="88"/>
  <c r="J146" i="88" s="1"/>
  <c r="L146" i="88" s="1"/>
  <c r="H145" i="88"/>
  <c r="J145" i="88" s="1"/>
  <c r="L145" i="88" s="1"/>
  <c r="H144" i="88"/>
  <c r="J144" i="88" s="1"/>
  <c r="L144" i="88" s="1"/>
  <c r="H143" i="88"/>
  <c r="J143" i="88" s="1"/>
  <c r="L143" i="88" s="1"/>
  <c r="H142" i="88"/>
  <c r="J142" i="88" s="1"/>
  <c r="L142" i="88" s="1"/>
  <c r="H141" i="88"/>
  <c r="J141" i="88" s="1"/>
  <c r="L141" i="88" s="1"/>
  <c r="H140" i="88"/>
  <c r="J140" i="88" s="1"/>
  <c r="L140" i="88" s="1"/>
  <c r="Y140" i="88" s="1"/>
  <c r="H139" i="88"/>
  <c r="J139" i="88" s="1"/>
  <c r="L139" i="88" s="1"/>
  <c r="H138" i="88"/>
  <c r="J138" i="88" s="1"/>
  <c r="L138" i="88" s="1"/>
  <c r="H137" i="88"/>
  <c r="J137" i="88" s="1"/>
  <c r="L137" i="88" s="1"/>
  <c r="Y137" i="88" s="1"/>
  <c r="H136" i="88"/>
  <c r="J136" i="88" s="1"/>
  <c r="L136" i="88" s="1"/>
  <c r="Y136" i="88" s="1"/>
  <c r="H135" i="88"/>
  <c r="J135" i="88" s="1"/>
  <c r="L135" i="88" s="1"/>
  <c r="H134" i="88"/>
  <c r="J134" i="88" s="1"/>
  <c r="L134" i="88" s="1"/>
  <c r="H133" i="88"/>
  <c r="J133" i="88" s="1"/>
  <c r="L133" i="88" s="1"/>
  <c r="H132" i="88"/>
  <c r="J132" i="88" s="1"/>
  <c r="L132" i="88" s="1"/>
  <c r="H131" i="88"/>
  <c r="J131" i="88" s="1"/>
  <c r="L131" i="88" s="1"/>
  <c r="H130" i="88"/>
  <c r="J130" i="88" s="1"/>
  <c r="L130" i="88" s="1"/>
  <c r="H129" i="88"/>
  <c r="J129" i="88" s="1"/>
  <c r="L129" i="88" s="1"/>
  <c r="H128" i="88"/>
  <c r="J128" i="88" s="1"/>
  <c r="L128" i="88" s="1"/>
  <c r="H127" i="88"/>
  <c r="J127" i="88" s="1"/>
  <c r="L127" i="88" s="1"/>
  <c r="H126" i="88"/>
  <c r="J126" i="88" s="1"/>
  <c r="L126" i="88" s="1"/>
  <c r="H125" i="88"/>
  <c r="J125" i="88" s="1"/>
  <c r="L125" i="88" s="1"/>
  <c r="H124" i="88"/>
  <c r="J124" i="88" s="1"/>
  <c r="L124" i="88" s="1"/>
  <c r="Y124" i="88" s="1"/>
  <c r="H123" i="88"/>
  <c r="J123" i="88" s="1"/>
  <c r="L123" i="88" s="1"/>
  <c r="H122" i="88"/>
  <c r="J122" i="88" s="1"/>
  <c r="L122" i="88" s="1"/>
  <c r="H121" i="88"/>
  <c r="J121" i="88" s="1"/>
  <c r="L121" i="88" s="1"/>
  <c r="Y121" i="88" s="1"/>
  <c r="H120" i="88"/>
  <c r="J120" i="88" s="1"/>
  <c r="L120" i="88" s="1"/>
  <c r="Y120" i="88" s="1"/>
  <c r="H119" i="88"/>
  <c r="J119" i="88" s="1"/>
  <c r="L119" i="88" s="1"/>
  <c r="H118" i="88"/>
  <c r="J118" i="88" s="1"/>
  <c r="L118" i="88" s="1"/>
  <c r="H117" i="88"/>
  <c r="J117" i="88" s="1"/>
  <c r="L117" i="88" s="1"/>
  <c r="H116" i="88"/>
  <c r="J116" i="88" s="1"/>
  <c r="L116" i="88" s="1"/>
  <c r="H115" i="88"/>
  <c r="J115" i="88" s="1"/>
  <c r="L115" i="88" s="1"/>
  <c r="H114" i="88"/>
  <c r="J114" i="88" s="1"/>
  <c r="L114" i="88" s="1"/>
  <c r="H113" i="88"/>
  <c r="J113" i="88" s="1"/>
  <c r="L113" i="88" s="1"/>
  <c r="H112" i="88"/>
  <c r="J112" i="88" s="1"/>
  <c r="L112" i="88" s="1"/>
  <c r="H111" i="88"/>
  <c r="J111" i="88" s="1"/>
  <c r="L111" i="88" s="1"/>
  <c r="H110" i="88"/>
  <c r="J110" i="88" s="1"/>
  <c r="L110" i="88" s="1"/>
  <c r="H109" i="88"/>
  <c r="J109" i="88" s="1"/>
  <c r="L109" i="88" s="1"/>
  <c r="W109" i="88" s="1"/>
  <c r="H108" i="88"/>
  <c r="J108" i="88" s="1"/>
  <c r="L108" i="88" s="1"/>
  <c r="Y108" i="88" s="1"/>
  <c r="H107" i="88"/>
  <c r="J107" i="88" s="1"/>
  <c r="L107" i="88" s="1"/>
  <c r="H106" i="88"/>
  <c r="J106" i="88" s="1"/>
  <c r="L106" i="88" s="1"/>
  <c r="H105" i="88"/>
  <c r="J105" i="88" s="1"/>
  <c r="L105" i="88" s="1"/>
  <c r="Y105" i="88" s="1"/>
  <c r="H104" i="88"/>
  <c r="J104" i="88" s="1"/>
  <c r="L104" i="88" s="1"/>
  <c r="Y104" i="88" s="1"/>
  <c r="H103" i="88"/>
  <c r="J103" i="88" s="1"/>
  <c r="L103" i="88" s="1"/>
  <c r="H102" i="88"/>
  <c r="J102" i="88" s="1"/>
  <c r="L102" i="88" s="1"/>
  <c r="H101" i="88"/>
  <c r="J101" i="88" s="1"/>
  <c r="L101" i="88" s="1"/>
  <c r="H100" i="88"/>
  <c r="J100" i="88" s="1"/>
  <c r="L100" i="88" s="1"/>
  <c r="H99" i="88"/>
  <c r="J99" i="88" s="1"/>
  <c r="L99" i="88" s="1"/>
  <c r="H98" i="88"/>
  <c r="J98" i="88" s="1"/>
  <c r="L98" i="88" s="1"/>
  <c r="H97" i="88"/>
  <c r="J97" i="88" s="1"/>
  <c r="L97" i="88" s="1"/>
  <c r="H96" i="88"/>
  <c r="J96" i="88" s="1"/>
  <c r="L96" i="88" s="1"/>
  <c r="H95" i="88"/>
  <c r="J95" i="88" s="1"/>
  <c r="L95" i="88" s="1"/>
  <c r="H94" i="88"/>
  <c r="J94" i="88" s="1"/>
  <c r="L94" i="88" s="1"/>
  <c r="H93" i="88"/>
  <c r="J93" i="88" s="1"/>
  <c r="L93" i="88" s="1"/>
  <c r="H92" i="88"/>
  <c r="J92" i="88" s="1"/>
  <c r="L92" i="88" s="1"/>
  <c r="H91" i="88"/>
  <c r="J91" i="88" s="1"/>
  <c r="L91" i="88" s="1"/>
  <c r="H90" i="88"/>
  <c r="J90" i="88" s="1"/>
  <c r="L90" i="88" s="1"/>
  <c r="H89" i="88"/>
  <c r="J89" i="88" s="1"/>
  <c r="L89" i="88" s="1"/>
  <c r="Y89" i="88" s="1"/>
  <c r="H88" i="88"/>
  <c r="J88" i="88" s="1"/>
  <c r="L88" i="88" s="1"/>
  <c r="Y88" i="88" s="1"/>
  <c r="H87" i="88"/>
  <c r="J87" i="88" s="1"/>
  <c r="L87" i="88" s="1"/>
  <c r="H86" i="88"/>
  <c r="J86" i="88" s="1"/>
  <c r="L86" i="88" s="1"/>
  <c r="H85" i="88"/>
  <c r="J85" i="88" s="1"/>
  <c r="L85" i="88" s="1"/>
  <c r="H84" i="88"/>
  <c r="J84" i="88" s="1"/>
  <c r="L84" i="88" s="1"/>
  <c r="H83" i="88"/>
  <c r="J83" i="88" s="1"/>
  <c r="L83" i="88" s="1"/>
  <c r="H82" i="88"/>
  <c r="J82" i="88" s="1"/>
  <c r="L82" i="88" s="1"/>
  <c r="H81" i="88"/>
  <c r="J81" i="88" s="1"/>
  <c r="L81" i="88" s="1"/>
  <c r="H80" i="88"/>
  <c r="J80" i="88" s="1"/>
  <c r="L80" i="88" s="1"/>
  <c r="H79" i="88"/>
  <c r="J79" i="88" s="1"/>
  <c r="L79" i="88" s="1"/>
  <c r="H78" i="88"/>
  <c r="J78" i="88" s="1"/>
  <c r="L78" i="88" s="1"/>
  <c r="H77" i="88"/>
  <c r="J77" i="88" s="1"/>
  <c r="L77" i="88" s="1"/>
  <c r="H76" i="88"/>
  <c r="J76" i="88" s="1"/>
  <c r="L76" i="88" s="1"/>
  <c r="Y76" i="88" s="1"/>
  <c r="H75" i="88"/>
  <c r="J75" i="88" s="1"/>
  <c r="L75" i="88" s="1"/>
  <c r="H74" i="88"/>
  <c r="J74" i="88" s="1"/>
  <c r="L74" i="88" s="1"/>
  <c r="H73" i="88"/>
  <c r="J73" i="88" s="1"/>
  <c r="L73" i="88" s="1"/>
  <c r="H72" i="88"/>
  <c r="J72" i="88" s="1"/>
  <c r="L72" i="88" s="1"/>
  <c r="Y72" i="88" s="1"/>
  <c r="H71" i="88"/>
  <c r="J71" i="88" s="1"/>
  <c r="L71" i="88" s="1"/>
  <c r="Y71" i="88" s="1"/>
  <c r="H70" i="88"/>
  <c r="J70" i="88" s="1"/>
  <c r="L70" i="88" s="1"/>
  <c r="H69" i="88"/>
  <c r="J69" i="88" s="1"/>
  <c r="L69" i="88" s="1"/>
  <c r="H68" i="88"/>
  <c r="J68" i="88" s="1"/>
  <c r="L68" i="88" s="1"/>
  <c r="H67" i="88"/>
  <c r="J67" i="88" s="1"/>
  <c r="L67" i="88" s="1"/>
  <c r="H66" i="88"/>
  <c r="J66" i="88" s="1"/>
  <c r="L66" i="88" s="1"/>
  <c r="H65" i="88"/>
  <c r="J65" i="88" s="1"/>
  <c r="L65" i="88" s="1"/>
  <c r="H64" i="88"/>
  <c r="J64" i="88" s="1"/>
  <c r="L64" i="88" s="1"/>
  <c r="H63" i="88"/>
  <c r="J63" i="88" s="1"/>
  <c r="L63" i="88" s="1"/>
  <c r="H62" i="88"/>
  <c r="J62" i="88" s="1"/>
  <c r="L62" i="88" s="1"/>
  <c r="H61" i="88"/>
  <c r="J61" i="88" s="1"/>
  <c r="L61" i="88" s="1"/>
  <c r="H60" i="88"/>
  <c r="J60" i="88" s="1"/>
  <c r="L60" i="88" s="1"/>
  <c r="Y60" i="88" s="1"/>
  <c r="H59" i="88"/>
  <c r="J59" i="88" s="1"/>
  <c r="L59" i="88" s="1"/>
  <c r="H58" i="88"/>
  <c r="J58" i="88" s="1"/>
  <c r="L58" i="88" s="1"/>
  <c r="H57" i="88"/>
  <c r="J57" i="88" s="1"/>
  <c r="L57" i="88" s="1"/>
  <c r="Y57" i="88" s="1"/>
  <c r="H56" i="88"/>
  <c r="J56" i="88" s="1"/>
  <c r="L56" i="88" s="1"/>
  <c r="Y56" i="88" s="1"/>
  <c r="H55" i="88"/>
  <c r="J55" i="88" s="1"/>
  <c r="L55" i="88" s="1"/>
  <c r="Y55" i="88" s="1"/>
  <c r="H54" i="88"/>
  <c r="J54" i="88" s="1"/>
  <c r="L54" i="88" s="1"/>
  <c r="H53" i="88"/>
  <c r="J53" i="88" s="1"/>
  <c r="L53" i="88" s="1"/>
  <c r="H52" i="88"/>
  <c r="J52" i="88" s="1"/>
  <c r="L52" i="88" s="1"/>
  <c r="H51" i="88"/>
  <c r="J51" i="88" s="1"/>
  <c r="L51" i="88" s="1"/>
  <c r="H50" i="88"/>
  <c r="J50" i="88" s="1"/>
  <c r="L50" i="88" s="1"/>
  <c r="H49" i="88"/>
  <c r="J49" i="88" s="1"/>
  <c r="L49" i="88" s="1"/>
  <c r="H48" i="88"/>
  <c r="J48" i="88" s="1"/>
  <c r="L48" i="88" s="1"/>
  <c r="H47" i="88"/>
  <c r="J47" i="88" s="1"/>
  <c r="L47" i="88" s="1"/>
  <c r="H46" i="88"/>
  <c r="J46" i="88" s="1"/>
  <c r="L46" i="88" s="1"/>
  <c r="H45" i="88"/>
  <c r="J45" i="88" s="1"/>
  <c r="L45" i="88" s="1"/>
  <c r="H44" i="88"/>
  <c r="J44" i="88" s="1"/>
  <c r="L44" i="88" s="1"/>
  <c r="Y44" i="88" s="1"/>
  <c r="H43" i="88"/>
  <c r="J43" i="88" s="1"/>
  <c r="L43" i="88" s="1"/>
  <c r="H42" i="88"/>
  <c r="J42" i="88" s="1"/>
  <c r="L42" i="88" s="1"/>
  <c r="H41" i="88"/>
  <c r="J41" i="88" s="1"/>
  <c r="L41" i="88" s="1"/>
  <c r="Y41" i="88" s="1"/>
  <c r="H40" i="88"/>
  <c r="J40" i="88" s="1"/>
  <c r="L40" i="88" s="1"/>
  <c r="Y40" i="88" s="1"/>
  <c r="H39" i="88"/>
  <c r="J39" i="88" s="1"/>
  <c r="L39" i="88" s="1"/>
  <c r="Y39" i="88" s="1"/>
  <c r="H38" i="88"/>
  <c r="J38" i="88" s="1"/>
  <c r="L38" i="88" s="1"/>
  <c r="H37" i="88"/>
  <c r="J37" i="88" s="1"/>
  <c r="L37" i="88" s="1"/>
  <c r="H36" i="88"/>
  <c r="J36" i="88" s="1"/>
  <c r="L36" i="88" s="1"/>
  <c r="H35" i="88"/>
  <c r="J35" i="88" s="1"/>
  <c r="L35" i="88" s="1"/>
  <c r="H34" i="88"/>
  <c r="J34" i="88" s="1"/>
  <c r="L34" i="88" s="1"/>
  <c r="H33" i="88"/>
  <c r="J33" i="88" s="1"/>
  <c r="L33" i="88" s="1"/>
  <c r="H32" i="88"/>
  <c r="J32" i="88" s="1"/>
  <c r="L32" i="88" s="1"/>
  <c r="H31" i="88"/>
  <c r="J31" i="88" s="1"/>
  <c r="L31" i="88" s="1"/>
  <c r="H30" i="88"/>
  <c r="J30" i="88" s="1"/>
  <c r="L30" i="88" s="1"/>
  <c r="H29" i="88"/>
  <c r="J29" i="88" s="1"/>
  <c r="L29" i="88" s="1"/>
  <c r="H28" i="88"/>
  <c r="J28" i="88" s="1"/>
  <c r="L28" i="88" s="1"/>
  <c r="Y28" i="88" s="1"/>
  <c r="H27" i="88"/>
  <c r="J27" i="88" s="1"/>
  <c r="L27" i="88" s="1"/>
  <c r="H26" i="88"/>
  <c r="J26" i="88" s="1"/>
  <c r="L26" i="88" s="1"/>
  <c r="H25" i="88"/>
  <c r="J25" i="88" s="1"/>
  <c r="L25" i="88" s="1"/>
  <c r="Y25" i="88" s="1"/>
  <c r="H24" i="88"/>
  <c r="J24" i="88" s="1"/>
  <c r="L24" i="88" s="1"/>
  <c r="Y24" i="88" s="1"/>
  <c r="H23" i="88"/>
  <c r="J23" i="88" s="1"/>
  <c r="L23" i="88" s="1"/>
  <c r="Y23" i="88" s="1"/>
  <c r="H22" i="88"/>
  <c r="J22" i="88" s="1"/>
  <c r="L22" i="88" s="1"/>
  <c r="H21" i="88"/>
  <c r="J21" i="88" s="1"/>
  <c r="L21" i="88" s="1"/>
  <c r="H20" i="88"/>
  <c r="J20" i="88" s="1"/>
  <c r="L20" i="88" s="1"/>
  <c r="H19" i="88"/>
  <c r="J19" i="88" s="1"/>
  <c r="L19" i="88" s="1"/>
  <c r="H18" i="88"/>
  <c r="J18" i="88" s="1"/>
  <c r="L18" i="88" s="1"/>
  <c r="Y213" i="88" l="1"/>
  <c r="Y217" i="88"/>
  <c r="Y37" i="88"/>
  <c r="Y53" i="88"/>
  <c r="Y69" i="88"/>
  <c r="Y441" i="88"/>
  <c r="Y117" i="88"/>
  <c r="Y133" i="88"/>
  <c r="W446" i="88"/>
  <c r="X446" i="88" s="1"/>
  <c r="Y446" i="88" s="1"/>
  <c r="Y87" i="88"/>
  <c r="Y103" i="88"/>
  <c r="Y119" i="88"/>
  <c r="Y135" i="88"/>
  <c r="Y151" i="88"/>
  <c r="Y167" i="88"/>
  <c r="Y183" i="88"/>
  <c r="Y199" i="88"/>
  <c r="W215" i="88"/>
  <c r="X215" i="88" s="1"/>
  <c r="Y215" i="88" s="1"/>
  <c r="Y439" i="88"/>
  <c r="Y455" i="88"/>
  <c r="W216" i="88"/>
  <c r="X216" i="88" s="1"/>
  <c r="Y216" i="88" s="1"/>
  <c r="X109" i="88"/>
  <c r="Y63" i="88"/>
  <c r="Y159" i="88"/>
  <c r="Y447" i="88"/>
  <c r="Y33" i="88"/>
  <c r="Y49" i="88"/>
  <c r="Y65" i="88"/>
  <c r="Y81" i="88"/>
  <c r="Y97" i="88"/>
  <c r="Y113" i="88"/>
  <c r="Y129" i="88"/>
  <c r="Y145" i="88"/>
  <c r="Y161" i="88"/>
  <c r="Y177" i="88"/>
  <c r="Y193" i="88"/>
  <c r="Y209" i="88"/>
  <c r="Y225" i="88"/>
  <c r="V73" i="88"/>
  <c r="Y141" i="88"/>
  <c r="Y157" i="88"/>
  <c r="Y205" i="88"/>
  <c r="Y221" i="88"/>
  <c r="Y77" i="88"/>
  <c r="Y93" i="88"/>
  <c r="Y109" i="88"/>
  <c r="Y125" i="88"/>
  <c r="Y173" i="88"/>
  <c r="Y189" i="88"/>
  <c r="Y445" i="88"/>
  <c r="Y22" i="88"/>
  <c r="Y38" i="88"/>
  <c r="Y54" i="88"/>
  <c r="Y70" i="88"/>
  <c r="Y86" i="88"/>
  <c r="Y102" i="88"/>
  <c r="Y118" i="88"/>
  <c r="Y134" i="88"/>
  <c r="Y150" i="88"/>
  <c r="Y166" i="88"/>
  <c r="Y182" i="88"/>
  <c r="Y198" i="88"/>
  <c r="Y214" i="88"/>
  <c r="Y454" i="88"/>
  <c r="Y92" i="88"/>
  <c r="Y21" i="88"/>
  <c r="Y85" i="88"/>
  <c r="Y34" i="88"/>
  <c r="Y50" i="88"/>
  <c r="Y66" i="88"/>
  <c r="Y82" i="88"/>
  <c r="Y98" i="88"/>
  <c r="Y114" i="88"/>
  <c r="Y130" i="88"/>
  <c r="Y146" i="88"/>
  <c r="Y162" i="88"/>
  <c r="Y178" i="88"/>
  <c r="Y194" i="88"/>
  <c r="Y210" i="88"/>
  <c r="Y226" i="88"/>
  <c r="Y450" i="88"/>
  <c r="Y35" i="88"/>
  <c r="Y51" i="88"/>
  <c r="Y67" i="88"/>
  <c r="Y83" i="88"/>
  <c r="Y99" i="88"/>
  <c r="Y115" i="88"/>
  <c r="Y131" i="88"/>
  <c r="Y147" i="88"/>
  <c r="Y163" i="88"/>
  <c r="Y179" i="88"/>
  <c r="Y195" i="88"/>
  <c r="Y211" i="88"/>
  <c r="Y227" i="88"/>
  <c r="Y26" i="88"/>
  <c r="Y42" i="88"/>
  <c r="Y58" i="88"/>
  <c r="Y74" i="88"/>
  <c r="Y90" i="88"/>
  <c r="Y106" i="88"/>
  <c r="Y122" i="88"/>
  <c r="Y138" i="88"/>
  <c r="Y154" i="88"/>
  <c r="Y170" i="88"/>
  <c r="Y186" i="88"/>
  <c r="Y202" i="88"/>
  <c r="Y218" i="88"/>
  <c r="Y442" i="88"/>
  <c r="Y27" i="88"/>
  <c r="Y43" i="88"/>
  <c r="Y59" i="88"/>
  <c r="Y75" i="88"/>
  <c r="Y91" i="88"/>
  <c r="Y107" i="88"/>
  <c r="Y123" i="88"/>
  <c r="Y139" i="88"/>
  <c r="Y155" i="88"/>
  <c r="Y171" i="88"/>
  <c r="Y187" i="88"/>
  <c r="Y203" i="88"/>
  <c r="Y219" i="88"/>
  <c r="Y443" i="88"/>
  <c r="Y32" i="88"/>
  <c r="Y48" i="88"/>
  <c r="Y64" i="88"/>
  <c r="Y80" i="88"/>
  <c r="Y96" i="88"/>
  <c r="Y112" i="88"/>
  <c r="Y128" i="88"/>
  <c r="Y144" i="88"/>
  <c r="Y160" i="88"/>
  <c r="Y176" i="88"/>
  <c r="Y192" i="88"/>
  <c r="Y208" i="88"/>
  <c r="Y224" i="88"/>
  <c r="Y448" i="88"/>
  <c r="Y451" i="88"/>
  <c r="Y29" i="88"/>
  <c r="Y45" i="88"/>
  <c r="Y61" i="88"/>
  <c r="Y30" i="88"/>
  <c r="Y46" i="88"/>
  <c r="Y62" i="88"/>
  <c r="Y78" i="88"/>
  <c r="Y94" i="88"/>
  <c r="Y110" i="88"/>
  <c r="Y126" i="88"/>
  <c r="Y142" i="88"/>
  <c r="Y158" i="88"/>
  <c r="Y174" i="88"/>
  <c r="Y190" i="88"/>
  <c r="Y206" i="88"/>
  <c r="Y222" i="88"/>
  <c r="Y31" i="88"/>
  <c r="Y47" i="88"/>
  <c r="Y79" i="88"/>
  <c r="Y95" i="88"/>
  <c r="Y111" i="88"/>
  <c r="Y127" i="88"/>
  <c r="Y143" i="88"/>
  <c r="Y175" i="88"/>
  <c r="Y191" i="88"/>
  <c r="Y207" i="88"/>
  <c r="Y223" i="88"/>
  <c r="Y449" i="88"/>
  <c r="Y20" i="88"/>
  <c r="Y36" i="88"/>
  <c r="Y52" i="88"/>
  <c r="Y68" i="88"/>
  <c r="Y84" i="88"/>
  <c r="Y100" i="88"/>
  <c r="Y116" i="88"/>
  <c r="Y132" i="88"/>
  <c r="Y148" i="88"/>
  <c r="Y164" i="88"/>
  <c r="Y180" i="88"/>
  <c r="Y196" i="88"/>
  <c r="Y212" i="88"/>
  <c r="Y228" i="88"/>
  <c r="Y452" i="88"/>
  <c r="U458" i="88"/>
  <c r="U18" i="90" s="1"/>
  <c r="Y453" i="88"/>
  <c r="Y101" i="88"/>
  <c r="Y165" i="88"/>
  <c r="R458" i="88"/>
  <c r="R18" i="90" s="1"/>
  <c r="G20" i="138"/>
  <c r="F20" i="138"/>
  <c r="E20" i="138"/>
  <c r="D66" i="138"/>
  <c r="D65" i="138"/>
  <c r="D64" i="138"/>
  <c r="D63" i="138"/>
  <c r="D62" i="138"/>
  <c r="D61" i="138"/>
  <c r="D60" i="138"/>
  <c r="D59" i="138"/>
  <c r="D58" i="138"/>
  <c r="D57" i="138"/>
  <c r="D56" i="138"/>
  <c r="D55" i="138"/>
  <c r="D54" i="138"/>
  <c r="D53" i="138"/>
  <c r="D52" i="138"/>
  <c r="D51" i="138"/>
  <c r="D50" i="138"/>
  <c r="D49" i="138"/>
  <c r="D48" i="138"/>
  <c r="D47" i="138"/>
  <c r="D46" i="138"/>
  <c r="D45" i="138"/>
  <c r="D44" i="138"/>
  <c r="D43" i="138"/>
  <c r="D42" i="138"/>
  <c r="D41" i="138"/>
  <c r="D40" i="138"/>
  <c r="D39" i="138"/>
  <c r="D38" i="138"/>
  <c r="D37" i="138"/>
  <c r="D36" i="138"/>
  <c r="D35" i="138"/>
  <c r="D34" i="138"/>
  <c r="D33" i="138"/>
  <c r="D32" i="138"/>
  <c r="D31" i="138"/>
  <c r="D30" i="138"/>
  <c r="D29" i="138"/>
  <c r="D28" i="138"/>
  <c r="D27" i="138"/>
  <c r="D26" i="138"/>
  <c r="D25" i="138"/>
  <c r="D24" i="138"/>
  <c r="D23" i="138"/>
  <c r="D22" i="138"/>
  <c r="D21" i="138"/>
  <c r="D20" i="138"/>
  <c r="D19" i="138"/>
  <c r="D18" i="138"/>
  <c r="D17" i="138"/>
  <c r="D16" i="138"/>
  <c r="D15" i="138"/>
  <c r="D14" i="138"/>
  <c r="D13" i="138"/>
  <c r="D12" i="138"/>
  <c r="D11" i="138"/>
  <c r="D10" i="138"/>
  <c r="D9" i="138"/>
  <c r="D8" i="138"/>
  <c r="D7" i="138"/>
  <c r="D6" i="138"/>
  <c r="W458" i="88" l="1"/>
  <c r="W18" i="90" s="1"/>
  <c r="V458" i="88"/>
  <c r="V18" i="90" s="1"/>
  <c r="X73" i="88"/>
  <c r="X458" i="88" l="1"/>
  <c r="Y73" i="88"/>
  <c r="O96" i="148"/>
  <c r="O103" i="148"/>
  <c r="O90" i="148"/>
  <c r="O91" i="148"/>
  <c r="O97" i="148"/>
  <c r="O89" i="148"/>
  <c r="O102" i="148"/>
  <c r="O101" i="148"/>
  <c r="O95" i="148"/>
  <c r="R46" i="138"/>
  <c r="Q46" i="138"/>
  <c r="O46" i="138"/>
  <c r="N46" i="138"/>
  <c r="L46" i="138"/>
  <c r="K46" i="138"/>
  <c r="J46" i="138"/>
  <c r="R20" i="138"/>
  <c r="Q20" i="138"/>
  <c r="O20" i="138"/>
  <c r="N20" i="138"/>
  <c r="L20" i="138"/>
  <c r="K20" i="138"/>
  <c r="J20" i="138"/>
  <c r="I17" i="21"/>
  <c r="P20" i="138" l="1"/>
  <c r="F122" i="157"/>
  <c r="G122" i="157"/>
  <c r="M20" i="138"/>
  <c r="S20" i="138"/>
  <c r="M122" i="157"/>
  <c r="M121" i="157"/>
  <c r="N121" i="157"/>
  <c r="O115" i="157"/>
  <c r="I122" i="157"/>
  <c r="J122" i="157"/>
  <c r="F123" i="157"/>
  <c r="J121" i="157"/>
  <c r="F121" i="157"/>
  <c r="K121" i="157"/>
  <c r="L121" i="157"/>
  <c r="G123" i="157"/>
  <c r="H123" i="157"/>
  <c r="O105" i="157"/>
  <c r="O116" i="157"/>
  <c r="J123" i="157"/>
  <c r="H122" i="157"/>
  <c r="G121" i="157"/>
  <c r="O110" i="157"/>
  <c r="O111" i="157"/>
  <c r="L123" i="157"/>
  <c r="O109" i="157"/>
  <c r="H121" i="157"/>
  <c r="I121" i="157"/>
  <c r="N122" i="157"/>
  <c r="O117" i="157"/>
  <c r="M123" i="157"/>
  <c r="K122" i="157"/>
  <c r="O104" i="157"/>
  <c r="K123" i="157"/>
  <c r="N123" i="157"/>
  <c r="O103" i="157"/>
  <c r="I123" i="157"/>
  <c r="L122" i="157"/>
  <c r="E41" i="164"/>
  <c r="O121" i="157" l="1"/>
  <c r="O122" i="157"/>
  <c r="O123" i="157"/>
  <c r="O18" i="172"/>
  <c r="O33" i="172"/>
  <c r="O53" i="172"/>
  <c r="O52" i="172"/>
  <c r="O51" i="172"/>
  <c r="O50" i="172"/>
  <c r="O47" i="172"/>
  <c r="O43" i="172"/>
  <c r="O44" i="172" s="1"/>
  <c r="O42" i="172"/>
  <c r="O39" i="172"/>
  <c r="O36" i="172"/>
  <c r="O32" i="172"/>
  <c r="O31" i="172"/>
  <c r="O30" i="172"/>
  <c r="O27" i="172"/>
  <c r="O24" i="172"/>
  <c r="O21" i="172"/>
  <c r="O17" i="172"/>
  <c r="O16" i="172"/>
  <c r="D55" i="172"/>
  <c r="F55" i="172"/>
  <c r="G55" i="172"/>
  <c r="N44" i="172"/>
  <c r="N55" i="172" s="1"/>
  <c r="M44" i="172"/>
  <c r="M55" i="172" s="1"/>
  <c r="L44" i="172"/>
  <c r="L55" i="172" s="1"/>
  <c r="K44" i="172"/>
  <c r="K55" i="172" s="1"/>
  <c r="J44" i="172"/>
  <c r="J55" i="172" s="1"/>
  <c r="I44" i="172"/>
  <c r="I55" i="172" s="1"/>
  <c r="H44" i="172"/>
  <c r="H55" i="172" s="1"/>
  <c r="G44" i="172"/>
  <c r="F44" i="172"/>
  <c r="E44" i="172"/>
  <c r="E55" i="172" s="1"/>
  <c r="D44" i="172"/>
  <c r="C44" i="172"/>
  <c r="C55" i="172" s="1"/>
  <c r="Y30" i="91" l="1"/>
  <c r="L30" i="91"/>
  <c r="J30" i="91"/>
  <c r="I30" i="91"/>
  <c r="H30" i="91"/>
  <c r="G30" i="91"/>
  <c r="F30" i="91"/>
  <c r="E30" i="91"/>
  <c r="F35" i="163" l="1"/>
  <c r="F34" i="163"/>
  <c r="E43" i="163"/>
  <c r="H32" i="144" l="1"/>
  <c r="Y269" i="88" l="1"/>
  <c r="Y360" i="88"/>
  <c r="Y251" i="88"/>
  <c r="Y261" i="88"/>
  <c r="Y241" i="88"/>
  <c r="Y237" i="88"/>
  <c r="C27" i="91" l="1"/>
  <c r="C21" i="91"/>
  <c r="C17" i="91"/>
  <c r="C23" i="91"/>
  <c r="X50" i="175" l="1"/>
  <c r="U50" i="175"/>
  <c r="Z83" i="175" l="1"/>
  <c r="Y83" i="175"/>
  <c r="W83" i="175"/>
  <c r="V83" i="175"/>
  <c r="T83" i="175"/>
  <c r="S83" i="175"/>
  <c r="R83" i="175"/>
  <c r="O83" i="175"/>
  <c r="N83" i="175"/>
  <c r="M83" i="175"/>
  <c r="L83" i="175"/>
  <c r="K83" i="175"/>
  <c r="J83" i="175"/>
  <c r="I83" i="175"/>
  <c r="H83" i="175"/>
  <c r="G83" i="175"/>
  <c r="F83" i="175"/>
  <c r="E83" i="175"/>
  <c r="D83" i="175"/>
  <c r="X83" i="175"/>
  <c r="AA82" i="175"/>
  <c r="AA81" i="175"/>
  <c r="AA80" i="175"/>
  <c r="AA79" i="175"/>
  <c r="AA78" i="175"/>
  <c r="AA77" i="175"/>
  <c r="AA76" i="175"/>
  <c r="AA75" i="175"/>
  <c r="AA74" i="175"/>
  <c r="AA73" i="175"/>
  <c r="AA72" i="175"/>
  <c r="AA71" i="175"/>
  <c r="AA70" i="175"/>
  <c r="AA69" i="175"/>
  <c r="AA68" i="175"/>
  <c r="AA67" i="175"/>
  <c r="AA66" i="175"/>
  <c r="AA65" i="175"/>
  <c r="AA64" i="175"/>
  <c r="AA63" i="175"/>
  <c r="AA62" i="175"/>
  <c r="AA61" i="175"/>
  <c r="AA60" i="175"/>
  <c r="AA59" i="175"/>
  <c r="AA58" i="175"/>
  <c r="AA57" i="175"/>
  <c r="AA56" i="175"/>
  <c r="AA55" i="175"/>
  <c r="AA54" i="175"/>
  <c r="AA53" i="175"/>
  <c r="AA52" i="175"/>
  <c r="AA51" i="175"/>
  <c r="AA50" i="175"/>
  <c r="P82" i="175"/>
  <c r="P81" i="175"/>
  <c r="P80" i="175"/>
  <c r="P79" i="175"/>
  <c r="P78" i="175"/>
  <c r="P77" i="175"/>
  <c r="P76" i="175"/>
  <c r="P75" i="175"/>
  <c r="P74" i="175"/>
  <c r="P73" i="175"/>
  <c r="P72" i="175"/>
  <c r="P71" i="175"/>
  <c r="P70" i="175"/>
  <c r="P69" i="175"/>
  <c r="P68" i="175"/>
  <c r="P67" i="175"/>
  <c r="P66" i="175"/>
  <c r="P65" i="175"/>
  <c r="P64" i="175"/>
  <c r="P63" i="175"/>
  <c r="P62" i="175"/>
  <c r="P61" i="175"/>
  <c r="P60" i="175"/>
  <c r="P59" i="175"/>
  <c r="P58" i="175"/>
  <c r="P57" i="175"/>
  <c r="P56" i="175"/>
  <c r="P55" i="175"/>
  <c r="P54" i="175"/>
  <c r="P53" i="175"/>
  <c r="P52" i="175"/>
  <c r="P51" i="175"/>
  <c r="P50" i="175"/>
  <c r="AB60" i="175" l="1"/>
  <c r="AB68" i="175"/>
  <c r="AB72" i="175"/>
  <c r="AB80" i="175"/>
  <c r="AB52" i="175"/>
  <c r="AB56" i="175"/>
  <c r="AB64" i="175"/>
  <c r="AB76" i="175"/>
  <c r="AB54" i="175"/>
  <c r="AB58" i="175"/>
  <c r="AB62" i="175"/>
  <c r="AB66" i="175"/>
  <c r="AB70" i="175"/>
  <c r="AB74" i="175"/>
  <c r="AB78" i="175"/>
  <c r="AB82" i="175"/>
  <c r="P83" i="175"/>
  <c r="AB53" i="175"/>
  <c r="AB57" i="175"/>
  <c r="AB61" i="175"/>
  <c r="AB65" i="175"/>
  <c r="AB69" i="175"/>
  <c r="AB73" i="175"/>
  <c r="AB77" i="175"/>
  <c r="AB81" i="175"/>
  <c r="AB50" i="175"/>
  <c r="AA83" i="175"/>
  <c r="AB51" i="175"/>
  <c r="AB55" i="175"/>
  <c r="AB59" i="175"/>
  <c r="AB63" i="175"/>
  <c r="AB67" i="175"/>
  <c r="AB71" i="175"/>
  <c r="AB75" i="175"/>
  <c r="AB79" i="175"/>
  <c r="U83" i="175"/>
  <c r="Y83" i="174"/>
  <c r="W83" i="174"/>
  <c r="V83" i="174"/>
  <c r="T83" i="174"/>
  <c r="S83" i="174"/>
  <c r="R83" i="174"/>
  <c r="O83" i="174"/>
  <c r="N83" i="174"/>
  <c r="M83" i="174"/>
  <c r="L83" i="174"/>
  <c r="K83" i="174"/>
  <c r="J83" i="174"/>
  <c r="I83" i="174"/>
  <c r="H83" i="174"/>
  <c r="G83" i="174"/>
  <c r="F83" i="174"/>
  <c r="E83" i="174"/>
  <c r="D83" i="174"/>
  <c r="X51" i="174"/>
  <c r="AA76" i="174"/>
  <c r="AA75" i="174"/>
  <c r="AA61" i="174"/>
  <c r="AA52" i="174"/>
  <c r="U51" i="174"/>
  <c r="P52" i="174"/>
  <c r="P53" i="174"/>
  <c r="P54" i="174"/>
  <c r="P55" i="174"/>
  <c r="P56" i="174"/>
  <c r="P57" i="174"/>
  <c r="P58" i="174"/>
  <c r="P59" i="174"/>
  <c r="P60" i="174"/>
  <c r="P61" i="174"/>
  <c r="P62" i="174"/>
  <c r="P63" i="174"/>
  <c r="P64" i="174"/>
  <c r="P65" i="174"/>
  <c r="P66" i="174"/>
  <c r="P67" i="174"/>
  <c r="P68" i="174"/>
  <c r="P69" i="174"/>
  <c r="P70" i="174"/>
  <c r="P71" i="174"/>
  <c r="P72" i="174"/>
  <c r="P73" i="174"/>
  <c r="P74" i="174"/>
  <c r="P75" i="174"/>
  <c r="AB75" i="174" s="1"/>
  <c r="P76" i="174"/>
  <c r="P77" i="174"/>
  <c r="P78" i="174"/>
  <c r="P79" i="174"/>
  <c r="P80" i="174"/>
  <c r="P81" i="174"/>
  <c r="P82" i="174"/>
  <c r="Z83" i="174"/>
  <c r="P51" i="174"/>
  <c r="Y76" i="173"/>
  <c r="W76" i="173"/>
  <c r="V76" i="173"/>
  <c r="T76" i="173"/>
  <c r="S76" i="173"/>
  <c r="R76" i="173"/>
  <c r="E76" i="173"/>
  <c r="F76" i="173"/>
  <c r="G76" i="173"/>
  <c r="H76" i="173"/>
  <c r="I76" i="173"/>
  <c r="J76" i="173"/>
  <c r="K76" i="173"/>
  <c r="L76" i="173"/>
  <c r="M76" i="173"/>
  <c r="N76" i="173"/>
  <c r="O76" i="173"/>
  <c r="D76" i="173"/>
  <c r="X50" i="173"/>
  <c r="AA72" i="173"/>
  <c r="U50" i="173"/>
  <c r="P51" i="173"/>
  <c r="P52" i="173"/>
  <c r="P53" i="173"/>
  <c r="P54" i="173"/>
  <c r="P55" i="173"/>
  <c r="P56" i="173"/>
  <c r="P57" i="173"/>
  <c r="P58" i="173"/>
  <c r="P59" i="173"/>
  <c r="P60" i="173"/>
  <c r="P61" i="173"/>
  <c r="P62" i="173"/>
  <c r="P63" i="173"/>
  <c r="P64" i="173"/>
  <c r="P65" i="173"/>
  <c r="P66" i="173"/>
  <c r="P67" i="173"/>
  <c r="P68" i="173"/>
  <c r="P69" i="173"/>
  <c r="P70" i="173"/>
  <c r="P71" i="173"/>
  <c r="P72" i="173"/>
  <c r="P73" i="173"/>
  <c r="P74" i="173"/>
  <c r="P75" i="173"/>
  <c r="Z76" i="173"/>
  <c r="P50" i="173"/>
  <c r="Z70" i="84"/>
  <c r="Y70" i="84"/>
  <c r="W70" i="84"/>
  <c r="V70" i="84"/>
  <c r="T70" i="84"/>
  <c r="S70" i="84"/>
  <c r="R70" i="84"/>
  <c r="O70" i="84"/>
  <c r="N70" i="84"/>
  <c r="M70" i="84"/>
  <c r="L70" i="84"/>
  <c r="K70" i="84"/>
  <c r="J70" i="84"/>
  <c r="I70" i="84"/>
  <c r="H70" i="84"/>
  <c r="G70" i="84"/>
  <c r="F70" i="84"/>
  <c r="E70" i="84"/>
  <c r="D70" i="84"/>
  <c r="X47" i="84"/>
  <c r="AA59" i="84"/>
  <c r="U47" i="84"/>
  <c r="P69" i="84"/>
  <c r="P68" i="84"/>
  <c r="P67" i="84"/>
  <c r="P66" i="84"/>
  <c r="P65" i="84"/>
  <c r="P64" i="84"/>
  <c r="P63" i="84"/>
  <c r="P62" i="84"/>
  <c r="P61" i="84"/>
  <c r="P60" i="84"/>
  <c r="P59" i="84"/>
  <c r="P58" i="84"/>
  <c r="P57" i="84"/>
  <c r="P56" i="84"/>
  <c r="P55" i="84"/>
  <c r="P54" i="84"/>
  <c r="P53" i="84"/>
  <c r="P52" i="84"/>
  <c r="P51" i="84"/>
  <c r="P50" i="84"/>
  <c r="P49" i="84"/>
  <c r="P48" i="84"/>
  <c r="P47" i="84"/>
  <c r="AB76" i="174" l="1"/>
  <c r="AA55" i="174"/>
  <c r="AA67" i="174"/>
  <c r="AB67" i="174" s="1"/>
  <c r="AA77" i="174"/>
  <c r="AB77" i="174" s="1"/>
  <c r="AA54" i="174"/>
  <c r="AA66" i="174"/>
  <c r="AB66" i="174" s="1"/>
  <c r="AA68" i="174"/>
  <c r="AB68" i="174" s="1"/>
  <c r="AA53" i="174"/>
  <c r="AB53" i="174" s="1"/>
  <c r="AA70" i="174"/>
  <c r="AB70" i="174" s="1"/>
  <c r="AA82" i="174"/>
  <c r="AB82" i="174" s="1"/>
  <c r="AA57" i="174"/>
  <c r="AB57" i="174" s="1"/>
  <c r="AA59" i="174"/>
  <c r="AB59" i="174" s="1"/>
  <c r="AA71" i="174"/>
  <c r="AA69" i="174"/>
  <c r="AB69" i="174" s="1"/>
  <c r="AA60" i="174"/>
  <c r="AA47" i="84"/>
  <c r="AA55" i="84"/>
  <c r="AA67" i="84"/>
  <c r="AA51" i="174"/>
  <c r="AB51" i="174" s="1"/>
  <c r="AB61" i="174"/>
  <c r="AB60" i="174"/>
  <c r="AA63" i="173"/>
  <c r="AB63" i="173" s="1"/>
  <c r="AA64" i="173"/>
  <c r="AB64" i="173" s="1"/>
  <c r="AA51" i="173"/>
  <c r="AB51" i="173" s="1"/>
  <c r="AA55" i="173"/>
  <c r="AB55" i="173" s="1"/>
  <c r="AA56" i="173"/>
  <c r="AB56" i="173" s="1"/>
  <c r="AA67" i="173"/>
  <c r="AB67" i="173" s="1"/>
  <c r="AA71" i="173"/>
  <c r="AB71" i="173" s="1"/>
  <c r="AA62" i="173"/>
  <c r="AB62" i="173" s="1"/>
  <c r="AA54" i="173"/>
  <c r="AB54" i="173" s="1"/>
  <c r="AA62" i="84"/>
  <c r="AB62" i="84" s="1"/>
  <c r="AA63" i="84"/>
  <c r="AB63" i="84" s="1"/>
  <c r="AA61" i="84"/>
  <c r="AB61" i="84" s="1"/>
  <c r="AB47" i="84"/>
  <c r="AB59" i="84"/>
  <c r="AA51" i="84"/>
  <c r="AB51" i="84" s="1"/>
  <c r="AA53" i="84"/>
  <c r="AB53" i="84" s="1"/>
  <c r="AA57" i="84"/>
  <c r="AA69" i="84"/>
  <c r="AA66" i="173"/>
  <c r="AB66" i="173" s="1"/>
  <c r="AA72" i="174"/>
  <c r="AB72" i="174" s="1"/>
  <c r="AA52" i="173"/>
  <c r="AA68" i="173"/>
  <c r="AB68" i="173" s="1"/>
  <c r="AA73" i="174"/>
  <c r="AB73" i="174" s="1"/>
  <c r="AA58" i="84"/>
  <c r="AB58" i="84" s="1"/>
  <c r="AA58" i="174"/>
  <c r="AB58" i="174" s="1"/>
  <c r="AA74" i="174"/>
  <c r="AB74" i="174" s="1"/>
  <c r="AA70" i="173"/>
  <c r="AB70" i="173" s="1"/>
  <c r="AB67" i="84"/>
  <c r="AA50" i="84"/>
  <c r="AB50" i="84" s="1"/>
  <c r="AA66" i="84"/>
  <c r="AB66" i="84" s="1"/>
  <c r="AB52" i="174"/>
  <c r="AB55" i="84"/>
  <c r="AA54" i="84"/>
  <c r="AB54" i="84" s="1"/>
  <c r="AB63" i="174"/>
  <c r="AA62" i="174"/>
  <c r="AB62" i="174" s="1"/>
  <c r="AA78" i="174"/>
  <c r="AB78" i="174" s="1"/>
  <c r="AA58" i="173"/>
  <c r="AB58" i="173" s="1"/>
  <c r="AA74" i="173"/>
  <c r="AB74" i="173" s="1"/>
  <c r="AB71" i="174"/>
  <c r="AB55" i="174"/>
  <c r="AA63" i="174"/>
  <c r="AA79" i="174"/>
  <c r="AB79" i="174" s="1"/>
  <c r="AA59" i="173"/>
  <c r="AB59" i="173" s="1"/>
  <c r="AA75" i="173"/>
  <c r="AB75" i="173" s="1"/>
  <c r="AA64" i="174"/>
  <c r="AB64" i="174" s="1"/>
  <c r="AA80" i="174"/>
  <c r="AB80" i="174" s="1"/>
  <c r="AA49" i="84"/>
  <c r="AB49" i="84" s="1"/>
  <c r="AA65" i="84"/>
  <c r="AB65" i="84" s="1"/>
  <c r="AA60" i="173"/>
  <c r="AA65" i="174"/>
  <c r="AB65" i="174" s="1"/>
  <c r="AA81" i="174"/>
  <c r="AB81" i="174" s="1"/>
  <c r="AB52" i="173"/>
  <c r="P76" i="173"/>
  <c r="AA53" i="173"/>
  <c r="AB53" i="173" s="1"/>
  <c r="AA57" i="173"/>
  <c r="AB57" i="173" s="1"/>
  <c r="AA61" i="173"/>
  <c r="AB61" i="173" s="1"/>
  <c r="AA65" i="173"/>
  <c r="AB65" i="173" s="1"/>
  <c r="AA69" i="173"/>
  <c r="AB69" i="173" s="1"/>
  <c r="AA73" i="173"/>
  <c r="AB73" i="173" s="1"/>
  <c r="AB60" i="173"/>
  <c r="AB72" i="173"/>
  <c r="U76" i="173"/>
  <c r="AB83" i="175"/>
  <c r="AB57" i="84"/>
  <c r="AB69" i="84"/>
  <c r="AA48" i="84"/>
  <c r="AB48" i="84" s="1"/>
  <c r="AA52" i="84"/>
  <c r="AB52" i="84" s="1"/>
  <c r="AA56" i="84"/>
  <c r="AB56" i="84" s="1"/>
  <c r="AA60" i="84"/>
  <c r="AB60" i="84" s="1"/>
  <c r="AA64" i="84"/>
  <c r="AB64" i="84" s="1"/>
  <c r="AA68" i="84"/>
  <c r="AB68" i="84" s="1"/>
  <c r="X70" i="84"/>
  <c r="AB54" i="174"/>
  <c r="P70" i="84"/>
  <c r="U70" i="84"/>
  <c r="AA50" i="173"/>
  <c r="AB50" i="173" s="1"/>
  <c r="U83" i="174"/>
  <c r="X83" i="174"/>
  <c r="X76" i="173"/>
  <c r="P83" i="174"/>
  <c r="AA56" i="174"/>
  <c r="AB56" i="174" s="1"/>
  <c r="AA76" i="173" l="1"/>
  <c r="AB76" i="173" s="1"/>
  <c r="AA70" i="84"/>
  <c r="AA83" i="174"/>
  <c r="AB83" i="174" s="1"/>
  <c r="Y428" i="88" l="1"/>
  <c r="Y429" i="88"/>
  <c r="Y430" i="88"/>
  <c r="D43" i="163" l="1"/>
  <c r="C43" i="163"/>
  <c r="G18" i="163"/>
  <c r="G17" i="163"/>
  <c r="F43" i="163" l="1"/>
  <c r="G16" i="163"/>
  <c r="H73" i="87" l="1"/>
  <c r="J73" i="87" s="1"/>
  <c r="L73" i="87" s="1"/>
  <c r="H69" i="87"/>
  <c r="J69" i="87" s="1"/>
  <c r="L69" i="87" s="1"/>
  <c r="H65" i="87"/>
  <c r="J65" i="87" s="1"/>
  <c r="L65" i="87" s="1"/>
  <c r="H62" i="87"/>
  <c r="J62" i="87" s="1"/>
  <c r="L62" i="87" s="1"/>
  <c r="H42" i="87"/>
  <c r="J42" i="87" s="1"/>
  <c r="L42" i="87" s="1"/>
  <c r="H34" i="87"/>
  <c r="J34" i="87" s="1"/>
  <c r="L34" i="87" s="1"/>
  <c r="H30" i="87"/>
  <c r="J30" i="87" s="1"/>
  <c r="L30" i="87" s="1"/>
  <c r="H28" i="87"/>
  <c r="J28" i="87" s="1"/>
  <c r="L28" i="87" s="1"/>
  <c r="H20" i="87"/>
  <c r="J20" i="87" s="1"/>
  <c r="L20" i="87" s="1"/>
  <c r="H72" i="87"/>
  <c r="J72" i="87" s="1"/>
  <c r="L72" i="87" s="1"/>
  <c r="H71" i="87"/>
  <c r="J71" i="87" s="1"/>
  <c r="L71" i="87" s="1"/>
  <c r="H70" i="87"/>
  <c r="J70" i="87" s="1"/>
  <c r="L70" i="87" s="1"/>
  <c r="H68" i="87"/>
  <c r="J68" i="87" s="1"/>
  <c r="L68" i="87" s="1"/>
  <c r="H67" i="87"/>
  <c r="J67" i="87" s="1"/>
  <c r="L67" i="87" s="1"/>
  <c r="H66" i="87"/>
  <c r="J66" i="87" s="1"/>
  <c r="L66" i="87" s="1"/>
  <c r="H64" i="87"/>
  <c r="J64" i="87" s="1"/>
  <c r="L64" i="87" s="1"/>
  <c r="H63" i="87"/>
  <c r="J63" i="87" s="1"/>
  <c r="L63" i="87" s="1"/>
  <c r="H61" i="87"/>
  <c r="J61" i="87" s="1"/>
  <c r="L61" i="87" s="1"/>
  <c r="H60" i="87"/>
  <c r="J60" i="87" s="1"/>
  <c r="L60" i="87" s="1"/>
  <c r="H59" i="87"/>
  <c r="J59" i="87" s="1"/>
  <c r="L59" i="87" s="1"/>
  <c r="H58" i="87"/>
  <c r="J58" i="87" s="1"/>
  <c r="L58" i="87" s="1"/>
  <c r="H57" i="87"/>
  <c r="J57" i="87" s="1"/>
  <c r="L57" i="87" s="1"/>
  <c r="H56" i="87"/>
  <c r="J56" i="87" s="1"/>
  <c r="L56" i="87" s="1"/>
  <c r="H55" i="87"/>
  <c r="J55" i="87" s="1"/>
  <c r="L55" i="87" s="1"/>
  <c r="H54" i="87"/>
  <c r="J54" i="87" s="1"/>
  <c r="L54" i="87" s="1"/>
  <c r="H53" i="87"/>
  <c r="J53" i="87" s="1"/>
  <c r="L53" i="87" s="1"/>
  <c r="H52" i="87"/>
  <c r="J52" i="87" s="1"/>
  <c r="L52" i="87" s="1"/>
  <c r="H51" i="87"/>
  <c r="J51" i="87" s="1"/>
  <c r="L51" i="87" s="1"/>
  <c r="H50" i="87"/>
  <c r="J50" i="87" s="1"/>
  <c r="L50" i="87" s="1"/>
  <c r="H49" i="87"/>
  <c r="J49" i="87" s="1"/>
  <c r="L49" i="87" s="1"/>
  <c r="H48" i="87"/>
  <c r="J48" i="87" s="1"/>
  <c r="L48" i="87" s="1"/>
  <c r="H47" i="87"/>
  <c r="J47" i="87" s="1"/>
  <c r="L47" i="87" s="1"/>
  <c r="H46" i="87"/>
  <c r="J46" i="87" s="1"/>
  <c r="L46" i="87" s="1"/>
  <c r="H45" i="87"/>
  <c r="J45" i="87" s="1"/>
  <c r="L45" i="87" s="1"/>
  <c r="H44" i="87"/>
  <c r="J44" i="87" s="1"/>
  <c r="L44" i="87" s="1"/>
  <c r="H43" i="87"/>
  <c r="J43" i="87" s="1"/>
  <c r="L43" i="87" s="1"/>
  <c r="H41" i="87"/>
  <c r="J41" i="87" s="1"/>
  <c r="L41" i="87" s="1"/>
  <c r="H40" i="87"/>
  <c r="J40" i="87" s="1"/>
  <c r="L40" i="87" s="1"/>
  <c r="H39" i="87"/>
  <c r="J39" i="87" s="1"/>
  <c r="L39" i="87" s="1"/>
  <c r="H38" i="87"/>
  <c r="J38" i="87" s="1"/>
  <c r="L38" i="87" s="1"/>
  <c r="H37" i="87"/>
  <c r="J37" i="87" s="1"/>
  <c r="L37" i="87" s="1"/>
  <c r="H36" i="87"/>
  <c r="J36" i="87" s="1"/>
  <c r="L36" i="87" s="1"/>
  <c r="H35" i="87"/>
  <c r="J35" i="87" s="1"/>
  <c r="L35" i="87" s="1"/>
  <c r="H33" i="87"/>
  <c r="J33" i="87" s="1"/>
  <c r="L33" i="87" s="1"/>
  <c r="H32" i="87"/>
  <c r="J32" i="87" s="1"/>
  <c r="L32" i="87" s="1"/>
  <c r="H31" i="87"/>
  <c r="J31" i="87" s="1"/>
  <c r="L31" i="87" s="1"/>
  <c r="H29" i="87"/>
  <c r="J29" i="87" s="1"/>
  <c r="L29" i="87" s="1"/>
  <c r="H27" i="87"/>
  <c r="J27" i="87" s="1"/>
  <c r="L27" i="87" s="1"/>
  <c r="H26" i="87"/>
  <c r="J26" i="87" s="1"/>
  <c r="L26" i="87" s="1"/>
  <c r="H25" i="87"/>
  <c r="J25" i="87" s="1"/>
  <c r="L25" i="87" s="1"/>
  <c r="H24" i="87"/>
  <c r="J24" i="87" s="1"/>
  <c r="L24" i="87" s="1"/>
  <c r="H23" i="87"/>
  <c r="J23" i="87" s="1"/>
  <c r="L23" i="87" s="1"/>
  <c r="H22" i="87"/>
  <c r="J22" i="87" s="1"/>
  <c r="L22" i="87" s="1"/>
  <c r="H21" i="87"/>
  <c r="J21" i="87" s="1"/>
  <c r="L21" i="87" s="1"/>
  <c r="H19" i="87"/>
  <c r="J19" i="87" s="1"/>
  <c r="L19" i="87" s="1"/>
  <c r="H18" i="87"/>
  <c r="J18" i="87" s="1"/>
  <c r="L18" i="87" s="1"/>
  <c r="X25" i="87" l="1"/>
  <c r="Y25" i="87" s="1"/>
  <c r="X49" i="87"/>
  <c r="Y49" i="87" s="1"/>
  <c r="X61" i="87"/>
  <c r="Y61" i="87" s="1"/>
  <c r="X45" i="87"/>
  <c r="Y45" i="87" s="1"/>
  <c r="X68" i="87"/>
  <c r="Y68" i="87" s="1"/>
  <c r="X64" i="87"/>
  <c r="Y64" i="87" s="1"/>
  <c r="X19" i="87"/>
  <c r="Y19" i="87" s="1"/>
  <c r="X41" i="87"/>
  <c r="Y41" i="87" s="1"/>
  <c r="X72" i="87"/>
  <c r="Y72" i="87" s="1"/>
  <c r="X55" i="87"/>
  <c r="Y55" i="87" s="1"/>
  <c r="X46" i="87"/>
  <c r="Y46" i="87" s="1"/>
  <c r="X58" i="87"/>
  <c r="Y58" i="87" s="1"/>
  <c r="X62" i="87"/>
  <c r="Y62" i="87" s="1"/>
  <c r="X69" i="87"/>
  <c r="Y69" i="87" s="1"/>
  <c r="X73" i="87"/>
  <c r="Y73" i="87" s="1"/>
  <c r="X53" i="87"/>
  <c r="Y53" i="87" s="1"/>
  <c r="X29" i="87"/>
  <c r="Y29" i="87" s="1"/>
  <c r="X59" i="87"/>
  <c r="Y59" i="87" s="1"/>
  <c r="X66" i="87"/>
  <c r="Y66" i="87" s="1"/>
  <c r="X70" i="87"/>
  <c r="Y70" i="87" s="1"/>
  <c r="X26" i="87"/>
  <c r="Y26" i="87" s="1"/>
  <c r="X40" i="87"/>
  <c r="Y40" i="87" s="1"/>
  <c r="X65" i="87"/>
  <c r="Y65" i="87" s="1"/>
  <c r="X37" i="87"/>
  <c r="Y37" i="87" s="1"/>
  <c r="X51" i="87"/>
  <c r="Y51" i="87" s="1"/>
  <c r="X21" i="87"/>
  <c r="Y21" i="87" s="1"/>
  <c r="X47" i="87"/>
  <c r="Y47" i="87" s="1"/>
  <c r="X18" i="87"/>
  <c r="Y18" i="87" s="1"/>
  <c r="X22" i="87"/>
  <c r="Y22" i="87" s="1"/>
  <c r="X33" i="87"/>
  <c r="Y33" i="87" s="1"/>
  <c r="X35" i="87"/>
  <c r="Y35" i="87" s="1"/>
  <c r="X57" i="87"/>
  <c r="Y57" i="87" s="1"/>
  <c r="X52" i="87"/>
  <c r="Y52" i="87" s="1"/>
  <c r="X20" i="87"/>
  <c r="Y20" i="87" s="1"/>
  <c r="X28" i="87"/>
  <c r="Y28" i="87" s="1"/>
  <c r="X30" i="87"/>
  <c r="Y30" i="87" s="1"/>
  <c r="X50" i="87"/>
  <c r="Y50" i="87" s="1"/>
  <c r="X27" i="87"/>
  <c r="Y27" i="87" s="1"/>
  <c r="X23" i="87"/>
  <c r="Y23" i="87" s="1"/>
  <c r="X36" i="87"/>
  <c r="Y36" i="87" s="1"/>
  <c r="X44" i="87"/>
  <c r="Y44" i="87" s="1"/>
  <c r="X60" i="87"/>
  <c r="Y60" i="87" s="1"/>
  <c r="X63" i="87"/>
  <c r="Y63" i="87" s="1"/>
  <c r="X67" i="87"/>
  <c r="Y67" i="87" s="1"/>
  <c r="X71" i="87"/>
  <c r="Y71" i="87" s="1"/>
  <c r="X32" i="87"/>
  <c r="Y32" i="87" s="1"/>
  <c r="X48" i="87"/>
  <c r="Y48" i="87" s="1"/>
  <c r="X56" i="87"/>
  <c r="Y56" i="87" s="1"/>
  <c r="X39" i="87"/>
  <c r="Y39" i="87" s="1"/>
  <c r="X43" i="87"/>
  <c r="Y43" i="87" s="1"/>
  <c r="X31" i="87"/>
  <c r="Y31" i="87" s="1"/>
  <c r="U24" i="91"/>
  <c r="U25" i="91"/>
  <c r="U26" i="91"/>
  <c r="X54" i="87" l="1"/>
  <c r="Y54" i="87" s="1"/>
  <c r="X34" i="87"/>
  <c r="Y34" i="87" s="1"/>
  <c r="X24" i="87"/>
  <c r="Y24" i="87" s="1"/>
  <c r="X38" i="87"/>
  <c r="Y38" i="87" s="1"/>
  <c r="X42" i="87"/>
  <c r="Y42" i="87" s="1"/>
  <c r="Z47" i="175" l="1"/>
  <c r="Y47" i="175"/>
  <c r="W47" i="175"/>
  <c r="V47" i="175"/>
  <c r="T47" i="175"/>
  <c r="S47" i="175"/>
  <c r="R47" i="175"/>
  <c r="E47" i="175"/>
  <c r="F47" i="175"/>
  <c r="G47" i="175"/>
  <c r="H47" i="175"/>
  <c r="I47" i="175"/>
  <c r="J47" i="175"/>
  <c r="K47" i="175"/>
  <c r="L47" i="175"/>
  <c r="M47" i="175"/>
  <c r="N47" i="175"/>
  <c r="O47" i="175"/>
  <c r="D47" i="175"/>
  <c r="X46" i="175"/>
  <c r="U46" i="175"/>
  <c r="X45" i="175"/>
  <c r="U45" i="175"/>
  <c r="X44" i="175"/>
  <c r="U44" i="175"/>
  <c r="X43" i="175"/>
  <c r="U43" i="175"/>
  <c r="X42" i="175"/>
  <c r="U42" i="175"/>
  <c r="X41" i="175"/>
  <c r="U41" i="175"/>
  <c r="X40" i="175"/>
  <c r="U40" i="175"/>
  <c r="X39" i="175"/>
  <c r="U39" i="175"/>
  <c r="X38" i="175"/>
  <c r="U38" i="175"/>
  <c r="X37" i="175"/>
  <c r="U37" i="175"/>
  <c r="X36" i="175"/>
  <c r="U36" i="175"/>
  <c r="X35" i="175"/>
  <c r="U35" i="175"/>
  <c r="X34" i="175"/>
  <c r="U34" i="175"/>
  <c r="X33" i="175"/>
  <c r="U33" i="175"/>
  <c r="X32" i="175"/>
  <c r="U32" i="175"/>
  <c r="X31" i="175"/>
  <c r="U31" i="175"/>
  <c r="X30" i="175"/>
  <c r="U30" i="175"/>
  <c r="X29" i="175"/>
  <c r="U29" i="175"/>
  <c r="X28" i="175"/>
  <c r="U28" i="175"/>
  <c r="X27" i="175"/>
  <c r="U27" i="175"/>
  <c r="X26" i="175"/>
  <c r="U26" i="175"/>
  <c r="X25" i="175"/>
  <c r="U25" i="175"/>
  <c r="X24" i="175"/>
  <c r="U24" i="175"/>
  <c r="X23" i="175"/>
  <c r="U23" i="175"/>
  <c r="X22" i="175"/>
  <c r="U22" i="175"/>
  <c r="X21" i="175"/>
  <c r="U21" i="175"/>
  <c r="X20" i="175"/>
  <c r="U20" i="175"/>
  <c r="X19" i="175"/>
  <c r="U19" i="175"/>
  <c r="X18" i="175"/>
  <c r="U18" i="175"/>
  <c r="X17" i="175"/>
  <c r="U17" i="175"/>
  <c r="X16" i="175"/>
  <c r="U16" i="175"/>
  <c r="X15" i="175"/>
  <c r="U15" i="175"/>
  <c r="P15" i="175"/>
  <c r="P16" i="175"/>
  <c r="P17" i="175"/>
  <c r="P18" i="175"/>
  <c r="P19" i="175"/>
  <c r="P20" i="175"/>
  <c r="P21" i="175"/>
  <c r="P22" i="175"/>
  <c r="P23" i="175"/>
  <c r="P24" i="175"/>
  <c r="P25" i="175"/>
  <c r="P26" i="175"/>
  <c r="P27" i="175"/>
  <c r="P28" i="175"/>
  <c r="P29" i="175"/>
  <c r="P30" i="175"/>
  <c r="P31" i="175"/>
  <c r="P32" i="175"/>
  <c r="P33" i="175"/>
  <c r="P34" i="175"/>
  <c r="P35" i="175"/>
  <c r="P36" i="175"/>
  <c r="P37" i="175"/>
  <c r="P38" i="175"/>
  <c r="P39" i="175"/>
  <c r="P40" i="175"/>
  <c r="P41" i="175"/>
  <c r="P42" i="175"/>
  <c r="P43" i="175"/>
  <c r="P44" i="175"/>
  <c r="P45" i="175"/>
  <c r="P46" i="175"/>
  <c r="Z48" i="174"/>
  <c r="Y48" i="174"/>
  <c r="W48" i="174"/>
  <c r="V48" i="174"/>
  <c r="T48" i="174"/>
  <c r="S48" i="174"/>
  <c r="R48" i="174"/>
  <c r="E48" i="174"/>
  <c r="F48" i="174"/>
  <c r="G48" i="174"/>
  <c r="H48" i="174"/>
  <c r="I48" i="174"/>
  <c r="J48" i="174"/>
  <c r="K48" i="174"/>
  <c r="L48" i="174"/>
  <c r="M48" i="174"/>
  <c r="N48" i="174"/>
  <c r="O48" i="174"/>
  <c r="D48" i="174"/>
  <c r="X47" i="174"/>
  <c r="U47" i="174"/>
  <c r="P47" i="174"/>
  <c r="X46" i="174"/>
  <c r="U46" i="174"/>
  <c r="P46" i="174"/>
  <c r="X45" i="174"/>
  <c r="U45" i="174"/>
  <c r="P45" i="174"/>
  <c r="X44" i="174"/>
  <c r="U44" i="174"/>
  <c r="P44" i="174"/>
  <c r="X43" i="174"/>
  <c r="U43" i="174"/>
  <c r="P43" i="174"/>
  <c r="X42" i="174"/>
  <c r="U42" i="174"/>
  <c r="P42" i="174"/>
  <c r="X41" i="174"/>
  <c r="U41" i="174"/>
  <c r="P41" i="174"/>
  <c r="X40" i="174"/>
  <c r="U40" i="174"/>
  <c r="P40" i="174"/>
  <c r="X39" i="174"/>
  <c r="U39" i="174"/>
  <c r="P39" i="174"/>
  <c r="X38" i="174"/>
  <c r="U38" i="174"/>
  <c r="P38" i="174"/>
  <c r="X37" i="174"/>
  <c r="U37" i="174"/>
  <c r="P37" i="174"/>
  <c r="X36" i="174"/>
  <c r="U36" i="174"/>
  <c r="P36" i="174"/>
  <c r="X35" i="174"/>
  <c r="U35" i="174"/>
  <c r="P35" i="174"/>
  <c r="X34" i="174"/>
  <c r="U34" i="174"/>
  <c r="P34" i="174"/>
  <c r="X33" i="174"/>
  <c r="U33" i="174"/>
  <c r="P33" i="174"/>
  <c r="X32" i="174"/>
  <c r="U32" i="174"/>
  <c r="P32" i="174"/>
  <c r="X31" i="174"/>
  <c r="U31" i="174"/>
  <c r="P31" i="174"/>
  <c r="X30" i="174"/>
  <c r="U30" i="174"/>
  <c r="P30" i="174"/>
  <c r="X29" i="174"/>
  <c r="U29" i="174"/>
  <c r="P29" i="174"/>
  <c r="X28" i="174"/>
  <c r="U28" i="174"/>
  <c r="P28" i="174"/>
  <c r="X27" i="174"/>
  <c r="U27" i="174"/>
  <c r="P27" i="174"/>
  <c r="X26" i="174"/>
  <c r="U26" i="174"/>
  <c r="P26" i="174"/>
  <c r="X25" i="174"/>
  <c r="U25" i="174"/>
  <c r="P25" i="174"/>
  <c r="X24" i="174"/>
  <c r="U24" i="174"/>
  <c r="P24" i="174"/>
  <c r="X23" i="174"/>
  <c r="U23" i="174"/>
  <c r="P23" i="174"/>
  <c r="X22" i="174"/>
  <c r="U22" i="174"/>
  <c r="P22" i="174"/>
  <c r="X21" i="174"/>
  <c r="U21" i="174"/>
  <c r="P21" i="174"/>
  <c r="X20" i="174"/>
  <c r="U20" i="174"/>
  <c r="P20" i="174"/>
  <c r="X19" i="174"/>
  <c r="U19" i="174"/>
  <c r="P19" i="174"/>
  <c r="X18" i="174"/>
  <c r="U18" i="174"/>
  <c r="P18" i="174"/>
  <c r="X17" i="174"/>
  <c r="U17" i="174"/>
  <c r="P17" i="174"/>
  <c r="X16" i="174"/>
  <c r="U16" i="174"/>
  <c r="P16" i="174"/>
  <c r="X15" i="174"/>
  <c r="U15" i="174"/>
  <c r="P15" i="174"/>
  <c r="Z47" i="173"/>
  <c r="Y47" i="173"/>
  <c r="W47" i="173"/>
  <c r="V47" i="173"/>
  <c r="T47" i="173"/>
  <c r="S47" i="173"/>
  <c r="R47" i="173"/>
  <c r="E47" i="173"/>
  <c r="F47" i="173"/>
  <c r="G47" i="173"/>
  <c r="H47" i="173"/>
  <c r="I47" i="173"/>
  <c r="J47" i="173"/>
  <c r="K47" i="173"/>
  <c r="L47" i="173"/>
  <c r="M47" i="173"/>
  <c r="N47" i="173"/>
  <c r="O47" i="173"/>
  <c r="D47" i="173"/>
  <c r="X15" i="173"/>
  <c r="X16" i="173"/>
  <c r="X17" i="173"/>
  <c r="X18" i="173"/>
  <c r="X19" i="173"/>
  <c r="X20" i="173"/>
  <c r="X21" i="173"/>
  <c r="X22" i="173"/>
  <c r="X23" i="173"/>
  <c r="X24" i="173"/>
  <c r="X25" i="173"/>
  <c r="X26" i="173"/>
  <c r="X27" i="173"/>
  <c r="X28" i="173"/>
  <c r="X29" i="173"/>
  <c r="X30" i="173"/>
  <c r="X31" i="173"/>
  <c r="X32" i="173"/>
  <c r="X33" i="173"/>
  <c r="X34" i="173"/>
  <c r="X35" i="173"/>
  <c r="X36" i="173"/>
  <c r="X37" i="173"/>
  <c r="X38" i="173"/>
  <c r="X39" i="173"/>
  <c r="X40" i="173"/>
  <c r="X41" i="173"/>
  <c r="X42" i="173"/>
  <c r="X43" i="173"/>
  <c r="X44" i="173"/>
  <c r="X45" i="173"/>
  <c r="X46" i="173"/>
  <c r="U15" i="173"/>
  <c r="U16" i="173"/>
  <c r="U17" i="173"/>
  <c r="U18" i="173"/>
  <c r="U19" i="173"/>
  <c r="U20" i="173"/>
  <c r="U21" i="173"/>
  <c r="U22" i="173"/>
  <c r="U23" i="173"/>
  <c r="U24" i="173"/>
  <c r="U25" i="173"/>
  <c r="U26" i="173"/>
  <c r="U27" i="173"/>
  <c r="U28" i="173"/>
  <c r="U29" i="173"/>
  <c r="U30" i="173"/>
  <c r="U31" i="173"/>
  <c r="U32" i="173"/>
  <c r="U33" i="173"/>
  <c r="U34" i="173"/>
  <c r="U35" i="173"/>
  <c r="U36" i="173"/>
  <c r="U37" i="173"/>
  <c r="U38" i="173"/>
  <c r="U39" i="173"/>
  <c r="U40" i="173"/>
  <c r="U41" i="173"/>
  <c r="U42" i="173"/>
  <c r="U43" i="173"/>
  <c r="U44" i="173"/>
  <c r="U45" i="173"/>
  <c r="U46" i="173"/>
  <c r="P18" i="173"/>
  <c r="P19" i="173"/>
  <c r="P20" i="173"/>
  <c r="P21" i="173"/>
  <c r="P22" i="173"/>
  <c r="P23" i="173"/>
  <c r="P24" i="173"/>
  <c r="P25" i="173"/>
  <c r="P26" i="173"/>
  <c r="P27" i="173"/>
  <c r="P28" i="173"/>
  <c r="P29" i="173"/>
  <c r="P30" i="173"/>
  <c r="P31" i="173"/>
  <c r="P32" i="173"/>
  <c r="P33" i="173"/>
  <c r="P34" i="173"/>
  <c r="P35" i="173"/>
  <c r="P36" i="173"/>
  <c r="P37" i="173"/>
  <c r="P38" i="173"/>
  <c r="P39" i="173"/>
  <c r="P40" i="173"/>
  <c r="P41" i="173"/>
  <c r="P42" i="173"/>
  <c r="P43" i="173"/>
  <c r="P44" i="173"/>
  <c r="P45" i="173"/>
  <c r="P46" i="173"/>
  <c r="P17" i="173"/>
  <c r="P16" i="173"/>
  <c r="P15" i="173"/>
  <c r="Z44" i="84"/>
  <c r="Y44" i="84"/>
  <c r="W44" i="84"/>
  <c r="V44" i="84"/>
  <c r="T44" i="84"/>
  <c r="S44" i="84"/>
  <c r="R44" i="84"/>
  <c r="E44" i="84"/>
  <c r="F44" i="84"/>
  <c r="G44" i="84"/>
  <c r="H44" i="84"/>
  <c r="I44" i="84"/>
  <c r="J44" i="84"/>
  <c r="K44" i="84"/>
  <c r="L44" i="84"/>
  <c r="M44" i="84"/>
  <c r="N44" i="84"/>
  <c r="O44" i="84"/>
  <c r="D44" i="84"/>
  <c r="X43" i="84"/>
  <c r="X42" i="84"/>
  <c r="X41" i="84"/>
  <c r="X40" i="84"/>
  <c r="X39" i="84"/>
  <c r="X38" i="84"/>
  <c r="X37" i="84"/>
  <c r="X36" i="84"/>
  <c r="X35" i="84"/>
  <c r="X34" i="84"/>
  <c r="X33" i="84"/>
  <c r="X32" i="84"/>
  <c r="X31" i="84"/>
  <c r="X30" i="84"/>
  <c r="X29" i="84"/>
  <c r="X28" i="84"/>
  <c r="X27" i="84"/>
  <c r="X26" i="84"/>
  <c r="X25" i="84"/>
  <c r="X24" i="84"/>
  <c r="X23" i="84"/>
  <c r="X22" i="84"/>
  <c r="X21" i="84"/>
  <c r="X20" i="84"/>
  <c r="X19" i="84"/>
  <c r="X18" i="84"/>
  <c r="X17" i="84"/>
  <c r="X16" i="84"/>
  <c r="X15" i="84"/>
  <c r="X14" i="84"/>
  <c r="U15" i="84"/>
  <c r="U16" i="84"/>
  <c r="U17" i="84"/>
  <c r="U18" i="84"/>
  <c r="U19" i="84"/>
  <c r="U20" i="84"/>
  <c r="U21" i="84"/>
  <c r="U22" i="84"/>
  <c r="U23" i="84"/>
  <c r="U24" i="84"/>
  <c r="U25" i="84"/>
  <c r="U26" i="84"/>
  <c r="U27" i="84"/>
  <c r="U28" i="84"/>
  <c r="U29" i="84"/>
  <c r="U30" i="84"/>
  <c r="U31" i="84"/>
  <c r="U32" i="84"/>
  <c r="U33" i="84"/>
  <c r="U34" i="84"/>
  <c r="U35" i="84"/>
  <c r="U36" i="84"/>
  <c r="U37" i="84"/>
  <c r="U38" i="84"/>
  <c r="U39" i="84"/>
  <c r="U40" i="84"/>
  <c r="U41" i="84"/>
  <c r="U42" i="84"/>
  <c r="U43" i="84"/>
  <c r="U14" i="84"/>
  <c r="P16" i="84"/>
  <c r="P17" i="84"/>
  <c r="P18" i="84"/>
  <c r="P19" i="84"/>
  <c r="P20" i="84"/>
  <c r="P21" i="84"/>
  <c r="P22" i="84"/>
  <c r="P23" i="84"/>
  <c r="P24" i="84"/>
  <c r="P25" i="84"/>
  <c r="P26" i="84"/>
  <c r="P27" i="84"/>
  <c r="P28" i="84"/>
  <c r="P29" i="84"/>
  <c r="P30" i="84"/>
  <c r="P31" i="84"/>
  <c r="P32" i="84"/>
  <c r="P33" i="84"/>
  <c r="P34" i="84"/>
  <c r="P35" i="84"/>
  <c r="P36" i="84"/>
  <c r="P37" i="84"/>
  <c r="P38" i="84"/>
  <c r="P39" i="84"/>
  <c r="P40" i="84"/>
  <c r="P41" i="84"/>
  <c r="P42" i="84"/>
  <c r="P43" i="84"/>
  <c r="P15" i="84"/>
  <c r="AA19" i="175" l="1"/>
  <c r="AA39" i="174"/>
  <c r="AA29" i="174"/>
  <c r="AA21" i="174"/>
  <c r="AA19" i="173"/>
  <c r="AB19" i="173"/>
  <c r="AA35" i="173"/>
  <c r="AB35" i="173" s="1"/>
  <c r="AA41" i="175"/>
  <c r="AA35" i="175"/>
  <c r="AB35" i="175" s="1"/>
  <c r="AA37" i="174"/>
  <c r="AB37" i="174" s="1"/>
  <c r="AA38" i="174"/>
  <c r="AB38" i="174" s="1"/>
  <c r="AA33" i="174"/>
  <c r="AB33" i="174" s="1"/>
  <c r="AA39" i="173"/>
  <c r="AB39" i="173" s="1"/>
  <c r="AA23" i="173"/>
  <c r="AB23" i="173" s="1"/>
  <c r="AA31" i="173"/>
  <c r="AB31" i="173" s="1"/>
  <c r="AA15" i="173"/>
  <c r="AB15" i="173" s="1"/>
  <c r="AA27" i="174"/>
  <c r="AB27" i="174" s="1"/>
  <c r="AA42" i="174"/>
  <c r="AB42" i="174" s="1"/>
  <c r="AA47" i="174"/>
  <c r="AB47" i="174" s="1"/>
  <c r="AA15" i="84"/>
  <c r="AB15" i="84" s="1"/>
  <c r="AA22" i="174"/>
  <c r="AB22" i="174" s="1"/>
  <c r="AA43" i="175"/>
  <c r="AB43" i="175" s="1"/>
  <c r="AA23" i="174"/>
  <c r="AB23" i="174" s="1"/>
  <c r="AA18" i="174"/>
  <c r="AB18" i="174" s="1"/>
  <c r="AA34" i="174"/>
  <c r="AB34" i="174" s="1"/>
  <c r="AA37" i="175"/>
  <c r="AA45" i="175"/>
  <c r="AA35" i="174"/>
  <c r="AA43" i="173"/>
  <c r="AB43" i="173" s="1"/>
  <c r="AA27" i="173"/>
  <c r="AB27" i="173" s="1"/>
  <c r="AA39" i="175"/>
  <c r="AB39" i="175" s="1"/>
  <c r="AA15" i="174"/>
  <c r="AB15" i="174" s="1"/>
  <c r="AA26" i="174"/>
  <c r="AB26" i="174" s="1"/>
  <c r="AA41" i="174"/>
  <c r="AB41" i="174" s="1"/>
  <c r="AA28" i="84"/>
  <c r="AB28" i="84" s="1"/>
  <c r="X44" i="84"/>
  <c r="AA18" i="84"/>
  <c r="AB18" i="84" s="1"/>
  <c r="AA22" i="84"/>
  <c r="AB22" i="84" s="1"/>
  <c r="AA26" i="84"/>
  <c r="AB26" i="84" s="1"/>
  <c r="AA30" i="84"/>
  <c r="AB30" i="84" s="1"/>
  <c r="AA34" i="84"/>
  <c r="AB34" i="84" s="1"/>
  <c r="AA38" i="84"/>
  <c r="AB38" i="84" s="1"/>
  <c r="AA42" i="84"/>
  <c r="AB42" i="84" s="1"/>
  <c r="AA45" i="173"/>
  <c r="AB45" i="173" s="1"/>
  <c r="AA41" i="173"/>
  <c r="AB41" i="173" s="1"/>
  <c r="AA37" i="173"/>
  <c r="AB37" i="173" s="1"/>
  <c r="AA33" i="173"/>
  <c r="AB33" i="173" s="1"/>
  <c r="AA29" i="173"/>
  <c r="AB29" i="173" s="1"/>
  <c r="AA25" i="173"/>
  <c r="AB25" i="173" s="1"/>
  <c r="AA21" i="173"/>
  <c r="AB21" i="173" s="1"/>
  <c r="AA17" i="173"/>
  <c r="AB17" i="173" s="1"/>
  <c r="AA25" i="174"/>
  <c r="AB25" i="174" s="1"/>
  <c r="AA30" i="174"/>
  <c r="AB30" i="174" s="1"/>
  <c r="AA43" i="174"/>
  <c r="AB43" i="174" s="1"/>
  <c r="AA17" i="175"/>
  <c r="AB17" i="175" s="1"/>
  <c r="AA16" i="84"/>
  <c r="AB16" i="84" s="1"/>
  <c r="AA32" i="84"/>
  <c r="AB32" i="84" s="1"/>
  <c r="AA19" i="84"/>
  <c r="AB19" i="84" s="1"/>
  <c r="AA23" i="84"/>
  <c r="AB23" i="84" s="1"/>
  <c r="AA27" i="84"/>
  <c r="AB27" i="84" s="1"/>
  <c r="AA31" i="84"/>
  <c r="AB31" i="84" s="1"/>
  <c r="AA35" i="84"/>
  <c r="AB35" i="84" s="1"/>
  <c r="AA39" i="84"/>
  <c r="AB39" i="84" s="1"/>
  <c r="AA43" i="84"/>
  <c r="AB43" i="84" s="1"/>
  <c r="AA44" i="173"/>
  <c r="AB44" i="173" s="1"/>
  <c r="AA40" i="173"/>
  <c r="AB40" i="173" s="1"/>
  <c r="AA36" i="173"/>
  <c r="AB36" i="173" s="1"/>
  <c r="AA32" i="173"/>
  <c r="AB32" i="173" s="1"/>
  <c r="AA28" i="173"/>
  <c r="AB28" i="173" s="1"/>
  <c r="AA24" i="173"/>
  <c r="AB24" i="173" s="1"/>
  <c r="AA20" i="173"/>
  <c r="AB20" i="173" s="1"/>
  <c r="AA16" i="173"/>
  <c r="AB16" i="173" s="1"/>
  <c r="AB19" i="175"/>
  <c r="AA20" i="84"/>
  <c r="AB20" i="84" s="1"/>
  <c r="AA36" i="84"/>
  <c r="AB36" i="84" s="1"/>
  <c r="AA40" i="84"/>
  <c r="AB40" i="84" s="1"/>
  <c r="AA17" i="174"/>
  <c r="AB17" i="174" s="1"/>
  <c r="AA46" i="174"/>
  <c r="AB46" i="174" s="1"/>
  <c r="AA24" i="84"/>
  <c r="AB24" i="84" s="1"/>
  <c r="U44" i="84"/>
  <c r="AA17" i="84"/>
  <c r="AB17" i="84" s="1"/>
  <c r="AA21" i="84"/>
  <c r="AB21" i="84" s="1"/>
  <c r="AA25" i="84"/>
  <c r="AB25" i="84" s="1"/>
  <c r="AA29" i="84"/>
  <c r="AB29" i="84" s="1"/>
  <c r="AA33" i="84"/>
  <c r="AB33" i="84" s="1"/>
  <c r="AA37" i="84"/>
  <c r="AB37" i="84" s="1"/>
  <c r="AA41" i="84"/>
  <c r="AB41" i="84" s="1"/>
  <c r="AA46" i="173"/>
  <c r="AB46" i="173" s="1"/>
  <c r="AA42" i="173"/>
  <c r="AB42" i="173" s="1"/>
  <c r="AA38" i="173"/>
  <c r="AB38" i="173" s="1"/>
  <c r="AA34" i="173"/>
  <c r="AB34" i="173" s="1"/>
  <c r="AA30" i="173"/>
  <c r="AB30" i="173" s="1"/>
  <c r="AA26" i="173"/>
  <c r="AB26" i="173" s="1"/>
  <c r="AA22" i="173"/>
  <c r="AB22" i="173" s="1"/>
  <c r="AA18" i="173"/>
  <c r="AB18" i="173" s="1"/>
  <c r="AA31" i="174"/>
  <c r="AB31" i="174" s="1"/>
  <c r="AA45" i="174"/>
  <c r="AB45" i="174" s="1"/>
  <c r="AA22" i="175"/>
  <c r="AB22" i="175" s="1"/>
  <c r="AA24" i="175"/>
  <c r="AB24" i="175" s="1"/>
  <c r="AA21" i="175"/>
  <c r="AB21" i="175" s="1"/>
  <c r="AB37" i="175"/>
  <c r="AB45" i="175"/>
  <c r="AA15" i="175"/>
  <c r="AB15" i="175" s="1"/>
  <c r="AA26" i="175"/>
  <c r="AB26" i="175" s="1"/>
  <c r="AA30" i="175"/>
  <c r="AB30" i="175" s="1"/>
  <c r="AA32" i="175"/>
  <c r="AB32" i="175" s="1"/>
  <c r="AB41" i="175"/>
  <c r="AA34" i="175"/>
  <c r="AB34" i="175" s="1"/>
  <c r="AA18" i="175"/>
  <c r="AB18" i="175" s="1"/>
  <c r="AA33" i="175"/>
  <c r="AB33" i="175" s="1"/>
  <c r="AA20" i="175"/>
  <c r="AB20" i="175" s="1"/>
  <c r="AA44" i="175"/>
  <c r="AB44" i="175" s="1"/>
  <c r="AA46" i="175"/>
  <c r="AB46" i="175" s="1"/>
  <c r="AA31" i="175"/>
  <c r="AB31" i="175" s="1"/>
  <c r="AA29" i="175"/>
  <c r="AB29" i="175" s="1"/>
  <c r="AA38" i="175"/>
  <c r="AB38" i="175" s="1"/>
  <c r="AA16" i="175"/>
  <c r="AB16" i="175" s="1"/>
  <c r="AA40" i="175"/>
  <c r="AB40" i="175" s="1"/>
  <c r="AA25" i="175"/>
  <c r="AB25" i="175" s="1"/>
  <c r="AA23" i="175"/>
  <c r="AB23" i="175" s="1"/>
  <c r="AA42" i="175"/>
  <c r="AB42" i="175" s="1"/>
  <c r="AA27" i="175"/>
  <c r="AB27" i="175" s="1"/>
  <c r="AA36" i="175"/>
  <c r="AB36" i="175" s="1"/>
  <c r="AA28" i="175"/>
  <c r="AB28" i="175" s="1"/>
  <c r="AB35" i="174"/>
  <c r="AB39" i="174"/>
  <c r="AA19" i="174"/>
  <c r="AB19" i="174" s="1"/>
  <c r="AA16" i="174"/>
  <c r="AB16" i="174" s="1"/>
  <c r="AA20" i="174"/>
  <c r="AB20" i="174" s="1"/>
  <c r="AB21" i="174"/>
  <c r="AA24" i="174"/>
  <c r="AB24" i="174" s="1"/>
  <c r="AA28" i="174"/>
  <c r="AB28" i="174" s="1"/>
  <c r="AA32" i="174"/>
  <c r="AB32" i="174" s="1"/>
  <c r="AA36" i="174"/>
  <c r="AB36" i="174" s="1"/>
  <c r="AA40" i="174"/>
  <c r="AB40" i="174" s="1"/>
  <c r="AA44" i="174"/>
  <c r="AB44" i="174" s="1"/>
  <c r="AB29" i="174"/>
  <c r="U20" i="91" l="1"/>
  <c r="U19" i="91"/>
  <c r="U18" i="91"/>
  <c r="R26" i="91"/>
  <c r="R25" i="91"/>
  <c r="R24" i="91"/>
  <c r="R20" i="91"/>
  <c r="R19" i="91"/>
  <c r="R18" i="91"/>
  <c r="E12" i="96"/>
  <c r="F12" i="96"/>
  <c r="G12" i="96"/>
  <c r="H12" i="96"/>
  <c r="I12" i="96"/>
  <c r="J12" i="96"/>
  <c r="K12" i="96"/>
  <c r="L12" i="96"/>
  <c r="M12" i="96"/>
  <c r="N12" i="96"/>
  <c r="O12" i="96"/>
  <c r="D12" i="96"/>
  <c r="R29" i="21" l="1"/>
  <c r="U29" i="21"/>
  <c r="D62" i="148" l="1"/>
  <c r="D63" i="148"/>
  <c r="D61" i="148"/>
  <c r="D31" i="148"/>
  <c r="D32" i="148"/>
  <c r="D30" i="148"/>
  <c r="D74" i="148" l="1"/>
  <c r="D43" i="148"/>
  <c r="X14" i="175"/>
  <c r="X47" i="175" s="1"/>
  <c r="U14" i="175"/>
  <c r="U47" i="175" s="1"/>
  <c r="P14" i="175"/>
  <c r="X14" i="174"/>
  <c r="X48" i="174" s="1"/>
  <c r="U14" i="174"/>
  <c r="U48" i="174" s="1"/>
  <c r="P14" i="174"/>
  <c r="P48" i="174" l="1"/>
  <c r="P47" i="175"/>
  <c r="AA14" i="175"/>
  <c r="AA47" i="175" s="1"/>
  <c r="AA14" i="174"/>
  <c r="AA48" i="174" s="1"/>
  <c r="AB14" i="174" l="1"/>
  <c r="AB14" i="175"/>
  <c r="X14" i="173"/>
  <c r="X47" i="173" s="1"/>
  <c r="U14" i="173"/>
  <c r="U47" i="173" s="1"/>
  <c r="P14" i="173"/>
  <c r="P47" i="173" s="1"/>
  <c r="P14" i="84"/>
  <c r="P44" i="84" l="1"/>
  <c r="AA14" i="173"/>
  <c r="AA14" i="84"/>
  <c r="AA44" i="84" s="1"/>
  <c r="AA47" i="173" l="1"/>
  <c r="AB14" i="173"/>
  <c r="AB14" i="84"/>
  <c r="X29" i="89"/>
  <c r="H29" i="89"/>
  <c r="J29" i="89" s="1"/>
  <c r="L29" i="89" s="1"/>
  <c r="X28" i="89"/>
  <c r="H28" i="89"/>
  <c r="J28" i="89" s="1"/>
  <c r="L28" i="89" s="1"/>
  <c r="X27" i="89"/>
  <c r="H27" i="89"/>
  <c r="J27" i="89" s="1"/>
  <c r="L27" i="89" s="1"/>
  <c r="X26" i="89"/>
  <c r="H26" i="89"/>
  <c r="J26" i="89" s="1"/>
  <c r="L26" i="89" s="1"/>
  <c r="X25" i="89"/>
  <c r="H25" i="89"/>
  <c r="J25" i="89" s="1"/>
  <c r="L25" i="89" s="1"/>
  <c r="X24" i="89"/>
  <c r="H24" i="89"/>
  <c r="J24" i="89" s="1"/>
  <c r="L24" i="89" s="1"/>
  <c r="X23" i="89"/>
  <c r="H23" i="89"/>
  <c r="J23" i="89" s="1"/>
  <c r="L23" i="89" s="1"/>
  <c r="X22" i="89"/>
  <c r="H22" i="89"/>
  <c r="J22" i="89" s="1"/>
  <c r="L22" i="89" s="1"/>
  <c r="X21" i="89"/>
  <c r="H21" i="89"/>
  <c r="J21" i="89" s="1"/>
  <c r="L21" i="89" s="1"/>
  <c r="Y248" i="88" l="1"/>
  <c r="Y280" i="88"/>
  <c r="Y273" i="88"/>
  <c r="Y289" i="88"/>
  <c r="Y23" i="89"/>
  <c r="Y22" i="89"/>
  <c r="Y311" i="88"/>
  <c r="Y29" i="89"/>
  <c r="Y21" i="89"/>
  <c r="Y28" i="89"/>
  <c r="Y25" i="89"/>
  <c r="Y26" i="89"/>
  <c r="Y24" i="89"/>
  <c r="Y27" i="89"/>
  <c r="Y257" i="88"/>
  <c r="Y304" i="88"/>
  <c r="Y320" i="88"/>
  <c r="Y260" i="88"/>
  <c r="Y292" i="88"/>
  <c r="Y276" i="88"/>
  <c r="Y307" i="88"/>
  <c r="Y264" i="88"/>
  <c r="Y296" i="88"/>
  <c r="Y268" i="88"/>
  <c r="Y284" i="88"/>
  <c r="Y300" i="88"/>
  <c r="Y315" i="88"/>
  <c r="Y250" i="88"/>
  <c r="Y253" i="88"/>
  <c r="Y266" i="88"/>
  <c r="Y270" i="88"/>
  <c r="Y282" i="88"/>
  <c r="Y285" i="88"/>
  <c r="Y298" i="88"/>
  <c r="Y313" i="88"/>
  <c r="Y316" i="88"/>
  <c r="Y325" i="88"/>
  <c r="Y252" i="88"/>
  <c r="Y246" i="88"/>
  <c r="Y249" i="88"/>
  <c r="Y262" i="88"/>
  <c r="Y263" i="88"/>
  <c r="Y265" i="88"/>
  <c r="Y277" i="88"/>
  <c r="Y278" i="88"/>
  <c r="Y281" i="88"/>
  <c r="Y293" i="88"/>
  <c r="Y294" i="88"/>
  <c r="Y297" i="88"/>
  <c r="Y308" i="88"/>
  <c r="Y309" i="88"/>
  <c r="Y312" i="88"/>
  <c r="Y324" i="88"/>
  <c r="Y256" i="88"/>
  <c r="Y272" i="88"/>
  <c r="Y288" i="88"/>
  <c r="Y303" i="88"/>
  <c r="Y319" i="88"/>
  <c r="Y254" i="88"/>
  <c r="Y258" i="88"/>
  <c r="Y274" i="88"/>
  <c r="Y286" i="88"/>
  <c r="Y290" i="88"/>
  <c r="Y301" i="88"/>
  <c r="Y305" i="88"/>
  <c r="Y317" i="88"/>
  <c r="Y321" i="88"/>
  <c r="Y322" i="88"/>
  <c r="Y247" i="88"/>
  <c r="Y255" i="88"/>
  <c r="Y259" i="88"/>
  <c r="Y267" i="88"/>
  <c r="Y271" i="88"/>
  <c r="Y275" i="88"/>
  <c r="Y279" i="88"/>
  <c r="Y283" i="88"/>
  <c r="Y287" i="88"/>
  <c r="Y291" i="88"/>
  <c r="Y295" i="88"/>
  <c r="Y299" i="88"/>
  <c r="Y302" i="88"/>
  <c r="Y306" i="88"/>
  <c r="Y310" i="88"/>
  <c r="Y314" i="88"/>
  <c r="Y318" i="88"/>
  <c r="Y323" i="88"/>
  <c r="D72" i="148" l="1"/>
  <c r="K19" i="95" l="1"/>
  <c r="H19" i="95"/>
  <c r="K26" i="95"/>
  <c r="H26" i="95"/>
  <c r="K33" i="95"/>
  <c r="H33" i="95"/>
  <c r="K39" i="95"/>
  <c r="H39" i="95"/>
  <c r="N39" i="95" l="1"/>
  <c r="O39" i="95" s="1"/>
  <c r="N33" i="95"/>
  <c r="O33" i="95" s="1"/>
  <c r="N26" i="95"/>
  <c r="O26" i="95" s="1"/>
  <c r="N19" i="95"/>
  <c r="O19" i="95" s="1"/>
  <c r="P16" i="82" l="1"/>
  <c r="U83" i="21"/>
  <c r="R83" i="21"/>
  <c r="U73" i="21"/>
  <c r="R73" i="21" l="1"/>
  <c r="U93" i="21"/>
  <c r="R93" i="21"/>
  <c r="B68" i="141" l="1"/>
  <c r="B99" i="141" s="1"/>
  <c r="B130" i="141" s="1"/>
  <c r="B161" i="141" s="1"/>
  <c r="B69" i="141"/>
  <c r="B100" i="141" s="1"/>
  <c r="B131" i="141" s="1"/>
  <c r="B162" i="141" s="1"/>
  <c r="B67" i="141"/>
  <c r="B98" i="141" s="1"/>
  <c r="B129" i="141" s="1"/>
  <c r="B160" i="141" s="1"/>
  <c r="B47" i="141"/>
  <c r="B78" i="141" s="1"/>
  <c r="B109" i="141" s="1"/>
  <c r="B140" i="141" s="1"/>
  <c r="B48" i="141"/>
  <c r="B79" i="141" s="1"/>
  <c r="B110" i="141" s="1"/>
  <c r="B141" i="141" s="1"/>
  <c r="B49" i="141"/>
  <c r="B80" i="141" s="1"/>
  <c r="B111" i="141" s="1"/>
  <c r="B142" i="141" s="1"/>
  <c r="B50" i="141"/>
  <c r="B81" i="141" s="1"/>
  <c r="B112" i="141" s="1"/>
  <c r="B143" i="141" s="1"/>
  <c r="B51" i="141"/>
  <c r="B82" i="141" s="1"/>
  <c r="B113" i="141" s="1"/>
  <c r="B144" i="141" s="1"/>
  <c r="B52" i="141"/>
  <c r="B83" i="141" s="1"/>
  <c r="B114" i="141" s="1"/>
  <c r="B145" i="141" s="1"/>
  <c r="B53" i="141"/>
  <c r="B84" i="141" s="1"/>
  <c r="B115" i="141" s="1"/>
  <c r="B146" i="141" s="1"/>
  <c r="B54" i="141"/>
  <c r="B85" i="141" s="1"/>
  <c r="B116" i="141" s="1"/>
  <c r="B147" i="141" s="1"/>
  <c r="B55" i="141"/>
  <c r="B86" i="141" s="1"/>
  <c r="B117" i="141" s="1"/>
  <c r="B148" i="141" s="1"/>
  <c r="B56" i="141"/>
  <c r="B87" i="141" s="1"/>
  <c r="B118" i="141" s="1"/>
  <c r="B149" i="141" s="1"/>
  <c r="B57" i="141"/>
  <c r="B88" i="141" s="1"/>
  <c r="B119" i="141" s="1"/>
  <c r="B150" i="141" s="1"/>
  <c r="B46" i="141"/>
  <c r="B77" i="141" s="1"/>
  <c r="B108" i="141" s="1"/>
  <c r="B139" i="141" s="1"/>
  <c r="O15" i="172" l="1"/>
  <c r="T19" i="150" l="1"/>
  <c r="T18" i="150"/>
  <c r="T17" i="150"/>
  <c r="T16" i="150"/>
  <c r="T15" i="150"/>
  <c r="Q19" i="150"/>
  <c r="W19" i="150" s="1"/>
  <c r="Q18" i="150"/>
  <c r="Q17" i="150"/>
  <c r="Q16" i="150"/>
  <c r="Q15" i="150"/>
  <c r="N21" i="150"/>
  <c r="P21" i="150"/>
  <c r="R21" i="150"/>
  <c r="S21" i="150"/>
  <c r="U21" i="150"/>
  <c r="V21" i="150"/>
  <c r="P95" i="145"/>
  <c r="O95" i="145"/>
  <c r="N95" i="145"/>
  <c r="P94" i="145"/>
  <c r="O94" i="145"/>
  <c r="N94" i="145"/>
  <c r="P93" i="145"/>
  <c r="O93" i="145"/>
  <c r="N93" i="145"/>
  <c r="L100" i="145"/>
  <c r="L99" i="145"/>
  <c r="L98" i="145"/>
  <c r="L95" i="145"/>
  <c r="L94" i="145"/>
  <c r="L93" i="145"/>
  <c r="K90" i="145"/>
  <c r="J90" i="145"/>
  <c r="I90" i="145"/>
  <c r="L88" i="145"/>
  <c r="L87" i="145"/>
  <c r="L86" i="145"/>
  <c r="L85" i="145"/>
  <c r="L84" i="145"/>
  <c r="L83" i="145"/>
  <c r="L82" i="145"/>
  <c r="L81" i="145"/>
  <c r="L80" i="145"/>
  <c r="L79" i="145"/>
  <c r="L78" i="145"/>
  <c r="L77" i="145"/>
  <c r="U64" i="145"/>
  <c r="T64" i="145"/>
  <c r="S64" i="145"/>
  <c r="U63" i="145"/>
  <c r="T63" i="145"/>
  <c r="S63" i="145"/>
  <c r="U62" i="145"/>
  <c r="T62" i="145"/>
  <c r="S62" i="145"/>
  <c r="Q69" i="145"/>
  <c r="Q68" i="145"/>
  <c r="Q67" i="145"/>
  <c r="Q64" i="145"/>
  <c r="Q63" i="145"/>
  <c r="Q62" i="145"/>
  <c r="P59" i="145"/>
  <c r="O59" i="145"/>
  <c r="N59" i="145"/>
  <c r="Q57" i="145"/>
  <c r="Q56" i="145"/>
  <c r="Q55" i="145"/>
  <c r="Q54" i="145"/>
  <c r="Q53" i="145"/>
  <c r="Q52" i="145"/>
  <c r="Q51" i="145"/>
  <c r="Q50" i="145"/>
  <c r="Q49" i="145"/>
  <c r="Q48" i="145"/>
  <c r="Q47" i="145"/>
  <c r="Q46" i="145"/>
  <c r="L69" i="145"/>
  <c r="L68" i="145"/>
  <c r="L67" i="145"/>
  <c r="L64" i="145"/>
  <c r="L63" i="145"/>
  <c r="L62" i="145"/>
  <c r="K59" i="145"/>
  <c r="J59" i="145"/>
  <c r="I59" i="145"/>
  <c r="L57" i="145"/>
  <c r="L56" i="145"/>
  <c r="L55" i="145"/>
  <c r="L54" i="145"/>
  <c r="L53" i="145"/>
  <c r="L52" i="145"/>
  <c r="L51" i="145"/>
  <c r="L50" i="145"/>
  <c r="L49" i="145"/>
  <c r="L48" i="145"/>
  <c r="L47" i="145"/>
  <c r="L46" i="145"/>
  <c r="P95" i="143"/>
  <c r="O95" i="143"/>
  <c r="N95" i="143"/>
  <c r="P94" i="143"/>
  <c r="O94" i="143"/>
  <c r="N94" i="143"/>
  <c r="P93" i="143"/>
  <c r="O93" i="143"/>
  <c r="N93" i="143"/>
  <c r="L100" i="143"/>
  <c r="L99" i="143"/>
  <c r="L98" i="143"/>
  <c r="L95" i="143"/>
  <c r="L94" i="143"/>
  <c r="L93" i="143"/>
  <c r="K90" i="143"/>
  <c r="J90" i="143"/>
  <c r="I90" i="143"/>
  <c r="L88" i="143"/>
  <c r="L87" i="143"/>
  <c r="L86" i="143"/>
  <c r="L85" i="143"/>
  <c r="L84" i="143"/>
  <c r="L83" i="143"/>
  <c r="L82" i="143"/>
  <c r="L81" i="143"/>
  <c r="L80" i="143"/>
  <c r="L79" i="143"/>
  <c r="L78" i="143"/>
  <c r="L77" i="143"/>
  <c r="W15" i="150" l="1"/>
  <c r="E33" i="145"/>
  <c r="D32" i="145"/>
  <c r="W16" i="150"/>
  <c r="F31" i="145"/>
  <c r="D33" i="145"/>
  <c r="E32" i="145"/>
  <c r="E31" i="145"/>
  <c r="F32" i="145"/>
  <c r="D31" i="145"/>
  <c r="F33" i="145"/>
  <c r="W18" i="150"/>
  <c r="W17" i="150"/>
  <c r="Q21" i="150"/>
  <c r="T21" i="150"/>
  <c r="Q59" i="145"/>
  <c r="L90" i="145"/>
  <c r="L59" i="145"/>
  <c r="L90" i="143"/>
  <c r="U64" i="143"/>
  <c r="F33" i="143" s="1"/>
  <c r="T64" i="143"/>
  <c r="E33" i="143" s="1"/>
  <c r="S64" i="143"/>
  <c r="D33" i="143" s="1"/>
  <c r="U63" i="143"/>
  <c r="F32" i="143" s="1"/>
  <c r="T63" i="143"/>
  <c r="E32" i="143" s="1"/>
  <c r="S63" i="143"/>
  <c r="D32" i="143" s="1"/>
  <c r="U62" i="143"/>
  <c r="F31" i="143" s="1"/>
  <c r="T62" i="143"/>
  <c r="E31" i="143" s="1"/>
  <c r="S62" i="143"/>
  <c r="D31" i="143" s="1"/>
  <c r="Q69" i="143"/>
  <c r="Q68" i="143"/>
  <c r="Q67" i="143"/>
  <c r="Q64" i="143"/>
  <c r="Q63" i="143"/>
  <c r="Q62" i="143"/>
  <c r="P59" i="143"/>
  <c r="O59" i="143"/>
  <c r="N59" i="143"/>
  <c r="Q57" i="143"/>
  <c r="Q56" i="143"/>
  <c r="Q55" i="143"/>
  <c r="Q54" i="143"/>
  <c r="Q53" i="143"/>
  <c r="Q52" i="143"/>
  <c r="Q51" i="143"/>
  <c r="Q50" i="143"/>
  <c r="Q49" i="143"/>
  <c r="Q48" i="143"/>
  <c r="Q47" i="143"/>
  <c r="Q46" i="143"/>
  <c r="L69" i="143"/>
  <c r="L68" i="143"/>
  <c r="L67" i="143"/>
  <c r="L64" i="143"/>
  <c r="L63" i="143"/>
  <c r="L62" i="143"/>
  <c r="K59" i="143"/>
  <c r="J59" i="143"/>
  <c r="I59" i="143"/>
  <c r="L57" i="143"/>
  <c r="L56" i="143"/>
  <c r="L55" i="143"/>
  <c r="L54" i="143"/>
  <c r="L53" i="143"/>
  <c r="L52" i="143"/>
  <c r="L51" i="143"/>
  <c r="L50" i="143"/>
  <c r="L49" i="143"/>
  <c r="L48" i="143"/>
  <c r="L47" i="143"/>
  <c r="L46" i="143"/>
  <c r="L100" i="142"/>
  <c r="L99" i="142"/>
  <c r="L98" i="142"/>
  <c r="M95" i="142"/>
  <c r="L95" i="142"/>
  <c r="M94" i="142"/>
  <c r="L94" i="142"/>
  <c r="M93" i="142"/>
  <c r="L93" i="142"/>
  <c r="L88" i="142"/>
  <c r="L87" i="142"/>
  <c r="L86" i="142"/>
  <c r="L85" i="142"/>
  <c r="L84" i="142"/>
  <c r="L83" i="142"/>
  <c r="L82" i="142"/>
  <c r="L81" i="142"/>
  <c r="L80" i="142"/>
  <c r="L79" i="142"/>
  <c r="L78" i="142"/>
  <c r="L77" i="142"/>
  <c r="J100" i="142"/>
  <c r="I100" i="142" s="1"/>
  <c r="J99" i="142"/>
  <c r="I99" i="142" s="1"/>
  <c r="J98" i="142"/>
  <c r="I98" i="142" s="1"/>
  <c r="J95" i="142"/>
  <c r="J94" i="142"/>
  <c r="J93" i="142"/>
  <c r="J88" i="142"/>
  <c r="I88" i="142" s="1"/>
  <c r="J87" i="142"/>
  <c r="J86" i="142"/>
  <c r="I86" i="142" s="1"/>
  <c r="J85" i="142"/>
  <c r="I85" i="142" s="1"/>
  <c r="J84" i="142"/>
  <c r="I84" i="142" s="1"/>
  <c r="J83" i="142"/>
  <c r="I83" i="142" s="1"/>
  <c r="J82" i="142"/>
  <c r="I82" i="142" s="1"/>
  <c r="J81" i="142"/>
  <c r="I81" i="142" s="1"/>
  <c r="J80" i="142"/>
  <c r="I80" i="142" s="1"/>
  <c r="J79" i="142"/>
  <c r="I79" i="142" s="1"/>
  <c r="J78" i="142"/>
  <c r="I78" i="142" s="1"/>
  <c r="J77" i="142"/>
  <c r="I77" i="142" s="1"/>
  <c r="H90" i="142"/>
  <c r="I87" i="142"/>
  <c r="P69" i="142"/>
  <c r="P68" i="142"/>
  <c r="P67" i="142"/>
  <c r="Q64" i="142"/>
  <c r="P64" i="142"/>
  <c r="Q63" i="142"/>
  <c r="P63" i="142"/>
  <c r="Q62" i="142"/>
  <c r="P62" i="142"/>
  <c r="N69" i="142"/>
  <c r="N68" i="142"/>
  <c r="N67" i="142"/>
  <c r="N64" i="142"/>
  <c r="N63" i="142"/>
  <c r="N62" i="142"/>
  <c r="J69" i="142"/>
  <c r="J68" i="142"/>
  <c r="J67" i="142"/>
  <c r="J64" i="142"/>
  <c r="J63" i="142"/>
  <c r="J62" i="142"/>
  <c r="N57" i="142"/>
  <c r="M57" i="142" s="1"/>
  <c r="N56" i="142"/>
  <c r="M56" i="142" s="1"/>
  <c r="N55" i="142"/>
  <c r="M55" i="142" s="1"/>
  <c r="N54" i="142"/>
  <c r="M54" i="142" s="1"/>
  <c r="N53" i="142"/>
  <c r="M53" i="142" s="1"/>
  <c r="N52" i="142"/>
  <c r="M52" i="142" s="1"/>
  <c r="N51" i="142"/>
  <c r="M51" i="142" s="1"/>
  <c r="N50" i="142"/>
  <c r="M50" i="142" s="1"/>
  <c r="N49" i="142"/>
  <c r="M49" i="142" s="1"/>
  <c r="N48" i="142"/>
  <c r="M48" i="142" s="1"/>
  <c r="N47" i="142"/>
  <c r="M47" i="142" s="1"/>
  <c r="N46" i="142"/>
  <c r="M46" i="142" s="1"/>
  <c r="J57" i="142"/>
  <c r="I57" i="142" s="1"/>
  <c r="J56" i="142"/>
  <c r="I56" i="142" s="1"/>
  <c r="J55" i="142"/>
  <c r="I55" i="142" s="1"/>
  <c r="J54" i="142"/>
  <c r="I54" i="142" s="1"/>
  <c r="J53" i="142"/>
  <c r="I53" i="142" s="1"/>
  <c r="J52" i="142"/>
  <c r="I52" i="142" s="1"/>
  <c r="J51" i="142"/>
  <c r="I51" i="142" s="1"/>
  <c r="J50" i="142"/>
  <c r="I50" i="142" s="1"/>
  <c r="J49" i="142"/>
  <c r="I49" i="142" s="1"/>
  <c r="J48" i="142"/>
  <c r="I48" i="142" s="1"/>
  <c r="J47" i="142"/>
  <c r="I47" i="142" s="1"/>
  <c r="J46" i="142"/>
  <c r="I46" i="142" s="1"/>
  <c r="P57" i="142"/>
  <c r="P56" i="142"/>
  <c r="P55" i="142"/>
  <c r="P54" i="142"/>
  <c r="P53" i="142"/>
  <c r="P52" i="142"/>
  <c r="P51" i="142"/>
  <c r="P50" i="142"/>
  <c r="P49" i="142"/>
  <c r="P48" i="142"/>
  <c r="P47" i="142"/>
  <c r="P46" i="142"/>
  <c r="D31" i="142" l="1"/>
  <c r="D33" i="142"/>
  <c r="Q59" i="143"/>
  <c r="D37" i="142"/>
  <c r="D38" i="142"/>
  <c r="D25" i="142"/>
  <c r="D32" i="142"/>
  <c r="D15" i="142"/>
  <c r="D23" i="142"/>
  <c r="D24" i="142"/>
  <c r="D17" i="142"/>
  <c r="D18" i="142"/>
  <c r="D26" i="142"/>
  <c r="D19" i="142"/>
  <c r="D20" i="142"/>
  <c r="D36" i="142"/>
  <c r="D21" i="142"/>
  <c r="J90" i="142"/>
  <c r="D22" i="142"/>
  <c r="L90" i="142"/>
  <c r="D16" i="142"/>
  <c r="L59" i="143"/>
  <c r="I90" i="142"/>
  <c r="P59" i="142"/>
  <c r="M69" i="142"/>
  <c r="M68" i="142"/>
  <c r="M67" i="142"/>
  <c r="L59" i="142"/>
  <c r="N59" i="142"/>
  <c r="I69" i="142"/>
  <c r="I68" i="142"/>
  <c r="I67" i="142"/>
  <c r="H59" i="142"/>
  <c r="J59" i="142"/>
  <c r="I59" i="142"/>
  <c r="R100" i="141"/>
  <c r="R99" i="141"/>
  <c r="R98" i="141"/>
  <c r="S95" i="141"/>
  <c r="R95" i="141"/>
  <c r="Q95" i="141"/>
  <c r="P95" i="141"/>
  <c r="S94" i="141"/>
  <c r="R94" i="141"/>
  <c r="Q94" i="141"/>
  <c r="P94" i="141"/>
  <c r="S93" i="141"/>
  <c r="R93" i="141"/>
  <c r="Q93" i="141"/>
  <c r="P93" i="141"/>
  <c r="R88" i="141"/>
  <c r="R87" i="141"/>
  <c r="R86" i="141"/>
  <c r="R85" i="141"/>
  <c r="R84" i="141"/>
  <c r="R83" i="141"/>
  <c r="R82" i="141"/>
  <c r="R81" i="141"/>
  <c r="R80" i="141"/>
  <c r="R79" i="141"/>
  <c r="R78" i="141"/>
  <c r="R77" i="141"/>
  <c r="N100" i="141"/>
  <c r="N99" i="141"/>
  <c r="N98" i="141"/>
  <c r="N95" i="141"/>
  <c r="N94" i="141"/>
  <c r="N93" i="141"/>
  <c r="M90" i="141"/>
  <c r="K90" i="141"/>
  <c r="J90" i="141"/>
  <c r="N88" i="141"/>
  <c r="N87" i="141"/>
  <c r="N86" i="141"/>
  <c r="N85" i="141"/>
  <c r="N84" i="141"/>
  <c r="N83" i="141"/>
  <c r="N82" i="141"/>
  <c r="N81" i="141"/>
  <c r="N80" i="141"/>
  <c r="N79" i="141"/>
  <c r="N78" i="141"/>
  <c r="N77" i="141"/>
  <c r="X69" i="141"/>
  <c r="X68" i="141"/>
  <c r="X67" i="141"/>
  <c r="Y64" i="141"/>
  <c r="X64" i="141"/>
  <c r="W64" i="141"/>
  <c r="V64" i="141"/>
  <c r="Y63" i="141"/>
  <c r="X63" i="141"/>
  <c r="W63" i="141"/>
  <c r="V63" i="141"/>
  <c r="Y62" i="141"/>
  <c r="X62" i="141"/>
  <c r="W62" i="141"/>
  <c r="V62" i="141"/>
  <c r="Q59" i="141"/>
  <c r="R59" i="141"/>
  <c r="S59" i="141"/>
  <c r="K59" i="141"/>
  <c r="L59" i="141"/>
  <c r="M59" i="141"/>
  <c r="F59" i="141"/>
  <c r="X57" i="141"/>
  <c r="X56" i="141"/>
  <c r="X55" i="141"/>
  <c r="X54" i="141"/>
  <c r="X53" i="141"/>
  <c r="X52" i="141"/>
  <c r="X51" i="141"/>
  <c r="X50" i="141"/>
  <c r="X49" i="141"/>
  <c r="X48" i="141"/>
  <c r="X47" i="141"/>
  <c r="X46" i="141"/>
  <c r="T69" i="141"/>
  <c r="T68" i="141"/>
  <c r="T67" i="141"/>
  <c r="T64" i="141"/>
  <c r="T63" i="141"/>
  <c r="T62" i="141"/>
  <c r="P59" i="141"/>
  <c r="T57" i="141"/>
  <c r="T56" i="141"/>
  <c r="T55" i="141"/>
  <c r="T54" i="141"/>
  <c r="T53" i="141"/>
  <c r="T52" i="141"/>
  <c r="T51" i="141"/>
  <c r="T50" i="141"/>
  <c r="T49" i="141"/>
  <c r="T48" i="141"/>
  <c r="T47" i="141"/>
  <c r="T46" i="141"/>
  <c r="N69" i="141"/>
  <c r="N68" i="141"/>
  <c r="N67" i="141"/>
  <c r="N64" i="141"/>
  <c r="N63" i="141"/>
  <c r="N62" i="141"/>
  <c r="J59" i="141"/>
  <c r="N57" i="141"/>
  <c r="N56" i="141"/>
  <c r="N55" i="141"/>
  <c r="N54" i="141"/>
  <c r="N53" i="141"/>
  <c r="N52" i="141"/>
  <c r="N51" i="141"/>
  <c r="N50" i="141"/>
  <c r="N49" i="141"/>
  <c r="N48" i="141"/>
  <c r="N47" i="141"/>
  <c r="N46" i="141"/>
  <c r="E32" i="141" l="1"/>
  <c r="D33" i="141"/>
  <c r="F33" i="142" s="1"/>
  <c r="E33" i="142" s="1"/>
  <c r="E33" i="141"/>
  <c r="D32" i="141"/>
  <c r="F32" i="142" s="1"/>
  <c r="E32" i="142" s="1"/>
  <c r="E31" i="141"/>
  <c r="D31" i="141"/>
  <c r="F31" i="142" s="1"/>
  <c r="E31" i="142" s="1"/>
  <c r="X59" i="141"/>
  <c r="F16" i="141"/>
  <c r="F17" i="141"/>
  <c r="F18" i="141"/>
  <c r="F19" i="141"/>
  <c r="F20" i="141"/>
  <c r="F21" i="141"/>
  <c r="F22" i="141"/>
  <c r="F23" i="141"/>
  <c r="F24" i="141"/>
  <c r="F25" i="141"/>
  <c r="F26" i="141"/>
  <c r="F31" i="141"/>
  <c r="F32" i="141"/>
  <c r="F33" i="141"/>
  <c r="F36" i="141"/>
  <c r="F37" i="141"/>
  <c r="F38" i="141"/>
  <c r="T94" i="141"/>
  <c r="G32" i="141"/>
  <c r="G31" i="141"/>
  <c r="G33" i="141"/>
  <c r="N59" i="141"/>
  <c r="T59" i="141"/>
  <c r="T93" i="141"/>
  <c r="F15" i="141"/>
  <c r="Z63" i="141"/>
  <c r="M59" i="142"/>
  <c r="Z62" i="141"/>
  <c r="Z64" i="141"/>
  <c r="T95" i="141"/>
  <c r="N90" i="141"/>
  <c r="Q76" i="87" l="1"/>
  <c r="Q19" i="90" s="1"/>
  <c r="W76" i="87"/>
  <c r="W19" i="90" s="1"/>
  <c r="Q32" i="89"/>
  <c r="Q17" i="90" s="1"/>
  <c r="W32" i="89"/>
  <c r="W17" i="90" s="1"/>
  <c r="Q27" i="91"/>
  <c r="Q21" i="91"/>
  <c r="W21" i="91"/>
  <c r="R17" i="92"/>
  <c r="Q20" i="92"/>
  <c r="W20" i="92"/>
  <c r="Q30" i="91" l="1"/>
  <c r="L84" i="138"/>
  <c r="Q21" i="90"/>
  <c r="Q19" i="94" s="1"/>
  <c r="W21" i="90"/>
  <c r="W19" i="94" s="1"/>
  <c r="W26" i="93"/>
  <c r="W17" i="94" s="1"/>
  <c r="R23" i="93"/>
  <c r="R22" i="93"/>
  <c r="R21" i="93"/>
  <c r="R20" i="93"/>
  <c r="R19" i="93"/>
  <c r="R18" i="93"/>
  <c r="R17" i="93"/>
  <c r="Q26" i="93"/>
  <c r="Q17" i="94" s="1"/>
  <c r="H40" i="95"/>
  <c r="H38" i="95"/>
  <c r="H37" i="95"/>
  <c r="H34" i="95"/>
  <c r="H32" i="95"/>
  <c r="H31" i="95"/>
  <c r="H27" i="95"/>
  <c r="H25" i="95"/>
  <c r="H24" i="95"/>
  <c r="H20" i="95"/>
  <c r="H18" i="95"/>
  <c r="H17" i="95"/>
  <c r="Q18" i="94" l="1"/>
  <c r="Q21" i="94" s="1"/>
  <c r="Q6" i="138"/>
  <c r="R6" i="138"/>
  <c r="Q7" i="138"/>
  <c r="R7" i="138"/>
  <c r="Q8" i="138"/>
  <c r="R8" i="138"/>
  <c r="Q9" i="138"/>
  <c r="R9" i="138"/>
  <c r="Q10" i="138"/>
  <c r="R10" i="138"/>
  <c r="Q11" i="138"/>
  <c r="R11" i="138"/>
  <c r="Q12" i="138"/>
  <c r="R12" i="138"/>
  <c r="Q13" i="138"/>
  <c r="R13" i="138"/>
  <c r="Q39" i="138"/>
  <c r="R39" i="138"/>
  <c r="R40" i="138"/>
  <c r="Q43" i="138"/>
  <c r="R43" i="138"/>
  <c r="Q44" i="138"/>
  <c r="R44" i="138"/>
  <c r="Q45" i="138"/>
  <c r="R45" i="138"/>
  <c r="Q47" i="138"/>
  <c r="R47" i="138"/>
  <c r="Q48" i="138"/>
  <c r="R48" i="138"/>
  <c r="Q49" i="138"/>
  <c r="R49" i="138"/>
  <c r="Q50" i="138"/>
  <c r="R50" i="138"/>
  <c r="Q51" i="138"/>
  <c r="R51" i="138"/>
  <c r="Q52" i="138"/>
  <c r="R52" i="138"/>
  <c r="Q53" i="138"/>
  <c r="R53" i="138"/>
  <c r="Q56" i="138"/>
  <c r="R56" i="138"/>
  <c r="Q62" i="138"/>
  <c r="R62" i="138"/>
  <c r="N6" i="138"/>
  <c r="O6" i="138"/>
  <c r="N7" i="138"/>
  <c r="O7" i="138"/>
  <c r="N8" i="138"/>
  <c r="O8" i="138"/>
  <c r="O9" i="138"/>
  <c r="N10" i="138"/>
  <c r="O10" i="138"/>
  <c r="O11" i="138"/>
  <c r="N12" i="138"/>
  <c r="O12" i="138"/>
  <c r="N13" i="138"/>
  <c r="O13" i="138"/>
  <c r="N39" i="138"/>
  <c r="O39" i="138"/>
  <c r="N40" i="138"/>
  <c r="O40" i="138"/>
  <c r="N43" i="138"/>
  <c r="O43" i="138"/>
  <c r="N44" i="138"/>
  <c r="O44" i="138"/>
  <c r="N45" i="138"/>
  <c r="O45" i="138"/>
  <c r="N47" i="138"/>
  <c r="O47" i="138"/>
  <c r="N48" i="138"/>
  <c r="O48" i="138"/>
  <c r="N49" i="138"/>
  <c r="O49" i="138"/>
  <c r="P49" i="138"/>
  <c r="N50" i="138"/>
  <c r="O50" i="138"/>
  <c r="P50" i="138"/>
  <c r="N51" i="138"/>
  <c r="O51" i="138"/>
  <c r="P51" i="138"/>
  <c r="N52" i="138"/>
  <c r="O52" i="138"/>
  <c r="P52" i="138"/>
  <c r="N53" i="138"/>
  <c r="O53" i="138"/>
  <c r="P53" i="138"/>
  <c r="N56" i="138"/>
  <c r="O56" i="138"/>
  <c r="N62" i="138"/>
  <c r="O62" i="138"/>
  <c r="K6" i="138"/>
  <c r="L6" i="138"/>
  <c r="K7" i="138"/>
  <c r="L7" i="138"/>
  <c r="K8" i="138"/>
  <c r="L8" i="138"/>
  <c r="L9" i="138"/>
  <c r="K10" i="138"/>
  <c r="L10" i="138"/>
  <c r="M10" i="138"/>
  <c r="K11" i="138"/>
  <c r="L11" i="138"/>
  <c r="K12" i="138"/>
  <c r="L12" i="138"/>
  <c r="K13" i="138"/>
  <c r="L13" i="138"/>
  <c r="K39" i="138"/>
  <c r="L39" i="138"/>
  <c r="M39" i="138"/>
  <c r="K40" i="138"/>
  <c r="L40" i="138"/>
  <c r="M40" i="138"/>
  <c r="K43" i="138"/>
  <c r="L43" i="138"/>
  <c r="M43" i="138"/>
  <c r="K44" i="138"/>
  <c r="L44" i="138"/>
  <c r="M44" i="138"/>
  <c r="K45" i="138"/>
  <c r="L45" i="138"/>
  <c r="M45" i="138"/>
  <c r="M46" i="138"/>
  <c r="K47" i="138"/>
  <c r="L47" i="138"/>
  <c r="M47" i="138"/>
  <c r="K48" i="138"/>
  <c r="L48" i="138"/>
  <c r="M48" i="138"/>
  <c r="K49" i="138"/>
  <c r="L49" i="138"/>
  <c r="M49" i="138"/>
  <c r="K50" i="138"/>
  <c r="L50" i="138"/>
  <c r="M50" i="138"/>
  <c r="K51" i="138"/>
  <c r="L51" i="138"/>
  <c r="M51" i="138"/>
  <c r="K52" i="138"/>
  <c r="L52" i="138"/>
  <c r="M52" i="138"/>
  <c r="K53" i="138"/>
  <c r="L53" i="138"/>
  <c r="M53" i="138"/>
  <c r="K56" i="138"/>
  <c r="L56" i="138"/>
  <c r="K62" i="138"/>
  <c r="L62" i="138"/>
  <c r="M62" i="138"/>
  <c r="M56" i="138"/>
  <c r="X97" i="21"/>
  <c r="X96" i="21"/>
  <c r="X95" i="21"/>
  <c r="X94" i="21"/>
  <c r="X93" i="21"/>
  <c r="U17" i="21"/>
  <c r="M13" i="138"/>
  <c r="M11" i="138"/>
  <c r="M8" i="138"/>
  <c r="M7" i="138"/>
  <c r="Q99" i="21"/>
  <c r="Q89" i="21"/>
  <c r="Q26" i="21"/>
  <c r="W99" i="21"/>
  <c r="W89" i="21"/>
  <c r="W26" i="21"/>
  <c r="P6" i="138" l="1"/>
  <c r="S50" i="138"/>
  <c r="U50" i="138" s="1"/>
  <c r="Q77" i="138"/>
  <c r="K77" i="138"/>
  <c r="R76" i="138"/>
  <c r="S52" i="138"/>
  <c r="M76" i="138"/>
  <c r="O76" i="138"/>
  <c r="L77" i="138"/>
  <c r="K76" i="138"/>
  <c r="O77" i="138"/>
  <c r="S51" i="138"/>
  <c r="N77" i="138"/>
  <c r="S53" i="138"/>
  <c r="S49" i="138"/>
  <c r="M77" i="138"/>
  <c r="L76" i="138"/>
  <c r="P77" i="138"/>
  <c r="N76" i="138"/>
  <c r="R77" i="138"/>
  <c r="L69" i="138"/>
  <c r="O69" i="138"/>
  <c r="R69" i="138"/>
  <c r="Q69" i="138"/>
  <c r="U52" i="138" l="1"/>
  <c r="U49" i="138"/>
  <c r="U53" i="138"/>
  <c r="U51" i="138"/>
  <c r="S77" i="138"/>
  <c r="X17" i="87"/>
  <c r="T76" i="87"/>
  <c r="T19" i="90" s="1"/>
  <c r="P76" i="87"/>
  <c r="P19" i="90" s="1"/>
  <c r="T32" i="89"/>
  <c r="T17" i="90" s="1"/>
  <c r="X20" i="89"/>
  <c r="X19" i="89"/>
  <c r="X18" i="89"/>
  <c r="X17" i="89"/>
  <c r="P32" i="89"/>
  <c r="P17" i="90" s="1"/>
  <c r="X19" i="91"/>
  <c r="X18" i="91"/>
  <c r="T27" i="91"/>
  <c r="T21" i="91"/>
  <c r="P27" i="91"/>
  <c r="P21" i="91"/>
  <c r="U17" i="92"/>
  <c r="T20" i="92"/>
  <c r="P20" i="92"/>
  <c r="U23" i="93"/>
  <c r="X23" i="93" s="1"/>
  <c r="U22" i="93"/>
  <c r="X22" i="93" s="1"/>
  <c r="U21" i="93"/>
  <c r="X21" i="93" s="1"/>
  <c r="U20" i="93"/>
  <c r="X20" i="93" s="1"/>
  <c r="U19" i="93"/>
  <c r="X19" i="93" s="1"/>
  <c r="U18" i="93"/>
  <c r="X18" i="93" s="1"/>
  <c r="U17" i="93"/>
  <c r="X17" i="93" s="1"/>
  <c r="T26" i="93"/>
  <c r="T17" i="94" s="1"/>
  <c r="P26" i="93"/>
  <c r="P17" i="94" s="1"/>
  <c r="K40" i="95"/>
  <c r="N40" i="95" s="1"/>
  <c r="O40" i="95" s="1"/>
  <c r="K38" i="95"/>
  <c r="N38" i="95" s="1"/>
  <c r="K37" i="95"/>
  <c r="N37" i="95" s="1"/>
  <c r="K34" i="95"/>
  <c r="N34" i="95" s="1"/>
  <c r="K32" i="95"/>
  <c r="N32" i="95" s="1"/>
  <c r="K31" i="95"/>
  <c r="N31" i="95" s="1"/>
  <c r="K27" i="95"/>
  <c r="N27" i="95" s="1"/>
  <c r="K25" i="95"/>
  <c r="N25" i="95" s="1"/>
  <c r="K24" i="95"/>
  <c r="N24" i="95" s="1"/>
  <c r="K20" i="95"/>
  <c r="N20" i="95" s="1"/>
  <c r="K18" i="95"/>
  <c r="N18" i="95" s="1"/>
  <c r="K17" i="95"/>
  <c r="N17" i="95" s="1"/>
  <c r="T99" i="21"/>
  <c r="T89" i="21"/>
  <c r="T26" i="21"/>
  <c r="P99" i="21"/>
  <c r="P89" i="21"/>
  <c r="T30" i="91" l="1"/>
  <c r="P30" i="91"/>
  <c r="U77" i="138"/>
  <c r="X20" i="91"/>
  <c r="U20" i="92"/>
  <c r="X17" i="92"/>
  <c r="T21" i="90"/>
  <c r="T19" i="94" s="1"/>
  <c r="X25" i="91"/>
  <c r="P56" i="138"/>
  <c r="X19" i="20"/>
  <c r="P62" i="138"/>
  <c r="X25" i="20"/>
  <c r="X84" i="21"/>
  <c r="P45" i="138"/>
  <c r="P47" i="138"/>
  <c r="X86" i="21"/>
  <c r="P46" i="138"/>
  <c r="P44" i="138"/>
  <c r="X83" i="21"/>
  <c r="P48" i="138"/>
  <c r="X87" i="21"/>
  <c r="P39" i="138"/>
  <c r="X73" i="21"/>
  <c r="X77" i="21"/>
  <c r="P43" i="138"/>
  <c r="P40" i="138"/>
  <c r="P12" i="138"/>
  <c r="P13" i="138"/>
  <c r="X24" i="21"/>
  <c r="P8" i="138"/>
  <c r="X19" i="21"/>
  <c r="P10" i="138"/>
  <c r="X21" i="21"/>
  <c r="P7" i="138"/>
  <c r="X18" i="21"/>
  <c r="U27" i="91"/>
  <c r="R20" i="92"/>
  <c r="U89" i="21"/>
  <c r="U99" i="21"/>
  <c r="U32" i="89"/>
  <c r="U17" i="90" s="1"/>
  <c r="R21" i="91"/>
  <c r="P21" i="90"/>
  <c r="P19" i="94" s="1"/>
  <c r="R32" i="89"/>
  <c r="R17" i="90" s="1"/>
  <c r="R89" i="21"/>
  <c r="R27" i="91"/>
  <c r="R26" i="93"/>
  <c r="R17" i="94" s="1"/>
  <c r="R99" i="21"/>
  <c r="U26" i="93"/>
  <c r="U17" i="94" s="1"/>
  <c r="U21" i="91"/>
  <c r="R76" i="87"/>
  <c r="R19" i="90" s="1"/>
  <c r="U76" i="87"/>
  <c r="U19" i="90" s="1"/>
  <c r="U30" i="91" l="1"/>
  <c r="R30" i="91"/>
  <c r="S8" i="138"/>
  <c r="U8" i="138" s="1"/>
  <c r="S47" i="138"/>
  <c r="U47" i="138" s="1"/>
  <c r="S7" i="138"/>
  <c r="U7" i="138" s="1"/>
  <c r="S48" i="138"/>
  <c r="U48" i="138" s="1"/>
  <c r="S62" i="138"/>
  <c r="U62" i="138" s="1"/>
  <c r="S10" i="138"/>
  <c r="U10" i="138" s="1"/>
  <c r="S13" i="138"/>
  <c r="U13" i="138" s="1"/>
  <c r="S45" i="138"/>
  <c r="U45" i="138" s="1"/>
  <c r="S43" i="138"/>
  <c r="U43" i="138" s="1"/>
  <c r="S56" i="138"/>
  <c r="U56" i="138" s="1"/>
  <c r="P76" i="138"/>
  <c r="S44" i="138"/>
  <c r="S39" i="138"/>
  <c r="P18" i="94"/>
  <c r="P21" i="94" s="1"/>
  <c r="K84" i="138"/>
  <c r="O84" i="138"/>
  <c r="T18" i="94"/>
  <c r="T21" i="94" s="1"/>
  <c r="U21" i="90"/>
  <c r="U19" i="94" s="1"/>
  <c r="R21" i="90"/>
  <c r="R19" i="94" s="1"/>
  <c r="U44" i="138" l="1"/>
  <c r="U39" i="138"/>
  <c r="P84" i="138"/>
  <c r="U18" i="94"/>
  <c r="U21" i="94" s="1"/>
  <c r="M84" i="138"/>
  <c r="R18" i="94"/>
  <c r="R21" i="94" l="1"/>
  <c r="N28" i="165" l="1"/>
  <c r="N27" i="165"/>
  <c r="N26" i="165"/>
  <c r="N25" i="165"/>
  <c r="N24" i="165"/>
  <c r="N23" i="165"/>
  <c r="N22" i="165"/>
  <c r="N21" i="165"/>
  <c r="N20" i="165"/>
  <c r="N19" i="165"/>
  <c r="N17" i="165"/>
  <c r="N18" i="165"/>
  <c r="D53" i="172" l="1"/>
  <c r="E53" i="172"/>
  <c r="F53" i="172"/>
  <c r="G53" i="172"/>
  <c r="H53" i="172"/>
  <c r="I53" i="172"/>
  <c r="J53" i="172"/>
  <c r="K53" i="172"/>
  <c r="L53" i="172"/>
  <c r="M53" i="172"/>
  <c r="N53" i="172"/>
  <c r="C53" i="172"/>
  <c r="D33" i="172"/>
  <c r="E33" i="172"/>
  <c r="F33" i="172"/>
  <c r="G33" i="172"/>
  <c r="H33" i="172"/>
  <c r="I33" i="172"/>
  <c r="J33" i="172"/>
  <c r="K33" i="172"/>
  <c r="L33" i="172"/>
  <c r="M33" i="172"/>
  <c r="N33" i="172"/>
  <c r="C33" i="172"/>
  <c r="D18" i="172"/>
  <c r="E18" i="172"/>
  <c r="F18" i="172"/>
  <c r="G18" i="172"/>
  <c r="H18" i="172"/>
  <c r="I18" i="172"/>
  <c r="J18" i="172"/>
  <c r="K18" i="172"/>
  <c r="L18" i="172"/>
  <c r="M18" i="172"/>
  <c r="N18" i="172"/>
  <c r="C18" i="172"/>
  <c r="O55" i="172" l="1"/>
  <c r="E32" i="164"/>
  <c r="D75" i="157" l="1"/>
  <c r="D49" i="157"/>
  <c r="G15" i="163" l="1"/>
  <c r="G25" i="163" s="1"/>
  <c r="O37" i="95" l="1"/>
  <c r="O24" i="95"/>
  <c r="O18" i="95"/>
  <c r="O38" i="95" l="1"/>
  <c r="O31" i="95"/>
  <c r="O32" i="95"/>
  <c r="O34" i="95"/>
  <c r="O25" i="95"/>
  <c r="O27" i="95"/>
  <c r="O17" i="95"/>
  <c r="O20" i="95"/>
  <c r="F28" i="20" l="1"/>
  <c r="F29" i="20"/>
  <c r="A160" i="145" l="1"/>
  <c r="A159" i="145"/>
  <c r="A158" i="145"/>
  <c r="A157" i="145"/>
  <c r="A156" i="145"/>
  <c r="A155" i="145"/>
  <c r="A154" i="145"/>
  <c r="A153" i="145"/>
  <c r="A152" i="145"/>
  <c r="A151" i="145"/>
  <c r="A150" i="145"/>
  <c r="A149" i="145"/>
  <c r="A148" i="145"/>
  <c r="A147" i="145"/>
  <c r="A146" i="145"/>
  <c r="A145" i="145"/>
  <c r="A144" i="145"/>
  <c r="A143" i="145"/>
  <c r="A142" i="145"/>
  <c r="A141" i="145"/>
  <c r="A140" i="145"/>
  <c r="A139" i="145"/>
  <c r="A131" i="145"/>
  <c r="A130" i="145"/>
  <c r="A129" i="145"/>
  <c r="A128" i="145"/>
  <c r="A127" i="145"/>
  <c r="A126" i="145"/>
  <c r="A125" i="145"/>
  <c r="A124" i="145"/>
  <c r="A123" i="145"/>
  <c r="A122" i="145"/>
  <c r="A121" i="145"/>
  <c r="A120" i="145"/>
  <c r="A119" i="145"/>
  <c r="A118" i="145"/>
  <c r="A117" i="145"/>
  <c r="A116" i="145"/>
  <c r="A115" i="145"/>
  <c r="A114" i="145"/>
  <c r="A113" i="145"/>
  <c r="A112" i="145"/>
  <c r="A111" i="145"/>
  <c r="A110" i="145"/>
  <c r="A109" i="145"/>
  <c r="A108" i="145"/>
  <c r="A100" i="145"/>
  <c r="A99" i="145"/>
  <c r="A98" i="145"/>
  <c r="A97" i="145"/>
  <c r="A96" i="145"/>
  <c r="A95" i="145"/>
  <c r="A94" i="145"/>
  <c r="A93" i="145"/>
  <c r="A92" i="145"/>
  <c r="A91" i="145"/>
  <c r="A90" i="145"/>
  <c r="A89" i="145"/>
  <c r="A88" i="145"/>
  <c r="A87" i="145"/>
  <c r="A86" i="145"/>
  <c r="A85" i="145"/>
  <c r="A84" i="145"/>
  <c r="A83" i="145"/>
  <c r="A82" i="145"/>
  <c r="A81" i="145"/>
  <c r="A80" i="145"/>
  <c r="A79" i="145"/>
  <c r="A78" i="145"/>
  <c r="A77" i="145"/>
  <c r="A69" i="145"/>
  <c r="A68" i="145"/>
  <c r="A67" i="145"/>
  <c r="A66" i="145"/>
  <c r="A65" i="145"/>
  <c r="A64" i="145"/>
  <c r="A63" i="145"/>
  <c r="A62" i="145"/>
  <c r="A61" i="145"/>
  <c r="A60" i="145"/>
  <c r="A59" i="145"/>
  <c r="A58" i="145"/>
  <c r="A57" i="145"/>
  <c r="A56" i="145"/>
  <c r="A55" i="145"/>
  <c r="A54" i="145"/>
  <c r="A53" i="145"/>
  <c r="A52" i="145"/>
  <c r="A51" i="145"/>
  <c r="A50" i="145"/>
  <c r="A49" i="145"/>
  <c r="A48" i="145"/>
  <c r="A47" i="145"/>
  <c r="A46" i="145"/>
  <c r="B38" i="145"/>
  <c r="B69" i="145" s="1"/>
  <c r="B100" i="145" s="1"/>
  <c r="B131" i="145" s="1"/>
  <c r="B162" i="145" s="1"/>
  <c r="A38" i="145"/>
  <c r="B37" i="145"/>
  <c r="B68" i="145" s="1"/>
  <c r="B99" i="145" s="1"/>
  <c r="B130" i="145" s="1"/>
  <c r="B161" i="145" s="1"/>
  <c r="A37" i="145"/>
  <c r="B36" i="145"/>
  <c r="B67" i="145" s="1"/>
  <c r="B98" i="145" s="1"/>
  <c r="B129" i="145" s="1"/>
  <c r="B160" i="145" s="1"/>
  <c r="A36" i="145"/>
  <c r="A35" i="145"/>
  <c r="A34" i="145"/>
  <c r="A33" i="145"/>
  <c r="A32" i="145"/>
  <c r="A31" i="145"/>
  <c r="A30" i="145"/>
  <c r="A29" i="145"/>
  <c r="A28" i="145"/>
  <c r="A27" i="145"/>
  <c r="B26" i="145"/>
  <c r="B57" i="145" s="1"/>
  <c r="B88" i="145" s="1"/>
  <c r="B119" i="145" s="1"/>
  <c r="B150" i="145" s="1"/>
  <c r="A26" i="145"/>
  <c r="B25" i="145"/>
  <c r="B56" i="145" s="1"/>
  <c r="B87" i="145" s="1"/>
  <c r="B118" i="145" s="1"/>
  <c r="B149" i="145" s="1"/>
  <c r="A25" i="145"/>
  <c r="B24" i="145"/>
  <c r="B55" i="145" s="1"/>
  <c r="B86" i="145" s="1"/>
  <c r="B117" i="145" s="1"/>
  <c r="B148" i="145" s="1"/>
  <c r="A24" i="145"/>
  <c r="B23" i="145"/>
  <c r="B54" i="145" s="1"/>
  <c r="B85" i="145" s="1"/>
  <c r="B116" i="145" s="1"/>
  <c r="B147" i="145" s="1"/>
  <c r="A23" i="145"/>
  <c r="B22" i="145"/>
  <c r="B53" i="145" s="1"/>
  <c r="B84" i="145" s="1"/>
  <c r="B115" i="145" s="1"/>
  <c r="B146" i="145" s="1"/>
  <c r="A22" i="145"/>
  <c r="B21" i="145"/>
  <c r="B52" i="145" s="1"/>
  <c r="B83" i="145" s="1"/>
  <c r="B114" i="145" s="1"/>
  <c r="B145" i="145" s="1"/>
  <c r="A21" i="145"/>
  <c r="B20" i="145"/>
  <c r="B51" i="145" s="1"/>
  <c r="B82" i="145" s="1"/>
  <c r="B113" i="145" s="1"/>
  <c r="B144" i="145" s="1"/>
  <c r="A20" i="145"/>
  <c r="B19" i="145"/>
  <c r="B50" i="145" s="1"/>
  <c r="B81" i="145" s="1"/>
  <c r="B112" i="145" s="1"/>
  <c r="B143" i="145" s="1"/>
  <c r="A19" i="145"/>
  <c r="B18" i="145"/>
  <c r="B49" i="145" s="1"/>
  <c r="B80" i="145" s="1"/>
  <c r="B111" i="145" s="1"/>
  <c r="B142" i="145" s="1"/>
  <c r="A18" i="145"/>
  <c r="B17" i="145"/>
  <c r="B48" i="145" s="1"/>
  <c r="B79" i="145" s="1"/>
  <c r="B110" i="145" s="1"/>
  <c r="B141" i="145" s="1"/>
  <c r="A17" i="145"/>
  <c r="B16" i="145"/>
  <c r="B47" i="145" s="1"/>
  <c r="B78" i="145" s="1"/>
  <c r="B109" i="145" s="1"/>
  <c r="B140" i="145" s="1"/>
  <c r="A16" i="145"/>
  <c r="B15" i="145"/>
  <c r="B46" i="145" s="1"/>
  <c r="B77" i="145" s="1"/>
  <c r="B108" i="145" s="1"/>
  <c r="B139" i="145" s="1"/>
  <c r="A15" i="145"/>
  <c r="A162" i="143" l="1"/>
  <c r="A161" i="143"/>
  <c r="A160" i="143"/>
  <c r="A159" i="143"/>
  <c r="A158" i="143"/>
  <c r="A157" i="143"/>
  <c r="A156" i="143"/>
  <c r="A155" i="143"/>
  <c r="A154" i="143"/>
  <c r="A153" i="143"/>
  <c r="A152" i="143"/>
  <c r="A151" i="143"/>
  <c r="A150" i="143"/>
  <c r="A149" i="143"/>
  <c r="A148" i="143"/>
  <c r="A147" i="143"/>
  <c r="A146" i="143"/>
  <c r="A145" i="143"/>
  <c r="A144" i="143"/>
  <c r="A143" i="143"/>
  <c r="A142" i="143"/>
  <c r="A141" i="143"/>
  <c r="A140" i="143"/>
  <c r="A139" i="143"/>
  <c r="A131" i="143"/>
  <c r="A130" i="143"/>
  <c r="A129" i="143"/>
  <c r="A128" i="143"/>
  <c r="A127" i="143"/>
  <c r="A126" i="143"/>
  <c r="A125" i="143"/>
  <c r="A124" i="143"/>
  <c r="A123" i="143"/>
  <c r="A122" i="143"/>
  <c r="A121" i="143"/>
  <c r="A120" i="143"/>
  <c r="A119" i="143"/>
  <c r="A118" i="143"/>
  <c r="A117" i="143"/>
  <c r="A116" i="143"/>
  <c r="A115" i="143"/>
  <c r="A114" i="143"/>
  <c r="A113" i="143"/>
  <c r="A112" i="143"/>
  <c r="A111" i="143"/>
  <c r="A110" i="143"/>
  <c r="A109" i="143"/>
  <c r="A108" i="143"/>
  <c r="A100" i="143"/>
  <c r="A99" i="143"/>
  <c r="A98" i="143"/>
  <c r="A97" i="143"/>
  <c r="A96" i="143"/>
  <c r="A95" i="143"/>
  <c r="A94" i="143"/>
  <c r="A93" i="143"/>
  <c r="A92" i="143"/>
  <c r="A91" i="143"/>
  <c r="A90" i="143"/>
  <c r="A89" i="143"/>
  <c r="A88" i="143"/>
  <c r="A87" i="143"/>
  <c r="A86" i="143"/>
  <c r="A85" i="143"/>
  <c r="A84" i="143"/>
  <c r="A83" i="143"/>
  <c r="A82" i="143"/>
  <c r="A81" i="143"/>
  <c r="A80" i="143"/>
  <c r="A79" i="143"/>
  <c r="A78" i="143"/>
  <c r="A77" i="143"/>
  <c r="A69" i="143"/>
  <c r="A68" i="143"/>
  <c r="A67" i="143"/>
  <c r="A66" i="143"/>
  <c r="A65" i="143"/>
  <c r="A64" i="143"/>
  <c r="A63" i="143"/>
  <c r="A62" i="143"/>
  <c r="A61" i="143"/>
  <c r="A60" i="143"/>
  <c r="A59" i="143"/>
  <c r="A58" i="143"/>
  <c r="A57" i="143"/>
  <c r="A56" i="143"/>
  <c r="A55" i="143"/>
  <c r="A54" i="143"/>
  <c r="A53" i="143"/>
  <c r="A52" i="143"/>
  <c r="A51" i="143"/>
  <c r="A50" i="143"/>
  <c r="A49" i="143"/>
  <c r="A48" i="143"/>
  <c r="A47" i="143"/>
  <c r="A46" i="143"/>
  <c r="B38" i="143"/>
  <c r="B69" i="143" s="1"/>
  <c r="B100" i="143" s="1"/>
  <c r="B131" i="143" s="1"/>
  <c r="B162" i="143" s="1"/>
  <c r="A38" i="143"/>
  <c r="B37" i="143"/>
  <c r="B68" i="143" s="1"/>
  <c r="B99" i="143" s="1"/>
  <c r="B130" i="143" s="1"/>
  <c r="B161" i="143" s="1"/>
  <c r="A37" i="143"/>
  <c r="B36" i="143"/>
  <c r="B67" i="143" s="1"/>
  <c r="B98" i="143" s="1"/>
  <c r="B129" i="143" s="1"/>
  <c r="B160" i="143" s="1"/>
  <c r="A36" i="143"/>
  <c r="A35" i="143"/>
  <c r="A34" i="143"/>
  <c r="A33" i="143"/>
  <c r="A32" i="143"/>
  <c r="A31" i="143"/>
  <c r="A30" i="143"/>
  <c r="A29" i="143"/>
  <c r="A28" i="143"/>
  <c r="A27" i="143"/>
  <c r="B26" i="143"/>
  <c r="B57" i="143" s="1"/>
  <c r="B88" i="143" s="1"/>
  <c r="B119" i="143" s="1"/>
  <c r="B150" i="143" s="1"/>
  <c r="A26" i="143"/>
  <c r="B25" i="143"/>
  <c r="B56" i="143" s="1"/>
  <c r="B87" i="143" s="1"/>
  <c r="B118" i="143" s="1"/>
  <c r="B149" i="143" s="1"/>
  <c r="A25" i="143"/>
  <c r="B24" i="143"/>
  <c r="B55" i="143" s="1"/>
  <c r="B86" i="143" s="1"/>
  <c r="B117" i="143" s="1"/>
  <c r="B148" i="143" s="1"/>
  <c r="A24" i="143"/>
  <c r="B23" i="143"/>
  <c r="B54" i="143" s="1"/>
  <c r="B85" i="143" s="1"/>
  <c r="B116" i="143" s="1"/>
  <c r="B147" i="143" s="1"/>
  <c r="A23" i="143"/>
  <c r="B22" i="143"/>
  <c r="B53" i="143" s="1"/>
  <c r="B84" i="143" s="1"/>
  <c r="B115" i="143" s="1"/>
  <c r="B146" i="143" s="1"/>
  <c r="A22" i="143"/>
  <c r="B21" i="143"/>
  <c r="B52" i="143" s="1"/>
  <c r="B83" i="143" s="1"/>
  <c r="B114" i="143" s="1"/>
  <c r="B145" i="143" s="1"/>
  <c r="A21" i="143"/>
  <c r="B20" i="143"/>
  <c r="B51" i="143" s="1"/>
  <c r="B82" i="143" s="1"/>
  <c r="B113" i="143" s="1"/>
  <c r="B144" i="143" s="1"/>
  <c r="A20" i="143"/>
  <c r="B19" i="143"/>
  <c r="B50" i="143" s="1"/>
  <c r="B81" i="143" s="1"/>
  <c r="B112" i="143" s="1"/>
  <c r="B143" i="143" s="1"/>
  <c r="A19" i="143"/>
  <c r="B18" i="143"/>
  <c r="B49" i="143" s="1"/>
  <c r="B80" i="143" s="1"/>
  <c r="B111" i="143" s="1"/>
  <c r="B142" i="143" s="1"/>
  <c r="A18" i="143"/>
  <c r="B17" i="143"/>
  <c r="B48" i="143" s="1"/>
  <c r="B79" i="143" s="1"/>
  <c r="B110" i="143" s="1"/>
  <c r="B141" i="143" s="1"/>
  <c r="A17" i="143"/>
  <c r="B16" i="143"/>
  <c r="B47" i="143" s="1"/>
  <c r="B78" i="143" s="1"/>
  <c r="B109" i="143" s="1"/>
  <c r="B140" i="143" s="1"/>
  <c r="A16" i="143"/>
  <c r="B15" i="143"/>
  <c r="B46" i="143" s="1"/>
  <c r="B77" i="143" s="1"/>
  <c r="B108" i="143" s="1"/>
  <c r="B139" i="143" s="1"/>
  <c r="A15" i="143"/>
  <c r="F157" i="142"/>
  <c r="F156" i="142"/>
  <c r="F155" i="142"/>
  <c r="F126" i="142"/>
  <c r="F125" i="142"/>
  <c r="F124" i="142"/>
  <c r="F95" i="142"/>
  <c r="N95" i="142" s="1"/>
  <c r="F94" i="142"/>
  <c r="N94" i="142" s="1"/>
  <c r="F93" i="142"/>
  <c r="N93" i="142" s="1"/>
  <c r="F64" i="142"/>
  <c r="R64" i="142" s="1"/>
  <c r="F63" i="142"/>
  <c r="R63" i="142" s="1"/>
  <c r="F62" i="142"/>
  <c r="R62" i="142" s="1"/>
  <c r="A162" i="142"/>
  <c r="A161" i="142"/>
  <c r="A160" i="142"/>
  <c r="A159" i="142"/>
  <c r="A158" i="142"/>
  <c r="A157" i="142"/>
  <c r="A156" i="142"/>
  <c r="A155" i="142"/>
  <c r="A154" i="142"/>
  <c r="A153" i="142"/>
  <c r="A152" i="142"/>
  <c r="A151" i="142"/>
  <c r="A150" i="142"/>
  <c r="A149" i="142"/>
  <c r="A148" i="142"/>
  <c r="A147" i="142"/>
  <c r="A146" i="142"/>
  <c r="A145" i="142"/>
  <c r="A144" i="142"/>
  <c r="A143" i="142"/>
  <c r="A142" i="142"/>
  <c r="A141" i="142"/>
  <c r="A140" i="142"/>
  <c r="A139" i="142"/>
  <c r="A131" i="142"/>
  <c r="A130" i="142"/>
  <c r="A129" i="142"/>
  <c r="A128" i="142"/>
  <c r="A127" i="142"/>
  <c r="A126" i="142"/>
  <c r="A125" i="142"/>
  <c r="A124" i="142"/>
  <c r="A123" i="142"/>
  <c r="A122" i="142"/>
  <c r="A121" i="142"/>
  <c r="A120" i="142"/>
  <c r="A119" i="142"/>
  <c r="A118" i="142"/>
  <c r="A117" i="142"/>
  <c r="A116" i="142"/>
  <c r="A115" i="142"/>
  <c r="A114" i="142"/>
  <c r="A113" i="142"/>
  <c r="A112" i="142"/>
  <c r="A111" i="142"/>
  <c r="A110" i="142"/>
  <c r="A109" i="142"/>
  <c r="A108" i="142"/>
  <c r="A78" i="142"/>
  <c r="A79" i="142"/>
  <c r="A80" i="142"/>
  <c r="A81" i="142"/>
  <c r="A82" i="142"/>
  <c r="A83" i="142"/>
  <c r="A84" i="142"/>
  <c r="A85" i="142"/>
  <c r="A86" i="142"/>
  <c r="A87" i="142"/>
  <c r="A88" i="142"/>
  <c r="A89" i="142"/>
  <c r="A90" i="142"/>
  <c r="A91" i="142"/>
  <c r="A92" i="142"/>
  <c r="A93" i="142"/>
  <c r="A94" i="142"/>
  <c r="A95" i="142"/>
  <c r="A96" i="142"/>
  <c r="A97" i="142"/>
  <c r="A98" i="142"/>
  <c r="A99" i="142"/>
  <c r="A100" i="142"/>
  <c r="A77" i="142"/>
  <c r="A47" i="142"/>
  <c r="A48" i="142"/>
  <c r="A49" i="142"/>
  <c r="A50" i="142"/>
  <c r="A51" i="142"/>
  <c r="A52" i="142"/>
  <c r="A53" i="142"/>
  <c r="A54" i="142"/>
  <c r="A55" i="142"/>
  <c r="A56" i="142"/>
  <c r="A57" i="142"/>
  <c r="A58" i="142"/>
  <c r="A59" i="142"/>
  <c r="A60" i="142"/>
  <c r="A61" i="142"/>
  <c r="A62" i="142"/>
  <c r="A63" i="142"/>
  <c r="A64" i="142"/>
  <c r="A65" i="142"/>
  <c r="A66" i="142"/>
  <c r="A67" i="142"/>
  <c r="A68" i="142"/>
  <c r="A69" i="142"/>
  <c r="A46" i="142"/>
  <c r="A16" i="142"/>
  <c r="A17" i="142"/>
  <c r="A18" i="142"/>
  <c r="A19" i="142"/>
  <c r="A20" i="142"/>
  <c r="A21" i="142"/>
  <c r="A22" i="142"/>
  <c r="A23" i="142"/>
  <c r="A24" i="142"/>
  <c r="A25" i="142"/>
  <c r="A26" i="142"/>
  <c r="A27" i="142"/>
  <c r="A28" i="142"/>
  <c r="A29" i="142"/>
  <c r="A30" i="142"/>
  <c r="A31" i="142"/>
  <c r="A32" i="142"/>
  <c r="A33" i="142"/>
  <c r="A34" i="142"/>
  <c r="A35" i="142"/>
  <c r="A36" i="142"/>
  <c r="A37" i="142"/>
  <c r="A38" i="142"/>
  <c r="A15" i="142"/>
  <c r="H157" i="141"/>
  <c r="H156" i="141"/>
  <c r="H155" i="141"/>
  <c r="H126" i="141"/>
  <c r="H125" i="141"/>
  <c r="H124" i="141"/>
  <c r="H95" i="141"/>
  <c r="H94" i="141"/>
  <c r="H93" i="141"/>
  <c r="H64" i="141"/>
  <c r="H63" i="141"/>
  <c r="H62" i="141"/>
  <c r="L30" i="165" l="1"/>
  <c r="G30" i="165"/>
  <c r="D30" i="165"/>
  <c r="F30" i="165"/>
  <c r="J30" i="165"/>
  <c r="E30" i="165"/>
  <c r="M30" i="165"/>
  <c r="H30" i="165"/>
  <c r="I30" i="165"/>
  <c r="K30" i="165"/>
  <c r="B28" i="165"/>
  <c r="B27" i="165"/>
  <c r="B26" i="165"/>
  <c r="B25" i="165"/>
  <c r="B24" i="165"/>
  <c r="B23" i="165"/>
  <c r="B22" i="165"/>
  <c r="B21" i="165"/>
  <c r="B20" i="165"/>
  <c r="B19" i="165"/>
  <c r="B18" i="165"/>
  <c r="B17" i="165"/>
  <c r="D41" i="148" l="1"/>
  <c r="D85" i="157"/>
  <c r="D77" i="157"/>
  <c r="D87" i="157" s="1"/>
  <c r="D76" i="157"/>
  <c r="D41" i="157"/>
  <c r="D51" i="157" s="1"/>
  <c r="D40" i="157"/>
  <c r="D39" i="157"/>
  <c r="F28" i="141" l="1"/>
  <c r="H23" i="93" l="1"/>
  <c r="J23" i="93" l="1"/>
  <c r="L23" i="93" s="1"/>
  <c r="Y23" i="93" s="1"/>
  <c r="J49" i="138" l="1"/>
  <c r="J50" i="138"/>
  <c r="J51" i="138"/>
  <c r="J48" i="138"/>
  <c r="J39" i="138"/>
  <c r="J40" i="138"/>
  <c r="J7" i="138"/>
  <c r="J8" i="138"/>
  <c r="J10" i="138"/>
  <c r="J11" i="138"/>
  <c r="J13" i="138"/>
  <c r="P82" i="82"/>
  <c r="S82" i="82" s="1"/>
  <c r="P83" i="82"/>
  <c r="S83" i="82" s="1"/>
  <c r="P84" i="82"/>
  <c r="S84" i="82" s="1"/>
  <c r="P85" i="82"/>
  <c r="S85" i="82" s="1"/>
  <c r="P86" i="82"/>
  <c r="S86" i="82" s="1"/>
  <c r="P92" i="82"/>
  <c r="S92" i="82" s="1"/>
  <c r="P93" i="82"/>
  <c r="S93" i="82" s="1"/>
  <c r="P94" i="82"/>
  <c r="S94" i="82" s="1"/>
  <c r="P95" i="82"/>
  <c r="S95" i="82" s="1"/>
  <c r="P96" i="82"/>
  <c r="S96" i="82" s="1"/>
  <c r="F83" i="21"/>
  <c r="G83" i="21"/>
  <c r="F84" i="21"/>
  <c r="G84" i="21"/>
  <c r="F45" i="138" s="1"/>
  <c r="F85" i="21"/>
  <c r="G85" i="21"/>
  <c r="F46" i="138" s="1"/>
  <c r="F86" i="21"/>
  <c r="G86" i="21"/>
  <c r="F47" i="138" s="1"/>
  <c r="F87" i="21"/>
  <c r="G87" i="21"/>
  <c r="F48" i="138" s="1"/>
  <c r="F93" i="21"/>
  <c r="G93" i="21"/>
  <c r="F49" i="138" s="1"/>
  <c r="F94" i="21"/>
  <c r="G94" i="21"/>
  <c r="F95" i="21"/>
  <c r="G95" i="21"/>
  <c r="F51" i="138" s="1"/>
  <c r="F96" i="21"/>
  <c r="G96" i="21"/>
  <c r="F52" i="138" s="1"/>
  <c r="F97" i="21"/>
  <c r="G97" i="21"/>
  <c r="F53" i="138" s="1"/>
  <c r="P21" i="82"/>
  <c r="S21" i="82" s="1"/>
  <c r="G22" i="21"/>
  <c r="F11" i="138" s="1"/>
  <c r="P17" i="96"/>
  <c r="S17" i="96" s="1"/>
  <c r="F17" i="20"/>
  <c r="F54" i="138"/>
  <c r="P72" i="82"/>
  <c r="S72" i="82" s="1"/>
  <c r="F73" i="21"/>
  <c r="G73" i="21"/>
  <c r="P73" i="82"/>
  <c r="S73" i="82" s="1"/>
  <c r="F74" i="21"/>
  <c r="G74" i="21"/>
  <c r="F40" i="138" s="1"/>
  <c r="P74" i="82"/>
  <c r="S74" i="82" s="1"/>
  <c r="F75" i="21"/>
  <c r="G75" i="21"/>
  <c r="F41" i="138" s="1"/>
  <c r="P75" i="82"/>
  <c r="S75" i="82" s="1"/>
  <c r="F76" i="21"/>
  <c r="E42" i="138" s="1"/>
  <c r="G76" i="21"/>
  <c r="F42" i="138" s="1"/>
  <c r="P76" i="82"/>
  <c r="S76" i="82" s="1"/>
  <c r="F77" i="21"/>
  <c r="G77" i="21"/>
  <c r="F43" i="138" s="1"/>
  <c r="P42" i="82"/>
  <c r="S42" i="82" s="1"/>
  <c r="F43" i="21"/>
  <c r="G43" i="21"/>
  <c r="P43" i="82"/>
  <c r="S43" i="82" s="1"/>
  <c r="G44" i="21"/>
  <c r="F21" i="138" s="1"/>
  <c r="P44" i="82"/>
  <c r="S44" i="82" s="1"/>
  <c r="F45" i="21"/>
  <c r="G45" i="21"/>
  <c r="F22" i="138" s="1"/>
  <c r="P45" i="82"/>
  <c r="S45" i="82" s="1"/>
  <c r="F46" i="21"/>
  <c r="G46" i="21"/>
  <c r="F23" i="138" s="1"/>
  <c r="P46" i="82"/>
  <c r="S46" i="82" s="1"/>
  <c r="F47" i="21"/>
  <c r="G47" i="21"/>
  <c r="F24" i="138" s="1"/>
  <c r="P47" i="82"/>
  <c r="S47" i="82" s="1"/>
  <c r="F48" i="21"/>
  <c r="G48" i="21"/>
  <c r="F25" i="138" s="1"/>
  <c r="P48" i="82"/>
  <c r="S48" i="82" s="1"/>
  <c r="F49" i="21"/>
  <c r="G49" i="21"/>
  <c r="F26" i="138" s="1"/>
  <c r="P49" i="82"/>
  <c r="S49" i="82" s="1"/>
  <c r="F50" i="21"/>
  <c r="G50" i="21"/>
  <c r="F27" i="138" s="1"/>
  <c r="P50" i="82"/>
  <c r="S50" i="82" s="1"/>
  <c r="F51" i="21"/>
  <c r="G51" i="21"/>
  <c r="F28" i="138" s="1"/>
  <c r="P51" i="82"/>
  <c r="S51" i="82" s="1"/>
  <c r="F52" i="21"/>
  <c r="G52" i="21"/>
  <c r="F29" i="138" s="1"/>
  <c r="P56" i="82"/>
  <c r="S56" i="82" s="1"/>
  <c r="F57" i="21"/>
  <c r="G57" i="21"/>
  <c r="P57" i="82"/>
  <c r="S57" i="82" s="1"/>
  <c r="F58" i="21"/>
  <c r="E31" i="138" s="1"/>
  <c r="G58" i="21"/>
  <c r="F31" i="138" s="1"/>
  <c r="P58" i="82"/>
  <c r="S58" i="82" s="1"/>
  <c r="F59" i="21"/>
  <c r="G59" i="21"/>
  <c r="F32" i="138" s="1"/>
  <c r="P59" i="82"/>
  <c r="S59" i="82" s="1"/>
  <c r="F60" i="21"/>
  <c r="G60" i="21"/>
  <c r="F33" i="138" s="1"/>
  <c r="P60" i="82"/>
  <c r="S60" i="82" s="1"/>
  <c r="F61" i="21"/>
  <c r="G61" i="21"/>
  <c r="F34" i="138" s="1"/>
  <c r="P61" i="82"/>
  <c r="S61" i="82" s="1"/>
  <c r="F62" i="21"/>
  <c r="E35" i="138" s="1"/>
  <c r="G62" i="21"/>
  <c r="F35" i="138" s="1"/>
  <c r="P62" i="82"/>
  <c r="S62" i="82" s="1"/>
  <c r="F63" i="21"/>
  <c r="G63" i="21"/>
  <c r="F36" i="138" s="1"/>
  <c r="P63" i="82"/>
  <c r="S63" i="82" s="1"/>
  <c r="F64" i="21"/>
  <c r="G64" i="21"/>
  <c r="F37" i="138" s="1"/>
  <c r="P64" i="82"/>
  <c r="S64" i="82" s="1"/>
  <c r="F65" i="21"/>
  <c r="G65" i="21"/>
  <c r="F38" i="138" s="1"/>
  <c r="P17" i="82"/>
  <c r="S17" i="82" s="1"/>
  <c r="F18" i="21"/>
  <c r="E7" i="138" s="1"/>
  <c r="G18" i="21"/>
  <c r="F7" i="138" s="1"/>
  <c r="P18" i="82"/>
  <c r="S18" i="82" s="1"/>
  <c r="F19" i="21"/>
  <c r="E8" i="138" s="1"/>
  <c r="G19" i="21"/>
  <c r="F8" i="138" s="1"/>
  <c r="J52" i="138"/>
  <c r="J53" i="138"/>
  <c r="J44" i="138"/>
  <c r="J45" i="138"/>
  <c r="J47" i="138"/>
  <c r="J43" i="138"/>
  <c r="F39" i="138"/>
  <c r="E52" i="138"/>
  <c r="F17" i="21"/>
  <c r="F20" i="21"/>
  <c r="F21" i="21"/>
  <c r="F23" i="21"/>
  <c r="F24" i="21"/>
  <c r="F29" i="21"/>
  <c r="F30" i="21"/>
  <c r="F31" i="21"/>
  <c r="F32" i="21"/>
  <c r="F33" i="21"/>
  <c r="F34" i="21"/>
  <c r="G17" i="21"/>
  <c r="F6" i="138" s="1"/>
  <c r="G20" i="21"/>
  <c r="F9" i="138" s="1"/>
  <c r="G21" i="21"/>
  <c r="F10" i="138" s="1"/>
  <c r="G23" i="21"/>
  <c r="F12" i="138" s="1"/>
  <c r="G24" i="21"/>
  <c r="F13" i="138" s="1"/>
  <c r="G29" i="21"/>
  <c r="F14" i="138" s="1"/>
  <c r="G30" i="21"/>
  <c r="F15" i="138" s="1"/>
  <c r="G31" i="21"/>
  <c r="F16" i="138" s="1"/>
  <c r="G32" i="21"/>
  <c r="F17" i="138" s="1"/>
  <c r="G33" i="21"/>
  <c r="F18" i="138" s="1"/>
  <c r="G34" i="21"/>
  <c r="F19" i="138" s="1"/>
  <c r="S16" i="82"/>
  <c r="P19" i="82"/>
  <c r="S19" i="82" s="1"/>
  <c r="P20" i="82"/>
  <c r="S20" i="82" s="1"/>
  <c r="P22" i="82"/>
  <c r="S22" i="82" s="1"/>
  <c r="P23" i="82"/>
  <c r="S23" i="82" s="1"/>
  <c r="P28" i="82"/>
  <c r="S28" i="82" s="1"/>
  <c r="P29" i="82"/>
  <c r="S29" i="82" s="1"/>
  <c r="P30" i="82"/>
  <c r="S30" i="82" s="1"/>
  <c r="P31" i="82"/>
  <c r="S31" i="82" s="1"/>
  <c r="P32" i="82"/>
  <c r="S32" i="82" s="1"/>
  <c r="P33" i="82"/>
  <c r="S33" i="82" s="1"/>
  <c r="G157" i="145"/>
  <c r="G156" i="145"/>
  <c r="G126" i="145"/>
  <c r="G124" i="145"/>
  <c r="G64" i="145"/>
  <c r="V64" i="145" s="1"/>
  <c r="G63" i="145"/>
  <c r="V63" i="145" s="1"/>
  <c r="G156" i="143"/>
  <c r="G155" i="143"/>
  <c r="G157" i="143"/>
  <c r="G124" i="143"/>
  <c r="G126" i="143"/>
  <c r="G94" i="143"/>
  <c r="Q94" i="143" s="1"/>
  <c r="G62" i="143"/>
  <c r="V62" i="143" s="1"/>
  <c r="G64" i="143"/>
  <c r="V64" i="143" s="1"/>
  <c r="E76" i="87"/>
  <c r="E19" i="90" s="1"/>
  <c r="E32" i="89"/>
  <c r="E17" i="90" s="1"/>
  <c r="V27" i="91"/>
  <c r="V21" i="91"/>
  <c r="S21" i="91"/>
  <c r="S27" i="91"/>
  <c r="O27" i="91"/>
  <c r="O21" i="91"/>
  <c r="H18" i="91"/>
  <c r="J18" i="91" s="1"/>
  <c r="L18" i="91" s="1"/>
  <c r="H19" i="91"/>
  <c r="J19" i="91" s="1"/>
  <c r="L19" i="91" s="1"/>
  <c r="H20" i="91"/>
  <c r="J20" i="91" s="1"/>
  <c r="L20" i="91" s="1"/>
  <c r="H24" i="91"/>
  <c r="J24" i="91" s="1"/>
  <c r="L24" i="91" s="1"/>
  <c r="X24" i="91" s="1"/>
  <c r="H25" i="91"/>
  <c r="J25" i="91" s="1"/>
  <c r="L25" i="91" s="1"/>
  <c r="H26" i="91"/>
  <c r="J26" i="91" s="1"/>
  <c r="L26" i="91" s="1"/>
  <c r="I21" i="91"/>
  <c r="I27" i="91"/>
  <c r="G21" i="91"/>
  <c r="G27" i="91"/>
  <c r="F21" i="91"/>
  <c r="F27" i="91"/>
  <c r="E21" i="91"/>
  <c r="E27" i="91"/>
  <c r="H18" i="93"/>
  <c r="J18" i="93" s="1"/>
  <c r="H19" i="93"/>
  <c r="J19" i="93" s="1"/>
  <c r="L19" i="93" s="1"/>
  <c r="H20" i="93"/>
  <c r="J20" i="93" s="1"/>
  <c r="L20" i="93" s="1"/>
  <c r="H21" i="93"/>
  <c r="J21" i="93" s="1"/>
  <c r="L21" i="93" s="1"/>
  <c r="Y21" i="93" s="1"/>
  <c r="H22" i="93"/>
  <c r="J22" i="93" s="1"/>
  <c r="L22" i="93" s="1"/>
  <c r="Y22" i="93" s="1"/>
  <c r="H17" i="93"/>
  <c r="J17" i="93" s="1"/>
  <c r="L17" i="93" s="1"/>
  <c r="P28" i="96"/>
  <c r="S28" i="96" s="1"/>
  <c r="P18" i="96"/>
  <c r="S18" i="96" s="1"/>
  <c r="F18" i="20"/>
  <c r="E55" i="138" s="1"/>
  <c r="F55" i="138"/>
  <c r="F19" i="20"/>
  <c r="P20" i="96"/>
  <c r="S20" i="96" s="1"/>
  <c r="F57" i="138"/>
  <c r="P21" i="96"/>
  <c r="S21" i="96" s="1"/>
  <c r="E58" i="138"/>
  <c r="P22" i="96"/>
  <c r="S22" i="96" s="1"/>
  <c r="F59" i="138"/>
  <c r="P23" i="96"/>
  <c r="S23" i="96" s="1"/>
  <c r="F60" i="138"/>
  <c r="P24" i="96"/>
  <c r="S24" i="96" s="1"/>
  <c r="F61" i="138"/>
  <c r="P25" i="96"/>
  <c r="S25" i="96" s="1"/>
  <c r="F62" i="138"/>
  <c r="P26" i="96"/>
  <c r="S26" i="96" s="1"/>
  <c r="E63" i="138"/>
  <c r="P27" i="96"/>
  <c r="S27" i="96" s="1"/>
  <c r="E64" i="138"/>
  <c r="P29" i="96"/>
  <c r="S29" i="96" s="1"/>
  <c r="E65" i="138"/>
  <c r="O31" i="96"/>
  <c r="P19" i="96"/>
  <c r="S19" i="96" s="1"/>
  <c r="E66" i="138"/>
  <c r="E31" i="96"/>
  <c r="F31" i="96"/>
  <c r="G31" i="96"/>
  <c r="H31" i="96"/>
  <c r="I31" i="96"/>
  <c r="J31" i="96"/>
  <c r="K31" i="96"/>
  <c r="L31" i="96"/>
  <c r="M31" i="96"/>
  <c r="N31" i="96"/>
  <c r="D31" i="96"/>
  <c r="G155" i="145"/>
  <c r="G125" i="145"/>
  <c r="G93" i="145"/>
  <c r="Q93" i="145" s="1"/>
  <c r="J56" i="138"/>
  <c r="G32" i="137"/>
  <c r="G100" i="136"/>
  <c r="G90" i="136"/>
  <c r="G80" i="136"/>
  <c r="G68" i="136"/>
  <c r="G55" i="136"/>
  <c r="G27" i="136"/>
  <c r="G37" i="136"/>
  <c r="H32" i="137"/>
  <c r="H100" i="136"/>
  <c r="H90" i="136"/>
  <c r="H80" i="136"/>
  <c r="H68" i="136"/>
  <c r="H55" i="136"/>
  <c r="H27" i="136"/>
  <c r="H37" i="136"/>
  <c r="B76" i="87"/>
  <c r="B32" i="89"/>
  <c r="H22" i="144"/>
  <c r="H23" i="144"/>
  <c r="H24" i="144"/>
  <c r="H25" i="144"/>
  <c r="H26" i="144"/>
  <c r="R98" i="82"/>
  <c r="R88" i="82"/>
  <c r="R78" i="82"/>
  <c r="R66" i="82"/>
  <c r="R53" i="82"/>
  <c r="R35" i="82"/>
  <c r="R25" i="82"/>
  <c r="Q98" i="82"/>
  <c r="Q88" i="82"/>
  <c r="Q78" i="82"/>
  <c r="Q66" i="82"/>
  <c r="Q53" i="82"/>
  <c r="Q35" i="82"/>
  <c r="E67" i="21"/>
  <c r="E36" i="21"/>
  <c r="F32" i="89"/>
  <c r="F17" i="90" s="1"/>
  <c r="F76" i="87"/>
  <c r="F19" i="90" s="1"/>
  <c r="G32" i="89"/>
  <c r="G17" i="90" s="1"/>
  <c r="G76" i="87"/>
  <c r="G19" i="90" s="1"/>
  <c r="I32" i="89"/>
  <c r="I17" i="90" s="1"/>
  <c r="I18" i="90"/>
  <c r="I76" i="87"/>
  <c r="I19" i="90" s="1"/>
  <c r="E26" i="93"/>
  <c r="E17" i="94" s="1"/>
  <c r="F26" i="93"/>
  <c r="F17" i="94" s="1"/>
  <c r="G26" i="93"/>
  <c r="G17" i="94" s="1"/>
  <c r="I26" i="93"/>
  <c r="I17" i="94" s="1"/>
  <c r="G16" i="150"/>
  <c r="H16" i="150" s="1"/>
  <c r="I16" i="150" s="1"/>
  <c r="K16" i="150" s="1"/>
  <c r="O32" i="89"/>
  <c r="O17" i="90" s="1"/>
  <c r="O76" i="87"/>
  <c r="O19" i="90" s="1"/>
  <c r="S32" i="89"/>
  <c r="S17" i="90" s="1"/>
  <c r="S76" i="87"/>
  <c r="S19" i="90" s="1"/>
  <c r="V32" i="89"/>
  <c r="V17" i="90" s="1"/>
  <c r="V76" i="87"/>
  <c r="V19" i="90" s="1"/>
  <c r="X19" i="90" s="1"/>
  <c r="S26" i="93"/>
  <c r="S17" i="94" s="1"/>
  <c r="V26" i="93"/>
  <c r="V17" i="94" s="1"/>
  <c r="O26" i="93"/>
  <c r="O17" i="94" s="1"/>
  <c r="H17" i="87"/>
  <c r="J17" i="87" s="1"/>
  <c r="L17" i="87" s="1"/>
  <c r="H17" i="89"/>
  <c r="J17" i="89" s="1"/>
  <c r="L17" i="89" s="1"/>
  <c r="H18" i="89"/>
  <c r="H19" i="89"/>
  <c r="J19" i="89" s="1"/>
  <c r="L19" i="89" s="1"/>
  <c r="Y19" i="89" s="1"/>
  <c r="H20" i="89"/>
  <c r="J20" i="89" s="1"/>
  <c r="L20" i="89" s="1"/>
  <c r="Y20" i="89" s="1"/>
  <c r="H17" i="92"/>
  <c r="G125" i="143"/>
  <c r="D121" i="142"/>
  <c r="F119" i="139"/>
  <c r="F99" i="139"/>
  <c r="F89" i="139"/>
  <c r="F79" i="139"/>
  <c r="F54" i="139"/>
  <c r="F67" i="139"/>
  <c r="F26" i="139"/>
  <c r="F36" i="139"/>
  <c r="G119" i="139"/>
  <c r="G99" i="139"/>
  <c r="G89" i="139"/>
  <c r="G79" i="139"/>
  <c r="G54" i="139"/>
  <c r="G67" i="139"/>
  <c r="G26" i="139"/>
  <c r="G36" i="139"/>
  <c r="G95" i="143"/>
  <c r="Q95" i="143" s="1"/>
  <c r="G93" i="143"/>
  <c r="Q93" i="143" s="1"/>
  <c r="G63" i="143"/>
  <c r="V63" i="143" s="1"/>
  <c r="B16" i="142"/>
  <c r="B17" i="142"/>
  <c r="B18" i="142"/>
  <c r="B19" i="142"/>
  <c r="B20" i="142"/>
  <c r="B21" i="142"/>
  <c r="B22" i="142"/>
  <c r="B23" i="142"/>
  <c r="B24" i="142"/>
  <c r="B25" i="142"/>
  <c r="B26" i="142"/>
  <c r="B15" i="142"/>
  <c r="B37" i="142"/>
  <c r="B38" i="142"/>
  <c r="B36" i="142"/>
  <c r="E60" i="138"/>
  <c r="E62" i="138"/>
  <c r="F56" i="138"/>
  <c r="F64" i="138"/>
  <c r="H36" i="144"/>
  <c r="V99" i="21"/>
  <c r="O89" i="21"/>
  <c r="O99" i="21"/>
  <c r="F27" i="136"/>
  <c r="F37" i="136"/>
  <c r="F55" i="136"/>
  <c r="F68" i="136"/>
  <c r="F80" i="136"/>
  <c r="F90" i="136"/>
  <c r="F100" i="136"/>
  <c r="F32" i="137"/>
  <c r="G17" i="150"/>
  <c r="H17" i="150" s="1"/>
  <c r="I17" i="150" s="1"/>
  <c r="K17" i="150" s="1"/>
  <c r="G19" i="150"/>
  <c r="H19" i="150" s="1"/>
  <c r="I19" i="150" s="1"/>
  <c r="K19" i="150" s="1"/>
  <c r="G15" i="150"/>
  <c r="H15" i="150" s="1"/>
  <c r="I15" i="150" s="1"/>
  <c r="K15" i="150" s="1"/>
  <c r="X15" i="150" s="1"/>
  <c r="H35" i="144"/>
  <c r="G12" i="137"/>
  <c r="H12" i="137"/>
  <c r="G13" i="137"/>
  <c r="H13" i="137"/>
  <c r="G14" i="137"/>
  <c r="H14" i="137"/>
  <c r="C26" i="93"/>
  <c r="F12" i="137"/>
  <c r="F14" i="137"/>
  <c r="F13" i="137"/>
  <c r="H17" i="144"/>
  <c r="H16" i="144"/>
  <c r="H18" i="144"/>
  <c r="H19" i="144"/>
  <c r="H20" i="144"/>
  <c r="H21" i="144"/>
  <c r="H15" i="144"/>
  <c r="H34" i="144"/>
  <c r="H31" i="144"/>
  <c r="H30" i="144"/>
  <c r="D152" i="142"/>
  <c r="D90" i="142"/>
  <c r="D59" i="142"/>
  <c r="O21" i="150"/>
  <c r="F21" i="150"/>
  <c r="R31" i="96"/>
  <c r="Q31" i="96"/>
  <c r="E98" i="82"/>
  <c r="E88" i="82"/>
  <c r="E78" i="82"/>
  <c r="E66" i="82"/>
  <c r="E53" i="82"/>
  <c r="E35" i="82"/>
  <c r="E25" i="82"/>
  <c r="F98" i="82"/>
  <c r="F88" i="82"/>
  <c r="F78" i="82"/>
  <c r="F66" i="82"/>
  <c r="F53" i="82"/>
  <c r="F35" i="82"/>
  <c r="F25" i="82"/>
  <c r="G98" i="82"/>
  <c r="G88" i="82"/>
  <c r="G78" i="82"/>
  <c r="G66" i="82"/>
  <c r="G53" i="82"/>
  <c r="G35" i="82"/>
  <c r="G25" i="82"/>
  <c r="H98" i="82"/>
  <c r="H88" i="82"/>
  <c r="H78" i="82"/>
  <c r="H66" i="82"/>
  <c r="H53" i="82"/>
  <c r="H35" i="82"/>
  <c r="H25" i="82"/>
  <c r="I98" i="82"/>
  <c r="I88" i="82"/>
  <c r="I78" i="82"/>
  <c r="I66" i="82"/>
  <c r="I53" i="82"/>
  <c r="I35" i="82"/>
  <c r="I25" i="82"/>
  <c r="J98" i="82"/>
  <c r="J88" i="82"/>
  <c r="J78" i="82"/>
  <c r="J66" i="82"/>
  <c r="J53" i="82"/>
  <c r="J35" i="82"/>
  <c r="J25" i="82"/>
  <c r="K98" i="82"/>
  <c r="K88" i="82"/>
  <c r="K78" i="82"/>
  <c r="K66" i="82"/>
  <c r="K53" i="82"/>
  <c r="K35" i="82"/>
  <c r="K25" i="82"/>
  <c r="L98" i="82"/>
  <c r="L88" i="82"/>
  <c r="L78" i="82"/>
  <c r="L66" i="82"/>
  <c r="L53" i="82"/>
  <c r="L35" i="82"/>
  <c r="L25" i="82"/>
  <c r="M98" i="82"/>
  <c r="M88" i="82"/>
  <c r="M78" i="82"/>
  <c r="M66" i="82"/>
  <c r="M53" i="82"/>
  <c r="M35" i="82"/>
  <c r="M25" i="82"/>
  <c r="N98" i="82"/>
  <c r="N88" i="82"/>
  <c r="N78" i="82"/>
  <c r="N66" i="82"/>
  <c r="N53" i="82"/>
  <c r="N35" i="82"/>
  <c r="N25" i="82"/>
  <c r="O98" i="82"/>
  <c r="O88" i="82"/>
  <c r="O78" i="82"/>
  <c r="O66" i="82"/>
  <c r="O53" i="82"/>
  <c r="O35" i="82"/>
  <c r="O25" i="82"/>
  <c r="D98" i="82"/>
  <c r="D88" i="82"/>
  <c r="D78" i="82"/>
  <c r="D66" i="82"/>
  <c r="D53" i="82"/>
  <c r="D35" i="82"/>
  <c r="D25" i="82"/>
  <c r="B21" i="90"/>
  <c r="B30" i="91"/>
  <c r="X20" i="92"/>
  <c r="V20" i="92"/>
  <c r="S20" i="92"/>
  <c r="O20" i="92"/>
  <c r="G20" i="92"/>
  <c r="F20" i="92"/>
  <c r="E20" i="92"/>
  <c r="X18" i="90"/>
  <c r="H17" i="88"/>
  <c r="V26" i="21"/>
  <c r="Q25" i="82"/>
  <c r="J17" i="88" l="1"/>
  <c r="J458" i="88" s="1"/>
  <c r="H458" i="88"/>
  <c r="H17" i="90"/>
  <c r="V30" i="91"/>
  <c r="S30" i="91"/>
  <c r="O30" i="91"/>
  <c r="F75" i="138"/>
  <c r="W27" i="91"/>
  <c r="W30" i="91" s="1"/>
  <c r="X26" i="91"/>
  <c r="Y26" i="91" s="1"/>
  <c r="J76" i="138"/>
  <c r="J77" i="138"/>
  <c r="H97" i="21"/>
  <c r="E98" i="136" s="1"/>
  <c r="H93" i="21"/>
  <c r="E94" i="136" s="1"/>
  <c r="H86" i="21"/>
  <c r="E87" i="136" s="1"/>
  <c r="H84" i="21"/>
  <c r="E85" i="136" s="1"/>
  <c r="H76" i="21"/>
  <c r="E77" i="136" s="1"/>
  <c r="H52" i="21"/>
  <c r="E53" i="136" s="1"/>
  <c r="Q37" i="82"/>
  <c r="R37" i="82"/>
  <c r="H65" i="21"/>
  <c r="E66" i="136" s="1"/>
  <c r="E29" i="138"/>
  <c r="V21" i="90"/>
  <c r="V19" i="94" s="1"/>
  <c r="X19" i="94" s="1"/>
  <c r="X17" i="90"/>
  <c r="X17" i="94"/>
  <c r="G38" i="139"/>
  <c r="G69" i="139"/>
  <c r="F69" i="139"/>
  <c r="H49" i="21"/>
  <c r="F63" i="138"/>
  <c r="E45" i="138"/>
  <c r="E53" i="138"/>
  <c r="E12" i="138"/>
  <c r="H23" i="21"/>
  <c r="E24" i="136" s="1"/>
  <c r="E51" i="138"/>
  <c r="H95" i="21"/>
  <c r="E96" i="136" s="1"/>
  <c r="H25" i="20"/>
  <c r="H21" i="20"/>
  <c r="E84" i="138"/>
  <c r="E19" i="138"/>
  <c r="H34" i="21"/>
  <c r="E35" i="136" s="1"/>
  <c r="E15" i="138"/>
  <c r="H30" i="21"/>
  <c r="E10" i="138"/>
  <c r="H21" i="21"/>
  <c r="E22" i="136" s="1"/>
  <c r="E6" i="138"/>
  <c r="H17" i="21"/>
  <c r="E18" i="136" s="1"/>
  <c r="H18" i="21"/>
  <c r="E19" i="136" s="1"/>
  <c r="H62" i="21"/>
  <c r="E63" i="136" s="1"/>
  <c r="H58" i="21"/>
  <c r="E59" i="136" s="1"/>
  <c r="E27" i="138"/>
  <c r="H50" i="21"/>
  <c r="E51" i="136" s="1"/>
  <c r="E23" i="138"/>
  <c r="E43" i="138"/>
  <c r="H77" i="21"/>
  <c r="E78" i="136" s="1"/>
  <c r="E11" i="138"/>
  <c r="H22" i="21"/>
  <c r="F89" i="21"/>
  <c r="E59" i="138"/>
  <c r="H22" i="20"/>
  <c r="G59" i="138" s="1"/>
  <c r="E18" i="138"/>
  <c r="H33" i="21"/>
  <c r="E34" i="136" s="1"/>
  <c r="E14" i="138"/>
  <c r="H29" i="21"/>
  <c r="E30" i="136" s="1"/>
  <c r="E9" i="138"/>
  <c r="H20" i="21"/>
  <c r="E49" i="138"/>
  <c r="H19" i="21"/>
  <c r="E20" i="136" s="1"/>
  <c r="E36" i="138"/>
  <c r="H63" i="21"/>
  <c r="E64" i="136" s="1"/>
  <c r="E32" i="138"/>
  <c r="H59" i="21"/>
  <c r="E60" i="136" s="1"/>
  <c r="E28" i="138"/>
  <c r="E24" i="138"/>
  <c r="H47" i="21"/>
  <c r="E48" i="136" s="1"/>
  <c r="E54" i="138"/>
  <c r="F99" i="21"/>
  <c r="H96" i="21"/>
  <c r="E97" i="136" s="1"/>
  <c r="H94" i="21"/>
  <c r="E95" i="136" s="1"/>
  <c r="E48" i="138"/>
  <c r="H87" i="21"/>
  <c r="E88" i="136" s="1"/>
  <c r="H85" i="21"/>
  <c r="E86" i="136" s="1"/>
  <c r="H83" i="21"/>
  <c r="E84" i="136" s="1"/>
  <c r="E61" i="138"/>
  <c r="H24" i="20"/>
  <c r="E25" i="137" s="1"/>
  <c r="E16" i="138"/>
  <c r="H31" i="21"/>
  <c r="E32" i="136" s="1"/>
  <c r="E34" i="138"/>
  <c r="H61" i="21"/>
  <c r="E62" i="136" s="1"/>
  <c r="E30" i="138"/>
  <c r="H57" i="21"/>
  <c r="E58" i="136" s="1"/>
  <c r="E22" i="138"/>
  <c r="H45" i="21"/>
  <c r="E46" i="136" s="1"/>
  <c r="R68" i="82"/>
  <c r="F66" i="138"/>
  <c r="F65" i="138"/>
  <c r="E56" i="138"/>
  <c r="H19" i="20"/>
  <c r="G56" i="138" s="1"/>
  <c r="E17" i="138"/>
  <c r="H32" i="21"/>
  <c r="E33" i="136" s="1"/>
  <c r="E13" i="138"/>
  <c r="H24" i="21"/>
  <c r="E25" i="136" s="1"/>
  <c r="E38" i="138"/>
  <c r="E47" i="138"/>
  <c r="E37" i="138"/>
  <c r="H64" i="21"/>
  <c r="E65" i="136" s="1"/>
  <c r="E33" i="138"/>
  <c r="H60" i="21"/>
  <c r="E61" i="136" s="1"/>
  <c r="E25" i="138"/>
  <c r="H48" i="21"/>
  <c r="E49" i="136" s="1"/>
  <c r="E41" i="138"/>
  <c r="H75" i="21"/>
  <c r="E76" i="136" s="1"/>
  <c r="E40" i="138"/>
  <c r="H74" i="21"/>
  <c r="E75" i="136" s="1"/>
  <c r="E39" i="138"/>
  <c r="H73" i="21"/>
  <c r="E74" i="136" s="1"/>
  <c r="X16" i="150"/>
  <c r="Y413" i="88"/>
  <c r="Y432" i="88"/>
  <c r="Y434" i="88"/>
  <c r="Y436" i="88"/>
  <c r="Y438" i="88"/>
  <c r="Y17" i="89"/>
  <c r="H19" i="90"/>
  <c r="J19" i="90" s="1"/>
  <c r="L19" i="90" s="1"/>
  <c r="Y350" i="88"/>
  <c r="Y326" i="88"/>
  <c r="Y356" i="88"/>
  <c r="Y358" i="88"/>
  <c r="Y351" i="88"/>
  <c r="Y382" i="88"/>
  <c r="Y386" i="88"/>
  <c r="Y231" i="88"/>
  <c r="Y355" i="88"/>
  <c r="Y357" i="88"/>
  <c r="Y361" i="88"/>
  <c r="Y401" i="88"/>
  <c r="Y333" i="88"/>
  <c r="Y337" i="88"/>
  <c r="Y341" i="88"/>
  <c r="Y345" i="88"/>
  <c r="Y349" i="88"/>
  <c r="E21" i="138"/>
  <c r="B15" i="144"/>
  <c r="B46" i="142"/>
  <c r="B77" i="142" s="1"/>
  <c r="B108" i="142" s="1"/>
  <c r="B139" i="142" s="1"/>
  <c r="B19" i="144"/>
  <c r="B50" i="142"/>
  <c r="B81" i="142" s="1"/>
  <c r="B112" i="142" s="1"/>
  <c r="B143" i="142" s="1"/>
  <c r="B69" i="142"/>
  <c r="B100" i="142" s="1"/>
  <c r="B131" i="142" s="1"/>
  <c r="B162" i="142" s="1"/>
  <c r="B25" i="144"/>
  <c r="B56" i="142"/>
  <c r="B87" i="142" s="1"/>
  <c r="B118" i="142" s="1"/>
  <c r="B149" i="142" s="1"/>
  <c r="B21" i="144"/>
  <c r="B52" i="142"/>
  <c r="B83" i="142" s="1"/>
  <c r="B114" i="142" s="1"/>
  <c r="B145" i="142" s="1"/>
  <c r="B17" i="144"/>
  <c r="B48" i="142"/>
  <c r="B79" i="142" s="1"/>
  <c r="B110" i="142" s="1"/>
  <c r="B141" i="142" s="1"/>
  <c r="B68" i="142"/>
  <c r="B99" i="142" s="1"/>
  <c r="B130" i="142" s="1"/>
  <c r="B161" i="142" s="1"/>
  <c r="B24" i="144"/>
  <c r="B55" i="142"/>
  <c r="B86" i="142" s="1"/>
  <c r="B117" i="142" s="1"/>
  <c r="B148" i="142" s="1"/>
  <c r="B20" i="144"/>
  <c r="B51" i="142"/>
  <c r="B82" i="142" s="1"/>
  <c r="B113" i="142" s="1"/>
  <c r="B144" i="142" s="1"/>
  <c r="B16" i="144"/>
  <c r="B47" i="142"/>
  <c r="B78" i="142" s="1"/>
  <c r="B109" i="142" s="1"/>
  <c r="B140" i="142" s="1"/>
  <c r="B23" i="144"/>
  <c r="B54" i="142"/>
  <c r="B85" i="142" s="1"/>
  <c r="B116" i="142" s="1"/>
  <c r="B147" i="142" s="1"/>
  <c r="B67" i="142"/>
  <c r="B98" i="142" s="1"/>
  <c r="B129" i="142" s="1"/>
  <c r="B160" i="142" s="1"/>
  <c r="B26" i="144"/>
  <c r="B57" i="142"/>
  <c r="B88" i="142" s="1"/>
  <c r="B119" i="142" s="1"/>
  <c r="B150" i="142" s="1"/>
  <c r="B22" i="144"/>
  <c r="B53" i="142"/>
  <c r="B84" i="142" s="1"/>
  <c r="B115" i="142" s="1"/>
  <c r="B146" i="142" s="1"/>
  <c r="B18" i="144"/>
  <c r="B49" i="142"/>
  <c r="B80" i="142" s="1"/>
  <c r="B111" i="142" s="1"/>
  <c r="B142" i="142" s="1"/>
  <c r="F54" i="21"/>
  <c r="F36" i="21"/>
  <c r="P78" i="82"/>
  <c r="G99" i="21"/>
  <c r="G89" i="21"/>
  <c r="F44" i="138"/>
  <c r="F76" i="138" s="1"/>
  <c r="G79" i="21"/>
  <c r="G67" i="21"/>
  <c r="G26" i="21"/>
  <c r="F69" i="138"/>
  <c r="P35" i="82"/>
  <c r="M68" i="82"/>
  <c r="W21" i="150"/>
  <c r="X19" i="150"/>
  <c r="Y239" i="88"/>
  <c r="Y328" i="88"/>
  <c r="Y402" i="88"/>
  <c r="Y374" i="88"/>
  <c r="Y245" i="88"/>
  <c r="Y383" i="88"/>
  <c r="Y385" i="88"/>
  <c r="Y433" i="88"/>
  <c r="Y435" i="88"/>
  <c r="Y437" i="88"/>
  <c r="Y243" i="88"/>
  <c r="Y403" i="88"/>
  <c r="Y407" i="88"/>
  <c r="Y334" i="88"/>
  <c r="Y338" i="88"/>
  <c r="Y17" i="93"/>
  <c r="F50" i="138"/>
  <c r="F77" i="138" s="1"/>
  <c r="F26" i="21"/>
  <c r="F67" i="21"/>
  <c r="G54" i="21"/>
  <c r="F30" i="138"/>
  <c r="F73" i="138" s="1"/>
  <c r="E26" i="138"/>
  <c r="G36" i="21"/>
  <c r="F79" i="21"/>
  <c r="F70" i="138"/>
  <c r="N37" i="82"/>
  <c r="H18" i="90"/>
  <c r="J18" i="90" s="1"/>
  <c r="L18" i="90" s="1"/>
  <c r="F21" i="90"/>
  <c r="F19" i="94" s="1"/>
  <c r="F21" i="94" s="1"/>
  <c r="F72" i="138"/>
  <c r="F74" i="138" s="1"/>
  <c r="Y20" i="91"/>
  <c r="L21" i="91"/>
  <c r="P98" i="82"/>
  <c r="E79" i="21"/>
  <c r="G68" i="82"/>
  <c r="I68" i="82"/>
  <c r="N68" i="82"/>
  <c r="F68" i="82"/>
  <c r="F37" i="82"/>
  <c r="M37" i="82"/>
  <c r="H37" i="82"/>
  <c r="D37" i="82"/>
  <c r="D28" i="142"/>
  <c r="Y359" i="88"/>
  <c r="Y373" i="88"/>
  <c r="Y393" i="88"/>
  <c r="Y395" i="88"/>
  <c r="Y397" i="88"/>
  <c r="Y398" i="88"/>
  <c r="Y414" i="88"/>
  <c r="Y420" i="88"/>
  <c r="Y424" i="88"/>
  <c r="Y431" i="88"/>
  <c r="Y18" i="88"/>
  <c r="Y236" i="88"/>
  <c r="Y352" i="88"/>
  <c r="Y354" i="88"/>
  <c r="Y362" i="88"/>
  <c r="Y366" i="88"/>
  <c r="Y399" i="88"/>
  <c r="Y415" i="88"/>
  <c r="Y419" i="88"/>
  <c r="Y421" i="88"/>
  <c r="Y423" i="88"/>
  <c r="Y425" i="88"/>
  <c r="Y427" i="88"/>
  <c r="Y330" i="88"/>
  <c r="Y367" i="88"/>
  <c r="Y396" i="88"/>
  <c r="Y378" i="88"/>
  <c r="Y416" i="88"/>
  <c r="Y232" i="88"/>
  <c r="Y363" i="88"/>
  <c r="Y240" i="88"/>
  <c r="O21" i="90"/>
  <c r="O19" i="94" s="1"/>
  <c r="X32" i="89"/>
  <c r="L27" i="91"/>
  <c r="Y19" i="93"/>
  <c r="H26" i="93"/>
  <c r="H70" i="136"/>
  <c r="G70" i="136"/>
  <c r="F70" i="136"/>
  <c r="H39" i="136"/>
  <c r="P88" i="82"/>
  <c r="E68" i="82"/>
  <c r="P66" i="82"/>
  <c r="L68" i="82"/>
  <c r="S66" i="82"/>
  <c r="P53" i="82"/>
  <c r="H68" i="82"/>
  <c r="E26" i="21"/>
  <c r="E38" i="21" s="1"/>
  <c r="G37" i="82"/>
  <c r="O37" i="82"/>
  <c r="K37" i="82"/>
  <c r="P25" i="82"/>
  <c r="Y368" i="88"/>
  <c r="Y389" i="88"/>
  <c r="H31" i="141"/>
  <c r="G33" i="143"/>
  <c r="Y327" i="88"/>
  <c r="Y353" i="88"/>
  <c r="Y379" i="88"/>
  <c r="Y394" i="88"/>
  <c r="Y400" i="88"/>
  <c r="Y406" i="88"/>
  <c r="Y410" i="88"/>
  <c r="I21" i="90"/>
  <c r="I19" i="94" s="1"/>
  <c r="E21" i="90"/>
  <c r="E19" i="94" s="1"/>
  <c r="X26" i="93"/>
  <c r="Y20" i="93"/>
  <c r="Y331" i="88"/>
  <c r="Y346" i="88"/>
  <c r="G94" i="145"/>
  <c r="Q94" i="145" s="1"/>
  <c r="Y18" i="91"/>
  <c r="J21" i="91"/>
  <c r="J27" i="91"/>
  <c r="H32" i="141"/>
  <c r="G31" i="143"/>
  <c r="Y242" i="88"/>
  <c r="Y375" i="88"/>
  <c r="Y390" i="88"/>
  <c r="Y391" i="88"/>
  <c r="Y392" i="88"/>
  <c r="Y412" i="88"/>
  <c r="Y426" i="88"/>
  <c r="S89" i="21"/>
  <c r="G95" i="145"/>
  <c r="Q95" i="145" s="1"/>
  <c r="H33" i="141"/>
  <c r="G32" i="143"/>
  <c r="Y233" i="88"/>
  <c r="Y370" i="88"/>
  <c r="Y384" i="88"/>
  <c r="Y387" i="88"/>
  <c r="Y388" i="88"/>
  <c r="Y417" i="88"/>
  <c r="Y422" i="88"/>
  <c r="G31" i="145"/>
  <c r="G62" i="145"/>
  <c r="V62" i="145" s="1"/>
  <c r="H27" i="91"/>
  <c r="L76" i="87"/>
  <c r="Y19" i="88"/>
  <c r="Y364" i="88"/>
  <c r="Y369" i="88"/>
  <c r="Y411" i="88"/>
  <c r="L37" i="82"/>
  <c r="K68" i="82"/>
  <c r="J68" i="82"/>
  <c r="E37" i="82"/>
  <c r="F39" i="136"/>
  <c r="Y342" i="88"/>
  <c r="Y244" i="88"/>
  <c r="Y365" i="88"/>
  <c r="Y332" i="88"/>
  <c r="Y339" i="88"/>
  <c r="Y340" i="88"/>
  <c r="Y347" i="88"/>
  <c r="Y348" i="88"/>
  <c r="G39" i="136"/>
  <c r="Y19" i="91"/>
  <c r="Y329" i="88"/>
  <c r="Y335" i="88"/>
  <c r="Y336" i="88"/>
  <c r="Y343" i="88"/>
  <c r="Y344" i="88"/>
  <c r="E46" i="138"/>
  <c r="E44" i="138"/>
  <c r="F58" i="138"/>
  <c r="G31" i="20"/>
  <c r="L18" i="93"/>
  <c r="J26" i="93"/>
  <c r="Y17" i="87"/>
  <c r="J76" i="87"/>
  <c r="L17" i="88"/>
  <c r="L458" i="88" s="1"/>
  <c r="Y458" i="88" s="1"/>
  <c r="D68" i="82"/>
  <c r="O68" i="82"/>
  <c r="S21" i="90"/>
  <c r="S19" i="94" s="1"/>
  <c r="Q68" i="82"/>
  <c r="S99" i="21"/>
  <c r="Y24" i="91"/>
  <c r="H17" i="94"/>
  <c r="Y404" i="88"/>
  <c r="Y405" i="88"/>
  <c r="Y408" i="88"/>
  <c r="Y409" i="88"/>
  <c r="J37" i="82"/>
  <c r="I37" i="82"/>
  <c r="H76" i="87"/>
  <c r="X17" i="150"/>
  <c r="F38" i="139"/>
  <c r="F31" i="20"/>
  <c r="E57" i="138"/>
  <c r="J18" i="89"/>
  <c r="H32" i="89"/>
  <c r="Y229" i="88"/>
  <c r="Y230" i="88"/>
  <c r="Y234" i="88"/>
  <c r="Y235" i="88"/>
  <c r="Y238" i="88"/>
  <c r="Y371" i="88"/>
  <c r="Y372" i="88"/>
  <c r="Y376" i="88"/>
  <c r="Y377" i="88"/>
  <c r="Y380" i="88"/>
  <c r="Y381" i="88"/>
  <c r="Y418" i="88"/>
  <c r="I17" i="92"/>
  <c r="I20" i="92" s="1"/>
  <c r="H20" i="92"/>
  <c r="X76" i="87"/>
  <c r="G21" i="90"/>
  <c r="G19" i="94" s="1"/>
  <c r="P31" i="96"/>
  <c r="X21" i="91"/>
  <c r="Y25" i="91"/>
  <c r="H21" i="91"/>
  <c r="E50" i="138"/>
  <c r="D75" i="138"/>
  <c r="F78" i="138" l="1"/>
  <c r="Q101" i="82"/>
  <c r="X27" i="91"/>
  <c r="X30" i="91" s="1"/>
  <c r="E76" i="138"/>
  <c r="W18" i="94"/>
  <c r="W21" i="94" s="1"/>
  <c r="R84" i="138"/>
  <c r="E77" i="138"/>
  <c r="G102" i="139"/>
  <c r="G121" i="139" s="1"/>
  <c r="F80" i="138" s="1"/>
  <c r="F71" i="138"/>
  <c r="F79" i="138" s="1"/>
  <c r="E75" i="138"/>
  <c r="E78" i="138"/>
  <c r="E23" i="136"/>
  <c r="R101" i="82"/>
  <c r="R33" i="96" s="1"/>
  <c r="R35" i="96" s="1"/>
  <c r="F38" i="21"/>
  <c r="G15" i="138"/>
  <c r="E31" i="136"/>
  <c r="G26" i="138"/>
  <c r="E50" i="136"/>
  <c r="G103" i="136"/>
  <c r="G34" i="137" s="1"/>
  <c r="F102" i="139"/>
  <c r="F121" i="139" s="1"/>
  <c r="E80" i="138" s="1"/>
  <c r="G9" i="138"/>
  <c r="E21" i="136"/>
  <c r="Q84" i="138"/>
  <c r="S84" i="138" s="1"/>
  <c r="V18" i="94"/>
  <c r="N84" i="138"/>
  <c r="S18" i="94"/>
  <c r="S21" i="94" s="1"/>
  <c r="N101" i="82"/>
  <c r="N33" i="96" s="1"/>
  <c r="N35" i="96" s="1"/>
  <c r="E73" i="138"/>
  <c r="G6" i="138"/>
  <c r="G38" i="21"/>
  <c r="F69" i="21"/>
  <c r="E69" i="138"/>
  <c r="E72" i="138"/>
  <c r="G69" i="21"/>
  <c r="E70" i="138"/>
  <c r="G13" i="138"/>
  <c r="G84" i="138"/>
  <c r="Y19" i="90"/>
  <c r="G61" i="138"/>
  <c r="D70" i="138"/>
  <c r="P37" i="82"/>
  <c r="F103" i="136"/>
  <c r="F34" i="137" s="1"/>
  <c r="E20" i="137"/>
  <c r="G12" i="138"/>
  <c r="M101" i="82"/>
  <c r="M33" i="96" s="1"/>
  <c r="M35" i="96" s="1"/>
  <c r="F101" i="82"/>
  <c r="F33" i="96" s="1"/>
  <c r="F35" i="96" s="1"/>
  <c r="G101" i="82"/>
  <c r="G33" i="96" s="1"/>
  <c r="G35" i="96" s="1"/>
  <c r="D101" i="82"/>
  <c r="D33" i="96" s="1"/>
  <c r="D35" i="96" s="1"/>
  <c r="G35" i="138"/>
  <c r="Y18" i="90"/>
  <c r="H21" i="90"/>
  <c r="J17" i="92"/>
  <c r="J20" i="92" s="1"/>
  <c r="G37" i="138"/>
  <c r="P68" i="82"/>
  <c r="Y27" i="91"/>
  <c r="Y21" i="91"/>
  <c r="G45" i="138"/>
  <c r="I101" i="82"/>
  <c r="I33" i="96" s="1"/>
  <c r="I35" i="96" s="1"/>
  <c r="J101" i="82"/>
  <c r="J33" i="96" s="1"/>
  <c r="J35" i="96" s="1"/>
  <c r="S53" i="82"/>
  <c r="S68" i="82" s="1"/>
  <c r="E101" i="82"/>
  <c r="E33" i="96" s="1"/>
  <c r="E35" i="96" s="1"/>
  <c r="O101" i="82"/>
  <c r="O33" i="96" s="1"/>
  <c r="O35" i="96" s="1"/>
  <c r="H101" i="82"/>
  <c r="H33" i="96" s="1"/>
  <c r="H35" i="96" s="1"/>
  <c r="K101" i="82"/>
  <c r="K33" i="96" s="1"/>
  <c r="K35" i="96" s="1"/>
  <c r="H103" i="136"/>
  <c r="H34" i="137" s="1"/>
  <c r="G33" i="138"/>
  <c r="G33" i="145"/>
  <c r="G32" i="145"/>
  <c r="Y76" i="87"/>
  <c r="J17" i="90"/>
  <c r="J21" i="90" s="1"/>
  <c r="S78" i="82"/>
  <c r="G31" i="138"/>
  <c r="L101" i="82"/>
  <c r="L33" i="96" s="1"/>
  <c r="L35" i="96" s="1"/>
  <c r="S35" i="82"/>
  <c r="G10" i="138"/>
  <c r="G8" i="138"/>
  <c r="S25" i="82"/>
  <c r="G30" i="138"/>
  <c r="G18" i="138"/>
  <c r="G41" i="138"/>
  <c r="G14" i="138"/>
  <c r="G34" i="138"/>
  <c r="G50" i="138"/>
  <c r="G16" i="138"/>
  <c r="I18" i="94"/>
  <c r="I21" i="94" s="1"/>
  <c r="H84" i="138"/>
  <c r="G42" i="138"/>
  <c r="E23" i="137"/>
  <c r="G52" i="138"/>
  <c r="G43" i="138"/>
  <c r="G36" i="138"/>
  <c r="G29" i="138"/>
  <c r="F84" i="138"/>
  <c r="G18" i="94"/>
  <c r="G21" i="94" s="1"/>
  <c r="Q33" i="96"/>
  <c r="Q35" i="96" s="1"/>
  <c r="E21" i="150"/>
  <c r="G18" i="150"/>
  <c r="G38" i="138"/>
  <c r="G24" i="138"/>
  <c r="G40" i="138"/>
  <c r="D73" i="138"/>
  <c r="E18" i="94"/>
  <c r="D84" i="138"/>
  <c r="Y18" i="93"/>
  <c r="L26" i="93"/>
  <c r="Y26" i="93" s="1"/>
  <c r="X21" i="90"/>
  <c r="S88" i="82"/>
  <c r="G27" i="138"/>
  <c r="G25" i="138"/>
  <c r="E99" i="21"/>
  <c r="G19" i="138"/>
  <c r="D69" i="138"/>
  <c r="S98" i="82"/>
  <c r="G32" i="138"/>
  <c r="H67" i="21"/>
  <c r="G22" i="138"/>
  <c r="G7" i="138"/>
  <c r="H26" i="21"/>
  <c r="J84" i="138"/>
  <c r="O18" i="94"/>
  <c r="S31" i="96"/>
  <c r="Y17" i="88"/>
  <c r="H19" i="94"/>
  <c r="J19" i="94" s="1"/>
  <c r="E89" i="21"/>
  <c r="G39" i="138"/>
  <c r="H79" i="21"/>
  <c r="G11" i="138"/>
  <c r="H36" i="21"/>
  <c r="G17" i="138"/>
  <c r="L18" i="89"/>
  <c r="Y18" i="89" s="1"/>
  <c r="J32" i="89"/>
  <c r="G58" i="138"/>
  <c r="E22" i="137"/>
  <c r="J17" i="94"/>
  <c r="X99" i="21"/>
  <c r="E71" i="138" l="1"/>
  <c r="E74" i="138"/>
  <c r="E79" i="138" s="1"/>
  <c r="D76" i="138"/>
  <c r="G75" i="138"/>
  <c r="F102" i="21"/>
  <c r="F33" i="20" s="1"/>
  <c r="F35" i="20" s="1"/>
  <c r="Q38" i="96" s="1"/>
  <c r="D71" i="138"/>
  <c r="D77" i="138"/>
  <c r="P101" i="82"/>
  <c r="P33" i="96" s="1"/>
  <c r="P35" i="96" s="1"/>
  <c r="X18" i="94"/>
  <c r="X21" i="94" s="1"/>
  <c r="V21" i="94"/>
  <c r="L17" i="90"/>
  <c r="Y17" i="90" s="1"/>
  <c r="G102" i="21"/>
  <c r="R104" i="82" s="1"/>
  <c r="L17" i="92"/>
  <c r="L20" i="92" s="1"/>
  <c r="S37" i="82"/>
  <c r="S101" i="82" s="1"/>
  <c r="S33" i="96" s="1"/>
  <c r="S35" i="96" s="1"/>
  <c r="G44" i="138"/>
  <c r="G73" i="138"/>
  <c r="I84" i="138"/>
  <c r="G70" i="138"/>
  <c r="G47" i="138"/>
  <c r="G53" i="138"/>
  <c r="G48" i="138"/>
  <c r="H89" i="21"/>
  <c r="O21" i="94"/>
  <c r="E27" i="136"/>
  <c r="H18" i="150"/>
  <c r="G21" i="150"/>
  <c r="E68" i="136"/>
  <c r="L17" i="94"/>
  <c r="L32" i="89"/>
  <c r="Y32" i="89" s="1"/>
  <c r="E37" i="136"/>
  <c r="H38" i="21"/>
  <c r="E80" i="136"/>
  <c r="J32" i="94"/>
  <c r="L19" i="94"/>
  <c r="Y19" i="94" s="1"/>
  <c r="G69" i="138"/>
  <c r="G51" i="138"/>
  <c r="E26" i="137"/>
  <c r="G62" i="138"/>
  <c r="G49" i="138"/>
  <c r="H99" i="21"/>
  <c r="H18" i="94"/>
  <c r="E21" i="94"/>
  <c r="Q104" i="82" l="1"/>
  <c r="G77" i="138"/>
  <c r="G76" i="138"/>
  <c r="G71" i="138"/>
  <c r="L21" i="90"/>
  <c r="Y21" i="90" s="1"/>
  <c r="G33" i="20"/>
  <c r="G35" i="20" s="1"/>
  <c r="R38" i="96" s="1"/>
  <c r="T84" i="138"/>
  <c r="E100" i="136"/>
  <c r="J18" i="94"/>
  <c r="H21" i="94"/>
  <c r="Y17" i="94"/>
  <c r="E39" i="136"/>
  <c r="E90" i="136"/>
  <c r="I18" i="150"/>
  <c r="H21" i="150"/>
  <c r="K18" i="150" l="1"/>
  <c r="I21" i="150"/>
  <c r="L18" i="94"/>
  <c r="J21" i="94"/>
  <c r="J31" i="94" s="1"/>
  <c r="J33" i="94" s="1"/>
  <c r="Y18" i="94" l="1"/>
  <c r="L21" i="94"/>
  <c r="Y21" i="94" s="1"/>
  <c r="X18" i="150"/>
  <c r="K21" i="150"/>
  <c r="X21" i="150" s="1"/>
  <c r="J62" i="138" l="1"/>
  <c r="N30" i="165" l="1"/>
  <c r="H43" i="21" l="1"/>
  <c r="E44" i="136" s="1"/>
  <c r="H44" i="21"/>
  <c r="H46" i="21"/>
  <c r="E47" i="136" s="1"/>
  <c r="H51" i="21"/>
  <c r="G28" i="138" s="1"/>
  <c r="E54" i="21"/>
  <c r="E69" i="21" s="1"/>
  <c r="E102" i="21" s="1"/>
  <c r="H17" i="20"/>
  <c r="H18" i="20"/>
  <c r="H23" i="20"/>
  <c r="G60" i="138" s="1"/>
  <c r="H26" i="20"/>
  <c r="H27" i="20"/>
  <c r="E28" i="137" s="1"/>
  <c r="H28" i="20"/>
  <c r="G66" i="138" s="1"/>
  <c r="H29" i="20"/>
  <c r="E34" i="164"/>
  <c r="E36" i="164" s="1"/>
  <c r="E24" i="137" l="1"/>
  <c r="G64" i="138"/>
  <c r="E30" i="137"/>
  <c r="H54" i="21"/>
  <c r="H69" i="21" s="1"/>
  <c r="H102" i="21" s="1"/>
  <c r="S104" i="82" s="1"/>
  <c r="P104" i="82"/>
  <c r="E52" i="136"/>
  <c r="G23" i="138"/>
  <c r="G55" i="138"/>
  <c r="E19" i="137"/>
  <c r="G21" i="138"/>
  <c r="E45" i="136"/>
  <c r="D72" i="138"/>
  <c r="D74" i="138" s="1"/>
  <c r="G65" i="138"/>
  <c r="E29" i="137"/>
  <c r="G63" i="138"/>
  <c r="G54" i="138"/>
  <c r="E27" i="137"/>
  <c r="E18" i="137"/>
  <c r="E55" i="136" l="1"/>
  <c r="G72" i="138"/>
  <c r="G74" i="138" s="1"/>
  <c r="E70" i="136"/>
  <c r="E103" i="136" s="1"/>
  <c r="M14" i="138" l="1"/>
  <c r="X30" i="21"/>
  <c r="X31" i="21"/>
  <c r="X33" i="21"/>
  <c r="X34" i="21"/>
  <c r="P36" i="21"/>
  <c r="Q36" i="21"/>
  <c r="S36" i="21"/>
  <c r="T36" i="21"/>
  <c r="V36" i="21"/>
  <c r="W36" i="21"/>
  <c r="R43" i="21"/>
  <c r="X45" i="21"/>
  <c r="X47" i="21"/>
  <c r="X48" i="21"/>
  <c r="X49" i="21"/>
  <c r="X50" i="21"/>
  <c r="X52" i="21"/>
  <c r="O54" i="21"/>
  <c r="P54" i="21"/>
  <c r="Q54" i="21"/>
  <c r="R57" i="21"/>
  <c r="U57" i="21"/>
  <c r="X58" i="21"/>
  <c r="X60" i="21"/>
  <c r="X61" i="21"/>
  <c r="X62" i="21"/>
  <c r="X63" i="21"/>
  <c r="X64" i="21"/>
  <c r="X65" i="21"/>
  <c r="O67" i="21"/>
  <c r="P67" i="21"/>
  <c r="Q67" i="21"/>
  <c r="T67" i="21"/>
  <c r="V67" i="21"/>
  <c r="W67" i="21"/>
  <c r="J14" i="138"/>
  <c r="K14" i="138"/>
  <c r="L14" i="138"/>
  <c r="N14" i="138"/>
  <c r="O14" i="138"/>
  <c r="Q14" i="138"/>
  <c r="R14" i="138"/>
  <c r="J15" i="138"/>
  <c r="K15" i="138"/>
  <c r="L15" i="138"/>
  <c r="M15" i="138"/>
  <c r="N15" i="138"/>
  <c r="O15" i="138"/>
  <c r="P15" i="138"/>
  <c r="Q15" i="138"/>
  <c r="R15" i="138"/>
  <c r="J16" i="138"/>
  <c r="K16" i="138"/>
  <c r="L16" i="138"/>
  <c r="M16" i="138"/>
  <c r="N16" i="138"/>
  <c r="O16" i="138"/>
  <c r="P16" i="138"/>
  <c r="Q16" i="138"/>
  <c r="R16" i="138"/>
  <c r="K17" i="138"/>
  <c r="L17" i="138"/>
  <c r="N17" i="138"/>
  <c r="O17" i="138"/>
  <c r="P17" i="138"/>
  <c r="Q17" i="138"/>
  <c r="R17" i="138"/>
  <c r="J18" i="138"/>
  <c r="K18" i="138"/>
  <c r="L18" i="138"/>
  <c r="M18" i="138"/>
  <c r="N18" i="138"/>
  <c r="O18" i="138"/>
  <c r="P18" i="138"/>
  <c r="Q18" i="138"/>
  <c r="R18" i="138"/>
  <c r="J19" i="138"/>
  <c r="K19" i="138"/>
  <c r="L19" i="138"/>
  <c r="M19" i="138"/>
  <c r="N19" i="138"/>
  <c r="O19" i="138"/>
  <c r="P19" i="138"/>
  <c r="Q19" i="138"/>
  <c r="R19" i="138"/>
  <c r="J21" i="138"/>
  <c r="K21" i="138"/>
  <c r="L21" i="138"/>
  <c r="M21" i="138"/>
  <c r="O21" i="138"/>
  <c r="R21" i="138"/>
  <c r="J22" i="138"/>
  <c r="K22" i="138"/>
  <c r="L22" i="138"/>
  <c r="M22" i="138"/>
  <c r="N22" i="138"/>
  <c r="O22" i="138"/>
  <c r="P22" i="138"/>
  <c r="Q22" i="138"/>
  <c r="R22" i="138"/>
  <c r="J23" i="138"/>
  <c r="K23" i="138"/>
  <c r="L23" i="138"/>
  <c r="M23" i="138"/>
  <c r="O23" i="138"/>
  <c r="R23" i="138"/>
  <c r="J24" i="138"/>
  <c r="K24" i="138"/>
  <c r="L24" i="138"/>
  <c r="M24" i="138"/>
  <c r="N24" i="138"/>
  <c r="O24" i="138"/>
  <c r="P24" i="138"/>
  <c r="Q24" i="138"/>
  <c r="R24" i="138"/>
  <c r="J25" i="138"/>
  <c r="K25" i="138"/>
  <c r="L25" i="138"/>
  <c r="M25" i="138"/>
  <c r="N25" i="138"/>
  <c r="O25" i="138"/>
  <c r="P25" i="138"/>
  <c r="Q25" i="138"/>
  <c r="R25" i="138"/>
  <c r="J26" i="138"/>
  <c r="K26" i="138"/>
  <c r="L26" i="138"/>
  <c r="M26" i="138"/>
  <c r="N26" i="138"/>
  <c r="O26" i="138"/>
  <c r="P26" i="138"/>
  <c r="Q26" i="138"/>
  <c r="R26" i="138"/>
  <c r="J27" i="138"/>
  <c r="K27" i="138"/>
  <c r="L27" i="138"/>
  <c r="M27" i="138"/>
  <c r="N27" i="138"/>
  <c r="O27" i="138"/>
  <c r="P27" i="138"/>
  <c r="Q27" i="138"/>
  <c r="R27" i="138"/>
  <c r="J28" i="138"/>
  <c r="K28" i="138"/>
  <c r="L28" i="138"/>
  <c r="M28" i="138"/>
  <c r="J29" i="138"/>
  <c r="K29" i="138"/>
  <c r="L29" i="138"/>
  <c r="M29" i="138"/>
  <c r="N29" i="138"/>
  <c r="O29" i="138"/>
  <c r="P29" i="138"/>
  <c r="Q29" i="138"/>
  <c r="R29" i="138"/>
  <c r="J30" i="138"/>
  <c r="K30" i="138"/>
  <c r="L30" i="138"/>
  <c r="N30" i="138"/>
  <c r="O30" i="138"/>
  <c r="Q30" i="138"/>
  <c r="R30" i="138"/>
  <c r="J31" i="138"/>
  <c r="K31" i="138"/>
  <c r="L31" i="138"/>
  <c r="M31" i="138"/>
  <c r="N31" i="138"/>
  <c r="O31" i="138"/>
  <c r="P31" i="138"/>
  <c r="Q31" i="138"/>
  <c r="R31" i="138"/>
  <c r="J32" i="138"/>
  <c r="K32" i="138"/>
  <c r="L32" i="138"/>
  <c r="M32" i="138"/>
  <c r="O32" i="138"/>
  <c r="Q32" i="138"/>
  <c r="R32" i="138"/>
  <c r="J33" i="138"/>
  <c r="K33" i="138"/>
  <c r="L33" i="138"/>
  <c r="M33" i="138"/>
  <c r="N33" i="138"/>
  <c r="O33" i="138"/>
  <c r="P33" i="138"/>
  <c r="Q33" i="138"/>
  <c r="R33" i="138"/>
  <c r="J34" i="138"/>
  <c r="K34" i="138"/>
  <c r="L34" i="138"/>
  <c r="M34" i="138"/>
  <c r="N34" i="138"/>
  <c r="O34" i="138"/>
  <c r="P34" i="138"/>
  <c r="Q34" i="138"/>
  <c r="R34" i="138"/>
  <c r="J35" i="138"/>
  <c r="K35" i="138"/>
  <c r="L35" i="138"/>
  <c r="M35" i="138"/>
  <c r="N35" i="138"/>
  <c r="O35" i="138"/>
  <c r="P35" i="138"/>
  <c r="Q35" i="138"/>
  <c r="R35" i="138"/>
  <c r="J36" i="138"/>
  <c r="K36" i="138"/>
  <c r="L36" i="138"/>
  <c r="M36" i="138"/>
  <c r="N36" i="138"/>
  <c r="O36" i="138"/>
  <c r="P36" i="138"/>
  <c r="Q36" i="138"/>
  <c r="R36" i="138"/>
  <c r="J37" i="138"/>
  <c r="K37" i="138"/>
  <c r="L37" i="138"/>
  <c r="M37" i="138"/>
  <c r="N37" i="138"/>
  <c r="O37" i="138"/>
  <c r="P37" i="138"/>
  <c r="Q37" i="138"/>
  <c r="R37" i="138"/>
  <c r="J38" i="138"/>
  <c r="K38" i="138"/>
  <c r="L38" i="138"/>
  <c r="M38" i="138"/>
  <c r="N38" i="138"/>
  <c r="O38" i="138"/>
  <c r="P38" i="138"/>
  <c r="Q38" i="138"/>
  <c r="R38" i="138"/>
  <c r="P30" i="138" l="1"/>
  <c r="M72" i="138"/>
  <c r="M30" i="138"/>
  <c r="W38" i="21"/>
  <c r="Q38" i="21"/>
  <c r="V38" i="21"/>
  <c r="T38" i="21"/>
  <c r="S16" i="138"/>
  <c r="S35" i="138"/>
  <c r="S31" i="138"/>
  <c r="S29" i="138"/>
  <c r="S26" i="138"/>
  <c r="S38" i="138"/>
  <c r="S22" i="138"/>
  <c r="S15" i="138"/>
  <c r="S36" i="138"/>
  <c r="S27" i="138"/>
  <c r="S34" i="138"/>
  <c r="S25" i="138"/>
  <c r="S19" i="138"/>
  <c r="S37" i="138"/>
  <c r="S33" i="138"/>
  <c r="S24" i="138"/>
  <c r="S18" i="138"/>
  <c r="R54" i="21"/>
  <c r="L70" i="138"/>
  <c r="L71" i="138" s="1"/>
  <c r="R67" i="21"/>
  <c r="Q69" i="21"/>
  <c r="L73" i="138"/>
  <c r="R73" i="138"/>
  <c r="O69" i="21"/>
  <c r="K73" i="138"/>
  <c r="K72" i="138"/>
  <c r="O70" i="138"/>
  <c r="O71" i="138" s="1"/>
  <c r="Q70" i="138"/>
  <c r="Q71" i="138" s="1"/>
  <c r="J72" i="138"/>
  <c r="L72" i="138"/>
  <c r="N70" i="138"/>
  <c r="O73" i="138"/>
  <c r="P69" i="21"/>
  <c r="J73" i="138"/>
  <c r="K70" i="138"/>
  <c r="X57" i="21"/>
  <c r="P14" i="138"/>
  <c r="X29" i="21"/>
  <c r="U36" i="21"/>
  <c r="R70" i="138"/>
  <c r="R71" i="138" s="1"/>
  <c r="Q73" i="138"/>
  <c r="S30" i="138" l="1"/>
  <c r="M73" i="138"/>
  <c r="P70" i="138"/>
  <c r="K74" i="138"/>
  <c r="U16" i="138"/>
  <c r="J74" i="138"/>
  <c r="M74" i="138"/>
  <c r="S14" i="138"/>
  <c r="U14" i="138" s="1"/>
  <c r="U33" i="138"/>
  <c r="U34" i="138"/>
  <c r="U15" i="138"/>
  <c r="U30" i="138"/>
  <c r="U31" i="138"/>
  <c r="U37" i="138"/>
  <c r="U27" i="138"/>
  <c r="U22" i="138"/>
  <c r="U35" i="138"/>
  <c r="U18" i="138"/>
  <c r="U19" i="138"/>
  <c r="U38" i="138"/>
  <c r="U26" i="138"/>
  <c r="L74" i="138"/>
  <c r="U24" i="138"/>
  <c r="U25" i="138"/>
  <c r="U36" i="138"/>
  <c r="U29" i="138"/>
  <c r="R69" i="21"/>
  <c r="R17" i="21" l="1"/>
  <c r="J6" i="138"/>
  <c r="X17" i="21" l="1"/>
  <c r="M6" i="138"/>
  <c r="S6" i="138" l="1"/>
  <c r="U43" i="21"/>
  <c r="P21" i="138"/>
  <c r="Q23" i="138"/>
  <c r="J66" i="138"/>
  <c r="L66" i="138"/>
  <c r="O66" i="138"/>
  <c r="J65" i="138"/>
  <c r="K65" i="138"/>
  <c r="L65" i="138"/>
  <c r="N65" i="138"/>
  <c r="O65" i="138"/>
  <c r="Q65" i="138"/>
  <c r="R65" i="138"/>
  <c r="N21" i="138"/>
  <c r="Q21" i="138"/>
  <c r="K66" i="138"/>
  <c r="Q66" i="138"/>
  <c r="R66" i="138"/>
  <c r="P66" i="138" l="1"/>
  <c r="S21" i="138"/>
  <c r="U6" i="138"/>
  <c r="M65" i="138"/>
  <c r="M66" i="138"/>
  <c r="N66" i="138"/>
  <c r="X44" i="21"/>
  <c r="X43" i="21"/>
  <c r="P65" i="138"/>
  <c r="X28" i="20" l="1"/>
  <c r="S66" i="138"/>
  <c r="U66" i="138" s="1"/>
  <c r="U21" i="138"/>
  <c r="S65" i="138"/>
  <c r="X29" i="20"/>
  <c r="U65" i="138" l="1"/>
  <c r="J17" i="138" l="1"/>
  <c r="J70" i="138" s="1"/>
  <c r="O36" i="21"/>
  <c r="M17" i="138" l="1"/>
  <c r="R36" i="21"/>
  <c r="X32" i="21"/>
  <c r="X36" i="21" l="1"/>
  <c r="S17" i="138"/>
  <c r="U17" i="138" s="1"/>
  <c r="M70" i="138"/>
  <c r="S70" i="138" l="1"/>
  <c r="U70" i="138" s="1"/>
  <c r="I29" i="20" l="1"/>
  <c r="U29" i="96"/>
  <c r="I63" i="21"/>
  <c r="U62" i="82"/>
  <c r="I64" i="21"/>
  <c r="U63" i="82"/>
  <c r="I65" i="21"/>
  <c r="U64" i="82"/>
  <c r="I62" i="21"/>
  <c r="U61" i="82"/>
  <c r="I49" i="21"/>
  <c r="U48" i="82"/>
  <c r="I45" i="21"/>
  <c r="U44" i="82"/>
  <c r="I50" i="21"/>
  <c r="U49" i="82"/>
  <c r="I89" i="139" l="1"/>
  <c r="I67" i="139"/>
  <c r="I36" i="139"/>
  <c r="I19" i="20"/>
  <c r="U19" i="96"/>
  <c r="U28" i="96"/>
  <c r="I28" i="20"/>
  <c r="I25" i="20"/>
  <c r="U25" i="96"/>
  <c r="H65" i="138"/>
  <c r="J29" i="20"/>
  <c r="I96" i="21"/>
  <c r="U95" i="82"/>
  <c r="I94" i="21"/>
  <c r="U93" i="82"/>
  <c r="I97" i="21"/>
  <c r="U96" i="82"/>
  <c r="I93" i="21"/>
  <c r="U92" i="82"/>
  <c r="T98" i="82"/>
  <c r="I95" i="21"/>
  <c r="U94" i="82"/>
  <c r="I86" i="21"/>
  <c r="U85" i="82"/>
  <c r="I83" i="21"/>
  <c r="U82" i="82"/>
  <c r="I84" i="21"/>
  <c r="U83" i="82"/>
  <c r="I87" i="21"/>
  <c r="U86" i="82"/>
  <c r="I77" i="21"/>
  <c r="U76" i="82"/>
  <c r="I73" i="21"/>
  <c r="U72" i="82"/>
  <c r="I58" i="21"/>
  <c r="U57" i="82"/>
  <c r="H35" i="138"/>
  <c r="J62" i="21"/>
  <c r="J64" i="21"/>
  <c r="H37" i="138"/>
  <c r="I60" i="21"/>
  <c r="U59" i="82"/>
  <c r="I61" i="21"/>
  <c r="U60" i="82"/>
  <c r="I57" i="21"/>
  <c r="U56" i="82"/>
  <c r="H38" i="138"/>
  <c r="J65" i="21"/>
  <c r="H36" i="138"/>
  <c r="J63" i="21"/>
  <c r="I47" i="21"/>
  <c r="U46" i="82"/>
  <c r="H22" i="138"/>
  <c r="J45" i="21"/>
  <c r="I44" i="21"/>
  <c r="U43" i="82"/>
  <c r="I52" i="21"/>
  <c r="U51" i="82"/>
  <c r="I43" i="21"/>
  <c r="H20" i="138" s="1"/>
  <c r="U42" i="82"/>
  <c r="I48" i="21"/>
  <c r="U47" i="82"/>
  <c r="H27" i="138"/>
  <c r="J50" i="21"/>
  <c r="H26" i="138"/>
  <c r="J49" i="21"/>
  <c r="I32" i="21"/>
  <c r="U31" i="82"/>
  <c r="I31" i="21"/>
  <c r="U30" i="82"/>
  <c r="I29" i="21"/>
  <c r="U28" i="82"/>
  <c r="T35" i="82"/>
  <c r="I34" i="21"/>
  <c r="U33" i="82"/>
  <c r="I30" i="21"/>
  <c r="U29" i="82"/>
  <c r="I33" i="21"/>
  <c r="U32" i="82"/>
  <c r="I18" i="21"/>
  <c r="U17" i="82"/>
  <c r="U16" i="82"/>
  <c r="I19" i="21"/>
  <c r="U18" i="82"/>
  <c r="I21" i="21"/>
  <c r="U20" i="82"/>
  <c r="I24" i="21"/>
  <c r="U23" i="82"/>
  <c r="I79" i="139" l="1"/>
  <c r="I99" i="139"/>
  <c r="H62" i="138"/>
  <c r="J25" i="20"/>
  <c r="H56" i="138"/>
  <c r="J19" i="20"/>
  <c r="I65" i="138"/>
  <c r="T65" i="138" s="1"/>
  <c r="L29" i="20"/>
  <c r="V29" i="96" s="1"/>
  <c r="H66" i="138"/>
  <c r="J28" i="20"/>
  <c r="H50" i="138"/>
  <c r="J94" i="21"/>
  <c r="H51" i="138"/>
  <c r="J95" i="21"/>
  <c r="U98" i="82"/>
  <c r="H49" i="138"/>
  <c r="I99" i="21"/>
  <c r="J93" i="21"/>
  <c r="H53" i="138"/>
  <c r="J97" i="21"/>
  <c r="H52" i="138"/>
  <c r="J96" i="21"/>
  <c r="H47" i="138"/>
  <c r="J86" i="21"/>
  <c r="H45" i="138"/>
  <c r="J84" i="21"/>
  <c r="H48" i="138"/>
  <c r="J87" i="21"/>
  <c r="H44" i="138"/>
  <c r="J83" i="21"/>
  <c r="H43" i="138"/>
  <c r="J77" i="21"/>
  <c r="H39" i="138"/>
  <c r="J73" i="21"/>
  <c r="H34" i="138"/>
  <c r="J61" i="21"/>
  <c r="L65" i="21"/>
  <c r="I38" i="138"/>
  <c r="T38" i="138" s="1"/>
  <c r="I37" i="138"/>
  <c r="T37" i="138" s="1"/>
  <c r="L64" i="21"/>
  <c r="I36" i="138"/>
  <c r="T36" i="138" s="1"/>
  <c r="L63" i="21"/>
  <c r="L62" i="21"/>
  <c r="I35" i="138"/>
  <c r="T35" i="138" s="1"/>
  <c r="H31" i="138"/>
  <c r="J58" i="21"/>
  <c r="H30" i="138"/>
  <c r="J57" i="21"/>
  <c r="H33" i="138"/>
  <c r="J60" i="21"/>
  <c r="L50" i="21"/>
  <c r="I27" i="138"/>
  <c r="T27" i="138" s="1"/>
  <c r="H29" i="138"/>
  <c r="J52" i="21"/>
  <c r="H21" i="138"/>
  <c r="J44" i="21"/>
  <c r="H24" i="138"/>
  <c r="J47" i="21"/>
  <c r="L49" i="21"/>
  <c r="I26" i="138"/>
  <c r="T26" i="138" s="1"/>
  <c r="L45" i="21"/>
  <c r="I22" i="138"/>
  <c r="T22" i="138" s="1"/>
  <c r="J43" i="21"/>
  <c r="I20" i="138" s="1"/>
  <c r="U20" i="138" s="1"/>
  <c r="H25" i="138"/>
  <c r="J48" i="21"/>
  <c r="H18" i="138"/>
  <c r="J33" i="21"/>
  <c r="J34" i="21"/>
  <c r="H19" i="138"/>
  <c r="H16" i="138"/>
  <c r="J31" i="21"/>
  <c r="U35" i="82"/>
  <c r="H15" i="138"/>
  <c r="J30" i="21"/>
  <c r="H14" i="138"/>
  <c r="J29" i="21"/>
  <c r="I36" i="21"/>
  <c r="H17" i="138"/>
  <c r="J32" i="21"/>
  <c r="J18" i="21"/>
  <c r="H7" i="138"/>
  <c r="H10" i="138"/>
  <c r="J21" i="21"/>
  <c r="H6" i="138"/>
  <c r="J17" i="21"/>
  <c r="H13" i="138"/>
  <c r="J24" i="21"/>
  <c r="H8" i="138"/>
  <c r="J19" i="21"/>
  <c r="H77" i="138" l="1"/>
  <c r="H70" i="138"/>
  <c r="Y29" i="20"/>
  <c r="Z29" i="20"/>
  <c r="I56" i="138"/>
  <c r="T56" i="138" s="1"/>
  <c r="L19" i="20"/>
  <c r="V19" i="96" s="1"/>
  <c r="I66" i="138"/>
  <c r="T66" i="138" s="1"/>
  <c r="L28" i="20"/>
  <c r="V28" i="96" s="1"/>
  <c r="L25" i="20"/>
  <c r="V25" i="96" s="1"/>
  <c r="I62" i="138"/>
  <c r="T62" i="138" s="1"/>
  <c r="I53" i="138"/>
  <c r="T53" i="138" s="1"/>
  <c r="L97" i="21"/>
  <c r="I50" i="138"/>
  <c r="T50" i="138" s="1"/>
  <c r="L94" i="21"/>
  <c r="L96" i="21"/>
  <c r="I52" i="138"/>
  <c r="T52" i="138" s="1"/>
  <c r="J99" i="21"/>
  <c r="L93" i="21"/>
  <c r="I49" i="138"/>
  <c r="L95" i="21"/>
  <c r="I51" i="138"/>
  <c r="T51" i="138" s="1"/>
  <c r="L87" i="21"/>
  <c r="I48" i="138"/>
  <c r="T48" i="138" s="1"/>
  <c r="L83" i="21"/>
  <c r="I44" i="138"/>
  <c r="L86" i="21"/>
  <c r="I47" i="138"/>
  <c r="T47" i="138" s="1"/>
  <c r="I45" i="138"/>
  <c r="T45" i="138" s="1"/>
  <c r="L84" i="21"/>
  <c r="L73" i="21"/>
  <c r="I39" i="138"/>
  <c r="L77" i="21"/>
  <c r="I43" i="138"/>
  <c r="T43" i="138" s="1"/>
  <c r="Z64" i="21"/>
  <c r="Y64" i="21"/>
  <c r="V63" i="82"/>
  <c r="I31" i="138"/>
  <c r="T31" i="138" s="1"/>
  <c r="L58" i="21"/>
  <c r="L61" i="21"/>
  <c r="I34" i="138"/>
  <c r="T34" i="138" s="1"/>
  <c r="L57" i="21"/>
  <c r="I30" i="138"/>
  <c r="Z62" i="21"/>
  <c r="Y62" i="21"/>
  <c r="V61" i="82"/>
  <c r="Z65" i="21"/>
  <c r="Y65" i="21"/>
  <c r="V64" i="82"/>
  <c r="L60" i="21"/>
  <c r="I33" i="138"/>
  <c r="T33" i="138" s="1"/>
  <c r="Z63" i="21"/>
  <c r="Y63" i="21"/>
  <c r="V62" i="82"/>
  <c r="Y45" i="21"/>
  <c r="Z45" i="21"/>
  <c r="V44" i="82"/>
  <c r="L43" i="21"/>
  <c r="L44" i="21"/>
  <c r="I21" i="138"/>
  <c r="T21" i="138" s="1"/>
  <c r="L47" i="21"/>
  <c r="I24" i="138"/>
  <c r="T24" i="138" s="1"/>
  <c r="I29" i="138"/>
  <c r="T29" i="138" s="1"/>
  <c r="L52" i="21"/>
  <c r="I25" i="138"/>
  <c r="T25" i="138" s="1"/>
  <c r="L48" i="21"/>
  <c r="Y49" i="21"/>
  <c r="Z49" i="21"/>
  <c r="V48" i="82"/>
  <c r="Y50" i="21"/>
  <c r="Z50" i="21"/>
  <c r="V49" i="82"/>
  <c r="L34" i="21"/>
  <c r="I19" i="138"/>
  <c r="T19" i="138" s="1"/>
  <c r="L33" i="21"/>
  <c r="I18" i="138"/>
  <c r="T18" i="138" s="1"/>
  <c r="L29" i="21"/>
  <c r="I14" i="138"/>
  <c r="J36" i="21"/>
  <c r="L30" i="21"/>
  <c r="I15" i="138"/>
  <c r="T15" i="138" s="1"/>
  <c r="I17" i="138"/>
  <c r="T17" i="138" s="1"/>
  <c r="L32" i="21"/>
  <c r="I16" i="138"/>
  <c r="T16" i="138" s="1"/>
  <c r="L31" i="21"/>
  <c r="L17" i="21"/>
  <c r="I6" i="138"/>
  <c r="I7" i="138"/>
  <c r="T7" i="138" s="1"/>
  <c r="L18" i="21"/>
  <c r="L19" i="21"/>
  <c r="I8" i="138"/>
  <c r="T8" i="138" s="1"/>
  <c r="I13" i="138"/>
  <c r="T13" i="138" s="1"/>
  <c r="L24" i="21"/>
  <c r="I10" i="138"/>
  <c r="T10" i="138" s="1"/>
  <c r="L21" i="21"/>
  <c r="Y28" i="20" l="1"/>
  <c r="Z28" i="20"/>
  <c r="Z19" i="20"/>
  <c r="Y19" i="20"/>
  <c r="Y25" i="20"/>
  <c r="Z25" i="20"/>
  <c r="Z97" i="21"/>
  <c r="Y97" i="21"/>
  <c r="V96" i="82"/>
  <c r="I77" i="138"/>
  <c r="T77" i="138" s="1"/>
  <c r="T49" i="138"/>
  <c r="Z96" i="21"/>
  <c r="Y96" i="21"/>
  <c r="V95" i="82"/>
  <c r="Z95" i="21"/>
  <c r="Y95" i="21"/>
  <c r="V94" i="82"/>
  <c r="Y93" i="21"/>
  <c r="Z93" i="21"/>
  <c r="L99" i="21"/>
  <c r="V98" i="82" s="1"/>
  <c r="V92" i="82"/>
  <c r="V93" i="82"/>
  <c r="Y94" i="21"/>
  <c r="Z94" i="21"/>
  <c r="Y86" i="21"/>
  <c r="Z86" i="21"/>
  <c r="V85" i="82"/>
  <c r="Z84" i="21"/>
  <c r="Y84" i="21"/>
  <c r="V83" i="82"/>
  <c r="Z87" i="21"/>
  <c r="Y87" i="21"/>
  <c r="V86" i="82"/>
  <c r="T44" i="138"/>
  <c r="Y83" i="21"/>
  <c r="Z83" i="21"/>
  <c r="V82" i="82"/>
  <c r="T39" i="138"/>
  <c r="Z73" i="21"/>
  <c r="Y73" i="21"/>
  <c r="V72" i="82"/>
  <c r="Y77" i="21"/>
  <c r="Z77" i="21"/>
  <c r="V76" i="82"/>
  <c r="T30" i="138"/>
  <c r="Y61" i="21"/>
  <c r="Z61" i="21"/>
  <c r="V60" i="82"/>
  <c r="Y57" i="21"/>
  <c r="Z57" i="21"/>
  <c r="V56" i="82"/>
  <c r="Z58" i="21"/>
  <c r="Y58" i="21"/>
  <c r="V57" i="82"/>
  <c r="Z60" i="21"/>
  <c r="Y60" i="21"/>
  <c r="V59" i="82"/>
  <c r="Z48" i="21"/>
  <c r="Y48" i="21"/>
  <c r="V47" i="82"/>
  <c r="Y52" i="21"/>
  <c r="Z52" i="21"/>
  <c r="V51" i="82"/>
  <c r="Y43" i="21"/>
  <c r="Z43" i="21"/>
  <c r="V42" i="82"/>
  <c r="Y44" i="21"/>
  <c r="Z44" i="21"/>
  <c r="V43" i="82"/>
  <c r="Z47" i="21"/>
  <c r="Y47" i="21"/>
  <c r="V46" i="82"/>
  <c r="T20" i="138"/>
  <c r="Y32" i="21"/>
  <c r="Z32" i="21"/>
  <c r="V31" i="82"/>
  <c r="Z33" i="21"/>
  <c r="Y33" i="21"/>
  <c r="V32" i="82"/>
  <c r="V29" i="82"/>
  <c r="Z30" i="21"/>
  <c r="Y30" i="21"/>
  <c r="I70" i="138"/>
  <c r="T70" i="138" s="1"/>
  <c r="T14" i="138"/>
  <c r="V30" i="82"/>
  <c r="Y31" i="21"/>
  <c r="Z31" i="21"/>
  <c r="L36" i="21"/>
  <c r="V35" i="82" s="1"/>
  <c r="Z29" i="21"/>
  <c r="Y29" i="21"/>
  <c r="V28" i="82"/>
  <c r="Z34" i="21"/>
  <c r="Y34" i="21"/>
  <c r="V33" i="82"/>
  <c r="Y24" i="21"/>
  <c r="Z24" i="21"/>
  <c r="V23" i="82"/>
  <c r="Y19" i="21"/>
  <c r="Z19" i="21"/>
  <c r="V18" i="82"/>
  <c r="T6" i="138"/>
  <c r="Z21" i="21"/>
  <c r="Y21" i="21"/>
  <c r="V20" i="82"/>
  <c r="Y18" i="21"/>
  <c r="Z18" i="21"/>
  <c r="V17" i="82"/>
  <c r="Z17" i="21"/>
  <c r="Y17" i="21"/>
  <c r="V16" i="82"/>
  <c r="N32" i="138" l="1"/>
  <c r="S67" i="21"/>
  <c r="Q41" i="138"/>
  <c r="N73" i="138" l="1"/>
  <c r="N41" i="138"/>
  <c r="K41" i="138"/>
  <c r="L41" i="138"/>
  <c r="J41" i="138"/>
  <c r="O41" i="138"/>
  <c r="U67" i="21"/>
  <c r="P32" i="138"/>
  <c r="X59" i="21"/>
  <c r="X67" i="21" l="1"/>
  <c r="S32" i="138"/>
  <c r="P73" i="138"/>
  <c r="S73" i="138" s="1"/>
  <c r="U73" i="138" s="1"/>
  <c r="M41" i="138"/>
  <c r="P41" i="138"/>
  <c r="X75" i="21"/>
  <c r="R41" i="138" l="1"/>
  <c r="U32" i="138"/>
  <c r="S41" i="138" l="1"/>
  <c r="U41" i="138" s="1"/>
  <c r="I75" i="21" l="1"/>
  <c r="U74" i="82"/>
  <c r="I59" i="21"/>
  <c r="U58" i="82"/>
  <c r="T66" i="82"/>
  <c r="U66" i="82" l="1"/>
  <c r="J59" i="21"/>
  <c r="I67" i="21"/>
  <c r="H32" i="138"/>
  <c r="H73" i="138" s="1"/>
  <c r="H41" i="138"/>
  <c r="J75" i="21"/>
  <c r="L59" i="21" l="1"/>
  <c r="I32" i="138"/>
  <c r="J67" i="21"/>
  <c r="I41" i="138"/>
  <c r="T41" i="138" s="1"/>
  <c r="L75" i="21"/>
  <c r="Z75" i="21" l="1"/>
  <c r="Y75" i="21"/>
  <c r="V74" i="82"/>
  <c r="I73" i="138"/>
  <c r="T73" i="138" s="1"/>
  <c r="T32" i="138"/>
  <c r="L67" i="21"/>
  <c r="Z59" i="21"/>
  <c r="Y59" i="21"/>
  <c r="V58" i="82"/>
  <c r="V66" i="82" l="1"/>
  <c r="X74" i="21" l="1"/>
  <c r="Q40" i="138"/>
  <c r="X85" i="21" l="1"/>
  <c r="V89" i="21"/>
  <c r="S40" i="138"/>
  <c r="U73" i="82"/>
  <c r="I74" i="21"/>
  <c r="X89" i="21" l="1"/>
  <c r="U84" i="82"/>
  <c r="T88" i="82"/>
  <c r="I85" i="21"/>
  <c r="H46" i="138" s="1"/>
  <c r="H40" i="138"/>
  <c r="J74" i="21"/>
  <c r="U40" i="138"/>
  <c r="Q76" i="138"/>
  <c r="S76" i="138" s="1"/>
  <c r="U76" i="138" s="1"/>
  <c r="S46" i="138"/>
  <c r="U46" i="138" l="1"/>
  <c r="H76" i="138"/>
  <c r="I89" i="21"/>
  <c r="J85" i="21"/>
  <c r="I46" i="138" s="1"/>
  <c r="I40" i="138"/>
  <c r="L74" i="21"/>
  <c r="U88" i="82"/>
  <c r="T40" i="138" l="1"/>
  <c r="L85" i="21"/>
  <c r="J89" i="21"/>
  <c r="Z74" i="21"/>
  <c r="Y74" i="21"/>
  <c r="V73" i="82"/>
  <c r="L89" i="21" l="1"/>
  <c r="Z85" i="21"/>
  <c r="Y85" i="21"/>
  <c r="V84" i="82"/>
  <c r="I76" i="138"/>
  <c r="T76" i="138" s="1"/>
  <c r="T46" i="138"/>
  <c r="V88" i="82" l="1"/>
  <c r="J61" i="138" l="1"/>
  <c r="Q61" i="138"/>
  <c r="K61" i="138" l="1"/>
  <c r="L61" i="138"/>
  <c r="O61" i="138"/>
  <c r="R61" i="138"/>
  <c r="M61" i="138" l="1"/>
  <c r="H20" i="20" l="1"/>
  <c r="E21" i="137" s="1"/>
  <c r="E32" i="137" s="1"/>
  <c r="E34" i="137" s="1"/>
  <c r="E31" i="20"/>
  <c r="H31" i="20"/>
  <c r="H33" i="20" s="1"/>
  <c r="H35" i="20" s="1"/>
  <c r="S38" i="96" s="1"/>
  <c r="E33" i="20"/>
  <c r="E35" i="20" s="1"/>
  <c r="P38" i="96" s="1"/>
  <c r="D78" i="138"/>
  <c r="D79" i="138" s="1"/>
  <c r="G57" i="138" l="1"/>
  <c r="G78" i="138" s="1"/>
  <c r="G79" i="138" s="1"/>
  <c r="H17" i="139" l="1"/>
  <c r="J17" i="139" s="1"/>
  <c r="H18" i="139"/>
  <c r="J18" i="139"/>
  <c r="L18" i="139" s="1"/>
  <c r="H19" i="139"/>
  <c r="J19" i="139"/>
  <c r="L19" i="139" s="1"/>
  <c r="H20" i="139"/>
  <c r="J20" i="139"/>
  <c r="L20" i="139" s="1"/>
  <c r="H21" i="139"/>
  <c r="J21" i="139" s="1"/>
  <c r="L21" i="139" s="1"/>
  <c r="H22" i="139"/>
  <c r="J22" i="139" s="1"/>
  <c r="L22" i="139" s="1"/>
  <c r="H23" i="139"/>
  <c r="H24" i="139"/>
  <c r="J24" i="139"/>
  <c r="L24" i="139" s="1"/>
  <c r="E26" i="139"/>
  <c r="E38" i="139" s="1"/>
  <c r="H26" i="139"/>
  <c r="H29" i="139"/>
  <c r="J29" i="139" s="1"/>
  <c r="L29" i="139" s="1"/>
  <c r="H30" i="139"/>
  <c r="J30" i="139"/>
  <c r="L30" i="139" s="1"/>
  <c r="H31" i="139"/>
  <c r="J31" i="139"/>
  <c r="L31" i="139" s="1"/>
  <c r="H32" i="139"/>
  <c r="J32" i="139"/>
  <c r="L32" i="139" s="1"/>
  <c r="H33" i="139"/>
  <c r="J33" i="139"/>
  <c r="L33" i="139" s="1"/>
  <c r="H34" i="139"/>
  <c r="J34" i="139"/>
  <c r="L34" i="139" s="1"/>
  <c r="E36" i="139"/>
  <c r="H43" i="139"/>
  <c r="J43" i="139"/>
  <c r="H44" i="139"/>
  <c r="J44" i="139"/>
  <c r="L44" i="139" s="1"/>
  <c r="H45" i="139"/>
  <c r="J45" i="139"/>
  <c r="L45" i="139" s="1"/>
  <c r="H46" i="139"/>
  <c r="J46" i="139"/>
  <c r="L46" i="139" s="1"/>
  <c r="H47" i="139"/>
  <c r="J47" i="139" s="1"/>
  <c r="L47" i="139" s="1"/>
  <c r="H48" i="139"/>
  <c r="J48" i="139"/>
  <c r="L48" i="139" s="1"/>
  <c r="H49" i="139"/>
  <c r="J49" i="139" s="1"/>
  <c r="L49" i="139" s="1"/>
  <c r="H50" i="139"/>
  <c r="J50" i="139" s="1"/>
  <c r="L50" i="139" s="1"/>
  <c r="H51" i="139"/>
  <c r="H52" i="139"/>
  <c r="J52" i="139"/>
  <c r="L52" i="139" s="1"/>
  <c r="E54" i="139"/>
  <c r="H57" i="139"/>
  <c r="H58" i="139"/>
  <c r="J58" i="139"/>
  <c r="L58" i="139" s="1"/>
  <c r="H59" i="139"/>
  <c r="J59" i="139"/>
  <c r="L59" i="139" s="1"/>
  <c r="H60" i="139"/>
  <c r="J60" i="139"/>
  <c r="L60" i="139" s="1"/>
  <c r="H61" i="139"/>
  <c r="J61" i="139" s="1"/>
  <c r="L61" i="139" s="1"/>
  <c r="H62" i="139"/>
  <c r="J62" i="139" s="1"/>
  <c r="L62" i="139" s="1"/>
  <c r="H63" i="139"/>
  <c r="J63" i="139" s="1"/>
  <c r="L63" i="139" s="1"/>
  <c r="H64" i="139"/>
  <c r="J64" i="139"/>
  <c r="L64" i="139" s="1"/>
  <c r="H65" i="139"/>
  <c r="J65" i="139"/>
  <c r="L65" i="139" s="1"/>
  <c r="E67" i="139"/>
  <c r="E69" i="139"/>
  <c r="H73" i="139"/>
  <c r="H74" i="139"/>
  <c r="J74" i="139" s="1"/>
  <c r="L74" i="139" s="1"/>
  <c r="H75" i="139"/>
  <c r="J75" i="139"/>
  <c r="L75" i="139" s="1"/>
  <c r="H76" i="139"/>
  <c r="J76" i="139"/>
  <c r="L76" i="139" s="1"/>
  <c r="H77" i="139"/>
  <c r="J77" i="139"/>
  <c r="L77" i="139" s="1"/>
  <c r="E79" i="139"/>
  <c r="H83" i="139"/>
  <c r="H89" i="139" s="1"/>
  <c r="J83" i="139"/>
  <c r="H84" i="139"/>
  <c r="J84" i="139"/>
  <c r="L84" i="139" s="1"/>
  <c r="H85" i="139"/>
  <c r="J85" i="139"/>
  <c r="L85" i="139" s="1"/>
  <c r="H86" i="139"/>
  <c r="J86" i="139"/>
  <c r="L86" i="139" s="1"/>
  <c r="H87" i="139"/>
  <c r="J87" i="139" s="1"/>
  <c r="L87" i="139" s="1"/>
  <c r="E89" i="139"/>
  <c r="H93" i="139"/>
  <c r="H99" i="139" s="1"/>
  <c r="J93" i="139"/>
  <c r="H94" i="139"/>
  <c r="J94" i="139" s="1"/>
  <c r="L94" i="139" s="1"/>
  <c r="H95" i="139"/>
  <c r="J95" i="139"/>
  <c r="L95" i="139" s="1"/>
  <c r="H96" i="139"/>
  <c r="J96" i="139" s="1"/>
  <c r="L96" i="139" s="1"/>
  <c r="H97" i="139"/>
  <c r="J97" i="139" s="1"/>
  <c r="L97" i="139" s="1"/>
  <c r="E99" i="139"/>
  <c r="H105" i="139"/>
  <c r="H106" i="139"/>
  <c r="J106" i="139"/>
  <c r="L106" i="139" s="1"/>
  <c r="H107" i="139"/>
  <c r="J107" i="139" s="1"/>
  <c r="L107" i="139" s="1"/>
  <c r="H108" i="139"/>
  <c r="J108" i="139" s="1"/>
  <c r="L108" i="139" s="1"/>
  <c r="H109" i="139"/>
  <c r="J109" i="139" s="1"/>
  <c r="L109" i="139" s="1"/>
  <c r="H110" i="139"/>
  <c r="J110" i="139"/>
  <c r="L110" i="139" s="1"/>
  <c r="H111" i="139"/>
  <c r="J111" i="139"/>
  <c r="L111" i="139" s="1"/>
  <c r="H112" i="139"/>
  <c r="J112" i="139"/>
  <c r="L112" i="139" s="1"/>
  <c r="H113" i="139"/>
  <c r="J113" i="139" s="1"/>
  <c r="L113" i="139" s="1"/>
  <c r="H114" i="139"/>
  <c r="J114" i="139" s="1"/>
  <c r="L114" i="139" s="1"/>
  <c r="H115" i="139"/>
  <c r="J115" i="139" s="1"/>
  <c r="L115" i="139" s="1"/>
  <c r="H116" i="139"/>
  <c r="J116" i="139"/>
  <c r="L116" i="139" s="1"/>
  <c r="H117" i="139"/>
  <c r="J117" i="139"/>
  <c r="L117" i="139" s="1"/>
  <c r="E119" i="139"/>
  <c r="J99" i="139" l="1"/>
  <c r="L93" i="139"/>
  <c r="H79" i="139"/>
  <c r="J73" i="139"/>
  <c r="J57" i="139"/>
  <c r="H67" i="139"/>
  <c r="L43" i="139"/>
  <c r="L17" i="139"/>
  <c r="J89" i="139"/>
  <c r="L83" i="139"/>
  <c r="H54" i="139"/>
  <c r="L99" i="139"/>
  <c r="L36" i="139"/>
  <c r="J36" i="139"/>
  <c r="E102" i="139"/>
  <c r="E121" i="139" s="1"/>
  <c r="D80" i="138" s="1"/>
  <c r="H119" i="139"/>
  <c r="H36" i="139"/>
  <c r="H38" i="139" s="1"/>
  <c r="L73" i="139" l="1"/>
  <c r="J79" i="139"/>
  <c r="J67" i="139"/>
  <c r="L57" i="139"/>
  <c r="H69" i="139"/>
  <c r="H102" i="139" s="1"/>
  <c r="H121" i="139" s="1"/>
  <c r="G80" i="138" s="1"/>
  <c r="L89" i="139"/>
  <c r="L67" i="139" l="1"/>
  <c r="L79" i="139"/>
  <c r="G129" i="145" l="1"/>
  <c r="G160" i="145"/>
  <c r="G161" i="145"/>
  <c r="G162" i="145"/>
  <c r="G130" i="145"/>
  <c r="H129" i="141"/>
  <c r="F129" i="142"/>
  <c r="E129" i="142" s="1"/>
  <c r="F160" i="142"/>
  <c r="E160" i="142" s="1"/>
  <c r="H160" i="141"/>
  <c r="G130" i="143"/>
  <c r="H162" i="141"/>
  <c r="F162" i="142"/>
  <c r="E162" i="142" s="1"/>
  <c r="G161" i="143"/>
  <c r="F131" i="142"/>
  <c r="E131" i="142" s="1"/>
  <c r="H131" i="141"/>
  <c r="G131" i="145"/>
  <c r="G131" i="143"/>
  <c r="F161" i="142"/>
  <c r="E161" i="142" s="1"/>
  <c r="H161" i="141"/>
  <c r="G162" i="143"/>
  <c r="H130" i="141"/>
  <c r="F130" i="142"/>
  <c r="E130" i="142" s="1"/>
  <c r="G129" i="143"/>
  <c r="G160" i="143"/>
  <c r="Y68" i="141" l="1"/>
  <c r="U67" i="145"/>
  <c r="U69" i="143"/>
  <c r="W69" i="141"/>
  <c r="T68" i="145"/>
  <c r="T68" i="143"/>
  <c r="U67" i="143"/>
  <c r="W67" i="141"/>
  <c r="Y69" i="141"/>
  <c r="U68" i="145"/>
  <c r="Y67" i="141"/>
  <c r="T69" i="145"/>
  <c r="T69" i="143"/>
  <c r="U68" i="143"/>
  <c r="W68" i="141"/>
  <c r="T67" i="145"/>
  <c r="T67" i="143"/>
  <c r="U69" i="145"/>
  <c r="V68" i="141" l="1"/>
  <c r="F68" i="142"/>
  <c r="H68" i="141"/>
  <c r="G67" i="145"/>
  <c r="V67" i="145" s="1"/>
  <c r="S67" i="145"/>
  <c r="G69" i="145"/>
  <c r="V69" i="145" s="1"/>
  <c r="S69" i="145"/>
  <c r="G69" i="143"/>
  <c r="V69" i="143" s="1"/>
  <c r="S69" i="143"/>
  <c r="H67" i="141"/>
  <c r="V67" i="141"/>
  <c r="F67" i="142"/>
  <c r="G67" i="143"/>
  <c r="V67" i="143" s="1"/>
  <c r="S67" i="143"/>
  <c r="H69" i="141"/>
  <c r="F69" i="142"/>
  <c r="V69" i="141"/>
  <c r="G68" i="143"/>
  <c r="V68" i="143" s="1"/>
  <c r="S68" i="143"/>
  <c r="G68" i="145"/>
  <c r="V68" i="145" s="1"/>
  <c r="S68" i="145"/>
  <c r="E69" i="142" l="1"/>
  <c r="Q69" i="142" s="1"/>
  <c r="R69" i="142"/>
  <c r="E67" i="142"/>
  <c r="Q67" i="142" s="1"/>
  <c r="R67" i="142"/>
  <c r="Z67" i="141"/>
  <c r="E68" i="142"/>
  <c r="Q68" i="142" s="1"/>
  <c r="R68" i="142"/>
  <c r="Z69" i="141"/>
  <c r="Z68" i="141"/>
  <c r="O99" i="145" l="1"/>
  <c r="E37" i="145" s="1"/>
  <c r="O99" i="143"/>
  <c r="E37" i="143" s="1"/>
  <c r="P98" i="143"/>
  <c r="F36" i="143" s="1"/>
  <c r="Q98" i="141"/>
  <c r="E36" i="141" s="1"/>
  <c r="S100" i="141"/>
  <c r="G38" i="141" s="1"/>
  <c r="P99" i="145"/>
  <c r="F37" i="145" s="1"/>
  <c r="S98" i="141"/>
  <c r="G36" i="141" s="1"/>
  <c r="O100" i="145"/>
  <c r="E38" i="145" s="1"/>
  <c r="O100" i="143"/>
  <c r="E38" i="143" s="1"/>
  <c r="P99" i="143"/>
  <c r="F37" i="143" s="1"/>
  <c r="Q99" i="141"/>
  <c r="E37" i="141" s="1"/>
  <c r="O98" i="145"/>
  <c r="E36" i="145" s="1"/>
  <c r="O98" i="143"/>
  <c r="E36" i="143" s="1"/>
  <c r="P100" i="145"/>
  <c r="F38" i="145" s="1"/>
  <c r="S99" i="141"/>
  <c r="G37" i="141" s="1"/>
  <c r="P98" i="145"/>
  <c r="F36" i="145" s="1"/>
  <c r="P100" i="143"/>
  <c r="F38" i="143" s="1"/>
  <c r="Q100" i="141"/>
  <c r="E38" i="141" s="1"/>
  <c r="N99" i="145" l="1"/>
  <c r="D37" i="145" s="1"/>
  <c r="G37" i="145" s="1"/>
  <c r="G99" i="145"/>
  <c r="Q99" i="145" s="1"/>
  <c r="H99" i="141"/>
  <c r="P99" i="141"/>
  <c r="F99" i="142"/>
  <c r="G100" i="145"/>
  <c r="Q100" i="145" s="1"/>
  <c r="N100" i="145"/>
  <c r="D38" i="145" s="1"/>
  <c r="G38" i="145" s="1"/>
  <c r="N100" i="143"/>
  <c r="D38" i="143" s="1"/>
  <c r="G38" i="143" s="1"/>
  <c r="G100" i="143"/>
  <c r="Q100" i="143" s="1"/>
  <c r="P98" i="141"/>
  <c r="H98" i="141"/>
  <c r="F98" i="142"/>
  <c r="N98" i="145"/>
  <c r="D36" i="145" s="1"/>
  <c r="G36" i="145" s="1"/>
  <c r="G98" i="145"/>
  <c r="Q98" i="145" s="1"/>
  <c r="G98" i="143"/>
  <c r="Q98" i="143" s="1"/>
  <c r="N98" i="143"/>
  <c r="D36" i="143" s="1"/>
  <c r="G36" i="143" s="1"/>
  <c r="P100" i="141"/>
  <c r="F100" i="142"/>
  <c r="H100" i="141"/>
  <c r="G99" i="143"/>
  <c r="Q99" i="143" s="1"/>
  <c r="N99" i="143"/>
  <c r="D37" i="143" s="1"/>
  <c r="G37" i="143" s="1"/>
  <c r="E100" i="142" l="1"/>
  <c r="M100" i="142" s="1"/>
  <c r="N100" i="142"/>
  <c r="T100" i="141"/>
  <c r="D38" i="141"/>
  <c r="N99" i="142"/>
  <c r="E99" i="142"/>
  <c r="M99" i="142" s="1"/>
  <c r="T99" i="141"/>
  <c r="D37" i="141"/>
  <c r="E98" i="142"/>
  <c r="M98" i="142" s="1"/>
  <c r="N98" i="142"/>
  <c r="T98" i="141"/>
  <c r="D36" i="141"/>
  <c r="F36" i="142" l="1"/>
  <c r="E36" i="142" s="1"/>
  <c r="H36" i="141"/>
  <c r="F37" i="142"/>
  <c r="E37" i="142" s="1"/>
  <c r="H37" i="141"/>
  <c r="F38" i="142"/>
  <c r="E38" i="142" s="1"/>
  <c r="H38" i="141"/>
  <c r="F152" i="145" l="1"/>
  <c r="E152" i="145" l="1"/>
  <c r="G150" i="145"/>
  <c r="G149" i="145"/>
  <c r="G148" i="145"/>
  <c r="G147" i="145"/>
  <c r="G141" i="145" l="1"/>
  <c r="G143" i="145"/>
  <c r="G142" i="145"/>
  <c r="G144" i="145"/>
  <c r="G140" i="145"/>
  <c r="G145" i="145"/>
  <c r="G146" i="145"/>
  <c r="H145" i="141"/>
  <c r="F145" i="142"/>
  <c r="E145" i="142" s="1"/>
  <c r="F142" i="142"/>
  <c r="E142" i="142" s="1"/>
  <c r="H142" i="141"/>
  <c r="G148" i="143"/>
  <c r="G145" i="143"/>
  <c r="G142" i="143"/>
  <c r="G152" i="141"/>
  <c r="E152" i="143"/>
  <c r="D152" i="143"/>
  <c r="G139" i="143"/>
  <c r="F152" i="143"/>
  <c r="G139" i="145"/>
  <c r="D152" i="145"/>
  <c r="H147" i="141"/>
  <c r="F147" i="142"/>
  <c r="E147" i="142" s="1"/>
  <c r="F144" i="142"/>
  <c r="E144" i="142" s="1"/>
  <c r="H144" i="141"/>
  <c r="F141" i="142"/>
  <c r="E141" i="142" s="1"/>
  <c r="H141" i="141"/>
  <c r="G150" i="143"/>
  <c r="G147" i="143"/>
  <c r="G144" i="143"/>
  <c r="G141" i="143"/>
  <c r="F150" i="142"/>
  <c r="E150" i="142" s="1"/>
  <c r="H150" i="141"/>
  <c r="F148" i="142"/>
  <c r="E148" i="142" s="1"/>
  <c r="H148" i="141"/>
  <c r="H139" i="141"/>
  <c r="F139" i="142"/>
  <c r="D152" i="141"/>
  <c r="E152" i="141"/>
  <c r="H149" i="141"/>
  <c r="F149" i="142"/>
  <c r="E149" i="142" s="1"/>
  <c r="H143" i="141"/>
  <c r="F143" i="142"/>
  <c r="E143" i="142" s="1"/>
  <c r="G149" i="143"/>
  <c r="G146" i="143"/>
  <c r="G143" i="143"/>
  <c r="G140" i="143"/>
  <c r="F146" i="142"/>
  <c r="E146" i="142" s="1"/>
  <c r="H146" i="141"/>
  <c r="F140" i="142"/>
  <c r="E140" i="142" s="1"/>
  <c r="H140" i="141"/>
  <c r="H152" i="141" l="1"/>
  <c r="G152" i="145"/>
  <c r="G152" i="143"/>
  <c r="F152" i="142"/>
  <c r="E139" i="142"/>
  <c r="E152" i="142" s="1"/>
  <c r="U51" i="145" l="1"/>
  <c r="U47" i="145"/>
  <c r="U56" i="145"/>
  <c r="U49" i="145"/>
  <c r="U54" i="145"/>
  <c r="U52" i="145"/>
  <c r="U50" i="145"/>
  <c r="U57" i="145"/>
  <c r="U48" i="145"/>
  <c r="U55" i="145"/>
  <c r="U53" i="145"/>
  <c r="T57" i="145"/>
  <c r="Y50" i="141"/>
  <c r="Y53" i="141"/>
  <c r="W53" i="141"/>
  <c r="T54" i="145"/>
  <c r="U55" i="143"/>
  <c r="T47" i="143"/>
  <c r="T52" i="143"/>
  <c r="W47" i="141"/>
  <c r="T49" i="143"/>
  <c r="Y47" i="141"/>
  <c r="Y52" i="141"/>
  <c r="W52" i="141"/>
  <c r="T55" i="145"/>
  <c r="W49" i="141"/>
  <c r="U56" i="143"/>
  <c r="T51" i="143"/>
  <c r="Y49" i="141"/>
  <c r="T56" i="143"/>
  <c r="T57" i="143"/>
  <c r="W51" i="141"/>
  <c r="U52" i="143"/>
  <c r="U51" i="143"/>
  <c r="U50" i="143"/>
  <c r="U49" i="143"/>
  <c r="U48" i="143"/>
  <c r="U47" i="143"/>
  <c r="T55" i="143"/>
  <c r="Y51" i="141"/>
  <c r="W56" i="141"/>
  <c r="W57" i="141"/>
  <c r="T56" i="145"/>
  <c r="U53" i="143"/>
  <c r="T48" i="143"/>
  <c r="T54" i="143"/>
  <c r="Y57" i="141"/>
  <c r="W55" i="141"/>
  <c r="T47" i="145"/>
  <c r="U57" i="143"/>
  <c r="Y55" i="141"/>
  <c r="Y56" i="141"/>
  <c r="W48" i="141"/>
  <c r="T52" i="145"/>
  <c r="T51" i="145"/>
  <c r="T50" i="145"/>
  <c r="T49" i="145"/>
  <c r="T48" i="145"/>
  <c r="U54" i="143"/>
  <c r="T50" i="143"/>
  <c r="T53" i="143"/>
  <c r="Y48" i="141"/>
  <c r="Y54" i="141"/>
  <c r="W54" i="141"/>
  <c r="T53" i="145"/>
  <c r="W50" i="141"/>
  <c r="G117" i="145"/>
  <c r="G111" i="143"/>
  <c r="E121" i="145"/>
  <c r="G109" i="145" l="1"/>
  <c r="G110" i="145"/>
  <c r="G115" i="143"/>
  <c r="G111" i="145"/>
  <c r="G114" i="143"/>
  <c r="G112" i="145"/>
  <c r="G113" i="145"/>
  <c r="G116" i="145"/>
  <c r="G119" i="143"/>
  <c r="G121" i="141"/>
  <c r="S53" i="145"/>
  <c r="G53" i="145"/>
  <c r="V53" i="145" s="1"/>
  <c r="S49" i="145"/>
  <c r="G49" i="145"/>
  <c r="V49" i="145" s="1"/>
  <c r="G113" i="143"/>
  <c r="S57" i="145"/>
  <c r="G57" i="145"/>
  <c r="V57" i="145" s="1"/>
  <c r="S50" i="145"/>
  <c r="G50" i="145"/>
  <c r="V50" i="145" s="1"/>
  <c r="S52" i="143"/>
  <c r="G52" i="143"/>
  <c r="V52" i="143" s="1"/>
  <c r="U46" i="145"/>
  <c r="F59" i="145"/>
  <c r="F109" i="142"/>
  <c r="E109" i="142" s="1"/>
  <c r="H109" i="141"/>
  <c r="H111" i="141"/>
  <c r="F111" i="142"/>
  <c r="E111" i="142" s="1"/>
  <c r="V55" i="141"/>
  <c r="H55" i="141"/>
  <c r="F55" i="142"/>
  <c r="S51" i="145"/>
  <c r="G51" i="145"/>
  <c r="V51" i="145" s="1"/>
  <c r="S49" i="143"/>
  <c r="G49" i="143"/>
  <c r="V49" i="143" s="1"/>
  <c r="S47" i="143"/>
  <c r="G47" i="143"/>
  <c r="V47" i="143" s="1"/>
  <c r="F121" i="143"/>
  <c r="G109" i="143"/>
  <c r="G118" i="143"/>
  <c r="G118" i="145"/>
  <c r="H46" i="141"/>
  <c r="V46" i="141"/>
  <c r="F46" i="142"/>
  <c r="D59" i="141"/>
  <c r="V56" i="141"/>
  <c r="H56" i="141"/>
  <c r="F56" i="142"/>
  <c r="S52" i="145"/>
  <c r="G52" i="145"/>
  <c r="V52" i="145" s="1"/>
  <c r="S55" i="145"/>
  <c r="G55" i="145"/>
  <c r="V55" i="145" s="1"/>
  <c r="F113" i="142"/>
  <c r="E113" i="142" s="1"/>
  <c r="H113" i="141"/>
  <c r="G117" i="143"/>
  <c r="F48" i="142"/>
  <c r="H48" i="141"/>
  <c r="V48" i="141"/>
  <c r="S47" i="145"/>
  <c r="G47" i="145"/>
  <c r="V47" i="145" s="1"/>
  <c r="V50" i="141"/>
  <c r="F50" i="142"/>
  <c r="H50" i="141"/>
  <c r="V54" i="141"/>
  <c r="H54" i="141"/>
  <c r="F54" i="142"/>
  <c r="F121" i="145"/>
  <c r="E121" i="141"/>
  <c r="G116" i="143"/>
  <c r="G112" i="143"/>
  <c r="G115" i="145"/>
  <c r="H51" i="141"/>
  <c r="V51" i="141"/>
  <c r="F51" i="142"/>
  <c r="G56" i="145"/>
  <c r="V56" i="145" s="1"/>
  <c r="S56" i="145"/>
  <c r="G119" i="145"/>
  <c r="F57" i="142"/>
  <c r="H57" i="141"/>
  <c r="V57" i="141"/>
  <c r="T46" i="145"/>
  <c r="E59" i="145"/>
  <c r="T46" i="143"/>
  <c r="E59" i="143"/>
  <c r="S46" i="143"/>
  <c r="G46" i="143"/>
  <c r="D59" i="143"/>
  <c r="E121" i="143"/>
  <c r="D121" i="141"/>
  <c r="H108" i="141"/>
  <c r="F108" i="142"/>
  <c r="V53" i="141"/>
  <c r="F53" i="142"/>
  <c r="H53" i="141"/>
  <c r="F59" i="143"/>
  <c r="U46" i="143"/>
  <c r="S53" i="143"/>
  <c r="G53" i="143"/>
  <c r="V53" i="143" s="1"/>
  <c r="F112" i="142"/>
  <c r="E112" i="142" s="1"/>
  <c r="H112" i="141"/>
  <c r="F118" i="142"/>
  <c r="E118" i="142" s="1"/>
  <c r="H118" i="141"/>
  <c r="H116" i="141"/>
  <c r="F116" i="142"/>
  <c r="E116" i="142" s="1"/>
  <c r="V49" i="141"/>
  <c r="H49" i="141"/>
  <c r="F49" i="142"/>
  <c r="V52" i="141"/>
  <c r="F52" i="142"/>
  <c r="H52" i="141"/>
  <c r="S46" i="145"/>
  <c r="G46" i="145"/>
  <c r="D59" i="145"/>
  <c r="G50" i="143"/>
  <c r="V50" i="143" s="1"/>
  <c r="S50" i="143"/>
  <c r="F117" i="142"/>
  <c r="E117" i="142" s="1"/>
  <c r="H117" i="141"/>
  <c r="F114" i="142"/>
  <c r="E114" i="142" s="1"/>
  <c r="H114" i="141"/>
  <c r="F119" i="142"/>
  <c r="E119" i="142" s="1"/>
  <c r="H119" i="141"/>
  <c r="S54" i="143"/>
  <c r="G54" i="143"/>
  <c r="V54" i="143" s="1"/>
  <c r="S56" i="143"/>
  <c r="G56" i="143"/>
  <c r="V56" i="143" s="1"/>
  <c r="S57" i="143"/>
  <c r="G57" i="143"/>
  <c r="V57" i="143" s="1"/>
  <c r="G51" i="143"/>
  <c r="V51" i="143" s="1"/>
  <c r="S51" i="143"/>
  <c r="V47" i="141"/>
  <c r="H47" i="141"/>
  <c r="F47" i="142"/>
  <c r="S54" i="145"/>
  <c r="G54" i="145"/>
  <c r="V54" i="145" s="1"/>
  <c r="D121" i="145"/>
  <c r="G108" i="145"/>
  <c r="G108" i="143"/>
  <c r="D121" i="143"/>
  <c r="H110" i="141"/>
  <c r="F110" i="142"/>
  <c r="E110" i="142" s="1"/>
  <c r="F115" i="142"/>
  <c r="E115" i="142" s="1"/>
  <c r="H115" i="141"/>
  <c r="G114" i="145"/>
  <c r="S48" i="143"/>
  <c r="G48" i="143"/>
  <c r="V48" i="143" s="1"/>
  <c r="G55" i="143"/>
  <c r="V55" i="143" s="1"/>
  <c r="S55" i="143"/>
  <c r="G59" i="141"/>
  <c r="Y46" i="141"/>
  <c r="G110" i="143"/>
  <c r="W46" i="141"/>
  <c r="E59" i="141"/>
  <c r="G48" i="145"/>
  <c r="V48" i="145" s="1"/>
  <c r="S48" i="145"/>
  <c r="G121" i="143" l="1"/>
  <c r="G121" i="145"/>
  <c r="E108" i="142"/>
  <c r="E121" i="142" s="1"/>
  <c r="F121" i="142"/>
  <c r="R48" i="142"/>
  <c r="E48" i="142"/>
  <c r="Q48" i="142" s="1"/>
  <c r="Y59" i="141"/>
  <c r="H121" i="141"/>
  <c r="R57" i="142"/>
  <c r="E57" i="142"/>
  <c r="Q57" i="142" s="1"/>
  <c r="F59" i="142"/>
  <c r="R46" i="142"/>
  <c r="E46" i="142"/>
  <c r="W59" i="141"/>
  <c r="E54" i="142"/>
  <c r="Q54" i="142" s="1"/>
  <c r="R54" i="142"/>
  <c r="Z46" i="141"/>
  <c r="V59" i="141"/>
  <c r="E55" i="142"/>
  <c r="Q55" i="142" s="1"/>
  <c r="R55" i="142"/>
  <c r="Z56" i="141"/>
  <c r="V46" i="145"/>
  <c r="V59" i="145" s="1"/>
  <c r="G59" i="145"/>
  <c r="H59" i="141"/>
  <c r="Z57" i="141"/>
  <c r="S59" i="145"/>
  <c r="Z54" i="141"/>
  <c r="Z55" i="141"/>
  <c r="V46" i="143"/>
  <c r="V59" i="143" s="1"/>
  <c r="G59" i="143"/>
  <c r="R51" i="142"/>
  <c r="E51" i="142"/>
  <c r="Q51" i="142" s="1"/>
  <c r="E47" i="142"/>
  <c r="Q47" i="142" s="1"/>
  <c r="R47" i="142"/>
  <c r="R52" i="142"/>
  <c r="E52" i="142"/>
  <c r="Q52" i="142" s="1"/>
  <c r="S59" i="143"/>
  <c r="Z51" i="141"/>
  <c r="E50" i="142"/>
  <c r="Q50" i="142" s="1"/>
  <c r="R50" i="142"/>
  <c r="Z52" i="141"/>
  <c r="U59" i="143"/>
  <c r="Z50" i="141"/>
  <c r="Z53" i="141"/>
  <c r="Z47" i="141"/>
  <c r="R49" i="142"/>
  <c r="E49" i="142"/>
  <c r="Q49" i="142" s="1"/>
  <c r="T59" i="143"/>
  <c r="E56" i="142"/>
  <c r="Q56" i="142" s="1"/>
  <c r="R56" i="142"/>
  <c r="Z49" i="141"/>
  <c r="E53" i="142"/>
  <c r="Q53" i="142" s="1"/>
  <c r="R53" i="142"/>
  <c r="T59" i="145"/>
  <c r="Z48" i="141"/>
  <c r="U59" i="145"/>
  <c r="Q46" i="142" l="1"/>
  <c r="Q59" i="142" s="1"/>
  <c r="E59" i="142"/>
  <c r="R59" i="142"/>
  <c r="Z59" i="141"/>
  <c r="P86" i="145" l="1"/>
  <c r="F24" i="145" s="1"/>
  <c r="P84" i="145"/>
  <c r="F22" i="145" s="1"/>
  <c r="P82" i="145"/>
  <c r="F20" i="145" s="1"/>
  <c r="P80" i="145"/>
  <c r="F18" i="145" s="1"/>
  <c r="P87" i="145"/>
  <c r="F25" i="145" s="1"/>
  <c r="P79" i="145"/>
  <c r="F17" i="145" s="1"/>
  <c r="P78" i="145"/>
  <c r="F16" i="145" s="1"/>
  <c r="P85" i="145"/>
  <c r="F23" i="145" s="1"/>
  <c r="P83" i="145"/>
  <c r="F21" i="145" s="1"/>
  <c r="P81" i="145"/>
  <c r="F19" i="145" s="1"/>
  <c r="P88" i="145"/>
  <c r="F26" i="145" s="1"/>
  <c r="O86" i="145"/>
  <c r="E24" i="145" s="1"/>
  <c r="P78" i="143"/>
  <c r="F16" i="143" s="1"/>
  <c r="P84" i="143"/>
  <c r="F22" i="143" s="1"/>
  <c r="O78" i="145"/>
  <c r="E16" i="145" s="1"/>
  <c r="O86" i="143"/>
  <c r="E24" i="143" s="1"/>
  <c r="O88" i="145"/>
  <c r="E26" i="145" s="1"/>
  <c r="Q79" i="141"/>
  <c r="E17" i="141" s="1"/>
  <c r="O81" i="143"/>
  <c r="E19" i="143" s="1"/>
  <c r="O78" i="143"/>
  <c r="E16" i="143" s="1"/>
  <c r="O83" i="143"/>
  <c r="E21" i="143" s="1"/>
  <c r="O84" i="145"/>
  <c r="E22" i="145" s="1"/>
  <c r="O85" i="145"/>
  <c r="E23" i="145" s="1"/>
  <c r="O79" i="143"/>
  <c r="E17" i="143" s="1"/>
  <c r="Q87" i="141"/>
  <c r="E25" i="141" s="1"/>
  <c r="O85" i="143"/>
  <c r="E23" i="143" s="1"/>
  <c r="O84" i="143"/>
  <c r="E22" i="143" s="1"/>
  <c r="S84" i="141"/>
  <c r="G22" i="141" s="1"/>
  <c r="Q78" i="141"/>
  <c r="E16" i="141" s="1"/>
  <c r="P86" i="143"/>
  <c r="F24" i="143" s="1"/>
  <c r="O87" i="143"/>
  <c r="E25" i="143" s="1"/>
  <c r="Q88" i="141"/>
  <c r="E26" i="141" s="1"/>
  <c r="S79" i="141"/>
  <c r="G17" i="141" s="1"/>
  <c r="S86" i="141"/>
  <c r="G24" i="141" s="1"/>
  <c r="Q84" i="141"/>
  <c r="E22" i="141" s="1"/>
  <c r="S83" i="141"/>
  <c r="G21" i="141" s="1"/>
  <c r="O88" i="143"/>
  <c r="E26" i="143" s="1"/>
  <c r="S88" i="141"/>
  <c r="G26" i="141" s="1"/>
  <c r="S87" i="141"/>
  <c r="G25" i="141" s="1"/>
  <c r="Q80" i="141"/>
  <c r="E18" i="141" s="1"/>
  <c r="O82" i="143"/>
  <c r="E20" i="143" s="1"/>
  <c r="Q86" i="141"/>
  <c r="E24" i="141" s="1"/>
  <c r="Q81" i="141"/>
  <c r="E19" i="141" s="1"/>
  <c r="P88" i="143"/>
  <c r="F26" i="143" s="1"/>
  <c r="Q83" i="141"/>
  <c r="E21" i="141" s="1"/>
  <c r="S82" i="141"/>
  <c r="G20" i="141" s="1"/>
  <c r="P83" i="143"/>
  <c r="F21" i="143" s="1"/>
  <c r="Q85" i="141"/>
  <c r="E23" i="141" s="1"/>
  <c r="S81" i="141"/>
  <c r="G19" i="141" s="1"/>
  <c r="O83" i="145"/>
  <c r="E21" i="145" s="1"/>
  <c r="P85" i="143"/>
  <c r="F23" i="143" s="1"/>
  <c r="P82" i="143"/>
  <c r="F20" i="143" s="1"/>
  <c r="S85" i="141"/>
  <c r="G23" i="141" s="1"/>
  <c r="O82" i="145"/>
  <c r="E20" i="145" s="1"/>
  <c r="P81" i="143"/>
  <c r="F19" i="143" s="1"/>
  <c r="O81" i="145"/>
  <c r="E19" i="145" s="1"/>
  <c r="O80" i="143"/>
  <c r="E18" i="143" s="1"/>
  <c r="Q82" i="141"/>
  <c r="E20" i="141" s="1"/>
  <c r="P80" i="143"/>
  <c r="F18" i="143" s="1"/>
  <c r="O80" i="145"/>
  <c r="E18" i="145" s="1"/>
  <c r="S78" i="141"/>
  <c r="G16" i="141" s="1"/>
  <c r="P87" i="143"/>
  <c r="F25" i="143" s="1"/>
  <c r="P79" i="143"/>
  <c r="F17" i="143" s="1"/>
  <c r="O87" i="145"/>
  <c r="E25" i="145" s="1"/>
  <c r="O79" i="145"/>
  <c r="E17" i="145" s="1"/>
  <c r="S80" i="141"/>
  <c r="G18" i="141" s="1"/>
  <c r="F87" i="142" l="1"/>
  <c r="H87" i="141"/>
  <c r="P87" i="141"/>
  <c r="G85" i="143"/>
  <c r="Q85" i="143" s="1"/>
  <c r="N85" i="143"/>
  <c r="D23" i="143" s="1"/>
  <c r="G23" i="143" s="1"/>
  <c r="N87" i="143"/>
  <c r="D25" i="143" s="1"/>
  <c r="G25" i="143" s="1"/>
  <c r="G87" i="143"/>
  <c r="Q87" i="143" s="1"/>
  <c r="F81" i="142"/>
  <c r="H81" i="141"/>
  <c r="P81" i="141"/>
  <c r="P82" i="141"/>
  <c r="F82" i="142"/>
  <c r="H82" i="141"/>
  <c r="D90" i="143"/>
  <c r="G77" i="143"/>
  <c r="N77" i="143"/>
  <c r="N79" i="145"/>
  <c r="D17" i="145" s="1"/>
  <c r="G17" i="145" s="1"/>
  <c r="G79" i="145"/>
  <c r="Q79" i="145" s="1"/>
  <c r="N88" i="145"/>
  <c r="D26" i="145" s="1"/>
  <c r="G26" i="145" s="1"/>
  <c r="G88" i="145"/>
  <c r="Q88" i="145" s="1"/>
  <c r="O77" i="143"/>
  <c r="E90" i="143"/>
  <c r="N82" i="143"/>
  <c r="D20" i="143" s="1"/>
  <c r="G20" i="143" s="1"/>
  <c r="G82" i="143"/>
  <c r="Q82" i="143" s="1"/>
  <c r="N82" i="145"/>
  <c r="D20" i="145" s="1"/>
  <c r="G20" i="145" s="1"/>
  <c r="G82" i="145"/>
  <c r="Q82" i="145" s="1"/>
  <c r="G78" i="143"/>
  <c r="Q78" i="143" s="1"/>
  <c r="N78" i="143"/>
  <c r="D16" i="143" s="1"/>
  <c r="G16" i="143" s="1"/>
  <c r="N78" i="145"/>
  <c r="D16" i="145" s="1"/>
  <c r="G16" i="145" s="1"/>
  <c r="G78" i="145"/>
  <c r="Q78" i="145" s="1"/>
  <c r="G80" i="143"/>
  <c r="Q80" i="143" s="1"/>
  <c r="N80" i="143"/>
  <c r="D18" i="143" s="1"/>
  <c r="G18" i="143" s="1"/>
  <c r="F86" i="142"/>
  <c r="P86" i="141"/>
  <c r="H86" i="141"/>
  <c r="H77" i="141"/>
  <c r="D90" i="141"/>
  <c r="P77" i="141"/>
  <c r="F77" i="142"/>
  <c r="N79" i="143"/>
  <c r="D17" i="143" s="1"/>
  <c r="G17" i="143" s="1"/>
  <c r="G79" i="143"/>
  <c r="Q79" i="143" s="1"/>
  <c r="N87" i="145"/>
  <c r="D25" i="145" s="1"/>
  <c r="G25" i="145" s="1"/>
  <c r="G87" i="145"/>
  <c r="Q87" i="145" s="1"/>
  <c r="N77" i="145"/>
  <c r="G77" i="145"/>
  <c r="D90" i="145"/>
  <c r="P78" i="141"/>
  <c r="F78" i="142"/>
  <c r="H78" i="141"/>
  <c r="N84" i="145"/>
  <c r="D22" i="145" s="1"/>
  <c r="G22" i="145" s="1"/>
  <c r="G84" i="145"/>
  <c r="Q84" i="145" s="1"/>
  <c r="F84" i="142"/>
  <c r="H84" i="141"/>
  <c r="P84" i="141"/>
  <c r="N81" i="143"/>
  <c r="D19" i="143" s="1"/>
  <c r="G19" i="143" s="1"/>
  <c r="G81" i="143"/>
  <c r="Q81" i="143" s="1"/>
  <c r="G84" i="143"/>
  <c r="Q84" i="143" s="1"/>
  <c r="N84" i="143"/>
  <c r="D22" i="143" s="1"/>
  <c r="G22" i="143" s="1"/>
  <c r="H85" i="141"/>
  <c r="P85" i="141"/>
  <c r="F85" i="142"/>
  <c r="O77" i="145"/>
  <c r="E90" i="145"/>
  <c r="Q77" i="141"/>
  <c r="E90" i="141"/>
  <c r="F90" i="143"/>
  <c r="P77" i="143"/>
  <c r="N81" i="145"/>
  <c r="D19" i="145" s="1"/>
  <c r="G19" i="145" s="1"/>
  <c r="G81" i="145"/>
  <c r="Q81" i="145" s="1"/>
  <c r="S77" i="141"/>
  <c r="G90" i="141"/>
  <c r="N86" i="143"/>
  <c r="D24" i="143" s="1"/>
  <c r="G24" i="143" s="1"/>
  <c r="G86" i="143"/>
  <c r="Q86" i="143" s="1"/>
  <c r="N85" i="145"/>
  <c r="D23" i="145" s="1"/>
  <c r="G23" i="145" s="1"/>
  <c r="G85" i="145"/>
  <c r="Q85" i="145" s="1"/>
  <c r="H83" i="141"/>
  <c r="F83" i="142"/>
  <c r="P83" i="141"/>
  <c r="F79" i="142"/>
  <c r="H79" i="141"/>
  <c r="P79" i="141"/>
  <c r="N88" i="143"/>
  <c r="D26" i="143" s="1"/>
  <c r="G26" i="143" s="1"/>
  <c r="G88" i="143"/>
  <c r="Q88" i="143" s="1"/>
  <c r="P77" i="145"/>
  <c r="F90" i="145"/>
  <c r="N83" i="145"/>
  <c r="D21" i="145" s="1"/>
  <c r="G21" i="145" s="1"/>
  <c r="G83" i="145"/>
  <c r="Q83" i="145" s="1"/>
  <c r="F88" i="142"/>
  <c r="P88" i="141"/>
  <c r="H88" i="141"/>
  <c r="H80" i="141"/>
  <c r="P80" i="141"/>
  <c r="F80" i="142"/>
  <c r="N86" i="145"/>
  <c r="D24" i="145" s="1"/>
  <c r="G24" i="145" s="1"/>
  <c r="G86" i="145"/>
  <c r="Q86" i="145" s="1"/>
  <c r="N83" i="143"/>
  <c r="D21" i="143" s="1"/>
  <c r="G21" i="143" s="1"/>
  <c r="G83" i="143"/>
  <c r="Q83" i="143" s="1"/>
  <c r="N80" i="145"/>
  <c r="D18" i="145" s="1"/>
  <c r="G18" i="145" s="1"/>
  <c r="G80" i="145"/>
  <c r="Q80" i="145" s="1"/>
  <c r="H90" i="141" l="1"/>
  <c r="T78" i="141"/>
  <c r="D16" i="141"/>
  <c r="T82" i="141"/>
  <c r="D20" i="141"/>
  <c r="S90" i="141"/>
  <c r="G15" i="141"/>
  <c r="G28" i="141" s="1"/>
  <c r="T86" i="141"/>
  <c r="D24" i="141"/>
  <c r="T81" i="141"/>
  <c r="D19" i="141"/>
  <c r="E82" i="142"/>
  <c r="M82" i="142" s="1"/>
  <c r="N82" i="142"/>
  <c r="E80" i="142"/>
  <c r="M80" i="142" s="1"/>
  <c r="N80" i="142"/>
  <c r="T79" i="141"/>
  <c r="D17" i="141"/>
  <c r="Q77" i="145"/>
  <c r="Q90" i="145" s="1"/>
  <c r="G90" i="145"/>
  <c r="N86" i="142"/>
  <c r="E86" i="142"/>
  <c r="M86" i="142" s="1"/>
  <c r="O90" i="143"/>
  <c r="E15" i="143"/>
  <c r="E28" i="143" s="1"/>
  <c r="E79" i="142"/>
  <c r="M79" i="142" s="1"/>
  <c r="N79" i="142"/>
  <c r="P90" i="143"/>
  <c r="F15" i="143"/>
  <c r="F28" i="143" s="1"/>
  <c r="N90" i="145"/>
  <c r="D15" i="145"/>
  <c r="T83" i="141"/>
  <c r="D21" i="141"/>
  <c r="T84" i="141"/>
  <c r="D22" i="141"/>
  <c r="T88" i="141"/>
  <c r="D26" i="141"/>
  <c r="N83" i="142"/>
  <c r="E83" i="142"/>
  <c r="M83" i="142" s="1"/>
  <c r="P90" i="145"/>
  <c r="F15" i="145"/>
  <c r="F28" i="145" s="1"/>
  <c r="T80" i="141"/>
  <c r="D18" i="141"/>
  <c r="N88" i="142"/>
  <c r="E88" i="142"/>
  <c r="M88" i="142" s="1"/>
  <c r="Q90" i="141"/>
  <c r="E15" i="141"/>
  <c r="E28" i="141" s="1"/>
  <c r="E84" i="142"/>
  <c r="M84" i="142" s="1"/>
  <c r="N84" i="142"/>
  <c r="N90" i="143"/>
  <c r="D15" i="143"/>
  <c r="T85" i="141"/>
  <c r="D23" i="141"/>
  <c r="E81" i="142"/>
  <c r="M81" i="142" s="1"/>
  <c r="N81" i="142"/>
  <c r="E77" i="142"/>
  <c r="N77" i="142"/>
  <c r="F90" i="142"/>
  <c r="G90" i="143"/>
  <c r="Q77" i="143"/>
  <c r="Q90" i="143" s="1"/>
  <c r="T87" i="141"/>
  <c r="D25" i="141"/>
  <c r="O90" i="145"/>
  <c r="E15" i="145"/>
  <c r="E28" i="145" s="1"/>
  <c r="P90" i="141"/>
  <c r="T77" i="141"/>
  <c r="D15" i="141"/>
  <c r="E78" i="142"/>
  <c r="M78" i="142" s="1"/>
  <c r="N78" i="142"/>
  <c r="N85" i="142"/>
  <c r="E85" i="142"/>
  <c r="M85" i="142" s="1"/>
  <c r="N87" i="142"/>
  <c r="E87" i="142"/>
  <c r="M87" i="142" s="1"/>
  <c r="G15" i="143" l="1"/>
  <c r="G28" i="143" s="1"/>
  <c r="D28" i="143"/>
  <c r="F25" i="142"/>
  <c r="E25" i="142" s="1"/>
  <c r="H25" i="141"/>
  <c r="H26" i="141"/>
  <c r="F26" i="142"/>
  <c r="E26" i="142" s="1"/>
  <c r="E29" i="143"/>
  <c r="H19" i="141"/>
  <c r="F19" i="142"/>
  <c r="E19" i="142" s="1"/>
  <c r="H21" i="141"/>
  <c r="F21" i="142"/>
  <c r="E21" i="142" s="1"/>
  <c r="D28" i="141"/>
  <c r="F15" i="142"/>
  <c r="H15" i="141"/>
  <c r="F18" i="142"/>
  <c r="E18" i="142" s="1"/>
  <c r="H18" i="141"/>
  <c r="D28" i="145"/>
  <c r="G15" i="145"/>
  <c r="G28" i="145" s="1"/>
  <c r="H17" i="141"/>
  <c r="F17" i="142"/>
  <c r="E17" i="142" s="1"/>
  <c r="H20" i="141"/>
  <c r="F20" i="142"/>
  <c r="E20" i="142" s="1"/>
  <c r="H24" i="141"/>
  <c r="F24" i="142"/>
  <c r="E24" i="142" s="1"/>
  <c r="E90" i="142"/>
  <c r="M77" i="142"/>
  <c r="M90" i="142" s="1"/>
  <c r="T90" i="141"/>
  <c r="H23" i="141"/>
  <c r="F23" i="142"/>
  <c r="E23" i="142" s="1"/>
  <c r="F29" i="143"/>
  <c r="F16" i="142"/>
  <c r="E16" i="142" s="1"/>
  <c r="H16" i="141"/>
  <c r="F22" i="142"/>
  <c r="E22" i="142" s="1"/>
  <c r="H22" i="141"/>
  <c r="N90" i="142"/>
  <c r="H28" i="141" l="1"/>
  <c r="E15" i="142"/>
  <c r="E28" i="142" s="1"/>
  <c r="F28" i="142"/>
  <c r="D29" i="143"/>
  <c r="K75" i="157" l="1"/>
  <c r="G40" i="157"/>
  <c r="K40" i="157" l="1"/>
  <c r="H77" i="157"/>
  <c r="M76" i="157"/>
  <c r="J77" i="157"/>
  <c r="J75" i="157"/>
  <c r="H39" i="157"/>
  <c r="K39" i="157"/>
  <c r="F77" i="157"/>
  <c r="G41" i="157"/>
  <c r="M75" i="157"/>
  <c r="F75" i="157"/>
  <c r="H41" i="157"/>
  <c r="G75" i="157"/>
  <c r="M39" i="157"/>
  <c r="F40" i="157"/>
  <c r="H40" i="157"/>
  <c r="G39" i="157"/>
  <c r="M41" i="157"/>
  <c r="J40" i="157"/>
  <c r="K76" i="157"/>
  <c r="K41" i="157"/>
  <c r="M77" i="157"/>
  <c r="F76" i="157"/>
  <c r="F39" i="157"/>
  <c r="H75" i="157"/>
  <c r="J76" i="157"/>
  <c r="J39" i="157"/>
  <c r="G77" i="157"/>
  <c r="H76" i="157"/>
  <c r="G76" i="157"/>
  <c r="M40" i="157"/>
  <c r="F41" i="157"/>
  <c r="K77" i="157"/>
  <c r="J41" i="157"/>
  <c r="L39" i="157" l="1"/>
  <c r="I77" i="157"/>
  <c r="I40" i="157"/>
  <c r="L40" i="157"/>
  <c r="L41" i="157"/>
  <c r="L77" i="157"/>
  <c r="I39" i="157"/>
  <c r="O28" i="157"/>
  <c r="O19" i="148"/>
  <c r="O63" i="157"/>
  <c r="O31" i="148"/>
  <c r="O71" i="157"/>
  <c r="O55" i="148"/>
  <c r="O25" i="148"/>
  <c r="O33" i="157"/>
  <c r="O62" i="148"/>
  <c r="O34" i="157"/>
  <c r="O69" i="157"/>
  <c r="O27" i="157"/>
  <c r="O57" i="148"/>
  <c r="O24" i="148"/>
  <c r="O29" i="157"/>
  <c r="O35" i="157"/>
  <c r="O23" i="157"/>
  <c r="O26" i="148"/>
  <c r="O51" i="148"/>
  <c r="O56" i="148"/>
  <c r="O32" i="148"/>
  <c r="O61" i="148"/>
  <c r="O58" i="157"/>
  <c r="O30" i="148"/>
  <c r="O63" i="148"/>
  <c r="O49" i="148"/>
  <c r="O18" i="148"/>
  <c r="O50" i="148"/>
  <c r="O70" i="157"/>
  <c r="O64" i="157"/>
  <c r="O65" i="157"/>
  <c r="O20" i="148"/>
  <c r="I76" i="157"/>
  <c r="I75" i="157"/>
  <c r="L75" i="157"/>
  <c r="L76" i="157"/>
  <c r="I41" i="157"/>
  <c r="N41" i="157" l="1"/>
  <c r="N75" i="157"/>
  <c r="O75" i="157" s="1"/>
  <c r="N77" i="157"/>
  <c r="O77" i="157" s="1"/>
  <c r="N39" i="157"/>
  <c r="O39" i="157" s="1"/>
  <c r="O41" i="157"/>
  <c r="O59" i="157"/>
  <c r="N40" i="157"/>
  <c r="O40" i="157" s="1"/>
  <c r="O57" i="157"/>
  <c r="O21" i="157"/>
  <c r="O22" i="157"/>
  <c r="N76" i="157"/>
  <c r="O76" i="157" s="1"/>
  <c r="R64" i="138" l="1"/>
  <c r="Q64" i="138"/>
  <c r="O64" i="138"/>
  <c r="L64" i="138"/>
  <c r="K64" i="138"/>
  <c r="J64" i="138" l="1"/>
  <c r="P64" i="138"/>
  <c r="N64" i="138"/>
  <c r="M64" i="138" l="1"/>
  <c r="S64" i="138" s="1"/>
  <c r="U64" i="138" s="1"/>
  <c r="X27" i="20"/>
  <c r="U27" i="96" l="1"/>
  <c r="I27" i="20"/>
  <c r="J27" i="20" l="1"/>
  <c r="H64" i="138"/>
  <c r="L27" i="20" l="1"/>
  <c r="I64" i="138"/>
  <c r="T64" i="138" s="1"/>
  <c r="V27" i="96" l="1"/>
  <c r="Z27" i="20"/>
  <c r="Y27" i="20"/>
  <c r="U22" i="139" l="1"/>
  <c r="U32" i="139"/>
  <c r="U106" i="139"/>
  <c r="R77" i="139" l="1"/>
  <c r="U60" i="139"/>
  <c r="U23" i="139"/>
  <c r="U76" i="139"/>
  <c r="R58" i="139"/>
  <c r="V79" i="139"/>
  <c r="P89" i="139"/>
  <c r="T79" i="139"/>
  <c r="U29" i="139"/>
  <c r="R93" i="139"/>
  <c r="U83" i="139"/>
  <c r="T67" i="139"/>
  <c r="Q54" i="139"/>
  <c r="U62" i="139"/>
  <c r="U46" i="139"/>
  <c r="Q36" i="139"/>
  <c r="U107" i="139"/>
  <c r="U20" i="139"/>
  <c r="R107" i="139"/>
  <c r="U94" i="139"/>
  <c r="U111" i="139"/>
  <c r="U45" i="139"/>
  <c r="U65" i="139"/>
  <c r="X65" i="139" s="1"/>
  <c r="R43" i="139"/>
  <c r="U17" i="139"/>
  <c r="U47" i="139"/>
  <c r="P36" i="139"/>
  <c r="U19" i="139"/>
  <c r="W67" i="139"/>
  <c r="U85" i="139"/>
  <c r="R47" i="139"/>
  <c r="X47" i="139" s="1"/>
  <c r="V54" i="139"/>
  <c r="R62" i="139"/>
  <c r="S26" i="139"/>
  <c r="T89" i="139"/>
  <c r="R85" i="139"/>
  <c r="Q79" i="139"/>
  <c r="W36" i="139"/>
  <c r="U110" i="139"/>
  <c r="Q99" i="139"/>
  <c r="R44" i="139"/>
  <c r="U108" i="139"/>
  <c r="R108" i="139"/>
  <c r="U96" i="139"/>
  <c r="U61" i="139"/>
  <c r="V26" i="139"/>
  <c r="W89" i="139"/>
  <c r="U112" i="139"/>
  <c r="U84" i="139"/>
  <c r="Q67" i="139"/>
  <c r="R59" i="139"/>
  <c r="R29" i="139"/>
  <c r="U97" i="139"/>
  <c r="W79" i="139"/>
  <c r="P99" i="139"/>
  <c r="Q89" i="139"/>
  <c r="U50" i="139"/>
  <c r="P54" i="139"/>
  <c r="T54" i="139"/>
  <c r="U18" i="139"/>
  <c r="V99" i="139"/>
  <c r="Q26" i="139"/>
  <c r="T99" i="139"/>
  <c r="T26" i="139"/>
  <c r="V36" i="139"/>
  <c r="U24" i="139"/>
  <c r="R109" i="139"/>
  <c r="W54" i="139"/>
  <c r="T36" i="139"/>
  <c r="P79" i="139"/>
  <c r="P67" i="139"/>
  <c r="P26" i="139"/>
  <c r="W26" i="139"/>
  <c r="R86" i="139"/>
  <c r="V89" i="139"/>
  <c r="R48" i="139"/>
  <c r="R96" i="139"/>
  <c r="U77" i="139"/>
  <c r="X77" i="139" s="1"/>
  <c r="R74" i="139"/>
  <c r="U58" i="139"/>
  <c r="X58" i="139" s="1"/>
  <c r="R52" i="139"/>
  <c r="U43" i="139"/>
  <c r="R34" i="139"/>
  <c r="U95" i="139"/>
  <c r="S67" i="139"/>
  <c r="U113" i="139"/>
  <c r="U86" i="139"/>
  <c r="R83" i="139"/>
  <c r="U63" i="139"/>
  <c r="V67" i="139"/>
  <c r="R60" i="139"/>
  <c r="X60" i="139" s="1"/>
  <c r="Y60" i="139" s="1"/>
  <c r="U48" i="139"/>
  <c r="R45" i="139"/>
  <c r="U30" i="139"/>
  <c r="R24" i="139"/>
  <c r="U21" i="139"/>
  <c r="U116" i="139"/>
  <c r="U73" i="139"/>
  <c r="R94" i="139"/>
  <c r="O89" i="139"/>
  <c r="U75" i="139"/>
  <c r="R65" i="139"/>
  <c r="R50" i="139"/>
  <c r="S36" i="139"/>
  <c r="R32" i="139"/>
  <c r="X32" i="139" s="1"/>
  <c r="R20" i="139"/>
  <c r="R17" i="139"/>
  <c r="R30" i="139"/>
  <c r="U109" i="139"/>
  <c r="R106" i="139"/>
  <c r="X106" i="139" s="1"/>
  <c r="R97" i="139"/>
  <c r="S79" i="139"/>
  <c r="R75" i="139"/>
  <c r="U59" i="139"/>
  <c r="O54" i="139"/>
  <c r="U44" i="139"/>
  <c r="O36" i="139"/>
  <c r="R63" i="139"/>
  <c r="U93" i="139"/>
  <c r="S89" i="139"/>
  <c r="R84" i="139"/>
  <c r="U64" i="139"/>
  <c r="R61" i="139"/>
  <c r="U49" i="139"/>
  <c r="R46" i="139"/>
  <c r="U31" i="139"/>
  <c r="R21" i="139"/>
  <c r="R18" i="139"/>
  <c r="S99" i="139"/>
  <c r="R95" i="139"/>
  <c r="R73" i="139"/>
  <c r="O67" i="139"/>
  <c r="U57" i="139"/>
  <c r="R51" i="139"/>
  <c r="R33" i="139"/>
  <c r="U33" i="139"/>
  <c r="W99" i="139"/>
  <c r="O79" i="139"/>
  <c r="R87" i="139"/>
  <c r="U74" i="139"/>
  <c r="R64" i="139"/>
  <c r="U52" i="139"/>
  <c r="R49" i="139"/>
  <c r="U34" i="139"/>
  <c r="R31" i="139"/>
  <c r="R22" i="139"/>
  <c r="X22" i="139" s="1"/>
  <c r="O99" i="139"/>
  <c r="R76" i="139"/>
  <c r="X76" i="139" s="1"/>
  <c r="Y76" i="139" s="1"/>
  <c r="R57" i="139"/>
  <c r="R19" i="139"/>
  <c r="U114" i="139"/>
  <c r="R113" i="139"/>
  <c r="U115" i="139"/>
  <c r="R110" i="139"/>
  <c r="R114" i="139"/>
  <c r="R117" i="139"/>
  <c r="R115" i="139"/>
  <c r="R111" i="139"/>
  <c r="U117" i="139"/>
  <c r="R116" i="139"/>
  <c r="R112" i="139"/>
  <c r="U87" i="139"/>
  <c r="X18" i="139" l="1"/>
  <c r="Y18" i="139" s="1"/>
  <c r="X108" i="139"/>
  <c r="X62" i="139"/>
  <c r="X74" i="139"/>
  <c r="Y74" i="139" s="1"/>
  <c r="X59" i="139"/>
  <c r="Y59" i="139" s="1"/>
  <c r="X96" i="139"/>
  <c r="Y96" i="139" s="1"/>
  <c r="X107" i="139"/>
  <c r="Y107" i="139" s="1"/>
  <c r="Q69" i="139"/>
  <c r="P38" i="139"/>
  <c r="X43" i="139"/>
  <c r="Z43" i="139" s="1"/>
  <c r="S38" i="139"/>
  <c r="X19" i="139"/>
  <c r="Y19" i="139" s="1"/>
  <c r="X86" i="139"/>
  <c r="Y86" i="139" s="1"/>
  <c r="X75" i="139"/>
  <c r="Z75" i="139" s="1"/>
  <c r="X93" i="139"/>
  <c r="Y93" i="139" s="1"/>
  <c r="W69" i="139"/>
  <c r="X29" i="139"/>
  <c r="Z29" i="139" s="1"/>
  <c r="X85" i="139"/>
  <c r="Y85" i="139" s="1"/>
  <c r="T69" i="139"/>
  <c r="X84" i="139"/>
  <c r="Y84" i="139" s="1"/>
  <c r="W38" i="139"/>
  <c r="X50" i="139"/>
  <c r="Y50" i="139" s="1"/>
  <c r="X44" i="139"/>
  <c r="Y44" i="139" s="1"/>
  <c r="X17" i="139"/>
  <c r="Y17" i="139" s="1"/>
  <c r="X57" i="139"/>
  <c r="Y57" i="139" s="1"/>
  <c r="X111" i="139"/>
  <c r="Z111" i="139" s="1"/>
  <c r="X97" i="139"/>
  <c r="Y97" i="139" s="1"/>
  <c r="X46" i="139"/>
  <c r="Z46" i="139" s="1"/>
  <c r="X61" i="139"/>
  <c r="Y61" i="139" s="1"/>
  <c r="X33" i="139"/>
  <c r="Z33" i="139" s="1"/>
  <c r="U67" i="139"/>
  <c r="X24" i="139"/>
  <c r="Y24" i="139" s="1"/>
  <c r="Q38" i="139"/>
  <c r="X63" i="139"/>
  <c r="Y63" i="139" s="1"/>
  <c r="X95" i="139"/>
  <c r="Y95" i="139" s="1"/>
  <c r="X30" i="139"/>
  <c r="Y30" i="139" s="1"/>
  <c r="X109" i="139"/>
  <c r="Y109" i="139" s="1"/>
  <c r="X112" i="139"/>
  <c r="Z112" i="139" s="1"/>
  <c r="U26" i="139"/>
  <c r="X114" i="139"/>
  <c r="Y114" i="139" s="1"/>
  <c r="U36" i="139"/>
  <c r="X45" i="139"/>
  <c r="Y45" i="139" s="1"/>
  <c r="X113" i="139"/>
  <c r="Y113" i="139" s="1"/>
  <c r="Z18" i="139"/>
  <c r="X20" i="139"/>
  <c r="Y20" i="139" s="1"/>
  <c r="V69" i="139"/>
  <c r="P69" i="139"/>
  <c r="P102" i="139" s="1"/>
  <c r="R54" i="139"/>
  <c r="X48" i="139"/>
  <c r="X49" i="139"/>
  <c r="Y49" i="139" s="1"/>
  <c r="O69" i="139"/>
  <c r="T38" i="139"/>
  <c r="R89" i="139"/>
  <c r="Z59" i="139"/>
  <c r="R79" i="139"/>
  <c r="R99" i="139"/>
  <c r="V38" i="139"/>
  <c r="Z60" i="139"/>
  <c r="R36" i="139"/>
  <c r="X31" i="139"/>
  <c r="Y31" i="139" s="1"/>
  <c r="X64" i="139"/>
  <c r="X87" i="139"/>
  <c r="Y87" i="139" s="1"/>
  <c r="X110" i="139"/>
  <c r="Y110" i="139" s="1"/>
  <c r="U79" i="139"/>
  <c r="X83" i="139"/>
  <c r="Z83" i="139" s="1"/>
  <c r="Z76" i="139"/>
  <c r="Y22" i="139"/>
  <c r="Z22" i="139"/>
  <c r="X21" i="139"/>
  <c r="X52" i="139"/>
  <c r="X73" i="139"/>
  <c r="Z73" i="139" s="1"/>
  <c r="X34" i="139"/>
  <c r="U99" i="139"/>
  <c r="X94" i="139"/>
  <c r="X116" i="139"/>
  <c r="Z116" i="139" s="1"/>
  <c r="X117" i="139"/>
  <c r="Y117" i="139" s="1"/>
  <c r="R67" i="139"/>
  <c r="U89" i="139"/>
  <c r="Y106" i="139"/>
  <c r="Z106" i="139"/>
  <c r="Y65" i="139"/>
  <c r="Z65" i="139"/>
  <c r="Z47" i="139"/>
  <c r="Y47" i="139"/>
  <c r="X115" i="139"/>
  <c r="Y32" i="139"/>
  <c r="Z32" i="139"/>
  <c r="Y108" i="139"/>
  <c r="Z108" i="139"/>
  <c r="Z58" i="139"/>
  <c r="Y58" i="139"/>
  <c r="Y77" i="139"/>
  <c r="Z77" i="139"/>
  <c r="Z62" i="139"/>
  <c r="Y62" i="139"/>
  <c r="Z84" i="139" l="1"/>
  <c r="Z74" i="139"/>
  <c r="Z107" i="139"/>
  <c r="Z96" i="139"/>
  <c r="Q102" i="139"/>
  <c r="Y43" i="139"/>
  <c r="Y29" i="139"/>
  <c r="Z19" i="139"/>
  <c r="W102" i="139"/>
  <c r="Y111" i="139"/>
  <c r="Z57" i="139"/>
  <c r="Z97" i="139"/>
  <c r="Z31" i="139"/>
  <c r="R69" i="139"/>
  <c r="Z86" i="139"/>
  <c r="T102" i="139"/>
  <c r="Z109" i="139"/>
  <c r="Y75" i="139"/>
  <c r="Z93" i="139"/>
  <c r="Z61" i="139"/>
  <c r="Z50" i="139"/>
  <c r="Z44" i="139"/>
  <c r="Z85" i="139"/>
  <c r="Z17" i="139"/>
  <c r="U38" i="139"/>
  <c r="Y46" i="139"/>
  <c r="X99" i="139"/>
  <c r="Y99" i="139" s="1"/>
  <c r="Z24" i="139"/>
  <c r="Y33" i="139"/>
  <c r="Z94" i="139"/>
  <c r="Z20" i="139"/>
  <c r="Z30" i="139"/>
  <c r="Y94" i="139"/>
  <c r="Y112" i="139"/>
  <c r="V102" i="139"/>
  <c r="Y116" i="139"/>
  <c r="Y83" i="139"/>
  <c r="Z117" i="139"/>
  <c r="Z95" i="139"/>
  <c r="Z63" i="139"/>
  <c r="Z113" i="139"/>
  <c r="Z45" i="139"/>
  <c r="X89" i="139"/>
  <c r="Y89" i="139" s="1"/>
  <c r="Z87" i="139"/>
  <c r="Z114" i="139"/>
  <c r="Z49" i="139"/>
  <c r="Y64" i="139"/>
  <c r="Z64" i="139"/>
  <c r="X79" i="139"/>
  <c r="Z79" i="139" s="1"/>
  <c r="Y73" i="139"/>
  <c r="Y48" i="139"/>
  <c r="Z48" i="139"/>
  <c r="Z110" i="139"/>
  <c r="X67" i="139"/>
  <c r="Z67" i="139" s="1"/>
  <c r="X36" i="139"/>
  <c r="Y36" i="139" s="1"/>
  <c r="Y34" i="139"/>
  <c r="Z34" i="139"/>
  <c r="Y52" i="139"/>
  <c r="Z52" i="139"/>
  <c r="Y21" i="139"/>
  <c r="Z21" i="139"/>
  <c r="Y115" i="139"/>
  <c r="Z115" i="139"/>
  <c r="Z99" i="139" l="1"/>
  <c r="Z89" i="139"/>
  <c r="Z36" i="139"/>
  <c r="Y79" i="139"/>
  <c r="Y67" i="139"/>
  <c r="R63" i="138" l="1"/>
  <c r="Q63" i="138"/>
  <c r="K63" i="138"/>
  <c r="L63" i="138"/>
  <c r="O63" i="138"/>
  <c r="J63" i="138" l="1"/>
  <c r="R26" i="20"/>
  <c r="U26" i="20"/>
  <c r="P63" i="138" s="1"/>
  <c r="N63" i="138"/>
  <c r="M63" i="138" l="1"/>
  <c r="S63" i="138" s="1"/>
  <c r="U63" i="138" s="1"/>
  <c r="X26" i="20"/>
  <c r="N57" i="138" l="1"/>
  <c r="J57" i="138" l="1"/>
  <c r="K57" i="138"/>
  <c r="L57" i="138"/>
  <c r="Q57" i="138"/>
  <c r="O57" i="138" l="1"/>
  <c r="U20" i="20"/>
  <c r="P57" i="138" s="1"/>
  <c r="R20" i="20"/>
  <c r="R57" i="138"/>
  <c r="M57" i="138" l="1"/>
  <c r="X20" i="20"/>
  <c r="S57" i="138" l="1"/>
  <c r="U57" i="138" s="1"/>
  <c r="U46" i="21" l="1"/>
  <c r="N23" i="138"/>
  <c r="O59" i="138" l="1"/>
  <c r="Q59" i="138"/>
  <c r="L58" i="138"/>
  <c r="Q58" i="138"/>
  <c r="O58" i="138"/>
  <c r="R58" i="138"/>
  <c r="L59" i="138"/>
  <c r="R59" i="138"/>
  <c r="K59" i="138"/>
  <c r="P26" i="21"/>
  <c r="K9" i="138"/>
  <c r="K69" i="138" s="1"/>
  <c r="K71" i="138" s="1"/>
  <c r="R76" i="21"/>
  <c r="J42" i="138"/>
  <c r="J75" i="138" s="1"/>
  <c r="O79" i="21"/>
  <c r="Q42" i="138"/>
  <c r="V79" i="21"/>
  <c r="O42" i="138"/>
  <c r="O75" i="138" s="1"/>
  <c r="T79" i="21"/>
  <c r="P79" i="21"/>
  <c r="K42" i="138"/>
  <c r="K75" i="138" s="1"/>
  <c r="L42" i="138"/>
  <c r="L75" i="138" s="1"/>
  <c r="Q79" i="21"/>
  <c r="X46" i="21"/>
  <c r="P23" i="138"/>
  <c r="Q102" i="21" l="1"/>
  <c r="Q75" i="138"/>
  <c r="P38" i="21"/>
  <c r="S23" i="138"/>
  <c r="M42" i="138"/>
  <c r="R79" i="21"/>
  <c r="S79" i="21"/>
  <c r="U76" i="21"/>
  <c r="N42" i="138"/>
  <c r="P102" i="21" l="1"/>
  <c r="N75" i="138"/>
  <c r="P42" i="138"/>
  <c r="P75" i="138" s="1"/>
  <c r="U79" i="21"/>
  <c r="M75" i="138"/>
  <c r="U23" i="138"/>
  <c r="Q55" i="138" l="1"/>
  <c r="R55" i="138" l="1"/>
  <c r="K55" i="138"/>
  <c r="L55" i="138"/>
  <c r="O55" i="138"/>
  <c r="R18" i="20" l="1"/>
  <c r="J55" i="138"/>
  <c r="U18" i="20" l="1"/>
  <c r="P55" i="138" s="1"/>
  <c r="N55" i="138"/>
  <c r="M55" i="138"/>
  <c r="X18" i="20" l="1"/>
  <c r="S55" i="138"/>
  <c r="U55" i="138" s="1"/>
  <c r="U51" i="139"/>
  <c r="S54" i="139"/>
  <c r="R23" i="139"/>
  <c r="O26" i="139"/>
  <c r="O38" i="139" s="1"/>
  <c r="O102" i="139" s="1"/>
  <c r="S69" i="139" l="1"/>
  <c r="S102" i="139" s="1"/>
  <c r="O54" i="138"/>
  <c r="R17" i="20"/>
  <c r="J54" i="138"/>
  <c r="K54" i="138"/>
  <c r="R54" i="138"/>
  <c r="X23" i="139"/>
  <c r="R26" i="139"/>
  <c r="Q54" i="138"/>
  <c r="L54" i="138"/>
  <c r="X51" i="139"/>
  <c r="U54" i="139"/>
  <c r="U69" i="139" s="1"/>
  <c r="U102" i="139" s="1"/>
  <c r="T119" i="139"/>
  <c r="T121" i="139" s="1"/>
  <c r="O80" i="138" s="1"/>
  <c r="P119" i="139"/>
  <c r="P121" i="139" s="1"/>
  <c r="K80" i="138" s="1"/>
  <c r="Q119" i="139"/>
  <c r="Q121" i="139" s="1"/>
  <c r="L80" i="138" s="1"/>
  <c r="W119" i="139" l="1"/>
  <c r="W121" i="139" s="1"/>
  <c r="V119" i="139"/>
  <c r="V121" i="139" s="1"/>
  <c r="R38" i="139"/>
  <c r="R102" i="139" s="1"/>
  <c r="X54" i="139"/>
  <c r="X26" i="139"/>
  <c r="N54" i="138"/>
  <c r="U17" i="20"/>
  <c r="M54" i="138"/>
  <c r="R105" i="139"/>
  <c r="O119" i="139"/>
  <c r="O121" i="139" s="1"/>
  <c r="J80" i="138" s="1"/>
  <c r="X17" i="20" l="1"/>
  <c r="Q80" i="138"/>
  <c r="R80" i="138"/>
  <c r="R119" i="139"/>
  <c r="X38" i="139"/>
  <c r="U105" i="139"/>
  <c r="U119" i="139" s="1"/>
  <c r="U121" i="139" s="1"/>
  <c r="P80" i="138" s="1"/>
  <c r="S119" i="139"/>
  <c r="S121" i="139" s="1"/>
  <c r="P54" i="138"/>
  <c r="S54" i="138" s="1"/>
  <c r="X69" i="139"/>
  <c r="N80" i="138" l="1"/>
  <c r="R121" i="139"/>
  <c r="U54" i="138"/>
  <c r="X102" i="139"/>
  <c r="X105" i="139"/>
  <c r="M80" i="138" l="1"/>
  <c r="S80" i="138" s="1"/>
  <c r="U80" i="138" s="1"/>
  <c r="X119" i="139"/>
  <c r="J58" i="138"/>
  <c r="R22" i="20" l="1"/>
  <c r="J59" i="138"/>
  <c r="X121" i="139"/>
  <c r="M59" i="138" l="1"/>
  <c r="U18" i="96" l="1"/>
  <c r="I18" i="20"/>
  <c r="U45" i="82"/>
  <c r="I46" i="21"/>
  <c r="U26" i="96"/>
  <c r="I26" i="20"/>
  <c r="U20" i="96"/>
  <c r="I20" i="20"/>
  <c r="J26" i="20" l="1"/>
  <c r="H63" i="138"/>
  <c r="H57" i="138"/>
  <c r="J20" i="20"/>
  <c r="J18" i="20"/>
  <c r="H55" i="138"/>
  <c r="J46" i="21"/>
  <c r="H23" i="138"/>
  <c r="L18" i="20" l="1"/>
  <c r="I55" i="138"/>
  <c r="T55" i="138" s="1"/>
  <c r="L46" i="21"/>
  <c r="I23" i="138"/>
  <c r="L20" i="20"/>
  <c r="I57" i="138"/>
  <c r="T57" i="138" s="1"/>
  <c r="L26" i="20"/>
  <c r="I63" i="138"/>
  <c r="T63" i="138" s="1"/>
  <c r="Z26" i="20" l="1"/>
  <c r="Y26" i="20"/>
  <c r="V26" i="96"/>
  <c r="Z20" i="20"/>
  <c r="Y20" i="20"/>
  <c r="V20" i="96"/>
  <c r="Z46" i="21"/>
  <c r="Y46" i="21"/>
  <c r="V45" i="82"/>
  <c r="T23" i="138"/>
  <c r="Z18" i="20"/>
  <c r="Y18" i="20"/>
  <c r="V18" i="96"/>
  <c r="J51" i="139" l="1"/>
  <c r="I54" i="139"/>
  <c r="I69" i="139" s="1"/>
  <c r="I26" i="139"/>
  <c r="I38" i="139" s="1"/>
  <c r="J23" i="139"/>
  <c r="U17" i="96" l="1"/>
  <c r="I17" i="20"/>
  <c r="I119" i="139"/>
  <c r="J105" i="139"/>
  <c r="J26" i="139"/>
  <c r="J38" i="139" s="1"/>
  <c r="L23" i="139"/>
  <c r="I102" i="139"/>
  <c r="L51" i="139"/>
  <c r="J54" i="139"/>
  <c r="J69" i="139" s="1"/>
  <c r="J102" i="139" s="1"/>
  <c r="L26" i="139" l="1"/>
  <c r="Z23" i="139"/>
  <c r="Y23" i="139"/>
  <c r="I121" i="139"/>
  <c r="H80" i="138" s="1"/>
  <c r="L54" i="139"/>
  <c r="Z51" i="139"/>
  <c r="Y51" i="139"/>
  <c r="L105" i="139"/>
  <c r="J119" i="139"/>
  <c r="J121" i="139" s="1"/>
  <c r="H54" i="138"/>
  <c r="J17" i="20"/>
  <c r="I80" i="138" l="1"/>
  <c r="L17" i="20"/>
  <c r="I54" i="138"/>
  <c r="T54" i="138" s="1"/>
  <c r="Z105" i="139"/>
  <c r="L119" i="139"/>
  <c r="Y105" i="139"/>
  <c r="L69" i="139"/>
  <c r="Z54" i="139"/>
  <c r="Y54" i="139"/>
  <c r="L38" i="139"/>
  <c r="Z26" i="139"/>
  <c r="Y26" i="139"/>
  <c r="T80" i="138" l="1"/>
  <c r="Z38" i="139"/>
  <c r="Y38" i="139"/>
  <c r="L102" i="139"/>
  <c r="Z69" i="139"/>
  <c r="Y69" i="139"/>
  <c r="Z119" i="139"/>
  <c r="L121" i="139"/>
  <c r="Y119" i="139"/>
  <c r="Z17" i="20"/>
  <c r="Y17" i="20"/>
  <c r="V17" i="96"/>
  <c r="Z121" i="139" l="1"/>
  <c r="Y121" i="139"/>
  <c r="Z102" i="139"/>
  <c r="Y102" i="139"/>
  <c r="U21" i="20" l="1"/>
  <c r="N58" i="138"/>
  <c r="U22" i="20"/>
  <c r="N59" i="138"/>
  <c r="R20" i="21"/>
  <c r="J9" i="138"/>
  <c r="W79" i="21" l="1"/>
  <c r="R42" i="138"/>
  <c r="X76" i="21"/>
  <c r="P59" i="138"/>
  <c r="S59" i="138" s="1"/>
  <c r="U59" i="138" s="1"/>
  <c r="X22" i="20"/>
  <c r="U22" i="96"/>
  <c r="I22" i="20"/>
  <c r="M9" i="138"/>
  <c r="P58" i="138"/>
  <c r="K58" i="138" l="1"/>
  <c r="R21" i="20"/>
  <c r="X79" i="21"/>
  <c r="H59" i="138"/>
  <c r="J22" i="20"/>
  <c r="R75" i="138"/>
  <c r="S75" i="138" s="1"/>
  <c r="U75" i="138" s="1"/>
  <c r="S42" i="138"/>
  <c r="U20" i="21"/>
  <c r="N9" i="138"/>
  <c r="T78" i="82"/>
  <c r="I76" i="21"/>
  <c r="U75" i="82"/>
  <c r="P9" i="138" l="1"/>
  <c r="X20" i="21"/>
  <c r="I79" i="21"/>
  <c r="J76" i="21"/>
  <c r="H42" i="138"/>
  <c r="H75" i="138" s="1"/>
  <c r="U78" i="82"/>
  <c r="U42" i="138"/>
  <c r="L22" i="20"/>
  <c r="I59" i="138"/>
  <c r="T59" i="138" s="1"/>
  <c r="M58" i="138"/>
  <c r="X21" i="20"/>
  <c r="S58" i="138" l="1"/>
  <c r="U58" i="138" s="1"/>
  <c r="Z22" i="20"/>
  <c r="V22" i="96"/>
  <c r="Y22" i="20"/>
  <c r="L76" i="21"/>
  <c r="I42" i="138"/>
  <c r="J79" i="21"/>
  <c r="I20" i="21"/>
  <c r="U19" i="82"/>
  <c r="I21" i="20"/>
  <c r="U21" i="96"/>
  <c r="S9" i="138"/>
  <c r="I75" i="138" l="1"/>
  <c r="T75" i="138" s="1"/>
  <c r="T42" i="138"/>
  <c r="L79" i="21"/>
  <c r="Z76" i="21"/>
  <c r="Y76" i="21"/>
  <c r="V75" i="82"/>
  <c r="J20" i="21"/>
  <c r="H9" i="138"/>
  <c r="U9" i="138"/>
  <c r="J21" i="20"/>
  <c r="H58" i="138"/>
  <c r="I58" i="138" l="1"/>
  <c r="T58" i="138" s="1"/>
  <c r="L21" i="20"/>
  <c r="I9" i="138"/>
  <c r="L20" i="21"/>
  <c r="V78" i="82"/>
  <c r="Z20" i="21" l="1"/>
  <c r="Y20" i="21"/>
  <c r="V19" i="82"/>
  <c r="Z21" i="20"/>
  <c r="Y21" i="20"/>
  <c r="V21" i="96"/>
  <c r="T9" i="138"/>
  <c r="U24" i="20" l="1"/>
  <c r="N61" i="138"/>
  <c r="P61" i="138" l="1"/>
  <c r="S61" i="138" s="1"/>
  <c r="U61" i="138" s="1"/>
  <c r="X24" i="20"/>
  <c r="I24" i="20" l="1"/>
  <c r="U24" i="96"/>
  <c r="J24" i="20" l="1"/>
  <c r="H61" i="138"/>
  <c r="I61" i="138" l="1"/>
  <c r="T61" i="138" s="1"/>
  <c r="L24" i="20"/>
  <c r="Z24" i="20" l="1"/>
  <c r="Y24" i="20"/>
  <c r="V24" i="96"/>
  <c r="Q31" i="20" l="1"/>
  <c r="L60" i="138"/>
  <c r="L78" i="138" s="1"/>
  <c r="L79" i="138" s="1"/>
  <c r="J60" i="138"/>
  <c r="J78" i="138" s="1"/>
  <c r="O31" i="20"/>
  <c r="R23" i="20"/>
  <c r="O28" i="138"/>
  <c r="O72" i="138" s="1"/>
  <c r="O74" i="138" s="1"/>
  <c r="T54" i="21"/>
  <c r="V31" i="20"/>
  <c r="Q60" i="138"/>
  <c r="T31" i="20"/>
  <c r="O60" i="138"/>
  <c r="O78" i="138" s="1"/>
  <c r="Q28" i="138"/>
  <c r="V54" i="21"/>
  <c r="K60" i="138"/>
  <c r="K78" i="138" s="1"/>
  <c r="K79" i="138" s="1"/>
  <c r="P31" i="20"/>
  <c r="P33" i="20" l="1"/>
  <c r="T69" i="21"/>
  <c r="Q72" i="138"/>
  <c r="Q74" i="138" s="1"/>
  <c r="Q33" i="20"/>
  <c r="V69" i="21"/>
  <c r="Q78" i="138"/>
  <c r="Q79" i="138" s="1"/>
  <c r="M60" i="138"/>
  <c r="R31" i="20"/>
  <c r="R23" i="21"/>
  <c r="O26" i="21"/>
  <c r="J12" i="138"/>
  <c r="J69" i="138" s="1"/>
  <c r="J71" i="138" s="1"/>
  <c r="J79" i="138" s="1"/>
  <c r="O79" i="138"/>
  <c r="O38" i="21" l="1"/>
  <c r="V102" i="21"/>
  <c r="Q35" i="20"/>
  <c r="T102" i="21"/>
  <c r="P35" i="20"/>
  <c r="R28" i="138"/>
  <c r="W54" i="21"/>
  <c r="R26" i="21"/>
  <c r="M12" i="138"/>
  <c r="X23" i="21"/>
  <c r="M78" i="138"/>
  <c r="W31" i="20"/>
  <c r="R60" i="138"/>
  <c r="O102" i="21" l="1"/>
  <c r="W69" i="21"/>
  <c r="T33" i="20"/>
  <c r="R78" i="138"/>
  <c r="R38" i="21"/>
  <c r="V33" i="20"/>
  <c r="R72" i="138"/>
  <c r="R74" i="138" s="1"/>
  <c r="U22" i="82"/>
  <c r="I23" i="21"/>
  <c r="T31" i="96"/>
  <c r="U23" i="96"/>
  <c r="I23" i="20"/>
  <c r="M69" i="138"/>
  <c r="S12" i="138"/>
  <c r="R79" i="138" l="1"/>
  <c r="R102" i="21"/>
  <c r="T35" i="20"/>
  <c r="W102" i="21"/>
  <c r="V35" i="20"/>
  <c r="O33" i="20"/>
  <c r="M71" i="138"/>
  <c r="U31" i="96"/>
  <c r="H60" i="138"/>
  <c r="H78" i="138" s="1"/>
  <c r="I31" i="20"/>
  <c r="J23" i="20"/>
  <c r="U12" i="138"/>
  <c r="H12" i="138"/>
  <c r="J23" i="21"/>
  <c r="W33" i="20" l="1"/>
  <c r="R33" i="20"/>
  <c r="O35" i="20"/>
  <c r="L23" i="21"/>
  <c r="I12" i="138"/>
  <c r="L23" i="20"/>
  <c r="I60" i="138"/>
  <c r="I78" i="138" s="1"/>
  <c r="J31" i="20"/>
  <c r="M79" i="138"/>
  <c r="R35" i="20" l="1"/>
  <c r="W35" i="20"/>
  <c r="T12" i="138"/>
  <c r="S23" i="20"/>
  <c r="L31" i="20"/>
  <c r="V23" i="96"/>
  <c r="Z23" i="21"/>
  <c r="Y23" i="21"/>
  <c r="V22" i="82"/>
  <c r="U23" i="20" l="1"/>
  <c r="S31" i="20"/>
  <c r="N60" i="138"/>
  <c r="V31" i="96"/>
  <c r="N78" i="138" l="1"/>
  <c r="P60" i="138"/>
  <c r="U31" i="20"/>
  <c r="X23" i="20"/>
  <c r="Y23" i="20" l="1"/>
  <c r="X31" i="20"/>
  <c r="Z23" i="20"/>
  <c r="P78" i="138"/>
  <c r="S60" i="138"/>
  <c r="Y31" i="20" l="1"/>
  <c r="Z31" i="20"/>
  <c r="U60" i="138"/>
  <c r="T60" i="138"/>
  <c r="S78" i="138"/>
  <c r="U78" i="138" l="1"/>
  <c r="T78" i="138"/>
  <c r="J29" i="94" l="1"/>
  <c r="J35" i="94" s="1"/>
  <c r="N28" i="138" l="1"/>
  <c r="S54" i="21"/>
  <c r="U51" i="21"/>
  <c r="S69" i="21" l="1"/>
  <c r="P28" i="138"/>
  <c r="U54" i="21"/>
  <c r="X51" i="21"/>
  <c r="N72" i="138"/>
  <c r="N74" i="138" s="1"/>
  <c r="X54" i="21" l="1"/>
  <c r="U69" i="21"/>
  <c r="T53" i="82"/>
  <c r="T68" i="82" s="1"/>
  <c r="I51" i="21"/>
  <c r="U50" i="82"/>
  <c r="S28" i="138"/>
  <c r="P72" i="138"/>
  <c r="U28" i="138" l="1"/>
  <c r="S72" i="138"/>
  <c r="P74" i="138"/>
  <c r="U53" i="82"/>
  <c r="X69" i="21"/>
  <c r="I54" i="21"/>
  <c r="J51" i="21"/>
  <c r="H28" i="138"/>
  <c r="H72" i="138" s="1"/>
  <c r="H74" i="138" s="1"/>
  <c r="U72" i="138" l="1"/>
  <c r="S26" i="21"/>
  <c r="U22" i="21"/>
  <c r="N11" i="138"/>
  <c r="S74" i="138"/>
  <c r="J54" i="21"/>
  <c r="L51" i="21"/>
  <c r="I28" i="138"/>
  <c r="I69" i="21"/>
  <c r="U68" i="82"/>
  <c r="S38" i="21" l="1"/>
  <c r="Z51" i="21"/>
  <c r="L54" i="21"/>
  <c r="Y51" i="21"/>
  <c r="V50" i="82"/>
  <c r="U74" i="138"/>
  <c r="I72" i="138"/>
  <c r="T28" i="138"/>
  <c r="N69" i="138"/>
  <c r="N71" i="138" s="1"/>
  <c r="N79" i="138" s="1"/>
  <c r="J69" i="21"/>
  <c r="U26" i="21"/>
  <c r="X22" i="21"/>
  <c r="P11" i="138"/>
  <c r="L69" i="21" l="1"/>
  <c r="V53" i="82"/>
  <c r="I74" i="138"/>
  <c r="T72" i="138"/>
  <c r="I22" i="21"/>
  <c r="U21" i="82"/>
  <c r="T25" i="82"/>
  <c r="T37" i="82" s="1"/>
  <c r="T101" i="82" s="1"/>
  <c r="P69" i="138"/>
  <c r="S11" i="138"/>
  <c r="X26" i="21"/>
  <c r="S102" i="21"/>
  <c r="U38" i="21"/>
  <c r="U102" i="21" l="1"/>
  <c r="U25" i="82"/>
  <c r="S69" i="138"/>
  <c r="P71" i="138"/>
  <c r="J22" i="21"/>
  <c r="H11" i="138"/>
  <c r="H69" i="138" s="1"/>
  <c r="H71" i="138" s="1"/>
  <c r="H79" i="138" s="1"/>
  <c r="I26" i="21"/>
  <c r="T74" i="138"/>
  <c r="X38" i="21"/>
  <c r="U11" i="138"/>
  <c r="T33" i="96"/>
  <c r="T35" i="96" s="1"/>
  <c r="V68" i="82"/>
  <c r="S33" i="20"/>
  <c r="S35" i="20" l="1"/>
  <c r="U69" i="138"/>
  <c r="I38" i="21"/>
  <c r="S71" i="138"/>
  <c r="P79" i="138"/>
  <c r="S79" i="138" s="1"/>
  <c r="L22" i="21"/>
  <c r="I11" i="138"/>
  <c r="J26" i="21"/>
  <c r="U33" i="20"/>
  <c r="U37" i="82"/>
  <c r="X102" i="21"/>
  <c r="U35" i="20" l="1"/>
  <c r="Z22" i="21"/>
  <c r="L26" i="21"/>
  <c r="Y22" i="21"/>
  <c r="V21" i="82"/>
  <c r="U79" i="138"/>
  <c r="J38" i="21"/>
  <c r="I69" i="138"/>
  <c r="T11" i="138"/>
  <c r="U71" i="138"/>
  <c r="X33" i="20"/>
  <c r="U101" i="82"/>
  <c r="I102" i="21"/>
  <c r="I71" i="138" l="1"/>
  <c r="T69" i="138"/>
  <c r="U33" i="96"/>
  <c r="I33" i="20"/>
  <c r="T104" i="82"/>
  <c r="J102" i="21"/>
  <c r="L38" i="21"/>
  <c r="V25" i="82"/>
  <c r="X35" i="20"/>
  <c r="U35" i="96" l="1"/>
  <c r="L102" i="21"/>
  <c r="V37" i="82"/>
  <c r="J33" i="20"/>
  <c r="I35" i="20"/>
  <c r="U104" i="82"/>
  <c r="I79" i="138"/>
  <c r="T79" i="138" s="1"/>
  <c r="T71" i="138"/>
  <c r="T38" i="96" l="1"/>
  <c r="J35" i="20"/>
  <c r="Z102" i="21"/>
  <c r="L33" i="20"/>
  <c r="Y102" i="21"/>
  <c r="V101" i="82"/>
  <c r="U38" i="96"/>
  <c r="Z33" i="20" l="1"/>
  <c r="L35" i="20"/>
  <c r="Y33" i="20"/>
  <c r="V33" i="96"/>
  <c r="Z35" i="20" l="1"/>
  <c r="Y35" i="20"/>
  <c r="V35" i="96"/>
</calcChain>
</file>

<file path=xl/sharedStrings.xml><?xml version="1.0" encoding="utf-8"?>
<sst xmlns="http://schemas.openxmlformats.org/spreadsheetml/2006/main" count="5050" uniqueCount="1145">
  <si>
    <t>Performance Enhancement Plan (PEP)</t>
  </si>
  <si>
    <t>Executive Annual Incentive Program (EAIP)</t>
  </si>
  <si>
    <t>General Assets (actives)</t>
  </si>
  <si>
    <t>Vision through UnitedHealthcare</t>
  </si>
  <si>
    <t>Legislative Advocacy</t>
  </si>
  <si>
    <t>II-D-4</t>
  </si>
  <si>
    <t>Number of Employees</t>
  </si>
  <si>
    <t>II-D-2.4</t>
  </si>
  <si>
    <t>II-D-2.4a</t>
  </si>
  <si>
    <t>II-D-2.5</t>
  </si>
  <si>
    <t>II-D-2.6</t>
  </si>
  <si>
    <t>II-D-2.6b</t>
  </si>
  <si>
    <t>II-D-2.6c</t>
  </si>
  <si>
    <t>Bad Debt Expense</t>
  </si>
  <si>
    <t>Deferred</t>
  </si>
  <si>
    <t>Incentives &amp;</t>
  </si>
  <si>
    <t>Bonuses</t>
  </si>
  <si>
    <t>Salary Deferral Plan</t>
  </si>
  <si>
    <t>March</t>
  </si>
  <si>
    <t>April</t>
  </si>
  <si>
    <t>May</t>
  </si>
  <si>
    <t>June</t>
  </si>
  <si>
    <t>Changes</t>
  </si>
  <si>
    <t>(r)</t>
  </si>
  <si>
    <t>(s)</t>
  </si>
  <si>
    <t>TOTAL O&amp;M AND A&amp;G EXPENSE</t>
  </si>
  <si>
    <t>A932</t>
  </si>
  <si>
    <t>TOTAL O&amp;M EXPENSE (Lines 24+55+65+75+85)</t>
  </si>
  <si>
    <t>Employee Pensions and Benefits</t>
  </si>
  <si>
    <t>General Advertising Expenses</t>
  </si>
  <si>
    <t>September</t>
  </si>
  <si>
    <t>Advertising, Contributions, and Dues Summary</t>
  </si>
  <si>
    <t>Advertising</t>
  </si>
  <si>
    <t>Contributions/Donations</t>
  </si>
  <si>
    <t>Organizational Memberships &amp; Dues</t>
  </si>
  <si>
    <t>Distribution Expense</t>
  </si>
  <si>
    <t>TOTAL SALES EXPENSE</t>
  </si>
  <si>
    <t>TOTAL A&amp;G EXPENSE</t>
  </si>
  <si>
    <t>TOTAL O&amp;M &amp; A&amp;G EXPENSE</t>
  </si>
  <si>
    <t>TOTAL O&amp;M EXP. EXCL. FUEL &amp; PUR. POWER</t>
  </si>
  <si>
    <t>Test Year</t>
  </si>
  <si>
    <t>II-D-1</t>
  </si>
  <si>
    <t>II-D-2</t>
  </si>
  <si>
    <t>II-D-1-2</t>
  </si>
  <si>
    <t>(a)</t>
  </si>
  <si>
    <t>(b)</t>
  </si>
  <si>
    <t>3rd Month Subsequent</t>
  </si>
  <si>
    <t>Regulated T&amp;D</t>
  </si>
  <si>
    <t>T &amp; D</t>
  </si>
  <si>
    <t>Non-Regulated /</t>
  </si>
  <si>
    <t>Social/Recreational/Religious</t>
  </si>
  <si>
    <t>Political</t>
  </si>
  <si>
    <t>TOTAL EXCLUSIONS FROM REPORTING PERIOD</t>
  </si>
  <si>
    <t>Allocation</t>
  </si>
  <si>
    <t>Subtotal (560-567)</t>
  </si>
  <si>
    <t>Subtotal (568-573)</t>
  </si>
  <si>
    <t>Subtotal (580-589)</t>
  </si>
  <si>
    <t>Subtotal (590-598)</t>
  </si>
  <si>
    <t>TOTAL CUSTOMER ACCOUNTING EXPENSES</t>
  </si>
  <si>
    <t>TOTAL CUSTOMER SERVICE &amp; INFORMATION EXPENSE</t>
  </si>
  <si>
    <t>Customer Service &amp; Information Expense</t>
  </si>
  <si>
    <t>Adjustments</t>
  </si>
  <si>
    <t>Employee Assistance Program</t>
  </si>
  <si>
    <t>Other</t>
  </si>
  <si>
    <t>Month</t>
  </si>
  <si>
    <t>Regular</t>
  </si>
  <si>
    <t>Overtime</t>
  </si>
  <si>
    <t>Compensation</t>
  </si>
  <si>
    <t>(u)</t>
  </si>
  <si>
    <t>Total Test Year</t>
  </si>
  <si>
    <t>Union</t>
  </si>
  <si>
    <t>TOTAL ADMINISTRATIVE &amp; GENERAL EXPENSE</t>
  </si>
  <si>
    <t>TOTAL O&amp;M EXPENSE EXCLUDING FUEL &amp; PUR. POWER</t>
  </si>
  <si>
    <t>TOTAL ADMINISTRATIVE &amp; GENERAL ADJUSTMENTS</t>
  </si>
  <si>
    <t>(c)</t>
  </si>
  <si>
    <t>(d)</t>
  </si>
  <si>
    <t>(e)</t>
  </si>
  <si>
    <t>(f)</t>
  </si>
  <si>
    <t>(g)</t>
  </si>
  <si>
    <t>(h)</t>
  </si>
  <si>
    <t>(i)</t>
  </si>
  <si>
    <t>(j)</t>
  </si>
  <si>
    <t>(k)</t>
  </si>
  <si>
    <t>(l)</t>
  </si>
  <si>
    <t>(m)</t>
  </si>
  <si>
    <t>(n)</t>
  </si>
  <si>
    <t>(o)</t>
  </si>
  <si>
    <t>Line</t>
  </si>
  <si>
    <t>x</t>
  </si>
  <si>
    <t>No</t>
  </si>
  <si>
    <t>Capitalized Advertising Expense</t>
  </si>
  <si>
    <t>Total Capitalized Advertising Expense</t>
  </si>
  <si>
    <t>TOTAL TRANSMISSION EXPENSE (Line 12 + 22)</t>
  </si>
  <si>
    <t>TOTAL DISTRIBUTION EXPENSE (Line 40 + 53)</t>
  </si>
  <si>
    <t>TOTAL CUSTOMER ACCOUNTING EXPENSE</t>
  </si>
  <si>
    <t>A45X</t>
  </si>
  <si>
    <t>Non-Electric</t>
  </si>
  <si>
    <t>Pay Cycles</t>
  </si>
  <si>
    <t xml:space="preserve">Overtime is paid as required by the Fair Labor Standards Act.  Shift related overtime is paid according to the particular shift that </t>
  </si>
  <si>
    <t>Jan</t>
  </si>
  <si>
    <t>Feb</t>
  </si>
  <si>
    <t>Mar</t>
  </si>
  <si>
    <t>Apr</t>
  </si>
  <si>
    <t>Jun</t>
  </si>
  <si>
    <t>Jul</t>
  </si>
  <si>
    <t>Aug</t>
  </si>
  <si>
    <t>Sep</t>
  </si>
  <si>
    <t>Oct</t>
  </si>
  <si>
    <t>Nov</t>
  </si>
  <si>
    <t>Dec</t>
  </si>
  <si>
    <t>Misc Revenues</t>
  </si>
  <si>
    <t>Actual Write Offs</t>
  </si>
  <si>
    <t>Time Reporting</t>
  </si>
  <si>
    <t>Merit Pay Increases</t>
  </si>
  <si>
    <t>Overtime Pay</t>
  </si>
  <si>
    <t>Incentive Pay</t>
  </si>
  <si>
    <t>Severance Pay</t>
  </si>
  <si>
    <t>II-E-4.2</t>
  </si>
  <si>
    <t>Customer Accounts Expense</t>
  </si>
  <si>
    <t>Miscellaneous Accounts Receivable:</t>
  </si>
  <si>
    <t>aging of outstanding Miscellaneous Accounts Receivable.  Each aged category</t>
  </si>
  <si>
    <t>No.</t>
  </si>
  <si>
    <t>TOTAL O&amp;M and ADJUSTMENTS (Lines 24+55+65+75+85)</t>
  </si>
  <si>
    <t>TOTAL TRANSMISSION EXPENSE (Line 12+22)</t>
  </si>
  <si>
    <t>TOTAL DISTRIBUTION EXPENSE (Line 40+53)</t>
  </si>
  <si>
    <t>TOTAL PAYROLL EXCLUDING A&amp;G (Lines 24+55+65+75+85)</t>
  </si>
  <si>
    <t>TDCS</t>
  </si>
  <si>
    <t>Regulatory Commission Expenses</t>
  </si>
  <si>
    <t>(q)</t>
  </si>
  <si>
    <t>Contribution and Donation Expense</t>
  </si>
  <si>
    <t>Membership Dues Expense</t>
  </si>
  <si>
    <t>Industry Organization Dues</t>
  </si>
  <si>
    <t>Business / Economic Dues</t>
  </si>
  <si>
    <t>Industry Organization</t>
  </si>
  <si>
    <t>Business/Economic</t>
  </si>
  <si>
    <t>Professional</t>
  </si>
  <si>
    <t>(t)</t>
  </si>
  <si>
    <t>Less:  Organizational Membership &amp; Dues</t>
  </si>
  <si>
    <t>Miscellaneous Transmission Expenses</t>
  </si>
  <si>
    <t>Maintenance Supervision and Engineering</t>
  </si>
  <si>
    <t>Maintenance of Structures</t>
  </si>
  <si>
    <t>Maintenance of Miscellaneous Transmission Plant</t>
  </si>
  <si>
    <t>Street Lighting and Signal System Expenses</t>
  </si>
  <si>
    <t>Customer Installation Expenses</t>
  </si>
  <si>
    <t>Meter Expenses</t>
  </si>
  <si>
    <t>Load Dispatching</t>
  </si>
  <si>
    <t>Miscellaneous Distribution Expenses</t>
  </si>
  <si>
    <t>A593</t>
  </si>
  <si>
    <t>A594</t>
  </si>
  <si>
    <t>Maintenance of Line Transformers</t>
  </si>
  <si>
    <t>Maintenance of Street Lighting and Signal Systems</t>
  </si>
  <si>
    <t>Maintenance of Meters</t>
  </si>
  <si>
    <t>Maintenance of Miscellaneous Distribution Plant</t>
  </si>
  <si>
    <t>Miscellaneous General Expenses</t>
  </si>
  <si>
    <t>Maintenance of General Plant</t>
  </si>
  <si>
    <t>A583</t>
  </si>
  <si>
    <t>July</t>
  </si>
  <si>
    <t>August</t>
  </si>
  <si>
    <t>1st Month Subsequent</t>
  </si>
  <si>
    <t>2nd Month Subsequent</t>
  </si>
  <si>
    <t>Injuries and Damages</t>
  </si>
  <si>
    <t>Customer Accounts Expenses</t>
  </si>
  <si>
    <t>Pension Expense</t>
  </si>
  <si>
    <t>PAYXAG</t>
  </si>
  <si>
    <t>Year</t>
  </si>
  <si>
    <t xml:space="preserve">Time reporting for pay purposes is only required for non-exempt employees and is reported on an exception reporting basis.  </t>
  </si>
  <si>
    <t>Meter Reading Expenses</t>
  </si>
  <si>
    <t>A906</t>
  </si>
  <si>
    <t>Non-Union</t>
  </si>
  <si>
    <t>Expensed</t>
  </si>
  <si>
    <t>Capitalized</t>
  </si>
  <si>
    <t>Full Time</t>
  </si>
  <si>
    <t>Part Time</t>
  </si>
  <si>
    <t>Temporary</t>
  </si>
  <si>
    <t>Vacant</t>
  </si>
  <si>
    <t>Other Benefits</t>
  </si>
  <si>
    <t xml:space="preserve">Financial Counseling </t>
  </si>
  <si>
    <t xml:space="preserve">Salary Continuation </t>
  </si>
  <si>
    <t>October</t>
  </si>
  <si>
    <t>November</t>
  </si>
  <si>
    <t>December</t>
  </si>
  <si>
    <t>January</t>
  </si>
  <si>
    <t xml:space="preserve">    provided, the period covered, and the calculation of the monthly/annual</t>
  </si>
  <si>
    <t xml:space="preserve">    administration fee.</t>
  </si>
  <si>
    <t>Known and</t>
  </si>
  <si>
    <t>Measurable</t>
  </si>
  <si>
    <t>processed in the next applicable payroll after they have been approved.</t>
  </si>
  <si>
    <t>Administrative &amp; General Expenses</t>
  </si>
  <si>
    <t>employee works.</t>
  </si>
  <si>
    <t>TOTAL PAYROLL EXPENSE</t>
  </si>
  <si>
    <t>Energy Conservation Program</t>
  </si>
  <si>
    <t>Survivor's Benefit</t>
  </si>
  <si>
    <t>Also, discuss how the Company monitors this methodology to insure its accuracy.</t>
  </si>
  <si>
    <t>Transmission Maintenance Expense</t>
  </si>
  <si>
    <t>Total Transmission Expense</t>
  </si>
  <si>
    <t>A144</t>
  </si>
  <si>
    <t>Distribution Operation Expense</t>
  </si>
  <si>
    <t>Distribution Maintenance Expense</t>
  </si>
  <si>
    <t>Total Distribution Expense</t>
  </si>
  <si>
    <t>Administrative and General Expenses</t>
  </si>
  <si>
    <t>Total Operation and Maintenance Expense</t>
  </si>
  <si>
    <t>Sheet</t>
  </si>
  <si>
    <t>Penalties and Fines</t>
  </si>
  <si>
    <t>Other Exclusions</t>
  </si>
  <si>
    <t>II-D-2.6a</t>
  </si>
  <si>
    <t>●</t>
  </si>
  <si>
    <t>Economic Development</t>
  </si>
  <si>
    <t>Total Contribution and Donation Expense</t>
  </si>
  <si>
    <t>Description</t>
  </si>
  <si>
    <t>Reference</t>
  </si>
  <si>
    <t xml:space="preserve"> </t>
  </si>
  <si>
    <t>Schedule</t>
  </si>
  <si>
    <t>Account</t>
  </si>
  <si>
    <t xml:space="preserve">Total </t>
  </si>
  <si>
    <t>Non-Regulated or</t>
  </si>
  <si>
    <t>Total</t>
  </si>
  <si>
    <t>FF</t>
  </si>
  <si>
    <t>Factor</t>
  </si>
  <si>
    <t>Company</t>
  </si>
  <si>
    <t>Funct.</t>
  </si>
  <si>
    <t>to</t>
  </si>
  <si>
    <t xml:space="preserve"> Non-Electric</t>
  </si>
  <si>
    <t>Electric</t>
  </si>
  <si>
    <t>Texas</t>
  </si>
  <si>
    <t>#</t>
  </si>
  <si>
    <t>Name</t>
  </si>
  <si>
    <t>Operation</t>
  </si>
  <si>
    <t>Rents</t>
  </si>
  <si>
    <t>Maintenance</t>
  </si>
  <si>
    <t>Transmission Expense</t>
  </si>
  <si>
    <t>A560</t>
  </si>
  <si>
    <t>A561</t>
  </si>
  <si>
    <t>A562</t>
  </si>
  <si>
    <t>A563</t>
  </si>
  <si>
    <t>A564</t>
  </si>
  <si>
    <t>A566</t>
  </si>
  <si>
    <t>A567</t>
  </si>
  <si>
    <t>A568</t>
  </si>
  <si>
    <t>A569</t>
  </si>
  <si>
    <t>A570</t>
  </si>
  <si>
    <t>A571</t>
  </si>
  <si>
    <t>A572</t>
  </si>
  <si>
    <t>A573</t>
  </si>
  <si>
    <t>A581</t>
  </si>
  <si>
    <t>A582</t>
  </si>
  <si>
    <t>A584</t>
  </si>
  <si>
    <t>A586</t>
  </si>
  <si>
    <t>A587</t>
  </si>
  <si>
    <t>A589</t>
  </si>
  <si>
    <t>A580</t>
  </si>
  <si>
    <t>A588</t>
  </si>
  <si>
    <t>A591</t>
  </si>
  <si>
    <t>A592</t>
  </si>
  <si>
    <t>A595</t>
  </si>
  <si>
    <t>(p)</t>
  </si>
  <si>
    <t>A597</t>
  </si>
  <si>
    <t>A590</t>
  </si>
  <si>
    <t>Customer Accounting Expenses</t>
  </si>
  <si>
    <t>A902</t>
  </si>
  <si>
    <t>A901</t>
  </si>
  <si>
    <t>Supervision</t>
  </si>
  <si>
    <t>A904</t>
  </si>
  <si>
    <t>Uncollectible Accounts</t>
  </si>
  <si>
    <t>A905</t>
  </si>
  <si>
    <t>A907</t>
  </si>
  <si>
    <t>A910</t>
  </si>
  <si>
    <t>Sales Expense</t>
  </si>
  <si>
    <t>A911</t>
  </si>
  <si>
    <t>A916</t>
  </si>
  <si>
    <t>A920</t>
  </si>
  <si>
    <t>A921</t>
  </si>
  <si>
    <t>A922</t>
  </si>
  <si>
    <t>A923</t>
  </si>
  <si>
    <t>A924</t>
  </si>
  <si>
    <t>A925</t>
  </si>
  <si>
    <t>A926</t>
  </si>
  <si>
    <t>A928</t>
  </si>
  <si>
    <t>A931</t>
  </si>
  <si>
    <t>A935</t>
  </si>
  <si>
    <t>A585</t>
  </si>
  <si>
    <t>A596</t>
  </si>
  <si>
    <t>MET</t>
  </si>
  <si>
    <t>A565</t>
  </si>
  <si>
    <t>A598</t>
  </si>
  <si>
    <t>A903</t>
  </si>
  <si>
    <t>A912</t>
  </si>
  <si>
    <t>A913</t>
  </si>
  <si>
    <t>A917</t>
  </si>
  <si>
    <t>A930.2</t>
  </si>
  <si>
    <t>A930.1</t>
  </si>
  <si>
    <t xml:space="preserve">Load Dispatching </t>
  </si>
  <si>
    <t xml:space="preserve">Rents </t>
  </si>
  <si>
    <t>TRAN</t>
  </si>
  <si>
    <t>DIST</t>
  </si>
  <si>
    <t>Number</t>
  </si>
  <si>
    <t>Supplemental Retirement Plan</t>
  </si>
  <si>
    <t>February</t>
  </si>
  <si>
    <t xml:space="preserve">Time reporting is not required for exempt employees, although some exempt employees do report time for accounting purposes </t>
  </si>
  <si>
    <t>Safety Awards</t>
  </si>
  <si>
    <t>Sub-Total</t>
  </si>
  <si>
    <t xml:space="preserve">Question 2:    </t>
  </si>
  <si>
    <t xml:space="preserve">Present the Company's methodology for calculating monthly bad debt expense.  </t>
  </si>
  <si>
    <t>Total Expenses Subject to 0.3% Limitation</t>
  </si>
  <si>
    <t>Test of Substantive Rule 25.231(b)(1)(E)</t>
  </si>
  <si>
    <t>Construction Work in Progress - Electric</t>
  </si>
  <si>
    <t>II-D-3</t>
  </si>
  <si>
    <t>Operation and Maintenance Expense by Account</t>
  </si>
  <si>
    <t>O&amp;M Totals</t>
  </si>
  <si>
    <t>Transmission Operation Expense</t>
  </si>
  <si>
    <t>Applicable Test Year Revenue</t>
  </si>
  <si>
    <t>% Limitation</t>
  </si>
  <si>
    <t>Dollar Limitation</t>
  </si>
  <si>
    <t>a</t>
  </si>
  <si>
    <t>b</t>
  </si>
  <si>
    <t>Total Test Year Expense</t>
  </si>
  <si>
    <t>(Over)/Under Limit</t>
  </si>
  <si>
    <t>c = a - b</t>
  </si>
  <si>
    <t>Advertising Expense</t>
  </si>
  <si>
    <t>Eliminations</t>
  </si>
  <si>
    <t>Regulated</t>
  </si>
  <si>
    <t>Adjusted</t>
  </si>
  <si>
    <t>T&amp;D</t>
  </si>
  <si>
    <t>2.  Provide the terms of the lease.</t>
  </si>
  <si>
    <t>3.  Provide the address and the business purpose.</t>
  </si>
  <si>
    <t>A107</t>
  </si>
  <si>
    <t>Known</t>
  </si>
  <si>
    <t>Total Amount</t>
  </si>
  <si>
    <t>Customer Service and Informational Expenses</t>
  </si>
  <si>
    <t>Customer Assistance Expenses</t>
  </si>
  <si>
    <t>A908</t>
  </si>
  <si>
    <t>A909</t>
  </si>
  <si>
    <t>Informational and Instructional Advertising Expenses</t>
  </si>
  <si>
    <t>Miscellaneous Customer Service and Informational Expenses</t>
  </si>
  <si>
    <t>Demonstrating and Selling Expenses</t>
  </si>
  <si>
    <t>Advertising Expenses</t>
  </si>
  <si>
    <t>Miscellaneous Sales Expenses</t>
  </si>
  <si>
    <t>Sales Expenses</t>
  </si>
  <si>
    <t>Administrative and General Salaries</t>
  </si>
  <si>
    <t>Office Supplies and Expenses</t>
  </si>
  <si>
    <t>Admin Expense Transferred - Credit</t>
  </si>
  <si>
    <t>Outside Services Employed</t>
  </si>
  <si>
    <t>Property Insurance</t>
  </si>
  <si>
    <t>Bad Debt reserve allowances are established to recognize an estimate of uncollectible accounts</t>
  </si>
  <si>
    <t>Thrift Plan (401(k))</t>
  </si>
  <si>
    <t>Country Club Memberships</t>
  </si>
  <si>
    <t xml:space="preserve">Severance plan </t>
  </si>
  <si>
    <t>Educational</t>
  </si>
  <si>
    <t>Community Service</t>
  </si>
  <si>
    <t>Eligibility and Method of Funding</t>
  </si>
  <si>
    <t>Plan</t>
  </si>
  <si>
    <t>Eligibility</t>
  </si>
  <si>
    <t>Funding Method</t>
  </si>
  <si>
    <t>Vision</t>
  </si>
  <si>
    <t>Life Insurance</t>
  </si>
  <si>
    <t>II-D-2.3</t>
  </si>
  <si>
    <t>Retirement Plan</t>
  </si>
  <si>
    <t>TOTAL O&amp;M EXPENSE (Line 24+55+65+75+85)</t>
  </si>
  <si>
    <t>TOTAL CUSTOMER SERVICE &amp; INFORMATION EXPENSES</t>
  </si>
  <si>
    <t>Customer Service &amp; Information Expenses</t>
  </si>
  <si>
    <t>Customer Accounting Expense</t>
  </si>
  <si>
    <t>Question 1:  Discuss the Company's policy for writing off bad debts.</t>
  </si>
  <si>
    <t>reserve has two components:  a reserve against specific credit impaired exposures and a reserve</t>
  </si>
  <si>
    <t>against potential credit losses.</t>
  </si>
  <si>
    <t>The Company no longer creates a provision for bad debt related to sales to Retail Electric</t>
  </si>
  <si>
    <t>is multiplied by a percent estimated to represent the uncollectibility of that category.</t>
  </si>
  <si>
    <t>In addition, accounts that have filed for bankruptcy or otherwise exhibited</t>
  </si>
  <si>
    <t xml:space="preserve">credit unworthiness, are included in the provision.  The amount expensed is </t>
  </si>
  <si>
    <t>each period due to uncertainty that may exist in the ultimate collection of the amounts.  This</t>
  </si>
  <si>
    <t>Providers (REPs), pursuant to Substantive Rule 25.107.</t>
  </si>
  <si>
    <t>Operation Supervision and Engineering</t>
  </si>
  <si>
    <t>Station Expenses</t>
  </si>
  <si>
    <t>Overhead Line Expenses</t>
  </si>
  <si>
    <t>Underground Line Expenses</t>
  </si>
  <si>
    <t>Transmission of Electricity by Others</t>
  </si>
  <si>
    <t>Dental</t>
  </si>
  <si>
    <t>Maintenance of Station Equipment</t>
  </si>
  <si>
    <t>Maintenance of Overhead Lines</t>
  </si>
  <si>
    <t>Maintenance of Underground Lines</t>
  </si>
  <si>
    <t>Appliance Purchase Plan</t>
  </si>
  <si>
    <t>You only</t>
  </si>
  <si>
    <t>You + Spouse</t>
  </si>
  <si>
    <t>You + Children</t>
  </si>
  <si>
    <t>You + Family</t>
  </si>
  <si>
    <t>Additional Health and Welfare Benefits</t>
  </si>
  <si>
    <t>TOTAL O&amp;M &amp; A&amp;G ADJUSTMENTS</t>
  </si>
  <si>
    <t>II-D-2a</t>
  </si>
  <si>
    <t>II-D-1a-2a</t>
  </si>
  <si>
    <t>II-D-1a</t>
  </si>
  <si>
    <t>Professional Dues Description</t>
  </si>
  <si>
    <t>Professional Dues</t>
  </si>
  <si>
    <t>Customer Records and Collection Expenses</t>
  </si>
  <si>
    <t>Miscellaneous Customer Account Expenses</t>
  </si>
  <si>
    <t>2.  Provide a copy of the administration contract that details the services</t>
  </si>
  <si>
    <t>Test</t>
  </si>
  <si>
    <t>Per Book</t>
  </si>
  <si>
    <t>II-D-1a OPERATION AND MAINTENANCE EXPENSE - PRIOR THREE YEARS</t>
  </si>
  <si>
    <t>Contract</t>
  </si>
  <si>
    <t>Labor</t>
  </si>
  <si>
    <t>Pension Cost</t>
  </si>
  <si>
    <t>Benefit Expense - Account 926</t>
  </si>
  <si>
    <t>Non- Operating Deductions - Account 426</t>
  </si>
  <si>
    <t>Capitalized -Accounts 107, 108</t>
  </si>
  <si>
    <t>Purchasing &amp; Stores - Account 163</t>
  </si>
  <si>
    <t>Deferred Pension Regulatory Asset - Account 182</t>
  </si>
  <si>
    <t>Total Recoverable Pension Cost</t>
  </si>
  <si>
    <t>3.  Pension cost, pension expense, and pension funding payments</t>
  </si>
  <si>
    <t>OPEB Cost</t>
  </si>
  <si>
    <t>OPEB Expense</t>
  </si>
  <si>
    <t>Total Recoverable OPEB Cost</t>
  </si>
  <si>
    <t>TOTAL</t>
  </si>
  <si>
    <t>Benefits</t>
  </si>
  <si>
    <t>Survivor's</t>
  </si>
  <si>
    <t>Assistance</t>
  </si>
  <si>
    <t>Salary</t>
  </si>
  <si>
    <t>CATEGORY</t>
  </si>
  <si>
    <t>REFERENCE</t>
  </si>
  <si>
    <t>AMOUNT</t>
  </si>
  <si>
    <t>Schedule II-D-3.7.2</t>
  </si>
  <si>
    <t>Schedule II-D-3.7.3</t>
  </si>
  <si>
    <t>Schedule II-D-3.7.4</t>
  </si>
  <si>
    <t>Schedule II-D-3.8</t>
  </si>
  <si>
    <t>Schedule II-D-3.9</t>
  </si>
  <si>
    <t>Schedule II-D-3.10</t>
  </si>
  <si>
    <t>Schedule II-B-14</t>
  </si>
  <si>
    <t>RECONCILIATION TO PER BOOK EXPENSE ACCOUNT 926</t>
  </si>
  <si>
    <t>A926 - Employee Pensions and Benefits</t>
  </si>
  <si>
    <t>CHWMEG INC</t>
  </si>
  <si>
    <t>Security</t>
  </si>
  <si>
    <t>A bad debt expense/provision for bad debt is calculated quarterly based on an</t>
  </si>
  <si>
    <t>reviewed quarterly and adjusted accordingly until it is either paid or written off.</t>
  </si>
  <si>
    <t>EDISON ELECTRIC INSTITUTE</t>
  </si>
  <si>
    <t>ASSOCIATION OF EDISON</t>
  </si>
  <si>
    <t>FORT WORTH HISPANIC CHAMBER OF COMMERCE</t>
  </si>
  <si>
    <t>GRAPEVINE CHAMBER OF COMMERCE</t>
  </si>
  <si>
    <t>GREATER BIG SPRING ROTARY CLUB</t>
  </si>
  <si>
    <t>HILLSBORO LIONS CLUB</t>
  </si>
  <si>
    <t>THE DALLAS ASSEMBLY</t>
  </si>
  <si>
    <t>ALLEN FAIRVIEW CHAMBER OF COMMERCE</t>
  </si>
  <si>
    <t>ARLINGTON CHAMBER OF COMMERCE</t>
  </si>
  <si>
    <t>AZLE AREA CHAMBER OF COMMERCE</t>
  </si>
  <si>
    <t>BALCH SPRINGS CHAMBER OF COMMERCE</t>
  </si>
  <si>
    <t>BELLMEAD CHAMBER OF COMMERCE</t>
  </si>
  <si>
    <t>BELTON AREA CHAMBER OF COMMERCE</t>
  </si>
  <si>
    <t>BENBROOK AREA CHAMBER OF COMMERCE</t>
  </si>
  <si>
    <t>BEST SOUTHWEST PARTNERSHIP</t>
  </si>
  <si>
    <t>BIG SPRING AREA CHAMBER OF COMMERCE</t>
  </si>
  <si>
    <t>BRECKENRIDGE CHAMBER OF COMMERCE</t>
  </si>
  <si>
    <t>BURKBURNETT CHAMBER OF COMMERCE</t>
  </si>
  <si>
    <t>COMANCHE CHAMBER OF COMMERCE</t>
  </si>
  <si>
    <t>COMMERCE CHAMBER OF COMMERCE</t>
  </si>
  <si>
    <t>COPPELL CHAMBER OF COMMERCE</t>
  </si>
  <si>
    <t>COPPERAS COVE CHAMBER OF COMMERCE</t>
  </si>
  <si>
    <t>CORSICANA NAVARRO COUNTY CHAMBER</t>
  </si>
  <si>
    <t>DALLAS CITIZENS COUNCIL</t>
  </si>
  <si>
    <t>DECATUR CHAMBER OF COMMERCE</t>
  </si>
  <si>
    <t>DENISON AREA CHAMBER OF COMMERCE</t>
  </si>
  <si>
    <t>DENTON CHAMBER OF COMMERCE</t>
  </si>
  <si>
    <t>DOWNTOWN DALLAS INC</t>
  </si>
  <si>
    <t>DOWNTOWN FORT WORTH INC</t>
  </si>
  <si>
    <t>FAIRFIELD CHAMBER OF COMMERCE</t>
  </si>
  <si>
    <t>FORNEY CHAMBER OF COMMERCE</t>
  </si>
  <si>
    <t>FORT WORTH CHAMBER OF COMMERCE</t>
  </si>
  <si>
    <t>GARLAND CHAMBER OF COMMERCE</t>
  </si>
  <si>
    <t>GRAHAM CHAMBER OF COMMERCE</t>
  </si>
  <si>
    <t>GREATER DALLAS HISPANIC</t>
  </si>
  <si>
    <t>GREATER HEWITT CHAMBER OF COMMERCE</t>
  </si>
  <si>
    <t>GREATER IRVING LAS COLINAS</t>
  </si>
  <si>
    <t>GREATER KELLER CHAMBER OF COMMERCE</t>
  </si>
  <si>
    <t>GREATER KILLEEN CHAMBER OF COMMERCE</t>
  </si>
  <si>
    <t>GREATER WACO CHAMBER OF COMMERCE</t>
  </si>
  <si>
    <t>GREENVILLE CHAMBER OF COMMERCE</t>
  </si>
  <si>
    <t>HARKER HEIGHTS CHAMBER OF COMMERCE</t>
  </si>
  <si>
    <t>HILLSBORO CHAMBER OF COMMERCE</t>
  </si>
  <si>
    <t>HURST EULESS BEDFORD CHAMBER OF COMMERCE</t>
  </si>
  <si>
    <t>IOWA PARK CHAMBER OF COMMERCE</t>
  </si>
  <si>
    <t>JACKSBORO CHAMBER OF COMMERCE</t>
  </si>
  <si>
    <t>KAUFMAN CHAMBER OF COMMERCE</t>
  </si>
  <si>
    <t>LAMAR COUNTY CHAMBER OF COMMERCE</t>
  </si>
  <si>
    <t>LINDALE AREA CHAMBER OF COMMERCE</t>
  </si>
  <si>
    <t>MANSFIELD AREA CHAMBER OF COMMERCE</t>
  </si>
  <si>
    <t>MCKINNEY CHAMBER OF COMMERCE</t>
  </si>
  <si>
    <t>MESQUITE CHAMBER OF COMMERCE</t>
  </si>
  <si>
    <t>METROCREST CHAMBER OF COMMERCE</t>
  </si>
  <si>
    <t>MEXIA AREA CHAMBER OF COMMERCE</t>
  </si>
  <si>
    <t>MIDLOTHIAN CHAMBER OF COMMERCE</t>
  </si>
  <si>
    <t>MURPHY CHAMBER OF COMMERCE</t>
  </si>
  <si>
    <t>NACOGDOCHES ECONOMIC DEVELOPMENT CORP</t>
  </si>
  <si>
    <t>NORTH DALLAS CHAMBER OF COMMERCE</t>
  </si>
  <si>
    <t>NORTH TEXAS LEADERS &amp; EXECUTIVES</t>
  </si>
  <si>
    <t>NORTHEAST LEADERSHIP FORUM</t>
  </si>
  <si>
    <t>NORTHEAST TARRANT CHAMBER OF COMMERCE</t>
  </si>
  <si>
    <t>OAK CLIFF CHAMBER OF COMMERCE</t>
  </si>
  <si>
    <t>ODESSA CHAMBER OF COMMERCE</t>
  </si>
  <si>
    <t>PALESTINE AREA CHAMBER OF COMMERCE</t>
  </si>
  <si>
    <t>PFLUGERVILLE CHAMBER OF COMMERCE</t>
  </si>
  <si>
    <t>PROSPER CHAMBER OF COMMERCE</t>
  </si>
  <si>
    <t>RICHARDSON CHAMBER OF COMMERCE</t>
  </si>
  <si>
    <t>ROTARY CLUB OF PARK CITIES</t>
  </si>
  <si>
    <t>ROUND ROCK CHAMBER OF COMMERCE</t>
  </si>
  <si>
    <t>ROWLETT CHAMBER OF COMMERCE</t>
  </si>
  <si>
    <t>ROYSE CITY CHAMBER OF COMMERCE</t>
  </si>
  <si>
    <t>RUSK CHAMBER OF COMMERCE</t>
  </si>
  <si>
    <t>SACHSE CHAMBER OF COMMERCE</t>
  </si>
  <si>
    <t>SEAGOVILLE CHAMBER OF COMMERCE</t>
  </si>
  <si>
    <t>SHEPPARD MILITARY AFFAIRS COMMITTEE</t>
  </si>
  <si>
    <t>SOUTHLAKE CHAMBER OF COMMERCE</t>
  </si>
  <si>
    <t>STEPHENVILLE CHAMBER OF COMMERCE</t>
  </si>
  <si>
    <t>SUNNYVALE CHAMBER OF COMMERCE</t>
  </si>
  <si>
    <t>TEAGUE CHAMBER OF COMMERCE</t>
  </si>
  <si>
    <t>TERRELL CHAMBER OF COMMERCE</t>
  </si>
  <si>
    <t>TEXAS FOREST COUNTRY PARTNERSHIP</t>
  </si>
  <si>
    <t>THE GREATER ROBINSON CHAMBER OF COMMERCE</t>
  </si>
  <si>
    <t>TROUP CHAMBER OF COMMERCE</t>
  </si>
  <si>
    <t>TYLER AREA CHAMBER OF COMMERCE</t>
  </si>
  <si>
    <t>UCA INTERNATIONAL USERS GROUP</t>
  </si>
  <si>
    <t>WACO BUSINESS LEAGUE</t>
  </si>
  <si>
    <t>WAXAHACHIE CHAMBER OF COMMERCE</t>
  </si>
  <si>
    <t>WEATHERFORD CHAMBER OF COMMERCE</t>
  </si>
  <si>
    <t>WILLS POINT CHAMBER OF COMMERCE</t>
  </si>
  <si>
    <t>WYLIE CHAMBER OF COMMERCE</t>
  </si>
  <si>
    <t>DALLAS BAR ASSOCIATION</t>
  </si>
  <si>
    <t>REP</t>
  </si>
  <si>
    <t>Legal Name</t>
  </si>
  <si>
    <t>Default</t>
  </si>
  <si>
    <t>Date</t>
  </si>
  <si>
    <t>Amount</t>
  </si>
  <si>
    <t>TC</t>
  </si>
  <si>
    <t>Deposit</t>
  </si>
  <si>
    <t>Bad</t>
  </si>
  <si>
    <t>Debt</t>
  </si>
  <si>
    <t>BCBS Indemnity with Rx and BCBS Indemnity with Legacy Rx</t>
  </si>
  <si>
    <t>BCBS Indemnity Medical Only</t>
  </si>
  <si>
    <t>Under all Medical options, employees and retirees may choose which eligible family members to cover:</t>
  </si>
  <si>
    <t>The vision option covers an annual eye exam plus necessary corrective lenses and frames. In addition, other services and materials are available at discounted rates.</t>
  </si>
  <si>
    <t>Accidental Death and Dismemberment (AD&amp;D) through Metlife</t>
  </si>
  <si>
    <t>Long-Term Disability (LTD) through Metlife</t>
  </si>
  <si>
    <t>AD&amp;D</t>
  </si>
  <si>
    <t>LTD</t>
  </si>
  <si>
    <t>All regular employees who have completed 12 months of service and have obtained the required prior approval may finance all or a portion of the purchase price of approved appliances or equipment, up to a maximum aggregate amount of $2,000, through Company-provided 0% financing for a period up to 24 months.</t>
  </si>
  <si>
    <t>Educational Expense Reimbursement Plan</t>
  </si>
  <si>
    <t>Oncor provides financial assistance to Eligible Employees who voluntarily enroll in and successfully complete educational activities that are eligible per the terms of the Program that relate directly to the business of Oncor and the employee’s current or anticipated future position within Oncor. Upon satisfactory completion of approved eligible educational activities per the terms of the Program, Oncor will reimburse 100% of eligible expenses as defined by the Program, up to a maximum reimbursement of $10,000 per calendar year.</t>
  </si>
  <si>
    <t>In the event of an active employee’s death or that of an employee’s spouse, surviving family members can access free financial counseling services. This counseling is provided to employees by AYCO, an independent company. AYCO counselors work on a fee-only basis (which is paid by Oncor) and do not sell commission products. During the session with an AYCO counselor, surviving family members can get comprehensive financial planning advice and help in answering time-sensitive questions, such as what pension, savings and medical plan elections need to be made, or what it may take for surviving family members to maintain their current standard of living.</t>
  </si>
  <si>
    <t>All regular employees and part-time employees regularly scheduled to work at least twenty (20) hours per week are eligible for coverage under the salary continuation program. Eligibility begins on the first day of employment. Salary continuation begins on the date the employee is unable to perform the essential job duties of his or her occupation with or without reasonable accommodations due to illness or injury, and may continue until the earlier of: (i) the date that the employee is released by a physician to perform the essential job duties of his or her occupation with or without reasonable accommodations; or (ii) six (6) months following the date that salary continuation began.</t>
  </si>
  <si>
    <t>The Oncor Severance Plan (the “Severance Plan”) was established to provide certain benefits to employees of the Company, not covered by a collective bargaining agreement, who meet the eligibility criteria and submit a completed, signed, and dated Agreement and Release to the Company’s Human Resources department within the time specified by the Company.</t>
  </si>
  <si>
    <t>Severance Plan for Employees Covered under the Labor Agreement between Oncor and Local Union No. 69 of the IBEW</t>
  </si>
  <si>
    <t>This severance plan covers employees who are represented by Local Union 69 who meet the eligibility criteria and submit a completed, signed and dated Agreement and Release to the Company’s Human Resources department within the time specified by the Company.</t>
  </si>
  <si>
    <t>Survivor’s Benefit</t>
  </si>
  <si>
    <t>Commuter Benefits</t>
  </si>
  <si>
    <t>Oncor offers subsidies for Car Pooling and mass transit expenses for certain locations including DART, the T (Bus/Rail) and DCTA (Bus/Rail). Oncor also provides a pretax parking program in some locations.</t>
  </si>
  <si>
    <t>Service Awards</t>
  </si>
  <si>
    <t>Oncor recognizes employees who have given service to the company. Awards are based on years of service and are awarded in 5 year increments starting with 5 years.</t>
  </si>
  <si>
    <t>Long Term Incentive Plan</t>
  </si>
  <si>
    <t>Financial Planning</t>
  </si>
  <si>
    <t>Split-Dollar Life Insurance Program</t>
  </si>
  <si>
    <t>Provides Company sponsored memberships in area country clubs to facilitate the conducting of business on behalf of Oncor and are provided for specific executive positions as business necessities.</t>
  </si>
  <si>
    <t>Electric Vehicle Incentive Program</t>
  </si>
  <si>
    <t>Wellness</t>
  </si>
  <si>
    <t xml:space="preserve"> Contributions</t>
  </si>
  <si>
    <t>Pension Regulatory Asset Amortization</t>
  </si>
  <si>
    <t>OPEB Regulatory Asset Amortization</t>
  </si>
  <si>
    <t>Participant Contributions</t>
  </si>
  <si>
    <t>Provider Rebates</t>
  </si>
  <si>
    <t>Incurred But Not Reported Claims</t>
  </si>
  <si>
    <t>Open Enrollment/Communication Materials</t>
  </si>
  <si>
    <t>Benefit Plan Audit</t>
  </si>
  <si>
    <t>(B) Traditional Retirement Formula – Benefits for retirement are calculated based on salary and years of service. Payments are made as an annuity to the retiree on a monthly basis. Participants begin payments as early as age 55 with at least 15 years of accredited service. Normal retirement age is 65. Benefits may be paid to a participant's survivor, depending on what retirement benefit is chosen.</t>
  </si>
  <si>
    <t>The Oncor Supplemental Retirement Plan is a non-qualified pension plan. The Oncor Supplemental Retirement Plan was established January 1, 2010 as a combination of two separate spin-off plans from the EFH Second Supplemental Retirement Plan sponsored by Energy Future Holdings Corp. and the Retirement Income Restoration Plan of ENSERCH Corp and participating subsidiaries. The purpose of the plan is to provide benefits for participants in excess of the limitations on contributions and benefits imposed by relevant IRS provisions on qualified defined benefit plans.</t>
  </si>
  <si>
    <t>All regular employees who have completed 12 months of service and have obtained the required approval may finance the purchase and installation of approved energy conservation equipment and/or materials up to a maximum amount of $3,500 through Company-provided 0% financing.</t>
  </si>
  <si>
    <t>Please see Schedule II-B-14 and the supporting documentation and workpapers for this information.</t>
  </si>
  <si>
    <t xml:space="preserve">    expense.  Provide a narrative explanation of all adjustments, including the application of the expense ratios or percentages.  Describe</t>
  </si>
  <si>
    <t xml:space="preserve">    the source(s) of the expense ratios (percentages) and provide the calculations.</t>
  </si>
  <si>
    <t>Thrift Plan</t>
  </si>
  <si>
    <t>401K Match</t>
  </si>
  <si>
    <t>Commuter</t>
  </si>
  <si>
    <t xml:space="preserve">Employee </t>
  </si>
  <si>
    <t xml:space="preserve"> Program</t>
  </si>
  <si>
    <t xml:space="preserve"> Benefits</t>
  </si>
  <si>
    <t>Health</t>
  </si>
  <si>
    <t>Savings Account</t>
  </si>
  <si>
    <t xml:space="preserve"> Deferral Plan</t>
  </si>
  <si>
    <t xml:space="preserve"> Benefit</t>
  </si>
  <si>
    <t>Education</t>
  </si>
  <si>
    <t>Expense</t>
  </si>
  <si>
    <t xml:space="preserve"> Reimbursement</t>
  </si>
  <si>
    <t xml:space="preserve"> Programs</t>
  </si>
  <si>
    <t>Vendor/Source</t>
  </si>
  <si>
    <t>Commuter Benefits Total</t>
  </si>
  <si>
    <t>Post Employment Benefits</t>
  </si>
  <si>
    <t>Health Savings Account Contributions</t>
  </si>
  <si>
    <t>H S A Contributions Total</t>
  </si>
  <si>
    <t>Thrift Plan (401K)</t>
  </si>
  <si>
    <t>Wellness Programs</t>
  </si>
  <si>
    <t>Grand Total</t>
  </si>
  <si>
    <t>Wellness Program Total</t>
  </si>
  <si>
    <t>Lease</t>
  </si>
  <si>
    <t xml:space="preserve">Merit pay increases are normally processed once a year for each pay plan.  Interim period merit pay increases are </t>
  </si>
  <si>
    <t xml:space="preserve">Oncor Electric Delivery employees are covered by and paid severance according to the provisions of the Oncor severance policies.  </t>
  </si>
  <si>
    <t>Post</t>
  </si>
  <si>
    <t>Employment</t>
  </si>
  <si>
    <t>2.  Provide a reconciliation between the OPEB cost reflected in the OPEB actuarial report(s) and the Company’s requested OPEB</t>
  </si>
  <si>
    <t>2.  Provide a reconciliation between the pension cost reflected in the pension actuarial report(s) and the Company’s requested pension</t>
  </si>
  <si>
    <t>1.  Provide the Company’s two most recent pension actuarial reports, including the report(s)
relied on for the Company’s requested pension expense.</t>
  </si>
  <si>
    <t>Oncor Retirement Plan</t>
  </si>
  <si>
    <t>Oncor Supplemental Retirement Plan</t>
  </si>
  <si>
    <t>Total Plans</t>
  </si>
  <si>
    <t>5.  Provide a copy of the executed lease agreement.</t>
  </si>
  <si>
    <t>The Company does not factor or sell its Accounts Receivable balances.</t>
  </si>
  <si>
    <t>Pension Funding Payments</t>
  </si>
  <si>
    <t>Total Pension Funding Payments - Account 253</t>
  </si>
  <si>
    <t>OPEB Funding Payments</t>
  </si>
  <si>
    <t>Total OPEB Funding Payments - Account 253</t>
  </si>
  <si>
    <t>4.  Monthly payment.</t>
  </si>
  <si>
    <t xml:space="preserve">The additional information requested in support of the Rate Filing Package schedule is voluminous and confidential and will be made </t>
  </si>
  <si>
    <t xml:space="preserve">available in electronic format in accordance with RFP General Instruction No. 15, only after execution of a certification to be bound by the </t>
  </si>
  <si>
    <t>draft protective order set forth in Section VII of this Rate Filing Package or a protective order issued in this docket.</t>
  </si>
  <si>
    <t>II-D-2a A&amp;&amp;G EXPENSES - PRIOR THREE YEARS</t>
  </si>
  <si>
    <t>the supporting documentation and workpapers the adjustment is based on.</t>
  </si>
  <si>
    <t>NTU</t>
  </si>
  <si>
    <t>Consol</t>
  </si>
  <si>
    <t>(v)</t>
  </si>
  <si>
    <t>(w)</t>
  </si>
  <si>
    <t>(x)</t>
  </si>
  <si>
    <t>(y)</t>
  </si>
  <si>
    <t>DC</t>
  </si>
  <si>
    <t>TIE</t>
  </si>
  <si>
    <t>NTU TRAN</t>
  </si>
  <si>
    <t>DC TIE</t>
  </si>
  <si>
    <t>Consol TRAN</t>
  </si>
  <si>
    <t>NTU DIST</t>
  </si>
  <si>
    <t>Consol DIST</t>
  </si>
  <si>
    <t>done on quarterly basis.  A reserve related to Damage Claims is currently updated on a monthly basis.</t>
  </si>
  <si>
    <t xml:space="preserve">At this current time adjustments to the reserve allowance for miscellaneous accounts receivable are </t>
  </si>
  <si>
    <t>on a monthly basis based on historical trends on collection of claims.</t>
  </si>
  <si>
    <t>Amort Reg Asset</t>
  </si>
  <si>
    <t>Pension Expense Allocated to Other Accounts</t>
  </si>
  <si>
    <t>OPEB Expense Allocated to Other Accounts</t>
  </si>
  <si>
    <t>Health &amp; Welfare Expense Allocated to Other Accounts</t>
  </si>
  <si>
    <t>Affordable Care Act Compliance &amp; Fees</t>
  </si>
  <si>
    <t>Consumer Medical</t>
  </si>
  <si>
    <t>CHARTWELL INC</t>
  </si>
  <si>
    <t>LUFKIN ROTARY CLUB</t>
  </si>
  <si>
    <t>ROGERS WILDLIFE REHABILITATION CENTER</t>
  </si>
  <si>
    <t>TARRANT REGIONAL TRANSPORTATION COALITON</t>
  </si>
  <si>
    <t>BRIDGEPORT CHAMBER OF COMMERCE</t>
  </si>
  <si>
    <t>CAMERON AREA CHAMBER OF COMMERCE</t>
  </si>
  <si>
    <t>CANTON TEXAS CHAMBER OF COMMERCE</t>
  </si>
  <si>
    <t>EAST PARKER COUNTY CHAMBER OF COMMERCE</t>
  </si>
  <si>
    <t>ENERGYSEC</t>
  </si>
  <si>
    <t>FARMERSVILLE CHAMBER OF COMMERCE</t>
  </si>
  <si>
    <t>GREATER HUBBARD CHAMBER OF COMMERCE</t>
  </si>
  <si>
    <t>GREATER TAYLOR CHAMBER OF COMMERCE</t>
  </si>
  <si>
    <t>HISTORIC RED RIVER COUNTY</t>
  </si>
  <si>
    <t>NORTH TEXAS HOME BUILDERS ASSOCIATION</t>
  </si>
  <si>
    <t>PLANO CHAMBER OF COMMERCE</t>
  </si>
  <si>
    <t>SNYDER CHAMBER OF COMMERCE</t>
  </si>
  <si>
    <t>THE COLONY CHAMBER OF COMMERCE INC</t>
  </si>
  <si>
    <t>WHITEHOUSE CHAMBER OF COMMERCE</t>
  </si>
  <si>
    <t>ELECTRIC RELIABILITY COUNCIL OF TEXAS</t>
  </si>
  <si>
    <t>AMERICAN BENEFITS COUNCIL</t>
  </si>
  <si>
    <t>DALLAS FRIDAY GROUP</t>
  </si>
  <si>
    <t>DEEP EAST TEXAS COUNCIL OF GOVERNMENTS</t>
  </si>
  <si>
    <t>FORT WORTH METROPOLITAN BLACK</t>
  </si>
  <si>
    <t>Oncor OPEB Plan</t>
  </si>
  <si>
    <t>Shared Retiree Welfare Plan</t>
  </si>
  <si>
    <t>Total OPEB</t>
  </si>
  <si>
    <t xml:space="preserve">Medical and Prescription Drug Benefits - </t>
  </si>
  <si>
    <t>Health Reimbursement Account (HRA) administered by BlueCross BlueShield of Texas (BCBS)</t>
  </si>
  <si>
    <t>Health Savings Account (HSA) administered by BCBS</t>
  </si>
  <si>
    <t>VIA Benefits</t>
  </si>
  <si>
    <t>Life Insurance through Metlife - Active Employees</t>
  </si>
  <si>
    <t>Employees have company paid basic coverage of 1 times their annual base pay and may select coverage for themselves up to 7 times their annual base pay ($2 million maximum); new coverage in excess of 4 times pay requires evidence of insurability. Coverage for an employee’s spouse is limited to $250,000 and cannot exceed the amount of the employee’s coverage. Coverage for each eligible child in the amount of $10,000, $15,000 or $20,000 is also available.</t>
  </si>
  <si>
    <r>
      <t>Life Insurance through Metlife - Retiree</t>
    </r>
    <r>
      <rPr>
        <sz val="10"/>
        <rFont val="Arial"/>
        <family val="2"/>
      </rPr>
      <t/>
    </r>
  </si>
  <si>
    <t xml:space="preserve">Employees have company paid basic AD&amp;D at 2 times base pay and may select coverage for themselves from one to seven times base pay. </t>
  </si>
  <si>
    <t>Dependent coverage is also available.</t>
  </si>
  <si>
    <t>Employees enrolled in the HRA medical option can also enroll in a health care flexible spending account.  A dependent care flexible spending account is also available for employees to contribute to.</t>
  </si>
  <si>
    <t>Live Well Incentive Program through Navigate</t>
  </si>
  <si>
    <t>The Live Well Incentive Program is designed to motivate employees to make positive lifestyle choices. The program offers incentives for an annual physical, healthy incentive based on risk factors, live well quarterly surveys and amp it up challenges.  Focus is on physical activity, healthy eating, healthy life-style choices and overall well being.  Incentive amounts vary depending upon completion of items and if employee or spouse submits information.  Employees who successfully complete the activities have the incentives deposited into their HRA/HSA or in some cases added to their paycheck.</t>
  </si>
  <si>
    <t>HRA</t>
  </si>
  <si>
    <t>HSA</t>
  </si>
  <si>
    <t>Retirees Medicare eligible; LTD participants who are eligible for Medicare</t>
  </si>
  <si>
    <t>Basic - Company paid; Optional - Fully Insured, Premiums paid from General Assets (actives)</t>
  </si>
  <si>
    <t>Company paid -  Premiums paid from General Assets (actives)</t>
  </si>
  <si>
    <t>General Assets (actives)
Trust (retirees HRA)</t>
  </si>
  <si>
    <t>The Oncor Retirement Plan is a qualified pension plan. The Oncor Retirement Plan was spun off from the EFH Retirement Plan in September of 2012. Oncor became the sponsor of the Oncor Retirement Plan on January 1, 2013. Employees become participants in the plan automatically upon the first day of the month coincident with, or following, completion of 1 year of service and attainment of age 21. The Oncor Retirement Plan (the “Plan”) has two separate benefit formulas – the cash balance formula and the traditional retirement formula. In November 2001, all active employees participating in the TXU Retirement Plan were given an option to stay in the traditional retirement formula or elect to go to the cash balance formula. This was a one-time irrevocable election.</t>
  </si>
  <si>
    <t>The Oncor Thrift Plan is a defined contribution 401(k) plan. The plan was established on January 1, 2015 as a spin-off from the EFH Thrift Plan and the account balances of current and certain former Oncor employees (including accounts of beneficiaries and alternate payees of such current and former employees) were transferred to the plan effective January 1, 2015. The plan is designed to help employees achieve personal financial goals by offering them the opportunity to save for retirement. Employees can choose the amount of base pay they wish to contribute to the plan, up to 75%. Employee contributions can be made with pretax, after-tax or Roth dollars and are made through payroll deductions.  Oncor matches the first six percent of pay an employee contributes, whether with pretax, after-tax or Roth contributions. The Thrift Plan match percentage is determined by the employee's Retirement Plan formula under the Oncor Retirement Plan - employees in the traditional retirement formula receive a 75% match and those in the cash balance retirement formula receive a 100% match.</t>
  </si>
  <si>
    <t>MDx Medical (Sapphire)</t>
  </si>
  <si>
    <t>Available to BCBS members to provide incentives to various Blue Member Reward programs.</t>
  </si>
  <si>
    <t>Employee Assistance Program through Magellan</t>
  </si>
  <si>
    <t>The purpose of the Long-Term Incentive Plan is to provide the Company’s executive officers and other select key employees with the opportunity to earn cash-based long-term incentive compensation contingent upon the Company’s or Participant’s attainment of pre-established performance objectives and the Participant’s completion of designated service periods.</t>
  </si>
  <si>
    <t>The purpose of the Salary Deferral Plan is to assist the company in attracting, retaining and motivating executive officers and other key employees, all of whom are essential to the success of Oncor. The employee can defer up to 50% of his base salary; the company matches 100% up to 8%. In addition, employees may defer up to 85% of their Annual Incentive Payment. Certain grade levels and salary levels are necessary to qualify for the Salary Deferral Plan.</t>
  </si>
  <si>
    <t>Oncor recognizes the importance of the health of its senior management team and the vital leadership role they play in directing and operating the Company.  The Executive Physical is offered at no charge.</t>
  </si>
  <si>
    <t>The purpose of the PEP Plan is to create a common understanding of company business strategy and objectives, ensure employee awareness and alignment around critical success factors, align pay with performance at the company and individual levels, and to support a culture built on Oncor Core Values. The amount of PEP an individual receives is determined based on the company scorecard performance and the individual’s contributions.</t>
  </si>
  <si>
    <t>The purpose of the EAIP is to assist Oncor in attracting, retaining and motivating executive officers, all of whom are essential to the success of the company. The amount of EAIP awarded is determined by the company scorecard performance and the executive’s contributions to the overall company performance.</t>
  </si>
  <si>
    <t>The purpose of the Electric Vehicle Incentive Program is to encourage Electric Vehicle (EV) ownership or lease as a viable transportation option and, for a limited time, to provide all regular employees who have completed twelve (12) months of service with additional incentives to become EV early adopters.</t>
  </si>
  <si>
    <t>Schedule II-D-2, Col (g), Ln 9</t>
  </si>
  <si>
    <t>Annual incentive pay is processed once a year with payment on or before March 15th.  Spot bonuses are processed in the</t>
  </si>
  <si>
    <t>next applicable payroll after they have been approved.</t>
  </si>
  <si>
    <t>Vehicle Leases</t>
  </si>
  <si>
    <t>TEXAS ASSOCIATION OF BUSINESS</t>
  </si>
  <si>
    <t>UTILITY PENSION FUND STUDY GROUP</t>
  </si>
  <si>
    <t>ALLIANCE FOR TRANSPORTATION</t>
  </si>
  <si>
    <t>BETTER BUSINESS BUREAU OF</t>
  </si>
  <si>
    <t>BRADY MCCULLOCH COUNTY</t>
  </si>
  <si>
    <t>BROWNWOOD AREA CHAMBER OF COMMERCE</t>
  </si>
  <si>
    <t>CEDAR HILL CHAMBER OF COMMERCE</t>
  </si>
  <si>
    <t>CLEBURNE CHAMBER OF COMMERCE</t>
  </si>
  <si>
    <t>DESOTO CHAMBER OF COMMERCE</t>
  </si>
  <si>
    <t>EARLY CHAMBER OF COMMERCE</t>
  </si>
  <si>
    <t>ELGIN CHAMBER OF COMMERCE</t>
  </si>
  <si>
    <t>FLOWER MOUND CHAMBER OF COMMERCE</t>
  </si>
  <si>
    <t>FRISCO CHAMBER OF COMMERCE</t>
  </si>
  <si>
    <t>GRAND PRAIRIE CHAMBER OF COMMERCE</t>
  </si>
  <si>
    <t>GREATER EAST DALLAS CHAMBER OF COMMERCE</t>
  </si>
  <si>
    <t>HOPKINS COUNTY CHAMBER OF COMMERCE</t>
  </si>
  <si>
    <t>HUTTO AREA CHAMBER OF COMMERCE</t>
  </si>
  <si>
    <t>MCGREGOR CHAMBER OF COMMERCE</t>
  </si>
  <si>
    <t>METROPORT CHAMBER OF COMMERCE</t>
  </si>
  <si>
    <t>POTTSBORO AREA CHAMBER OF COMMERCE INC</t>
  </si>
  <si>
    <t>RED OAK AREA CHAMBER OF COMMERCE</t>
  </si>
  <si>
    <t>ROTARY CLUB OF HURST EULESS BEDFORD</t>
  </si>
  <si>
    <t>SHERMAN CHAMBER OF COMMERCE</t>
  </si>
  <si>
    <t>SPRINGTOWN AREA CHAMBER OF COMMERCE</t>
  </si>
  <si>
    <t>TEMPLE CHAMBER OF COMMERCE</t>
  </si>
  <si>
    <t>THE CHAMBER SWEETWATER &amp; NOLAN COUNTY</t>
  </si>
  <si>
    <t>WARD COUNTY LIVESTOCK SHOW</t>
  </si>
  <si>
    <t>TEXAS A&amp;M FOUNDATION</t>
  </si>
  <si>
    <t>AMER ASSOC NOTARIES</t>
  </si>
  <si>
    <t>LEADERSHIP SOUTHWEST</t>
  </si>
  <si>
    <t>SHRM CERTIFICATION</t>
  </si>
  <si>
    <t>SMU COX</t>
  </si>
  <si>
    <t>NATIONAL SOCIETY OF PROFESSIONAL ENGINEERS</t>
  </si>
  <si>
    <t>NATIONAL ASSOCIATION OF CORPORATE DIRECTORS</t>
  </si>
  <si>
    <t>Pogo Energy LLC</t>
  </si>
  <si>
    <t>K&amp;M Adjustment</t>
  </si>
  <si>
    <t>A/R Amount Due (net of credits and unposted payments) 12-31-2021</t>
  </si>
  <si>
    <t>Default Amount</t>
  </si>
  <si>
    <t xml:space="preserve">    Total</t>
  </si>
  <si>
    <t>DALLAS REGIONAL CHAMBER OF COMMERCE</t>
  </si>
  <si>
    <t>Amarillo Back-up Control Center (Sharyland Acq)</t>
  </si>
  <si>
    <t>Austin Office</t>
  </si>
  <si>
    <t>Corsicana Transmission Service Center</t>
  </si>
  <si>
    <t>Dallas ERC Sublease</t>
  </si>
  <si>
    <t xml:space="preserve">Forney Transmission Service Center </t>
  </si>
  <si>
    <t>Fort Worth 777 Main Corporate Office</t>
  </si>
  <si>
    <t>Fort Worth Measurement Service Office</t>
  </si>
  <si>
    <t>Ft Worth (North) Distribution Service Center</t>
  </si>
  <si>
    <t>Ft Worth ESB Corporate Office</t>
  </si>
  <si>
    <t>Lake Dallas Distribution Service Center</t>
  </si>
  <si>
    <t>Midland Office 702 S. Main</t>
  </si>
  <si>
    <t>Midland Service Center Annex</t>
  </si>
  <si>
    <t>Odessa Distribution Service Center</t>
  </si>
  <si>
    <t>Palestine Transmission Service Center</t>
  </si>
  <si>
    <t>Round Rock Distribution Service Center</t>
  </si>
  <si>
    <t>Stephenville Distribution Service Center</t>
  </si>
  <si>
    <t>Sulphur Springs Transmission Service Center</t>
  </si>
  <si>
    <t>Texoma Transmission Service Center</t>
  </si>
  <si>
    <t>Waco Parking Lot Call Center</t>
  </si>
  <si>
    <t>Waxahachie Distribution Service Center</t>
  </si>
  <si>
    <t>Total Vehicle Leases</t>
  </si>
  <si>
    <t>Total Building Leases</t>
  </si>
  <si>
    <t>Sulphur Springs Measurement Services Office</t>
  </si>
  <si>
    <t>Grapevine Bus Office</t>
  </si>
  <si>
    <t>only. Time is submitted via electronic time and attendance systems directly by employees which then routes for manager approval.</t>
  </si>
  <si>
    <t>1.  Provide the Company’s two most recent OPEB actuarial reports, 
     including the report(s) relied on for the Company’s requested OPEB expense.</t>
  </si>
  <si>
    <t>BCBS Indemnity &amp; Legacy Rx</t>
  </si>
  <si>
    <t>BCBS Indemnity Only</t>
  </si>
  <si>
    <t>(A) Cash Balance Formula – Eligible employees hired after January 1, 2001 are automatically enrolled in the plan under the cash balance formula. Benefits are calculated based on age and service. Interest credits are applied based on the 30 year treasury rate. Participants become fully vested upon reaching three years of vesting service. Benefits are available either as a single lump sum payment or as a monthly annuity. Unlike a traditional pension plan, earned benefits are portable, meaning that after 3 years of participation in the plan, participants can receive the value of their cash balance account before retirement age upon separation from the Company.</t>
  </si>
  <si>
    <t xml:space="preserve">Company pays full cost of LTD for eligible employees.  The coverage can replace up to 66 2/3% of base up to a maximum of $25,000 a month.  </t>
  </si>
  <si>
    <t>Executive Physical Program</t>
  </si>
  <si>
    <t>Tobacco Cessation Programs</t>
  </si>
  <si>
    <t>TOTAL PAYROLL EXPENSE (Line 88+105)</t>
  </si>
  <si>
    <t>January 2024</t>
  </si>
  <si>
    <t>February 2024</t>
  </si>
  <si>
    <t>March 2024</t>
  </si>
  <si>
    <t>April 2024</t>
  </si>
  <si>
    <t>May 2024</t>
  </si>
  <si>
    <t>June 2024</t>
  </si>
  <si>
    <t>July 2024</t>
  </si>
  <si>
    <t>August 2024</t>
  </si>
  <si>
    <t>September 2024</t>
  </si>
  <si>
    <t>October 2024</t>
  </si>
  <si>
    <t>November 2024</t>
  </si>
  <si>
    <t>December 2024</t>
  </si>
  <si>
    <t>TME 2023</t>
  </si>
  <si>
    <t>TME 2022</t>
  </si>
  <si>
    <t>TME 2021</t>
  </si>
  <si>
    <t>Count @ Dec 2022</t>
  </si>
  <si>
    <t>Count @ Dec 2023</t>
  </si>
  <si>
    <t>Count @ Dec 2021</t>
  </si>
  <si>
    <t xml:space="preserve">Oncor Electric Delivery employees, both exempt and non-exempt, are paid on a bi-weekly basis.  </t>
  </si>
  <si>
    <t>Bargaining unit employees are also paid on a bi-weekly basis.</t>
  </si>
  <si>
    <t>This is coverage for Oncor retirees and LTD participants who are eligible for Medicare. The option provides coverage for certain eligible expenses that are not covered or fully paid by Medicare, including prescription drugs. If the retiree reached age 65 and retired before January 1, 2006, the prescription coverage is under the “Legacy Rx” feature of the plan. There is no deductible and coinsurance applies up to certain limits. If a retiree turned age 65 on or after January 1, 2006, the prescription drug coverage is provided under the “with Rx” feature of the plan, and deductible and coinsurance applies.  Pharmacy benefits are provided by Silverscripts (CVS/Caremark).</t>
  </si>
  <si>
    <t>Dental through Aetna</t>
  </si>
  <si>
    <t>Flexible Spending Accounts (FSA) through Optum</t>
  </si>
  <si>
    <t>Voluntary Benefits through Aetna</t>
  </si>
  <si>
    <t xml:space="preserve">There are 3 voluntary benefits offered through Aetna.  They are accident, critical illness and hospital indemnity.   These options pay benefits for treatment of accidental injury, when a physician diagnoses the covered member with a serious illness or condition, and when you have a hospital stay.  </t>
  </si>
  <si>
    <t>ID Theft through Norton Lifelock</t>
  </si>
  <si>
    <t xml:space="preserve">This voluntary benefit provides proactive monitoring to help stop fraud and enable quick restoration.  Norton monitors for fraudulent use of personal information and </t>
  </si>
  <si>
    <t>Whole Life with Long Term Care through All State</t>
  </si>
  <si>
    <t>This voluntary option provides a whole life insurance with long term care benefit.  There is an employee and spouse option for employees to elect.</t>
  </si>
  <si>
    <t>sends alerts when a potential threat is detected.</t>
  </si>
  <si>
    <t>Trust (retirees)
General Assets (LTD participants and retirees that were former officers)</t>
  </si>
  <si>
    <t>Full time employees, part time employees
scheduled to work 20 or more hours per week</t>
  </si>
  <si>
    <t>Optum</t>
  </si>
  <si>
    <t>Live Well Incentive
Program (Navigate, Cover-tek)</t>
  </si>
  <si>
    <t xml:space="preserve">Voluntary Benefits </t>
  </si>
  <si>
    <t>ID Theft</t>
  </si>
  <si>
    <t>Whole Life with long term care</t>
  </si>
  <si>
    <t>Fully Insured, Premiums paid directly to vendor through payroll deductions (actives)</t>
  </si>
  <si>
    <t>Test Year 2024</t>
  </si>
  <si>
    <t>Year 2023</t>
  </si>
  <si>
    <t>Year 2022</t>
  </si>
  <si>
    <t>Year 2021</t>
  </si>
  <si>
    <t>Declaration Energy LLC</t>
  </si>
  <si>
    <t>OnPoint Energy LLC</t>
  </si>
  <si>
    <t>Texpo Power</t>
  </si>
  <si>
    <t>Nuclear Decommission Charge (pass through)</t>
  </si>
  <si>
    <t>Settlement of
Letters of Credit 1</t>
  </si>
  <si>
    <r>
      <t xml:space="preserve">This is a PPO health plan that includes prescription drugs with a separate deductible and out of pocket maximum.   Participants also have access to the BCBS Health Advocates, disease management programs and telehealth services through MDLive.  Each year, the participating employee’s HRA is credited by Oncor to help employees who choose this option pay for eligible health care expenses. Participants can earn additional contributions by participating in certain wellness activities. Unused HRA balances can roll over to the following year but unused amounts are forfeited if employment is terminated except in the case of retirement.  There is a similar HRA option through BCBS available to pre-65 </t>
    </r>
    <r>
      <rPr>
        <sz val="10"/>
        <rFont val="Arial"/>
        <family val="2"/>
      </rPr>
      <t>Oncor retirees.  Pharmacy benefits are provided by CVS/Caremark.</t>
    </r>
  </si>
  <si>
    <t>There are two high deductible health plan options that includes prescription drugs. Participants also have access to the BCBS Health Advocates, disease management programs and telehealth services through MDLive.  To help employees pay their share of eligible health care expenses, Oncor contributes pretax money to an HSA. Participants can earn additional contributions by participating in certain wellness activities. Participating employees can also make pretax contributions to an HSA. Unused HSA balances remain in the account from year to year. Employees own their HSA balance and can take it with them when they leave Oncor. In addition to putting pretax money in the HSA to help pay for health care expenses this year, employees can also use the HSA to save for retirement healthcare expenses.  There are similar HSA options through BCBS available for pre-65 Oncor retirees.  Pharmacy benefits are provided by CVS/Caremark.</t>
  </si>
  <si>
    <r>
      <t xml:space="preserve">This is coverage for </t>
    </r>
    <r>
      <rPr>
        <sz val="10"/>
        <rFont val="Arial"/>
        <family val="2"/>
      </rPr>
      <t>Oncor retirees and LTD participants who are eligible for Medicare. The option provides coverage for eligible expenses that are not covered or fully paid for by Medicare. Coverage is identical to the BCBS Indemnity option described above, except it does not cover prescription drugs.</t>
    </r>
  </si>
  <si>
    <r>
      <t>This is a private Medicare exchange available to Medic</t>
    </r>
    <r>
      <rPr>
        <sz val="10"/>
        <rFont val="Arial"/>
        <family val="2"/>
      </rPr>
      <t>are eligible Oncor</t>
    </r>
    <r>
      <rPr>
        <sz val="10"/>
        <color theme="1"/>
        <rFont val="Arial"/>
        <family val="2"/>
      </rPr>
      <t xml:space="preserve"> retirees. It allows retirees to choose a health care plan from the universe of fully insured Medicare supplement and Medicare Advantage plans. Retirees eligible for a company retiree medical subsidy will have </t>
    </r>
    <r>
      <rPr>
        <sz val="10"/>
        <rFont val="Arial"/>
        <family val="2"/>
      </rPr>
      <t>an amount contributed to a Health Reimbursement Account to help them pay for their selected coverage and other health care expenses. Coverage purchased throu</t>
    </r>
    <r>
      <rPr>
        <sz val="10"/>
        <color theme="1"/>
        <rFont val="Arial"/>
        <family val="2"/>
      </rPr>
      <t>gh VIA Benefits is provided through the individual carrier of the policy purchased, and is not part of the Oncor Retiree Welfare Plan.</t>
    </r>
  </si>
  <si>
    <r>
      <t>If the covered spouse of an Oncor employee has access to medical coverage through another employer, the employee’s payroll deductions for medical coverage will be increased by $</t>
    </r>
    <r>
      <rPr>
        <sz val="10"/>
        <rFont val="Arial"/>
        <family val="2"/>
      </rPr>
      <t>100 per month surcharge.</t>
    </r>
  </si>
  <si>
    <r>
      <t>If the covered employee and/or spouse use tobacco</t>
    </r>
    <r>
      <rPr>
        <sz val="10"/>
        <rFont val="Arial"/>
        <family val="2"/>
      </rPr>
      <t xml:space="preserve">/nicotine, there is a tobacco surcharge of $600 per year per person.  </t>
    </r>
  </si>
  <si>
    <r>
      <t>If an eligible employee waives medical coverage, they receive $</t>
    </r>
    <r>
      <rPr>
        <sz val="10"/>
        <rFont val="Arial"/>
        <family val="2"/>
      </rPr>
      <t>50 a month in an opt out credit</t>
    </r>
  </si>
  <si>
    <r>
      <t>If an eligible employee waives dental coverage, they receive $</t>
    </r>
    <r>
      <rPr>
        <sz val="10"/>
        <rFont val="Arial"/>
        <family val="2"/>
      </rPr>
      <t>5 a month in an opt out credit</t>
    </r>
  </si>
  <si>
    <r>
      <t xml:space="preserve">Employees and </t>
    </r>
    <r>
      <rPr>
        <sz val="10"/>
        <rFont val="Arial"/>
        <family val="2"/>
      </rPr>
      <t>Oncor retirees have a choice of two dental coverage options administered by Aetna. Both options cover, at different benefit levels, most dental services, including preventive, basic and major care.</t>
    </r>
  </si>
  <si>
    <r>
      <rPr>
        <sz val="10"/>
        <rFont val="Arial"/>
        <family val="2"/>
      </rPr>
      <t>Oncor retirees are eligible for one of three different life insurance plans at retirement: Program A (closed group as of June 1, 1988), Program B (for LTD participants who retired prior to January 1, 2002 and did not continue coverage under Program A), and Retiree Life Option. Program A offers up to $20,000 of coverage paid by the company, and two options for supplemental coverage including spouse and child coverage. Program B offers the retiree 1 times pay at the time of retirement. The company pays for the first $10,000 of coverage and any remainder is paid by the retiree. The Retiree Life Option allows the retiree to elect coverage up to the amount of Employee Life Option on the date of retirement, in multiples of 1 to 7 times pay. The company pays for $10,000 of coverage, and the remainder is paid by the retiree. Spouse life coverage is available up to the amount of spouse life coverage that was in effect on the date of retirement and cannot exceed the retiree coverage.</t>
    </r>
  </si>
  <si>
    <r>
      <t xml:space="preserve">Full time employees, part time employees
</t>
    </r>
    <r>
      <rPr>
        <sz val="10"/>
        <rFont val="Arial"/>
        <family val="2"/>
      </rPr>
      <t>scheduled to work 20 or more hours per week; Oncor retirees/LTD that are Non-Medicare eligible</t>
    </r>
  </si>
  <si>
    <r>
      <t>General Assets (actives,</t>
    </r>
    <r>
      <rPr>
        <sz val="10"/>
        <rFont val="Arial"/>
        <family val="2"/>
      </rPr>
      <t xml:space="preserve"> LTD participants and retirees that were former officers/keys)
Trust (retirees)</t>
    </r>
  </si>
  <si>
    <r>
      <t xml:space="preserve">Trust (retirees)
General Assets (LTD participants </t>
    </r>
    <r>
      <rPr>
        <sz val="10"/>
        <rFont val="Arial"/>
        <family val="2"/>
      </rPr>
      <t>and retirees that were former officers/keys)</t>
    </r>
  </si>
  <si>
    <r>
      <rPr>
        <sz val="10"/>
        <rFont val="Arial"/>
        <family val="2"/>
      </rPr>
      <t>Oncor retirees Medicare eligible; LTD participants who are eligible for Medicare</t>
    </r>
  </si>
  <si>
    <r>
      <t xml:space="preserve">Full time employees, part time employees
</t>
    </r>
    <r>
      <rPr>
        <sz val="10"/>
        <rFont val="Arial"/>
        <family val="2"/>
      </rPr>
      <t>scheduled to work 20 or more hours per week; Oncor retirees/LTD</t>
    </r>
  </si>
  <si>
    <t xml:space="preserve">Fully Insured, Premiums paid from General Assets </t>
  </si>
  <si>
    <r>
      <t>Basic - Company paid; Optional - Fully Insured, Premiums paid from General Assets (actives,</t>
    </r>
    <r>
      <rPr>
        <sz val="10"/>
        <rFont val="Arial"/>
        <family val="2"/>
      </rPr>
      <t xml:space="preserve"> LTD participants, and retirees that were former officers/keys) and Trust (retirees)</t>
    </r>
  </si>
  <si>
    <r>
      <t xml:space="preserve">Full time employees, part time employees
</t>
    </r>
    <r>
      <rPr>
        <sz val="10"/>
        <rFont val="Arial"/>
        <family val="2"/>
      </rPr>
      <t>scheduled to work 20 or more hours per week</t>
    </r>
  </si>
  <si>
    <r>
      <t xml:space="preserve">Consumer Medical is available to BCBS members and provides access to expert medical opinion assistance.  They help members understand their medical condition and treatment options, recommend doctors and hospitals, and assist with obtaining second opinions.  </t>
    </r>
    <r>
      <rPr>
        <sz val="10"/>
        <rFont val="Arial"/>
        <family val="2"/>
      </rPr>
      <t>This benefit transitioned to a new vendor (Lantern) in 2025.  Lantern provides similar benefits in addition to other surgical support services.</t>
    </r>
  </si>
  <si>
    <r>
      <t xml:space="preserve">Offered through BCBS </t>
    </r>
    <r>
      <rPr>
        <sz val="10"/>
        <rFont val="Arial"/>
        <family val="2"/>
      </rPr>
      <t xml:space="preserve">and Navigate.  The programs are offered at no cost to active employees and their spouses. </t>
    </r>
  </si>
  <si>
    <r>
      <t xml:space="preserve">The EAP (Employee Assistance Program) is a confidential counseling and referral service administered by Magellan that can assist employees and their families to successfully deal with life's challenges. EAP services are available at no cost, as Oncor has prepaid these services. Employees have up to 8 counseling sessions available to them. The EAP can help with things like stress, anxiety, depression, relationship problems, job or work stress, parenting, alcohol and drugs, legal issues, and financial concerns and dependent care issues.  </t>
    </r>
    <r>
      <rPr>
        <sz val="10"/>
        <rFont val="Arial"/>
        <family val="2"/>
      </rPr>
      <t xml:space="preserve"> Emergency backup care is also available through Magellan.</t>
    </r>
  </si>
  <si>
    <r>
      <t xml:space="preserve">In the event of the death of a regular employee, the Company will pay a Survivor's Benefit that is equal to one month of the employee's base salary. The Survivor's Benefit, payable to the group life </t>
    </r>
    <r>
      <rPr>
        <sz val="10"/>
        <rFont val="Arial"/>
        <family val="2"/>
      </rPr>
      <t>basic insurance beneficiary, is made in addition to other benefits such as life insurance and retirement plan death benefits.</t>
    </r>
  </si>
  <si>
    <r>
      <t xml:space="preserve">The purpose of the financial planning benefit is to assist the company in attracting, retaining and motivating executive officers who are essential to the success of Oncor.   This service is provided by AYCO and provides executives a long-term financial strategy on such things as benefits/compensation planning, risk management, income tax planning/preparation, investment planning, estate planning and long-term cash flow/retirement planning.  </t>
    </r>
    <r>
      <rPr>
        <sz val="10"/>
        <rFont val="Arial"/>
        <family val="2"/>
      </rPr>
      <t xml:space="preserve">Financial planning is also offered to certain leadership levels through Fidelity's Executive Services program. </t>
    </r>
  </si>
  <si>
    <r>
      <t xml:space="preserve">Provides eligible executives with life insurance in recognition of the contributions of such executives to the company and for the purpose of continuing to maintain a competitive level of benefits. The plan was closed to eligible executives in 2003 </t>
    </r>
    <r>
      <rPr>
        <sz val="10"/>
        <rFont val="Arial"/>
        <family val="2"/>
      </rPr>
      <t>and sunset in 2024.</t>
    </r>
  </si>
  <si>
    <t>Adoption</t>
  </si>
  <si>
    <t>Program</t>
  </si>
  <si>
    <t>€</t>
  </si>
  <si>
    <t>Adoption Assistance Program</t>
  </si>
  <si>
    <t>Thrift Plan (401K) Total</t>
  </si>
  <si>
    <t>Educational Expense Reimbursement</t>
  </si>
  <si>
    <t>H S A Contributions</t>
  </si>
  <si>
    <t>Medical Claims</t>
  </si>
  <si>
    <t>Non-Medical Premiums</t>
  </si>
  <si>
    <t>Difference before NORECOVR</t>
  </si>
  <si>
    <t xml:space="preserve">Vistra Qualified Plan </t>
  </si>
  <si>
    <t>* Docket No. 53601 (2022 rate case).</t>
  </si>
  <si>
    <t>* Docket No. 46957 (2017 rate case) through 4-30-2023; Docket No. 53601 (2022 rate case) beginning 5-1-2023</t>
  </si>
  <si>
    <t>* Docket No. 53601 (2022 rate case)</t>
  </si>
  <si>
    <t>From Docket No. 46957 (2017 rate case) Order page 11, Finding of Fact No. 52</t>
  </si>
  <si>
    <t>Cost of Service Accruals</t>
  </si>
  <si>
    <t>Oncor shall comply with the following annual accruals:</t>
  </si>
  <si>
    <t>a. Self-Insurance Reserve — $75,000,000;</t>
  </si>
  <si>
    <t>b. Pensions — $42,446,295; and</t>
  </si>
  <si>
    <t>c. OPEBs — $29,852,986.</t>
  </si>
  <si>
    <t>Until November 27, 2017, Oncor will continue the annual accruals for the self-insurance reserve, pensions, and OPEBs at the levels approved in Docket No. 38929.</t>
  </si>
  <si>
    <t>Docket No. 46957 rates were effective November 27, 2017 through April 30, 2023.  Docket No. 53601 (2022 rate case) rates were effective May 1, 2023.</t>
  </si>
  <si>
    <t>Oncor Qualified Plan</t>
  </si>
  <si>
    <t>Oncor Nonqualified Plan</t>
  </si>
  <si>
    <t>Pension Expense*</t>
  </si>
  <si>
    <t>Benefit Expense - Account 926*</t>
  </si>
  <si>
    <t>* Docket No. 46957 (2017 rate case)</t>
  </si>
  <si>
    <t xml:space="preserve">Total OPEB </t>
  </si>
  <si>
    <t>OPEB Expense*</t>
  </si>
  <si>
    <t>Deferred OPEB Regulatory Asset/Liability - Account 182, 254</t>
  </si>
  <si>
    <t>*</t>
  </si>
  <si>
    <t>E SOURCE COMPANIES LLC</t>
  </si>
  <si>
    <t>PROJECT MGMT INSTITUTE</t>
  </si>
  <si>
    <t>SILVER LAKES RANCH POA</t>
  </si>
  <si>
    <t>CORSICANA ROTARY CLUB</t>
  </si>
  <si>
    <t>TOASTMASTERS OTHER</t>
  </si>
  <si>
    <t>A TRADE LAST FOR YOU LLC</t>
  </si>
  <si>
    <t>INFORMA CONNECT</t>
  </si>
  <si>
    <t>INSPIRE LEADERSHIP NETWORK</t>
  </si>
  <si>
    <t>JOHN BUNKER SANDS WESTLANDS CENTER</t>
  </si>
  <si>
    <t>LAKE WORTH EDUCATION FOUNDATION</t>
  </si>
  <si>
    <t>NORTH AMERICAN ENERGY STANDARDS BOARD</t>
  </si>
  <si>
    <t>PUBLIC RELATIONS SOCIETY OF AMERICA INC</t>
  </si>
  <si>
    <t>REGULATORY COMPLIANCE SERVICES</t>
  </si>
  <si>
    <t>SANS INSTITUTE</t>
  </si>
  <si>
    <t>STATE BAR OF TEXAS</t>
  </si>
  <si>
    <t>ENERGY &amp; WILDLIFE ACTION COALITION</t>
  </si>
  <si>
    <t>INVESTMENT RECOVERY ASSOCIATION</t>
  </si>
  <si>
    <t>BONHAM AREA CHAMBER OF COMMERCE</t>
  </si>
  <si>
    <t>CANYON CREEK COUNTRY CLUB</t>
  </si>
  <si>
    <t>CITY OF COPPELL</t>
  </si>
  <si>
    <t>GREATER CRANDALL CHAMBER OF COMMERCE</t>
  </si>
  <si>
    <t>NORTH TEXAS COMMISSION</t>
  </si>
  <si>
    <t>ROTARY CLUB OF TERRELL TEXAS</t>
  </si>
  <si>
    <t>UT TYLER COWAN CENTER</t>
  </si>
  <si>
    <t>ALPHA KAPPA ALPHA SORORITY INC</t>
  </si>
  <si>
    <t>ANDREWS CHAMBER OF COMMERCE</t>
  </si>
  <si>
    <t>ARTS COUNCIL OF FORT WORTH</t>
  </si>
  <si>
    <t>ARTS COUNCIL WICHITA FALLS AREA INC</t>
  </si>
  <si>
    <t>ASSOCIATION OF THE UNITED STATES ARMY</t>
  </si>
  <si>
    <t>ATHENS CHAMBER OF COMMERCE</t>
  </si>
  <si>
    <t>BIG SPRING CHAMBER OF COMMERCE</t>
  </si>
  <si>
    <t>BLACK CHAMBER OF COMMERCE OF THE PERMIAN</t>
  </si>
  <si>
    <t>BOYS &amp; GIRLS CLUBS OF GREATER TARRANT</t>
  </si>
  <si>
    <t>BOYS &amp; GIRLS CLUBS OF THE PERMIAN BASIN</t>
  </si>
  <si>
    <t>BULLARD ROTARY CLUB</t>
  </si>
  <si>
    <t>BURLESON AREA CHAMBER OF COMMERCE</t>
  </si>
  <si>
    <t>CAMERON LIONS FOUNDATION</t>
  </si>
  <si>
    <t>CANTON MAIN STREET</t>
  </si>
  <si>
    <t>CARROLLTON FARMERS BRANCH ISD</t>
  </si>
  <si>
    <t>CEDAR CREEK LAKE AREA</t>
  </si>
  <si>
    <t>CHAMBER OF COMMERCE</t>
  </si>
  <si>
    <t>CHANDLER CHAMBER OF COMMERCE</t>
  </si>
  <si>
    <t>CHEROKEE COUNTY LIVESTOCK SHOW</t>
  </si>
  <si>
    <t>CITY OF BULLARD</t>
  </si>
  <si>
    <t>CITY OF CHANDLER</t>
  </si>
  <si>
    <t>CITY OF DECATUR</t>
  </si>
  <si>
    <t>CITY OF FARMERSVILLE</t>
  </si>
  <si>
    <t>CITY OF FATE</t>
  </si>
  <si>
    <t>CITY OF GLENN HEIGHTS</t>
  </si>
  <si>
    <t>CITY OF JACKSONVILLE</t>
  </si>
  <si>
    <t>CITY OF JOSEPHINE</t>
  </si>
  <si>
    <t>CITY OF LANCASTER</t>
  </si>
  <si>
    <t>CITY OF NEVADA</t>
  </si>
  <si>
    <t>CITY OF OVILLA</t>
  </si>
  <si>
    <t>CITY OF PRINCETON</t>
  </si>
  <si>
    <t>CITY OF SACHSE</t>
  </si>
  <si>
    <t>CITY OF STEPHENVILLE</t>
  </si>
  <si>
    <t>CITY OF WYLIE</t>
  </si>
  <si>
    <t>CLARKSVILLE ALUMNI COMMUNITY OUTREACH</t>
  </si>
  <si>
    <t>COLLEYVILLE CHAMBER OF COMMERCE</t>
  </si>
  <si>
    <t>COMANCHE ORGANIZATION OF BUSINESSES</t>
  </si>
  <si>
    <t>CONSULTANT CONNECT</t>
  </si>
  <si>
    <t>CRANE JUNIOR LIVESTOCK ASSOCIATION</t>
  </si>
  <si>
    <t>CUIDADO CASERO FOUNDATION</t>
  </si>
  <si>
    <t>DALLAS FORT WORTH HOSPITAL COUNCIL</t>
  </si>
  <si>
    <t>DOWNTOWN ROTARY CLUB OF PALESTINE</t>
  </si>
  <si>
    <t>DOWNTOWN WICHITA FALLS DEVELOPMENT INC</t>
  </si>
  <si>
    <t>DUCKS UNLIMITED</t>
  </si>
  <si>
    <t>EAST FORT WORTH INC</t>
  </si>
  <si>
    <t>FORT WORTH CHAMBER</t>
  </si>
  <si>
    <t>FORT WORTH SISTER CITIES INTERNATIONAL</t>
  </si>
  <si>
    <t>GEORGETOWN CHAMBER OF COMMERCE</t>
  </si>
  <si>
    <t>GIRLS INC OF TARRANT COUNTY</t>
  </si>
  <si>
    <t>HENDERSON COUNTY LIVESTOCK SHOW</t>
  </si>
  <si>
    <t>HILLSBORO ISD EDUCATION FOUNDATION</t>
  </si>
  <si>
    <t>HURST CITIZENS FIRE ACADEMY</t>
  </si>
  <si>
    <t>INTERNATIONAL WOMENS FORUM DALLAS</t>
  </si>
  <si>
    <t>IRVING HISPANIC CHAMBER OF COMMERCE</t>
  </si>
  <si>
    <t>JACKSONVILLE CHAMBER OF COMMERCE</t>
  </si>
  <si>
    <t>JACKSONVILLE LIONS CLUB</t>
  </si>
  <si>
    <t>KIWANIS CLUB OF ROCKWALL COUNTY</t>
  </si>
  <si>
    <t>LAMESA AREA CHAMBER OF COMMERCE</t>
  </si>
  <si>
    <t>LUFKIN ANGELINA COUNTY CHAMBER</t>
  </si>
  <si>
    <t>MARINE CORPS LEAGUE</t>
  </si>
  <si>
    <t>MARKETWAVE LLC</t>
  </si>
  <si>
    <t>MIDLAND CHAMBER OF COMMERCE</t>
  </si>
  <si>
    <t>MIDWESTERN STATE UNIVERSITY</t>
  </si>
  <si>
    <t>MINERAL WELLS AREA CHAMBER OF COMMERCE</t>
  </si>
  <si>
    <t>MONAHANS CHAMBER OF COMMERCE</t>
  </si>
  <si>
    <t>NACOGDOCHES COUNTY CHAMBER OF COMMERCE</t>
  </si>
  <si>
    <t>NACOGDOCHES ROTARY CLUB FOUNDATION</t>
  </si>
  <si>
    <t>NEELEY SCHOOL OF BUSINESS</t>
  </si>
  <si>
    <t>NORTH AMERICAN ELECTRIC RELIABILITY CORP</t>
  </si>
  <si>
    <t>NORTH TEXAS COMMERCIAL ASSOCIATION</t>
  </si>
  <si>
    <t>OPPORTUNITY AUSTIN</t>
  </si>
  <si>
    <t>OVILLA SERVICE LEAGUE</t>
  </si>
  <si>
    <t>PALO PINTO COUNTY LIVESTOCK ASSOCIATION</t>
  </si>
  <si>
    <t>PARKER COUNTY ECONOMIC DEVELOPMENT</t>
  </si>
  <si>
    <t>PERMIAN BASIN ADULT LITERACY CENTER</t>
  </si>
  <si>
    <t>PERMIAN BASIN REHAB CENTER</t>
  </si>
  <si>
    <t>PERRYMAN CONSULTANTS INC</t>
  </si>
  <si>
    <t>PETROLEUM CLUB FORT WORTH</t>
  </si>
  <si>
    <t>QUINLAN ECONOMIC DEVELOPMENT CORP</t>
  </si>
  <si>
    <t>RED RIVER VALLEY FAIR ASSOCIATION</t>
  </si>
  <si>
    <t>REDBIRD TOMORROW FOUNDATION</t>
  </si>
  <si>
    <t>ROCKWALL CHAMBER OF COMMERCE</t>
  </si>
  <si>
    <t>ROTARY CLUB OF CARROLTON- FARMERS BRANCH</t>
  </si>
  <si>
    <t>ROTARY CLUB OF COMMERCE</t>
  </si>
  <si>
    <t>ROTARY CLUB OF PFLUGERVILLE</t>
  </si>
  <si>
    <t>ROTARY CLUB OF SULPHUR SPRINGS</t>
  </si>
  <si>
    <t>ROTARY INTERNATIONAL DISTRICT 5810</t>
  </si>
  <si>
    <t>SAFE CITY COMMISSION INC</t>
  </si>
  <si>
    <t>SHEPARD EXPOSITION</t>
  </si>
  <si>
    <t>SOUND IDEAS PRODUCTION GROUP INC</t>
  </si>
  <si>
    <t>TARRANT COUNTY SPECIAL EVENTS FOUNDATION</t>
  </si>
  <si>
    <t>TARRANT SPECIAL EVENTS FOUNDATION</t>
  </si>
  <si>
    <t>TERRELL KIWANIS CLUB</t>
  </si>
  <si>
    <t>TERRELL LIONS CLUB</t>
  </si>
  <si>
    <t>TEXAS BLOSSOMS INC</t>
  </si>
  <si>
    <t>THE HAVEN</t>
  </si>
  <si>
    <t>THE LOH FOUNDATION</t>
  </si>
  <si>
    <t>THE ROTARY FOUNDATION</t>
  </si>
  <si>
    <t>THE UNIVERSITY OF TEXAS AT ARLINGTON</t>
  </si>
  <si>
    <t>THE UNIVERSITY OF TEXAS AT AUSTIN</t>
  </si>
  <si>
    <t>TOWN OF ADDISON</t>
  </si>
  <si>
    <t>TOWN OF FLOWER MOUND</t>
  </si>
  <si>
    <t>UNITED WAY OF ODESSA</t>
  </si>
  <si>
    <t>UNITED WAY OF WISE COUNTY</t>
  </si>
  <si>
    <t>UNIVERSITY OF MARY HARDIN BAYLOR</t>
  </si>
  <si>
    <t>UNIVERSITY OF TEXAS AT ARLINGTON</t>
  </si>
  <si>
    <t>UNIVERSITY PARK MERCHANTS ASSOCIATION</t>
  </si>
  <si>
    <t>UTA EE DEPARTMENT</t>
  </si>
  <si>
    <t>UTILITIES TECHNOLOGY COUNCIL</t>
  </si>
  <si>
    <t>VISION HISTORIC PRESERVATION FOUNDATION</t>
  </si>
  <si>
    <t>WEST TEXAS FOOD BANK</t>
  </si>
  <si>
    <t>WESTERN TEXAS COLLEGE</t>
  </si>
  <si>
    <t>WICHITA FALLS AREA COMMUNITY FOUNDATION</t>
  </si>
  <si>
    <t>WORTHAM AREA CHAMBER OF COMMERCE</t>
  </si>
  <si>
    <t>THE ART STATION</t>
  </si>
  <si>
    <t>AVIATION DEPARTMENT</t>
  </si>
  <si>
    <t>EUCG</t>
  </si>
  <si>
    <t>CRESCENT COURT DALLAS</t>
  </si>
  <si>
    <t>ENVIRONMENTAL BANKERS</t>
  </si>
  <si>
    <t>INDUSTRY COUNCIL</t>
  </si>
  <si>
    <t>UTILITY BROADBAND ALLIANCE INC</t>
  </si>
  <si>
    <t>BIG SPRING ECONOMIC DEVELOPMENT</t>
  </si>
  <si>
    <t>CUSTOMER SERVICE WEEK</t>
  </si>
  <si>
    <t>NORTHWEST TEXAS COUNCIL</t>
  </si>
  <si>
    <t>PERMIAN BASIN PETROLEUM ASSOC</t>
  </si>
  <si>
    <t>REAL ESTATE COUNCIL OF GREATER FORT</t>
  </si>
  <si>
    <t>THE CLIMATE REGISTRY</t>
  </si>
  <si>
    <t>INTERNATIONAL SOCIETY OF AUTOMATION</t>
  </si>
  <si>
    <t>UNITED SOLID WASTE ACTIVITIES GROUP INC</t>
  </si>
  <si>
    <t>ENDEAVOR BUSINESS MEDIA</t>
  </si>
  <si>
    <t>TEXAS A&amp;M ENGINEERING EXPERIMENT STATION</t>
  </si>
  <si>
    <t>TEXAS ASSOCIATION OF AFRICAN AMERICAN</t>
  </si>
  <si>
    <t>TEXAS DIVISION OF EMERGENCY MANAGEMENT</t>
  </si>
  <si>
    <t>TEXAS ECONOMIC DEVELOPMENT COUNCIL</t>
  </si>
  <si>
    <t>TEXAS ECONOMIC DEVELOPMENT COUNCIL INC</t>
  </si>
  <si>
    <t>TEXAS SOCIETY OF PROFESSIONAL ENGINEERS</t>
  </si>
  <si>
    <t>Brilliant Energy LLC</t>
  </si>
  <si>
    <t>Entrust Energy</t>
  </si>
  <si>
    <t>Griddy Energy</t>
  </si>
  <si>
    <t>Iluminar Energy</t>
  </si>
  <si>
    <t>Reference Docket No. 53601 Order on Rehearing page 70.</t>
  </si>
  <si>
    <t>1) Per Docket 56670, the entirety of $500,000 in proceeds from Declaration Energy's letter of credit should be disbursed to affected TDU's, with the purposed amount of $270,177.56 to be distributed to Oncor Electric Delivery</t>
  </si>
  <si>
    <t xml:space="preserve">    Per Docket 56201, the entirety of $500,000 in proceeds from OnPoint Energy's letter of credit should be disbursed to affected TDU's, with the purposed amount of $371,138.83 to be distributed to Oncor Electric Delivery</t>
  </si>
  <si>
    <t>REP Default Regulatory Asset Balance to Be Reviewed at 12-31-2024</t>
  </si>
  <si>
    <t>Default Amount to be reviewed</t>
  </si>
  <si>
    <t>Requested five-year amortization</t>
  </si>
  <si>
    <t>Account 1823500-Reg Asset - Defaulted REPs</t>
  </si>
  <si>
    <t>REP default amount for TexPo represents the full amount of $201,511.29 as the PUC has not issued an order regarding the status of TexPo's REP certificate and the disbursement of its letter of credit.</t>
  </si>
  <si>
    <t>FERC account 904 (TDCS)</t>
  </si>
  <si>
    <t>HUB T and D MATERIAL CENTER</t>
  </si>
  <si>
    <t>Rhome Transmission</t>
  </si>
  <si>
    <t>Please see Schedule II-B-14 for the supporting documentation and workpapers the adjustment is based on.</t>
  </si>
  <si>
    <t>Please see WP/II-D ADJUSTMENT/07 for the amount of Pension Expense Adjustment requested in this filing.  Please see Schedule II-B-14 for</t>
  </si>
  <si>
    <t>Please see WP/II-D ADJUSTMENT/08 for the amount of OPEB Expense Adjustment requested in this filing.</t>
  </si>
  <si>
    <t>A separate calculation based on total outstanding Damage Claims is updated</t>
  </si>
  <si>
    <t>In April 2023, Oncor and Oncor Receivables LLC ("Receivables LLC"), a special purpose entity and wholly-owned subsidiary of Oncor, established a revolving accounts receivable securitization facility ("AR Facility"). Under the terms of the AR Facility, Oncor sells or contributes all of its existing and future accounts receivable from retail electric providers and certain related rights to Receivables LLC. Receivables LLC then pledges those receivables and related rights to the lenders under the AR Facility as collateral for borrowings. Receivables LLC borrows under the AR Facility and distributes the proceeds of those borrowings to Oncor. Oncor serves as servicer of the AR Facility and receives a fee from Receivables LLC equal to 1.00% per annum of the aggregate unpaid balance of receivables as of the last day of each settlement period. Receivables LLC's sole business consists of the purchase or acceptance through capital contributions of the receivables and related rights from Oncor and the subsequent retransfer of or granting of a security interest in such receivables and related rights to the administrative agent for the benefit of the lenders pursuant to the receivables financing agreement. Receivables LLC is a separate legal entity with its own separate creditors who will be entitled, upon its liquidation, to have amounts owed to them be satisfied out of Receivables LLC's assets prior to any assets or value in Receivables LLC becoming available to Receivables LLC's equity holder. The assets of Receivables LLC are not available to pay creditors of Oncor or any affiliate thereof.</t>
  </si>
  <si>
    <t>Administration Fees</t>
  </si>
  <si>
    <t>Note 1:  Reference WP/II-D ADJUSTMENT/11 for the amounts of incentive compensation by plan type (PEP, EAIP, LTIP) that are based on operational metrics.</t>
  </si>
  <si>
    <t>Note 2:  Reference WP/II-D ADJUSTMENT/24 for adjustment to remove financially-based incentive compensation (EAIP, LTIP with project NORECOVR).</t>
  </si>
  <si>
    <t>Docket No. 53601 Order in Rehearing (pages 41-42):</t>
  </si>
  <si>
    <t>Project NORECOVR - Supplemental Retirement</t>
  </si>
  <si>
    <t>Project NORECOVR - Financial Planning &amp; Executive Physicals</t>
  </si>
  <si>
    <t xml:space="preserve">    Expense Adjustment #24 (Non-Labor)</t>
  </si>
  <si>
    <t>DISTRIBUTED NETWORK PROTOCOL</t>
  </si>
  <si>
    <t>TOASTMASTERS INTERNATIONAL</t>
  </si>
  <si>
    <t>AMERCIAN SOCIETY OF MECHANICAL ENGINEERS</t>
  </si>
  <si>
    <t>NATIONAL ASSOCIATION OF OCCUPATIONAL HEALTH PROFESSIONALS</t>
  </si>
  <si>
    <t>TEXAS REAL ESTATE COMMISSION</t>
  </si>
  <si>
    <t>THE INTERNATIONAL COUNCIL ON LARGE ELECTRIC SYSTEMS</t>
  </si>
  <si>
    <t>THE STATE BAR OF TEXAS</t>
  </si>
  <si>
    <t>ASSOCIATION OF CERTIFIED FRAUD EXAMINERS</t>
  </si>
  <si>
    <t>ASSOCIATION OF FRAUD EXAMINERS</t>
  </si>
  <si>
    <t>INTERNATIONAL WOMEN'S FORUM</t>
  </si>
  <si>
    <t>NATIONAL NOTARY ASSOCIATION</t>
  </si>
  <si>
    <t>TEXAS DEPARTMENT OF AGRICULTURE</t>
  </si>
  <si>
    <t>TEXAS ISA AND UTILITY ARBORIST ASSOCIATION</t>
  </si>
  <si>
    <t>INTERNATIONAL ECONOMIC DEVELOPMENT COUNCIL</t>
  </si>
  <si>
    <t>AMERICAN METEOROLOGICAL SOCIETY</t>
  </si>
  <si>
    <t>ASSOCIATION OF FUNDRAISING PROFFESIONALS</t>
  </si>
  <si>
    <t>DALLAS ASSOCIATION FOR FINANCIAL PROFESSIONALS</t>
  </si>
  <si>
    <t>DALLAS TOASTMASTERS</t>
  </si>
  <si>
    <t>INSTITUTE SUPPLY MANAGEMENT</t>
  </si>
  <si>
    <t>INTERNATIONAL SOCIETY OF ARBORICULTURE</t>
  </si>
  <si>
    <t>ODESSA ROTARY CLUB</t>
  </si>
  <si>
    <t>RICHARDSON ROTARY</t>
  </si>
  <si>
    <t>ROTARY CLUB OF TERRELL</t>
  </si>
  <si>
    <t>SOCIETY FOR HUMAN RESOURCES</t>
  </si>
  <si>
    <t>SOCIETY OF HUMAN RESOURCE MANAGEMENT</t>
  </si>
  <si>
    <t>TEMPLE ROTARY CLUB</t>
  </si>
  <si>
    <t>TEXAS SOCIETY OF CPAs</t>
  </si>
  <si>
    <t>THE ELECTRIC UTILITY COST GROUP</t>
  </si>
  <si>
    <t>WOMEN'S ENERGY NETWORK</t>
  </si>
  <si>
    <t>DISPUTE RESOLUTION INSTITUTE</t>
  </si>
  <si>
    <t>FISH AND WILDLIFE</t>
  </si>
  <si>
    <t>ROTARY CLUB OF TEMPLE</t>
  </si>
  <si>
    <t>TEXAS HANDGUN ACADEMY</t>
  </si>
  <si>
    <t>AMERICAN BAR ASSOCIATION</t>
  </si>
  <si>
    <t>AMERICAN ENERGY INNOVATION COUNCIL</t>
  </si>
  <si>
    <t>AMERICAN INSTITUTE OF CERTIFIED PUBLIC ACCOUNTANTS</t>
  </si>
  <si>
    <t>AMERICAN INSTITUTE OF CPAs</t>
  </si>
  <si>
    <t>AMERICAN SOCIETY OF CIVIL ENGINEERS PURCHASING</t>
  </si>
  <si>
    <t>ASSOCIATION FOR FINANCIAL PROFESSIONAL</t>
  </si>
  <si>
    <t>DSHS REGULATORY PROGRAM</t>
  </si>
  <si>
    <t>ETHICS AND COMPLIANCE INITIATIVE</t>
  </si>
  <si>
    <t>GREATER BIG SPRING CHAMBER OF COMMERCE</t>
  </si>
  <si>
    <t>INSTITUTE OF HAZARDOUS MATERIALS MANAGEMENT</t>
  </si>
  <si>
    <t>LOUISIANA STATE BOARD OF CPAs</t>
  </si>
  <si>
    <t>NATIONAL REGISTRY OF ENVIROMENTAL PROFESSIONALS</t>
  </si>
  <si>
    <t>RISK MANAGEMEMT SOCIETY</t>
  </si>
  <si>
    <t>SOCIETY OF CORPORATE COMPLIANCE AND ETHICS</t>
  </si>
  <si>
    <t>TEXAS COMMISSION ON ENVIRONMENTAL QUALITY</t>
  </si>
  <si>
    <t>TEXAS DEPARTMENT OF PRIVATE SECURITY</t>
  </si>
  <si>
    <t>THE FORT WORTH CLUB</t>
  </si>
  <si>
    <t>THE INSTITUTE OF INTERNAL AUIDITORS</t>
  </si>
  <si>
    <t>THURSDAY MORNING BREAKFAST ASSOCIATION</t>
  </si>
  <si>
    <t>WACO ROTARY CLUB</t>
  </si>
  <si>
    <t>INDUSTRY ENVIRONMNET</t>
  </si>
  <si>
    <t>WOMEN IN THE ENVIRONMENT</t>
  </si>
  <si>
    <t>DALLAS REGIONAL CHAMBER</t>
  </si>
  <si>
    <t>AMAZON PRIME</t>
  </si>
  <si>
    <t>INNOVATE UTILITYCX</t>
  </si>
  <si>
    <t>NACOGDOCHES JUNIOR CHAMBER OF COMMERCE</t>
  </si>
  <si>
    <t>NORTH TEXAS BUSINESS COUNCIL FOR THE ARTS</t>
  </si>
  <si>
    <t>SOCIETY OF CORPORATE SCHOLARS</t>
  </si>
  <si>
    <t>STEMMONS CORRIDOR BUSINESS ASSOCIATION</t>
  </si>
  <si>
    <t>INSTITUTE OF ELECTRICAL AND ELECTRONICS ENGINEERS</t>
  </si>
  <si>
    <t>TEXAS BOARD OF PROFESSIONAL ENGINEERS</t>
  </si>
  <si>
    <t>AMERICAN SOCIETY OF CIVIL ENGINEERS</t>
  </si>
  <si>
    <t>INTERNATIONAL RIGHT OF WAY ASSOCIATION</t>
  </si>
  <si>
    <t>NORTH AMERICAN TRANSMISSION FORUM</t>
  </si>
  <si>
    <t>PROJECT MANAGEMENT INSTITUTE</t>
  </si>
  <si>
    <t>AMERICAN SOCIETY OF MECHANICAL ENGINEERS</t>
  </si>
  <si>
    <t>TARRANT COUNTY BAR ASSOCIATION</t>
  </si>
  <si>
    <t>WOMEN'S INTERNATIONAL NETWORK OF UTILITY PROFESSIONALS</t>
  </si>
  <si>
    <t>BOARD OF CERTIFIED SAFETY PROFESSIONALS</t>
  </si>
  <si>
    <t>QUALITY TEXAS FOUNDATION</t>
  </si>
  <si>
    <t>TEXAS STATE BOARD OF PUBLIC ACCOUNTANCY</t>
  </si>
  <si>
    <t>IDENTOGO - TEXAS FINGERPRINTING</t>
  </si>
  <si>
    <t>TEXAS BOARD OF LEGAL SPECIALIZATION</t>
  </si>
  <si>
    <t>TEXAS BOARD OF PROFESSIONAL GEOSCIENTISTS</t>
  </si>
  <si>
    <t>MICKEY LELAN ENVIROMENTAL INTERNSHIP CORP2</t>
  </si>
  <si>
    <t>NORTH TEXAS ASSOCIATION OF ENVIROMENTAL PROFESSIONALS</t>
  </si>
  <si>
    <t>GARTNER MEMBERSHIP</t>
  </si>
  <si>
    <t>Although Oncor has the contractual right to transfer accounts receivable to Receivables LLC using an intercompany sale, it is the Company’s policy to only contribute such accounts receivable to Receivables LLC.  In no event does the AR Facility allow for the sale of accounts receivable to a third-party(ies).</t>
  </si>
  <si>
    <t>January 2025</t>
  </si>
  <si>
    <t>February 2025</t>
  </si>
  <si>
    <t>March 2025</t>
  </si>
  <si>
    <t xml:space="preserve">The information requested in support of the Rate Filing Package schedule is confidential and will be made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</si>
</sst>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00_);_(* \(#,##0.000000\);_(* &quot;-&quot;??_);_(@_)"/>
    <numFmt numFmtId="167" formatCode="_(* #,##0.000_);_(* \(#,##0.000\);_(* &quot;-&quot;??_);_(@_)"/>
    <numFmt numFmtId="168" formatCode="mm/dd/yyyy"/>
    <numFmt numFmtId="169" formatCode="0.0"/>
    <numFmt numFmtId="170" formatCode="0.0000000%"/>
    <numFmt numFmtId="171" formatCode="0.000000%"/>
    <numFmt numFmtId="172" formatCode="\£\ #,##0_);[Red]\(\£\ #,##0\)"/>
    <numFmt numFmtId="173" formatCode="\¥\ #,##0_);[Red]\(\¥\ #,##0\)"/>
    <numFmt numFmtId="174" formatCode="\•\ \ @"/>
    <numFmt numFmtId="175" formatCode="#,##0,_);[Red]\(#,##0,\)"/>
    <numFmt numFmtId="176" formatCode="\ \ _•\–\ \ \ \ @"/>
    <numFmt numFmtId="177" formatCode="0.000000000%"/>
    <numFmt numFmtId="178" formatCode="0.00000000%"/>
    <numFmt numFmtId="179" formatCode="0.00_)"/>
    <numFmt numFmtId="180" formatCode="[Blue]#,##0,_);[Red]\(#,##0,\)"/>
    <numFmt numFmtId="181" formatCode="_(* #,##0.00000_);_(* \(#,##0.00000\);_(* &quot;-&quot;??_);_(@_)"/>
    <numFmt numFmtId="182" formatCode="_(* #,##0.00000000000000_);_(* \(#,##0.00000000000000\);_(* &quot;-&quot;??_);_(@_)"/>
  </numFmts>
  <fonts count="65">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sz val="8"/>
      <name val="Arial"/>
      <family val="2"/>
    </font>
    <font>
      <sz val="10"/>
      <name val="Arial"/>
      <family val="2"/>
    </font>
    <font>
      <u/>
      <sz val="10"/>
      <name val="Arial"/>
      <family val="2"/>
    </font>
    <font>
      <b/>
      <u/>
      <sz val="10"/>
      <name val="Arial"/>
      <family val="2"/>
    </font>
    <font>
      <u/>
      <sz val="10"/>
      <color indexed="12"/>
      <name val="Arial"/>
      <family val="2"/>
    </font>
    <font>
      <b/>
      <sz val="10"/>
      <name val="Arial"/>
      <family val="2"/>
    </font>
    <font>
      <u/>
      <sz val="10"/>
      <color indexed="12"/>
      <name val="Arial"/>
      <family val="2"/>
    </font>
    <font>
      <b/>
      <u val="singleAccounting"/>
      <sz val="10"/>
      <name val="Arial"/>
      <family val="2"/>
    </font>
    <font>
      <b/>
      <sz val="12"/>
      <name val="Arial"/>
      <family val="2"/>
    </font>
    <font>
      <b/>
      <sz val="14"/>
      <color indexed="9"/>
      <name val="Arial"/>
      <family val="2"/>
    </font>
    <font>
      <b/>
      <sz val="14"/>
      <name val="Arial"/>
      <family val="2"/>
    </font>
    <font>
      <sz val="10"/>
      <color indexed="9"/>
      <name val="Arial"/>
      <family val="2"/>
    </font>
    <font>
      <sz val="12"/>
      <name val="Arial"/>
      <family val="2"/>
    </font>
    <font>
      <sz val="10"/>
      <color indexed="10"/>
      <name val="Arial"/>
      <family val="2"/>
    </font>
    <font>
      <sz val="10"/>
      <color indexed="10"/>
      <name val="Arial"/>
      <family val="2"/>
    </font>
    <font>
      <b/>
      <sz val="10"/>
      <color indexed="10"/>
      <name val="Arial"/>
      <family val="2"/>
    </font>
    <font>
      <sz val="10"/>
      <color indexed="8"/>
      <name val="Arial"/>
      <family val="2"/>
    </font>
    <font>
      <sz val="10"/>
      <color indexed="8"/>
      <name val="Arial"/>
      <family val="2"/>
    </font>
    <font>
      <b/>
      <sz val="11"/>
      <color indexed="8"/>
      <name val="Calibri"/>
      <family val="1"/>
      <charset val="204"/>
    </font>
    <font>
      <b/>
      <sz val="11"/>
      <color indexed="8"/>
      <name val="Calibri"/>
      <family val="2"/>
    </font>
    <font>
      <sz val="10"/>
      <color theme="1"/>
      <name val="Arial"/>
      <family val="2"/>
    </font>
    <font>
      <sz val="11"/>
      <name val="Arial"/>
      <family val="2"/>
    </font>
    <font>
      <b/>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Unicode MS"/>
      <family val="2"/>
    </font>
    <font>
      <sz val="10"/>
      <name val="Times New Roman"/>
      <family val="1"/>
    </font>
    <font>
      <sz val="12"/>
      <name val="Times New Roman"/>
      <family val="1"/>
    </font>
    <font>
      <sz val="10"/>
      <color indexed="12"/>
      <name val="Tahoma"/>
      <family val="2"/>
    </font>
    <font>
      <b/>
      <sz val="12"/>
      <name val="Times New Roman"/>
      <family val="1"/>
    </font>
    <font>
      <sz val="11"/>
      <color indexed="8"/>
      <name val="Calibri"/>
      <family val="2"/>
    </font>
    <font>
      <sz val="10"/>
      <name val="BERNHARD"/>
      <family val="2"/>
    </font>
    <font>
      <sz val="10"/>
      <name val="Helv"/>
      <family val="2"/>
    </font>
    <font>
      <sz val="1"/>
      <color indexed="8"/>
      <name val="Courier"/>
      <family val="3"/>
    </font>
    <font>
      <b/>
      <sz val="1"/>
      <color indexed="8"/>
      <name val="Courier"/>
      <family val="3"/>
    </font>
    <font>
      <sz val="11"/>
      <name val="Times New Roman"/>
      <family val="1"/>
    </font>
    <font>
      <b/>
      <i/>
      <sz val="16"/>
      <name val="Helv"/>
      <family val="2"/>
    </font>
    <font>
      <sz val="10"/>
      <color indexed="62"/>
      <name val="Arial"/>
      <family val="2"/>
    </font>
    <font>
      <sz val="8"/>
      <color indexed="12"/>
      <name val="Arial"/>
      <family val="2"/>
    </font>
    <font>
      <b/>
      <sz val="10"/>
      <name val="Times New Roman"/>
      <family val="1"/>
    </font>
    <font>
      <sz val="10"/>
      <name val="MS Sans Serif"/>
      <family val="2"/>
    </font>
    <font>
      <b/>
      <sz val="10"/>
      <name val="MS Sans Serif"/>
      <family val="2"/>
    </font>
    <font>
      <sz val="11"/>
      <name val="Calibri"/>
      <family val="2"/>
      <scheme val="minor"/>
    </font>
    <font>
      <b/>
      <sz val="8"/>
      <name val="Arial"/>
      <family val="2"/>
    </font>
    <font>
      <sz val="11"/>
      <name val="Calibri"/>
      <family val="2"/>
    </font>
    <font>
      <b/>
      <sz val="10"/>
      <name val="Arial Unicode MS"/>
      <family val="2"/>
    </font>
    <font>
      <u/>
      <sz val="11"/>
      <color theme="1"/>
      <name val="Calibri"/>
      <family val="2"/>
      <scheme val="minor"/>
    </font>
  </fonts>
  <fills count="40">
    <fill>
      <patternFill patternType="none"/>
    </fill>
    <fill>
      <patternFill patternType="gray125"/>
    </fill>
    <fill>
      <patternFill patternType="solid">
        <fgColor indexed="1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mediumGray">
        <fgColor indexed="22"/>
      </patternFill>
    </fill>
    <fill>
      <patternFill patternType="solid">
        <fgColor rgb="FFFFFF00"/>
        <bgColor indexed="64"/>
      </patternFill>
    </fill>
    <fill>
      <patternFill patternType="solid">
        <fgColor rgb="FF00B0F0"/>
        <bgColor indexed="64"/>
      </patternFill>
    </fill>
  </fills>
  <borders count="43">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
      <left/>
      <right/>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indexed="64"/>
      </left>
      <right style="thin">
        <color indexed="64"/>
      </right>
      <top/>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283">
    <xf numFmtId="0" fontId="0" fillId="0" borderId="0"/>
    <xf numFmtId="43" fontId="4" fillId="0" borderId="0" applyFont="0" applyFill="0" applyBorder="0" applyAlignment="0" applyProtection="0"/>
    <xf numFmtId="44" fontId="4" fillId="0" borderId="0" applyFont="0" applyFill="0" applyBorder="0" applyAlignment="0" applyProtection="0"/>
    <xf numFmtId="0" fontId="9" fillId="0" borderId="0" applyNumberFormat="0" applyFill="0" applyBorder="0" applyAlignment="0" applyProtection="0">
      <alignment vertical="top"/>
      <protection locked="0"/>
    </xf>
    <xf numFmtId="9" fontId="4" fillId="0" borderId="0" applyFont="0" applyFill="0" applyBorder="0" applyAlignment="0" applyProtection="0"/>
    <xf numFmtId="0" fontId="4" fillId="0" borderId="0"/>
    <xf numFmtId="0" fontId="2" fillId="0" borderId="0"/>
    <xf numFmtId="0" fontId="25" fillId="0" borderId="0"/>
    <xf numFmtId="9" fontId="25" fillId="0" borderId="0" applyFont="0" applyFill="0" applyBorder="0" applyAlignment="0" applyProtection="0"/>
    <xf numFmtId="43" fontId="25" fillId="0" borderId="0" applyFont="0" applyFill="0" applyBorder="0" applyAlignment="0" applyProtection="0"/>
    <xf numFmtId="0" fontId="28" fillId="0" borderId="0" applyNumberFormat="0" applyFill="0" applyBorder="0" applyAlignment="0" applyProtection="0"/>
    <xf numFmtId="0" fontId="29" fillId="0" borderId="22" applyNumberFormat="0" applyFill="0" applyAlignment="0" applyProtection="0"/>
    <xf numFmtId="0" fontId="30" fillId="0" borderId="23" applyNumberFormat="0" applyFill="0" applyAlignment="0" applyProtection="0"/>
    <xf numFmtId="0" fontId="31" fillId="0" borderId="24" applyNumberFormat="0" applyFill="0" applyAlignment="0" applyProtection="0"/>
    <xf numFmtId="0" fontId="31" fillId="0" borderId="0" applyNumberFormat="0" applyFill="0" applyBorder="0" applyAlignment="0" applyProtection="0"/>
    <xf numFmtId="0" fontId="32" fillId="4" borderId="0" applyNumberFormat="0" applyBorder="0" applyAlignment="0" applyProtection="0"/>
    <xf numFmtId="0" fontId="33" fillId="5" borderId="0" applyNumberFormat="0" applyBorder="0" applyAlignment="0" applyProtection="0"/>
    <xf numFmtId="0" fontId="34" fillId="6" borderId="0" applyNumberFormat="0" applyBorder="0" applyAlignment="0" applyProtection="0"/>
    <xf numFmtId="0" fontId="35" fillId="7" borderId="26" applyNumberFormat="0" applyAlignment="0" applyProtection="0"/>
    <xf numFmtId="0" fontId="36" fillId="7" borderId="25" applyNumberFormat="0" applyAlignment="0" applyProtection="0"/>
    <xf numFmtId="0" fontId="37" fillId="0" borderId="27" applyNumberFormat="0" applyFill="0" applyAlignment="0" applyProtection="0"/>
    <xf numFmtId="0" fontId="38" fillId="8" borderId="28" applyNumberFormat="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41" fillId="0" borderId="29" applyNumberFormat="0" applyFill="0" applyAlignment="0" applyProtection="0"/>
    <xf numFmtId="0" fontId="42"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42" fillId="12" borderId="0" applyNumberFormat="0" applyBorder="0" applyAlignment="0" applyProtection="0"/>
    <xf numFmtId="0" fontId="42"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2" fillId="16" borderId="0" applyNumberFormat="0" applyBorder="0" applyAlignment="0" applyProtection="0"/>
    <xf numFmtId="0" fontId="4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2" fillId="20" borderId="0" applyNumberFormat="0" applyBorder="0" applyAlignment="0" applyProtection="0"/>
    <xf numFmtId="0" fontId="4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2" fillId="24" borderId="0" applyNumberFormat="0" applyBorder="0" applyAlignment="0" applyProtection="0"/>
    <xf numFmtId="0" fontId="4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2" fillId="28" borderId="0" applyNumberFormat="0" applyBorder="0" applyAlignment="0" applyProtection="0"/>
    <xf numFmtId="0" fontId="4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2" fillId="32" borderId="0" applyNumberFormat="0" applyBorder="0" applyAlignment="0" applyProtection="0"/>
    <xf numFmtId="0" fontId="43" fillId="0" borderId="0"/>
    <xf numFmtId="169" fontId="4" fillId="0" borderId="0">
      <alignment horizontal="left" wrapText="1"/>
    </xf>
    <xf numFmtId="0" fontId="45" fillId="33" borderId="0" applyNumberFormat="0" applyFont="0" applyBorder="0" applyAlignment="0">
      <protection locked="0"/>
    </xf>
    <xf numFmtId="0" fontId="44" fillId="0" borderId="0">
      <alignment vertical="top"/>
    </xf>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0" fontId="43" fillId="0" borderId="0"/>
    <xf numFmtId="41" fontId="4"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1" fillId="0" borderId="0"/>
    <xf numFmtId="43" fontId="1" fillId="0" borderId="0" applyFont="0" applyFill="0" applyBorder="0" applyAlignment="0" applyProtection="0"/>
    <xf numFmtId="41" fontId="1"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5" fillId="33" borderId="0" applyNumberFormat="0" applyFont="0" applyBorder="0" applyAlignment="0">
      <protection locked="0"/>
    </xf>
    <xf numFmtId="9" fontId="4"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0" borderId="0"/>
    <xf numFmtId="41" fontId="4" fillId="0" borderId="0" applyFont="0" applyFill="0" applyBorder="0" applyAlignment="0" applyProtection="0"/>
    <xf numFmtId="43" fontId="1" fillId="0" borderId="0" applyFont="0" applyFill="0" applyBorder="0" applyAlignment="0" applyProtection="0"/>
    <xf numFmtId="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xf numFmtId="43" fontId="1" fillId="0" borderId="0" applyFont="0" applyFill="0" applyBorder="0" applyAlignment="0" applyProtection="0"/>
    <xf numFmtId="43" fontId="4" fillId="0" borderId="0" applyFont="0" applyFill="0" applyBorder="0" applyAlignment="0" applyProtection="0"/>
    <xf numFmtId="172" fontId="45" fillId="0" borderId="0" applyFont="0" applyFill="0" applyBorder="0" applyAlignment="0" applyProtection="0"/>
    <xf numFmtId="173" fontId="45" fillId="0" borderId="0" applyFont="0" applyFill="0" applyBorder="0" applyAlignment="0" applyProtection="0"/>
    <xf numFmtId="0" fontId="46" fillId="0" borderId="0" applyNumberFormat="0" applyFill="0" applyBorder="0" applyAlignment="0">
      <protection locked="0"/>
    </xf>
    <xf numFmtId="0" fontId="47" fillId="0" borderId="12" applyNumberFormat="0" applyFill="0" applyAlignment="0" applyProtection="0"/>
    <xf numFmtId="174" fontId="45" fillId="0" borderId="0" applyFont="0" applyFill="0" applyBorder="0" applyAlignment="0" applyProtection="0"/>
    <xf numFmtId="0" fontId="4" fillId="0" borderId="0"/>
    <xf numFmtId="43" fontId="4" fillId="0" borderId="0" applyFont="0" applyFill="0" applyBorder="0" applyAlignment="0" applyProtection="0"/>
    <xf numFmtId="43" fontId="48" fillId="0" borderId="0" applyFont="0" applyFill="0" applyBorder="0" applyAlignment="0" applyProtection="0"/>
    <xf numFmtId="43" fontId="44" fillId="0" borderId="0" applyFont="0" applyFill="0" applyBorder="0" applyAlignment="0" applyProtection="0"/>
    <xf numFmtId="0" fontId="1" fillId="0" borderId="0"/>
    <xf numFmtId="0" fontId="49" fillId="0" borderId="0"/>
    <xf numFmtId="0" fontId="50" fillId="0" borderId="0"/>
    <xf numFmtId="0" fontId="49" fillId="0" borderId="0"/>
    <xf numFmtId="0" fontId="50" fillId="0" borderId="0"/>
    <xf numFmtId="175" fontId="4" fillId="0" borderId="0" applyFont="0" applyFill="0" applyBorder="0" applyAlignment="0" applyProtection="0"/>
    <xf numFmtId="43" fontId="1" fillId="0" borderId="0" applyFont="0" applyFill="0" applyBorder="0" applyAlignment="0" applyProtection="0"/>
    <xf numFmtId="7" fontId="4" fillId="0" borderId="0" applyFont="0" applyFill="0" applyBorder="0" applyAlignment="0" applyProtection="0"/>
    <xf numFmtId="44" fontId="4" fillId="0" borderId="0" applyFont="0" applyFill="0" applyBorder="0" applyAlignment="0" applyProtection="0"/>
    <xf numFmtId="7" fontId="4" fillId="0" borderId="0" applyFont="0" applyFill="0" applyBorder="0" applyAlignment="0" applyProtection="0"/>
    <xf numFmtId="176" fontId="45" fillId="0" borderId="0" applyFont="0" applyFill="0" applyBorder="0" applyAlignment="0" applyProtection="0"/>
    <xf numFmtId="0" fontId="51" fillId="0" borderId="0">
      <protection locked="0"/>
    </xf>
    <xf numFmtId="0" fontId="52" fillId="0" borderId="0">
      <protection locked="0"/>
    </xf>
    <xf numFmtId="0" fontId="52"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0" fontId="51" fillId="0" borderId="0">
      <protection locked="0"/>
    </xf>
    <xf numFmtId="170" fontId="53" fillId="0" borderId="0" applyFont="0" applyFill="0" applyBorder="0" applyAlignment="0" applyProtection="0"/>
    <xf numFmtId="177" fontId="53" fillId="0" borderId="0" applyFont="0" applyFill="0" applyBorder="0" applyAlignment="0" applyProtection="0"/>
    <xf numFmtId="171" fontId="53" fillId="0" borderId="0" applyFont="0" applyFill="0" applyBorder="0" applyAlignment="0" applyProtection="0"/>
    <xf numFmtId="178" fontId="53" fillId="0" borderId="0" applyFont="0" applyFill="0" applyBorder="0" applyAlignment="0" applyProtection="0"/>
    <xf numFmtId="179" fontId="54" fillId="0" borderId="0"/>
    <xf numFmtId="43" fontId="1" fillId="0" borderId="0" applyFont="0" applyFill="0" applyBorder="0" applyAlignment="0" applyProtection="0"/>
    <xf numFmtId="0" fontId="44" fillId="0" borderId="0"/>
    <xf numFmtId="0" fontId="4" fillId="0" borderId="0"/>
    <xf numFmtId="0" fontId="4" fillId="0" borderId="0"/>
    <xf numFmtId="43" fontId="55" fillId="0" borderId="0"/>
    <xf numFmtId="180" fontId="56" fillId="0" borderId="0"/>
    <xf numFmtId="0" fontId="57" fillId="0" borderId="31" applyNumberFormat="0" applyAlignment="0" applyProtection="0"/>
    <xf numFmtId="0" fontId="44" fillId="34" borderId="0" applyNumberFormat="0" applyFont="0" applyBorder="0" applyAlignment="0" applyProtection="0"/>
    <xf numFmtId="0" fontId="5" fillId="35" borderId="30" applyNumberFormat="0" applyFont="0" applyBorder="0" applyAlignment="0" applyProtection="0">
      <alignment horizontal="center"/>
    </xf>
    <xf numFmtId="0" fontId="5" fillId="36" borderId="30" applyNumberFormat="0" applyFont="0" applyBorder="0" applyAlignment="0" applyProtection="0">
      <alignment horizontal="center"/>
    </xf>
    <xf numFmtId="0" fontId="44" fillId="0" borderId="32" applyNumberFormat="0" applyAlignment="0" applyProtection="0"/>
    <xf numFmtId="0" fontId="44" fillId="0" borderId="33" applyNumberFormat="0" applyAlignment="0" applyProtection="0"/>
    <xf numFmtId="0" fontId="57" fillId="0" borderId="34" applyNumberFormat="0" applyAlignment="0" applyProtection="0"/>
    <xf numFmtId="0" fontId="1" fillId="0" borderId="0"/>
    <xf numFmtId="9" fontId="44" fillId="0" borderId="0" applyFont="0" applyFill="0" applyBorder="0" applyAlignment="0" applyProtection="0"/>
    <xf numFmtId="9" fontId="4" fillId="0" borderId="0" applyFont="0" applyFill="0" applyBorder="0" applyAlignment="0" applyProtection="0"/>
    <xf numFmtId="0" fontId="58" fillId="0" borderId="0" applyNumberFormat="0" applyFont="0" applyFill="0" applyBorder="0" applyAlignment="0" applyProtection="0">
      <alignment horizontal="left"/>
    </xf>
    <xf numFmtId="15" fontId="58" fillId="0" borderId="0" applyFont="0" applyFill="0" applyBorder="0" applyAlignment="0" applyProtection="0"/>
    <xf numFmtId="4" fontId="58" fillId="0" borderId="0" applyFont="0" applyFill="0" applyBorder="0" applyAlignment="0" applyProtection="0"/>
    <xf numFmtId="0" fontId="59" fillId="0" borderId="10">
      <alignment horizontal="center"/>
    </xf>
    <xf numFmtId="3" fontId="58" fillId="0" borderId="0" applyFont="0" applyFill="0" applyBorder="0" applyAlignment="0" applyProtection="0"/>
    <xf numFmtId="0" fontId="58" fillId="37" borderId="0" applyNumberFormat="0" applyFont="0" applyBorder="0" applyAlignment="0" applyProtection="0"/>
    <xf numFmtId="0" fontId="4" fillId="0" borderId="0"/>
    <xf numFmtId="0" fontId="43" fillId="0" borderId="0"/>
    <xf numFmtId="0" fontId="31" fillId="0" borderId="24" applyNumberFormat="0" applyFill="0" applyAlignment="0" applyProtection="0"/>
    <xf numFmtId="0" fontId="31" fillId="0" borderId="0" applyNumberFormat="0" applyFill="0" applyBorder="0" applyAlignment="0" applyProtection="0"/>
    <xf numFmtId="0" fontId="4" fillId="0" borderId="0"/>
    <xf numFmtId="41" fontId="4" fillId="0" borderId="0" applyFont="0" applyFill="0" applyBorder="0" applyAlignment="0" applyProtection="0"/>
    <xf numFmtId="0" fontId="1" fillId="0" borderId="0"/>
    <xf numFmtId="0" fontId="1" fillId="0" borderId="0"/>
    <xf numFmtId="0" fontId="1" fillId="0" borderId="0"/>
    <xf numFmtId="0" fontId="1" fillId="0" borderId="0"/>
    <xf numFmtId="43" fontId="5" fillId="0" borderId="0" applyFont="0" applyFill="0" applyBorder="0" applyAlignment="0" applyProtection="0"/>
    <xf numFmtId="0" fontId="1" fillId="0" borderId="0"/>
    <xf numFmtId="2" fontId="58" fillId="0" borderId="0" applyFont="0" applyFill="0" applyBorder="0" applyAlignment="0" applyProtection="0"/>
    <xf numFmtId="2" fontId="58" fillId="0" borderId="0" applyFont="0" applyFill="0" applyBorder="0" applyAlignment="0" applyProtection="0"/>
    <xf numFmtId="2" fontId="58" fillId="0" borderId="0" applyFont="0" applyFill="0" applyBorder="0" applyAlignment="0" applyProtection="0"/>
    <xf numFmtId="43" fontId="4"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1"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cellStyleXfs>
  <cellXfs count="409">
    <xf numFmtId="0" fontId="0" fillId="0" borderId="0" xfId="0"/>
    <xf numFmtId="0" fontId="0" fillId="0" borderId="0" xfId="0" applyAlignment="1">
      <alignment horizontal="center"/>
    </xf>
    <xf numFmtId="0" fontId="0" fillId="0" borderId="0" xfId="0" applyBorder="1"/>
    <xf numFmtId="0" fontId="6" fillId="0" borderId="0" xfId="0" applyFont="1"/>
    <xf numFmtId="0" fontId="6" fillId="0" borderId="0" xfId="0" applyFont="1" applyFill="1" applyBorder="1"/>
    <xf numFmtId="0" fontId="10" fillId="0" borderId="0" xfId="0" applyFont="1"/>
    <xf numFmtId="0" fontId="6" fillId="0" borderId="0" xfId="0" applyFont="1" applyBorder="1"/>
    <xf numFmtId="0" fontId="10" fillId="0" borderId="0" xfId="0" applyFont="1" applyFill="1" applyBorder="1" applyAlignment="1">
      <alignment horizontal="left"/>
    </xf>
    <xf numFmtId="0" fontId="10" fillId="0" borderId="0" xfId="0" applyFont="1" applyFill="1" applyBorder="1"/>
    <xf numFmtId="0" fontId="10" fillId="0" borderId="1" xfId="0" applyFont="1" applyFill="1" applyBorder="1"/>
    <xf numFmtId="0" fontId="10" fillId="0" borderId="1" xfId="0" applyFont="1" applyFill="1" applyBorder="1" applyAlignment="1">
      <alignment horizontal="center"/>
    </xf>
    <xf numFmtId="0" fontId="10" fillId="0" borderId="2" xfId="0" applyFont="1" applyFill="1" applyBorder="1" applyAlignment="1">
      <alignment horizontal="center"/>
    </xf>
    <xf numFmtId="0" fontId="10" fillId="0" borderId="3" xfId="0" applyFont="1" applyFill="1" applyBorder="1" applyAlignment="1">
      <alignment horizontal="center"/>
    </xf>
    <xf numFmtId="164" fontId="6" fillId="0" borderId="0" xfId="1" applyNumberFormat="1" applyFont="1" applyFill="1" applyBorder="1"/>
    <xf numFmtId="164" fontId="10" fillId="0" borderId="0" xfId="1" applyNumberFormat="1" applyFont="1"/>
    <xf numFmtId="0" fontId="8" fillId="0" borderId="0" xfId="0" applyFont="1" applyFill="1" applyBorder="1"/>
    <xf numFmtId="0" fontId="6" fillId="0" borderId="0" xfId="0" applyFont="1" applyFill="1" applyBorder="1" applyAlignment="1">
      <alignment horizontal="center"/>
    </xf>
    <xf numFmtId="0" fontId="10" fillId="0" borderId="1" xfId="0" quotePrefix="1" applyFont="1" applyFill="1" applyBorder="1" applyAlignment="1">
      <alignment horizontal="center"/>
    </xf>
    <xf numFmtId="0" fontId="10" fillId="0" borderId="0" xfId="0" applyFont="1" applyFill="1" applyBorder="1" applyAlignment="1">
      <alignment horizontal="center"/>
    </xf>
    <xf numFmtId="164" fontId="10" fillId="0" borderId="0" xfId="1" applyNumberFormat="1" applyFont="1" applyFill="1" applyBorder="1"/>
    <xf numFmtId="164" fontId="6" fillId="0" borderId="0" xfId="1" quotePrefix="1" applyNumberFormat="1" applyFont="1" applyFill="1" applyBorder="1" applyAlignment="1">
      <alignment horizontal="center"/>
    </xf>
    <xf numFmtId="164" fontId="6" fillId="0" borderId="0" xfId="0" applyNumberFormat="1" applyFont="1" applyFill="1" applyBorder="1"/>
    <xf numFmtId="0" fontId="10" fillId="0" borderId="0" xfId="0" applyFont="1" applyFill="1" applyBorder="1" applyAlignment="1">
      <alignment horizontal="right"/>
    </xf>
    <xf numFmtId="0" fontId="6" fillId="0" borderId="0" xfId="0" quotePrefix="1" applyFont="1" applyFill="1" applyBorder="1" applyAlignment="1">
      <alignment horizontal="left"/>
    </xf>
    <xf numFmtId="0" fontId="6" fillId="0" borderId="0" xfId="0" quotePrefix="1" applyFont="1" applyFill="1" applyBorder="1" applyAlignment="1">
      <alignment horizontal="center"/>
    </xf>
    <xf numFmtId="0" fontId="10" fillId="0" borderId="0" xfId="0" quotePrefix="1" applyFont="1" applyFill="1" applyBorder="1" applyAlignment="1">
      <alignment horizontal="center"/>
    </xf>
    <xf numFmtId="0" fontId="10" fillId="0" borderId="0" xfId="0" quotePrefix="1" applyFont="1" applyFill="1" applyBorder="1" applyAlignment="1">
      <alignment horizontal="left"/>
    </xf>
    <xf numFmtId="0" fontId="10" fillId="0" borderId="2" xfId="0" quotePrefix="1" applyFont="1" applyFill="1" applyBorder="1" applyAlignment="1">
      <alignment horizontal="center"/>
    </xf>
    <xf numFmtId="0" fontId="6" fillId="0" borderId="0" xfId="0" applyFont="1" applyFill="1"/>
    <xf numFmtId="0" fontId="6" fillId="0" borderId="3" xfId="0" applyFont="1" applyFill="1" applyBorder="1" applyAlignment="1">
      <alignment horizontal="center"/>
    </xf>
    <xf numFmtId="0" fontId="6" fillId="0" borderId="0" xfId="0" applyFont="1" applyFill="1" applyBorder="1" applyAlignment="1">
      <alignment horizontal="left"/>
    </xf>
    <xf numFmtId="0" fontId="6" fillId="0" borderId="0" xfId="0" applyFont="1" applyFill="1" applyBorder="1" applyProtection="1">
      <protection locked="0"/>
    </xf>
    <xf numFmtId="0" fontId="6" fillId="0" borderId="0" xfId="0" applyFont="1" applyFill="1" applyBorder="1" applyAlignment="1" applyProtection="1">
      <alignment horizontal="center"/>
      <protection locked="0"/>
    </xf>
    <xf numFmtId="0" fontId="6" fillId="0" borderId="0" xfId="0" applyFont="1" applyBorder="1" applyProtection="1">
      <protection locked="0"/>
    </xf>
    <xf numFmtId="0" fontId="6" fillId="0" borderId="0" xfId="0" quotePrefix="1" applyFont="1" applyFill="1" applyBorder="1" applyProtection="1">
      <protection locked="0"/>
    </xf>
    <xf numFmtId="0" fontId="10" fillId="0" borderId="0" xfId="0" applyFont="1" applyFill="1" applyBorder="1" applyProtection="1">
      <protection locked="0"/>
    </xf>
    <xf numFmtId="0" fontId="6" fillId="0" borderId="0" xfId="0" quotePrefix="1" applyFont="1" applyFill="1" applyBorder="1" applyAlignment="1" applyProtection="1">
      <alignment horizontal="center"/>
      <protection locked="0"/>
    </xf>
    <xf numFmtId="0" fontId="6" fillId="0" borderId="0" xfId="0" applyFont="1" applyBorder="1" applyAlignment="1" applyProtection="1">
      <alignment horizontal="center"/>
      <protection locked="0"/>
    </xf>
    <xf numFmtId="0" fontId="6" fillId="0" borderId="4" xfId="0" applyFont="1" applyFill="1" applyBorder="1" applyProtection="1">
      <protection locked="0"/>
    </xf>
    <xf numFmtId="0" fontId="6" fillId="0" borderId="4" xfId="0" applyFont="1" applyFill="1" applyBorder="1" applyAlignment="1" applyProtection="1">
      <alignment horizontal="center"/>
      <protection locked="0"/>
    </xf>
    <xf numFmtId="0" fontId="10" fillId="0" borderId="0" xfId="0" quotePrefix="1" applyFont="1" applyFill="1" applyBorder="1" applyAlignment="1" applyProtection="1">
      <alignment horizontal="left"/>
      <protection locked="0"/>
    </xf>
    <xf numFmtId="164" fontId="10" fillId="0" borderId="0" xfId="1" applyNumberFormat="1" applyFont="1" applyFill="1" applyBorder="1" applyProtection="1">
      <protection locked="0"/>
    </xf>
    <xf numFmtId="0" fontId="10" fillId="0" borderId="0" xfId="0" applyFont="1" applyFill="1" applyBorder="1" applyAlignment="1" applyProtection="1">
      <alignment horizontal="center"/>
      <protection locked="0"/>
    </xf>
    <xf numFmtId="164" fontId="6" fillId="0" borderId="0" xfId="1" applyNumberFormat="1" applyFont="1" applyFill="1" applyBorder="1" applyProtection="1">
      <protection locked="0"/>
    </xf>
    <xf numFmtId="0" fontId="10" fillId="0" borderId="0" xfId="0" applyFont="1" applyFill="1" applyBorder="1" applyAlignment="1" applyProtection="1">
      <alignment horizontal="right"/>
      <protection locked="0"/>
    </xf>
    <xf numFmtId="0" fontId="6" fillId="0" borderId="0" xfId="0" applyFont="1" applyFill="1" applyBorder="1" applyAlignment="1" applyProtection="1">
      <alignment horizontal="right"/>
      <protection locked="0"/>
    </xf>
    <xf numFmtId="164" fontId="6" fillId="0" borderId="0" xfId="1" quotePrefix="1" applyNumberFormat="1" applyFont="1" applyFill="1" applyBorder="1" applyAlignment="1" applyProtection="1">
      <alignment horizontal="center"/>
      <protection locked="0"/>
    </xf>
    <xf numFmtId="0" fontId="8" fillId="0" borderId="0" xfId="0" applyFont="1" applyFill="1" applyBorder="1" applyProtection="1">
      <protection locked="0"/>
    </xf>
    <xf numFmtId="164" fontId="8" fillId="0" borderId="0" xfId="1" applyNumberFormat="1" applyFont="1" applyFill="1" applyBorder="1" applyProtection="1">
      <protection locked="0"/>
    </xf>
    <xf numFmtId="0" fontId="8" fillId="0" borderId="0" xfId="0" applyFont="1" applyFill="1" applyBorder="1" applyAlignment="1" applyProtection="1">
      <alignment horizontal="center"/>
      <protection locked="0"/>
    </xf>
    <xf numFmtId="164" fontId="7" fillId="0" borderId="0" xfId="1" applyNumberFormat="1" applyFont="1" applyFill="1" applyBorder="1" applyProtection="1">
      <protection locked="0"/>
    </xf>
    <xf numFmtId="0" fontId="7" fillId="0" borderId="0" xfId="0" applyFont="1" applyFill="1" applyBorder="1" applyAlignment="1" applyProtection="1">
      <alignment horizontal="center"/>
      <protection locked="0"/>
    </xf>
    <xf numFmtId="0" fontId="10" fillId="0" borderId="0" xfId="0" applyFont="1" applyFill="1" applyBorder="1" applyAlignment="1" applyProtection="1">
      <alignment horizontal="left"/>
      <protection locked="0"/>
    </xf>
    <xf numFmtId="164" fontId="10" fillId="0" borderId="0" xfId="1" quotePrefix="1" applyNumberFormat="1" applyFont="1" applyFill="1" applyBorder="1" applyAlignment="1" applyProtection="1">
      <alignment horizontal="center"/>
      <protection locked="0"/>
    </xf>
    <xf numFmtId="0" fontId="7" fillId="0" borderId="0" xfId="0" applyFont="1" applyFill="1" applyBorder="1" applyProtection="1">
      <protection locked="0"/>
    </xf>
    <xf numFmtId="0" fontId="6" fillId="0" borderId="0" xfId="0" applyFont="1" applyFill="1" applyBorder="1" applyAlignment="1" applyProtection="1">
      <alignment horizontal="left"/>
      <protection locked="0"/>
    </xf>
    <xf numFmtId="0" fontId="10" fillId="0" borderId="0" xfId="0" applyFont="1" applyBorder="1" applyProtection="1">
      <protection locked="0"/>
    </xf>
    <xf numFmtId="0" fontId="11" fillId="0" borderId="0" xfId="3" applyFont="1" applyFill="1" applyBorder="1" applyAlignment="1" applyProtection="1">
      <protection locked="0"/>
    </xf>
    <xf numFmtId="0" fontId="8" fillId="0" borderId="0" xfId="0" applyFont="1" applyFill="1" applyBorder="1" applyAlignment="1">
      <alignment horizontal="center"/>
    </xf>
    <xf numFmtId="0" fontId="8" fillId="0" borderId="0" xfId="0" applyFont="1" applyFill="1" applyBorder="1" applyAlignment="1">
      <alignment horizontal="left"/>
    </xf>
    <xf numFmtId="0" fontId="6" fillId="0" borderId="0" xfId="0" applyFont="1" applyFill="1" applyBorder="1" applyAlignment="1"/>
    <xf numFmtId="0" fontId="10" fillId="0" borderId="0" xfId="0" applyFont="1" applyFill="1" applyBorder="1" applyAlignment="1"/>
    <xf numFmtId="164" fontId="10" fillId="0" borderId="0" xfId="0" applyNumberFormat="1" applyFont="1" applyFill="1" applyBorder="1"/>
    <xf numFmtId="14" fontId="10" fillId="0" borderId="0" xfId="0" applyNumberFormat="1" applyFont="1" applyFill="1" applyBorder="1" applyAlignment="1">
      <alignment horizontal="left"/>
    </xf>
    <xf numFmtId="0" fontId="11" fillId="0" borderId="0" xfId="3" applyFont="1" applyBorder="1" applyAlignment="1" applyProtection="1">
      <protection locked="0"/>
    </xf>
    <xf numFmtId="0" fontId="6" fillId="0" borderId="0" xfId="0" quotePrefix="1" applyFont="1" applyBorder="1" applyAlignment="1" applyProtection="1">
      <alignment horizontal="center"/>
      <protection locked="0"/>
    </xf>
    <xf numFmtId="164" fontId="0" fillId="0" borderId="0" xfId="1" applyNumberFormat="1" applyFont="1"/>
    <xf numFmtId="164" fontId="0" fillId="0" borderId="0" xfId="0" applyNumberFormat="1"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164" fontId="0" fillId="0" borderId="0" xfId="1" applyNumberFormat="1" applyFont="1" applyBorder="1"/>
    <xf numFmtId="0" fontId="0" fillId="0" borderId="0" xfId="0" applyBorder="1" applyAlignment="1">
      <alignment horizontal="right"/>
    </xf>
    <xf numFmtId="10" fontId="0" fillId="0" borderId="0" xfId="4" applyNumberFormat="1" applyFont="1" applyBorder="1"/>
    <xf numFmtId="0" fontId="5" fillId="0" borderId="7" xfId="0" applyFont="1" applyBorder="1"/>
    <xf numFmtId="0" fontId="0" fillId="0" borderId="9" xfId="0" applyBorder="1"/>
    <xf numFmtId="0" fontId="0" fillId="0" borderId="10" xfId="0" applyBorder="1"/>
    <xf numFmtId="0" fontId="0" fillId="0" borderId="11" xfId="0" applyBorder="1"/>
    <xf numFmtId="0" fontId="6" fillId="0" borderId="3"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11" fillId="0" borderId="0" xfId="3" applyFont="1" applyFill="1" applyBorder="1" applyAlignment="1" applyProtection="1"/>
    <xf numFmtId="0" fontId="6" fillId="0" borderId="0" xfId="0" quotePrefix="1" applyFont="1" applyFill="1" applyBorder="1"/>
    <xf numFmtId="0" fontId="10" fillId="0" borderId="0" xfId="0" applyFont="1" applyBorder="1"/>
    <xf numFmtId="0" fontId="6" fillId="0" borderId="4" xfId="0" applyFont="1" applyFill="1" applyBorder="1"/>
    <xf numFmtId="0" fontId="6" fillId="0" borderId="4" xfId="0" applyFont="1" applyFill="1" applyBorder="1" applyAlignment="1">
      <alignment horizontal="center"/>
    </xf>
    <xf numFmtId="0" fontId="6" fillId="0" borderId="4" xfId="0" quotePrefix="1" applyFont="1" applyFill="1" applyBorder="1" applyAlignment="1">
      <alignment horizontal="center"/>
    </xf>
    <xf numFmtId="37" fontId="6" fillId="0" borderId="4" xfId="0" quotePrefix="1" applyNumberFormat="1" applyFont="1" applyFill="1" applyBorder="1" applyAlignment="1">
      <alignment horizontal="center"/>
    </xf>
    <xf numFmtId="0" fontId="6" fillId="0" borderId="0" xfId="0" applyFont="1" applyBorder="1" applyAlignment="1">
      <alignment horizontal="center"/>
    </xf>
    <xf numFmtId="0" fontId="10" fillId="0" borderId="0" xfId="0" applyFont="1" applyBorder="1" applyAlignment="1">
      <alignment horizontal="center"/>
    </xf>
    <xf numFmtId="0" fontId="10" fillId="0" borderId="12" xfId="0" applyFont="1" applyFill="1" applyBorder="1" applyAlignment="1">
      <alignment horizontal="center"/>
    </xf>
    <xf numFmtId="164" fontId="4" fillId="0" borderId="0" xfId="1" applyNumberFormat="1"/>
    <xf numFmtId="0" fontId="0" fillId="0" borderId="0" xfId="0" applyAlignment="1">
      <alignment horizontal="right"/>
    </xf>
    <xf numFmtId="0" fontId="0" fillId="0" borderId="0" xfId="0" applyAlignment="1"/>
    <xf numFmtId="0" fontId="0" fillId="0" borderId="0" xfId="0" applyBorder="1" applyAlignment="1"/>
    <xf numFmtId="0" fontId="6" fillId="0" borderId="0" xfId="0" applyFont="1" applyBorder="1" applyAlignment="1"/>
    <xf numFmtId="0" fontId="8" fillId="0" borderId="0" xfId="0" applyFont="1"/>
    <xf numFmtId="164" fontId="10" fillId="0" borderId="0" xfId="1" applyNumberFormat="1" applyFont="1" applyFill="1" applyBorder="1" applyAlignment="1" applyProtection="1">
      <alignment horizontal="center"/>
      <protection locked="0"/>
    </xf>
    <xf numFmtId="0" fontId="8" fillId="0" borderId="0" xfId="0" quotePrefix="1" applyFont="1" applyFill="1" applyBorder="1" applyAlignment="1" applyProtection="1">
      <alignment horizontal="left"/>
      <protection locked="0"/>
    </xf>
    <xf numFmtId="0" fontId="6" fillId="0" borderId="0" xfId="0" quotePrefix="1" applyFont="1" applyFill="1" applyBorder="1" applyAlignment="1" applyProtection="1">
      <alignment horizontal="left"/>
      <protection locked="0"/>
    </xf>
    <xf numFmtId="0" fontId="10" fillId="0" borderId="0" xfId="0" quotePrefix="1" applyFont="1" applyFill="1" applyBorder="1" applyAlignment="1" applyProtection="1">
      <alignment horizontal="center"/>
      <protection locked="0"/>
    </xf>
    <xf numFmtId="166" fontId="6" fillId="0" borderId="0" xfId="1" applyNumberFormat="1" applyFont="1" applyFill="1" applyBorder="1"/>
    <xf numFmtId="164" fontId="6" fillId="0" borderId="0" xfId="1" applyNumberFormat="1" applyFont="1" applyFill="1" applyBorder="1" applyAlignment="1">
      <alignment horizontal="center"/>
    </xf>
    <xf numFmtId="164" fontId="6" fillId="0" borderId="0" xfId="1" applyNumberFormat="1" applyFont="1" applyFill="1" applyBorder="1" applyAlignment="1" applyProtection="1">
      <protection locked="0"/>
    </xf>
    <xf numFmtId="0" fontId="10" fillId="0" borderId="0" xfId="0" applyFont="1" applyAlignment="1">
      <alignment horizontal="center"/>
    </xf>
    <xf numFmtId="0" fontId="10" fillId="0" borderId="10" xfId="0" applyFont="1" applyBorder="1" applyAlignment="1">
      <alignment horizontal="center"/>
    </xf>
    <xf numFmtId="164" fontId="0" fillId="0" borderId="0" xfId="0" applyNumberFormat="1"/>
    <xf numFmtId="0" fontId="0" fillId="0" borderId="0" xfId="0" applyBorder="1" applyAlignment="1">
      <alignment horizontal="center"/>
    </xf>
    <xf numFmtId="10" fontId="0" fillId="0" borderId="0" xfId="4" applyNumberFormat="1" applyFont="1"/>
    <xf numFmtId="43" fontId="6" fillId="0" borderId="0" xfId="1" applyFont="1" applyFill="1" applyBorder="1"/>
    <xf numFmtId="0" fontId="0" fillId="0" borderId="0" xfId="0" quotePrefix="1"/>
    <xf numFmtId="0" fontId="6" fillId="0" borderId="0" xfId="0" applyFont="1" applyFill="1" applyBorder="1" applyAlignment="1" applyProtection="1">
      <protection locked="0"/>
    </xf>
    <xf numFmtId="0" fontId="6" fillId="0" borderId="0" xfId="0" applyFont="1" applyBorder="1" applyAlignment="1" applyProtection="1">
      <protection locked="0"/>
    </xf>
    <xf numFmtId="0" fontId="0" fillId="0" borderId="13" xfId="0" applyBorder="1"/>
    <xf numFmtId="164" fontId="6" fillId="0" borderId="0" xfId="1" applyNumberFormat="1" applyFont="1"/>
    <xf numFmtId="0" fontId="13" fillId="0" borderId="0" xfId="0" applyFont="1"/>
    <xf numFmtId="0" fontId="6" fillId="0" borderId="8" xfId="0" applyFont="1" applyFill="1" applyBorder="1" applyAlignment="1">
      <alignment horizontal="center"/>
    </xf>
    <xf numFmtId="43" fontId="6" fillId="0" borderId="0" xfId="1" applyNumberFormat="1" applyFont="1" applyFill="1" applyBorder="1" applyProtection="1">
      <protection locked="0"/>
    </xf>
    <xf numFmtId="164" fontId="6" fillId="0" borderId="0" xfId="0" applyNumberFormat="1" applyFont="1" applyFill="1" applyBorder="1" applyProtection="1">
      <protection locked="0"/>
    </xf>
    <xf numFmtId="164" fontId="6" fillId="0" borderId="0" xfId="1" applyNumberFormat="1" applyFont="1" applyFill="1" applyBorder="1" applyAlignment="1" applyProtection="1">
      <alignment horizontal="center"/>
      <protection locked="0"/>
    </xf>
    <xf numFmtId="164" fontId="6" fillId="0" borderId="0" xfId="1" applyNumberFormat="1" applyFont="1" applyBorder="1" applyProtection="1">
      <protection locked="0"/>
    </xf>
    <xf numFmtId="164" fontId="6" fillId="0" borderId="13" xfId="1" applyNumberFormat="1" applyFont="1" applyFill="1" applyBorder="1"/>
    <xf numFmtId="164" fontId="10" fillId="0" borderId="13" xfId="1" applyNumberFormat="1" applyFont="1" applyFill="1" applyBorder="1"/>
    <xf numFmtId="164" fontId="6" fillId="0" borderId="13" xfId="1" quotePrefix="1" applyNumberFormat="1" applyFont="1" applyFill="1" applyBorder="1" applyAlignment="1">
      <alignment horizontal="center"/>
    </xf>
    <xf numFmtId="0" fontId="6" fillId="0" borderId="13" xfId="0" applyFont="1" applyFill="1" applyBorder="1"/>
    <xf numFmtId="0" fontId="10" fillId="0" borderId="13" xfId="0" applyFont="1" applyFill="1" applyBorder="1"/>
    <xf numFmtId="164" fontId="4" fillId="0" borderId="0" xfId="1" applyNumberFormat="1" applyFont="1"/>
    <xf numFmtId="0" fontId="6" fillId="0" borderId="13" xfId="0" applyFont="1" applyFill="1" applyBorder="1" applyAlignment="1">
      <alignment horizontal="center"/>
    </xf>
    <xf numFmtId="164" fontId="4" fillId="0" borderId="0" xfId="0" applyNumberFormat="1" applyFont="1" applyFill="1" applyBorder="1"/>
    <xf numFmtId="164" fontId="10" fillId="0" borderId="13" xfId="0" applyNumberFormat="1" applyFont="1" applyFill="1" applyBorder="1"/>
    <xf numFmtId="17" fontId="0" fillId="0" borderId="0" xfId="0" quotePrefix="1" applyNumberFormat="1" applyAlignment="1">
      <alignment horizontal="right"/>
    </xf>
    <xf numFmtId="164" fontId="6" fillId="0" borderId="13" xfId="1" applyNumberFormat="1" applyFont="1" applyFill="1" applyBorder="1" applyProtection="1">
      <protection locked="0"/>
    </xf>
    <xf numFmtId="0" fontId="6" fillId="0" borderId="13" xfId="0" applyFont="1" applyFill="1" applyBorder="1" applyProtection="1">
      <protection locked="0"/>
    </xf>
    <xf numFmtId="164" fontId="0" fillId="0" borderId="0" xfId="1" applyNumberFormat="1" applyFont="1" applyAlignment="1"/>
    <xf numFmtId="164" fontId="0" fillId="0" borderId="13" xfId="1" applyNumberFormat="1" applyFont="1" applyBorder="1"/>
    <xf numFmtId="0" fontId="0" fillId="0" borderId="0" xfId="0" applyFill="1"/>
    <xf numFmtId="0" fontId="0" fillId="0" borderId="0" xfId="0" applyFill="1" applyAlignment="1"/>
    <xf numFmtId="165" fontId="0" fillId="0" borderId="0" xfId="2" applyNumberFormat="1" applyFont="1"/>
    <xf numFmtId="165" fontId="0" fillId="0" borderId="0" xfId="2" applyNumberFormat="1" applyFont="1" applyBorder="1"/>
    <xf numFmtId="165" fontId="10" fillId="0" borderId="0" xfId="2" applyNumberFormat="1" applyFont="1"/>
    <xf numFmtId="43" fontId="3" fillId="0" borderId="0" xfId="1" applyFont="1" applyFill="1" applyBorder="1" applyAlignment="1">
      <alignment horizontal="center"/>
    </xf>
    <xf numFmtId="0" fontId="0" fillId="0" borderId="0" xfId="0" applyFill="1" applyAlignment="1">
      <alignment horizontal="center"/>
    </xf>
    <xf numFmtId="17" fontId="0" fillId="0" borderId="0" xfId="0" quotePrefix="1" applyNumberFormat="1" applyFill="1" applyAlignment="1">
      <alignment horizontal="right"/>
    </xf>
    <xf numFmtId="0" fontId="0" fillId="0" borderId="0" xfId="0" applyFill="1" applyBorder="1"/>
    <xf numFmtId="164" fontId="0" fillId="0" borderId="0" xfId="1" applyNumberFormat="1" applyFont="1" applyFill="1"/>
    <xf numFmtId="165" fontId="0" fillId="0" borderId="15" xfId="2" applyNumberFormat="1" applyFont="1" applyBorder="1"/>
    <xf numFmtId="0" fontId="16" fillId="0" borderId="4" xfId="0" applyFont="1" applyFill="1" applyBorder="1" applyProtection="1">
      <protection locked="0"/>
    </xf>
    <xf numFmtId="44" fontId="0" fillId="0" borderId="0" xfId="2" applyFont="1"/>
    <xf numFmtId="165" fontId="6" fillId="0" borderId="0" xfId="2" applyNumberFormat="1" applyFont="1" applyFill="1" applyBorder="1"/>
    <xf numFmtId="0" fontId="6" fillId="0" borderId="0" xfId="0" applyFont="1" applyFill="1" applyBorder="1" applyAlignment="1">
      <alignment horizontal="left" indent="1"/>
    </xf>
    <xf numFmtId="9" fontId="0" fillId="0" borderId="0" xfId="4" applyFont="1"/>
    <xf numFmtId="9" fontId="6" fillId="0" borderId="0" xfId="4" applyFont="1" applyFill="1" applyBorder="1" applyAlignment="1">
      <alignment horizontal="center"/>
    </xf>
    <xf numFmtId="9" fontId="10" fillId="0" borderId="0" xfId="4" applyFont="1" applyFill="1" applyBorder="1" applyAlignment="1">
      <alignment horizontal="center"/>
    </xf>
    <xf numFmtId="43" fontId="10" fillId="0" borderId="0" xfId="1" applyFont="1" applyFill="1" applyBorder="1"/>
    <xf numFmtId="0" fontId="10" fillId="0" borderId="0" xfId="0" applyFont="1" applyFill="1"/>
    <xf numFmtId="0" fontId="8" fillId="0" borderId="0" xfId="0" applyFont="1" applyFill="1" applyAlignment="1">
      <alignment horizontal="center"/>
    </xf>
    <xf numFmtId="0" fontId="10" fillId="0" borderId="0" xfId="0" applyFont="1" applyFill="1" applyAlignment="1"/>
    <xf numFmtId="0" fontId="10" fillId="0" borderId="0" xfId="0" applyFont="1" applyFill="1" applyAlignment="1">
      <alignment horizontal="right"/>
    </xf>
    <xf numFmtId="43" fontId="0" fillId="0" borderId="0" xfId="1" applyFont="1" applyFill="1"/>
    <xf numFmtId="9" fontId="10" fillId="0" borderId="0" xfId="4" applyFont="1" applyBorder="1" applyAlignment="1">
      <alignment horizontal="center"/>
    </xf>
    <xf numFmtId="9" fontId="0" fillId="0" borderId="0" xfId="4" applyFont="1" applyBorder="1" applyAlignment="1">
      <alignment horizontal="center"/>
    </xf>
    <xf numFmtId="164" fontId="18" fillId="0" borderId="0" xfId="0" applyNumberFormat="1" applyFont="1" applyBorder="1"/>
    <xf numFmtId="164" fontId="18" fillId="0" borderId="0" xfId="0" applyNumberFormat="1" applyFont="1"/>
    <xf numFmtId="0" fontId="19" fillId="0" borderId="0" xfId="0" applyFont="1" applyFill="1" applyBorder="1"/>
    <xf numFmtId="0" fontId="19" fillId="0" borderId="0" xfId="0" applyFont="1"/>
    <xf numFmtId="43" fontId="19" fillId="0" borderId="0" xfId="1" applyFont="1"/>
    <xf numFmtId="164" fontId="20" fillId="0" borderId="0" xfId="1" applyNumberFormat="1" applyFont="1"/>
    <xf numFmtId="167" fontId="6" fillId="0" borderId="0" xfId="0" applyNumberFormat="1" applyFont="1" applyFill="1" applyBorder="1"/>
    <xf numFmtId="0" fontId="4" fillId="0" borderId="0" xfId="0" applyFont="1" applyAlignment="1">
      <alignment horizontal="right"/>
    </xf>
    <xf numFmtId="0" fontId="4" fillId="0" borderId="0" xfId="0" applyFont="1"/>
    <xf numFmtId="3" fontId="22" fillId="0" borderId="0" xfId="0" applyNumberFormat="1" applyFont="1"/>
    <xf numFmtId="164" fontId="0" fillId="0" borderId="0" xfId="1" applyNumberFormat="1" applyFont="1" applyFill="1" applyAlignment="1">
      <alignment horizontal="center"/>
    </xf>
    <xf numFmtId="165" fontId="6" fillId="0" borderId="13" xfId="2" applyNumberFormat="1" applyFont="1" applyFill="1" applyBorder="1"/>
    <xf numFmtId="0" fontId="4" fillId="0" borderId="0" xfId="0" applyFont="1" applyFill="1" applyBorder="1"/>
    <xf numFmtId="165" fontId="10" fillId="0" borderId="0" xfId="2" applyNumberFormat="1" applyFont="1" applyFill="1" applyBorder="1"/>
    <xf numFmtId="165" fontId="12" fillId="0" borderId="0" xfId="2" applyNumberFormat="1" applyFont="1" applyFill="1" applyBorder="1"/>
    <xf numFmtId="165" fontId="10" fillId="0" borderId="0" xfId="2" applyNumberFormat="1" applyFont="1" applyBorder="1"/>
    <xf numFmtId="0" fontId="6" fillId="0" borderId="0" xfId="0" applyFont="1" applyAlignment="1">
      <alignment horizontal="center"/>
    </xf>
    <xf numFmtId="165" fontId="4" fillId="0" borderId="0" xfId="2" applyNumberFormat="1"/>
    <xf numFmtId="165" fontId="6" fillId="0" borderId="0" xfId="2" applyNumberFormat="1" applyFont="1" applyFill="1" applyBorder="1" applyProtection="1">
      <protection locked="0"/>
    </xf>
    <xf numFmtId="165" fontId="10" fillId="0" borderId="0" xfId="2" applyNumberFormat="1" applyFont="1" applyFill="1" applyBorder="1" applyProtection="1">
      <protection locked="0"/>
    </xf>
    <xf numFmtId="0" fontId="3" fillId="0" borderId="2" xfId="0" applyFont="1" applyFill="1" applyBorder="1" applyAlignment="1">
      <alignment horizontal="center"/>
    </xf>
    <xf numFmtId="0" fontId="3" fillId="0" borderId="1" xfId="0" applyFont="1" applyFill="1" applyBorder="1" applyAlignment="1">
      <alignment horizontal="center"/>
    </xf>
    <xf numFmtId="0" fontId="3" fillId="0" borderId="2" xfId="0" applyFont="1" applyBorder="1" applyAlignment="1" applyProtection="1">
      <alignment horizontal="center"/>
      <protection locked="0"/>
    </xf>
    <xf numFmtId="0" fontId="3" fillId="0" borderId="0" xfId="0" applyFont="1" applyFill="1" applyBorder="1" applyAlignment="1">
      <alignment horizontal="left"/>
    </xf>
    <xf numFmtId="17" fontId="4" fillId="0" borderId="0" xfId="0" quotePrefix="1" applyNumberFormat="1" applyFont="1" applyAlignment="1">
      <alignment horizontal="right"/>
    </xf>
    <xf numFmtId="0" fontId="4" fillId="0" borderId="0" xfId="0" quotePrefix="1" applyFont="1" applyAlignment="1">
      <alignment horizontal="right"/>
    </xf>
    <xf numFmtId="0" fontId="3" fillId="0" borderId="0" xfId="0" quotePrefix="1" applyFont="1" applyFill="1" applyBorder="1" applyAlignment="1">
      <alignment horizontal="center"/>
    </xf>
    <xf numFmtId="0" fontId="3" fillId="0" borderId="12" xfId="0" applyFont="1" applyFill="1" applyBorder="1" applyAlignment="1">
      <alignment horizontal="center"/>
    </xf>
    <xf numFmtId="0" fontId="4" fillId="0" borderId="0" xfId="0" applyFont="1" applyFill="1" applyBorder="1" applyAlignment="1">
      <alignment horizontal="center"/>
    </xf>
    <xf numFmtId="43" fontId="12" fillId="0" borderId="0" xfId="1" applyFont="1" applyAlignment="1">
      <alignment horizontal="center"/>
    </xf>
    <xf numFmtId="164" fontId="3" fillId="0" borderId="16" xfId="1" applyNumberFormat="1" applyFont="1" applyFill="1" applyBorder="1" applyAlignment="1">
      <alignment horizontal="center"/>
    </xf>
    <xf numFmtId="0" fontId="3" fillId="0" borderId="0" xfId="0" applyFont="1"/>
    <xf numFmtId="164" fontId="3" fillId="0" borderId="16" xfId="1" applyNumberFormat="1" applyFont="1" applyFill="1" applyBorder="1"/>
    <xf numFmtId="0" fontId="10" fillId="0" borderId="12"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xf numFmtId="0" fontId="3" fillId="0" borderId="0" xfId="0" applyFont="1" applyAlignment="1">
      <alignment horizontal="center"/>
    </xf>
    <xf numFmtId="0" fontId="4" fillId="0" borderId="0" xfId="0" applyFont="1" applyAlignment="1">
      <alignment horizontal="center"/>
    </xf>
    <xf numFmtId="164" fontId="3" fillId="0" borderId="0" xfId="0" applyNumberFormat="1" applyFont="1"/>
    <xf numFmtId="165" fontId="3" fillId="0" borderId="0" xfId="2" applyNumberFormat="1" applyFont="1"/>
    <xf numFmtId="164" fontId="0" fillId="0" borderId="12" xfId="1" applyNumberFormat="1" applyFont="1" applyBorder="1"/>
    <xf numFmtId="164" fontId="3" fillId="0" borderId="12" xfId="0" applyNumberFormat="1" applyFont="1" applyBorder="1"/>
    <xf numFmtId="165" fontId="0" fillId="0" borderId="0" xfId="0" applyNumberFormat="1"/>
    <xf numFmtId="165" fontId="3" fillId="0" borderId="14" xfId="0" applyNumberFormat="1" applyFont="1" applyBorder="1"/>
    <xf numFmtId="0" fontId="3" fillId="0" borderId="12" xfId="0" applyFont="1" applyBorder="1" applyAlignment="1">
      <alignment horizontal="center"/>
    </xf>
    <xf numFmtId="41" fontId="0" fillId="0" borderId="0" xfId="0" applyNumberFormat="1"/>
    <xf numFmtId="0" fontId="3" fillId="0" borderId="0" xfId="0" applyFont="1" applyAlignment="1">
      <alignment horizontal="right"/>
    </xf>
    <xf numFmtId="0" fontId="0" fillId="0" borderId="12" xfId="0" applyBorder="1"/>
    <xf numFmtId="41" fontId="0" fillId="0" borderId="12" xfId="0" applyNumberFormat="1" applyBorder="1"/>
    <xf numFmtId="165" fontId="3" fillId="0" borderId="14" xfId="2" applyNumberFormat="1" applyFont="1" applyBorder="1"/>
    <xf numFmtId="0" fontId="4" fillId="0" borderId="3" xfId="0" applyFont="1" applyFill="1" applyBorder="1" applyAlignment="1">
      <alignment horizontal="center"/>
    </xf>
    <xf numFmtId="0" fontId="3" fillId="0" borderId="0" xfId="0" applyFont="1" applyFill="1" applyAlignment="1">
      <alignment horizontal="center"/>
    </xf>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164" fontId="4" fillId="0" borderId="0" xfId="1" applyNumberFormat="1" applyFont="1" applyFill="1" applyBorder="1"/>
    <xf numFmtId="165" fontId="4" fillId="0" borderId="0" xfId="2" applyNumberFormat="1" applyFont="1" applyFill="1" applyBorder="1"/>
    <xf numFmtId="43" fontId="6" fillId="0" borderId="0" xfId="1" applyNumberFormat="1" applyFont="1" applyFill="1" applyBorder="1"/>
    <xf numFmtId="0" fontId="4" fillId="0" borderId="0" xfId="0" applyFont="1" applyFill="1" applyBorder="1" applyAlignment="1">
      <alignment horizontal="left"/>
    </xf>
    <xf numFmtId="41" fontId="6" fillId="0" borderId="0" xfId="0" applyNumberFormat="1" applyFont="1" applyFill="1" applyBorder="1"/>
    <xf numFmtId="42" fontId="0" fillId="0" borderId="0" xfId="0" applyNumberFormat="1"/>
    <xf numFmtId="41" fontId="0" fillId="0" borderId="0" xfId="1" applyNumberFormat="1" applyFont="1"/>
    <xf numFmtId="42" fontId="3" fillId="0" borderId="0" xfId="0" applyNumberFormat="1" applyFont="1"/>
    <xf numFmtId="41" fontId="3" fillId="0" borderId="0" xfId="1" applyNumberFormat="1" applyFont="1"/>
    <xf numFmtId="168" fontId="0" fillId="0" borderId="0" xfId="0" applyNumberFormat="1"/>
    <xf numFmtId="41" fontId="0" fillId="0" borderId="0" xfId="1" applyNumberFormat="1" applyFont="1" applyFill="1"/>
    <xf numFmtId="41" fontId="2" fillId="0" borderId="0" xfId="6" applyNumberFormat="1"/>
    <xf numFmtId="41" fontId="0" fillId="0" borderId="0" xfId="1" applyNumberFormat="1" applyFont="1" applyFill="1" applyAlignment="1">
      <alignment horizontal="center"/>
    </xf>
    <xf numFmtId="41" fontId="10" fillId="0" borderId="0" xfId="1" applyNumberFormat="1" applyFont="1"/>
    <xf numFmtId="41" fontId="3" fillId="0" borderId="16" xfId="1" applyNumberFormat="1" applyFont="1" applyFill="1" applyBorder="1" applyAlignment="1">
      <alignment horizontal="center"/>
    </xf>
    <xf numFmtId="0" fontId="0" fillId="0" borderId="0" xfId="0" applyFill="1" applyAlignment="1">
      <alignment horizontal="right"/>
    </xf>
    <xf numFmtId="0" fontId="3" fillId="0" borderId="0" xfId="0" applyNumberFormat="1" applyFont="1" applyFill="1" applyAlignment="1"/>
    <xf numFmtId="0" fontId="0" fillId="0" borderId="0" xfId="0" applyNumberFormat="1" applyFill="1" applyAlignment="1">
      <alignment horizontal="left"/>
    </xf>
    <xf numFmtId="0" fontId="3" fillId="0" borderId="0" xfId="0" applyNumberFormat="1" applyFont="1" applyFill="1" applyAlignment="1">
      <alignment horizontal="left"/>
    </xf>
    <xf numFmtId="0" fontId="0" fillId="0" borderId="0" xfId="0" applyNumberFormat="1" applyFill="1" applyAlignment="1"/>
    <xf numFmtId="0" fontId="13" fillId="0" borderId="0" xfId="0" applyFont="1" applyFill="1" applyAlignment="1"/>
    <xf numFmtId="0" fontId="3" fillId="0" borderId="0" xfId="0" applyFont="1" applyFill="1" applyAlignment="1"/>
    <xf numFmtId="0" fontId="4" fillId="0" borderId="0" xfId="0" applyFont="1" applyFill="1" applyAlignment="1">
      <alignment horizontal="right"/>
    </xf>
    <xf numFmtId="0" fontId="4" fillId="0" borderId="0" xfId="0" applyFont="1" applyFill="1" applyAlignment="1"/>
    <xf numFmtId="0" fontId="4" fillId="0" borderId="0" xfId="0" applyFont="1" applyFill="1"/>
    <xf numFmtId="0" fontId="4" fillId="0" borderId="0" xfId="0" applyNumberFormat="1" applyFont="1" applyFill="1" applyAlignment="1"/>
    <xf numFmtId="0" fontId="17" fillId="0" borderId="0" xfId="0" applyFont="1" applyFill="1" applyAlignment="1"/>
    <xf numFmtId="42" fontId="0" fillId="0" borderId="0" xfId="2" applyNumberFormat="1" applyFont="1"/>
    <xf numFmtId="42" fontId="3" fillId="0" borderId="16" xfId="0" applyNumberFormat="1" applyFont="1" applyBorder="1"/>
    <xf numFmtId="41" fontId="3" fillId="0" borderId="0" xfId="0" applyNumberFormat="1" applyFont="1"/>
    <xf numFmtId="0" fontId="26" fillId="0" borderId="0" xfId="0" applyFont="1"/>
    <xf numFmtId="0" fontId="27" fillId="0" borderId="0" xfId="0" applyFont="1"/>
    <xf numFmtId="0" fontId="27" fillId="0" borderId="0" xfId="0" applyFont="1" applyAlignment="1"/>
    <xf numFmtId="165" fontId="0" fillId="0" borderId="0" xfId="2" applyNumberFormat="1" applyFont="1" applyFill="1" applyBorder="1"/>
    <xf numFmtId="0" fontId="10" fillId="0" borderId="10" xfId="0" applyFont="1" applyFill="1" applyBorder="1" applyAlignment="1">
      <alignment horizontal="center"/>
    </xf>
    <xf numFmtId="164" fontId="3" fillId="0" borderId="0" xfId="1" applyNumberFormat="1" applyFont="1"/>
    <xf numFmtId="42" fontId="0" fillId="0" borderId="0" xfId="1" applyNumberFormat="1" applyFont="1"/>
    <xf numFmtId="0" fontId="10" fillId="38" borderId="0" xfId="0" applyFont="1" applyFill="1" applyAlignment="1">
      <alignment horizontal="center"/>
    </xf>
    <xf numFmtId="0" fontId="10" fillId="38" borderId="10" xfId="0" applyFont="1" applyFill="1" applyBorder="1" applyAlignment="1">
      <alignment horizontal="center"/>
    </xf>
    <xf numFmtId="0" fontId="10" fillId="39" borderId="0" xfId="0" applyFont="1" applyFill="1" applyAlignment="1">
      <alignment horizontal="center"/>
    </xf>
    <xf numFmtId="0" fontId="10" fillId="39" borderId="10" xfId="0" applyFont="1" applyFill="1" applyBorder="1" applyAlignment="1">
      <alignment horizontal="center"/>
    </xf>
    <xf numFmtId="0" fontId="10" fillId="0" borderId="0" xfId="0" applyFont="1" applyFill="1" applyAlignment="1">
      <alignment horizontal="center"/>
    </xf>
    <xf numFmtId="43" fontId="0" fillId="0" borderId="0" xfId="1" applyFont="1" applyFill="1" applyBorder="1"/>
    <xf numFmtId="164" fontId="10" fillId="0" borderId="0" xfId="1" applyNumberFormat="1" applyFont="1" applyFill="1"/>
    <xf numFmtId="164" fontId="3" fillId="0" borderId="0" xfId="1" applyNumberFormat="1" applyFont="1" applyFill="1" applyAlignment="1">
      <alignment horizontal="center"/>
    </xf>
    <xf numFmtId="164" fontId="10" fillId="0" borderId="0" xfId="1" applyNumberFormat="1" applyFont="1" applyFill="1" applyAlignment="1">
      <alignment horizontal="center"/>
    </xf>
    <xf numFmtId="0" fontId="10" fillId="0" borderId="13" xfId="0" applyFont="1" applyFill="1" applyBorder="1" applyAlignment="1">
      <alignment horizontal="center"/>
    </xf>
    <xf numFmtId="164" fontId="3" fillId="0" borderId="13" xfId="1" applyNumberFormat="1" applyFont="1" applyFill="1" applyBorder="1" applyAlignment="1">
      <alignment horizontal="center"/>
    </xf>
    <xf numFmtId="164" fontId="10" fillId="0" borderId="13" xfId="1" applyNumberFormat="1" applyFont="1" applyFill="1" applyBorder="1" applyAlignment="1">
      <alignment horizontal="center"/>
    </xf>
    <xf numFmtId="0" fontId="3" fillId="0" borderId="13" xfId="0" applyFont="1" applyFill="1" applyBorder="1" applyAlignment="1">
      <alignment horizontal="center"/>
    </xf>
    <xf numFmtId="0" fontId="10" fillId="0" borderId="5" xfId="0" applyFont="1" applyFill="1" applyBorder="1" applyAlignment="1">
      <alignment horizontal="center"/>
    </xf>
    <xf numFmtId="0" fontId="10" fillId="0" borderId="4" xfId="0" applyFont="1" applyFill="1" applyBorder="1" applyAlignment="1">
      <alignment horizontal="center"/>
    </xf>
    <xf numFmtId="0" fontId="10" fillId="0" borderId="8" xfId="0" applyFont="1" applyFill="1" applyBorder="1" applyAlignment="1">
      <alignment horizontal="center"/>
    </xf>
    <xf numFmtId="0" fontId="4" fillId="0" borderId="9" xfId="0" applyFont="1" applyFill="1" applyBorder="1"/>
    <xf numFmtId="0" fontId="4" fillId="0" borderId="10" xfId="0" applyFont="1" applyFill="1" applyBorder="1" applyAlignment="1">
      <alignment horizontal="center"/>
    </xf>
    <xf numFmtId="43" fontId="6" fillId="0" borderId="0" xfId="0" applyNumberFormat="1" applyFont="1" applyFill="1" applyBorder="1"/>
    <xf numFmtId="43" fontId="10" fillId="0" borderId="0" xfId="0" applyNumberFormat="1" applyFont="1" applyFill="1" applyBorder="1"/>
    <xf numFmtId="165" fontId="3" fillId="0" borderId="14" xfId="0" applyNumberFormat="1" applyFont="1" applyFill="1" applyBorder="1"/>
    <xf numFmtId="42" fontId="0" fillId="0" borderId="0" xfId="0" applyNumberFormat="1" applyBorder="1"/>
    <xf numFmtId="42" fontId="41" fillId="0" borderId="0" xfId="0" applyNumberFormat="1" applyFont="1"/>
    <xf numFmtId="0" fontId="4" fillId="0" borderId="0" xfId="0" applyNumberFormat="1" applyFont="1" applyFill="1" applyAlignment="1">
      <alignment horizontal="left" wrapText="1"/>
    </xf>
    <xf numFmtId="0" fontId="4" fillId="0" borderId="0" xfId="0" applyFont="1" applyFill="1" applyAlignment="1">
      <alignment horizontal="left" wrapText="1"/>
    </xf>
    <xf numFmtId="0" fontId="4" fillId="0" borderId="0" xfId="0" applyNumberFormat="1" applyFont="1" applyFill="1" applyAlignment="1">
      <alignment wrapText="1"/>
    </xf>
    <xf numFmtId="0" fontId="25" fillId="0" borderId="0" xfId="0" applyFont="1" applyFill="1" applyAlignment="1"/>
    <xf numFmtId="0" fontId="25" fillId="0" borderId="0" xfId="0" applyNumberFormat="1" applyFont="1" applyFill="1" applyAlignment="1">
      <alignment horizontal="left" wrapText="1"/>
    </xf>
    <xf numFmtId="0" fontId="39" fillId="0" borderId="0" xfId="0" applyFont="1" applyFill="1"/>
    <xf numFmtId="0" fontId="0" fillId="0" borderId="0" xfId="0" applyFill="1" applyAlignment="1">
      <alignment wrapText="1"/>
    </xf>
    <xf numFmtId="0" fontId="60" fillId="0" borderId="0" xfId="0" applyFont="1" applyFill="1" applyAlignment="1"/>
    <xf numFmtId="181" fontId="0" fillId="0" borderId="0" xfId="0" applyNumberFormat="1"/>
    <xf numFmtId="42" fontId="3" fillId="0" borderId="16" xfId="1" applyNumberFormat="1" applyFont="1" applyBorder="1"/>
    <xf numFmtId="41" fontId="0" fillId="0" borderId="0" xfId="0" applyNumberFormat="1" applyBorder="1"/>
    <xf numFmtId="41" fontId="41" fillId="0" borderId="0" xfId="0" applyNumberFormat="1" applyFont="1"/>
    <xf numFmtId="41" fontId="4" fillId="0" borderId="0" xfId="0" applyNumberFormat="1" applyFont="1"/>
    <xf numFmtId="41" fontId="4" fillId="0" borderId="0" xfId="1" applyNumberFormat="1" applyFont="1"/>
    <xf numFmtId="10" fontId="10" fillId="0" borderId="0" xfId="4" applyNumberFormat="1" applyFont="1" applyFill="1" applyBorder="1"/>
    <xf numFmtId="10" fontId="4" fillId="0" borderId="0" xfId="4" applyNumberFormat="1" applyFont="1" applyFill="1" applyBorder="1"/>
    <xf numFmtId="41" fontId="6" fillId="0" borderId="0" xfId="2" applyNumberFormat="1" applyFont="1" applyFill="1" applyBorder="1"/>
    <xf numFmtId="0" fontId="4" fillId="0" borderId="0" xfId="0" applyFont="1" applyFill="1" applyAlignment="1">
      <alignment horizontal="center"/>
    </xf>
    <xf numFmtId="42" fontId="3" fillId="0" borderId="0" xfId="0" applyNumberFormat="1" applyFont="1" applyFill="1"/>
    <xf numFmtId="41" fontId="3" fillId="0" borderId="0" xfId="0" applyNumberFormat="1" applyFont="1" applyFill="1"/>
    <xf numFmtId="42" fontId="3" fillId="0" borderId="16" xfId="0" applyNumberFormat="1" applyFont="1" applyFill="1" applyBorder="1"/>
    <xf numFmtId="168" fontId="0" fillId="0" borderId="0" xfId="0" applyNumberFormat="1" applyAlignment="1">
      <alignment horizontal="center"/>
    </xf>
    <xf numFmtId="0" fontId="0" fillId="0" borderId="0" xfId="0" applyAlignment="1">
      <alignment horizontal="left"/>
    </xf>
    <xf numFmtId="0" fontId="5" fillId="0" borderId="37" xfId="0" applyFont="1" applyBorder="1"/>
    <xf numFmtId="0" fontId="61" fillId="0" borderId="35" xfId="0" applyFont="1" applyBorder="1"/>
    <xf numFmtId="41" fontId="5" fillId="0" borderId="0" xfId="2" applyNumberFormat="1" applyFont="1" applyBorder="1"/>
    <xf numFmtId="41" fontId="5" fillId="0" borderId="38" xfId="0" applyNumberFormat="1" applyFont="1" applyBorder="1"/>
    <xf numFmtId="41" fontId="5" fillId="0" borderId="12" xfId="2" applyNumberFormat="1" applyFont="1" applyBorder="1"/>
    <xf numFmtId="42" fontId="61" fillId="0" borderId="12" xfId="0" applyNumberFormat="1" applyFont="1" applyBorder="1"/>
    <xf numFmtId="42" fontId="61" fillId="0" borderId="36" xfId="0" applyNumberFormat="1" applyFont="1" applyBorder="1"/>
    <xf numFmtId="42" fontId="4" fillId="0" borderId="0" xfId="1" applyNumberFormat="1" applyFont="1"/>
    <xf numFmtId="42" fontId="3" fillId="0" borderId="0" xfId="1" applyNumberFormat="1" applyFont="1"/>
    <xf numFmtId="41" fontId="6" fillId="0" borderId="0" xfId="1" applyNumberFormat="1" applyFont="1" applyFill="1" applyBorder="1"/>
    <xf numFmtId="41" fontId="10" fillId="0" borderId="0" xfId="0" applyNumberFormat="1" applyFont="1" applyFill="1" applyBorder="1" applyAlignment="1">
      <alignment horizontal="center"/>
    </xf>
    <xf numFmtId="41" fontId="6" fillId="0" borderId="0" xfId="0" applyNumberFormat="1" applyFont="1" applyFill="1" applyBorder="1" applyAlignment="1">
      <alignment horizontal="center"/>
    </xf>
    <xf numFmtId="0" fontId="27" fillId="0" borderId="0" xfId="0" applyFont="1" applyAlignment="1">
      <alignment wrapText="1"/>
    </xf>
    <xf numFmtId="0" fontId="3" fillId="0" borderId="0" xfId="0" applyFont="1" applyFill="1" applyBorder="1"/>
    <xf numFmtId="0" fontId="0" fillId="0" borderId="0" xfId="0" applyFill="1" applyAlignment="1">
      <alignment horizontal="left" wrapText="1"/>
    </xf>
    <xf numFmtId="0" fontId="62" fillId="0" borderId="0" xfId="0" applyFont="1" applyAlignment="1">
      <alignment horizontal="left" vertical="center" indent="4"/>
    </xf>
    <xf numFmtId="0" fontId="62" fillId="0" borderId="0" xfId="0" applyFont="1" applyFill="1" applyAlignment="1">
      <alignment horizontal="left" vertical="center" indent="4"/>
    </xf>
    <xf numFmtId="0" fontId="62" fillId="0" borderId="0" xfId="0" applyFont="1" applyFill="1" applyAlignment="1">
      <alignment vertical="center"/>
    </xf>
    <xf numFmtId="0" fontId="61" fillId="0" borderId="15" xfId="0" applyFont="1" applyBorder="1" applyAlignment="1">
      <alignment horizontal="center" wrapText="1"/>
    </xf>
    <xf numFmtId="0" fontId="61" fillId="0" borderId="39" xfId="0" applyFont="1" applyBorder="1" applyAlignment="1">
      <alignment horizontal="center"/>
    </xf>
    <xf numFmtId="0" fontId="61" fillId="0" borderId="40" xfId="0" applyFont="1" applyBorder="1" applyAlignment="1">
      <alignment horizontal="center"/>
    </xf>
    <xf numFmtId="0" fontId="5" fillId="0" borderId="41" xfId="0" applyFont="1" applyBorder="1"/>
    <xf numFmtId="42" fontId="5" fillId="0" borderId="13" xfId="2" applyNumberFormat="1" applyFont="1" applyBorder="1"/>
    <xf numFmtId="42" fontId="5" fillId="0" borderId="42" xfId="0" applyNumberFormat="1" applyFont="1" applyBorder="1"/>
    <xf numFmtId="41" fontId="5" fillId="0" borderId="36" xfId="2" applyNumberFormat="1" applyFont="1" applyBorder="1"/>
    <xf numFmtId="0" fontId="17" fillId="0" borderId="0" xfId="0" applyFont="1"/>
    <xf numFmtId="0" fontId="3" fillId="0" borderId="0" xfId="0" applyFont="1" applyAlignment="1">
      <alignment horizontal="left"/>
    </xf>
    <xf numFmtId="0" fontId="0" fillId="0" borderId="0" xfId="0" applyAlignment="1">
      <alignment horizontal="left" wrapText="1"/>
    </xf>
    <xf numFmtId="0" fontId="4" fillId="0" borderId="0" xfId="0" applyFont="1" applyAlignment="1">
      <alignment horizontal="left" wrapText="1"/>
    </xf>
    <xf numFmtId="0" fontId="25" fillId="0" borderId="0" xfId="0" applyFont="1"/>
    <xf numFmtId="0" fontId="25" fillId="0" borderId="0" xfId="0" applyFont="1" applyAlignment="1">
      <alignment horizontal="right"/>
    </xf>
    <xf numFmtId="0" fontId="0" fillId="0" borderId="0" xfId="0" applyAlignment="1">
      <alignment horizontal="left" vertical="top" wrapText="1"/>
    </xf>
    <xf numFmtId="0" fontId="63" fillId="0" borderId="0" xfId="0" applyFont="1"/>
    <xf numFmtId="164" fontId="3" fillId="0" borderId="0" xfId="1" applyNumberFormat="1" applyFont="1" applyFill="1"/>
    <xf numFmtId="0" fontId="43" fillId="0" borderId="0" xfId="0" applyFont="1"/>
    <xf numFmtId="43" fontId="0" fillId="0" borderId="0" xfId="1" applyFont="1" applyBorder="1"/>
    <xf numFmtId="0" fontId="0" fillId="0" borderId="0" xfId="0" applyAlignment="1">
      <alignment horizontal="left" vertical="center" indent="5"/>
    </xf>
    <xf numFmtId="0" fontId="64" fillId="0" borderId="0" xfId="0" applyFont="1" applyAlignment="1">
      <alignment horizontal="left" vertical="center" indent="5"/>
    </xf>
    <xf numFmtId="0" fontId="8" fillId="0" borderId="0" xfId="0" applyFont="1" applyBorder="1"/>
    <xf numFmtId="41" fontId="3" fillId="0" borderId="16" xfId="1" applyNumberFormat="1" applyFont="1" applyFill="1" applyBorder="1"/>
    <xf numFmtId="0" fontId="8" fillId="0" borderId="0" xfId="0" applyFont="1" applyFill="1"/>
    <xf numFmtId="164" fontId="3" fillId="0" borderId="16" xfId="0" applyNumberFormat="1" applyFont="1" applyBorder="1"/>
    <xf numFmtId="164" fontId="0" fillId="38" borderId="0" xfId="1" applyNumberFormat="1" applyFont="1" applyFill="1"/>
    <xf numFmtId="182" fontId="0" fillId="0" borderId="0" xfId="1" applyNumberFormat="1" applyFont="1"/>
    <xf numFmtId="165" fontId="3" fillId="0" borderId="16" xfId="0" applyNumberFormat="1" applyFont="1" applyBorder="1"/>
    <xf numFmtId="165" fontId="3" fillId="0" borderId="0" xfId="2" applyNumberFormat="1" applyFont="1" applyFill="1" applyBorder="1"/>
    <xf numFmtId="164" fontId="3" fillId="0" borderId="0" xfId="1" applyNumberFormat="1" applyFont="1" applyFill="1" applyBorder="1"/>
    <xf numFmtId="164" fontId="3" fillId="0" borderId="0" xfId="1" applyNumberFormat="1" applyFont="1" applyBorder="1"/>
    <xf numFmtId="0" fontId="4" fillId="0" borderId="0" xfId="0" applyFont="1" applyAlignment="1">
      <alignment wrapText="1"/>
    </xf>
    <xf numFmtId="0" fontId="4" fillId="0" borderId="0" xfId="0" applyFont="1" applyAlignment="1"/>
    <xf numFmtId="43" fontId="3" fillId="0" borderId="0" xfId="1" applyFont="1" applyAlignment="1">
      <alignment horizontal="center"/>
    </xf>
    <xf numFmtId="14" fontId="3" fillId="0" borderId="0" xfId="0" applyNumberFormat="1" applyFont="1" applyFill="1" applyBorder="1" applyAlignment="1">
      <alignment horizontal="left"/>
    </xf>
    <xf numFmtId="9" fontId="4" fillId="0" borderId="0" xfId="4" applyFont="1" applyFill="1" applyBorder="1" applyAlignment="1">
      <alignment horizontal="center"/>
    </xf>
    <xf numFmtId="164" fontId="4" fillId="0" borderId="0" xfId="1" applyNumberFormat="1" applyFont="1" applyBorder="1"/>
    <xf numFmtId="0" fontId="3" fillId="0" borderId="0" xfId="0" applyFont="1" applyBorder="1" applyProtection="1">
      <protection locked="0"/>
    </xf>
    <xf numFmtId="0" fontId="3" fillId="0" borderId="0" xfId="0" applyFont="1" applyFill="1" applyBorder="1" applyProtection="1">
      <protection locked="0"/>
    </xf>
    <xf numFmtId="41" fontId="3" fillId="0" borderId="0" xfId="0" applyNumberFormat="1" applyFont="1" applyFill="1" applyBorder="1"/>
    <xf numFmtId="0" fontId="14" fillId="2" borderId="0" xfId="0" applyFont="1" applyFill="1" applyBorder="1" applyAlignment="1">
      <alignment horizontal="center"/>
    </xf>
    <xf numFmtId="0" fontId="15" fillId="3" borderId="0" xfId="0" applyFont="1" applyFill="1" applyAlignment="1">
      <alignment horizontal="center"/>
    </xf>
    <xf numFmtId="0" fontId="61" fillId="0" borderId="41" xfId="0" applyFont="1" applyBorder="1" applyAlignment="1">
      <alignment horizontal="center" wrapText="1"/>
    </xf>
    <xf numFmtId="0" fontId="61" fillId="0" borderId="13" xfId="0" applyFont="1" applyBorder="1" applyAlignment="1">
      <alignment horizontal="center" wrapText="1"/>
    </xf>
    <xf numFmtId="0" fontId="61" fillId="0" borderId="42" xfId="0" applyFont="1" applyBorder="1" applyAlignment="1">
      <alignment horizontal="center" wrapText="1"/>
    </xf>
    <xf numFmtId="0" fontId="0" fillId="0" borderId="0" xfId="0" applyAlignment="1">
      <alignment vertical="top" wrapText="1"/>
    </xf>
    <xf numFmtId="0" fontId="10" fillId="0" borderId="17" xfId="0" applyFont="1" applyBorder="1" applyAlignment="1">
      <alignment horizontal="center"/>
    </xf>
    <xf numFmtId="0" fontId="10" fillId="0" borderId="15" xfId="0" applyFont="1" applyBorder="1" applyAlignment="1">
      <alignment horizontal="center"/>
    </xf>
    <xf numFmtId="0" fontId="10" fillId="0" borderId="18" xfId="0" applyFont="1" applyBorder="1" applyAlignment="1">
      <alignment horizontal="center"/>
    </xf>
    <xf numFmtId="0" fontId="62" fillId="0" borderId="0" xfId="0" applyFont="1" applyAlignment="1">
      <alignment vertical="top" wrapText="1"/>
    </xf>
    <xf numFmtId="0" fontId="10" fillId="0" borderId="10" xfId="0" applyFont="1" applyFill="1" applyBorder="1" applyAlignment="1">
      <alignment horizontal="center"/>
    </xf>
    <xf numFmtId="0" fontId="3" fillId="0" borderId="10" xfId="0" applyFont="1" applyFill="1" applyBorder="1" applyAlignment="1">
      <alignment horizontal="center"/>
    </xf>
    <xf numFmtId="0" fontId="0" fillId="0" borderId="19" xfId="0" applyBorder="1" applyAlignment="1">
      <alignment horizontal="left" vertical="top" wrapText="1"/>
    </xf>
    <xf numFmtId="0" fontId="0" fillId="0" borderId="21" xfId="0" applyBorder="1" applyAlignment="1">
      <alignment horizontal="left" vertical="top" wrapText="1"/>
    </xf>
    <xf numFmtId="0" fontId="0" fillId="0" borderId="20" xfId="0" applyBorder="1" applyAlignment="1">
      <alignment horizontal="left" vertical="top" wrapText="1"/>
    </xf>
    <xf numFmtId="0" fontId="4" fillId="0" borderId="0" xfId="0" applyFont="1" applyFill="1" applyAlignment="1">
      <alignment wrapText="1"/>
    </xf>
    <xf numFmtId="0" fontId="0" fillId="0" borderId="0" xfId="0" applyAlignment="1">
      <alignment horizontal="left" wrapText="1"/>
    </xf>
    <xf numFmtId="0" fontId="4" fillId="0" borderId="0" xfId="0" applyFont="1" applyFill="1" applyAlignment="1"/>
    <xf numFmtId="0" fontId="3" fillId="0" borderId="0" xfId="0" applyFont="1" applyFill="1" applyAlignment="1"/>
    <xf numFmtId="0" fontId="4" fillId="0" borderId="0" xfId="0" applyFont="1" applyFill="1" applyAlignment="1">
      <alignment horizontal="left" wrapText="1"/>
    </xf>
    <xf numFmtId="0" fontId="21" fillId="0" borderId="19" xfId="0" applyFont="1" applyFill="1" applyBorder="1" applyAlignment="1">
      <alignment horizontal="left" vertical="top" wrapText="1"/>
    </xf>
    <xf numFmtId="0" fontId="21" fillId="0" borderId="20" xfId="0" applyFont="1" applyFill="1" applyBorder="1" applyAlignment="1">
      <alignment horizontal="left" vertical="top" wrapText="1"/>
    </xf>
    <xf numFmtId="0" fontId="21" fillId="0" borderId="19" xfId="0" applyFont="1" applyBorder="1" applyAlignment="1">
      <alignment horizontal="left" vertical="top" wrapText="1"/>
    </xf>
    <xf numFmtId="0" fontId="21" fillId="0" borderId="21" xfId="0" applyFont="1" applyBorder="1" applyAlignment="1">
      <alignment horizontal="left" vertical="top" wrapText="1"/>
    </xf>
    <xf numFmtId="0" fontId="21" fillId="0" borderId="20" xfId="0" applyFont="1" applyBorder="1" applyAlignment="1">
      <alignment horizontal="left" vertical="top" wrapText="1"/>
    </xf>
    <xf numFmtId="0" fontId="21" fillId="0" borderId="21" xfId="0" applyFont="1" applyFill="1" applyBorder="1" applyAlignment="1">
      <alignment horizontal="left" vertical="top" wrapText="1"/>
    </xf>
    <xf numFmtId="0" fontId="4" fillId="0" borderId="0" xfId="0" applyFont="1" applyAlignment="1">
      <alignment horizontal="left" wrapText="1"/>
    </xf>
    <xf numFmtId="0" fontId="25" fillId="0" borderId="0" xfId="0" applyFont="1" applyAlignment="1">
      <alignment horizontal="left" wrapText="1"/>
    </xf>
    <xf numFmtId="0" fontId="4" fillId="0" borderId="0" xfId="0" applyFont="1" applyAlignment="1">
      <alignment horizontal="left" vertical="top" wrapText="1"/>
    </xf>
    <xf numFmtId="0" fontId="4" fillId="0" borderId="0" xfId="0" applyNumberFormat="1" applyFont="1" applyFill="1" applyAlignment="1">
      <alignment horizontal="left" wrapText="1"/>
    </xf>
    <xf numFmtId="0" fontId="60" fillId="0" borderId="0" xfId="0" applyFont="1" applyAlignment="1">
      <alignment horizontal="left" wrapText="1"/>
    </xf>
    <xf numFmtId="0" fontId="23" fillId="0" borderId="19" xfId="0" applyFont="1" applyFill="1" applyBorder="1" applyAlignment="1">
      <alignment horizontal="center" vertical="top" wrapText="1"/>
    </xf>
    <xf numFmtId="0" fontId="23" fillId="0" borderId="20" xfId="0" applyFont="1" applyFill="1" applyBorder="1" applyAlignment="1">
      <alignment horizontal="center" vertical="top" wrapText="1"/>
    </xf>
    <xf numFmtId="0" fontId="0" fillId="0" borderId="0" xfId="0" applyAlignment="1">
      <alignment horizontal="left" vertical="top" wrapText="1"/>
    </xf>
    <xf numFmtId="0" fontId="0" fillId="0" borderId="0" xfId="0" applyAlignment="1">
      <alignment horizontal="left"/>
    </xf>
    <xf numFmtId="0" fontId="24" fillId="0" borderId="19" xfId="0" applyFont="1" applyFill="1" applyBorder="1" applyAlignment="1">
      <alignment horizontal="center" vertical="top" wrapText="1"/>
    </xf>
    <xf numFmtId="0" fontId="24" fillId="0" borderId="21" xfId="0" applyFont="1" applyFill="1" applyBorder="1" applyAlignment="1">
      <alignment horizontal="center" vertical="top" wrapText="1"/>
    </xf>
    <xf numFmtId="0" fontId="24" fillId="0" borderId="20" xfId="0" applyFont="1" applyFill="1" applyBorder="1" applyAlignment="1">
      <alignment horizontal="center" vertical="top" wrapText="1"/>
    </xf>
    <xf numFmtId="0" fontId="23" fillId="0" borderId="21" xfId="0" applyFont="1" applyFill="1" applyBorder="1" applyAlignment="1">
      <alignment horizontal="center" vertical="top" wrapText="1"/>
    </xf>
    <xf numFmtId="0" fontId="3" fillId="0" borderId="10" xfId="0" applyFont="1" applyBorder="1" applyAlignment="1">
      <alignment horizontal="center"/>
    </xf>
  </cellXfs>
  <cellStyles count="283">
    <cellStyle name="_TXU Gas Plants ML - Henwood 12-5-05 " xfId="50" xr:uid="{00000000-0005-0000-0000-000000000000}"/>
    <cellStyle name="£ BP" xfId="124" xr:uid="{00000000-0005-0000-0000-000001000000}"/>
    <cellStyle name="¥ JY" xfId="125" xr:uid="{00000000-0005-0000-0000-000002000000}"/>
    <cellStyle name="20% - Accent1" xfId="26" builtinId="30" customBuiltin="1"/>
    <cellStyle name="20% - Accent1 2" xfId="53" xr:uid="{00000000-0005-0000-0000-000004000000}"/>
    <cellStyle name="20% - Accent1 2 2" xfId="91" xr:uid="{00000000-0005-0000-0000-000005000000}"/>
    <cellStyle name="20% - Accent1 2 2 2" xfId="214" xr:uid="{00000000-0005-0000-0000-000006000000}"/>
    <cellStyle name="20% - Accent1 2 3" xfId="213" xr:uid="{00000000-0005-0000-0000-000007000000}"/>
    <cellStyle name="20% - Accent1 3" xfId="74" xr:uid="{00000000-0005-0000-0000-000008000000}"/>
    <cellStyle name="20% - Accent1 3 2" xfId="215" xr:uid="{00000000-0005-0000-0000-000009000000}"/>
    <cellStyle name="20% - Accent2" xfId="30" builtinId="34" customBuiltin="1"/>
    <cellStyle name="20% - Accent2 2" xfId="55" xr:uid="{00000000-0005-0000-0000-00000B000000}"/>
    <cellStyle name="20% - Accent2 2 2" xfId="93" xr:uid="{00000000-0005-0000-0000-00000C000000}"/>
    <cellStyle name="20% - Accent2 2 2 2" xfId="217" xr:uid="{00000000-0005-0000-0000-00000D000000}"/>
    <cellStyle name="20% - Accent2 2 3" xfId="216" xr:uid="{00000000-0005-0000-0000-00000E000000}"/>
    <cellStyle name="20% - Accent2 3" xfId="76" xr:uid="{00000000-0005-0000-0000-00000F000000}"/>
    <cellStyle name="20% - Accent2 3 2" xfId="218" xr:uid="{00000000-0005-0000-0000-000010000000}"/>
    <cellStyle name="20% - Accent3" xfId="34" builtinId="38" customBuiltin="1"/>
    <cellStyle name="20% - Accent3 2" xfId="57" xr:uid="{00000000-0005-0000-0000-000012000000}"/>
    <cellStyle name="20% - Accent3 2 2" xfId="95" xr:uid="{00000000-0005-0000-0000-000013000000}"/>
    <cellStyle name="20% - Accent3 2 2 2" xfId="220" xr:uid="{00000000-0005-0000-0000-000014000000}"/>
    <cellStyle name="20% - Accent3 2 3" xfId="219" xr:uid="{00000000-0005-0000-0000-000015000000}"/>
    <cellStyle name="20% - Accent3 3" xfId="78" xr:uid="{00000000-0005-0000-0000-000016000000}"/>
    <cellStyle name="20% - Accent3 3 2" xfId="221" xr:uid="{00000000-0005-0000-0000-000017000000}"/>
    <cellStyle name="20% - Accent4" xfId="38" builtinId="42" customBuiltin="1"/>
    <cellStyle name="20% - Accent4 2" xfId="59" xr:uid="{00000000-0005-0000-0000-000019000000}"/>
    <cellStyle name="20% - Accent4 2 2" xfId="97" xr:uid="{00000000-0005-0000-0000-00001A000000}"/>
    <cellStyle name="20% - Accent4 2 2 2" xfId="223" xr:uid="{00000000-0005-0000-0000-00001B000000}"/>
    <cellStyle name="20% - Accent4 2 3" xfId="222" xr:uid="{00000000-0005-0000-0000-00001C000000}"/>
    <cellStyle name="20% - Accent4 3" xfId="80" xr:uid="{00000000-0005-0000-0000-00001D000000}"/>
    <cellStyle name="20% - Accent4 3 2" xfId="224" xr:uid="{00000000-0005-0000-0000-00001E000000}"/>
    <cellStyle name="20% - Accent5" xfId="42" builtinId="46" customBuiltin="1"/>
    <cellStyle name="20% - Accent5 2" xfId="61" xr:uid="{00000000-0005-0000-0000-000020000000}"/>
    <cellStyle name="20% - Accent5 2 2" xfId="99" xr:uid="{00000000-0005-0000-0000-000021000000}"/>
    <cellStyle name="20% - Accent5 2 2 2" xfId="226" xr:uid="{00000000-0005-0000-0000-000022000000}"/>
    <cellStyle name="20% - Accent5 2 3" xfId="225" xr:uid="{00000000-0005-0000-0000-000023000000}"/>
    <cellStyle name="20% - Accent5 3" xfId="82" xr:uid="{00000000-0005-0000-0000-000024000000}"/>
    <cellStyle name="20% - Accent5 3 2" xfId="227" xr:uid="{00000000-0005-0000-0000-000025000000}"/>
    <cellStyle name="20% - Accent6" xfId="46" builtinId="50" customBuiltin="1"/>
    <cellStyle name="20% - Accent6 2" xfId="63" xr:uid="{00000000-0005-0000-0000-000027000000}"/>
    <cellStyle name="20% - Accent6 2 2" xfId="101" xr:uid="{00000000-0005-0000-0000-000028000000}"/>
    <cellStyle name="20% - Accent6 2 2 2" xfId="229" xr:uid="{00000000-0005-0000-0000-000029000000}"/>
    <cellStyle name="20% - Accent6 2 3" xfId="228" xr:uid="{00000000-0005-0000-0000-00002A000000}"/>
    <cellStyle name="20% - Accent6 3" xfId="84" xr:uid="{00000000-0005-0000-0000-00002B000000}"/>
    <cellStyle name="20% - Accent6 3 2" xfId="230" xr:uid="{00000000-0005-0000-0000-00002C000000}"/>
    <cellStyle name="40% - Accent1" xfId="27" builtinId="31" customBuiltin="1"/>
    <cellStyle name="40% - Accent1 2" xfId="54" xr:uid="{00000000-0005-0000-0000-00002E000000}"/>
    <cellStyle name="40% - Accent1 2 2" xfId="92" xr:uid="{00000000-0005-0000-0000-00002F000000}"/>
    <cellStyle name="40% - Accent1 2 2 2" xfId="232" xr:uid="{00000000-0005-0000-0000-000030000000}"/>
    <cellStyle name="40% - Accent1 2 3" xfId="231" xr:uid="{00000000-0005-0000-0000-000031000000}"/>
    <cellStyle name="40% - Accent1 3" xfId="75" xr:uid="{00000000-0005-0000-0000-000032000000}"/>
    <cellStyle name="40% - Accent1 3 2" xfId="233" xr:uid="{00000000-0005-0000-0000-000033000000}"/>
    <cellStyle name="40% - Accent2" xfId="31" builtinId="35" customBuiltin="1"/>
    <cellStyle name="40% - Accent2 2" xfId="56" xr:uid="{00000000-0005-0000-0000-000035000000}"/>
    <cellStyle name="40% - Accent2 2 2" xfId="94" xr:uid="{00000000-0005-0000-0000-000036000000}"/>
    <cellStyle name="40% - Accent2 2 2 2" xfId="235" xr:uid="{00000000-0005-0000-0000-000037000000}"/>
    <cellStyle name="40% - Accent2 2 3" xfId="234" xr:uid="{00000000-0005-0000-0000-000038000000}"/>
    <cellStyle name="40% - Accent2 3" xfId="77" xr:uid="{00000000-0005-0000-0000-000039000000}"/>
    <cellStyle name="40% - Accent2 3 2" xfId="236" xr:uid="{00000000-0005-0000-0000-00003A000000}"/>
    <cellStyle name="40% - Accent3" xfId="35" builtinId="39" customBuiltin="1"/>
    <cellStyle name="40% - Accent3 2" xfId="58" xr:uid="{00000000-0005-0000-0000-00003C000000}"/>
    <cellStyle name="40% - Accent3 2 2" xfId="96" xr:uid="{00000000-0005-0000-0000-00003D000000}"/>
    <cellStyle name="40% - Accent3 2 2 2" xfId="238" xr:uid="{00000000-0005-0000-0000-00003E000000}"/>
    <cellStyle name="40% - Accent3 2 3" xfId="237" xr:uid="{00000000-0005-0000-0000-00003F000000}"/>
    <cellStyle name="40% - Accent3 3" xfId="79" xr:uid="{00000000-0005-0000-0000-000040000000}"/>
    <cellStyle name="40% - Accent3 3 2" xfId="239" xr:uid="{00000000-0005-0000-0000-000041000000}"/>
    <cellStyle name="40% - Accent4" xfId="39" builtinId="43" customBuiltin="1"/>
    <cellStyle name="40% - Accent4 2" xfId="60" xr:uid="{00000000-0005-0000-0000-000043000000}"/>
    <cellStyle name="40% - Accent4 2 2" xfId="98" xr:uid="{00000000-0005-0000-0000-000044000000}"/>
    <cellStyle name="40% - Accent4 2 2 2" xfId="241" xr:uid="{00000000-0005-0000-0000-000045000000}"/>
    <cellStyle name="40% - Accent4 2 3" xfId="240" xr:uid="{00000000-0005-0000-0000-000046000000}"/>
    <cellStyle name="40% - Accent4 3" xfId="81" xr:uid="{00000000-0005-0000-0000-000047000000}"/>
    <cellStyle name="40% - Accent4 3 2" xfId="242" xr:uid="{00000000-0005-0000-0000-000048000000}"/>
    <cellStyle name="40% - Accent5" xfId="43" builtinId="47" customBuiltin="1"/>
    <cellStyle name="40% - Accent5 2" xfId="62" xr:uid="{00000000-0005-0000-0000-00004A000000}"/>
    <cellStyle name="40% - Accent5 2 2" xfId="100" xr:uid="{00000000-0005-0000-0000-00004B000000}"/>
    <cellStyle name="40% - Accent5 2 2 2" xfId="244" xr:uid="{00000000-0005-0000-0000-00004C000000}"/>
    <cellStyle name="40% - Accent5 2 3" xfId="243" xr:uid="{00000000-0005-0000-0000-00004D000000}"/>
    <cellStyle name="40% - Accent5 3" xfId="83" xr:uid="{00000000-0005-0000-0000-00004E000000}"/>
    <cellStyle name="40% - Accent5 3 2" xfId="245" xr:uid="{00000000-0005-0000-0000-00004F000000}"/>
    <cellStyle name="40% - Accent6" xfId="47" builtinId="51" customBuiltin="1"/>
    <cellStyle name="40% - Accent6 2" xfId="64" xr:uid="{00000000-0005-0000-0000-000051000000}"/>
    <cellStyle name="40% - Accent6 2 2" xfId="102" xr:uid="{00000000-0005-0000-0000-000052000000}"/>
    <cellStyle name="40% - Accent6 2 2 2" xfId="247" xr:uid="{00000000-0005-0000-0000-000053000000}"/>
    <cellStyle name="40% - Accent6 2 3" xfId="246" xr:uid="{00000000-0005-0000-0000-000054000000}"/>
    <cellStyle name="40% - Accent6 3" xfId="85" xr:uid="{00000000-0005-0000-0000-000055000000}"/>
    <cellStyle name="40% - Accent6 3 2" xfId="248" xr:uid="{00000000-0005-0000-0000-000056000000}"/>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Adjustable" xfId="126" xr:uid="{00000000-0005-0000-0000-000063000000}"/>
    <cellStyle name="Bad" xfId="16" builtinId="27" customBuiltin="1"/>
    <cellStyle name="Bold/Border" xfId="127" xr:uid="{00000000-0005-0000-0000-000065000000}"/>
    <cellStyle name="Bullet" xfId="128" xr:uid="{00000000-0005-0000-0000-000066000000}"/>
    <cellStyle name="Calculation" xfId="19" builtinId="22" customBuiltin="1"/>
    <cellStyle name="Cancel 2 2" xfId="129" xr:uid="{00000000-0005-0000-0000-000068000000}"/>
    <cellStyle name="Check Cell" xfId="21" builtinId="23" customBuiltin="1"/>
    <cellStyle name="Comma" xfId="1" builtinId="3"/>
    <cellStyle name="Comma [0] 2" xfId="104" xr:uid="{00000000-0005-0000-0000-00006B000000}"/>
    <cellStyle name="Comma [0] 2 2" xfId="188" xr:uid="{00000000-0005-0000-0000-00006C000000}"/>
    <cellStyle name="Comma [0] 3" xfId="115" xr:uid="{00000000-0005-0000-0000-00006D000000}"/>
    <cellStyle name="Comma [0] 4" xfId="73" xr:uid="{00000000-0005-0000-0000-00006E000000}"/>
    <cellStyle name="Comma [0] 4 2" xfId="249" xr:uid="{00000000-0005-0000-0000-00006F000000}"/>
    <cellStyle name="Comma [0] 5" xfId="67" xr:uid="{00000000-0005-0000-0000-000070000000}"/>
    <cellStyle name="Comma 10" xfId="120" xr:uid="{00000000-0005-0000-0000-000071000000}"/>
    <cellStyle name="Comma 11" xfId="118" xr:uid="{00000000-0005-0000-0000-000072000000}"/>
    <cellStyle name="Comma 12" xfId="113" xr:uid="{00000000-0005-0000-0000-000073000000}"/>
    <cellStyle name="Comma 13" xfId="110" xr:uid="{00000000-0005-0000-0000-000074000000}"/>
    <cellStyle name="Comma 14" xfId="111" xr:uid="{00000000-0005-0000-0000-000075000000}"/>
    <cellStyle name="Comma 15" xfId="119" xr:uid="{00000000-0005-0000-0000-000076000000}"/>
    <cellStyle name="Comma 16" xfId="114" xr:uid="{00000000-0005-0000-0000-000077000000}"/>
    <cellStyle name="Comma 17" xfId="72" xr:uid="{00000000-0005-0000-0000-000078000000}"/>
    <cellStyle name="Comma 17 2" xfId="250" xr:uid="{00000000-0005-0000-0000-000079000000}"/>
    <cellStyle name="Comma 18" xfId="122" xr:uid="{00000000-0005-0000-0000-00007A000000}"/>
    <cellStyle name="Comma 18 2" xfId="251" xr:uid="{00000000-0005-0000-0000-00007B000000}"/>
    <cellStyle name="Comma 19" xfId="161" xr:uid="{00000000-0005-0000-0000-00007C000000}"/>
    <cellStyle name="Comma 19 2" xfId="252" xr:uid="{00000000-0005-0000-0000-00007D000000}"/>
    <cellStyle name="Comma 2" xfId="9" xr:uid="{00000000-0005-0000-0000-00007E000000}"/>
    <cellStyle name="Comma 2 2" xfId="105" xr:uid="{00000000-0005-0000-0000-00007F000000}"/>
    <cellStyle name="Comma 2 2 2" xfId="130" xr:uid="{00000000-0005-0000-0000-000080000000}"/>
    <cellStyle name="Comma 2 2 3" xfId="254" xr:uid="{00000000-0005-0000-0000-000081000000}"/>
    <cellStyle name="Comma 2 3" xfId="123" xr:uid="{00000000-0005-0000-0000-000082000000}"/>
    <cellStyle name="Comma 2 4" xfId="253" xr:uid="{00000000-0005-0000-0000-000083000000}"/>
    <cellStyle name="Comma 2 5" xfId="68" xr:uid="{00000000-0005-0000-0000-000084000000}"/>
    <cellStyle name="Comma 20" xfId="208" xr:uid="{00000000-0005-0000-0000-000085000000}"/>
    <cellStyle name="Comma 20 2" xfId="255" xr:uid="{00000000-0005-0000-0000-000086000000}"/>
    <cellStyle name="Comma 21" xfId="139" xr:uid="{00000000-0005-0000-0000-000087000000}"/>
    <cellStyle name="Comma 21 2" xfId="256" xr:uid="{00000000-0005-0000-0000-000088000000}"/>
    <cellStyle name="Comma 22" xfId="206" xr:uid="{00000000-0005-0000-0000-000089000000}"/>
    <cellStyle name="Comma 22 2" xfId="257" xr:uid="{00000000-0005-0000-0000-00008A000000}"/>
    <cellStyle name="Comma 23" xfId="202" xr:uid="{00000000-0005-0000-0000-00008B000000}"/>
    <cellStyle name="Comma 23 2" xfId="258" xr:uid="{00000000-0005-0000-0000-00008C000000}"/>
    <cellStyle name="Comma 24" xfId="209" xr:uid="{00000000-0005-0000-0000-00008D000000}"/>
    <cellStyle name="Comma 24 2" xfId="259" xr:uid="{00000000-0005-0000-0000-00008E000000}"/>
    <cellStyle name="Comma 25" xfId="200" xr:uid="{00000000-0005-0000-0000-00008F000000}"/>
    <cellStyle name="Comma 25 2" xfId="260" xr:uid="{00000000-0005-0000-0000-000090000000}"/>
    <cellStyle name="Comma 26" xfId="203" xr:uid="{00000000-0005-0000-0000-000091000000}"/>
    <cellStyle name="Comma 26 2" xfId="261" xr:uid="{00000000-0005-0000-0000-000092000000}"/>
    <cellStyle name="Comma 27" xfId="211" xr:uid="{00000000-0005-0000-0000-000093000000}"/>
    <cellStyle name="Comma 27 2" xfId="262" xr:uid="{00000000-0005-0000-0000-000094000000}"/>
    <cellStyle name="Comma 3" xfId="87" xr:uid="{00000000-0005-0000-0000-000095000000}"/>
    <cellStyle name="Comma 3 2" xfId="132" xr:uid="{00000000-0005-0000-0000-000096000000}"/>
    <cellStyle name="Comma 3 2 2" xfId="198" xr:uid="{00000000-0005-0000-0000-000097000000}"/>
    <cellStyle name="Comma 3 3" xfId="131" xr:uid="{00000000-0005-0000-0000-000098000000}"/>
    <cellStyle name="Comma 4" xfId="107" xr:uid="{00000000-0005-0000-0000-000099000000}"/>
    <cellStyle name="Comma 5" xfId="109" xr:uid="{00000000-0005-0000-0000-00009A000000}"/>
    <cellStyle name="Comma 6" xfId="116" xr:uid="{00000000-0005-0000-0000-00009B000000}"/>
    <cellStyle name="Comma 7" xfId="117" xr:uid="{00000000-0005-0000-0000-00009C000000}"/>
    <cellStyle name="Comma 8" xfId="108" xr:uid="{00000000-0005-0000-0000-00009D000000}"/>
    <cellStyle name="Comma 9" xfId="112" xr:uid="{00000000-0005-0000-0000-00009E000000}"/>
    <cellStyle name="Comma0 - Modelo1" xfId="134" xr:uid="{00000000-0005-0000-0000-00009F000000}"/>
    <cellStyle name="Comma0 - Style1" xfId="135" xr:uid="{00000000-0005-0000-0000-0000A0000000}"/>
    <cellStyle name="Comma1 - Modelo2" xfId="136" xr:uid="{00000000-0005-0000-0000-0000A1000000}"/>
    <cellStyle name="Comma1 - Style2" xfId="137" xr:uid="{00000000-0005-0000-0000-0000A2000000}"/>
    <cellStyle name="CommaRounded" xfId="138" xr:uid="{00000000-0005-0000-0000-0000A3000000}"/>
    <cellStyle name="Currency" xfId="2" builtinId="4"/>
    <cellStyle name="Currency 2" xfId="88" xr:uid="{00000000-0005-0000-0000-0000A5000000}"/>
    <cellStyle name="Currency 2 2" xfId="140" xr:uid="{00000000-0005-0000-0000-0000A6000000}"/>
    <cellStyle name="Currency 2 3" xfId="141" xr:uid="{00000000-0005-0000-0000-0000A7000000}"/>
    <cellStyle name="Currency 2_Sheet1" xfId="142" xr:uid="{00000000-0005-0000-0000-0000A8000000}"/>
    <cellStyle name="Dash" xfId="143" xr:uid="{00000000-0005-0000-0000-0000A9000000}"/>
    <cellStyle name="Dia" xfId="144" xr:uid="{00000000-0005-0000-0000-0000AA000000}"/>
    <cellStyle name="Encabez1" xfId="145" xr:uid="{00000000-0005-0000-0000-0000AB000000}"/>
    <cellStyle name="Encabez2" xfId="146" xr:uid="{00000000-0005-0000-0000-0000AC000000}"/>
    <cellStyle name="Explanatory Text" xfId="23" builtinId="53" customBuiltin="1"/>
    <cellStyle name="F2" xfId="147" xr:uid="{00000000-0005-0000-0000-0000AE000000}"/>
    <cellStyle name="F3" xfId="148" xr:uid="{00000000-0005-0000-0000-0000AF000000}"/>
    <cellStyle name="F4" xfId="149" xr:uid="{00000000-0005-0000-0000-0000B0000000}"/>
    <cellStyle name="F5" xfId="150" xr:uid="{00000000-0005-0000-0000-0000B1000000}"/>
    <cellStyle name="F6" xfId="151" xr:uid="{00000000-0005-0000-0000-0000B2000000}"/>
    <cellStyle name="F7" xfId="152" xr:uid="{00000000-0005-0000-0000-0000B3000000}"/>
    <cellStyle name="F8" xfId="153" xr:uid="{00000000-0005-0000-0000-0000B4000000}"/>
    <cellStyle name="Fijo" xfId="154" xr:uid="{00000000-0005-0000-0000-0000B5000000}"/>
    <cellStyle name="Financiero" xfId="155" xr:uid="{00000000-0005-0000-0000-0000B6000000}"/>
    <cellStyle name="Good" xfId="15" builtinId="26" customBuiltin="1"/>
    <cellStyle name="Heading 1" xfId="11" builtinId="16" customBuiltin="1"/>
    <cellStyle name="Heading 2" xfId="12" builtinId="17" customBuiltin="1"/>
    <cellStyle name="Heading 3" xfId="13" builtinId="18" customBuiltin="1"/>
    <cellStyle name="Heading 3 2" xfId="185" xr:uid="{00000000-0005-0000-0000-0000BB000000}"/>
    <cellStyle name="Heading 4" xfId="14" builtinId="19" customBuiltin="1"/>
    <cellStyle name="Heading 4 2" xfId="186" xr:uid="{00000000-0005-0000-0000-0000BD000000}"/>
    <cellStyle name="Hyperlink" xfId="3" builtinId="8"/>
    <cellStyle name="Input 2" xfId="89" xr:uid="{00000000-0005-0000-0000-0000BF000000}"/>
    <cellStyle name="Input 3" xfId="51" xr:uid="{00000000-0005-0000-0000-0000C0000000}"/>
    <cellStyle name="Linked Cell" xfId="20" builtinId="24" customBuiltin="1"/>
    <cellStyle name="Millares [0]_10 AVERIAS MASIVAS + ANT" xfId="156" xr:uid="{00000000-0005-0000-0000-0000C2000000}"/>
    <cellStyle name="Millares_10 AVERIAS MASIVAS + ANT" xfId="157" xr:uid="{00000000-0005-0000-0000-0000C3000000}"/>
    <cellStyle name="Moneda [0]_10 AVERIAS MASIVAS + ANT" xfId="158" xr:uid="{00000000-0005-0000-0000-0000C4000000}"/>
    <cellStyle name="Moneda_10 AVERIAS MASIVAS + ANT" xfId="159" xr:uid="{00000000-0005-0000-0000-0000C5000000}"/>
    <cellStyle name="Neutral" xfId="17" builtinId="28" customBuiltin="1"/>
    <cellStyle name="Normal" xfId="0" builtinId="0"/>
    <cellStyle name="Normal - Style1" xfId="160" xr:uid="{00000000-0005-0000-0000-0000C8000000}"/>
    <cellStyle name="Normal 10" xfId="133" xr:uid="{00000000-0005-0000-0000-0000C9000000}"/>
    <cellStyle name="Normal 10 2" xfId="263" xr:uid="{00000000-0005-0000-0000-0000CA000000}"/>
    <cellStyle name="Normal 11" xfId="205" xr:uid="{00000000-0005-0000-0000-0000CB000000}"/>
    <cellStyle name="Normal 11 2" xfId="264" xr:uid="{00000000-0005-0000-0000-0000CC000000}"/>
    <cellStyle name="Normal 12" xfId="201" xr:uid="{00000000-0005-0000-0000-0000CD000000}"/>
    <cellStyle name="Normal 12 2" xfId="265" xr:uid="{00000000-0005-0000-0000-0000CE000000}"/>
    <cellStyle name="Normal 13" xfId="204" xr:uid="{00000000-0005-0000-0000-0000CF000000}"/>
    <cellStyle name="Normal 13 2" xfId="266" xr:uid="{00000000-0005-0000-0000-0000D0000000}"/>
    <cellStyle name="Normal 14" xfId="199" xr:uid="{00000000-0005-0000-0000-0000D1000000}"/>
    <cellStyle name="Normal 14 2" xfId="267" xr:uid="{00000000-0005-0000-0000-0000D2000000}"/>
    <cellStyle name="Normal 15" xfId="194" xr:uid="{00000000-0005-0000-0000-0000D3000000}"/>
    <cellStyle name="Normal 15 2" xfId="268" xr:uid="{00000000-0005-0000-0000-0000D4000000}"/>
    <cellStyle name="Normal 16" xfId="210" xr:uid="{00000000-0005-0000-0000-0000D5000000}"/>
    <cellStyle name="Normal 16 2" xfId="269" xr:uid="{00000000-0005-0000-0000-0000D6000000}"/>
    <cellStyle name="Normal 17" xfId="189" xr:uid="{00000000-0005-0000-0000-0000D7000000}"/>
    <cellStyle name="Normal 17 2" xfId="270" xr:uid="{00000000-0005-0000-0000-0000D8000000}"/>
    <cellStyle name="Normal 18" xfId="212" xr:uid="{00000000-0005-0000-0000-0000D9000000}"/>
    <cellStyle name="Normal 2" xfId="5" xr:uid="{00000000-0005-0000-0000-0000DA000000}"/>
    <cellStyle name="Normal 2 2" xfId="66" xr:uid="{00000000-0005-0000-0000-0000DB000000}"/>
    <cellStyle name="Normal 2 2 2" xfId="69" xr:uid="{00000000-0005-0000-0000-0000DC000000}"/>
    <cellStyle name="Normal 2 3" xfId="162" xr:uid="{00000000-0005-0000-0000-0000DD000000}"/>
    <cellStyle name="Normal 2_JE_2010-10-31_0000327287" xfId="163" xr:uid="{00000000-0005-0000-0000-0000DE000000}"/>
    <cellStyle name="Normal 26" xfId="190" xr:uid="{00000000-0005-0000-0000-0000DF000000}"/>
    <cellStyle name="Normal 26 2" xfId="271" xr:uid="{00000000-0005-0000-0000-0000E0000000}"/>
    <cellStyle name="Normal 3" xfId="6" xr:uid="{00000000-0005-0000-0000-0000E1000000}"/>
    <cellStyle name="Normal 3 2" xfId="103" xr:uid="{00000000-0005-0000-0000-0000E2000000}"/>
    <cellStyle name="Normal 3 2 2" xfId="273" xr:uid="{00000000-0005-0000-0000-0000E3000000}"/>
    <cellStyle name="Normal 3 3" xfId="164" xr:uid="{00000000-0005-0000-0000-0000E4000000}"/>
    <cellStyle name="Normal 3 4" xfId="272" xr:uid="{00000000-0005-0000-0000-0000E5000000}"/>
    <cellStyle name="Normal 3 5" xfId="65" xr:uid="{00000000-0005-0000-0000-0000E6000000}"/>
    <cellStyle name="Normal 37" xfId="191" xr:uid="{00000000-0005-0000-0000-0000E7000000}"/>
    <cellStyle name="Normal 37 2" xfId="274" xr:uid="{00000000-0005-0000-0000-0000E8000000}"/>
    <cellStyle name="Normal 4" xfId="7" xr:uid="{00000000-0005-0000-0000-0000E9000000}"/>
    <cellStyle name="Normal 4 2" xfId="106" xr:uid="{00000000-0005-0000-0000-0000EA000000}"/>
    <cellStyle name="Normal 4 2 2" xfId="276" xr:uid="{00000000-0005-0000-0000-0000EB000000}"/>
    <cellStyle name="Normal 4 3" xfId="183" xr:uid="{00000000-0005-0000-0000-0000EC000000}"/>
    <cellStyle name="Normal 4 4" xfId="275" xr:uid="{00000000-0005-0000-0000-0000ED000000}"/>
    <cellStyle name="Normal 4 5" xfId="70" xr:uid="{00000000-0005-0000-0000-0000EE000000}"/>
    <cellStyle name="Normal 5" xfId="49" xr:uid="{00000000-0005-0000-0000-0000EF000000}"/>
    <cellStyle name="Normal 5 2" xfId="184" xr:uid="{00000000-0005-0000-0000-0000F0000000}"/>
    <cellStyle name="Normal 5 3" xfId="277" xr:uid="{00000000-0005-0000-0000-0000F1000000}"/>
    <cellStyle name="Normal 5 4" xfId="86" xr:uid="{00000000-0005-0000-0000-0000F2000000}"/>
    <cellStyle name="Normal 6" xfId="71" xr:uid="{00000000-0005-0000-0000-0000F3000000}"/>
    <cellStyle name="Normal 6 2" xfId="187" xr:uid="{00000000-0005-0000-0000-0000F4000000}"/>
    <cellStyle name="Normal 6 3" xfId="278" xr:uid="{00000000-0005-0000-0000-0000F5000000}"/>
    <cellStyle name="Normal 7" xfId="121" xr:uid="{00000000-0005-0000-0000-0000F6000000}"/>
    <cellStyle name="Normal 7 2" xfId="279" xr:uid="{00000000-0005-0000-0000-0000F7000000}"/>
    <cellStyle name="Normal 74" xfId="192" xr:uid="{00000000-0005-0000-0000-0000F8000000}"/>
    <cellStyle name="Normal 74 2" xfId="280" xr:uid="{00000000-0005-0000-0000-0000F9000000}"/>
    <cellStyle name="Normal 8" xfId="174" xr:uid="{00000000-0005-0000-0000-0000FA000000}"/>
    <cellStyle name="Normal 8 2" xfId="281" xr:uid="{00000000-0005-0000-0000-0000FB000000}"/>
    <cellStyle name="Normal 9" xfId="207" xr:uid="{00000000-0005-0000-0000-0000FC000000}"/>
    <cellStyle name="Normal 9 2" xfId="282" xr:uid="{00000000-0005-0000-0000-0000FD000000}"/>
    <cellStyle name="nPlosion" xfId="165" xr:uid="{00000000-0005-0000-0000-0000FE000000}"/>
    <cellStyle name="Number" xfId="195" xr:uid="{00000000-0005-0000-0000-0000FF000000}"/>
    <cellStyle name="nvision" xfId="166" xr:uid="{00000000-0005-0000-0000-000000010000}"/>
    <cellStyle name="Output" xfId="18" builtinId="21" customBuiltin="1"/>
    <cellStyle name="PB Table Heading" xfId="167" xr:uid="{00000000-0005-0000-0000-000002010000}"/>
    <cellStyle name="PB Table Highlight1" xfId="168" xr:uid="{00000000-0005-0000-0000-000003010000}"/>
    <cellStyle name="PB Table Highlight2" xfId="169" xr:uid="{00000000-0005-0000-0000-000004010000}"/>
    <cellStyle name="PB Table Highlight3" xfId="170" xr:uid="{00000000-0005-0000-0000-000005010000}"/>
    <cellStyle name="PB Table Standard Row" xfId="171" xr:uid="{00000000-0005-0000-0000-000006010000}"/>
    <cellStyle name="PB Table Subtotal Row" xfId="172" xr:uid="{00000000-0005-0000-0000-000007010000}"/>
    <cellStyle name="PB Table Total Row" xfId="173" xr:uid="{00000000-0005-0000-0000-000008010000}"/>
    <cellStyle name="Percent" xfId="4" builtinId="5"/>
    <cellStyle name="Percent 2" xfId="8" xr:uid="{00000000-0005-0000-0000-00000A010000}"/>
    <cellStyle name="Percent 2 2" xfId="175" xr:uid="{00000000-0005-0000-0000-00000B010000}"/>
    <cellStyle name="Percent 2 3" xfId="176" xr:uid="{00000000-0005-0000-0000-00000C010000}"/>
    <cellStyle name="Percent 2 4" xfId="90" xr:uid="{00000000-0005-0000-0000-00000D010000}"/>
    <cellStyle name="PSChar" xfId="177" xr:uid="{00000000-0005-0000-0000-00000E010000}"/>
    <cellStyle name="PSCustom" xfId="196" xr:uid="{00000000-0005-0000-0000-00000F010000}"/>
    <cellStyle name="PSDate" xfId="178" xr:uid="{00000000-0005-0000-0000-000010010000}"/>
    <cellStyle name="PSDec" xfId="179" xr:uid="{00000000-0005-0000-0000-000011010000}"/>
    <cellStyle name="PSHeading" xfId="180" xr:uid="{00000000-0005-0000-0000-000012010000}"/>
    <cellStyle name="PSInt" xfId="181" xr:uid="{00000000-0005-0000-0000-000013010000}"/>
    <cellStyle name="PSSpacer" xfId="182" xr:uid="{00000000-0005-0000-0000-000014010000}"/>
    <cellStyle name="PSSum" xfId="197" xr:uid="{00000000-0005-0000-0000-000015010000}"/>
    <cellStyle name="r_Accretion " xfId="52" xr:uid="{00000000-0005-0000-0000-000016010000}"/>
    <cellStyle name="Report" xfId="193" xr:uid="{00000000-0005-0000-0000-000017010000}"/>
    <cellStyle name="Title" xfId="10" builtinId="15" customBuiltin="1"/>
    <cellStyle name="Total" xfId="24" builtinId="25" customBuiltin="1"/>
    <cellStyle name="Warning Text" xfId="2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95251</xdr:colOff>
      <xdr:row>42</xdr:row>
      <xdr:rowOff>31750</xdr:rowOff>
    </xdr:from>
    <xdr:to>
      <xdr:col>5</xdr:col>
      <xdr:colOff>104776</xdr:colOff>
      <xdr:row>52</xdr:row>
      <xdr:rowOff>79375</xdr:rowOff>
    </xdr:to>
    <xdr:pic>
      <xdr:nvPicPr>
        <xdr:cNvPr id="2" name="Picture 1">
          <a:extLst>
            <a:ext uri="{FF2B5EF4-FFF2-40B4-BE49-F238E27FC236}">
              <a16:creationId xmlns:a16="http://schemas.microsoft.com/office/drawing/2014/main" id="{EF47C270-E14A-47EE-96E6-950273A62586}"/>
            </a:ext>
          </a:extLst>
        </xdr:cNvPr>
        <xdr:cNvPicPr>
          <a:picLocks noChangeAspect="1" noChangeArrowheads="1"/>
        </xdr:cNvPicPr>
      </xdr:nvPicPr>
      <xdr:blipFill>
        <a:blip xmlns:r="http://schemas.openxmlformats.org/officeDocument/2006/relationships" r:embed="rId1">
          <a:biLevel thresh="75000"/>
          <a:extLst>
            <a:ext uri="{28A0092B-C50C-407E-A947-70E740481C1C}">
              <a14:useLocalDpi xmlns:a14="http://schemas.microsoft.com/office/drawing/2010/main" val="0"/>
            </a:ext>
          </a:extLst>
        </a:blip>
        <a:srcRect/>
        <a:stretch>
          <a:fillRect/>
        </a:stretch>
      </xdr:blipFill>
      <xdr:spPr bwMode="auto">
        <a:xfrm>
          <a:off x="698501" y="6810375"/>
          <a:ext cx="6137275" cy="1635125"/>
        </a:xfrm>
        <a:prstGeom prst="rect">
          <a:avLst/>
        </a:prstGeom>
        <a:noFill/>
        <a:ln w="25400">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hedule%20II-D%20Relied%20Upons/II-D-Functional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hedule%20II-D%20Workpapers/WP_II-D%20Adjustment%20Summar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hedules%20&amp;%20Schedule%20Workpapers/Schedule%20Heading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F%20(Functionalization%20Factors)/Schedule%20II-F.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E%20(Other%20Items)/Schedule%20II-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chedules%20&amp;%20Schedule%20Workpapers/Section%20I%20(Summary)/Schedule%20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ummary"/>
      <sheetName val="Total Labor Summary"/>
      <sheetName val="ESD"/>
      <sheetName val="TRN"/>
      <sheetName val="TRNDS"/>
      <sheetName val="NTUSU"/>
      <sheetName val="ARSPE"/>
      <sheetName val="Factors"/>
      <sheetName val="II-D-Functionalization"/>
    </sheetNames>
    <sheetDataSet>
      <sheetData sheetId="0">
        <row r="2">
          <cell r="C2">
            <v>5496264.2299999986</v>
          </cell>
          <cell r="D2">
            <v>217937.59000000003</v>
          </cell>
          <cell r="E2">
            <v>0</v>
          </cell>
          <cell r="G2">
            <v>61587.369999999995</v>
          </cell>
          <cell r="H2">
            <v>0</v>
          </cell>
          <cell r="J2">
            <v>3703.71</v>
          </cell>
          <cell r="K2">
            <v>0</v>
          </cell>
        </row>
        <row r="3">
          <cell r="C3">
            <v>20069792.980000004</v>
          </cell>
          <cell r="D3">
            <v>1153425.51</v>
          </cell>
          <cell r="E3">
            <v>475836.37</v>
          </cell>
          <cell r="G3">
            <v>0</v>
          </cell>
          <cell r="H3">
            <v>-13120.95</v>
          </cell>
          <cell r="J3">
            <v>0</v>
          </cell>
          <cell r="K3">
            <v>0</v>
          </cell>
        </row>
        <row r="4">
          <cell r="C4">
            <v>3683719.88</v>
          </cell>
          <cell r="D4">
            <v>221787.72</v>
          </cell>
          <cell r="E4">
            <v>0</v>
          </cell>
          <cell r="G4">
            <v>187768.97999999992</v>
          </cell>
          <cell r="H4">
            <v>0</v>
          </cell>
          <cell r="J4">
            <v>0</v>
          </cell>
          <cell r="K4">
            <v>0</v>
          </cell>
        </row>
        <row r="5">
          <cell r="C5">
            <v>6385133.5999999987</v>
          </cell>
          <cell r="D5">
            <v>443226.84</v>
          </cell>
          <cell r="E5">
            <v>0</v>
          </cell>
          <cell r="G5">
            <v>-1237.3399999999999</v>
          </cell>
          <cell r="H5">
            <v>0</v>
          </cell>
          <cell r="J5">
            <v>0</v>
          </cell>
          <cell r="K5">
            <v>0</v>
          </cell>
        </row>
        <row r="6">
          <cell r="C6">
            <v>2124.5299999999997</v>
          </cell>
          <cell r="D6">
            <v>0</v>
          </cell>
          <cell r="E6">
            <v>0</v>
          </cell>
          <cell r="G6">
            <v>0</v>
          </cell>
          <cell r="H6">
            <v>0</v>
          </cell>
          <cell r="J6">
            <v>0</v>
          </cell>
          <cell r="K6">
            <v>0</v>
          </cell>
        </row>
        <row r="7">
          <cell r="C7">
            <v>0</v>
          </cell>
          <cell r="D7">
            <v>0</v>
          </cell>
          <cell r="E7">
            <v>0</v>
          </cell>
          <cell r="G7">
            <v>1967817098.26</v>
          </cell>
          <cell r="H7">
            <v>0</v>
          </cell>
          <cell r="J7">
            <v>0</v>
          </cell>
          <cell r="K7">
            <v>0</v>
          </cell>
        </row>
        <row r="8">
          <cell r="C8">
            <v>63112340.970000029</v>
          </cell>
          <cell r="D8">
            <v>815361.46</v>
          </cell>
          <cell r="E8">
            <v>0</v>
          </cell>
          <cell r="G8">
            <v>595118.14000000013</v>
          </cell>
          <cell r="H8">
            <v>3195.7700000000004</v>
          </cell>
          <cell r="J8">
            <v>5306.3099999999995</v>
          </cell>
          <cell r="K8">
            <v>0</v>
          </cell>
        </row>
        <row r="9">
          <cell r="C9">
            <v>155822.19</v>
          </cell>
          <cell r="D9">
            <v>0</v>
          </cell>
          <cell r="E9">
            <v>0</v>
          </cell>
          <cell r="G9">
            <v>0</v>
          </cell>
          <cell r="H9">
            <v>0</v>
          </cell>
          <cell r="J9">
            <v>0</v>
          </cell>
          <cell r="K9">
            <v>0</v>
          </cell>
        </row>
        <row r="12">
          <cell r="C12">
            <v>160338.72</v>
          </cell>
          <cell r="D12">
            <v>2281.2199999999998</v>
          </cell>
          <cell r="E12">
            <v>0</v>
          </cell>
          <cell r="G12">
            <v>43504.86</v>
          </cell>
          <cell r="H12">
            <v>1739.03</v>
          </cell>
          <cell r="J12">
            <v>0</v>
          </cell>
          <cell r="K12">
            <v>0</v>
          </cell>
        </row>
        <row r="13">
          <cell r="C13">
            <v>4324.53</v>
          </cell>
          <cell r="D13">
            <v>0</v>
          </cell>
          <cell r="E13">
            <v>0</v>
          </cell>
          <cell r="G13">
            <v>142.1</v>
          </cell>
          <cell r="H13">
            <v>153.82</v>
          </cell>
          <cell r="J13">
            <v>0</v>
          </cell>
          <cell r="K13">
            <v>0</v>
          </cell>
        </row>
        <row r="14">
          <cell r="C14">
            <v>5727940.0300000031</v>
          </cell>
          <cell r="D14">
            <v>1596390.5200000003</v>
          </cell>
          <cell r="E14">
            <v>0</v>
          </cell>
          <cell r="G14">
            <v>150005.05000000002</v>
          </cell>
          <cell r="H14">
            <v>2335.1299999999997</v>
          </cell>
          <cell r="J14">
            <v>0</v>
          </cell>
          <cell r="K14">
            <v>0</v>
          </cell>
        </row>
        <row r="15">
          <cell r="C15">
            <v>19519507.740000021</v>
          </cell>
          <cell r="D15">
            <v>558858.82000000007</v>
          </cell>
          <cell r="E15">
            <v>0</v>
          </cell>
          <cell r="G15">
            <v>12682.439999999999</v>
          </cell>
          <cell r="H15">
            <v>0</v>
          </cell>
          <cell r="J15">
            <v>0</v>
          </cell>
          <cell r="K15">
            <v>0</v>
          </cell>
        </row>
        <row r="16">
          <cell r="C16">
            <v>-6779.07</v>
          </cell>
          <cell r="D16">
            <v>0</v>
          </cell>
          <cell r="E16">
            <v>0</v>
          </cell>
          <cell r="G16">
            <v>0</v>
          </cell>
          <cell r="H16">
            <v>0</v>
          </cell>
          <cell r="J16">
            <v>0</v>
          </cell>
          <cell r="K16">
            <v>0</v>
          </cell>
        </row>
        <row r="17">
          <cell r="C17">
            <v>914864.48000000021</v>
          </cell>
          <cell r="D17">
            <v>4181.4399999999996</v>
          </cell>
          <cell r="E17">
            <v>0</v>
          </cell>
          <cell r="G17">
            <v>89251.47</v>
          </cell>
          <cell r="H17">
            <v>0</v>
          </cell>
          <cell r="J17">
            <v>0</v>
          </cell>
          <cell r="K17">
            <v>0</v>
          </cell>
        </row>
        <row r="20">
          <cell r="C20">
            <v>46359.29</v>
          </cell>
          <cell r="D20">
            <v>24.330000000000002</v>
          </cell>
          <cell r="E20">
            <v>0</v>
          </cell>
          <cell r="G20">
            <v>11703261.399999997</v>
          </cell>
          <cell r="H20">
            <v>20394.900000000001</v>
          </cell>
          <cell r="J20">
            <v>651135.67999999993</v>
          </cell>
          <cell r="K20">
            <v>64246.579999999994</v>
          </cell>
        </row>
        <row r="21">
          <cell r="C21">
            <v>0</v>
          </cell>
          <cell r="D21">
            <v>0</v>
          </cell>
          <cell r="E21">
            <v>0</v>
          </cell>
          <cell r="G21">
            <v>12959390.870000003</v>
          </cell>
          <cell r="H21">
            <v>0</v>
          </cell>
          <cell r="J21">
            <v>0</v>
          </cell>
          <cell r="K21">
            <v>0</v>
          </cell>
        </row>
        <row r="22">
          <cell r="C22">
            <v>169294.90000000002</v>
          </cell>
          <cell r="D22">
            <v>3680.51</v>
          </cell>
          <cell r="E22">
            <v>0</v>
          </cell>
          <cell r="G22">
            <v>7938709.2599999988</v>
          </cell>
          <cell r="H22">
            <v>211486.5</v>
          </cell>
          <cell r="J22">
            <v>0</v>
          </cell>
          <cell r="K22">
            <v>0</v>
          </cell>
        </row>
        <row r="23">
          <cell r="C23">
            <v>0</v>
          </cell>
          <cell r="D23">
            <v>0</v>
          </cell>
          <cell r="E23">
            <v>0</v>
          </cell>
          <cell r="G23">
            <v>22010568.75999999</v>
          </cell>
          <cell r="H23">
            <v>0</v>
          </cell>
          <cell r="J23">
            <v>13591.189999999995</v>
          </cell>
          <cell r="K23">
            <v>0</v>
          </cell>
        </row>
        <row r="24">
          <cell r="C24">
            <v>0</v>
          </cell>
          <cell r="D24">
            <v>0</v>
          </cell>
          <cell r="E24">
            <v>0</v>
          </cell>
          <cell r="G24">
            <v>9656144.5399999842</v>
          </cell>
          <cell r="H24">
            <v>0</v>
          </cell>
          <cell r="J24">
            <v>18527.89000000001</v>
          </cell>
          <cell r="K24">
            <v>0</v>
          </cell>
        </row>
        <row r="25">
          <cell r="C25">
            <v>0</v>
          </cell>
          <cell r="D25">
            <v>0</v>
          </cell>
          <cell r="E25">
            <v>0</v>
          </cell>
          <cell r="G25">
            <v>157.60000000000002</v>
          </cell>
          <cell r="H25">
            <v>0</v>
          </cell>
          <cell r="J25">
            <v>0</v>
          </cell>
          <cell r="K25">
            <v>0</v>
          </cell>
        </row>
        <row r="26">
          <cell r="C26">
            <v>0</v>
          </cell>
          <cell r="D26">
            <v>0</v>
          </cell>
          <cell r="E26">
            <v>0</v>
          </cell>
          <cell r="G26">
            <v>0</v>
          </cell>
          <cell r="H26">
            <v>0</v>
          </cell>
          <cell r="J26">
            <v>34832393.519999936</v>
          </cell>
          <cell r="K26">
            <v>0</v>
          </cell>
        </row>
        <row r="27">
          <cell r="C27">
            <v>0</v>
          </cell>
          <cell r="D27">
            <v>0</v>
          </cell>
          <cell r="E27">
            <v>0</v>
          </cell>
          <cell r="G27">
            <v>2655620.8500000006</v>
          </cell>
          <cell r="H27">
            <v>0</v>
          </cell>
          <cell r="J27">
            <v>0</v>
          </cell>
          <cell r="K27">
            <v>0</v>
          </cell>
        </row>
        <row r="28">
          <cell r="C28">
            <v>101473.89999999998</v>
          </cell>
          <cell r="D28">
            <v>64.52</v>
          </cell>
          <cell r="E28">
            <v>0</v>
          </cell>
          <cell r="G28">
            <v>95187680.709999949</v>
          </cell>
          <cell r="H28">
            <v>17142.25</v>
          </cell>
          <cell r="J28">
            <v>2036827.2499999995</v>
          </cell>
          <cell r="K28">
            <v>109486.28000000001</v>
          </cell>
        </row>
        <row r="29">
          <cell r="C29">
            <v>0</v>
          </cell>
          <cell r="D29">
            <v>0</v>
          </cell>
          <cell r="E29">
            <v>0</v>
          </cell>
          <cell r="G29">
            <v>2811041.6999999997</v>
          </cell>
          <cell r="H29">
            <v>0</v>
          </cell>
          <cell r="J29">
            <v>0</v>
          </cell>
          <cell r="K29">
            <v>0</v>
          </cell>
        </row>
        <row r="32">
          <cell r="C32">
            <v>34568.270000000004</v>
          </cell>
          <cell r="D32">
            <v>318.04000000000002</v>
          </cell>
          <cell r="E32">
            <v>0</v>
          </cell>
          <cell r="G32">
            <v>2657146.8200000012</v>
          </cell>
          <cell r="H32">
            <v>12.12</v>
          </cell>
          <cell r="J32">
            <v>675219.36000000022</v>
          </cell>
          <cell r="K32">
            <v>53.75</v>
          </cell>
        </row>
        <row r="33">
          <cell r="C33">
            <v>331.24</v>
          </cell>
          <cell r="D33">
            <v>0</v>
          </cell>
          <cell r="E33">
            <v>0</v>
          </cell>
          <cell r="G33">
            <v>6007.63</v>
          </cell>
          <cell r="H33">
            <v>0</v>
          </cell>
          <cell r="J33">
            <v>0</v>
          </cell>
          <cell r="K33">
            <v>0</v>
          </cell>
        </row>
        <row r="34">
          <cell r="C34">
            <v>351100.70999999979</v>
          </cell>
          <cell r="D34">
            <v>86.539999999999992</v>
          </cell>
          <cell r="E34">
            <v>0</v>
          </cell>
          <cell r="G34">
            <v>9519301.1499999985</v>
          </cell>
          <cell r="H34">
            <v>264385</v>
          </cell>
          <cell r="J34">
            <v>0</v>
          </cell>
          <cell r="K34">
            <v>0</v>
          </cell>
        </row>
        <row r="35">
          <cell r="C35">
            <v>4774.42</v>
          </cell>
          <cell r="D35">
            <v>185.97</v>
          </cell>
          <cell r="E35">
            <v>0</v>
          </cell>
          <cell r="G35">
            <v>125792704.97000012</v>
          </cell>
          <cell r="H35">
            <v>0</v>
          </cell>
          <cell r="J35">
            <v>89014.65</v>
          </cell>
          <cell r="K35">
            <v>0</v>
          </cell>
        </row>
        <row r="36">
          <cell r="C36">
            <v>6.81</v>
          </cell>
          <cell r="D36">
            <v>0</v>
          </cell>
          <cell r="E36">
            <v>0</v>
          </cell>
          <cell r="G36">
            <v>31798337.189999893</v>
          </cell>
          <cell r="H36">
            <v>0</v>
          </cell>
          <cell r="J36">
            <v>56409.110000000008</v>
          </cell>
          <cell r="K36">
            <v>0</v>
          </cell>
        </row>
        <row r="37">
          <cell r="C37">
            <v>0</v>
          </cell>
          <cell r="D37">
            <v>0</v>
          </cell>
          <cell r="E37">
            <v>0</v>
          </cell>
          <cell r="G37">
            <v>3832863.9999999967</v>
          </cell>
          <cell r="H37">
            <v>0</v>
          </cell>
          <cell r="J37">
            <v>15.35</v>
          </cell>
          <cell r="K37">
            <v>0</v>
          </cell>
        </row>
        <row r="38">
          <cell r="C38">
            <v>0</v>
          </cell>
          <cell r="D38">
            <v>0</v>
          </cell>
          <cell r="E38">
            <v>0</v>
          </cell>
          <cell r="G38">
            <v>10239451.949999968</v>
          </cell>
          <cell r="H38">
            <v>0</v>
          </cell>
          <cell r="J38">
            <v>21695.01</v>
          </cell>
          <cell r="K38">
            <v>0</v>
          </cell>
        </row>
        <row r="39">
          <cell r="C39">
            <v>0</v>
          </cell>
          <cell r="D39">
            <v>0</v>
          </cell>
          <cell r="E39">
            <v>0</v>
          </cell>
          <cell r="G39">
            <v>0</v>
          </cell>
          <cell r="H39">
            <v>0</v>
          </cell>
          <cell r="J39">
            <v>22948047.090000018</v>
          </cell>
          <cell r="K39">
            <v>0</v>
          </cell>
        </row>
        <row r="40">
          <cell r="C40">
            <v>0</v>
          </cell>
          <cell r="D40">
            <v>0</v>
          </cell>
          <cell r="E40">
            <v>0</v>
          </cell>
          <cell r="G40">
            <v>2306432.8400000017</v>
          </cell>
          <cell r="H40">
            <v>0</v>
          </cell>
          <cell r="J40">
            <v>9612.5400000000009</v>
          </cell>
          <cell r="K40">
            <v>0</v>
          </cell>
        </row>
        <row r="43">
          <cell r="C43">
            <v>0</v>
          </cell>
          <cell r="D43">
            <v>0</v>
          </cell>
          <cell r="E43">
            <v>0</v>
          </cell>
          <cell r="G43">
            <v>107858</v>
          </cell>
          <cell r="H43">
            <v>0</v>
          </cell>
          <cell r="J43">
            <v>0</v>
          </cell>
          <cell r="K43">
            <v>1800</v>
          </cell>
        </row>
        <row r="44">
          <cell r="C44">
            <v>0</v>
          </cell>
          <cell r="D44">
            <v>0</v>
          </cell>
          <cell r="E44">
            <v>0</v>
          </cell>
          <cell r="G44">
            <v>0</v>
          </cell>
          <cell r="H44">
            <v>0</v>
          </cell>
          <cell r="J44">
            <v>66776.98</v>
          </cell>
          <cell r="K44">
            <v>0</v>
          </cell>
        </row>
        <row r="45">
          <cell r="C45">
            <v>0</v>
          </cell>
          <cell r="D45">
            <v>0</v>
          </cell>
          <cell r="E45">
            <v>0</v>
          </cell>
          <cell r="G45">
            <v>0</v>
          </cell>
          <cell r="H45">
            <v>0</v>
          </cell>
          <cell r="J45">
            <v>9746905.9800000004</v>
          </cell>
          <cell r="K45">
            <v>20745002.629999999</v>
          </cell>
        </row>
        <row r="46">
          <cell r="C46">
            <v>-153231.79</v>
          </cell>
          <cell r="D46">
            <v>0</v>
          </cell>
          <cell r="E46">
            <v>0</v>
          </cell>
          <cell r="G46">
            <v>0</v>
          </cell>
          <cell r="H46">
            <v>0</v>
          </cell>
          <cell r="J46">
            <v>0</v>
          </cell>
          <cell r="K46">
            <v>2215047.84</v>
          </cell>
        </row>
        <row r="47">
          <cell r="C47">
            <v>0</v>
          </cell>
          <cell r="D47">
            <v>0</v>
          </cell>
          <cell r="E47">
            <v>0</v>
          </cell>
          <cell r="G47">
            <v>0</v>
          </cell>
          <cell r="H47">
            <v>0</v>
          </cell>
          <cell r="J47">
            <v>0</v>
          </cell>
          <cell r="K47">
            <v>0</v>
          </cell>
        </row>
        <row r="50">
          <cell r="C50">
            <v>0</v>
          </cell>
          <cell r="D50">
            <v>0</v>
          </cell>
          <cell r="E50">
            <v>0</v>
          </cell>
          <cell r="G50">
            <v>0</v>
          </cell>
          <cell r="H50">
            <v>0</v>
          </cell>
          <cell r="J50">
            <v>0</v>
          </cell>
          <cell r="K50">
            <v>0</v>
          </cell>
        </row>
        <row r="51">
          <cell r="C51">
            <v>0</v>
          </cell>
          <cell r="D51">
            <v>0</v>
          </cell>
          <cell r="E51">
            <v>0</v>
          </cell>
          <cell r="G51">
            <v>0</v>
          </cell>
          <cell r="H51">
            <v>0</v>
          </cell>
          <cell r="J51">
            <v>0</v>
          </cell>
          <cell r="K51">
            <v>0</v>
          </cell>
        </row>
        <row r="52">
          <cell r="C52">
            <v>0</v>
          </cell>
          <cell r="D52">
            <v>0</v>
          </cell>
          <cell r="E52">
            <v>0</v>
          </cell>
          <cell r="G52">
            <v>230789.12</v>
          </cell>
          <cell r="H52">
            <v>0</v>
          </cell>
          <cell r="J52">
            <v>0</v>
          </cell>
          <cell r="K52">
            <v>54483507.169999994</v>
          </cell>
        </row>
        <row r="53">
          <cell r="C53">
            <v>0</v>
          </cell>
          <cell r="D53">
            <v>0</v>
          </cell>
          <cell r="E53">
            <v>0</v>
          </cell>
          <cell r="G53">
            <v>0</v>
          </cell>
          <cell r="H53">
            <v>0</v>
          </cell>
          <cell r="J53">
            <v>0</v>
          </cell>
          <cell r="K53">
            <v>0</v>
          </cell>
        </row>
        <row r="54">
          <cell r="C54">
            <v>0</v>
          </cell>
          <cell r="D54">
            <v>0</v>
          </cell>
          <cell r="E54">
            <v>0</v>
          </cell>
          <cell r="G54">
            <v>1143</v>
          </cell>
          <cell r="H54">
            <v>0</v>
          </cell>
          <cell r="J54">
            <v>268</v>
          </cell>
          <cell r="K54">
            <v>232.86</v>
          </cell>
        </row>
        <row r="57">
          <cell r="C57">
            <v>0</v>
          </cell>
          <cell r="D57">
            <v>0</v>
          </cell>
          <cell r="E57">
            <v>0</v>
          </cell>
          <cell r="G57">
            <v>0</v>
          </cell>
          <cell r="H57">
            <v>0</v>
          </cell>
          <cell r="J57">
            <v>0</v>
          </cell>
          <cell r="K57">
            <v>0</v>
          </cell>
        </row>
        <row r="58">
          <cell r="C58">
            <v>0</v>
          </cell>
          <cell r="D58">
            <v>0</v>
          </cell>
          <cell r="E58">
            <v>0</v>
          </cell>
          <cell r="G58">
            <v>0</v>
          </cell>
          <cell r="H58">
            <v>0</v>
          </cell>
          <cell r="J58">
            <v>0</v>
          </cell>
          <cell r="K58">
            <v>0</v>
          </cell>
        </row>
        <row r="59">
          <cell r="C59">
            <v>0</v>
          </cell>
          <cell r="D59">
            <v>0</v>
          </cell>
          <cell r="E59">
            <v>0</v>
          </cell>
          <cell r="G59">
            <v>0</v>
          </cell>
          <cell r="H59">
            <v>0</v>
          </cell>
          <cell r="J59">
            <v>0</v>
          </cell>
          <cell r="K59">
            <v>0</v>
          </cell>
        </row>
        <row r="60">
          <cell r="C60">
            <v>0</v>
          </cell>
          <cell r="D60">
            <v>0</v>
          </cell>
          <cell r="E60">
            <v>0</v>
          </cell>
          <cell r="G60">
            <v>0</v>
          </cell>
          <cell r="H60">
            <v>0</v>
          </cell>
          <cell r="J60">
            <v>0</v>
          </cell>
          <cell r="K60">
            <v>0</v>
          </cell>
        </row>
        <row r="61">
          <cell r="C61">
            <v>0</v>
          </cell>
          <cell r="D61">
            <v>0</v>
          </cell>
          <cell r="E61">
            <v>0</v>
          </cell>
          <cell r="G61">
            <v>0</v>
          </cell>
          <cell r="H61">
            <v>0</v>
          </cell>
          <cell r="J61">
            <v>0</v>
          </cell>
          <cell r="K61">
            <v>0</v>
          </cell>
        </row>
        <row r="64">
          <cell r="C64">
            <v>28174289.779999994</v>
          </cell>
          <cell r="D64">
            <v>0</v>
          </cell>
          <cell r="E64">
            <v>0</v>
          </cell>
          <cell r="G64">
            <v>66292531.849999994</v>
          </cell>
          <cell r="H64">
            <v>0</v>
          </cell>
          <cell r="J64">
            <v>18435034.780000001</v>
          </cell>
          <cell r="K64">
            <v>20893354.059999991</v>
          </cell>
        </row>
        <row r="65">
          <cell r="C65">
            <v>4177695.0699999975</v>
          </cell>
          <cell r="D65">
            <v>18786.100000000002</v>
          </cell>
          <cell r="E65">
            <v>0</v>
          </cell>
          <cell r="G65">
            <v>8356080.25</v>
          </cell>
          <cell r="H65">
            <v>1161.76</v>
          </cell>
          <cell r="J65">
            <v>2204995.4899999979</v>
          </cell>
          <cell r="K65">
            <v>1827095.4000000013</v>
          </cell>
        </row>
        <row r="66">
          <cell r="C66">
            <v>0</v>
          </cell>
          <cell r="D66">
            <v>0</v>
          </cell>
          <cell r="E66">
            <v>0</v>
          </cell>
          <cell r="G66">
            <v>0</v>
          </cell>
          <cell r="H66">
            <v>0</v>
          </cell>
          <cell r="J66">
            <v>0</v>
          </cell>
          <cell r="K66">
            <v>0</v>
          </cell>
        </row>
        <row r="67">
          <cell r="C67">
            <v>26923068.689999994</v>
          </cell>
          <cell r="D67">
            <v>1640400.4200000002</v>
          </cell>
          <cell r="E67">
            <v>0</v>
          </cell>
          <cell r="G67">
            <v>86433795.009999976</v>
          </cell>
          <cell r="H67">
            <v>163611.25</v>
          </cell>
          <cell r="J67">
            <v>9894036.4099999871</v>
          </cell>
          <cell r="K67">
            <v>5841716.1799999997</v>
          </cell>
        </row>
        <row r="68">
          <cell r="C68">
            <v>13945419.91</v>
          </cell>
          <cell r="D68">
            <v>1595595</v>
          </cell>
          <cell r="E68">
            <v>0</v>
          </cell>
          <cell r="G68">
            <v>227086923.88</v>
          </cell>
          <cell r="H68">
            <v>0</v>
          </cell>
          <cell r="J68">
            <v>0</v>
          </cell>
          <cell r="K68">
            <v>0</v>
          </cell>
        </row>
        <row r="69">
          <cell r="C69">
            <v>18764973.619999997</v>
          </cell>
          <cell r="D69">
            <v>0</v>
          </cell>
          <cell r="E69">
            <v>0</v>
          </cell>
          <cell r="G69">
            <v>37020765.780000001</v>
          </cell>
          <cell r="H69">
            <v>0</v>
          </cell>
          <cell r="J69">
            <v>0</v>
          </cell>
          <cell r="K69">
            <v>0</v>
          </cell>
        </row>
        <row r="70">
          <cell r="C70">
            <v>19306753.059999987</v>
          </cell>
          <cell r="D70">
            <v>0</v>
          </cell>
          <cell r="E70">
            <v>0</v>
          </cell>
          <cell r="H70">
            <v>0</v>
          </cell>
          <cell r="J70">
            <v>17695151.780000005</v>
          </cell>
          <cell r="K70">
            <v>6088833.4899999993</v>
          </cell>
        </row>
        <row r="71">
          <cell r="C71">
            <v>0</v>
          </cell>
          <cell r="D71">
            <v>209845.6</v>
          </cell>
          <cell r="E71">
            <v>0</v>
          </cell>
          <cell r="G71">
            <v>6165208.0899999999</v>
          </cell>
          <cell r="H71">
            <v>310723.88</v>
          </cell>
          <cell r="J71">
            <v>0</v>
          </cell>
          <cell r="K71">
            <v>0</v>
          </cell>
        </row>
        <row r="72">
          <cell r="C72">
            <v>56149.42</v>
          </cell>
          <cell r="D72">
            <v>0</v>
          </cell>
          <cell r="E72">
            <v>0</v>
          </cell>
          <cell r="G72">
            <v>160617.35</v>
          </cell>
          <cell r="H72">
            <v>0</v>
          </cell>
          <cell r="J72">
            <v>41937.22</v>
          </cell>
          <cell r="K72">
            <v>530973.29999999993</v>
          </cell>
        </row>
        <row r="73">
          <cell r="C73">
            <v>1802857.5899999999</v>
          </cell>
          <cell r="D73">
            <v>46.86</v>
          </cell>
          <cell r="E73">
            <v>0</v>
          </cell>
          <cell r="G73">
            <v>8873686.2800000049</v>
          </cell>
          <cell r="H73">
            <v>3.06</v>
          </cell>
          <cell r="J73">
            <v>1371806</v>
          </cell>
          <cell r="K73">
            <v>5797550.8099999996</v>
          </cell>
        </row>
        <row r="74">
          <cell r="C74">
            <v>509393.41999999993</v>
          </cell>
          <cell r="D74">
            <v>0</v>
          </cell>
          <cell r="E74">
            <v>0</v>
          </cell>
          <cell r="G74">
            <v>1126885.27</v>
          </cell>
          <cell r="H74">
            <v>0</v>
          </cell>
          <cell r="J74">
            <v>305921.09000000003</v>
          </cell>
          <cell r="K74">
            <v>122662.77000000005</v>
          </cell>
        </row>
        <row r="75">
          <cell r="C75">
            <v>21214.02</v>
          </cell>
          <cell r="D75">
            <v>0</v>
          </cell>
          <cell r="E75">
            <v>0</v>
          </cell>
          <cell r="G75">
            <v>78960.900000000009</v>
          </cell>
          <cell r="H75">
            <v>0</v>
          </cell>
          <cell r="J75">
            <v>15820.32</v>
          </cell>
          <cell r="K75">
            <v>1650.1600000000005</v>
          </cell>
        </row>
        <row r="76">
          <cell r="C76">
            <v>2175316.6900000004</v>
          </cell>
          <cell r="D76">
            <v>63397.049999999996</v>
          </cell>
          <cell r="E76">
            <v>0</v>
          </cell>
          <cell r="G76">
            <v>1645283.2700000005</v>
          </cell>
          <cell r="H76">
            <v>0</v>
          </cell>
          <cell r="J76">
            <v>464165.05</v>
          </cell>
          <cell r="K76">
            <v>18734.880000000056</v>
          </cell>
        </row>
      </sheetData>
      <sheetData sheetId="1">
        <row r="2">
          <cell r="C2">
            <v>5121359.07</v>
          </cell>
          <cell r="D2">
            <v>0</v>
          </cell>
          <cell r="E2">
            <v>0</v>
          </cell>
          <cell r="G2">
            <v>17081.400000000001</v>
          </cell>
          <cell r="H2">
            <v>0</v>
          </cell>
          <cell r="J2">
            <v>0</v>
          </cell>
          <cell r="K2">
            <v>0</v>
          </cell>
        </row>
        <row r="3">
          <cell r="C3">
            <v>15965253.789999999</v>
          </cell>
          <cell r="D3">
            <v>0</v>
          </cell>
          <cell r="E3">
            <v>0</v>
          </cell>
          <cell r="G3">
            <v>0</v>
          </cell>
          <cell r="H3">
            <v>0</v>
          </cell>
          <cell r="J3">
            <v>0</v>
          </cell>
          <cell r="K3">
            <v>0</v>
          </cell>
        </row>
        <row r="4">
          <cell r="C4">
            <v>2150826.5599999991</v>
          </cell>
          <cell r="D4">
            <v>0</v>
          </cell>
          <cell r="E4">
            <v>0</v>
          </cell>
          <cell r="G4">
            <v>142759.41999999995</v>
          </cell>
          <cell r="H4">
            <v>0</v>
          </cell>
          <cell r="J4">
            <v>0</v>
          </cell>
          <cell r="K4">
            <v>0</v>
          </cell>
        </row>
        <row r="5">
          <cell r="C5">
            <v>630353.6999999996</v>
          </cell>
          <cell r="D5">
            <v>0</v>
          </cell>
          <cell r="E5">
            <v>0</v>
          </cell>
          <cell r="G5">
            <v>0</v>
          </cell>
          <cell r="H5">
            <v>0</v>
          </cell>
          <cell r="J5">
            <v>0</v>
          </cell>
          <cell r="K5">
            <v>0</v>
          </cell>
        </row>
        <row r="6">
          <cell r="C6">
            <v>0</v>
          </cell>
          <cell r="D6">
            <v>0</v>
          </cell>
          <cell r="E6">
            <v>0</v>
          </cell>
          <cell r="G6">
            <v>0</v>
          </cell>
          <cell r="H6">
            <v>0</v>
          </cell>
          <cell r="J6">
            <v>0</v>
          </cell>
          <cell r="K6">
            <v>0</v>
          </cell>
        </row>
        <row r="7">
          <cell r="C7">
            <v>0</v>
          </cell>
          <cell r="D7">
            <v>0</v>
          </cell>
          <cell r="E7">
            <v>0</v>
          </cell>
          <cell r="G7">
            <v>0</v>
          </cell>
          <cell r="H7">
            <v>0</v>
          </cell>
          <cell r="J7">
            <v>0</v>
          </cell>
          <cell r="K7">
            <v>0</v>
          </cell>
        </row>
        <row r="8">
          <cell r="C8">
            <v>22562854.689999986</v>
          </cell>
          <cell r="D8">
            <v>0</v>
          </cell>
          <cell r="E8">
            <v>0</v>
          </cell>
          <cell r="G8">
            <v>328543.02999999997</v>
          </cell>
          <cell r="H8">
            <v>0</v>
          </cell>
          <cell r="J8">
            <v>0</v>
          </cell>
          <cell r="K8">
            <v>0</v>
          </cell>
        </row>
        <row r="9">
          <cell r="C9">
            <v>0</v>
          </cell>
          <cell r="D9">
            <v>0</v>
          </cell>
          <cell r="E9">
            <v>0</v>
          </cell>
          <cell r="G9">
            <v>0</v>
          </cell>
          <cell r="H9">
            <v>0</v>
          </cell>
          <cell r="J9">
            <v>0</v>
          </cell>
          <cell r="K9">
            <v>0</v>
          </cell>
        </row>
        <row r="12">
          <cell r="C12">
            <v>157666.66999999998</v>
          </cell>
          <cell r="D12">
            <v>0</v>
          </cell>
          <cell r="E12">
            <v>0</v>
          </cell>
          <cell r="G12">
            <v>43419.67</v>
          </cell>
          <cell r="H12">
            <v>0</v>
          </cell>
          <cell r="J12">
            <v>0</v>
          </cell>
          <cell r="K12">
            <v>0</v>
          </cell>
        </row>
        <row r="13">
          <cell r="C13">
            <v>0</v>
          </cell>
          <cell r="D13">
            <v>0</v>
          </cell>
          <cell r="E13">
            <v>0</v>
          </cell>
          <cell r="G13">
            <v>0</v>
          </cell>
          <cell r="H13">
            <v>0</v>
          </cell>
          <cell r="J13">
            <v>0</v>
          </cell>
          <cell r="K13">
            <v>0</v>
          </cell>
        </row>
        <row r="14">
          <cell r="C14">
            <v>3336258.7900000005</v>
          </cell>
          <cell r="D14">
            <v>0</v>
          </cell>
          <cell r="E14">
            <v>0</v>
          </cell>
          <cell r="G14">
            <v>51182.039999999986</v>
          </cell>
          <cell r="H14">
            <v>0</v>
          </cell>
          <cell r="J14">
            <v>0</v>
          </cell>
          <cell r="K14">
            <v>0</v>
          </cell>
        </row>
        <row r="15">
          <cell r="C15">
            <v>1595458.6299999994</v>
          </cell>
          <cell r="D15">
            <v>0</v>
          </cell>
          <cell r="E15">
            <v>0</v>
          </cell>
          <cell r="G15">
            <v>11104.72</v>
          </cell>
          <cell r="H15">
            <v>0</v>
          </cell>
          <cell r="J15">
            <v>0</v>
          </cell>
          <cell r="K15">
            <v>0</v>
          </cell>
        </row>
        <row r="16">
          <cell r="C16">
            <v>0</v>
          </cell>
          <cell r="D16">
            <v>0</v>
          </cell>
          <cell r="E16">
            <v>0</v>
          </cell>
          <cell r="G16">
            <v>0</v>
          </cell>
          <cell r="H16">
            <v>0</v>
          </cell>
          <cell r="J16">
            <v>0</v>
          </cell>
          <cell r="K16">
            <v>0</v>
          </cell>
        </row>
        <row r="17">
          <cell r="C17">
            <v>145872.81999999998</v>
          </cell>
          <cell r="D17">
            <v>0</v>
          </cell>
          <cell r="E17">
            <v>0</v>
          </cell>
          <cell r="G17">
            <v>0</v>
          </cell>
          <cell r="H17">
            <v>0</v>
          </cell>
          <cell r="J17">
            <v>0</v>
          </cell>
          <cell r="K17">
            <v>0</v>
          </cell>
        </row>
        <row r="20">
          <cell r="C20">
            <v>46359.29</v>
          </cell>
          <cell r="D20">
            <v>0</v>
          </cell>
          <cell r="E20">
            <v>0</v>
          </cell>
          <cell r="G20">
            <v>8430729.4500000011</v>
          </cell>
          <cell r="H20">
            <v>0</v>
          </cell>
          <cell r="J20">
            <v>550312.69999999995</v>
          </cell>
          <cell r="K20">
            <v>39833.15</v>
          </cell>
        </row>
        <row r="21">
          <cell r="C21">
            <v>0</v>
          </cell>
          <cell r="D21">
            <v>0</v>
          </cell>
          <cell r="E21">
            <v>0</v>
          </cell>
          <cell r="G21">
            <v>12872276.280000001</v>
          </cell>
          <cell r="H21">
            <v>0</v>
          </cell>
          <cell r="J21">
            <v>0</v>
          </cell>
          <cell r="K21">
            <v>0</v>
          </cell>
        </row>
        <row r="22">
          <cell r="C22">
            <v>33258.869999999988</v>
          </cell>
          <cell r="D22">
            <v>0</v>
          </cell>
          <cell r="E22">
            <v>0</v>
          </cell>
          <cell r="G22">
            <v>3113325.23</v>
          </cell>
          <cell r="H22">
            <v>0</v>
          </cell>
          <cell r="J22">
            <v>0</v>
          </cell>
          <cell r="K22">
            <v>0</v>
          </cell>
        </row>
        <row r="23">
          <cell r="C23">
            <v>0</v>
          </cell>
          <cell r="D23">
            <v>0</v>
          </cell>
          <cell r="E23">
            <v>0</v>
          </cell>
          <cell r="G23">
            <v>4010911.3399999519</v>
          </cell>
          <cell r="H23">
            <v>0</v>
          </cell>
          <cell r="J23">
            <v>12180.209999999995</v>
          </cell>
          <cell r="K23">
            <v>0</v>
          </cell>
        </row>
        <row r="24">
          <cell r="C24">
            <v>0</v>
          </cell>
          <cell r="D24">
            <v>0</v>
          </cell>
          <cell r="E24">
            <v>0</v>
          </cell>
          <cell r="G24">
            <v>4506617.859999991</v>
          </cell>
          <cell r="H24">
            <v>0</v>
          </cell>
          <cell r="J24">
            <v>16966.920000000002</v>
          </cell>
          <cell r="K24">
            <v>0</v>
          </cell>
        </row>
        <row r="25">
          <cell r="C25">
            <v>0</v>
          </cell>
          <cell r="D25">
            <v>0</v>
          </cell>
          <cell r="E25">
            <v>0</v>
          </cell>
          <cell r="G25">
            <v>0</v>
          </cell>
          <cell r="H25">
            <v>0</v>
          </cell>
          <cell r="J25">
            <v>0</v>
          </cell>
          <cell r="K25">
            <v>0</v>
          </cell>
        </row>
        <row r="26">
          <cell r="C26">
            <v>0</v>
          </cell>
          <cell r="D26">
            <v>0</v>
          </cell>
          <cell r="E26">
            <v>0</v>
          </cell>
          <cell r="G26">
            <v>0</v>
          </cell>
          <cell r="H26">
            <v>0</v>
          </cell>
          <cell r="J26">
            <v>12456801.770000009</v>
          </cell>
          <cell r="K26">
            <v>0</v>
          </cell>
        </row>
        <row r="27">
          <cell r="C27">
            <v>0</v>
          </cell>
          <cell r="D27">
            <v>0</v>
          </cell>
          <cell r="E27">
            <v>0</v>
          </cell>
          <cell r="G27">
            <v>2034184.280000001</v>
          </cell>
          <cell r="H27">
            <v>0</v>
          </cell>
          <cell r="J27">
            <v>0</v>
          </cell>
          <cell r="K27">
            <v>0</v>
          </cell>
        </row>
        <row r="28">
          <cell r="C28">
            <v>12557.48</v>
          </cell>
          <cell r="D28">
            <v>0</v>
          </cell>
          <cell r="E28">
            <v>0</v>
          </cell>
          <cell r="G28">
            <v>43681790.590000033</v>
          </cell>
          <cell r="H28">
            <v>0</v>
          </cell>
          <cell r="J28">
            <v>85300.749999999985</v>
          </cell>
          <cell r="K28">
            <v>56400.22</v>
          </cell>
        </row>
        <row r="29">
          <cell r="C29">
            <v>0</v>
          </cell>
          <cell r="D29">
            <v>0</v>
          </cell>
          <cell r="E29">
            <v>0</v>
          </cell>
          <cell r="G29">
            <v>0</v>
          </cell>
          <cell r="H29">
            <v>0</v>
          </cell>
          <cell r="J29">
            <v>0</v>
          </cell>
          <cell r="K29">
            <v>0</v>
          </cell>
        </row>
        <row r="32">
          <cell r="C32">
            <v>27874.75</v>
          </cell>
          <cell r="D32">
            <v>0</v>
          </cell>
          <cell r="E32">
            <v>0</v>
          </cell>
          <cell r="G32">
            <v>2417660.5000000009</v>
          </cell>
          <cell r="H32">
            <v>0</v>
          </cell>
          <cell r="J32">
            <v>641659.92000000004</v>
          </cell>
          <cell r="K32">
            <v>0</v>
          </cell>
        </row>
        <row r="33">
          <cell r="C33">
            <v>0</v>
          </cell>
          <cell r="D33">
            <v>0</v>
          </cell>
          <cell r="E33">
            <v>0</v>
          </cell>
          <cell r="G33">
            <v>0</v>
          </cell>
          <cell r="H33">
            <v>0</v>
          </cell>
          <cell r="J33">
            <v>0</v>
          </cell>
          <cell r="K33">
            <v>0</v>
          </cell>
        </row>
        <row r="34">
          <cell r="C34">
            <v>78613.180000000008</v>
          </cell>
          <cell r="D34">
            <v>0</v>
          </cell>
          <cell r="E34">
            <v>0</v>
          </cell>
          <cell r="G34">
            <v>6188260.0799999991</v>
          </cell>
          <cell r="H34">
            <v>0</v>
          </cell>
          <cell r="J34">
            <v>0</v>
          </cell>
          <cell r="K34">
            <v>0</v>
          </cell>
        </row>
        <row r="35">
          <cell r="C35">
            <v>3994.38</v>
          </cell>
          <cell r="D35">
            <v>0</v>
          </cell>
          <cell r="E35">
            <v>0</v>
          </cell>
          <cell r="G35">
            <v>38786429.539999992</v>
          </cell>
          <cell r="H35">
            <v>0</v>
          </cell>
          <cell r="J35">
            <v>20671.66</v>
          </cell>
          <cell r="K35">
            <v>0</v>
          </cell>
        </row>
        <row r="36">
          <cell r="C36">
            <v>0</v>
          </cell>
          <cell r="D36">
            <v>0</v>
          </cell>
          <cell r="E36">
            <v>0</v>
          </cell>
          <cell r="G36">
            <v>9743951.3100000098</v>
          </cell>
          <cell r="H36">
            <v>0</v>
          </cell>
          <cell r="J36">
            <v>16828.61</v>
          </cell>
          <cell r="K36">
            <v>0</v>
          </cell>
        </row>
        <row r="37">
          <cell r="C37">
            <v>0</v>
          </cell>
          <cell r="D37">
            <v>0</v>
          </cell>
          <cell r="E37">
            <v>0</v>
          </cell>
          <cell r="G37">
            <v>1406918.1099999994</v>
          </cell>
          <cell r="H37">
            <v>0</v>
          </cell>
          <cell r="J37">
            <v>13.87</v>
          </cell>
          <cell r="K37">
            <v>0</v>
          </cell>
        </row>
        <row r="38">
          <cell r="C38">
            <v>0</v>
          </cell>
          <cell r="D38">
            <v>0</v>
          </cell>
          <cell r="E38">
            <v>0</v>
          </cell>
          <cell r="G38">
            <v>335973.76999999996</v>
          </cell>
          <cell r="H38">
            <v>0</v>
          </cell>
          <cell r="J38">
            <v>4.1399999999999997</v>
          </cell>
          <cell r="K38">
            <v>0</v>
          </cell>
        </row>
        <row r="39">
          <cell r="C39">
            <v>0</v>
          </cell>
          <cell r="D39">
            <v>0</v>
          </cell>
          <cell r="E39">
            <v>0</v>
          </cell>
          <cell r="G39">
            <v>0</v>
          </cell>
          <cell r="H39">
            <v>0</v>
          </cell>
          <cell r="J39">
            <v>15622947.980000004</v>
          </cell>
          <cell r="K39">
            <v>0</v>
          </cell>
        </row>
        <row r="40">
          <cell r="C40">
            <v>0</v>
          </cell>
          <cell r="D40">
            <v>0</v>
          </cell>
          <cell r="E40">
            <v>0</v>
          </cell>
          <cell r="G40">
            <v>290636.12999999995</v>
          </cell>
          <cell r="H40">
            <v>0</v>
          </cell>
          <cell r="J40">
            <v>0</v>
          </cell>
          <cell r="K40">
            <v>0</v>
          </cell>
        </row>
        <row r="43">
          <cell r="C43">
            <v>0</v>
          </cell>
          <cell r="D43">
            <v>0</v>
          </cell>
          <cell r="E43">
            <v>0</v>
          </cell>
          <cell r="G43">
            <v>107858</v>
          </cell>
          <cell r="H43">
            <v>0</v>
          </cell>
          <cell r="J43">
            <v>0</v>
          </cell>
          <cell r="K43">
            <v>0</v>
          </cell>
        </row>
        <row r="44">
          <cell r="C44">
            <v>0</v>
          </cell>
          <cell r="D44">
            <v>0</v>
          </cell>
          <cell r="E44">
            <v>0</v>
          </cell>
          <cell r="G44">
            <v>0</v>
          </cell>
          <cell r="H44">
            <v>0</v>
          </cell>
          <cell r="J44">
            <v>0</v>
          </cell>
          <cell r="K44">
            <v>0</v>
          </cell>
        </row>
        <row r="45">
          <cell r="C45">
            <v>0</v>
          </cell>
          <cell r="D45">
            <v>0</v>
          </cell>
          <cell r="E45">
            <v>0</v>
          </cell>
          <cell r="G45">
            <v>0</v>
          </cell>
          <cell r="H45">
            <v>0</v>
          </cell>
          <cell r="J45">
            <v>9310677.7999999989</v>
          </cell>
          <cell r="K45">
            <v>1479495.79</v>
          </cell>
        </row>
        <row r="46">
          <cell r="C46">
            <v>0</v>
          </cell>
          <cell r="D46">
            <v>0</v>
          </cell>
          <cell r="E46">
            <v>0</v>
          </cell>
          <cell r="G46">
            <v>0</v>
          </cell>
          <cell r="H46">
            <v>0</v>
          </cell>
          <cell r="J46">
            <v>0</v>
          </cell>
          <cell r="K46">
            <v>0</v>
          </cell>
        </row>
        <row r="47">
          <cell r="C47">
            <v>0</v>
          </cell>
          <cell r="D47">
            <v>0</v>
          </cell>
          <cell r="E47">
            <v>0</v>
          </cell>
          <cell r="G47">
            <v>0</v>
          </cell>
          <cell r="H47">
            <v>0</v>
          </cell>
          <cell r="J47">
            <v>0</v>
          </cell>
          <cell r="K47">
            <v>0</v>
          </cell>
        </row>
        <row r="50">
          <cell r="C50">
            <v>0</v>
          </cell>
          <cell r="D50">
            <v>0</v>
          </cell>
          <cell r="E50">
            <v>0</v>
          </cell>
          <cell r="G50">
            <v>0</v>
          </cell>
          <cell r="H50">
            <v>0</v>
          </cell>
          <cell r="J50">
            <v>0</v>
          </cell>
          <cell r="K50">
            <v>0</v>
          </cell>
        </row>
        <row r="51">
          <cell r="C51">
            <v>0</v>
          </cell>
          <cell r="D51">
            <v>0</v>
          </cell>
          <cell r="E51">
            <v>0</v>
          </cell>
          <cell r="G51">
            <v>0</v>
          </cell>
          <cell r="H51">
            <v>0</v>
          </cell>
          <cell r="J51">
            <v>0</v>
          </cell>
          <cell r="K51">
            <v>0</v>
          </cell>
        </row>
        <row r="52">
          <cell r="C52">
            <v>0</v>
          </cell>
          <cell r="D52">
            <v>0</v>
          </cell>
          <cell r="E52">
            <v>0</v>
          </cell>
          <cell r="G52">
            <v>0</v>
          </cell>
          <cell r="H52">
            <v>0</v>
          </cell>
          <cell r="J52">
            <v>0</v>
          </cell>
          <cell r="K52">
            <v>12000</v>
          </cell>
        </row>
        <row r="53">
          <cell r="C53">
            <v>0</v>
          </cell>
          <cell r="D53">
            <v>0</v>
          </cell>
          <cell r="E53">
            <v>0</v>
          </cell>
          <cell r="G53">
            <v>0</v>
          </cell>
          <cell r="H53">
            <v>0</v>
          </cell>
          <cell r="J53">
            <v>0</v>
          </cell>
          <cell r="K53">
            <v>0</v>
          </cell>
        </row>
        <row r="54">
          <cell r="C54">
            <v>0</v>
          </cell>
          <cell r="D54">
            <v>0</v>
          </cell>
          <cell r="E54">
            <v>0</v>
          </cell>
          <cell r="G54">
            <v>0</v>
          </cell>
          <cell r="H54">
            <v>0</v>
          </cell>
          <cell r="J54">
            <v>0</v>
          </cell>
          <cell r="K54">
            <v>0</v>
          </cell>
        </row>
        <row r="57">
          <cell r="C57">
            <v>0</v>
          </cell>
          <cell r="D57">
            <v>0</v>
          </cell>
          <cell r="E57">
            <v>0</v>
          </cell>
          <cell r="G57">
            <v>0</v>
          </cell>
          <cell r="H57">
            <v>0</v>
          </cell>
          <cell r="J57">
            <v>0</v>
          </cell>
          <cell r="K57">
            <v>0</v>
          </cell>
        </row>
        <row r="58">
          <cell r="C58">
            <v>0</v>
          </cell>
          <cell r="D58">
            <v>0</v>
          </cell>
          <cell r="E58">
            <v>0</v>
          </cell>
          <cell r="G58">
            <v>0</v>
          </cell>
          <cell r="H58">
            <v>0</v>
          </cell>
          <cell r="J58">
            <v>0</v>
          </cell>
          <cell r="K58">
            <v>0</v>
          </cell>
        </row>
        <row r="59">
          <cell r="C59">
            <v>0</v>
          </cell>
          <cell r="D59">
            <v>0</v>
          </cell>
          <cell r="E59">
            <v>0</v>
          </cell>
          <cell r="G59">
            <v>0</v>
          </cell>
          <cell r="H59">
            <v>0</v>
          </cell>
          <cell r="J59">
            <v>0</v>
          </cell>
          <cell r="K59">
            <v>0</v>
          </cell>
        </row>
        <row r="60">
          <cell r="C60">
            <v>0</v>
          </cell>
          <cell r="D60">
            <v>0</v>
          </cell>
          <cell r="E60">
            <v>0</v>
          </cell>
          <cell r="G60">
            <v>0</v>
          </cell>
          <cell r="H60">
            <v>0</v>
          </cell>
          <cell r="J60">
            <v>0</v>
          </cell>
          <cell r="K60">
            <v>0</v>
          </cell>
        </row>
        <row r="61">
          <cell r="C61">
            <v>0</v>
          </cell>
          <cell r="D61">
            <v>0</v>
          </cell>
          <cell r="E61">
            <v>0</v>
          </cell>
          <cell r="G61">
            <v>0</v>
          </cell>
          <cell r="H61">
            <v>0</v>
          </cell>
          <cell r="J61">
            <v>0</v>
          </cell>
          <cell r="K61">
            <v>0</v>
          </cell>
        </row>
        <row r="64">
          <cell r="C64">
            <v>28174257.869999994</v>
          </cell>
          <cell r="D64">
            <v>0</v>
          </cell>
          <cell r="E64">
            <v>0</v>
          </cell>
          <cell r="G64">
            <v>66291773.419999987</v>
          </cell>
          <cell r="H64">
            <v>0</v>
          </cell>
          <cell r="J64">
            <v>18435010.949999999</v>
          </cell>
          <cell r="K64">
            <v>20891643.79999999</v>
          </cell>
        </row>
        <row r="65">
          <cell r="C65">
            <v>0</v>
          </cell>
          <cell r="D65">
            <v>0</v>
          </cell>
          <cell r="E65">
            <v>0</v>
          </cell>
          <cell r="G65">
            <v>0</v>
          </cell>
          <cell r="H65">
            <v>0</v>
          </cell>
          <cell r="J65">
            <v>0</v>
          </cell>
          <cell r="K65">
            <v>0</v>
          </cell>
        </row>
        <row r="66">
          <cell r="C66">
            <v>0</v>
          </cell>
          <cell r="D66">
            <v>0</v>
          </cell>
          <cell r="E66">
            <v>0</v>
          </cell>
          <cell r="G66">
            <v>0</v>
          </cell>
          <cell r="H66">
            <v>0</v>
          </cell>
          <cell r="J66">
            <v>0</v>
          </cell>
          <cell r="K66">
            <v>0</v>
          </cell>
        </row>
        <row r="67">
          <cell r="C67">
            <v>0</v>
          </cell>
          <cell r="D67">
            <v>0</v>
          </cell>
          <cell r="E67">
            <v>0</v>
          </cell>
          <cell r="G67">
            <v>0</v>
          </cell>
          <cell r="H67">
            <v>0</v>
          </cell>
          <cell r="J67">
            <v>0</v>
          </cell>
          <cell r="K67">
            <v>0</v>
          </cell>
        </row>
        <row r="68">
          <cell r="C68">
            <v>0</v>
          </cell>
          <cell r="D68">
            <v>0</v>
          </cell>
          <cell r="E68">
            <v>0</v>
          </cell>
          <cell r="G68">
            <v>0</v>
          </cell>
          <cell r="H68">
            <v>0</v>
          </cell>
          <cell r="J68">
            <v>0</v>
          </cell>
          <cell r="K68">
            <v>0</v>
          </cell>
        </row>
        <row r="69">
          <cell r="C69">
            <v>0</v>
          </cell>
          <cell r="D69">
            <v>0</v>
          </cell>
          <cell r="E69">
            <v>0</v>
          </cell>
          <cell r="G69">
            <v>0</v>
          </cell>
          <cell r="H69">
            <v>0</v>
          </cell>
          <cell r="J69">
            <v>0</v>
          </cell>
          <cell r="K69">
            <v>0</v>
          </cell>
        </row>
        <row r="70">
          <cell r="C70">
            <v>0</v>
          </cell>
          <cell r="D70">
            <v>0</v>
          </cell>
          <cell r="E70">
            <v>0</v>
          </cell>
          <cell r="G70">
            <v>0</v>
          </cell>
          <cell r="H70">
            <v>0</v>
          </cell>
          <cell r="J70">
            <v>0</v>
          </cell>
          <cell r="K70">
            <v>0</v>
          </cell>
        </row>
        <row r="71">
          <cell r="C71">
            <v>0</v>
          </cell>
          <cell r="D71">
            <v>0</v>
          </cell>
          <cell r="E71">
            <v>0</v>
          </cell>
          <cell r="G71">
            <v>0</v>
          </cell>
          <cell r="H71">
            <v>0</v>
          </cell>
          <cell r="J71">
            <v>0</v>
          </cell>
          <cell r="K71">
            <v>0</v>
          </cell>
        </row>
        <row r="72">
          <cell r="C72">
            <v>0</v>
          </cell>
          <cell r="D72">
            <v>0</v>
          </cell>
          <cell r="E72">
            <v>0</v>
          </cell>
          <cell r="G72">
            <v>0</v>
          </cell>
          <cell r="H72">
            <v>0</v>
          </cell>
          <cell r="J72">
            <v>0</v>
          </cell>
          <cell r="K72">
            <v>0</v>
          </cell>
        </row>
        <row r="73">
          <cell r="C73">
            <v>882.38</v>
          </cell>
          <cell r="D73">
            <v>0</v>
          </cell>
          <cell r="E73">
            <v>0</v>
          </cell>
          <cell r="G73">
            <v>2356.6799999999998</v>
          </cell>
          <cell r="H73">
            <v>0</v>
          </cell>
          <cell r="J73">
            <v>659.04</v>
          </cell>
          <cell r="K73">
            <v>27.090000000000146</v>
          </cell>
        </row>
        <row r="74">
          <cell r="C74">
            <v>0</v>
          </cell>
          <cell r="D74">
            <v>0</v>
          </cell>
          <cell r="E74">
            <v>0</v>
          </cell>
          <cell r="G74">
            <v>0</v>
          </cell>
          <cell r="H74">
            <v>0</v>
          </cell>
          <cell r="J74">
            <v>0</v>
          </cell>
          <cell r="K74">
            <v>0</v>
          </cell>
        </row>
        <row r="75">
          <cell r="C75">
            <v>0</v>
          </cell>
          <cell r="D75">
            <v>0</v>
          </cell>
          <cell r="E75">
            <v>0</v>
          </cell>
          <cell r="G75">
            <v>4100.4599999999991</v>
          </cell>
          <cell r="H75">
            <v>0</v>
          </cell>
          <cell r="J75">
            <v>0</v>
          </cell>
          <cell r="K75">
            <v>0</v>
          </cell>
        </row>
        <row r="76">
          <cell r="C76">
            <v>1400532.33</v>
          </cell>
          <cell r="D76">
            <v>0</v>
          </cell>
          <cell r="E76">
            <v>0</v>
          </cell>
          <cell r="G76">
            <v>1044798.28</v>
          </cell>
          <cell r="H76">
            <v>0</v>
          </cell>
          <cell r="J76">
            <v>291823.53000000003</v>
          </cell>
          <cell r="K76">
            <v>11992.730000000074</v>
          </cell>
        </row>
      </sheetData>
      <sheetData sheetId="2"/>
      <sheetData sheetId="3"/>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ummary"/>
      <sheetName val="Labor Summary"/>
      <sheetName val="Template"/>
      <sheetName val="Adj. #1"/>
      <sheetName val="Adj. #2"/>
      <sheetName val="Adj. #3"/>
      <sheetName val="Adj. #4"/>
      <sheetName val="Adj. #5"/>
      <sheetName val="Adj. #6"/>
      <sheetName val="Adj. #7"/>
      <sheetName val="Adj. #8"/>
      <sheetName val="Adj. #9"/>
      <sheetName val="Adj. #10"/>
      <sheetName val="Adj. #11"/>
      <sheetName val="Adj. #12"/>
      <sheetName val="Adj. #13"/>
      <sheetName val="Adj. #14"/>
      <sheetName val="Adj. #15"/>
      <sheetName val="Adj. #16"/>
      <sheetName val="Adj. #17"/>
      <sheetName val="Adj. #18"/>
      <sheetName val="Adj. #19"/>
      <sheetName val="Adj. #20"/>
      <sheetName val="Adj. #21"/>
      <sheetName val="Adj. #22"/>
      <sheetName val="Adj. #23"/>
      <sheetName val="Adj. #24"/>
      <sheetName val="Adj. #25"/>
      <sheetName val="Adj. #26"/>
      <sheetName val="Adj. #27"/>
      <sheetName val="Adj. #28"/>
      <sheetName val="Adj. #29"/>
      <sheetName val="Adj. #30"/>
      <sheetName val="Adj. #31"/>
      <sheetName val="Adj. #32"/>
      <sheetName val="Adj. #33"/>
      <sheetName val="Adj. #34"/>
      <sheetName val="Adj. #35"/>
      <sheetName val="Adj. #36"/>
      <sheetName val="Adj. #37"/>
      <sheetName val="Adj. #38"/>
      <sheetName val="Adj. #39"/>
      <sheetName val="Adj. #40"/>
      <sheetName val="Adj. #41"/>
      <sheetName val="Adj. #42"/>
      <sheetName val="Adj. #43"/>
      <sheetName val="Adj. #44"/>
      <sheetName val="Adj. #45"/>
      <sheetName val="WP_II-D Adjustment Summary"/>
    </sheetNames>
    <sheetDataSet>
      <sheetData sheetId="0">
        <row r="3">
          <cell r="D3">
            <v>-7.52</v>
          </cell>
          <cell r="E3">
            <v>0</v>
          </cell>
          <cell r="F3">
            <v>0</v>
          </cell>
          <cell r="H3">
            <v>0</v>
          </cell>
          <cell r="I3">
            <v>0</v>
          </cell>
          <cell r="K3">
            <v>0</v>
          </cell>
          <cell r="L3">
            <v>0</v>
          </cell>
          <cell r="N3">
            <v>-7.52</v>
          </cell>
        </row>
        <row r="4">
          <cell r="D4">
            <v>-89.83</v>
          </cell>
          <cell r="E4">
            <v>267260.95</v>
          </cell>
          <cell r="F4">
            <v>0</v>
          </cell>
          <cell r="H4">
            <v>0</v>
          </cell>
          <cell r="I4">
            <v>0</v>
          </cell>
          <cell r="K4">
            <v>0</v>
          </cell>
          <cell r="L4">
            <v>0</v>
          </cell>
          <cell r="N4">
            <v>267171.12</v>
          </cell>
        </row>
        <row r="5">
          <cell r="D5">
            <v>1282583.33</v>
          </cell>
          <cell r="E5">
            <v>0</v>
          </cell>
          <cell r="F5">
            <v>0</v>
          </cell>
          <cell r="H5">
            <v>0</v>
          </cell>
          <cell r="I5">
            <v>0</v>
          </cell>
          <cell r="K5">
            <v>0</v>
          </cell>
          <cell r="L5">
            <v>0</v>
          </cell>
          <cell r="N5">
            <v>1282583.33</v>
          </cell>
        </row>
        <row r="6">
          <cell r="D6">
            <v>1026273.3800000001</v>
          </cell>
          <cell r="E6">
            <v>60684.209999999963</v>
          </cell>
          <cell r="F6">
            <v>0</v>
          </cell>
          <cell r="H6">
            <v>0</v>
          </cell>
          <cell r="I6">
            <v>0</v>
          </cell>
          <cell r="K6">
            <v>0</v>
          </cell>
          <cell r="L6">
            <v>0</v>
          </cell>
          <cell r="N6">
            <v>1086957.5900000001</v>
          </cell>
        </row>
        <row r="7">
          <cell r="D7">
            <v>0</v>
          </cell>
          <cell r="E7">
            <v>0</v>
          </cell>
          <cell r="F7">
            <v>0</v>
          </cell>
          <cell r="H7">
            <v>0</v>
          </cell>
          <cell r="I7">
            <v>0</v>
          </cell>
          <cell r="K7">
            <v>0</v>
          </cell>
          <cell r="L7">
            <v>0</v>
          </cell>
          <cell r="N7">
            <v>0</v>
          </cell>
        </row>
        <row r="8">
          <cell r="D8">
            <v>0</v>
          </cell>
          <cell r="E8">
            <v>0</v>
          </cell>
          <cell r="F8">
            <v>0</v>
          </cell>
          <cell r="H8">
            <v>133024374.4000001</v>
          </cell>
          <cell r="I8">
            <v>0</v>
          </cell>
          <cell r="K8">
            <v>0</v>
          </cell>
          <cell r="L8">
            <v>0</v>
          </cell>
          <cell r="N8">
            <v>133024374.4000001</v>
          </cell>
        </row>
        <row r="9">
          <cell r="D9">
            <v>6965192.6499999994</v>
          </cell>
          <cell r="E9">
            <v>0</v>
          </cell>
          <cell r="F9">
            <v>0</v>
          </cell>
          <cell r="H9">
            <v>-27.77</v>
          </cell>
          <cell r="I9">
            <v>0</v>
          </cell>
          <cell r="K9">
            <v>0</v>
          </cell>
          <cell r="L9">
            <v>0</v>
          </cell>
          <cell r="N9">
            <v>6965164.8799999999</v>
          </cell>
        </row>
        <row r="10">
          <cell r="D10">
            <v>0</v>
          </cell>
          <cell r="E10">
            <v>0</v>
          </cell>
          <cell r="F10">
            <v>0</v>
          </cell>
          <cell r="H10">
            <v>0</v>
          </cell>
          <cell r="I10">
            <v>0</v>
          </cell>
          <cell r="K10">
            <v>0</v>
          </cell>
          <cell r="L10">
            <v>0</v>
          </cell>
          <cell r="N10">
            <v>0</v>
          </cell>
        </row>
        <row r="13">
          <cell r="D13">
            <v>0</v>
          </cell>
          <cell r="E13">
            <v>0</v>
          </cell>
          <cell r="F13">
            <v>0</v>
          </cell>
          <cell r="H13">
            <v>0</v>
          </cell>
          <cell r="I13">
            <v>0</v>
          </cell>
          <cell r="K13">
            <v>0</v>
          </cell>
          <cell r="L13">
            <v>0</v>
          </cell>
          <cell r="N13">
            <v>0</v>
          </cell>
        </row>
        <row r="14">
          <cell r="D14">
            <v>0</v>
          </cell>
          <cell r="E14">
            <v>0</v>
          </cell>
          <cell r="F14">
            <v>0</v>
          </cell>
          <cell r="H14">
            <v>0</v>
          </cell>
          <cell r="I14">
            <v>0</v>
          </cell>
          <cell r="K14">
            <v>0</v>
          </cell>
          <cell r="L14">
            <v>0</v>
          </cell>
          <cell r="N14">
            <v>0</v>
          </cell>
        </row>
        <row r="15">
          <cell r="D15">
            <v>0</v>
          </cell>
          <cell r="E15">
            <v>0</v>
          </cell>
          <cell r="F15">
            <v>0</v>
          </cell>
          <cell r="H15">
            <v>0</v>
          </cell>
          <cell r="I15">
            <v>0</v>
          </cell>
          <cell r="K15">
            <v>0</v>
          </cell>
          <cell r="L15">
            <v>0</v>
          </cell>
          <cell r="N15">
            <v>0</v>
          </cell>
        </row>
        <row r="16">
          <cell r="D16">
            <v>0</v>
          </cell>
          <cell r="E16">
            <v>0</v>
          </cell>
          <cell r="F16">
            <v>0</v>
          </cell>
          <cell r="H16">
            <v>0</v>
          </cell>
          <cell r="I16">
            <v>0</v>
          </cell>
          <cell r="K16">
            <v>0</v>
          </cell>
          <cell r="L16">
            <v>0</v>
          </cell>
          <cell r="N16">
            <v>0</v>
          </cell>
        </row>
        <row r="17">
          <cell r="D17">
            <v>0</v>
          </cell>
          <cell r="E17">
            <v>0</v>
          </cell>
          <cell r="F17">
            <v>0</v>
          </cell>
          <cell r="H17">
            <v>0</v>
          </cell>
          <cell r="I17">
            <v>0</v>
          </cell>
          <cell r="K17">
            <v>0</v>
          </cell>
          <cell r="L17">
            <v>0</v>
          </cell>
          <cell r="N17">
            <v>0</v>
          </cell>
        </row>
        <row r="18">
          <cell r="D18">
            <v>0</v>
          </cell>
          <cell r="E18">
            <v>0</v>
          </cell>
          <cell r="F18">
            <v>0</v>
          </cell>
          <cell r="H18">
            <v>0</v>
          </cell>
          <cell r="I18">
            <v>0</v>
          </cell>
          <cell r="K18">
            <v>0</v>
          </cell>
          <cell r="L18">
            <v>0</v>
          </cell>
          <cell r="N18">
            <v>0</v>
          </cell>
        </row>
        <row r="21">
          <cell r="D21">
            <v>0</v>
          </cell>
          <cell r="E21">
            <v>0</v>
          </cell>
          <cell r="F21">
            <v>0</v>
          </cell>
          <cell r="H21">
            <v>-100930.06999999999</v>
          </cell>
          <cell r="I21">
            <v>0</v>
          </cell>
          <cell r="K21">
            <v>0</v>
          </cell>
          <cell r="L21">
            <v>-200</v>
          </cell>
          <cell r="N21">
            <v>-101130.06999999999</v>
          </cell>
        </row>
        <row r="22">
          <cell r="D22">
            <v>0</v>
          </cell>
          <cell r="E22">
            <v>0</v>
          </cell>
          <cell r="F22">
            <v>0</v>
          </cell>
          <cell r="H22">
            <v>0</v>
          </cell>
          <cell r="I22">
            <v>0</v>
          </cell>
          <cell r="K22">
            <v>0</v>
          </cell>
          <cell r="L22">
            <v>0</v>
          </cell>
          <cell r="N22">
            <v>0</v>
          </cell>
        </row>
        <row r="23">
          <cell r="D23">
            <v>0</v>
          </cell>
          <cell r="E23">
            <v>0</v>
          </cell>
          <cell r="F23">
            <v>0</v>
          </cell>
          <cell r="H23">
            <v>-2838233.33</v>
          </cell>
          <cell r="I23">
            <v>0</v>
          </cell>
          <cell r="K23">
            <v>0</v>
          </cell>
          <cell r="L23">
            <v>0</v>
          </cell>
          <cell r="N23">
            <v>-2838233.33</v>
          </cell>
        </row>
        <row r="24">
          <cell r="D24">
            <v>0</v>
          </cell>
          <cell r="E24">
            <v>0</v>
          </cell>
          <cell r="F24">
            <v>0</v>
          </cell>
          <cell r="H24">
            <v>44069.88</v>
          </cell>
          <cell r="I24">
            <v>0</v>
          </cell>
          <cell r="K24">
            <v>0</v>
          </cell>
          <cell r="L24">
            <v>0</v>
          </cell>
          <cell r="N24">
            <v>44069.88</v>
          </cell>
        </row>
        <row r="25">
          <cell r="D25">
            <v>0</v>
          </cell>
          <cell r="E25">
            <v>0</v>
          </cell>
          <cell r="F25">
            <v>0</v>
          </cell>
          <cell r="H25">
            <v>44942.420000000006</v>
          </cell>
          <cell r="I25">
            <v>0</v>
          </cell>
          <cell r="K25">
            <v>0</v>
          </cell>
          <cell r="L25">
            <v>0</v>
          </cell>
          <cell r="N25">
            <v>44942.420000000006</v>
          </cell>
        </row>
        <row r="26">
          <cell r="D26">
            <v>0</v>
          </cell>
          <cell r="E26">
            <v>0</v>
          </cell>
          <cell r="F26">
            <v>0</v>
          </cell>
          <cell r="H26">
            <v>0</v>
          </cell>
          <cell r="I26">
            <v>0</v>
          </cell>
          <cell r="K26">
            <v>0</v>
          </cell>
          <cell r="L26">
            <v>0</v>
          </cell>
          <cell r="N26">
            <v>0</v>
          </cell>
        </row>
        <row r="27">
          <cell r="D27">
            <v>0</v>
          </cell>
          <cell r="E27">
            <v>0</v>
          </cell>
          <cell r="F27">
            <v>0</v>
          </cell>
          <cell r="H27">
            <v>0</v>
          </cell>
          <cell r="I27">
            <v>0</v>
          </cell>
          <cell r="K27">
            <v>172614.89</v>
          </cell>
          <cell r="L27">
            <v>0</v>
          </cell>
          <cell r="N27">
            <v>172614.89</v>
          </cell>
        </row>
        <row r="28">
          <cell r="D28">
            <v>0</v>
          </cell>
          <cell r="E28">
            <v>0</v>
          </cell>
          <cell r="F28">
            <v>0</v>
          </cell>
          <cell r="H28">
            <v>0</v>
          </cell>
          <cell r="I28">
            <v>0</v>
          </cell>
          <cell r="K28">
            <v>0</v>
          </cell>
          <cell r="L28">
            <v>0</v>
          </cell>
          <cell r="N28">
            <v>0</v>
          </cell>
        </row>
        <row r="29">
          <cell r="D29">
            <v>0</v>
          </cell>
          <cell r="E29">
            <v>0</v>
          </cell>
          <cell r="F29">
            <v>0</v>
          </cell>
          <cell r="H29">
            <v>19151257.849999994</v>
          </cell>
          <cell r="I29">
            <v>0</v>
          </cell>
          <cell r="K29">
            <v>17779.490000000002</v>
          </cell>
          <cell r="L29">
            <v>16094.42</v>
          </cell>
          <cell r="N29">
            <v>19185131.759999994</v>
          </cell>
        </row>
        <row r="30">
          <cell r="D30">
            <v>0</v>
          </cell>
          <cell r="E30">
            <v>0</v>
          </cell>
          <cell r="F30">
            <v>0</v>
          </cell>
          <cell r="H30">
            <v>-2609865.7999999998</v>
          </cell>
          <cell r="I30">
            <v>0</v>
          </cell>
          <cell r="K30">
            <v>0</v>
          </cell>
          <cell r="L30">
            <v>0</v>
          </cell>
          <cell r="N30">
            <v>-2609865.7999999998</v>
          </cell>
        </row>
        <row r="33">
          <cell r="D33">
            <v>0</v>
          </cell>
          <cell r="E33">
            <v>0</v>
          </cell>
          <cell r="F33">
            <v>0</v>
          </cell>
          <cell r="H33">
            <v>609.13</v>
          </cell>
          <cell r="I33">
            <v>0</v>
          </cell>
          <cell r="K33">
            <v>0</v>
          </cell>
          <cell r="L33">
            <v>0</v>
          </cell>
          <cell r="N33">
            <v>609.13</v>
          </cell>
        </row>
        <row r="34">
          <cell r="D34">
            <v>0</v>
          </cell>
          <cell r="E34">
            <v>0</v>
          </cell>
          <cell r="F34">
            <v>0</v>
          </cell>
          <cell r="H34">
            <v>0</v>
          </cell>
          <cell r="I34">
            <v>0</v>
          </cell>
          <cell r="K34">
            <v>0</v>
          </cell>
          <cell r="L34">
            <v>0</v>
          </cell>
          <cell r="N34">
            <v>0</v>
          </cell>
        </row>
        <row r="35">
          <cell r="D35">
            <v>10079.32</v>
          </cell>
          <cell r="E35">
            <v>0</v>
          </cell>
          <cell r="F35">
            <v>0</v>
          </cell>
          <cell r="H35">
            <v>4641.7299999999996</v>
          </cell>
          <cell r="I35">
            <v>0</v>
          </cell>
          <cell r="K35">
            <v>0</v>
          </cell>
          <cell r="L35">
            <v>0</v>
          </cell>
          <cell r="N35">
            <v>14721.05</v>
          </cell>
        </row>
        <row r="36">
          <cell r="D36">
            <v>0</v>
          </cell>
          <cell r="E36">
            <v>0</v>
          </cell>
          <cell r="F36">
            <v>0</v>
          </cell>
          <cell r="H36">
            <v>-1214603.6399999997</v>
          </cell>
          <cell r="I36">
            <v>0</v>
          </cell>
          <cell r="K36">
            <v>0</v>
          </cell>
          <cell r="L36">
            <v>0</v>
          </cell>
          <cell r="N36">
            <v>-1214603.6399999997</v>
          </cell>
        </row>
        <row r="37">
          <cell r="D37">
            <v>0</v>
          </cell>
          <cell r="E37">
            <v>0</v>
          </cell>
          <cell r="F37">
            <v>0</v>
          </cell>
          <cell r="H37">
            <v>73041.930000000008</v>
          </cell>
          <cell r="I37">
            <v>0</v>
          </cell>
          <cell r="K37">
            <v>0</v>
          </cell>
          <cell r="L37">
            <v>0</v>
          </cell>
          <cell r="N37">
            <v>73041.930000000008</v>
          </cell>
        </row>
        <row r="38">
          <cell r="D38">
            <v>0</v>
          </cell>
          <cell r="E38">
            <v>0</v>
          </cell>
          <cell r="F38">
            <v>0</v>
          </cell>
          <cell r="H38">
            <v>69.349999999999994</v>
          </cell>
          <cell r="I38">
            <v>0</v>
          </cell>
          <cell r="K38">
            <v>0</v>
          </cell>
          <cell r="L38">
            <v>0</v>
          </cell>
          <cell r="N38">
            <v>69.349999999999994</v>
          </cell>
        </row>
        <row r="39">
          <cell r="D39">
            <v>0</v>
          </cell>
          <cell r="E39">
            <v>0</v>
          </cell>
          <cell r="F39">
            <v>0</v>
          </cell>
          <cell r="H39">
            <v>213532.41</v>
          </cell>
          <cell r="I39">
            <v>0</v>
          </cell>
          <cell r="K39">
            <v>0</v>
          </cell>
          <cell r="L39">
            <v>0</v>
          </cell>
          <cell r="N39">
            <v>213532.41</v>
          </cell>
        </row>
        <row r="40">
          <cell r="D40">
            <v>0</v>
          </cell>
          <cell r="E40">
            <v>0</v>
          </cell>
          <cell r="F40">
            <v>0</v>
          </cell>
          <cell r="H40">
            <v>0</v>
          </cell>
          <cell r="I40">
            <v>0</v>
          </cell>
          <cell r="K40">
            <v>0</v>
          </cell>
          <cell r="L40">
            <v>0</v>
          </cell>
          <cell r="N40">
            <v>0</v>
          </cell>
        </row>
        <row r="41">
          <cell r="D41">
            <v>0</v>
          </cell>
          <cell r="E41">
            <v>0</v>
          </cell>
          <cell r="F41">
            <v>0</v>
          </cell>
          <cell r="H41">
            <v>22314.98</v>
          </cell>
          <cell r="I41">
            <v>0</v>
          </cell>
          <cell r="K41">
            <v>0</v>
          </cell>
          <cell r="L41">
            <v>0</v>
          </cell>
          <cell r="N41">
            <v>22314.98</v>
          </cell>
        </row>
        <row r="44">
          <cell r="D44">
            <v>0</v>
          </cell>
          <cell r="E44">
            <v>0</v>
          </cell>
          <cell r="F44">
            <v>0</v>
          </cell>
          <cell r="H44">
            <v>0</v>
          </cell>
          <cell r="I44">
            <v>0</v>
          </cell>
          <cell r="K44">
            <v>0</v>
          </cell>
          <cell r="L44">
            <v>0</v>
          </cell>
          <cell r="N44">
            <v>0</v>
          </cell>
        </row>
        <row r="45">
          <cell r="D45">
            <v>0</v>
          </cell>
          <cell r="E45">
            <v>0</v>
          </cell>
          <cell r="F45">
            <v>0</v>
          </cell>
          <cell r="H45">
            <v>0</v>
          </cell>
          <cell r="I45">
            <v>0</v>
          </cell>
          <cell r="K45">
            <v>-4254.72</v>
          </cell>
          <cell r="L45">
            <v>0</v>
          </cell>
          <cell r="N45">
            <v>-4254.72</v>
          </cell>
        </row>
        <row r="46">
          <cell r="D46">
            <v>0</v>
          </cell>
          <cell r="E46">
            <v>0</v>
          </cell>
          <cell r="F46">
            <v>0</v>
          </cell>
          <cell r="H46">
            <v>0</v>
          </cell>
          <cell r="I46">
            <v>0</v>
          </cell>
          <cell r="K46">
            <v>0</v>
          </cell>
          <cell r="L46">
            <v>-6560230.1299999999</v>
          </cell>
          <cell r="N46">
            <v>-6560230.1299999999</v>
          </cell>
        </row>
        <row r="47">
          <cell r="D47">
            <v>0</v>
          </cell>
          <cell r="E47">
            <v>0</v>
          </cell>
          <cell r="F47">
            <v>0</v>
          </cell>
          <cell r="H47">
            <v>0</v>
          </cell>
          <cell r="I47">
            <v>0</v>
          </cell>
          <cell r="K47">
            <v>0</v>
          </cell>
          <cell r="L47">
            <v>532280.16</v>
          </cell>
          <cell r="N47">
            <v>532280.16</v>
          </cell>
        </row>
        <row r="48">
          <cell r="D48">
            <v>0</v>
          </cell>
          <cell r="E48">
            <v>0</v>
          </cell>
          <cell r="F48">
            <v>0</v>
          </cell>
          <cell r="H48">
            <v>0</v>
          </cell>
          <cell r="I48">
            <v>0</v>
          </cell>
          <cell r="K48">
            <v>0</v>
          </cell>
          <cell r="L48">
            <v>0</v>
          </cell>
          <cell r="N48">
            <v>0</v>
          </cell>
        </row>
        <row r="51">
          <cell r="D51">
            <v>0</v>
          </cell>
          <cell r="E51">
            <v>0</v>
          </cell>
          <cell r="F51">
            <v>0</v>
          </cell>
          <cell r="H51">
            <v>0</v>
          </cell>
          <cell r="I51">
            <v>0</v>
          </cell>
          <cell r="K51">
            <v>0</v>
          </cell>
          <cell r="L51">
            <v>0</v>
          </cell>
          <cell r="N51">
            <v>0</v>
          </cell>
        </row>
        <row r="52">
          <cell r="D52">
            <v>0</v>
          </cell>
          <cell r="E52">
            <v>0</v>
          </cell>
          <cell r="F52">
            <v>0</v>
          </cell>
          <cell r="H52">
            <v>0</v>
          </cell>
          <cell r="I52">
            <v>0</v>
          </cell>
          <cell r="K52">
            <v>0</v>
          </cell>
          <cell r="L52">
            <v>0</v>
          </cell>
          <cell r="N52">
            <v>0</v>
          </cell>
        </row>
        <row r="53">
          <cell r="D53">
            <v>0</v>
          </cell>
          <cell r="E53">
            <v>0</v>
          </cell>
          <cell r="F53">
            <v>0</v>
          </cell>
          <cell r="H53">
            <v>0</v>
          </cell>
          <cell r="I53">
            <v>0</v>
          </cell>
          <cell r="K53">
            <v>0</v>
          </cell>
          <cell r="L53">
            <v>-54320514.229999997</v>
          </cell>
          <cell r="N53">
            <v>-54320514.229999997</v>
          </cell>
        </row>
        <row r="54">
          <cell r="D54">
            <v>0</v>
          </cell>
          <cell r="E54">
            <v>0</v>
          </cell>
          <cell r="F54">
            <v>0</v>
          </cell>
          <cell r="H54">
            <v>0</v>
          </cell>
          <cell r="I54">
            <v>0</v>
          </cell>
          <cell r="K54">
            <v>0</v>
          </cell>
          <cell r="L54">
            <v>0</v>
          </cell>
          <cell r="N54">
            <v>0</v>
          </cell>
        </row>
        <row r="55">
          <cell r="D55">
            <v>0</v>
          </cell>
          <cell r="E55">
            <v>0</v>
          </cell>
          <cell r="F55">
            <v>0</v>
          </cell>
          <cell r="H55">
            <v>0</v>
          </cell>
          <cell r="I55">
            <v>0</v>
          </cell>
          <cell r="K55">
            <v>0</v>
          </cell>
          <cell r="L55">
            <v>0</v>
          </cell>
          <cell r="N55">
            <v>0</v>
          </cell>
        </row>
        <row r="58">
          <cell r="D58">
            <v>0</v>
          </cell>
          <cell r="E58">
            <v>0</v>
          </cell>
          <cell r="F58">
            <v>0</v>
          </cell>
          <cell r="H58">
            <v>0</v>
          </cell>
          <cell r="I58">
            <v>0</v>
          </cell>
          <cell r="K58">
            <v>0</v>
          </cell>
          <cell r="L58">
            <v>0</v>
          </cell>
          <cell r="N58">
            <v>0</v>
          </cell>
        </row>
        <row r="59">
          <cell r="D59">
            <v>0</v>
          </cell>
          <cell r="E59">
            <v>0</v>
          </cell>
          <cell r="F59">
            <v>0</v>
          </cell>
          <cell r="H59">
            <v>0</v>
          </cell>
          <cell r="I59">
            <v>0</v>
          </cell>
          <cell r="K59">
            <v>0</v>
          </cell>
          <cell r="L59">
            <v>0</v>
          </cell>
          <cell r="N59">
            <v>0</v>
          </cell>
        </row>
        <row r="60">
          <cell r="D60">
            <v>0</v>
          </cell>
          <cell r="E60">
            <v>0</v>
          </cell>
          <cell r="F60">
            <v>0</v>
          </cell>
          <cell r="H60">
            <v>0</v>
          </cell>
          <cell r="I60">
            <v>0</v>
          </cell>
          <cell r="K60">
            <v>0</v>
          </cell>
          <cell r="L60">
            <v>0</v>
          </cell>
          <cell r="N60">
            <v>0</v>
          </cell>
        </row>
        <row r="61">
          <cell r="D61">
            <v>0</v>
          </cell>
          <cell r="E61">
            <v>0</v>
          </cell>
          <cell r="F61">
            <v>0</v>
          </cell>
          <cell r="H61">
            <v>0</v>
          </cell>
          <cell r="I61">
            <v>0</v>
          </cell>
          <cell r="K61">
            <v>0</v>
          </cell>
          <cell r="L61">
            <v>0</v>
          </cell>
          <cell r="N61">
            <v>0</v>
          </cell>
        </row>
        <row r="62">
          <cell r="D62">
            <v>0</v>
          </cell>
          <cell r="E62">
            <v>0</v>
          </cell>
          <cell r="F62">
            <v>0</v>
          </cell>
          <cell r="H62">
            <v>0</v>
          </cell>
          <cell r="I62">
            <v>0</v>
          </cell>
          <cell r="K62">
            <v>0</v>
          </cell>
          <cell r="L62">
            <v>0</v>
          </cell>
          <cell r="N62">
            <v>0</v>
          </cell>
        </row>
        <row r="65">
          <cell r="D65">
            <v>-13461.539999999572</v>
          </cell>
          <cell r="E65">
            <v>0</v>
          </cell>
          <cell r="F65">
            <v>0</v>
          </cell>
          <cell r="H65">
            <v>1073674.2199999997</v>
          </cell>
          <cell r="I65">
            <v>0</v>
          </cell>
          <cell r="K65">
            <v>322068.41999999993</v>
          </cell>
          <cell r="L65">
            <v>13071.070000000007</v>
          </cell>
          <cell r="N65">
            <v>1395352.1700000002</v>
          </cell>
        </row>
        <row r="66">
          <cell r="D66">
            <v>-480589.30000000005</v>
          </cell>
          <cell r="E66">
            <v>0</v>
          </cell>
          <cell r="F66">
            <v>0</v>
          </cell>
          <cell r="H66">
            <v>-1277784.2200000002</v>
          </cell>
          <cell r="I66">
            <v>0</v>
          </cell>
          <cell r="K66">
            <v>-357190.74</v>
          </cell>
          <cell r="L66">
            <v>-236201.05000000002</v>
          </cell>
          <cell r="N66">
            <v>-2351765.3100000005</v>
          </cell>
        </row>
        <row r="67">
          <cell r="D67">
            <v>0</v>
          </cell>
          <cell r="E67">
            <v>0</v>
          </cell>
          <cell r="F67">
            <v>0</v>
          </cell>
          <cell r="H67">
            <v>0</v>
          </cell>
          <cell r="I67">
            <v>0</v>
          </cell>
          <cell r="K67">
            <v>0</v>
          </cell>
          <cell r="L67">
            <v>0</v>
          </cell>
          <cell r="N67">
            <v>0</v>
          </cell>
        </row>
        <row r="68">
          <cell r="D68">
            <v>5113897.2699999996</v>
          </cell>
          <cell r="E68">
            <v>0</v>
          </cell>
          <cell r="F68">
            <v>0</v>
          </cell>
          <cell r="H68">
            <v>1782680.9699999997</v>
          </cell>
          <cell r="I68">
            <v>0</v>
          </cell>
          <cell r="K68">
            <v>48363.450000000004</v>
          </cell>
          <cell r="L68">
            <v>48135.54000000003</v>
          </cell>
          <cell r="N68">
            <v>6993077.2299999995</v>
          </cell>
        </row>
        <row r="69">
          <cell r="D69">
            <v>16019495.32</v>
          </cell>
          <cell r="E69">
            <v>-166415.23999999405</v>
          </cell>
          <cell r="F69">
            <v>0</v>
          </cell>
          <cell r="H69">
            <v>354378028.25999999</v>
          </cell>
          <cell r="I69">
            <v>0</v>
          </cell>
          <cell r="K69">
            <v>0</v>
          </cell>
          <cell r="L69">
            <v>0</v>
          </cell>
          <cell r="N69">
            <v>370231108.33999997</v>
          </cell>
        </row>
        <row r="70">
          <cell r="D70">
            <v>6629147.7960000001</v>
          </cell>
          <cell r="E70">
            <v>0</v>
          </cell>
          <cell r="F70">
            <v>0</v>
          </cell>
          <cell r="H70">
            <v>22831341.803999998</v>
          </cell>
          <cell r="I70">
            <v>0</v>
          </cell>
          <cell r="K70">
            <v>0</v>
          </cell>
          <cell r="L70">
            <v>0</v>
          </cell>
          <cell r="N70">
            <v>29460489.599999998</v>
          </cell>
        </row>
        <row r="71">
          <cell r="D71">
            <v>-1477352.4700000007</v>
          </cell>
          <cell r="E71">
            <v>0</v>
          </cell>
          <cell r="F71">
            <v>0</v>
          </cell>
          <cell r="I71">
            <v>0</v>
          </cell>
          <cell r="K71">
            <v>-2262928.6700000004</v>
          </cell>
          <cell r="L71">
            <v>-92645.759999999354</v>
          </cell>
          <cell r="N71">
            <v>-11606145.93</v>
          </cell>
        </row>
        <row r="72">
          <cell r="D72">
            <v>0</v>
          </cell>
          <cell r="E72">
            <v>0</v>
          </cell>
          <cell r="F72">
            <v>0</v>
          </cell>
          <cell r="H72">
            <v>-4561010.7799999993</v>
          </cell>
          <cell r="I72">
            <v>0</v>
          </cell>
          <cell r="K72">
            <v>0</v>
          </cell>
          <cell r="L72">
            <v>0</v>
          </cell>
          <cell r="N72">
            <v>-4561010.7799999993</v>
          </cell>
        </row>
        <row r="73">
          <cell r="D73">
            <v>0</v>
          </cell>
          <cell r="E73">
            <v>0</v>
          </cell>
          <cell r="F73">
            <v>0</v>
          </cell>
          <cell r="H73">
            <v>0</v>
          </cell>
          <cell r="I73">
            <v>0</v>
          </cell>
          <cell r="K73">
            <v>0</v>
          </cell>
          <cell r="L73">
            <v>-20015</v>
          </cell>
          <cell r="N73">
            <v>-20015</v>
          </cell>
        </row>
        <row r="74">
          <cell r="D74">
            <v>1395920.24</v>
          </cell>
          <cell r="E74">
            <v>0</v>
          </cell>
          <cell r="F74">
            <v>0</v>
          </cell>
          <cell r="H74">
            <v>3168448.4499999997</v>
          </cell>
          <cell r="I74">
            <v>0</v>
          </cell>
          <cell r="K74">
            <v>877009.19</v>
          </cell>
          <cell r="L74">
            <v>14615.849999999999</v>
          </cell>
          <cell r="N74">
            <v>5455993.7299999995</v>
          </cell>
        </row>
        <row r="75">
          <cell r="D75">
            <v>0</v>
          </cell>
          <cell r="E75">
            <v>0</v>
          </cell>
          <cell r="F75">
            <v>0</v>
          </cell>
          <cell r="H75">
            <v>0</v>
          </cell>
          <cell r="I75">
            <v>0</v>
          </cell>
          <cell r="K75">
            <v>0</v>
          </cell>
          <cell r="L75">
            <v>0</v>
          </cell>
          <cell r="N75">
            <v>0</v>
          </cell>
        </row>
        <row r="76">
          <cell r="D76">
            <v>0</v>
          </cell>
          <cell r="E76">
            <v>0</v>
          </cell>
          <cell r="F76">
            <v>0</v>
          </cell>
          <cell r="H76">
            <v>0</v>
          </cell>
          <cell r="I76">
            <v>0</v>
          </cell>
          <cell r="K76">
            <v>0</v>
          </cell>
          <cell r="L76">
            <v>0</v>
          </cell>
          <cell r="N76">
            <v>0</v>
          </cell>
        </row>
        <row r="77">
          <cell r="D77">
            <v>3309088.41</v>
          </cell>
          <cell r="E77">
            <v>0</v>
          </cell>
          <cell r="F77">
            <v>0</v>
          </cell>
          <cell r="H77">
            <v>0</v>
          </cell>
          <cell r="I77">
            <v>0</v>
          </cell>
          <cell r="K77">
            <v>0</v>
          </cell>
          <cell r="L77">
            <v>0</v>
          </cell>
          <cell r="N77">
            <v>3309088.41</v>
          </cell>
        </row>
        <row r="130">
          <cell r="D130">
            <v>-265337.74</v>
          </cell>
        </row>
      </sheetData>
      <sheetData sheetId="1">
        <row r="3">
          <cell r="D3">
            <v>0</v>
          </cell>
          <cell r="E3">
            <v>0</v>
          </cell>
          <cell r="F3">
            <v>0</v>
          </cell>
          <cell r="H3">
            <v>0</v>
          </cell>
          <cell r="I3">
            <v>0</v>
          </cell>
          <cell r="K3">
            <v>0</v>
          </cell>
          <cell r="L3">
            <v>0</v>
          </cell>
          <cell r="N3">
            <v>0</v>
          </cell>
        </row>
        <row r="4">
          <cell r="D4">
            <v>0</v>
          </cell>
          <cell r="E4">
            <v>0</v>
          </cell>
          <cell r="F4">
            <v>0</v>
          </cell>
          <cell r="H4">
            <v>0</v>
          </cell>
          <cell r="I4">
            <v>0</v>
          </cell>
          <cell r="K4">
            <v>0</v>
          </cell>
          <cell r="L4">
            <v>0</v>
          </cell>
          <cell r="N4">
            <v>0</v>
          </cell>
        </row>
        <row r="5">
          <cell r="D5">
            <v>0</v>
          </cell>
          <cell r="E5">
            <v>0</v>
          </cell>
          <cell r="F5">
            <v>0</v>
          </cell>
          <cell r="H5">
            <v>0</v>
          </cell>
          <cell r="I5">
            <v>0</v>
          </cell>
          <cell r="K5">
            <v>0</v>
          </cell>
          <cell r="L5">
            <v>0</v>
          </cell>
          <cell r="N5">
            <v>0</v>
          </cell>
        </row>
        <row r="6">
          <cell r="D6">
            <v>0</v>
          </cell>
          <cell r="E6">
            <v>0</v>
          </cell>
          <cell r="F6">
            <v>0</v>
          </cell>
          <cell r="H6">
            <v>0</v>
          </cell>
          <cell r="I6">
            <v>0</v>
          </cell>
          <cell r="K6">
            <v>0</v>
          </cell>
          <cell r="L6">
            <v>0</v>
          </cell>
          <cell r="N6">
            <v>0</v>
          </cell>
        </row>
        <row r="7">
          <cell r="D7">
            <v>0</v>
          </cell>
          <cell r="E7">
            <v>0</v>
          </cell>
          <cell r="F7">
            <v>0</v>
          </cell>
          <cell r="H7">
            <v>0</v>
          </cell>
          <cell r="I7">
            <v>0</v>
          </cell>
          <cell r="K7">
            <v>0</v>
          </cell>
          <cell r="L7">
            <v>0</v>
          </cell>
          <cell r="N7">
            <v>0</v>
          </cell>
        </row>
        <row r="8">
          <cell r="D8">
            <v>0</v>
          </cell>
          <cell r="E8">
            <v>0</v>
          </cell>
          <cell r="F8">
            <v>0</v>
          </cell>
          <cell r="H8">
            <v>0</v>
          </cell>
          <cell r="I8">
            <v>0</v>
          </cell>
          <cell r="K8">
            <v>0</v>
          </cell>
          <cell r="L8">
            <v>0</v>
          </cell>
          <cell r="N8">
            <v>0</v>
          </cell>
        </row>
        <row r="9">
          <cell r="D9">
            <v>5755084.3099999996</v>
          </cell>
          <cell r="E9">
            <v>0</v>
          </cell>
          <cell r="F9">
            <v>0</v>
          </cell>
          <cell r="H9">
            <v>0</v>
          </cell>
          <cell r="I9">
            <v>0</v>
          </cell>
          <cell r="K9">
            <v>0</v>
          </cell>
          <cell r="L9">
            <v>0</v>
          </cell>
          <cell r="N9">
            <v>5755084.3099999996</v>
          </cell>
        </row>
        <row r="10">
          <cell r="D10">
            <v>0</v>
          </cell>
          <cell r="E10">
            <v>0</v>
          </cell>
          <cell r="F10">
            <v>0</v>
          </cell>
          <cell r="H10">
            <v>0</v>
          </cell>
          <cell r="I10">
            <v>0</v>
          </cell>
          <cell r="K10">
            <v>0</v>
          </cell>
          <cell r="L10">
            <v>0</v>
          </cell>
          <cell r="N10">
            <v>0</v>
          </cell>
        </row>
        <row r="13">
          <cell r="D13">
            <v>0</v>
          </cell>
          <cell r="E13">
            <v>0</v>
          </cell>
          <cell r="F13">
            <v>0</v>
          </cell>
          <cell r="H13">
            <v>0</v>
          </cell>
          <cell r="I13">
            <v>0</v>
          </cell>
          <cell r="K13">
            <v>0</v>
          </cell>
          <cell r="L13">
            <v>0</v>
          </cell>
          <cell r="N13">
            <v>0</v>
          </cell>
        </row>
        <row r="14">
          <cell r="D14">
            <v>0</v>
          </cell>
          <cell r="E14">
            <v>0</v>
          </cell>
          <cell r="F14">
            <v>0</v>
          </cell>
          <cell r="H14">
            <v>0</v>
          </cell>
          <cell r="I14">
            <v>0</v>
          </cell>
          <cell r="K14">
            <v>0</v>
          </cell>
          <cell r="L14">
            <v>0</v>
          </cell>
          <cell r="N14">
            <v>0</v>
          </cell>
        </row>
        <row r="15">
          <cell r="D15">
            <v>0</v>
          </cell>
          <cell r="E15">
            <v>0</v>
          </cell>
          <cell r="F15">
            <v>0</v>
          </cell>
          <cell r="H15">
            <v>0</v>
          </cell>
          <cell r="I15">
            <v>0</v>
          </cell>
          <cell r="K15">
            <v>0</v>
          </cell>
          <cell r="L15">
            <v>0</v>
          </cell>
          <cell r="N15">
            <v>0</v>
          </cell>
        </row>
        <row r="16">
          <cell r="D16">
            <v>0</v>
          </cell>
          <cell r="E16">
            <v>0</v>
          </cell>
          <cell r="F16">
            <v>0</v>
          </cell>
          <cell r="H16">
            <v>0</v>
          </cell>
          <cell r="I16">
            <v>0</v>
          </cell>
          <cell r="K16">
            <v>0</v>
          </cell>
          <cell r="L16">
            <v>0</v>
          </cell>
          <cell r="N16">
            <v>0</v>
          </cell>
        </row>
        <row r="17">
          <cell r="D17">
            <v>0</v>
          </cell>
          <cell r="E17">
            <v>0</v>
          </cell>
          <cell r="F17">
            <v>0</v>
          </cell>
          <cell r="H17">
            <v>0</v>
          </cell>
          <cell r="I17">
            <v>0</v>
          </cell>
          <cell r="K17">
            <v>0</v>
          </cell>
          <cell r="L17">
            <v>0</v>
          </cell>
          <cell r="N17">
            <v>0</v>
          </cell>
        </row>
        <row r="18">
          <cell r="D18">
            <v>0</v>
          </cell>
          <cell r="E18">
            <v>0</v>
          </cell>
          <cell r="F18">
            <v>0</v>
          </cell>
          <cell r="H18">
            <v>0</v>
          </cell>
          <cell r="I18">
            <v>0</v>
          </cell>
          <cell r="K18">
            <v>0</v>
          </cell>
          <cell r="L18">
            <v>0</v>
          </cell>
          <cell r="N18">
            <v>0</v>
          </cell>
        </row>
        <row r="21">
          <cell r="D21">
            <v>0</v>
          </cell>
          <cell r="E21">
            <v>0</v>
          </cell>
          <cell r="F21">
            <v>0</v>
          </cell>
          <cell r="H21">
            <v>0</v>
          </cell>
          <cell r="I21">
            <v>0</v>
          </cell>
          <cell r="K21">
            <v>0</v>
          </cell>
          <cell r="L21">
            <v>0</v>
          </cell>
          <cell r="N21">
            <v>0</v>
          </cell>
        </row>
        <row r="22">
          <cell r="D22">
            <v>0</v>
          </cell>
          <cell r="E22">
            <v>0</v>
          </cell>
          <cell r="F22">
            <v>0</v>
          </cell>
          <cell r="H22">
            <v>0</v>
          </cell>
          <cell r="I22">
            <v>0</v>
          </cell>
          <cell r="K22">
            <v>0</v>
          </cell>
          <cell r="L22">
            <v>0</v>
          </cell>
          <cell r="N22">
            <v>0</v>
          </cell>
        </row>
        <row r="23">
          <cell r="D23">
            <v>0</v>
          </cell>
          <cell r="E23">
            <v>0</v>
          </cell>
          <cell r="F23">
            <v>0</v>
          </cell>
          <cell r="H23">
            <v>0</v>
          </cell>
          <cell r="I23">
            <v>0</v>
          </cell>
          <cell r="K23">
            <v>0</v>
          </cell>
          <cell r="L23">
            <v>0</v>
          </cell>
          <cell r="N23">
            <v>0</v>
          </cell>
        </row>
        <row r="24">
          <cell r="D24">
            <v>0</v>
          </cell>
          <cell r="E24">
            <v>0</v>
          </cell>
          <cell r="F24">
            <v>0</v>
          </cell>
          <cell r="H24">
            <v>0</v>
          </cell>
          <cell r="I24">
            <v>0</v>
          </cell>
          <cell r="K24">
            <v>0</v>
          </cell>
          <cell r="L24">
            <v>0</v>
          </cell>
          <cell r="N24">
            <v>0</v>
          </cell>
        </row>
        <row r="25">
          <cell r="D25">
            <v>0</v>
          </cell>
          <cell r="E25">
            <v>0</v>
          </cell>
          <cell r="F25">
            <v>0</v>
          </cell>
          <cell r="H25">
            <v>0</v>
          </cell>
          <cell r="I25">
            <v>0</v>
          </cell>
          <cell r="K25">
            <v>0</v>
          </cell>
          <cell r="L25">
            <v>0</v>
          </cell>
          <cell r="N25">
            <v>0</v>
          </cell>
        </row>
        <row r="26">
          <cell r="D26">
            <v>0</v>
          </cell>
          <cell r="E26">
            <v>0</v>
          </cell>
          <cell r="F26">
            <v>0</v>
          </cell>
          <cell r="H26">
            <v>0</v>
          </cell>
          <cell r="I26">
            <v>0</v>
          </cell>
          <cell r="K26">
            <v>0</v>
          </cell>
          <cell r="L26">
            <v>0</v>
          </cell>
          <cell r="N26">
            <v>0</v>
          </cell>
        </row>
        <row r="27">
          <cell r="D27">
            <v>0</v>
          </cell>
          <cell r="E27">
            <v>0</v>
          </cell>
          <cell r="F27">
            <v>0</v>
          </cell>
          <cell r="H27">
            <v>0</v>
          </cell>
          <cell r="I27">
            <v>0</v>
          </cell>
          <cell r="K27">
            <v>0</v>
          </cell>
          <cell r="L27">
            <v>0</v>
          </cell>
          <cell r="N27">
            <v>0</v>
          </cell>
        </row>
        <row r="28">
          <cell r="D28">
            <v>0</v>
          </cell>
          <cell r="E28">
            <v>0</v>
          </cell>
          <cell r="F28">
            <v>0</v>
          </cell>
          <cell r="H28">
            <v>0</v>
          </cell>
          <cell r="I28">
            <v>0</v>
          </cell>
          <cell r="K28">
            <v>0</v>
          </cell>
          <cell r="L28">
            <v>0</v>
          </cell>
          <cell r="N28">
            <v>0</v>
          </cell>
        </row>
        <row r="29">
          <cell r="D29">
            <v>0</v>
          </cell>
          <cell r="E29">
            <v>0</v>
          </cell>
          <cell r="F29">
            <v>0</v>
          </cell>
          <cell r="H29">
            <v>15530655.01</v>
          </cell>
          <cell r="I29">
            <v>0</v>
          </cell>
          <cell r="K29">
            <v>0</v>
          </cell>
          <cell r="L29">
            <v>0</v>
          </cell>
          <cell r="N29">
            <v>15530655.01</v>
          </cell>
        </row>
        <row r="30">
          <cell r="D30">
            <v>0</v>
          </cell>
          <cell r="E30">
            <v>0</v>
          </cell>
          <cell r="F30">
            <v>0</v>
          </cell>
          <cell r="H30">
            <v>0</v>
          </cell>
          <cell r="I30">
            <v>0</v>
          </cell>
          <cell r="K30">
            <v>0</v>
          </cell>
          <cell r="L30">
            <v>0</v>
          </cell>
          <cell r="N30">
            <v>0</v>
          </cell>
        </row>
        <row r="33">
          <cell r="D33">
            <v>0</v>
          </cell>
          <cell r="E33">
            <v>0</v>
          </cell>
          <cell r="F33">
            <v>0</v>
          </cell>
          <cell r="H33">
            <v>0</v>
          </cell>
          <cell r="I33">
            <v>0</v>
          </cell>
          <cell r="K33">
            <v>0</v>
          </cell>
          <cell r="L33">
            <v>0</v>
          </cell>
          <cell r="N33">
            <v>0</v>
          </cell>
        </row>
        <row r="34">
          <cell r="D34">
            <v>0</v>
          </cell>
          <cell r="E34">
            <v>0</v>
          </cell>
          <cell r="F34">
            <v>0</v>
          </cell>
          <cell r="H34">
            <v>0</v>
          </cell>
          <cell r="I34">
            <v>0</v>
          </cell>
          <cell r="K34">
            <v>0</v>
          </cell>
          <cell r="L34">
            <v>0</v>
          </cell>
          <cell r="N34">
            <v>0</v>
          </cell>
        </row>
        <row r="35">
          <cell r="D35">
            <v>0</v>
          </cell>
          <cell r="E35">
            <v>0</v>
          </cell>
          <cell r="F35">
            <v>0</v>
          </cell>
          <cell r="H35">
            <v>0</v>
          </cell>
          <cell r="I35">
            <v>0</v>
          </cell>
          <cell r="K35">
            <v>0</v>
          </cell>
          <cell r="L35">
            <v>0</v>
          </cell>
          <cell r="N35">
            <v>0</v>
          </cell>
        </row>
        <row r="36">
          <cell r="D36">
            <v>0</v>
          </cell>
          <cell r="E36">
            <v>0</v>
          </cell>
          <cell r="F36">
            <v>0</v>
          </cell>
          <cell r="H36">
            <v>0</v>
          </cell>
          <cell r="I36">
            <v>0</v>
          </cell>
          <cell r="K36">
            <v>0</v>
          </cell>
          <cell r="L36">
            <v>0</v>
          </cell>
          <cell r="N36">
            <v>0</v>
          </cell>
        </row>
        <row r="37">
          <cell r="D37">
            <v>0</v>
          </cell>
          <cell r="E37">
            <v>0</v>
          </cell>
          <cell r="F37">
            <v>0</v>
          </cell>
          <cell r="H37">
            <v>0</v>
          </cell>
          <cell r="I37">
            <v>0</v>
          </cell>
          <cell r="K37">
            <v>0</v>
          </cell>
          <cell r="L37">
            <v>0</v>
          </cell>
          <cell r="N37">
            <v>0</v>
          </cell>
        </row>
        <row r="38">
          <cell r="D38">
            <v>0</v>
          </cell>
          <cell r="E38">
            <v>0</v>
          </cell>
          <cell r="F38">
            <v>0</v>
          </cell>
          <cell r="H38">
            <v>0</v>
          </cell>
          <cell r="I38">
            <v>0</v>
          </cell>
          <cell r="K38">
            <v>0</v>
          </cell>
          <cell r="L38">
            <v>0</v>
          </cell>
          <cell r="N38">
            <v>0</v>
          </cell>
        </row>
        <row r="39">
          <cell r="D39">
            <v>0</v>
          </cell>
          <cell r="E39">
            <v>0</v>
          </cell>
          <cell r="F39">
            <v>0</v>
          </cell>
          <cell r="H39">
            <v>0</v>
          </cell>
          <cell r="I39">
            <v>0</v>
          </cell>
          <cell r="K39">
            <v>0</v>
          </cell>
          <cell r="L39">
            <v>0</v>
          </cell>
          <cell r="N39">
            <v>0</v>
          </cell>
        </row>
        <row r="40">
          <cell r="D40">
            <v>0</v>
          </cell>
          <cell r="E40">
            <v>0</v>
          </cell>
          <cell r="F40">
            <v>0</v>
          </cell>
          <cell r="H40">
            <v>0</v>
          </cell>
          <cell r="I40">
            <v>0</v>
          </cell>
          <cell r="K40">
            <v>0</v>
          </cell>
          <cell r="L40">
            <v>0</v>
          </cell>
          <cell r="N40">
            <v>0</v>
          </cell>
        </row>
        <row r="41">
          <cell r="D41">
            <v>0</v>
          </cell>
          <cell r="E41">
            <v>0</v>
          </cell>
          <cell r="F41">
            <v>0</v>
          </cell>
          <cell r="H41">
            <v>0</v>
          </cell>
          <cell r="I41">
            <v>0</v>
          </cell>
          <cell r="K41">
            <v>0</v>
          </cell>
          <cell r="L41">
            <v>0</v>
          </cell>
          <cell r="N41">
            <v>0</v>
          </cell>
        </row>
        <row r="44">
          <cell r="D44">
            <v>0</v>
          </cell>
          <cell r="E44">
            <v>0</v>
          </cell>
          <cell r="F44">
            <v>0</v>
          </cell>
          <cell r="H44">
            <v>0</v>
          </cell>
          <cell r="I44">
            <v>0</v>
          </cell>
          <cell r="K44">
            <v>0</v>
          </cell>
          <cell r="L44">
            <v>0</v>
          </cell>
          <cell r="N44">
            <v>0</v>
          </cell>
        </row>
        <row r="45">
          <cell r="D45">
            <v>0</v>
          </cell>
          <cell r="E45">
            <v>0</v>
          </cell>
          <cell r="F45">
            <v>0</v>
          </cell>
          <cell r="H45">
            <v>0</v>
          </cell>
          <cell r="I45">
            <v>0</v>
          </cell>
          <cell r="K45">
            <v>0</v>
          </cell>
          <cell r="L45">
            <v>0</v>
          </cell>
          <cell r="N45">
            <v>0</v>
          </cell>
        </row>
        <row r="46">
          <cell r="D46">
            <v>0</v>
          </cell>
          <cell r="E46">
            <v>0</v>
          </cell>
          <cell r="F46">
            <v>0</v>
          </cell>
          <cell r="H46">
            <v>0</v>
          </cell>
          <cell r="I46">
            <v>0</v>
          </cell>
          <cell r="K46">
            <v>0</v>
          </cell>
          <cell r="L46">
            <v>0</v>
          </cell>
          <cell r="N46">
            <v>0</v>
          </cell>
        </row>
        <row r="47">
          <cell r="D47">
            <v>0</v>
          </cell>
          <cell r="E47">
            <v>0</v>
          </cell>
          <cell r="F47">
            <v>0</v>
          </cell>
          <cell r="H47">
            <v>0</v>
          </cell>
          <cell r="I47">
            <v>0</v>
          </cell>
          <cell r="K47">
            <v>0</v>
          </cell>
          <cell r="L47">
            <v>0</v>
          </cell>
          <cell r="N47">
            <v>0</v>
          </cell>
        </row>
        <row r="48">
          <cell r="D48">
            <v>0</v>
          </cell>
          <cell r="E48">
            <v>0</v>
          </cell>
          <cell r="F48">
            <v>0</v>
          </cell>
          <cell r="H48">
            <v>0</v>
          </cell>
          <cell r="I48">
            <v>0</v>
          </cell>
          <cell r="K48">
            <v>0</v>
          </cell>
          <cell r="L48">
            <v>0</v>
          </cell>
          <cell r="N48">
            <v>0</v>
          </cell>
        </row>
        <row r="51">
          <cell r="D51">
            <v>0</v>
          </cell>
          <cell r="E51">
            <v>0</v>
          </cell>
          <cell r="F51">
            <v>0</v>
          </cell>
          <cell r="H51">
            <v>0</v>
          </cell>
          <cell r="I51">
            <v>0</v>
          </cell>
          <cell r="K51">
            <v>0</v>
          </cell>
          <cell r="L51">
            <v>0</v>
          </cell>
          <cell r="N51">
            <v>0</v>
          </cell>
        </row>
        <row r="52">
          <cell r="D52">
            <v>0</v>
          </cell>
          <cell r="E52">
            <v>0</v>
          </cell>
          <cell r="F52">
            <v>0</v>
          </cell>
          <cell r="H52">
            <v>0</v>
          </cell>
          <cell r="I52">
            <v>0</v>
          </cell>
          <cell r="K52">
            <v>0</v>
          </cell>
          <cell r="L52">
            <v>0</v>
          </cell>
          <cell r="N52">
            <v>0</v>
          </cell>
        </row>
        <row r="53">
          <cell r="D53">
            <v>0</v>
          </cell>
          <cell r="E53">
            <v>0</v>
          </cell>
          <cell r="F53">
            <v>0</v>
          </cell>
          <cell r="H53">
            <v>0</v>
          </cell>
          <cell r="I53">
            <v>0</v>
          </cell>
          <cell r="K53">
            <v>0</v>
          </cell>
          <cell r="L53">
            <v>0</v>
          </cell>
          <cell r="N53">
            <v>0</v>
          </cell>
        </row>
        <row r="54">
          <cell r="D54">
            <v>0</v>
          </cell>
          <cell r="E54">
            <v>0</v>
          </cell>
          <cell r="F54">
            <v>0</v>
          </cell>
          <cell r="H54">
            <v>0</v>
          </cell>
          <cell r="I54">
            <v>0</v>
          </cell>
          <cell r="K54">
            <v>0</v>
          </cell>
          <cell r="L54">
            <v>0</v>
          </cell>
          <cell r="N54">
            <v>0</v>
          </cell>
        </row>
        <row r="55">
          <cell r="D55">
            <v>0</v>
          </cell>
          <cell r="E55">
            <v>0</v>
          </cell>
          <cell r="F55">
            <v>0</v>
          </cell>
          <cell r="H55">
            <v>0</v>
          </cell>
          <cell r="I55">
            <v>0</v>
          </cell>
          <cell r="K55">
            <v>0</v>
          </cell>
          <cell r="L55">
            <v>0</v>
          </cell>
          <cell r="N55">
            <v>0</v>
          </cell>
        </row>
        <row r="58">
          <cell r="D58">
            <v>0</v>
          </cell>
          <cell r="E58">
            <v>0</v>
          </cell>
          <cell r="F58">
            <v>0</v>
          </cell>
          <cell r="H58">
            <v>0</v>
          </cell>
          <cell r="I58">
            <v>0</v>
          </cell>
          <cell r="K58">
            <v>0</v>
          </cell>
          <cell r="L58">
            <v>0</v>
          </cell>
          <cell r="N58">
            <v>0</v>
          </cell>
        </row>
        <row r="59">
          <cell r="D59">
            <v>0</v>
          </cell>
          <cell r="E59">
            <v>0</v>
          </cell>
          <cell r="F59">
            <v>0</v>
          </cell>
          <cell r="H59">
            <v>0</v>
          </cell>
          <cell r="I59">
            <v>0</v>
          </cell>
          <cell r="K59">
            <v>0</v>
          </cell>
          <cell r="L59">
            <v>0</v>
          </cell>
          <cell r="N59">
            <v>0</v>
          </cell>
        </row>
        <row r="60">
          <cell r="D60">
            <v>0</v>
          </cell>
          <cell r="E60">
            <v>0</v>
          </cell>
          <cell r="F60">
            <v>0</v>
          </cell>
          <cell r="H60">
            <v>0</v>
          </cell>
          <cell r="I60">
            <v>0</v>
          </cell>
          <cell r="K60">
            <v>0</v>
          </cell>
          <cell r="L60">
            <v>0</v>
          </cell>
          <cell r="N60">
            <v>0</v>
          </cell>
        </row>
        <row r="61">
          <cell r="D61">
            <v>0</v>
          </cell>
          <cell r="E61">
            <v>0</v>
          </cell>
          <cell r="F61">
            <v>0</v>
          </cell>
          <cell r="H61">
            <v>0</v>
          </cell>
          <cell r="I61">
            <v>0</v>
          </cell>
          <cell r="K61">
            <v>0</v>
          </cell>
          <cell r="L61">
            <v>0</v>
          </cell>
          <cell r="N61">
            <v>0</v>
          </cell>
        </row>
        <row r="62">
          <cell r="D62">
            <v>0</v>
          </cell>
          <cell r="E62">
            <v>0</v>
          </cell>
          <cell r="F62">
            <v>0</v>
          </cell>
          <cell r="H62">
            <v>0</v>
          </cell>
          <cell r="I62">
            <v>0</v>
          </cell>
          <cell r="K62">
            <v>0</v>
          </cell>
          <cell r="L62">
            <v>0</v>
          </cell>
          <cell r="N62">
            <v>0</v>
          </cell>
        </row>
        <row r="65">
          <cell r="D65">
            <v>-13461.539999999572</v>
          </cell>
          <cell r="E65">
            <v>0</v>
          </cell>
          <cell r="F65">
            <v>0</v>
          </cell>
          <cell r="H65">
            <v>1073674.2199999997</v>
          </cell>
          <cell r="I65">
            <v>0</v>
          </cell>
          <cell r="K65">
            <v>322068.41999999993</v>
          </cell>
          <cell r="L65">
            <v>13071.070000000007</v>
          </cell>
          <cell r="N65">
            <v>1395352.1700000002</v>
          </cell>
        </row>
        <row r="66">
          <cell r="D66">
            <v>0</v>
          </cell>
          <cell r="E66">
            <v>0</v>
          </cell>
          <cell r="F66">
            <v>0</v>
          </cell>
          <cell r="H66">
            <v>0</v>
          </cell>
          <cell r="I66">
            <v>0</v>
          </cell>
          <cell r="K66">
            <v>0</v>
          </cell>
          <cell r="L66">
            <v>0</v>
          </cell>
          <cell r="N66">
            <v>0</v>
          </cell>
        </row>
        <row r="67">
          <cell r="D67">
            <v>0</v>
          </cell>
          <cell r="E67">
            <v>0</v>
          </cell>
          <cell r="F67">
            <v>0</v>
          </cell>
          <cell r="H67">
            <v>0</v>
          </cell>
          <cell r="I67">
            <v>0</v>
          </cell>
          <cell r="K67">
            <v>0</v>
          </cell>
          <cell r="L67">
            <v>0</v>
          </cell>
          <cell r="N67">
            <v>0</v>
          </cell>
        </row>
        <row r="68">
          <cell r="D68">
            <v>0</v>
          </cell>
          <cell r="E68">
            <v>0</v>
          </cell>
          <cell r="F68">
            <v>0</v>
          </cell>
          <cell r="H68">
            <v>0</v>
          </cell>
          <cell r="I68">
            <v>0</v>
          </cell>
          <cell r="K68">
            <v>0</v>
          </cell>
          <cell r="L68">
            <v>0</v>
          </cell>
          <cell r="N68">
            <v>0</v>
          </cell>
        </row>
        <row r="69">
          <cell r="D69">
            <v>0</v>
          </cell>
          <cell r="E69">
            <v>0</v>
          </cell>
          <cell r="F69">
            <v>0</v>
          </cell>
          <cell r="H69">
            <v>0</v>
          </cell>
          <cell r="I69">
            <v>0</v>
          </cell>
          <cell r="K69">
            <v>0</v>
          </cell>
          <cell r="L69">
            <v>0</v>
          </cell>
          <cell r="N69">
            <v>0</v>
          </cell>
        </row>
        <row r="70">
          <cell r="D70">
            <v>0</v>
          </cell>
          <cell r="E70">
            <v>0</v>
          </cell>
          <cell r="F70">
            <v>0</v>
          </cell>
          <cell r="H70">
            <v>0</v>
          </cell>
          <cell r="I70">
            <v>0</v>
          </cell>
          <cell r="K70">
            <v>0</v>
          </cell>
          <cell r="L70">
            <v>0</v>
          </cell>
          <cell r="N70">
            <v>0</v>
          </cell>
        </row>
        <row r="71">
          <cell r="D71">
            <v>0</v>
          </cell>
          <cell r="E71">
            <v>0</v>
          </cell>
          <cell r="F71">
            <v>0</v>
          </cell>
          <cell r="H71">
            <v>0</v>
          </cell>
          <cell r="I71">
            <v>0</v>
          </cell>
          <cell r="K71">
            <v>0</v>
          </cell>
          <cell r="L71">
            <v>0</v>
          </cell>
          <cell r="N71">
            <v>0</v>
          </cell>
        </row>
        <row r="72">
          <cell r="D72">
            <v>0</v>
          </cell>
          <cell r="E72">
            <v>0</v>
          </cell>
          <cell r="F72">
            <v>0</v>
          </cell>
          <cell r="H72">
            <v>0</v>
          </cell>
          <cell r="I72">
            <v>0</v>
          </cell>
          <cell r="K72">
            <v>0</v>
          </cell>
          <cell r="L72">
            <v>0</v>
          </cell>
          <cell r="N72">
            <v>0</v>
          </cell>
        </row>
        <row r="73">
          <cell r="D73">
            <v>0</v>
          </cell>
          <cell r="E73">
            <v>0</v>
          </cell>
          <cell r="F73">
            <v>0</v>
          </cell>
          <cell r="H73">
            <v>0</v>
          </cell>
          <cell r="I73">
            <v>0</v>
          </cell>
          <cell r="K73">
            <v>0</v>
          </cell>
          <cell r="L73">
            <v>0</v>
          </cell>
          <cell r="N73">
            <v>0</v>
          </cell>
        </row>
        <row r="74">
          <cell r="D74">
            <v>0</v>
          </cell>
          <cell r="E74">
            <v>0</v>
          </cell>
          <cell r="F74">
            <v>0</v>
          </cell>
          <cell r="H74">
            <v>0</v>
          </cell>
          <cell r="I74">
            <v>0</v>
          </cell>
          <cell r="K74">
            <v>0</v>
          </cell>
          <cell r="L74">
            <v>0</v>
          </cell>
          <cell r="N74">
            <v>0</v>
          </cell>
        </row>
        <row r="75">
          <cell r="D75">
            <v>0</v>
          </cell>
          <cell r="E75">
            <v>0</v>
          </cell>
          <cell r="F75">
            <v>0</v>
          </cell>
          <cell r="H75">
            <v>0</v>
          </cell>
          <cell r="I75">
            <v>0</v>
          </cell>
          <cell r="K75">
            <v>0</v>
          </cell>
          <cell r="L75">
            <v>0</v>
          </cell>
          <cell r="N75">
            <v>0</v>
          </cell>
        </row>
        <row r="76">
          <cell r="D76">
            <v>0</v>
          </cell>
          <cell r="E76">
            <v>0</v>
          </cell>
          <cell r="F76">
            <v>0</v>
          </cell>
          <cell r="H76">
            <v>0</v>
          </cell>
          <cell r="I76">
            <v>0</v>
          </cell>
          <cell r="K76">
            <v>0</v>
          </cell>
          <cell r="L76">
            <v>0</v>
          </cell>
          <cell r="N76">
            <v>0</v>
          </cell>
        </row>
        <row r="77">
          <cell r="D77">
            <v>0</v>
          </cell>
          <cell r="E77">
            <v>0</v>
          </cell>
          <cell r="F77">
            <v>0</v>
          </cell>
          <cell r="H77">
            <v>0</v>
          </cell>
          <cell r="I77">
            <v>0</v>
          </cell>
          <cell r="K77">
            <v>0</v>
          </cell>
          <cell r="L77">
            <v>0</v>
          </cell>
          <cell r="N7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2024</v>
          </cell>
        </row>
        <row r="9">
          <cell r="A9" t="str">
            <v>2025 RATE CASE</v>
          </cell>
        </row>
      </sheetData>
      <sheetData sheetId="1">
        <row r="51">
          <cell r="A51" t="str">
            <v xml:space="preserve">II-D-1  </v>
          </cell>
          <cell r="B51" t="str">
            <v>O&amp;&amp;M EXPENSES</v>
          </cell>
          <cell r="D51" t="str">
            <v>R. PRACHYL</v>
          </cell>
        </row>
        <row r="52">
          <cell r="A52" t="str">
            <v xml:space="preserve">II-D-1.1  </v>
          </cell>
          <cell r="B52" t="str">
            <v>MONTHLY O&amp;&amp;M EXPENSE</v>
          </cell>
          <cell r="D52" t="str">
            <v>R. PRACHYL</v>
          </cell>
        </row>
        <row r="53">
          <cell r="A53" t="str">
            <v xml:space="preserve">II-D-2   </v>
          </cell>
          <cell r="B53" t="str">
            <v>A&amp;&amp;G EXPENSES</v>
          </cell>
          <cell r="D53" t="str">
            <v>R. PRACHYL</v>
          </cell>
        </row>
        <row r="54">
          <cell r="A54" t="str">
            <v xml:space="preserve">II-D-2.1  </v>
          </cell>
          <cell r="B54" t="str">
            <v>MONTHLY A&amp;&amp;G EXPENSE</v>
          </cell>
          <cell r="D54" t="str">
            <v>R. PRACHYL</v>
          </cell>
        </row>
        <row r="55">
          <cell r="A55" t="str">
            <v xml:space="preserve">II-D-2.2  </v>
          </cell>
          <cell r="B55" t="str">
            <v>BAD DEBT EXPENSE</v>
          </cell>
          <cell r="D55" t="str">
            <v>R. PRACHYL</v>
          </cell>
        </row>
        <row r="56">
          <cell r="A56" t="str">
            <v xml:space="preserve">II-D-2.2a  </v>
          </cell>
          <cell r="B56" t="str">
            <v>BAD DEBT EXPENSE UNDER 16 TAC § 25.107</v>
          </cell>
          <cell r="D56" t="str">
            <v>R. PRACHYL</v>
          </cell>
        </row>
        <row r="57">
          <cell r="A57" t="str">
            <v xml:space="preserve">II-D-2.3  </v>
          </cell>
          <cell r="B57" t="str">
            <v>SUMMARY OF ADVERTISING, CONTRIBUTIONS, &amp;&amp; DUES</v>
          </cell>
          <cell r="D57" t="str">
            <v>R. PRACHYL</v>
          </cell>
        </row>
        <row r="58">
          <cell r="A58" t="str">
            <v xml:space="preserve">II-D-2.4  </v>
          </cell>
          <cell r="B58" t="str">
            <v>SUMMARY OF ADVERTISING EXPENSE</v>
          </cell>
          <cell r="D58" t="str">
            <v>R. PRACHYL</v>
          </cell>
        </row>
        <row r="59">
          <cell r="A59" t="str">
            <v xml:space="preserve">II-D-2.4a  </v>
          </cell>
          <cell r="B59" t="str">
            <v>CAPITALIZED ADVERTISING</v>
          </cell>
          <cell r="D59" t="str">
            <v>R. PRACHYL</v>
          </cell>
        </row>
        <row r="60">
          <cell r="A60" t="str">
            <v xml:space="preserve">II-D-2.5  </v>
          </cell>
          <cell r="B60" t="str">
            <v>SUMMARY OF CONTRIBUTION &amp;&amp; DONATION EXPENSE</v>
          </cell>
          <cell r="D60" t="str">
            <v>R. PRACHYL</v>
          </cell>
        </row>
        <row r="61">
          <cell r="A61" t="str">
            <v xml:space="preserve">II-D-2.6  </v>
          </cell>
          <cell r="B61" t="str">
            <v>SUMMARY OF MEMBERSHIP DUES EXPENSE</v>
          </cell>
          <cell r="D61" t="str">
            <v>R. PRACHYL</v>
          </cell>
        </row>
        <row r="62">
          <cell r="A62" t="str">
            <v xml:space="preserve">II-D-2.6a  </v>
          </cell>
          <cell r="B62" t="str">
            <v>SUMMARY OF INDUSTRY ORGANIZATION DUES</v>
          </cell>
          <cell r="D62" t="str">
            <v>R. PRACHYL</v>
          </cell>
        </row>
        <row r="63">
          <cell r="A63" t="str">
            <v xml:space="preserve">II-D-2.6b  </v>
          </cell>
          <cell r="B63" t="str">
            <v>SUMMARY OF BUSINESS/ECONOMIC DUES</v>
          </cell>
          <cell r="D63" t="str">
            <v>R. PRACHYL</v>
          </cell>
        </row>
        <row r="64">
          <cell r="A64" t="str">
            <v xml:space="preserve">II-D-2.6c  </v>
          </cell>
          <cell r="B64" t="str">
            <v>SUMMARY OF PROFESSIONAL DUES</v>
          </cell>
          <cell r="D64" t="str">
            <v>R. PRACHYL</v>
          </cell>
        </row>
        <row r="65">
          <cell r="A65" t="str">
            <v xml:space="preserve">II-D-2.7  </v>
          </cell>
          <cell r="B65" t="str">
            <v>OUTSIDE SERVICES EMPLOYED-FERC 900 SERIES EXPENSES</v>
          </cell>
          <cell r="D65" t="str">
            <v>R. PRACHYL</v>
          </cell>
        </row>
        <row r="66">
          <cell r="A66" t="str">
            <v xml:space="preserve">II-D-2.8  </v>
          </cell>
          <cell r="B66" t="str">
            <v>FACTORING OR SALE OF ACCOUNTS RECEIVABLE EXPENSE</v>
          </cell>
          <cell r="D66" t="str">
            <v>R. PRACHYL</v>
          </cell>
        </row>
        <row r="67">
          <cell r="A67" t="str">
            <v xml:space="preserve">II-D-2.9  </v>
          </cell>
          <cell r="B67" t="str">
            <v>RENTS AND LEASES</v>
          </cell>
          <cell r="D67" t="str">
            <v>R. PRACHYL</v>
          </cell>
        </row>
        <row r="68">
          <cell r="A68" t="str">
            <v xml:space="preserve">II-D-3   </v>
          </cell>
          <cell r="B68" t="str">
            <v>PAYROLL EXPENSE DISTRIBUTION</v>
          </cell>
          <cell r="D68" t="str">
            <v>R. PRACHYL</v>
          </cell>
        </row>
        <row r="69">
          <cell r="A69" t="str">
            <v xml:space="preserve">II-D-3.1  </v>
          </cell>
          <cell r="B69" t="str">
            <v>PAYROLL INFORMATION</v>
          </cell>
          <cell r="D69" t="str">
            <v>A. GUILLORY</v>
          </cell>
        </row>
        <row r="70">
          <cell r="A70" t="str">
            <v xml:space="preserve">II-D-3.2  </v>
          </cell>
          <cell r="B70" t="str">
            <v>REGULAR AND OVERTIME PAYROLL BY FUNCTION</v>
          </cell>
          <cell r="D70" t="str">
            <v>R. PRACHYL</v>
          </cell>
        </row>
        <row r="71">
          <cell r="A71" t="str">
            <v xml:space="preserve">II-D-3.3  </v>
          </cell>
          <cell r="B71" t="str">
            <v>FUNCTIONALIZED REGULAR PAYROLL BY CATEGORY</v>
          </cell>
          <cell r="D71" t="str">
            <v>R. PRACHYL</v>
          </cell>
        </row>
        <row r="72">
          <cell r="A72" t="str">
            <v xml:space="preserve">II-D-3.4  </v>
          </cell>
          <cell r="B72" t="str">
            <v>PAYROLL CAPITALIZED VS. EXPENSED BY FUNCTION</v>
          </cell>
          <cell r="D72" t="str">
            <v>R. PRACHYL</v>
          </cell>
        </row>
        <row r="73">
          <cell r="A73" t="str">
            <v xml:space="preserve">II-D-3.5  </v>
          </cell>
          <cell r="B73" t="str">
            <v>NUMBER OF EMPLOYEES</v>
          </cell>
          <cell r="D73" t="str">
            <v>A. GUILLORY</v>
          </cell>
        </row>
        <row r="74">
          <cell r="A74" t="str">
            <v xml:space="preserve">II-D-3.6  </v>
          </cell>
          <cell r="B74" t="str">
            <v>COMPENSATION OTHER THAN STANDARD COMPENSATION BY FUNCTION</v>
          </cell>
          <cell r="D74" t="str">
            <v>R. PRACHYL/ A. GUILLORY</v>
          </cell>
        </row>
        <row r="75">
          <cell r="A75" t="str">
            <v xml:space="preserve">II-D-3.7  </v>
          </cell>
          <cell r="B75" t="str">
            <v>GENERAL EMPLOYEE BENEFIT INFORMATION</v>
          </cell>
          <cell r="D75" t="str">
            <v>R. PRACHYL/ A. GUILLORY</v>
          </cell>
        </row>
        <row r="76">
          <cell r="A76" t="str">
            <v xml:space="preserve">II-D-3.8  </v>
          </cell>
          <cell r="B76" t="str">
            <v>PENSION EXPENSE</v>
          </cell>
          <cell r="D76" t="str">
            <v>R. PRACHYL/ A. GUILLORY/ K. FEASE</v>
          </cell>
        </row>
        <row r="77">
          <cell r="A77" t="str">
            <v xml:space="preserve">II-D-3.9  </v>
          </cell>
          <cell r="B77" t="str">
            <v>POSTRETIREMENT BENEFITS OTHER THAN PENSION</v>
          </cell>
          <cell r="D77" t="str">
            <v>R. PRACHYL/ A. GUILLORY/ K. FEASE</v>
          </cell>
        </row>
        <row r="78">
          <cell r="A78" t="str">
            <v xml:space="preserve">II-D-3.10  </v>
          </cell>
          <cell r="B78" t="str">
            <v>ADMINISTRATION FEES</v>
          </cell>
          <cell r="D78" t="str">
            <v>R. PRACHYL/ A. GUILLORY</v>
          </cell>
        </row>
        <row r="79">
          <cell r="A79" t="str">
            <v xml:space="preserve">II-D-4   </v>
          </cell>
          <cell r="B79" t="str">
            <v>SUMMARY OF EXCLUSIONS FROM TEST YEAR</v>
          </cell>
          <cell r="D79" t="str">
            <v>R. PRACHYL</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F Alloc_Data"/>
      <sheetName val="II-F Alloc_Factor"/>
    </sheetNames>
    <sheetDataSet>
      <sheetData sheetId="0"/>
      <sheetData sheetId="1"/>
      <sheetData sheetId="2">
        <row r="17">
          <cell r="E17">
            <v>0.2248192628221051</v>
          </cell>
          <cell r="F17">
            <v>0</v>
          </cell>
          <cell r="G17">
            <v>0</v>
          </cell>
          <cell r="H17">
            <v>0.2248192628221051</v>
          </cell>
          <cell r="I17">
            <v>0.60040851838364839</v>
          </cell>
          <cell r="J17">
            <v>0</v>
          </cell>
          <cell r="K17">
            <v>0.60040851838364839</v>
          </cell>
          <cell r="L17">
            <v>0.16789036047896269</v>
          </cell>
          <cell r="M17">
            <v>6.8818583152838453E-3</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E-1"/>
      <sheetName val="II-E-2"/>
      <sheetName val="II-E-2.1"/>
      <sheetName val="II-E-3 Attachment"/>
      <sheetName val="II-E-3"/>
      <sheetName val="II-E-3.1"/>
      <sheetName val="II-E-3.2a"/>
      <sheetName val="II-E-3.2b"/>
      <sheetName val="II-E-3.3"/>
      <sheetName val="II-E-3.4"/>
      <sheetName val="II-E-3.5"/>
      <sheetName val="II-E-3.5a"/>
      <sheetName val="II-E-3.6"/>
      <sheetName val="II-E-3.7"/>
      <sheetName val="II-E-3.8"/>
      <sheetName val="II-E-3.9"/>
      <sheetName val="II-E-3.10"/>
      <sheetName val="II-E-3.11"/>
      <sheetName val="II-E-3.12"/>
      <sheetName val="II-E-3.13"/>
      <sheetName val="II-E-3.14"/>
      <sheetName val="II-E-3.15"/>
      <sheetName val="II-E-3.16"/>
      <sheetName val="II-E-3.17"/>
      <sheetName val="II-E-3.18"/>
      <sheetName val="II-E-3.19"/>
      <sheetName val="II-E-3.20"/>
      <sheetName val="II-E-3.21"/>
      <sheetName val="II-E-3.22"/>
      <sheetName val="II-E-3.23"/>
      <sheetName val="II-E-3.24"/>
      <sheetName val="II-E-4"/>
      <sheetName val="II-E-4.1"/>
      <sheetName val="II-E-4.1.1"/>
      <sheetName val="II-E-4.2"/>
      <sheetName val="II-E-4.3"/>
      <sheetName val="II-E-4.4"/>
      <sheetName val="II-E-4.5"/>
      <sheetName val="II-E-4.6"/>
      <sheetName val="II-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ow r="18">
          <cell r="E18">
            <v>1196783.94</v>
          </cell>
        </row>
        <row r="19">
          <cell r="E19">
            <v>636895.6</v>
          </cell>
        </row>
        <row r="20">
          <cell r="E20">
            <v>32500</v>
          </cell>
        </row>
        <row r="21">
          <cell r="E21">
            <v>5397724.8600000003</v>
          </cell>
        </row>
        <row r="22">
          <cell r="E22">
            <v>383079.45</v>
          </cell>
        </row>
        <row r="23">
          <cell r="E23">
            <v>-144545.15000000037</v>
          </cell>
        </row>
      </sheetData>
      <sheetData sheetId="36"/>
      <sheetData sheetId="37"/>
      <sheetData sheetId="38"/>
      <sheetData sheetId="39"/>
      <sheetData sheetId="4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A"/>
      <sheetName val="I-A-1"/>
      <sheetName val="I-A-2"/>
    </sheetNames>
    <sheetDataSet>
      <sheetData sheetId="0"/>
      <sheetData sheetId="1"/>
      <sheetData sheetId="2">
        <row r="31">
          <cell r="F31">
            <v>7811146990.2141352</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0"/>
  </sheetPr>
  <dimension ref="A1:Y84"/>
  <sheetViews>
    <sheetView workbookViewId="0">
      <pane xSplit="2" ySplit="3" topLeftCell="G4" activePane="bottomRight" state="frozen"/>
      <selection activeCell="O33" sqref="O33"/>
      <selection pane="topRight" activeCell="O33" sqref="O33"/>
      <selection pane="bottomLeft" activeCell="O33" sqref="O33"/>
      <selection pane="bottomRight" activeCell="J26" sqref="J26"/>
    </sheetView>
  </sheetViews>
  <sheetFormatPr defaultRowHeight="12.75"/>
  <cols>
    <col min="2" max="2" width="52.85546875" bestFit="1" customWidth="1"/>
    <col min="3" max="3" width="2.7109375" customWidth="1"/>
    <col min="4" max="4" width="14" bestFit="1" customWidth="1"/>
    <col min="5" max="5" width="12.85546875" bestFit="1" customWidth="1"/>
    <col min="6" max="6" width="15.7109375" bestFit="1" customWidth="1"/>
    <col min="7" max="7" width="14" bestFit="1" customWidth="1"/>
    <col min="8" max="8" width="13.5703125" bestFit="1" customWidth="1"/>
    <col min="9" max="9" width="14.140625" bestFit="1" customWidth="1"/>
    <col min="10" max="10" width="12.85546875" bestFit="1" customWidth="1"/>
    <col min="11" max="13" width="12.85546875" customWidth="1"/>
    <col min="14" max="14" width="14" bestFit="1" customWidth="1"/>
    <col min="15" max="16" width="14" customWidth="1"/>
    <col min="17" max="17" width="14" bestFit="1" customWidth="1"/>
    <col min="18" max="18" width="12.85546875" bestFit="1" customWidth="1"/>
    <col min="19" max="19" width="14" bestFit="1" customWidth="1"/>
    <col min="21" max="21" width="18.5703125" bestFit="1" customWidth="1"/>
  </cols>
  <sheetData>
    <row r="1" spans="1:21">
      <c r="I1" s="106"/>
    </row>
    <row r="2" spans="1:21" s="106" customFormat="1">
      <c r="D2" s="106" t="s">
        <v>215</v>
      </c>
      <c r="F2" s="106" t="s">
        <v>49</v>
      </c>
      <c r="G2" s="106" t="s">
        <v>319</v>
      </c>
      <c r="H2" s="106" t="s">
        <v>325</v>
      </c>
      <c r="I2" s="18" t="s">
        <v>320</v>
      </c>
      <c r="K2" s="266" t="s">
        <v>617</v>
      </c>
      <c r="L2" s="268" t="s">
        <v>623</v>
      </c>
      <c r="M2" s="266" t="s">
        <v>618</v>
      </c>
      <c r="N2" s="270"/>
      <c r="O2" s="266" t="s">
        <v>617</v>
      </c>
      <c r="P2" s="266" t="s">
        <v>618</v>
      </c>
    </row>
    <row r="3" spans="1:21" s="106" customFormat="1" ht="13.5" thickBot="1">
      <c r="D3" s="106" t="s">
        <v>218</v>
      </c>
      <c r="E3" s="106" t="s">
        <v>318</v>
      </c>
      <c r="F3" s="106" t="s">
        <v>96</v>
      </c>
      <c r="G3" s="106" t="s">
        <v>48</v>
      </c>
      <c r="H3" s="106" t="s">
        <v>22</v>
      </c>
      <c r="I3" s="18" t="s">
        <v>47</v>
      </c>
      <c r="J3" s="107" t="s">
        <v>292</v>
      </c>
      <c r="K3" s="267" t="s">
        <v>292</v>
      </c>
      <c r="L3" s="269" t="s">
        <v>624</v>
      </c>
      <c r="M3" s="267" t="s">
        <v>292</v>
      </c>
      <c r="N3" s="263" t="s">
        <v>293</v>
      </c>
      <c r="O3" s="267" t="s">
        <v>293</v>
      </c>
      <c r="P3" s="267" t="s">
        <v>293</v>
      </c>
      <c r="Q3" s="107" t="s">
        <v>281</v>
      </c>
      <c r="R3" s="107" t="s">
        <v>126</v>
      </c>
      <c r="S3" s="107" t="s">
        <v>215</v>
      </c>
    </row>
    <row r="4" spans="1:21">
      <c r="I4" s="18"/>
      <c r="J4" s="91"/>
      <c r="K4" s="91"/>
      <c r="L4" s="91"/>
      <c r="M4" s="91"/>
      <c r="N4" s="91"/>
      <c r="O4" s="91"/>
      <c r="P4" s="91"/>
      <c r="Q4" s="91"/>
      <c r="R4" s="91"/>
      <c r="S4" s="91"/>
    </row>
    <row r="5" spans="1:21" ht="18">
      <c r="A5" s="369" t="s">
        <v>306</v>
      </c>
      <c r="B5" s="369"/>
      <c r="C5" s="369"/>
      <c r="D5" s="369"/>
      <c r="E5" s="369"/>
      <c r="F5" s="369"/>
      <c r="G5" s="369"/>
      <c r="H5" s="369"/>
      <c r="I5" s="369"/>
      <c r="J5" s="369"/>
      <c r="K5" s="369"/>
      <c r="L5" s="369"/>
      <c r="M5" s="369"/>
      <c r="N5" s="369"/>
      <c r="O5" s="369"/>
      <c r="P5" s="369"/>
      <c r="Q5" s="369"/>
      <c r="R5" s="369"/>
      <c r="S5" s="369"/>
    </row>
    <row r="6" spans="1:21">
      <c r="A6" s="4" t="s">
        <v>230</v>
      </c>
      <c r="B6" s="4" t="s">
        <v>369</v>
      </c>
      <c r="D6" s="66">
        <f>ROUND(+'II-D-1'!E17,2)</f>
        <v>5779492.9000000004</v>
      </c>
      <c r="E6" s="66">
        <f>+'II-D-1'!F17</f>
        <v>0</v>
      </c>
      <c r="F6" s="66">
        <f>+'II-D-1'!G17</f>
        <v>0</v>
      </c>
      <c r="G6" s="66">
        <f>+'II-D-1'!H17</f>
        <v>5779492.8999999985</v>
      </c>
      <c r="H6" s="66">
        <f>+'II-D-1'!I17</f>
        <v>-7.52</v>
      </c>
      <c r="I6" s="66">
        <f>+'II-D-1'!J17</f>
        <v>5779485.379999999</v>
      </c>
      <c r="J6" s="66">
        <f>+'II-D-1'!O17</f>
        <v>5496256.71</v>
      </c>
      <c r="K6" s="66">
        <f>+'II-D-1'!P17</f>
        <v>217937.59</v>
      </c>
      <c r="L6" s="66">
        <f>+'II-D-1'!Q17</f>
        <v>0</v>
      </c>
      <c r="M6" s="66">
        <f>+'II-D-1'!R17</f>
        <v>5714194.2999999998</v>
      </c>
      <c r="N6" s="66">
        <f>+'II-D-1'!S17</f>
        <v>61587.37</v>
      </c>
      <c r="O6" s="66">
        <f>+'II-D-1'!T17</f>
        <v>0</v>
      </c>
      <c r="P6" s="66">
        <f>+'II-D-1'!U17</f>
        <v>61587.37</v>
      </c>
      <c r="Q6" s="66">
        <f>+'II-D-1'!V17</f>
        <v>3703.71</v>
      </c>
      <c r="R6" s="66">
        <f>+'II-D-1'!W17</f>
        <v>0</v>
      </c>
      <c r="S6" s="14">
        <f>+M6+P6+Q6+R6</f>
        <v>5779485.3799999999</v>
      </c>
      <c r="T6" s="108" t="b">
        <f t="shared" ref="T6:T66" si="0">+S6=I6</f>
        <v>1</v>
      </c>
      <c r="U6" s="297">
        <f t="shared" ref="U6:U66" si="1">+S6-R6-Q6-P6-M6</f>
        <v>0</v>
      </c>
    </row>
    <row r="7" spans="1:21">
      <c r="A7" s="4" t="s">
        <v>231</v>
      </c>
      <c r="B7" s="4" t="s">
        <v>290</v>
      </c>
      <c r="D7" s="66">
        <f>ROUND(+'II-D-1'!E18,2)</f>
        <v>21685933.91</v>
      </c>
      <c r="E7" s="66">
        <f>+'II-D-1'!F18</f>
        <v>0</v>
      </c>
      <c r="F7" s="66">
        <f>+'II-D-1'!G18</f>
        <v>0</v>
      </c>
      <c r="G7" s="66">
        <f>+'II-D-1'!H18</f>
        <v>21685933.910000008</v>
      </c>
      <c r="H7" s="66">
        <f>+'II-D-1'!I18</f>
        <v>267171.12</v>
      </c>
      <c r="I7" s="66">
        <f>+'II-D-1'!J18</f>
        <v>21953105.030000009</v>
      </c>
      <c r="J7" s="66">
        <f>+'II-D-1'!O18</f>
        <v>20069703.149999999</v>
      </c>
      <c r="K7" s="66">
        <f>+'II-D-1'!P18</f>
        <v>1420686.46</v>
      </c>
      <c r="L7" s="66">
        <f>+'II-D-1'!Q18</f>
        <v>475836.37</v>
      </c>
      <c r="M7" s="66">
        <f>+'II-D-1'!R18</f>
        <v>21966225.98</v>
      </c>
      <c r="N7" s="66">
        <f>+'II-D-1'!S18</f>
        <v>0</v>
      </c>
      <c r="O7" s="66">
        <f>+'II-D-1'!T18</f>
        <v>-13120.95</v>
      </c>
      <c r="P7" s="66">
        <f>+'II-D-1'!U18</f>
        <v>-13120.95</v>
      </c>
      <c r="Q7" s="66">
        <f>+'II-D-1'!V18</f>
        <v>0</v>
      </c>
      <c r="R7" s="66">
        <f>+'II-D-1'!W18</f>
        <v>0</v>
      </c>
      <c r="S7" s="14">
        <f t="shared" ref="S7:S66" si="2">+M7+P7+Q7+R7</f>
        <v>21953105.030000001</v>
      </c>
      <c r="T7" s="108" t="b">
        <f t="shared" si="0"/>
        <v>1</v>
      </c>
      <c r="U7" s="297">
        <f t="shared" si="1"/>
        <v>0</v>
      </c>
    </row>
    <row r="8" spans="1:21">
      <c r="A8" s="4" t="s">
        <v>232</v>
      </c>
      <c r="B8" s="4" t="s">
        <v>370</v>
      </c>
      <c r="D8" s="66">
        <f>ROUND(+'II-D-1'!E19,2)</f>
        <v>4093276.58</v>
      </c>
      <c r="E8" s="66">
        <f>+'II-D-1'!F19</f>
        <v>0</v>
      </c>
      <c r="F8" s="66">
        <f>+'II-D-1'!G19</f>
        <v>0</v>
      </c>
      <c r="G8" s="66">
        <f>+'II-D-1'!H19</f>
        <v>4093276.58</v>
      </c>
      <c r="H8" s="66">
        <f>+'II-D-1'!I19</f>
        <v>1282583.33</v>
      </c>
      <c r="I8" s="66">
        <f>+'II-D-1'!J19</f>
        <v>5375859.9100000001</v>
      </c>
      <c r="J8" s="66">
        <f>+'II-D-1'!O19</f>
        <v>4966303.21</v>
      </c>
      <c r="K8" s="66">
        <f>+'II-D-1'!P19</f>
        <v>221787.72</v>
      </c>
      <c r="L8" s="66">
        <f>+'II-D-1'!Q19</f>
        <v>0</v>
      </c>
      <c r="M8" s="66">
        <f>+'II-D-1'!R19</f>
        <v>5188090.93</v>
      </c>
      <c r="N8" s="66">
        <f>+'II-D-1'!S19</f>
        <v>187768.98</v>
      </c>
      <c r="O8" s="66">
        <f>+'II-D-1'!T19</f>
        <v>0</v>
      </c>
      <c r="P8" s="66">
        <f>+'II-D-1'!U19</f>
        <v>187768.98</v>
      </c>
      <c r="Q8" s="66">
        <f>+'II-D-1'!V19</f>
        <v>0</v>
      </c>
      <c r="R8" s="66">
        <f>+'II-D-1'!W19</f>
        <v>0</v>
      </c>
      <c r="S8" s="14">
        <f t="shared" si="2"/>
        <v>5375859.9100000001</v>
      </c>
      <c r="T8" s="108" t="b">
        <f t="shared" si="0"/>
        <v>1</v>
      </c>
      <c r="U8" s="297">
        <f t="shared" si="1"/>
        <v>0</v>
      </c>
    </row>
    <row r="9" spans="1:21">
      <c r="A9" s="4" t="s">
        <v>233</v>
      </c>
      <c r="B9" s="4" t="s">
        <v>371</v>
      </c>
      <c r="D9" s="66">
        <f>ROUND(+'II-D-1'!E20,2)</f>
        <v>6827123.0999999996</v>
      </c>
      <c r="E9" s="66">
        <f>+'II-D-1'!F20</f>
        <v>0</v>
      </c>
      <c r="F9" s="66">
        <f>+'II-D-1'!G20</f>
        <v>0</v>
      </c>
      <c r="G9" s="66">
        <f>+'II-D-1'!H20</f>
        <v>6827123.0999999987</v>
      </c>
      <c r="H9" s="66">
        <f>+'II-D-1'!I20</f>
        <v>1086957.5900000001</v>
      </c>
      <c r="I9" s="66">
        <f>+'II-D-1'!J20</f>
        <v>7914080.6899999985</v>
      </c>
      <c r="J9" s="66">
        <f>+'II-D-1'!O20</f>
        <v>7411406.9800000004</v>
      </c>
      <c r="K9" s="66">
        <f>+'II-D-1'!P20</f>
        <v>503911.05</v>
      </c>
      <c r="L9" s="66">
        <f>+'II-D-1'!Q20</f>
        <v>0</v>
      </c>
      <c r="M9" s="66">
        <f>+'II-D-1'!R20</f>
        <v>7915318.0300000003</v>
      </c>
      <c r="N9" s="66">
        <f>+'II-D-1'!S20</f>
        <v>-1237.3399999999999</v>
      </c>
      <c r="O9" s="66">
        <f>+'II-D-1'!T20</f>
        <v>0</v>
      </c>
      <c r="P9" s="66">
        <f>+'II-D-1'!U20</f>
        <v>-1237.3399999999999</v>
      </c>
      <c r="Q9" s="66">
        <f>+'II-D-1'!V20</f>
        <v>0</v>
      </c>
      <c r="R9" s="66">
        <f>+'II-D-1'!W20</f>
        <v>0</v>
      </c>
      <c r="S9" s="14">
        <f t="shared" si="2"/>
        <v>7914080.6900000004</v>
      </c>
      <c r="T9" s="108" t="b">
        <f t="shared" si="0"/>
        <v>1</v>
      </c>
      <c r="U9" s="297">
        <f t="shared" si="1"/>
        <v>0</v>
      </c>
    </row>
    <row r="10" spans="1:21">
      <c r="A10" s="4" t="s">
        <v>234</v>
      </c>
      <c r="B10" s="4" t="s">
        <v>372</v>
      </c>
      <c r="D10" s="66">
        <f>ROUND(+'II-D-1'!E21,2)</f>
        <v>2124.5300000000002</v>
      </c>
      <c r="E10" s="66">
        <f>+'II-D-1'!F21</f>
        <v>0</v>
      </c>
      <c r="F10" s="66">
        <f>+'II-D-1'!G21</f>
        <v>0</v>
      </c>
      <c r="G10" s="66">
        <f>+'II-D-1'!H21</f>
        <v>2124.5299999999997</v>
      </c>
      <c r="H10" s="66">
        <f>+'II-D-1'!I21</f>
        <v>0</v>
      </c>
      <c r="I10" s="66">
        <f>+'II-D-1'!J21</f>
        <v>2124.5299999999997</v>
      </c>
      <c r="J10" s="66">
        <f>+'II-D-1'!O21</f>
        <v>2124.5300000000002</v>
      </c>
      <c r="K10" s="66">
        <f>+'II-D-1'!P21</f>
        <v>0</v>
      </c>
      <c r="L10" s="66">
        <f>+'II-D-1'!Q21</f>
        <v>0</v>
      </c>
      <c r="M10" s="66">
        <f>+'II-D-1'!R21</f>
        <v>2124.5300000000002</v>
      </c>
      <c r="N10" s="66">
        <f>+'II-D-1'!S21</f>
        <v>0</v>
      </c>
      <c r="O10" s="66">
        <f>+'II-D-1'!T21</f>
        <v>0</v>
      </c>
      <c r="P10" s="66">
        <f>+'II-D-1'!U21</f>
        <v>0</v>
      </c>
      <c r="Q10" s="66">
        <f>+'II-D-1'!V21</f>
        <v>0</v>
      </c>
      <c r="R10" s="66">
        <f>+'II-D-1'!W21</f>
        <v>0</v>
      </c>
      <c r="S10" s="14">
        <f t="shared" si="2"/>
        <v>2124.5300000000002</v>
      </c>
      <c r="T10" s="108" t="b">
        <f t="shared" si="0"/>
        <v>1</v>
      </c>
      <c r="U10" s="297">
        <f t="shared" si="1"/>
        <v>0</v>
      </c>
    </row>
    <row r="11" spans="1:21">
      <c r="A11" s="4" t="s">
        <v>282</v>
      </c>
      <c r="B11" s="30" t="s">
        <v>373</v>
      </c>
      <c r="D11" s="66">
        <f>ROUND(+'II-D-1'!E22,2)</f>
        <v>1967817098.26</v>
      </c>
      <c r="E11" s="66">
        <f>+'II-D-1'!F22</f>
        <v>0</v>
      </c>
      <c r="F11" s="66">
        <f>+'II-D-1'!G22</f>
        <v>0</v>
      </c>
      <c r="G11" s="66">
        <f>+'II-D-1'!H22</f>
        <v>1967817098.26</v>
      </c>
      <c r="H11" s="66">
        <f>+'II-D-1'!I22</f>
        <v>133024374.4000001</v>
      </c>
      <c r="I11" s="66">
        <f>+'II-D-1'!J22</f>
        <v>2100841472.6600001</v>
      </c>
      <c r="J11" s="66">
        <f>+'II-D-1'!O22</f>
        <v>0</v>
      </c>
      <c r="K11" s="66">
        <f>+'II-D-1'!P22</f>
        <v>0</v>
      </c>
      <c r="L11" s="66">
        <f>+'II-D-1'!Q22</f>
        <v>0</v>
      </c>
      <c r="M11" s="66">
        <f>+'II-D-1'!R22</f>
        <v>0</v>
      </c>
      <c r="N11" s="66">
        <f>+'II-D-1'!S22</f>
        <v>2100841472.6600001</v>
      </c>
      <c r="O11" s="66">
        <f>+'II-D-1'!T22</f>
        <v>0</v>
      </c>
      <c r="P11" s="66">
        <f>+'II-D-1'!U22</f>
        <v>2100841472.6600001</v>
      </c>
      <c r="Q11" s="66">
        <f>+'II-D-1'!V22</f>
        <v>0</v>
      </c>
      <c r="R11" s="66">
        <f>+'II-D-1'!W22</f>
        <v>0</v>
      </c>
      <c r="S11" s="14">
        <f t="shared" si="2"/>
        <v>2100841472.6600001</v>
      </c>
      <c r="T11" s="108" t="b">
        <f t="shared" si="0"/>
        <v>1</v>
      </c>
      <c r="U11" s="297">
        <f t="shared" si="1"/>
        <v>0</v>
      </c>
    </row>
    <row r="12" spans="1:21">
      <c r="A12" s="4" t="s">
        <v>235</v>
      </c>
      <c r="B12" s="4" t="s">
        <v>138</v>
      </c>
      <c r="D12" s="66">
        <f>ROUND(+'II-D-1'!E23,2)</f>
        <v>64531322.649999999</v>
      </c>
      <c r="E12" s="66">
        <f>+'II-D-1'!F23</f>
        <v>0</v>
      </c>
      <c r="F12" s="66">
        <f>+'II-D-1'!G23</f>
        <v>0</v>
      </c>
      <c r="G12" s="66">
        <f>+'II-D-1'!H23</f>
        <v>64531322.650000036</v>
      </c>
      <c r="H12" s="66">
        <f>+'II-D-1'!I23</f>
        <v>6965164.8799999999</v>
      </c>
      <c r="I12" s="66">
        <f>+'II-D-1'!J23</f>
        <v>71496487.530000031</v>
      </c>
      <c r="J12" s="66">
        <f>+'II-D-1'!O23</f>
        <v>70077533.620000005</v>
      </c>
      <c r="K12" s="66">
        <f>+'II-D-1'!P23</f>
        <v>815361.46</v>
      </c>
      <c r="L12" s="66">
        <f>+'II-D-1'!Q23</f>
        <v>0</v>
      </c>
      <c r="M12" s="66">
        <f>+'II-D-1'!R23</f>
        <v>70892895.079999998</v>
      </c>
      <c r="N12" s="66">
        <f>+'II-D-1'!S23</f>
        <v>595090.37</v>
      </c>
      <c r="O12" s="66">
        <f>+'II-D-1'!T23</f>
        <v>3195.77</v>
      </c>
      <c r="P12" s="66">
        <f>+'II-D-1'!U23</f>
        <v>598286.14</v>
      </c>
      <c r="Q12" s="66">
        <f>+'II-D-1'!V23</f>
        <v>5306.31</v>
      </c>
      <c r="R12" s="66">
        <f>+'II-D-1'!W23</f>
        <v>0</v>
      </c>
      <c r="S12" s="14">
        <f t="shared" si="2"/>
        <v>71496487.530000001</v>
      </c>
      <c r="T12" s="108" t="b">
        <f t="shared" si="0"/>
        <v>1</v>
      </c>
      <c r="U12" s="297">
        <f t="shared" si="1"/>
        <v>0</v>
      </c>
    </row>
    <row r="13" spans="1:21">
      <c r="A13" s="4" t="s">
        <v>236</v>
      </c>
      <c r="B13" s="4" t="s">
        <v>291</v>
      </c>
      <c r="D13" s="66">
        <f>ROUND(+'II-D-1'!E24,2)</f>
        <v>155822.19</v>
      </c>
      <c r="E13" s="66">
        <f>+'II-D-1'!F24</f>
        <v>0</v>
      </c>
      <c r="F13" s="66">
        <f>+'II-D-1'!G24</f>
        <v>0</v>
      </c>
      <c r="G13" s="66">
        <f>+'II-D-1'!H24</f>
        <v>155822.19</v>
      </c>
      <c r="H13" s="66">
        <f>+'II-D-1'!I24</f>
        <v>0</v>
      </c>
      <c r="I13" s="66">
        <f>+'II-D-1'!J24</f>
        <v>155822.19</v>
      </c>
      <c r="J13" s="66">
        <f>+'II-D-1'!O24</f>
        <v>155822.19</v>
      </c>
      <c r="K13" s="66">
        <f>+'II-D-1'!P24</f>
        <v>0</v>
      </c>
      <c r="L13" s="66">
        <f>+'II-D-1'!Q24</f>
        <v>0</v>
      </c>
      <c r="M13" s="66">
        <f>+'II-D-1'!R24</f>
        <v>155822.19</v>
      </c>
      <c r="N13" s="66">
        <f>+'II-D-1'!S24</f>
        <v>0</v>
      </c>
      <c r="O13" s="66">
        <f>+'II-D-1'!T24</f>
        <v>0</v>
      </c>
      <c r="P13" s="66">
        <f>+'II-D-1'!U24</f>
        <v>0</v>
      </c>
      <c r="Q13" s="66">
        <f>+'II-D-1'!V24</f>
        <v>0</v>
      </c>
      <c r="R13" s="66">
        <f>+'II-D-1'!W24</f>
        <v>0</v>
      </c>
      <c r="S13" s="14">
        <f t="shared" si="2"/>
        <v>155822.19</v>
      </c>
      <c r="T13" s="108" t="b">
        <f t="shared" si="0"/>
        <v>1</v>
      </c>
      <c r="U13" s="297">
        <f t="shared" si="1"/>
        <v>0</v>
      </c>
    </row>
    <row r="14" spans="1:21">
      <c r="A14" s="4" t="s">
        <v>237</v>
      </c>
      <c r="B14" s="4" t="s">
        <v>139</v>
      </c>
      <c r="D14" s="354">
        <f>ROUND(+'II-D-1'!E29,2)</f>
        <v>207863.83</v>
      </c>
      <c r="E14" s="66">
        <f>+'II-D-1'!F29</f>
        <v>0</v>
      </c>
      <c r="F14" s="66">
        <f>+'II-D-1'!G29</f>
        <v>0</v>
      </c>
      <c r="G14" s="66">
        <f>+'II-D-1'!H29</f>
        <v>207863.83000000002</v>
      </c>
      <c r="H14" s="66">
        <f>+'II-D-1'!I29</f>
        <v>0</v>
      </c>
      <c r="I14" s="66">
        <f>+'II-D-1'!J29</f>
        <v>207863.83000000002</v>
      </c>
      <c r="J14" s="66">
        <f>+'II-D-1'!O29</f>
        <v>160338.72</v>
      </c>
      <c r="K14" s="66">
        <f>+'II-D-1'!P29</f>
        <v>2281.2199999999998</v>
      </c>
      <c r="L14" s="66">
        <f>+'II-D-1'!Q29</f>
        <v>0</v>
      </c>
      <c r="M14" s="66">
        <f>+'II-D-1'!R29</f>
        <v>162619.94</v>
      </c>
      <c r="N14" s="66">
        <f>+'II-D-1'!S29</f>
        <v>43504.86</v>
      </c>
      <c r="O14" s="66">
        <f>+'II-D-1'!T29</f>
        <v>1739.03</v>
      </c>
      <c r="P14" s="66">
        <f>+'II-D-1'!U29</f>
        <v>45243.89</v>
      </c>
      <c r="Q14" s="66">
        <f>+'II-D-1'!V29</f>
        <v>0</v>
      </c>
      <c r="R14" s="66">
        <f>+'II-D-1'!W29</f>
        <v>0</v>
      </c>
      <c r="S14" s="14">
        <f t="shared" si="2"/>
        <v>207863.83000000002</v>
      </c>
      <c r="T14" s="108" t="b">
        <f t="shared" si="0"/>
        <v>1</v>
      </c>
      <c r="U14" s="297">
        <f t="shared" si="1"/>
        <v>0</v>
      </c>
    </row>
    <row r="15" spans="1:21">
      <c r="A15" s="4" t="s">
        <v>238</v>
      </c>
      <c r="B15" s="30" t="s">
        <v>140</v>
      </c>
      <c r="D15" s="66">
        <f>ROUND(+'II-D-1'!E30,2)</f>
        <v>4620.45</v>
      </c>
      <c r="E15" s="66">
        <f>+'II-D-1'!F30</f>
        <v>0</v>
      </c>
      <c r="F15" s="66">
        <f>+'II-D-1'!G30</f>
        <v>0</v>
      </c>
      <c r="G15" s="66">
        <f>+'II-D-1'!H30</f>
        <v>4620.45</v>
      </c>
      <c r="H15" s="66">
        <f>+'II-D-1'!I30</f>
        <v>0</v>
      </c>
      <c r="I15" s="66">
        <f>+'II-D-1'!J30</f>
        <v>4620.45</v>
      </c>
      <c r="J15" s="66">
        <f>+'II-D-1'!O30</f>
        <v>4324.53</v>
      </c>
      <c r="K15" s="66">
        <f>+'II-D-1'!P30</f>
        <v>0</v>
      </c>
      <c r="L15" s="66">
        <f>+'II-D-1'!Q30</f>
        <v>0</v>
      </c>
      <c r="M15" s="66">
        <f>+'II-D-1'!R30</f>
        <v>4324.53</v>
      </c>
      <c r="N15" s="66">
        <f>+'II-D-1'!S30</f>
        <v>142.1</v>
      </c>
      <c r="O15" s="66">
        <f>+'II-D-1'!T30</f>
        <v>153.82</v>
      </c>
      <c r="P15" s="66">
        <f>+'II-D-1'!U30</f>
        <v>295.91999999999996</v>
      </c>
      <c r="Q15" s="66">
        <f>+'II-D-1'!V30</f>
        <v>0</v>
      </c>
      <c r="R15" s="66">
        <f>+'II-D-1'!W30</f>
        <v>0</v>
      </c>
      <c r="S15" s="14">
        <f t="shared" si="2"/>
        <v>4620.45</v>
      </c>
      <c r="T15" s="108" t="b">
        <f t="shared" si="0"/>
        <v>1</v>
      </c>
      <c r="U15" s="297">
        <f t="shared" si="1"/>
        <v>0</v>
      </c>
    </row>
    <row r="16" spans="1:21">
      <c r="A16" s="4" t="s">
        <v>239</v>
      </c>
      <c r="B16" s="4" t="s">
        <v>375</v>
      </c>
      <c r="D16" s="66">
        <f>ROUND(+'II-D-1'!E31,2)</f>
        <v>7476670.7300000004</v>
      </c>
      <c r="E16" s="66">
        <f>+'II-D-1'!F31</f>
        <v>0</v>
      </c>
      <c r="F16" s="66">
        <f>+'II-D-1'!G31</f>
        <v>0</v>
      </c>
      <c r="G16" s="66">
        <f>+'II-D-1'!H31</f>
        <v>7476670.7300000032</v>
      </c>
      <c r="H16" s="66">
        <f>+'II-D-1'!I31</f>
        <v>0</v>
      </c>
      <c r="I16" s="66">
        <f>+'II-D-1'!J31</f>
        <v>7476670.7300000032</v>
      </c>
      <c r="J16" s="66">
        <f>+'II-D-1'!O31</f>
        <v>5727940.0300000003</v>
      </c>
      <c r="K16" s="66">
        <f>+'II-D-1'!P31</f>
        <v>1596390.52</v>
      </c>
      <c r="L16" s="66">
        <f>+'II-D-1'!Q31</f>
        <v>0</v>
      </c>
      <c r="M16" s="66">
        <f>+'II-D-1'!R31</f>
        <v>7324330.5500000007</v>
      </c>
      <c r="N16" s="66">
        <f>+'II-D-1'!S31</f>
        <v>150005.04999999999</v>
      </c>
      <c r="O16" s="66">
        <f>+'II-D-1'!T31</f>
        <v>2335.13</v>
      </c>
      <c r="P16" s="66">
        <f>+'II-D-1'!U31</f>
        <v>152340.18</v>
      </c>
      <c r="Q16" s="66">
        <f>+'II-D-1'!V31</f>
        <v>0</v>
      </c>
      <c r="R16" s="66">
        <f>+'II-D-1'!W31</f>
        <v>0</v>
      </c>
      <c r="S16" s="14">
        <f t="shared" si="2"/>
        <v>7476670.7300000004</v>
      </c>
      <c r="T16" s="108" t="b">
        <f t="shared" si="0"/>
        <v>1</v>
      </c>
      <c r="U16" s="297">
        <f t="shared" si="1"/>
        <v>0</v>
      </c>
    </row>
    <row r="17" spans="1:21">
      <c r="A17" s="4" t="s">
        <v>240</v>
      </c>
      <c r="B17" s="4" t="s">
        <v>376</v>
      </c>
      <c r="D17" s="66">
        <f>ROUND(+'II-D-1'!E32,2)</f>
        <v>20091049</v>
      </c>
      <c r="E17" s="66">
        <f>+'II-D-1'!F32</f>
        <v>0</v>
      </c>
      <c r="F17" s="66">
        <f>+'II-D-1'!G32</f>
        <v>0</v>
      </c>
      <c r="G17" s="66">
        <f>+'II-D-1'!H32</f>
        <v>20091049.000000022</v>
      </c>
      <c r="H17" s="66">
        <f>+'II-D-1'!I32</f>
        <v>0</v>
      </c>
      <c r="I17" s="66">
        <f>+'II-D-1'!J32</f>
        <v>20091049.000000022</v>
      </c>
      <c r="J17" s="66">
        <f>+'II-D-1'!O32</f>
        <v>19519507.739999998</v>
      </c>
      <c r="K17" s="66">
        <f>+'II-D-1'!P32</f>
        <v>558858.81999999995</v>
      </c>
      <c r="L17" s="66">
        <f>+'II-D-1'!Q32</f>
        <v>0</v>
      </c>
      <c r="M17" s="66">
        <f>+'II-D-1'!R32</f>
        <v>20078366.559999999</v>
      </c>
      <c r="N17" s="66">
        <f>+'II-D-1'!S32</f>
        <v>12682.44</v>
      </c>
      <c r="O17" s="66">
        <f>+'II-D-1'!T32</f>
        <v>0</v>
      </c>
      <c r="P17" s="66">
        <f>+'II-D-1'!U32</f>
        <v>12682.44</v>
      </c>
      <c r="Q17" s="66">
        <f>+'II-D-1'!V32</f>
        <v>0</v>
      </c>
      <c r="R17" s="66">
        <f>+'II-D-1'!W32</f>
        <v>0</v>
      </c>
      <c r="S17" s="14">
        <f t="shared" si="2"/>
        <v>20091049</v>
      </c>
      <c r="T17" s="108" t="b">
        <f t="shared" si="0"/>
        <v>1</v>
      </c>
      <c r="U17" s="297">
        <f t="shared" si="1"/>
        <v>0</v>
      </c>
    </row>
    <row r="18" spans="1:21">
      <c r="A18" s="4" t="s">
        <v>241</v>
      </c>
      <c r="B18" s="30" t="s">
        <v>377</v>
      </c>
      <c r="D18" s="66">
        <f>ROUND(+'II-D-1'!E33,2)</f>
        <v>-6779.07</v>
      </c>
      <c r="E18" s="66">
        <f>+'II-D-1'!F33</f>
        <v>0</v>
      </c>
      <c r="F18" s="66">
        <f>+'II-D-1'!G33</f>
        <v>0</v>
      </c>
      <c r="G18" s="66">
        <f>+'II-D-1'!H33</f>
        <v>-6779.07</v>
      </c>
      <c r="H18" s="66">
        <f>+'II-D-1'!I33</f>
        <v>0</v>
      </c>
      <c r="I18" s="66">
        <f>+'II-D-1'!J33</f>
        <v>-6779.07</v>
      </c>
      <c r="J18" s="66">
        <f>+'II-D-1'!O33</f>
        <v>-6779.07</v>
      </c>
      <c r="K18" s="66">
        <f>+'II-D-1'!P33</f>
        <v>0</v>
      </c>
      <c r="L18" s="66">
        <f>+'II-D-1'!Q33</f>
        <v>0</v>
      </c>
      <c r="M18" s="66">
        <f>+'II-D-1'!R33</f>
        <v>-6779.07</v>
      </c>
      <c r="N18" s="66">
        <f>+'II-D-1'!S33</f>
        <v>0</v>
      </c>
      <c r="O18" s="66">
        <f>+'II-D-1'!T33</f>
        <v>0</v>
      </c>
      <c r="P18" s="66">
        <f>+'II-D-1'!U33</f>
        <v>0</v>
      </c>
      <c r="Q18" s="66">
        <f>+'II-D-1'!V33</f>
        <v>0</v>
      </c>
      <c r="R18" s="66">
        <f>+'II-D-1'!W33</f>
        <v>0</v>
      </c>
      <c r="S18" s="14">
        <f t="shared" si="2"/>
        <v>-6779.07</v>
      </c>
      <c r="T18" s="108" t="b">
        <f t="shared" si="0"/>
        <v>1</v>
      </c>
      <c r="U18" s="297">
        <f t="shared" si="1"/>
        <v>0</v>
      </c>
    </row>
    <row r="19" spans="1:21">
      <c r="A19" s="4" t="s">
        <v>242</v>
      </c>
      <c r="B19" s="30" t="s">
        <v>141</v>
      </c>
      <c r="D19" s="66">
        <f>ROUND(+'II-D-1'!E34,2)</f>
        <v>1008297.39</v>
      </c>
      <c r="E19" s="66">
        <f>+'II-D-1'!F34</f>
        <v>0</v>
      </c>
      <c r="F19" s="66">
        <f>+'II-D-1'!G34</f>
        <v>0</v>
      </c>
      <c r="G19" s="66">
        <f>+'II-D-1'!H34</f>
        <v>1008297.3900000001</v>
      </c>
      <c r="H19" s="66">
        <f>+'II-D-1'!I34</f>
        <v>0</v>
      </c>
      <c r="I19" s="66">
        <f>+'II-D-1'!J34</f>
        <v>1008297.3900000001</v>
      </c>
      <c r="J19" s="66">
        <f>+'II-D-1'!O34</f>
        <v>914864.48</v>
      </c>
      <c r="K19" s="66">
        <f>+'II-D-1'!P34</f>
        <v>4181.4399999999996</v>
      </c>
      <c r="L19" s="66">
        <f>+'II-D-1'!Q34</f>
        <v>0</v>
      </c>
      <c r="M19" s="66">
        <f>+'II-D-1'!R34</f>
        <v>919045.91999999993</v>
      </c>
      <c r="N19" s="66">
        <f>+'II-D-1'!S34</f>
        <v>89251.47</v>
      </c>
      <c r="O19" s="66">
        <f>+'II-D-1'!T34</f>
        <v>0</v>
      </c>
      <c r="P19" s="66">
        <f>+'II-D-1'!U34</f>
        <v>89251.47</v>
      </c>
      <c r="Q19" s="66">
        <f>+'II-D-1'!V34</f>
        <v>0</v>
      </c>
      <c r="R19" s="66">
        <f>+'II-D-1'!W34</f>
        <v>0</v>
      </c>
      <c r="S19" s="14">
        <f t="shared" si="2"/>
        <v>1008297.3899999999</v>
      </c>
      <c r="T19" s="108" t="b">
        <f t="shared" si="0"/>
        <v>1</v>
      </c>
      <c r="U19" s="297">
        <f t="shared" si="1"/>
        <v>0</v>
      </c>
    </row>
    <row r="20" spans="1:21">
      <c r="A20" s="4" t="s">
        <v>249</v>
      </c>
      <c r="B20" s="23" t="s">
        <v>369</v>
      </c>
      <c r="D20" s="354">
        <f>ROUND(+'II-D-1'!E43,2)</f>
        <v>12485422.18</v>
      </c>
      <c r="E20" s="66">
        <f>ROUND(+'II-D-1'!F43,2)</f>
        <v>0</v>
      </c>
      <c r="F20" s="66">
        <f>ROUND(+'II-D-1'!G43,2)</f>
        <v>0</v>
      </c>
      <c r="G20" s="66">
        <f>ROUND(+'II-D-1'!H43,2)</f>
        <v>12485422.18</v>
      </c>
      <c r="H20" s="66">
        <f>ROUND(+'II-D-1'!I43,2)</f>
        <v>-101130.07</v>
      </c>
      <c r="I20" s="66">
        <f>ROUND(+'II-D-1'!J43,2)</f>
        <v>12384292.109999999</v>
      </c>
      <c r="J20" s="66">
        <f>ROUND(+'II-D-1'!O43,2)</f>
        <v>46359.29</v>
      </c>
      <c r="K20" s="66">
        <f>ROUND(+'II-D-1'!P43,2)</f>
        <v>24.33</v>
      </c>
      <c r="L20" s="66">
        <f>ROUND(+'II-D-1'!Q43,2)</f>
        <v>0</v>
      </c>
      <c r="M20" s="66">
        <f>SUM(J20:L20)</f>
        <v>46383.62</v>
      </c>
      <c r="N20" s="66">
        <f>ROUND(+'II-D-1'!S43,2)</f>
        <v>11602331.33</v>
      </c>
      <c r="O20" s="66">
        <f>ROUND(+'II-D-1'!T43,2)</f>
        <v>20394.900000000001</v>
      </c>
      <c r="P20" s="66">
        <f>SUM(N20:O20)</f>
        <v>11622726.23</v>
      </c>
      <c r="Q20" s="66">
        <f>ROUND(+'II-D-1'!V43,2)</f>
        <v>651135.68000000005</v>
      </c>
      <c r="R20" s="66">
        <f>ROUND(+'II-D-1'!W43,2)</f>
        <v>64046.58</v>
      </c>
      <c r="S20" s="14">
        <f>ROUND(+J20+K20+L20+N20+O20+Q20+R20,2)</f>
        <v>12384292.109999999</v>
      </c>
      <c r="T20" s="108" t="b">
        <f t="shared" si="0"/>
        <v>1</v>
      </c>
      <c r="U20" s="355">
        <f>+I20-J20-K20-L20-N20-O20-Q20-R20</f>
        <v>7.2759576141834259E-11</v>
      </c>
    </row>
    <row r="21" spans="1:21">
      <c r="A21" s="4" t="s">
        <v>243</v>
      </c>
      <c r="B21" s="23" t="s">
        <v>145</v>
      </c>
      <c r="D21" s="66">
        <f>ROUND(+'II-D-1'!E44,2)</f>
        <v>12959390.869999999</v>
      </c>
      <c r="E21" s="66">
        <f>+'II-D-1'!F44</f>
        <v>0</v>
      </c>
      <c r="F21" s="66">
        <f>+'II-D-1'!G44</f>
        <v>0</v>
      </c>
      <c r="G21" s="66">
        <f>+'II-D-1'!H44</f>
        <v>12959390.870000003</v>
      </c>
      <c r="H21" s="66">
        <f>+'II-D-1'!I44</f>
        <v>0</v>
      </c>
      <c r="I21" s="66">
        <f>+'II-D-1'!J44</f>
        <v>12959390.870000003</v>
      </c>
      <c r="J21" s="66">
        <f>+'II-D-1'!O44</f>
        <v>0</v>
      </c>
      <c r="K21" s="66">
        <f>+'II-D-1'!P44</f>
        <v>0</v>
      </c>
      <c r="L21" s="66">
        <f>+'II-D-1'!Q44</f>
        <v>0</v>
      </c>
      <c r="M21" s="66">
        <f>+'II-D-1'!R44</f>
        <v>0</v>
      </c>
      <c r="N21" s="66">
        <f>+'II-D-1'!S44</f>
        <v>12959390.869999999</v>
      </c>
      <c r="O21" s="66">
        <f>+'II-D-1'!T44</f>
        <v>0</v>
      </c>
      <c r="P21" s="66">
        <f>+'II-D-1'!U44</f>
        <v>12959390.869999999</v>
      </c>
      <c r="Q21" s="66">
        <f>+'II-D-1'!V44</f>
        <v>0</v>
      </c>
      <c r="R21" s="66">
        <f>+'II-D-1'!W44</f>
        <v>0</v>
      </c>
      <c r="S21" s="14">
        <f t="shared" si="2"/>
        <v>12959390.869999999</v>
      </c>
      <c r="T21" s="108" t="b">
        <f t="shared" si="0"/>
        <v>1</v>
      </c>
      <c r="U21" s="297">
        <f t="shared" si="1"/>
        <v>0</v>
      </c>
    </row>
    <row r="22" spans="1:21">
      <c r="A22" s="4" t="s">
        <v>244</v>
      </c>
      <c r="B22" s="4" t="s">
        <v>370</v>
      </c>
      <c r="D22" s="66">
        <f>ROUND(+'II-D-1'!E45,2)</f>
        <v>8323171.1699999999</v>
      </c>
      <c r="E22" s="66">
        <f>+'II-D-1'!F45</f>
        <v>0</v>
      </c>
      <c r="F22" s="66">
        <f>+'II-D-1'!G45</f>
        <v>0</v>
      </c>
      <c r="G22" s="66">
        <f>+'II-D-1'!H45</f>
        <v>8323171.169999999</v>
      </c>
      <c r="H22" s="66">
        <f>+'II-D-1'!I45</f>
        <v>-2838233.33</v>
      </c>
      <c r="I22" s="66">
        <f>+'II-D-1'!J45</f>
        <v>5484937.8399999989</v>
      </c>
      <c r="J22" s="66">
        <f>+'II-D-1'!O45</f>
        <v>169294.9</v>
      </c>
      <c r="K22" s="66">
        <f>+'II-D-1'!P45</f>
        <v>3680.51</v>
      </c>
      <c r="L22" s="66">
        <f>+'II-D-1'!Q45</f>
        <v>0</v>
      </c>
      <c r="M22" s="66">
        <f>+'II-D-1'!R45</f>
        <v>172975.41</v>
      </c>
      <c r="N22" s="66">
        <f>+'II-D-1'!S45</f>
        <v>5100475.93</v>
      </c>
      <c r="O22" s="66">
        <f>+'II-D-1'!T45</f>
        <v>211486.5</v>
      </c>
      <c r="P22" s="66">
        <f>+'II-D-1'!U45</f>
        <v>5311962.43</v>
      </c>
      <c r="Q22" s="66">
        <f>+'II-D-1'!V45</f>
        <v>0</v>
      </c>
      <c r="R22" s="66">
        <f>+'II-D-1'!W45</f>
        <v>0</v>
      </c>
      <c r="S22" s="14">
        <f t="shared" si="2"/>
        <v>5484937.8399999999</v>
      </c>
      <c r="T22" s="108" t="b">
        <f t="shared" si="0"/>
        <v>1</v>
      </c>
      <c r="U22" s="297">
        <f t="shared" si="1"/>
        <v>0</v>
      </c>
    </row>
    <row r="23" spans="1:21">
      <c r="A23" s="4" t="s">
        <v>155</v>
      </c>
      <c r="B23" s="4" t="s">
        <v>371</v>
      </c>
      <c r="D23" s="66">
        <f>ROUND(+'II-D-1'!E46,2)</f>
        <v>22024159.949999999</v>
      </c>
      <c r="E23" s="66">
        <f>+'II-D-1'!F46</f>
        <v>0</v>
      </c>
      <c r="F23" s="66">
        <f>+'II-D-1'!G46</f>
        <v>0</v>
      </c>
      <c r="G23" s="66">
        <f>+'II-D-1'!H46</f>
        <v>22024159.949999992</v>
      </c>
      <c r="H23" s="66">
        <f>+'II-D-1'!I46</f>
        <v>44069.88</v>
      </c>
      <c r="I23" s="66">
        <f>+'II-D-1'!J46</f>
        <v>22068229.829999991</v>
      </c>
      <c r="J23" s="66">
        <f>+'II-D-1'!O46</f>
        <v>0</v>
      </c>
      <c r="K23" s="66">
        <f>+'II-D-1'!P46</f>
        <v>0</v>
      </c>
      <c r="L23" s="66">
        <f>+'II-D-1'!Q46</f>
        <v>0</v>
      </c>
      <c r="M23" s="66">
        <f>+'II-D-1'!R46</f>
        <v>0</v>
      </c>
      <c r="N23" s="66">
        <f>+'II-D-1'!S46</f>
        <v>22054638.640000001</v>
      </c>
      <c r="O23" s="66">
        <f>+'II-D-1'!T46</f>
        <v>0</v>
      </c>
      <c r="P23" s="66">
        <f>+'II-D-1'!U46</f>
        <v>22054638.640000001</v>
      </c>
      <c r="Q23" s="66">
        <f>+'II-D-1'!V46</f>
        <v>13591.19</v>
      </c>
      <c r="R23" s="66">
        <f>+'II-D-1'!W46</f>
        <v>0</v>
      </c>
      <c r="S23" s="14">
        <f t="shared" si="2"/>
        <v>22068229.830000002</v>
      </c>
      <c r="T23" s="108" t="b">
        <f t="shared" si="0"/>
        <v>1</v>
      </c>
      <c r="U23" s="297">
        <f t="shared" si="1"/>
        <v>0</v>
      </c>
    </row>
    <row r="24" spans="1:21">
      <c r="A24" s="4" t="s">
        <v>245</v>
      </c>
      <c r="B24" s="4" t="s">
        <v>372</v>
      </c>
      <c r="D24" s="66">
        <f>ROUND(+'II-D-1'!E47,2)</f>
        <v>9674672.4299999997</v>
      </c>
      <c r="E24" s="66">
        <f>+'II-D-1'!F47</f>
        <v>0</v>
      </c>
      <c r="F24" s="66">
        <f>+'II-D-1'!G47</f>
        <v>0</v>
      </c>
      <c r="G24" s="66">
        <f>+'II-D-1'!H47</f>
        <v>9674672.4299999848</v>
      </c>
      <c r="H24" s="66">
        <f>+'II-D-1'!I47</f>
        <v>44942.420000000006</v>
      </c>
      <c r="I24" s="66">
        <f>+'II-D-1'!J47</f>
        <v>9719614.8499999847</v>
      </c>
      <c r="J24" s="66">
        <f>+'II-D-1'!O47</f>
        <v>0</v>
      </c>
      <c r="K24" s="66">
        <f>+'II-D-1'!P47</f>
        <v>0</v>
      </c>
      <c r="L24" s="66">
        <f>+'II-D-1'!Q47</f>
        <v>0</v>
      </c>
      <c r="M24" s="66">
        <f>+'II-D-1'!R47</f>
        <v>0</v>
      </c>
      <c r="N24" s="66">
        <f>+'II-D-1'!S47</f>
        <v>9701086.9600000009</v>
      </c>
      <c r="O24" s="66">
        <f>+'II-D-1'!T47</f>
        <v>0</v>
      </c>
      <c r="P24" s="66">
        <f>+'II-D-1'!U47</f>
        <v>9701086.9600000009</v>
      </c>
      <c r="Q24" s="66">
        <f>+'II-D-1'!V47</f>
        <v>18527.89</v>
      </c>
      <c r="R24" s="66">
        <f>+'II-D-1'!W47</f>
        <v>0</v>
      </c>
      <c r="S24" s="14">
        <f t="shared" si="2"/>
        <v>9719614.8500000015</v>
      </c>
      <c r="T24" s="108" t="b">
        <f t="shared" si="0"/>
        <v>0</v>
      </c>
      <c r="U24" s="297">
        <f t="shared" si="1"/>
        <v>0</v>
      </c>
    </row>
    <row r="25" spans="1:21">
      <c r="A25" s="4" t="s">
        <v>279</v>
      </c>
      <c r="B25" s="4" t="s">
        <v>142</v>
      </c>
      <c r="D25" s="66">
        <f>ROUND(+'II-D-1'!E48,2)</f>
        <v>157.6</v>
      </c>
      <c r="E25" s="66">
        <f>+'II-D-1'!F48</f>
        <v>0</v>
      </c>
      <c r="F25" s="66">
        <f>+'II-D-1'!G48</f>
        <v>0</v>
      </c>
      <c r="G25" s="66">
        <f>+'II-D-1'!H48</f>
        <v>157.60000000000002</v>
      </c>
      <c r="H25" s="66">
        <f>+'II-D-1'!I48</f>
        <v>0</v>
      </c>
      <c r="I25" s="66">
        <f>+'II-D-1'!J48</f>
        <v>157.60000000000002</v>
      </c>
      <c r="J25" s="66">
        <f>+'II-D-1'!O48</f>
        <v>0</v>
      </c>
      <c r="K25" s="66">
        <f>+'II-D-1'!P48</f>
        <v>0</v>
      </c>
      <c r="L25" s="66">
        <f>+'II-D-1'!Q48</f>
        <v>0</v>
      </c>
      <c r="M25" s="66">
        <f>+'II-D-1'!R48</f>
        <v>0</v>
      </c>
      <c r="N25" s="66">
        <f>+'II-D-1'!S48</f>
        <v>157.6</v>
      </c>
      <c r="O25" s="66">
        <f>+'II-D-1'!T48</f>
        <v>0</v>
      </c>
      <c r="P25" s="66">
        <f>+'II-D-1'!U48</f>
        <v>157.6</v>
      </c>
      <c r="Q25" s="66">
        <f>+'II-D-1'!V48</f>
        <v>0</v>
      </c>
      <c r="R25" s="66">
        <f>+'II-D-1'!W48</f>
        <v>0</v>
      </c>
      <c r="S25" s="14">
        <f t="shared" si="2"/>
        <v>157.6</v>
      </c>
      <c r="T25" s="108" t="b">
        <f t="shared" si="0"/>
        <v>1</v>
      </c>
      <c r="U25" s="297">
        <f t="shared" si="1"/>
        <v>0</v>
      </c>
    </row>
    <row r="26" spans="1:21">
      <c r="A26" s="4" t="s">
        <v>246</v>
      </c>
      <c r="B26" s="4" t="s">
        <v>144</v>
      </c>
      <c r="D26" s="66">
        <f>ROUND(+'II-D-1'!E49,2)</f>
        <v>34832393.520000003</v>
      </c>
      <c r="E26" s="66">
        <f>+'II-D-1'!F49</f>
        <v>0</v>
      </c>
      <c r="F26" s="66">
        <f>+'II-D-1'!G49</f>
        <v>0</v>
      </c>
      <c r="G26" s="66">
        <f>+'II-D-1'!H49</f>
        <v>34832393.519999936</v>
      </c>
      <c r="H26" s="66">
        <f>+'II-D-1'!I49</f>
        <v>172614.89</v>
      </c>
      <c r="I26" s="66">
        <f>+'II-D-1'!J49</f>
        <v>35005008.409999937</v>
      </c>
      <c r="J26" s="66">
        <f>+'II-D-1'!O49</f>
        <v>0</v>
      </c>
      <c r="K26" s="66">
        <f>+'II-D-1'!P49</f>
        <v>0</v>
      </c>
      <c r="L26" s="66">
        <f>+'II-D-1'!Q49</f>
        <v>0</v>
      </c>
      <c r="M26" s="66">
        <f>+'II-D-1'!R49</f>
        <v>0</v>
      </c>
      <c r="N26" s="66">
        <f>+'II-D-1'!S49</f>
        <v>0</v>
      </c>
      <c r="O26" s="66">
        <f>+'II-D-1'!T49</f>
        <v>0</v>
      </c>
      <c r="P26" s="66">
        <f>+'II-D-1'!U49</f>
        <v>0</v>
      </c>
      <c r="Q26" s="66">
        <f>+'II-D-1'!V49</f>
        <v>35005008.409999996</v>
      </c>
      <c r="R26" s="66">
        <f>+'II-D-1'!W49</f>
        <v>0</v>
      </c>
      <c r="S26" s="14">
        <f t="shared" si="2"/>
        <v>35005008.409999996</v>
      </c>
      <c r="T26" s="108" t="b">
        <f t="shared" si="0"/>
        <v>0</v>
      </c>
      <c r="U26" s="297">
        <f t="shared" si="1"/>
        <v>0</v>
      </c>
    </row>
    <row r="27" spans="1:21">
      <c r="A27" s="4" t="s">
        <v>247</v>
      </c>
      <c r="B27" s="4" t="s">
        <v>143</v>
      </c>
      <c r="D27" s="66">
        <f>ROUND(+'II-D-1'!E50,2)</f>
        <v>2655620.85</v>
      </c>
      <c r="E27" s="66">
        <f>+'II-D-1'!F50</f>
        <v>0</v>
      </c>
      <c r="F27" s="66">
        <f>+'II-D-1'!G50</f>
        <v>0</v>
      </c>
      <c r="G27" s="66">
        <f>+'II-D-1'!H50</f>
        <v>2655620.8500000006</v>
      </c>
      <c r="H27" s="66">
        <f>+'II-D-1'!I50</f>
        <v>0</v>
      </c>
      <c r="I27" s="66">
        <f>+'II-D-1'!J50</f>
        <v>2655620.8500000006</v>
      </c>
      <c r="J27" s="66">
        <f>+'II-D-1'!O50</f>
        <v>0</v>
      </c>
      <c r="K27" s="66">
        <f>+'II-D-1'!P50</f>
        <v>0</v>
      </c>
      <c r="L27" s="66">
        <f>+'II-D-1'!Q50</f>
        <v>0</v>
      </c>
      <c r="M27" s="66">
        <f>+'II-D-1'!R50</f>
        <v>0</v>
      </c>
      <c r="N27" s="66">
        <f>+'II-D-1'!S50</f>
        <v>2655620.85</v>
      </c>
      <c r="O27" s="66">
        <f>+'II-D-1'!T50</f>
        <v>0</v>
      </c>
      <c r="P27" s="66">
        <f>+'II-D-1'!U50</f>
        <v>2655620.85</v>
      </c>
      <c r="Q27" s="66">
        <f>+'II-D-1'!V50</f>
        <v>0</v>
      </c>
      <c r="R27" s="66">
        <f>+'II-D-1'!W50</f>
        <v>0</v>
      </c>
      <c r="S27" s="14">
        <f t="shared" si="2"/>
        <v>2655620.85</v>
      </c>
      <c r="T27" s="108" t="b">
        <f t="shared" si="0"/>
        <v>1</v>
      </c>
      <c r="U27" s="297">
        <f t="shared" si="1"/>
        <v>0</v>
      </c>
    </row>
    <row r="28" spans="1:21">
      <c r="A28" s="4" t="s">
        <v>250</v>
      </c>
      <c r="B28" s="4" t="s">
        <v>146</v>
      </c>
      <c r="D28" s="66">
        <f>ROUND(+'II-D-1'!E51,2)</f>
        <v>97452674.909999996</v>
      </c>
      <c r="E28" s="66">
        <f>+'II-D-1'!F51</f>
        <v>0</v>
      </c>
      <c r="F28" s="66">
        <f>+'II-D-1'!G51</f>
        <v>0</v>
      </c>
      <c r="G28" s="66">
        <f>+'II-D-1'!H51</f>
        <v>97452674.909999952</v>
      </c>
      <c r="H28" s="66">
        <f>+'II-D-1'!I51</f>
        <v>19185131.759999994</v>
      </c>
      <c r="I28" s="66">
        <f>+'II-D-1'!J51</f>
        <v>116637806.66999994</v>
      </c>
      <c r="J28" s="66">
        <f>+'II-D-1'!O51</f>
        <v>101473.9</v>
      </c>
      <c r="K28" s="66">
        <f>+'II-D-1'!P51</f>
        <v>64.52</v>
      </c>
      <c r="L28" s="66">
        <f>+'II-D-1'!Q51</f>
        <v>0</v>
      </c>
      <c r="M28" s="66">
        <f>+'II-D-1'!R51</f>
        <v>101538.42</v>
      </c>
      <c r="N28" s="66">
        <f>+'II-D-1'!S51</f>
        <v>114338938.56</v>
      </c>
      <c r="O28" s="66">
        <f>+'II-D-1'!T51</f>
        <v>17142.25</v>
      </c>
      <c r="P28" s="66">
        <f>+'II-D-1'!U51</f>
        <v>114356080.81</v>
      </c>
      <c r="Q28" s="66">
        <f>+'II-D-1'!V51</f>
        <v>2054606.74</v>
      </c>
      <c r="R28" s="66">
        <f>+'II-D-1'!W51</f>
        <v>125580.7</v>
      </c>
      <c r="S28" s="14">
        <f t="shared" si="2"/>
        <v>116637806.67</v>
      </c>
      <c r="T28" s="108" t="b">
        <f t="shared" si="0"/>
        <v>1</v>
      </c>
      <c r="U28" s="297">
        <f t="shared" si="1"/>
        <v>1.7898855730891228E-9</v>
      </c>
    </row>
    <row r="29" spans="1:21">
      <c r="A29" s="4" t="s">
        <v>248</v>
      </c>
      <c r="B29" s="4" t="s">
        <v>227</v>
      </c>
      <c r="D29" s="66">
        <f>ROUND(+'II-D-1'!E52,2)</f>
        <v>2811041.7</v>
      </c>
      <c r="E29" s="66">
        <f>+'II-D-1'!F52</f>
        <v>0</v>
      </c>
      <c r="F29" s="66">
        <f>+'II-D-1'!G52</f>
        <v>0</v>
      </c>
      <c r="G29" s="66">
        <f>+'II-D-1'!H52</f>
        <v>2811041.6999999997</v>
      </c>
      <c r="H29" s="66">
        <f>+'II-D-1'!I52</f>
        <v>-2609865.7999999998</v>
      </c>
      <c r="I29" s="66">
        <f>+'II-D-1'!J52</f>
        <v>201175.89999999991</v>
      </c>
      <c r="J29" s="66">
        <f>+'II-D-1'!O52</f>
        <v>0</v>
      </c>
      <c r="K29" s="66">
        <f>+'II-D-1'!P52</f>
        <v>0</v>
      </c>
      <c r="L29" s="66">
        <f>+'II-D-1'!Q52</f>
        <v>0</v>
      </c>
      <c r="M29" s="66">
        <f>+'II-D-1'!R52</f>
        <v>0</v>
      </c>
      <c r="N29" s="66">
        <f>+'II-D-1'!S52</f>
        <v>201175.9</v>
      </c>
      <c r="O29" s="66">
        <f>+'II-D-1'!T52</f>
        <v>0</v>
      </c>
      <c r="P29" s="66">
        <f>+'II-D-1'!U52</f>
        <v>201175.9</v>
      </c>
      <c r="Q29" s="66">
        <f>+'II-D-1'!V52</f>
        <v>0</v>
      </c>
      <c r="R29" s="66">
        <f>+'II-D-1'!W52</f>
        <v>0</v>
      </c>
      <c r="S29" s="14">
        <f t="shared" si="2"/>
        <v>201175.9</v>
      </c>
      <c r="T29" s="108" t="b">
        <f t="shared" si="0"/>
        <v>1</v>
      </c>
      <c r="U29" s="297">
        <f t="shared" si="1"/>
        <v>0</v>
      </c>
    </row>
    <row r="30" spans="1:21">
      <c r="A30" s="4" t="s">
        <v>256</v>
      </c>
      <c r="B30" s="4" t="s">
        <v>139</v>
      </c>
      <c r="D30" s="354">
        <f>ROUND(+'II-D-1'!E57,2)</f>
        <v>3367318.36</v>
      </c>
      <c r="E30" s="66">
        <f>+'II-D-1'!F57</f>
        <v>0</v>
      </c>
      <c r="F30" s="66">
        <f>+'II-D-1'!G57</f>
        <v>0</v>
      </c>
      <c r="G30" s="66">
        <f>+'II-D-1'!H57</f>
        <v>3367318.3600000017</v>
      </c>
      <c r="H30" s="66">
        <f>+'II-D-1'!I57</f>
        <v>609.13</v>
      </c>
      <c r="I30" s="66">
        <f>+'II-D-1'!J57</f>
        <v>3367927.4900000016</v>
      </c>
      <c r="J30" s="66">
        <f>+'II-D-1'!O57</f>
        <v>34568.270000000004</v>
      </c>
      <c r="K30" s="66">
        <f>+'II-D-1'!P57</f>
        <v>318.04000000000002</v>
      </c>
      <c r="L30" s="66">
        <f>+'II-D-1'!Q57</f>
        <v>0</v>
      </c>
      <c r="M30" s="66">
        <f>+'II-D-1'!R57</f>
        <v>34886.310000000005</v>
      </c>
      <c r="N30" s="66">
        <f>+'II-D-1'!S57</f>
        <v>2657755.9500000011</v>
      </c>
      <c r="O30" s="66">
        <f>+'II-D-1'!T57</f>
        <v>12.12</v>
      </c>
      <c r="P30" s="66">
        <f>+'II-D-1'!U57</f>
        <v>2657768.0700000012</v>
      </c>
      <c r="Q30" s="66">
        <f>+'II-D-1'!V57</f>
        <v>675219.36000000022</v>
      </c>
      <c r="R30" s="66">
        <f>+'II-D-1'!W57</f>
        <v>53.75</v>
      </c>
      <c r="S30" s="14">
        <f t="shared" si="2"/>
        <v>3367927.4900000016</v>
      </c>
      <c r="T30" s="108" t="b">
        <f t="shared" si="0"/>
        <v>1</v>
      </c>
      <c r="U30" s="297">
        <f t="shared" si="1"/>
        <v>0</v>
      </c>
    </row>
    <row r="31" spans="1:21">
      <c r="A31" s="4" t="s">
        <v>251</v>
      </c>
      <c r="B31" s="30" t="s">
        <v>140</v>
      </c>
      <c r="D31" s="66">
        <f>ROUND(+'II-D-1'!E58,2)</f>
        <v>6338.87</v>
      </c>
      <c r="E31" s="66">
        <f>+'II-D-1'!F58</f>
        <v>0</v>
      </c>
      <c r="F31" s="66">
        <f>+'II-D-1'!G58</f>
        <v>0</v>
      </c>
      <c r="G31" s="66">
        <f>+'II-D-1'!H58</f>
        <v>6338.87</v>
      </c>
      <c r="H31" s="66">
        <f>+'II-D-1'!I58</f>
        <v>0</v>
      </c>
      <c r="I31" s="66">
        <f>+'II-D-1'!J58</f>
        <v>6338.87</v>
      </c>
      <c r="J31" s="66">
        <f>+'II-D-1'!O58</f>
        <v>331.24</v>
      </c>
      <c r="K31" s="66">
        <f>+'II-D-1'!P58</f>
        <v>0</v>
      </c>
      <c r="L31" s="66">
        <f>+'II-D-1'!Q58</f>
        <v>0</v>
      </c>
      <c r="M31" s="66">
        <f>+'II-D-1'!R58</f>
        <v>331.24</v>
      </c>
      <c r="N31" s="66">
        <f>+'II-D-1'!S58</f>
        <v>6007.63</v>
      </c>
      <c r="O31" s="66">
        <f>+'II-D-1'!T58</f>
        <v>0</v>
      </c>
      <c r="P31" s="66">
        <f>+'II-D-1'!U58</f>
        <v>6007.63</v>
      </c>
      <c r="Q31" s="66">
        <f>+'II-D-1'!V58</f>
        <v>0</v>
      </c>
      <c r="R31" s="66">
        <f>+'II-D-1'!W58</f>
        <v>0</v>
      </c>
      <c r="S31" s="14">
        <f t="shared" si="2"/>
        <v>6338.87</v>
      </c>
      <c r="T31" s="108" t="b">
        <f t="shared" si="0"/>
        <v>1</v>
      </c>
      <c r="U31" s="297">
        <f t="shared" si="1"/>
        <v>0</v>
      </c>
    </row>
    <row r="32" spans="1:21">
      <c r="A32" s="4" t="s">
        <v>252</v>
      </c>
      <c r="B32" s="4" t="s">
        <v>375</v>
      </c>
      <c r="D32" s="66">
        <f>ROUND(+'II-D-1'!E59,2)</f>
        <v>10134873.4</v>
      </c>
      <c r="E32" s="66">
        <f>+'II-D-1'!F59</f>
        <v>0</v>
      </c>
      <c r="F32" s="66">
        <f>+'II-D-1'!G59</f>
        <v>0</v>
      </c>
      <c r="G32" s="66">
        <f>+'II-D-1'!H59</f>
        <v>10134873.399999999</v>
      </c>
      <c r="H32" s="66">
        <f>+'II-D-1'!I59</f>
        <v>14721.05</v>
      </c>
      <c r="I32" s="66">
        <f>+'II-D-1'!J59</f>
        <v>10149594.449999999</v>
      </c>
      <c r="J32" s="66">
        <f>+'II-D-1'!O59</f>
        <v>361180.0299999998</v>
      </c>
      <c r="K32" s="66">
        <f>+'II-D-1'!P59</f>
        <v>86.539999999999992</v>
      </c>
      <c r="L32" s="66">
        <f>+'II-D-1'!Q59</f>
        <v>0</v>
      </c>
      <c r="M32" s="66">
        <f>+'II-D-1'!R59</f>
        <v>361266.56999999977</v>
      </c>
      <c r="N32" s="66">
        <f>+'II-D-1'!S59</f>
        <v>9523942.879999999</v>
      </c>
      <c r="O32" s="66">
        <f>+'II-D-1'!T59</f>
        <v>264385</v>
      </c>
      <c r="P32" s="66">
        <f>+'II-D-1'!U59</f>
        <v>9788327.879999999</v>
      </c>
      <c r="Q32" s="66">
        <f>+'II-D-1'!V59</f>
        <v>0</v>
      </c>
      <c r="R32" s="66">
        <f>+'II-D-1'!W59</f>
        <v>0</v>
      </c>
      <c r="S32" s="14">
        <f t="shared" si="2"/>
        <v>10149594.449999999</v>
      </c>
      <c r="T32" s="108" t="b">
        <f t="shared" si="0"/>
        <v>1</v>
      </c>
      <c r="U32" s="297">
        <f t="shared" si="1"/>
        <v>5.2386894822120667E-10</v>
      </c>
    </row>
    <row r="33" spans="1:21">
      <c r="A33" s="4" t="s">
        <v>147</v>
      </c>
      <c r="B33" s="30" t="s">
        <v>376</v>
      </c>
      <c r="D33" s="66">
        <f>ROUND(+'II-D-1'!E60,2)</f>
        <v>125886680.01000001</v>
      </c>
      <c r="E33" s="66">
        <f>+'II-D-1'!F60</f>
        <v>0</v>
      </c>
      <c r="F33" s="66">
        <f>+'II-D-1'!G60</f>
        <v>0</v>
      </c>
      <c r="G33" s="66">
        <f>+'II-D-1'!H60</f>
        <v>125886680.01000012</v>
      </c>
      <c r="H33" s="66">
        <f>+'II-D-1'!I60</f>
        <v>-1214603.6399999997</v>
      </c>
      <c r="I33" s="66">
        <f>+'II-D-1'!J60</f>
        <v>124672076.37000012</v>
      </c>
      <c r="J33" s="66">
        <f>+'II-D-1'!O60</f>
        <v>4774.42</v>
      </c>
      <c r="K33" s="66">
        <f>+'II-D-1'!P60</f>
        <v>185.97</v>
      </c>
      <c r="L33" s="66">
        <f>+'II-D-1'!Q60</f>
        <v>0</v>
      </c>
      <c r="M33" s="66">
        <f>+'II-D-1'!R60</f>
        <v>4960.3900000000003</v>
      </c>
      <c r="N33" s="66">
        <f>+'II-D-1'!S60</f>
        <v>124578101.33000012</v>
      </c>
      <c r="O33" s="66">
        <f>+'II-D-1'!T60</f>
        <v>0</v>
      </c>
      <c r="P33" s="66">
        <f>+'II-D-1'!U60</f>
        <v>124578101.33000012</v>
      </c>
      <c r="Q33" s="66">
        <f>+'II-D-1'!V60</f>
        <v>89014.65</v>
      </c>
      <c r="R33" s="66">
        <f>+'II-D-1'!W60</f>
        <v>0</v>
      </c>
      <c r="S33" s="14">
        <f t="shared" si="2"/>
        <v>124672076.37000012</v>
      </c>
      <c r="T33" s="108" t="b">
        <f t="shared" si="0"/>
        <v>1</v>
      </c>
      <c r="U33" s="297">
        <f t="shared" si="1"/>
        <v>5.95719029661268E-10</v>
      </c>
    </row>
    <row r="34" spans="1:21">
      <c r="A34" s="4" t="s">
        <v>148</v>
      </c>
      <c r="B34" s="4" t="s">
        <v>377</v>
      </c>
      <c r="D34" s="66">
        <f>ROUND(+'II-D-1'!E61,2)</f>
        <v>31854753.109999999</v>
      </c>
      <c r="E34" s="66">
        <f>+'II-D-1'!F61</f>
        <v>0</v>
      </c>
      <c r="F34" s="66">
        <f>+'II-D-1'!G61</f>
        <v>0</v>
      </c>
      <c r="G34" s="66">
        <f>+'II-D-1'!H61</f>
        <v>31854753.109999891</v>
      </c>
      <c r="H34" s="66">
        <f>+'II-D-1'!I61</f>
        <v>73041.930000000008</v>
      </c>
      <c r="I34" s="66">
        <f>+'II-D-1'!J61</f>
        <v>31927795.039999891</v>
      </c>
      <c r="J34" s="66">
        <f>+'II-D-1'!O61</f>
        <v>6.81</v>
      </c>
      <c r="K34" s="66">
        <f>+'II-D-1'!P61</f>
        <v>0</v>
      </c>
      <c r="L34" s="66">
        <f>+'II-D-1'!Q61</f>
        <v>0</v>
      </c>
      <c r="M34" s="66">
        <f>+'II-D-1'!R61</f>
        <v>6.81</v>
      </c>
      <c r="N34" s="66">
        <f>+'II-D-1'!S61</f>
        <v>31871379.119999893</v>
      </c>
      <c r="O34" s="66">
        <f>+'II-D-1'!T61</f>
        <v>0</v>
      </c>
      <c r="P34" s="66">
        <f>+'II-D-1'!U61</f>
        <v>31871379.119999893</v>
      </c>
      <c r="Q34" s="66">
        <f>+'II-D-1'!V61</f>
        <v>56409.110000000008</v>
      </c>
      <c r="R34" s="66">
        <f>+'II-D-1'!W61</f>
        <v>0</v>
      </c>
      <c r="S34" s="14">
        <f t="shared" si="2"/>
        <v>31927795.039999891</v>
      </c>
      <c r="T34" s="108" t="b">
        <f t="shared" si="0"/>
        <v>1</v>
      </c>
      <c r="U34" s="297">
        <f t="shared" si="1"/>
        <v>-1.3411041166477844E-9</v>
      </c>
    </row>
    <row r="35" spans="1:21">
      <c r="A35" s="4" t="s">
        <v>253</v>
      </c>
      <c r="B35" s="4" t="s">
        <v>149</v>
      </c>
      <c r="D35" s="66">
        <f>ROUND(+'II-D-1'!E62,2)</f>
        <v>3832879.35</v>
      </c>
      <c r="E35" s="66">
        <f>+'II-D-1'!F62</f>
        <v>0</v>
      </c>
      <c r="F35" s="66">
        <f>+'II-D-1'!G62</f>
        <v>0</v>
      </c>
      <c r="G35" s="66">
        <f>+'II-D-1'!H62</f>
        <v>3832879.3499999968</v>
      </c>
      <c r="H35" s="66">
        <f>+'II-D-1'!I62</f>
        <v>69.349999999999994</v>
      </c>
      <c r="I35" s="66">
        <f>+'II-D-1'!J62</f>
        <v>3832948.6999999969</v>
      </c>
      <c r="J35" s="66">
        <f>+'II-D-1'!O62</f>
        <v>0</v>
      </c>
      <c r="K35" s="66">
        <f>+'II-D-1'!P62</f>
        <v>0</v>
      </c>
      <c r="L35" s="66">
        <f>+'II-D-1'!Q62</f>
        <v>0</v>
      </c>
      <c r="M35" s="66">
        <f>+'II-D-1'!R62</f>
        <v>0</v>
      </c>
      <c r="N35" s="66">
        <f>+'II-D-1'!S62</f>
        <v>3832933.3499999968</v>
      </c>
      <c r="O35" s="66">
        <f>+'II-D-1'!T62</f>
        <v>0</v>
      </c>
      <c r="P35" s="66">
        <f>+'II-D-1'!U62</f>
        <v>3832933.3499999968</v>
      </c>
      <c r="Q35" s="66">
        <f>+'II-D-1'!V62</f>
        <v>15.35</v>
      </c>
      <c r="R35" s="66">
        <f>+'II-D-1'!W62</f>
        <v>0</v>
      </c>
      <c r="S35" s="14">
        <f t="shared" si="2"/>
        <v>3832948.6999999969</v>
      </c>
      <c r="T35" s="108" t="b">
        <f t="shared" si="0"/>
        <v>1</v>
      </c>
      <c r="U35" s="297">
        <f t="shared" si="1"/>
        <v>0</v>
      </c>
    </row>
    <row r="36" spans="1:21">
      <c r="A36" s="4" t="s">
        <v>280</v>
      </c>
      <c r="B36" s="4" t="s">
        <v>150</v>
      </c>
      <c r="D36" s="66">
        <f>ROUND(+'II-D-1'!E63,2)</f>
        <v>10261146.960000001</v>
      </c>
      <c r="E36" s="66">
        <f>+'II-D-1'!F63</f>
        <v>0</v>
      </c>
      <c r="F36" s="66">
        <f>+'II-D-1'!G63</f>
        <v>0</v>
      </c>
      <c r="G36" s="66">
        <f>+'II-D-1'!H63</f>
        <v>10261146.959999967</v>
      </c>
      <c r="H36" s="66">
        <f>+'II-D-1'!I63</f>
        <v>213532.41</v>
      </c>
      <c r="I36" s="66">
        <f>+'II-D-1'!J63</f>
        <v>10474679.369999968</v>
      </c>
      <c r="J36" s="66">
        <f>+'II-D-1'!O63</f>
        <v>0</v>
      </c>
      <c r="K36" s="66">
        <f>+'II-D-1'!P63</f>
        <v>0</v>
      </c>
      <c r="L36" s="66">
        <f>+'II-D-1'!Q63</f>
        <v>0</v>
      </c>
      <c r="M36" s="66">
        <f>+'II-D-1'!R63</f>
        <v>0</v>
      </c>
      <c r="N36" s="66">
        <f>+'II-D-1'!S63</f>
        <v>10452984.359999968</v>
      </c>
      <c r="O36" s="66">
        <f>+'II-D-1'!T63</f>
        <v>0</v>
      </c>
      <c r="P36" s="66">
        <f>+'II-D-1'!U63</f>
        <v>10452984.359999968</v>
      </c>
      <c r="Q36" s="66">
        <f>+'II-D-1'!V63</f>
        <v>21695.01</v>
      </c>
      <c r="R36" s="66">
        <f>+'II-D-1'!W63</f>
        <v>0</v>
      </c>
      <c r="S36" s="14">
        <f t="shared" si="2"/>
        <v>10474679.369999968</v>
      </c>
      <c r="T36" s="108" t="b">
        <f t="shared" si="0"/>
        <v>1</v>
      </c>
      <c r="U36" s="297">
        <f t="shared" si="1"/>
        <v>0</v>
      </c>
    </row>
    <row r="37" spans="1:21">
      <c r="A37" s="4" t="s">
        <v>255</v>
      </c>
      <c r="B37" s="4" t="s">
        <v>151</v>
      </c>
      <c r="D37" s="66">
        <f>ROUND(+'II-D-1'!E64,2)</f>
        <v>22948047.09</v>
      </c>
      <c r="E37" s="66">
        <f>+'II-D-1'!F64</f>
        <v>0</v>
      </c>
      <c r="F37" s="66">
        <f>+'II-D-1'!G64</f>
        <v>0</v>
      </c>
      <c r="G37" s="66">
        <f>+'II-D-1'!H64</f>
        <v>22948047.090000018</v>
      </c>
      <c r="H37" s="66">
        <f>+'II-D-1'!I64</f>
        <v>0</v>
      </c>
      <c r="I37" s="66">
        <f>+'II-D-1'!J64</f>
        <v>22948047.090000018</v>
      </c>
      <c r="J37" s="66">
        <f>+'II-D-1'!O64</f>
        <v>0</v>
      </c>
      <c r="K37" s="66">
        <f>+'II-D-1'!P64</f>
        <v>0</v>
      </c>
      <c r="L37" s="66">
        <f>+'II-D-1'!Q64</f>
        <v>0</v>
      </c>
      <c r="M37" s="66">
        <f>+'II-D-1'!R64</f>
        <v>0</v>
      </c>
      <c r="N37" s="66">
        <f>+'II-D-1'!S64</f>
        <v>0</v>
      </c>
      <c r="O37" s="66">
        <f>+'II-D-1'!T64</f>
        <v>0</v>
      </c>
      <c r="P37" s="66">
        <f>+'II-D-1'!U64</f>
        <v>0</v>
      </c>
      <c r="Q37" s="66">
        <f>+'II-D-1'!V64</f>
        <v>22948047.090000018</v>
      </c>
      <c r="R37" s="66">
        <f>+'II-D-1'!W64</f>
        <v>0</v>
      </c>
      <c r="S37" s="14">
        <f t="shared" si="2"/>
        <v>22948047.090000018</v>
      </c>
      <c r="T37" s="108" t="b">
        <f t="shared" si="0"/>
        <v>1</v>
      </c>
      <c r="U37" s="297">
        <f t="shared" si="1"/>
        <v>0</v>
      </c>
    </row>
    <row r="38" spans="1:21">
      <c r="A38" s="4" t="s">
        <v>283</v>
      </c>
      <c r="B38" s="4" t="s">
        <v>152</v>
      </c>
      <c r="D38" s="66">
        <f>ROUND(+'II-D-1'!E65,2)</f>
        <v>2316045.38</v>
      </c>
      <c r="E38" s="66">
        <f>+'II-D-1'!F65</f>
        <v>0</v>
      </c>
      <c r="F38" s="66">
        <f>+'II-D-1'!G65</f>
        <v>0</v>
      </c>
      <c r="G38" s="66">
        <f>+'II-D-1'!H65</f>
        <v>2316045.3800000018</v>
      </c>
      <c r="H38" s="66">
        <f>+'II-D-1'!I65</f>
        <v>22314.98</v>
      </c>
      <c r="I38" s="66">
        <f>+'II-D-1'!J65</f>
        <v>2338360.3600000017</v>
      </c>
      <c r="J38" s="66">
        <f>+'II-D-1'!O65</f>
        <v>0</v>
      </c>
      <c r="K38" s="66">
        <f>+'II-D-1'!P65</f>
        <v>0</v>
      </c>
      <c r="L38" s="66">
        <f>+'II-D-1'!Q65</f>
        <v>0</v>
      </c>
      <c r="M38" s="66">
        <f>+'II-D-1'!R65</f>
        <v>0</v>
      </c>
      <c r="N38" s="66">
        <f>+'II-D-1'!S65</f>
        <v>2328747.8200000017</v>
      </c>
      <c r="O38" s="66">
        <f>+'II-D-1'!T65</f>
        <v>0</v>
      </c>
      <c r="P38" s="66">
        <f>+'II-D-1'!U65</f>
        <v>2328747.8200000017</v>
      </c>
      <c r="Q38" s="66">
        <f>+'II-D-1'!V65</f>
        <v>9612.5400000000009</v>
      </c>
      <c r="R38" s="66">
        <f>+'II-D-1'!W65</f>
        <v>0</v>
      </c>
      <c r="S38" s="14">
        <f t="shared" si="2"/>
        <v>2338360.3600000017</v>
      </c>
      <c r="T38" s="108" t="b">
        <f t="shared" si="0"/>
        <v>1</v>
      </c>
      <c r="U38" s="297">
        <f t="shared" si="1"/>
        <v>0</v>
      </c>
    </row>
    <row r="39" spans="1:21">
      <c r="A39" s="4" t="s">
        <v>259</v>
      </c>
      <c r="B39" s="4" t="s">
        <v>260</v>
      </c>
      <c r="D39" s="354">
        <f>ROUND(+'II-D-1'!E73,2)</f>
        <v>109658</v>
      </c>
      <c r="E39" s="66">
        <f>+'II-D-1'!F73</f>
        <v>0</v>
      </c>
      <c r="F39" s="66">
        <f>+'II-D-1'!G73</f>
        <v>0</v>
      </c>
      <c r="G39" s="66">
        <f>+'II-D-1'!H73</f>
        <v>109658</v>
      </c>
      <c r="H39" s="66">
        <f>+'II-D-1'!I73</f>
        <v>0</v>
      </c>
      <c r="I39" s="66">
        <f>+'II-D-1'!J73</f>
        <v>109658</v>
      </c>
      <c r="J39" s="66">
        <f>+'II-D-1'!O73</f>
        <v>0</v>
      </c>
      <c r="K39" s="66">
        <f>+'II-D-1'!P73</f>
        <v>0</v>
      </c>
      <c r="L39" s="66">
        <f>+'II-D-1'!Q73</f>
        <v>0</v>
      </c>
      <c r="M39" s="66">
        <f>+'II-D-1'!R73</f>
        <v>0</v>
      </c>
      <c r="N39" s="66">
        <f>+'II-D-1'!S73</f>
        <v>107858</v>
      </c>
      <c r="O39" s="66">
        <f>+'II-D-1'!T73</f>
        <v>0</v>
      </c>
      <c r="P39" s="66">
        <f>+'II-D-1'!U73</f>
        <v>107858</v>
      </c>
      <c r="Q39" s="66">
        <f>+'II-D-1'!V73</f>
        <v>0</v>
      </c>
      <c r="R39" s="66">
        <f>+'II-D-1'!W73</f>
        <v>1800</v>
      </c>
      <c r="S39" s="14">
        <f t="shared" si="2"/>
        <v>109658</v>
      </c>
      <c r="T39" s="108" t="b">
        <f t="shared" si="0"/>
        <v>1</v>
      </c>
      <c r="U39" s="297">
        <f t="shared" si="1"/>
        <v>0</v>
      </c>
    </row>
    <row r="40" spans="1:21">
      <c r="A40" s="4" t="s">
        <v>258</v>
      </c>
      <c r="B40" s="4" t="s">
        <v>166</v>
      </c>
      <c r="D40" s="66">
        <f>ROUND(+'II-D-1'!E74,2)</f>
        <v>66776.98</v>
      </c>
      <c r="E40" s="66">
        <f>+'II-D-1'!F74</f>
        <v>0</v>
      </c>
      <c r="F40" s="66">
        <f>+'II-D-1'!G74</f>
        <v>0</v>
      </c>
      <c r="G40" s="66">
        <f>+'II-D-1'!H74</f>
        <v>66776.98</v>
      </c>
      <c r="H40" s="66">
        <f>+'II-D-1'!I74</f>
        <v>-4254.72</v>
      </c>
      <c r="I40" s="66">
        <f>+'II-D-1'!J74</f>
        <v>62522.259999999995</v>
      </c>
      <c r="J40" s="66">
        <f>+'II-D-1'!O74</f>
        <v>0</v>
      </c>
      <c r="K40" s="66">
        <f>+'II-D-1'!P74</f>
        <v>0</v>
      </c>
      <c r="L40" s="66">
        <f>+'II-D-1'!Q74</f>
        <v>0</v>
      </c>
      <c r="M40" s="66">
        <f>+'II-D-1'!R74</f>
        <v>0</v>
      </c>
      <c r="N40" s="66">
        <f>+'II-D-1'!S74</f>
        <v>0</v>
      </c>
      <c r="O40" s="66">
        <f>+'II-D-1'!T74</f>
        <v>0</v>
      </c>
      <c r="P40" s="66">
        <f>+'II-D-1'!U74</f>
        <v>0</v>
      </c>
      <c r="Q40" s="66">
        <f>+'II-D-1'!V74</f>
        <v>62522.26</v>
      </c>
      <c r="R40" s="66">
        <f>+'II-D-1'!W74</f>
        <v>0</v>
      </c>
      <c r="S40" s="14">
        <f t="shared" si="2"/>
        <v>62522.26</v>
      </c>
      <c r="T40" s="108" t="b">
        <f t="shared" si="0"/>
        <v>1</v>
      </c>
      <c r="U40" s="297">
        <f t="shared" si="1"/>
        <v>0</v>
      </c>
    </row>
    <row r="41" spans="1:21">
      <c r="A41" s="4" t="s">
        <v>284</v>
      </c>
      <c r="B41" s="4" t="s">
        <v>390</v>
      </c>
      <c r="D41" s="66">
        <f>ROUND(+'II-D-1'!E75,2)</f>
        <v>30491908.609999999</v>
      </c>
      <c r="E41" s="66">
        <f>+'II-D-1'!F75</f>
        <v>0</v>
      </c>
      <c r="F41" s="66">
        <f>+'II-D-1'!G75</f>
        <v>0</v>
      </c>
      <c r="G41" s="66">
        <f>+'II-D-1'!H75</f>
        <v>30491908.609999999</v>
      </c>
      <c r="H41" s="66">
        <f>+'II-D-1'!I75</f>
        <v>-6560230.1299999999</v>
      </c>
      <c r="I41" s="66">
        <f>+'II-D-1'!J75</f>
        <v>23931678.48</v>
      </c>
      <c r="J41" s="66">
        <f>+'II-D-1'!O75</f>
        <v>0</v>
      </c>
      <c r="K41" s="66">
        <f>+'II-D-1'!P75</f>
        <v>0</v>
      </c>
      <c r="L41" s="66">
        <f>+'II-D-1'!Q75</f>
        <v>0</v>
      </c>
      <c r="M41" s="66">
        <f>+'II-D-1'!R75</f>
        <v>0</v>
      </c>
      <c r="N41" s="66">
        <f>+'II-D-1'!S75</f>
        <v>0</v>
      </c>
      <c r="O41" s="66">
        <f>+'II-D-1'!T75</f>
        <v>0</v>
      </c>
      <c r="P41" s="66">
        <f>+'II-D-1'!U75</f>
        <v>0</v>
      </c>
      <c r="Q41" s="66">
        <f>+'II-D-1'!V75</f>
        <v>9746905.9800000004</v>
      </c>
      <c r="R41" s="66">
        <f>+'II-D-1'!W75</f>
        <v>14184772.5</v>
      </c>
      <c r="S41" s="14">
        <f t="shared" si="2"/>
        <v>23931678.48</v>
      </c>
      <c r="T41" s="108" t="b">
        <f t="shared" si="0"/>
        <v>1</v>
      </c>
      <c r="U41" s="297">
        <f t="shared" si="1"/>
        <v>0</v>
      </c>
    </row>
    <row r="42" spans="1:21">
      <c r="A42" s="4" t="s">
        <v>261</v>
      </c>
      <c r="B42" s="4" t="s">
        <v>262</v>
      </c>
      <c r="D42" s="66">
        <f>ROUND(+'II-D-1'!E76,2)</f>
        <v>2061816.05</v>
      </c>
      <c r="E42" s="66">
        <f>+'II-D-1'!F76</f>
        <v>0</v>
      </c>
      <c r="F42" s="66">
        <f>+'II-D-1'!G76</f>
        <v>0</v>
      </c>
      <c r="G42" s="66">
        <f>+'II-D-1'!H76</f>
        <v>2061816.0499999998</v>
      </c>
      <c r="H42" s="66">
        <f>+'II-D-1'!I76</f>
        <v>532280.16</v>
      </c>
      <c r="I42" s="66">
        <f>+'II-D-1'!J76</f>
        <v>2594096.21</v>
      </c>
      <c r="J42" s="66">
        <f>+'II-D-1'!O76</f>
        <v>-153231.79</v>
      </c>
      <c r="K42" s="66">
        <f>+'II-D-1'!P76</f>
        <v>0</v>
      </c>
      <c r="L42" s="66">
        <f>+'II-D-1'!Q76</f>
        <v>0</v>
      </c>
      <c r="M42" s="66">
        <f>+'II-D-1'!R76</f>
        <v>-153231.79</v>
      </c>
      <c r="N42" s="66">
        <f>+'II-D-1'!S76</f>
        <v>0</v>
      </c>
      <c r="O42" s="66">
        <f>+'II-D-1'!T76</f>
        <v>0</v>
      </c>
      <c r="P42" s="66">
        <f>+'II-D-1'!U76</f>
        <v>0</v>
      </c>
      <c r="Q42" s="66">
        <f>+'II-D-1'!V76</f>
        <v>0</v>
      </c>
      <c r="R42" s="66">
        <f>+'II-D-1'!W76</f>
        <v>2747328</v>
      </c>
      <c r="S42" s="14">
        <f t="shared" si="2"/>
        <v>2594096.21</v>
      </c>
      <c r="T42" s="108" t="b">
        <f t="shared" si="0"/>
        <v>1</v>
      </c>
      <c r="U42" s="297">
        <f t="shared" si="1"/>
        <v>0</v>
      </c>
    </row>
    <row r="43" spans="1:21">
      <c r="A43" s="4" t="s">
        <v>263</v>
      </c>
      <c r="B43" s="30" t="s">
        <v>391</v>
      </c>
      <c r="D43" s="66">
        <f>ROUND(+'II-D-1'!E77,2)</f>
        <v>0</v>
      </c>
      <c r="E43" s="66">
        <f>+'II-D-1'!F77</f>
        <v>0</v>
      </c>
      <c r="F43" s="66">
        <f>+'II-D-1'!G77</f>
        <v>0</v>
      </c>
      <c r="G43" s="66">
        <f>+'II-D-1'!H77</f>
        <v>0</v>
      </c>
      <c r="H43" s="66">
        <f>+'II-D-1'!I77</f>
        <v>0</v>
      </c>
      <c r="I43" s="66">
        <f>+'II-D-1'!J77</f>
        <v>0</v>
      </c>
      <c r="J43" s="66">
        <f>+'II-D-1'!O77</f>
        <v>0</v>
      </c>
      <c r="K43" s="66">
        <f>+'II-D-1'!P77</f>
        <v>0</v>
      </c>
      <c r="L43" s="66">
        <f>+'II-D-1'!Q77</f>
        <v>0</v>
      </c>
      <c r="M43" s="66">
        <f>+'II-D-1'!R77</f>
        <v>0</v>
      </c>
      <c r="N43" s="66">
        <f>+'II-D-1'!S77</f>
        <v>0</v>
      </c>
      <c r="O43" s="66">
        <f>+'II-D-1'!T77</f>
        <v>0</v>
      </c>
      <c r="P43" s="66">
        <f>+'II-D-1'!U77</f>
        <v>0</v>
      </c>
      <c r="Q43" s="66">
        <f>+'II-D-1'!V77</f>
        <v>0</v>
      </c>
      <c r="R43" s="66">
        <f>+'II-D-1'!W77</f>
        <v>0</v>
      </c>
      <c r="S43" s="14">
        <f t="shared" si="2"/>
        <v>0</v>
      </c>
      <c r="T43" s="108" t="b">
        <f t="shared" si="0"/>
        <v>1</v>
      </c>
      <c r="U43" s="297">
        <f t="shared" si="1"/>
        <v>0</v>
      </c>
    </row>
    <row r="44" spans="1:21">
      <c r="A44" s="4" t="s">
        <v>167</v>
      </c>
      <c r="B44" s="4" t="s">
        <v>327</v>
      </c>
      <c r="D44" s="354">
        <f>ROUND(+'II-D-1'!E83,2)</f>
        <v>0</v>
      </c>
      <c r="E44" s="66">
        <f>+'II-D-1'!F83</f>
        <v>0</v>
      </c>
      <c r="F44" s="66">
        <f>+'II-D-1'!G83</f>
        <v>0</v>
      </c>
      <c r="G44" s="66">
        <f>+'II-D-1'!H83</f>
        <v>0</v>
      </c>
      <c r="H44" s="66">
        <f>+'II-D-1'!I83</f>
        <v>0</v>
      </c>
      <c r="I44" s="66">
        <f>+'II-D-1'!J83</f>
        <v>0</v>
      </c>
      <c r="J44" s="66">
        <f>+'II-D-1'!O83</f>
        <v>0</v>
      </c>
      <c r="K44" s="66">
        <f>+'II-D-1'!P83</f>
        <v>0</v>
      </c>
      <c r="L44" s="66">
        <f>+'II-D-1'!Q83</f>
        <v>0</v>
      </c>
      <c r="M44" s="66">
        <f>+'II-D-1'!R83</f>
        <v>0</v>
      </c>
      <c r="N44" s="66">
        <f>+'II-D-1'!S83</f>
        <v>0</v>
      </c>
      <c r="O44" s="66">
        <f>+'II-D-1'!T83</f>
        <v>0</v>
      </c>
      <c r="P44" s="66">
        <f>+'II-D-1'!U83</f>
        <v>0</v>
      </c>
      <c r="Q44" s="66">
        <f>+'II-D-1'!V83</f>
        <v>0</v>
      </c>
      <c r="R44" s="66">
        <f>+'II-D-1'!W83</f>
        <v>0</v>
      </c>
      <c r="S44" s="14">
        <f t="shared" si="2"/>
        <v>0</v>
      </c>
      <c r="T44" s="108" t="b">
        <f t="shared" si="0"/>
        <v>1</v>
      </c>
      <c r="U44" s="297">
        <f t="shared" si="1"/>
        <v>0</v>
      </c>
    </row>
    <row r="45" spans="1:21">
      <c r="A45" s="4" t="s">
        <v>264</v>
      </c>
      <c r="B45" s="4" t="s">
        <v>260</v>
      </c>
      <c r="D45" s="66">
        <f>ROUND(+'II-D-1'!E84,2)</f>
        <v>0</v>
      </c>
      <c r="E45" s="66">
        <f>+'II-D-1'!F84</f>
        <v>0</v>
      </c>
      <c r="F45" s="66">
        <f>+'II-D-1'!G84</f>
        <v>0</v>
      </c>
      <c r="G45" s="66">
        <f>+'II-D-1'!H84</f>
        <v>0</v>
      </c>
      <c r="H45" s="66">
        <f>+'II-D-1'!I84</f>
        <v>0</v>
      </c>
      <c r="I45" s="66">
        <f>+'II-D-1'!J84</f>
        <v>0</v>
      </c>
      <c r="J45" s="66">
        <f>+'II-D-1'!O84</f>
        <v>0</v>
      </c>
      <c r="K45" s="66">
        <f>+'II-D-1'!P84</f>
        <v>0</v>
      </c>
      <c r="L45" s="66">
        <f>+'II-D-1'!Q84</f>
        <v>0</v>
      </c>
      <c r="M45" s="66">
        <f>+'II-D-1'!R84</f>
        <v>0</v>
      </c>
      <c r="N45" s="66">
        <f>+'II-D-1'!S84</f>
        <v>0</v>
      </c>
      <c r="O45" s="66">
        <f>+'II-D-1'!T84</f>
        <v>0</v>
      </c>
      <c r="P45" s="66">
        <f>+'II-D-1'!U84</f>
        <v>0</v>
      </c>
      <c r="Q45" s="66">
        <f>+'II-D-1'!V84</f>
        <v>0</v>
      </c>
      <c r="R45" s="66">
        <f>+'II-D-1'!W84</f>
        <v>0</v>
      </c>
      <c r="S45" s="14">
        <f t="shared" si="2"/>
        <v>0</v>
      </c>
      <c r="T45" s="108" t="b">
        <f t="shared" si="0"/>
        <v>1</v>
      </c>
      <c r="U45" s="297">
        <f t="shared" si="1"/>
        <v>0</v>
      </c>
    </row>
    <row r="46" spans="1:21">
      <c r="A46" s="4" t="s">
        <v>329</v>
      </c>
      <c r="B46" s="30" t="s">
        <v>328</v>
      </c>
      <c r="D46" s="66">
        <f>ROUND(+'II-D-1'!E85,2)</f>
        <v>54714296.289999999</v>
      </c>
      <c r="E46" s="66">
        <f>+'II-D-1'!F85</f>
        <v>0</v>
      </c>
      <c r="F46" s="66">
        <f>+'II-D-1'!G85</f>
        <v>0</v>
      </c>
      <c r="G46" s="66">
        <f>ROUND(+'II-D-1'!H85,2)</f>
        <v>54714296.289999999</v>
      </c>
      <c r="H46" s="66">
        <f>ROUND(+'II-D-1'!I85,2)</f>
        <v>-54320514.229999997</v>
      </c>
      <c r="I46" s="66">
        <f>ROUND(+'II-D-1'!J85,2)</f>
        <v>393782.06</v>
      </c>
      <c r="J46" s="66">
        <f>ROUND(+'II-D-1'!O85,2)</f>
        <v>0</v>
      </c>
      <c r="K46" s="66">
        <f>ROUND(+'II-D-1'!P85,2)</f>
        <v>0</v>
      </c>
      <c r="L46" s="66">
        <f>ROUND(+'II-D-1'!Q85,2)</f>
        <v>0</v>
      </c>
      <c r="M46" s="66">
        <f>+'II-D-1'!R85</f>
        <v>0</v>
      </c>
      <c r="N46" s="66">
        <f>ROUND(+'II-D-1'!S85,2)</f>
        <v>230789.12</v>
      </c>
      <c r="O46" s="66">
        <f>ROUND(+'II-D-1'!T85,2)</f>
        <v>0</v>
      </c>
      <c r="P46" s="66">
        <f>+'II-D-1'!U85</f>
        <v>230789.12</v>
      </c>
      <c r="Q46" s="66">
        <f>ROUND(+'II-D-1'!V85,2)</f>
        <v>0</v>
      </c>
      <c r="R46" s="66">
        <f>ROUND(+'II-D-1'!W85,2)</f>
        <v>162992.94</v>
      </c>
      <c r="S46" s="14">
        <f t="shared" si="2"/>
        <v>393782.06</v>
      </c>
      <c r="T46" s="108" t="b">
        <f t="shared" si="0"/>
        <v>1</v>
      </c>
      <c r="U46" s="297">
        <f t="shared" si="1"/>
        <v>0</v>
      </c>
    </row>
    <row r="47" spans="1:21">
      <c r="A47" s="4" t="s">
        <v>330</v>
      </c>
      <c r="B47" s="4" t="s">
        <v>331</v>
      </c>
      <c r="D47" s="66">
        <f>ROUND(+'II-D-1'!E86,2)</f>
        <v>0</v>
      </c>
      <c r="E47" s="66">
        <f>+'II-D-1'!F86</f>
        <v>0</v>
      </c>
      <c r="F47" s="66">
        <f>+'II-D-1'!G86</f>
        <v>0</v>
      </c>
      <c r="G47" s="66">
        <f>+'II-D-1'!H86</f>
        <v>0</v>
      </c>
      <c r="H47" s="66">
        <f>+'II-D-1'!I86</f>
        <v>0</v>
      </c>
      <c r="I47" s="66">
        <f>+'II-D-1'!J86</f>
        <v>0</v>
      </c>
      <c r="J47" s="66">
        <f>+'II-D-1'!O86</f>
        <v>0</v>
      </c>
      <c r="K47" s="66">
        <f>+'II-D-1'!P86</f>
        <v>0</v>
      </c>
      <c r="L47" s="66">
        <f>+'II-D-1'!Q86</f>
        <v>0</v>
      </c>
      <c r="M47" s="66">
        <f>+'II-D-1'!R86</f>
        <v>0</v>
      </c>
      <c r="N47" s="66">
        <f>+'II-D-1'!S86</f>
        <v>0</v>
      </c>
      <c r="O47" s="66">
        <f>+'II-D-1'!T86</f>
        <v>0</v>
      </c>
      <c r="P47" s="66">
        <f>+'II-D-1'!U86</f>
        <v>0</v>
      </c>
      <c r="Q47" s="66">
        <f>+'II-D-1'!V86</f>
        <v>0</v>
      </c>
      <c r="R47" s="66">
        <f>+'II-D-1'!W86</f>
        <v>0</v>
      </c>
      <c r="S47" s="14">
        <f t="shared" si="2"/>
        <v>0</v>
      </c>
      <c r="T47" s="108" t="b">
        <f t="shared" si="0"/>
        <v>1</v>
      </c>
      <c r="U47" s="297">
        <f t="shared" si="1"/>
        <v>0</v>
      </c>
    </row>
    <row r="48" spans="1:21">
      <c r="A48" s="4" t="s">
        <v>265</v>
      </c>
      <c r="B48" s="4" t="s">
        <v>332</v>
      </c>
      <c r="D48" s="66">
        <f>ROUND(+'II-D-1'!E87,2)</f>
        <v>1643.86</v>
      </c>
      <c r="E48" s="66">
        <f>+'II-D-1'!F87</f>
        <v>0</v>
      </c>
      <c r="F48" s="66">
        <f>+'II-D-1'!G87</f>
        <v>0</v>
      </c>
      <c r="G48" s="66">
        <f>+'II-D-1'!H87</f>
        <v>1643.8600000000001</v>
      </c>
      <c r="H48" s="66">
        <f>+'II-D-1'!I87</f>
        <v>0</v>
      </c>
      <c r="I48" s="66">
        <f>+'II-D-1'!J87</f>
        <v>1643.8600000000001</v>
      </c>
      <c r="J48" s="66">
        <f>+'II-D-1'!O87</f>
        <v>0</v>
      </c>
      <c r="K48" s="66">
        <f>+'II-D-1'!P87</f>
        <v>0</v>
      </c>
      <c r="L48" s="66">
        <f>+'II-D-1'!Q87</f>
        <v>0</v>
      </c>
      <c r="M48" s="66">
        <f>+'II-D-1'!R87</f>
        <v>0</v>
      </c>
      <c r="N48" s="66">
        <f>+'II-D-1'!S87</f>
        <v>1143</v>
      </c>
      <c r="O48" s="66">
        <f>+'II-D-1'!T87</f>
        <v>0</v>
      </c>
      <c r="P48" s="66">
        <f>+'II-D-1'!U87</f>
        <v>1143</v>
      </c>
      <c r="Q48" s="66">
        <f>+'II-D-1'!V87</f>
        <v>268</v>
      </c>
      <c r="R48" s="66">
        <f>+'II-D-1'!W87</f>
        <v>232.86</v>
      </c>
      <c r="S48" s="14">
        <f t="shared" si="2"/>
        <v>1643.8600000000001</v>
      </c>
      <c r="T48" s="108" t="b">
        <f t="shared" si="0"/>
        <v>1</v>
      </c>
      <c r="U48" s="297">
        <f t="shared" si="1"/>
        <v>0</v>
      </c>
    </row>
    <row r="49" spans="1:21">
      <c r="A49" s="4" t="s">
        <v>267</v>
      </c>
      <c r="B49" s="60" t="s">
        <v>260</v>
      </c>
      <c r="D49" s="354">
        <f>ROUND(+'II-D-1'!E93,2)</f>
        <v>0</v>
      </c>
      <c r="E49" s="66">
        <f>+'II-D-1'!F93</f>
        <v>0</v>
      </c>
      <c r="F49" s="66">
        <f>+'II-D-1'!G93</f>
        <v>0</v>
      </c>
      <c r="G49" s="66">
        <f>+'II-D-1'!H93</f>
        <v>0</v>
      </c>
      <c r="H49" s="66">
        <f>+'II-D-1'!I93</f>
        <v>0</v>
      </c>
      <c r="I49" s="66">
        <f>+'II-D-1'!J93</f>
        <v>0</v>
      </c>
      <c r="J49" s="66">
        <f>+'II-D-1'!O93</f>
        <v>0</v>
      </c>
      <c r="K49" s="66">
        <f>+'II-D-1'!P93</f>
        <v>0</v>
      </c>
      <c r="L49" s="66">
        <f>+'II-D-1'!Q93</f>
        <v>0</v>
      </c>
      <c r="M49" s="66">
        <f>+'II-D-1'!R93</f>
        <v>0</v>
      </c>
      <c r="N49" s="66">
        <f>+'II-D-1'!S93</f>
        <v>0</v>
      </c>
      <c r="O49" s="66">
        <f>+'II-D-1'!T93</f>
        <v>0</v>
      </c>
      <c r="P49" s="66">
        <f>+'II-D-1'!U93</f>
        <v>0</v>
      </c>
      <c r="Q49" s="66">
        <f>+'II-D-1'!V93</f>
        <v>0</v>
      </c>
      <c r="R49" s="66">
        <f>+'II-D-1'!W93</f>
        <v>0</v>
      </c>
      <c r="S49" s="14">
        <f t="shared" si="2"/>
        <v>0</v>
      </c>
      <c r="T49" s="108" t="b">
        <f t="shared" si="0"/>
        <v>1</v>
      </c>
      <c r="U49" s="297">
        <f t="shared" si="1"/>
        <v>0</v>
      </c>
    </row>
    <row r="50" spans="1:21">
      <c r="A50" s="4" t="s">
        <v>285</v>
      </c>
      <c r="B50" s="60" t="s">
        <v>333</v>
      </c>
      <c r="D50" s="66">
        <f>ROUND(+'II-D-1'!E94,2)</f>
        <v>0</v>
      </c>
      <c r="E50" s="66">
        <f>+'II-D-1'!F94</f>
        <v>0</v>
      </c>
      <c r="F50" s="66">
        <f>+'II-D-1'!G94</f>
        <v>0</v>
      </c>
      <c r="G50" s="66">
        <f>+'II-D-1'!H94</f>
        <v>0</v>
      </c>
      <c r="H50" s="66">
        <f>+'II-D-1'!I94</f>
        <v>0</v>
      </c>
      <c r="I50" s="66">
        <f>+'II-D-1'!J94</f>
        <v>0</v>
      </c>
      <c r="J50" s="66">
        <f>+'II-D-1'!O94</f>
        <v>0</v>
      </c>
      <c r="K50" s="66">
        <f>+'II-D-1'!P94</f>
        <v>0</v>
      </c>
      <c r="L50" s="66">
        <f>+'II-D-1'!Q94</f>
        <v>0</v>
      </c>
      <c r="M50" s="66">
        <f>+'II-D-1'!R94</f>
        <v>0</v>
      </c>
      <c r="N50" s="66">
        <f>+'II-D-1'!S94</f>
        <v>0</v>
      </c>
      <c r="O50" s="66">
        <f>+'II-D-1'!T94</f>
        <v>0</v>
      </c>
      <c r="P50" s="66">
        <f>+'II-D-1'!U94</f>
        <v>0</v>
      </c>
      <c r="Q50" s="66">
        <f>+'II-D-1'!V94</f>
        <v>0</v>
      </c>
      <c r="R50" s="66">
        <f>+'II-D-1'!W94</f>
        <v>0</v>
      </c>
      <c r="S50" s="14">
        <f t="shared" si="2"/>
        <v>0</v>
      </c>
      <c r="T50" s="108" t="b">
        <f t="shared" si="0"/>
        <v>1</v>
      </c>
      <c r="U50" s="297">
        <f t="shared" si="1"/>
        <v>0</v>
      </c>
    </row>
    <row r="51" spans="1:21">
      <c r="A51" s="4" t="s">
        <v>286</v>
      </c>
      <c r="B51" s="60" t="s">
        <v>334</v>
      </c>
      <c r="D51" s="66">
        <f>ROUND(+'II-D-1'!E95,2)</f>
        <v>0</v>
      </c>
      <c r="E51" s="66">
        <f>+'II-D-1'!F95</f>
        <v>0</v>
      </c>
      <c r="F51" s="66">
        <f>+'II-D-1'!G95</f>
        <v>0</v>
      </c>
      <c r="G51" s="66">
        <f>+'II-D-1'!H95</f>
        <v>0</v>
      </c>
      <c r="H51" s="66">
        <f>+'II-D-1'!I95</f>
        <v>0</v>
      </c>
      <c r="I51" s="66">
        <f>+'II-D-1'!J95</f>
        <v>0</v>
      </c>
      <c r="J51" s="66">
        <f>+'II-D-1'!O95</f>
        <v>0</v>
      </c>
      <c r="K51" s="66">
        <f>+'II-D-1'!P95</f>
        <v>0</v>
      </c>
      <c r="L51" s="66">
        <f>+'II-D-1'!Q95</f>
        <v>0</v>
      </c>
      <c r="M51" s="66">
        <f>+'II-D-1'!R95</f>
        <v>0</v>
      </c>
      <c r="N51" s="66">
        <f>+'II-D-1'!S95</f>
        <v>0</v>
      </c>
      <c r="O51" s="66">
        <f>+'II-D-1'!T95</f>
        <v>0</v>
      </c>
      <c r="P51" s="66">
        <f>+'II-D-1'!U95</f>
        <v>0</v>
      </c>
      <c r="Q51" s="66">
        <f>+'II-D-1'!V95</f>
        <v>0</v>
      </c>
      <c r="R51" s="66">
        <f>+'II-D-1'!W95</f>
        <v>0</v>
      </c>
      <c r="S51" s="14">
        <f t="shared" si="2"/>
        <v>0</v>
      </c>
      <c r="T51" s="108" t="b">
        <f t="shared" si="0"/>
        <v>1</v>
      </c>
      <c r="U51" s="297">
        <f t="shared" si="1"/>
        <v>0</v>
      </c>
    </row>
    <row r="52" spans="1:21">
      <c r="A52" s="4" t="s">
        <v>268</v>
      </c>
      <c r="B52" s="60" t="s">
        <v>335</v>
      </c>
      <c r="D52" s="66">
        <f>ROUND(+'II-D-1'!E96,2)</f>
        <v>0</v>
      </c>
      <c r="E52" s="66">
        <f>+'II-D-1'!F96</f>
        <v>0</v>
      </c>
      <c r="F52" s="66">
        <f>+'II-D-1'!G96</f>
        <v>0</v>
      </c>
      <c r="G52" s="66">
        <f>+'II-D-1'!H96</f>
        <v>0</v>
      </c>
      <c r="H52" s="66">
        <f>+'II-D-1'!I96</f>
        <v>0</v>
      </c>
      <c r="I52" s="66">
        <f>+'II-D-1'!J96</f>
        <v>0</v>
      </c>
      <c r="J52" s="66">
        <f>+'II-D-1'!O96</f>
        <v>0</v>
      </c>
      <c r="K52" s="66">
        <f>+'II-D-1'!P96</f>
        <v>0</v>
      </c>
      <c r="L52" s="66">
        <f>+'II-D-1'!Q96</f>
        <v>0</v>
      </c>
      <c r="M52" s="66">
        <f>+'II-D-1'!R96</f>
        <v>0</v>
      </c>
      <c r="N52" s="66">
        <f>+'II-D-1'!S96</f>
        <v>0</v>
      </c>
      <c r="O52" s="66">
        <f>+'II-D-1'!T96</f>
        <v>0</v>
      </c>
      <c r="P52" s="66">
        <f>+'II-D-1'!U96</f>
        <v>0</v>
      </c>
      <c r="Q52" s="66">
        <f>+'II-D-1'!V96</f>
        <v>0</v>
      </c>
      <c r="R52" s="66">
        <f>+'II-D-1'!W96</f>
        <v>0</v>
      </c>
      <c r="S52" s="14">
        <f t="shared" si="2"/>
        <v>0</v>
      </c>
      <c r="T52" s="108" t="b">
        <f t="shared" si="0"/>
        <v>1</v>
      </c>
      <c r="U52" s="297">
        <f t="shared" si="1"/>
        <v>0</v>
      </c>
    </row>
    <row r="53" spans="1:21">
      <c r="A53" s="4" t="s">
        <v>287</v>
      </c>
      <c r="B53" s="60" t="s">
        <v>336</v>
      </c>
      <c r="D53" s="66">
        <f>ROUND(+'II-D-1'!E97,2)</f>
        <v>0</v>
      </c>
      <c r="E53" s="66">
        <f>+'II-D-1'!F97</f>
        <v>0</v>
      </c>
      <c r="F53" s="66">
        <f>+'II-D-1'!G97</f>
        <v>0</v>
      </c>
      <c r="G53" s="66">
        <f>+'II-D-1'!H97</f>
        <v>0</v>
      </c>
      <c r="H53" s="66">
        <f>+'II-D-1'!I97</f>
        <v>0</v>
      </c>
      <c r="I53" s="66">
        <f>+'II-D-1'!J97</f>
        <v>0</v>
      </c>
      <c r="J53" s="66">
        <f>+'II-D-1'!O97</f>
        <v>0</v>
      </c>
      <c r="K53" s="66">
        <f>+'II-D-1'!P97</f>
        <v>0</v>
      </c>
      <c r="L53" s="66">
        <f>+'II-D-1'!Q97</f>
        <v>0</v>
      </c>
      <c r="M53" s="66">
        <f>+'II-D-1'!R97</f>
        <v>0</v>
      </c>
      <c r="N53" s="66">
        <f>+'II-D-1'!S97</f>
        <v>0</v>
      </c>
      <c r="O53" s="66">
        <f>+'II-D-1'!T97</f>
        <v>0</v>
      </c>
      <c r="P53" s="66">
        <f>+'II-D-1'!U97</f>
        <v>0</v>
      </c>
      <c r="Q53" s="66">
        <f>+'II-D-1'!V97</f>
        <v>0</v>
      </c>
      <c r="R53" s="66">
        <f>+'II-D-1'!W97</f>
        <v>0</v>
      </c>
      <c r="S53" s="14">
        <f t="shared" si="2"/>
        <v>0</v>
      </c>
      <c r="T53" s="108" t="b">
        <f t="shared" si="0"/>
        <v>1</v>
      </c>
      <c r="U53" s="297">
        <f t="shared" si="1"/>
        <v>0</v>
      </c>
    </row>
    <row r="54" spans="1:21">
      <c r="A54" s="4" t="s">
        <v>269</v>
      </c>
      <c r="B54" s="4" t="s">
        <v>337</v>
      </c>
      <c r="D54" s="354">
        <f>ROUND(+'II-D-2'!E17,2)</f>
        <v>133795210.47</v>
      </c>
      <c r="E54" s="66">
        <f>+'II-D-2'!F17</f>
        <v>0</v>
      </c>
      <c r="F54" s="66">
        <f>+'II-D-2'!G17</f>
        <v>0</v>
      </c>
      <c r="G54" s="66">
        <f>+'II-D-2'!H17</f>
        <v>133795210.46999998</v>
      </c>
      <c r="H54" s="66">
        <f>+'II-D-2'!I17</f>
        <v>1395352.1700000002</v>
      </c>
      <c r="I54" s="66">
        <f>+'II-D-2'!J17</f>
        <v>135190562.63999999</v>
      </c>
      <c r="J54" s="66">
        <f>+'II-D-2'!O17</f>
        <v>28160828.239999998</v>
      </c>
      <c r="K54" s="66">
        <f>+'II-D-2'!P17</f>
        <v>0</v>
      </c>
      <c r="L54" s="66">
        <f>+'II-D-2'!Q17</f>
        <v>0</v>
      </c>
      <c r="M54" s="66">
        <f>+'II-D-2'!R17</f>
        <v>28160828.239999998</v>
      </c>
      <c r="N54" s="66">
        <f>+'II-D-2'!S17</f>
        <v>67366206.069999993</v>
      </c>
      <c r="O54" s="66">
        <f>+'II-D-2'!T17</f>
        <v>0</v>
      </c>
      <c r="P54" s="66">
        <f>+'II-D-2'!U17</f>
        <v>67366206.069999993</v>
      </c>
      <c r="Q54" s="66">
        <f>+'II-D-2'!V17</f>
        <v>18757103.199999999</v>
      </c>
      <c r="R54" s="66">
        <f>+'II-D-2'!W17</f>
        <v>20906425.129999999</v>
      </c>
      <c r="S54" s="14">
        <f t="shared" si="2"/>
        <v>135190562.63999999</v>
      </c>
      <c r="T54" s="108" t="b">
        <f t="shared" si="0"/>
        <v>1</v>
      </c>
      <c r="U54" s="297">
        <f t="shared" si="1"/>
        <v>0</v>
      </c>
    </row>
    <row r="55" spans="1:21">
      <c r="A55" s="4" t="s">
        <v>270</v>
      </c>
      <c r="B55" s="4" t="s">
        <v>338</v>
      </c>
      <c r="D55" s="66">
        <f>ROUND(+'II-D-2'!E18,2)</f>
        <v>16585814.07</v>
      </c>
      <c r="E55" s="66">
        <f>+'II-D-2'!F18</f>
        <v>0</v>
      </c>
      <c r="F55" s="66">
        <f>+'II-D-2'!G18</f>
        <v>0</v>
      </c>
      <c r="G55" s="66">
        <f>+'II-D-2'!H18</f>
        <v>16585814.069999997</v>
      </c>
      <c r="H55" s="66">
        <f>+'II-D-2'!I18</f>
        <v>-2351765.3100000005</v>
      </c>
      <c r="I55" s="66">
        <f>+'II-D-2'!J18</f>
        <v>14234048.759999996</v>
      </c>
      <c r="J55" s="66">
        <f>+'II-D-2'!O18</f>
        <v>3697105.77</v>
      </c>
      <c r="K55" s="66">
        <f>+'II-D-2'!P18</f>
        <v>18786.099999999999</v>
      </c>
      <c r="L55" s="66">
        <f>+'II-D-2'!Q18</f>
        <v>0</v>
      </c>
      <c r="M55" s="66">
        <f>+'II-D-2'!R18</f>
        <v>3715891.87</v>
      </c>
      <c r="N55" s="66">
        <f>+'II-D-2'!S18</f>
        <v>7078296.0300000003</v>
      </c>
      <c r="O55" s="66">
        <f>+'II-D-2'!T18</f>
        <v>1161.76</v>
      </c>
      <c r="P55" s="66">
        <f>+'II-D-2'!U18</f>
        <v>7079457.79</v>
      </c>
      <c r="Q55" s="66">
        <f>+'II-D-2'!V18</f>
        <v>1847804.75</v>
      </c>
      <c r="R55" s="66">
        <f>+'II-D-2'!W18</f>
        <v>1590894.35</v>
      </c>
      <c r="S55" s="14">
        <f t="shared" si="2"/>
        <v>14234048.76</v>
      </c>
      <c r="T55" s="108" t="b">
        <f t="shared" si="0"/>
        <v>1</v>
      </c>
      <c r="U55" s="297">
        <f t="shared" si="1"/>
        <v>0</v>
      </c>
    </row>
    <row r="56" spans="1:21">
      <c r="A56" s="4" t="s">
        <v>271</v>
      </c>
      <c r="B56" s="4" t="s">
        <v>339</v>
      </c>
      <c r="D56" s="66">
        <f>ROUND(+'II-D-2'!E19,2)</f>
        <v>0</v>
      </c>
      <c r="E56" s="66">
        <f>+'II-D-2'!F19</f>
        <v>0</v>
      </c>
      <c r="F56" s="66">
        <f>+'II-D-2'!G19</f>
        <v>0</v>
      </c>
      <c r="G56" s="66">
        <f>+'II-D-2'!H19</f>
        <v>0</v>
      </c>
      <c r="H56" s="66">
        <f>+'II-D-2'!I19</f>
        <v>0</v>
      </c>
      <c r="I56" s="66">
        <f>+'II-D-2'!J19</f>
        <v>0</v>
      </c>
      <c r="J56" s="66">
        <f>+'II-D-2'!O19</f>
        <v>0</v>
      </c>
      <c r="K56" s="66">
        <f>+'II-D-2'!P19</f>
        <v>0</v>
      </c>
      <c r="L56" s="66">
        <f>+'II-D-2'!Q19</f>
        <v>0</v>
      </c>
      <c r="M56" s="66">
        <f>+'II-D-2'!R19</f>
        <v>0</v>
      </c>
      <c r="N56" s="66">
        <f>+'II-D-2'!S19</f>
        <v>0</v>
      </c>
      <c r="O56" s="66">
        <f>+'II-D-2'!T19</f>
        <v>0</v>
      </c>
      <c r="P56" s="66">
        <f>+'II-D-2'!U19</f>
        <v>0</v>
      </c>
      <c r="Q56" s="66">
        <f>+'II-D-2'!V19</f>
        <v>0</v>
      </c>
      <c r="R56" s="66">
        <f>+'II-D-2'!W19</f>
        <v>0</v>
      </c>
      <c r="S56" s="14">
        <f t="shared" si="2"/>
        <v>0</v>
      </c>
      <c r="T56" s="108" t="b">
        <f t="shared" si="0"/>
        <v>1</v>
      </c>
      <c r="U56" s="297">
        <f t="shared" si="1"/>
        <v>0</v>
      </c>
    </row>
    <row r="57" spans="1:21">
      <c r="A57" s="4" t="s">
        <v>272</v>
      </c>
      <c r="B57" s="23" t="s">
        <v>340</v>
      </c>
      <c r="D57" s="66">
        <f>ROUND(+'II-D-2'!E20,2)</f>
        <v>130896627.95999999</v>
      </c>
      <c r="E57" s="66">
        <f>+'II-D-2'!F20</f>
        <v>0</v>
      </c>
      <c r="F57" s="66">
        <f>+'II-D-2'!G20</f>
        <v>0</v>
      </c>
      <c r="G57" s="66">
        <f>+'II-D-2'!H20</f>
        <v>130896627.95999995</v>
      </c>
      <c r="H57" s="66">
        <f>+'II-D-2'!I20</f>
        <v>6993077.2299999995</v>
      </c>
      <c r="I57" s="66">
        <f>+'II-D-2'!J20</f>
        <v>137889705.18999994</v>
      </c>
      <c r="J57" s="66">
        <f>+'II-D-2'!O20</f>
        <v>32036965.960000001</v>
      </c>
      <c r="K57" s="66">
        <f>+'II-D-2'!P20</f>
        <v>1640400.42</v>
      </c>
      <c r="L57" s="66">
        <f>+'II-D-2'!Q20</f>
        <v>0</v>
      </c>
      <c r="M57" s="66">
        <f>+'II-D-2'!R20</f>
        <v>33677366.380000003</v>
      </c>
      <c r="N57" s="66">
        <f>+'II-D-2'!S20</f>
        <v>88216475.980000004</v>
      </c>
      <c r="O57" s="66">
        <f>+'II-D-2'!T20</f>
        <v>163611.25</v>
      </c>
      <c r="P57" s="66">
        <f>+'II-D-2'!U20</f>
        <v>88380087.230000004</v>
      </c>
      <c r="Q57" s="66">
        <f>+'II-D-2'!V20</f>
        <v>9942399.8599999994</v>
      </c>
      <c r="R57" s="66">
        <f>+'II-D-2'!W20</f>
        <v>5889851.7199999997</v>
      </c>
      <c r="S57" s="14">
        <f t="shared" si="2"/>
        <v>137889705.19000003</v>
      </c>
      <c r="T57" s="108" t="b">
        <f t="shared" si="0"/>
        <v>1</v>
      </c>
      <c r="U57" s="297">
        <f t="shared" si="1"/>
        <v>0</v>
      </c>
    </row>
    <row r="58" spans="1:21">
      <c r="A58" s="4" t="s">
        <v>273</v>
      </c>
      <c r="B58" s="4" t="s">
        <v>341</v>
      </c>
      <c r="D58" s="66">
        <f>ROUND(+'II-D-2'!E21,2)</f>
        <v>242627938.78999999</v>
      </c>
      <c r="E58" s="66">
        <f>+'II-D-2'!F21</f>
        <v>0</v>
      </c>
      <c r="F58" s="66">
        <f>+'II-D-2'!G21</f>
        <v>0</v>
      </c>
      <c r="G58" s="66">
        <f>+'II-D-2'!H21</f>
        <v>242627938.78999999</v>
      </c>
      <c r="H58" s="66">
        <f>+'II-D-2'!I21</f>
        <v>370231108.33999997</v>
      </c>
      <c r="I58" s="66">
        <f>+'II-D-2'!J21</f>
        <v>612859047.13</v>
      </c>
      <c r="J58" s="66">
        <f>+'II-D-2'!O21</f>
        <v>29964915.23</v>
      </c>
      <c r="K58" s="66">
        <f>+'II-D-2'!P21</f>
        <v>1429179.76</v>
      </c>
      <c r="L58" s="66">
        <f>+'II-D-2'!Q21</f>
        <v>0</v>
      </c>
      <c r="M58" s="66">
        <f>+'II-D-2'!R21</f>
        <v>31394094.990000002</v>
      </c>
      <c r="N58" s="66">
        <f>+'II-D-2'!S21</f>
        <v>581464952.13999999</v>
      </c>
      <c r="O58" s="66">
        <f>+'II-D-2'!T21</f>
        <v>0</v>
      </c>
      <c r="P58" s="66">
        <f>+'II-D-2'!U21</f>
        <v>581464952.13999999</v>
      </c>
      <c r="Q58" s="66">
        <f>+'II-D-2'!V21</f>
        <v>0</v>
      </c>
      <c r="R58" s="66">
        <f>+'II-D-2'!W21</f>
        <v>0</v>
      </c>
      <c r="S58" s="14">
        <f t="shared" si="2"/>
        <v>612859047.13</v>
      </c>
      <c r="T58" s="108" t="b">
        <f t="shared" si="0"/>
        <v>1</v>
      </c>
      <c r="U58" s="297">
        <f t="shared" si="1"/>
        <v>0</v>
      </c>
    </row>
    <row r="59" spans="1:21">
      <c r="A59" s="4" t="s">
        <v>274</v>
      </c>
      <c r="B59" s="4" t="s">
        <v>160</v>
      </c>
      <c r="D59" s="66">
        <f>ROUND(+'II-D-2'!E22,2)</f>
        <v>55785739.399999999</v>
      </c>
      <c r="E59" s="66">
        <f>+'II-D-2'!F22</f>
        <v>0</v>
      </c>
      <c r="F59" s="66">
        <f>+'II-D-2'!G22</f>
        <v>0</v>
      </c>
      <c r="G59" s="66">
        <f>+'II-D-2'!H22</f>
        <v>55785739.399999999</v>
      </c>
      <c r="H59" s="66">
        <f>+'II-D-2'!I22</f>
        <v>29460489.599999998</v>
      </c>
      <c r="I59" s="66">
        <f>+'II-D-2'!J22</f>
        <v>85246229</v>
      </c>
      <c r="J59" s="66">
        <f>+'II-D-2'!O22</f>
        <v>25394121.420000002</v>
      </c>
      <c r="K59" s="66">
        <f>+'II-D-2'!P22</f>
        <v>0</v>
      </c>
      <c r="L59" s="66">
        <f>+'II-D-2'!Q22</f>
        <v>0</v>
      </c>
      <c r="M59" s="66">
        <f>+'II-D-2'!R22</f>
        <v>25394121.420000002</v>
      </c>
      <c r="N59" s="66">
        <f>+'II-D-2'!S22</f>
        <v>59852107.579999998</v>
      </c>
      <c r="O59" s="66">
        <f>+'II-D-2'!T22</f>
        <v>0</v>
      </c>
      <c r="P59" s="66">
        <f>+'II-D-2'!U22</f>
        <v>59852107.579999998</v>
      </c>
      <c r="Q59" s="66">
        <f>+'II-D-2'!V22</f>
        <v>0</v>
      </c>
      <c r="R59" s="66">
        <f>+'II-D-2'!W22</f>
        <v>0</v>
      </c>
      <c r="S59" s="14">
        <f t="shared" si="2"/>
        <v>85246229</v>
      </c>
      <c r="T59" s="108" t="b">
        <f t="shared" si="0"/>
        <v>1</v>
      </c>
      <c r="U59" s="297">
        <f t="shared" si="1"/>
        <v>0</v>
      </c>
    </row>
    <row r="60" spans="1:21">
      <c r="A60" s="4" t="s">
        <v>275</v>
      </c>
      <c r="B60" s="4" t="s">
        <v>28</v>
      </c>
      <c r="D60" s="66">
        <f>ROUND(+'II-D-2'!E23,2)</f>
        <v>92481916.810000002</v>
      </c>
      <c r="E60" s="66">
        <f>+'II-D-2'!F23</f>
        <v>0</v>
      </c>
      <c r="F60" s="66">
        <f>+'II-D-2'!G23</f>
        <v>0</v>
      </c>
      <c r="G60" s="66">
        <f>+'II-D-2'!H23</f>
        <v>92481916.810000032</v>
      </c>
      <c r="H60" s="66">
        <f>+'II-D-2'!I23</f>
        <v>-11606145.93</v>
      </c>
      <c r="I60" s="66">
        <f>+'II-D-2'!J23</f>
        <v>80875770.880000025</v>
      </c>
      <c r="J60" s="66">
        <f>+'II-D-2'!O23</f>
        <v>17829400.59</v>
      </c>
      <c r="K60" s="66">
        <f>+'II-D-2'!P23</f>
        <v>0</v>
      </c>
      <c r="L60" s="66">
        <f>+'II-D-2'!Q23</f>
        <v>0</v>
      </c>
      <c r="M60" s="66">
        <f>+'II-D-2'!R23</f>
        <v>17829400.59</v>
      </c>
      <c r="N60" s="66">
        <f>+'II-D-2'!S23</f>
        <v>41617959.450000018</v>
      </c>
      <c r="O60" s="66">
        <f>+'II-D-2'!T23</f>
        <v>0</v>
      </c>
      <c r="P60" s="66">
        <f>+'II-D-2'!U23</f>
        <v>41617959.450000018</v>
      </c>
      <c r="Q60" s="66">
        <f>+'II-D-2'!V23</f>
        <v>15432223.109999999</v>
      </c>
      <c r="R60" s="66">
        <f>+'II-D-2'!W23</f>
        <v>5996187.7300000004</v>
      </c>
      <c r="S60" s="14">
        <f t="shared" si="2"/>
        <v>80875770.880000025</v>
      </c>
      <c r="T60" s="108" t="b">
        <f t="shared" si="0"/>
        <v>1</v>
      </c>
      <c r="U60" s="297">
        <f t="shared" si="1"/>
        <v>0</v>
      </c>
    </row>
    <row r="61" spans="1:21">
      <c r="A61" s="4" t="s">
        <v>276</v>
      </c>
      <c r="B61" s="4" t="s">
        <v>127</v>
      </c>
      <c r="D61" s="66">
        <f>ROUND(+'II-D-2'!E24,2)</f>
        <v>6685777.5700000003</v>
      </c>
      <c r="E61" s="66">
        <f>+'II-D-2'!F24</f>
        <v>0</v>
      </c>
      <c r="F61" s="66">
        <f>+'II-D-2'!G24</f>
        <v>0</v>
      </c>
      <c r="G61" s="66">
        <f>+'II-D-2'!H24</f>
        <v>6685777.5699999994</v>
      </c>
      <c r="H61" s="66">
        <f>+'II-D-2'!I24</f>
        <v>-4561010.7799999993</v>
      </c>
      <c r="I61" s="66">
        <f>+'II-D-2'!J24</f>
        <v>2124766.79</v>
      </c>
      <c r="J61" s="66">
        <f>+'II-D-2'!O24</f>
        <v>0</v>
      </c>
      <c r="K61" s="66">
        <f>+'II-D-2'!P24</f>
        <v>209845.6</v>
      </c>
      <c r="L61" s="66">
        <f>+'II-D-2'!Q24</f>
        <v>0</v>
      </c>
      <c r="M61" s="66">
        <f>+'II-D-2'!R24</f>
        <v>209845.6</v>
      </c>
      <c r="N61" s="66">
        <f>+'II-D-2'!S24</f>
        <v>1604197.31</v>
      </c>
      <c r="O61" s="66">
        <f>+'II-D-2'!T24</f>
        <v>310723.88</v>
      </c>
      <c r="P61" s="66">
        <f>+'II-D-2'!U24</f>
        <v>1914921.19</v>
      </c>
      <c r="Q61" s="66">
        <f>+'II-D-2'!V24</f>
        <v>0</v>
      </c>
      <c r="R61" s="66">
        <f>+'II-D-2'!W24</f>
        <v>0</v>
      </c>
      <c r="S61" s="14">
        <f t="shared" si="2"/>
        <v>2124766.79</v>
      </c>
      <c r="T61" s="108" t="b">
        <f t="shared" si="0"/>
        <v>1</v>
      </c>
      <c r="U61" s="297">
        <f t="shared" si="1"/>
        <v>0</v>
      </c>
    </row>
    <row r="62" spans="1:21">
      <c r="A62" s="30" t="s">
        <v>289</v>
      </c>
      <c r="B62" s="4" t="s">
        <v>29</v>
      </c>
      <c r="D62" s="66">
        <f>ROUND(+'II-D-2'!E25,2)</f>
        <v>789677.29</v>
      </c>
      <c r="E62" s="66">
        <f>+'II-D-2'!F25</f>
        <v>0</v>
      </c>
      <c r="F62" s="66">
        <f>+'II-D-2'!G25</f>
        <v>0</v>
      </c>
      <c r="G62" s="66">
        <f>+'II-D-2'!H25</f>
        <v>789677.28999999992</v>
      </c>
      <c r="H62" s="66">
        <f>+'II-D-2'!I25</f>
        <v>-20015</v>
      </c>
      <c r="I62" s="66">
        <f>+'II-D-2'!J25</f>
        <v>769662.28999999992</v>
      </c>
      <c r="J62" s="66">
        <f>+'II-D-2'!O25</f>
        <v>56149.42</v>
      </c>
      <c r="K62" s="66">
        <f>+'II-D-2'!P25</f>
        <v>0</v>
      </c>
      <c r="L62" s="66">
        <f>+'II-D-2'!Q25</f>
        <v>0</v>
      </c>
      <c r="M62" s="66">
        <f>+'II-D-2'!R25</f>
        <v>56149.42</v>
      </c>
      <c r="N62" s="66">
        <f>+'II-D-2'!S25</f>
        <v>160617.35</v>
      </c>
      <c r="O62" s="66">
        <f>+'II-D-2'!T25</f>
        <v>0</v>
      </c>
      <c r="P62" s="66">
        <f>+'II-D-2'!U25</f>
        <v>160617.35</v>
      </c>
      <c r="Q62" s="66">
        <f>+'II-D-2'!V25</f>
        <v>41937.22</v>
      </c>
      <c r="R62" s="66">
        <f>+'II-D-2'!W25</f>
        <v>510958.3</v>
      </c>
      <c r="S62" s="14">
        <f t="shared" si="2"/>
        <v>769662.29</v>
      </c>
      <c r="T62" s="108" t="b">
        <f t="shared" si="0"/>
        <v>1</v>
      </c>
      <c r="U62" s="297">
        <f t="shared" si="1"/>
        <v>0</v>
      </c>
    </row>
    <row r="63" spans="1:21">
      <c r="A63" s="30" t="s">
        <v>288</v>
      </c>
      <c r="B63" s="4" t="s">
        <v>153</v>
      </c>
      <c r="D63" s="66">
        <f>ROUND(+'II-D-2'!E26,2)</f>
        <v>17845950.600000001</v>
      </c>
      <c r="E63" s="66">
        <f>+'II-D-2'!F26</f>
        <v>0</v>
      </c>
      <c r="F63" s="66">
        <f>+'II-D-2'!G26</f>
        <v>0</v>
      </c>
      <c r="G63" s="66">
        <f>+'II-D-2'!H26</f>
        <v>17845950.600000005</v>
      </c>
      <c r="H63" s="66">
        <f>+'II-D-2'!I26</f>
        <v>5455993.7299999995</v>
      </c>
      <c r="I63" s="66">
        <f>+'II-D-2'!J26</f>
        <v>23301944.330000006</v>
      </c>
      <c r="J63" s="66">
        <f>+'II-D-2'!O26</f>
        <v>3198777.83</v>
      </c>
      <c r="K63" s="66">
        <f>+'II-D-2'!P26</f>
        <v>46.86</v>
      </c>
      <c r="L63" s="66">
        <f>+'II-D-2'!Q26</f>
        <v>0</v>
      </c>
      <c r="M63" s="66">
        <f>+'II-D-2'!R26</f>
        <v>3198824.69</v>
      </c>
      <c r="N63" s="66">
        <f>+'II-D-2'!S26</f>
        <v>12042134.73</v>
      </c>
      <c r="O63" s="66">
        <f>+'II-D-2'!T26</f>
        <v>3.06</v>
      </c>
      <c r="P63" s="66">
        <f>+'II-D-2'!U26</f>
        <v>12042137.790000001</v>
      </c>
      <c r="Q63" s="66">
        <f>+'II-D-2'!V26</f>
        <v>2248815.19</v>
      </c>
      <c r="R63" s="66">
        <f>+'II-D-2'!W26</f>
        <v>5812166.6600000001</v>
      </c>
      <c r="S63" s="14">
        <f t="shared" si="2"/>
        <v>23301944.330000002</v>
      </c>
      <c r="T63" s="108" t="b">
        <f t="shared" si="0"/>
        <v>1</v>
      </c>
      <c r="U63" s="297">
        <f t="shared" si="1"/>
        <v>0</v>
      </c>
    </row>
    <row r="64" spans="1:21">
      <c r="A64" s="4" t="s">
        <v>277</v>
      </c>
      <c r="B64" s="4" t="s">
        <v>227</v>
      </c>
      <c r="D64" s="66">
        <f>ROUND(+'II-D-2'!E27,2)</f>
        <v>2064862.55</v>
      </c>
      <c r="E64" s="66">
        <f>+'II-D-2'!F27</f>
        <v>0</v>
      </c>
      <c r="F64" s="66">
        <f>+'II-D-2'!G27</f>
        <v>0</v>
      </c>
      <c r="G64" s="66">
        <f>+'II-D-2'!H27</f>
        <v>2064862.55</v>
      </c>
      <c r="H64" s="66">
        <f>+'II-D-2'!I27</f>
        <v>0</v>
      </c>
      <c r="I64" s="66">
        <f>+'II-D-2'!J27</f>
        <v>2064862.55</v>
      </c>
      <c r="J64" s="66">
        <f>+'II-D-2'!O27</f>
        <v>509393.42</v>
      </c>
      <c r="K64" s="66">
        <f>+'II-D-2'!P27</f>
        <v>0</v>
      </c>
      <c r="L64" s="66">
        <f>+'II-D-2'!Q27</f>
        <v>0</v>
      </c>
      <c r="M64" s="66">
        <f>+'II-D-2'!R27</f>
        <v>509393.42</v>
      </c>
      <c r="N64" s="66">
        <f>+'II-D-2'!S27</f>
        <v>1126885.27</v>
      </c>
      <c r="O64" s="66">
        <f>+'II-D-2'!T27</f>
        <v>0</v>
      </c>
      <c r="P64" s="66">
        <f>+'II-D-2'!U27</f>
        <v>1126885.27</v>
      </c>
      <c r="Q64" s="66">
        <f>+'II-D-2'!V27</f>
        <v>305921.09000000003</v>
      </c>
      <c r="R64" s="66">
        <f>+'II-D-2'!W27</f>
        <v>122662.77</v>
      </c>
      <c r="S64" s="14">
        <f t="shared" si="2"/>
        <v>2064862.55</v>
      </c>
      <c r="T64" s="108" t="b">
        <f t="shared" si="0"/>
        <v>1</v>
      </c>
      <c r="U64" s="297">
        <f t="shared" si="1"/>
        <v>0</v>
      </c>
    </row>
    <row r="65" spans="1:25">
      <c r="A65" s="4" t="s">
        <v>278</v>
      </c>
      <c r="B65" s="4" t="s">
        <v>154</v>
      </c>
      <c r="D65" s="66">
        <f>ROUND(+'II-D-2'!E28,2)</f>
        <v>117645.4</v>
      </c>
      <c r="E65" s="66">
        <f>+'II-D-2'!F29</f>
        <v>0</v>
      </c>
      <c r="F65" s="66">
        <f>+'II-D-2'!G29</f>
        <v>0</v>
      </c>
      <c r="G65" s="66">
        <f>+'II-D-2'!H29</f>
        <v>4366896.9400000004</v>
      </c>
      <c r="H65" s="66">
        <f>+'II-D-2'!I29</f>
        <v>3309088.41</v>
      </c>
      <c r="I65" s="66">
        <f>+'II-D-2'!J29</f>
        <v>7675985.3500000006</v>
      </c>
      <c r="J65" s="66">
        <f>+'II-D-2'!O29</f>
        <v>5484405.0999999996</v>
      </c>
      <c r="K65" s="66">
        <f>+'II-D-2'!P29</f>
        <v>63397.05</v>
      </c>
      <c r="L65" s="66">
        <f>+'II-D-2'!Q29</f>
        <v>0</v>
      </c>
      <c r="M65" s="66">
        <f>+'II-D-2'!R29</f>
        <v>5547802.1499999994</v>
      </c>
      <c r="N65" s="66">
        <f>+'II-D-2'!S29</f>
        <v>1645283.27</v>
      </c>
      <c r="O65" s="66">
        <f>+'II-D-2'!T29</f>
        <v>0</v>
      </c>
      <c r="P65" s="66">
        <f>+'II-D-2'!U29</f>
        <v>1645283.27</v>
      </c>
      <c r="Q65" s="66">
        <f>+'II-D-2'!V29</f>
        <v>464165.05</v>
      </c>
      <c r="R65" s="66">
        <f>+'II-D-2'!W29</f>
        <v>18734.88</v>
      </c>
      <c r="S65" s="14">
        <f t="shared" si="2"/>
        <v>7675985.3499999996</v>
      </c>
      <c r="T65" s="108" t="b">
        <f t="shared" si="0"/>
        <v>1</v>
      </c>
      <c r="U65" s="297">
        <f t="shared" si="1"/>
        <v>0</v>
      </c>
    </row>
    <row r="66" spans="1:25" s="166" customFormat="1">
      <c r="A66" s="165" t="s">
        <v>26</v>
      </c>
      <c r="B66" s="165" t="s">
        <v>154</v>
      </c>
      <c r="D66" s="167">
        <f>ROUND(+'II-D-2'!E28,2)</f>
        <v>117645.4</v>
      </c>
      <c r="E66" s="167">
        <f>+'II-D-2'!F28</f>
        <v>0</v>
      </c>
      <c r="F66" s="167">
        <f>+'II-D-2'!G28</f>
        <v>0</v>
      </c>
      <c r="G66" s="167">
        <f>+'II-D-2'!H28</f>
        <v>117645.40000000002</v>
      </c>
      <c r="H66" s="167">
        <f>+'II-D-2'!I28</f>
        <v>0</v>
      </c>
      <c r="I66" s="167">
        <f>+'II-D-2'!J28</f>
        <v>117645.40000000002</v>
      </c>
      <c r="J66" s="167">
        <f>+'II-D-2'!O28</f>
        <v>21214.02</v>
      </c>
      <c r="K66" s="167">
        <f>+'II-D-2'!P28</f>
        <v>0</v>
      </c>
      <c r="L66" s="167">
        <f>+'II-D-2'!Q28</f>
        <v>0</v>
      </c>
      <c r="M66" s="167">
        <f>+'II-D-2'!R28</f>
        <v>21214.02</v>
      </c>
      <c r="N66" s="167">
        <f>+'II-D-2'!S28</f>
        <v>78960.899999999994</v>
      </c>
      <c r="O66" s="167">
        <f>+'II-D-2'!T28</f>
        <v>0</v>
      </c>
      <c r="P66" s="167">
        <f>+'II-D-2'!U28</f>
        <v>78960.899999999994</v>
      </c>
      <c r="Q66" s="167">
        <f>+'II-D-2'!V28</f>
        <v>15820.32</v>
      </c>
      <c r="R66" s="167">
        <f>+'II-D-2'!W28</f>
        <v>1650.16</v>
      </c>
      <c r="S66" s="168">
        <f t="shared" si="2"/>
        <v>117645.4</v>
      </c>
      <c r="T66" s="108" t="b">
        <f t="shared" si="0"/>
        <v>1</v>
      </c>
      <c r="U66" s="297">
        <f t="shared" si="1"/>
        <v>0</v>
      </c>
    </row>
    <row r="67" spans="1:25" ht="18">
      <c r="A67" s="370" t="s">
        <v>307</v>
      </c>
      <c r="B67" s="370"/>
      <c r="C67" s="370"/>
      <c r="D67" s="370"/>
      <c r="E67" s="370"/>
      <c r="F67" s="370"/>
      <c r="G67" s="370"/>
      <c r="H67" s="370"/>
      <c r="I67" s="370"/>
      <c r="J67" s="370"/>
      <c r="K67" s="370"/>
      <c r="L67" s="370"/>
      <c r="M67" s="370"/>
      <c r="N67" s="370"/>
      <c r="O67" s="370"/>
      <c r="P67" s="370"/>
      <c r="Q67" s="370"/>
      <c r="R67" s="370"/>
      <c r="S67" s="370"/>
    </row>
    <row r="68" spans="1:25">
      <c r="T68" s="106" t="s">
        <v>201</v>
      </c>
      <c r="U68" s="106"/>
      <c r="V68" s="106"/>
      <c r="W68" s="106"/>
      <c r="X68" s="106"/>
      <c r="Y68" s="106"/>
    </row>
    <row r="69" spans="1:25">
      <c r="B69" s="5" t="s">
        <v>308</v>
      </c>
      <c r="D69" s="108">
        <f t="shared" ref="D69:J69" si="3">SUM(D6:D13)</f>
        <v>2070892194.1200001</v>
      </c>
      <c r="E69" s="108">
        <f t="shared" si="3"/>
        <v>0</v>
      </c>
      <c r="F69" s="108">
        <f t="shared" si="3"/>
        <v>0</v>
      </c>
      <c r="G69" s="108">
        <f t="shared" si="3"/>
        <v>2070892194.1200001</v>
      </c>
      <c r="H69" s="108">
        <f t="shared" si="3"/>
        <v>142626243.8000001</v>
      </c>
      <c r="I69" s="108">
        <f t="shared" si="3"/>
        <v>2213518437.9200001</v>
      </c>
      <c r="J69" s="108">
        <f t="shared" si="3"/>
        <v>108179150.39</v>
      </c>
      <c r="K69" s="108">
        <f t="shared" ref="K69:O69" si="4">SUM(K6:K13)</f>
        <v>3179684.28</v>
      </c>
      <c r="L69" s="108">
        <f t="shared" si="4"/>
        <v>475836.37</v>
      </c>
      <c r="M69" s="108">
        <f t="shared" si="4"/>
        <v>111834671.03999999</v>
      </c>
      <c r="N69" s="108">
        <f t="shared" si="4"/>
        <v>2101684682.04</v>
      </c>
      <c r="O69" s="108">
        <f t="shared" si="4"/>
        <v>-9925.18</v>
      </c>
      <c r="P69" s="108">
        <f t="shared" ref="P69:R69" si="5">SUM(P6:P13)</f>
        <v>2101674756.8600001</v>
      </c>
      <c r="Q69" s="108">
        <f t="shared" si="5"/>
        <v>9010.02</v>
      </c>
      <c r="R69" s="108">
        <f t="shared" si="5"/>
        <v>0</v>
      </c>
      <c r="S69" s="108">
        <f>+M69+P69+Q69+R69</f>
        <v>2213518437.9200001</v>
      </c>
      <c r="T69" s="108" t="b">
        <f>+S69=I69</f>
        <v>1</v>
      </c>
      <c r="U69" s="297">
        <f>+S69-R69-Q69-P69-M69</f>
        <v>0</v>
      </c>
    </row>
    <row r="70" spans="1:25">
      <c r="B70" s="5" t="s">
        <v>193</v>
      </c>
      <c r="D70" s="108">
        <f t="shared" ref="D70:J70" si="6">SUM(D14:D19)</f>
        <v>28781722.330000002</v>
      </c>
      <c r="E70" s="108">
        <f t="shared" si="6"/>
        <v>0</v>
      </c>
      <c r="F70" s="108">
        <f t="shared" si="6"/>
        <v>0</v>
      </c>
      <c r="G70" s="108">
        <f t="shared" si="6"/>
        <v>28781722.330000028</v>
      </c>
      <c r="H70" s="108">
        <f t="shared" si="6"/>
        <v>0</v>
      </c>
      <c r="I70" s="108">
        <f t="shared" si="6"/>
        <v>28781722.330000028</v>
      </c>
      <c r="J70" s="108">
        <f t="shared" si="6"/>
        <v>26320196.43</v>
      </c>
      <c r="K70" s="108">
        <f t="shared" ref="K70:O70" si="7">SUM(K14:K19)</f>
        <v>2161712</v>
      </c>
      <c r="L70" s="108">
        <f t="shared" si="7"/>
        <v>0</v>
      </c>
      <c r="M70" s="108">
        <f t="shared" si="7"/>
        <v>28481908.43</v>
      </c>
      <c r="N70" s="108">
        <f t="shared" si="7"/>
        <v>295585.91999999998</v>
      </c>
      <c r="O70" s="108">
        <f t="shared" si="7"/>
        <v>4227.9799999999996</v>
      </c>
      <c r="P70" s="108">
        <f t="shared" ref="P70:R70" si="8">SUM(P14:P19)</f>
        <v>299813.90000000002</v>
      </c>
      <c r="Q70" s="108">
        <f t="shared" si="8"/>
        <v>0</v>
      </c>
      <c r="R70" s="108">
        <f t="shared" si="8"/>
        <v>0</v>
      </c>
      <c r="S70" s="108">
        <f t="shared" ref="S70:S80" si="9">+M70+P70+Q70+R70</f>
        <v>28781722.329999998</v>
      </c>
      <c r="T70" s="108" t="b">
        <f t="shared" ref="T70:T80" si="10">+S70=I70</f>
        <v>1</v>
      </c>
      <c r="U70" s="297">
        <f t="shared" ref="U70:U80" si="11">+S70-R70-Q70-P70-M70</f>
        <v>0</v>
      </c>
    </row>
    <row r="71" spans="1:25">
      <c r="B71" s="5" t="s">
        <v>194</v>
      </c>
      <c r="D71" s="108">
        <f>SUM(D69:D70)</f>
        <v>2099673916.45</v>
      </c>
      <c r="E71" s="108">
        <f t="shared" ref="E71:R71" si="12">SUM(E69:E70)</f>
        <v>0</v>
      </c>
      <c r="F71" s="108">
        <f t="shared" si="12"/>
        <v>0</v>
      </c>
      <c r="G71" s="108">
        <f t="shared" si="12"/>
        <v>2099673916.45</v>
      </c>
      <c r="H71" s="108">
        <f t="shared" si="12"/>
        <v>142626243.8000001</v>
      </c>
      <c r="I71" s="108">
        <f t="shared" si="12"/>
        <v>2242300160.25</v>
      </c>
      <c r="J71" s="108">
        <f t="shared" si="12"/>
        <v>134499346.81999999</v>
      </c>
      <c r="K71" s="108">
        <f t="shared" si="12"/>
        <v>5341396.2799999993</v>
      </c>
      <c r="L71" s="108">
        <f t="shared" si="12"/>
        <v>475836.37</v>
      </c>
      <c r="M71" s="108">
        <f t="shared" si="12"/>
        <v>140316579.47</v>
      </c>
      <c r="N71" s="108">
        <f t="shared" si="12"/>
        <v>2101980267.96</v>
      </c>
      <c r="O71" s="108">
        <f t="shared" si="12"/>
        <v>-5697.2000000000007</v>
      </c>
      <c r="P71" s="108">
        <f t="shared" si="12"/>
        <v>2101974570.7600002</v>
      </c>
      <c r="Q71" s="108">
        <f t="shared" si="12"/>
        <v>9010.02</v>
      </c>
      <c r="R71" s="108">
        <f t="shared" si="12"/>
        <v>0</v>
      </c>
      <c r="S71" s="108">
        <f t="shared" si="9"/>
        <v>2242300160.25</v>
      </c>
      <c r="T71" s="108" t="b">
        <f t="shared" si="10"/>
        <v>1</v>
      </c>
      <c r="U71" s="297">
        <f t="shared" si="11"/>
        <v>0</v>
      </c>
    </row>
    <row r="72" spans="1:25">
      <c r="B72" s="5" t="s">
        <v>196</v>
      </c>
      <c r="D72" s="108">
        <f t="shared" ref="D72:J72" si="13">SUM(D20:D29)</f>
        <v>203218705.17999998</v>
      </c>
      <c r="E72" s="108">
        <f t="shared" si="13"/>
        <v>0</v>
      </c>
      <c r="F72" s="108">
        <f t="shared" si="13"/>
        <v>0</v>
      </c>
      <c r="G72" s="108">
        <f t="shared" si="13"/>
        <v>203218705.17999986</v>
      </c>
      <c r="H72" s="108">
        <f t="shared" si="13"/>
        <v>13897529.749999993</v>
      </c>
      <c r="I72" s="108">
        <f t="shared" si="13"/>
        <v>217116234.92999986</v>
      </c>
      <c r="J72" s="108">
        <f t="shared" si="13"/>
        <v>317128.08999999997</v>
      </c>
      <c r="K72" s="108">
        <f t="shared" ref="K72:O72" si="14">SUM(K20:K29)</f>
        <v>3769.36</v>
      </c>
      <c r="L72" s="108">
        <f t="shared" si="14"/>
        <v>0</v>
      </c>
      <c r="M72" s="108">
        <f t="shared" si="14"/>
        <v>320897.45</v>
      </c>
      <c r="N72" s="108">
        <f t="shared" si="14"/>
        <v>178613816.64000002</v>
      </c>
      <c r="O72" s="108">
        <f t="shared" si="14"/>
        <v>249023.65</v>
      </c>
      <c r="P72" s="108">
        <f t="shared" ref="P72:R72" si="15">SUM(P20:P29)</f>
        <v>178862840.29000002</v>
      </c>
      <c r="Q72" s="108">
        <f t="shared" si="15"/>
        <v>37742869.909999996</v>
      </c>
      <c r="R72" s="108">
        <f t="shared" si="15"/>
        <v>189627.28</v>
      </c>
      <c r="S72" s="108">
        <f t="shared" si="9"/>
        <v>217116234.93000001</v>
      </c>
      <c r="T72" s="108" t="b">
        <f t="shared" si="10"/>
        <v>1</v>
      </c>
      <c r="U72" s="297">
        <f t="shared" si="11"/>
        <v>-1.1932570487260818E-8</v>
      </c>
    </row>
    <row r="73" spans="1:25">
      <c r="B73" s="5" t="s">
        <v>197</v>
      </c>
      <c r="D73" s="108">
        <f t="shared" ref="D73:J73" si="16">SUM(D30:D38)</f>
        <v>210608082.53</v>
      </c>
      <c r="E73" s="108">
        <f t="shared" si="16"/>
        <v>0</v>
      </c>
      <c r="F73" s="108">
        <f t="shared" si="16"/>
        <v>0</v>
      </c>
      <c r="G73" s="108">
        <f t="shared" si="16"/>
        <v>210608082.53000003</v>
      </c>
      <c r="H73" s="108">
        <f t="shared" si="16"/>
        <v>-890314.78999999969</v>
      </c>
      <c r="I73" s="108">
        <f t="shared" si="16"/>
        <v>209717767.74000001</v>
      </c>
      <c r="J73" s="108">
        <f t="shared" si="16"/>
        <v>400860.76999999979</v>
      </c>
      <c r="K73" s="108">
        <f t="shared" ref="K73:O73" si="17">SUM(K30:K38)</f>
        <v>590.55000000000007</v>
      </c>
      <c r="L73" s="108">
        <f t="shared" si="17"/>
        <v>0</v>
      </c>
      <c r="M73" s="108">
        <f t="shared" si="17"/>
        <v>401451.31999999977</v>
      </c>
      <c r="N73" s="108">
        <f t="shared" si="17"/>
        <v>185251852.43999994</v>
      </c>
      <c r="O73" s="108">
        <f t="shared" si="17"/>
        <v>264397.12</v>
      </c>
      <c r="P73" s="108">
        <f t="shared" ref="P73:R73" si="18">SUM(P30:P38)</f>
        <v>185516249.55999994</v>
      </c>
      <c r="Q73" s="108">
        <f t="shared" si="18"/>
        <v>23800013.110000018</v>
      </c>
      <c r="R73" s="108">
        <f t="shared" si="18"/>
        <v>53.75</v>
      </c>
      <c r="S73" s="108">
        <f t="shared" si="9"/>
        <v>209717767.73999995</v>
      </c>
      <c r="T73" s="108" t="b">
        <f t="shared" si="10"/>
        <v>1</v>
      </c>
      <c r="U73" s="297">
        <f t="shared" si="11"/>
        <v>-6.9267116487026215E-9</v>
      </c>
    </row>
    <row r="74" spans="1:25">
      <c r="B74" s="5" t="s">
        <v>198</v>
      </c>
      <c r="D74" s="108">
        <f>SUM(D72:D73)</f>
        <v>413826787.70999998</v>
      </c>
      <c r="E74" s="108">
        <f t="shared" ref="E74:R74" si="19">SUM(E72:E73)</f>
        <v>0</v>
      </c>
      <c r="F74" s="108">
        <f t="shared" si="19"/>
        <v>0</v>
      </c>
      <c r="G74" s="108">
        <f t="shared" si="19"/>
        <v>413826787.70999992</v>
      </c>
      <c r="H74" s="108">
        <f t="shared" si="19"/>
        <v>13007214.959999993</v>
      </c>
      <c r="I74" s="108">
        <f t="shared" si="19"/>
        <v>426834002.66999984</v>
      </c>
      <c r="J74" s="108">
        <f t="shared" si="19"/>
        <v>717988.85999999975</v>
      </c>
      <c r="K74" s="108">
        <f t="shared" si="19"/>
        <v>4359.91</v>
      </c>
      <c r="L74" s="108">
        <f t="shared" si="19"/>
        <v>0</v>
      </c>
      <c r="M74" s="108">
        <f t="shared" si="19"/>
        <v>722348.76999999979</v>
      </c>
      <c r="N74" s="108">
        <f t="shared" si="19"/>
        <v>363865669.07999992</v>
      </c>
      <c r="O74" s="108">
        <f t="shared" si="19"/>
        <v>513420.77</v>
      </c>
      <c r="P74" s="108">
        <f t="shared" si="19"/>
        <v>364379089.84999996</v>
      </c>
      <c r="Q74" s="108">
        <f t="shared" si="19"/>
        <v>61542883.020000011</v>
      </c>
      <c r="R74" s="108">
        <f t="shared" si="19"/>
        <v>189681.03</v>
      </c>
      <c r="S74" s="108">
        <f t="shared" si="9"/>
        <v>426834002.66999996</v>
      </c>
      <c r="T74" s="108" t="b">
        <f t="shared" si="10"/>
        <v>1</v>
      </c>
      <c r="U74" s="297">
        <f t="shared" si="11"/>
        <v>4.0745362639427185E-8</v>
      </c>
    </row>
    <row r="75" spans="1:25">
      <c r="B75" s="5" t="s">
        <v>257</v>
      </c>
      <c r="D75" s="108">
        <f>SUM(D39:D43)</f>
        <v>32730159.640000001</v>
      </c>
      <c r="E75" s="108">
        <f t="shared" ref="E75:R75" si="20">SUM(E39:E43)</f>
        <v>0</v>
      </c>
      <c r="F75" s="108">
        <f t="shared" si="20"/>
        <v>0</v>
      </c>
      <c r="G75" s="108">
        <f t="shared" si="20"/>
        <v>32730159.640000001</v>
      </c>
      <c r="H75" s="108">
        <f t="shared" si="20"/>
        <v>-6032204.6899999995</v>
      </c>
      <c r="I75" s="108">
        <f t="shared" si="20"/>
        <v>26697954.950000003</v>
      </c>
      <c r="J75" s="108">
        <f t="shared" si="20"/>
        <v>-153231.79</v>
      </c>
      <c r="K75" s="108">
        <f t="shared" si="20"/>
        <v>0</v>
      </c>
      <c r="L75" s="108">
        <f t="shared" si="20"/>
        <v>0</v>
      </c>
      <c r="M75" s="108">
        <f t="shared" si="20"/>
        <v>-153231.79</v>
      </c>
      <c r="N75" s="108">
        <f t="shared" si="20"/>
        <v>107858</v>
      </c>
      <c r="O75" s="108">
        <f t="shared" si="20"/>
        <v>0</v>
      </c>
      <c r="P75" s="108">
        <f t="shared" si="20"/>
        <v>107858</v>
      </c>
      <c r="Q75" s="108">
        <f t="shared" si="20"/>
        <v>9809428.2400000002</v>
      </c>
      <c r="R75" s="108">
        <f t="shared" si="20"/>
        <v>16933900.5</v>
      </c>
      <c r="S75" s="108">
        <f t="shared" si="9"/>
        <v>26697954.950000003</v>
      </c>
      <c r="T75" s="108" t="b">
        <f t="shared" si="10"/>
        <v>1</v>
      </c>
      <c r="U75" s="297">
        <f t="shared" si="11"/>
        <v>2.7648638933897018E-9</v>
      </c>
    </row>
    <row r="76" spans="1:25">
      <c r="B76" s="5" t="s">
        <v>358</v>
      </c>
      <c r="D76" s="108">
        <f>SUM(D44:D48)</f>
        <v>54715940.149999999</v>
      </c>
      <c r="E76" s="108">
        <f t="shared" ref="E76:R76" si="21">SUM(E44:E48)</f>
        <v>0</v>
      </c>
      <c r="F76" s="108">
        <f t="shared" si="21"/>
        <v>0</v>
      </c>
      <c r="G76" s="108">
        <f t="shared" si="21"/>
        <v>54715940.149999999</v>
      </c>
      <c r="H76" s="108">
        <f t="shared" si="21"/>
        <v>-54320514.229999997</v>
      </c>
      <c r="I76" s="108">
        <f t="shared" si="21"/>
        <v>395425.92</v>
      </c>
      <c r="J76" s="108">
        <f t="shared" si="21"/>
        <v>0</v>
      </c>
      <c r="K76" s="108">
        <f t="shared" si="21"/>
        <v>0</v>
      </c>
      <c r="L76" s="108">
        <f t="shared" si="21"/>
        <v>0</v>
      </c>
      <c r="M76" s="108">
        <f t="shared" si="21"/>
        <v>0</v>
      </c>
      <c r="N76" s="108">
        <f t="shared" si="21"/>
        <v>231932.12</v>
      </c>
      <c r="O76" s="108">
        <f t="shared" si="21"/>
        <v>0</v>
      </c>
      <c r="P76" s="108">
        <f t="shared" si="21"/>
        <v>231932.12</v>
      </c>
      <c r="Q76" s="108">
        <f t="shared" si="21"/>
        <v>268</v>
      </c>
      <c r="R76" s="108">
        <f t="shared" si="21"/>
        <v>163225.79999999999</v>
      </c>
      <c r="S76" s="108">
        <f t="shared" si="9"/>
        <v>395425.92</v>
      </c>
      <c r="T76" s="108" t="b">
        <f t="shared" si="10"/>
        <v>1</v>
      </c>
      <c r="U76" s="297">
        <f t="shared" si="11"/>
        <v>0</v>
      </c>
    </row>
    <row r="77" spans="1:25">
      <c r="B77" s="5" t="s">
        <v>336</v>
      </c>
      <c r="D77" s="108">
        <f>SUM(D49:D53)</f>
        <v>0</v>
      </c>
      <c r="E77" s="108">
        <f t="shared" ref="E77:R77" si="22">SUM(E49:E53)</f>
        <v>0</v>
      </c>
      <c r="F77" s="108">
        <f t="shared" si="22"/>
        <v>0</v>
      </c>
      <c r="G77" s="108">
        <f t="shared" si="22"/>
        <v>0</v>
      </c>
      <c r="H77" s="108">
        <f t="shared" si="22"/>
        <v>0</v>
      </c>
      <c r="I77" s="108">
        <f t="shared" si="22"/>
        <v>0</v>
      </c>
      <c r="J77" s="108">
        <f t="shared" si="22"/>
        <v>0</v>
      </c>
      <c r="K77" s="108">
        <f t="shared" si="22"/>
        <v>0</v>
      </c>
      <c r="L77" s="108">
        <f t="shared" si="22"/>
        <v>0</v>
      </c>
      <c r="M77" s="108">
        <f t="shared" si="22"/>
        <v>0</v>
      </c>
      <c r="N77" s="108">
        <f t="shared" si="22"/>
        <v>0</v>
      </c>
      <c r="O77" s="108">
        <f t="shared" si="22"/>
        <v>0</v>
      </c>
      <c r="P77" s="108">
        <f t="shared" si="22"/>
        <v>0</v>
      </c>
      <c r="Q77" s="108">
        <f t="shared" si="22"/>
        <v>0</v>
      </c>
      <c r="R77" s="108">
        <f t="shared" si="22"/>
        <v>0</v>
      </c>
      <c r="S77" s="108">
        <f t="shared" si="9"/>
        <v>0</v>
      </c>
      <c r="T77" s="108" t="b">
        <f t="shared" si="10"/>
        <v>1</v>
      </c>
      <c r="U77" s="297">
        <f t="shared" si="11"/>
        <v>0</v>
      </c>
    </row>
    <row r="78" spans="1:25">
      <c r="B78" s="5" t="s">
        <v>199</v>
      </c>
      <c r="D78" s="108">
        <f t="shared" ref="D78:R78" si="23">SUM(D54:D66)</f>
        <v>699794806.30999994</v>
      </c>
      <c r="E78" s="108">
        <f t="shared" si="23"/>
        <v>0</v>
      </c>
      <c r="F78" s="108">
        <f t="shared" si="23"/>
        <v>0</v>
      </c>
      <c r="G78" s="108">
        <f t="shared" si="23"/>
        <v>704044057.85000002</v>
      </c>
      <c r="H78" s="108">
        <f t="shared" si="23"/>
        <v>398306172.46000004</v>
      </c>
      <c r="I78" s="108">
        <f t="shared" si="23"/>
        <v>1102350230.3099997</v>
      </c>
      <c r="J78" s="108">
        <f t="shared" si="23"/>
        <v>146353277</v>
      </c>
      <c r="K78" s="108">
        <f t="shared" si="23"/>
        <v>3361655.79</v>
      </c>
      <c r="L78" s="108">
        <f t="shared" si="23"/>
        <v>0</v>
      </c>
      <c r="M78" s="108">
        <f t="shared" si="23"/>
        <v>149714932.78999999</v>
      </c>
      <c r="N78" s="108">
        <f t="shared" si="23"/>
        <v>862254076.08000004</v>
      </c>
      <c r="O78" s="108">
        <f t="shared" si="23"/>
        <v>475499.95</v>
      </c>
      <c r="P78" s="108">
        <f t="shared" si="23"/>
        <v>862729576.03000009</v>
      </c>
      <c r="Q78" s="108">
        <f t="shared" si="23"/>
        <v>49056189.789999999</v>
      </c>
      <c r="R78" s="108">
        <f t="shared" si="23"/>
        <v>40849531.700000003</v>
      </c>
      <c r="S78" s="108">
        <f t="shared" si="9"/>
        <v>1102350230.3099999</v>
      </c>
      <c r="T78" s="108" t="b">
        <f t="shared" si="10"/>
        <v>1</v>
      </c>
      <c r="U78" s="297">
        <f t="shared" si="11"/>
        <v>0</v>
      </c>
    </row>
    <row r="79" spans="1:25">
      <c r="B79" s="5" t="s">
        <v>200</v>
      </c>
      <c r="D79" s="108">
        <f t="shared" ref="D79:J79" si="24">+D78+D77+D76+D75+D74+D71</f>
        <v>3300741610.2600002</v>
      </c>
      <c r="E79" s="108">
        <f t="shared" si="24"/>
        <v>0</v>
      </c>
      <c r="F79" s="108">
        <f t="shared" si="24"/>
        <v>0</v>
      </c>
      <c r="G79" s="108">
        <f t="shared" si="24"/>
        <v>3304990861.8000002</v>
      </c>
      <c r="H79" s="108">
        <f t="shared" si="24"/>
        <v>493586912.30000007</v>
      </c>
      <c r="I79" s="108">
        <f t="shared" si="24"/>
        <v>3798577774.0999994</v>
      </c>
      <c r="J79" s="108">
        <f t="shared" si="24"/>
        <v>281417380.88999999</v>
      </c>
      <c r="K79" s="108">
        <f t="shared" ref="K79:O79" si="25">+K78+K77+K76+K75+K74+K71</f>
        <v>8707411.9800000004</v>
      </c>
      <c r="L79" s="108">
        <f t="shared" si="25"/>
        <v>475836.37</v>
      </c>
      <c r="M79" s="108">
        <f t="shared" si="25"/>
        <v>290600629.24000001</v>
      </c>
      <c r="N79" s="108">
        <f t="shared" si="25"/>
        <v>3328439803.2399998</v>
      </c>
      <c r="O79" s="108">
        <f t="shared" si="25"/>
        <v>983223.52</v>
      </c>
      <c r="P79" s="108">
        <f t="shared" ref="P79:R79" si="26">+P78+P77+P76+P75+P74+P71</f>
        <v>3329423026.7600002</v>
      </c>
      <c r="Q79" s="108">
        <f t="shared" si="26"/>
        <v>120417779.07000001</v>
      </c>
      <c r="R79" s="108">
        <f t="shared" si="26"/>
        <v>58136339.030000001</v>
      </c>
      <c r="S79" s="108">
        <f t="shared" si="9"/>
        <v>3798577774.1000004</v>
      </c>
      <c r="T79" s="108" t="b">
        <f t="shared" si="10"/>
        <v>1</v>
      </c>
      <c r="U79" s="297">
        <f t="shared" si="11"/>
        <v>0</v>
      </c>
    </row>
    <row r="80" spans="1:25">
      <c r="B80" s="8" t="s">
        <v>189</v>
      </c>
      <c r="D80" s="66">
        <f>+'II-D-3'!E121</f>
        <v>367262129.46999991</v>
      </c>
      <c r="E80" s="66">
        <f>+'II-D-3'!F121</f>
        <v>0</v>
      </c>
      <c r="F80" s="66">
        <f>+'II-D-3'!G121</f>
        <v>0</v>
      </c>
      <c r="G80" s="66">
        <f>+'II-D-3'!H121</f>
        <v>367262129.46999991</v>
      </c>
      <c r="H80" s="66">
        <f>+'II-D-3'!I121</f>
        <v>22681091.490000002</v>
      </c>
      <c r="I80" s="66">
        <f>+'II-D-3'!J121</f>
        <v>389943220.95999992</v>
      </c>
      <c r="J80" s="66">
        <f>+'II-D-3'!O121</f>
        <v>87185858.019999996</v>
      </c>
      <c r="K80" s="66">
        <f>+'II-D-3'!P121</f>
        <v>0</v>
      </c>
      <c r="L80" s="66">
        <f>+'II-D-3'!Q121</f>
        <v>0</v>
      </c>
      <c r="M80" s="66">
        <f>+'II-D-3'!R121</f>
        <v>87185858.019999996</v>
      </c>
      <c r="N80" s="66">
        <f>+'II-D-3'!S121</f>
        <v>222468970.81999999</v>
      </c>
      <c r="O80" s="66">
        <f>+'II-D-3'!T121</f>
        <v>0</v>
      </c>
      <c r="P80" s="66">
        <f>+'II-D-3'!U121</f>
        <v>222468970.81999999</v>
      </c>
      <c r="Q80" s="66">
        <f>+'II-D-3'!V121</f>
        <v>57783928.270000003</v>
      </c>
      <c r="R80" s="66">
        <f>+'II-D-3'!W121</f>
        <v>22504463.84999999</v>
      </c>
      <c r="S80" s="108">
        <f t="shared" si="9"/>
        <v>389943220.95999992</v>
      </c>
      <c r="T80" s="108" t="b">
        <f t="shared" si="10"/>
        <v>1</v>
      </c>
      <c r="U80" s="297">
        <f t="shared" si="11"/>
        <v>0</v>
      </c>
    </row>
    <row r="82" spans="2:20">
      <c r="B82" s="8"/>
      <c r="H82" s="66"/>
    </row>
    <row r="84" spans="2:20">
      <c r="B84" s="85" t="s">
        <v>207</v>
      </c>
      <c r="D84" s="66">
        <f>+'II-D-2.5'!E30</f>
        <v>3100929.4699999997</v>
      </c>
      <c r="E84" s="66">
        <f>+'II-D-2.5'!F30</f>
        <v>0</v>
      </c>
      <c r="F84" s="66">
        <f>+'II-D-2.5'!G30</f>
        <v>0</v>
      </c>
      <c r="G84" s="66">
        <f>+'II-D-2.5'!H30</f>
        <v>3100929.4699999997</v>
      </c>
      <c r="H84" s="66">
        <f>+'II-D-2.5'!I30</f>
        <v>0</v>
      </c>
      <c r="I84" s="66">
        <f>+'II-D-2.5'!J30</f>
        <v>3100929.4699999997</v>
      </c>
      <c r="J84" s="66">
        <f>+'II-D-2.5'!O30</f>
        <v>28785.889999999996</v>
      </c>
      <c r="K84" s="66">
        <f>+'II-D-2.5'!P30</f>
        <v>0</v>
      </c>
      <c r="L84" s="66">
        <f>+'II-D-2.5'!Q30</f>
        <v>0</v>
      </c>
      <c r="M84" s="66">
        <f>+'II-D-2.5'!R30</f>
        <v>28785.889999999996</v>
      </c>
      <c r="N84" s="66">
        <f>+'II-D-2.5'!S30</f>
        <v>98281.909999999989</v>
      </c>
      <c r="O84" s="66">
        <f>+'II-D-2.5'!T30</f>
        <v>0</v>
      </c>
      <c r="P84" s="66">
        <f>+'II-D-2.5'!U30</f>
        <v>98281.909999999989</v>
      </c>
      <c r="Q84" s="66">
        <f>+'II-D-2.5'!V30</f>
        <v>21499.789999999997</v>
      </c>
      <c r="R84" s="66">
        <f>+'II-D-2.5'!W30</f>
        <v>2952361.8799999994</v>
      </c>
      <c r="S84" s="108">
        <f t="shared" ref="S84" si="27">+M84+P84+Q84+R84</f>
        <v>3100929.4699999993</v>
      </c>
      <c r="T84" s="108" t="b">
        <f>ROUND(+S84,2)=ROUND(I84,2)</f>
        <v>1</v>
      </c>
    </row>
  </sheetData>
  <mergeCells count="2">
    <mergeCell ref="A5:S5"/>
    <mergeCell ref="A67:S67"/>
  </mergeCells>
  <phoneticPr fontId="5" type="noConversion"/>
  <pageMargins left="0.75" right="0.75" top="1" bottom="1" header="0.5" footer="0.5"/>
  <pageSetup orientation="portrait"/>
  <headerFooter alignWithMargins="0">
    <oddHeader>&amp;C&amp;B
Transmission Expense</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2">
    <tabColor rgb="FFFF0000"/>
  </sheetPr>
  <dimension ref="A1:Z110"/>
  <sheetViews>
    <sheetView zoomScaleNormal="100" workbookViewId="0">
      <pane xSplit="3" ySplit="16" topLeftCell="D17" activePane="bottomRight" state="frozen"/>
      <selection activeCell="N38" sqref="N38"/>
      <selection pane="topRight" activeCell="N38" sqref="N38"/>
      <selection pane="bottomLeft" activeCell="N38" sqref="N38"/>
      <selection pane="bottomRight" activeCell="C27" sqref="C27"/>
    </sheetView>
  </sheetViews>
  <sheetFormatPr defaultColWidth="9.140625" defaultRowHeight="12.75" customHeight="1"/>
  <cols>
    <col min="1" max="1" width="5.7109375" style="31" customWidth="1"/>
    <col min="2" max="2" width="8.7109375" style="33" customWidth="1"/>
    <col min="3" max="3" width="52.85546875" style="33" bestFit="1" customWidth="1"/>
    <col min="4" max="4" width="10.5703125" style="33" customWidth="1"/>
    <col min="5" max="5" width="15.28515625" style="33" bestFit="1" customWidth="1"/>
    <col min="6" max="6" width="14.42578125" style="33" bestFit="1" customWidth="1"/>
    <col min="7" max="7" width="17.5703125" style="33" customWidth="1"/>
    <col min="8" max="8" width="15.28515625" style="33" bestFit="1" customWidth="1"/>
    <col min="9" max="9" width="16" style="33" bestFit="1" customWidth="1"/>
    <col min="10" max="10" width="15.28515625" style="33" bestFit="1" customWidth="1"/>
    <col min="11" max="11" width="10.85546875" style="33" customWidth="1"/>
    <col min="12" max="12" width="15.28515625" style="37" bestFit="1" customWidth="1"/>
    <col min="13" max="13" width="4.7109375" style="33" customWidth="1"/>
    <col min="14" max="14" width="9.7109375" style="37" customWidth="1"/>
    <col min="15" max="15" width="13.7109375" style="33" bestFit="1" customWidth="1"/>
    <col min="16" max="17" width="12.5703125" style="33" customWidth="1"/>
    <col min="18" max="18" width="13.7109375" style="33" bestFit="1" customWidth="1"/>
    <col min="19" max="19" width="15.28515625" style="33" bestFit="1" customWidth="1"/>
    <col min="20" max="21" width="15.28515625" style="33" customWidth="1"/>
    <col min="22" max="22" width="12.5703125" style="33" bestFit="1" customWidth="1"/>
    <col min="23" max="23" width="12.5703125" style="33" customWidth="1"/>
    <col min="24" max="24" width="15.28515625" style="33" bestFit="1" customWidth="1"/>
    <col min="25" max="25" width="9.140625" style="33"/>
    <col min="26" max="26" width="6.7109375" style="33" bestFit="1" customWidth="1"/>
    <col min="27" max="16384" width="9.140625" style="33"/>
  </cols>
  <sheetData>
    <row r="1" spans="1:24" ht="12.75" customHeight="1">
      <c r="A1" s="35" t="str">
        <f>+'[3]Input Data'!$A$9</f>
        <v>2025 RATE CASE</v>
      </c>
    </row>
    <row r="2" spans="1:24">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c r="A3" s="7" t="str">
        <f>CONCATENATE('[3]Schedule Sponsors'!$A$51,'[3]Schedule Sponsors'!$B$51)</f>
        <v>II-D-1  O&amp;&amp;M EXPENSES</v>
      </c>
      <c r="B3" s="4"/>
      <c r="D3" s="31"/>
      <c r="E3" s="31"/>
      <c r="F3" s="31"/>
      <c r="G3" s="34"/>
      <c r="H3" s="31"/>
      <c r="I3" s="31"/>
      <c r="J3" s="31"/>
      <c r="K3" s="31"/>
      <c r="L3" s="32"/>
      <c r="M3" s="31"/>
      <c r="N3" s="32"/>
      <c r="O3" s="28"/>
      <c r="P3" s="28"/>
      <c r="Q3" s="28"/>
      <c r="R3" s="28"/>
      <c r="S3" s="31"/>
      <c r="T3" s="31"/>
      <c r="U3" s="31"/>
      <c r="V3" s="31"/>
      <c r="W3" s="31"/>
      <c r="X3" s="31"/>
    </row>
    <row r="4" spans="1:24">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c r="A5" s="7" t="str">
        <f>CONCATENATE("SPONSOR: ",'[3]Schedule Sponsors'!$D$51)</f>
        <v>SPONSOR: R. PRACHYL</v>
      </c>
      <c r="B5" s="4"/>
      <c r="D5" s="31"/>
      <c r="E5" s="31"/>
      <c r="F5" s="31"/>
      <c r="G5" s="31"/>
      <c r="H5" s="31"/>
      <c r="I5" s="31"/>
      <c r="J5" s="31"/>
      <c r="K5" s="31"/>
      <c r="L5" s="32"/>
      <c r="M5" s="31"/>
      <c r="N5" s="32"/>
      <c r="O5" s="31"/>
      <c r="P5" s="31"/>
      <c r="Q5" s="31"/>
      <c r="R5" s="31"/>
      <c r="S5" s="31"/>
      <c r="T5" s="31"/>
      <c r="U5" s="31"/>
      <c r="V5" s="31"/>
      <c r="W5" s="31"/>
      <c r="X5" s="31"/>
    </row>
    <row r="6" spans="1:24">
      <c r="B6" s="4"/>
      <c r="D6" s="31"/>
      <c r="E6" s="31"/>
      <c r="F6" s="31"/>
      <c r="G6" s="31"/>
      <c r="H6" s="31"/>
      <c r="I6" s="31"/>
      <c r="J6" s="31"/>
      <c r="K6" s="31"/>
      <c r="L6" s="32"/>
      <c r="M6" s="31"/>
      <c r="N6" s="32"/>
      <c r="O6" s="31"/>
      <c r="P6" s="31"/>
      <c r="Q6" s="31"/>
      <c r="R6" s="31"/>
      <c r="S6" s="31"/>
      <c r="T6" s="31"/>
      <c r="U6" s="31"/>
      <c r="V6" s="31"/>
      <c r="W6" s="31"/>
      <c r="X6" s="31"/>
    </row>
    <row r="7" spans="1:24">
      <c r="B7" s="4"/>
      <c r="D7" s="31"/>
      <c r="E7" s="31"/>
      <c r="F7" s="31"/>
      <c r="G7" s="31"/>
      <c r="H7" s="31"/>
      <c r="I7" s="31"/>
      <c r="J7" s="31"/>
      <c r="K7" s="31"/>
      <c r="L7" s="32"/>
      <c r="M7" s="31"/>
      <c r="N7" s="32"/>
      <c r="O7" s="31"/>
      <c r="P7" s="31"/>
      <c r="Q7" s="31"/>
      <c r="R7" s="31"/>
      <c r="S7" s="31"/>
      <c r="T7" s="31"/>
      <c r="U7" s="31"/>
      <c r="V7" s="31"/>
      <c r="W7" s="31"/>
      <c r="X7" s="31"/>
    </row>
    <row r="8" spans="1:24">
      <c r="B8" s="35"/>
      <c r="C8" s="31"/>
      <c r="D8" s="31"/>
      <c r="E8" s="31"/>
      <c r="F8" s="31"/>
      <c r="G8" s="31"/>
      <c r="H8" s="31"/>
      <c r="I8" s="31"/>
      <c r="J8" s="31"/>
      <c r="K8" s="31"/>
      <c r="L8" s="32"/>
      <c r="M8" s="31"/>
      <c r="N8" s="32"/>
      <c r="O8" s="31"/>
      <c r="P8" s="31"/>
      <c r="Q8" s="31"/>
      <c r="R8" s="31"/>
      <c r="S8" s="31"/>
      <c r="T8" s="31"/>
      <c r="U8" s="31"/>
      <c r="V8" s="31"/>
      <c r="W8" s="31"/>
      <c r="X8" s="31"/>
    </row>
    <row r="9" spans="1:24" ht="13.5" thickBot="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A14" s="38"/>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ht="15" customHeight="1">
      <c r="A15" s="16">
        <v>1</v>
      </c>
      <c r="B15" s="8" t="s">
        <v>229</v>
      </c>
      <c r="D15" s="18"/>
      <c r="E15" s="19"/>
      <c r="F15" s="19"/>
      <c r="G15" s="19"/>
      <c r="H15" s="19"/>
      <c r="I15" s="19"/>
      <c r="J15" s="19"/>
      <c r="K15" s="19"/>
      <c r="L15" s="19"/>
      <c r="M15" s="18"/>
      <c r="N15" s="18"/>
      <c r="O15" s="19"/>
      <c r="P15" s="19"/>
      <c r="Q15" s="19"/>
      <c r="R15" s="19"/>
      <c r="S15" s="19"/>
      <c r="T15" s="19"/>
      <c r="U15" s="19"/>
      <c r="V15" s="19"/>
      <c r="W15" s="19"/>
    </row>
    <row r="16" spans="1:24" s="8" customFormat="1" ht="15" customHeight="1">
      <c r="A16" s="16">
        <v>2</v>
      </c>
      <c r="C16" s="15" t="s">
        <v>226</v>
      </c>
      <c r="D16" s="18" t="s">
        <v>41</v>
      </c>
      <c r="E16" s="19"/>
      <c r="F16" s="19"/>
      <c r="G16" s="19"/>
      <c r="H16" s="19"/>
      <c r="I16" s="19"/>
      <c r="J16" s="19"/>
      <c r="K16" s="19"/>
      <c r="L16" s="19"/>
      <c r="M16" s="58"/>
      <c r="N16" s="18"/>
      <c r="O16" s="19"/>
      <c r="P16" s="19"/>
      <c r="Q16" s="19"/>
      <c r="R16" s="19"/>
      <c r="S16" s="19"/>
      <c r="T16" s="19"/>
      <c r="U16" s="19"/>
      <c r="V16" s="19"/>
      <c r="W16" s="19"/>
    </row>
    <row r="17" spans="1:26" s="4" customFormat="1" ht="15" customHeight="1">
      <c r="A17" s="16">
        <v>3</v>
      </c>
      <c r="B17" s="4" t="s">
        <v>230</v>
      </c>
      <c r="C17" s="4" t="s">
        <v>369</v>
      </c>
      <c r="D17" s="16"/>
      <c r="E17" s="150">
        <v>5779492.8999999985</v>
      </c>
      <c r="F17" s="150">
        <f>ROUND('II-D-1.1'!Q16,2)</f>
        <v>0</v>
      </c>
      <c r="G17" s="150">
        <f>ROUND('II-D-1.1'!R16,2)</f>
        <v>0</v>
      </c>
      <c r="H17" s="150">
        <f>+E17-F17-G17</f>
        <v>5779492.8999999985</v>
      </c>
      <c r="I17" s="150">
        <f>+'II-D-1.1'!T16</f>
        <v>-7.52</v>
      </c>
      <c r="J17" s="150">
        <f t="shared" ref="J17:J24" si="0">+H17+I17</f>
        <v>5779485.379999999</v>
      </c>
      <c r="K17" s="153">
        <v>1</v>
      </c>
      <c r="L17" s="150">
        <f>+J17*K17</f>
        <v>5779485.379999999</v>
      </c>
      <c r="M17" s="16"/>
      <c r="N17" s="16"/>
      <c r="O17" s="150">
        <f>ROUND(+'[1]Total Summary'!C2+'[2]Total Summary'!D3,2)</f>
        <v>5496256.71</v>
      </c>
      <c r="P17" s="150">
        <f>ROUND(+'[1]Total Summary'!D2+'[2]Total Summary'!E3,2)</f>
        <v>217937.59</v>
      </c>
      <c r="Q17" s="150">
        <f>ROUND(+'[1]Total Summary'!E2+'[2]Total Summary'!F3,2)</f>
        <v>0</v>
      </c>
      <c r="R17" s="150">
        <f>SUM(O17:Q17)</f>
        <v>5714194.2999999998</v>
      </c>
      <c r="S17" s="150">
        <f>ROUND(+'[1]Total Summary'!G2+'[2]Total Summary'!H3,2)</f>
        <v>61587.37</v>
      </c>
      <c r="T17" s="150">
        <f>ROUND(+'[1]Total Summary'!H2+'[2]Total Summary'!I3,2)</f>
        <v>0</v>
      </c>
      <c r="U17" s="150">
        <f>SUM(S17:T17)</f>
        <v>61587.37</v>
      </c>
      <c r="V17" s="150">
        <f>ROUND(+'[1]Total Summary'!J2+'[2]Total Summary'!K3,2)</f>
        <v>3703.71</v>
      </c>
      <c r="W17" s="150">
        <f>ROUND(+'[1]Total Summary'!K2+'[2]Total Summary'!L3,2)</f>
        <v>0</v>
      </c>
      <c r="X17" s="150">
        <f>+R17+U17+V17+W17</f>
        <v>5779485.3799999999</v>
      </c>
      <c r="Y17" s="4" t="b">
        <f>ROUND(+X17,2)=ROUND(L17,2)</f>
        <v>1</v>
      </c>
      <c r="Z17" s="111">
        <f>ROUND(+L17,2)-ROUND(X17,2)</f>
        <v>0</v>
      </c>
    </row>
    <row r="18" spans="1:26" s="4" customFormat="1" ht="15" customHeight="1">
      <c r="A18" s="16">
        <v>4</v>
      </c>
      <c r="B18" s="4" t="s">
        <v>231</v>
      </c>
      <c r="C18" s="4" t="s">
        <v>290</v>
      </c>
      <c r="D18" s="16"/>
      <c r="E18" s="13">
        <v>21685933.910000008</v>
      </c>
      <c r="F18" s="13">
        <f>ROUND('II-D-1.1'!Q17,2)</f>
        <v>0</v>
      </c>
      <c r="G18" s="13">
        <f>ROUND('II-D-1.1'!R17,2)</f>
        <v>0</v>
      </c>
      <c r="H18" s="13">
        <f t="shared" ref="H18:H24" si="1">+E18-F18-G18</f>
        <v>21685933.910000008</v>
      </c>
      <c r="I18" s="13">
        <f>+'II-D-1.1'!T17</f>
        <v>267171.12</v>
      </c>
      <c r="J18" s="13">
        <f t="shared" si="0"/>
        <v>21953105.030000009</v>
      </c>
      <c r="K18" s="153">
        <v>1</v>
      </c>
      <c r="L18" s="13">
        <f t="shared" ref="L18:L24" si="2">+J18*K18</f>
        <v>21953105.030000009</v>
      </c>
      <c r="M18" s="16"/>
      <c r="N18" s="16"/>
      <c r="O18" s="13">
        <f>ROUND(+'[1]Total Summary'!C3+'[2]Total Summary'!D4,2)</f>
        <v>20069703.149999999</v>
      </c>
      <c r="P18" s="13">
        <f>ROUND(+'[1]Total Summary'!D3+'[2]Total Summary'!E4,2)</f>
        <v>1420686.46</v>
      </c>
      <c r="Q18" s="13">
        <f>ROUND(+'[1]Total Summary'!E3+'[2]Total Summary'!F4,2)</f>
        <v>475836.37</v>
      </c>
      <c r="R18" s="13">
        <f t="shared" ref="R18:R24" si="3">SUM(O18:Q18)</f>
        <v>21966225.98</v>
      </c>
      <c r="S18" s="13">
        <f>ROUND(+'[1]Total Summary'!G3+'[2]Total Summary'!H4,2)</f>
        <v>0</v>
      </c>
      <c r="T18" s="13">
        <f>ROUND(+'[1]Total Summary'!H3+'[2]Total Summary'!I4,2)</f>
        <v>-13120.95</v>
      </c>
      <c r="U18" s="13">
        <f t="shared" ref="U18:U24" si="4">SUM(S18:T18)</f>
        <v>-13120.95</v>
      </c>
      <c r="V18" s="13">
        <f>ROUND(+'[1]Total Summary'!J3+'[2]Total Summary'!K4,2)</f>
        <v>0</v>
      </c>
      <c r="W18" s="13">
        <f>ROUND(+'[1]Total Summary'!K3+'[2]Total Summary'!L4,2)</f>
        <v>0</v>
      </c>
      <c r="X18" s="13">
        <f t="shared" ref="X18:X24" si="5">+R18+U18+V18+W18</f>
        <v>21953105.030000001</v>
      </c>
      <c r="Y18" s="4" t="b">
        <f t="shared" ref="Y18:Y24" si="6">ROUND(+X18,2)=ROUND(L18,2)</f>
        <v>1</v>
      </c>
      <c r="Z18" s="111">
        <f t="shared" ref="Z18:Z24" si="7">ROUND(+L18,2)-ROUND(X18,2)</f>
        <v>0</v>
      </c>
    </row>
    <row r="19" spans="1:26" s="4" customFormat="1" ht="15" customHeight="1">
      <c r="A19" s="16">
        <v>5</v>
      </c>
      <c r="B19" s="4" t="s">
        <v>232</v>
      </c>
      <c r="C19" s="4" t="s">
        <v>370</v>
      </c>
      <c r="D19" s="16"/>
      <c r="E19" s="13">
        <v>4093276.58</v>
      </c>
      <c r="F19" s="13">
        <f>ROUND('II-D-1.1'!Q18,2)</f>
        <v>0</v>
      </c>
      <c r="G19" s="13">
        <f>ROUND('II-D-1.1'!R18,2)</f>
        <v>0</v>
      </c>
      <c r="H19" s="13">
        <f t="shared" si="1"/>
        <v>4093276.58</v>
      </c>
      <c r="I19" s="13">
        <f>+'II-D-1.1'!T18</f>
        <v>1282583.33</v>
      </c>
      <c r="J19" s="13">
        <f t="shared" si="0"/>
        <v>5375859.9100000001</v>
      </c>
      <c r="K19" s="153">
        <v>1</v>
      </c>
      <c r="L19" s="13">
        <f t="shared" si="2"/>
        <v>5375859.9100000001</v>
      </c>
      <c r="M19" s="16"/>
      <c r="N19" s="16"/>
      <c r="O19" s="13">
        <f>ROUND(+'[1]Total Summary'!C4+'[2]Total Summary'!D5,2)</f>
        <v>4966303.21</v>
      </c>
      <c r="P19" s="13">
        <f>ROUND(+'[1]Total Summary'!D4+'[2]Total Summary'!E5,2)</f>
        <v>221787.72</v>
      </c>
      <c r="Q19" s="13">
        <f>ROUND(+'[1]Total Summary'!E4+'[2]Total Summary'!F5,2)</f>
        <v>0</v>
      </c>
      <c r="R19" s="13">
        <f t="shared" si="3"/>
        <v>5188090.93</v>
      </c>
      <c r="S19" s="13">
        <f>ROUND(+'[1]Total Summary'!G4+'[2]Total Summary'!H5,2)</f>
        <v>187768.98</v>
      </c>
      <c r="T19" s="13">
        <f>ROUND(+'[1]Total Summary'!H4+'[2]Total Summary'!I5,2)</f>
        <v>0</v>
      </c>
      <c r="U19" s="13">
        <f t="shared" si="4"/>
        <v>187768.98</v>
      </c>
      <c r="V19" s="13">
        <f>ROUND(+'[1]Total Summary'!J4+'[2]Total Summary'!K5,2)</f>
        <v>0</v>
      </c>
      <c r="W19" s="13">
        <f>ROUND(+'[1]Total Summary'!K4+'[2]Total Summary'!L5,2)</f>
        <v>0</v>
      </c>
      <c r="X19" s="13">
        <f t="shared" si="5"/>
        <v>5375859.9100000001</v>
      </c>
      <c r="Y19" s="4" t="b">
        <f t="shared" si="6"/>
        <v>1</v>
      </c>
      <c r="Z19" s="111">
        <f t="shared" si="7"/>
        <v>0</v>
      </c>
    </row>
    <row r="20" spans="1:26" s="4" customFormat="1" ht="15" customHeight="1">
      <c r="A20" s="16">
        <v>6</v>
      </c>
      <c r="B20" s="4" t="s">
        <v>233</v>
      </c>
      <c r="C20" s="4" t="s">
        <v>371</v>
      </c>
      <c r="D20" s="16"/>
      <c r="E20" s="13">
        <v>6827123.0999999987</v>
      </c>
      <c r="F20" s="13">
        <f>ROUND('II-D-1.1'!Q19,2)</f>
        <v>0</v>
      </c>
      <c r="G20" s="13">
        <f>ROUND('II-D-1.1'!R19,2)</f>
        <v>0</v>
      </c>
      <c r="H20" s="13">
        <f t="shared" si="1"/>
        <v>6827123.0999999987</v>
      </c>
      <c r="I20" s="13">
        <f>+'II-D-1.1'!T19</f>
        <v>1086957.5900000001</v>
      </c>
      <c r="J20" s="13">
        <f t="shared" si="0"/>
        <v>7914080.6899999985</v>
      </c>
      <c r="K20" s="153">
        <v>1</v>
      </c>
      <c r="L20" s="13">
        <f t="shared" si="2"/>
        <v>7914080.6899999985</v>
      </c>
      <c r="M20" s="16"/>
      <c r="N20" s="16"/>
      <c r="O20" s="13">
        <f>ROUND(+'[1]Total Summary'!C5+'[2]Total Summary'!D6,2)</f>
        <v>7411406.9800000004</v>
      </c>
      <c r="P20" s="13">
        <f>ROUND(+'[1]Total Summary'!D5+'[2]Total Summary'!E6,2)</f>
        <v>503911.05</v>
      </c>
      <c r="Q20" s="13">
        <f>ROUND(+'[1]Total Summary'!E5+'[2]Total Summary'!F6,2)</f>
        <v>0</v>
      </c>
      <c r="R20" s="13">
        <f t="shared" si="3"/>
        <v>7915318.0300000003</v>
      </c>
      <c r="S20" s="13">
        <f>ROUND(+'[1]Total Summary'!G5+'[2]Total Summary'!H6,2)</f>
        <v>-1237.3399999999999</v>
      </c>
      <c r="T20" s="13">
        <f>ROUND(+'[1]Total Summary'!H5+'[2]Total Summary'!I6,2)</f>
        <v>0</v>
      </c>
      <c r="U20" s="13">
        <f t="shared" si="4"/>
        <v>-1237.3399999999999</v>
      </c>
      <c r="V20" s="13">
        <f>ROUND(+'[1]Total Summary'!J5+'[2]Total Summary'!K6,2)</f>
        <v>0</v>
      </c>
      <c r="W20" s="13">
        <f>ROUND(+'[1]Total Summary'!K5+'[2]Total Summary'!L6,2)</f>
        <v>0</v>
      </c>
      <c r="X20" s="13">
        <f t="shared" si="5"/>
        <v>7914080.6900000004</v>
      </c>
      <c r="Y20" s="4" t="b">
        <f t="shared" si="6"/>
        <v>1</v>
      </c>
      <c r="Z20" s="111">
        <f t="shared" si="7"/>
        <v>0</v>
      </c>
    </row>
    <row r="21" spans="1:26" s="4" customFormat="1" ht="15" customHeight="1">
      <c r="A21" s="16">
        <v>7</v>
      </c>
      <c r="B21" s="4" t="s">
        <v>234</v>
      </c>
      <c r="C21" s="4" t="s">
        <v>372</v>
      </c>
      <c r="D21" s="16"/>
      <c r="E21" s="13">
        <v>2124.5299999999997</v>
      </c>
      <c r="F21" s="13">
        <f>ROUND('II-D-1.1'!Q20,2)</f>
        <v>0</v>
      </c>
      <c r="G21" s="13">
        <f>ROUND('II-D-1.1'!R20,2)</f>
        <v>0</v>
      </c>
      <c r="H21" s="13">
        <f t="shared" si="1"/>
        <v>2124.5299999999997</v>
      </c>
      <c r="I21" s="13">
        <f>+'II-D-1.1'!T20</f>
        <v>0</v>
      </c>
      <c r="J21" s="13">
        <f t="shared" si="0"/>
        <v>2124.5299999999997</v>
      </c>
      <c r="K21" s="153">
        <v>1</v>
      </c>
      <c r="L21" s="13">
        <f t="shared" si="2"/>
        <v>2124.5299999999997</v>
      </c>
      <c r="M21" s="16"/>
      <c r="N21" s="16"/>
      <c r="O21" s="13">
        <f>ROUND(+'[1]Total Summary'!C6+'[2]Total Summary'!D7,2)</f>
        <v>2124.5300000000002</v>
      </c>
      <c r="P21" s="13">
        <f>ROUND(+'[1]Total Summary'!D6+'[2]Total Summary'!E7,2)</f>
        <v>0</v>
      </c>
      <c r="Q21" s="13">
        <f>ROUND(+'[1]Total Summary'!E6+'[2]Total Summary'!F7,2)</f>
        <v>0</v>
      </c>
      <c r="R21" s="13">
        <f t="shared" si="3"/>
        <v>2124.5300000000002</v>
      </c>
      <c r="S21" s="13">
        <f>ROUND(+'[1]Total Summary'!G6+'[2]Total Summary'!H7,2)</f>
        <v>0</v>
      </c>
      <c r="T21" s="13">
        <f>ROUND(+'[1]Total Summary'!H6+'[2]Total Summary'!I7,2)</f>
        <v>0</v>
      </c>
      <c r="U21" s="13">
        <f t="shared" si="4"/>
        <v>0</v>
      </c>
      <c r="V21" s="13">
        <f>ROUND(+'[1]Total Summary'!J6+'[2]Total Summary'!K7,2)</f>
        <v>0</v>
      </c>
      <c r="W21" s="13">
        <f>ROUND(+'[1]Total Summary'!K6+'[2]Total Summary'!L7,2)</f>
        <v>0</v>
      </c>
      <c r="X21" s="13">
        <f t="shared" si="5"/>
        <v>2124.5300000000002</v>
      </c>
      <c r="Y21" s="4" t="b">
        <f t="shared" si="6"/>
        <v>1</v>
      </c>
      <c r="Z21" s="111">
        <f t="shared" si="7"/>
        <v>0</v>
      </c>
    </row>
    <row r="22" spans="1:26" s="4" customFormat="1" ht="15" customHeight="1">
      <c r="A22" s="16">
        <v>8</v>
      </c>
      <c r="B22" s="4" t="s">
        <v>282</v>
      </c>
      <c r="C22" s="30" t="s">
        <v>373</v>
      </c>
      <c r="D22" s="16"/>
      <c r="E22" s="13">
        <v>1967817098.26</v>
      </c>
      <c r="F22" s="13">
        <v>0</v>
      </c>
      <c r="G22" s="13">
        <f>ROUND('II-D-1.1'!R21,2)</f>
        <v>0</v>
      </c>
      <c r="H22" s="13">
        <f t="shared" si="1"/>
        <v>1967817098.26</v>
      </c>
      <c r="I22" s="13">
        <f>+'II-D-1.1'!T21</f>
        <v>133024374.4000001</v>
      </c>
      <c r="J22" s="13">
        <f t="shared" si="0"/>
        <v>2100841472.6600001</v>
      </c>
      <c r="K22" s="153">
        <v>1</v>
      </c>
      <c r="L22" s="13">
        <f t="shared" si="2"/>
        <v>2100841472.6600001</v>
      </c>
      <c r="M22" s="16"/>
      <c r="N22" s="16"/>
      <c r="O22" s="13">
        <f>ROUND(+'[1]Total Summary'!C7+'[2]Total Summary'!D8,2)</f>
        <v>0</v>
      </c>
      <c r="P22" s="13">
        <f>ROUND(+'[1]Total Summary'!D7+'[2]Total Summary'!E8,2)</f>
        <v>0</v>
      </c>
      <c r="Q22" s="13">
        <f>ROUND(+'[1]Total Summary'!E7+'[2]Total Summary'!F8,2)</f>
        <v>0</v>
      </c>
      <c r="R22" s="13">
        <f t="shared" si="3"/>
        <v>0</v>
      </c>
      <c r="S22" s="13">
        <f>ROUND(+'[1]Total Summary'!G7+'[2]Total Summary'!H8,2)</f>
        <v>2100841472.6600001</v>
      </c>
      <c r="T22" s="13">
        <f>ROUND(+'[1]Total Summary'!H7+'[2]Total Summary'!I8,2)</f>
        <v>0</v>
      </c>
      <c r="U22" s="13">
        <f t="shared" si="4"/>
        <v>2100841472.6600001</v>
      </c>
      <c r="V22" s="13">
        <f>ROUND(+'[1]Total Summary'!J7+'[2]Total Summary'!K8,2)</f>
        <v>0</v>
      </c>
      <c r="W22" s="13">
        <f>ROUND(+'[1]Total Summary'!K7+'[2]Total Summary'!L8,2)</f>
        <v>0</v>
      </c>
      <c r="X22" s="13">
        <f t="shared" si="5"/>
        <v>2100841472.6600001</v>
      </c>
      <c r="Y22" s="4" t="b">
        <f t="shared" si="6"/>
        <v>1</v>
      </c>
      <c r="Z22" s="111">
        <f t="shared" si="7"/>
        <v>0</v>
      </c>
    </row>
    <row r="23" spans="1:26" s="4" customFormat="1" ht="15" customHeight="1">
      <c r="A23" s="16">
        <v>9</v>
      </c>
      <c r="B23" s="4" t="s">
        <v>235</v>
      </c>
      <c r="C23" s="4" t="s">
        <v>138</v>
      </c>
      <c r="D23" s="16"/>
      <c r="E23" s="13">
        <v>64531322.650000036</v>
      </c>
      <c r="F23" s="13">
        <f>ROUND('II-D-1.1'!Q22,2)</f>
        <v>0</v>
      </c>
      <c r="G23" s="13">
        <f>ROUND('II-D-1.1'!R22,2)</f>
        <v>0</v>
      </c>
      <c r="H23" s="13">
        <f t="shared" si="1"/>
        <v>64531322.650000036</v>
      </c>
      <c r="I23" s="13">
        <f>+'II-D-1.1'!T22</f>
        <v>6965164.8799999999</v>
      </c>
      <c r="J23" s="13">
        <f t="shared" si="0"/>
        <v>71496487.530000031</v>
      </c>
      <c r="K23" s="153">
        <v>1</v>
      </c>
      <c r="L23" s="13">
        <f t="shared" si="2"/>
        <v>71496487.530000031</v>
      </c>
      <c r="M23" s="16"/>
      <c r="N23" s="16"/>
      <c r="O23" s="13">
        <f>ROUND(+'[1]Total Summary'!C8+'[2]Total Summary'!D9,2)</f>
        <v>70077533.620000005</v>
      </c>
      <c r="P23" s="13">
        <f>ROUND(+'[1]Total Summary'!D8+'[2]Total Summary'!E9,2)</f>
        <v>815361.46</v>
      </c>
      <c r="Q23" s="13">
        <f>ROUND(+'[1]Total Summary'!E8+'[2]Total Summary'!F9,2)</f>
        <v>0</v>
      </c>
      <c r="R23" s="13">
        <f t="shared" si="3"/>
        <v>70892895.079999998</v>
      </c>
      <c r="S23" s="13">
        <f>ROUND(+'[1]Total Summary'!G8+'[2]Total Summary'!H9,2)</f>
        <v>595090.37</v>
      </c>
      <c r="T23" s="13">
        <f>ROUND(+'[1]Total Summary'!H8+'[2]Total Summary'!I9,2)</f>
        <v>3195.77</v>
      </c>
      <c r="U23" s="13">
        <f t="shared" si="4"/>
        <v>598286.14</v>
      </c>
      <c r="V23" s="13">
        <f>ROUND(+'[1]Total Summary'!J8+'[2]Total Summary'!K9,2)</f>
        <v>5306.31</v>
      </c>
      <c r="W23" s="13">
        <f>ROUND(+'[1]Total Summary'!K8+'[2]Total Summary'!L9,2)</f>
        <v>0</v>
      </c>
      <c r="X23" s="13">
        <f t="shared" si="5"/>
        <v>71496487.530000001</v>
      </c>
      <c r="Y23" s="4" t="b">
        <f t="shared" si="6"/>
        <v>1</v>
      </c>
      <c r="Z23" s="111">
        <f t="shared" si="7"/>
        <v>0</v>
      </c>
    </row>
    <row r="24" spans="1:26" s="4" customFormat="1" ht="15" customHeight="1">
      <c r="A24" s="16">
        <v>10</v>
      </c>
      <c r="B24" s="4" t="s">
        <v>236</v>
      </c>
      <c r="C24" s="4" t="s">
        <v>291</v>
      </c>
      <c r="D24" s="16"/>
      <c r="E24" s="13">
        <v>155822.19</v>
      </c>
      <c r="F24" s="13">
        <f>ROUND('II-D-1.1'!Q23,2)</f>
        <v>0</v>
      </c>
      <c r="G24" s="13">
        <f>ROUND('II-D-1.1'!R23,2)</f>
        <v>0</v>
      </c>
      <c r="H24" s="13">
        <f t="shared" si="1"/>
        <v>155822.19</v>
      </c>
      <c r="I24" s="13">
        <f>+'II-D-1.1'!T23</f>
        <v>0</v>
      </c>
      <c r="J24" s="13">
        <f t="shared" si="0"/>
        <v>155822.19</v>
      </c>
      <c r="K24" s="153">
        <v>1</v>
      </c>
      <c r="L24" s="13">
        <f t="shared" si="2"/>
        <v>155822.19</v>
      </c>
      <c r="M24" s="16"/>
      <c r="N24" s="16"/>
      <c r="O24" s="13">
        <f>ROUND(+'[1]Total Summary'!C9+'[2]Total Summary'!D10,2)</f>
        <v>155822.19</v>
      </c>
      <c r="P24" s="13">
        <f>ROUND(+'[1]Total Summary'!D9+'[2]Total Summary'!E10,2)</f>
        <v>0</v>
      </c>
      <c r="Q24" s="13">
        <f>ROUND(+'[1]Total Summary'!E9+'[2]Total Summary'!F10,2)</f>
        <v>0</v>
      </c>
      <c r="R24" s="13">
        <f t="shared" si="3"/>
        <v>155822.19</v>
      </c>
      <c r="S24" s="13">
        <f>ROUND(+'[1]Total Summary'!G9+'[2]Total Summary'!H10,2)</f>
        <v>0</v>
      </c>
      <c r="T24" s="13">
        <f>ROUND(+'[1]Total Summary'!H9+'[2]Total Summary'!I10,2)</f>
        <v>0</v>
      </c>
      <c r="U24" s="13">
        <f t="shared" si="4"/>
        <v>0</v>
      </c>
      <c r="V24" s="13">
        <f>ROUND(+'[1]Total Summary'!J9+'[2]Total Summary'!K10,2)</f>
        <v>0</v>
      </c>
      <c r="W24" s="13">
        <f>ROUND(+'[1]Total Summary'!K9+'[2]Total Summary'!L10,2)</f>
        <v>0</v>
      </c>
      <c r="X24" s="13">
        <f t="shared" si="5"/>
        <v>155822.19</v>
      </c>
      <c r="Y24" s="4" t="b">
        <f t="shared" si="6"/>
        <v>1</v>
      </c>
      <c r="Z24" s="111">
        <f t="shared" si="7"/>
        <v>0</v>
      </c>
    </row>
    <row r="25" spans="1:26" s="8" customFormat="1" ht="15" customHeight="1">
      <c r="A25" s="16">
        <v>11</v>
      </c>
      <c r="D25" s="18"/>
      <c r="E25" s="123"/>
      <c r="F25" s="123"/>
      <c r="G25" s="123"/>
      <c r="H25" s="123"/>
      <c r="I25" s="123"/>
      <c r="J25" s="123"/>
      <c r="K25" s="19"/>
      <c r="L25" s="123"/>
      <c r="M25" s="18"/>
      <c r="N25" s="18"/>
      <c r="O25" s="123"/>
      <c r="P25" s="123"/>
      <c r="Q25" s="123"/>
      <c r="R25" s="123"/>
      <c r="S25" s="123"/>
      <c r="T25" s="123"/>
      <c r="U25" s="123"/>
      <c r="V25" s="123"/>
      <c r="W25" s="123"/>
      <c r="X25" s="123"/>
    </row>
    <row r="26" spans="1:26" s="4" customFormat="1" ht="15" customHeight="1">
      <c r="A26" s="16">
        <v>12</v>
      </c>
      <c r="C26" s="22" t="s">
        <v>54</v>
      </c>
      <c r="D26" s="16"/>
      <c r="E26" s="176">
        <f t="shared" ref="E26:J26" si="8">SUM(E17:E24)</f>
        <v>2070892194.1200001</v>
      </c>
      <c r="F26" s="176">
        <f t="shared" si="8"/>
        <v>0</v>
      </c>
      <c r="G26" s="176">
        <f t="shared" si="8"/>
        <v>0</v>
      </c>
      <c r="H26" s="176">
        <f t="shared" si="8"/>
        <v>2070892194.1200001</v>
      </c>
      <c r="I26" s="176">
        <f t="shared" si="8"/>
        <v>142626243.8000001</v>
      </c>
      <c r="J26" s="176">
        <f t="shared" si="8"/>
        <v>2213518437.9200001</v>
      </c>
      <c r="K26" s="19"/>
      <c r="L26" s="176">
        <f>SUM(L17:L24)</f>
        <v>2213518437.9200001</v>
      </c>
      <c r="M26" s="16"/>
      <c r="N26" s="16"/>
      <c r="O26" s="176">
        <f t="shared" ref="O26:X26" si="9">SUM(O17:O24)</f>
        <v>108179150.39</v>
      </c>
      <c r="P26" s="176">
        <f t="shared" si="9"/>
        <v>3179684.28</v>
      </c>
      <c r="Q26" s="176">
        <f t="shared" ref="Q26" si="10">SUM(Q17:Q24)</f>
        <v>475836.37</v>
      </c>
      <c r="R26" s="176">
        <f t="shared" si="9"/>
        <v>111834671.03999999</v>
      </c>
      <c r="S26" s="176">
        <f t="shared" si="9"/>
        <v>2101684682.04</v>
      </c>
      <c r="T26" s="176">
        <f t="shared" ref="T26:U26" si="11">SUM(T17:T24)</f>
        <v>-9925.18</v>
      </c>
      <c r="U26" s="176">
        <f t="shared" si="11"/>
        <v>2101674756.8600001</v>
      </c>
      <c r="V26" s="176">
        <f t="shared" si="9"/>
        <v>9010.02</v>
      </c>
      <c r="W26" s="176">
        <f t="shared" si="9"/>
        <v>0</v>
      </c>
      <c r="X26" s="176">
        <f t="shared" si="9"/>
        <v>2213518437.9200001</v>
      </c>
    </row>
    <row r="27" spans="1:26" s="8" customFormat="1" ht="15" customHeight="1">
      <c r="A27" s="16">
        <v>13</v>
      </c>
      <c r="C27" s="18"/>
      <c r="D27" s="18"/>
      <c r="E27" s="124"/>
      <c r="F27" s="124"/>
      <c r="G27" s="124"/>
      <c r="H27" s="124"/>
      <c r="I27" s="124"/>
      <c r="J27" s="124"/>
      <c r="K27" s="19"/>
      <c r="L27" s="124"/>
      <c r="M27" s="25"/>
      <c r="N27" s="18"/>
      <c r="O27" s="124"/>
      <c r="P27" s="124"/>
      <c r="Q27" s="124"/>
      <c r="R27" s="124"/>
      <c r="S27" s="124"/>
      <c r="T27" s="124"/>
      <c r="U27" s="124"/>
      <c r="V27" s="124"/>
      <c r="W27" s="124"/>
      <c r="X27" s="124"/>
    </row>
    <row r="28" spans="1:26" s="8" customFormat="1" ht="15" customHeight="1">
      <c r="A28" s="16">
        <v>14</v>
      </c>
      <c r="C28" s="15" t="s">
        <v>228</v>
      </c>
      <c r="D28" s="18" t="s">
        <v>41</v>
      </c>
      <c r="E28" s="19"/>
      <c r="F28" s="19"/>
      <c r="G28" s="19"/>
      <c r="H28" s="19"/>
      <c r="I28" s="19"/>
      <c r="J28" s="19"/>
      <c r="K28" s="19"/>
      <c r="L28" s="19"/>
      <c r="M28" s="58"/>
      <c r="N28" s="18"/>
      <c r="O28" s="19"/>
      <c r="P28" s="19"/>
      <c r="Q28" s="19"/>
      <c r="R28" s="19"/>
      <c r="S28" s="19"/>
      <c r="T28" s="19"/>
      <c r="U28" s="19"/>
      <c r="V28" s="19"/>
      <c r="W28" s="19"/>
      <c r="X28" s="19"/>
    </row>
    <row r="29" spans="1:26" s="4" customFormat="1" ht="15" customHeight="1">
      <c r="A29" s="16">
        <v>15</v>
      </c>
      <c r="B29" s="4" t="s">
        <v>237</v>
      </c>
      <c r="C29" s="4" t="s">
        <v>139</v>
      </c>
      <c r="D29" s="16"/>
      <c r="E29" s="150">
        <v>207863.83000000002</v>
      </c>
      <c r="F29" s="150">
        <f>ROUND('II-D-1.1'!Q28,2)</f>
        <v>0</v>
      </c>
      <c r="G29" s="150">
        <f>ROUND('II-D-1.1'!R28,2)</f>
        <v>0</v>
      </c>
      <c r="H29" s="150">
        <f t="shared" ref="H29:H34" si="12">+E29-F29-G29</f>
        <v>207863.83000000002</v>
      </c>
      <c r="I29" s="150">
        <f>+'II-D-1.1'!T28</f>
        <v>0</v>
      </c>
      <c r="J29" s="150">
        <f t="shared" ref="J29:J34" si="13">+H29+I29</f>
        <v>207863.83000000002</v>
      </c>
      <c r="K29" s="153">
        <v>1</v>
      </c>
      <c r="L29" s="150">
        <f t="shared" ref="L29:L34" si="14">+J29*K29</f>
        <v>207863.83000000002</v>
      </c>
      <c r="M29" s="16"/>
      <c r="N29" s="16"/>
      <c r="O29" s="150">
        <f>ROUND(+'[1]Total Summary'!C12+'[2]Total Summary'!D13,2)</f>
        <v>160338.72</v>
      </c>
      <c r="P29" s="150">
        <f>ROUND(+'[1]Total Summary'!D12+'[2]Total Summary'!E13,2)</f>
        <v>2281.2199999999998</v>
      </c>
      <c r="Q29" s="150">
        <f>ROUND(+'[1]Total Summary'!E12+'[2]Total Summary'!F13,2)</f>
        <v>0</v>
      </c>
      <c r="R29" s="150">
        <f t="shared" ref="R29" si="15">SUM(O29:Q29)</f>
        <v>162619.94</v>
      </c>
      <c r="S29" s="150">
        <f>ROUND(+'[1]Total Summary'!G12+'[2]Total Summary'!H13,2)</f>
        <v>43504.86</v>
      </c>
      <c r="T29" s="150">
        <f>ROUND(+'[1]Total Summary'!H12+'[2]Total Summary'!I13,2)</f>
        <v>1739.03</v>
      </c>
      <c r="U29" s="150">
        <f t="shared" ref="U29" si="16">SUM(S29:T29)</f>
        <v>45243.89</v>
      </c>
      <c r="V29" s="150">
        <f>ROUND(+'[1]Total Summary'!J12+'[2]Total Summary'!K13,2)</f>
        <v>0</v>
      </c>
      <c r="W29" s="150">
        <f>ROUND(+'[1]Total Summary'!K12+'[2]Total Summary'!L13,2)</f>
        <v>0</v>
      </c>
      <c r="X29" s="150">
        <f t="shared" ref="X29:X34" si="17">+R29+U29+V29+W29</f>
        <v>207863.83000000002</v>
      </c>
      <c r="Y29" s="4" t="b">
        <f t="shared" ref="Y29:Y34" si="18">ROUND(+X29,2)=ROUND(L29,2)</f>
        <v>1</v>
      </c>
      <c r="Z29" s="111">
        <f t="shared" ref="Z29:Z34" si="19">ROUND(+L29,2)-ROUND(X29,2)</f>
        <v>0</v>
      </c>
    </row>
    <row r="30" spans="1:26" s="4" customFormat="1" ht="15" customHeight="1">
      <c r="A30" s="16">
        <v>16</v>
      </c>
      <c r="B30" s="4" t="s">
        <v>238</v>
      </c>
      <c r="C30" s="30" t="s">
        <v>140</v>
      </c>
      <c r="D30" s="16"/>
      <c r="E30" s="13">
        <v>4620.45</v>
      </c>
      <c r="F30" s="13">
        <f>ROUND('II-D-1.1'!Q29,2)</f>
        <v>0</v>
      </c>
      <c r="G30" s="13">
        <f>ROUND('II-D-1.1'!R29,2)</f>
        <v>0</v>
      </c>
      <c r="H30" s="13">
        <f t="shared" si="12"/>
        <v>4620.45</v>
      </c>
      <c r="I30" s="13">
        <f>+'II-D-1.1'!T29</f>
        <v>0</v>
      </c>
      <c r="J30" s="13">
        <f t="shared" si="13"/>
        <v>4620.45</v>
      </c>
      <c r="K30" s="153">
        <v>1</v>
      </c>
      <c r="L30" s="13">
        <f t="shared" si="14"/>
        <v>4620.45</v>
      </c>
      <c r="M30" s="16"/>
      <c r="N30" s="16"/>
      <c r="O30" s="13">
        <f>ROUND(+'[1]Total Summary'!C13+'[2]Total Summary'!D14,2)</f>
        <v>4324.53</v>
      </c>
      <c r="P30" s="13">
        <f>ROUND(+'[1]Total Summary'!D13+'[2]Total Summary'!E14,2)</f>
        <v>0</v>
      </c>
      <c r="Q30" s="13">
        <f>ROUND(+'[1]Total Summary'!E13+'[2]Total Summary'!F14,2)</f>
        <v>0</v>
      </c>
      <c r="R30" s="13">
        <f t="shared" ref="R30:R34" si="20">SUM(O30:Q30)</f>
        <v>4324.53</v>
      </c>
      <c r="S30" s="13">
        <f>ROUND(+'[1]Total Summary'!G13+'[2]Total Summary'!H14,2)</f>
        <v>142.1</v>
      </c>
      <c r="T30" s="13">
        <f>ROUND(+'[1]Total Summary'!H13+'[2]Total Summary'!I14,2)</f>
        <v>153.82</v>
      </c>
      <c r="U30" s="13">
        <f t="shared" ref="U30:U34" si="21">SUM(S30:T30)</f>
        <v>295.91999999999996</v>
      </c>
      <c r="V30" s="13">
        <f>ROUND(+'[1]Total Summary'!J13+'[2]Total Summary'!K14,2)</f>
        <v>0</v>
      </c>
      <c r="W30" s="13">
        <f>ROUND(+'[1]Total Summary'!K13+'[2]Total Summary'!L14,2)</f>
        <v>0</v>
      </c>
      <c r="X30" s="13">
        <f t="shared" si="17"/>
        <v>4620.45</v>
      </c>
      <c r="Y30" s="4" t="b">
        <f t="shared" si="18"/>
        <v>1</v>
      </c>
      <c r="Z30" s="111">
        <f t="shared" si="19"/>
        <v>0</v>
      </c>
    </row>
    <row r="31" spans="1:26" s="4" customFormat="1" ht="15" customHeight="1">
      <c r="A31" s="16">
        <v>17</v>
      </c>
      <c r="B31" s="4" t="s">
        <v>239</v>
      </c>
      <c r="C31" s="4" t="s">
        <v>375</v>
      </c>
      <c r="D31" s="16"/>
      <c r="E31" s="13">
        <v>7476670.7300000032</v>
      </c>
      <c r="F31" s="13">
        <f>ROUND('II-D-1.1'!Q30,2)</f>
        <v>0</v>
      </c>
      <c r="G31" s="13">
        <f>ROUND('II-D-1.1'!R30,2)</f>
        <v>0</v>
      </c>
      <c r="H31" s="13">
        <f t="shared" si="12"/>
        <v>7476670.7300000032</v>
      </c>
      <c r="I31" s="13">
        <f>+'II-D-1.1'!T30</f>
        <v>0</v>
      </c>
      <c r="J31" s="13">
        <f t="shared" si="13"/>
        <v>7476670.7300000032</v>
      </c>
      <c r="K31" s="153">
        <v>1</v>
      </c>
      <c r="L31" s="13">
        <f t="shared" si="14"/>
        <v>7476670.7300000032</v>
      </c>
      <c r="M31" s="16"/>
      <c r="N31" s="16"/>
      <c r="O31" s="13">
        <f>ROUND(+'[1]Total Summary'!C14+'[2]Total Summary'!D15,2)</f>
        <v>5727940.0300000003</v>
      </c>
      <c r="P31" s="13">
        <f>ROUND(+'[1]Total Summary'!D14+'[2]Total Summary'!E15,2)</f>
        <v>1596390.52</v>
      </c>
      <c r="Q31" s="13">
        <f>ROUND(+'[1]Total Summary'!E14+'[2]Total Summary'!F15,2)</f>
        <v>0</v>
      </c>
      <c r="R31" s="13">
        <f t="shared" si="20"/>
        <v>7324330.5500000007</v>
      </c>
      <c r="S31" s="13">
        <f>ROUND(+'[1]Total Summary'!G14+'[2]Total Summary'!H15,2)</f>
        <v>150005.04999999999</v>
      </c>
      <c r="T31" s="13">
        <f>ROUND(+'[1]Total Summary'!H14+'[2]Total Summary'!I15,2)</f>
        <v>2335.13</v>
      </c>
      <c r="U31" s="13">
        <f t="shared" si="21"/>
        <v>152340.18</v>
      </c>
      <c r="V31" s="13">
        <f>ROUND(+'[1]Total Summary'!J14+'[2]Total Summary'!K15,2)</f>
        <v>0</v>
      </c>
      <c r="W31" s="13">
        <f>ROUND(+'[1]Total Summary'!K14+'[2]Total Summary'!L15,2)</f>
        <v>0</v>
      </c>
      <c r="X31" s="13">
        <f t="shared" si="17"/>
        <v>7476670.7300000004</v>
      </c>
      <c r="Y31" s="4" t="b">
        <f t="shared" si="18"/>
        <v>1</v>
      </c>
      <c r="Z31" s="111">
        <f t="shared" si="19"/>
        <v>0</v>
      </c>
    </row>
    <row r="32" spans="1:26" s="4" customFormat="1" ht="15" customHeight="1">
      <c r="A32" s="16">
        <v>18</v>
      </c>
      <c r="B32" s="4" t="s">
        <v>240</v>
      </c>
      <c r="C32" s="4" t="s">
        <v>376</v>
      </c>
      <c r="D32" s="16"/>
      <c r="E32" s="13">
        <v>20091049.000000022</v>
      </c>
      <c r="F32" s="13">
        <f>ROUND('II-D-1.1'!Q31,2)</f>
        <v>0</v>
      </c>
      <c r="G32" s="13">
        <f>ROUND('II-D-1.1'!R31,2)</f>
        <v>0</v>
      </c>
      <c r="H32" s="13">
        <f t="shared" si="12"/>
        <v>20091049.000000022</v>
      </c>
      <c r="I32" s="13">
        <f>+'II-D-1.1'!T31</f>
        <v>0</v>
      </c>
      <c r="J32" s="13">
        <f t="shared" si="13"/>
        <v>20091049.000000022</v>
      </c>
      <c r="K32" s="153">
        <v>1</v>
      </c>
      <c r="L32" s="13">
        <f t="shared" si="14"/>
        <v>20091049.000000022</v>
      </c>
      <c r="M32" s="16"/>
      <c r="N32" s="16"/>
      <c r="O32" s="13">
        <f>ROUND(+'[1]Total Summary'!C15+'[2]Total Summary'!D16,2)</f>
        <v>19519507.739999998</v>
      </c>
      <c r="P32" s="13">
        <f>ROUND(+'[1]Total Summary'!D15+'[2]Total Summary'!E16,2)</f>
        <v>558858.81999999995</v>
      </c>
      <c r="Q32" s="13">
        <f>ROUND(+'[1]Total Summary'!E15+'[2]Total Summary'!F16,2)</f>
        <v>0</v>
      </c>
      <c r="R32" s="13">
        <f t="shared" si="20"/>
        <v>20078366.559999999</v>
      </c>
      <c r="S32" s="13">
        <f>ROUND(+'[1]Total Summary'!G15+'[2]Total Summary'!H16,2)</f>
        <v>12682.44</v>
      </c>
      <c r="T32" s="13">
        <f>ROUND(+'[1]Total Summary'!H15+'[2]Total Summary'!I16,2)</f>
        <v>0</v>
      </c>
      <c r="U32" s="13">
        <f t="shared" si="21"/>
        <v>12682.44</v>
      </c>
      <c r="V32" s="13">
        <f>ROUND(+'[1]Total Summary'!J15+'[2]Total Summary'!K16,2)</f>
        <v>0</v>
      </c>
      <c r="W32" s="13">
        <f>ROUND(+'[1]Total Summary'!K15+'[2]Total Summary'!L16,2)</f>
        <v>0</v>
      </c>
      <c r="X32" s="13">
        <f t="shared" si="17"/>
        <v>20091049</v>
      </c>
      <c r="Y32" s="4" t="b">
        <f t="shared" si="18"/>
        <v>1</v>
      </c>
      <c r="Z32" s="111">
        <f t="shared" si="19"/>
        <v>0</v>
      </c>
    </row>
    <row r="33" spans="1:26" s="4" customFormat="1" ht="15" customHeight="1">
      <c r="A33" s="16">
        <v>19</v>
      </c>
      <c r="B33" s="4" t="s">
        <v>241</v>
      </c>
      <c r="C33" s="30" t="s">
        <v>377</v>
      </c>
      <c r="D33" s="16"/>
      <c r="E33" s="13">
        <v>-6779.07</v>
      </c>
      <c r="F33" s="13">
        <f>ROUND('II-D-1.1'!Q32,2)</f>
        <v>0</v>
      </c>
      <c r="G33" s="13">
        <f>ROUND('II-D-1.1'!R32,2)</f>
        <v>0</v>
      </c>
      <c r="H33" s="13">
        <f t="shared" si="12"/>
        <v>-6779.07</v>
      </c>
      <c r="I33" s="13">
        <f>+'II-D-1.1'!T32</f>
        <v>0</v>
      </c>
      <c r="J33" s="13">
        <f t="shared" si="13"/>
        <v>-6779.07</v>
      </c>
      <c r="K33" s="153">
        <v>1</v>
      </c>
      <c r="L33" s="13">
        <f t="shared" si="14"/>
        <v>-6779.07</v>
      </c>
      <c r="M33" s="16"/>
      <c r="N33" s="16"/>
      <c r="O33" s="13">
        <f>ROUND(+'[1]Total Summary'!C16+'[2]Total Summary'!D17,2)</f>
        <v>-6779.07</v>
      </c>
      <c r="P33" s="13">
        <f>ROUND(+'[1]Total Summary'!D16+'[2]Total Summary'!E17,2)</f>
        <v>0</v>
      </c>
      <c r="Q33" s="13">
        <f>ROUND(+'[1]Total Summary'!E16+'[2]Total Summary'!F17,2)</f>
        <v>0</v>
      </c>
      <c r="R33" s="13">
        <f t="shared" si="20"/>
        <v>-6779.07</v>
      </c>
      <c r="S33" s="13">
        <f>ROUND(+'[1]Total Summary'!G16+'[2]Total Summary'!H17,2)</f>
        <v>0</v>
      </c>
      <c r="T33" s="13">
        <f>ROUND(+'[1]Total Summary'!H16+'[2]Total Summary'!I17,2)</f>
        <v>0</v>
      </c>
      <c r="U33" s="13">
        <f t="shared" si="21"/>
        <v>0</v>
      </c>
      <c r="V33" s="13">
        <f>ROUND(+'[1]Total Summary'!J16+'[2]Total Summary'!K17,2)</f>
        <v>0</v>
      </c>
      <c r="W33" s="13">
        <f>ROUND(+'[1]Total Summary'!K16+'[2]Total Summary'!L17,2)</f>
        <v>0</v>
      </c>
      <c r="X33" s="13">
        <f t="shared" si="17"/>
        <v>-6779.07</v>
      </c>
      <c r="Y33" s="4" t="b">
        <f t="shared" si="18"/>
        <v>1</v>
      </c>
      <c r="Z33" s="111">
        <f t="shared" si="19"/>
        <v>0</v>
      </c>
    </row>
    <row r="34" spans="1:26" s="4" customFormat="1" ht="15" customHeight="1">
      <c r="A34" s="16">
        <v>20</v>
      </c>
      <c r="B34" s="4" t="s">
        <v>242</v>
      </c>
      <c r="C34" s="30" t="s">
        <v>141</v>
      </c>
      <c r="D34" s="16"/>
      <c r="E34" s="13">
        <v>1008297.3900000001</v>
      </c>
      <c r="F34" s="13">
        <f>ROUND('II-D-1.1'!Q33,2)</f>
        <v>0</v>
      </c>
      <c r="G34" s="13">
        <f>ROUND('II-D-1.1'!R33,2)</f>
        <v>0</v>
      </c>
      <c r="H34" s="13">
        <f t="shared" si="12"/>
        <v>1008297.3900000001</v>
      </c>
      <c r="I34" s="13">
        <f>+'II-D-1.1'!T33</f>
        <v>0</v>
      </c>
      <c r="J34" s="13">
        <f t="shared" si="13"/>
        <v>1008297.3900000001</v>
      </c>
      <c r="K34" s="153">
        <v>1</v>
      </c>
      <c r="L34" s="13">
        <f t="shared" si="14"/>
        <v>1008297.3900000001</v>
      </c>
      <c r="M34" s="16"/>
      <c r="N34" s="16"/>
      <c r="O34" s="13">
        <f>ROUND(+'[1]Total Summary'!C17+'[2]Total Summary'!D18,2)</f>
        <v>914864.48</v>
      </c>
      <c r="P34" s="13">
        <f>ROUND(+'[1]Total Summary'!D17+'[2]Total Summary'!E18,2)</f>
        <v>4181.4399999999996</v>
      </c>
      <c r="Q34" s="13">
        <f>ROUND(+'[1]Total Summary'!E17+'[2]Total Summary'!F18,2)</f>
        <v>0</v>
      </c>
      <c r="R34" s="13">
        <f t="shared" si="20"/>
        <v>919045.91999999993</v>
      </c>
      <c r="S34" s="13">
        <f>ROUND(+'[1]Total Summary'!G17+'[2]Total Summary'!H18,2)</f>
        <v>89251.47</v>
      </c>
      <c r="T34" s="13">
        <f>ROUND(+'[1]Total Summary'!H17+'[2]Total Summary'!I18,2)</f>
        <v>0</v>
      </c>
      <c r="U34" s="13">
        <f t="shared" si="21"/>
        <v>89251.47</v>
      </c>
      <c r="V34" s="13">
        <f>ROUND(+'[1]Total Summary'!J17+'[2]Total Summary'!K18,2)</f>
        <v>0</v>
      </c>
      <c r="W34" s="13">
        <f>ROUND(+'[1]Total Summary'!K17+'[2]Total Summary'!L18,2)</f>
        <v>0</v>
      </c>
      <c r="X34" s="13">
        <f t="shared" si="17"/>
        <v>1008297.3899999999</v>
      </c>
      <c r="Y34" s="4" t="b">
        <f t="shared" si="18"/>
        <v>1</v>
      </c>
      <c r="Z34" s="111">
        <f t="shared" si="19"/>
        <v>0</v>
      </c>
    </row>
    <row r="35" spans="1:26" s="4" customFormat="1" ht="15" customHeight="1">
      <c r="A35" s="16">
        <v>21</v>
      </c>
      <c r="D35" s="16"/>
      <c r="E35" s="123"/>
      <c r="F35" s="123"/>
      <c r="G35" s="123"/>
      <c r="H35" s="123"/>
      <c r="I35" s="123"/>
      <c r="J35" s="123"/>
      <c r="K35" s="13"/>
      <c r="L35" s="123"/>
      <c r="M35" s="16"/>
      <c r="N35" s="16"/>
      <c r="O35" s="123"/>
      <c r="P35" s="123"/>
      <c r="Q35" s="123"/>
      <c r="R35" s="123"/>
      <c r="S35" s="123"/>
      <c r="T35" s="123"/>
      <c r="U35" s="123"/>
      <c r="V35" s="123"/>
      <c r="W35" s="123"/>
      <c r="X35" s="123"/>
    </row>
    <row r="36" spans="1:26" s="8" customFormat="1" ht="15" customHeight="1">
      <c r="A36" s="16">
        <v>22</v>
      </c>
      <c r="C36" s="22" t="s">
        <v>55</v>
      </c>
      <c r="D36" s="18"/>
      <c r="E36" s="176">
        <f t="shared" ref="E36:J36" si="22">SUM(E29:E34)</f>
        <v>28781722.330000028</v>
      </c>
      <c r="F36" s="176">
        <f t="shared" si="22"/>
        <v>0</v>
      </c>
      <c r="G36" s="176">
        <f t="shared" si="22"/>
        <v>0</v>
      </c>
      <c r="H36" s="176">
        <f t="shared" si="22"/>
        <v>28781722.330000028</v>
      </c>
      <c r="I36" s="176">
        <f t="shared" si="22"/>
        <v>0</v>
      </c>
      <c r="J36" s="176">
        <f t="shared" si="22"/>
        <v>28781722.330000028</v>
      </c>
      <c r="K36" s="19"/>
      <c r="L36" s="177">
        <f>SUM(L29:L34)</f>
        <v>28781722.330000028</v>
      </c>
      <c r="M36" s="25"/>
      <c r="N36" s="18"/>
      <c r="O36" s="176">
        <f t="shared" ref="O36:X36" si="23">SUM(O29:O34)</f>
        <v>26320196.43</v>
      </c>
      <c r="P36" s="176">
        <f t="shared" ref="P36:R36" si="24">SUM(P29:P34)</f>
        <v>2161712</v>
      </c>
      <c r="Q36" s="176">
        <f t="shared" ref="Q36" si="25">SUM(Q29:Q34)</f>
        <v>0</v>
      </c>
      <c r="R36" s="176">
        <f t="shared" si="24"/>
        <v>28481908.43</v>
      </c>
      <c r="S36" s="176">
        <f t="shared" si="23"/>
        <v>295585.91999999998</v>
      </c>
      <c r="T36" s="176">
        <f t="shared" si="23"/>
        <v>4227.9799999999996</v>
      </c>
      <c r="U36" s="176">
        <f t="shared" ref="U36" si="26">SUM(U29:U34)</f>
        <v>299813.90000000002</v>
      </c>
      <c r="V36" s="176">
        <f t="shared" si="23"/>
        <v>0</v>
      </c>
      <c r="W36" s="176">
        <f t="shared" ref="W36" si="27">SUM(W29:W34)</f>
        <v>0</v>
      </c>
      <c r="X36" s="176">
        <f t="shared" si="23"/>
        <v>28781722.330000002</v>
      </c>
    </row>
    <row r="37" spans="1:26" s="8" customFormat="1" ht="15" customHeight="1">
      <c r="A37" s="16">
        <v>23</v>
      </c>
      <c r="C37" s="22"/>
      <c r="D37" s="18"/>
      <c r="E37" s="124"/>
      <c r="F37" s="124"/>
      <c r="G37" s="124"/>
      <c r="H37" s="124"/>
      <c r="I37" s="124"/>
      <c r="J37" s="124"/>
      <c r="K37" s="19"/>
      <c r="L37" s="19"/>
      <c r="M37" s="25"/>
      <c r="N37" s="18"/>
      <c r="O37" s="124"/>
      <c r="P37" s="124"/>
      <c r="Q37" s="124"/>
      <c r="R37" s="124"/>
      <c r="S37" s="124"/>
      <c r="T37" s="124"/>
      <c r="U37" s="124"/>
      <c r="V37" s="124"/>
      <c r="W37" s="124"/>
      <c r="X37" s="124"/>
    </row>
    <row r="38" spans="1:26" s="8" customFormat="1" ht="15" customHeight="1">
      <c r="A38" s="16">
        <v>24</v>
      </c>
      <c r="B38" s="8" t="s">
        <v>92</v>
      </c>
      <c r="D38" s="18" t="s">
        <v>41</v>
      </c>
      <c r="E38" s="176">
        <f t="shared" ref="E38:J38" si="28">+E36+E26</f>
        <v>2099673916.45</v>
      </c>
      <c r="F38" s="176">
        <f t="shared" si="28"/>
        <v>0</v>
      </c>
      <c r="G38" s="176">
        <f t="shared" si="28"/>
        <v>0</v>
      </c>
      <c r="H38" s="176">
        <f t="shared" si="28"/>
        <v>2099673916.45</v>
      </c>
      <c r="I38" s="176">
        <f t="shared" si="28"/>
        <v>142626243.8000001</v>
      </c>
      <c r="J38" s="176">
        <f t="shared" si="28"/>
        <v>2242300160.25</v>
      </c>
      <c r="K38" s="19"/>
      <c r="L38" s="176">
        <f>+L36+L26</f>
        <v>2242300160.25</v>
      </c>
      <c r="M38" s="18"/>
      <c r="N38" s="18"/>
      <c r="O38" s="176">
        <f t="shared" ref="O38:X38" si="29">+O36+O26</f>
        <v>134499346.81999999</v>
      </c>
      <c r="P38" s="176">
        <f t="shared" ref="P38:R38" si="30">+P36+P26</f>
        <v>5341396.2799999993</v>
      </c>
      <c r="Q38" s="176">
        <f t="shared" ref="Q38" si="31">+Q36+Q26</f>
        <v>475836.37</v>
      </c>
      <c r="R38" s="176">
        <f t="shared" si="30"/>
        <v>140316579.47</v>
      </c>
      <c r="S38" s="176">
        <f t="shared" si="29"/>
        <v>2101980267.96</v>
      </c>
      <c r="T38" s="176">
        <f t="shared" si="29"/>
        <v>-5697.2000000000007</v>
      </c>
      <c r="U38" s="176">
        <f t="shared" ref="U38" si="32">+U36+U26</f>
        <v>2101974570.7600002</v>
      </c>
      <c r="V38" s="176">
        <f t="shared" si="29"/>
        <v>9010.02</v>
      </c>
      <c r="W38" s="176">
        <f t="shared" ref="W38" si="33">+W36+W26</f>
        <v>0</v>
      </c>
      <c r="X38" s="176">
        <f t="shared" si="29"/>
        <v>2242300160.25</v>
      </c>
    </row>
    <row r="39" spans="1:26" s="8" customFormat="1" ht="15" customHeight="1">
      <c r="A39" s="16">
        <v>25</v>
      </c>
      <c r="D39" s="18"/>
      <c r="E39" s="19"/>
      <c r="F39" s="19"/>
      <c r="G39" s="19"/>
      <c r="H39" s="19"/>
      <c r="I39" s="19"/>
      <c r="J39" s="19"/>
      <c r="K39" s="19"/>
      <c r="L39" s="19"/>
      <c r="M39" s="18"/>
      <c r="N39" s="18"/>
      <c r="O39" s="19"/>
      <c r="P39" s="19"/>
      <c r="Q39" s="19"/>
      <c r="R39" s="19"/>
      <c r="S39" s="19"/>
      <c r="T39" s="19"/>
      <c r="U39" s="19"/>
      <c r="V39" s="19"/>
      <c r="W39" s="19"/>
      <c r="X39" s="19"/>
    </row>
    <row r="40" spans="1:26" s="8" customFormat="1" ht="15" customHeight="1">
      <c r="A40" s="16">
        <v>26</v>
      </c>
      <c r="D40" s="18"/>
      <c r="E40" s="19"/>
      <c r="F40" s="19"/>
      <c r="G40" s="19"/>
      <c r="H40" s="19"/>
      <c r="I40" s="19"/>
      <c r="J40" s="19"/>
      <c r="K40" s="19"/>
      <c r="L40" s="19"/>
      <c r="M40" s="18"/>
      <c r="N40" s="18"/>
      <c r="O40" s="19"/>
      <c r="P40" s="19"/>
      <c r="Q40" s="19"/>
      <c r="R40" s="19"/>
      <c r="S40" s="19"/>
      <c r="T40" s="19"/>
      <c r="U40" s="19"/>
      <c r="V40" s="19"/>
      <c r="W40" s="19"/>
      <c r="X40" s="19"/>
    </row>
    <row r="41" spans="1:26" s="8" customFormat="1" ht="15" customHeight="1">
      <c r="A41" s="16">
        <v>27</v>
      </c>
      <c r="B41" s="8" t="s">
        <v>35</v>
      </c>
      <c r="D41" s="18"/>
      <c r="E41" s="19"/>
      <c r="F41" s="19"/>
      <c r="G41" s="19"/>
      <c r="H41" s="19"/>
      <c r="I41" s="19"/>
      <c r="J41" s="19"/>
      <c r="K41" s="19"/>
      <c r="L41" s="19"/>
      <c r="M41" s="18"/>
      <c r="N41" s="25"/>
      <c r="O41" s="19"/>
      <c r="P41" s="19"/>
      <c r="Q41" s="19"/>
      <c r="R41" s="19"/>
      <c r="S41" s="19"/>
      <c r="T41" s="19"/>
      <c r="U41" s="19"/>
      <c r="V41" s="19"/>
      <c r="W41" s="19"/>
      <c r="X41" s="19"/>
    </row>
    <row r="42" spans="1:26" s="8" customFormat="1" ht="15" customHeight="1">
      <c r="A42" s="16">
        <v>28</v>
      </c>
      <c r="C42" s="15" t="s">
        <v>226</v>
      </c>
      <c r="D42" s="18" t="s">
        <v>41</v>
      </c>
      <c r="E42" s="19"/>
      <c r="F42" s="19"/>
      <c r="G42" s="19"/>
      <c r="H42" s="19"/>
      <c r="I42" s="19"/>
      <c r="J42" s="19"/>
      <c r="K42" s="19"/>
      <c r="L42" s="19"/>
      <c r="M42" s="58"/>
      <c r="N42" s="25"/>
      <c r="O42" s="19"/>
      <c r="P42" s="19"/>
      <c r="Q42" s="19"/>
      <c r="R42" s="19"/>
      <c r="S42" s="19"/>
      <c r="T42" s="19"/>
      <c r="U42" s="19"/>
      <c r="V42" s="19"/>
      <c r="W42" s="19"/>
      <c r="X42" s="19"/>
    </row>
    <row r="43" spans="1:26" s="8" customFormat="1" ht="15" customHeight="1">
      <c r="A43" s="16">
        <v>29</v>
      </c>
      <c r="B43" s="4" t="s">
        <v>249</v>
      </c>
      <c r="C43" s="23" t="s">
        <v>369</v>
      </c>
      <c r="D43" s="18"/>
      <c r="E43" s="150">
        <v>12485422.179999996</v>
      </c>
      <c r="F43" s="150">
        <f>ROUND('II-D-1.1'!Q42,2)</f>
        <v>0</v>
      </c>
      <c r="G43" s="150">
        <f>ROUND('II-D-1.1'!R42,2)</f>
        <v>0</v>
      </c>
      <c r="H43" s="150">
        <f t="shared" ref="H43:H52" si="34">+E43-F43-G43</f>
        <v>12485422.179999996</v>
      </c>
      <c r="I43" s="150">
        <f>+'II-D-1.1'!T42</f>
        <v>-101130.06999999999</v>
      </c>
      <c r="J43" s="150">
        <f>+H43+I43</f>
        <v>12384292.109999996</v>
      </c>
      <c r="K43" s="153">
        <v>1</v>
      </c>
      <c r="L43" s="150">
        <f t="shared" ref="L43:L52" si="35">+J43*K43</f>
        <v>12384292.109999996</v>
      </c>
      <c r="M43" s="58"/>
      <c r="N43" s="16"/>
      <c r="O43" s="150">
        <f>ROUND(+'[1]Total Summary'!C20+'[2]Total Summary'!D21,2)</f>
        <v>46359.29</v>
      </c>
      <c r="P43" s="150">
        <f>ROUND(+'[1]Total Summary'!D20+'[2]Total Summary'!E21,2)</f>
        <v>24.33</v>
      </c>
      <c r="Q43" s="150">
        <f>ROUND(+'[1]Total Summary'!E20+'[2]Total Summary'!F21,2)</f>
        <v>0</v>
      </c>
      <c r="R43" s="150">
        <f t="shared" ref="R43" si="36">SUM(O43:Q43)</f>
        <v>46383.62</v>
      </c>
      <c r="S43" s="150">
        <f>ROUND(+'[1]Total Summary'!G20+'[2]Total Summary'!H21,2)</f>
        <v>11602331.33</v>
      </c>
      <c r="T43" s="150">
        <f>ROUND(+'[1]Total Summary'!H20+'[2]Total Summary'!I21,2)</f>
        <v>20394.900000000001</v>
      </c>
      <c r="U43" s="150">
        <f t="shared" ref="U43" si="37">SUM(S43:T43)</f>
        <v>11622726.23</v>
      </c>
      <c r="V43" s="150">
        <f>ROUND(+'[1]Total Summary'!J20+'[2]Total Summary'!K21,2)</f>
        <v>651135.68000000005</v>
      </c>
      <c r="W43" s="150">
        <f>ROUND(+'[1]Total Summary'!K20+'[2]Total Summary'!L21,2)</f>
        <v>64046.58</v>
      </c>
      <c r="X43" s="150">
        <f t="shared" ref="X43:X52" si="38">+R43+U43+V43+W43</f>
        <v>12384292.109999999</v>
      </c>
      <c r="Y43" s="4" t="b">
        <f t="shared" ref="Y43:Y52" si="39">ROUND(+X43,2)=ROUND(L43,2)</f>
        <v>1</v>
      </c>
      <c r="Z43" s="111">
        <f t="shared" ref="Z43:Z52" si="40">ROUND(+L43,2)-ROUND(X43,2)</f>
        <v>0</v>
      </c>
    </row>
    <row r="44" spans="1:26" s="4" customFormat="1" ht="15" customHeight="1">
      <c r="A44" s="16">
        <v>30</v>
      </c>
      <c r="B44" s="4" t="s">
        <v>243</v>
      </c>
      <c r="C44" s="23" t="s">
        <v>145</v>
      </c>
      <c r="E44" s="13">
        <v>12959390.870000003</v>
      </c>
      <c r="F44" s="13">
        <v>0</v>
      </c>
      <c r="G44" s="13">
        <f>ROUND('II-D-1.1'!R43,2)</f>
        <v>0</v>
      </c>
      <c r="H44" s="13">
        <f t="shared" si="34"/>
        <v>12959390.870000003</v>
      </c>
      <c r="I44" s="13">
        <f>+'II-D-1.1'!T43</f>
        <v>0</v>
      </c>
      <c r="J44" s="13">
        <f>+H44+I44</f>
        <v>12959390.870000003</v>
      </c>
      <c r="K44" s="153">
        <v>1</v>
      </c>
      <c r="L44" s="13">
        <f t="shared" si="35"/>
        <v>12959390.870000003</v>
      </c>
      <c r="M44" s="24"/>
      <c r="N44" s="16"/>
      <c r="O44" s="13">
        <f>ROUND(+'[1]Total Summary'!C21+'[2]Total Summary'!D22,2)</f>
        <v>0</v>
      </c>
      <c r="P44" s="13">
        <f>ROUND(+'[1]Total Summary'!D21+'[2]Total Summary'!E22,2)</f>
        <v>0</v>
      </c>
      <c r="Q44" s="13">
        <f>ROUND(+'[1]Total Summary'!E21+'[2]Total Summary'!F22,2)</f>
        <v>0</v>
      </c>
      <c r="R44" s="13">
        <f t="shared" ref="R44:R52" si="41">SUM(O44:Q44)</f>
        <v>0</v>
      </c>
      <c r="S44" s="13">
        <f>ROUND(+'[1]Total Summary'!G21+'[2]Total Summary'!H22,2)</f>
        <v>12959390.869999999</v>
      </c>
      <c r="T44" s="13">
        <f>ROUND(+'[1]Total Summary'!H21+'[2]Total Summary'!I22,2)</f>
        <v>0</v>
      </c>
      <c r="U44" s="13">
        <f t="shared" ref="U44:U52" si="42">SUM(S44:T44)</f>
        <v>12959390.869999999</v>
      </c>
      <c r="V44" s="13">
        <f>ROUND(+'[1]Total Summary'!J21+'[2]Total Summary'!K22,2)</f>
        <v>0</v>
      </c>
      <c r="W44" s="13">
        <f>ROUND(+'[1]Total Summary'!K21+'[2]Total Summary'!L22,2)</f>
        <v>0</v>
      </c>
      <c r="X44" s="13">
        <f t="shared" si="38"/>
        <v>12959390.869999999</v>
      </c>
      <c r="Y44" s="4" t="b">
        <f t="shared" si="39"/>
        <v>1</v>
      </c>
      <c r="Z44" s="111">
        <f t="shared" si="40"/>
        <v>0</v>
      </c>
    </row>
    <row r="45" spans="1:26" s="4" customFormat="1" ht="15" customHeight="1">
      <c r="A45" s="16">
        <v>31</v>
      </c>
      <c r="B45" s="4" t="s">
        <v>244</v>
      </c>
      <c r="C45" s="4" t="s">
        <v>370</v>
      </c>
      <c r="D45" s="13"/>
      <c r="E45" s="13">
        <v>8323171.169999999</v>
      </c>
      <c r="F45" s="13">
        <f>ROUND('II-D-1.1'!Q44,2)</f>
        <v>0</v>
      </c>
      <c r="G45" s="13">
        <f>ROUND('II-D-1.1'!R44,2)</f>
        <v>0</v>
      </c>
      <c r="H45" s="13">
        <f t="shared" si="34"/>
        <v>8323171.169999999</v>
      </c>
      <c r="I45" s="13">
        <f>+'II-D-1.1'!T44</f>
        <v>-2838233.33</v>
      </c>
      <c r="J45" s="13">
        <f t="shared" ref="J45:J52" si="43">+H45+I45</f>
        <v>5484937.8399999989</v>
      </c>
      <c r="K45" s="153">
        <v>1</v>
      </c>
      <c r="L45" s="13">
        <f t="shared" si="35"/>
        <v>5484937.8399999989</v>
      </c>
      <c r="M45" s="24"/>
      <c r="N45" s="16"/>
      <c r="O45" s="13">
        <f>ROUND(+'[1]Total Summary'!C22+'[2]Total Summary'!D23,2)</f>
        <v>169294.9</v>
      </c>
      <c r="P45" s="13">
        <f>ROUND(+'[1]Total Summary'!D22+'[2]Total Summary'!E23,2)</f>
        <v>3680.51</v>
      </c>
      <c r="Q45" s="13">
        <f>ROUND(+'[1]Total Summary'!E22+'[2]Total Summary'!F23,2)</f>
        <v>0</v>
      </c>
      <c r="R45" s="13">
        <f t="shared" si="41"/>
        <v>172975.41</v>
      </c>
      <c r="S45" s="13">
        <f>ROUND(+'[1]Total Summary'!G22+'[2]Total Summary'!H23,2)</f>
        <v>5100475.93</v>
      </c>
      <c r="T45" s="13">
        <f>ROUND(+'[1]Total Summary'!H22+'[2]Total Summary'!I23,2)</f>
        <v>211486.5</v>
      </c>
      <c r="U45" s="13">
        <f t="shared" si="42"/>
        <v>5311962.43</v>
      </c>
      <c r="V45" s="13">
        <f>ROUND(+'[1]Total Summary'!J22+'[2]Total Summary'!K23,2)</f>
        <v>0</v>
      </c>
      <c r="W45" s="13">
        <f>ROUND(+'[1]Total Summary'!K22+'[2]Total Summary'!L23,2)</f>
        <v>0</v>
      </c>
      <c r="X45" s="13">
        <f t="shared" si="38"/>
        <v>5484937.8399999999</v>
      </c>
      <c r="Y45" s="4" t="b">
        <f t="shared" si="39"/>
        <v>1</v>
      </c>
      <c r="Z45" s="111">
        <f t="shared" si="40"/>
        <v>0</v>
      </c>
    </row>
    <row r="46" spans="1:26" s="4" customFormat="1" ht="15" customHeight="1">
      <c r="A46" s="16">
        <v>32</v>
      </c>
      <c r="B46" s="4" t="s">
        <v>155</v>
      </c>
      <c r="C46" s="4" t="s">
        <v>371</v>
      </c>
      <c r="D46" s="13"/>
      <c r="E46" s="13">
        <v>22024159.949999992</v>
      </c>
      <c r="F46" s="13">
        <f>ROUND('II-D-1.1'!Q45,2)</f>
        <v>0</v>
      </c>
      <c r="G46" s="13">
        <f>ROUND('II-D-1.1'!R45,2)</f>
        <v>0</v>
      </c>
      <c r="H46" s="13">
        <f t="shared" si="34"/>
        <v>22024159.949999992</v>
      </c>
      <c r="I46" s="13">
        <f>+'II-D-1.1'!T45</f>
        <v>44069.88</v>
      </c>
      <c r="J46" s="13">
        <f t="shared" si="43"/>
        <v>22068229.829999991</v>
      </c>
      <c r="K46" s="153">
        <v>1</v>
      </c>
      <c r="L46" s="13">
        <f t="shared" si="35"/>
        <v>22068229.829999991</v>
      </c>
      <c r="M46" s="24"/>
      <c r="N46" s="16"/>
      <c r="O46" s="13">
        <f>ROUND(+'[1]Total Summary'!C23+'[2]Total Summary'!D24,2)</f>
        <v>0</v>
      </c>
      <c r="P46" s="13">
        <f>ROUND(+'[1]Total Summary'!D23+'[2]Total Summary'!E24,2)</f>
        <v>0</v>
      </c>
      <c r="Q46" s="13">
        <f>ROUND(+'[1]Total Summary'!E23+'[2]Total Summary'!F24,2)</f>
        <v>0</v>
      </c>
      <c r="R46" s="13">
        <f t="shared" si="41"/>
        <v>0</v>
      </c>
      <c r="S46" s="13">
        <f>ROUND(+'[1]Total Summary'!G23+'[2]Total Summary'!H24,2)</f>
        <v>22054638.640000001</v>
      </c>
      <c r="T46" s="13">
        <f>ROUND(+'[1]Total Summary'!H23+'[2]Total Summary'!I24,2)</f>
        <v>0</v>
      </c>
      <c r="U46" s="13">
        <f t="shared" si="42"/>
        <v>22054638.640000001</v>
      </c>
      <c r="V46" s="13">
        <f>ROUND(+'[1]Total Summary'!J23+'[2]Total Summary'!K24,2)</f>
        <v>13591.19</v>
      </c>
      <c r="W46" s="13">
        <f>ROUND(+'[1]Total Summary'!K23+'[2]Total Summary'!L24,2)</f>
        <v>0</v>
      </c>
      <c r="X46" s="13">
        <f t="shared" si="38"/>
        <v>22068229.830000002</v>
      </c>
      <c r="Y46" s="4" t="b">
        <f t="shared" si="39"/>
        <v>1</v>
      </c>
      <c r="Z46" s="111">
        <f t="shared" si="40"/>
        <v>0</v>
      </c>
    </row>
    <row r="47" spans="1:26" s="4" customFormat="1" ht="15" customHeight="1">
      <c r="A47" s="16">
        <v>33</v>
      </c>
      <c r="B47" s="4" t="s">
        <v>245</v>
      </c>
      <c r="C47" s="4" t="s">
        <v>372</v>
      </c>
      <c r="D47" s="13"/>
      <c r="E47" s="13">
        <v>9674672.4299999848</v>
      </c>
      <c r="F47" s="13">
        <f>ROUND('II-D-1.1'!Q46,2)</f>
        <v>0</v>
      </c>
      <c r="G47" s="13">
        <f>ROUND('II-D-1.1'!R46,2)</f>
        <v>0</v>
      </c>
      <c r="H47" s="13">
        <f t="shared" si="34"/>
        <v>9674672.4299999848</v>
      </c>
      <c r="I47" s="13">
        <f>+'II-D-1.1'!T46</f>
        <v>44942.420000000006</v>
      </c>
      <c r="J47" s="13">
        <f t="shared" si="43"/>
        <v>9719614.8499999847</v>
      </c>
      <c r="K47" s="153">
        <v>1</v>
      </c>
      <c r="L47" s="13">
        <f t="shared" si="35"/>
        <v>9719614.8499999847</v>
      </c>
      <c r="M47" s="24"/>
      <c r="N47" s="16"/>
      <c r="O47" s="13">
        <f>ROUND(+'[1]Total Summary'!C24+'[2]Total Summary'!D25,2)</f>
        <v>0</v>
      </c>
      <c r="P47" s="13">
        <f>ROUND(+'[1]Total Summary'!D24+'[2]Total Summary'!E25,2)</f>
        <v>0</v>
      </c>
      <c r="Q47" s="13">
        <f>ROUND(+'[1]Total Summary'!E24+'[2]Total Summary'!F25,2)</f>
        <v>0</v>
      </c>
      <c r="R47" s="13">
        <f t="shared" si="41"/>
        <v>0</v>
      </c>
      <c r="S47" s="13">
        <f>ROUND(+'[1]Total Summary'!G24+'[2]Total Summary'!H25,2)</f>
        <v>9701086.9600000009</v>
      </c>
      <c r="T47" s="13">
        <f>ROUND(+'[1]Total Summary'!H24+'[2]Total Summary'!I25,2)</f>
        <v>0</v>
      </c>
      <c r="U47" s="13">
        <f t="shared" si="42"/>
        <v>9701086.9600000009</v>
      </c>
      <c r="V47" s="13">
        <f>ROUND(+'[1]Total Summary'!J24+'[2]Total Summary'!K25,2)</f>
        <v>18527.89</v>
      </c>
      <c r="W47" s="13">
        <f>ROUND(+'[1]Total Summary'!K24+'[2]Total Summary'!L25,2)</f>
        <v>0</v>
      </c>
      <c r="X47" s="13">
        <f t="shared" si="38"/>
        <v>9719614.8500000015</v>
      </c>
      <c r="Y47" s="4" t="b">
        <f t="shared" si="39"/>
        <v>1</v>
      </c>
      <c r="Z47" s="111">
        <f t="shared" si="40"/>
        <v>0</v>
      </c>
    </row>
    <row r="48" spans="1:26" s="4" customFormat="1" ht="15" customHeight="1">
      <c r="A48" s="16">
        <v>34</v>
      </c>
      <c r="B48" s="4" t="s">
        <v>279</v>
      </c>
      <c r="C48" s="4" t="s">
        <v>142</v>
      </c>
      <c r="D48" s="13"/>
      <c r="E48" s="13">
        <v>157.60000000000002</v>
      </c>
      <c r="F48" s="13">
        <f>ROUND('II-D-1.1'!Q47,2)</f>
        <v>0</v>
      </c>
      <c r="G48" s="13">
        <f>ROUND('II-D-1.1'!R47,2)</f>
        <v>0</v>
      </c>
      <c r="H48" s="13">
        <f t="shared" si="34"/>
        <v>157.60000000000002</v>
      </c>
      <c r="I48" s="13">
        <f>+'II-D-1.1'!T47</f>
        <v>0</v>
      </c>
      <c r="J48" s="13">
        <f t="shared" si="43"/>
        <v>157.60000000000002</v>
      </c>
      <c r="K48" s="153">
        <v>1</v>
      </c>
      <c r="L48" s="13">
        <f t="shared" si="35"/>
        <v>157.60000000000002</v>
      </c>
      <c r="M48" s="24"/>
      <c r="N48" s="16"/>
      <c r="O48" s="13">
        <f>ROUND(+'[1]Total Summary'!C25+'[2]Total Summary'!D26,2)</f>
        <v>0</v>
      </c>
      <c r="P48" s="13">
        <f>ROUND(+'[1]Total Summary'!D25+'[2]Total Summary'!E26,2)</f>
        <v>0</v>
      </c>
      <c r="Q48" s="13">
        <f>ROUND(+'[1]Total Summary'!E25+'[2]Total Summary'!F26,2)</f>
        <v>0</v>
      </c>
      <c r="R48" s="13">
        <f t="shared" si="41"/>
        <v>0</v>
      </c>
      <c r="S48" s="13">
        <f>ROUND(+'[1]Total Summary'!G25+'[2]Total Summary'!H26,2)</f>
        <v>157.6</v>
      </c>
      <c r="T48" s="13">
        <f>ROUND(+'[1]Total Summary'!H25+'[2]Total Summary'!I26,2)</f>
        <v>0</v>
      </c>
      <c r="U48" s="13">
        <f t="shared" si="42"/>
        <v>157.6</v>
      </c>
      <c r="V48" s="13">
        <f>ROUND(+'[1]Total Summary'!J25+'[2]Total Summary'!K26,2)</f>
        <v>0</v>
      </c>
      <c r="W48" s="13">
        <f>ROUND(+'[1]Total Summary'!K25+'[2]Total Summary'!L26,2)</f>
        <v>0</v>
      </c>
      <c r="X48" s="13">
        <f t="shared" si="38"/>
        <v>157.6</v>
      </c>
      <c r="Y48" s="4" t="b">
        <f t="shared" si="39"/>
        <v>1</v>
      </c>
      <c r="Z48" s="111">
        <f t="shared" si="40"/>
        <v>0</v>
      </c>
    </row>
    <row r="49" spans="1:26" s="4" customFormat="1" ht="15" customHeight="1">
      <c r="A49" s="16">
        <v>35</v>
      </c>
      <c r="B49" s="4" t="s">
        <v>246</v>
      </c>
      <c r="C49" s="4" t="s">
        <v>144</v>
      </c>
      <c r="D49" s="13"/>
      <c r="E49" s="13">
        <v>34832393.519999936</v>
      </c>
      <c r="F49" s="13">
        <f>ROUND('II-D-1.1'!Q48,2)</f>
        <v>0</v>
      </c>
      <c r="G49" s="13">
        <f>ROUND('II-D-1.1'!R48,2)</f>
        <v>0</v>
      </c>
      <c r="H49" s="13">
        <f t="shared" si="34"/>
        <v>34832393.519999936</v>
      </c>
      <c r="I49" s="13">
        <f>+'II-D-1.1'!T48</f>
        <v>172614.89</v>
      </c>
      <c r="J49" s="13">
        <f t="shared" si="43"/>
        <v>35005008.409999937</v>
      </c>
      <c r="K49" s="153">
        <v>1</v>
      </c>
      <c r="L49" s="13">
        <f t="shared" si="35"/>
        <v>35005008.409999937</v>
      </c>
      <c r="M49" s="24"/>
      <c r="N49" s="16"/>
      <c r="O49" s="13">
        <f>ROUND(+'[1]Total Summary'!C26+'[2]Total Summary'!D27,2)</f>
        <v>0</v>
      </c>
      <c r="P49" s="13">
        <f>ROUND(+'[1]Total Summary'!D26+'[2]Total Summary'!E27,2)</f>
        <v>0</v>
      </c>
      <c r="Q49" s="13">
        <f>ROUND(+'[1]Total Summary'!E26+'[2]Total Summary'!F27,2)</f>
        <v>0</v>
      </c>
      <c r="R49" s="13">
        <f t="shared" si="41"/>
        <v>0</v>
      </c>
      <c r="S49" s="13">
        <f>ROUND(+'[1]Total Summary'!G26+'[2]Total Summary'!H27,2)</f>
        <v>0</v>
      </c>
      <c r="T49" s="13">
        <f>ROUND(+'[1]Total Summary'!H26+'[2]Total Summary'!I27,2)</f>
        <v>0</v>
      </c>
      <c r="U49" s="13">
        <f t="shared" si="42"/>
        <v>0</v>
      </c>
      <c r="V49" s="13">
        <f>ROUND(+'[1]Total Summary'!J26+'[2]Total Summary'!K27,2)</f>
        <v>35005008.409999996</v>
      </c>
      <c r="W49" s="13">
        <f>ROUND(+'[1]Total Summary'!K26+'[2]Total Summary'!L27,2)</f>
        <v>0</v>
      </c>
      <c r="X49" s="13">
        <f t="shared" si="38"/>
        <v>35005008.409999996</v>
      </c>
      <c r="Y49" s="4" t="b">
        <f t="shared" si="39"/>
        <v>1</v>
      </c>
      <c r="Z49" s="111">
        <f t="shared" si="40"/>
        <v>0</v>
      </c>
    </row>
    <row r="50" spans="1:26" s="4" customFormat="1" ht="15" customHeight="1">
      <c r="A50" s="16">
        <v>36</v>
      </c>
      <c r="B50" s="4" t="s">
        <v>247</v>
      </c>
      <c r="C50" s="4" t="s">
        <v>143</v>
      </c>
      <c r="D50" s="13"/>
      <c r="E50" s="13">
        <v>2655620.8500000006</v>
      </c>
      <c r="F50" s="13">
        <f>ROUND('II-D-1.1'!Q49,2)</f>
        <v>0</v>
      </c>
      <c r="G50" s="13">
        <f>ROUND('II-D-1.1'!R49,2)</f>
        <v>0</v>
      </c>
      <c r="H50" s="13">
        <f t="shared" si="34"/>
        <v>2655620.8500000006</v>
      </c>
      <c r="I50" s="13">
        <f>+'II-D-1.1'!T49</f>
        <v>0</v>
      </c>
      <c r="J50" s="13">
        <f t="shared" si="43"/>
        <v>2655620.8500000006</v>
      </c>
      <c r="K50" s="153">
        <v>1</v>
      </c>
      <c r="L50" s="13">
        <f t="shared" si="35"/>
        <v>2655620.8500000006</v>
      </c>
      <c r="M50" s="24"/>
      <c r="N50" s="16"/>
      <c r="O50" s="13">
        <f>ROUND(+'[1]Total Summary'!C27+'[2]Total Summary'!D28,2)</f>
        <v>0</v>
      </c>
      <c r="P50" s="13">
        <f>ROUND(+'[1]Total Summary'!D27+'[2]Total Summary'!E28,2)</f>
        <v>0</v>
      </c>
      <c r="Q50" s="13">
        <f>ROUND(+'[1]Total Summary'!E27+'[2]Total Summary'!F28,2)</f>
        <v>0</v>
      </c>
      <c r="R50" s="13">
        <f t="shared" si="41"/>
        <v>0</v>
      </c>
      <c r="S50" s="13">
        <f>ROUND(+'[1]Total Summary'!G27+'[2]Total Summary'!H28,2)</f>
        <v>2655620.85</v>
      </c>
      <c r="T50" s="13">
        <f>ROUND(+'[1]Total Summary'!H27+'[2]Total Summary'!I28,2)</f>
        <v>0</v>
      </c>
      <c r="U50" s="13">
        <f t="shared" si="42"/>
        <v>2655620.85</v>
      </c>
      <c r="V50" s="13">
        <f>ROUND(+'[1]Total Summary'!J27+'[2]Total Summary'!K28,2)</f>
        <v>0</v>
      </c>
      <c r="W50" s="13">
        <f>ROUND(+'[1]Total Summary'!K27+'[2]Total Summary'!L28,2)</f>
        <v>0</v>
      </c>
      <c r="X50" s="13">
        <f t="shared" si="38"/>
        <v>2655620.85</v>
      </c>
      <c r="Y50" s="4" t="b">
        <f t="shared" si="39"/>
        <v>1</v>
      </c>
      <c r="Z50" s="111">
        <f t="shared" si="40"/>
        <v>0</v>
      </c>
    </row>
    <row r="51" spans="1:26" s="4" customFormat="1" ht="15" customHeight="1">
      <c r="A51" s="16">
        <v>37</v>
      </c>
      <c r="B51" s="4" t="s">
        <v>250</v>
      </c>
      <c r="C51" s="4" t="s">
        <v>146</v>
      </c>
      <c r="D51" s="13"/>
      <c r="E51" s="13">
        <v>97452674.909999952</v>
      </c>
      <c r="F51" s="13">
        <f>ROUND('II-D-1.1'!Q50,2)</f>
        <v>0</v>
      </c>
      <c r="G51" s="13">
        <f>ROUND('II-D-1.1'!R50,2)</f>
        <v>0</v>
      </c>
      <c r="H51" s="13">
        <f t="shared" si="34"/>
        <v>97452674.909999952</v>
      </c>
      <c r="I51" s="13">
        <f>+'II-D-1.1'!T50</f>
        <v>19185131.759999994</v>
      </c>
      <c r="J51" s="13">
        <f t="shared" si="43"/>
        <v>116637806.66999994</v>
      </c>
      <c r="K51" s="153">
        <v>1</v>
      </c>
      <c r="L51" s="13">
        <f t="shared" si="35"/>
        <v>116637806.66999994</v>
      </c>
      <c r="M51" s="24"/>
      <c r="N51" s="16"/>
      <c r="O51" s="13">
        <f>ROUND(+'[1]Total Summary'!C28+'[2]Total Summary'!D29,2)</f>
        <v>101473.9</v>
      </c>
      <c r="P51" s="13">
        <f>ROUND(+'[1]Total Summary'!D28+'[2]Total Summary'!E29,2)</f>
        <v>64.52</v>
      </c>
      <c r="Q51" s="13">
        <f>ROUND(+'[1]Total Summary'!E28+'[2]Total Summary'!F29,2)</f>
        <v>0</v>
      </c>
      <c r="R51" s="13">
        <f t="shared" si="41"/>
        <v>101538.42</v>
      </c>
      <c r="S51" s="13">
        <f>ROUND(+'[1]Total Summary'!G28+'[2]Total Summary'!H29,2)</f>
        <v>114338938.56</v>
      </c>
      <c r="T51" s="13">
        <f>ROUND(+'[1]Total Summary'!H28+'[2]Total Summary'!I29,2)</f>
        <v>17142.25</v>
      </c>
      <c r="U51" s="13">
        <f t="shared" si="42"/>
        <v>114356080.81</v>
      </c>
      <c r="V51" s="13">
        <f>ROUND(+'[1]Total Summary'!J28+'[2]Total Summary'!K29,2)</f>
        <v>2054606.74</v>
      </c>
      <c r="W51" s="13">
        <f>ROUND(+'[1]Total Summary'!K28+'[2]Total Summary'!L29,2)</f>
        <v>125580.7</v>
      </c>
      <c r="X51" s="13">
        <f t="shared" si="38"/>
        <v>116637806.67</v>
      </c>
      <c r="Y51" s="4" t="b">
        <f t="shared" si="39"/>
        <v>1</v>
      </c>
      <c r="Z51" s="111">
        <f t="shared" si="40"/>
        <v>0</v>
      </c>
    </row>
    <row r="52" spans="1:26" s="4" customFormat="1" ht="15" customHeight="1">
      <c r="A52" s="16">
        <v>38</v>
      </c>
      <c r="B52" s="4" t="s">
        <v>248</v>
      </c>
      <c r="C52" s="4" t="s">
        <v>227</v>
      </c>
      <c r="D52" s="13"/>
      <c r="E52" s="13">
        <v>2811041.6999999997</v>
      </c>
      <c r="F52" s="13">
        <f>ROUND('II-D-1.1'!Q51,2)</f>
        <v>0</v>
      </c>
      <c r="G52" s="13">
        <f>ROUND('II-D-1.1'!R51,2)</f>
        <v>0</v>
      </c>
      <c r="H52" s="13">
        <f t="shared" si="34"/>
        <v>2811041.6999999997</v>
      </c>
      <c r="I52" s="13">
        <f>+'II-D-1.1'!T51</f>
        <v>-2609865.7999999998</v>
      </c>
      <c r="J52" s="13">
        <f t="shared" si="43"/>
        <v>201175.89999999991</v>
      </c>
      <c r="K52" s="153">
        <v>1</v>
      </c>
      <c r="L52" s="13">
        <f t="shared" si="35"/>
        <v>201175.89999999991</v>
      </c>
      <c r="M52" s="24"/>
      <c r="N52" s="16"/>
      <c r="O52" s="13">
        <f>ROUND(+'[1]Total Summary'!C29+'[2]Total Summary'!D30,2)</f>
        <v>0</v>
      </c>
      <c r="P52" s="13">
        <f>ROUND(+'[1]Total Summary'!D29+'[2]Total Summary'!E30,2)</f>
        <v>0</v>
      </c>
      <c r="Q52" s="13">
        <f>ROUND(+'[1]Total Summary'!E29+'[2]Total Summary'!F30,2)</f>
        <v>0</v>
      </c>
      <c r="R52" s="13">
        <f t="shared" si="41"/>
        <v>0</v>
      </c>
      <c r="S52" s="13">
        <f>ROUND(+'[1]Total Summary'!G29+'[2]Total Summary'!H30,2)</f>
        <v>201175.9</v>
      </c>
      <c r="T52" s="13">
        <f>ROUND(+'[1]Total Summary'!H29+'[2]Total Summary'!I30,2)</f>
        <v>0</v>
      </c>
      <c r="U52" s="13">
        <f t="shared" si="42"/>
        <v>201175.9</v>
      </c>
      <c r="V52" s="13">
        <f>ROUND(+'[1]Total Summary'!J29+'[2]Total Summary'!K30,2)</f>
        <v>0</v>
      </c>
      <c r="W52" s="13">
        <f>ROUND(+'[1]Total Summary'!K29+'[2]Total Summary'!L30,2)</f>
        <v>0</v>
      </c>
      <c r="X52" s="13">
        <f t="shared" si="38"/>
        <v>201175.9</v>
      </c>
      <c r="Y52" s="4" t="b">
        <f t="shared" si="39"/>
        <v>1</v>
      </c>
      <c r="Z52" s="111">
        <f t="shared" si="40"/>
        <v>0</v>
      </c>
    </row>
    <row r="53" spans="1:26" s="4" customFormat="1" ht="15" customHeight="1">
      <c r="A53" s="16">
        <v>39</v>
      </c>
      <c r="D53" s="13"/>
      <c r="E53" s="123"/>
      <c r="F53" s="123"/>
      <c r="G53" s="123"/>
      <c r="H53" s="123"/>
      <c r="I53" s="123"/>
      <c r="J53" s="123"/>
      <c r="K53" s="13"/>
      <c r="L53" s="123"/>
      <c r="M53" s="24"/>
      <c r="N53" s="16"/>
      <c r="O53" s="123"/>
      <c r="P53" s="123"/>
      <c r="Q53" s="123"/>
      <c r="R53" s="123"/>
      <c r="S53" s="123"/>
      <c r="T53" s="123"/>
      <c r="U53" s="123"/>
      <c r="V53" s="123"/>
      <c r="W53" s="123"/>
      <c r="X53" s="123"/>
    </row>
    <row r="54" spans="1:26" s="8" customFormat="1" ht="15" customHeight="1">
      <c r="A54" s="16">
        <v>40</v>
      </c>
      <c r="C54" s="22" t="s">
        <v>56</v>
      </c>
      <c r="D54" s="18"/>
      <c r="E54" s="176">
        <f t="shared" ref="E54:J54" si="44">SUM(E43:E52)</f>
        <v>203218705.17999983</v>
      </c>
      <c r="F54" s="176">
        <f t="shared" si="44"/>
        <v>0</v>
      </c>
      <c r="G54" s="176">
        <f t="shared" si="44"/>
        <v>0</v>
      </c>
      <c r="H54" s="176">
        <f t="shared" si="44"/>
        <v>203218705.17999983</v>
      </c>
      <c r="I54" s="176">
        <f t="shared" si="44"/>
        <v>13897529.749999993</v>
      </c>
      <c r="J54" s="176">
        <f t="shared" si="44"/>
        <v>217116234.92999986</v>
      </c>
      <c r="K54" s="19"/>
      <c r="L54" s="176">
        <f>SUM(L43:L52)</f>
        <v>217116234.92999986</v>
      </c>
      <c r="M54" s="25"/>
      <c r="N54" s="18"/>
      <c r="O54" s="176">
        <f t="shared" ref="O54:X54" si="45">SUM(O43:O52)</f>
        <v>317128.08999999997</v>
      </c>
      <c r="P54" s="176">
        <f t="shared" si="45"/>
        <v>3769.36</v>
      </c>
      <c r="Q54" s="176">
        <f t="shared" ref="Q54" si="46">SUM(Q43:Q52)</f>
        <v>0</v>
      </c>
      <c r="R54" s="176">
        <f t="shared" si="45"/>
        <v>320897.45</v>
      </c>
      <c r="S54" s="176">
        <f t="shared" si="45"/>
        <v>178613816.64000002</v>
      </c>
      <c r="T54" s="176">
        <f t="shared" ref="T54:U54" si="47">SUM(T43:T52)</f>
        <v>249023.65</v>
      </c>
      <c r="U54" s="176">
        <f t="shared" si="47"/>
        <v>178862840.29000002</v>
      </c>
      <c r="V54" s="176">
        <f t="shared" si="45"/>
        <v>37742869.909999996</v>
      </c>
      <c r="W54" s="176">
        <f t="shared" ref="W54" si="48">SUM(W43:W52)</f>
        <v>189627.28</v>
      </c>
      <c r="X54" s="176">
        <f t="shared" si="45"/>
        <v>217116234.92999998</v>
      </c>
    </row>
    <row r="55" spans="1:26" s="8" customFormat="1" ht="15" customHeight="1">
      <c r="A55" s="16">
        <v>41</v>
      </c>
      <c r="B55" s="15"/>
      <c r="D55" s="18"/>
      <c r="E55" s="124"/>
      <c r="F55" s="124"/>
      <c r="G55" s="124"/>
      <c r="H55" s="124"/>
      <c r="I55" s="124"/>
      <c r="J55" s="124"/>
      <c r="K55" s="19"/>
      <c r="L55" s="124"/>
      <c r="M55" s="58"/>
      <c r="N55" s="18"/>
      <c r="O55" s="124"/>
      <c r="P55" s="124"/>
      <c r="Q55" s="124"/>
      <c r="R55" s="124"/>
      <c r="S55" s="124"/>
      <c r="T55" s="124"/>
      <c r="U55" s="124"/>
      <c r="V55" s="124"/>
      <c r="W55" s="124"/>
      <c r="X55" s="124"/>
    </row>
    <row r="56" spans="1:26" s="8" customFormat="1" ht="15" customHeight="1">
      <c r="A56" s="16">
        <v>42</v>
      </c>
      <c r="C56" s="15" t="s">
        <v>228</v>
      </c>
      <c r="D56" s="18" t="s">
        <v>41</v>
      </c>
      <c r="E56" s="19"/>
      <c r="F56" s="19"/>
      <c r="G56" s="19"/>
      <c r="H56" s="19"/>
      <c r="I56" s="19"/>
      <c r="J56" s="19"/>
      <c r="K56" s="19"/>
      <c r="L56" s="19"/>
      <c r="M56" s="58"/>
      <c r="N56" s="25"/>
      <c r="O56" s="19"/>
      <c r="P56" s="19"/>
      <c r="Q56" s="19"/>
      <c r="R56" s="19"/>
      <c r="S56" s="19"/>
      <c r="T56" s="19"/>
      <c r="U56" s="19"/>
      <c r="V56" s="19"/>
      <c r="W56" s="19"/>
      <c r="X56" s="19"/>
    </row>
    <row r="57" spans="1:26" s="8" customFormat="1" ht="15" customHeight="1">
      <c r="A57" s="16">
        <v>43</v>
      </c>
      <c r="B57" s="4" t="s">
        <v>256</v>
      </c>
      <c r="C57" s="4" t="s">
        <v>139</v>
      </c>
      <c r="D57" s="18"/>
      <c r="E57" s="150">
        <v>3367318.3600000017</v>
      </c>
      <c r="F57" s="150">
        <f>ROUND('II-D-1.1'!Q56,2)</f>
        <v>0</v>
      </c>
      <c r="G57" s="150">
        <f>ROUND('II-D-1.1'!R56,2)</f>
        <v>0</v>
      </c>
      <c r="H57" s="150">
        <f t="shared" ref="H57:H65" si="49">+E57-F57-G57</f>
        <v>3367318.3600000017</v>
      </c>
      <c r="I57" s="150">
        <f>+'II-D-1.1'!T56</f>
        <v>609.13</v>
      </c>
      <c r="J57" s="150">
        <f>+H57+I57</f>
        <v>3367927.4900000016</v>
      </c>
      <c r="K57" s="153">
        <v>1</v>
      </c>
      <c r="L57" s="150">
        <f t="shared" ref="L57:L65" si="50">+J57*K57</f>
        <v>3367927.4900000016</v>
      </c>
      <c r="M57" s="58"/>
      <c r="N57" s="16"/>
      <c r="O57" s="150">
        <f>+'[1]Total Summary'!C32+'[2]Total Summary'!D33</f>
        <v>34568.270000000004</v>
      </c>
      <c r="P57" s="150">
        <f>+'[1]Total Summary'!D32+'[2]Total Summary'!E33</f>
        <v>318.04000000000002</v>
      </c>
      <c r="Q57" s="150">
        <f>+'[1]Total Summary'!E32+'[2]Total Summary'!F33</f>
        <v>0</v>
      </c>
      <c r="R57" s="150">
        <f t="shared" ref="R57" si="51">SUM(O57:Q57)</f>
        <v>34886.310000000005</v>
      </c>
      <c r="S57" s="150">
        <f>+'[1]Total Summary'!G32+'[2]Total Summary'!H33</f>
        <v>2657755.9500000011</v>
      </c>
      <c r="T57" s="150">
        <f>+'[1]Total Summary'!H32+'[2]Total Summary'!I33</f>
        <v>12.12</v>
      </c>
      <c r="U57" s="150">
        <f t="shared" ref="U57" si="52">SUM(S57:T57)</f>
        <v>2657768.0700000012</v>
      </c>
      <c r="V57" s="150">
        <f>+'[1]Total Summary'!J32+'[2]Total Summary'!K33</f>
        <v>675219.36000000022</v>
      </c>
      <c r="W57" s="150">
        <f>+'[1]Total Summary'!K32+'[2]Total Summary'!L33</f>
        <v>53.75</v>
      </c>
      <c r="X57" s="150">
        <f t="shared" ref="X57:X65" si="53">+R57+U57+V57+W57</f>
        <v>3367927.4900000016</v>
      </c>
      <c r="Y57" s="4" t="b">
        <f t="shared" ref="Y57:Y65" si="54">ROUND(+X57,2)=ROUND(L57,2)</f>
        <v>1</v>
      </c>
      <c r="Z57" s="111">
        <f t="shared" ref="Z57:Z65" si="55">ROUND(+L57,2)-ROUND(X57,2)</f>
        <v>0</v>
      </c>
    </row>
    <row r="58" spans="1:26" s="4" customFormat="1" ht="15" customHeight="1">
      <c r="A58" s="16">
        <v>44</v>
      </c>
      <c r="B58" s="4" t="s">
        <v>251</v>
      </c>
      <c r="C58" s="30" t="s">
        <v>140</v>
      </c>
      <c r="D58" s="16"/>
      <c r="E58" s="13">
        <v>6338.87</v>
      </c>
      <c r="F58" s="13">
        <f>ROUND('II-D-1.1'!Q57,2)</f>
        <v>0</v>
      </c>
      <c r="G58" s="13">
        <f>ROUND('II-D-1.1'!R57,2)</f>
        <v>0</v>
      </c>
      <c r="H58" s="13">
        <f t="shared" si="49"/>
        <v>6338.87</v>
      </c>
      <c r="I58" s="13">
        <f>+'II-D-1.1'!T57</f>
        <v>0</v>
      </c>
      <c r="J58" s="13">
        <f>+H58+I58</f>
        <v>6338.87</v>
      </c>
      <c r="K58" s="153">
        <v>1</v>
      </c>
      <c r="L58" s="13">
        <f t="shared" si="50"/>
        <v>6338.87</v>
      </c>
      <c r="M58" s="16"/>
      <c r="N58" s="16"/>
      <c r="O58" s="13">
        <f>+'[1]Total Summary'!C33+'[2]Total Summary'!D34</f>
        <v>331.24</v>
      </c>
      <c r="P58" s="13">
        <f>+'[1]Total Summary'!D33+'[2]Total Summary'!E34</f>
        <v>0</v>
      </c>
      <c r="Q58" s="13">
        <f>+'[1]Total Summary'!E33+'[2]Total Summary'!F34</f>
        <v>0</v>
      </c>
      <c r="R58" s="13">
        <f t="shared" ref="R58:R65" si="56">SUM(O58:Q58)</f>
        <v>331.24</v>
      </c>
      <c r="S58" s="13">
        <f>+'[1]Total Summary'!G33+'[2]Total Summary'!H34</f>
        <v>6007.63</v>
      </c>
      <c r="T58" s="13">
        <f>+'[1]Total Summary'!H33+'[2]Total Summary'!I34</f>
        <v>0</v>
      </c>
      <c r="U58" s="13">
        <f t="shared" ref="U58:U65" si="57">SUM(S58:T58)</f>
        <v>6007.63</v>
      </c>
      <c r="V58" s="13">
        <f>+'[1]Total Summary'!J33+'[2]Total Summary'!K34</f>
        <v>0</v>
      </c>
      <c r="W58" s="13">
        <f>+'[1]Total Summary'!K33+'[2]Total Summary'!L34</f>
        <v>0</v>
      </c>
      <c r="X58" s="13">
        <f t="shared" si="53"/>
        <v>6338.87</v>
      </c>
      <c r="Y58" s="4" t="b">
        <f t="shared" si="54"/>
        <v>1</v>
      </c>
      <c r="Z58" s="111">
        <f t="shared" si="55"/>
        <v>0</v>
      </c>
    </row>
    <row r="59" spans="1:26" s="4" customFormat="1" ht="15" customHeight="1">
      <c r="A59" s="16">
        <v>45</v>
      </c>
      <c r="B59" s="4" t="s">
        <v>252</v>
      </c>
      <c r="C59" s="4" t="s">
        <v>375</v>
      </c>
      <c r="D59" s="16"/>
      <c r="E59" s="13">
        <v>10134873.399999999</v>
      </c>
      <c r="F59" s="13">
        <f>ROUND('II-D-1.1'!Q58,2)</f>
        <v>0</v>
      </c>
      <c r="G59" s="13">
        <f>ROUND('II-D-1.1'!R58,2)</f>
        <v>0</v>
      </c>
      <c r="H59" s="13">
        <f t="shared" si="49"/>
        <v>10134873.399999999</v>
      </c>
      <c r="I59" s="13">
        <f>+'II-D-1.1'!T58</f>
        <v>14721.05</v>
      </c>
      <c r="J59" s="13">
        <f t="shared" ref="J59:J65" si="58">+H59+I59</f>
        <v>10149594.449999999</v>
      </c>
      <c r="K59" s="153">
        <v>1</v>
      </c>
      <c r="L59" s="13">
        <f t="shared" si="50"/>
        <v>10149594.449999999</v>
      </c>
      <c r="M59" s="16"/>
      <c r="N59" s="16"/>
      <c r="O59" s="13">
        <f>+'[1]Total Summary'!C34+'[2]Total Summary'!D35</f>
        <v>361180.0299999998</v>
      </c>
      <c r="P59" s="13">
        <f>+'[1]Total Summary'!D34+'[2]Total Summary'!E35</f>
        <v>86.539999999999992</v>
      </c>
      <c r="Q59" s="13">
        <f>+'[1]Total Summary'!E34+'[2]Total Summary'!F35</f>
        <v>0</v>
      </c>
      <c r="R59" s="13">
        <f t="shared" si="56"/>
        <v>361266.56999999977</v>
      </c>
      <c r="S59" s="13">
        <f>+'[1]Total Summary'!G34+'[2]Total Summary'!H35</f>
        <v>9523942.879999999</v>
      </c>
      <c r="T59" s="13">
        <f>+'[1]Total Summary'!H34+'[2]Total Summary'!I35</f>
        <v>264385</v>
      </c>
      <c r="U59" s="13">
        <f t="shared" si="57"/>
        <v>9788327.879999999</v>
      </c>
      <c r="V59" s="13">
        <f>+'[1]Total Summary'!J34+'[2]Total Summary'!K35</f>
        <v>0</v>
      </c>
      <c r="W59" s="13">
        <f>+'[1]Total Summary'!K34+'[2]Total Summary'!L35</f>
        <v>0</v>
      </c>
      <c r="X59" s="13">
        <f t="shared" si="53"/>
        <v>10149594.449999999</v>
      </c>
      <c r="Y59" s="4" t="b">
        <f t="shared" si="54"/>
        <v>1</v>
      </c>
      <c r="Z59" s="111">
        <f t="shared" si="55"/>
        <v>0</v>
      </c>
    </row>
    <row r="60" spans="1:26" s="4" customFormat="1" ht="15" customHeight="1">
      <c r="A60" s="16">
        <v>46</v>
      </c>
      <c r="B60" s="4" t="s">
        <v>147</v>
      </c>
      <c r="C60" s="30" t="s">
        <v>376</v>
      </c>
      <c r="D60" s="16"/>
      <c r="E60" s="13">
        <v>125886680.01000012</v>
      </c>
      <c r="F60" s="13">
        <f>ROUND('II-D-1.1'!Q59,2)</f>
        <v>0</v>
      </c>
      <c r="G60" s="13">
        <f>ROUND('II-D-1.1'!R59,2)</f>
        <v>0</v>
      </c>
      <c r="H60" s="13">
        <f t="shared" si="49"/>
        <v>125886680.01000012</v>
      </c>
      <c r="I60" s="13">
        <f>+'II-D-1.1'!T59</f>
        <v>-1214603.6399999997</v>
      </c>
      <c r="J60" s="13">
        <f t="shared" si="58"/>
        <v>124672076.37000012</v>
      </c>
      <c r="K60" s="153">
        <v>1</v>
      </c>
      <c r="L60" s="13">
        <f t="shared" si="50"/>
        <v>124672076.37000012</v>
      </c>
      <c r="M60" s="16"/>
      <c r="N60" s="16"/>
      <c r="O60" s="13">
        <f>+'[1]Total Summary'!C35+'[2]Total Summary'!D36</f>
        <v>4774.42</v>
      </c>
      <c r="P60" s="13">
        <f>+'[1]Total Summary'!D35+'[2]Total Summary'!E36</f>
        <v>185.97</v>
      </c>
      <c r="Q60" s="13">
        <f>+'[1]Total Summary'!E35+'[2]Total Summary'!F36</f>
        <v>0</v>
      </c>
      <c r="R60" s="13">
        <f t="shared" si="56"/>
        <v>4960.3900000000003</v>
      </c>
      <c r="S60" s="13">
        <f>+'[1]Total Summary'!G35+'[2]Total Summary'!H36</f>
        <v>124578101.33000012</v>
      </c>
      <c r="T60" s="13">
        <f>+'[1]Total Summary'!H35+'[2]Total Summary'!I36</f>
        <v>0</v>
      </c>
      <c r="U60" s="13">
        <f t="shared" si="57"/>
        <v>124578101.33000012</v>
      </c>
      <c r="V60" s="13">
        <f>+'[1]Total Summary'!J35+'[2]Total Summary'!K36</f>
        <v>89014.65</v>
      </c>
      <c r="W60" s="13">
        <f>+'[1]Total Summary'!K35+'[2]Total Summary'!L36</f>
        <v>0</v>
      </c>
      <c r="X60" s="13">
        <f t="shared" si="53"/>
        <v>124672076.37000012</v>
      </c>
      <c r="Y60" s="4" t="b">
        <f t="shared" si="54"/>
        <v>1</v>
      </c>
      <c r="Z60" s="111">
        <f t="shared" si="55"/>
        <v>0</v>
      </c>
    </row>
    <row r="61" spans="1:26" s="4" customFormat="1" ht="15" customHeight="1">
      <c r="A61" s="16">
        <v>47</v>
      </c>
      <c r="B61" s="4" t="s">
        <v>148</v>
      </c>
      <c r="C61" s="4" t="s">
        <v>377</v>
      </c>
      <c r="D61" s="16"/>
      <c r="E61" s="13">
        <v>31854753.109999891</v>
      </c>
      <c r="F61" s="13">
        <f>ROUND('II-D-1.1'!Q60,2)</f>
        <v>0</v>
      </c>
      <c r="G61" s="13">
        <f>ROUND('II-D-1.1'!R60,2)</f>
        <v>0</v>
      </c>
      <c r="H61" s="13">
        <f t="shared" si="49"/>
        <v>31854753.109999891</v>
      </c>
      <c r="I61" s="13">
        <f>+'II-D-1.1'!T60</f>
        <v>73041.930000000008</v>
      </c>
      <c r="J61" s="13">
        <f t="shared" si="58"/>
        <v>31927795.039999891</v>
      </c>
      <c r="K61" s="153">
        <v>1</v>
      </c>
      <c r="L61" s="13">
        <f t="shared" si="50"/>
        <v>31927795.039999891</v>
      </c>
      <c r="M61" s="16"/>
      <c r="N61" s="16"/>
      <c r="O61" s="13">
        <f>+'[1]Total Summary'!C36+'[2]Total Summary'!D37</f>
        <v>6.81</v>
      </c>
      <c r="P61" s="13">
        <f>+'[1]Total Summary'!D36+'[2]Total Summary'!E37</f>
        <v>0</v>
      </c>
      <c r="Q61" s="13">
        <f>+'[1]Total Summary'!E36+'[2]Total Summary'!F37</f>
        <v>0</v>
      </c>
      <c r="R61" s="13">
        <f t="shared" si="56"/>
        <v>6.81</v>
      </c>
      <c r="S61" s="13">
        <f>+'[1]Total Summary'!G36+'[2]Total Summary'!H37</f>
        <v>31871379.119999893</v>
      </c>
      <c r="T61" s="13">
        <f>+'[1]Total Summary'!H36+'[2]Total Summary'!I37</f>
        <v>0</v>
      </c>
      <c r="U61" s="13">
        <f t="shared" si="57"/>
        <v>31871379.119999893</v>
      </c>
      <c r="V61" s="13">
        <f>+'[1]Total Summary'!J36+'[2]Total Summary'!K37</f>
        <v>56409.110000000008</v>
      </c>
      <c r="W61" s="13">
        <f>+'[1]Total Summary'!K36+'[2]Total Summary'!L37</f>
        <v>0</v>
      </c>
      <c r="X61" s="13">
        <f t="shared" si="53"/>
        <v>31927795.039999891</v>
      </c>
      <c r="Y61" s="4" t="b">
        <f t="shared" si="54"/>
        <v>1</v>
      </c>
      <c r="Z61" s="111">
        <f t="shared" si="55"/>
        <v>0</v>
      </c>
    </row>
    <row r="62" spans="1:26" s="4" customFormat="1" ht="15" customHeight="1">
      <c r="A62" s="16">
        <v>48</v>
      </c>
      <c r="B62" s="4" t="s">
        <v>253</v>
      </c>
      <c r="C62" s="4" t="s">
        <v>149</v>
      </c>
      <c r="D62" s="16"/>
      <c r="E62" s="13">
        <v>3832879.3499999968</v>
      </c>
      <c r="F62" s="13">
        <f>ROUND('II-D-1.1'!Q61,2)</f>
        <v>0</v>
      </c>
      <c r="G62" s="13">
        <f>ROUND('II-D-1.1'!R61,2)</f>
        <v>0</v>
      </c>
      <c r="H62" s="13">
        <f t="shared" si="49"/>
        <v>3832879.3499999968</v>
      </c>
      <c r="I62" s="13">
        <f>+'II-D-1.1'!T61</f>
        <v>69.349999999999994</v>
      </c>
      <c r="J62" s="13">
        <f t="shared" si="58"/>
        <v>3832948.6999999969</v>
      </c>
      <c r="K62" s="153">
        <v>1</v>
      </c>
      <c r="L62" s="13">
        <f t="shared" si="50"/>
        <v>3832948.6999999969</v>
      </c>
      <c r="M62" s="16"/>
      <c r="N62" s="16"/>
      <c r="O62" s="13">
        <f>+'[1]Total Summary'!C37+'[2]Total Summary'!D38</f>
        <v>0</v>
      </c>
      <c r="P62" s="13">
        <f>+'[1]Total Summary'!D37+'[2]Total Summary'!E38</f>
        <v>0</v>
      </c>
      <c r="Q62" s="13">
        <f>+'[1]Total Summary'!E37+'[2]Total Summary'!F38</f>
        <v>0</v>
      </c>
      <c r="R62" s="13">
        <f t="shared" si="56"/>
        <v>0</v>
      </c>
      <c r="S62" s="13">
        <f>+'[1]Total Summary'!G37+'[2]Total Summary'!H38</f>
        <v>3832933.3499999968</v>
      </c>
      <c r="T62" s="13">
        <f>+'[1]Total Summary'!H37+'[2]Total Summary'!I38</f>
        <v>0</v>
      </c>
      <c r="U62" s="13">
        <f t="shared" si="57"/>
        <v>3832933.3499999968</v>
      </c>
      <c r="V62" s="13">
        <f>+'[1]Total Summary'!J37+'[2]Total Summary'!K38</f>
        <v>15.35</v>
      </c>
      <c r="W62" s="13">
        <f>+'[1]Total Summary'!K37+'[2]Total Summary'!L38</f>
        <v>0</v>
      </c>
      <c r="X62" s="13">
        <f t="shared" si="53"/>
        <v>3832948.6999999969</v>
      </c>
      <c r="Y62" s="4" t="b">
        <f t="shared" si="54"/>
        <v>1</v>
      </c>
      <c r="Z62" s="111">
        <f t="shared" si="55"/>
        <v>0</v>
      </c>
    </row>
    <row r="63" spans="1:26" s="4" customFormat="1" ht="15" customHeight="1">
      <c r="A63" s="16">
        <v>49</v>
      </c>
      <c r="B63" s="4" t="s">
        <v>280</v>
      </c>
      <c r="C63" s="4" t="s">
        <v>150</v>
      </c>
      <c r="D63" s="16"/>
      <c r="E63" s="13">
        <v>10261146.959999967</v>
      </c>
      <c r="F63" s="13">
        <f>ROUND('II-D-1.1'!Q62,2)</f>
        <v>0</v>
      </c>
      <c r="G63" s="13">
        <f>ROUND('II-D-1.1'!R62,2)</f>
        <v>0</v>
      </c>
      <c r="H63" s="13">
        <f t="shared" si="49"/>
        <v>10261146.959999967</v>
      </c>
      <c r="I63" s="13">
        <f>+'II-D-1.1'!T62</f>
        <v>213532.41</v>
      </c>
      <c r="J63" s="13">
        <f t="shared" si="58"/>
        <v>10474679.369999968</v>
      </c>
      <c r="K63" s="153">
        <v>1</v>
      </c>
      <c r="L63" s="13">
        <f t="shared" si="50"/>
        <v>10474679.369999968</v>
      </c>
      <c r="M63" s="16"/>
      <c r="N63" s="16"/>
      <c r="O63" s="13">
        <f>+'[1]Total Summary'!C38+'[2]Total Summary'!D39</f>
        <v>0</v>
      </c>
      <c r="P63" s="13">
        <f>+'[1]Total Summary'!D38+'[2]Total Summary'!E39</f>
        <v>0</v>
      </c>
      <c r="Q63" s="13">
        <f>+'[1]Total Summary'!E38+'[2]Total Summary'!F39</f>
        <v>0</v>
      </c>
      <c r="R63" s="13">
        <f t="shared" si="56"/>
        <v>0</v>
      </c>
      <c r="S63" s="13">
        <f>+'[1]Total Summary'!G38+'[2]Total Summary'!H39</f>
        <v>10452984.359999968</v>
      </c>
      <c r="T63" s="13">
        <f>+'[1]Total Summary'!H38+'[2]Total Summary'!I39</f>
        <v>0</v>
      </c>
      <c r="U63" s="13">
        <f t="shared" si="57"/>
        <v>10452984.359999968</v>
      </c>
      <c r="V63" s="13">
        <f>+'[1]Total Summary'!J38+'[2]Total Summary'!K39</f>
        <v>21695.01</v>
      </c>
      <c r="W63" s="13">
        <f>+'[1]Total Summary'!K38+'[2]Total Summary'!L39</f>
        <v>0</v>
      </c>
      <c r="X63" s="13">
        <f t="shared" si="53"/>
        <v>10474679.369999968</v>
      </c>
      <c r="Y63" s="4" t="b">
        <f t="shared" si="54"/>
        <v>1</v>
      </c>
      <c r="Z63" s="111">
        <f t="shared" si="55"/>
        <v>0</v>
      </c>
    </row>
    <row r="64" spans="1:26" s="4" customFormat="1" ht="15" customHeight="1">
      <c r="A64" s="16">
        <v>50</v>
      </c>
      <c r="B64" s="4" t="s">
        <v>255</v>
      </c>
      <c r="C64" s="4" t="s">
        <v>151</v>
      </c>
      <c r="D64" s="16"/>
      <c r="E64" s="13">
        <v>22948047.090000018</v>
      </c>
      <c r="F64" s="13">
        <f>ROUND('II-D-1.1'!Q63,2)</f>
        <v>0</v>
      </c>
      <c r="G64" s="13">
        <f>ROUND('II-D-1.1'!R63,2)</f>
        <v>0</v>
      </c>
      <c r="H64" s="13">
        <f t="shared" si="49"/>
        <v>22948047.090000018</v>
      </c>
      <c r="I64" s="13">
        <f>+'II-D-1.1'!T63</f>
        <v>0</v>
      </c>
      <c r="J64" s="13">
        <f t="shared" si="58"/>
        <v>22948047.090000018</v>
      </c>
      <c r="K64" s="153">
        <v>1</v>
      </c>
      <c r="L64" s="13">
        <f t="shared" si="50"/>
        <v>22948047.090000018</v>
      </c>
      <c r="M64" s="16"/>
      <c r="N64" s="16"/>
      <c r="O64" s="13">
        <f>+'[1]Total Summary'!C39+'[2]Total Summary'!D40</f>
        <v>0</v>
      </c>
      <c r="P64" s="13">
        <f>+'[1]Total Summary'!D39+'[2]Total Summary'!E40</f>
        <v>0</v>
      </c>
      <c r="Q64" s="13">
        <f>+'[1]Total Summary'!E39+'[2]Total Summary'!F40</f>
        <v>0</v>
      </c>
      <c r="R64" s="13">
        <f t="shared" si="56"/>
        <v>0</v>
      </c>
      <c r="S64" s="13">
        <f>+'[1]Total Summary'!G39+'[2]Total Summary'!H40</f>
        <v>0</v>
      </c>
      <c r="T64" s="13">
        <f>+'[1]Total Summary'!H39+'[2]Total Summary'!I40</f>
        <v>0</v>
      </c>
      <c r="U64" s="13">
        <f t="shared" si="57"/>
        <v>0</v>
      </c>
      <c r="V64" s="13">
        <f>+'[1]Total Summary'!J39+'[2]Total Summary'!K40</f>
        <v>22948047.090000018</v>
      </c>
      <c r="W64" s="13">
        <f>+'[1]Total Summary'!K39+'[2]Total Summary'!L40</f>
        <v>0</v>
      </c>
      <c r="X64" s="13">
        <f t="shared" si="53"/>
        <v>22948047.090000018</v>
      </c>
      <c r="Y64" s="4" t="b">
        <f t="shared" si="54"/>
        <v>1</v>
      </c>
      <c r="Z64" s="111">
        <f t="shared" si="55"/>
        <v>0</v>
      </c>
    </row>
    <row r="65" spans="1:26" s="4" customFormat="1" ht="15" customHeight="1">
      <c r="A65" s="16">
        <v>51</v>
      </c>
      <c r="B65" s="4" t="s">
        <v>283</v>
      </c>
      <c r="C65" s="4" t="s">
        <v>152</v>
      </c>
      <c r="D65" s="16"/>
      <c r="E65" s="13">
        <v>2316045.3800000018</v>
      </c>
      <c r="F65" s="13">
        <f>ROUND('II-D-1.1'!Q64,2)</f>
        <v>0</v>
      </c>
      <c r="G65" s="13">
        <f>ROUND('II-D-1.1'!R64,2)</f>
        <v>0</v>
      </c>
      <c r="H65" s="13">
        <f t="shared" si="49"/>
        <v>2316045.3800000018</v>
      </c>
      <c r="I65" s="13">
        <f>+'II-D-1.1'!T64</f>
        <v>22314.98</v>
      </c>
      <c r="J65" s="13">
        <f t="shared" si="58"/>
        <v>2338360.3600000017</v>
      </c>
      <c r="K65" s="153">
        <v>1</v>
      </c>
      <c r="L65" s="13">
        <f t="shared" si="50"/>
        <v>2338360.3600000017</v>
      </c>
      <c r="M65" s="16"/>
      <c r="N65" s="16"/>
      <c r="O65" s="13">
        <f>+'[1]Total Summary'!C40+'[2]Total Summary'!D41</f>
        <v>0</v>
      </c>
      <c r="P65" s="13">
        <f>+'[1]Total Summary'!D40+'[2]Total Summary'!E41</f>
        <v>0</v>
      </c>
      <c r="Q65" s="13">
        <f>+'[1]Total Summary'!E40+'[2]Total Summary'!F41</f>
        <v>0</v>
      </c>
      <c r="R65" s="13">
        <f t="shared" si="56"/>
        <v>0</v>
      </c>
      <c r="S65" s="13">
        <f>+'[1]Total Summary'!G40+'[2]Total Summary'!H41</f>
        <v>2328747.8200000017</v>
      </c>
      <c r="T65" s="13">
        <f>+'[1]Total Summary'!H40+'[2]Total Summary'!I41</f>
        <v>0</v>
      </c>
      <c r="U65" s="13">
        <f t="shared" si="57"/>
        <v>2328747.8200000017</v>
      </c>
      <c r="V65" s="13">
        <f>+'[1]Total Summary'!J40+'[2]Total Summary'!K41</f>
        <v>9612.5400000000009</v>
      </c>
      <c r="W65" s="13">
        <f>+'[1]Total Summary'!K40+'[2]Total Summary'!L41</f>
        <v>0</v>
      </c>
      <c r="X65" s="13">
        <f t="shared" si="53"/>
        <v>2338360.3600000017</v>
      </c>
      <c r="Y65" s="4" t="b">
        <f t="shared" si="54"/>
        <v>1</v>
      </c>
      <c r="Z65" s="111">
        <f t="shared" si="55"/>
        <v>0</v>
      </c>
    </row>
    <row r="66" spans="1:26" s="4" customFormat="1" ht="15" customHeight="1">
      <c r="A66" s="16">
        <v>52</v>
      </c>
      <c r="D66" s="16"/>
      <c r="E66" s="123"/>
      <c r="F66" s="123"/>
      <c r="G66" s="123"/>
      <c r="H66" s="123"/>
      <c r="I66" s="123"/>
      <c r="J66" s="123"/>
      <c r="K66" s="13"/>
      <c r="L66" s="123"/>
      <c r="M66" s="25"/>
      <c r="N66" s="18"/>
      <c r="O66" s="123"/>
      <c r="P66" s="123"/>
      <c r="Q66" s="123"/>
      <c r="R66" s="123"/>
      <c r="S66" s="123"/>
      <c r="T66" s="123"/>
      <c r="U66" s="123"/>
      <c r="V66" s="123"/>
      <c r="W66" s="123"/>
      <c r="X66" s="123"/>
    </row>
    <row r="67" spans="1:26" s="4" customFormat="1" ht="15" customHeight="1">
      <c r="A67" s="16">
        <v>53</v>
      </c>
      <c r="C67" s="22" t="s">
        <v>57</v>
      </c>
      <c r="D67" s="16"/>
      <c r="E67" s="176">
        <f t="shared" ref="E67:J67" si="59">SUM(E57:E65)</f>
        <v>210608082.53000003</v>
      </c>
      <c r="F67" s="176">
        <f t="shared" si="59"/>
        <v>0</v>
      </c>
      <c r="G67" s="176">
        <f t="shared" si="59"/>
        <v>0</v>
      </c>
      <c r="H67" s="176">
        <f t="shared" si="59"/>
        <v>210608082.53000003</v>
      </c>
      <c r="I67" s="176">
        <f t="shared" si="59"/>
        <v>-890314.78999999969</v>
      </c>
      <c r="J67" s="176">
        <f t="shared" si="59"/>
        <v>209717767.74000001</v>
      </c>
      <c r="K67" s="19"/>
      <c r="L67" s="176">
        <f>SUM(L57:L65)</f>
        <v>209717767.74000001</v>
      </c>
      <c r="M67" s="16"/>
      <c r="N67" s="16"/>
      <c r="O67" s="176">
        <f t="shared" ref="O67:X67" si="60">SUM(O57:O65)</f>
        <v>400860.76999999979</v>
      </c>
      <c r="P67" s="176">
        <f t="shared" ref="P67:R67" si="61">SUM(P57:P65)</f>
        <v>590.55000000000007</v>
      </c>
      <c r="Q67" s="176">
        <f t="shared" ref="Q67" si="62">SUM(Q57:Q65)</f>
        <v>0</v>
      </c>
      <c r="R67" s="176">
        <f t="shared" si="61"/>
        <v>401451.31999999977</v>
      </c>
      <c r="S67" s="176">
        <f t="shared" si="60"/>
        <v>185251852.43999994</v>
      </c>
      <c r="T67" s="176">
        <f t="shared" si="60"/>
        <v>264397.12</v>
      </c>
      <c r="U67" s="176">
        <f t="shared" ref="U67" si="63">SUM(U57:U65)</f>
        <v>185516249.55999994</v>
      </c>
      <c r="V67" s="176">
        <f t="shared" si="60"/>
        <v>23800013.110000018</v>
      </c>
      <c r="W67" s="176">
        <f t="shared" ref="W67" si="64">SUM(W57:W65)</f>
        <v>53.75</v>
      </c>
      <c r="X67" s="176">
        <f t="shared" si="60"/>
        <v>209717767.74000001</v>
      </c>
    </row>
    <row r="68" spans="1:26" s="4" customFormat="1" ht="15" customHeight="1">
      <c r="A68" s="16">
        <v>54</v>
      </c>
      <c r="D68" s="16"/>
      <c r="E68" s="123"/>
      <c r="F68" s="123"/>
      <c r="G68" s="123"/>
      <c r="H68" s="123"/>
      <c r="I68" s="123"/>
      <c r="J68" s="123"/>
      <c r="K68" s="13"/>
      <c r="L68" s="123"/>
      <c r="M68" s="16"/>
      <c r="N68" s="16"/>
      <c r="O68" s="123"/>
      <c r="P68" s="123"/>
      <c r="Q68" s="123"/>
      <c r="R68" s="123"/>
      <c r="S68" s="123"/>
      <c r="T68" s="123"/>
      <c r="U68" s="123"/>
      <c r="V68" s="123"/>
      <c r="W68" s="123"/>
      <c r="X68" s="123"/>
    </row>
    <row r="69" spans="1:26" s="8" customFormat="1" ht="15" customHeight="1">
      <c r="A69" s="16">
        <v>55</v>
      </c>
      <c r="B69" s="8" t="s">
        <v>93</v>
      </c>
      <c r="D69" s="18" t="s">
        <v>41</v>
      </c>
      <c r="E69" s="176">
        <f t="shared" ref="E69:J69" si="65">+E67+E54</f>
        <v>413826787.70999986</v>
      </c>
      <c r="F69" s="176">
        <f t="shared" si="65"/>
        <v>0</v>
      </c>
      <c r="G69" s="176">
        <f t="shared" si="65"/>
        <v>0</v>
      </c>
      <c r="H69" s="176">
        <f t="shared" si="65"/>
        <v>413826787.70999986</v>
      </c>
      <c r="I69" s="176">
        <f t="shared" si="65"/>
        <v>13007214.959999993</v>
      </c>
      <c r="J69" s="176">
        <f t="shared" si="65"/>
        <v>426834002.66999984</v>
      </c>
      <c r="K69" s="19"/>
      <c r="L69" s="176">
        <f>+L67+L54</f>
        <v>426834002.66999984</v>
      </c>
      <c r="M69" s="18"/>
      <c r="N69" s="18"/>
      <c r="O69" s="176">
        <f t="shared" ref="O69:X69" si="66">+O67+O54</f>
        <v>717988.85999999975</v>
      </c>
      <c r="P69" s="176">
        <f t="shared" ref="P69:R69" si="67">+P67+P54</f>
        <v>4359.91</v>
      </c>
      <c r="Q69" s="176">
        <f t="shared" ref="Q69" si="68">+Q67+Q54</f>
        <v>0</v>
      </c>
      <c r="R69" s="176">
        <f t="shared" si="67"/>
        <v>722348.76999999979</v>
      </c>
      <c r="S69" s="176">
        <f t="shared" si="66"/>
        <v>363865669.07999992</v>
      </c>
      <c r="T69" s="176">
        <f t="shared" si="66"/>
        <v>513420.77</v>
      </c>
      <c r="U69" s="176">
        <f t="shared" ref="U69" si="69">+U67+U54</f>
        <v>364379089.84999996</v>
      </c>
      <c r="V69" s="176">
        <f t="shared" si="66"/>
        <v>61542883.020000011</v>
      </c>
      <c r="W69" s="176">
        <f t="shared" ref="W69" si="70">+W67+W54</f>
        <v>189681.03</v>
      </c>
      <c r="X69" s="176">
        <f t="shared" si="66"/>
        <v>426834002.66999996</v>
      </c>
    </row>
    <row r="70" spans="1:26" s="8" customFormat="1" ht="15" customHeight="1">
      <c r="A70" s="16">
        <v>56</v>
      </c>
      <c r="D70" s="18"/>
      <c r="E70" s="19"/>
      <c r="F70" s="19"/>
      <c r="G70" s="19"/>
      <c r="H70" s="19"/>
      <c r="I70" s="19"/>
      <c r="J70" s="19"/>
      <c r="K70" s="19"/>
      <c r="L70" s="19"/>
      <c r="M70" s="18"/>
      <c r="N70" s="18"/>
      <c r="O70" s="19"/>
      <c r="P70" s="19"/>
      <c r="Q70" s="19"/>
      <c r="R70" s="19"/>
      <c r="S70" s="19"/>
      <c r="T70" s="19"/>
      <c r="U70" s="19"/>
      <c r="V70" s="19"/>
      <c r="W70" s="19"/>
      <c r="X70" s="19"/>
    </row>
    <row r="71" spans="1:26" s="4" customFormat="1" ht="15" customHeight="1">
      <c r="A71" s="16">
        <v>57</v>
      </c>
      <c r="C71" s="8"/>
      <c r="D71" s="18"/>
      <c r="E71" s="19"/>
      <c r="F71" s="19"/>
      <c r="G71" s="19"/>
      <c r="H71" s="19"/>
      <c r="I71" s="19"/>
      <c r="J71" s="19"/>
      <c r="K71" s="19"/>
      <c r="L71" s="13"/>
      <c r="M71" s="18"/>
      <c r="N71" s="18"/>
      <c r="O71" s="13"/>
      <c r="P71" s="13"/>
      <c r="Q71" s="13"/>
      <c r="R71" s="13"/>
      <c r="S71" s="13"/>
      <c r="T71" s="13"/>
      <c r="U71" s="13"/>
      <c r="V71" s="13"/>
      <c r="W71" s="13"/>
      <c r="X71" s="13"/>
    </row>
    <row r="72" spans="1:26" s="8" customFormat="1" ht="15" customHeight="1">
      <c r="A72" s="16">
        <v>58</v>
      </c>
      <c r="C72" s="15" t="s">
        <v>161</v>
      </c>
      <c r="D72" s="18" t="s">
        <v>41</v>
      </c>
      <c r="E72" s="19"/>
      <c r="F72" s="19"/>
      <c r="G72" s="19"/>
      <c r="H72" s="19"/>
      <c r="I72" s="19"/>
      <c r="J72" s="19"/>
      <c r="K72" s="19"/>
      <c r="L72" s="19"/>
      <c r="M72" s="58"/>
      <c r="N72" s="25"/>
      <c r="O72" s="19"/>
      <c r="P72" s="19"/>
      <c r="Q72" s="19"/>
      <c r="R72" s="19"/>
      <c r="S72" s="19"/>
      <c r="T72" s="19"/>
      <c r="U72" s="19"/>
      <c r="V72" s="19"/>
      <c r="W72" s="19"/>
      <c r="X72" s="19"/>
    </row>
    <row r="73" spans="1:26" s="4" customFormat="1" ht="15" customHeight="1">
      <c r="A73" s="16">
        <v>59</v>
      </c>
      <c r="B73" s="4" t="s">
        <v>259</v>
      </c>
      <c r="C73" s="4" t="s">
        <v>260</v>
      </c>
      <c r="D73" s="16"/>
      <c r="E73" s="150">
        <v>109658</v>
      </c>
      <c r="F73" s="150">
        <f>ROUND('II-D-1.1'!Q72,2)</f>
        <v>0</v>
      </c>
      <c r="G73" s="150">
        <f>ROUND('II-D-1.1'!R72,2)</f>
        <v>0</v>
      </c>
      <c r="H73" s="150">
        <f t="shared" ref="H73:H77" si="71">+E73-F73-G73</f>
        <v>109658</v>
      </c>
      <c r="I73" s="150">
        <f>+'II-D-1.1'!T72</f>
        <v>0</v>
      </c>
      <c r="J73" s="150">
        <f>+H73+I73</f>
        <v>109658</v>
      </c>
      <c r="K73" s="153">
        <v>1</v>
      </c>
      <c r="L73" s="150">
        <f>+J73*K73</f>
        <v>109658</v>
      </c>
      <c r="M73" s="16"/>
      <c r="N73" s="16"/>
      <c r="O73" s="150">
        <f>ROUND(+'[1]Total Summary'!C43+'[2]Total Summary'!D44,2)</f>
        <v>0</v>
      </c>
      <c r="P73" s="150">
        <f>ROUND(+'[1]Total Summary'!D43+'[2]Total Summary'!E44,2)</f>
        <v>0</v>
      </c>
      <c r="Q73" s="150">
        <f>ROUND(+'[1]Total Summary'!E43+'[2]Total Summary'!F44,2)</f>
        <v>0</v>
      </c>
      <c r="R73" s="150">
        <f t="shared" ref="R73" si="72">SUM(O73:Q73)</f>
        <v>0</v>
      </c>
      <c r="S73" s="150">
        <f>ROUND(+'[1]Total Summary'!G43+'[2]Total Summary'!H44,2)</f>
        <v>107858</v>
      </c>
      <c r="T73" s="150">
        <f>ROUND(+'[1]Total Summary'!H43+'[2]Total Summary'!I44,2)</f>
        <v>0</v>
      </c>
      <c r="U73" s="150">
        <f t="shared" ref="U73" si="73">SUM(S73:T73)</f>
        <v>107858</v>
      </c>
      <c r="V73" s="150">
        <f>ROUND(+'[1]Total Summary'!J43+'[2]Total Summary'!K44,2)</f>
        <v>0</v>
      </c>
      <c r="W73" s="150">
        <f>ROUND(+'[1]Total Summary'!K43+'[2]Total Summary'!L44,2)</f>
        <v>1800</v>
      </c>
      <c r="X73" s="150">
        <f t="shared" ref="X73:X77" si="74">+R73+U73+V73+W73</f>
        <v>109658</v>
      </c>
      <c r="Y73" s="4" t="b">
        <f>ROUND(+X73,2)=ROUND(L73,2)</f>
        <v>1</v>
      </c>
      <c r="Z73" s="111">
        <f>ROUND(+L73,2)-ROUND(X73,2)</f>
        <v>0</v>
      </c>
    </row>
    <row r="74" spans="1:26" s="4" customFormat="1" ht="15" customHeight="1">
      <c r="A74" s="16">
        <v>60</v>
      </c>
      <c r="B74" s="4" t="s">
        <v>258</v>
      </c>
      <c r="C74" s="4" t="s">
        <v>166</v>
      </c>
      <c r="D74" s="16"/>
      <c r="E74" s="13">
        <v>66776.98</v>
      </c>
      <c r="F74" s="13">
        <f>ROUND('II-D-1.1'!Q73,2)</f>
        <v>0</v>
      </c>
      <c r="G74" s="13">
        <f>ROUND('II-D-1.1'!R73,2)</f>
        <v>0</v>
      </c>
      <c r="H74" s="13">
        <f t="shared" si="71"/>
        <v>66776.98</v>
      </c>
      <c r="I74" s="13">
        <f>+'II-D-1.1'!T73</f>
        <v>-4254.72</v>
      </c>
      <c r="J74" s="13">
        <f>+H74+I74</f>
        <v>62522.259999999995</v>
      </c>
      <c r="K74" s="153">
        <v>1</v>
      </c>
      <c r="L74" s="13">
        <f>+J74*K74</f>
        <v>62522.259999999995</v>
      </c>
      <c r="M74" s="16"/>
      <c r="N74" s="16"/>
      <c r="O74" s="13">
        <f>ROUND(+'[1]Total Summary'!C44+'[2]Total Summary'!D45,2)</f>
        <v>0</v>
      </c>
      <c r="P74" s="13">
        <f>ROUND(+'[1]Total Summary'!D44+'[2]Total Summary'!E45,2)</f>
        <v>0</v>
      </c>
      <c r="Q74" s="13">
        <f>ROUND(+'[1]Total Summary'!E44+'[2]Total Summary'!F45,2)</f>
        <v>0</v>
      </c>
      <c r="R74" s="13">
        <f t="shared" ref="R74:R77" si="75">SUM(O74:Q74)</f>
        <v>0</v>
      </c>
      <c r="S74" s="13">
        <f>ROUND(+'[1]Total Summary'!G44+'[2]Total Summary'!H45,2)</f>
        <v>0</v>
      </c>
      <c r="T74" s="13">
        <f>ROUND(+'[1]Total Summary'!H44+'[2]Total Summary'!I45,2)</f>
        <v>0</v>
      </c>
      <c r="U74" s="13">
        <f t="shared" ref="U74:U77" si="76">SUM(S74:T74)</f>
        <v>0</v>
      </c>
      <c r="V74" s="13">
        <f>ROUND(+'[1]Total Summary'!J44+'[2]Total Summary'!K45,2)</f>
        <v>62522.26</v>
      </c>
      <c r="W74" s="13">
        <f>ROUND(+'[1]Total Summary'!K44+'[2]Total Summary'!L45,2)</f>
        <v>0</v>
      </c>
      <c r="X74" s="13">
        <f t="shared" si="74"/>
        <v>62522.26</v>
      </c>
      <c r="Y74" s="4" t="b">
        <f>ROUND(+X74,2)=ROUND(L74,2)</f>
        <v>1</v>
      </c>
      <c r="Z74" s="111">
        <f>ROUND(+L74,2)-ROUND(X74,2)</f>
        <v>0</v>
      </c>
    </row>
    <row r="75" spans="1:26" s="4" customFormat="1" ht="15" customHeight="1">
      <c r="A75" s="16">
        <v>61</v>
      </c>
      <c r="B75" s="4" t="s">
        <v>284</v>
      </c>
      <c r="C75" s="4" t="s">
        <v>390</v>
      </c>
      <c r="D75" s="16"/>
      <c r="E75" s="13">
        <v>30491908.609999999</v>
      </c>
      <c r="F75" s="13">
        <f>ROUND('II-D-1.1'!Q74,2)</f>
        <v>0</v>
      </c>
      <c r="G75" s="13">
        <f>ROUND('II-D-1.1'!R74,2)</f>
        <v>0</v>
      </c>
      <c r="H75" s="13">
        <f t="shared" si="71"/>
        <v>30491908.609999999</v>
      </c>
      <c r="I75" s="13">
        <f>+'II-D-1.1'!T74</f>
        <v>-6560230.1299999999</v>
      </c>
      <c r="J75" s="13">
        <f>+H75+I75</f>
        <v>23931678.48</v>
      </c>
      <c r="K75" s="153">
        <v>1</v>
      </c>
      <c r="L75" s="13">
        <f>+J75*K75</f>
        <v>23931678.48</v>
      </c>
      <c r="M75" s="16"/>
      <c r="N75" s="16"/>
      <c r="O75" s="13">
        <f>ROUND(+'[1]Total Summary'!C45+'[2]Total Summary'!D46,2)</f>
        <v>0</v>
      </c>
      <c r="P75" s="13">
        <f>ROUND(+'[1]Total Summary'!D45+'[2]Total Summary'!E46,2)</f>
        <v>0</v>
      </c>
      <c r="Q75" s="13">
        <f>ROUND(+'[1]Total Summary'!E45+'[2]Total Summary'!F46,2)</f>
        <v>0</v>
      </c>
      <c r="R75" s="13">
        <f t="shared" si="75"/>
        <v>0</v>
      </c>
      <c r="S75" s="13">
        <f>ROUND(+'[1]Total Summary'!G45+'[2]Total Summary'!H46,2)</f>
        <v>0</v>
      </c>
      <c r="T75" s="13">
        <f>ROUND(+'[1]Total Summary'!H45+'[2]Total Summary'!I46,2)</f>
        <v>0</v>
      </c>
      <c r="U75" s="13">
        <f t="shared" si="76"/>
        <v>0</v>
      </c>
      <c r="V75" s="13">
        <f>ROUND(+'[1]Total Summary'!J45+'[2]Total Summary'!K46,2)</f>
        <v>9746905.9800000004</v>
      </c>
      <c r="W75" s="13">
        <f>ROUND(+'[1]Total Summary'!K45+'[2]Total Summary'!L46,2)</f>
        <v>14184772.5</v>
      </c>
      <c r="X75" s="13">
        <f t="shared" si="74"/>
        <v>23931678.48</v>
      </c>
      <c r="Y75" s="4" t="b">
        <f>ROUND(+X75,2)=ROUND(L75,2)</f>
        <v>1</v>
      </c>
      <c r="Z75" s="111">
        <f>ROUND(+L75,2)-ROUND(X75,2)</f>
        <v>0</v>
      </c>
    </row>
    <row r="76" spans="1:26" s="4" customFormat="1" ht="15" customHeight="1">
      <c r="A76" s="16">
        <v>62</v>
      </c>
      <c r="B76" s="4" t="s">
        <v>261</v>
      </c>
      <c r="C76" s="4" t="s">
        <v>262</v>
      </c>
      <c r="D76" s="16"/>
      <c r="E76" s="13">
        <v>2061816.0499999998</v>
      </c>
      <c r="F76" s="13">
        <f>ROUND('II-D-1.1'!Q75,2)</f>
        <v>0</v>
      </c>
      <c r="G76" s="13">
        <f>ROUND('II-D-1.1'!R75,2)</f>
        <v>0</v>
      </c>
      <c r="H76" s="13">
        <f t="shared" si="71"/>
        <v>2061816.0499999998</v>
      </c>
      <c r="I76" s="13">
        <f>+'II-D-1.1'!T75</f>
        <v>532280.16</v>
      </c>
      <c r="J76" s="13">
        <f>+H76+I76</f>
        <v>2594096.21</v>
      </c>
      <c r="K76" s="153">
        <v>1</v>
      </c>
      <c r="L76" s="13">
        <f>+J76*K76</f>
        <v>2594096.21</v>
      </c>
      <c r="M76" s="16"/>
      <c r="N76" s="16"/>
      <c r="O76" s="13">
        <f>ROUND(+'[1]Total Summary'!C46+'[2]Total Summary'!D47,2)</f>
        <v>-153231.79</v>
      </c>
      <c r="P76" s="13">
        <f>ROUND(+'[1]Total Summary'!D46+'[2]Total Summary'!E47,2)</f>
        <v>0</v>
      </c>
      <c r="Q76" s="13">
        <f>ROUND(+'[1]Total Summary'!E46+'[2]Total Summary'!F47,2)</f>
        <v>0</v>
      </c>
      <c r="R76" s="13">
        <f t="shared" si="75"/>
        <v>-153231.79</v>
      </c>
      <c r="S76" s="13">
        <f>ROUND(+'[1]Total Summary'!G46+'[2]Total Summary'!H47,2)</f>
        <v>0</v>
      </c>
      <c r="T76" s="13">
        <f>ROUND(+'[1]Total Summary'!H46+'[2]Total Summary'!I47,2)</f>
        <v>0</v>
      </c>
      <c r="U76" s="13">
        <f t="shared" si="76"/>
        <v>0</v>
      </c>
      <c r="V76" s="13">
        <f>ROUND(+'[1]Total Summary'!J46+'[2]Total Summary'!K47,2)</f>
        <v>0</v>
      </c>
      <c r="W76" s="13">
        <f>ROUND(+'[1]Total Summary'!K46+'[2]Total Summary'!L47,2)</f>
        <v>2747328</v>
      </c>
      <c r="X76" s="13">
        <f t="shared" si="74"/>
        <v>2594096.21</v>
      </c>
      <c r="Y76" s="4" t="b">
        <f>ROUND(+X76,2)=ROUND(L76,2)</f>
        <v>1</v>
      </c>
      <c r="Z76" s="111">
        <f>ROUND(+L76,2)-ROUND(X76,2)</f>
        <v>0</v>
      </c>
    </row>
    <row r="77" spans="1:26" s="4" customFormat="1" ht="15" customHeight="1">
      <c r="A77" s="16">
        <v>63</v>
      </c>
      <c r="B77" s="4" t="s">
        <v>263</v>
      </c>
      <c r="C77" s="30" t="s">
        <v>391</v>
      </c>
      <c r="D77" s="16"/>
      <c r="E77" s="13">
        <v>0</v>
      </c>
      <c r="F77" s="13">
        <f>ROUND('II-D-1.1'!Q76,2)</f>
        <v>0</v>
      </c>
      <c r="G77" s="13">
        <f>ROUND('II-D-1.1'!R76,2)</f>
        <v>0</v>
      </c>
      <c r="H77" s="13">
        <f t="shared" si="71"/>
        <v>0</v>
      </c>
      <c r="I77" s="13">
        <f>+'II-D-1.1'!T76</f>
        <v>0</v>
      </c>
      <c r="J77" s="13">
        <f>+H77+I77</f>
        <v>0</v>
      </c>
      <c r="K77" s="153">
        <v>1</v>
      </c>
      <c r="L77" s="13">
        <f>+J77*K77</f>
        <v>0</v>
      </c>
      <c r="M77" s="16"/>
      <c r="N77" s="16"/>
      <c r="O77" s="13">
        <f>ROUND(+'[1]Total Summary'!C47+'[2]Total Summary'!D48,2)</f>
        <v>0</v>
      </c>
      <c r="P77" s="13">
        <f>ROUND(+'[1]Total Summary'!D47+'[2]Total Summary'!E48,2)</f>
        <v>0</v>
      </c>
      <c r="Q77" s="13">
        <f>ROUND(+'[1]Total Summary'!E47+'[2]Total Summary'!F48,2)</f>
        <v>0</v>
      </c>
      <c r="R77" s="13">
        <f t="shared" si="75"/>
        <v>0</v>
      </c>
      <c r="S77" s="13">
        <f>ROUND(+'[1]Total Summary'!G47+'[2]Total Summary'!H48,2)</f>
        <v>0</v>
      </c>
      <c r="T77" s="13">
        <f>ROUND(+'[1]Total Summary'!H47+'[2]Total Summary'!I48,2)</f>
        <v>0</v>
      </c>
      <c r="U77" s="13">
        <f t="shared" si="76"/>
        <v>0</v>
      </c>
      <c r="V77" s="13">
        <f>ROUND(+'[1]Total Summary'!J47+'[2]Total Summary'!K48,2)</f>
        <v>0</v>
      </c>
      <c r="W77" s="13">
        <f>ROUND(+'[1]Total Summary'!K47+'[2]Total Summary'!L48,2)</f>
        <v>0</v>
      </c>
      <c r="X77" s="13">
        <f t="shared" si="74"/>
        <v>0</v>
      </c>
      <c r="Y77" s="4" t="b">
        <f>ROUND(+X77,2)=ROUND(L77,2)</f>
        <v>1</v>
      </c>
      <c r="Z77" s="111">
        <f>ROUND(+L77,2)-ROUND(X77,2)</f>
        <v>0</v>
      </c>
    </row>
    <row r="78" spans="1:26" s="4" customFormat="1" ht="15" customHeight="1">
      <c r="A78" s="16">
        <v>64</v>
      </c>
      <c r="D78" s="16"/>
      <c r="E78" s="123"/>
      <c r="F78" s="123"/>
      <c r="G78" s="123"/>
      <c r="H78" s="123"/>
      <c r="I78" s="123"/>
      <c r="J78" s="123"/>
      <c r="K78" s="153"/>
      <c r="L78" s="123"/>
      <c r="M78" s="16"/>
      <c r="N78" s="16"/>
      <c r="O78" s="123"/>
      <c r="P78" s="123"/>
      <c r="Q78" s="123"/>
      <c r="R78" s="123"/>
      <c r="S78" s="123"/>
      <c r="T78" s="123"/>
      <c r="U78" s="123"/>
      <c r="V78" s="123"/>
      <c r="W78" s="123"/>
      <c r="X78" s="123"/>
    </row>
    <row r="79" spans="1:26" s="4" customFormat="1" ht="15" customHeight="1">
      <c r="A79" s="16">
        <v>65</v>
      </c>
      <c r="B79" s="8" t="s">
        <v>58</v>
      </c>
      <c r="C79" s="22"/>
      <c r="D79" s="18" t="s">
        <v>41</v>
      </c>
      <c r="E79" s="176">
        <f t="shared" ref="E79:J79" si="77">SUM(E73:E77)</f>
        <v>32730159.640000001</v>
      </c>
      <c r="F79" s="176">
        <f t="shared" si="77"/>
        <v>0</v>
      </c>
      <c r="G79" s="176">
        <f t="shared" si="77"/>
        <v>0</v>
      </c>
      <c r="H79" s="176">
        <f t="shared" si="77"/>
        <v>32730159.640000001</v>
      </c>
      <c r="I79" s="176">
        <f t="shared" si="77"/>
        <v>-6032204.6899999995</v>
      </c>
      <c r="J79" s="176">
        <f t="shared" si="77"/>
        <v>26697954.950000003</v>
      </c>
      <c r="K79" s="154"/>
      <c r="L79" s="176">
        <f>SUM(L73:L77)</f>
        <v>26697954.950000003</v>
      </c>
      <c r="M79" s="24"/>
      <c r="N79" s="16"/>
      <c r="O79" s="176">
        <f t="shared" ref="O79:X79" si="78">SUM(O73:O77)</f>
        <v>-153231.79</v>
      </c>
      <c r="P79" s="176">
        <f t="shared" si="78"/>
        <v>0</v>
      </c>
      <c r="Q79" s="176">
        <f t="shared" ref="Q79" si="79">SUM(Q73:Q77)</f>
        <v>0</v>
      </c>
      <c r="R79" s="176">
        <f t="shared" si="78"/>
        <v>-153231.79</v>
      </c>
      <c r="S79" s="176">
        <f t="shared" si="78"/>
        <v>107858</v>
      </c>
      <c r="T79" s="176">
        <f t="shared" ref="T79:U79" si="80">SUM(T73:T77)</f>
        <v>0</v>
      </c>
      <c r="U79" s="176">
        <f t="shared" si="80"/>
        <v>107858</v>
      </c>
      <c r="V79" s="176">
        <f t="shared" si="78"/>
        <v>9809428.2400000002</v>
      </c>
      <c r="W79" s="176">
        <f t="shared" si="78"/>
        <v>16933900.5</v>
      </c>
      <c r="X79" s="176">
        <f t="shared" si="78"/>
        <v>26697954.950000003</v>
      </c>
    </row>
    <row r="80" spans="1:26" s="8" customFormat="1" ht="15" customHeight="1">
      <c r="A80" s="16">
        <v>66</v>
      </c>
      <c r="D80" s="18"/>
      <c r="E80" s="19"/>
      <c r="F80" s="19"/>
      <c r="G80" s="19"/>
      <c r="H80" s="19"/>
      <c r="I80" s="19"/>
      <c r="J80" s="19"/>
      <c r="K80" s="154"/>
      <c r="L80" s="19"/>
      <c r="M80" s="18"/>
      <c r="N80" s="25"/>
      <c r="O80" s="19"/>
      <c r="P80" s="19"/>
      <c r="Q80" s="19"/>
      <c r="R80" s="19"/>
      <c r="S80" s="19"/>
      <c r="T80" s="19"/>
      <c r="U80" s="19"/>
      <c r="V80" s="19"/>
      <c r="W80" s="19"/>
      <c r="X80" s="19"/>
    </row>
    <row r="81" spans="1:26" s="4" customFormat="1" ht="15" customHeight="1">
      <c r="A81" s="16">
        <v>67</v>
      </c>
      <c r="D81" s="16"/>
      <c r="E81" s="13"/>
      <c r="F81" s="13"/>
      <c r="G81" s="13"/>
      <c r="H81" s="13"/>
      <c r="I81" s="13"/>
      <c r="J81" s="13"/>
      <c r="K81" s="153"/>
      <c r="L81" s="13"/>
      <c r="M81" s="16"/>
      <c r="N81" s="24"/>
      <c r="O81" s="13"/>
      <c r="P81" s="13"/>
      <c r="Q81" s="13"/>
      <c r="R81" s="13"/>
      <c r="S81" s="13"/>
      <c r="T81" s="13"/>
      <c r="U81" s="13"/>
      <c r="V81" s="13"/>
      <c r="W81" s="13"/>
      <c r="X81" s="13"/>
    </row>
    <row r="82" spans="1:26" s="8" customFormat="1" ht="15" customHeight="1">
      <c r="A82" s="16">
        <v>68</v>
      </c>
      <c r="C82" s="15" t="s">
        <v>358</v>
      </c>
      <c r="D82" s="18" t="s">
        <v>41</v>
      </c>
      <c r="E82" s="19"/>
      <c r="F82" s="19"/>
      <c r="G82" s="19"/>
      <c r="H82" s="19"/>
      <c r="I82" s="19"/>
      <c r="J82" s="19"/>
      <c r="K82" s="154"/>
      <c r="L82" s="19"/>
      <c r="M82" s="58"/>
      <c r="N82" s="25"/>
      <c r="O82" s="19"/>
      <c r="P82" s="19"/>
      <c r="Q82" s="19"/>
      <c r="R82" s="19"/>
      <c r="S82" s="19"/>
      <c r="T82" s="19"/>
      <c r="U82" s="19"/>
      <c r="V82" s="19"/>
      <c r="W82" s="19"/>
      <c r="X82" s="19"/>
    </row>
    <row r="83" spans="1:26" s="4" customFormat="1" ht="15" customHeight="1">
      <c r="A83" s="16">
        <v>69</v>
      </c>
      <c r="B83" s="4" t="s">
        <v>167</v>
      </c>
      <c r="C83" s="4" t="s">
        <v>327</v>
      </c>
      <c r="D83" s="16"/>
      <c r="E83" s="150">
        <v>0</v>
      </c>
      <c r="F83" s="150">
        <f>ROUND('II-D-1.1'!Q82,2)</f>
        <v>0</v>
      </c>
      <c r="G83" s="150">
        <f>ROUND('II-D-1.1'!R82,2)</f>
        <v>0</v>
      </c>
      <c r="H83" s="150">
        <f t="shared" ref="H83:H87" si="81">+E83-F83-G83</f>
        <v>0</v>
      </c>
      <c r="I83" s="150">
        <f>+'II-D-1.1'!T82</f>
        <v>0</v>
      </c>
      <c r="J83" s="150">
        <f>+H83+I83</f>
        <v>0</v>
      </c>
      <c r="K83" s="153">
        <v>1</v>
      </c>
      <c r="L83" s="150">
        <f>+J83*K83</f>
        <v>0</v>
      </c>
      <c r="M83" s="16"/>
      <c r="N83" s="16"/>
      <c r="O83" s="150">
        <f>ROUND(+'[1]Total Summary'!C50+'[2]Total Summary'!D51,2)</f>
        <v>0</v>
      </c>
      <c r="P83" s="150">
        <f>ROUND(+'[1]Total Summary'!D50+'[2]Total Summary'!E51,2)</f>
        <v>0</v>
      </c>
      <c r="Q83" s="150">
        <f>ROUND(+'[1]Total Summary'!E50+'[2]Total Summary'!F51,2)</f>
        <v>0</v>
      </c>
      <c r="R83" s="150">
        <f t="shared" ref="R83" si="82">SUM(O83:Q83)</f>
        <v>0</v>
      </c>
      <c r="S83" s="150">
        <f>ROUND(+'[1]Total Summary'!G50+'[2]Total Summary'!H51,2)</f>
        <v>0</v>
      </c>
      <c r="T83" s="150">
        <f>ROUND(+'[1]Total Summary'!H50+'[2]Total Summary'!I51,2)</f>
        <v>0</v>
      </c>
      <c r="U83" s="150">
        <f t="shared" ref="U83" si="83">SUM(S83:T83)</f>
        <v>0</v>
      </c>
      <c r="V83" s="150">
        <f>ROUND(+'[1]Total Summary'!J50+'[2]Total Summary'!K51,2)</f>
        <v>0</v>
      </c>
      <c r="W83" s="150">
        <f>ROUND(+'[1]Total Summary'!K50+'[2]Total Summary'!L51,2)</f>
        <v>0</v>
      </c>
      <c r="X83" s="150">
        <f t="shared" ref="X83:X87" si="84">+R83+U83+V83+W83</f>
        <v>0</v>
      </c>
      <c r="Y83" s="4" t="b">
        <f>ROUND(+X83,2)=ROUND(L83,2)</f>
        <v>1</v>
      </c>
      <c r="Z83" s="111">
        <f>ROUND(+L83,2)-ROUND(X83,2)</f>
        <v>0</v>
      </c>
    </row>
    <row r="84" spans="1:26" s="4" customFormat="1" ht="15" customHeight="1">
      <c r="A84" s="16">
        <v>70</v>
      </c>
      <c r="B84" s="4" t="s">
        <v>264</v>
      </c>
      <c r="C84" s="4" t="s">
        <v>260</v>
      </c>
      <c r="D84" s="16"/>
      <c r="E84" s="13">
        <v>0</v>
      </c>
      <c r="F84" s="13">
        <f>ROUND('II-D-1.1'!Q83,2)</f>
        <v>0</v>
      </c>
      <c r="G84" s="13">
        <f>ROUND('II-D-1.1'!R83,2)</f>
        <v>0</v>
      </c>
      <c r="H84" s="13">
        <f t="shared" si="81"/>
        <v>0</v>
      </c>
      <c r="I84" s="13">
        <f>+'II-D-1.1'!T83</f>
        <v>0</v>
      </c>
      <c r="J84" s="13">
        <f>+H84+I84</f>
        <v>0</v>
      </c>
      <c r="K84" s="153">
        <v>1</v>
      </c>
      <c r="L84" s="13">
        <f>+J84*K84</f>
        <v>0</v>
      </c>
      <c r="M84" s="24"/>
      <c r="N84" s="16"/>
      <c r="O84" s="13">
        <f>ROUND(+'[1]Total Summary'!C51+'[2]Total Summary'!D52,2)</f>
        <v>0</v>
      </c>
      <c r="P84" s="13">
        <f>ROUND(+'[1]Total Summary'!D51+'[2]Total Summary'!E52,2)</f>
        <v>0</v>
      </c>
      <c r="Q84" s="13">
        <f>ROUND(+'[1]Total Summary'!E51+'[2]Total Summary'!F52,2)</f>
        <v>0</v>
      </c>
      <c r="R84" s="13">
        <f t="shared" ref="R84:R87" si="85">SUM(O84:Q84)</f>
        <v>0</v>
      </c>
      <c r="S84" s="13">
        <f>ROUND(+'[1]Total Summary'!G51+'[2]Total Summary'!H52,2)</f>
        <v>0</v>
      </c>
      <c r="T84" s="13">
        <f>ROUND(+'[1]Total Summary'!H51+'[2]Total Summary'!I52,2)</f>
        <v>0</v>
      </c>
      <c r="U84" s="13">
        <f t="shared" ref="U84:U87" si="86">SUM(S84:T84)</f>
        <v>0</v>
      </c>
      <c r="V84" s="13">
        <f>ROUND(+'[1]Total Summary'!J51+'[2]Total Summary'!K52,2)</f>
        <v>0</v>
      </c>
      <c r="W84" s="13">
        <f>ROUND(+'[1]Total Summary'!K51+'[2]Total Summary'!L52,2)</f>
        <v>0</v>
      </c>
      <c r="X84" s="13">
        <f t="shared" si="84"/>
        <v>0</v>
      </c>
      <c r="Y84" s="4" t="b">
        <f>ROUND(+X84,2)=ROUND(L84,2)</f>
        <v>1</v>
      </c>
      <c r="Z84" s="111">
        <f>ROUND(+L84,2)-ROUND(X84,2)</f>
        <v>0</v>
      </c>
    </row>
    <row r="85" spans="1:26" s="4" customFormat="1" ht="15" customHeight="1">
      <c r="A85" s="16">
        <v>71</v>
      </c>
      <c r="B85" s="175" t="s">
        <v>329</v>
      </c>
      <c r="C85" s="30" t="s">
        <v>328</v>
      </c>
      <c r="D85" s="16"/>
      <c r="E85" s="13">
        <v>54714296.289999992</v>
      </c>
      <c r="F85" s="13">
        <f>ROUND('II-D-1.1'!Q84,2)</f>
        <v>0</v>
      </c>
      <c r="G85" s="13">
        <f>ROUND('II-D-1.1'!R84,2)</f>
        <v>0</v>
      </c>
      <c r="H85" s="13">
        <f t="shared" si="81"/>
        <v>54714296.289999992</v>
      </c>
      <c r="I85" s="13">
        <f>+'II-D-1.1'!T84</f>
        <v>-54320514.229999997</v>
      </c>
      <c r="J85" s="13">
        <f>+H85+I85</f>
        <v>393782.05999999493</v>
      </c>
      <c r="K85" s="153">
        <v>1</v>
      </c>
      <c r="L85" s="13">
        <f>+J85*K85</f>
        <v>393782.05999999493</v>
      </c>
      <c r="M85" s="16"/>
      <c r="N85" s="16"/>
      <c r="O85" s="13">
        <f>ROUND(+'[1]Total Summary'!C52+'[2]Total Summary'!D53,2)</f>
        <v>0</v>
      </c>
      <c r="P85" s="13">
        <f>ROUND(+'[1]Total Summary'!D52+'[2]Total Summary'!E53,2)</f>
        <v>0</v>
      </c>
      <c r="Q85" s="13">
        <f>ROUND(+'[1]Total Summary'!E52+'[2]Total Summary'!F53,2)</f>
        <v>0</v>
      </c>
      <c r="R85" s="13">
        <f t="shared" si="85"/>
        <v>0</v>
      </c>
      <c r="S85" s="13">
        <f>ROUND(+'[1]Total Summary'!G52+'[2]Total Summary'!H53,2)</f>
        <v>230789.12</v>
      </c>
      <c r="T85" s="13">
        <f>ROUND(+'[1]Total Summary'!H52+'[2]Total Summary'!I53,2)</f>
        <v>0</v>
      </c>
      <c r="U85" s="13">
        <f t="shared" si="86"/>
        <v>230789.12</v>
      </c>
      <c r="V85" s="13">
        <f>ROUND(+'[1]Total Summary'!J52+'[2]Total Summary'!K53,2)</f>
        <v>0</v>
      </c>
      <c r="W85" s="13">
        <f>ROUND(+'[1]Total Summary'!K52+'[2]Total Summary'!L53,2)</f>
        <v>162992.94</v>
      </c>
      <c r="X85" s="13">
        <f t="shared" si="84"/>
        <v>393782.06</v>
      </c>
      <c r="Y85" s="4" t="b">
        <f>ROUND(+X85,2)=ROUND(L85,2)</f>
        <v>1</v>
      </c>
      <c r="Z85" s="111">
        <f>ROUND(+L85,2)-ROUND(X85,2)</f>
        <v>0</v>
      </c>
    </row>
    <row r="86" spans="1:26" s="8" customFormat="1" ht="15" customHeight="1">
      <c r="A86" s="16">
        <v>72</v>
      </c>
      <c r="B86" s="4" t="s">
        <v>330</v>
      </c>
      <c r="C86" s="4" t="s">
        <v>331</v>
      </c>
      <c r="D86" s="18"/>
      <c r="E86" s="13">
        <v>0</v>
      </c>
      <c r="F86" s="13">
        <f>ROUND('II-D-1.1'!Q85,2)</f>
        <v>0</v>
      </c>
      <c r="G86" s="13">
        <f>ROUND('II-D-1.1'!R85,2)</f>
        <v>0</v>
      </c>
      <c r="H86" s="13">
        <f t="shared" si="81"/>
        <v>0</v>
      </c>
      <c r="I86" s="13">
        <f>+'II-D-1.1'!T85</f>
        <v>0</v>
      </c>
      <c r="J86" s="13">
        <f>+H86+I86</f>
        <v>0</v>
      </c>
      <c r="K86" s="153">
        <v>1</v>
      </c>
      <c r="L86" s="13">
        <f>+J86*K86</f>
        <v>0</v>
      </c>
      <c r="M86" s="25"/>
      <c r="N86" s="16"/>
      <c r="O86" s="13">
        <f>ROUND(+'[1]Total Summary'!C53+'[2]Total Summary'!D54,2)</f>
        <v>0</v>
      </c>
      <c r="P86" s="13">
        <f>ROUND(+'[1]Total Summary'!D53+'[2]Total Summary'!E54,2)</f>
        <v>0</v>
      </c>
      <c r="Q86" s="13">
        <f>ROUND(+'[1]Total Summary'!E53+'[2]Total Summary'!F54,2)</f>
        <v>0</v>
      </c>
      <c r="R86" s="13">
        <f t="shared" si="85"/>
        <v>0</v>
      </c>
      <c r="S86" s="13">
        <f>ROUND(+'[1]Total Summary'!G53+'[2]Total Summary'!H54,2)</f>
        <v>0</v>
      </c>
      <c r="T86" s="13">
        <f>ROUND(+'[1]Total Summary'!H53+'[2]Total Summary'!I54,2)</f>
        <v>0</v>
      </c>
      <c r="U86" s="13">
        <f t="shared" si="86"/>
        <v>0</v>
      </c>
      <c r="V86" s="13">
        <f>ROUND(+'[1]Total Summary'!J53+'[2]Total Summary'!K54,2)</f>
        <v>0</v>
      </c>
      <c r="W86" s="13">
        <f>ROUND(+'[1]Total Summary'!K53+'[2]Total Summary'!L54,2)</f>
        <v>0</v>
      </c>
      <c r="X86" s="13">
        <f t="shared" si="84"/>
        <v>0</v>
      </c>
      <c r="Y86" s="4" t="b">
        <f>ROUND(+X86,2)=ROUND(L86,2)</f>
        <v>1</v>
      </c>
      <c r="Z86" s="111">
        <f>ROUND(+L86,2)-ROUND(X86,2)</f>
        <v>0</v>
      </c>
    </row>
    <row r="87" spans="1:26" s="4" customFormat="1" ht="15" customHeight="1">
      <c r="A87" s="16">
        <v>73</v>
      </c>
      <c r="B87" s="4" t="s">
        <v>265</v>
      </c>
      <c r="C87" s="4" t="s">
        <v>332</v>
      </c>
      <c r="D87" s="16"/>
      <c r="E87" s="13">
        <v>1643.8600000000001</v>
      </c>
      <c r="F87" s="13">
        <f>ROUND('II-D-1.1'!Q86,2)</f>
        <v>0</v>
      </c>
      <c r="G87" s="13">
        <f>ROUND('II-D-1.1'!R86,2)</f>
        <v>0</v>
      </c>
      <c r="H87" s="13">
        <f t="shared" si="81"/>
        <v>1643.8600000000001</v>
      </c>
      <c r="I87" s="13">
        <f>+'II-D-1.1'!T86</f>
        <v>0</v>
      </c>
      <c r="J87" s="13">
        <f>+H87+I87</f>
        <v>1643.8600000000001</v>
      </c>
      <c r="K87" s="153">
        <v>1</v>
      </c>
      <c r="L87" s="13">
        <f>+J87*K87</f>
        <v>1643.8600000000001</v>
      </c>
      <c r="M87" s="16"/>
      <c r="N87" s="16"/>
      <c r="O87" s="13">
        <f>ROUND(+'[1]Total Summary'!C54+'[2]Total Summary'!D55,2)</f>
        <v>0</v>
      </c>
      <c r="P87" s="13">
        <f>ROUND(+'[1]Total Summary'!D54+'[2]Total Summary'!E55,2)</f>
        <v>0</v>
      </c>
      <c r="Q87" s="13">
        <f>ROUND(+'[1]Total Summary'!E54+'[2]Total Summary'!F55,2)</f>
        <v>0</v>
      </c>
      <c r="R87" s="13">
        <f t="shared" si="85"/>
        <v>0</v>
      </c>
      <c r="S87" s="13">
        <f>ROUND(+'[1]Total Summary'!G54+'[2]Total Summary'!H55,2)</f>
        <v>1143</v>
      </c>
      <c r="T87" s="13">
        <f>ROUND(+'[1]Total Summary'!H54+'[2]Total Summary'!I55,2)</f>
        <v>0</v>
      </c>
      <c r="U87" s="13">
        <f t="shared" si="86"/>
        <v>1143</v>
      </c>
      <c r="V87" s="13">
        <f>ROUND(+'[1]Total Summary'!J54+'[2]Total Summary'!K55,2)</f>
        <v>268</v>
      </c>
      <c r="W87" s="13">
        <f>ROUND(+'[1]Total Summary'!K54+'[2]Total Summary'!L55,2)</f>
        <v>232.86</v>
      </c>
      <c r="X87" s="13">
        <f t="shared" si="84"/>
        <v>1643.8600000000001</v>
      </c>
      <c r="Y87" s="4" t="b">
        <f>ROUND(+X87,2)=ROUND(L87,2)</f>
        <v>1</v>
      </c>
      <c r="Z87" s="111">
        <f>ROUND(+L87,2)-ROUND(X87,2)</f>
        <v>0</v>
      </c>
    </row>
    <row r="88" spans="1:26" s="4" customFormat="1" ht="15" customHeight="1">
      <c r="A88" s="16">
        <v>74</v>
      </c>
      <c r="D88" s="16"/>
      <c r="E88" s="123"/>
      <c r="F88" s="123"/>
      <c r="G88" s="123"/>
      <c r="H88" s="123"/>
      <c r="I88" s="123"/>
      <c r="J88" s="123"/>
      <c r="K88" s="153"/>
      <c r="L88" s="123"/>
      <c r="M88" s="16"/>
      <c r="N88" s="16"/>
      <c r="O88" s="123"/>
      <c r="P88" s="123"/>
      <c r="Q88" s="123"/>
      <c r="R88" s="123"/>
      <c r="S88" s="123"/>
      <c r="T88" s="123"/>
      <c r="U88" s="123"/>
      <c r="V88" s="123"/>
      <c r="W88" s="123"/>
      <c r="X88" s="123"/>
    </row>
    <row r="89" spans="1:26" s="4" customFormat="1" ht="15" customHeight="1">
      <c r="A89" s="16">
        <v>75</v>
      </c>
      <c r="B89" s="8" t="s">
        <v>357</v>
      </c>
      <c r="D89" s="18" t="s">
        <v>41</v>
      </c>
      <c r="E89" s="176">
        <f t="shared" ref="E89:J89" si="87">SUM(E83:E87)</f>
        <v>54715940.149999991</v>
      </c>
      <c r="F89" s="176">
        <f t="shared" si="87"/>
        <v>0</v>
      </c>
      <c r="G89" s="176">
        <f t="shared" si="87"/>
        <v>0</v>
      </c>
      <c r="H89" s="176">
        <f t="shared" si="87"/>
        <v>54715940.149999991</v>
      </c>
      <c r="I89" s="176">
        <f t="shared" si="87"/>
        <v>-54320514.229999997</v>
      </c>
      <c r="J89" s="176">
        <f t="shared" si="87"/>
        <v>395425.91999999492</v>
      </c>
      <c r="K89" s="154"/>
      <c r="L89" s="176">
        <f>SUM(L83:L87)</f>
        <v>395425.91999999492</v>
      </c>
      <c r="M89" s="16"/>
      <c r="N89" s="16"/>
      <c r="O89" s="176">
        <f t="shared" ref="O89:X89" si="88">SUM(O83:O87)</f>
        <v>0</v>
      </c>
      <c r="P89" s="176">
        <f t="shared" si="88"/>
        <v>0</v>
      </c>
      <c r="Q89" s="176">
        <f t="shared" ref="Q89" si="89">SUM(Q83:Q87)</f>
        <v>0</v>
      </c>
      <c r="R89" s="176">
        <f t="shared" si="88"/>
        <v>0</v>
      </c>
      <c r="S89" s="176">
        <f t="shared" si="88"/>
        <v>231932.12</v>
      </c>
      <c r="T89" s="176">
        <f t="shared" ref="T89:U89" si="90">SUM(T83:T87)</f>
        <v>0</v>
      </c>
      <c r="U89" s="176">
        <f t="shared" si="90"/>
        <v>231932.12</v>
      </c>
      <c r="V89" s="176">
        <f t="shared" si="88"/>
        <v>268</v>
      </c>
      <c r="W89" s="176">
        <f t="shared" si="88"/>
        <v>163225.79999999999</v>
      </c>
      <c r="X89" s="176">
        <f t="shared" si="88"/>
        <v>395425.92</v>
      </c>
    </row>
    <row r="90" spans="1:26" s="8" customFormat="1" ht="15" customHeight="1">
      <c r="A90" s="16">
        <v>76</v>
      </c>
      <c r="C90" s="22"/>
      <c r="D90" s="18"/>
      <c r="E90" s="19"/>
      <c r="F90" s="19"/>
      <c r="G90" s="19"/>
      <c r="H90" s="19"/>
      <c r="I90" s="19"/>
      <c r="J90" s="19"/>
      <c r="K90" s="154"/>
      <c r="L90" s="19"/>
      <c r="M90" s="18"/>
      <c r="N90" s="25"/>
      <c r="O90" s="19"/>
      <c r="P90" s="19"/>
      <c r="Q90" s="19"/>
      <c r="R90" s="19"/>
      <c r="S90" s="19"/>
      <c r="T90" s="19"/>
      <c r="U90" s="19"/>
      <c r="V90" s="19"/>
      <c r="W90" s="19"/>
      <c r="X90" s="19"/>
    </row>
    <row r="91" spans="1:26" s="4" customFormat="1" ht="15" customHeight="1">
      <c r="A91" s="16">
        <v>77</v>
      </c>
      <c r="D91" s="16"/>
      <c r="E91" s="13"/>
      <c r="F91" s="13"/>
      <c r="G91" s="13"/>
      <c r="H91" s="13"/>
      <c r="I91" s="13"/>
      <c r="J91" s="13"/>
      <c r="K91" s="153"/>
      <c r="L91" s="13"/>
      <c r="M91" s="16"/>
      <c r="N91" s="24"/>
      <c r="O91" s="13"/>
      <c r="P91" s="13"/>
      <c r="Q91" s="13"/>
      <c r="R91" s="13"/>
      <c r="S91" s="13"/>
      <c r="T91" s="13"/>
      <c r="U91" s="13"/>
      <c r="V91" s="13"/>
      <c r="W91" s="13"/>
      <c r="X91" s="13"/>
    </row>
    <row r="92" spans="1:26" s="8" customFormat="1" ht="15" customHeight="1">
      <c r="A92" s="16">
        <v>78</v>
      </c>
      <c r="C92" s="59" t="s">
        <v>266</v>
      </c>
      <c r="D92" s="18" t="s">
        <v>41</v>
      </c>
      <c r="E92" s="19"/>
      <c r="F92" s="19"/>
      <c r="G92" s="19"/>
      <c r="H92" s="19"/>
      <c r="I92" s="19"/>
      <c r="J92" s="19"/>
      <c r="K92" s="154"/>
      <c r="L92" s="19"/>
      <c r="M92" s="58"/>
      <c r="N92" s="25"/>
      <c r="O92" s="19"/>
      <c r="P92" s="19"/>
      <c r="Q92" s="19"/>
      <c r="R92" s="19"/>
      <c r="S92" s="19"/>
      <c r="T92" s="19"/>
      <c r="U92" s="19"/>
      <c r="V92" s="19"/>
      <c r="W92" s="19"/>
      <c r="X92" s="19"/>
    </row>
    <row r="93" spans="1:26" s="4" customFormat="1" ht="15" customHeight="1">
      <c r="A93" s="16">
        <v>79</v>
      </c>
      <c r="B93" s="4" t="s">
        <v>267</v>
      </c>
      <c r="C93" s="60" t="s">
        <v>260</v>
      </c>
      <c r="D93" s="16"/>
      <c r="E93" s="150">
        <v>0</v>
      </c>
      <c r="F93" s="150">
        <f>ROUND('II-D-1.1'!Q92,2)</f>
        <v>0</v>
      </c>
      <c r="G93" s="150">
        <f>ROUND('II-D-1.1'!R92,2)</f>
        <v>0</v>
      </c>
      <c r="H93" s="150">
        <f t="shared" ref="H93:H97" si="91">+E93-F93-G93</f>
        <v>0</v>
      </c>
      <c r="I93" s="150">
        <f>+'II-D-1.1'!T92</f>
        <v>0</v>
      </c>
      <c r="J93" s="150">
        <f>+H93+I93</f>
        <v>0</v>
      </c>
      <c r="K93" s="153">
        <v>1</v>
      </c>
      <c r="L93" s="150">
        <f>+J93*K93</f>
        <v>0</v>
      </c>
      <c r="M93" s="16"/>
      <c r="N93" s="16"/>
      <c r="O93" s="150">
        <f>ROUND(+'[1]Total Summary'!C57+'[2]Total Summary'!D58,2)</f>
        <v>0</v>
      </c>
      <c r="P93" s="150">
        <f>ROUND(+'[1]Total Summary'!D57+'[2]Total Summary'!E58,2)</f>
        <v>0</v>
      </c>
      <c r="Q93" s="150">
        <f>ROUND(+'[1]Total Summary'!E57+'[2]Total Summary'!F58,2)</f>
        <v>0</v>
      </c>
      <c r="R93" s="150">
        <f t="shared" ref="R93" si="92">SUM(O93:Q93)</f>
        <v>0</v>
      </c>
      <c r="S93" s="150">
        <f>ROUND(+'[1]Total Summary'!G57+'[2]Total Summary'!H58,2)</f>
        <v>0</v>
      </c>
      <c r="T93" s="150">
        <f>ROUND(+'[1]Total Summary'!H57+'[2]Total Summary'!I58,2)</f>
        <v>0</v>
      </c>
      <c r="U93" s="150">
        <f t="shared" ref="U93" si="93">SUM(S93:T93)</f>
        <v>0</v>
      </c>
      <c r="V93" s="150">
        <f>ROUND(+'[1]Total Summary'!J57+'[2]Total Summary'!K58,2)</f>
        <v>0</v>
      </c>
      <c r="W93" s="150">
        <f>ROUND(+'[1]Total Summary'!K57+'[2]Total Summary'!L58,2)</f>
        <v>0</v>
      </c>
      <c r="X93" s="150">
        <f t="shared" ref="X93:X97" si="94">+R93+U93+V93+W93</f>
        <v>0</v>
      </c>
      <c r="Y93" s="4" t="b">
        <f>ROUND(+X93,2)=ROUND(L93,2)</f>
        <v>1</v>
      </c>
      <c r="Z93" s="155">
        <f>ROUND(+L93,2)-ROUND(X93,2)</f>
        <v>0</v>
      </c>
    </row>
    <row r="94" spans="1:26" s="4" customFormat="1" ht="15" customHeight="1">
      <c r="A94" s="16">
        <v>80</v>
      </c>
      <c r="B94" s="4" t="s">
        <v>285</v>
      </c>
      <c r="C94" s="60" t="s">
        <v>333</v>
      </c>
      <c r="D94" s="16"/>
      <c r="E94" s="13">
        <v>0</v>
      </c>
      <c r="F94" s="13">
        <f>ROUND('II-D-1.1'!Q93,2)</f>
        <v>0</v>
      </c>
      <c r="G94" s="13">
        <f>ROUND('II-D-1.1'!R93,2)</f>
        <v>0</v>
      </c>
      <c r="H94" s="13">
        <f t="shared" si="91"/>
        <v>0</v>
      </c>
      <c r="I94" s="13">
        <f>+'II-D-1.1'!T93</f>
        <v>0</v>
      </c>
      <c r="J94" s="13">
        <f>+H94+I94</f>
        <v>0</v>
      </c>
      <c r="K94" s="153">
        <v>1</v>
      </c>
      <c r="L94" s="13">
        <f>+J94*K94</f>
        <v>0</v>
      </c>
      <c r="M94" s="16"/>
      <c r="N94" s="16"/>
      <c r="O94" s="13">
        <f>ROUND(+'[1]Total Summary'!C58+'[2]Total Summary'!D59,2)</f>
        <v>0</v>
      </c>
      <c r="P94" s="13">
        <f>ROUND(+'[1]Total Summary'!D58+'[2]Total Summary'!E59,2)</f>
        <v>0</v>
      </c>
      <c r="Q94" s="13">
        <f>ROUND(+'[1]Total Summary'!E58+'[2]Total Summary'!F59,2)</f>
        <v>0</v>
      </c>
      <c r="R94" s="13">
        <f t="shared" ref="R94:R97" si="95">SUM(O94:Q94)</f>
        <v>0</v>
      </c>
      <c r="S94" s="13">
        <f>ROUND(+'[1]Total Summary'!G58+'[2]Total Summary'!H59,2)</f>
        <v>0</v>
      </c>
      <c r="T94" s="13">
        <f>ROUND(+'[1]Total Summary'!H58+'[2]Total Summary'!I59,2)</f>
        <v>0</v>
      </c>
      <c r="U94" s="13">
        <f t="shared" ref="U94:U97" si="96">SUM(S94:T94)</f>
        <v>0</v>
      </c>
      <c r="V94" s="13">
        <f>ROUND(+'[1]Total Summary'!J58+'[2]Total Summary'!K59,2)</f>
        <v>0</v>
      </c>
      <c r="W94" s="13">
        <f>ROUND(+'[1]Total Summary'!K58+'[2]Total Summary'!L59,2)</f>
        <v>0</v>
      </c>
      <c r="X94" s="13">
        <f t="shared" si="94"/>
        <v>0</v>
      </c>
      <c r="Y94" s="4" t="b">
        <f>ROUND(+X94,2)=ROUND(L94,2)</f>
        <v>1</v>
      </c>
      <c r="Z94" s="155">
        <f>ROUND(+L94,2)-ROUND(X94,2)</f>
        <v>0</v>
      </c>
    </row>
    <row r="95" spans="1:26" s="4" customFormat="1" ht="15" customHeight="1">
      <c r="A95" s="16">
        <v>81</v>
      </c>
      <c r="B95" s="4" t="s">
        <v>286</v>
      </c>
      <c r="C95" s="60" t="s">
        <v>334</v>
      </c>
      <c r="D95" s="16"/>
      <c r="E95" s="13">
        <v>0</v>
      </c>
      <c r="F95" s="13">
        <f>ROUND('II-D-1.1'!Q94,2)</f>
        <v>0</v>
      </c>
      <c r="G95" s="13">
        <f>ROUND('II-D-1.1'!R94,2)</f>
        <v>0</v>
      </c>
      <c r="H95" s="13">
        <f t="shared" si="91"/>
        <v>0</v>
      </c>
      <c r="I95" s="13">
        <f>+'II-D-1.1'!T94</f>
        <v>0</v>
      </c>
      <c r="J95" s="13">
        <f>+H95+I95</f>
        <v>0</v>
      </c>
      <c r="K95" s="153">
        <v>1</v>
      </c>
      <c r="L95" s="13">
        <f>+J95*K95</f>
        <v>0</v>
      </c>
      <c r="M95" s="16"/>
      <c r="N95" s="16"/>
      <c r="O95" s="13">
        <f>ROUND(+'[1]Total Summary'!C59+'[2]Total Summary'!D60,2)</f>
        <v>0</v>
      </c>
      <c r="P95" s="13">
        <f>ROUND(+'[1]Total Summary'!D59+'[2]Total Summary'!E60,2)</f>
        <v>0</v>
      </c>
      <c r="Q95" s="13">
        <f>ROUND(+'[1]Total Summary'!E59+'[2]Total Summary'!F60,2)</f>
        <v>0</v>
      </c>
      <c r="R95" s="13">
        <f t="shared" si="95"/>
        <v>0</v>
      </c>
      <c r="S95" s="13">
        <f>ROUND(+'[1]Total Summary'!G59+'[2]Total Summary'!H60,2)</f>
        <v>0</v>
      </c>
      <c r="T95" s="13">
        <f>ROUND(+'[1]Total Summary'!H59+'[2]Total Summary'!I60,2)</f>
        <v>0</v>
      </c>
      <c r="U95" s="13">
        <f t="shared" si="96"/>
        <v>0</v>
      </c>
      <c r="V95" s="13">
        <f>ROUND(+'[1]Total Summary'!J59+'[2]Total Summary'!K60,2)</f>
        <v>0</v>
      </c>
      <c r="W95" s="13">
        <f>ROUND(+'[1]Total Summary'!K59+'[2]Total Summary'!L60,2)</f>
        <v>0</v>
      </c>
      <c r="X95" s="13">
        <f t="shared" si="94"/>
        <v>0</v>
      </c>
      <c r="Y95" s="4" t="b">
        <f>ROUND(+X95,2)=ROUND(L95,2)</f>
        <v>1</v>
      </c>
      <c r="Z95" s="155">
        <f>ROUND(+L95,2)-ROUND(X95,2)</f>
        <v>0</v>
      </c>
    </row>
    <row r="96" spans="1:26" s="4" customFormat="1" ht="15" customHeight="1">
      <c r="A96" s="16">
        <v>82</v>
      </c>
      <c r="B96" s="4" t="s">
        <v>268</v>
      </c>
      <c r="C96" s="60" t="s">
        <v>335</v>
      </c>
      <c r="D96" s="16"/>
      <c r="E96" s="13">
        <v>0</v>
      </c>
      <c r="F96" s="13">
        <f>ROUND('II-D-1.1'!Q95,2)</f>
        <v>0</v>
      </c>
      <c r="G96" s="13">
        <f>ROUND('II-D-1.1'!R95,2)</f>
        <v>0</v>
      </c>
      <c r="H96" s="13">
        <f t="shared" si="91"/>
        <v>0</v>
      </c>
      <c r="I96" s="13">
        <f>+'II-D-1.1'!T95</f>
        <v>0</v>
      </c>
      <c r="J96" s="13">
        <f>+H96+I96</f>
        <v>0</v>
      </c>
      <c r="K96" s="153">
        <v>1</v>
      </c>
      <c r="L96" s="13">
        <f>+J96*K96</f>
        <v>0</v>
      </c>
      <c r="M96" s="16"/>
      <c r="N96" s="16"/>
      <c r="O96" s="13">
        <f>ROUND(+'[1]Total Summary'!C60+'[2]Total Summary'!D61,2)</f>
        <v>0</v>
      </c>
      <c r="P96" s="13">
        <f>ROUND(+'[1]Total Summary'!D60+'[2]Total Summary'!E61,2)</f>
        <v>0</v>
      </c>
      <c r="Q96" s="13">
        <f>ROUND(+'[1]Total Summary'!E60+'[2]Total Summary'!F61,2)</f>
        <v>0</v>
      </c>
      <c r="R96" s="13">
        <f t="shared" si="95"/>
        <v>0</v>
      </c>
      <c r="S96" s="13">
        <f>ROUND(+'[1]Total Summary'!G60+'[2]Total Summary'!H61,2)</f>
        <v>0</v>
      </c>
      <c r="T96" s="13">
        <f>ROUND(+'[1]Total Summary'!H60+'[2]Total Summary'!I61,2)</f>
        <v>0</v>
      </c>
      <c r="U96" s="13">
        <f t="shared" si="96"/>
        <v>0</v>
      </c>
      <c r="V96" s="13">
        <f>ROUND(+'[1]Total Summary'!J60+'[2]Total Summary'!K61,2)</f>
        <v>0</v>
      </c>
      <c r="W96" s="13">
        <f>ROUND(+'[1]Total Summary'!K60+'[2]Total Summary'!L61,2)</f>
        <v>0</v>
      </c>
      <c r="X96" s="13">
        <f t="shared" si="94"/>
        <v>0</v>
      </c>
      <c r="Y96" s="4" t="b">
        <f>ROUND(+X96,2)=ROUND(L96,2)</f>
        <v>1</v>
      </c>
      <c r="Z96" s="155">
        <f>ROUND(+L96,2)-ROUND(X96,2)</f>
        <v>0</v>
      </c>
    </row>
    <row r="97" spans="1:26" s="8" customFormat="1" ht="15" customHeight="1">
      <c r="A97" s="16">
        <v>83</v>
      </c>
      <c r="B97" s="4" t="s">
        <v>287</v>
      </c>
      <c r="C97" s="60" t="s">
        <v>336</v>
      </c>
      <c r="D97" s="18"/>
      <c r="E97" s="13">
        <v>0</v>
      </c>
      <c r="F97" s="13">
        <f>ROUND('II-D-1.1'!Q96,2)</f>
        <v>0</v>
      </c>
      <c r="G97" s="13">
        <f>ROUND('II-D-1.1'!R96,2)</f>
        <v>0</v>
      </c>
      <c r="H97" s="13">
        <f t="shared" si="91"/>
        <v>0</v>
      </c>
      <c r="I97" s="13">
        <f>+'II-D-1.1'!T96</f>
        <v>0</v>
      </c>
      <c r="J97" s="13">
        <f>+H97+I97</f>
        <v>0</v>
      </c>
      <c r="K97" s="153">
        <v>1</v>
      </c>
      <c r="L97" s="13">
        <f>+J97*K97</f>
        <v>0</v>
      </c>
      <c r="M97" s="18"/>
      <c r="N97" s="16"/>
      <c r="O97" s="13">
        <f>ROUND(+'[1]Total Summary'!C61+'[2]Total Summary'!D62,2)</f>
        <v>0</v>
      </c>
      <c r="P97" s="13">
        <f>ROUND(+'[1]Total Summary'!D61+'[2]Total Summary'!E62,2)</f>
        <v>0</v>
      </c>
      <c r="Q97" s="13">
        <f>ROUND(+'[1]Total Summary'!E61+'[2]Total Summary'!F62,2)</f>
        <v>0</v>
      </c>
      <c r="R97" s="13">
        <f t="shared" si="95"/>
        <v>0</v>
      </c>
      <c r="S97" s="13">
        <f>ROUND(+'[1]Total Summary'!G61+'[2]Total Summary'!H62,2)</f>
        <v>0</v>
      </c>
      <c r="T97" s="13">
        <f>ROUND(+'[1]Total Summary'!H61+'[2]Total Summary'!I62,2)</f>
        <v>0</v>
      </c>
      <c r="U97" s="13">
        <f t="shared" si="96"/>
        <v>0</v>
      </c>
      <c r="V97" s="13">
        <f>ROUND(+'[1]Total Summary'!J61+'[2]Total Summary'!K62,2)</f>
        <v>0</v>
      </c>
      <c r="W97" s="13">
        <f>ROUND(+'[1]Total Summary'!K61+'[2]Total Summary'!L62,2)</f>
        <v>0</v>
      </c>
      <c r="X97" s="13">
        <f t="shared" si="94"/>
        <v>0</v>
      </c>
      <c r="Y97" s="4" t="b">
        <f>ROUND(+X97,2)=ROUND(L97,2)</f>
        <v>1</v>
      </c>
      <c r="Z97" s="155">
        <f>ROUND(+L97,2)-ROUND(X97,2)</f>
        <v>0</v>
      </c>
    </row>
    <row r="98" spans="1:26" s="4" customFormat="1" ht="15" customHeight="1">
      <c r="A98" s="16">
        <v>84</v>
      </c>
      <c r="C98" s="22"/>
      <c r="D98" s="16"/>
      <c r="E98" s="123"/>
      <c r="F98" s="123"/>
      <c r="G98" s="123"/>
      <c r="H98" s="123"/>
      <c r="I98" s="123"/>
      <c r="J98" s="123"/>
      <c r="K98" s="153"/>
      <c r="L98" s="123"/>
      <c r="M98" s="18"/>
      <c r="N98" s="24"/>
      <c r="O98" s="123"/>
      <c r="P98" s="123"/>
      <c r="Q98" s="123"/>
      <c r="R98" s="123"/>
      <c r="S98" s="123"/>
      <c r="T98" s="123"/>
      <c r="U98" s="123"/>
      <c r="V98" s="123"/>
      <c r="W98" s="123"/>
      <c r="X98" s="123"/>
    </row>
    <row r="99" spans="1:26" s="4" customFormat="1" ht="15" customHeight="1">
      <c r="A99" s="16">
        <v>85</v>
      </c>
      <c r="B99" s="8" t="s">
        <v>36</v>
      </c>
      <c r="D99" s="18" t="s">
        <v>41</v>
      </c>
      <c r="E99" s="176">
        <f t="shared" ref="E99:J99" si="97">SUM(E93:E97)</f>
        <v>0</v>
      </c>
      <c r="F99" s="176">
        <f t="shared" si="97"/>
        <v>0</v>
      </c>
      <c r="G99" s="176">
        <f t="shared" si="97"/>
        <v>0</v>
      </c>
      <c r="H99" s="176">
        <f t="shared" si="97"/>
        <v>0</v>
      </c>
      <c r="I99" s="176">
        <f t="shared" si="97"/>
        <v>0</v>
      </c>
      <c r="J99" s="176">
        <f t="shared" si="97"/>
        <v>0</v>
      </c>
      <c r="K99" s="19"/>
      <c r="L99" s="176">
        <f>SUM(L93:L97)</f>
        <v>0</v>
      </c>
      <c r="M99" s="18"/>
      <c r="N99" s="16"/>
      <c r="O99" s="176">
        <f t="shared" ref="O99:X99" si="98">SUM(O93:O97)</f>
        <v>0</v>
      </c>
      <c r="P99" s="176">
        <f t="shared" ref="P99:R99" si="99">SUM(P93:P97)</f>
        <v>0</v>
      </c>
      <c r="Q99" s="176">
        <f t="shared" ref="Q99" si="100">SUM(Q93:Q97)</f>
        <v>0</v>
      </c>
      <c r="R99" s="176">
        <f t="shared" si="99"/>
        <v>0</v>
      </c>
      <c r="S99" s="176">
        <f t="shared" si="98"/>
        <v>0</v>
      </c>
      <c r="T99" s="176">
        <f t="shared" si="98"/>
        <v>0</v>
      </c>
      <c r="U99" s="176">
        <f t="shared" ref="U99" si="101">SUM(U93:U97)</f>
        <v>0</v>
      </c>
      <c r="V99" s="176">
        <f t="shared" si="98"/>
        <v>0</v>
      </c>
      <c r="W99" s="176">
        <f t="shared" ref="W99" si="102">SUM(W93:W97)</f>
        <v>0</v>
      </c>
      <c r="X99" s="176">
        <f t="shared" si="98"/>
        <v>0</v>
      </c>
    </row>
    <row r="100" spans="1:26" s="4" customFormat="1" ht="15" customHeight="1">
      <c r="A100" s="16">
        <v>86</v>
      </c>
      <c r="C100" s="60"/>
      <c r="D100" s="16"/>
      <c r="E100" s="13"/>
      <c r="F100" s="13"/>
      <c r="G100" s="13"/>
      <c r="H100" s="13"/>
      <c r="I100" s="13"/>
      <c r="J100" s="13"/>
      <c r="K100" s="13"/>
      <c r="L100" s="13"/>
      <c r="M100" s="24"/>
      <c r="N100" s="16"/>
      <c r="O100" s="13"/>
      <c r="P100" s="13"/>
      <c r="Q100" s="13"/>
      <c r="R100" s="13"/>
      <c r="S100" s="13"/>
      <c r="T100" s="13"/>
      <c r="U100" s="13"/>
      <c r="V100" s="13"/>
      <c r="W100" s="13"/>
      <c r="X100" s="13"/>
    </row>
    <row r="101" spans="1:26" s="8" customFormat="1" ht="15" customHeight="1">
      <c r="A101" s="16">
        <v>87</v>
      </c>
      <c r="C101" s="61"/>
      <c r="D101" s="18"/>
      <c r="E101" s="19"/>
      <c r="F101" s="19"/>
      <c r="G101" s="19"/>
      <c r="H101" s="19"/>
      <c r="I101" s="19"/>
      <c r="J101" s="19"/>
      <c r="K101" s="19"/>
      <c r="L101" s="19"/>
      <c r="M101" s="25"/>
      <c r="N101" s="25"/>
      <c r="O101" s="19"/>
      <c r="P101" s="19"/>
      <c r="Q101" s="19"/>
      <c r="R101" s="19"/>
      <c r="S101" s="19"/>
      <c r="T101" s="19"/>
      <c r="U101" s="19"/>
      <c r="V101" s="19"/>
      <c r="W101" s="19"/>
      <c r="X101" s="19"/>
    </row>
    <row r="102" spans="1:26" s="8" customFormat="1" ht="15" customHeight="1">
      <c r="A102" s="16">
        <v>88</v>
      </c>
      <c r="B102" s="8" t="s">
        <v>356</v>
      </c>
      <c r="D102" s="18" t="s">
        <v>41</v>
      </c>
      <c r="E102" s="176">
        <f t="shared" ref="E102:J102" si="103">+E99+E89+E79+E69+E38</f>
        <v>2600946803.9499998</v>
      </c>
      <c r="F102" s="176">
        <f t="shared" si="103"/>
        <v>0</v>
      </c>
      <c r="G102" s="176">
        <f t="shared" si="103"/>
        <v>0</v>
      </c>
      <c r="H102" s="176">
        <f t="shared" si="103"/>
        <v>2600946803.9499998</v>
      </c>
      <c r="I102" s="176">
        <f t="shared" si="103"/>
        <v>95280739.840000093</v>
      </c>
      <c r="J102" s="176">
        <f t="shared" si="103"/>
        <v>2696227543.79</v>
      </c>
      <c r="K102" s="19"/>
      <c r="L102" s="176">
        <f>+L99+L89+L79+L69+L38</f>
        <v>2696227543.79</v>
      </c>
      <c r="M102" s="18"/>
      <c r="N102" s="25"/>
      <c r="O102" s="176">
        <f t="shared" ref="O102:X102" si="104">+O99+O89+O79+O69+O38</f>
        <v>135064103.88999999</v>
      </c>
      <c r="P102" s="176">
        <f t="shared" ref="P102:R102" si="105">+P99+P89+P79+P69+P38</f>
        <v>5345756.1899999995</v>
      </c>
      <c r="Q102" s="176">
        <f t="shared" ref="Q102" si="106">+Q99+Q89+Q79+Q69+Q38</f>
        <v>475836.37</v>
      </c>
      <c r="R102" s="176">
        <f t="shared" si="105"/>
        <v>140885696.44999999</v>
      </c>
      <c r="S102" s="176">
        <f t="shared" si="104"/>
        <v>2466185727.1599998</v>
      </c>
      <c r="T102" s="176">
        <f t="shared" si="104"/>
        <v>507723.57</v>
      </c>
      <c r="U102" s="176">
        <f t="shared" ref="U102" si="107">+U99+U89+U79+U69+U38</f>
        <v>2466693450.73</v>
      </c>
      <c r="V102" s="176">
        <f t="shared" si="104"/>
        <v>71361589.280000001</v>
      </c>
      <c r="W102" s="176">
        <f t="shared" ref="W102" si="108">+W99+W89+W79+W69+W38</f>
        <v>17286807.330000002</v>
      </c>
      <c r="X102" s="176">
        <f t="shared" si="104"/>
        <v>2696227543.79</v>
      </c>
      <c r="Y102" s="4" t="b">
        <f>ROUND(+X102,2)=ROUND(L102,2)</f>
        <v>1</v>
      </c>
      <c r="Z102" s="111">
        <f>ROUND(+L102,2)-ROUND(X102,2)</f>
        <v>0</v>
      </c>
    </row>
    <row r="103" spans="1:26" ht="12.75" customHeight="1">
      <c r="B103" s="31"/>
      <c r="C103" s="31"/>
      <c r="D103" s="31"/>
      <c r="E103" s="31"/>
      <c r="F103" s="31"/>
      <c r="G103" s="31"/>
      <c r="H103" s="31"/>
      <c r="I103" s="31"/>
      <c r="J103" s="31"/>
      <c r="K103" s="31"/>
      <c r="L103" s="32"/>
      <c r="M103" s="31"/>
      <c r="N103" s="32"/>
      <c r="O103" s="31"/>
      <c r="P103" s="31"/>
      <c r="Q103" s="31"/>
      <c r="R103" s="31"/>
      <c r="S103" s="31"/>
      <c r="T103" s="31"/>
      <c r="U103" s="31"/>
      <c r="V103" s="31"/>
      <c r="W103" s="31"/>
      <c r="X103" s="31"/>
    </row>
    <row r="104" spans="1:26" ht="12.75" customHeight="1">
      <c r="B104" s="31"/>
      <c r="C104" s="31"/>
      <c r="D104" s="31"/>
      <c r="E104" s="31"/>
      <c r="F104" s="31"/>
      <c r="G104" s="31"/>
      <c r="H104" s="31"/>
      <c r="I104" s="31"/>
      <c r="J104" s="31"/>
      <c r="K104" s="31"/>
      <c r="L104" s="32"/>
      <c r="M104" s="31"/>
      <c r="N104" s="32"/>
      <c r="O104" s="31"/>
      <c r="P104" s="31"/>
      <c r="Q104" s="31"/>
      <c r="R104" s="31"/>
      <c r="S104" s="31"/>
      <c r="T104" s="31"/>
      <c r="U104" s="31"/>
      <c r="V104" s="31"/>
      <c r="W104" s="31"/>
      <c r="X104" s="31"/>
    </row>
    <row r="105" spans="1:26" ht="12.75" customHeight="1">
      <c r="B105" s="31"/>
      <c r="C105" s="31"/>
      <c r="D105" s="31"/>
      <c r="E105" s="43"/>
      <c r="F105" s="43"/>
      <c r="G105" s="43"/>
      <c r="H105" s="43"/>
      <c r="I105" s="43"/>
      <c r="J105" s="43"/>
      <c r="K105" s="43"/>
      <c r="L105" s="121"/>
      <c r="M105" s="43"/>
      <c r="N105" s="121"/>
      <c r="O105" s="43"/>
      <c r="P105" s="43"/>
      <c r="Q105" s="43"/>
      <c r="R105" s="43"/>
      <c r="S105" s="43"/>
      <c r="T105" s="43"/>
      <c r="U105" s="43"/>
      <c r="V105" s="43"/>
      <c r="W105" s="43"/>
      <c r="X105" s="43"/>
    </row>
    <row r="106" spans="1:26" ht="12.75" customHeight="1">
      <c r="B106" s="31"/>
      <c r="C106" s="31"/>
      <c r="D106" s="31"/>
      <c r="E106" s="120"/>
      <c r="F106" s="120"/>
      <c r="G106" s="120"/>
      <c r="H106" s="120"/>
      <c r="I106" s="120"/>
      <c r="J106" s="120"/>
      <c r="K106" s="120"/>
      <c r="L106" s="120"/>
      <c r="M106" s="120"/>
      <c r="N106" s="120"/>
      <c r="O106" s="120"/>
      <c r="P106" s="120"/>
      <c r="Q106" s="120"/>
      <c r="R106" s="120"/>
      <c r="S106" s="120"/>
      <c r="T106" s="120"/>
      <c r="U106" s="120"/>
      <c r="V106" s="120"/>
      <c r="W106" s="120"/>
      <c r="X106" s="120"/>
    </row>
    <row r="107" spans="1:26" ht="12.75" customHeight="1">
      <c r="B107" s="31"/>
      <c r="C107" s="31"/>
      <c r="D107" s="31"/>
      <c r="E107" s="31"/>
      <c r="F107" s="31"/>
      <c r="G107" s="31"/>
      <c r="H107" s="31"/>
      <c r="I107" s="31"/>
      <c r="J107" s="31"/>
      <c r="K107" s="31"/>
      <c r="L107" s="32"/>
      <c r="M107" s="31"/>
      <c r="N107" s="32"/>
      <c r="O107" s="31"/>
      <c r="P107" s="31"/>
      <c r="Q107" s="31"/>
      <c r="R107" s="31"/>
      <c r="S107" s="31"/>
      <c r="T107" s="31"/>
      <c r="U107" s="31"/>
      <c r="V107" s="31"/>
      <c r="W107" s="31"/>
      <c r="X107" s="31"/>
    </row>
    <row r="108" spans="1:26" ht="12.75" customHeight="1">
      <c r="B108" s="31"/>
      <c r="C108" s="31"/>
      <c r="D108" s="31"/>
      <c r="E108" s="31"/>
      <c r="F108" s="31"/>
      <c r="G108" s="31"/>
      <c r="H108" s="31"/>
      <c r="I108" s="31"/>
      <c r="J108" s="31"/>
      <c r="K108" s="31"/>
      <c r="L108" s="32"/>
      <c r="M108" s="31"/>
      <c r="N108" s="32"/>
      <c r="O108" s="31"/>
      <c r="P108" s="31"/>
      <c r="Q108" s="31"/>
      <c r="R108" s="31"/>
      <c r="S108" s="31"/>
      <c r="T108" s="31"/>
      <c r="U108" s="31"/>
      <c r="V108" s="31"/>
      <c r="W108" s="31"/>
      <c r="X108" s="31"/>
    </row>
    <row r="109" spans="1:26" ht="12.75" customHeight="1">
      <c r="B109" s="31"/>
      <c r="C109" s="31"/>
      <c r="D109" s="31"/>
      <c r="E109" s="31"/>
      <c r="F109" s="31"/>
      <c r="G109" s="31"/>
      <c r="H109" s="31"/>
      <c r="I109" s="31"/>
      <c r="J109" s="31"/>
      <c r="K109" s="31"/>
      <c r="L109" s="32"/>
      <c r="M109" s="31"/>
      <c r="N109" s="32"/>
      <c r="O109" s="31"/>
      <c r="P109" s="31"/>
      <c r="Q109" s="31"/>
      <c r="R109" s="31"/>
      <c r="S109" s="31"/>
      <c r="T109" s="31"/>
      <c r="U109" s="31"/>
      <c r="V109" s="31"/>
      <c r="W109" s="31"/>
      <c r="X109" s="31"/>
    </row>
    <row r="110" spans="1:26" ht="12.75" customHeight="1">
      <c r="B110" s="31"/>
      <c r="C110" s="31"/>
      <c r="D110" s="31"/>
      <c r="E110" s="31"/>
      <c r="F110" s="31"/>
      <c r="G110" s="31"/>
      <c r="H110" s="31"/>
      <c r="I110" s="31"/>
      <c r="J110" s="31"/>
      <c r="K110" s="31"/>
      <c r="L110" s="32"/>
      <c r="M110" s="31"/>
      <c r="N110" s="32"/>
      <c r="O110" s="31"/>
      <c r="P110" s="31"/>
      <c r="Q110" s="31"/>
      <c r="R110" s="31"/>
      <c r="S110" s="31"/>
      <c r="T110" s="31"/>
      <c r="U110" s="31"/>
      <c r="V110" s="31"/>
      <c r="W110" s="31"/>
      <c r="X110" s="31"/>
    </row>
  </sheetData>
  <phoneticPr fontId="5" type="noConversion"/>
  <printOptions horizontalCentered="1"/>
  <pageMargins left="0.5" right="0.5" top="2.25" bottom="0.5" header="1" footer="0.5"/>
  <pageSetup scale="59" fitToWidth="2" fitToHeight="0" pageOrder="overThenDown" orientation="landscape"/>
  <headerFooter alignWithMargins="0">
    <oddHeader>&amp;R&amp;"Arial,Bold"Schedule &amp;A
Page &amp;P of &amp;N&amp;C&amp;B
2025 RATE CASE
ONCOR ELECTRIC DELIVERY COMPANY LLC
II-D-1  O&amp;&amp;M EXPENSES
TEST YEAR ENDING DECEMBER 31, 2024
SPONSOR: R. PRACHYL</oddHeader>
  </headerFooter>
  <rowBreaks count="2" manualBreakCount="2">
    <brk id="55" max="19" man="1"/>
    <brk id="91" max="19" man="1"/>
  </rowBreaks>
  <colBreaks count="1" manualBreakCount="1">
    <brk id="12" min="14" max="101"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9">
    <tabColor rgb="FFFF0000"/>
  </sheetPr>
  <dimension ref="A1:J111"/>
  <sheetViews>
    <sheetView zoomScale="85" zoomScaleNormal="100" workbookViewId="0">
      <pane xSplit="3" ySplit="15" topLeftCell="D16" activePane="bottomRight" state="frozen"/>
      <selection activeCell="E43" sqref="E43"/>
      <selection pane="topRight" activeCell="E43" sqref="E43"/>
      <selection pane="bottomLeft" activeCell="E43" sqref="E43"/>
      <selection pane="bottomRight" activeCell="D16" sqref="D16"/>
    </sheetView>
  </sheetViews>
  <sheetFormatPr defaultColWidth="9.140625" defaultRowHeight="12.75"/>
  <cols>
    <col min="1" max="1" width="5.7109375" style="31" customWidth="1"/>
    <col min="2" max="2" width="8.7109375" style="33" customWidth="1"/>
    <col min="3" max="3" width="52.85546875" style="33" bestFit="1" customWidth="1"/>
    <col min="4" max="4" width="10.5703125" style="33" customWidth="1"/>
    <col min="5" max="8" width="17.7109375" style="33" customWidth="1"/>
    <col min="9" max="9" width="11.5703125" style="33" bestFit="1" customWidth="1"/>
    <col min="10" max="16384" width="9.140625" style="33"/>
  </cols>
  <sheetData>
    <row r="1" spans="1:8">
      <c r="A1" s="35" t="str">
        <f>+'[3]Input Data'!$A$9</f>
        <v>2025 RATE CASE</v>
      </c>
    </row>
    <row r="2" spans="1:8">
      <c r="A2" s="8" t="str">
        <f>+'[3]Input Data'!$A$2</f>
        <v>ONCOR ELECTRIC DELIVERY COMPANY LLC</v>
      </c>
      <c r="B2" s="31"/>
      <c r="C2" s="31"/>
      <c r="D2" s="31"/>
      <c r="E2" s="31"/>
    </row>
    <row r="3" spans="1:8">
      <c r="A3" s="186" t="s">
        <v>395</v>
      </c>
      <c r="B3" s="4"/>
      <c r="D3" s="31"/>
      <c r="E3" s="31"/>
    </row>
    <row r="4" spans="1:8">
      <c r="A4" s="63" t="str">
        <f>+'[3]Input Data'!$A$4</f>
        <v>TEST YEAR ENDING DECEMBER 31, 2024</v>
      </c>
      <c r="B4" s="4"/>
      <c r="D4" s="31"/>
      <c r="E4" s="31"/>
    </row>
    <row r="5" spans="1:8">
      <c r="A5" s="7" t="str">
        <f>CONCATENATE("SPONSOR: ",'[3]Schedule Sponsors'!$D$51)</f>
        <v>SPONSOR: R. PRACHYL</v>
      </c>
      <c r="B5" s="4"/>
      <c r="D5" s="31"/>
      <c r="E5" s="31"/>
    </row>
    <row r="6" spans="1:8">
      <c r="B6" s="4"/>
      <c r="D6" s="31"/>
      <c r="E6" s="31"/>
    </row>
    <row r="7" spans="1:8">
      <c r="B7" s="4"/>
      <c r="D7" s="31"/>
      <c r="E7" s="31"/>
    </row>
    <row r="8" spans="1:8">
      <c r="B8" s="35"/>
      <c r="C8" s="31"/>
      <c r="D8" s="31"/>
      <c r="E8" s="31"/>
    </row>
    <row r="9" spans="1:8" ht="13.5" thickBot="1">
      <c r="B9" s="31" t="s">
        <v>210</v>
      </c>
      <c r="C9" s="31"/>
      <c r="D9" s="31"/>
      <c r="E9" s="36"/>
    </row>
    <row r="10" spans="1:8" s="56" customFormat="1">
      <c r="A10" s="9"/>
      <c r="B10" s="9"/>
      <c r="C10" s="9"/>
      <c r="D10" s="9"/>
      <c r="E10" s="184"/>
      <c r="F10" s="82"/>
      <c r="G10" s="82"/>
      <c r="H10" s="82"/>
    </row>
    <row r="11" spans="1:8" s="56" customFormat="1">
      <c r="A11" s="11"/>
      <c r="B11" s="11"/>
      <c r="C11" s="11"/>
      <c r="D11" s="11"/>
      <c r="E11" s="183" t="s">
        <v>393</v>
      </c>
      <c r="F11" s="81"/>
      <c r="G11" s="81"/>
      <c r="H11" s="81"/>
    </row>
    <row r="12" spans="1:8" s="56" customFormat="1">
      <c r="A12" s="11" t="s">
        <v>87</v>
      </c>
      <c r="B12" s="11" t="s">
        <v>212</v>
      </c>
      <c r="C12" s="11"/>
      <c r="D12" s="11" t="s">
        <v>209</v>
      </c>
      <c r="E12" s="183" t="s">
        <v>164</v>
      </c>
      <c r="F12" s="185" t="s">
        <v>164</v>
      </c>
      <c r="G12" s="185" t="s">
        <v>164</v>
      </c>
      <c r="H12" s="185" t="s">
        <v>164</v>
      </c>
    </row>
    <row r="13" spans="1:8" s="56" customFormat="1">
      <c r="A13" s="11" t="s">
        <v>89</v>
      </c>
      <c r="B13" s="11" t="s">
        <v>294</v>
      </c>
      <c r="C13" s="11" t="s">
        <v>208</v>
      </c>
      <c r="D13" s="11" t="s">
        <v>211</v>
      </c>
      <c r="E13" s="183" t="s">
        <v>394</v>
      </c>
      <c r="F13" s="81">
        <v>2021</v>
      </c>
      <c r="G13" s="81">
        <v>2022</v>
      </c>
      <c r="H13" s="81">
        <v>2023</v>
      </c>
    </row>
    <row r="14" spans="1:8" s="56" customFormat="1" ht="13.5" thickBot="1">
      <c r="A14" s="12"/>
      <c r="B14" s="29" t="s">
        <v>44</v>
      </c>
      <c r="C14" s="29" t="s">
        <v>45</v>
      </c>
      <c r="D14" s="29" t="s">
        <v>74</v>
      </c>
      <c r="E14" s="29" t="s">
        <v>75</v>
      </c>
      <c r="F14" s="80" t="s">
        <v>76</v>
      </c>
      <c r="G14" s="80" t="s">
        <v>77</v>
      </c>
      <c r="H14" s="80" t="s">
        <v>78</v>
      </c>
    </row>
    <row r="15" spans="1:8" s="31" customFormat="1" ht="12.75" customHeight="1">
      <c r="A15" s="38"/>
      <c r="B15" s="38"/>
      <c r="C15" s="38"/>
      <c r="D15" s="38"/>
      <c r="E15" s="38"/>
    </row>
    <row r="16" spans="1:8" s="8" customFormat="1" ht="15" customHeight="1">
      <c r="A16" s="16">
        <v>1</v>
      </c>
      <c r="B16" s="8" t="s">
        <v>229</v>
      </c>
      <c r="D16" s="18"/>
      <c r="E16" s="19"/>
    </row>
    <row r="17" spans="1:9" s="8" customFormat="1" ht="15" customHeight="1">
      <c r="A17" s="16">
        <v>2</v>
      </c>
      <c r="C17" s="15" t="s">
        <v>226</v>
      </c>
      <c r="D17" s="18" t="s">
        <v>387</v>
      </c>
      <c r="E17" s="19"/>
    </row>
    <row r="18" spans="1:9" s="4" customFormat="1" ht="15" customHeight="1">
      <c r="A18" s="16">
        <v>3</v>
      </c>
      <c r="B18" s="4" t="s">
        <v>230</v>
      </c>
      <c r="C18" s="4" t="s">
        <v>369</v>
      </c>
      <c r="D18" s="16"/>
      <c r="E18" s="150">
        <f>+'II-D-1'!H17</f>
        <v>5779492.8999999985</v>
      </c>
      <c r="F18" s="216">
        <v>4425485.62</v>
      </c>
      <c r="G18" s="230">
        <v>5230596.66</v>
      </c>
      <c r="H18" s="230">
        <v>5350875.29</v>
      </c>
      <c r="I18" s="230"/>
    </row>
    <row r="19" spans="1:9" s="4" customFormat="1" ht="15" customHeight="1">
      <c r="A19" s="16">
        <v>4</v>
      </c>
      <c r="B19" s="4" t="s">
        <v>231</v>
      </c>
      <c r="C19" s="4" t="s">
        <v>290</v>
      </c>
      <c r="D19" s="16"/>
      <c r="E19" s="13">
        <f>+'II-D-1'!H18</f>
        <v>21685933.910000008</v>
      </c>
      <c r="F19" s="215">
        <v>20127444.140000001</v>
      </c>
      <c r="G19" s="13">
        <v>20735473.41</v>
      </c>
      <c r="H19" s="13">
        <v>19678030.620000001</v>
      </c>
    </row>
    <row r="20" spans="1:9" s="4" customFormat="1" ht="15" customHeight="1">
      <c r="A20" s="16">
        <v>5</v>
      </c>
      <c r="B20" s="4" t="s">
        <v>232</v>
      </c>
      <c r="C20" s="4" t="s">
        <v>370</v>
      </c>
      <c r="D20" s="16"/>
      <c r="E20" s="13">
        <f>+'II-D-1'!H19</f>
        <v>4093276.58</v>
      </c>
      <c r="F20" s="215">
        <v>2866541.96</v>
      </c>
      <c r="G20" s="13">
        <v>3635384.8</v>
      </c>
      <c r="H20" s="13">
        <v>3963679.34</v>
      </c>
    </row>
    <row r="21" spans="1:9" s="4" customFormat="1" ht="15" customHeight="1">
      <c r="A21" s="16">
        <v>6</v>
      </c>
      <c r="B21" s="4" t="s">
        <v>233</v>
      </c>
      <c r="C21" s="4" t="s">
        <v>371</v>
      </c>
      <c r="D21" s="16"/>
      <c r="E21" s="13">
        <f>+'II-D-1'!H20</f>
        <v>6827123.0999999987</v>
      </c>
      <c r="F21" s="215">
        <v>2316308.42</v>
      </c>
      <c r="G21" s="13">
        <v>2493462.25</v>
      </c>
      <c r="H21" s="13">
        <v>5300010.1500000004</v>
      </c>
    </row>
    <row r="22" spans="1:9" s="4" customFormat="1" ht="15" customHeight="1">
      <c r="A22" s="16">
        <v>7</v>
      </c>
      <c r="B22" s="4" t="s">
        <v>234</v>
      </c>
      <c r="C22" s="4" t="s">
        <v>372</v>
      </c>
      <c r="D22" s="16"/>
      <c r="E22" s="13">
        <f>+'II-D-1'!H21</f>
        <v>2124.5299999999997</v>
      </c>
      <c r="F22" s="215">
        <v>2674.86</v>
      </c>
      <c r="G22" s="13">
        <v>4240.21</v>
      </c>
      <c r="H22" s="13">
        <v>-2194.36</v>
      </c>
    </row>
    <row r="23" spans="1:9" s="4" customFormat="1" ht="15" customHeight="1">
      <c r="A23" s="16">
        <v>8</v>
      </c>
      <c r="B23" s="4" t="s">
        <v>282</v>
      </c>
      <c r="C23" s="30" t="s">
        <v>373</v>
      </c>
      <c r="D23" s="16"/>
      <c r="E23" s="13">
        <f>+'II-D-1'!H22</f>
        <v>1967817098.26</v>
      </c>
      <c r="F23" s="215">
        <v>1517206007.5899999</v>
      </c>
      <c r="G23" s="13">
        <v>1688775583.8800001</v>
      </c>
      <c r="H23" s="13">
        <v>1829755879.1099999</v>
      </c>
    </row>
    <row r="24" spans="1:9" s="4" customFormat="1" ht="15" customHeight="1">
      <c r="A24" s="16">
        <v>9</v>
      </c>
      <c r="B24" s="4" t="s">
        <v>235</v>
      </c>
      <c r="C24" s="4" t="s">
        <v>138</v>
      </c>
      <c r="D24" s="16"/>
      <c r="E24" s="13">
        <f>+'II-D-1'!H23</f>
        <v>64531322.650000036</v>
      </c>
      <c r="F24" s="215">
        <v>56401152.890000001</v>
      </c>
      <c r="G24" s="13">
        <v>59581100.43</v>
      </c>
      <c r="H24" s="13">
        <v>63696979.969999999</v>
      </c>
    </row>
    <row r="25" spans="1:9" s="4" customFormat="1" ht="15" customHeight="1">
      <c r="A25" s="16">
        <v>10</v>
      </c>
      <c r="B25" s="4" t="s">
        <v>236</v>
      </c>
      <c r="C25" s="4" t="s">
        <v>291</v>
      </c>
      <c r="D25" s="16"/>
      <c r="E25" s="13">
        <f>+'II-D-1'!H24</f>
        <v>155822.19</v>
      </c>
      <c r="F25" s="215">
        <v>193255.28</v>
      </c>
      <c r="G25" s="13">
        <v>149754.20000000001</v>
      </c>
      <c r="H25" s="13">
        <v>396784.29</v>
      </c>
    </row>
    <row r="26" spans="1:9" s="8" customFormat="1" ht="15" customHeight="1">
      <c r="A26" s="16">
        <v>11</v>
      </c>
      <c r="D26" s="18"/>
      <c r="E26" s="124"/>
      <c r="F26" s="127"/>
      <c r="G26" s="127"/>
      <c r="H26" s="127"/>
    </row>
    <row r="27" spans="1:9" s="4" customFormat="1" ht="15" customHeight="1">
      <c r="A27" s="16">
        <v>12</v>
      </c>
      <c r="C27" s="22" t="s">
        <v>54</v>
      </c>
      <c r="D27" s="16"/>
      <c r="E27" s="176">
        <f t="shared" ref="E27:G27" si="0">SUM(E18:E25)</f>
        <v>2070892194.1200001</v>
      </c>
      <c r="F27" s="176">
        <f t="shared" si="0"/>
        <v>1603538870.76</v>
      </c>
      <c r="G27" s="176">
        <f t="shared" si="0"/>
        <v>1780605595.8400002</v>
      </c>
      <c r="H27" s="176">
        <f>SUM(H18:H25)</f>
        <v>1928140044.4099998</v>
      </c>
    </row>
    <row r="28" spans="1:9" s="8" customFormat="1" ht="15" customHeight="1">
      <c r="A28" s="16">
        <v>13</v>
      </c>
      <c r="C28" s="18"/>
      <c r="D28" s="18"/>
      <c r="E28" s="124"/>
      <c r="F28" s="127"/>
      <c r="G28" s="127"/>
      <c r="H28" s="127"/>
    </row>
    <row r="29" spans="1:9" s="8" customFormat="1" ht="15" customHeight="1">
      <c r="A29" s="16">
        <v>14</v>
      </c>
      <c r="C29" s="15" t="s">
        <v>228</v>
      </c>
      <c r="D29" s="18" t="s">
        <v>387</v>
      </c>
      <c r="E29" s="19"/>
    </row>
    <row r="30" spans="1:9" s="4" customFormat="1" ht="15" customHeight="1">
      <c r="A30" s="16">
        <v>15</v>
      </c>
      <c r="B30" s="4" t="s">
        <v>237</v>
      </c>
      <c r="C30" s="4" t="s">
        <v>139</v>
      </c>
      <c r="D30" s="16"/>
      <c r="E30" s="150">
        <f>+'II-D-1'!H29</f>
        <v>207863.83000000002</v>
      </c>
      <c r="F30" s="218">
        <v>605052.75</v>
      </c>
      <c r="G30" s="230">
        <v>338998.98</v>
      </c>
      <c r="H30" s="230">
        <v>295642.15000000002</v>
      </c>
    </row>
    <row r="31" spans="1:9" s="4" customFormat="1" ht="15" customHeight="1">
      <c r="A31" s="16">
        <v>16</v>
      </c>
      <c r="B31" s="4" t="s">
        <v>238</v>
      </c>
      <c r="C31" s="30" t="s">
        <v>140</v>
      </c>
      <c r="D31" s="16"/>
      <c r="E31" s="13">
        <f>+'II-D-1'!H30</f>
        <v>4620.45</v>
      </c>
      <c r="F31" s="217">
        <v>51837.81</v>
      </c>
      <c r="G31" s="13">
        <v>10918.91</v>
      </c>
      <c r="H31" s="13">
        <v>37125.879999999997</v>
      </c>
    </row>
    <row r="32" spans="1:9" s="4" customFormat="1" ht="15" customHeight="1">
      <c r="A32" s="16">
        <v>17</v>
      </c>
      <c r="B32" s="4" t="s">
        <v>239</v>
      </c>
      <c r="C32" s="4" t="s">
        <v>375</v>
      </c>
      <c r="D32" s="16"/>
      <c r="E32" s="13">
        <f>+'II-D-1'!H31</f>
        <v>7476670.7300000032</v>
      </c>
      <c r="F32" s="217">
        <v>8592564.6300000008</v>
      </c>
      <c r="G32" s="13">
        <v>8396297.2699999996</v>
      </c>
      <c r="H32" s="13">
        <v>8352611.8899999997</v>
      </c>
    </row>
    <row r="33" spans="1:10" s="4" customFormat="1" ht="15" customHeight="1">
      <c r="A33" s="16">
        <v>18</v>
      </c>
      <c r="B33" s="4" t="s">
        <v>240</v>
      </c>
      <c r="C33" s="4" t="s">
        <v>376</v>
      </c>
      <c r="D33" s="16"/>
      <c r="E33" s="13">
        <f>+'II-D-1'!H32</f>
        <v>20091049.000000022</v>
      </c>
      <c r="F33" s="217">
        <v>21144933.149999999</v>
      </c>
      <c r="G33" s="13">
        <v>23572031.050000001</v>
      </c>
      <c r="H33" s="13">
        <v>20951864.07</v>
      </c>
    </row>
    <row r="34" spans="1:10" s="4" customFormat="1" ht="15" customHeight="1">
      <c r="A34" s="16">
        <v>19</v>
      </c>
      <c r="B34" s="4" t="s">
        <v>241</v>
      </c>
      <c r="C34" s="30" t="s">
        <v>377</v>
      </c>
      <c r="D34" s="16"/>
      <c r="E34" s="13">
        <f>+'II-D-1'!H33</f>
        <v>-6779.07</v>
      </c>
      <c r="F34" s="217">
        <v>159.03</v>
      </c>
      <c r="G34" s="13">
        <v>645304.6</v>
      </c>
      <c r="H34" s="13">
        <v>333203.51</v>
      </c>
    </row>
    <row r="35" spans="1:10" s="4" customFormat="1" ht="15" customHeight="1">
      <c r="A35" s="16">
        <v>20</v>
      </c>
      <c r="B35" s="4" t="s">
        <v>242</v>
      </c>
      <c r="C35" s="30" t="s">
        <v>141</v>
      </c>
      <c r="D35" s="16"/>
      <c r="E35" s="13">
        <f>+'II-D-1'!H34</f>
        <v>1008297.3900000001</v>
      </c>
      <c r="F35" s="217">
        <v>1731313.2</v>
      </c>
      <c r="G35" s="13">
        <v>1209412.3999999999</v>
      </c>
      <c r="H35" s="13">
        <v>1442075.63</v>
      </c>
    </row>
    <row r="36" spans="1:10" s="4" customFormat="1" ht="15" customHeight="1">
      <c r="A36" s="16">
        <v>21</v>
      </c>
      <c r="D36" s="16"/>
      <c r="E36" s="123"/>
      <c r="F36" s="126"/>
      <c r="G36" s="126"/>
      <c r="H36" s="126"/>
    </row>
    <row r="37" spans="1:10" s="8" customFormat="1" ht="15" customHeight="1">
      <c r="A37" s="16">
        <v>22</v>
      </c>
      <c r="C37" s="22" t="s">
        <v>55</v>
      </c>
      <c r="D37" s="18"/>
      <c r="E37" s="176">
        <f t="shared" ref="E37:G37" si="1">SUM(E30:E35)</f>
        <v>28781722.330000028</v>
      </c>
      <c r="F37" s="176">
        <f t="shared" si="1"/>
        <v>32125860.57</v>
      </c>
      <c r="G37" s="176">
        <f t="shared" si="1"/>
        <v>34172963.210000001</v>
      </c>
      <c r="H37" s="176">
        <f>SUM(H30:H35)</f>
        <v>31412523.130000003</v>
      </c>
    </row>
    <row r="38" spans="1:10" s="8" customFormat="1" ht="15" customHeight="1">
      <c r="A38" s="16">
        <v>23</v>
      </c>
      <c r="C38" s="22"/>
      <c r="D38" s="18"/>
      <c r="E38" s="124"/>
      <c r="F38" s="127"/>
      <c r="G38" s="127"/>
      <c r="H38" s="127"/>
    </row>
    <row r="39" spans="1:10" s="8" customFormat="1" ht="15" customHeight="1">
      <c r="A39" s="16">
        <v>24</v>
      </c>
      <c r="B39" s="8" t="s">
        <v>92</v>
      </c>
      <c r="D39" s="18" t="s">
        <v>387</v>
      </c>
      <c r="E39" s="176">
        <f t="shared" ref="E39:G39" si="2">+E27+E37</f>
        <v>2099673916.45</v>
      </c>
      <c r="F39" s="176">
        <f t="shared" si="2"/>
        <v>1635664731.3299999</v>
      </c>
      <c r="G39" s="176">
        <f t="shared" si="2"/>
        <v>1814778559.0500002</v>
      </c>
      <c r="H39" s="176">
        <f>+H27+H37</f>
        <v>1959552567.54</v>
      </c>
    </row>
    <row r="40" spans="1:10" s="8" customFormat="1" ht="15" customHeight="1">
      <c r="A40" s="16">
        <v>25</v>
      </c>
      <c r="D40" s="18"/>
      <c r="E40" s="19"/>
    </row>
    <row r="41" spans="1:10" s="8" customFormat="1" ht="15" customHeight="1">
      <c r="A41" s="16">
        <v>26</v>
      </c>
      <c r="D41" s="18"/>
      <c r="E41" s="19"/>
    </row>
    <row r="42" spans="1:10" s="8" customFormat="1" ht="15" customHeight="1">
      <c r="A42" s="16">
        <v>27</v>
      </c>
      <c r="B42" s="8" t="s">
        <v>35</v>
      </c>
      <c r="D42" s="18"/>
      <c r="E42" s="19"/>
    </row>
    <row r="43" spans="1:10" s="8" customFormat="1" ht="15" customHeight="1">
      <c r="A43" s="16">
        <v>28</v>
      </c>
      <c r="C43" s="15" t="s">
        <v>226</v>
      </c>
      <c r="D43" s="18" t="s">
        <v>387</v>
      </c>
      <c r="E43" s="19"/>
    </row>
    <row r="44" spans="1:10" s="8" customFormat="1" ht="15" customHeight="1">
      <c r="A44" s="16">
        <v>29</v>
      </c>
      <c r="B44" s="4" t="s">
        <v>249</v>
      </c>
      <c r="C44" s="23" t="s">
        <v>369</v>
      </c>
      <c r="D44" s="18"/>
      <c r="E44" s="150">
        <f>+'II-D-1'!H43</f>
        <v>12485422.179999996</v>
      </c>
      <c r="F44" s="220">
        <v>8013039.5</v>
      </c>
      <c r="G44" s="230">
        <v>9965031.9399999995</v>
      </c>
      <c r="H44" s="230">
        <v>10656214.119999999</v>
      </c>
      <c r="J44" s="4"/>
    </row>
    <row r="45" spans="1:10" s="4" customFormat="1" ht="15" customHeight="1">
      <c r="A45" s="16">
        <v>30</v>
      </c>
      <c r="B45" s="4" t="s">
        <v>243</v>
      </c>
      <c r="C45" s="23" t="s">
        <v>145</v>
      </c>
      <c r="E45" s="13">
        <f>+'II-D-1'!H44</f>
        <v>12959390.870000003</v>
      </c>
      <c r="F45" s="219">
        <v>9673462.1999999993</v>
      </c>
      <c r="G45" s="13">
        <v>10565428.539999999</v>
      </c>
      <c r="H45" s="13">
        <v>10915785.26</v>
      </c>
    </row>
    <row r="46" spans="1:10" s="4" customFormat="1" ht="15" customHeight="1">
      <c r="A46" s="16">
        <v>31</v>
      </c>
      <c r="B46" s="4" t="s">
        <v>244</v>
      </c>
      <c r="C46" s="4" t="s">
        <v>370</v>
      </c>
      <c r="D46" s="13"/>
      <c r="E46" s="13">
        <f>+'II-D-1'!H45</f>
        <v>8323171.169999999</v>
      </c>
      <c r="F46" s="219">
        <v>4154901.37</v>
      </c>
      <c r="G46" s="13">
        <v>4431038.9400000004</v>
      </c>
      <c r="H46" s="13">
        <v>4293742.37</v>
      </c>
    </row>
    <row r="47" spans="1:10" s="4" customFormat="1" ht="15" customHeight="1">
      <c r="A47" s="16">
        <v>32</v>
      </c>
      <c r="B47" s="4" t="s">
        <v>155</v>
      </c>
      <c r="C47" s="4" t="s">
        <v>371</v>
      </c>
      <c r="D47" s="13"/>
      <c r="E47" s="13">
        <f>+'II-D-1'!H46</f>
        <v>22024159.949999992</v>
      </c>
      <c r="F47" s="219">
        <v>13630546.41</v>
      </c>
      <c r="G47" s="13">
        <v>13966541.310000001</v>
      </c>
      <c r="H47" s="13">
        <v>18349693.48</v>
      </c>
    </row>
    <row r="48" spans="1:10" s="4" customFormat="1" ht="15" customHeight="1">
      <c r="A48" s="16">
        <v>33</v>
      </c>
      <c r="B48" s="4" t="s">
        <v>245</v>
      </c>
      <c r="C48" s="4" t="s">
        <v>372</v>
      </c>
      <c r="D48" s="13"/>
      <c r="E48" s="13">
        <f>+'II-D-1'!H47</f>
        <v>9674672.4299999848</v>
      </c>
      <c r="F48" s="219">
        <v>10059950.869999999</v>
      </c>
      <c r="G48" s="13">
        <v>8914271.3200000003</v>
      </c>
      <c r="H48" s="13">
        <v>7930747.4900000002</v>
      </c>
    </row>
    <row r="49" spans="1:10" s="4" customFormat="1" ht="15" customHeight="1">
      <c r="A49" s="16">
        <v>34</v>
      </c>
      <c r="B49" s="4" t="s">
        <v>279</v>
      </c>
      <c r="C49" s="4" t="s">
        <v>142</v>
      </c>
      <c r="D49" s="13"/>
      <c r="E49" s="13">
        <f>+'II-D-1'!H48</f>
        <v>157.60000000000002</v>
      </c>
      <c r="F49" s="219">
        <v>729.92</v>
      </c>
      <c r="G49" s="13">
        <v>-32607.43</v>
      </c>
      <c r="H49" s="13">
        <v>32610.61</v>
      </c>
    </row>
    <row r="50" spans="1:10" s="4" customFormat="1" ht="15" customHeight="1">
      <c r="A50" s="16">
        <v>35</v>
      </c>
      <c r="B50" s="4" t="s">
        <v>246</v>
      </c>
      <c r="C50" s="4" t="s">
        <v>144</v>
      </c>
      <c r="D50" s="13"/>
      <c r="E50" s="13">
        <f>+'II-D-1'!H49</f>
        <v>34832393.519999936</v>
      </c>
      <c r="F50" s="219">
        <v>28481704.210000001</v>
      </c>
      <c r="G50" s="13">
        <v>33828159.490000002</v>
      </c>
      <c r="H50" s="13">
        <v>32789073.170000002</v>
      </c>
    </row>
    <row r="51" spans="1:10" s="4" customFormat="1" ht="15" customHeight="1">
      <c r="A51" s="16">
        <v>36</v>
      </c>
      <c r="B51" s="4" t="s">
        <v>247</v>
      </c>
      <c r="C51" s="4" t="s">
        <v>143</v>
      </c>
      <c r="D51" s="13"/>
      <c r="E51" s="13">
        <f>+'II-D-1'!H50</f>
        <v>2655620.8500000006</v>
      </c>
      <c r="F51" s="219">
        <v>1639788.8</v>
      </c>
      <c r="G51" s="13">
        <v>1837027.92</v>
      </c>
      <c r="H51" s="13">
        <v>1768134.32</v>
      </c>
    </row>
    <row r="52" spans="1:10" s="4" customFormat="1" ht="15" customHeight="1">
      <c r="A52" s="16">
        <v>37</v>
      </c>
      <c r="B52" s="4" t="s">
        <v>250</v>
      </c>
      <c r="C52" s="4" t="s">
        <v>146</v>
      </c>
      <c r="D52" s="13"/>
      <c r="E52" s="13">
        <f>+'II-D-1'!H51</f>
        <v>97452674.909999952</v>
      </c>
      <c r="F52" s="219">
        <v>61197404.490000002</v>
      </c>
      <c r="G52" s="13">
        <v>73325159.090000004</v>
      </c>
      <c r="H52" s="13">
        <v>89609511.549999997</v>
      </c>
    </row>
    <row r="53" spans="1:10" s="4" customFormat="1" ht="15" customHeight="1">
      <c r="A53" s="16">
        <v>38</v>
      </c>
      <c r="B53" s="4" t="s">
        <v>248</v>
      </c>
      <c r="C53" s="4" t="s">
        <v>227</v>
      </c>
      <c r="D53" s="13"/>
      <c r="E53" s="13">
        <f>+'II-D-1'!H52</f>
        <v>2811041.6999999997</v>
      </c>
      <c r="F53" s="219">
        <v>281934.38</v>
      </c>
      <c r="G53" s="13">
        <v>323347.90999999997</v>
      </c>
      <c r="H53" s="13">
        <v>907551.44</v>
      </c>
    </row>
    <row r="54" spans="1:10" s="4" customFormat="1" ht="15" customHeight="1">
      <c r="A54" s="16">
        <v>39</v>
      </c>
      <c r="D54" s="13"/>
      <c r="E54" s="123"/>
      <c r="F54" s="126"/>
      <c r="G54" s="126"/>
      <c r="H54" s="126"/>
    </row>
    <row r="55" spans="1:10" s="8" customFormat="1" ht="15" customHeight="1">
      <c r="A55" s="16">
        <v>40</v>
      </c>
      <c r="C55" s="22" t="s">
        <v>56</v>
      </c>
      <c r="D55" s="18"/>
      <c r="E55" s="176">
        <f>SUM(E44:E53)</f>
        <v>203218705.17999983</v>
      </c>
      <c r="F55" s="176">
        <f t="shared" ref="F55:G55" si="3">SUM(F44:F53)</f>
        <v>137133462.15000001</v>
      </c>
      <c r="G55" s="176">
        <f t="shared" si="3"/>
        <v>157123399.03</v>
      </c>
      <c r="H55" s="176">
        <f>SUM(H44:H53)</f>
        <v>177253063.81</v>
      </c>
    </row>
    <row r="56" spans="1:10" s="8" customFormat="1" ht="15" customHeight="1">
      <c r="A56" s="16">
        <v>41</v>
      </c>
      <c r="B56" s="15"/>
      <c r="D56" s="18"/>
      <c r="E56" s="124"/>
      <c r="F56" s="127"/>
      <c r="G56" s="127"/>
      <c r="H56" s="127"/>
    </row>
    <row r="57" spans="1:10" s="8" customFormat="1" ht="15" customHeight="1">
      <c r="A57" s="16">
        <v>42</v>
      </c>
      <c r="C57" s="15" t="s">
        <v>228</v>
      </c>
      <c r="D57" s="18" t="s">
        <v>387</v>
      </c>
      <c r="E57" s="19"/>
    </row>
    <row r="58" spans="1:10" s="8" customFormat="1" ht="15" customHeight="1">
      <c r="A58" s="16">
        <v>43</v>
      </c>
      <c r="B58" s="4" t="s">
        <v>256</v>
      </c>
      <c r="C58" s="4" t="s">
        <v>139</v>
      </c>
      <c r="D58" s="18"/>
      <c r="E58" s="150">
        <f>+'II-D-1'!H57</f>
        <v>3367318.3600000017</v>
      </c>
      <c r="F58" s="222">
        <v>2789401.16</v>
      </c>
      <c r="G58" s="150">
        <v>4426522.3899999997</v>
      </c>
      <c r="H58" s="150">
        <v>1354175.82</v>
      </c>
      <c r="J58" s="4"/>
    </row>
    <row r="59" spans="1:10" s="4" customFormat="1" ht="15" customHeight="1">
      <c r="A59" s="16">
        <v>44</v>
      </c>
      <c r="B59" s="4" t="s">
        <v>251</v>
      </c>
      <c r="C59" s="30" t="s">
        <v>140</v>
      </c>
      <c r="D59" s="16"/>
      <c r="E59" s="13">
        <f>+'II-D-1'!H58</f>
        <v>6338.87</v>
      </c>
      <c r="F59" s="221">
        <v>6086.42</v>
      </c>
      <c r="G59" s="13">
        <v>12373.45</v>
      </c>
      <c r="H59" s="13">
        <v>16679.060000000001</v>
      </c>
    </row>
    <row r="60" spans="1:10" s="4" customFormat="1" ht="15" customHeight="1">
      <c r="A60" s="16">
        <v>45</v>
      </c>
      <c r="B60" s="4" t="s">
        <v>252</v>
      </c>
      <c r="C60" s="4" t="s">
        <v>375</v>
      </c>
      <c r="D60" s="16"/>
      <c r="E60" s="13">
        <f>+'II-D-1'!H59</f>
        <v>10134873.399999999</v>
      </c>
      <c r="F60" s="221">
        <v>9945324.9199999999</v>
      </c>
      <c r="G60" s="13">
        <v>9522168.0299999993</v>
      </c>
      <c r="H60" s="13">
        <v>8709720.7400000002</v>
      </c>
    </row>
    <row r="61" spans="1:10" s="4" customFormat="1" ht="15" customHeight="1">
      <c r="A61" s="16">
        <v>46</v>
      </c>
      <c r="B61" s="4" t="s">
        <v>147</v>
      </c>
      <c r="C61" s="30" t="s">
        <v>376</v>
      </c>
      <c r="D61" s="16"/>
      <c r="E61" s="13">
        <f>+'II-D-1'!H60</f>
        <v>125886680.01000012</v>
      </c>
      <c r="F61" s="221">
        <v>108041450.90000001</v>
      </c>
      <c r="G61" s="13">
        <v>121496120.05</v>
      </c>
      <c r="H61" s="13">
        <v>108431843.58</v>
      </c>
    </row>
    <row r="62" spans="1:10" s="4" customFormat="1" ht="15" customHeight="1">
      <c r="A62" s="16">
        <v>47</v>
      </c>
      <c r="B62" s="4" t="s">
        <v>148</v>
      </c>
      <c r="C62" s="4" t="s">
        <v>377</v>
      </c>
      <c r="D62" s="16"/>
      <c r="E62" s="13">
        <f>+'II-D-1'!H61</f>
        <v>31854753.109999891</v>
      </c>
      <c r="F62" s="221">
        <v>26551032.530000001</v>
      </c>
      <c r="G62" s="13">
        <v>30245909.789999999</v>
      </c>
      <c r="H62" s="13">
        <v>27178729.59</v>
      </c>
    </row>
    <row r="63" spans="1:10" s="4" customFormat="1" ht="15" customHeight="1">
      <c r="A63" s="16">
        <v>48</v>
      </c>
      <c r="B63" s="4" t="s">
        <v>253</v>
      </c>
      <c r="C63" s="4" t="s">
        <v>149</v>
      </c>
      <c r="D63" s="16"/>
      <c r="E63" s="13">
        <f>+'II-D-1'!H62</f>
        <v>3832879.3499999968</v>
      </c>
      <c r="F63" s="221">
        <v>4997752.6500000004</v>
      </c>
      <c r="G63" s="13">
        <v>5189454.28</v>
      </c>
      <c r="H63" s="13">
        <v>4629809.51</v>
      </c>
    </row>
    <row r="64" spans="1:10" s="4" customFormat="1" ht="15" customHeight="1">
      <c r="A64" s="16">
        <v>49</v>
      </c>
      <c r="B64" s="4" t="s">
        <v>280</v>
      </c>
      <c r="C64" s="4" t="s">
        <v>150</v>
      </c>
      <c r="D64" s="16"/>
      <c r="E64" s="13">
        <f>+'II-D-1'!H63</f>
        <v>10261146.959999967</v>
      </c>
      <c r="F64" s="221">
        <v>9642119.3800000008</v>
      </c>
      <c r="G64" s="13">
        <v>10425456.76</v>
      </c>
      <c r="H64" s="13">
        <v>9377075.7400000002</v>
      </c>
    </row>
    <row r="65" spans="1:8" s="4" customFormat="1" ht="15" customHeight="1">
      <c r="A65" s="16">
        <v>50</v>
      </c>
      <c r="B65" s="4" t="s">
        <v>255</v>
      </c>
      <c r="C65" s="4" t="s">
        <v>151</v>
      </c>
      <c r="D65" s="16"/>
      <c r="E65" s="13">
        <f>+'II-D-1'!H64</f>
        <v>22948047.090000018</v>
      </c>
      <c r="F65" s="221">
        <v>16435498.550000001</v>
      </c>
      <c r="G65" s="13">
        <v>17904562.359999999</v>
      </c>
      <c r="H65" s="13">
        <v>18923683.010000002</v>
      </c>
    </row>
    <row r="66" spans="1:8" s="4" customFormat="1" ht="15" customHeight="1">
      <c r="A66" s="16">
        <v>51</v>
      </c>
      <c r="B66" s="4" t="s">
        <v>283</v>
      </c>
      <c r="C66" s="4" t="s">
        <v>152</v>
      </c>
      <c r="D66" s="16"/>
      <c r="E66" s="13">
        <f>+'II-D-1'!H65</f>
        <v>2316045.3800000018</v>
      </c>
      <c r="F66" s="221">
        <v>2221844.9500000002</v>
      </c>
      <c r="G66" s="13">
        <v>1617687.35</v>
      </c>
      <c r="H66" s="13">
        <v>2272862.83</v>
      </c>
    </row>
    <row r="67" spans="1:8" s="4" customFormat="1" ht="15" customHeight="1">
      <c r="A67" s="16">
        <v>52</v>
      </c>
      <c r="D67" s="16"/>
      <c r="E67" s="123"/>
      <c r="F67" s="126"/>
      <c r="G67" s="126"/>
      <c r="H67" s="126"/>
    </row>
    <row r="68" spans="1:8" s="4" customFormat="1" ht="15" customHeight="1">
      <c r="A68" s="16">
        <v>53</v>
      </c>
      <c r="C68" s="22" t="s">
        <v>57</v>
      </c>
      <c r="D68" s="16"/>
      <c r="E68" s="176">
        <f t="shared" ref="E68:G68" si="4">SUM(E58:E66)</f>
        <v>210608082.53000003</v>
      </c>
      <c r="F68" s="176">
        <f t="shared" si="4"/>
        <v>180630511.46000001</v>
      </c>
      <c r="G68" s="176">
        <f t="shared" si="4"/>
        <v>200840254.45999995</v>
      </c>
      <c r="H68" s="176">
        <f>SUM(H58:H66)</f>
        <v>180894579.88</v>
      </c>
    </row>
    <row r="69" spans="1:8" s="4" customFormat="1" ht="15" customHeight="1">
      <c r="A69" s="16">
        <v>54</v>
      </c>
      <c r="D69" s="16"/>
      <c r="E69" s="123"/>
      <c r="F69" s="126"/>
      <c r="G69" s="126"/>
      <c r="H69" s="126"/>
    </row>
    <row r="70" spans="1:8" s="8" customFormat="1" ht="15" customHeight="1">
      <c r="A70" s="16">
        <v>55</v>
      </c>
      <c r="B70" s="8" t="s">
        <v>93</v>
      </c>
      <c r="D70" s="18" t="s">
        <v>387</v>
      </c>
      <c r="E70" s="176">
        <f t="shared" ref="E70:G70" si="5">+E68+E55</f>
        <v>413826787.70999986</v>
      </c>
      <c r="F70" s="176">
        <f t="shared" si="5"/>
        <v>317763973.61000001</v>
      </c>
      <c r="G70" s="176">
        <f t="shared" si="5"/>
        <v>357963653.48999995</v>
      </c>
      <c r="H70" s="176">
        <f>+H68+H55</f>
        <v>358147643.69</v>
      </c>
    </row>
    <row r="71" spans="1:8" s="8" customFormat="1" ht="15" customHeight="1">
      <c r="A71" s="16">
        <v>56</v>
      </c>
      <c r="D71" s="18"/>
      <c r="E71" s="19"/>
    </row>
    <row r="72" spans="1:8" s="4" customFormat="1" ht="15" customHeight="1">
      <c r="A72" s="16">
        <v>57</v>
      </c>
      <c r="C72" s="8"/>
      <c r="D72" s="18"/>
      <c r="E72" s="19"/>
    </row>
    <row r="73" spans="1:8" s="8" customFormat="1" ht="15" customHeight="1">
      <c r="A73" s="16">
        <v>58</v>
      </c>
      <c r="C73" s="15" t="s">
        <v>359</v>
      </c>
      <c r="D73" s="18" t="s">
        <v>387</v>
      </c>
      <c r="E73" s="19"/>
    </row>
    <row r="74" spans="1:8" s="4" customFormat="1" ht="15" customHeight="1">
      <c r="A74" s="16">
        <v>59</v>
      </c>
      <c r="B74" s="4" t="s">
        <v>259</v>
      </c>
      <c r="C74" s="4" t="s">
        <v>260</v>
      </c>
      <c r="D74" s="16"/>
      <c r="E74" s="150">
        <f>+'II-D-1'!H73</f>
        <v>109658</v>
      </c>
      <c r="F74" s="224">
        <v>15971.1</v>
      </c>
      <c r="G74" s="150">
        <v>28029.31</v>
      </c>
      <c r="H74" s="150">
        <v>-4360.29</v>
      </c>
    </row>
    <row r="75" spans="1:8" s="4" customFormat="1" ht="15" customHeight="1">
      <c r="A75" s="16">
        <v>60</v>
      </c>
      <c r="B75" s="4" t="s">
        <v>258</v>
      </c>
      <c r="C75" s="4" t="s">
        <v>166</v>
      </c>
      <c r="D75" s="16"/>
      <c r="E75" s="13">
        <f>+'II-D-1'!H74</f>
        <v>66776.98</v>
      </c>
      <c r="F75" s="223">
        <v>124810.91</v>
      </c>
      <c r="G75" s="13">
        <v>99708.75</v>
      </c>
      <c r="H75" s="13">
        <v>24220.84</v>
      </c>
    </row>
    <row r="76" spans="1:8" s="4" customFormat="1" ht="15" customHeight="1">
      <c r="A76" s="16">
        <v>61</v>
      </c>
      <c r="B76" s="4" t="s">
        <v>284</v>
      </c>
      <c r="C76" s="4" t="s">
        <v>390</v>
      </c>
      <c r="D76" s="16"/>
      <c r="E76" s="13">
        <f>+'II-D-1'!H75</f>
        <v>30491908.609999999</v>
      </c>
      <c r="F76" s="223">
        <v>19519858.129999999</v>
      </c>
      <c r="G76" s="13">
        <v>22053468.289999999</v>
      </c>
      <c r="H76" s="13">
        <v>27089609.989999998</v>
      </c>
    </row>
    <row r="77" spans="1:8" s="4" customFormat="1" ht="15" customHeight="1">
      <c r="A77" s="16">
        <v>62</v>
      </c>
      <c r="B77" s="4" t="s">
        <v>261</v>
      </c>
      <c r="C77" s="4" t="s">
        <v>262</v>
      </c>
      <c r="D77" s="16"/>
      <c r="E77" s="13">
        <f>+'II-D-1'!H76</f>
        <v>2061816.0499999998</v>
      </c>
      <c r="F77" s="223">
        <v>777311.68</v>
      </c>
      <c r="G77" s="13">
        <v>-168398.38</v>
      </c>
      <c r="H77" s="13">
        <v>1455521.02</v>
      </c>
    </row>
    <row r="78" spans="1:8" s="4" customFormat="1" ht="15" customHeight="1">
      <c r="A78" s="16">
        <v>63</v>
      </c>
      <c r="B78" s="4" t="s">
        <v>263</v>
      </c>
      <c r="C78" s="30" t="s">
        <v>391</v>
      </c>
      <c r="D78" s="16"/>
      <c r="E78" s="13">
        <f>+'II-D-1'!H77</f>
        <v>0</v>
      </c>
      <c r="F78" s="223">
        <v>0</v>
      </c>
      <c r="G78" s="13">
        <v>0</v>
      </c>
      <c r="H78" s="13">
        <v>0</v>
      </c>
    </row>
    <row r="79" spans="1:8" s="4" customFormat="1" ht="15" customHeight="1">
      <c r="A79" s="16">
        <v>64</v>
      </c>
      <c r="D79" s="16"/>
      <c r="E79" s="123"/>
      <c r="F79" s="126"/>
      <c r="G79" s="126"/>
      <c r="H79" s="126"/>
    </row>
    <row r="80" spans="1:8" s="4" customFormat="1" ht="15" customHeight="1">
      <c r="A80" s="16">
        <v>65</v>
      </c>
      <c r="B80" s="8" t="s">
        <v>94</v>
      </c>
      <c r="C80" s="22"/>
      <c r="D80" s="18" t="s">
        <v>387</v>
      </c>
      <c r="E80" s="176">
        <f t="shared" ref="E80:G80" si="6">SUM(E74:E78)</f>
        <v>32730159.640000001</v>
      </c>
      <c r="F80" s="176">
        <f t="shared" si="6"/>
        <v>20437951.82</v>
      </c>
      <c r="G80" s="176">
        <f t="shared" si="6"/>
        <v>22012807.969999999</v>
      </c>
      <c r="H80" s="176">
        <f>SUM(H74:H78)</f>
        <v>28564991.559999999</v>
      </c>
    </row>
    <row r="81" spans="1:10" s="8" customFormat="1" ht="15" customHeight="1">
      <c r="A81" s="16">
        <v>66</v>
      </c>
      <c r="D81" s="18"/>
      <c r="E81" s="19"/>
    </row>
    <row r="82" spans="1:10" s="4" customFormat="1" ht="15" customHeight="1">
      <c r="A82" s="16">
        <v>67</v>
      </c>
      <c r="D82" s="16"/>
      <c r="E82" s="13"/>
    </row>
    <row r="83" spans="1:10" s="8" customFormat="1" ht="15" customHeight="1">
      <c r="A83" s="16">
        <v>68</v>
      </c>
      <c r="C83" s="15" t="s">
        <v>60</v>
      </c>
      <c r="D83" s="18" t="s">
        <v>387</v>
      </c>
      <c r="E83" s="19"/>
    </row>
    <row r="84" spans="1:10" s="4" customFormat="1" ht="15" customHeight="1">
      <c r="A84" s="16">
        <v>69</v>
      </c>
      <c r="B84" s="4" t="s">
        <v>167</v>
      </c>
      <c r="C84" s="4" t="s">
        <v>327</v>
      </c>
      <c r="D84" s="16"/>
      <c r="E84" s="150">
        <f>+'II-D-1'!H83</f>
        <v>0</v>
      </c>
      <c r="F84" s="226">
        <v>0</v>
      </c>
      <c r="G84" s="150">
        <v>0</v>
      </c>
      <c r="H84" s="150">
        <v>0</v>
      </c>
    </row>
    <row r="85" spans="1:10" s="4" customFormat="1" ht="15" customHeight="1">
      <c r="A85" s="16">
        <v>70</v>
      </c>
      <c r="B85" s="4" t="s">
        <v>264</v>
      </c>
      <c r="C85" s="4" t="s">
        <v>260</v>
      </c>
      <c r="D85" s="16"/>
      <c r="E85" s="13">
        <f>+'II-D-1'!H84</f>
        <v>0</v>
      </c>
      <c r="F85" s="225">
        <v>0</v>
      </c>
      <c r="G85" s="13">
        <v>0</v>
      </c>
      <c r="H85" s="13">
        <v>0</v>
      </c>
    </row>
    <row r="86" spans="1:10" s="4" customFormat="1" ht="15" customHeight="1">
      <c r="A86" s="16">
        <v>71</v>
      </c>
      <c r="B86" s="4" t="s">
        <v>329</v>
      </c>
      <c r="C86" s="30" t="s">
        <v>328</v>
      </c>
      <c r="D86" s="16"/>
      <c r="E86" s="13">
        <f>+'II-D-1'!H85</f>
        <v>54714296.289999992</v>
      </c>
      <c r="F86" s="225">
        <v>47254964.93</v>
      </c>
      <c r="G86" s="13">
        <v>50924743.740000002</v>
      </c>
      <c r="H86" s="13">
        <v>56011535.380000003</v>
      </c>
    </row>
    <row r="87" spans="1:10" s="8" customFormat="1" ht="15" customHeight="1">
      <c r="A87" s="16">
        <v>72</v>
      </c>
      <c r="B87" s="4" t="s">
        <v>330</v>
      </c>
      <c r="C87" s="4" t="s">
        <v>331</v>
      </c>
      <c r="D87" s="18"/>
      <c r="E87" s="13">
        <f>+'II-D-1'!H86</f>
        <v>0</v>
      </c>
      <c r="F87" s="225">
        <v>0</v>
      </c>
      <c r="G87" s="13">
        <v>0</v>
      </c>
      <c r="H87" s="13">
        <v>0</v>
      </c>
      <c r="J87" s="4"/>
    </row>
    <row r="88" spans="1:10" s="4" customFormat="1" ht="15" customHeight="1">
      <c r="A88" s="16">
        <v>73</v>
      </c>
      <c r="B88" s="4" t="s">
        <v>265</v>
      </c>
      <c r="C88" s="4" t="s">
        <v>332</v>
      </c>
      <c r="D88" s="16"/>
      <c r="E88" s="13">
        <f>+'II-D-1'!H87</f>
        <v>1643.8600000000001</v>
      </c>
      <c r="F88" s="225">
        <v>0</v>
      </c>
      <c r="G88" s="13">
        <v>68601.25</v>
      </c>
      <c r="H88" s="13">
        <v>0</v>
      </c>
    </row>
    <row r="89" spans="1:10" s="4" customFormat="1" ht="15" customHeight="1">
      <c r="A89" s="16">
        <v>74</v>
      </c>
      <c r="D89" s="16"/>
      <c r="E89" s="123"/>
      <c r="F89" s="126"/>
      <c r="G89" s="126"/>
      <c r="H89" s="126"/>
    </row>
    <row r="90" spans="1:10" s="4" customFormat="1" ht="15" customHeight="1">
      <c r="A90" s="16">
        <v>75</v>
      </c>
      <c r="B90" s="8" t="s">
        <v>59</v>
      </c>
      <c r="D90" s="18" t="s">
        <v>387</v>
      </c>
      <c r="E90" s="176">
        <f t="shared" ref="E90:G90" si="7">SUM(E84:E88)</f>
        <v>54715940.149999991</v>
      </c>
      <c r="F90" s="176">
        <f t="shared" si="7"/>
        <v>47254964.93</v>
      </c>
      <c r="G90" s="176">
        <f t="shared" si="7"/>
        <v>50993344.990000002</v>
      </c>
      <c r="H90" s="176">
        <f>SUM(H84:H88)</f>
        <v>56011535.380000003</v>
      </c>
    </row>
    <row r="91" spans="1:10" s="8" customFormat="1" ht="15" customHeight="1">
      <c r="A91" s="16">
        <v>76</v>
      </c>
      <c r="C91" s="22"/>
      <c r="D91" s="18"/>
      <c r="E91" s="19"/>
    </row>
    <row r="92" spans="1:10" s="4" customFormat="1" ht="15" customHeight="1">
      <c r="A92" s="16">
        <v>77</v>
      </c>
      <c r="D92" s="16"/>
      <c r="E92" s="13"/>
    </row>
    <row r="93" spans="1:10" s="8" customFormat="1" ht="15" customHeight="1">
      <c r="A93" s="16">
        <v>78</v>
      </c>
      <c r="C93" s="59" t="s">
        <v>266</v>
      </c>
      <c r="D93" s="18" t="s">
        <v>387</v>
      </c>
      <c r="E93" s="19"/>
    </row>
    <row r="94" spans="1:10" s="4" customFormat="1" ht="15" customHeight="1">
      <c r="A94" s="16">
        <v>79</v>
      </c>
      <c r="B94" s="4" t="s">
        <v>267</v>
      </c>
      <c r="C94" s="60" t="s">
        <v>260</v>
      </c>
      <c r="D94" s="16"/>
      <c r="E94" s="150">
        <f>+'II-D-1'!H93</f>
        <v>0</v>
      </c>
      <c r="F94" s="228">
        <v>0</v>
      </c>
      <c r="G94" s="150">
        <v>0</v>
      </c>
      <c r="H94" s="150">
        <v>0</v>
      </c>
    </row>
    <row r="95" spans="1:10" s="4" customFormat="1" ht="15" customHeight="1">
      <c r="A95" s="16">
        <v>80</v>
      </c>
      <c r="B95" s="4" t="s">
        <v>285</v>
      </c>
      <c r="C95" s="60" t="s">
        <v>333</v>
      </c>
      <c r="D95" s="16"/>
      <c r="E95" s="13">
        <f>+'II-D-1'!H94</f>
        <v>0</v>
      </c>
      <c r="F95" s="227">
        <v>0</v>
      </c>
      <c r="G95" s="13">
        <v>0</v>
      </c>
      <c r="H95" s="13">
        <v>0</v>
      </c>
    </row>
    <row r="96" spans="1:10" s="4" customFormat="1" ht="15" customHeight="1">
      <c r="A96" s="16">
        <v>81</v>
      </c>
      <c r="B96" s="4" t="s">
        <v>286</v>
      </c>
      <c r="C96" s="60" t="s">
        <v>334</v>
      </c>
      <c r="D96" s="16"/>
      <c r="E96" s="13">
        <f>+'II-D-1'!H95</f>
        <v>0</v>
      </c>
      <c r="F96" s="227">
        <v>0</v>
      </c>
      <c r="G96" s="13">
        <v>0</v>
      </c>
      <c r="H96" s="13">
        <v>0</v>
      </c>
    </row>
    <row r="97" spans="1:8" s="4" customFormat="1" ht="15" customHeight="1">
      <c r="A97" s="16">
        <v>82</v>
      </c>
      <c r="B97" s="4" t="s">
        <v>268</v>
      </c>
      <c r="C97" s="60" t="s">
        <v>335</v>
      </c>
      <c r="D97" s="16"/>
      <c r="E97" s="13">
        <f>+'II-D-1'!H96</f>
        <v>0</v>
      </c>
      <c r="F97" s="227">
        <v>0</v>
      </c>
      <c r="G97" s="13">
        <v>0</v>
      </c>
      <c r="H97" s="13">
        <v>0</v>
      </c>
    </row>
    <row r="98" spans="1:8" s="8" customFormat="1" ht="15" customHeight="1">
      <c r="A98" s="16">
        <v>83</v>
      </c>
      <c r="B98" s="4" t="s">
        <v>287</v>
      </c>
      <c r="C98" s="60" t="s">
        <v>336</v>
      </c>
      <c r="D98" s="18"/>
      <c r="E98" s="13">
        <f>+'II-D-1'!H97</f>
        <v>0</v>
      </c>
      <c r="F98" s="227">
        <v>0</v>
      </c>
      <c r="G98" s="13">
        <v>0</v>
      </c>
      <c r="H98" s="13">
        <v>0</v>
      </c>
    </row>
    <row r="99" spans="1:8" s="4" customFormat="1" ht="15" customHeight="1">
      <c r="A99" s="16">
        <v>84</v>
      </c>
      <c r="C99" s="22"/>
      <c r="D99" s="16"/>
      <c r="E99" s="123"/>
      <c r="F99" s="126"/>
      <c r="G99" s="126"/>
      <c r="H99" s="126"/>
    </row>
    <row r="100" spans="1:8" s="4" customFormat="1" ht="15" customHeight="1">
      <c r="A100" s="16">
        <v>85</v>
      </c>
      <c r="B100" s="8" t="s">
        <v>36</v>
      </c>
      <c r="D100" s="18" t="s">
        <v>387</v>
      </c>
      <c r="E100" s="176">
        <f t="shared" ref="E100:G100" si="8">SUM(E94:E98)</f>
        <v>0</v>
      </c>
      <c r="F100" s="176">
        <f t="shared" si="8"/>
        <v>0</v>
      </c>
      <c r="G100" s="176">
        <f t="shared" si="8"/>
        <v>0</v>
      </c>
      <c r="H100" s="176">
        <f>SUM(H94:H98)</f>
        <v>0</v>
      </c>
    </row>
    <row r="101" spans="1:8" s="4" customFormat="1" ht="15" customHeight="1">
      <c r="A101" s="16">
        <v>86</v>
      </c>
      <c r="C101" s="60"/>
      <c r="D101" s="16"/>
      <c r="E101" s="13"/>
    </row>
    <row r="102" spans="1:8" s="8" customFormat="1" ht="15" customHeight="1">
      <c r="A102" s="16">
        <v>87</v>
      </c>
      <c r="C102" s="61"/>
      <c r="D102" s="18"/>
      <c r="E102" s="19"/>
    </row>
    <row r="103" spans="1:8" s="8" customFormat="1" ht="15" customHeight="1">
      <c r="A103" s="16">
        <v>88</v>
      </c>
      <c r="B103" s="8" t="s">
        <v>122</v>
      </c>
      <c r="D103" s="18" t="s">
        <v>387</v>
      </c>
      <c r="E103" s="176">
        <f t="shared" ref="E103:G103" si="9">+E100+E90+E80+E70+E39</f>
        <v>2600946803.9499998</v>
      </c>
      <c r="F103" s="176">
        <f t="shared" si="9"/>
        <v>2021121621.6900001</v>
      </c>
      <c r="G103" s="176">
        <f t="shared" si="9"/>
        <v>2245748365.5</v>
      </c>
      <c r="H103" s="176">
        <f>+H100+H90+H80+H70+H39</f>
        <v>2402276738.1700001</v>
      </c>
    </row>
    <row r="104" spans="1:8" ht="12.75" customHeight="1">
      <c r="B104" s="31"/>
      <c r="C104" s="31"/>
      <c r="D104" s="31"/>
      <c r="E104" s="31"/>
    </row>
    <row r="105" spans="1:8" ht="12.75" customHeight="1">
      <c r="B105" s="31"/>
      <c r="C105" s="31"/>
      <c r="D105" s="31"/>
      <c r="E105" s="31"/>
    </row>
    <row r="106" spans="1:8" ht="12.75" customHeight="1">
      <c r="B106" s="31"/>
      <c r="C106" s="31"/>
      <c r="D106" s="31"/>
      <c r="E106" s="43"/>
      <c r="F106" s="122"/>
      <c r="G106" s="122"/>
      <c r="H106" s="122"/>
    </row>
    <row r="107" spans="1:8" ht="12.75" customHeight="1">
      <c r="B107" s="31"/>
      <c r="C107" s="31"/>
      <c r="D107" s="31"/>
      <c r="E107" s="120"/>
      <c r="F107" s="120"/>
      <c r="G107" s="120"/>
      <c r="H107" s="120"/>
    </row>
    <row r="108" spans="1:8" ht="12.75" customHeight="1">
      <c r="B108" s="31"/>
      <c r="C108" s="31"/>
      <c r="D108" s="31"/>
      <c r="E108" s="31"/>
    </row>
    <row r="109" spans="1:8" ht="12.75" customHeight="1">
      <c r="B109" s="31"/>
      <c r="C109" s="31"/>
      <c r="D109" s="31"/>
      <c r="E109" s="31"/>
    </row>
    <row r="110" spans="1:8" ht="12.75" customHeight="1">
      <c r="B110" s="31"/>
      <c r="C110" s="31"/>
      <c r="D110" s="31"/>
      <c r="E110" s="31"/>
    </row>
    <row r="111" spans="1:8" ht="12.75" customHeight="1">
      <c r="B111" s="31"/>
      <c r="C111" s="31"/>
      <c r="D111" s="31"/>
      <c r="E111" s="31"/>
    </row>
  </sheetData>
  <phoneticPr fontId="5" type="noConversion"/>
  <printOptions horizontalCentered="1"/>
  <pageMargins left="0.5" right="0.5" top="3" bottom="0.5" header="1.5" footer="0.5"/>
  <pageSetup scale="65" fitToWidth="2" fitToHeight="2" pageOrder="overThenDown" orientation="landscape"/>
  <headerFooter alignWithMargins="0">
    <oddHeader>&amp;R&amp;"Arial,Bold"Schedule &amp;A
Page &amp;P of &amp;N&amp;C&amp;B
2025 RATE CASE
ONCOR ELECTRIC DELIVERY COMPANY LLC
II-D-1a OPERATION AND MAINTENANCE EXPENSE - PRIOR THREE YEARS
TEST YEAR ENDING DECEMBER 31, 2024
SPONSOR: R. PRACHYL</oddHeader>
  </headerFooter>
  <rowBreaks count="2" manualBreakCount="2">
    <brk id="40" max="37" man="1"/>
    <brk id="71" max="37"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6">
    <tabColor rgb="FFFF0000"/>
  </sheetPr>
  <dimension ref="A1:X232"/>
  <sheetViews>
    <sheetView zoomScale="85" zoomScaleNormal="85" workbookViewId="0">
      <pane xSplit="3" ySplit="13" topLeftCell="D14" activePane="bottomRight" state="frozen"/>
      <selection activeCell="N38" sqref="N38"/>
      <selection pane="topRight" activeCell="N38" sqref="N38"/>
      <selection pane="bottomLeft" activeCell="N38" sqref="N38"/>
      <selection pane="bottomRight" activeCell="J12" sqref="J12"/>
    </sheetView>
  </sheetViews>
  <sheetFormatPr defaultRowHeight="12.75"/>
  <cols>
    <col min="1" max="1" width="5.7109375" customWidth="1"/>
    <col min="2" max="2" width="8.7109375" customWidth="1"/>
    <col min="3" max="3" width="52.85546875" bestFit="1" customWidth="1"/>
    <col min="4" max="4" width="17.5703125" bestFit="1" customWidth="1"/>
    <col min="5" max="6" width="18" bestFit="1" customWidth="1"/>
    <col min="7" max="7" width="17.7109375" bestFit="1" customWidth="1"/>
    <col min="8" max="8" width="18" bestFit="1" customWidth="1"/>
    <col min="9" max="9" width="18.28515625" bestFit="1" customWidth="1"/>
    <col min="10" max="10" width="17.5703125" bestFit="1" customWidth="1"/>
    <col min="11" max="15" width="15.85546875" customWidth="1"/>
    <col min="16" max="16" width="15.28515625" bestFit="1" customWidth="1"/>
    <col min="17" max="17" width="14.42578125" bestFit="1" customWidth="1"/>
    <col min="18" max="18" width="17.140625" bestFit="1" customWidth="1"/>
    <col min="19" max="19" width="18.28515625" bestFit="1" customWidth="1"/>
    <col min="20" max="20" width="16.5703125" bestFit="1" customWidth="1"/>
    <col min="21" max="21" width="18.28515625" bestFit="1" customWidth="1"/>
  </cols>
  <sheetData>
    <row r="1" spans="1:22">
      <c r="A1" s="5" t="str">
        <f>+'[3]Input Data'!$A$9</f>
        <v>2025 RATE CASE</v>
      </c>
    </row>
    <row r="2" spans="1:22" s="33" customFormat="1">
      <c r="A2" s="8" t="str">
        <f>+'[3]Input Data'!$A$2</f>
        <v>ONCOR ELECTRIC DELIVERY COMPANY LLC</v>
      </c>
      <c r="G2" s="64"/>
      <c r="L2" s="37"/>
      <c r="M2" s="37"/>
      <c r="N2" s="6"/>
    </row>
    <row r="3" spans="1:22" s="33" customFormat="1">
      <c r="A3" s="7" t="str">
        <f>CONCATENATE('[3]Schedule Sponsors'!$A$52,'[3]Schedule Sponsors'!$B$52)</f>
        <v>II-D-1.1  MONTHLY O&amp;&amp;M EXPENSE</v>
      </c>
      <c r="B3" s="4"/>
      <c r="C3" s="31"/>
      <c r="E3" s="31"/>
      <c r="F3" s="31"/>
      <c r="G3" s="34"/>
      <c r="L3" s="37"/>
      <c r="M3" s="37"/>
      <c r="N3" s="3"/>
    </row>
    <row r="4" spans="1:22" s="33" customFormat="1">
      <c r="A4" s="63" t="str">
        <f>+'[3]Input Data'!$A$4</f>
        <v>TEST YEAR ENDING DECEMBER 31, 2024</v>
      </c>
      <c r="B4" s="4"/>
      <c r="C4" s="31"/>
      <c r="L4" s="37"/>
      <c r="M4" s="37"/>
    </row>
    <row r="5" spans="1:22" s="33" customFormat="1">
      <c r="A5" s="7" t="str">
        <f>CONCATENATE("SPONSOR: ",'[3]Schedule Sponsors'!$D$52)</f>
        <v>SPONSOR: R. PRACHYL</v>
      </c>
      <c r="B5" s="4"/>
      <c r="C5" s="31"/>
      <c r="L5" s="37"/>
      <c r="M5" s="37"/>
    </row>
    <row r="6" spans="1:22" s="33" customFormat="1">
      <c r="A6" s="7"/>
      <c r="B6" s="4"/>
      <c r="C6" s="31"/>
      <c r="D6" s="18"/>
      <c r="E6" s="18"/>
      <c r="F6" s="18"/>
      <c r="G6" s="18"/>
      <c r="H6" s="18"/>
      <c r="I6" s="18"/>
      <c r="L6" s="37"/>
      <c r="M6" s="37"/>
    </row>
    <row r="7" spans="1:22" s="33" customFormat="1">
      <c r="A7" s="31"/>
      <c r="B7" s="56"/>
      <c r="L7" s="37"/>
      <c r="M7" s="37"/>
    </row>
    <row r="8" spans="1:22" s="33" customFormat="1" ht="13.5" thickBot="1">
      <c r="A8" s="31"/>
      <c r="D8" s="37"/>
      <c r="E8" s="65"/>
      <c r="F8" s="65"/>
      <c r="G8" s="37"/>
      <c r="H8" s="65"/>
      <c r="I8" s="65"/>
      <c r="J8" s="37"/>
      <c r="K8" s="65"/>
      <c r="L8" s="65"/>
      <c r="M8" s="37"/>
      <c r="N8" s="65"/>
      <c r="O8" s="65"/>
      <c r="P8" s="37"/>
      <c r="Q8" s="65"/>
      <c r="R8" s="65"/>
      <c r="S8" s="65"/>
      <c r="T8" s="37"/>
    </row>
    <row r="9" spans="1:22" s="35" customFormat="1">
      <c r="A9" s="9"/>
      <c r="B9" s="9"/>
      <c r="C9" s="9"/>
      <c r="D9" s="9"/>
      <c r="E9" s="9"/>
      <c r="F9" s="9"/>
      <c r="G9" s="9"/>
      <c r="H9" s="10"/>
      <c r="I9" s="9"/>
      <c r="J9" s="10"/>
      <c r="K9" s="9"/>
      <c r="L9" s="9"/>
      <c r="M9" s="9"/>
      <c r="N9" s="10"/>
      <c r="O9" s="10"/>
      <c r="P9" s="10"/>
      <c r="Q9" s="10"/>
      <c r="R9" s="17"/>
      <c r="S9" s="10" t="s">
        <v>319</v>
      </c>
      <c r="T9" s="17" t="s">
        <v>184</v>
      </c>
      <c r="U9" s="10" t="s">
        <v>320</v>
      </c>
    </row>
    <row r="10" spans="1:22" s="35" customFormat="1">
      <c r="A10" s="11" t="s">
        <v>87</v>
      </c>
      <c r="B10" s="11" t="s">
        <v>212</v>
      </c>
      <c r="C10" s="11"/>
      <c r="D10" s="11" t="s">
        <v>181</v>
      </c>
      <c r="E10" s="11" t="s">
        <v>296</v>
      </c>
      <c r="F10" s="11" t="s">
        <v>18</v>
      </c>
      <c r="G10" s="11" t="s">
        <v>19</v>
      </c>
      <c r="H10" s="11" t="s">
        <v>20</v>
      </c>
      <c r="I10" s="11" t="s">
        <v>21</v>
      </c>
      <c r="J10" s="11" t="s">
        <v>156</v>
      </c>
      <c r="K10" s="11" t="s">
        <v>157</v>
      </c>
      <c r="L10" s="11" t="s">
        <v>30</v>
      </c>
      <c r="M10" s="11" t="s">
        <v>178</v>
      </c>
      <c r="N10" s="11" t="s">
        <v>179</v>
      </c>
      <c r="O10" s="11" t="s">
        <v>180</v>
      </c>
      <c r="P10" s="11" t="s">
        <v>40</v>
      </c>
      <c r="Q10" s="11"/>
      <c r="R10" s="11" t="s">
        <v>214</v>
      </c>
      <c r="S10" s="11" t="s">
        <v>321</v>
      </c>
      <c r="T10" s="11" t="s">
        <v>185</v>
      </c>
      <c r="U10" s="11" t="s">
        <v>319</v>
      </c>
    </row>
    <row r="11" spans="1:22" s="35" customFormat="1">
      <c r="A11" s="11" t="s">
        <v>89</v>
      </c>
      <c r="B11" s="11" t="s">
        <v>294</v>
      </c>
      <c r="C11" s="11" t="s">
        <v>208</v>
      </c>
      <c r="D11" s="11">
        <v>2024</v>
      </c>
      <c r="E11" s="11">
        <v>2024</v>
      </c>
      <c r="F11" s="11">
        <v>2024</v>
      </c>
      <c r="G11" s="11">
        <v>2024</v>
      </c>
      <c r="H11" s="11">
        <v>2024</v>
      </c>
      <c r="I11" s="11">
        <v>2024</v>
      </c>
      <c r="J11" s="11">
        <v>2024</v>
      </c>
      <c r="K11" s="11">
        <v>2024</v>
      </c>
      <c r="L11" s="11">
        <v>2024</v>
      </c>
      <c r="M11" s="11">
        <v>2024</v>
      </c>
      <c r="N11" s="11">
        <v>2024</v>
      </c>
      <c r="O11" s="11">
        <v>2024</v>
      </c>
      <c r="P11" s="11" t="s">
        <v>215</v>
      </c>
      <c r="Q11" s="11" t="s">
        <v>318</v>
      </c>
      <c r="R11" s="11" t="s">
        <v>221</v>
      </c>
      <c r="S11" s="11" t="s">
        <v>222</v>
      </c>
      <c r="T11" s="11" t="s">
        <v>61</v>
      </c>
      <c r="U11" s="11" t="s">
        <v>321</v>
      </c>
    </row>
    <row r="12" spans="1:22" s="35" customFormat="1" ht="13.5" thickBot="1">
      <c r="A12" s="12"/>
      <c r="B12" s="29" t="s">
        <v>44</v>
      </c>
      <c r="C12" s="29" t="s">
        <v>45</v>
      </c>
      <c r="D12" s="29" t="s">
        <v>74</v>
      </c>
      <c r="E12" s="29" t="s">
        <v>75</v>
      </c>
      <c r="F12" s="29" t="s">
        <v>76</v>
      </c>
      <c r="G12" s="29" t="s">
        <v>77</v>
      </c>
      <c r="H12" s="29" t="s">
        <v>78</v>
      </c>
      <c r="I12" s="29" t="s">
        <v>79</v>
      </c>
      <c r="J12" s="29" t="s">
        <v>80</v>
      </c>
      <c r="K12" s="29" t="s">
        <v>81</v>
      </c>
      <c r="L12" s="29" t="s">
        <v>82</v>
      </c>
      <c r="M12" s="29" t="s">
        <v>83</v>
      </c>
      <c r="N12" s="29" t="s">
        <v>84</v>
      </c>
      <c r="O12" s="29" t="s">
        <v>85</v>
      </c>
      <c r="P12" s="29" t="s">
        <v>86</v>
      </c>
      <c r="Q12" s="29" t="s">
        <v>254</v>
      </c>
      <c r="R12" s="29" t="s">
        <v>128</v>
      </c>
      <c r="S12" s="29" t="s">
        <v>23</v>
      </c>
      <c r="T12" s="29" t="s">
        <v>24</v>
      </c>
      <c r="U12" s="29" t="s">
        <v>136</v>
      </c>
    </row>
    <row r="13" spans="1:22" s="31" customFormat="1" ht="12.75" customHeight="1">
      <c r="A13" s="38"/>
      <c r="B13" s="38"/>
      <c r="C13" s="38"/>
      <c r="D13" s="148">
        <v>1</v>
      </c>
      <c r="E13" s="148">
        <v>2</v>
      </c>
      <c r="F13" s="148">
        <v>3</v>
      </c>
      <c r="G13" s="148">
        <v>4</v>
      </c>
      <c r="H13" s="148">
        <v>5</v>
      </c>
      <c r="I13" s="148">
        <v>6</v>
      </c>
      <c r="J13" s="148">
        <v>7</v>
      </c>
      <c r="K13" s="148">
        <v>8</v>
      </c>
      <c r="L13" s="148">
        <v>9</v>
      </c>
      <c r="M13" s="148">
        <v>10</v>
      </c>
      <c r="N13" s="148">
        <v>11</v>
      </c>
      <c r="O13" s="148">
        <v>12</v>
      </c>
      <c r="P13" s="38"/>
      <c r="Q13" s="38"/>
      <c r="R13" s="38"/>
      <c r="S13" s="38"/>
      <c r="T13" s="38"/>
    </row>
    <row r="14" spans="1:22" s="8" customFormat="1" ht="15" customHeight="1">
      <c r="A14" s="16">
        <v>1</v>
      </c>
      <c r="B14" s="8" t="s">
        <v>229</v>
      </c>
      <c r="D14" s="18"/>
      <c r="E14" s="19"/>
      <c r="F14" s="19"/>
      <c r="G14" s="19"/>
      <c r="H14" s="19"/>
      <c r="I14" s="19"/>
      <c r="J14" s="19"/>
      <c r="K14" s="18"/>
      <c r="L14" s="18"/>
      <c r="M14" s="19"/>
      <c r="N14" s="19"/>
      <c r="O14" s="19"/>
      <c r="P14" s="19"/>
      <c r="Q14" s="19"/>
      <c r="R14" s="19"/>
    </row>
    <row r="15" spans="1:22" s="8" customFormat="1" ht="15" customHeight="1">
      <c r="A15" s="16">
        <v>2</v>
      </c>
      <c r="C15" s="15" t="s">
        <v>226</v>
      </c>
      <c r="D15" s="18"/>
      <c r="E15" s="19"/>
      <c r="F15" s="19"/>
      <c r="G15" s="19"/>
      <c r="H15" s="19"/>
      <c r="I15" s="19"/>
      <c r="J15" s="19"/>
      <c r="K15" s="58"/>
      <c r="L15" s="18"/>
      <c r="M15" s="19"/>
      <c r="N15" s="19"/>
      <c r="O15" s="19"/>
      <c r="P15" s="19"/>
      <c r="Q15" s="19"/>
      <c r="R15" s="19"/>
    </row>
    <row r="16" spans="1:22" ht="15" customHeight="1">
      <c r="A16" s="16">
        <v>3</v>
      </c>
      <c r="B16" s="4" t="s">
        <v>230</v>
      </c>
      <c r="C16" s="4" t="s">
        <v>369</v>
      </c>
      <c r="D16" s="150">
        <v>876889.63</v>
      </c>
      <c r="E16" s="150">
        <v>535986.38</v>
      </c>
      <c r="F16" s="150">
        <v>617231.87</v>
      </c>
      <c r="G16" s="150">
        <v>685316.76</v>
      </c>
      <c r="H16" s="150">
        <v>-511245.72</v>
      </c>
      <c r="I16" s="150">
        <v>698912.59</v>
      </c>
      <c r="J16" s="150">
        <v>877071.5</v>
      </c>
      <c r="K16" s="150">
        <v>647229.13</v>
      </c>
      <c r="L16" s="150">
        <v>543981.42000000004</v>
      </c>
      <c r="M16" s="150">
        <v>931922.73</v>
      </c>
      <c r="N16" s="150">
        <v>-822484.64</v>
      </c>
      <c r="O16" s="150">
        <v>698681.25</v>
      </c>
      <c r="P16" s="230">
        <f>SUM(D16:O16)</f>
        <v>5779492.8999999994</v>
      </c>
      <c r="Q16" s="150">
        <v>0</v>
      </c>
      <c r="R16" s="150">
        <v>0</v>
      </c>
      <c r="S16" s="150">
        <f>+P16-Q16-R16</f>
        <v>5779492.8999999994</v>
      </c>
      <c r="T16" s="150">
        <f>+'[2]Total Summary'!N3</f>
        <v>-7.52</v>
      </c>
      <c r="U16" s="150">
        <f>+S16+T16</f>
        <v>5779485.3799999999</v>
      </c>
      <c r="V16" t="b">
        <f>ROUND(+U16,2)=ROUND('II-D-1'!L17,2)</f>
        <v>1</v>
      </c>
    </row>
    <row r="17" spans="1:22" ht="15" customHeight="1">
      <c r="A17" s="16">
        <v>4</v>
      </c>
      <c r="B17" s="4" t="s">
        <v>231</v>
      </c>
      <c r="C17" s="4" t="s">
        <v>290</v>
      </c>
      <c r="D17" s="73">
        <v>1489391.38</v>
      </c>
      <c r="E17" s="73">
        <v>1635367.11</v>
      </c>
      <c r="F17" s="73">
        <v>1653294.86</v>
      </c>
      <c r="G17" s="73">
        <v>1682988.6</v>
      </c>
      <c r="H17" s="73">
        <v>2189548.67</v>
      </c>
      <c r="I17" s="73">
        <v>1422838.31</v>
      </c>
      <c r="J17" s="73">
        <v>1697404.17</v>
      </c>
      <c r="K17" s="73">
        <v>1777490.88</v>
      </c>
      <c r="L17" s="73">
        <v>1868597.88</v>
      </c>
      <c r="M17" s="73">
        <v>1963047.78</v>
      </c>
      <c r="N17" s="73">
        <v>2296436.75</v>
      </c>
      <c r="O17" s="73">
        <v>2009527.52</v>
      </c>
      <c r="P17" s="73">
        <f t="shared" ref="P17:P23" si="0">SUM(D17:O17)</f>
        <v>21685933.91</v>
      </c>
      <c r="Q17" s="73">
        <v>0</v>
      </c>
      <c r="R17" s="73">
        <v>0</v>
      </c>
      <c r="S17" s="73">
        <f t="shared" ref="S17:S23" si="1">+P17-Q17-R17</f>
        <v>21685933.91</v>
      </c>
      <c r="T17" s="73">
        <f>+'[2]Total Summary'!N4</f>
        <v>267171.12</v>
      </c>
      <c r="U17" s="73">
        <f t="shared" ref="U17:U23" si="2">+S17+T17</f>
        <v>21953105.030000001</v>
      </c>
      <c r="V17" t="b">
        <f>ROUND(+U17,2)=ROUND('II-D-1'!L18,2)</f>
        <v>1</v>
      </c>
    </row>
    <row r="18" spans="1:22" ht="15" customHeight="1">
      <c r="A18" s="16">
        <v>5</v>
      </c>
      <c r="B18" s="4" t="s">
        <v>232</v>
      </c>
      <c r="C18" s="4" t="s">
        <v>370</v>
      </c>
      <c r="D18" s="73">
        <v>530185.23</v>
      </c>
      <c r="E18" s="73">
        <v>323049.34999999998</v>
      </c>
      <c r="F18" s="73">
        <v>272484.43</v>
      </c>
      <c r="G18" s="73">
        <v>259518.11</v>
      </c>
      <c r="H18" s="73">
        <v>292247.46000000002</v>
      </c>
      <c r="I18" s="73">
        <v>278932.18</v>
      </c>
      <c r="J18" s="73">
        <v>256608.07</v>
      </c>
      <c r="K18" s="73">
        <v>508955.95</v>
      </c>
      <c r="L18" s="73">
        <v>282907.15000000002</v>
      </c>
      <c r="M18" s="73">
        <v>316298.13</v>
      </c>
      <c r="N18" s="73">
        <v>408528.01</v>
      </c>
      <c r="O18" s="73">
        <v>363562.51</v>
      </c>
      <c r="P18" s="73">
        <f t="shared" si="0"/>
        <v>4093276.58</v>
      </c>
      <c r="Q18" s="73">
        <v>0</v>
      </c>
      <c r="R18" s="73">
        <v>0</v>
      </c>
      <c r="S18" s="73">
        <f t="shared" si="1"/>
        <v>4093276.58</v>
      </c>
      <c r="T18" s="73">
        <f>+'[2]Total Summary'!N5</f>
        <v>1282583.33</v>
      </c>
      <c r="U18" s="73">
        <f t="shared" si="2"/>
        <v>5375859.9100000001</v>
      </c>
      <c r="V18" t="b">
        <f>ROUND(+U18,2)=ROUND('II-D-1'!L19,2)</f>
        <v>1</v>
      </c>
    </row>
    <row r="19" spans="1:22" ht="15" customHeight="1">
      <c r="A19" s="16">
        <v>6</v>
      </c>
      <c r="B19" s="4" t="s">
        <v>233</v>
      </c>
      <c r="C19" s="4" t="s">
        <v>371</v>
      </c>
      <c r="D19" s="73">
        <v>450009.23</v>
      </c>
      <c r="E19" s="73">
        <v>-2261273.9</v>
      </c>
      <c r="F19" s="73">
        <v>3205052.85</v>
      </c>
      <c r="G19" s="73">
        <v>160732.98000000001</v>
      </c>
      <c r="H19" s="73">
        <v>1178307.76</v>
      </c>
      <c r="I19" s="73">
        <v>522269.3</v>
      </c>
      <c r="J19" s="73">
        <v>318725.68</v>
      </c>
      <c r="K19" s="73">
        <v>159650.10999999999</v>
      </c>
      <c r="L19" s="73">
        <v>915427.7</v>
      </c>
      <c r="M19" s="73">
        <v>878902.46</v>
      </c>
      <c r="N19" s="73">
        <v>599084.68000000005</v>
      </c>
      <c r="O19" s="73">
        <v>700234.25</v>
      </c>
      <c r="P19" s="73">
        <f t="shared" si="0"/>
        <v>6827123.0999999996</v>
      </c>
      <c r="Q19" s="73">
        <v>0</v>
      </c>
      <c r="R19" s="73">
        <v>0</v>
      </c>
      <c r="S19" s="73">
        <f t="shared" si="1"/>
        <v>6827123.0999999996</v>
      </c>
      <c r="T19" s="73">
        <f>+'[2]Total Summary'!N6</f>
        <v>1086957.5900000001</v>
      </c>
      <c r="U19" s="73">
        <f t="shared" si="2"/>
        <v>7914080.6899999995</v>
      </c>
      <c r="V19" t="b">
        <f>ROUND(+U19,2)=ROUND('II-D-1'!L20,2)</f>
        <v>1</v>
      </c>
    </row>
    <row r="20" spans="1:22" ht="15" customHeight="1">
      <c r="A20" s="16">
        <v>7</v>
      </c>
      <c r="B20" s="4" t="s">
        <v>234</v>
      </c>
      <c r="C20" s="4" t="s">
        <v>372</v>
      </c>
      <c r="D20" s="73">
        <v>159.30000000000001</v>
      </c>
      <c r="E20" s="73">
        <v>242.75</v>
      </c>
      <c r="F20" s="73">
        <v>254.08</v>
      </c>
      <c r="G20" s="73">
        <v>180.51</v>
      </c>
      <c r="H20" s="73">
        <v>149.38999999999999</v>
      </c>
      <c r="I20" s="73">
        <v>128.22</v>
      </c>
      <c r="J20" s="73">
        <v>128.22</v>
      </c>
      <c r="K20" s="73">
        <v>126.98</v>
      </c>
      <c r="L20" s="73">
        <v>197.3</v>
      </c>
      <c r="M20" s="73">
        <v>227.88</v>
      </c>
      <c r="N20" s="73">
        <v>185.49</v>
      </c>
      <c r="O20" s="73">
        <v>144.41</v>
      </c>
      <c r="P20" s="73">
        <f t="shared" si="0"/>
        <v>2124.5300000000002</v>
      </c>
      <c r="Q20" s="73">
        <v>0</v>
      </c>
      <c r="R20" s="73">
        <v>0</v>
      </c>
      <c r="S20" s="73">
        <f t="shared" si="1"/>
        <v>2124.5300000000002</v>
      </c>
      <c r="T20" s="73">
        <f>+'[2]Total Summary'!N7</f>
        <v>0</v>
      </c>
      <c r="U20" s="73">
        <f t="shared" si="2"/>
        <v>2124.5300000000002</v>
      </c>
      <c r="V20" t="b">
        <f>ROUND(+U20,2)=ROUND('II-D-1'!L21,2)</f>
        <v>1</v>
      </c>
    </row>
    <row r="21" spans="1:22" ht="15" customHeight="1">
      <c r="A21" s="16">
        <v>8</v>
      </c>
      <c r="B21" s="4" t="s">
        <v>282</v>
      </c>
      <c r="C21" s="4" t="s">
        <v>373</v>
      </c>
      <c r="D21" s="73">
        <v>164666301.84999999</v>
      </c>
      <c r="E21" s="73">
        <v>164696594.40000001</v>
      </c>
      <c r="F21" s="73">
        <v>164673182.22999999</v>
      </c>
      <c r="G21" s="73">
        <v>164702515.22</v>
      </c>
      <c r="H21" s="73">
        <v>164647824.38</v>
      </c>
      <c r="I21" s="73">
        <v>164730002.75999999</v>
      </c>
      <c r="J21" s="73">
        <v>164939168.88</v>
      </c>
      <c r="K21" s="73">
        <v>165081532.69999999</v>
      </c>
      <c r="L21" s="73">
        <v>165228628.31999999</v>
      </c>
      <c r="M21" s="73">
        <v>152881664.53999999</v>
      </c>
      <c r="N21" s="73">
        <v>165314062.19999999</v>
      </c>
      <c r="O21" s="73">
        <v>166255620.78</v>
      </c>
      <c r="P21" s="73">
        <f t="shared" si="0"/>
        <v>1967817098.26</v>
      </c>
      <c r="Q21" s="73">
        <v>0</v>
      </c>
      <c r="R21" s="73">
        <v>0</v>
      </c>
      <c r="S21" s="73">
        <f t="shared" si="1"/>
        <v>1967817098.26</v>
      </c>
      <c r="T21" s="73">
        <f>+'[2]Total Summary'!N8</f>
        <v>133024374.4000001</v>
      </c>
      <c r="U21" s="73">
        <f t="shared" si="2"/>
        <v>2100841472.6600001</v>
      </c>
      <c r="V21" t="b">
        <f>ROUND(+U21,2)=ROUND('II-D-1'!L22,2)</f>
        <v>1</v>
      </c>
    </row>
    <row r="22" spans="1:22" ht="15" customHeight="1">
      <c r="A22" s="16">
        <v>9</v>
      </c>
      <c r="B22" s="4" t="s">
        <v>235</v>
      </c>
      <c r="C22" s="4" t="s">
        <v>138</v>
      </c>
      <c r="D22" s="73">
        <v>4167027.07</v>
      </c>
      <c r="E22" s="73">
        <v>4657384.16</v>
      </c>
      <c r="F22" s="73">
        <v>5287082.84</v>
      </c>
      <c r="G22" s="73">
        <v>5127275.92</v>
      </c>
      <c r="H22" s="73">
        <v>5010768.3099999996</v>
      </c>
      <c r="I22" s="73">
        <v>5243138.6399999997</v>
      </c>
      <c r="J22" s="73">
        <v>5793746.1200000001</v>
      </c>
      <c r="K22" s="73">
        <v>5367063.7</v>
      </c>
      <c r="L22" s="73">
        <v>4795430.9000000004</v>
      </c>
      <c r="M22" s="73">
        <v>6241973.5099999998</v>
      </c>
      <c r="N22" s="73">
        <v>6291578.6799999997</v>
      </c>
      <c r="O22" s="73">
        <v>6548852.7999999998</v>
      </c>
      <c r="P22" s="73">
        <f t="shared" si="0"/>
        <v>64531322.649999999</v>
      </c>
      <c r="Q22" s="73">
        <v>0</v>
      </c>
      <c r="R22" s="73">
        <v>0</v>
      </c>
      <c r="S22" s="73">
        <f t="shared" si="1"/>
        <v>64531322.649999999</v>
      </c>
      <c r="T22" s="73">
        <f>+'[2]Total Summary'!N9</f>
        <v>6965164.8799999999</v>
      </c>
      <c r="U22" s="73">
        <f t="shared" si="2"/>
        <v>71496487.530000001</v>
      </c>
      <c r="V22" t="b">
        <f>ROUND(+U22,2)=ROUND('II-D-1'!L23,2)</f>
        <v>1</v>
      </c>
    </row>
    <row r="23" spans="1:22" ht="15" customHeight="1">
      <c r="A23" s="16">
        <v>10</v>
      </c>
      <c r="B23" s="4" t="s">
        <v>236</v>
      </c>
      <c r="C23" s="4" t="s">
        <v>291</v>
      </c>
      <c r="D23" s="73">
        <v>-19670.18</v>
      </c>
      <c r="E23" s="73">
        <v>0</v>
      </c>
      <c r="F23" s="73">
        <v>75323.62</v>
      </c>
      <c r="G23" s="73">
        <v>10332</v>
      </c>
      <c r="H23" s="73">
        <v>7661.47</v>
      </c>
      <c r="I23" s="73">
        <v>288.2</v>
      </c>
      <c r="J23" s="73">
        <v>0</v>
      </c>
      <c r="K23" s="73">
        <v>14882.05</v>
      </c>
      <c r="L23" s="73">
        <v>1746.56</v>
      </c>
      <c r="M23" s="73">
        <v>42210.86</v>
      </c>
      <c r="N23" s="73">
        <v>-517.52</v>
      </c>
      <c r="O23" s="73">
        <v>23565.13</v>
      </c>
      <c r="P23" s="73">
        <f t="shared" si="0"/>
        <v>155822.19000000003</v>
      </c>
      <c r="Q23" s="73">
        <v>0</v>
      </c>
      <c r="R23" s="73">
        <v>0</v>
      </c>
      <c r="S23" s="73">
        <f t="shared" si="1"/>
        <v>155822.19000000003</v>
      </c>
      <c r="T23" s="73">
        <f>+'[2]Total Summary'!N10</f>
        <v>0</v>
      </c>
      <c r="U23" s="73">
        <f t="shared" si="2"/>
        <v>155822.19000000003</v>
      </c>
      <c r="V23" t="b">
        <f>ROUND(+U23,2)=ROUND('II-D-1'!L24,2)</f>
        <v>1</v>
      </c>
    </row>
    <row r="24" spans="1:22" ht="15" customHeight="1">
      <c r="A24" s="16">
        <v>11</v>
      </c>
      <c r="B24" s="8"/>
      <c r="C24" s="8"/>
      <c r="D24" s="115"/>
      <c r="E24" s="115"/>
      <c r="F24" s="115"/>
      <c r="G24" s="115"/>
      <c r="H24" s="115"/>
      <c r="I24" s="115"/>
      <c r="J24" s="115"/>
      <c r="K24" s="115"/>
      <c r="L24" s="115"/>
      <c r="M24" s="115"/>
      <c r="N24" s="115"/>
      <c r="O24" s="115"/>
      <c r="P24" s="115"/>
      <c r="Q24" s="115"/>
      <c r="R24" s="115"/>
      <c r="S24" s="115"/>
      <c r="T24" s="115"/>
      <c r="U24" s="115"/>
    </row>
    <row r="25" spans="1:22" ht="15" customHeight="1">
      <c r="A25" s="16">
        <v>12</v>
      </c>
      <c r="B25" s="4"/>
      <c r="C25" s="22" t="s">
        <v>54</v>
      </c>
      <c r="D25" s="141">
        <f>SUM(D16:D23)</f>
        <v>172160293.50999999</v>
      </c>
      <c r="E25" s="141">
        <f t="shared" ref="E25:S25" si="3">SUM(E16:E23)</f>
        <v>169587350.25</v>
      </c>
      <c r="F25" s="141">
        <f t="shared" si="3"/>
        <v>175783906.78</v>
      </c>
      <c r="G25" s="141">
        <f t="shared" si="3"/>
        <v>172628860.09999999</v>
      </c>
      <c r="H25" s="141">
        <f t="shared" si="3"/>
        <v>172815261.72</v>
      </c>
      <c r="I25" s="141">
        <f t="shared" si="3"/>
        <v>172896510.19999996</v>
      </c>
      <c r="J25" s="141">
        <f t="shared" si="3"/>
        <v>173882852.63999999</v>
      </c>
      <c r="K25" s="141">
        <f t="shared" si="3"/>
        <v>173556931.5</v>
      </c>
      <c r="L25" s="141">
        <f t="shared" si="3"/>
        <v>173636917.22999999</v>
      </c>
      <c r="M25" s="141">
        <f t="shared" si="3"/>
        <v>163256247.88999999</v>
      </c>
      <c r="N25" s="141">
        <f t="shared" si="3"/>
        <v>174086873.64999998</v>
      </c>
      <c r="O25" s="141">
        <f t="shared" si="3"/>
        <v>176600188.65000001</v>
      </c>
      <c r="P25" s="141">
        <f t="shared" si="3"/>
        <v>2070892194.1200001</v>
      </c>
      <c r="Q25" s="141">
        <f t="shared" si="3"/>
        <v>0</v>
      </c>
      <c r="R25" s="141">
        <f t="shared" si="3"/>
        <v>0</v>
      </c>
      <c r="S25" s="141">
        <f t="shared" si="3"/>
        <v>2070892194.1200001</v>
      </c>
      <c r="T25" s="141">
        <f>SUM(T16:T23)</f>
        <v>142626243.8000001</v>
      </c>
      <c r="U25" s="141">
        <f>SUM(U16:U23)</f>
        <v>2213518437.9200001</v>
      </c>
      <c r="V25" t="b">
        <f>ROUND(+U25,2)=ROUND('II-D-1'!L26,2)</f>
        <v>1</v>
      </c>
    </row>
    <row r="26" spans="1:22" ht="15" customHeight="1">
      <c r="A26" s="16">
        <v>13</v>
      </c>
      <c r="B26" s="8"/>
      <c r="C26" s="18"/>
      <c r="D26" s="115"/>
      <c r="E26" s="115"/>
      <c r="F26" s="115"/>
      <c r="G26" s="115"/>
      <c r="H26" s="115"/>
      <c r="I26" s="115"/>
      <c r="J26" s="115"/>
      <c r="K26" s="115"/>
      <c r="L26" s="115"/>
      <c r="M26" s="115"/>
      <c r="N26" s="115"/>
      <c r="O26" s="115"/>
      <c r="P26" s="115"/>
      <c r="Q26" s="115"/>
      <c r="R26" s="115"/>
      <c r="S26" s="115"/>
      <c r="T26" s="115"/>
      <c r="U26" s="115"/>
    </row>
    <row r="27" spans="1:22" ht="15" customHeight="1">
      <c r="A27" s="16">
        <v>14</v>
      </c>
      <c r="B27" s="8"/>
      <c r="C27" s="15" t="s">
        <v>228</v>
      </c>
      <c r="D27" s="2"/>
      <c r="E27" s="2"/>
      <c r="F27" s="2"/>
      <c r="G27" s="2"/>
      <c r="H27" s="2"/>
      <c r="I27" s="2"/>
      <c r="J27" s="2"/>
      <c r="K27" s="2"/>
      <c r="L27" s="2"/>
      <c r="M27" s="2"/>
      <c r="N27" s="2"/>
      <c r="O27" s="2"/>
      <c r="P27" s="2"/>
      <c r="Q27" s="2"/>
      <c r="R27" s="2"/>
      <c r="S27" s="2"/>
      <c r="T27" s="2"/>
      <c r="U27" s="2"/>
    </row>
    <row r="28" spans="1:22" ht="15" customHeight="1">
      <c r="A28" s="16">
        <v>15</v>
      </c>
      <c r="B28" s="4" t="s">
        <v>237</v>
      </c>
      <c r="C28" s="4" t="s">
        <v>139</v>
      </c>
      <c r="D28" s="150">
        <v>102715.65</v>
      </c>
      <c r="E28" s="150">
        <v>2920.86</v>
      </c>
      <c r="F28" s="150">
        <v>73505.820000000007</v>
      </c>
      <c r="G28" s="150">
        <v>84846.720000000001</v>
      </c>
      <c r="H28" s="150">
        <v>-140067.47</v>
      </c>
      <c r="I28" s="150">
        <v>27188.639999999999</v>
      </c>
      <c r="J28" s="150">
        <v>22354.81</v>
      </c>
      <c r="K28" s="150">
        <v>104410.29</v>
      </c>
      <c r="L28" s="150">
        <v>3355.41</v>
      </c>
      <c r="M28" s="150">
        <v>20653.02</v>
      </c>
      <c r="N28" s="150">
        <v>-123109.45</v>
      </c>
      <c r="O28" s="150">
        <v>29089.53</v>
      </c>
      <c r="P28" s="150">
        <f t="shared" ref="P28:P33" si="4">SUM(D28:O28)</f>
        <v>207863.83</v>
      </c>
      <c r="Q28" s="150">
        <v>0</v>
      </c>
      <c r="R28" s="150">
        <v>0</v>
      </c>
      <c r="S28" s="150">
        <f t="shared" ref="S28:S33" si="5">+P28-Q28-R28</f>
        <v>207863.83</v>
      </c>
      <c r="T28" s="150">
        <f>+'[2]Total Summary'!N13</f>
        <v>0</v>
      </c>
      <c r="U28" s="150">
        <f t="shared" ref="U28:U33" si="6">+S28+T28</f>
        <v>207863.83</v>
      </c>
      <c r="V28" t="b">
        <f>ROUND(+U28,2)=ROUND('II-D-1'!L29,2)</f>
        <v>1</v>
      </c>
    </row>
    <row r="29" spans="1:22" ht="15" customHeight="1">
      <c r="A29" s="16">
        <v>16</v>
      </c>
      <c r="B29" s="4" t="s">
        <v>238</v>
      </c>
      <c r="C29" s="4" t="s">
        <v>140</v>
      </c>
      <c r="D29" s="73">
        <v>305.45</v>
      </c>
      <c r="E29" s="73">
        <v>631.72</v>
      </c>
      <c r="F29" s="73">
        <v>294.07</v>
      </c>
      <c r="G29" s="73">
        <v>271.24</v>
      </c>
      <c r="H29" s="73">
        <v>272.33</v>
      </c>
      <c r="I29" s="73">
        <v>292.94</v>
      </c>
      <c r="J29" s="73">
        <v>290.63</v>
      </c>
      <c r="K29" s="73">
        <v>429.41</v>
      </c>
      <c r="L29" s="73">
        <v>466.04</v>
      </c>
      <c r="M29" s="73">
        <v>420.24</v>
      </c>
      <c r="N29" s="73">
        <v>472.57</v>
      </c>
      <c r="O29" s="73">
        <v>473.81</v>
      </c>
      <c r="P29" s="73">
        <f t="shared" si="4"/>
        <v>4620.45</v>
      </c>
      <c r="Q29" s="73">
        <v>0</v>
      </c>
      <c r="R29" s="73">
        <v>0</v>
      </c>
      <c r="S29" s="73">
        <f t="shared" si="5"/>
        <v>4620.45</v>
      </c>
      <c r="T29" s="73">
        <f>+'[2]Total Summary'!N14</f>
        <v>0</v>
      </c>
      <c r="U29" s="73">
        <f t="shared" si="6"/>
        <v>4620.45</v>
      </c>
      <c r="V29" t="b">
        <f>ROUND(+U29,2)=ROUND('II-D-1'!L30,2)</f>
        <v>1</v>
      </c>
    </row>
    <row r="30" spans="1:22" ht="15" customHeight="1">
      <c r="A30" s="16">
        <v>17</v>
      </c>
      <c r="B30" s="4" t="s">
        <v>239</v>
      </c>
      <c r="C30" s="4" t="s">
        <v>375</v>
      </c>
      <c r="D30" s="73">
        <v>3000135.58</v>
      </c>
      <c r="E30" s="73">
        <v>252860.13</v>
      </c>
      <c r="F30" s="73">
        <v>373856.28</v>
      </c>
      <c r="G30" s="73">
        <v>398232.27</v>
      </c>
      <c r="H30" s="73">
        <v>579159.46</v>
      </c>
      <c r="I30" s="73">
        <v>446488.99</v>
      </c>
      <c r="J30" s="73">
        <v>334466.32</v>
      </c>
      <c r="K30" s="73">
        <v>426555.44</v>
      </c>
      <c r="L30" s="73">
        <v>418330.3</v>
      </c>
      <c r="M30" s="73">
        <v>432318.55</v>
      </c>
      <c r="N30" s="73">
        <v>508206.13</v>
      </c>
      <c r="O30" s="73">
        <v>306061.28000000003</v>
      </c>
      <c r="P30" s="73">
        <f t="shared" si="4"/>
        <v>7476670.7300000014</v>
      </c>
      <c r="Q30" s="73">
        <v>0</v>
      </c>
      <c r="R30" s="73">
        <v>0</v>
      </c>
      <c r="S30" s="73">
        <f t="shared" si="5"/>
        <v>7476670.7300000014</v>
      </c>
      <c r="T30" s="73">
        <f>+'[2]Total Summary'!N15</f>
        <v>0</v>
      </c>
      <c r="U30" s="73">
        <f t="shared" si="6"/>
        <v>7476670.7300000014</v>
      </c>
      <c r="V30" t="b">
        <f>ROUND(+U30,2)=ROUND('II-D-1'!L31,2)</f>
        <v>1</v>
      </c>
    </row>
    <row r="31" spans="1:22" ht="15" customHeight="1">
      <c r="A31" s="16">
        <v>18</v>
      </c>
      <c r="B31" s="4" t="s">
        <v>240</v>
      </c>
      <c r="C31" s="4" t="s">
        <v>376</v>
      </c>
      <c r="D31" s="73">
        <v>986482.01</v>
      </c>
      <c r="E31" s="73">
        <v>2128053.04</v>
      </c>
      <c r="F31" s="73">
        <v>2654887.5699999998</v>
      </c>
      <c r="G31" s="73">
        <v>2235614.7400000002</v>
      </c>
      <c r="H31" s="73">
        <v>1673144.97</v>
      </c>
      <c r="I31" s="73">
        <v>1100294.3799999999</v>
      </c>
      <c r="J31" s="73">
        <v>1276081.18</v>
      </c>
      <c r="K31" s="73">
        <v>1625531.08</v>
      </c>
      <c r="L31" s="73">
        <v>1477087.4</v>
      </c>
      <c r="M31" s="73">
        <v>2037686.62</v>
      </c>
      <c r="N31" s="73">
        <v>1753673.59</v>
      </c>
      <c r="O31" s="73">
        <v>1142512.42</v>
      </c>
      <c r="P31" s="73">
        <f t="shared" si="4"/>
        <v>20091049</v>
      </c>
      <c r="Q31" s="73">
        <v>0</v>
      </c>
      <c r="R31" s="73">
        <v>0</v>
      </c>
      <c r="S31" s="73">
        <f t="shared" si="5"/>
        <v>20091049</v>
      </c>
      <c r="T31" s="73">
        <f>+'[2]Total Summary'!N16</f>
        <v>0</v>
      </c>
      <c r="U31" s="73">
        <f t="shared" si="6"/>
        <v>20091049</v>
      </c>
      <c r="V31" t="b">
        <f>ROUND(+U31,2)=ROUND('II-D-1'!L32,2)</f>
        <v>1</v>
      </c>
    </row>
    <row r="32" spans="1:22" ht="15" customHeight="1">
      <c r="A32" s="16">
        <v>19</v>
      </c>
      <c r="B32" s="4" t="s">
        <v>241</v>
      </c>
      <c r="C32" s="4" t="s">
        <v>377</v>
      </c>
      <c r="D32" s="73">
        <v>-6779.07</v>
      </c>
      <c r="E32" s="73">
        <v>0</v>
      </c>
      <c r="F32" s="73">
        <v>0</v>
      </c>
      <c r="G32" s="73">
        <v>0</v>
      </c>
      <c r="H32" s="73">
        <v>0</v>
      </c>
      <c r="I32" s="73">
        <v>0</v>
      </c>
      <c r="J32" s="73">
        <v>0</v>
      </c>
      <c r="K32" s="73">
        <v>0</v>
      </c>
      <c r="L32" s="73">
        <v>0</v>
      </c>
      <c r="M32" s="73">
        <v>0</v>
      </c>
      <c r="N32" s="73">
        <v>0</v>
      </c>
      <c r="O32" s="73">
        <v>0</v>
      </c>
      <c r="P32" s="73">
        <f t="shared" si="4"/>
        <v>-6779.07</v>
      </c>
      <c r="Q32" s="73">
        <v>0</v>
      </c>
      <c r="R32" s="73">
        <v>0</v>
      </c>
      <c r="S32" s="73">
        <f t="shared" si="5"/>
        <v>-6779.07</v>
      </c>
      <c r="T32" s="73">
        <f>+'[2]Total Summary'!N17</f>
        <v>0</v>
      </c>
      <c r="U32" s="73">
        <f t="shared" si="6"/>
        <v>-6779.07</v>
      </c>
      <c r="V32" t="b">
        <f>ROUND(+U32,2)=ROUND('II-D-1'!L33,2)</f>
        <v>1</v>
      </c>
    </row>
    <row r="33" spans="1:22" ht="15" customHeight="1">
      <c r="A33" s="16">
        <v>20</v>
      </c>
      <c r="B33" s="4" t="s">
        <v>242</v>
      </c>
      <c r="C33" s="4" t="s">
        <v>141</v>
      </c>
      <c r="D33" s="73">
        <v>54814.33</v>
      </c>
      <c r="E33" s="73">
        <v>49496.82</v>
      </c>
      <c r="F33" s="73">
        <v>120542.6</v>
      </c>
      <c r="G33" s="73">
        <v>85787.26</v>
      </c>
      <c r="H33" s="73">
        <v>6467.11</v>
      </c>
      <c r="I33" s="73">
        <v>93163</v>
      </c>
      <c r="J33" s="73">
        <v>89644.58</v>
      </c>
      <c r="K33" s="73">
        <v>21049.54</v>
      </c>
      <c r="L33" s="73">
        <v>262908.58</v>
      </c>
      <c r="M33" s="73">
        <v>163987.76</v>
      </c>
      <c r="N33" s="73">
        <v>96255.22</v>
      </c>
      <c r="O33" s="73">
        <v>-35819.410000000003</v>
      </c>
      <c r="P33" s="73">
        <f t="shared" si="4"/>
        <v>1008297.39</v>
      </c>
      <c r="Q33" s="73">
        <v>0</v>
      </c>
      <c r="R33" s="73">
        <v>0</v>
      </c>
      <c r="S33" s="73">
        <f t="shared" si="5"/>
        <v>1008297.39</v>
      </c>
      <c r="T33" s="73">
        <f>+'[2]Total Summary'!N18</f>
        <v>0</v>
      </c>
      <c r="U33" s="73">
        <f t="shared" si="6"/>
        <v>1008297.39</v>
      </c>
      <c r="V33" t="b">
        <f>ROUND(+U33,2)=ROUND('II-D-1'!L34,2)</f>
        <v>1</v>
      </c>
    </row>
    <row r="34" spans="1:22" ht="15" customHeight="1">
      <c r="A34" s="16">
        <v>21</v>
      </c>
      <c r="B34" s="4"/>
      <c r="C34" s="4"/>
      <c r="D34" s="115"/>
      <c r="E34" s="115"/>
      <c r="F34" s="115"/>
      <c r="G34" s="115"/>
      <c r="H34" s="115"/>
      <c r="I34" s="115"/>
      <c r="J34" s="115"/>
      <c r="K34" s="115"/>
      <c r="L34" s="115"/>
      <c r="M34" s="115"/>
      <c r="N34" s="115"/>
      <c r="O34" s="115"/>
      <c r="P34" s="115"/>
      <c r="Q34" s="115"/>
      <c r="R34" s="115"/>
      <c r="S34" s="115"/>
      <c r="T34" s="115"/>
      <c r="U34" s="115"/>
    </row>
    <row r="35" spans="1:22" ht="15" customHeight="1">
      <c r="A35" s="16">
        <v>22</v>
      </c>
      <c r="B35" s="8"/>
      <c r="C35" s="22" t="s">
        <v>55</v>
      </c>
      <c r="D35" s="141">
        <f>SUM(D28:D33)</f>
        <v>4137673.9500000007</v>
      </c>
      <c r="E35" s="141">
        <f t="shared" ref="E35:S35" si="7">SUM(E28:E33)</f>
        <v>2433962.5699999998</v>
      </c>
      <c r="F35" s="141">
        <f t="shared" si="7"/>
        <v>3223086.34</v>
      </c>
      <c r="G35" s="141">
        <f t="shared" si="7"/>
        <v>2804752.23</v>
      </c>
      <c r="H35" s="141">
        <f t="shared" si="7"/>
        <v>2118976.4</v>
      </c>
      <c r="I35" s="141">
        <f t="shared" si="7"/>
        <v>1667427.95</v>
      </c>
      <c r="J35" s="141">
        <f t="shared" si="7"/>
        <v>1722837.52</v>
      </c>
      <c r="K35" s="141">
        <f t="shared" si="7"/>
        <v>2177975.7600000002</v>
      </c>
      <c r="L35" s="141">
        <f t="shared" si="7"/>
        <v>2162147.73</v>
      </c>
      <c r="M35" s="141">
        <f t="shared" si="7"/>
        <v>2655066.1900000004</v>
      </c>
      <c r="N35" s="141">
        <f t="shared" si="7"/>
        <v>2235498.06</v>
      </c>
      <c r="O35" s="141">
        <f t="shared" si="7"/>
        <v>1442317.6300000001</v>
      </c>
      <c r="P35" s="141">
        <f t="shared" si="7"/>
        <v>28781722.330000002</v>
      </c>
      <c r="Q35" s="141">
        <f t="shared" si="7"/>
        <v>0</v>
      </c>
      <c r="R35" s="141">
        <f t="shared" si="7"/>
        <v>0</v>
      </c>
      <c r="S35" s="141">
        <f t="shared" si="7"/>
        <v>28781722.330000002</v>
      </c>
      <c r="T35" s="141">
        <f>SUM(T28:T33)</f>
        <v>0</v>
      </c>
      <c r="U35" s="141">
        <f>SUM(U28:U33)</f>
        <v>28781722.330000002</v>
      </c>
      <c r="V35" t="b">
        <f>ROUND(+U35,2)=ROUND('II-D-1'!L36,2)</f>
        <v>1</v>
      </c>
    </row>
    <row r="36" spans="1:22" ht="15" customHeight="1">
      <c r="A36" s="16">
        <v>23</v>
      </c>
      <c r="B36" s="8"/>
      <c r="C36" s="22"/>
      <c r="D36" s="115"/>
      <c r="E36" s="115"/>
      <c r="F36" s="115"/>
      <c r="G36" s="115"/>
      <c r="H36" s="115"/>
      <c r="I36" s="115"/>
      <c r="J36" s="115"/>
      <c r="K36" s="115"/>
      <c r="L36" s="115"/>
      <c r="M36" s="115"/>
      <c r="N36" s="115"/>
      <c r="O36" s="115"/>
      <c r="P36" s="115"/>
      <c r="Q36" s="115"/>
      <c r="R36" s="115"/>
      <c r="S36" s="115"/>
      <c r="T36" s="115"/>
      <c r="U36" s="115"/>
      <c r="V36" s="2"/>
    </row>
    <row r="37" spans="1:22" ht="15" customHeight="1">
      <c r="A37" s="16">
        <v>24</v>
      </c>
      <c r="B37" s="8" t="s">
        <v>123</v>
      </c>
      <c r="C37" s="8"/>
      <c r="D37" s="178">
        <f>+D35+D25</f>
        <v>176297967.45999998</v>
      </c>
      <c r="E37" s="178">
        <f t="shared" ref="E37:S37" si="8">+E35+E25</f>
        <v>172021312.81999999</v>
      </c>
      <c r="F37" s="178">
        <f t="shared" si="8"/>
        <v>179006993.12</v>
      </c>
      <c r="G37" s="178">
        <f t="shared" si="8"/>
        <v>175433612.32999998</v>
      </c>
      <c r="H37" s="178">
        <f t="shared" si="8"/>
        <v>174934238.12</v>
      </c>
      <c r="I37" s="178">
        <f t="shared" si="8"/>
        <v>174563938.14999995</v>
      </c>
      <c r="J37" s="178">
        <f t="shared" si="8"/>
        <v>175605690.16</v>
      </c>
      <c r="K37" s="178">
        <f t="shared" si="8"/>
        <v>175734907.25999999</v>
      </c>
      <c r="L37" s="178">
        <f t="shared" si="8"/>
        <v>175799064.95999998</v>
      </c>
      <c r="M37" s="178">
        <f t="shared" si="8"/>
        <v>165911314.07999998</v>
      </c>
      <c r="N37" s="178">
        <f t="shared" si="8"/>
        <v>176322371.70999998</v>
      </c>
      <c r="O37" s="178">
        <f t="shared" si="8"/>
        <v>178042506.28</v>
      </c>
      <c r="P37" s="178">
        <f t="shared" si="8"/>
        <v>2099673916.45</v>
      </c>
      <c r="Q37" s="178">
        <f t="shared" si="8"/>
        <v>0</v>
      </c>
      <c r="R37" s="178">
        <f t="shared" si="8"/>
        <v>0</v>
      </c>
      <c r="S37" s="178">
        <f t="shared" si="8"/>
        <v>2099673916.45</v>
      </c>
      <c r="T37" s="178">
        <f>+T35+T25</f>
        <v>142626243.8000001</v>
      </c>
      <c r="U37" s="178">
        <f>+U35+U25</f>
        <v>2242300160.25</v>
      </c>
      <c r="V37" t="b">
        <f>ROUND(+U37,2)=ROUND('II-D-1'!L38,2)</f>
        <v>1</v>
      </c>
    </row>
    <row r="38" spans="1:22" ht="15" customHeight="1">
      <c r="A38" s="16">
        <v>25</v>
      </c>
      <c r="B38" s="8"/>
      <c r="C38" s="8"/>
      <c r="D38" s="2"/>
      <c r="E38" s="2"/>
      <c r="F38" s="2"/>
      <c r="G38" s="2"/>
      <c r="H38" s="2"/>
      <c r="I38" s="2"/>
      <c r="J38" s="2"/>
      <c r="K38" s="2"/>
      <c r="L38" s="2"/>
      <c r="M38" s="2"/>
      <c r="N38" s="2"/>
      <c r="O38" s="2"/>
      <c r="P38" s="2"/>
      <c r="Q38" s="2"/>
      <c r="R38" s="2"/>
      <c r="S38" s="2"/>
      <c r="T38" s="2"/>
      <c r="U38" s="2"/>
    </row>
    <row r="39" spans="1:22" ht="15" customHeight="1">
      <c r="A39" s="16">
        <v>26</v>
      </c>
      <c r="B39" s="8"/>
      <c r="C39" s="8"/>
      <c r="D39" s="2"/>
      <c r="E39" s="2"/>
      <c r="F39" s="2"/>
      <c r="G39" s="2"/>
      <c r="H39" s="2"/>
      <c r="I39" s="2"/>
      <c r="J39" s="2"/>
      <c r="K39" s="2"/>
      <c r="L39" s="2"/>
      <c r="M39" s="2"/>
      <c r="N39" s="2"/>
      <c r="O39" s="2"/>
      <c r="P39" s="2"/>
      <c r="Q39" s="2"/>
      <c r="R39" s="2"/>
      <c r="S39" s="2"/>
      <c r="T39" s="2"/>
      <c r="U39" s="2"/>
    </row>
    <row r="40" spans="1:22" ht="15" customHeight="1">
      <c r="A40" s="16">
        <v>27</v>
      </c>
      <c r="B40" s="8" t="s">
        <v>35</v>
      </c>
      <c r="C40" s="8"/>
      <c r="D40" s="2"/>
      <c r="E40" s="2"/>
      <c r="F40" s="2"/>
      <c r="G40" s="2"/>
      <c r="H40" s="2"/>
      <c r="I40" s="2"/>
      <c r="J40" s="2"/>
      <c r="K40" s="2"/>
      <c r="L40" s="2"/>
      <c r="M40" s="2"/>
      <c r="N40" s="2"/>
      <c r="O40" s="2"/>
      <c r="P40" s="2"/>
      <c r="Q40" s="2"/>
      <c r="R40" s="2"/>
      <c r="S40" s="2"/>
      <c r="T40" s="2"/>
      <c r="U40" s="2"/>
    </row>
    <row r="41" spans="1:22" ht="15" customHeight="1">
      <c r="A41" s="16">
        <v>28</v>
      </c>
      <c r="B41" s="8"/>
      <c r="C41" s="15" t="s">
        <v>226</v>
      </c>
      <c r="D41" s="2"/>
      <c r="E41" s="2"/>
      <c r="F41" s="2"/>
      <c r="G41" s="2"/>
      <c r="H41" s="2"/>
      <c r="I41" s="2"/>
      <c r="J41" s="2"/>
      <c r="K41" s="2"/>
      <c r="L41" s="2"/>
      <c r="M41" s="2"/>
      <c r="N41" s="2"/>
      <c r="O41" s="2"/>
      <c r="P41" s="2"/>
      <c r="Q41" s="2"/>
      <c r="R41" s="2"/>
      <c r="S41" s="2"/>
      <c r="T41" s="2"/>
      <c r="U41" s="2"/>
    </row>
    <row r="42" spans="1:22" ht="15" customHeight="1">
      <c r="A42" s="16">
        <v>29</v>
      </c>
      <c r="B42" s="4" t="s">
        <v>249</v>
      </c>
      <c r="C42" s="4" t="s">
        <v>369</v>
      </c>
      <c r="D42" s="150">
        <v>1561934.24</v>
      </c>
      <c r="E42" s="150">
        <v>1233583.8799999999</v>
      </c>
      <c r="F42" s="150">
        <v>1726237.72</v>
      </c>
      <c r="G42" s="150">
        <v>1543341.42</v>
      </c>
      <c r="H42" s="150">
        <v>-1342670.33</v>
      </c>
      <c r="I42" s="150">
        <v>2324702.92</v>
      </c>
      <c r="J42" s="150">
        <v>2899744.91</v>
      </c>
      <c r="K42" s="150">
        <v>2189258.0299999998</v>
      </c>
      <c r="L42" s="150">
        <v>-514022.11</v>
      </c>
      <c r="M42" s="150">
        <v>1314444.2</v>
      </c>
      <c r="N42" s="150">
        <v>-1968075.89</v>
      </c>
      <c r="O42" s="150">
        <v>1516943.19</v>
      </c>
      <c r="P42" s="150">
        <f t="shared" ref="P42:P51" si="9">SUM(D42:O42)</f>
        <v>12485422.179999998</v>
      </c>
      <c r="Q42" s="150">
        <v>0</v>
      </c>
      <c r="R42" s="150">
        <v>0</v>
      </c>
      <c r="S42" s="150">
        <f t="shared" ref="S42:S51" si="10">+P42-Q42-R42</f>
        <v>12485422.179999998</v>
      </c>
      <c r="T42" s="150">
        <f>+'[2]Total Summary'!N21</f>
        <v>-101130.06999999999</v>
      </c>
      <c r="U42" s="150">
        <f>+S42+T42</f>
        <v>12384292.109999998</v>
      </c>
      <c r="V42" t="b">
        <f>ROUND(+U42,2)=ROUND('II-D-1'!L43,2)</f>
        <v>1</v>
      </c>
    </row>
    <row r="43" spans="1:22" ht="15" customHeight="1">
      <c r="A43" s="16">
        <v>30</v>
      </c>
      <c r="B43" s="4" t="s">
        <v>243</v>
      </c>
      <c r="C43" s="4" t="s">
        <v>145</v>
      </c>
      <c r="D43" s="73">
        <v>1024416.89</v>
      </c>
      <c r="E43" s="73">
        <v>964923.84</v>
      </c>
      <c r="F43" s="73">
        <v>987222.69</v>
      </c>
      <c r="G43" s="73">
        <v>1041742.79</v>
      </c>
      <c r="H43" s="73">
        <v>1343608.21</v>
      </c>
      <c r="I43" s="73">
        <v>850930.91</v>
      </c>
      <c r="J43" s="73">
        <v>1029061.91</v>
      </c>
      <c r="K43" s="73">
        <v>1069453.17</v>
      </c>
      <c r="L43" s="73">
        <v>990887.57</v>
      </c>
      <c r="M43" s="73">
        <v>982692.92</v>
      </c>
      <c r="N43" s="73">
        <v>1538807.84</v>
      </c>
      <c r="O43" s="73">
        <v>1135642.1299999999</v>
      </c>
      <c r="P43" s="73">
        <f t="shared" si="9"/>
        <v>12959390.870000001</v>
      </c>
      <c r="Q43" s="73">
        <v>0</v>
      </c>
      <c r="R43" s="73">
        <v>0</v>
      </c>
      <c r="S43" s="73">
        <f t="shared" si="10"/>
        <v>12959390.870000001</v>
      </c>
      <c r="T43" s="73">
        <f>+'[2]Total Summary'!N22</f>
        <v>0</v>
      </c>
      <c r="U43" s="73">
        <f t="shared" ref="U43:U51" si="11">+S43+T43</f>
        <v>12959390.870000001</v>
      </c>
      <c r="V43" t="b">
        <f>ROUND(+U43,2)=ROUND('II-D-1'!L44,2)</f>
        <v>1</v>
      </c>
    </row>
    <row r="44" spans="1:22" ht="15" customHeight="1">
      <c r="A44" s="16">
        <v>31</v>
      </c>
      <c r="B44" s="4" t="s">
        <v>244</v>
      </c>
      <c r="C44" s="4" t="s">
        <v>370</v>
      </c>
      <c r="D44" s="73">
        <v>367332.59</v>
      </c>
      <c r="E44" s="73">
        <v>383285.06</v>
      </c>
      <c r="F44" s="73">
        <v>339433.49</v>
      </c>
      <c r="G44" s="73">
        <v>267727.98</v>
      </c>
      <c r="H44" s="73">
        <v>510870.02</v>
      </c>
      <c r="I44" s="73">
        <v>407919.83</v>
      </c>
      <c r="J44" s="73">
        <v>430941.24</v>
      </c>
      <c r="K44" s="73">
        <v>455833.77</v>
      </c>
      <c r="L44" s="73">
        <v>647882.73</v>
      </c>
      <c r="M44" s="73">
        <v>448066.88</v>
      </c>
      <c r="N44" s="73">
        <v>488933.43</v>
      </c>
      <c r="O44" s="73">
        <v>3574944.15</v>
      </c>
      <c r="P44" s="73">
        <f t="shared" si="9"/>
        <v>8323171.1699999999</v>
      </c>
      <c r="Q44" s="73">
        <v>0</v>
      </c>
      <c r="R44" s="73">
        <v>0</v>
      </c>
      <c r="S44" s="73">
        <f t="shared" si="10"/>
        <v>8323171.1699999999</v>
      </c>
      <c r="T44" s="73">
        <f>+'[2]Total Summary'!N23</f>
        <v>-2838233.33</v>
      </c>
      <c r="U44" s="73">
        <f t="shared" si="11"/>
        <v>5484937.8399999999</v>
      </c>
      <c r="V44" t="b">
        <f>ROUND(+U44,2)=ROUND('II-D-1'!L45,2)</f>
        <v>1</v>
      </c>
    </row>
    <row r="45" spans="1:22" ht="15" customHeight="1">
      <c r="A45" s="16">
        <v>32</v>
      </c>
      <c r="B45" s="4" t="s">
        <v>155</v>
      </c>
      <c r="C45" s="4" t="s">
        <v>371</v>
      </c>
      <c r="D45" s="73">
        <v>361158.69</v>
      </c>
      <c r="E45" s="73">
        <v>262652.09000000003</v>
      </c>
      <c r="F45" s="73">
        <v>1662134.62</v>
      </c>
      <c r="G45" s="73">
        <v>766507.34</v>
      </c>
      <c r="H45" s="73">
        <v>614278.15</v>
      </c>
      <c r="I45" s="73">
        <v>-825486.04</v>
      </c>
      <c r="J45" s="73">
        <v>3564214.95</v>
      </c>
      <c r="K45" s="73">
        <v>2758017.4</v>
      </c>
      <c r="L45" s="73">
        <v>3092598.56</v>
      </c>
      <c r="M45" s="73">
        <v>2775087.74</v>
      </c>
      <c r="N45" s="73">
        <v>3263182.16</v>
      </c>
      <c r="O45" s="73">
        <v>3729814.29</v>
      </c>
      <c r="P45" s="73">
        <f t="shared" si="9"/>
        <v>22024159.950000003</v>
      </c>
      <c r="Q45" s="73">
        <v>0</v>
      </c>
      <c r="R45" s="73">
        <v>0</v>
      </c>
      <c r="S45" s="73">
        <f t="shared" si="10"/>
        <v>22024159.950000003</v>
      </c>
      <c r="T45" s="73">
        <f>+'[2]Total Summary'!N24</f>
        <v>44069.88</v>
      </c>
      <c r="U45" s="73">
        <f t="shared" si="11"/>
        <v>22068229.830000002</v>
      </c>
      <c r="V45" t="b">
        <f>ROUND(+U45,2)=ROUND('II-D-1'!L46,2)</f>
        <v>1</v>
      </c>
    </row>
    <row r="46" spans="1:22" ht="15" customHeight="1">
      <c r="A46" s="16">
        <v>33</v>
      </c>
      <c r="B46" s="4" t="s">
        <v>245</v>
      </c>
      <c r="C46" s="4" t="s">
        <v>372</v>
      </c>
      <c r="D46" s="73">
        <v>648425.52</v>
      </c>
      <c r="E46" s="73">
        <v>-66434.66</v>
      </c>
      <c r="F46" s="73">
        <v>604418.39</v>
      </c>
      <c r="G46" s="73">
        <v>702404.79</v>
      </c>
      <c r="H46" s="73">
        <v>878748.14</v>
      </c>
      <c r="I46" s="73">
        <v>597327.18999999994</v>
      </c>
      <c r="J46" s="73">
        <v>1726190.14</v>
      </c>
      <c r="K46" s="73">
        <v>419851.97</v>
      </c>
      <c r="L46" s="73">
        <v>1473083.31</v>
      </c>
      <c r="M46" s="73">
        <v>1025629.43</v>
      </c>
      <c r="N46" s="73">
        <v>1415446.78</v>
      </c>
      <c r="O46" s="73">
        <v>249581.43</v>
      </c>
      <c r="P46" s="73">
        <f t="shared" si="9"/>
        <v>9674672.4299999978</v>
      </c>
      <c r="Q46" s="73">
        <v>0</v>
      </c>
      <c r="R46" s="73">
        <v>0</v>
      </c>
      <c r="S46" s="73">
        <f t="shared" si="10"/>
        <v>9674672.4299999978</v>
      </c>
      <c r="T46" s="73">
        <f>+'[2]Total Summary'!N25</f>
        <v>44942.420000000006</v>
      </c>
      <c r="U46" s="73">
        <f t="shared" si="11"/>
        <v>9719614.8499999978</v>
      </c>
      <c r="V46" t="b">
        <f>ROUND(+U46,2)=ROUND('II-D-1'!L47,2)</f>
        <v>1</v>
      </c>
    </row>
    <row r="47" spans="1:22" ht="15" customHeight="1">
      <c r="A47" s="16">
        <v>34</v>
      </c>
      <c r="B47" s="4" t="s">
        <v>279</v>
      </c>
      <c r="C47" s="4" t="s">
        <v>142</v>
      </c>
      <c r="D47" s="73">
        <v>-1520.93</v>
      </c>
      <c r="E47" s="73">
        <v>0</v>
      </c>
      <c r="F47" s="73">
        <v>1437</v>
      </c>
      <c r="G47" s="73">
        <v>0</v>
      </c>
      <c r="H47" s="73">
        <v>0</v>
      </c>
      <c r="I47" s="73">
        <v>248.26</v>
      </c>
      <c r="J47" s="73">
        <v>0</v>
      </c>
      <c r="K47" s="73">
        <v>0</v>
      </c>
      <c r="L47" s="73">
        <v>0</v>
      </c>
      <c r="M47" s="73">
        <v>0</v>
      </c>
      <c r="N47" s="73">
        <v>186.94</v>
      </c>
      <c r="O47" s="73">
        <v>-193.67</v>
      </c>
      <c r="P47" s="73">
        <f t="shared" si="9"/>
        <v>157.59999999999994</v>
      </c>
      <c r="Q47" s="73">
        <v>0</v>
      </c>
      <c r="R47" s="73">
        <v>0</v>
      </c>
      <c r="S47" s="73">
        <f t="shared" si="10"/>
        <v>157.59999999999994</v>
      </c>
      <c r="T47" s="73">
        <f>+'[2]Total Summary'!N26</f>
        <v>0</v>
      </c>
      <c r="U47" s="73">
        <f t="shared" si="11"/>
        <v>157.59999999999994</v>
      </c>
      <c r="V47" t="b">
        <f>ROUND(+U47,2)=ROUND('II-D-1'!L48,2)</f>
        <v>1</v>
      </c>
    </row>
    <row r="48" spans="1:22" ht="15" customHeight="1">
      <c r="A48" s="16">
        <v>35</v>
      </c>
      <c r="B48" s="4" t="s">
        <v>246</v>
      </c>
      <c r="C48" s="4" t="s">
        <v>144</v>
      </c>
      <c r="D48" s="73">
        <v>2700733.63</v>
      </c>
      <c r="E48" s="73">
        <v>2584213.08</v>
      </c>
      <c r="F48" s="73">
        <v>3274743.91</v>
      </c>
      <c r="G48" s="73">
        <v>2279477.67</v>
      </c>
      <c r="H48" s="73">
        <v>3871893.17</v>
      </c>
      <c r="I48" s="73">
        <v>1967148.34</v>
      </c>
      <c r="J48" s="73">
        <v>3127229.96</v>
      </c>
      <c r="K48" s="73">
        <v>2555560.0299999998</v>
      </c>
      <c r="L48" s="73">
        <v>2089755.58</v>
      </c>
      <c r="M48" s="73">
        <v>3014889.33</v>
      </c>
      <c r="N48" s="73">
        <v>4042675.45</v>
      </c>
      <c r="O48" s="73">
        <v>3324073.37</v>
      </c>
      <c r="P48" s="73">
        <f t="shared" si="9"/>
        <v>34832393.520000003</v>
      </c>
      <c r="Q48" s="73">
        <v>0</v>
      </c>
      <c r="R48" s="73">
        <v>0</v>
      </c>
      <c r="S48" s="73">
        <f t="shared" si="10"/>
        <v>34832393.520000003</v>
      </c>
      <c r="T48" s="73">
        <f>+'[2]Total Summary'!N27</f>
        <v>172614.89</v>
      </c>
      <c r="U48" s="73">
        <f t="shared" si="11"/>
        <v>35005008.410000004</v>
      </c>
      <c r="V48" t="b">
        <f>ROUND(+U48,2)=ROUND('II-D-1'!L49,2)</f>
        <v>1</v>
      </c>
    </row>
    <row r="49" spans="1:22" ht="15" customHeight="1">
      <c r="A49" s="16">
        <v>36</v>
      </c>
      <c r="B49" s="4" t="s">
        <v>247</v>
      </c>
      <c r="C49" s="4" t="s">
        <v>143</v>
      </c>
      <c r="D49" s="73">
        <v>161400.95000000001</v>
      </c>
      <c r="E49" s="73">
        <v>249443.02</v>
      </c>
      <c r="F49" s="73">
        <v>187278.88</v>
      </c>
      <c r="G49" s="73">
        <v>162223.48000000001</v>
      </c>
      <c r="H49" s="73">
        <v>193228.71</v>
      </c>
      <c r="I49" s="73">
        <v>132588.62</v>
      </c>
      <c r="J49" s="73">
        <v>234576.13</v>
      </c>
      <c r="K49" s="73">
        <v>287738.25</v>
      </c>
      <c r="L49" s="73">
        <v>232963.85</v>
      </c>
      <c r="M49" s="73">
        <v>246376.08</v>
      </c>
      <c r="N49" s="73">
        <v>294759.46999999997</v>
      </c>
      <c r="O49" s="73">
        <v>273043.40999999997</v>
      </c>
      <c r="P49" s="73">
        <f t="shared" si="9"/>
        <v>2655620.8500000006</v>
      </c>
      <c r="Q49" s="73">
        <v>0</v>
      </c>
      <c r="R49" s="73">
        <v>0</v>
      </c>
      <c r="S49" s="73">
        <f t="shared" si="10"/>
        <v>2655620.8500000006</v>
      </c>
      <c r="T49" s="73">
        <f>+'[2]Total Summary'!N28</f>
        <v>0</v>
      </c>
      <c r="U49" s="73">
        <f t="shared" si="11"/>
        <v>2655620.8500000006</v>
      </c>
      <c r="V49" t="b">
        <f>ROUND(+U49,2)=ROUND('II-D-1'!L50,2)</f>
        <v>1</v>
      </c>
    </row>
    <row r="50" spans="1:22" ht="15" customHeight="1">
      <c r="A50" s="16">
        <v>37</v>
      </c>
      <c r="B50" s="4" t="s">
        <v>250</v>
      </c>
      <c r="C50" s="4" t="s">
        <v>146</v>
      </c>
      <c r="D50" s="73">
        <v>1108778.76</v>
      </c>
      <c r="E50" s="73">
        <v>8574848.7899999991</v>
      </c>
      <c r="F50" s="73">
        <v>9225788.9199999999</v>
      </c>
      <c r="G50" s="73">
        <v>8530364.3000000007</v>
      </c>
      <c r="H50" s="73">
        <v>9289590.3900000006</v>
      </c>
      <c r="I50" s="73">
        <v>8268946.8399999999</v>
      </c>
      <c r="J50" s="73">
        <v>7805385.4299999997</v>
      </c>
      <c r="K50" s="73">
        <v>9376173.0199999996</v>
      </c>
      <c r="L50" s="73">
        <v>8801347.8000000007</v>
      </c>
      <c r="M50" s="73">
        <v>8533157.2599999998</v>
      </c>
      <c r="N50" s="73">
        <v>10150263.75</v>
      </c>
      <c r="O50" s="73">
        <v>7788029.6500000004</v>
      </c>
      <c r="P50" s="73">
        <f t="shared" si="9"/>
        <v>97452674.910000011</v>
      </c>
      <c r="Q50" s="73">
        <v>0</v>
      </c>
      <c r="R50" s="73">
        <v>0</v>
      </c>
      <c r="S50" s="73">
        <f t="shared" si="10"/>
        <v>97452674.910000011</v>
      </c>
      <c r="T50" s="73">
        <f>+'[2]Total Summary'!N29</f>
        <v>19185131.759999994</v>
      </c>
      <c r="U50" s="73">
        <f t="shared" si="11"/>
        <v>116637806.67</v>
      </c>
      <c r="V50" t="b">
        <f>ROUND(+U50,2)=ROUND('II-D-1'!L51,2)</f>
        <v>1</v>
      </c>
    </row>
    <row r="51" spans="1:22" ht="15" customHeight="1">
      <c r="A51" s="16">
        <v>38</v>
      </c>
      <c r="B51" s="4" t="s">
        <v>248</v>
      </c>
      <c r="C51" s="4" t="s">
        <v>227</v>
      </c>
      <c r="D51" s="73">
        <v>30413.72</v>
      </c>
      <c r="E51" s="73">
        <v>28784.58</v>
      </c>
      <c r="F51" s="73">
        <v>96059.16</v>
      </c>
      <c r="G51" s="73">
        <v>27358.58</v>
      </c>
      <c r="H51" s="73">
        <v>28010.58</v>
      </c>
      <c r="I51" s="73">
        <v>30753.48</v>
      </c>
      <c r="J51" s="73">
        <v>28849.58</v>
      </c>
      <c r="K51" s="73">
        <v>31689.07</v>
      </c>
      <c r="L51" s="73">
        <v>477205.27</v>
      </c>
      <c r="M51" s="73">
        <v>-23957.52</v>
      </c>
      <c r="N51" s="73">
        <v>-27832.52</v>
      </c>
      <c r="O51" s="73">
        <v>2083707.72</v>
      </c>
      <c r="P51" s="73">
        <f t="shared" si="9"/>
        <v>2811041.7</v>
      </c>
      <c r="Q51" s="73">
        <v>0</v>
      </c>
      <c r="R51" s="73">
        <v>0</v>
      </c>
      <c r="S51" s="73">
        <f t="shared" si="10"/>
        <v>2811041.7</v>
      </c>
      <c r="T51" s="73">
        <f>+'[2]Total Summary'!N30</f>
        <v>-2609865.7999999998</v>
      </c>
      <c r="U51" s="73">
        <f t="shared" si="11"/>
        <v>201175.90000000037</v>
      </c>
      <c r="V51" t="b">
        <f>ROUND(+U51,2)=ROUND('II-D-1'!L52,2)</f>
        <v>1</v>
      </c>
    </row>
    <row r="52" spans="1:22" ht="15" customHeight="1">
      <c r="A52" s="16">
        <v>39</v>
      </c>
      <c r="B52" s="4"/>
      <c r="C52" s="4"/>
      <c r="D52" s="115"/>
      <c r="E52" s="115"/>
      <c r="F52" s="115"/>
      <c r="G52" s="115"/>
      <c r="H52" s="115"/>
      <c r="I52" s="115"/>
      <c r="J52" s="115"/>
      <c r="K52" s="115"/>
      <c r="L52" s="115"/>
      <c r="M52" s="115"/>
      <c r="N52" s="115"/>
      <c r="O52" s="115"/>
      <c r="P52" s="115"/>
      <c r="Q52" s="115"/>
      <c r="R52" s="115"/>
      <c r="S52" s="115"/>
      <c r="T52" s="115"/>
      <c r="U52" s="115"/>
    </row>
    <row r="53" spans="1:22" ht="15" customHeight="1">
      <c r="A53" s="16">
        <v>40</v>
      </c>
      <c r="B53" s="8"/>
      <c r="C53" s="22" t="s">
        <v>56</v>
      </c>
      <c r="D53" s="141">
        <f>SUM(D42:D51)</f>
        <v>7963074.0599999987</v>
      </c>
      <c r="E53" s="141">
        <f t="shared" ref="E53:S53" si="12">SUM(E42:E51)</f>
        <v>14215299.679999998</v>
      </c>
      <c r="F53" s="141">
        <f t="shared" si="12"/>
        <v>18104754.780000001</v>
      </c>
      <c r="G53" s="141">
        <f t="shared" si="12"/>
        <v>15321148.350000001</v>
      </c>
      <c r="H53" s="141">
        <f t="shared" si="12"/>
        <v>15387557.040000001</v>
      </c>
      <c r="I53" s="141">
        <f t="shared" si="12"/>
        <v>13755080.350000001</v>
      </c>
      <c r="J53" s="141">
        <f t="shared" si="12"/>
        <v>20846194.25</v>
      </c>
      <c r="K53" s="141">
        <f t="shared" si="12"/>
        <v>19143574.710000001</v>
      </c>
      <c r="L53" s="141">
        <f t="shared" si="12"/>
        <v>17291702.559999999</v>
      </c>
      <c r="M53" s="141">
        <f t="shared" si="12"/>
        <v>18316386.32</v>
      </c>
      <c r="N53" s="141">
        <f t="shared" si="12"/>
        <v>19198347.41</v>
      </c>
      <c r="O53" s="141">
        <f t="shared" si="12"/>
        <v>23675585.670000002</v>
      </c>
      <c r="P53" s="141">
        <f t="shared" si="12"/>
        <v>203218705.18000001</v>
      </c>
      <c r="Q53" s="141">
        <f t="shared" si="12"/>
        <v>0</v>
      </c>
      <c r="R53" s="141">
        <f t="shared" si="12"/>
        <v>0</v>
      </c>
      <c r="S53" s="141">
        <f t="shared" si="12"/>
        <v>203218705.18000001</v>
      </c>
      <c r="T53" s="141">
        <f>SUM(T42:T51)</f>
        <v>13897529.749999993</v>
      </c>
      <c r="U53" s="141">
        <f>SUM(U42:U51)</f>
        <v>217116234.93000001</v>
      </c>
      <c r="V53" t="b">
        <f>ROUND(+U53,2)=ROUND('II-D-1'!L54,2)</f>
        <v>1</v>
      </c>
    </row>
    <row r="54" spans="1:22" ht="15" customHeight="1">
      <c r="A54" s="16">
        <v>41</v>
      </c>
      <c r="B54" s="15"/>
      <c r="C54" s="8"/>
      <c r="D54" s="115"/>
      <c r="E54" s="115"/>
      <c r="F54" s="115"/>
      <c r="G54" s="115"/>
      <c r="H54" s="115"/>
      <c r="I54" s="115"/>
      <c r="J54" s="115"/>
      <c r="K54" s="115"/>
      <c r="L54" s="115"/>
      <c r="M54" s="115"/>
      <c r="N54" s="115"/>
      <c r="O54" s="115"/>
      <c r="P54" s="115"/>
      <c r="Q54" s="115"/>
      <c r="R54" s="115"/>
      <c r="S54" s="115"/>
      <c r="T54" s="115"/>
      <c r="U54" s="115"/>
    </row>
    <row r="55" spans="1:22" ht="15" customHeight="1">
      <c r="A55" s="16">
        <v>42</v>
      </c>
      <c r="B55" s="8"/>
      <c r="C55" s="15" t="s">
        <v>228</v>
      </c>
      <c r="D55" s="2"/>
      <c r="E55" s="2"/>
      <c r="F55" s="2"/>
      <c r="G55" s="2"/>
      <c r="H55" s="2"/>
      <c r="I55" s="2"/>
      <c r="J55" s="2"/>
      <c r="K55" s="2"/>
      <c r="L55" s="2"/>
      <c r="M55" s="2"/>
      <c r="N55" s="2"/>
      <c r="O55" s="2"/>
      <c r="P55" s="2"/>
      <c r="Q55" s="2"/>
      <c r="R55" s="2"/>
      <c r="S55" s="2"/>
      <c r="T55" s="2"/>
      <c r="U55" s="2"/>
    </row>
    <row r="56" spans="1:22" ht="15" customHeight="1">
      <c r="A56" s="16">
        <v>43</v>
      </c>
      <c r="B56" s="4" t="s">
        <v>256</v>
      </c>
      <c r="C56" s="4" t="s">
        <v>139</v>
      </c>
      <c r="D56" s="150">
        <v>4900348.01</v>
      </c>
      <c r="E56" s="150">
        <v>-3321617.16</v>
      </c>
      <c r="F56" s="150">
        <v>1355634.88</v>
      </c>
      <c r="G56" s="150">
        <v>2516313.59</v>
      </c>
      <c r="H56" s="150">
        <v>-2807435.77</v>
      </c>
      <c r="I56" s="150">
        <v>-92875.64</v>
      </c>
      <c r="J56" s="150">
        <v>1535195.08</v>
      </c>
      <c r="K56" s="150">
        <v>-319212.84999999998</v>
      </c>
      <c r="L56" s="150">
        <v>894254.87</v>
      </c>
      <c r="M56" s="150">
        <v>-243818.26</v>
      </c>
      <c r="N56" s="150">
        <v>-1387028.45</v>
      </c>
      <c r="O56" s="150">
        <v>337560.06</v>
      </c>
      <c r="P56" s="150">
        <f>SUM(D56:O56)</f>
        <v>3367318.3599999989</v>
      </c>
      <c r="Q56" s="150">
        <v>0</v>
      </c>
      <c r="R56" s="150">
        <v>0</v>
      </c>
      <c r="S56" s="150">
        <f t="shared" ref="S56:S64" si="13">+P56-Q56-R56</f>
        <v>3367318.3599999989</v>
      </c>
      <c r="T56" s="150">
        <f>+'[2]Total Summary'!N33</f>
        <v>609.13</v>
      </c>
      <c r="U56" s="150">
        <f>+S56+T56</f>
        <v>3367927.4899999988</v>
      </c>
      <c r="V56" t="b">
        <f>ROUND(+U56,2)=ROUND('II-D-1'!L57,2)</f>
        <v>1</v>
      </c>
    </row>
    <row r="57" spans="1:22" ht="15" customHeight="1">
      <c r="A57" s="16">
        <v>44</v>
      </c>
      <c r="B57" s="4" t="s">
        <v>251</v>
      </c>
      <c r="C57" s="4" t="s">
        <v>140</v>
      </c>
      <c r="D57" s="73">
        <v>276.36</v>
      </c>
      <c r="E57" s="73">
        <v>399.39</v>
      </c>
      <c r="F57" s="73">
        <v>276.36</v>
      </c>
      <c r="G57" s="73">
        <v>276.36</v>
      </c>
      <c r="H57" s="73">
        <v>2954.59</v>
      </c>
      <c r="I57" s="73">
        <v>276.36</v>
      </c>
      <c r="J57" s="73">
        <v>276.36</v>
      </c>
      <c r="K57" s="73">
        <v>276.36</v>
      </c>
      <c r="L57" s="73">
        <v>276.36</v>
      </c>
      <c r="M57" s="73">
        <v>276.36</v>
      </c>
      <c r="N57" s="73">
        <v>282.89999999999998</v>
      </c>
      <c r="O57" s="73">
        <v>491.11</v>
      </c>
      <c r="P57" s="73">
        <f t="shared" ref="P57:P64" si="14">SUM(D57:O57)</f>
        <v>6338.8699999999981</v>
      </c>
      <c r="Q57" s="73">
        <v>0</v>
      </c>
      <c r="R57" s="73">
        <v>0</v>
      </c>
      <c r="S57" s="73">
        <f t="shared" si="13"/>
        <v>6338.8699999999981</v>
      </c>
      <c r="T57" s="73">
        <f>+'[2]Total Summary'!N34</f>
        <v>0</v>
      </c>
      <c r="U57" s="73">
        <f t="shared" ref="U57:U64" si="15">+S57+T57</f>
        <v>6338.8699999999981</v>
      </c>
      <c r="V57" t="b">
        <f>ROUND(+U57,2)=ROUND('II-D-1'!L58,2)</f>
        <v>1</v>
      </c>
    </row>
    <row r="58" spans="1:22" ht="15" customHeight="1">
      <c r="A58" s="16">
        <v>45</v>
      </c>
      <c r="B58" s="4" t="s">
        <v>252</v>
      </c>
      <c r="C58" s="4" t="s">
        <v>375</v>
      </c>
      <c r="D58" s="73">
        <v>687572.06</v>
      </c>
      <c r="E58" s="73">
        <v>1049608.6000000001</v>
      </c>
      <c r="F58" s="73">
        <v>682545.63</v>
      </c>
      <c r="G58" s="73">
        <v>688635.72</v>
      </c>
      <c r="H58" s="73">
        <v>957764.84</v>
      </c>
      <c r="I58" s="73">
        <v>992017.31</v>
      </c>
      <c r="J58" s="73">
        <v>937165.68</v>
      </c>
      <c r="K58" s="73">
        <v>813219.17</v>
      </c>
      <c r="L58" s="73">
        <v>1056459.3400000001</v>
      </c>
      <c r="M58" s="73">
        <v>917087.38</v>
      </c>
      <c r="N58" s="73">
        <v>814328.14</v>
      </c>
      <c r="O58" s="73">
        <v>538469.53</v>
      </c>
      <c r="P58" s="73">
        <f t="shared" si="14"/>
        <v>10134873.4</v>
      </c>
      <c r="Q58" s="73">
        <v>0</v>
      </c>
      <c r="R58" s="73">
        <v>0</v>
      </c>
      <c r="S58" s="73">
        <f t="shared" si="13"/>
        <v>10134873.4</v>
      </c>
      <c r="T58" s="73">
        <f>+'[2]Total Summary'!N35</f>
        <v>14721.05</v>
      </c>
      <c r="U58" s="73">
        <f t="shared" si="15"/>
        <v>10149594.450000001</v>
      </c>
      <c r="V58" t="b">
        <f>ROUND(+U58,2)=ROUND('II-D-1'!L59,2)</f>
        <v>1</v>
      </c>
    </row>
    <row r="59" spans="1:22" ht="15" customHeight="1">
      <c r="A59" s="16">
        <v>46</v>
      </c>
      <c r="B59" s="4" t="s">
        <v>147</v>
      </c>
      <c r="C59" s="4" t="s">
        <v>376</v>
      </c>
      <c r="D59" s="73">
        <v>11394292.34</v>
      </c>
      <c r="E59" s="73">
        <v>11055578.560000001</v>
      </c>
      <c r="F59" s="73">
        <v>12302586.689999999</v>
      </c>
      <c r="G59" s="73">
        <v>9642814.7699999996</v>
      </c>
      <c r="H59" s="73">
        <v>6529440.0499999998</v>
      </c>
      <c r="I59" s="73">
        <v>3800380.02</v>
      </c>
      <c r="J59" s="73">
        <v>8053386.5499999998</v>
      </c>
      <c r="K59" s="73">
        <v>8010925.8099999996</v>
      </c>
      <c r="L59" s="73">
        <v>14223475.939999999</v>
      </c>
      <c r="M59" s="73">
        <v>12177413.390000001</v>
      </c>
      <c r="N59" s="73">
        <v>13912259.619999999</v>
      </c>
      <c r="O59" s="73">
        <v>14784126.27</v>
      </c>
      <c r="P59" s="73">
        <f t="shared" si="14"/>
        <v>125886680.00999999</v>
      </c>
      <c r="Q59" s="73">
        <v>0</v>
      </c>
      <c r="R59" s="73">
        <v>0</v>
      </c>
      <c r="S59" s="73">
        <f t="shared" si="13"/>
        <v>125886680.00999999</v>
      </c>
      <c r="T59" s="73">
        <f>+'[2]Total Summary'!N36</f>
        <v>-1214603.6399999997</v>
      </c>
      <c r="U59" s="73">
        <f t="shared" si="15"/>
        <v>124672076.36999999</v>
      </c>
      <c r="V59" t="b">
        <f>ROUND(+U59,2)=ROUND('II-D-1'!L60,2)</f>
        <v>1</v>
      </c>
    </row>
    <row r="60" spans="1:22" ht="15" customHeight="1">
      <c r="A60" s="16">
        <v>47</v>
      </c>
      <c r="B60" s="4" t="s">
        <v>148</v>
      </c>
      <c r="C60" s="4" t="s">
        <v>377</v>
      </c>
      <c r="D60" s="73">
        <v>2886646.24</v>
      </c>
      <c r="E60" s="73">
        <v>3289718.31</v>
      </c>
      <c r="F60" s="73">
        <v>2350301.64</v>
      </c>
      <c r="G60" s="73">
        <v>2896545.98</v>
      </c>
      <c r="H60" s="73">
        <v>2287410.94</v>
      </c>
      <c r="I60" s="73">
        <v>2506656.56</v>
      </c>
      <c r="J60" s="73">
        <v>2049139.39</v>
      </c>
      <c r="K60" s="73">
        <v>2687228.04</v>
      </c>
      <c r="L60" s="73">
        <v>2451754.15</v>
      </c>
      <c r="M60" s="73">
        <v>2506957.02</v>
      </c>
      <c r="N60" s="73">
        <v>2837965.58</v>
      </c>
      <c r="O60" s="73">
        <v>3104429.26</v>
      </c>
      <c r="P60" s="73">
        <f t="shared" si="14"/>
        <v>31854753.109999999</v>
      </c>
      <c r="Q60" s="73">
        <v>0</v>
      </c>
      <c r="R60" s="73">
        <v>0</v>
      </c>
      <c r="S60" s="73">
        <f t="shared" si="13"/>
        <v>31854753.109999999</v>
      </c>
      <c r="T60" s="73">
        <f>+'[2]Total Summary'!N37</f>
        <v>73041.930000000008</v>
      </c>
      <c r="U60" s="73">
        <f t="shared" si="15"/>
        <v>31927795.039999999</v>
      </c>
      <c r="V60" t="b">
        <f>ROUND(+U60,2)=ROUND('II-D-1'!L61,2)</f>
        <v>1</v>
      </c>
    </row>
    <row r="61" spans="1:22" ht="15" customHeight="1">
      <c r="A61" s="16">
        <v>48</v>
      </c>
      <c r="B61" s="4" t="s">
        <v>253</v>
      </c>
      <c r="C61" s="4" t="s">
        <v>149</v>
      </c>
      <c r="D61" s="73">
        <v>309433.21999999997</v>
      </c>
      <c r="E61" s="73">
        <v>326171.34999999998</v>
      </c>
      <c r="F61" s="73">
        <v>411468.64</v>
      </c>
      <c r="G61" s="73">
        <v>432214.96</v>
      </c>
      <c r="H61" s="73">
        <v>361365.74</v>
      </c>
      <c r="I61" s="73">
        <v>221665.31</v>
      </c>
      <c r="J61" s="73">
        <v>359039.76</v>
      </c>
      <c r="K61" s="73">
        <v>304431.05</v>
      </c>
      <c r="L61" s="73">
        <v>349645.07</v>
      </c>
      <c r="M61" s="73">
        <v>408225.87</v>
      </c>
      <c r="N61" s="73">
        <v>183447.47</v>
      </c>
      <c r="O61" s="73">
        <v>165770.91</v>
      </c>
      <c r="P61" s="73">
        <f t="shared" si="14"/>
        <v>3832879.35</v>
      </c>
      <c r="Q61" s="73">
        <v>0</v>
      </c>
      <c r="R61" s="73">
        <v>0</v>
      </c>
      <c r="S61" s="73">
        <f t="shared" si="13"/>
        <v>3832879.35</v>
      </c>
      <c r="T61" s="73">
        <f>+'[2]Total Summary'!N38</f>
        <v>69.349999999999994</v>
      </c>
      <c r="U61" s="73">
        <f t="shared" si="15"/>
        <v>3832948.7</v>
      </c>
      <c r="V61" t="b">
        <f>ROUND(+U61,2)=ROUND('II-D-1'!L62,2)</f>
        <v>1</v>
      </c>
    </row>
    <row r="62" spans="1:22" ht="15" customHeight="1">
      <c r="A62" s="16">
        <v>49</v>
      </c>
      <c r="B62" s="4" t="s">
        <v>280</v>
      </c>
      <c r="C62" s="4" t="s">
        <v>150</v>
      </c>
      <c r="D62" s="73">
        <v>748277.02</v>
      </c>
      <c r="E62" s="73">
        <v>904845.71</v>
      </c>
      <c r="F62" s="73">
        <v>844339.14</v>
      </c>
      <c r="G62" s="73">
        <v>379882.27</v>
      </c>
      <c r="H62" s="73">
        <v>695596.75</v>
      </c>
      <c r="I62" s="73">
        <v>1128547.6000000001</v>
      </c>
      <c r="J62" s="73">
        <v>739020.85</v>
      </c>
      <c r="K62" s="73">
        <v>797281.53</v>
      </c>
      <c r="L62" s="73">
        <v>1054713.44</v>
      </c>
      <c r="M62" s="73">
        <v>1738821.49</v>
      </c>
      <c r="N62" s="73">
        <v>492518.22</v>
      </c>
      <c r="O62" s="73">
        <v>737302.94</v>
      </c>
      <c r="P62" s="73">
        <f t="shared" si="14"/>
        <v>10261146.960000001</v>
      </c>
      <c r="Q62" s="73">
        <v>0</v>
      </c>
      <c r="R62" s="73">
        <v>0</v>
      </c>
      <c r="S62" s="73">
        <f t="shared" si="13"/>
        <v>10261146.960000001</v>
      </c>
      <c r="T62" s="73">
        <f>+'[2]Total Summary'!N39</f>
        <v>213532.41</v>
      </c>
      <c r="U62" s="73">
        <f t="shared" si="15"/>
        <v>10474679.370000001</v>
      </c>
      <c r="V62" t="b">
        <f>ROUND(+U62,2)=ROUND('II-D-1'!L63,2)</f>
        <v>1</v>
      </c>
    </row>
    <row r="63" spans="1:22" ht="15" customHeight="1">
      <c r="A63" s="16">
        <v>50</v>
      </c>
      <c r="B63" s="4" t="s">
        <v>255</v>
      </c>
      <c r="C63" s="4" t="s">
        <v>151</v>
      </c>
      <c r="D63" s="73">
        <v>1628907.41</v>
      </c>
      <c r="E63" s="73">
        <v>1714346.42</v>
      </c>
      <c r="F63" s="73">
        <v>1796893.56</v>
      </c>
      <c r="G63" s="73">
        <v>1850418.25</v>
      </c>
      <c r="H63" s="73">
        <v>2452667.87</v>
      </c>
      <c r="I63" s="73">
        <v>1753846.02</v>
      </c>
      <c r="J63" s="73">
        <v>2084548.4</v>
      </c>
      <c r="K63" s="73">
        <v>1763664.36</v>
      </c>
      <c r="L63" s="73">
        <v>1820639.04</v>
      </c>
      <c r="M63" s="73">
        <v>1636134.07</v>
      </c>
      <c r="N63" s="73">
        <v>2580192</v>
      </c>
      <c r="O63" s="73">
        <v>1865789.69</v>
      </c>
      <c r="P63" s="73">
        <f t="shared" si="14"/>
        <v>22948047.090000004</v>
      </c>
      <c r="Q63" s="73">
        <v>0</v>
      </c>
      <c r="R63" s="73">
        <v>0</v>
      </c>
      <c r="S63" s="73">
        <f t="shared" si="13"/>
        <v>22948047.090000004</v>
      </c>
      <c r="T63" s="73">
        <f>+'[2]Total Summary'!N40</f>
        <v>0</v>
      </c>
      <c r="U63" s="73">
        <f t="shared" si="15"/>
        <v>22948047.090000004</v>
      </c>
      <c r="V63" t="b">
        <f>ROUND(+U63,2)=ROUND('II-D-1'!L64,2)</f>
        <v>1</v>
      </c>
    </row>
    <row r="64" spans="1:22" ht="15" customHeight="1">
      <c r="A64" s="16">
        <v>51</v>
      </c>
      <c r="B64" s="4" t="s">
        <v>283</v>
      </c>
      <c r="C64" s="4" t="s">
        <v>152</v>
      </c>
      <c r="D64" s="73">
        <v>330428.65000000002</v>
      </c>
      <c r="E64" s="73">
        <v>230098.47</v>
      </c>
      <c r="F64" s="73">
        <v>72276.960000000006</v>
      </c>
      <c r="G64" s="73">
        <v>292772.45</v>
      </c>
      <c r="H64" s="73">
        <v>190132.39</v>
      </c>
      <c r="I64" s="73">
        <v>183703.11</v>
      </c>
      <c r="J64" s="73">
        <v>179794.42</v>
      </c>
      <c r="K64" s="73">
        <v>195169.39</v>
      </c>
      <c r="L64" s="73">
        <v>209618.29</v>
      </c>
      <c r="M64" s="73">
        <v>203620.11</v>
      </c>
      <c r="N64" s="73">
        <v>204644.07</v>
      </c>
      <c r="O64" s="73">
        <v>23787.07</v>
      </c>
      <c r="P64" s="73">
        <f t="shared" si="14"/>
        <v>2316045.3799999994</v>
      </c>
      <c r="Q64" s="73">
        <v>0</v>
      </c>
      <c r="R64" s="73">
        <v>0</v>
      </c>
      <c r="S64" s="73">
        <f t="shared" si="13"/>
        <v>2316045.3799999994</v>
      </c>
      <c r="T64" s="73">
        <f>+'[2]Total Summary'!N41</f>
        <v>22314.98</v>
      </c>
      <c r="U64" s="73">
        <f t="shared" si="15"/>
        <v>2338360.3599999994</v>
      </c>
      <c r="V64" t="b">
        <f>ROUND(+U64,2)=ROUND('II-D-1'!L65,2)</f>
        <v>1</v>
      </c>
    </row>
    <row r="65" spans="1:24" ht="15" customHeight="1">
      <c r="A65" s="16">
        <v>52</v>
      </c>
      <c r="B65" s="4"/>
      <c r="C65" s="4"/>
      <c r="D65" s="115"/>
      <c r="E65" s="115"/>
      <c r="F65" s="115"/>
      <c r="G65" s="115"/>
      <c r="H65" s="115"/>
      <c r="I65" s="115"/>
      <c r="J65" s="115"/>
      <c r="K65" s="115"/>
      <c r="L65" s="115"/>
      <c r="M65" s="115"/>
      <c r="N65" s="115"/>
      <c r="O65" s="115"/>
      <c r="P65" s="115"/>
      <c r="Q65" s="115"/>
      <c r="R65" s="115"/>
      <c r="S65" s="115"/>
      <c r="T65" s="115"/>
      <c r="U65" s="115"/>
    </row>
    <row r="66" spans="1:24" ht="15" customHeight="1">
      <c r="A66" s="16">
        <v>53</v>
      </c>
      <c r="B66" s="4"/>
      <c r="C66" s="22" t="s">
        <v>57</v>
      </c>
      <c r="D66" s="141">
        <f>SUM(D56:D64)</f>
        <v>22886181.309999995</v>
      </c>
      <c r="E66" s="141">
        <f t="shared" ref="E66:S66" si="16">SUM(E56:E64)</f>
        <v>15249149.650000002</v>
      </c>
      <c r="F66" s="141">
        <f t="shared" si="16"/>
        <v>19816323.5</v>
      </c>
      <c r="G66" s="141">
        <f t="shared" si="16"/>
        <v>18699874.349999998</v>
      </c>
      <c r="H66" s="141">
        <f t="shared" si="16"/>
        <v>10669897.399999999</v>
      </c>
      <c r="I66" s="141">
        <f t="shared" si="16"/>
        <v>10494216.649999999</v>
      </c>
      <c r="J66" s="141">
        <f t="shared" si="16"/>
        <v>15937566.49</v>
      </c>
      <c r="K66" s="141">
        <f t="shared" si="16"/>
        <v>14252982.860000001</v>
      </c>
      <c r="L66" s="141">
        <f t="shared" si="16"/>
        <v>22060836.5</v>
      </c>
      <c r="M66" s="141">
        <f t="shared" si="16"/>
        <v>19344717.43</v>
      </c>
      <c r="N66" s="141">
        <f t="shared" si="16"/>
        <v>19638609.550000001</v>
      </c>
      <c r="O66" s="141">
        <f t="shared" si="16"/>
        <v>21557726.84</v>
      </c>
      <c r="P66" s="141">
        <f t="shared" si="16"/>
        <v>210608082.53</v>
      </c>
      <c r="Q66" s="141">
        <f t="shared" si="16"/>
        <v>0</v>
      </c>
      <c r="R66" s="141">
        <f t="shared" si="16"/>
        <v>0</v>
      </c>
      <c r="S66" s="141">
        <f t="shared" si="16"/>
        <v>210608082.53</v>
      </c>
      <c r="T66" s="141">
        <f>SUM(T56:T64)</f>
        <v>-890314.78999999969</v>
      </c>
      <c r="U66" s="141">
        <f>SUM(U56:U64)</f>
        <v>209717767.73999995</v>
      </c>
      <c r="V66" t="b">
        <f>ROUND(+U66,2)=ROUND('II-D-1'!L67,2)</f>
        <v>1</v>
      </c>
    </row>
    <row r="67" spans="1:24" ht="15" customHeight="1">
      <c r="A67" s="16">
        <v>54</v>
      </c>
      <c r="B67" s="4"/>
      <c r="C67" s="4"/>
      <c r="D67" s="115"/>
      <c r="E67" s="115"/>
      <c r="F67" s="115"/>
      <c r="G67" s="115"/>
      <c r="H67" s="115"/>
      <c r="I67" s="115"/>
      <c r="J67" s="115"/>
      <c r="K67" s="115"/>
      <c r="L67" s="115"/>
      <c r="M67" s="115"/>
      <c r="N67" s="115"/>
      <c r="O67" s="115"/>
      <c r="P67" s="115"/>
      <c r="Q67" s="115"/>
      <c r="R67" s="115"/>
      <c r="S67" s="115"/>
      <c r="T67" s="115"/>
      <c r="U67" s="115"/>
    </row>
    <row r="68" spans="1:24" ht="15" customHeight="1">
      <c r="A68" s="16">
        <v>55</v>
      </c>
      <c r="B68" s="8" t="s">
        <v>124</v>
      </c>
      <c r="C68" s="8"/>
      <c r="D68" s="178">
        <f>+D66+D53</f>
        <v>30849255.369999994</v>
      </c>
      <c r="E68" s="178">
        <f t="shared" ref="E68:S68" si="17">+E66+E53</f>
        <v>29464449.329999998</v>
      </c>
      <c r="F68" s="178">
        <f t="shared" si="17"/>
        <v>37921078.280000001</v>
      </c>
      <c r="G68" s="178">
        <f t="shared" si="17"/>
        <v>34021022.700000003</v>
      </c>
      <c r="H68" s="178">
        <f t="shared" si="17"/>
        <v>26057454.439999998</v>
      </c>
      <c r="I68" s="178">
        <f t="shared" si="17"/>
        <v>24249297</v>
      </c>
      <c r="J68" s="178">
        <f t="shared" si="17"/>
        <v>36783760.740000002</v>
      </c>
      <c r="K68" s="178">
        <f t="shared" si="17"/>
        <v>33396557.57</v>
      </c>
      <c r="L68" s="178">
        <f t="shared" si="17"/>
        <v>39352539.060000002</v>
      </c>
      <c r="M68" s="178">
        <f t="shared" si="17"/>
        <v>37661103.75</v>
      </c>
      <c r="N68" s="178">
        <f t="shared" si="17"/>
        <v>38836956.960000001</v>
      </c>
      <c r="O68" s="178">
        <f t="shared" si="17"/>
        <v>45233312.510000005</v>
      </c>
      <c r="P68" s="178">
        <f t="shared" si="17"/>
        <v>413826787.71000004</v>
      </c>
      <c r="Q68" s="178">
        <f t="shared" si="17"/>
        <v>0</v>
      </c>
      <c r="R68" s="178">
        <f t="shared" si="17"/>
        <v>0</v>
      </c>
      <c r="S68" s="178">
        <f t="shared" si="17"/>
        <v>413826787.71000004</v>
      </c>
      <c r="T68" s="178">
        <f>+T66+T53</f>
        <v>13007214.959999993</v>
      </c>
      <c r="U68" s="178">
        <f>+U66+U53</f>
        <v>426834002.66999996</v>
      </c>
      <c r="V68" t="b">
        <f>ROUND(+U68,2)=ROUND('II-D-1'!L69,2)</f>
        <v>1</v>
      </c>
    </row>
    <row r="69" spans="1:24" ht="15" customHeight="1">
      <c r="A69" s="16">
        <v>56</v>
      </c>
      <c r="B69" s="8"/>
      <c r="C69" s="8"/>
      <c r="D69" s="2"/>
      <c r="E69" s="2"/>
      <c r="F69" s="2"/>
      <c r="G69" s="2"/>
      <c r="H69" s="2"/>
      <c r="I69" s="2"/>
      <c r="J69" s="2"/>
      <c r="K69" s="2"/>
      <c r="L69" s="2"/>
      <c r="M69" s="2"/>
      <c r="N69" s="2"/>
      <c r="O69" s="2"/>
      <c r="P69" s="2"/>
      <c r="Q69" s="2"/>
      <c r="R69" s="2"/>
      <c r="S69" s="2"/>
      <c r="T69" s="2"/>
      <c r="U69" s="2"/>
    </row>
    <row r="70" spans="1:24" ht="15" customHeight="1">
      <c r="A70" s="16">
        <v>57</v>
      </c>
      <c r="B70" s="4"/>
      <c r="C70" s="8"/>
      <c r="D70" s="2"/>
      <c r="E70" s="2"/>
      <c r="F70" s="2"/>
      <c r="G70" s="2"/>
      <c r="H70" s="2"/>
      <c r="I70" s="2"/>
      <c r="J70" s="2"/>
      <c r="K70" s="2"/>
      <c r="L70" s="2"/>
      <c r="M70" s="2"/>
      <c r="N70" s="2"/>
      <c r="O70" s="2"/>
      <c r="P70" s="2"/>
      <c r="Q70" s="2"/>
      <c r="R70" s="2"/>
      <c r="S70" s="2"/>
      <c r="T70" s="2"/>
      <c r="U70" s="2"/>
    </row>
    <row r="71" spans="1:24" ht="15" customHeight="1">
      <c r="A71" s="16">
        <v>58</v>
      </c>
      <c r="B71" s="8"/>
      <c r="C71" s="15" t="s">
        <v>359</v>
      </c>
      <c r="D71" s="2"/>
      <c r="E71" s="2"/>
      <c r="F71" s="2"/>
      <c r="G71" s="2"/>
      <c r="H71" s="2"/>
      <c r="I71" s="2"/>
      <c r="J71" s="2"/>
      <c r="K71" s="2"/>
      <c r="L71" s="2"/>
      <c r="M71" s="2"/>
      <c r="N71" s="2"/>
      <c r="O71" s="2"/>
      <c r="P71" s="2"/>
      <c r="Q71" s="2"/>
      <c r="R71" s="2"/>
      <c r="S71" s="2"/>
      <c r="T71" s="2"/>
      <c r="U71" s="2"/>
    </row>
    <row r="72" spans="1:24" ht="15" customHeight="1">
      <c r="A72" s="16">
        <v>59</v>
      </c>
      <c r="B72" s="4" t="s">
        <v>259</v>
      </c>
      <c r="C72" s="4" t="s">
        <v>260</v>
      </c>
      <c r="D72" s="150">
        <v>139329</v>
      </c>
      <c r="E72" s="150">
        <v>13902</v>
      </c>
      <c r="F72" s="150">
        <v>101888</v>
      </c>
      <c r="G72" s="150">
        <v>60712</v>
      </c>
      <c r="H72" s="150">
        <v>-324716</v>
      </c>
      <c r="I72" s="150">
        <v>60878</v>
      </c>
      <c r="J72" s="150">
        <v>98148</v>
      </c>
      <c r="K72" s="150">
        <v>95520</v>
      </c>
      <c r="L72" s="150">
        <v>38734</v>
      </c>
      <c r="M72" s="150">
        <v>88343</v>
      </c>
      <c r="N72" s="150">
        <v>-353670</v>
      </c>
      <c r="O72" s="150">
        <v>90590</v>
      </c>
      <c r="P72" s="150">
        <f>SUM(D72:O72)</f>
        <v>109658</v>
      </c>
      <c r="Q72" s="150">
        <v>0</v>
      </c>
      <c r="R72" s="150">
        <v>0</v>
      </c>
      <c r="S72" s="150">
        <f t="shared" ref="S72:S76" si="18">+P72-Q72-R72</f>
        <v>109658</v>
      </c>
      <c r="T72" s="150">
        <f>+'[2]Total Summary'!N44</f>
        <v>0</v>
      </c>
      <c r="U72" s="150">
        <f>+S72+T72</f>
        <v>109658</v>
      </c>
      <c r="V72" t="b">
        <f>ROUND(+U72,2)=ROUND('II-D-1'!L73,2)</f>
        <v>1</v>
      </c>
    </row>
    <row r="73" spans="1:24" ht="15" customHeight="1">
      <c r="A73" s="16">
        <v>60</v>
      </c>
      <c r="B73" s="4" t="s">
        <v>258</v>
      </c>
      <c r="C73" s="4" t="s">
        <v>166</v>
      </c>
      <c r="D73" s="73">
        <v>301.23</v>
      </c>
      <c r="E73" s="73">
        <v>367.37</v>
      </c>
      <c r="F73" s="73">
        <v>1420.88</v>
      </c>
      <c r="G73" s="73">
        <v>1286.8599999999999</v>
      </c>
      <c r="H73" s="73">
        <v>433.43</v>
      </c>
      <c r="I73" s="73">
        <v>3633.6</v>
      </c>
      <c r="J73" s="73">
        <v>2586.67</v>
      </c>
      <c r="K73" s="73">
        <v>1795.98</v>
      </c>
      <c r="L73" s="73">
        <v>862.09</v>
      </c>
      <c r="M73" s="73">
        <v>1307.3800000000001</v>
      </c>
      <c r="N73" s="73">
        <v>993.98</v>
      </c>
      <c r="O73" s="73">
        <v>51787.51</v>
      </c>
      <c r="P73" s="73">
        <f>SUM(D73:O73)</f>
        <v>66776.98000000001</v>
      </c>
      <c r="Q73" s="73">
        <v>0</v>
      </c>
      <c r="R73" s="73">
        <v>0</v>
      </c>
      <c r="S73" s="73">
        <f t="shared" si="18"/>
        <v>66776.98000000001</v>
      </c>
      <c r="T73" s="73">
        <f>+'[2]Total Summary'!N45</f>
        <v>-4254.72</v>
      </c>
      <c r="U73" s="73">
        <f>+S73+T73</f>
        <v>62522.260000000009</v>
      </c>
      <c r="V73" t="b">
        <f>ROUND(+U73,2)=ROUND('II-D-1'!L74,2)</f>
        <v>1</v>
      </c>
    </row>
    <row r="74" spans="1:24" ht="15" customHeight="1">
      <c r="A74" s="16">
        <v>61</v>
      </c>
      <c r="B74" s="4" t="s">
        <v>284</v>
      </c>
      <c r="C74" s="4" t="s">
        <v>390</v>
      </c>
      <c r="D74" s="73">
        <v>2526892.9000000004</v>
      </c>
      <c r="E74" s="73">
        <v>2319909.0099999998</v>
      </c>
      <c r="F74" s="73">
        <v>2257133.27</v>
      </c>
      <c r="G74" s="73">
        <v>2252845.9500000002</v>
      </c>
      <c r="H74" s="73">
        <v>2882320.29</v>
      </c>
      <c r="I74" s="73">
        <v>2505530.9500000002</v>
      </c>
      <c r="J74" s="73">
        <v>2726933.87</v>
      </c>
      <c r="K74" s="73">
        <v>2617049.83</v>
      </c>
      <c r="L74" s="73">
        <v>2681558.6</v>
      </c>
      <c r="M74" s="73">
        <v>2467609.29</v>
      </c>
      <c r="N74" s="73">
        <v>2711578.8</v>
      </c>
      <c r="O74" s="73">
        <v>2542545.85</v>
      </c>
      <c r="P74" s="73">
        <f>SUM(D74:O74)</f>
        <v>30491908.610000003</v>
      </c>
      <c r="Q74" s="73">
        <v>0</v>
      </c>
      <c r="R74" s="73">
        <v>0</v>
      </c>
      <c r="S74" s="73">
        <f t="shared" si="18"/>
        <v>30491908.610000003</v>
      </c>
      <c r="T74" s="73">
        <f>+'[2]Total Summary'!N46</f>
        <v>-6560230.1299999999</v>
      </c>
      <c r="U74" s="73">
        <f>+S74+T74</f>
        <v>23931678.480000004</v>
      </c>
      <c r="V74" t="b">
        <f>ROUND(+U74,2)=ROUND('II-D-1'!L75,2)</f>
        <v>1</v>
      </c>
      <c r="X74" s="108"/>
    </row>
    <row r="75" spans="1:24" ht="15" customHeight="1">
      <c r="A75" s="16">
        <v>62</v>
      </c>
      <c r="B75" s="4" t="s">
        <v>261</v>
      </c>
      <c r="C75" s="4" t="s">
        <v>262</v>
      </c>
      <c r="D75" s="73">
        <v>139309.48000000001</v>
      </c>
      <c r="E75" s="73">
        <v>139312.25</v>
      </c>
      <c r="F75" s="73">
        <v>-156319.13</v>
      </c>
      <c r="G75" s="73">
        <v>139312.41</v>
      </c>
      <c r="H75" s="73">
        <v>139312.43</v>
      </c>
      <c r="I75" s="73">
        <v>240273.55</v>
      </c>
      <c r="J75" s="73">
        <v>139302.54999999999</v>
      </c>
      <c r="K75" s="73">
        <v>139312.72</v>
      </c>
      <c r="L75" s="73">
        <v>198663.78</v>
      </c>
      <c r="M75" s="73">
        <v>139592.82</v>
      </c>
      <c r="N75" s="73">
        <v>139313.17000000001</v>
      </c>
      <c r="O75" s="73">
        <v>664430.02</v>
      </c>
      <c r="P75" s="73">
        <f>SUM(D75:O75)</f>
        <v>2061816.05</v>
      </c>
      <c r="Q75" s="73">
        <v>0</v>
      </c>
      <c r="R75" s="73">
        <v>0</v>
      </c>
      <c r="S75" s="73">
        <f t="shared" si="18"/>
        <v>2061816.05</v>
      </c>
      <c r="T75" s="73">
        <f>+'[2]Total Summary'!N47</f>
        <v>532280.16</v>
      </c>
      <c r="U75" s="73">
        <f>+S75+T75</f>
        <v>2594096.21</v>
      </c>
      <c r="V75" t="b">
        <f>ROUND(+U75,2)=ROUND('II-D-1'!L76,2)</f>
        <v>1</v>
      </c>
    </row>
    <row r="76" spans="1:24" ht="15" customHeight="1">
      <c r="A76" s="16">
        <v>63</v>
      </c>
      <c r="B76" s="4" t="s">
        <v>263</v>
      </c>
      <c r="C76" s="4" t="s">
        <v>391</v>
      </c>
      <c r="D76" s="73">
        <v>0</v>
      </c>
      <c r="E76" s="73">
        <v>0</v>
      </c>
      <c r="F76" s="73">
        <v>0</v>
      </c>
      <c r="G76" s="73">
        <v>0</v>
      </c>
      <c r="H76" s="73">
        <v>0</v>
      </c>
      <c r="I76" s="73">
        <v>0</v>
      </c>
      <c r="J76" s="73">
        <v>0</v>
      </c>
      <c r="K76" s="73">
        <v>0</v>
      </c>
      <c r="L76" s="73">
        <v>0</v>
      </c>
      <c r="M76" s="73">
        <v>0</v>
      </c>
      <c r="N76" s="73">
        <v>0</v>
      </c>
      <c r="O76" s="73">
        <v>0</v>
      </c>
      <c r="P76" s="73">
        <f>SUM(D76:O76)</f>
        <v>0</v>
      </c>
      <c r="Q76" s="73">
        <v>0</v>
      </c>
      <c r="R76" s="73">
        <v>0</v>
      </c>
      <c r="S76" s="73">
        <f t="shared" si="18"/>
        <v>0</v>
      </c>
      <c r="T76" s="73">
        <f>+'[2]Total Summary'!N48</f>
        <v>0</v>
      </c>
      <c r="U76" s="73">
        <f>+S76+T76</f>
        <v>0</v>
      </c>
      <c r="V76" t="b">
        <f>ROUND(+U76,2)=ROUND('II-D-1'!L77,2)</f>
        <v>1</v>
      </c>
    </row>
    <row r="77" spans="1:24" ht="15" customHeight="1">
      <c r="A77" s="16">
        <v>64</v>
      </c>
      <c r="B77" s="4"/>
      <c r="C77" s="4"/>
      <c r="D77" s="115"/>
      <c r="E77" s="115"/>
      <c r="F77" s="115"/>
      <c r="G77" s="115"/>
      <c r="H77" s="115"/>
      <c r="I77" s="115"/>
      <c r="J77" s="115"/>
      <c r="K77" s="115"/>
      <c r="L77" s="115"/>
      <c r="M77" s="115"/>
      <c r="N77" s="115"/>
      <c r="O77" s="115"/>
      <c r="P77" s="115"/>
      <c r="Q77" s="115"/>
      <c r="R77" s="115"/>
      <c r="S77" s="115"/>
      <c r="T77" s="115"/>
      <c r="U77" s="115"/>
    </row>
    <row r="78" spans="1:24" ht="15" customHeight="1">
      <c r="A78" s="16">
        <v>65</v>
      </c>
      <c r="B78" s="8" t="s">
        <v>94</v>
      </c>
      <c r="C78" s="22"/>
      <c r="D78" s="178">
        <f>SUM(D72:D76)</f>
        <v>2805832.6100000003</v>
      </c>
      <c r="E78" s="178">
        <f t="shared" ref="E78:S78" si="19">SUM(E72:E76)</f>
        <v>2473490.63</v>
      </c>
      <c r="F78" s="178">
        <f t="shared" si="19"/>
        <v>2204123.02</v>
      </c>
      <c r="G78" s="178">
        <f t="shared" si="19"/>
        <v>2454157.2200000002</v>
      </c>
      <c r="H78" s="178">
        <f t="shared" si="19"/>
        <v>2697350.1500000004</v>
      </c>
      <c r="I78" s="178">
        <f t="shared" si="19"/>
        <v>2810316.1</v>
      </c>
      <c r="J78" s="178">
        <f t="shared" si="19"/>
        <v>2966971.09</v>
      </c>
      <c r="K78" s="178">
        <f t="shared" si="19"/>
        <v>2853678.5300000003</v>
      </c>
      <c r="L78" s="178">
        <f t="shared" si="19"/>
        <v>2919818.4699999997</v>
      </c>
      <c r="M78" s="178">
        <f t="shared" si="19"/>
        <v>2696852.4899999998</v>
      </c>
      <c r="N78" s="178">
        <f t="shared" si="19"/>
        <v>2498215.9499999997</v>
      </c>
      <c r="O78" s="178">
        <f t="shared" si="19"/>
        <v>3349353.3800000004</v>
      </c>
      <c r="P78" s="178">
        <f t="shared" si="19"/>
        <v>32730159.640000004</v>
      </c>
      <c r="Q78" s="178">
        <f t="shared" si="19"/>
        <v>0</v>
      </c>
      <c r="R78" s="178">
        <f t="shared" si="19"/>
        <v>0</v>
      </c>
      <c r="S78" s="178">
        <f t="shared" si="19"/>
        <v>32730159.640000004</v>
      </c>
      <c r="T78" s="178">
        <f>SUM(T72:T76)</f>
        <v>-6032204.6899999995</v>
      </c>
      <c r="U78" s="178">
        <f>SUM(U72:U76)</f>
        <v>26697954.950000007</v>
      </c>
      <c r="V78" t="b">
        <f>ROUND(+U78,2)=ROUND('II-D-1'!L79,2)</f>
        <v>1</v>
      </c>
    </row>
    <row r="79" spans="1:24" ht="15" customHeight="1">
      <c r="A79" s="16">
        <v>66</v>
      </c>
      <c r="B79" s="8"/>
      <c r="C79" s="8"/>
      <c r="D79" s="2"/>
      <c r="E79" s="2"/>
      <c r="F79" s="2"/>
      <c r="G79" s="2"/>
      <c r="H79" s="2"/>
      <c r="I79" s="2"/>
      <c r="J79" s="2"/>
      <c r="K79" s="2"/>
      <c r="L79" s="2"/>
      <c r="M79" s="2"/>
      <c r="N79" s="2"/>
      <c r="O79" s="2"/>
      <c r="P79" s="2"/>
      <c r="Q79" s="2"/>
      <c r="R79" s="2"/>
      <c r="S79" s="2"/>
      <c r="T79" s="2"/>
      <c r="U79" s="2"/>
    </row>
    <row r="80" spans="1:24" ht="15" customHeight="1">
      <c r="A80" s="16">
        <v>67</v>
      </c>
      <c r="B80" s="4"/>
      <c r="C80" s="4"/>
      <c r="D80" s="2"/>
      <c r="E80" s="2"/>
      <c r="F80" s="2"/>
      <c r="G80" s="2"/>
      <c r="H80" s="2"/>
      <c r="I80" s="2"/>
      <c r="J80" s="2"/>
      <c r="K80" s="2"/>
      <c r="L80" s="2"/>
      <c r="M80" s="2"/>
      <c r="N80" s="2"/>
      <c r="O80" s="2"/>
      <c r="P80" s="2"/>
      <c r="Q80" s="2"/>
      <c r="R80" s="2"/>
      <c r="S80" s="2"/>
      <c r="T80" s="2"/>
      <c r="U80" s="2"/>
    </row>
    <row r="81" spans="1:22" ht="15" customHeight="1">
      <c r="A81" s="16">
        <v>68</v>
      </c>
      <c r="B81" s="8"/>
      <c r="C81" s="15" t="s">
        <v>60</v>
      </c>
      <c r="D81" s="2"/>
      <c r="E81" s="2"/>
      <c r="F81" s="2"/>
      <c r="G81" s="2"/>
      <c r="H81" s="2"/>
      <c r="I81" s="2"/>
      <c r="J81" s="2"/>
      <c r="K81" s="2"/>
      <c r="L81" s="2"/>
      <c r="M81" s="2"/>
      <c r="N81" s="2"/>
      <c r="O81" s="2"/>
      <c r="P81" s="2"/>
      <c r="Q81" s="2"/>
      <c r="R81" s="2"/>
      <c r="S81" s="2"/>
      <c r="T81" s="2"/>
      <c r="U81" s="2"/>
    </row>
    <row r="82" spans="1:22" ht="15" customHeight="1">
      <c r="A82" s="16">
        <v>69</v>
      </c>
      <c r="B82" s="4" t="s">
        <v>167</v>
      </c>
      <c r="C82" s="4" t="s">
        <v>327</v>
      </c>
      <c r="D82" s="150">
        <v>0</v>
      </c>
      <c r="E82" s="150">
        <v>0</v>
      </c>
      <c r="F82" s="150">
        <v>0</v>
      </c>
      <c r="G82" s="150">
        <v>0</v>
      </c>
      <c r="H82" s="150">
        <v>0</v>
      </c>
      <c r="I82" s="150">
        <v>0</v>
      </c>
      <c r="J82" s="150">
        <v>0</v>
      </c>
      <c r="K82" s="150">
        <v>0</v>
      </c>
      <c r="L82" s="150">
        <v>0</v>
      </c>
      <c r="M82" s="150">
        <v>0</v>
      </c>
      <c r="N82" s="150">
        <v>0</v>
      </c>
      <c r="O82" s="150">
        <v>0</v>
      </c>
      <c r="P82" s="150">
        <f>SUM(D82:O82)</f>
        <v>0</v>
      </c>
      <c r="Q82" s="150">
        <v>0</v>
      </c>
      <c r="R82" s="150">
        <v>0</v>
      </c>
      <c r="S82" s="150">
        <f t="shared" ref="S82:S86" si="20">+P82-Q82-R82</f>
        <v>0</v>
      </c>
      <c r="T82" s="150">
        <f>+'[2]Total Summary'!N51</f>
        <v>0</v>
      </c>
      <c r="U82" s="150">
        <f>+S82+T82</f>
        <v>0</v>
      </c>
      <c r="V82" t="b">
        <f>ROUND(+U82,2)=ROUND('II-D-1'!L83,2)</f>
        <v>1</v>
      </c>
    </row>
    <row r="83" spans="1:22" ht="15" customHeight="1">
      <c r="A83" s="16">
        <v>70</v>
      </c>
      <c r="B83" s="4" t="s">
        <v>264</v>
      </c>
      <c r="C83" s="4" t="s">
        <v>260</v>
      </c>
      <c r="D83" s="73">
        <v>0</v>
      </c>
      <c r="E83" s="73">
        <v>0</v>
      </c>
      <c r="F83" s="73">
        <v>0</v>
      </c>
      <c r="G83" s="73">
        <v>0</v>
      </c>
      <c r="H83" s="73">
        <v>0</v>
      </c>
      <c r="I83" s="73">
        <v>0</v>
      </c>
      <c r="J83" s="73">
        <v>0</v>
      </c>
      <c r="K83" s="73">
        <v>0</v>
      </c>
      <c r="L83" s="73">
        <v>0</v>
      </c>
      <c r="M83" s="73">
        <v>0</v>
      </c>
      <c r="N83" s="73">
        <v>0</v>
      </c>
      <c r="O83" s="73">
        <v>0</v>
      </c>
      <c r="P83" s="73">
        <f>SUM(D83:O83)</f>
        <v>0</v>
      </c>
      <c r="Q83" s="73">
        <v>0</v>
      </c>
      <c r="R83" s="73">
        <v>0</v>
      </c>
      <c r="S83" s="73">
        <f t="shared" si="20"/>
        <v>0</v>
      </c>
      <c r="T83" s="73">
        <f>+'[2]Total Summary'!N52</f>
        <v>0</v>
      </c>
      <c r="U83" s="73">
        <f>+S83+T83</f>
        <v>0</v>
      </c>
      <c r="V83" t="b">
        <f>ROUND(+U83,2)=ROUND('II-D-1'!L84,2)</f>
        <v>1</v>
      </c>
    </row>
    <row r="84" spans="1:22" ht="15" customHeight="1">
      <c r="A84" s="16">
        <v>71</v>
      </c>
      <c r="B84" s="4" t="s">
        <v>329</v>
      </c>
      <c r="C84" s="4" t="s">
        <v>328</v>
      </c>
      <c r="D84" s="73">
        <v>4898875.3</v>
      </c>
      <c r="E84" s="73">
        <v>5486763.9900000002</v>
      </c>
      <c r="F84" s="73">
        <v>3240859.62</v>
      </c>
      <c r="G84" s="73">
        <v>2873552.27</v>
      </c>
      <c r="H84" s="73">
        <v>3206262.95</v>
      </c>
      <c r="I84" s="73">
        <v>4659125.55</v>
      </c>
      <c r="J84" s="73">
        <v>6232906.6799999997</v>
      </c>
      <c r="K84" s="73">
        <v>6129388.8499999996</v>
      </c>
      <c r="L84" s="73">
        <v>6382080.7800000003</v>
      </c>
      <c r="M84" s="73">
        <v>4736187.12</v>
      </c>
      <c r="N84" s="73">
        <v>3659496.34</v>
      </c>
      <c r="O84" s="73">
        <v>3208796.84</v>
      </c>
      <c r="P84" s="73">
        <f>SUM(D84:O84)</f>
        <v>54714296.290000007</v>
      </c>
      <c r="Q84" s="73">
        <v>0</v>
      </c>
      <c r="R84" s="73">
        <v>0</v>
      </c>
      <c r="S84" s="73">
        <f t="shared" si="20"/>
        <v>54714296.290000007</v>
      </c>
      <c r="T84" s="73">
        <f>+'[2]Total Summary'!N53</f>
        <v>-54320514.229999997</v>
      </c>
      <c r="U84" s="73">
        <f>+S84+T84</f>
        <v>393782.06000000983</v>
      </c>
      <c r="V84" t="b">
        <f>ROUND(+U84,2)=ROUND('II-D-1'!L85,2)</f>
        <v>1</v>
      </c>
    </row>
    <row r="85" spans="1:22" ht="15" customHeight="1">
      <c r="A85" s="16">
        <v>72</v>
      </c>
      <c r="B85" s="4" t="s">
        <v>330</v>
      </c>
      <c r="C85" s="4" t="s">
        <v>331</v>
      </c>
      <c r="D85" s="73">
        <v>0</v>
      </c>
      <c r="E85" s="73">
        <v>0</v>
      </c>
      <c r="F85" s="73">
        <v>0</v>
      </c>
      <c r="G85" s="73">
        <v>0</v>
      </c>
      <c r="H85" s="73">
        <v>0</v>
      </c>
      <c r="I85" s="73">
        <v>0</v>
      </c>
      <c r="J85" s="73">
        <v>0</v>
      </c>
      <c r="K85" s="73">
        <v>0</v>
      </c>
      <c r="L85" s="73">
        <v>0</v>
      </c>
      <c r="M85" s="73">
        <v>0</v>
      </c>
      <c r="N85" s="73">
        <v>0</v>
      </c>
      <c r="O85" s="73">
        <v>0</v>
      </c>
      <c r="P85" s="73">
        <f>SUM(D85:O85)</f>
        <v>0</v>
      </c>
      <c r="Q85" s="73">
        <v>0</v>
      </c>
      <c r="R85" s="73">
        <v>0</v>
      </c>
      <c r="S85" s="73">
        <f t="shared" si="20"/>
        <v>0</v>
      </c>
      <c r="T85" s="73">
        <f>+'[2]Total Summary'!N54</f>
        <v>0</v>
      </c>
      <c r="U85" s="73">
        <f>+S85+T85</f>
        <v>0</v>
      </c>
      <c r="V85" t="b">
        <f>ROUND(+U85,2)=ROUND('II-D-1'!L86,2)</f>
        <v>1</v>
      </c>
    </row>
    <row r="86" spans="1:22" ht="15" customHeight="1">
      <c r="A86" s="16">
        <v>73</v>
      </c>
      <c r="B86" s="4" t="s">
        <v>265</v>
      </c>
      <c r="C86" s="4" t="s">
        <v>332</v>
      </c>
      <c r="D86" s="73">
        <v>0</v>
      </c>
      <c r="E86" s="73">
        <v>0</v>
      </c>
      <c r="F86" s="73">
        <v>0</v>
      </c>
      <c r="G86" s="73">
        <v>0</v>
      </c>
      <c r="H86" s="73">
        <v>0</v>
      </c>
      <c r="I86" s="73">
        <v>1293</v>
      </c>
      <c r="J86" s="73">
        <v>268</v>
      </c>
      <c r="K86" s="73">
        <v>0</v>
      </c>
      <c r="L86" s="73">
        <v>0</v>
      </c>
      <c r="M86" s="73">
        <v>0</v>
      </c>
      <c r="N86" s="73">
        <v>82.86</v>
      </c>
      <c r="O86" s="73">
        <v>0</v>
      </c>
      <c r="P86" s="73">
        <f>SUM(D86:O86)</f>
        <v>1643.86</v>
      </c>
      <c r="Q86" s="73">
        <v>0</v>
      </c>
      <c r="R86" s="73">
        <v>0</v>
      </c>
      <c r="S86" s="73">
        <f t="shared" si="20"/>
        <v>1643.86</v>
      </c>
      <c r="T86" s="73">
        <f>+'[2]Total Summary'!N55</f>
        <v>0</v>
      </c>
      <c r="U86" s="73">
        <f>+S86+T86</f>
        <v>1643.86</v>
      </c>
      <c r="V86" t="b">
        <f>ROUND(+U86,2)=ROUND('II-D-1'!L87,2)</f>
        <v>1</v>
      </c>
    </row>
    <row r="87" spans="1:22" ht="15" customHeight="1">
      <c r="A87" s="16">
        <v>74</v>
      </c>
      <c r="B87" s="4"/>
      <c r="C87" s="4"/>
      <c r="D87" s="115"/>
      <c r="E87" s="115"/>
      <c r="F87" s="115"/>
      <c r="G87" s="115"/>
      <c r="H87" s="115"/>
      <c r="I87" s="115"/>
      <c r="J87" s="115"/>
      <c r="K87" s="115"/>
      <c r="L87" s="115"/>
      <c r="M87" s="115"/>
      <c r="N87" s="115"/>
      <c r="O87" s="115"/>
      <c r="P87" s="115"/>
      <c r="Q87" s="115"/>
      <c r="R87" s="115"/>
      <c r="S87" s="115"/>
      <c r="T87" s="115"/>
      <c r="U87" s="115"/>
    </row>
    <row r="88" spans="1:22" ht="15" customHeight="1">
      <c r="A88" s="16">
        <v>75</v>
      </c>
      <c r="B88" s="8" t="s">
        <v>59</v>
      </c>
      <c r="C88" s="4"/>
      <c r="D88" s="178">
        <f>SUM(D82:D86)</f>
        <v>4898875.3</v>
      </c>
      <c r="E88" s="178">
        <f t="shared" ref="E88:S88" si="21">SUM(E82:E86)</f>
        <v>5486763.9900000002</v>
      </c>
      <c r="F88" s="178">
        <f t="shared" si="21"/>
        <v>3240859.62</v>
      </c>
      <c r="G88" s="178">
        <f t="shared" si="21"/>
        <v>2873552.27</v>
      </c>
      <c r="H88" s="178">
        <f t="shared" si="21"/>
        <v>3206262.95</v>
      </c>
      <c r="I88" s="178">
        <f t="shared" si="21"/>
        <v>4660418.55</v>
      </c>
      <c r="J88" s="178">
        <f t="shared" si="21"/>
        <v>6233174.6799999997</v>
      </c>
      <c r="K88" s="178">
        <f t="shared" si="21"/>
        <v>6129388.8499999996</v>
      </c>
      <c r="L88" s="178">
        <f t="shared" si="21"/>
        <v>6382080.7800000003</v>
      </c>
      <c r="M88" s="178">
        <f t="shared" si="21"/>
        <v>4736187.12</v>
      </c>
      <c r="N88" s="178">
        <f t="shared" si="21"/>
        <v>3659579.1999999997</v>
      </c>
      <c r="O88" s="178">
        <f t="shared" si="21"/>
        <v>3208796.84</v>
      </c>
      <c r="P88" s="178">
        <f t="shared" si="21"/>
        <v>54715940.150000006</v>
      </c>
      <c r="Q88" s="178">
        <f t="shared" si="21"/>
        <v>0</v>
      </c>
      <c r="R88" s="178">
        <f t="shared" si="21"/>
        <v>0</v>
      </c>
      <c r="S88" s="178">
        <f t="shared" si="21"/>
        <v>54715940.150000006</v>
      </c>
      <c r="T88" s="178">
        <f>SUM(T82:T86)</f>
        <v>-54320514.229999997</v>
      </c>
      <c r="U88" s="178">
        <f>SUM(U82:U86)</f>
        <v>395425.92000000982</v>
      </c>
      <c r="V88" t="b">
        <f>ROUND(+U88,2)=ROUND('II-D-1'!L89,2)</f>
        <v>1</v>
      </c>
    </row>
    <row r="89" spans="1:22" ht="15" customHeight="1">
      <c r="A89" s="16">
        <v>76</v>
      </c>
      <c r="B89" s="8"/>
      <c r="C89" s="22"/>
      <c r="D89" s="2"/>
      <c r="E89" s="2"/>
      <c r="F89" s="2"/>
      <c r="G89" s="2"/>
      <c r="H89" s="2"/>
      <c r="I89" s="2"/>
      <c r="J89" s="2"/>
      <c r="K89" s="2"/>
      <c r="L89" s="2"/>
      <c r="M89" s="2"/>
      <c r="N89" s="2"/>
      <c r="O89" s="2"/>
      <c r="P89" s="2"/>
      <c r="Q89" s="2"/>
      <c r="R89" s="2"/>
      <c r="S89" s="2"/>
      <c r="T89" s="2"/>
      <c r="U89" s="2"/>
    </row>
    <row r="90" spans="1:22" ht="15" customHeight="1">
      <c r="A90" s="16">
        <v>77</v>
      </c>
      <c r="B90" s="4"/>
      <c r="C90" s="4"/>
      <c r="D90" s="2"/>
      <c r="E90" s="2"/>
      <c r="F90" s="2"/>
      <c r="G90" s="2"/>
      <c r="H90" s="2"/>
      <c r="I90" s="2"/>
      <c r="J90" s="2"/>
      <c r="K90" s="2"/>
      <c r="L90" s="2"/>
      <c r="M90" s="2"/>
      <c r="N90" s="2"/>
      <c r="O90" s="2"/>
      <c r="P90" s="2"/>
      <c r="Q90" s="2"/>
      <c r="R90" s="2"/>
      <c r="S90" s="2"/>
      <c r="T90" s="2"/>
      <c r="U90" s="2"/>
    </row>
    <row r="91" spans="1:22" ht="15" customHeight="1">
      <c r="A91" s="16">
        <v>78</v>
      </c>
      <c r="B91" s="8"/>
      <c r="C91" s="59" t="s">
        <v>266</v>
      </c>
      <c r="D91" s="2"/>
      <c r="E91" s="2"/>
      <c r="F91" s="2"/>
      <c r="G91" s="2"/>
      <c r="H91" s="2"/>
      <c r="I91" s="2"/>
      <c r="J91" s="2"/>
      <c r="K91" s="2"/>
      <c r="L91" s="2"/>
      <c r="M91" s="2"/>
      <c r="N91" s="2"/>
      <c r="O91" s="2"/>
      <c r="P91" s="2"/>
      <c r="Q91" s="2"/>
      <c r="R91" s="2"/>
      <c r="S91" s="2"/>
      <c r="T91" s="2"/>
      <c r="U91" s="2"/>
    </row>
    <row r="92" spans="1:22" ht="15" customHeight="1">
      <c r="A92" s="16">
        <v>79</v>
      </c>
      <c r="B92" s="4" t="s">
        <v>267</v>
      </c>
      <c r="C92" s="4" t="s">
        <v>260</v>
      </c>
      <c r="D92" s="150">
        <v>0</v>
      </c>
      <c r="E92" s="150">
        <v>0</v>
      </c>
      <c r="F92" s="150">
        <v>0</v>
      </c>
      <c r="G92" s="150">
        <v>0</v>
      </c>
      <c r="H92" s="150">
        <v>0</v>
      </c>
      <c r="I92" s="150">
        <v>0</v>
      </c>
      <c r="J92" s="150">
        <v>0</v>
      </c>
      <c r="K92" s="150">
        <v>0</v>
      </c>
      <c r="L92" s="150">
        <v>0</v>
      </c>
      <c r="M92" s="150">
        <v>0</v>
      </c>
      <c r="N92" s="150">
        <v>0</v>
      </c>
      <c r="O92" s="150">
        <v>0</v>
      </c>
      <c r="P92" s="150">
        <f>SUM(D92:O92)</f>
        <v>0</v>
      </c>
      <c r="Q92" s="150">
        <v>0</v>
      </c>
      <c r="R92" s="150">
        <v>0</v>
      </c>
      <c r="S92" s="150">
        <f t="shared" ref="S92:S96" si="22">+P92-Q92-R92</f>
        <v>0</v>
      </c>
      <c r="T92" s="150">
        <f>+'[2]Total Summary'!N58</f>
        <v>0</v>
      </c>
      <c r="U92" s="150">
        <f>+S92+T92</f>
        <v>0</v>
      </c>
      <c r="V92" t="b">
        <f>ROUND(+U92,2)=ROUND('II-D-1'!L93,2)</f>
        <v>1</v>
      </c>
    </row>
    <row r="93" spans="1:22" ht="15" customHeight="1">
      <c r="A93" s="16">
        <v>80</v>
      </c>
      <c r="B93" s="4" t="s">
        <v>285</v>
      </c>
      <c r="C93" s="4" t="s">
        <v>333</v>
      </c>
      <c r="D93" s="73">
        <v>0</v>
      </c>
      <c r="E93" s="73">
        <v>0</v>
      </c>
      <c r="F93" s="73">
        <v>0</v>
      </c>
      <c r="G93" s="73">
        <v>0</v>
      </c>
      <c r="H93" s="73">
        <v>0</v>
      </c>
      <c r="I93" s="73">
        <v>0</v>
      </c>
      <c r="J93" s="73">
        <v>0</v>
      </c>
      <c r="K93" s="73">
        <v>0</v>
      </c>
      <c r="L93" s="73">
        <v>0</v>
      </c>
      <c r="M93" s="73">
        <v>0</v>
      </c>
      <c r="N93" s="73">
        <v>0</v>
      </c>
      <c r="O93" s="73">
        <v>0</v>
      </c>
      <c r="P93" s="73">
        <f>SUM(D93:O93)</f>
        <v>0</v>
      </c>
      <c r="Q93" s="73">
        <v>0</v>
      </c>
      <c r="R93" s="73">
        <v>0</v>
      </c>
      <c r="S93" s="73">
        <f t="shared" si="22"/>
        <v>0</v>
      </c>
      <c r="T93" s="73">
        <f>+'[2]Total Summary'!N59</f>
        <v>0</v>
      </c>
      <c r="U93" s="73">
        <f>+S93+T93</f>
        <v>0</v>
      </c>
      <c r="V93" t="b">
        <f>ROUND(+U93,2)=ROUND('II-D-1'!L94,2)</f>
        <v>1</v>
      </c>
    </row>
    <row r="94" spans="1:22" ht="15" customHeight="1">
      <c r="A94" s="16">
        <v>81</v>
      </c>
      <c r="B94" s="4" t="s">
        <v>286</v>
      </c>
      <c r="C94" s="4" t="s">
        <v>334</v>
      </c>
      <c r="D94" s="73">
        <v>0</v>
      </c>
      <c r="E94" s="73">
        <v>0</v>
      </c>
      <c r="F94" s="73">
        <v>0</v>
      </c>
      <c r="G94" s="73">
        <v>0</v>
      </c>
      <c r="H94" s="73">
        <v>0</v>
      </c>
      <c r="I94" s="73">
        <v>0</v>
      </c>
      <c r="J94" s="73">
        <v>0</v>
      </c>
      <c r="K94" s="73">
        <v>0</v>
      </c>
      <c r="L94" s="73">
        <v>0</v>
      </c>
      <c r="M94" s="73">
        <v>0</v>
      </c>
      <c r="N94" s="73">
        <v>0</v>
      </c>
      <c r="O94" s="73">
        <v>0</v>
      </c>
      <c r="P94" s="73">
        <f>SUM(D94:O94)</f>
        <v>0</v>
      </c>
      <c r="Q94" s="73">
        <v>0</v>
      </c>
      <c r="R94" s="73">
        <v>0</v>
      </c>
      <c r="S94" s="73">
        <f t="shared" si="22"/>
        <v>0</v>
      </c>
      <c r="T94" s="73">
        <f>+'[2]Total Summary'!N60</f>
        <v>0</v>
      </c>
      <c r="U94" s="73">
        <f>+S94+T94</f>
        <v>0</v>
      </c>
      <c r="V94" t="b">
        <f>ROUND(+U94,2)=ROUND('II-D-1'!L95,2)</f>
        <v>1</v>
      </c>
    </row>
    <row r="95" spans="1:22" ht="15" customHeight="1">
      <c r="A95" s="16">
        <v>82</v>
      </c>
      <c r="B95" s="4" t="s">
        <v>268</v>
      </c>
      <c r="C95" s="4" t="s">
        <v>335</v>
      </c>
      <c r="D95" s="73">
        <v>0</v>
      </c>
      <c r="E95" s="73">
        <v>0</v>
      </c>
      <c r="F95" s="73">
        <v>0</v>
      </c>
      <c r="G95" s="73">
        <v>0</v>
      </c>
      <c r="H95" s="73">
        <v>0</v>
      </c>
      <c r="I95" s="73">
        <v>0</v>
      </c>
      <c r="J95" s="73">
        <v>0</v>
      </c>
      <c r="K95" s="73">
        <v>0</v>
      </c>
      <c r="L95" s="73">
        <v>0</v>
      </c>
      <c r="M95" s="73">
        <v>0</v>
      </c>
      <c r="N95" s="73">
        <v>0</v>
      </c>
      <c r="O95" s="73">
        <v>0</v>
      </c>
      <c r="P95" s="73">
        <f>SUM(D95:O95)</f>
        <v>0</v>
      </c>
      <c r="Q95" s="73">
        <v>0</v>
      </c>
      <c r="R95" s="73">
        <v>0</v>
      </c>
      <c r="S95" s="73">
        <f t="shared" si="22"/>
        <v>0</v>
      </c>
      <c r="T95" s="73">
        <f>+'[2]Total Summary'!N61</f>
        <v>0</v>
      </c>
      <c r="U95" s="73">
        <f>+S95+T95</f>
        <v>0</v>
      </c>
      <c r="V95" t="b">
        <f>ROUND(+U95,2)=ROUND('II-D-1'!L96,2)</f>
        <v>1</v>
      </c>
    </row>
    <row r="96" spans="1:22" ht="15" customHeight="1">
      <c r="A96" s="16">
        <v>83</v>
      </c>
      <c r="B96" s="4" t="s">
        <v>287</v>
      </c>
      <c r="C96" s="4" t="s">
        <v>336</v>
      </c>
      <c r="D96" s="73">
        <v>0</v>
      </c>
      <c r="E96" s="73">
        <v>0</v>
      </c>
      <c r="F96" s="73">
        <v>0</v>
      </c>
      <c r="G96" s="73">
        <v>0</v>
      </c>
      <c r="H96" s="73">
        <v>0</v>
      </c>
      <c r="I96" s="73">
        <v>0</v>
      </c>
      <c r="J96" s="73">
        <v>0</v>
      </c>
      <c r="K96" s="73">
        <v>0</v>
      </c>
      <c r="L96" s="73">
        <v>0</v>
      </c>
      <c r="M96" s="73">
        <v>0</v>
      </c>
      <c r="N96" s="73">
        <v>0</v>
      </c>
      <c r="O96" s="73">
        <v>0</v>
      </c>
      <c r="P96" s="73">
        <f>SUM(D96:O96)</f>
        <v>0</v>
      </c>
      <c r="Q96" s="73">
        <v>0</v>
      </c>
      <c r="R96" s="73">
        <v>0</v>
      </c>
      <c r="S96" s="73">
        <f t="shared" si="22"/>
        <v>0</v>
      </c>
      <c r="T96" s="73">
        <f>+'[2]Total Summary'!N62</f>
        <v>0</v>
      </c>
      <c r="U96" s="73">
        <f>+S96+T96</f>
        <v>0</v>
      </c>
      <c r="V96" t="b">
        <f>ROUND(+U96,2)=ROUND('II-D-1'!L97,2)</f>
        <v>1</v>
      </c>
    </row>
    <row r="97" spans="1:22" ht="15" customHeight="1">
      <c r="A97" s="16">
        <v>84</v>
      </c>
      <c r="B97" s="4"/>
      <c r="C97" s="22"/>
      <c r="D97" s="115"/>
      <c r="E97" s="115"/>
      <c r="F97" s="115"/>
      <c r="G97" s="115"/>
      <c r="H97" s="115"/>
      <c r="I97" s="115"/>
      <c r="J97" s="115"/>
      <c r="K97" s="115"/>
      <c r="L97" s="115"/>
      <c r="M97" s="115"/>
      <c r="N97" s="115"/>
      <c r="O97" s="115"/>
      <c r="P97" s="115"/>
      <c r="Q97" s="115"/>
      <c r="R97" s="115"/>
      <c r="S97" s="115"/>
      <c r="T97" s="115"/>
      <c r="U97" s="115"/>
    </row>
    <row r="98" spans="1:22" ht="15" customHeight="1">
      <c r="A98" s="16">
        <v>85</v>
      </c>
      <c r="B98" s="8" t="s">
        <v>36</v>
      </c>
      <c r="C98" s="4"/>
      <c r="D98" s="178">
        <f>SUM(D92:D96)</f>
        <v>0</v>
      </c>
      <c r="E98" s="178">
        <f t="shared" ref="E98:S98" si="23">SUM(E92:E96)</f>
        <v>0</v>
      </c>
      <c r="F98" s="178">
        <f t="shared" si="23"/>
        <v>0</v>
      </c>
      <c r="G98" s="178">
        <f t="shared" si="23"/>
        <v>0</v>
      </c>
      <c r="H98" s="178">
        <f t="shared" si="23"/>
        <v>0</v>
      </c>
      <c r="I98" s="178">
        <f t="shared" si="23"/>
        <v>0</v>
      </c>
      <c r="J98" s="178">
        <f t="shared" si="23"/>
        <v>0</v>
      </c>
      <c r="K98" s="178">
        <f t="shared" si="23"/>
        <v>0</v>
      </c>
      <c r="L98" s="178">
        <f t="shared" si="23"/>
        <v>0</v>
      </c>
      <c r="M98" s="178">
        <f t="shared" si="23"/>
        <v>0</v>
      </c>
      <c r="N98" s="178">
        <f t="shared" si="23"/>
        <v>0</v>
      </c>
      <c r="O98" s="178">
        <f t="shared" si="23"/>
        <v>0</v>
      </c>
      <c r="P98" s="178">
        <f t="shared" si="23"/>
        <v>0</v>
      </c>
      <c r="Q98" s="178">
        <f t="shared" si="23"/>
        <v>0</v>
      </c>
      <c r="R98" s="178">
        <f t="shared" si="23"/>
        <v>0</v>
      </c>
      <c r="S98" s="178">
        <f t="shared" si="23"/>
        <v>0</v>
      </c>
      <c r="T98" s="178">
        <f>SUM(T92:T96)</f>
        <v>0</v>
      </c>
      <c r="U98" s="178">
        <f>SUM(U92:U96)</f>
        <v>0</v>
      </c>
      <c r="V98" t="b">
        <f>ROUND(+U98,2)=ROUND('II-D-1'!L99,2)</f>
        <v>1</v>
      </c>
    </row>
    <row r="99" spans="1:22" ht="15" customHeight="1">
      <c r="A99" s="16">
        <v>86</v>
      </c>
      <c r="B99" s="4"/>
      <c r="C99" s="60"/>
      <c r="D99" s="2"/>
      <c r="E99" s="2"/>
      <c r="F99" s="2"/>
      <c r="G99" s="2"/>
      <c r="H99" s="2"/>
      <c r="I99" s="2"/>
      <c r="J99" s="2"/>
      <c r="K99" s="2"/>
      <c r="L99" s="2"/>
      <c r="M99" s="2"/>
      <c r="N99" s="2"/>
      <c r="O99" s="2"/>
      <c r="P99" s="2"/>
      <c r="Q99" s="2"/>
      <c r="R99" s="2"/>
      <c r="S99" s="2"/>
      <c r="T99" s="2"/>
      <c r="U99" s="2"/>
    </row>
    <row r="100" spans="1:22" ht="15" customHeight="1">
      <c r="A100" s="16">
        <v>87</v>
      </c>
      <c r="B100" s="8"/>
      <c r="C100" s="61"/>
      <c r="D100" s="2"/>
      <c r="E100" s="2"/>
      <c r="F100" s="2"/>
      <c r="G100" s="2"/>
      <c r="H100" s="2"/>
      <c r="I100" s="2"/>
      <c r="J100" s="2"/>
      <c r="K100" s="2"/>
      <c r="L100" s="2"/>
      <c r="M100" s="2"/>
      <c r="N100" s="2"/>
      <c r="O100" s="2"/>
      <c r="P100" s="2"/>
      <c r="Q100" s="2"/>
      <c r="R100" s="2"/>
      <c r="S100" s="2"/>
      <c r="T100" s="2"/>
      <c r="U100" s="2"/>
    </row>
    <row r="101" spans="1:22" ht="15" customHeight="1">
      <c r="A101" s="16">
        <v>88</v>
      </c>
      <c r="B101" s="8" t="s">
        <v>27</v>
      </c>
      <c r="C101" s="8"/>
      <c r="D101" s="178">
        <f>+D98+D88+D78+D68+D37</f>
        <v>214851930.73999998</v>
      </c>
      <c r="E101" s="178">
        <f t="shared" ref="E101:S101" si="24">+E98+E88+E78+E68+E37</f>
        <v>209446016.76999998</v>
      </c>
      <c r="F101" s="178">
        <f t="shared" si="24"/>
        <v>222373054.04000002</v>
      </c>
      <c r="G101" s="178">
        <f t="shared" si="24"/>
        <v>214782344.51999998</v>
      </c>
      <c r="H101" s="178">
        <f t="shared" si="24"/>
        <v>206895305.66</v>
      </c>
      <c r="I101" s="178">
        <f t="shared" si="24"/>
        <v>206283969.79999995</v>
      </c>
      <c r="J101" s="178">
        <f t="shared" si="24"/>
        <v>221589596.67000002</v>
      </c>
      <c r="K101" s="178">
        <f t="shared" si="24"/>
        <v>218114532.20999998</v>
      </c>
      <c r="L101" s="178">
        <f t="shared" si="24"/>
        <v>224453503.26999998</v>
      </c>
      <c r="M101" s="178">
        <f t="shared" si="24"/>
        <v>211005457.44</v>
      </c>
      <c r="N101" s="178">
        <f t="shared" si="24"/>
        <v>221317123.81999999</v>
      </c>
      <c r="O101" s="178">
        <f t="shared" si="24"/>
        <v>229833969.00999999</v>
      </c>
      <c r="P101" s="178">
        <f t="shared" si="24"/>
        <v>2600946803.9500003</v>
      </c>
      <c r="Q101" s="178">
        <f t="shared" si="24"/>
        <v>0</v>
      </c>
      <c r="R101" s="178">
        <f t="shared" si="24"/>
        <v>0</v>
      </c>
      <c r="S101" s="178">
        <f t="shared" si="24"/>
        <v>2600946803.9500003</v>
      </c>
      <c r="T101" s="178">
        <f>+T98+T88+T78+T68+T37</f>
        <v>95280739.840000093</v>
      </c>
      <c r="U101" s="178">
        <f>+U98+U88+U78+U68+U37</f>
        <v>2696227543.79</v>
      </c>
      <c r="V101" t="b">
        <f>ROUND(+U101,2)=ROUND('II-D-1'!L102,2)</f>
        <v>1</v>
      </c>
    </row>
    <row r="102" spans="1:22">
      <c r="A102" s="2"/>
      <c r="B102" s="2"/>
      <c r="C102" s="2"/>
      <c r="D102" s="2"/>
      <c r="E102" s="2"/>
      <c r="F102" s="2"/>
      <c r="G102" s="2"/>
      <c r="H102" s="2"/>
      <c r="I102" s="2"/>
      <c r="J102" s="2"/>
      <c r="K102" s="2"/>
      <c r="L102" s="2"/>
      <c r="M102" s="2"/>
      <c r="N102" s="2"/>
      <c r="O102" s="2"/>
      <c r="P102" s="2"/>
      <c r="Q102" s="2"/>
      <c r="R102" s="2"/>
      <c r="S102" s="2"/>
      <c r="T102" s="2"/>
    </row>
    <row r="103" spans="1:22">
      <c r="A103" s="2"/>
      <c r="B103" s="2"/>
      <c r="C103" s="2"/>
      <c r="D103" s="163"/>
      <c r="E103" s="163"/>
      <c r="F103" s="163"/>
      <c r="G103" s="163"/>
      <c r="H103" s="163"/>
      <c r="I103" s="163"/>
      <c r="J103" s="163"/>
      <c r="K103" s="163"/>
      <c r="L103" s="163"/>
      <c r="M103" s="163"/>
      <c r="N103" s="163"/>
      <c r="O103" s="163"/>
      <c r="P103" s="2"/>
      <c r="Q103" s="2"/>
      <c r="R103" s="2"/>
      <c r="S103" s="2"/>
      <c r="T103" s="2"/>
    </row>
    <row r="104" spans="1:22">
      <c r="A104" s="2"/>
      <c r="B104" s="2"/>
      <c r="C104" s="2"/>
      <c r="D104" s="2"/>
      <c r="E104" s="2"/>
      <c r="F104" s="2"/>
      <c r="G104" s="2"/>
      <c r="H104" s="2"/>
      <c r="I104" s="2"/>
      <c r="J104" s="2"/>
      <c r="K104" s="2"/>
      <c r="L104" s="2"/>
      <c r="M104" s="2"/>
      <c r="N104" s="2"/>
      <c r="O104" s="2"/>
      <c r="P104" s="2" t="b">
        <f>+P101='II-D-1'!E102</f>
        <v>1</v>
      </c>
      <c r="Q104" s="2" t="b">
        <f>+Q101='II-D-1'!F102</f>
        <v>1</v>
      </c>
      <c r="R104" s="2" t="b">
        <f>+R101='II-D-1'!G102</f>
        <v>1</v>
      </c>
      <c r="S104" s="2" t="b">
        <f>+S101='II-D-1'!H102</f>
        <v>1</v>
      </c>
      <c r="T104" s="2" t="b">
        <f>+T101='II-D-1'!I102</f>
        <v>1</v>
      </c>
      <c r="U104" s="2" t="b">
        <f>+U101='II-D-1'!J102</f>
        <v>1</v>
      </c>
    </row>
    <row r="105" spans="1:22">
      <c r="A105" s="2"/>
      <c r="B105" s="2"/>
      <c r="C105" s="2"/>
      <c r="D105" s="2"/>
      <c r="E105" s="2"/>
      <c r="F105" s="2"/>
      <c r="G105" s="2"/>
      <c r="H105" s="2"/>
      <c r="I105" s="2"/>
      <c r="J105" s="2"/>
      <c r="K105" s="2"/>
      <c r="L105" s="2"/>
      <c r="M105" s="2"/>
      <c r="N105" s="2"/>
      <c r="O105" s="2"/>
      <c r="P105" s="2"/>
      <c r="Q105" s="2"/>
      <c r="R105" s="2"/>
      <c r="S105" s="2"/>
      <c r="T105" s="2"/>
    </row>
    <row r="106" spans="1:22">
      <c r="A106" s="2"/>
      <c r="B106" s="2"/>
      <c r="C106" s="2"/>
      <c r="D106" s="2"/>
      <c r="E106" s="2"/>
      <c r="F106" s="2"/>
      <c r="G106" s="2"/>
      <c r="H106" s="2"/>
      <c r="I106" s="2"/>
      <c r="J106" s="2"/>
      <c r="K106" s="2"/>
      <c r="L106" s="2"/>
      <c r="M106" s="2"/>
      <c r="N106" s="2"/>
      <c r="O106" s="2"/>
      <c r="P106" s="2"/>
      <c r="Q106" s="2"/>
      <c r="R106" s="2"/>
      <c r="S106" s="2"/>
      <c r="T106" s="2"/>
    </row>
    <row r="107" spans="1:22">
      <c r="A107" s="2"/>
      <c r="B107" s="2"/>
      <c r="C107" s="2"/>
      <c r="D107" s="2"/>
      <c r="E107" s="2"/>
      <c r="F107" s="2"/>
      <c r="G107" s="2"/>
      <c r="H107" s="2"/>
      <c r="I107" s="2"/>
      <c r="J107" s="2"/>
      <c r="K107" s="2"/>
      <c r="L107" s="2"/>
      <c r="M107" s="2"/>
      <c r="N107" s="2"/>
      <c r="O107" s="2"/>
      <c r="P107" s="2"/>
      <c r="Q107" s="2"/>
      <c r="R107" s="2"/>
      <c r="S107" s="2"/>
      <c r="T107" s="2"/>
    </row>
    <row r="108" spans="1:22">
      <c r="A108" s="2"/>
      <c r="B108" s="2"/>
      <c r="C108" s="2"/>
      <c r="D108" s="2"/>
      <c r="E108" s="2"/>
      <c r="F108" s="2"/>
      <c r="G108" s="2"/>
      <c r="H108" s="2"/>
      <c r="I108" s="2"/>
      <c r="J108" s="2"/>
      <c r="K108" s="2"/>
      <c r="L108" s="2"/>
      <c r="M108" s="2"/>
      <c r="N108" s="2"/>
      <c r="O108" s="2"/>
      <c r="P108" s="2"/>
      <c r="Q108" s="2"/>
      <c r="R108" s="2"/>
      <c r="S108" s="2"/>
      <c r="T108" s="2"/>
    </row>
    <row r="109" spans="1:22">
      <c r="A109" s="2"/>
      <c r="B109" s="2"/>
      <c r="C109" s="2"/>
      <c r="D109" s="2"/>
      <c r="E109" s="2"/>
      <c r="F109" s="2"/>
      <c r="G109" s="2"/>
      <c r="H109" s="2"/>
      <c r="I109" s="2"/>
      <c r="J109" s="2"/>
      <c r="K109" s="2"/>
      <c r="L109" s="2"/>
      <c r="M109" s="2"/>
      <c r="N109" s="2"/>
      <c r="O109" s="2"/>
      <c r="P109" s="2"/>
      <c r="Q109" s="2"/>
      <c r="R109" s="2"/>
      <c r="S109" s="2"/>
      <c r="T109" s="2"/>
    </row>
    <row r="110" spans="1:22">
      <c r="A110" s="2"/>
      <c r="B110" s="2"/>
      <c r="C110" s="2"/>
      <c r="D110" s="2"/>
      <c r="E110" s="2"/>
      <c r="F110" s="2"/>
      <c r="G110" s="2"/>
      <c r="H110" s="2"/>
      <c r="I110" s="2"/>
      <c r="J110" s="2"/>
      <c r="K110" s="2"/>
      <c r="L110" s="2"/>
      <c r="M110" s="2"/>
      <c r="N110" s="2"/>
      <c r="O110" s="2"/>
      <c r="P110" s="2"/>
      <c r="Q110" s="2"/>
      <c r="R110" s="2"/>
      <c r="S110" s="2"/>
      <c r="T110" s="2"/>
    </row>
    <row r="111" spans="1:22">
      <c r="A111" s="2"/>
      <c r="B111" s="2"/>
      <c r="C111" s="2"/>
      <c r="D111" s="2"/>
      <c r="E111" s="2"/>
      <c r="F111" s="2"/>
      <c r="G111" s="2"/>
      <c r="H111" s="2"/>
      <c r="I111" s="2"/>
      <c r="J111" s="2"/>
      <c r="K111" s="2"/>
      <c r="L111" s="2"/>
      <c r="M111" s="2"/>
      <c r="N111" s="2"/>
      <c r="O111" s="2"/>
      <c r="P111" s="2"/>
      <c r="Q111" s="2"/>
      <c r="R111" s="2"/>
      <c r="S111" s="2"/>
      <c r="T111" s="2"/>
    </row>
    <row r="112" spans="1:22">
      <c r="A112" s="2"/>
      <c r="B112" s="2"/>
      <c r="C112" s="2"/>
      <c r="D112" s="2"/>
      <c r="E112" s="2"/>
      <c r="F112" s="2"/>
      <c r="G112" s="2"/>
      <c r="H112" s="2"/>
      <c r="I112" s="2"/>
      <c r="J112" s="2"/>
      <c r="K112" s="2"/>
      <c r="L112" s="2"/>
      <c r="M112" s="2"/>
      <c r="N112" s="2"/>
      <c r="O112" s="2"/>
      <c r="P112" s="2"/>
      <c r="Q112" s="2"/>
      <c r="R112" s="2"/>
      <c r="S112" s="2"/>
      <c r="T112" s="2"/>
    </row>
    <row r="113" spans="1:20">
      <c r="A113" s="2"/>
      <c r="B113" s="2"/>
      <c r="C113" s="2"/>
      <c r="D113" s="2"/>
      <c r="E113" s="2"/>
      <c r="F113" s="2"/>
      <c r="G113" s="2"/>
      <c r="H113" s="2"/>
      <c r="I113" s="2"/>
      <c r="J113" s="2"/>
      <c r="K113" s="2"/>
      <c r="L113" s="2"/>
      <c r="M113" s="2"/>
      <c r="N113" s="2"/>
      <c r="O113" s="2"/>
      <c r="P113" s="2"/>
      <c r="Q113" s="2"/>
      <c r="R113" s="2"/>
      <c r="S113" s="2"/>
      <c r="T113" s="2"/>
    </row>
    <row r="114" spans="1:20">
      <c r="A114" s="2"/>
      <c r="B114" s="2"/>
      <c r="C114" s="2"/>
      <c r="D114" s="2"/>
      <c r="E114" s="2"/>
      <c r="F114" s="2"/>
      <c r="G114" s="2"/>
      <c r="H114" s="2"/>
      <c r="I114" s="2"/>
      <c r="J114" s="2"/>
      <c r="K114" s="2"/>
      <c r="L114" s="2"/>
      <c r="M114" s="2"/>
      <c r="N114" s="2"/>
      <c r="O114" s="2"/>
      <c r="P114" s="2"/>
      <c r="Q114" s="2"/>
      <c r="R114" s="2"/>
      <c r="S114" s="2"/>
      <c r="T114" s="2"/>
    </row>
    <row r="115" spans="1:20">
      <c r="A115" s="2"/>
      <c r="B115" s="2"/>
      <c r="C115" s="2"/>
      <c r="D115" s="2"/>
      <c r="E115" s="2"/>
      <c r="F115" s="2"/>
      <c r="G115" s="2"/>
      <c r="H115" s="2"/>
      <c r="I115" s="2"/>
      <c r="J115" s="2"/>
      <c r="K115" s="2"/>
      <c r="L115" s="2"/>
      <c r="M115" s="2"/>
      <c r="N115" s="2"/>
      <c r="O115" s="2"/>
      <c r="P115" s="2"/>
      <c r="Q115" s="2"/>
      <c r="R115" s="2"/>
      <c r="S115" s="2"/>
      <c r="T115" s="2"/>
    </row>
    <row r="116" spans="1:20">
      <c r="A116" s="2"/>
      <c r="B116" s="2"/>
      <c r="C116" s="2"/>
      <c r="D116" s="2"/>
      <c r="E116" s="2"/>
      <c r="F116" s="2"/>
      <c r="G116" s="2"/>
      <c r="H116" s="2"/>
      <c r="I116" s="2"/>
      <c r="J116" s="2"/>
      <c r="K116" s="2"/>
      <c r="L116" s="2"/>
      <c r="M116" s="2"/>
      <c r="N116" s="2"/>
      <c r="O116" s="2"/>
      <c r="P116" s="2"/>
      <c r="Q116" s="2"/>
      <c r="R116" s="2"/>
      <c r="S116" s="2"/>
      <c r="T116" s="2"/>
    </row>
    <row r="117" spans="1:20">
      <c r="A117" s="2"/>
      <c r="B117" s="2"/>
      <c r="C117" s="2"/>
      <c r="D117" s="2"/>
      <c r="E117" s="2"/>
      <c r="F117" s="2"/>
      <c r="G117" s="2"/>
      <c r="H117" s="2"/>
      <c r="I117" s="2"/>
      <c r="J117" s="2"/>
      <c r="K117" s="2"/>
      <c r="L117" s="2"/>
      <c r="M117" s="2"/>
      <c r="N117" s="2"/>
      <c r="O117" s="2"/>
      <c r="P117" s="2"/>
      <c r="Q117" s="2"/>
      <c r="R117" s="2"/>
      <c r="S117" s="2"/>
      <c r="T117" s="2"/>
    </row>
    <row r="118" spans="1:20">
      <c r="A118" s="2"/>
      <c r="B118" s="2"/>
      <c r="C118" s="2"/>
      <c r="D118" s="2"/>
      <c r="E118" s="2"/>
      <c r="F118" s="2"/>
      <c r="G118" s="2"/>
      <c r="H118" s="2"/>
      <c r="I118" s="2"/>
      <c r="J118" s="2"/>
      <c r="K118" s="2"/>
      <c r="L118" s="2"/>
      <c r="M118" s="2"/>
      <c r="N118" s="2"/>
      <c r="O118" s="2"/>
      <c r="P118" s="2"/>
      <c r="Q118" s="2"/>
      <c r="R118" s="2"/>
      <c r="S118" s="2"/>
      <c r="T118" s="2"/>
    </row>
    <row r="119" spans="1:20">
      <c r="A119" s="2"/>
      <c r="B119" s="2"/>
      <c r="C119" s="2"/>
      <c r="D119" s="2"/>
      <c r="E119" s="2"/>
      <c r="F119" s="2"/>
      <c r="G119" s="2"/>
      <c r="H119" s="2"/>
      <c r="I119" s="2"/>
      <c r="J119" s="2"/>
      <c r="K119" s="2"/>
      <c r="L119" s="2"/>
      <c r="M119" s="2"/>
      <c r="N119" s="2"/>
      <c r="O119" s="2"/>
      <c r="P119" s="2"/>
      <c r="Q119" s="2"/>
      <c r="R119" s="2"/>
      <c r="S119" s="2"/>
      <c r="T119" s="2"/>
    </row>
    <row r="120" spans="1:20">
      <c r="A120" s="2"/>
      <c r="B120" s="2"/>
      <c r="C120" s="2"/>
      <c r="D120" s="2"/>
      <c r="E120" s="2"/>
      <c r="F120" s="2"/>
      <c r="G120" s="2"/>
      <c r="H120" s="2"/>
      <c r="I120" s="2"/>
      <c r="J120" s="2"/>
      <c r="K120" s="2"/>
      <c r="L120" s="2"/>
      <c r="M120" s="2"/>
      <c r="N120" s="2"/>
      <c r="O120" s="2"/>
      <c r="P120" s="2"/>
      <c r="Q120" s="2"/>
      <c r="R120" s="2"/>
      <c r="S120" s="2"/>
      <c r="T120" s="2"/>
    </row>
    <row r="121" spans="1:20">
      <c r="A121" s="2"/>
      <c r="B121" s="2"/>
      <c r="C121" s="2"/>
      <c r="D121" s="2"/>
      <c r="E121" s="2"/>
      <c r="F121" s="2"/>
      <c r="G121" s="2"/>
      <c r="H121" s="2"/>
      <c r="I121" s="2"/>
      <c r="J121" s="2"/>
      <c r="K121" s="2"/>
      <c r="L121" s="2"/>
      <c r="M121" s="2"/>
      <c r="N121" s="2"/>
      <c r="O121" s="2"/>
      <c r="P121" s="2"/>
      <c r="Q121" s="2"/>
      <c r="R121" s="2"/>
      <c r="S121" s="2"/>
      <c r="T121" s="2"/>
    </row>
    <row r="122" spans="1:20">
      <c r="A122" s="2"/>
      <c r="B122" s="2"/>
      <c r="C122" s="2"/>
      <c r="D122" s="2"/>
      <c r="E122" s="2"/>
      <c r="F122" s="2"/>
      <c r="G122" s="2"/>
      <c r="H122" s="2"/>
      <c r="I122" s="2"/>
      <c r="J122" s="2"/>
      <c r="K122" s="2"/>
      <c r="L122" s="2"/>
      <c r="M122" s="2"/>
      <c r="N122" s="2"/>
      <c r="O122" s="2"/>
      <c r="P122" s="2"/>
      <c r="Q122" s="2"/>
      <c r="R122" s="2"/>
      <c r="S122" s="2"/>
      <c r="T122" s="2"/>
    </row>
    <row r="123" spans="1:20">
      <c r="A123" s="2"/>
      <c r="B123" s="2"/>
      <c r="C123" s="2"/>
      <c r="D123" s="2"/>
      <c r="E123" s="2"/>
      <c r="F123" s="2"/>
      <c r="G123" s="2"/>
      <c r="H123" s="2"/>
      <c r="I123" s="2"/>
      <c r="J123" s="2"/>
      <c r="K123" s="2"/>
      <c r="L123" s="2"/>
      <c r="M123" s="2"/>
      <c r="N123" s="2"/>
      <c r="O123" s="2"/>
      <c r="P123" s="2"/>
      <c r="Q123" s="2"/>
      <c r="R123" s="2"/>
      <c r="S123" s="2"/>
      <c r="T123" s="2"/>
    </row>
    <row r="124" spans="1:20">
      <c r="A124" s="2"/>
      <c r="B124" s="2"/>
      <c r="C124" s="2"/>
      <c r="D124" s="2"/>
      <c r="E124" s="2"/>
      <c r="F124" s="2"/>
      <c r="G124" s="2"/>
      <c r="H124" s="2"/>
      <c r="I124" s="2"/>
      <c r="J124" s="2"/>
      <c r="K124" s="2"/>
      <c r="L124" s="2"/>
      <c r="M124" s="2"/>
      <c r="N124" s="2"/>
      <c r="O124" s="2"/>
      <c r="P124" s="2"/>
      <c r="Q124" s="2"/>
      <c r="R124" s="2"/>
      <c r="S124" s="2"/>
      <c r="T124" s="2"/>
    </row>
    <row r="125" spans="1:20">
      <c r="A125" s="2"/>
      <c r="B125" s="2"/>
      <c r="C125" s="2"/>
      <c r="D125" s="2"/>
      <c r="E125" s="2"/>
      <c r="F125" s="2"/>
      <c r="G125" s="2"/>
      <c r="H125" s="2"/>
      <c r="I125" s="2"/>
      <c r="J125" s="2"/>
      <c r="K125" s="2"/>
      <c r="L125" s="2"/>
      <c r="M125" s="2"/>
      <c r="N125" s="2"/>
      <c r="O125" s="2"/>
      <c r="P125" s="2"/>
      <c r="Q125" s="2"/>
      <c r="R125" s="2"/>
      <c r="S125" s="2"/>
      <c r="T125" s="2"/>
    </row>
    <row r="126" spans="1:20">
      <c r="A126" s="2"/>
      <c r="B126" s="2"/>
      <c r="C126" s="2"/>
      <c r="D126" s="2"/>
      <c r="E126" s="2"/>
      <c r="F126" s="2"/>
      <c r="G126" s="2"/>
      <c r="H126" s="2"/>
      <c r="I126" s="2"/>
      <c r="J126" s="2"/>
      <c r="K126" s="2"/>
      <c r="L126" s="2"/>
      <c r="M126" s="2"/>
      <c r="N126" s="2"/>
      <c r="O126" s="2"/>
      <c r="P126" s="2"/>
      <c r="Q126" s="2"/>
      <c r="R126" s="2"/>
      <c r="S126" s="2"/>
      <c r="T126" s="2"/>
    </row>
    <row r="127" spans="1:20">
      <c r="A127" s="2"/>
      <c r="B127" s="2"/>
      <c r="C127" s="2"/>
      <c r="D127" s="2"/>
      <c r="E127" s="2"/>
      <c r="F127" s="2"/>
      <c r="G127" s="2"/>
      <c r="H127" s="2"/>
      <c r="I127" s="2"/>
      <c r="J127" s="2"/>
      <c r="K127" s="2"/>
      <c r="L127" s="2"/>
      <c r="M127" s="2"/>
      <c r="N127" s="2"/>
      <c r="O127" s="2"/>
      <c r="P127" s="2"/>
      <c r="Q127" s="2"/>
      <c r="R127" s="2"/>
      <c r="S127" s="2"/>
      <c r="T127" s="2"/>
    </row>
    <row r="128" spans="1:20">
      <c r="A128" s="2"/>
      <c r="B128" s="2"/>
      <c r="C128" s="2"/>
      <c r="D128" s="2"/>
      <c r="E128" s="2"/>
      <c r="F128" s="2"/>
      <c r="G128" s="2"/>
      <c r="H128" s="2"/>
      <c r="I128" s="2"/>
      <c r="J128" s="2"/>
      <c r="K128" s="2"/>
      <c r="L128" s="2"/>
      <c r="M128" s="2"/>
      <c r="N128" s="2"/>
      <c r="O128" s="2"/>
      <c r="P128" s="2"/>
      <c r="Q128" s="2"/>
      <c r="R128" s="2"/>
      <c r="S128" s="2"/>
      <c r="T128" s="2"/>
    </row>
    <row r="129" spans="1:20">
      <c r="A129" s="2"/>
      <c r="B129" s="2"/>
      <c r="C129" s="2"/>
      <c r="D129" s="2"/>
      <c r="E129" s="2"/>
      <c r="F129" s="2"/>
      <c r="G129" s="2"/>
      <c r="H129" s="2"/>
      <c r="I129" s="2"/>
      <c r="J129" s="2"/>
      <c r="K129" s="2"/>
      <c r="L129" s="2"/>
      <c r="M129" s="2"/>
      <c r="N129" s="2"/>
      <c r="O129" s="2"/>
      <c r="P129" s="2"/>
      <c r="Q129" s="2"/>
      <c r="R129" s="2"/>
      <c r="S129" s="2"/>
      <c r="T129" s="2"/>
    </row>
    <row r="130" spans="1:20">
      <c r="A130" s="2"/>
      <c r="B130" s="2"/>
      <c r="C130" s="2"/>
      <c r="D130" s="2"/>
      <c r="E130" s="2"/>
      <c r="F130" s="2"/>
      <c r="G130" s="2"/>
      <c r="H130" s="2"/>
      <c r="I130" s="2"/>
      <c r="J130" s="2"/>
      <c r="K130" s="2"/>
      <c r="L130" s="2"/>
      <c r="M130" s="2"/>
      <c r="N130" s="2"/>
      <c r="O130" s="2"/>
      <c r="P130" s="2"/>
      <c r="Q130" s="2"/>
      <c r="R130" s="2"/>
      <c r="S130" s="2"/>
      <c r="T130" s="2"/>
    </row>
    <row r="131" spans="1:20">
      <c r="A131" s="2"/>
      <c r="B131" s="2"/>
      <c r="C131" s="2"/>
      <c r="D131" s="2"/>
      <c r="E131" s="2"/>
      <c r="F131" s="2"/>
      <c r="G131" s="2"/>
      <c r="H131" s="2"/>
      <c r="I131" s="2"/>
      <c r="J131" s="2"/>
      <c r="K131" s="2"/>
      <c r="L131" s="2"/>
      <c r="M131" s="2"/>
      <c r="N131" s="2"/>
      <c r="O131" s="2"/>
      <c r="P131" s="2"/>
      <c r="Q131" s="2"/>
      <c r="R131" s="2"/>
      <c r="S131" s="2"/>
      <c r="T131" s="2"/>
    </row>
    <row r="132" spans="1:20">
      <c r="A132" s="2"/>
      <c r="B132" s="2"/>
      <c r="C132" s="2"/>
      <c r="D132" s="2"/>
      <c r="E132" s="2"/>
      <c r="F132" s="2"/>
      <c r="G132" s="2"/>
      <c r="H132" s="2"/>
      <c r="I132" s="2"/>
      <c r="J132" s="2"/>
      <c r="K132" s="2"/>
      <c r="L132" s="2"/>
      <c r="M132" s="2"/>
      <c r="N132" s="2"/>
      <c r="O132" s="2"/>
      <c r="P132" s="2"/>
      <c r="Q132" s="2"/>
      <c r="R132" s="2"/>
      <c r="S132" s="2"/>
      <c r="T132" s="2"/>
    </row>
    <row r="133" spans="1:20">
      <c r="A133" s="2"/>
      <c r="B133" s="2"/>
      <c r="C133" s="2"/>
      <c r="D133" s="2"/>
      <c r="E133" s="2"/>
      <c r="F133" s="2"/>
      <c r="G133" s="2"/>
      <c r="H133" s="2"/>
      <c r="I133" s="2"/>
      <c r="J133" s="2"/>
      <c r="K133" s="2"/>
      <c r="L133" s="2"/>
      <c r="M133" s="2"/>
      <c r="N133" s="2"/>
      <c r="O133" s="2"/>
      <c r="P133" s="2"/>
      <c r="Q133" s="2"/>
      <c r="R133" s="2"/>
      <c r="S133" s="2"/>
      <c r="T133" s="2"/>
    </row>
    <row r="134" spans="1:20">
      <c r="A134" s="2"/>
      <c r="B134" s="2"/>
      <c r="C134" s="2"/>
      <c r="D134" s="2"/>
      <c r="E134" s="2"/>
      <c r="F134" s="2"/>
      <c r="G134" s="2"/>
      <c r="H134" s="2"/>
      <c r="I134" s="2"/>
      <c r="J134" s="2"/>
      <c r="K134" s="2"/>
      <c r="L134" s="2"/>
      <c r="M134" s="2"/>
      <c r="N134" s="2"/>
      <c r="O134" s="2"/>
      <c r="P134" s="2"/>
      <c r="Q134" s="2"/>
      <c r="R134" s="2"/>
      <c r="S134" s="2"/>
      <c r="T134" s="2"/>
    </row>
    <row r="135" spans="1:20">
      <c r="A135" s="2"/>
      <c r="B135" s="2"/>
      <c r="C135" s="2"/>
      <c r="D135" s="2"/>
      <c r="E135" s="2"/>
      <c r="F135" s="2"/>
      <c r="G135" s="2"/>
      <c r="H135" s="2"/>
      <c r="I135" s="2"/>
      <c r="J135" s="2"/>
      <c r="K135" s="2"/>
      <c r="L135" s="2"/>
      <c r="M135" s="2"/>
      <c r="N135" s="2"/>
      <c r="O135" s="2"/>
      <c r="P135" s="2"/>
      <c r="Q135" s="2"/>
      <c r="R135" s="2"/>
      <c r="S135" s="2"/>
      <c r="T135" s="2"/>
    </row>
    <row r="136" spans="1:20">
      <c r="A136" s="2"/>
      <c r="B136" s="2"/>
      <c r="C136" s="2"/>
      <c r="D136" s="2"/>
      <c r="E136" s="2"/>
      <c r="F136" s="2"/>
      <c r="G136" s="2"/>
      <c r="H136" s="2"/>
      <c r="I136" s="2"/>
      <c r="J136" s="2"/>
      <c r="K136" s="2"/>
      <c r="L136" s="2"/>
      <c r="M136" s="2"/>
      <c r="N136" s="2"/>
      <c r="O136" s="2"/>
      <c r="P136" s="2"/>
      <c r="Q136" s="2"/>
      <c r="R136" s="2"/>
      <c r="S136" s="2"/>
      <c r="T136" s="2"/>
    </row>
    <row r="137" spans="1:20">
      <c r="A137" s="2"/>
      <c r="B137" s="2"/>
      <c r="C137" s="2"/>
      <c r="D137" s="2"/>
      <c r="E137" s="2"/>
      <c r="F137" s="2"/>
      <c r="G137" s="2"/>
      <c r="H137" s="2"/>
      <c r="I137" s="2"/>
      <c r="J137" s="2"/>
      <c r="K137" s="2"/>
      <c r="L137" s="2"/>
      <c r="M137" s="2"/>
      <c r="N137" s="2"/>
      <c r="O137" s="2"/>
      <c r="P137" s="2"/>
      <c r="Q137" s="2"/>
      <c r="R137" s="2"/>
      <c r="S137" s="2"/>
      <c r="T137" s="2"/>
    </row>
    <row r="138" spans="1:20">
      <c r="A138" s="2"/>
      <c r="B138" s="2"/>
      <c r="C138" s="2"/>
      <c r="D138" s="2"/>
      <c r="E138" s="2"/>
      <c r="F138" s="2"/>
      <c r="G138" s="2"/>
      <c r="H138" s="2"/>
      <c r="I138" s="2"/>
      <c r="J138" s="2"/>
      <c r="K138" s="2"/>
      <c r="L138" s="2"/>
      <c r="M138" s="2"/>
      <c r="N138" s="2"/>
      <c r="O138" s="2"/>
      <c r="P138" s="2"/>
      <c r="Q138" s="2"/>
      <c r="R138" s="2"/>
      <c r="S138" s="2"/>
      <c r="T138" s="2"/>
    </row>
    <row r="139" spans="1:20">
      <c r="A139" s="2"/>
      <c r="B139" s="2"/>
      <c r="C139" s="2"/>
      <c r="D139" s="2"/>
      <c r="E139" s="2"/>
      <c r="F139" s="2"/>
      <c r="G139" s="2"/>
      <c r="H139" s="2"/>
      <c r="I139" s="2"/>
      <c r="J139" s="2"/>
      <c r="K139" s="2"/>
      <c r="L139" s="2"/>
      <c r="M139" s="2"/>
      <c r="N139" s="2"/>
      <c r="O139" s="2"/>
      <c r="P139" s="2"/>
      <c r="Q139" s="2"/>
      <c r="R139" s="2"/>
      <c r="S139" s="2"/>
      <c r="T139" s="2"/>
    </row>
    <row r="140" spans="1:20">
      <c r="A140" s="2"/>
      <c r="B140" s="2"/>
      <c r="C140" s="2"/>
      <c r="D140" s="2"/>
      <c r="E140" s="2"/>
      <c r="F140" s="2"/>
      <c r="G140" s="2"/>
      <c r="H140" s="2"/>
      <c r="I140" s="2"/>
      <c r="J140" s="2"/>
      <c r="K140" s="2"/>
      <c r="L140" s="2"/>
      <c r="M140" s="2"/>
      <c r="N140" s="2"/>
      <c r="O140" s="2"/>
      <c r="P140" s="2"/>
      <c r="Q140" s="2"/>
      <c r="R140" s="2"/>
      <c r="S140" s="2"/>
      <c r="T140" s="2"/>
    </row>
    <row r="141" spans="1:20">
      <c r="A141" s="2"/>
      <c r="B141" s="2"/>
      <c r="C141" s="2"/>
      <c r="D141" s="2"/>
      <c r="E141" s="2"/>
      <c r="F141" s="2"/>
      <c r="G141" s="2"/>
      <c r="H141" s="2"/>
      <c r="I141" s="2"/>
      <c r="J141" s="2"/>
      <c r="K141" s="2"/>
      <c r="L141" s="2"/>
      <c r="M141" s="2"/>
      <c r="N141" s="2"/>
      <c r="O141" s="2"/>
      <c r="P141" s="2"/>
      <c r="Q141" s="2"/>
      <c r="R141" s="2"/>
      <c r="S141" s="2"/>
      <c r="T141" s="2"/>
    </row>
    <row r="142" spans="1:20">
      <c r="A142" s="2"/>
      <c r="B142" s="2"/>
      <c r="C142" s="2"/>
      <c r="D142" s="2"/>
      <c r="E142" s="2"/>
      <c r="F142" s="2"/>
      <c r="G142" s="2"/>
      <c r="H142" s="2"/>
      <c r="I142" s="2"/>
      <c r="J142" s="2"/>
      <c r="K142" s="2"/>
      <c r="L142" s="2"/>
      <c r="M142" s="2"/>
      <c r="N142" s="2"/>
      <c r="O142" s="2"/>
      <c r="P142" s="2"/>
      <c r="Q142" s="2"/>
      <c r="R142" s="2"/>
      <c r="S142" s="2"/>
      <c r="T142" s="2"/>
    </row>
    <row r="143" spans="1:20">
      <c r="A143" s="2"/>
      <c r="B143" s="2"/>
      <c r="C143" s="2"/>
      <c r="D143" s="2"/>
      <c r="E143" s="2"/>
      <c r="F143" s="2"/>
      <c r="G143" s="2"/>
      <c r="H143" s="2"/>
      <c r="I143" s="2"/>
      <c r="J143" s="2"/>
      <c r="K143" s="2"/>
      <c r="L143" s="2"/>
      <c r="M143" s="2"/>
      <c r="N143" s="2"/>
      <c r="O143" s="2"/>
      <c r="P143" s="2"/>
      <c r="Q143" s="2"/>
      <c r="R143" s="2"/>
      <c r="S143" s="2"/>
      <c r="T143" s="2"/>
    </row>
    <row r="144" spans="1:20">
      <c r="A144" s="2"/>
      <c r="B144" s="2"/>
      <c r="C144" s="2"/>
      <c r="D144" s="2"/>
      <c r="E144" s="2"/>
      <c r="F144" s="2"/>
      <c r="G144" s="2"/>
      <c r="H144" s="2"/>
      <c r="I144" s="2"/>
      <c r="J144" s="2"/>
      <c r="K144" s="2"/>
      <c r="L144" s="2"/>
      <c r="M144" s="2"/>
      <c r="N144" s="2"/>
      <c r="O144" s="2"/>
      <c r="P144" s="2"/>
      <c r="Q144" s="2"/>
      <c r="R144" s="2"/>
      <c r="S144" s="2"/>
      <c r="T144" s="2"/>
    </row>
    <row r="145" spans="1:20">
      <c r="A145" s="2"/>
      <c r="B145" s="2"/>
      <c r="C145" s="2"/>
      <c r="D145" s="2"/>
      <c r="E145" s="2"/>
      <c r="F145" s="2"/>
      <c r="G145" s="2"/>
      <c r="H145" s="2"/>
      <c r="I145" s="2"/>
      <c r="J145" s="2"/>
      <c r="K145" s="2"/>
      <c r="L145" s="2"/>
      <c r="M145" s="2"/>
      <c r="N145" s="2"/>
      <c r="O145" s="2"/>
      <c r="P145" s="2"/>
      <c r="Q145" s="2"/>
      <c r="R145" s="2"/>
      <c r="S145" s="2"/>
      <c r="T145" s="2"/>
    </row>
    <row r="146" spans="1:20">
      <c r="A146" s="2"/>
      <c r="B146" s="2"/>
      <c r="C146" s="2"/>
      <c r="D146" s="2"/>
      <c r="E146" s="2"/>
      <c r="F146" s="2"/>
      <c r="G146" s="2"/>
      <c r="H146" s="2"/>
      <c r="I146" s="2"/>
      <c r="J146" s="2"/>
      <c r="K146" s="2"/>
      <c r="L146" s="2"/>
      <c r="M146" s="2"/>
      <c r="N146" s="2"/>
      <c r="O146" s="2"/>
      <c r="P146" s="2"/>
      <c r="Q146" s="2"/>
      <c r="R146" s="2"/>
      <c r="S146" s="2"/>
      <c r="T146" s="2"/>
    </row>
    <row r="147" spans="1:20">
      <c r="A147" s="2"/>
      <c r="B147" s="2"/>
      <c r="C147" s="2"/>
      <c r="D147" s="2"/>
      <c r="E147" s="2"/>
      <c r="F147" s="2"/>
      <c r="G147" s="2"/>
      <c r="H147" s="2"/>
      <c r="I147" s="2"/>
      <c r="J147" s="2"/>
      <c r="K147" s="2"/>
      <c r="L147" s="2"/>
      <c r="M147" s="2"/>
      <c r="N147" s="2"/>
      <c r="O147" s="2"/>
      <c r="P147" s="2"/>
      <c r="Q147" s="2"/>
      <c r="R147" s="2"/>
      <c r="S147" s="2"/>
      <c r="T147" s="2"/>
    </row>
    <row r="148" spans="1:20">
      <c r="A148" s="2"/>
      <c r="B148" s="2"/>
      <c r="C148" s="2"/>
      <c r="D148" s="2"/>
      <c r="E148" s="2"/>
      <c r="F148" s="2"/>
      <c r="G148" s="2"/>
      <c r="H148" s="2"/>
      <c r="I148" s="2"/>
      <c r="J148" s="2"/>
      <c r="K148" s="2"/>
      <c r="L148" s="2"/>
      <c r="M148" s="2"/>
      <c r="N148" s="2"/>
      <c r="O148" s="2"/>
      <c r="P148" s="2"/>
      <c r="Q148" s="2"/>
      <c r="R148" s="2"/>
      <c r="S148" s="2"/>
      <c r="T148" s="2"/>
    </row>
    <row r="149" spans="1:20">
      <c r="A149" s="2"/>
      <c r="B149" s="2"/>
      <c r="C149" s="2"/>
      <c r="D149" s="2"/>
      <c r="E149" s="2"/>
      <c r="F149" s="2"/>
      <c r="G149" s="2"/>
      <c r="H149" s="2"/>
      <c r="I149" s="2"/>
      <c r="J149" s="2"/>
      <c r="K149" s="2"/>
      <c r="L149" s="2"/>
      <c r="M149" s="2"/>
      <c r="N149" s="2"/>
      <c r="O149" s="2"/>
      <c r="P149" s="2"/>
      <c r="Q149" s="2"/>
      <c r="R149" s="2"/>
      <c r="S149" s="2"/>
      <c r="T149" s="2"/>
    </row>
    <row r="150" spans="1:20">
      <c r="A150" s="2"/>
      <c r="B150" s="2"/>
      <c r="C150" s="2"/>
      <c r="D150" s="2"/>
      <c r="E150" s="2"/>
      <c r="F150" s="2"/>
      <c r="G150" s="2"/>
      <c r="H150" s="2"/>
      <c r="I150" s="2"/>
      <c r="J150" s="2"/>
      <c r="K150" s="2"/>
      <c r="L150" s="2"/>
      <c r="M150" s="2"/>
      <c r="N150" s="2"/>
      <c r="O150" s="2"/>
      <c r="P150" s="2"/>
      <c r="Q150" s="2"/>
      <c r="R150" s="2"/>
      <c r="S150" s="2"/>
      <c r="T150" s="2"/>
    </row>
    <row r="151" spans="1:20">
      <c r="A151" s="2"/>
      <c r="B151" s="2"/>
      <c r="C151" s="2"/>
      <c r="D151" s="2"/>
      <c r="E151" s="2"/>
      <c r="F151" s="2"/>
      <c r="G151" s="2"/>
      <c r="H151" s="2"/>
      <c r="I151" s="2"/>
      <c r="J151" s="2"/>
      <c r="K151" s="2"/>
      <c r="L151" s="2"/>
      <c r="M151" s="2"/>
      <c r="N151" s="2"/>
      <c r="O151" s="2"/>
      <c r="P151" s="2"/>
      <c r="Q151" s="2"/>
      <c r="R151" s="2"/>
      <c r="S151" s="2"/>
      <c r="T151" s="2"/>
    </row>
    <row r="152" spans="1:20">
      <c r="A152" s="2"/>
      <c r="B152" s="2"/>
      <c r="C152" s="2"/>
      <c r="D152" s="2"/>
      <c r="E152" s="2"/>
      <c r="F152" s="2"/>
      <c r="G152" s="2"/>
      <c r="H152" s="2"/>
      <c r="I152" s="2"/>
      <c r="J152" s="2"/>
      <c r="K152" s="2"/>
      <c r="L152" s="2"/>
      <c r="M152" s="2"/>
      <c r="N152" s="2"/>
      <c r="O152" s="2"/>
      <c r="P152" s="2"/>
      <c r="Q152" s="2"/>
      <c r="R152" s="2"/>
      <c r="S152" s="2"/>
      <c r="T152" s="2"/>
    </row>
    <row r="153" spans="1:20">
      <c r="A153" s="2"/>
      <c r="B153" s="2"/>
      <c r="C153" s="2"/>
      <c r="D153" s="2"/>
      <c r="E153" s="2"/>
      <c r="F153" s="2"/>
      <c r="G153" s="2"/>
      <c r="H153" s="2"/>
      <c r="I153" s="2"/>
      <c r="J153" s="2"/>
      <c r="K153" s="2"/>
      <c r="L153" s="2"/>
      <c r="M153" s="2"/>
      <c r="N153" s="2"/>
      <c r="O153" s="2"/>
      <c r="P153" s="2"/>
      <c r="Q153" s="2"/>
      <c r="R153" s="2"/>
      <c r="S153" s="2"/>
      <c r="T153" s="2"/>
    </row>
    <row r="154" spans="1:20">
      <c r="A154" s="2"/>
      <c r="B154" s="2"/>
      <c r="C154" s="2"/>
      <c r="D154" s="2"/>
      <c r="E154" s="2"/>
      <c r="F154" s="2"/>
      <c r="G154" s="2"/>
      <c r="H154" s="2"/>
      <c r="I154" s="2"/>
      <c r="J154" s="2"/>
      <c r="K154" s="2"/>
      <c r="L154" s="2"/>
      <c r="M154" s="2"/>
      <c r="N154" s="2"/>
      <c r="O154" s="2"/>
      <c r="P154" s="2"/>
      <c r="Q154" s="2"/>
      <c r="R154" s="2"/>
      <c r="S154" s="2"/>
      <c r="T154" s="2"/>
    </row>
    <row r="155" spans="1:20">
      <c r="A155" s="2"/>
      <c r="B155" s="2"/>
      <c r="C155" s="2"/>
      <c r="D155" s="2"/>
      <c r="E155" s="2"/>
      <c r="F155" s="2"/>
      <c r="G155" s="2"/>
      <c r="H155" s="2"/>
      <c r="I155" s="2"/>
      <c r="J155" s="2"/>
      <c r="K155" s="2"/>
      <c r="L155" s="2"/>
      <c r="M155" s="2"/>
      <c r="N155" s="2"/>
      <c r="O155" s="2"/>
      <c r="P155" s="2"/>
      <c r="Q155" s="2"/>
      <c r="R155" s="2"/>
      <c r="S155" s="2"/>
      <c r="T155" s="2"/>
    </row>
    <row r="156" spans="1:20">
      <c r="A156" s="2"/>
      <c r="B156" s="2"/>
      <c r="C156" s="2"/>
      <c r="D156" s="2"/>
      <c r="E156" s="2"/>
      <c r="F156" s="2"/>
      <c r="G156" s="2"/>
      <c r="H156" s="2"/>
      <c r="I156" s="2"/>
      <c r="J156" s="2"/>
      <c r="K156" s="2"/>
      <c r="L156" s="2"/>
      <c r="M156" s="2"/>
      <c r="N156" s="2"/>
      <c r="O156" s="2"/>
      <c r="P156" s="2"/>
      <c r="Q156" s="2"/>
      <c r="R156" s="2"/>
      <c r="S156" s="2"/>
      <c r="T156" s="2"/>
    </row>
    <row r="157" spans="1:20">
      <c r="A157" s="2"/>
      <c r="B157" s="2"/>
      <c r="C157" s="2"/>
      <c r="D157" s="2"/>
      <c r="E157" s="2"/>
      <c r="F157" s="2"/>
      <c r="G157" s="2"/>
      <c r="H157" s="2"/>
      <c r="I157" s="2"/>
      <c r="J157" s="2"/>
      <c r="K157" s="2"/>
      <c r="L157" s="2"/>
      <c r="M157" s="2"/>
      <c r="N157" s="2"/>
      <c r="O157" s="2"/>
      <c r="P157" s="2"/>
      <c r="Q157" s="2"/>
      <c r="R157" s="2"/>
      <c r="S157" s="2"/>
      <c r="T157" s="2"/>
    </row>
    <row r="158" spans="1:20">
      <c r="A158" s="2"/>
      <c r="B158" s="2"/>
      <c r="C158" s="2"/>
      <c r="D158" s="2"/>
      <c r="E158" s="2"/>
      <c r="F158" s="2"/>
      <c r="G158" s="2"/>
      <c r="H158" s="2"/>
      <c r="I158" s="2"/>
      <c r="J158" s="2"/>
      <c r="K158" s="2"/>
      <c r="L158" s="2"/>
      <c r="M158" s="2"/>
      <c r="N158" s="2"/>
      <c r="O158" s="2"/>
      <c r="P158" s="2"/>
      <c r="Q158" s="2"/>
      <c r="R158" s="2"/>
      <c r="S158" s="2"/>
      <c r="T158" s="2"/>
    </row>
    <row r="159" spans="1:20">
      <c r="A159" s="2"/>
      <c r="B159" s="2"/>
      <c r="C159" s="2"/>
      <c r="D159" s="2"/>
      <c r="E159" s="2"/>
      <c r="F159" s="2"/>
      <c r="G159" s="2"/>
      <c r="H159" s="2"/>
      <c r="I159" s="2"/>
      <c r="J159" s="2"/>
      <c r="K159" s="2"/>
      <c r="L159" s="2"/>
      <c r="M159" s="2"/>
      <c r="N159" s="2"/>
      <c r="O159" s="2"/>
      <c r="P159" s="2"/>
      <c r="Q159" s="2"/>
      <c r="R159" s="2"/>
      <c r="S159" s="2"/>
      <c r="T159" s="2"/>
    </row>
    <row r="160" spans="1:20">
      <c r="A160" s="2"/>
      <c r="B160" s="2"/>
      <c r="C160" s="2"/>
      <c r="D160" s="2"/>
      <c r="E160" s="2"/>
      <c r="F160" s="2"/>
      <c r="G160" s="2"/>
      <c r="H160" s="2"/>
      <c r="I160" s="2"/>
      <c r="J160" s="2"/>
      <c r="K160" s="2"/>
      <c r="L160" s="2"/>
      <c r="M160" s="2"/>
      <c r="N160" s="2"/>
      <c r="O160" s="2"/>
      <c r="P160" s="2"/>
      <c r="Q160" s="2"/>
      <c r="R160" s="2"/>
      <c r="S160" s="2"/>
      <c r="T160" s="2"/>
    </row>
    <row r="161" spans="1:20">
      <c r="A161" s="2"/>
      <c r="B161" s="2"/>
      <c r="C161" s="2"/>
      <c r="D161" s="2"/>
      <c r="E161" s="2"/>
      <c r="F161" s="2"/>
      <c r="G161" s="2"/>
      <c r="H161" s="2"/>
      <c r="I161" s="2"/>
      <c r="J161" s="2"/>
      <c r="K161" s="2"/>
      <c r="L161" s="2"/>
      <c r="M161" s="2"/>
      <c r="N161" s="2"/>
      <c r="O161" s="2"/>
      <c r="P161" s="2"/>
      <c r="Q161" s="2"/>
      <c r="R161" s="2"/>
      <c r="S161" s="2"/>
      <c r="T161" s="2"/>
    </row>
    <row r="162" spans="1:20">
      <c r="A162" s="2"/>
      <c r="B162" s="2"/>
      <c r="C162" s="2"/>
      <c r="D162" s="2"/>
      <c r="E162" s="2"/>
      <c r="F162" s="2"/>
      <c r="G162" s="2"/>
      <c r="H162" s="2"/>
      <c r="I162" s="2"/>
      <c r="J162" s="2"/>
      <c r="K162" s="2"/>
      <c r="L162" s="2"/>
      <c r="M162" s="2"/>
      <c r="N162" s="2"/>
      <c r="O162" s="2"/>
      <c r="P162" s="2"/>
      <c r="Q162" s="2"/>
      <c r="R162" s="2"/>
      <c r="S162" s="2"/>
      <c r="T162" s="2"/>
    </row>
    <row r="163" spans="1:20">
      <c r="A163" s="2"/>
      <c r="B163" s="2"/>
      <c r="C163" s="2"/>
      <c r="D163" s="2"/>
      <c r="E163" s="2"/>
      <c r="F163" s="2"/>
      <c r="G163" s="2"/>
      <c r="H163" s="2"/>
      <c r="I163" s="2"/>
      <c r="J163" s="2"/>
      <c r="K163" s="2"/>
      <c r="L163" s="2"/>
      <c r="M163" s="2"/>
      <c r="N163" s="2"/>
      <c r="O163" s="2"/>
      <c r="P163" s="2"/>
      <c r="Q163" s="2"/>
      <c r="R163" s="2"/>
      <c r="S163" s="2"/>
      <c r="T163" s="2"/>
    </row>
    <row r="164" spans="1:20">
      <c r="A164" s="2"/>
      <c r="B164" s="2"/>
      <c r="C164" s="2"/>
      <c r="D164" s="2"/>
      <c r="E164" s="2"/>
      <c r="F164" s="2"/>
      <c r="G164" s="2"/>
      <c r="H164" s="2"/>
      <c r="I164" s="2"/>
      <c r="J164" s="2"/>
      <c r="K164" s="2"/>
      <c r="L164" s="2"/>
      <c r="M164" s="2"/>
      <c r="N164" s="2"/>
      <c r="O164" s="2"/>
      <c r="P164" s="2"/>
      <c r="Q164" s="2"/>
      <c r="R164" s="2"/>
      <c r="S164" s="2"/>
      <c r="T164" s="2"/>
    </row>
    <row r="165" spans="1:20">
      <c r="A165" s="2"/>
      <c r="B165" s="2"/>
      <c r="C165" s="2"/>
      <c r="D165" s="2"/>
      <c r="E165" s="2"/>
      <c r="F165" s="2"/>
      <c r="G165" s="2"/>
      <c r="H165" s="2"/>
      <c r="I165" s="2"/>
      <c r="J165" s="2"/>
      <c r="K165" s="2"/>
      <c r="L165" s="2"/>
      <c r="M165" s="2"/>
      <c r="N165" s="2"/>
      <c r="O165" s="2"/>
      <c r="P165" s="2"/>
      <c r="Q165" s="2"/>
      <c r="R165" s="2"/>
      <c r="S165" s="2"/>
      <c r="T165" s="2"/>
    </row>
    <row r="166" spans="1:20">
      <c r="A166" s="2"/>
      <c r="B166" s="2"/>
      <c r="C166" s="2"/>
      <c r="D166" s="2"/>
      <c r="E166" s="2"/>
      <c r="F166" s="2"/>
      <c r="G166" s="2"/>
      <c r="H166" s="2"/>
      <c r="I166" s="2"/>
      <c r="J166" s="2"/>
      <c r="K166" s="2"/>
      <c r="L166" s="2"/>
      <c r="M166" s="2"/>
      <c r="N166" s="2"/>
      <c r="O166" s="2"/>
      <c r="P166" s="2"/>
      <c r="Q166" s="2"/>
      <c r="R166" s="2"/>
      <c r="S166" s="2"/>
      <c r="T166" s="2"/>
    </row>
    <row r="167" spans="1:20">
      <c r="A167" s="2"/>
      <c r="B167" s="2"/>
      <c r="C167" s="2"/>
      <c r="D167" s="2"/>
      <c r="E167" s="2"/>
      <c r="F167" s="2"/>
      <c r="G167" s="2"/>
      <c r="H167" s="2"/>
      <c r="I167" s="2"/>
      <c r="J167" s="2"/>
      <c r="K167" s="2"/>
      <c r="L167" s="2"/>
      <c r="M167" s="2"/>
      <c r="N167" s="2"/>
      <c r="O167" s="2"/>
      <c r="P167" s="2"/>
      <c r="Q167" s="2"/>
      <c r="R167" s="2"/>
      <c r="S167" s="2"/>
      <c r="T167" s="2"/>
    </row>
    <row r="168" spans="1:20">
      <c r="A168" s="2"/>
      <c r="B168" s="2"/>
      <c r="C168" s="2"/>
      <c r="D168" s="2"/>
      <c r="E168" s="2"/>
      <c r="F168" s="2"/>
      <c r="G168" s="2"/>
      <c r="H168" s="2"/>
      <c r="I168" s="2"/>
      <c r="J168" s="2"/>
      <c r="K168" s="2"/>
      <c r="L168" s="2"/>
      <c r="M168" s="2"/>
      <c r="N168" s="2"/>
      <c r="O168" s="2"/>
      <c r="P168" s="2"/>
      <c r="Q168" s="2"/>
      <c r="R168" s="2"/>
      <c r="S168" s="2"/>
      <c r="T168" s="2"/>
    </row>
    <row r="169" spans="1:20">
      <c r="A169" s="2"/>
      <c r="B169" s="2"/>
      <c r="C169" s="2"/>
      <c r="D169" s="2"/>
      <c r="E169" s="2"/>
      <c r="F169" s="2"/>
      <c r="G169" s="2"/>
      <c r="H169" s="2"/>
      <c r="I169" s="2"/>
      <c r="J169" s="2"/>
      <c r="K169" s="2"/>
      <c r="L169" s="2"/>
      <c r="M169" s="2"/>
      <c r="N169" s="2"/>
      <c r="O169" s="2"/>
      <c r="P169" s="2"/>
      <c r="Q169" s="2"/>
      <c r="R169" s="2"/>
      <c r="S169" s="2"/>
      <c r="T169" s="2"/>
    </row>
    <row r="170" spans="1:20">
      <c r="A170" s="2"/>
      <c r="B170" s="2"/>
      <c r="C170" s="2"/>
      <c r="D170" s="2"/>
      <c r="E170" s="2"/>
      <c r="F170" s="2"/>
      <c r="G170" s="2"/>
      <c r="H170" s="2"/>
      <c r="I170" s="2"/>
      <c r="J170" s="2"/>
      <c r="K170" s="2"/>
      <c r="L170" s="2"/>
      <c r="M170" s="2"/>
      <c r="N170" s="2"/>
      <c r="O170" s="2"/>
      <c r="P170" s="2"/>
      <c r="Q170" s="2"/>
      <c r="R170" s="2"/>
      <c r="S170" s="2"/>
      <c r="T170" s="2"/>
    </row>
    <row r="171" spans="1:20">
      <c r="A171" s="2"/>
      <c r="B171" s="2"/>
      <c r="C171" s="2"/>
      <c r="D171" s="2"/>
      <c r="E171" s="2"/>
      <c r="F171" s="2"/>
      <c r="G171" s="2"/>
      <c r="H171" s="2"/>
      <c r="I171" s="2"/>
      <c r="J171" s="2"/>
      <c r="K171" s="2"/>
      <c r="L171" s="2"/>
      <c r="M171" s="2"/>
      <c r="N171" s="2"/>
      <c r="O171" s="2"/>
      <c r="P171" s="2"/>
      <c r="Q171" s="2"/>
      <c r="R171" s="2"/>
      <c r="S171" s="2"/>
      <c r="T171" s="2"/>
    </row>
    <row r="172" spans="1:20">
      <c r="A172" s="2"/>
      <c r="B172" s="2"/>
      <c r="C172" s="2"/>
      <c r="D172" s="2"/>
      <c r="E172" s="2"/>
      <c r="F172" s="2"/>
      <c r="G172" s="2"/>
      <c r="H172" s="2"/>
      <c r="I172" s="2"/>
      <c r="J172" s="2"/>
      <c r="K172" s="2"/>
      <c r="L172" s="2"/>
      <c r="M172" s="2"/>
      <c r="N172" s="2"/>
      <c r="O172" s="2"/>
      <c r="P172" s="2"/>
      <c r="Q172" s="2"/>
      <c r="R172" s="2"/>
      <c r="S172" s="2"/>
      <c r="T172" s="2"/>
    </row>
    <row r="173" spans="1:20">
      <c r="A173" s="2"/>
      <c r="B173" s="2"/>
      <c r="C173" s="2"/>
      <c r="D173" s="2"/>
      <c r="E173" s="2"/>
      <c r="F173" s="2"/>
      <c r="G173" s="2"/>
      <c r="H173" s="2"/>
      <c r="I173" s="2"/>
      <c r="J173" s="2"/>
      <c r="K173" s="2"/>
      <c r="L173" s="2"/>
      <c r="M173" s="2"/>
      <c r="N173" s="2"/>
      <c r="O173" s="2"/>
      <c r="P173" s="2"/>
      <c r="Q173" s="2"/>
      <c r="R173" s="2"/>
      <c r="S173" s="2"/>
      <c r="T173" s="2"/>
    </row>
    <row r="174" spans="1:20">
      <c r="A174" s="2"/>
      <c r="B174" s="2"/>
      <c r="C174" s="2"/>
      <c r="D174" s="2"/>
      <c r="E174" s="2"/>
      <c r="F174" s="2"/>
      <c r="G174" s="2"/>
      <c r="H174" s="2"/>
      <c r="I174" s="2"/>
      <c r="J174" s="2"/>
      <c r="K174" s="2"/>
      <c r="L174" s="2"/>
      <c r="M174" s="2"/>
      <c r="N174" s="2"/>
      <c r="O174" s="2"/>
      <c r="P174" s="2"/>
      <c r="Q174" s="2"/>
      <c r="R174" s="2"/>
      <c r="S174" s="2"/>
      <c r="T174" s="2"/>
    </row>
    <row r="175" spans="1:20">
      <c r="A175" s="2"/>
      <c r="B175" s="2"/>
      <c r="C175" s="2"/>
      <c r="D175" s="2"/>
      <c r="E175" s="2"/>
      <c r="F175" s="2"/>
      <c r="G175" s="2"/>
      <c r="H175" s="2"/>
      <c r="I175" s="2"/>
      <c r="J175" s="2"/>
      <c r="K175" s="2"/>
      <c r="L175" s="2"/>
      <c r="M175" s="2"/>
      <c r="N175" s="2"/>
      <c r="O175" s="2"/>
      <c r="P175" s="2"/>
      <c r="Q175" s="2"/>
      <c r="R175" s="2"/>
      <c r="S175" s="2"/>
      <c r="T175" s="2"/>
    </row>
    <row r="176" spans="1:20">
      <c r="A176" s="2"/>
      <c r="B176" s="2"/>
      <c r="C176" s="2"/>
      <c r="D176" s="2"/>
      <c r="E176" s="2"/>
      <c r="F176" s="2"/>
      <c r="G176" s="2"/>
      <c r="H176" s="2"/>
      <c r="I176" s="2"/>
      <c r="J176" s="2"/>
      <c r="K176" s="2"/>
      <c r="L176" s="2"/>
      <c r="M176" s="2"/>
      <c r="N176" s="2"/>
      <c r="O176" s="2"/>
      <c r="P176" s="2"/>
      <c r="Q176" s="2"/>
      <c r="R176" s="2"/>
      <c r="S176" s="2"/>
      <c r="T176" s="2"/>
    </row>
    <row r="177" spans="1:20">
      <c r="A177" s="2"/>
      <c r="B177" s="2"/>
      <c r="C177" s="2"/>
      <c r="D177" s="2"/>
      <c r="E177" s="2"/>
      <c r="F177" s="2"/>
      <c r="G177" s="2"/>
      <c r="H177" s="2"/>
      <c r="I177" s="2"/>
      <c r="J177" s="2"/>
      <c r="K177" s="2"/>
      <c r="L177" s="2"/>
      <c r="M177" s="2"/>
      <c r="N177" s="2"/>
      <c r="O177" s="2"/>
      <c r="P177" s="2"/>
      <c r="Q177" s="2"/>
      <c r="R177" s="2"/>
      <c r="S177" s="2"/>
      <c r="T177" s="2"/>
    </row>
    <row r="178" spans="1:20">
      <c r="A178" s="2"/>
      <c r="B178" s="2"/>
      <c r="C178" s="2"/>
      <c r="D178" s="2"/>
      <c r="E178" s="2"/>
      <c r="F178" s="2"/>
      <c r="G178" s="2"/>
      <c r="H178" s="2"/>
      <c r="I178" s="2"/>
      <c r="J178" s="2"/>
      <c r="K178" s="2"/>
      <c r="L178" s="2"/>
      <c r="M178" s="2"/>
      <c r="N178" s="2"/>
      <c r="O178" s="2"/>
      <c r="P178" s="2"/>
      <c r="Q178" s="2"/>
      <c r="R178" s="2"/>
      <c r="S178" s="2"/>
      <c r="T178" s="2"/>
    </row>
    <row r="179" spans="1:20">
      <c r="A179" s="2"/>
      <c r="B179" s="2"/>
      <c r="C179" s="2"/>
      <c r="D179" s="2"/>
      <c r="E179" s="2"/>
      <c r="F179" s="2"/>
      <c r="G179" s="2"/>
      <c r="H179" s="2"/>
      <c r="I179" s="2"/>
      <c r="J179" s="2"/>
      <c r="K179" s="2"/>
      <c r="L179" s="2"/>
      <c r="M179" s="2"/>
      <c r="N179" s="2"/>
      <c r="O179" s="2"/>
      <c r="P179" s="2"/>
      <c r="Q179" s="2"/>
      <c r="R179" s="2"/>
      <c r="S179" s="2"/>
      <c r="T179" s="2"/>
    </row>
    <row r="180" spans="1:20">
      <c r="A180" s="2"/>
      <c r="B180" s="2"/>
      <c r="C180" s="2"/>
      <c r="D180" s="2"/>
      <c r="E180" s="2"/>
      <c r="F180" s="2"/>
      <c r="G180" s="2"/>
      <c r="H180" s="2"/>
      <c r="I180" s="2"/>
      <c r="J180" s="2"/>
      <c r="K180" s="2"/>
      <c r="L180" s="2"/>
      <c r="M180" s="2"/>
      <c r="N180" s="2"/>
      <c r="O180" s="2"/>
      <c r="P180" s="2"/>
      <c r="Q180" s="2"/>
      <c r="R180" s="2"/>
      <c r="S180" s="2"/>
      <c r="T180" s="2"/>
    </row>
    <row r="181" spans="1:20">
      <c r="A181" s="2"/>
      <c r="B181" s="2"/>
      <c r="C181" s="2"/>
      <c r="D181" s="2"/>
      <c r="E181" s="2"/>
      <c r="F181" s="2"/>
      <c r="G181" s="2"/>
      <c r="H181" s="2"/>
      <c r="I181" s="2"/>
      <c r="J181" s="2"/>
      <c r="K181" s="2"/>
      <c r="L181" s="2"/>
      <c r="M181" s="2"/>
      <c r="N181" s="2"/>
      <c r="O181" s="2"/>
      <c r="P181" s="2"/>
      <c r="Q181" s="2"/>
      <c r="R181" s="2"/>
      <c r="S181" s="2"/>
      <c r="T181" s="2"/>
    </row>
    <row r="182" spans="1:20">
      <c r="A182" s="2"/>
      <c r="B182" s="2"/>
      <c r="C182" s="2"/>
      <c r="D182" s="2"/>
      <c r="E182" s="2"/>
      <c r="F182" s="2"/>
      <c r="G182" s="2"/>
      <c r="H182" s="2"/>
      <c r="I182" s="2"/>
      <c r="J182" s="2"/>
      <c r="K182" s="2"/>
      <c r="L182" s="2"/>
      <c r="M182" s="2"/>
      <c r="N182" s="2"/>
      <c r="O182" s="2"/>
      <c r="P182" s="2"/>
      <c r="Q182" s="2"/>
      <c r="R182" s="2"/>
      <c r="S182" s="2"/>
      <c r="T182" s="2"/>
    </row>
    <row r="183" spans="1:20">
      <c r="A183" s="2"/>
      <c r="B183" s="2"/>
      <c r="C183" s="2"/>
      <c r="D183" s="2"/>
      <c r="E183" s="2"/>
      <c r="F183" s="2"/>
      <c r="G183" s="2"/>
      <c r="H183" s="2"/>
      <c r="I183" s="2"/>
      <c r="J183" s="2"/>
      <c r="K183" s="2"/>
      <c r="L183" s="2"/>
      <c r="M183" s="2"/>
      <c r="N183" s="2"/>
      <c r="O183" s="2"/>
      <c r="P183" s="2"/>
      <c r="Q183" s="2"/>
      <c r="R183" s="2"/>
      <c r="S183" s="2"/>
      <c r="T183" s="2"/>
    </row>
    <row r="184" spans="1:20">
      <c r="A184" s="2"/>
      <c r="B184" s="2"/>
      <c r="C184" s="2"/>
      <c r="D184" s="2"/>
      <c r="E184" s="2"/>
      <c r="F184" s="2"/>
      <c r="G184" s="2"/>
      <c r="H184" s="2"/>
      <c r="I184" s="2"/>
      <c r="J184" s="2"/>
      <c r="K184" s="2"/>
      <c r="L184" s="2"/>
      <c r="M184" s="2"/>
      <c r="N184" s="2"/>
      <c r="O184" s="2"/>
      <c r="P184" s="2"/>
      <c r="Q184" s="2"/>
      <c r="R184" s="2"/>
      <c r="S184" s="2"/>
      <c r="T184" s="2"/>
    </row>
    <row r="185" spans="1:20">
      <c r="A185" s="2"/>
      <c r="B185" s="2"/>
      <c r="C185" s="2"/>
      <c r="D185" s="2"/>
      <c r="E185" s="2"/>
      <c r="F185" s="2"/>
      <c r="G185" s="2"/>
      <c r="H185" s="2"/>
      <c r="I185" s="2"/>
      <c r="J185" s="2"/>
      <c r="K185" s="2"/>
      <c r="L185" s="2"/>
      <c r="M185" s="2"/>
      <c r="N185" s="2"/>
      <c r="O185" s="2"/>
      <c r="P185" s="2"/>
      <c r="Q185" s="2"/>
      <c r="R185" s="2"/>
      <c r="S185" s="2"/>
      <c r="T185" s="2"/>
    </row>
    <row r="186" spans="1:20">
      <c r="A186" s="2"/>
      <c r="B186" s="2"/>
      <c r="C186" s="2"/>
      <c r="D186" s="2"/>
      <c r="E186" s="2"/>
      <c r="F186" s="2"/>
      <c r="G186" s="2"/>
      <c r="H186" s="2"/>
      <c r="I186" s="2"/>
      <c r="J186" s="2"/>
      <c r="K186" s="2"/>
      <c r="L186" s="2"/>
      <c r="M186" s="2"/>
      <c r="N186" s="2"/>
      <c r="O186" s="2"/>
      <c r="P186" s="2"/>
      <c r="Q186" s="2"/>
      <c r="R186" s="2"/>
      <c r="S186" s="2"/>
      <c r="T186" s="2"/>
    </row>
    <row r="187" spans="1:20">
      <c r="A187" s="2"/>
      <c r="B187" s="2"/>
      <c r="C187" s="2"/>
      <c r="D187" s="2"/>
      <c r="E187" s="2"/>
      <c r="F187" s="2"/>
      <c r="G187" s="2"/>
      <c r="H187" s="2"/>
      <c r="I187" s="2"/>
      <c r="J187" s="2"/>
      <c r="K187" s="2"/>
      <c r="L187" s="2"/>
      <c r="M187" s="2"/>
      <c r="N187" s="2"/>
      <c r="O187" s="2"/>
      <c r="P187" s="2"/>
      <c r="Q187" s="2"/>
      <c r="R187" s="2"/>
      <c r="S187" s="2"/>
      <c r="T187" s="2"/>
    </row>
    <row r="188" spans="1:20">
      <c r="A188" s="2"/>
      <c r="B188" s="2"/>
      <c r="C188" s="2"/>
      <c r="D188" s="2"/>
      <c r="E188" s="2"/>
      <c r="F188" s="2"/>
      <c r="G188" s="2"/>
      <c r="H188" s="2"/>
      <c r="I188" s="2"/>
      <c r="J188" s="2"/>
      <c r="K188" s="2"/>
      <c r="L188" s="2"/>
      <c r="M188" s="2"/>
      <c r="N188" s="2"/>
      <c r="O188" s="2"/>
      <c r="P188" s="2"/>
      <c r="Q188" s="2"/>
      <c r="R188" s="2"/>
      <c r="S188" s="2"/>
      <c r="T188" s="2"/>
    </row>
    <row r="189" spans="1:20">
      <c r="A189" s="2"/>
      <c r="B189" s="2"/>
      <c r="C189" s="2"/>
      <c r="D189" s="2"/>
      <c r="E189" s="2"/>
      <c r="F189" s="2"/>
      <c r="G189" s="2"/>
      <c r="H189" s="2"/>
      <c r="I189" s="2"/>
      <c r="J189" s="2"/>
      <c r="K189" s="2"/>
      <c r="L189" s="2"/>
      <c r="M189" s="2"/>
      <c r="N189" s="2"/>
      <c r="O189" s="2"/>
      <c r="P189" s="2"/>
      <c r="Q189" s="2"/>
      <c r="R189" s="2"/>
      <c r="S189" s="2"/>
      <c r="T189" s="2"/>
    </row>
    <row r="190" spans="1:20">
      <c r="A190" s="2"/>
      <c r="B190" s="2"/>
      <c r="C190" s="2"/>
      <c r="D190" s="2"/>
      <c r="E190" s="2"/>
      <c r="F190" s="2"/>
      <c r="G190" s="2"/>
      <c r="H190" s="2"/>
      <c r="I190" s="2"/>
      <c r="J190" s="2"/>
      <c r="K190" s="2"/>
      <c r="L190" s="2"/>
      <c r="M190" s="2"/>
      <c r="N190" s="2"/>
      <c r="O190" s="2"/>
      <c r="P190" s="2"/>
      <c r="Q190" s="2"/>
      <c r="R190" s="2"/>
      <c r="S190" s="2"/>
      <c r="T190" s="2"/>
    </row>
    <row r="191" spans="1:20">
      <c r="A191" s="2"/>
      <c r="B191" s="2"/>
      <c r="C191" s="2"/>
      <c r="D191" s="2"/>
      <c r="E191" s="2"/>
      <c r="F191" s="2"/>
      <c r="G191" s="2"/>
      <c r="H191" s="2"/>
      <c r="I191" s="2"/>
      <c r="J191" s="2"/>
      <c r="K191" s="2"/>
      <c r="L191" s="2"/>
      <c r="M191" s="2"/>
      <c r="N191" s="2"/>
      <c r="O191" s="2"/>
      <c r="P191" s="2"/>
      <c r="Q191" s="2"/>
      <c r="R191" s="2"/>
      <c r="S191" s="2"/>
      <c r="T191" s="2"/>
    </row>
    <row r="192" spans="1:20">
      <c r="A192" s="2"/>
      <c r="B192" s="2"/>
      <c r="C192" s="2"/>
      <c r="D192" s="2"/>
      <c r="E192" s="2"/>
      <c r="F192" s="2"/>
      <c r="G192" s="2"/>
      <c r="H192" s="2"/>
      <c r="I192" s="2"/>
      <c r="J192" s="2"/>
      <c r="K192" s="2"/>
      <c r="L192" s="2"/>
      <c r="M192" s="2"/>
      <c r="N192" s="2"/>
      <c r="O192" s="2"/>
      <c r="P192" s="2"/>
      <c r="Q192" s="2"/>
      <c r="R192" s="2"/>
      <c r="S192" s="2"/>
      <c r="T192" s="2"/>
    </row>
    <row r="193" spans="1:20">
      <c r="A193" s="2"/>
      <c r="B193" s="2"/>
      <c r="C193" s="2"/>
      <c r="D193" s="2"/>
      <c r="E193" s="2"/>
      <c r="F193" s="2"/>
      <c r="G193" s="2"/>
      <c r="H193" s="2"/>
      <c r="I193" s="2"/>
      <c r="J193" s="2"/>
      <c r="K193" s="2"/>
      <c r="L193" s="2"/>
      <c r="M193" s="2"/>
      <c r="N193" s="2"/>
      <c r="O193" s="2"/>
      <c r="P193" s="2"/>
      <c r="Q193" s="2"/>
      <c r="R193" s="2"/>
      <c r="S193" s="2"/>
      <c r="T193" s="2"/>
    </row>
    <row r="194" spans="1:20">
      <c r="A194" s="2"/>
      <c r="B194" s="2"/>
      <c r="C194" s="2"/>
      <c r="D194" s="2"/>
      <c r="E194" s="2"/>
      <c r="F194" s="2"/>
      <c r="G194" s="2"/>
      <c r="H194" s="2"/>
      <c r="I194" s="2"/>
      <c r="J194" s="2"/>
      <c r="K194" s="2"/>
      <c r="L194" s="2"/>
      <c r="M194" s="2"/>
      <c r="N194" s="2"/>
      <c r="O194" s="2"/>
      <c r="P194" s="2"/>
      <c r="Q194" s="2"/>
      <c r="R194" s="2"/>
      <c r="S194" s="2"/>
      <c r="T194" s="2"/>
    </row>
    <row r="195" spans="1:20">
      <c r="A195" s="2"/>
      <c r="B195" s="2"/>
      <c r="C195" s="2"/>
      <c r="D195" s="2"/>
      <c r="E195" s="2"/>
      <c r="F195" s="2"/>
      <c r="G195" s="2"/>
      <c r="H195" s="2"/>
      <c r="I195" s="2"/>
      <c r="J195" s="2"/>
      <c r="K195" s="2"/>
      <c r="L195" s="2"/>
      <c r="M195" s="2"/>
      <c r="N195" s="2"/>
      <c r="O195" s="2"/>
      <c r="P195" s="2"/>
      <c r="Q195" s="2"/>
      <c r="R195" s="2"/>
      <c r="S195" s="2"/>
      <c r="T195" s="2"/>
    </row>
    <row r="196" spans="1:20">
      <c r="A196" s="2"/>
      <c r="B196" s="2"/>
      <c r="C196" s="2"/>
      <c r="D196" s="2"/>
      <c r="E196" s="2"/>
      <c r="F196" s="2"/>
      <c r="G196" s="2"/>
      <c r="H196" s="2"/>
      <c r="I196" s="2"/>
      <c r="J196" s="2"/>
      <c r="K196" s="2"/>
      <c r="L196" s="2"/>
      <c r="M196" s="2"/>
      <c r="N196" s="2"/>
      <c r="O196" s="2"/>
      <c r="P196" s="2"/>
      <c r="Q196" s="2"/>
      <c r="R196" s="2"/>
      <c r="S196" s="2"/>
      <c r="T196" s="2"/>
    </row>
    <row r="197" spans="1:20">
      <c r="A197" s="2"/>
      <c r="B197" s="2"/>
      <c r="C197" s="2"/>
      <c r="D197" s="2"/>
      <c r="E197" s="2"/>
      <c r="F197" s="2"/>
      <c r="G197" s="2"/>
      <c r="H197" s="2"/>
      <c r="I197" s="2"/>
      <c r="J197" s="2"/>
      <c r="K197" s="2"/>
      <c r="L197" s="2"/>
      <c r="M197" s="2"/>
      <c r="N197" s="2"/>
      <c r="O197" s="2"/>
      <c r="P197" s="2"/>
      <c r="Q197" s="2"/>
      <c r="R197" s="2"/>
      <c r="S197" s="2"/>
      <c r="T197" s="2"/>
    </row>
    <row r="198" spans="1:20">
      <c r="A198" s="2"/>
      <c r="B198" s="2"/>
      <c r="C198" s="2"/>
      <c r="D198" s="2"/>
      <c r="E198" s="2"/>
      <c r="F198" s="2"/>
      <c r="G198" s="2"/>
      <c r="H198" s="2"/>
      <c r="I198" s="2"/>
      <c r="J198" s="2"/>
      <c r="K198" s="2"/>
      <c r="L198" s="2"/>
      <c r="M198" s="2"/>
      <c r="N198" s="2"/>
      <c r="O198" s="2"/>
      <c r="P198" s="2"/>
      <c r="Q198" s="2"/>
      <c r="R198" s="2"/>
      <c r="S198" s="2"/>
      <c r="T198" s="2"/>
    </row>
    <row r="199" spans="1:20">
      <c r="A199" s="2"/>
      <c r="B199" s="2"/>
      <c r="C199" s="2"/>
      <c r="D199" s="2"/>
      <c r="E199" s="2"/>
      <c r="F199" s="2"/>
      <c r="G199" s="2"/>
      <c r="H199" s="2"/>
      <c r="I199" s="2"/>
      <c r="J199" s="2"/>
      <c r="K199" s="2"/>
      <c r="L199" s="2"/>
      <c r="M199" s="2"/>
      <c r="N199" s="2"/>
      <c r="O199" s="2"/>
      <c r="P199" s="2"/>
      <c r="Q199" s="2"/>
      <c r="R199" s="2"/>
      <c r="S199" s="2"/>
      <c r="T199" s="2"/>
    </row>
    <row r="200" spans="1:20">
      <c r="A200" s="2"/>
      <c r="B200" s="2"/>
      <c r="C200" s="2"/>
      <c r="D200" s="2"/>
      <c r="E200" s="2"/>
      <c r="F200" s="2"/>
      <c r="G200" s="2"/>
      <c r="H200" s="2"/>
      <c r="I200" s="2"/>
      <c r="J200" s="2"/>
      <c r="K200" s="2"/>
      <c r="L200" s="2"/>
      <c r="M200" s="2"/>
      <c r="N200" s="2"/>
      <c r="O200" s="2"/>
      <c r="P200" s="2"/>
      <c r="Q200" s="2"/>
      <c r="R200" s="2"/>
      <c r="S200" s="2"/>
      <c r="T200" s="2"/>
    </row>
    <row r="201" spans="1:20">
      <c r="A201" s="2"/>
      <c r="B201" s="2"/>
      <c r="C201" s="2"/>
      <c r="D201" s="2"/>
      <c r="E201" s="2"/>
      <c r="F201" s="2"/>
      <c r="G201" s="2"/>
      <c r="H201" s="2"/>
      <c r="I201" s="2"/>
      <c r="J201" s="2"/>
      <c r="K201" s="2"/>
      <c r="L201" s="2"/>
      <c r="M201" s="2"/>
      <c r="N201" s="2"/>
      <c r="O201" s="2"/>
      <c r="P201" s="2"/>
      <c r="Q201" s="2"/>
      <c r="R201" s="2"/>
      <c r="S201" s="2"/>
      <c r="T201" s="2"/>
    </row>
    <row r="202" spans="1:20">
      <c r="A202" s="2"/>
      <c r="B202" s="2"/>
      <c r="C202" s="2"/>
      <c r="D202" s="2"/>
      <c r="E202" s="2"/>
      <c r="F202" s="2"/>
      <c r="G202" s="2"/>
      <c r="H202" s="2"/>
      <c r="I202" s="2"/>
      <c r="J202" s="2"/>
      <c r="K202" s="2"/>
      <c r="L202" s="2"/>
      <c r="M202" s="2"/>
      <c r="N202" s="2"/>
      <c r="O202" s="2"/>
      <c r="P202" s="2"/>
      <c r="Q202" s="2"/>
      <c r="R202" s="2"/>
      <c r="S202" s="2"/>
      <c r="T202" s="2"/>
    </row>
    <row r="203" spans="1:20">
      <c r="A203" s="2"/>
      <c r="B203" s="2"/>
      <c r="C203" s="2"/>
      <c r="D203" s="2"/>
      <c r="E203" s="2"/>
      <c r="F203" s="2"/>
      <c r="G203" s="2"/>
      <c r="H203" s="2"/>
      <c r="I203" s="2"/>
      <c r="J203" s="2"/>
      <c r="K203" s="2"/>
      <c r="L203" s="2"/>
      <c r="M203" s="2"/>
      <c r="N203" s="2"/>
      <c r="O203" s="2"/>
      <c r="P203" s="2"/>
      <c r="Q203" s="2"/>
      <c r="R203" s="2"/>
      <c r="S203" s="2"/>
      <c r="T203" s="2"/>
    </row>
    <row r="204" spans="1:20">
      <c r="A204" s="2"/>
      <c r="B204" s="2"/>
      <c r="C204" s="2"/>
      <c r="D204" s="2"/>
      <c r="E204" s="2"/>
      <c r="F204" s="2"/>
      <c r="G204" s="2"/>
      <c r="H204" s="2"/>
      <c r="I204" s="2"/>
      <c r="J204" s="2"/>
      <c r="K204" s="2"/>
      <c r="L204" s="2"/>
      <c r="M204" s="2"/>
      <c r="N204" s="2"/>
      <c r="O204" s="2"/>
      <c r="P204" s="2"/>
      <c r="Q204" s="2"/>
      <c r="R204" s="2"/>
      <c r="S204" s="2"/>
      <c r="T204" s="2"/>
    </row>
    <row r="205" spans="1:20">
      <c r="A205" s="2"/>
      <c r="B205" s="2"/>
      <c r="C205" s="2"/>
      <c r="D205" s="2"/>
      <c r="E205" s="2"/>
      <c r="F205" s="2"/>
      <c r="G205" s="2"/>
      <c r="H205" s="2"/>
      <c r="I205" s="2"/>
      <c r="J205" s="2"/>
      <c r="K205" s="2"/>
      <c r="L205" s="2"/>
      <c r="M205" s="2"/>
      <c r="N205" s="2"/>
      <c r="O205" s="2"/>
      <c r="P205" s="2"/>
      <c r="Q205" s="2"/>
      <c r="R205" s="2"/>
      <c r="S205" s="2"/>
      <c r="T205" s="2"/>
    </row>
    <row r="206" spans="1:20">
      <c r="A206" s="2"/>
      <c r="B206" s="2"/>
      <c r="C206" s="2"/>
      <c r="D206" s="2"/>
      <c r="E206" s="2"/>
      <c r="F206" s="2"/>
      <c r="G206" s="2"/>
      <c r="H206" s="2"/>
      <c r="I206" s="2"/>
      <c r="J206" s="2"/>
      <c r="K206" s="2"/>
      <c r="L206" s="2"/>
      <c r="M206" s="2"/>
      <c r="N206" s="2"/>
      <c r="O206" s="2"/>
      <c r="P206" s="2"/>
      <c r="Q206" s="2"/>
      <c r="R206" s="2"/>
      <c r="S206" s="2"/>
      <c r="T206" s="2"/>
    </row>
    <row r="207" spans="1:20">
      <c r="A207" s="2"/>
      <c r="B207" s="2"/>
      <c r="C207" s="2"/>
      <c r="D207" s="2"/>
      <c r="E207" s="2"/>
      <c r="F207" s="2"/>
      <c r="G207" s="2"/>
      <c r="H207" s="2"/>
      <c r="I207" s="2"/>
      <c r="J207" s="2"/>
      <c r="K207" s="2"/>
      <c r="L207" s="2"/>
      <c r="M207" s="2"/>
      <c r="N207" s="2"/>
      <c r="O207" s="2"/>
      <c r="P207" s="2"/>
      <c r="Q207" s="2"/>
      <c r="R207" s="2"/>
      <c r="S207" s="2"/>
      <c r="T207" s="2"/>
    </row>
    <row r="208" spans="1:20">
      <c r="A208" s="2"/>
      <c r="B208" s="2"/>
      <c r="C208" s="2"/>
      <c r="D208" s="2"/>
      <c r="E208" s="2"/>
      <c r="F208" s="2"/>
      <c r="G208" s="2"/>
      <c r="H208" s="2"/>
      <c r="I208" s="2"/>
      <c r="J208" s="2"/>
      <c r="K208" s="2"/>
      <c r="L208" s="2"/>
      <c r="M208" s="2"/>
      <c r="N208" s="2"/>
      <c r="O208" s="2"/>
      <c r="P208" s="2"/>
      <c r="Q208" s="2"/>
      <c r="R208" s="2"/>
      <c r="S208" s="2"/>
      <c r="T208" s="2"/>
    </row>
    <row r="209" spans="1:20">
      <c r="A209" s="2"/>
      <c r="B209" s="2"/>
      <c r="C209" s="2"/>
      <c r="D209" s="2"/>
      <c r="E209" s="2"/>
      <c r="F209" s="2"/>
      <c r="G209" s="2"/>
      <c r="H209" s="2"/>
      <c r="I209" s="2"/>
      <c r="J209" s="2"/>
      <c r="K209" s="2"/>
      <c r="L209" s="2"/>
      <c r="M209" s="2"/>
      <c r="N209" s="2"/>
      <c r="O209" s="2"/>
      <c r="P209" s="2"/>
      <c r="Q209" s="2"/>
      <c r="R209" s="2"/>
      <c r="S209" s="2"/>
      <c r="T209" s="2"/>
    </row>
    <row r="210" spans="1:20">
      <c r="A210" s="2"/>
      <c r="B210" s="2"/>
      <c r="C210" s="2"/>
      <c r="D210" s="2"/>
      <c r="E210" s="2"/>
      <c r="F210" s="2"/>
      <c r="G210" s="2"/>
      <c r="H210" s="2"/>
      <c r="I210" s="2"/>
      <c r="J210" s="2"/>
      <c r="K210" s="2"/>
      <c r="L210" s="2"/>
      <c r="M210" s="2"/>
      <c r="N210" s="2"/>
      <c r="O210" s="2"/>
      <c r="P210" s="2"/>
      <c r="Q210" s="2"/>
      <c r="R210" s="2"/>
      <c r="S210" s="2"/>
      <c r="T210" s="2"/>
    </row>
    <row r="211" spans="1:20">
      <c r="A211" s="2"/>
      <c r="B211" s="2"/>
      <c r="C211" s="2"/>
      <c r="D211" s="2"/>
      <c r="E211" s="2"/>
      <c r="F211" s="2"/>
      <c r="G211" s="2"/>
      <c r="H211" s="2"/>
      <c r="I211" s="2"/>
      <c r="J211" s="2"/>
      <c r="K211" s="2"/>
      <c r="L211" s="2"/>
      <c r="M211" s="2"/>
      <c r="N211" s="2"/>
      <c r="O211" s="2"/>
      <c r="P211" s="2"/>
      <c r="Q211" s="2"/>
      <c r="R211" s="2"/>
      <c r="S211" s="2"/>
      <c r="T211" s="2"/>
    </row>
    <row r="212" spans="1:20">
      <c r="A212" s="2"/>
      <c r="B212" s="2"/>
      <c r="C212" s="2"/>
      <c r="D212" s="2"/>
      <c r="E212" s="2"/>
      <c r="F212" s="2"/>
      <c r="G212" s="2"/>
      <c r="H212" s="2"/>
      <c r="I212" s="2"/>
      <c r="J212" s="2"/>
      <c r="K212" s="2"/>
      <c r="L212" s="2"/>
      <c r="M212" s="2"/>
      <c r="N212" s="2"/>
      <c r="O212" s="2"/>
      <c r="P212" s="2"/>
      <c r="Q212" s="2"/>
      <c r="R212" s="2"/>
      <c r="S212" s="2"/>
      <c r="T212" s="2"/>
    </row>
    <row r="213" spans="1:20">
      <c r="A213" s="2"/>
      <c r="B213" s="2"/>
      <c r="C213" s="2"/>
      <c r="D213" s="2"/>
      <c r="E213" s="2"/>
      <c r="F213" s="2"/>
      <c r="G213" s="2"/>
      <c r="H213" s="2"/>
      <c r="I213" s="2"/>
      <c r="J213" s="2"/>
      <c r="K213" s="2"/>
      <c r="L213" s="2"/>
      <c r="M213" s="2"/>
      <c r="N213" s="2"/>
      <c r="O213" s="2"/>
      <c r="P213" s="2"/>
      <c r="Q213" s="2"/>
      <c r="R213" s="2"/>
      <c r="S213" s="2"/>
      <c r="T213" s="2"/>
    </row>
    <row r="214" spans="1:20">
      <c r="A214" s="2"/>
      <c r="B214" s="2"/>
      <c r="C214" s="2"/>
      <c r="D214" s="2"/>
      <c r="E214" s="2"/>
      <c r="F214" s="2"/>
      <c r="G214" s="2"/>
      <c r="H214" s="2"/>
      <c r="I214" s="2"/>
      <c r="J214" s="2"/>
      <c r="K214" s="2"/>
      <c r="L214" s="2"/>
      <c r="M214" s="2"/>
      <c r="N214" s="2"/>
      <c r="O214" s="2"/>
      <c r="P214" s="2"/>
      <c r="Q214" s="2"/>
      <c r="R214" s="2"/>
      <c r="S214" s="2"/>
      <c r="T214" s="2"/>
    </row>
    <row r="215" spans="1:20">
      <c r="A215" s="2"/>
      <c r="B215" s="2"/>
      <c r="C215" s="2"/>
      <c r="D215" s="2"/>
      <c r="E215" s="2"/>
      <c r="F215" s="2"/>
      <c r="G215" s="2"/>
      <c r="H215" s="2"/>
      <c r="I215" s="2"/>
      <c r="J215" s="2"/>
      <c r="K215" s="2"/>
      <c r="L215" s="2"/>
      <c r="M215" s="2"/>
      <c r="N215" s="2"/>
      <c r="O215" s="2"/>
      <c r="P215" s="2"/>
      <c r="Q215" s="2"/>
      <c r="R215" s="2"/>
      <c r="S215" s="2"/>
      <c r="T215" s="2"/>
    </row>
    <row r="216" spans="1:20">
      <c r="A216" s="2"/>
      <c r="B216" s="2"/>
      <c r="C216" s="2"/>
      <c r="D216" s="2"/>
      <c r="E216" s="2"/>
      <c r="F216" s="2"/>
      <c r="G216" s="2"/>
      <c r="H216" s="2"/>
      <c r="I216" s="2"/>
      <c r="J216" s="2"/>
      <c r="K216" s="2"/>
      <c r="L216" s="2"/>
      <c r="M216" s="2"/>
      <c r="N216" s="2"/>
      <c r="O216" s="2"/>
      <c r="P216" s="2"/>
      <c r="Q216" s="2"/>
      <c r="R216" s="2"/>
      <c r="S216" s="2"/>
      <c r="T216" s="2"/>
    </row>
    <row r="217" spans="1:20">
      <c r="A217" s="2"/>
      <c r="B217" s="2"/>
      <c r="C217" s="2"/>
      <c r="D217" s="2"/>
      <c r="E217" s="2"/>
      <c r="F217" s="2"/>
      <c r="G217" s="2"/>
      <c r="H217" s="2"/>
      <c r="I217" s="2"/>
      <c r="J217" s="2"/>
      <c r="K217" s="2"/>
      <c r="L217" s="2"/>
      <c r="M217" s="2"/>
      <c r="N217" s="2"/>
      <c r="O217" s="2"/>
      <c r="P217" s="2"/>
      <c r="Q217" s="2"/>
      <c r="R217" s="2"/>
      <c r="S217" s="2"/>
      <c r="T217" s="2"/>
    </row>
    <row r="218" spans="1:20">
      <c r="A218" s="2"/>
      <c r="B218" s="2"/>
      <c r="C218" s="2"/>
      <c r="D218" s="2"/>
      <c r="E218" s="2"/>
      <c r="F218" s="2"/>
      <c r="G218" s="2"/>
      <c r="H218" s="2"/>
      <c r="I218" s="2"/>
      <c r="J218" s="2"/>
      <c r="K218" s="2"/>
      <c r="L218" s="2"/>
      <c r="M218" s="2"/>
      <c r="N218" s="2"/>
      <c r="O218" s="2"/>
      <c r="P218" s="2"/>
      <c r="Q218" s="2"/>
      <c r="R218" s="2"/>
      <c r="S218" s="2"/>
      <c r="T218" s="2"/>
    </row>
    <row r="219" spans="1:20">
      <c r="A219" s="2"/>
      <c r="B219" s="2"/>
      <c r="C219" s="2"/>
      <c r="D219" s="2"/>
      <c r="E219" s="2"/>
      <c r="F219" s="2"/>
      <c r="G219" s="2"/>
      <c r="H219" s="2"/>
      <c r="I219" s="2"/>
      <c r="J219" s="2"/>
      <c r="K219" s="2"/>
      <c r="L219" s="2"/>
      <c r="M219" s="2"/>
      <c r="N219" s="2"/>
      <c r="O219" s="2"/>
      <c r="P219" s="2"/>
      <c r="Q219" s="2"/>
      <c r="R219" s="2"/>
      <c r="S219" s="2"/>
      <c r="T219" s="2"/>
    </row>
    <row r="220" spans="1:20">
      <c r="A220" s="2"/>
      <c r="B220" s="2"/>
      <c r="C220" s="2"/>
      <c r="D220" s="2"/>
      <c r="E220" s="2"/>
      <c r="F220" s="2"/>
      <c r="G220" s="2"/>
      <c r="H220" s="2"/>
      <c r="I220" s="2"/>
      <c r="J220" s="2"/>
      <c r="K220" s="2"/>
      <c r="L220" s="2"/>
      <c r="M220" s="2"/>
      <c r="N220" s="2"/>
      <c r="O220" s="2"/>
      <c r="P220" s="2"/>
      <c r="Q220" s="2"/>
      <c r="R220" s="2"/>
      <c r="S220" s="2"/>
      <c r="T220" s="2"/>
    </row>
    <row r="221" spans="1:20">
      <c r="A221" s="2"/>
      <c r="B221" s="2"/>
      <c r="C221" s="2"/>
      <c r="D221" s="2"/>
      <c r="E221" s="2"/>
      <c r="F221" s="2"/>
      <c r="G221" s="2"/>
      <c r="H221" s="2"/>
      <c r="I221" s="2"/>
      <c r="J221" s="2"/>
      <c r="K221" s="2"/>
      <c r="L221" s="2"/>
      <c r="M221" s="2"/>
      <c r="N221" s="2"/>
      <c r="O221" s="2"/>
      <c r="P221" s="2"/>
      <c r="Q221" s="2"/>
      <c r="R221" s="2"/>
      <c r="S221" s="2"/>
      <c r="T221" s="2"/>
    </row>
    <row r="222" spans="1:20">
      <c r="A222" s="2"/>
      <c r="B222" s="2"/>
      <c r="C222" s="2"/>
      <c r="D222" s="2"/>
      <c r="E222" s="2"/>
      <c r="F222" s="2"/>
      <c r="G222" s="2"/>
      <c r="H222" s="2"/>
      <c r="I222" s="2"/>
      <c r="J222" s="2"/>
      <c r="K222" s="2"/>
      <c r="L222" s="2"/>
      <c r="M222" s="2"/>
      <c r="N222" s="2"/>
      <c r="O222" s="2"/>
      <c r="P222" s="2"/>
      <c r="Q222" s="2"/>
      <c r="R222" s="2"/>
      <c r="S222" s="2"/>
      <c r="T222" s="2"/>
    </row>
    <row r="223" spans="1:20">
      <c r="A223" s="2"/>
      <c r="B223" s="2"/>
      <c r="C223" s="2"/>
      <c r="D223" s="2"/>
      <c r="E223" s="2"/>
      <c r="F223" s="2"/>
      <c r="G223" s="2"/>
      <c r="H223" s="2"/>
      <c r="I223" s="2"/>
      <c r="J223" s="2"/>
      <c r="K223" s="2"/>
      <c r="L223" s="2"/>
      <c r="M223" s="2"/>
      <c r="N223" s="2"/>
      <c r="O223" s="2"/>
      <c r="P223" s="2"/>
      <c r="Q223" s="2"/>
      <c r="R223" s="2"/>
      <c r="S223" s="2"/>
      <c r="T223" s="2"/>
    </row>
    <row r="224" spans="1:20">
      <c r="A224" s="2"/>
      <c r="B224" s="2"/>
      <c r="C224" s="2"/>
      <c r="D224" s="2"/>
      <c r="E224" s="2"/>
      <c r="F224" s="2"/>
      <c r="G224" s="2"/>
      <c r="H224" s="2"/>
      <c r="I224" s="2"/>
      <c r="J224" s="2"/>
      <c r="K224" s="2"/>
      <c r="L224" s="2"/>
      <c r="M224" s="2"/>
      <c r="N224" s="2"/>
      <c r="O224" s="2"/>
      <c r="P224" s="2"/>
      <c r="Q224" s="2"/>
      <c r="R224" s="2"/>
      <c r="S224" s="2"/>
      <c r="T224" s="2"/>
    </row>
    <row r="225" spans="1:20">
      <c r="A225" s="2"/>
      <c r="B225" s="2"/>
      <c r="C225" s="2"/>
      <c r="D225" s="2"/>
      <c r="E225" s="2"/>
      <c r="F225" s="2"/>
      <c r="G225" s="2"/>
      <c r="H225" s="2"/>
      <c r="I225" s="2"/>
      <c r="J225" s="2"/>
      <c r="K225" s="2"/>
      <c r="L225" s="2"/>
      <c r="M225" s="2"/>
      <c r="N225" s="2"/>
      <c r="O225" s="2"/>
      <c r="P225" s="2"/>
      <c r="Q225" s="2"/>
      <c r="R225" s="2"/>
      <c r="S225" s="2"/>
      <c r="T225" s="2"/>
    </row>
    <row r="226" spans="1:20">
      <c r="A226" s="2"/>
      <c r="B226" s="2"/>
      <c r="C226" s="2"/>
      <c r="D226" s="2"/>
      <c r="E226" s="2"/>
      <c r="F226" s="2"/>
      <c r="G226" s="2"/>
      <c r="H226" s="2"/>
      <c r="I226" s="2"/>
      <c r="J226" s="2"/>
      <c r="K226" s="2"/>
      <c r="L226" s="2"/>
      <c r="M226" s="2"/>
      <c r="N226" s="2"/>
      <c r="O226" s="2"/>
      <c r="P226" s="2"/>
      <c r="Q226" s="2"/>
      <c r="R226" s="2"/>
      <c r="S226" s="2"/>
      <c r="T226" s="2"/>
    </row>
    <row r="227" spans="1:20">
      <c r="A227" s="2"/>
      <c r="B227" s="2"/>
      <c r="C227" s="2"/>
      <c r="D227" s="2"/>
      <c r="E227" s="2"/>
      <c r="F227" s="2"/>
      <c r="G227" s="2"/>
      <c r="H227" s="2"/>
      <c r="I227" s="2"/>
      <c r="J227" s="2"/>
      <c r="K227" s="2"/>
      <c r="L227" s="2"/>
      <c r="M227" s="2"/>
      <c r="N227" s="2"/>
      <c r="O227" s="2"/>
      <c r="P227" s="2"/>
      <c r="Q227" s="2"/>
      <c r="R227" s="2"/>
      <c r="S227" s="2"/>
      <c r="T227" s="2"/>
    </row>
    <row r="228" spans="1:20">
      <c r="A228" s="2"/>
      <c r="B228" s="2"/>
      <c r="C228" s="2"/>
      <c r="D228" s="2"/>
      <c r="E228" s="2"/>
      <c r="F228" s="2"/>
      <c r="G228" s="2"/>
      <c r="H228" s="2"/>
      <c r="I228" s="2"/>
      <c r="J228" s="2"/>
      <c r="K228" s="2"/>
      <c r="L228" s="2"/>
      <c r="M228" s="2"/>
      <c r="N228" s="2"/>
      <c r="O228" s="2"/>
      <c r="P228" s="2"/>
      <c r="Q228" s="2"/>
      <c r="R228" s="2"/>
      <c r="S228" s="2"/>
      <c r="T228" s="2"/>
    </row>
    <row r="229" spans="1:20">
      <c r="A229" s="2"/>
      <c r="B229" s="2"/>
      <c r="C229" s="2"/>
      <c r="D229" s="2"/>
      <c r="E229" s="2"/>
      <c r="F229" s="2"/>
      <c r="G229" s="2"/>
      <c r="H229" s="2"/>
      <c r="I229" s="2"/>
      <c r="J229" s="2"/>
      <c r="K229" s="2"/>
      <c r="L229" s="2"/>
      <c r="M229" s="2"/>
      <c r="N229" s="2"/>
      <c r="O229" s="2"/>
      <c r="P229" s="2"/>
      <c r="Q229" s="2"/>
      <c r="R229" s="2"/>
      <c r="S229" s="2"/>
      <c r="T229" s="2"/>
    </row>
    <row r="230" spans="1:20">
      <c r="A230" s="2"/>
      <c r="B230" s="2"/>
      <c r="C230" s="2"/>
      <c r="D230" s="2"/>
      <c r="E230" s="2"/>
      <c r="F230" s="2"/>
      <c r="G230" s="2"/>
      <c r="H230" s="2"/>
      <c r="I230" s="2"/>
      <c r="J230" s="2"/>
      <c r="K230" s="2"/>
      <c r="L230" s="2"/>
      <c r="M230" s="2"/>
      <c r="N230" s="2"/>
      <c r="O230" s="2"/>
      <c r="P230" s="2"/>
      <c r="Q230" s="2"/>
      <c r="R230" s="2"/>
      <c r="S230" s="2"/>
      <c r="T230" s="2"/>
    </row>
    <row r="231" spans="1:20">
      <c r="A231" s="2"/>
      <c r="B231" s="2"/>
      <c r="C231" s="2"/>
      <c r="D231" s="2"/>
      <c r="E231" s="2"/>
      <c r="F231" s="2"/>
      <c r="G231" s="2"/>
      <c r="H231" s="2"/>
      <c r="I231" s="2"/>
      <c r="J231" s="2"/>
      <c r="K231" s="2"/>
      <c r="L231" s="2"/>
      <c r="M231" s="2"/>
      <c r="N231" s="2"/>
      <c r="O231" s="2"/>
      <c r="P231" s="2"/>
      <c r="Q231" s="2"/>
      <c r="R231" s="2"/>
      <c r="S231" s="2"/>
      <c r="T231" s="2"/>
    </row>
    <row r="232" spans="1:20">
      <c r="A232" s="2"/>
      <c r="B232" s="2"/>
      <c r="C232" s="2"/>
      <c r="D232" s="2"/>
      <c r="E232" s="2"/>
      <c r="F232" s="2"/>
      <c r="G232" s="2"/>
      <c r="H232" s="2"/>
      <c r="I232" s="2"/>
      <c r="J232" s="2"/>
      <c r="K232" s="2"/>
      <c r="L232" s="2"/>
      <c r="M232" s="2"/>
      <c r="N232" s="2"/>
      <c r="O232" s="2"/>
      <c r="P232" s="2"/>
      <c r="Q232" s="2"/>
      <c r="R232" s="2"/>
      <c r="S232" s="2"/>
      <c r="T232" s="2"/>
    </row>
  </sheetData>
  <phoneticPr fontId="5" type="noConversion"/>
  <printOptions horizontalCentered="1"/>
  <pageMargins left="0.5" right="0.5" top="3" bottom="0.5" header="1.5" footer="0.5"/>
  <pageSetup scale="54" fitToWidth="2" fitToHeight="2" pageOrder="overThenDown" orientation="landscape"/>
  <headerFooter alignWithMargins="0">
    <oddHeader>&amp;R&amp;"Arial,Bold"Schedule &amp;A
Page &amp;P of &amp;N&amp;C&amp;B
2025 RATE CASE
ONCOR ELECTRIC DELIVERY COMPANY LLC
II-D-1.1  MONTHLY O&amp;&amp;M EXPENSE
TEST YEAR ENDING DECEMBER 31, 2024
SPONSOR: R. PRACHYL</oddHeader>
  </headerFooter>
  <rowBreaks count="2" manualBreakCount="2">
    <brk id="38" max="20" man="1"/>
    <brk id="69" max="20" man="1"/>
  </rowBreaks>
  <colBreaks count="1" manualBreakCount="1">
    <brk id="11" min="13" max="100"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0000"/>
  </sheetPr>
  <dimension ref="A1:Z146"/>
  <sheetViews>
    <sheetView tabSelected="1" zoomScale="85" zoomScaleNormal="85" workbookViewId="0">
      <pane xSplit="2" ySplit="14" topLeftCell="C15" activePane="bottomRight" state="frozen"/>
      <selection activeCell="N38" sqref="N38"/>
      <selection pane="topRight" activeCell="N38" sqref="N38"/>
      <selection pane="bottomLeft" activeCell="N38" sqref="N38"/>
      <selection pane="bottomRight" activeCell="C15" sqref="C15"/>
    </sheetView>
  </sheetViews>
  <sheetFormatPr defaultColWidth="9.140625" defaultRowHeight="12.75" customHeight="1"/>
  <cols>
    <col min="1" max="1" width="5.7109375" style="31" customWidth="1"/>
    <col min="2" max="2" width="8.7109375" style="33" customWidth="1"/>
    <col min="3" max="3" width="46.5703125" style="33" customWidth="1"/>
    <col min="4" max="4" width="10.5703125" style="33" customWidth="1"/>
    <col min="5" max="5" width="18.28515625" style="33" bestFit="1" customWidth="1"/>
    <col min="6" max="6" width="14.42578125" style="33" bestFit="1" customWidth="1"/>
    <col min="7" max="7" width="17.28515625" style="33" bestFit="1" customWidth="1"/>
    <col min="8" max="8" width="15.28515625" style="33" bestFit="1" customWidth="1"/>
    <col min="9" max="9" width="16" style="33" bestFit="1" customWidth="1"/>
    <col min="10" max="10" width="16.5703125" style="33" bestFit="1" customWidth="1"/>
    <col min="11" max="11" width="10.28515625" style="33" bestFit="1" customWidth="1"/>
    <col min="12" max="12" width="15.140625" style="37" bestFit="1" customWidth="1"/>
    <col min="13" max="13" width="4.5703125" style="33" customWidth="1"/>
    <col min="14" max="14" width="6.85546875" style="37" bestFit="1" customWidth="1"/>
    <col min="15" max="15" width="15.28515625" style="33" bestFit="1" customWidth="1"/>
    <col min="16" max="18" width="15.28515625" style="33" customWidth="1"/>
    <col min="19" max="19" width="15.28515625" style="33" bestFit="1" customWidth="1"/>
    <col min="20" max="21" width="15.28515625" style="33" customWidth="1"/>
    <col min="22" max="22" width="15.28515625" style="33" bestFit="1" customWidth="1"/>
    <col min="23" max="23" width="13.7109375" style="33" bestFit="1" customWidth="1"/>
    <col min="24" max="24" width="19.85546875" style="33" bestFit="1" customWidth="1"/>
    <col min="25" max="25" width="9.28515625" style="33" bestFit="1" customWidth="1"/>
    <col min="26" max="26" width="17" style="33" bestFit="1" customWidth="1"/>
    <col min="27" max="16384" width="9.140625" style="33"/>
  </cols>
  <sheetData>
    <row r="1" spans="1:24" ht="12.75" customHeight="1">
      <c r="A1" s="35" t="str">
        <f>+'[3]Input Data'!$A$9</f>
        <v>2025 RATE CASE</v>
      </c>
    </row>
    <row r="2" spans="1:24">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c r="A3" s="7" t="str">
        <f>CONCATENATE('[3]Schedule Sponsors'!$A$53,'[3]Schedule Sponsors'!$B$53)</f>
        <v>II-D-2   A&amp;&amp;G EXPENSES</v>
      </c>
      <c r="B3" s="4"/>
      <c r="D3" s="31"/>
      <c r="E3" s="31"/>
      <c r="F3" s="31"/>
      <c r="G3" s="34"/>
      <c r="H3" s="31"/>
      <c r="I3" s="31"/>
      <c r="J3" s="31"/>
      <c r="K3" s="31"/>
      <c r="L3" s="32"/>
      <c r="M3" s="31"/>
      <c r="N3" s="32"/>
      <c r="O3" s="28"/>
      <c r="P3" s="28"/>
      <c r="Q3" s="28"/>
      <c r="R3" s="28"/>
      <c r="S3" s="31"/>
      <c r="T3" s="31"/>
      <c r="U3" s="31"/>
      <c r="V3" s="31"/>
      <c r="W3" s="31"/>
      <c r="X3" s="31"/>
    </row>
    <row r="4" spans="1:24">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c r="A5" s="7" t="str">
        <f>CONCATENATE("SPONSOR: ",'[3]Schedule Sponsors'!$D$53)</f>
        <v>SPONSOR: R. PRACHYL</v>
      </c>
      <c r="B5" s="4"/>
      <c r="D5" s="31"/>
      <c r="E5" s="31"/>
      <c r="F5" s="31"/>
      <c r="G5" s="31"/>
      <c r="H5" s="31"/>
      <c r="I5" s="31"/>
      <c r="J5" s="31"/>
      <c r="K5" s="31"/>
      <c r="L5" s="32"/>
      <c r="M5" s="31"/>
      <c r="N5" s="32"/>
      <c r="O5" s="31"/>
      <c r="P5" s="31"/>
      <c r="Q5" s="31"/>
      <c r="R5" s="31"/>
      <c r="S5" s="31"/>
      <c r="T5" s="31"/>
      <c r="U5" s="31"/>
      <c r="V5" s="31"/>
      <c r="W5" s="31"/>
      <c r="X5" s="31"/>
    </row>
    <row r="6" spans="1:24">
      <c r="B6" s="4"/>
      <c r="D6" s="31"/>
      <c r="E6" s="31"/>
      <c r="F6" s="31"/>
      <c r="G6" s="31"/>
      <c r="H6" s="31"/>
      <c r="I6" s="31"/>
      <c r="J6" s="31"/>
      <c r="K6" s="31"/>
      <c r="L6" s="32"/>
      <c r="M6" s="31"/>
      <c r="N6" s="32"/>
      <c r="O6" s="31"/>
      <c r="P6" s="31"/>
      <c r="Q6" s="31"/>
      <c r="R6" s="31"/>
      <c r="S6" s="31"/>
      <c r="T6" s="31"/>
      <c r="U6" s="31"/>
      <c r="V6" s="31"/>
      <c r="W6" s="31"/>
      <c r="X6" s="31"/>
    </row>
    <row r="7" spans="1:24">
      <c r="B7" s="4"/>
      <c r="D7" s="31"/>
      <c r="E7" s="31"/>
      <c r="F7" s="31"/>
      <c r="G7" s="31"/>
      <c r="H7" s="31"/>
      <c r="I7" s="31"/>
      <c r="J7" s="31"/>
      <c r="K7" s="31"/>
      <c r="L7" s="32"/>
      <c r="M7" s="31"/>
      <c r="N7" s="32"/>
      <c r="O7" s="31"/>
      <c r="P7" s="31"/>
      <c r="Q7" s="31"/>
      <c r="R7" s="31"/>
      <c r="S7" s="31"/>
      <c r="T7" s="31"/>
      <c r="U7" s="31"/>
      <c r="V7" s="31"/>
      <c r="W7" s="31"/>
      <c r="X7" s="31"/>
    </row>
    <row r="8" spans="1:24">
      <c r="B8" s="35"/>
      <c r="C8" s="31"/>
      <c r="D8" s="31"/>
      <c r="E8" s="31"/>
      <c r="F8" s="31"/>
      <c r="G8" s="31"/>
      <c r="H8" s="31"/>
      <c r="I8" s="31"/>
      <c r="J8" s="31"/>
      <c r="K8" s="31"/>
      <c r="L8" s="32"/>
      <c r="M8" s="31"/>
      <c r="N8" s="32"/>
      <c r="O8" s="31"/>
      <c r="P8" s="31"/>
      <c r="Q8" s="31"/>
      <c r="R8" s="31"/>
      <c r="S8" s="31"/>
      <c r="T8" s="31"/>
      <c r="U8" s="31"/>
      <c r="V8" s="31"/>
      <c r="W8" s="31"/>
      <c r="X8" s="31"/>
    </row>
    <row r="9" spans="1:24" ht="13.5" thickBot="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ht="15" customHeight="1">
      <c r="A15" s="16">
        <v>1</v>
      </c>
      <c r="B15" s="8" t="s">
        <v>187</v>
      </c>
      <c r="D15" s="18" t="s">
        <v>42</v>
      </c>
      <c r="E15" s="19"/>
      <c r="F15" s="19"/>
      <c r="G15" s="19"/>
      <c r="H15" s="19"/>
      <c r="I15" s="19"/>
      <c r="J15" s="19"/>
      <c r="K15" s="19"/>
      <c r="L15" s="19"/>
      <c r="M15" s="18"/>
      <c r="N15" s="25"/>
      <c r="O15" s="19"/>
      <c r="P15" s="19"/>
      <c r="Q15" s="19"/>
      <c r="R15" s="19"/>
      <c r="S15" s="19"/>
      <c r="T15" s="19"/>
      <c r="U15" s="19"/>
      <c r="V15" s="19"/>
      <c r="W15" s="19"/>
    </row>
    <row r="16" spans="1:24" s="8" customFormat="1" ht="15" customHeight="1">
      <c r="A16" s="16">
        <v>2</v>
      </c>
      <c r="D16" s="18"/>
      <c r="E16" s="19"/>
      <c r="F16" s="19"/>
      <c r="G16" s="19"/>
      <c r="H16" s="19"/>
      <c r="I16" s="19"/>
      <c r="J16" s="19"/>
      <c r="K16" s="19"/>
      <c r="L16" s="19"/>
      <c r="M16" s="18"/>
      <c r="N16" s="25"/>
      <c r="O16" s="19"/>
      <c r="P16" s="19"/>
      <c r="Q16" s="19"/>
      <c r="R16" s="19"/>
      <c r="S16" s="19"/>
      <c r="T16" s="19"/>
      <c r="U16" s="19"/>
      <c r="V16" s="19"/>
      <c r="W16" s="19"/>
    </row>
    <row r="17" spans="1:26" s="4" customFormat="1" ht="15" customHeight="1">
      <c r="A17" s="16">
        <v>3</v>
      </c>
      <c r="B17" s="4" t="s">
        <v>269</v>
      </c>
      <c r="C17" s="4" t="s">
        <v>337</v>
      </c>
      <c r="D17" s="16"/>
      <c r="E17" s="150">
        <v>133795210.46999998</v>
      </c>
      <c r="F17" s="150">
        <f>ROUND('II-D-2.1'!Q17,2)</f>
        <v>0</v>
      </c>
      <c r="G17" s="150">
        <v>0</v>
      </c>
      <c r="H17" s="150">
        <f>+E17-F17-G17</f>
        <v>133795210.46999998</v>
      </c>
      <c r="I17" s="150">
        <f>+'II-D-2.1'!T17</f>
        <v>1395352.1700000002</v>
      </c>
      <c r="J17" s="150">
        <f>+H17+I17</f>
        <v>135190562.63999999</v>
      </c>
      <c r="K17" s="153">
        <v>1</v>
      </c>
      <c r="L17" s="150">
        <f>+J17*K17</f>
        <v>135190562.63999999</v>
      </c>
      <c r="M17" s="16"/>
      <c r="N17" s="16"/>
      <c r="O17" s="150">
        <f>ROUND(+'[1]Total Summary'!C64+'[2]Total Summary'!D65,2)</f>
        <v>28160828.239999998</v>
      </c>
      <c r="P17" s="150">
        <f>ROUND(+'[1]Total Summary'!D64+'[2]Total Summary'!E65,2)</f>
        <v>0</v>
      </c>
      <c r="Q17" s="150">
        <f>ROUND(+'[1]Total Summary'!E64+'[2]Total Summary'!F65,2)</f>
        <v>0</v>
      </c>
      <c r="R17" s="150">
        <f t="shared" ref="R17" si="0">SUM(O17:Q17)</f>
        <v>28160828.239999998</v>
      </c>
      <c r="S17" s="150">
        <f>ROUND(+'[1]Total Summary'!G64+'[2]Total Summary'!H65,2)</f>
        <v>67366206.069999993</v>
      </c>
      <c r="T17" s="150">
        <f>ROUND(+'[1]Total Summary'!H64+'[2]Total Summary'!I65,2)</f>
        <v>0</v>
      </c>
      <c r="U17" s="150">
        <f t="shared" ref="U17" si="1">SUM(S17:T17)</f>
        <v>67366206.069999993</v>
      </c>
      <c r="V17" s="150">
        <f>ROUND(+'[1]Total Summary'!J64+'[2]Total Summary'!K65,2)</f>
        <v>18757103.199999999</v>
      </c>
      <c r="W17" s="150">
        <f>ROUND(+'[1]Total Summary'!K64+'[2]Total Summary'!L65,2)</f>
        <v>20906425.129999999</v>
      </c>
      <c r="X17" s="150">
        <f>+R17+U17+V17+W17</f>
        <v>135190562.63999999</v>
      </c>
      <c r="Y17" s="4" t="b">
        <f>X17=L17</f>
        <v>1</v>
      </c>
      <c r="Z17" s="111">
        <f t="shared" ref="Z17:Z27" si="2">ROUND(+L17,2)-ROUND(X17,2)</f>
        <v>0</v>
      </c>
    </row>
    <row r="18" spans="1:26" s="4" customFormat="1" ht="15" customHeight="1">
      <c r="A18" s="16">
        <v>4</v>
      </c>
      <c r="B18" s="4" t="s">
        <v>270</v>
      </c>
      <c r="C18" s="4" t="s">
        <v>338</v>
      </c>
      <c r="D18" s="16"/>
      <c r="E18" s="13">
        <v>16585814.069999997</v>
      </c>
      <c r="F18" s="13">
        <f>ROUND('II-D-2.1'!Q18,2)</f>
        <v>0</v>
      </c>
      <c r="G18" s="13">
        <v>0</v>
      </c>
      <c r="H18" s="13">
        <f t="shared" ref="H18:H29" si="3">+E18-F18-G18</f>
        <v>16585814.069999997</v>
      </c>
      <c r="I18" s="13">
        <f>+'II-D-2.1'!T18</f>
        <v>-2351765.3100000005</v>
      </c>
      <c r="J18" s="13">
        <f t="shared" ref="J18:J29" si="4">+H18+I18</f>
        <v>14234048.759999996</v>
      </c>
      <c r="K18" s="153">
        <v>1</v>
      </c>
      <c r="L18" s="13">
        <f t="shared" ref="L18:L29" si="5">+J18*K18</f>
        <v>14234048.759999996</v>
      </c>
      <c r="M18" s="16"/>
      <c r="N18" s="16"/>
      <c r="O18" s="13">
        <f>ROUND(+'[1]Total Summary'!C65+'[2]Total Summary'!D66,2)</f>
        <v>3697105.77</v>
      </c>
      <c r="P18" s="13">
        <f>ROUND(+'[1]Total Summary'!D65+'[2]Total Summary'!E66,2)</f>
        <v>18786.099999999999</v>
      </c>
      <c r="Q18" s="13">
        <f>ROUND(+'[1]Total Summary'!E65+'[2]Total Summary'!F66,2)</f>
        <v>0</v>
      </c>
      <c r="R18" s="13">
        <f t="shared" ref="R18:R29" si="6">SUM(O18:Q18)</f>
        <v>3715891.87</v>
      </c>
      <c r="S18" s="13">
        <f>ROUND(+'[1]Total Summary'!G65+'[2]Total Summary'!H66,2)</f>
        <v>7078296.0300000003</v>
      </c>
      <c r="T18" s="13">
        <f>ROUND(+'[1]Total Summary'!H65+'[2]Total Summary'!I66,2)</f>
        <v>1161.76</v>
      </c>
      <c r="U18" s="13">
        <f t="shared" ref="U18:U29" si="7">SUM(S18:T18)</f>
        <v>7079457.79</v>
      </c>
      <c r="V18" s="13">
        <f>ROUND(+'[1]Total Summary'!J65+'[2]Total Summary'!K66,2)</f>
        <v>1847804.75</v>
      </c>
      <c r="W18" s="13">
        <f>ROUND(+'[1]Total Summary'!K65+'[2]Total Summary'!L66,2)</f>
        <v>1590894.35</v>
      </c>
      <c r="X18" s="20">
        <f t="shared" ref="X18:X29" si="8">+R18+U18+V18+W18</f>
        <v>14234048.76</v>
      </c>
      <c r="Y18" s="4" t="b">
        <f t="shared" ref="Y18:Y35" si="9">X18=L18</f>
        <v>1</v>
      </c>
      <c r="Z18" s="111">
        <f t="shared" si="2"/>
        <v>0</v>
      </c>
    </row>
    <row r="19" spans="1:26" s="4" customFormat="1" ht="15" customHeight="1">
      <c r="A19" s="16">
        <v>5</v>
      </c>
      <c r="B19" s="4" t="s">
        <v>271</v>
      </c>
      <c r="C19" s="4" t="s">
        <v>339</v>
      </c>
      <c r="D19" s="16"/>
      <c r="E19" s="13">
        <v>0</v>
      </c>
      <c r="F19" s="13">
        <f>ROUND('II-D-2.1'!Q19,2)</f>
        <v>0</v>
      </c>
      <c r="G19" s="13">
        <v>0</v>
      </c>
      <c r="H19" s="13">
        <f t="shared" si="3"/>
        <v>0</v>
      </c>
      <c r="I19" s="13">
        <f>+'II-D-2.1'!T19</f>
        <v>0</v>
      </c>
      <c r="J19" s="13">
        <f t="shared" si="4"/>
        <v>0</v>
      </c>
      <c r="K19" s="153">
        <v>1</v>
      </c>
      <c r="L19" s="13">
        <f t="shared" si="5"/>
        <v>0</v>
      </c>
      <c r="M19" s="16"/>
      <c r="N19" s="16"/>
      <c r="O19" s="13">
        <f>ROUND(+'[1]Total Summary'!C66+'[2]Total Summary'!D67,2)</f>
        <v>0</v>
      </c>
      <c r="P19" s="13">
        <f>ROUND(+'[1]Total Summary'!D66+'[2]Total Summary'!E67,2)</f>
        <v>0</v>
      </c>
      <c r="Q19" s="13">
        <f>ROUND(+'[1]Total Summary'!E66+'[2]Total Summary'!F67,2)</f>
        <v>0</v>
      </c>
      <c r="R19" s="13">
        <f t="shared" si="6"/>
        <v>0</v>
      </c>
      <c r="S19" s="13">
        <f>ROUND(+'[1]Total Summary'!G66+'[2]Total Summary'!H67,2)</f>
        <v>0</v>
      </c>
      <c r="T19" s="13">
        <f>ROUND(+'[1]Total Summary'!H66+'[2]Total Summary'!I67,2)</f>
        <v>0</v>
      </c>
      <c r="U19" s="13">
        <f t="shared" si="7"/>
        <v>0</v>
      </c>
      <c r="V19" s="13">
        <f>ROUND(+'[1]Total Summary'!J66+'[2]Total Summary'!K67,2)</f>
        <v>0</v>
      </c>
      <c r="W19" s="13">
        <f>ROUND(+'[1]Total Summary'!K66+'[2]Total Summary'!L67,2)</f>
        <v>0</v>
      </c>
      <c r="X19" s="20">
        <f t="shared" si="8"/>
        <v>0</v>
      </c>
      <c r="Y19" s="4" t="b">
        <f t="shared" si="9"/>
        <v>1</v>
      </c>
      <c r="Z19" s="111">
        <f t="shared" si="2"/>
        <v>0</v>
      </c>
    </row>
    <row r="20" spans="1:26" s="4" customFormat="1" ht="15" customHeight="1">
      <c r="A20" s="16">
        <v>6</v>
      </c>
      <c r="B20" s="4" t="s">
        <v>272</v>
      </c>
      <c r="C20" s="23" t="s">
        <v>340</v>
      </c>
      <c r="D20" s="16"/>
      <c r="E20" s="13">
        <v>130896627.95999995</v>
      </c>
      <c r="F20" s="13">
        <v>0</v>
      </c>
      <c r="G20" s="13">
        <v>0</v>
      </c>
      <c r="H20" s="13">
        <f t="shared" si="3"/>
        <v>130896627.95999995</v>
      </c>
      <c r="I20" s="13">
        <f>+'II-D-2.1'!T20</f>
        <v>6993077.2299999995</v>
      </c>
      <c r="J20" s="13">
        <f t="shared" si="4"/>
        <v>137889705.18999994</v>
      </c>
      <c r="K20" s="153">
        <v>1</v>
      </c>
      <c r="L20" s="13">
        <f t="shared" si="5"/>
        <v>137889705.18999994</v>
      </c>
      <c r="M20" s="16"/>
      <c r="N20" s="16"/>
      <c r="O20" s="13">
        <f>ROUND(+'[1]Total Summary'!C67+'[2]Total Summary'!D68,2)</f>
        <v>32036965.960000001</v>
      </c>
      <c r="P20" s="13">
        <f>ROUND(+'[1]Total Summary'!D67+'[2]Total Summary'!E68,2)</f>
        <v>1640400.42</v>
      </c>
      <c r="Q20" s="13">
        <f>ROUND(+'[1]Total Summary'!E67+'[2]Total Summary'!F68,2)</f>
        <v>0</v>
      </c>
      <c r="R20" s="13">
        <f t="shared" si="6"/>
        <v>33677366.380000003</v>
      </c>
      <c r="S20" s="13">
        <f>ROUND(+'[1]Total Summary'!G67+'[2]Total Summary'!H68,2)</f>
        <v>88216475.980000004</v>
      </c>
      <c r="T20" s="13">
        <f>ROUND(+'[1]Total Summary'!H67+'[2]Total Summary'!I68,2)</f>
        <v>163611.25</v>
      </c>
      <c r="U20" s="13">
        <f t="shared" si="7"/>
        <v>88380087.230000004</v>
      </c>
      <c r="V20" s="13">
        <f>ROUND(+'[1]Total Summary'!J67+'[2]Total Summary'!K68,2)</f>
        <v>9942399.8599999994</v>
      </c>
      <c r="W20" s="13">
        <f>ROUND(+'[1]Total Summary'!K67+'[2]Total Summary'!L68,2)</f>
        <v>5889851.7199999997</v>
      </c>
      <c r="X20" s="20">
        <f t="shared" si="8"/>
        <v>137889705.19000003</v>
      </c>
      <c r="Y20" s="4" t="b">
        <f t="shared" si="9"/>
        <v>1</v>
      </c>
      <c r="Z20" s="111">
        <f t="shared" si="2"/>
        <v>0</v>
      </c>
    </row>
    <row r="21" spans="1:26" s="4" customFormat="1" ht="15" customHeight="1">
      <c r="A21" s="16">
        <v>7</v>
      </c>
      <c r="B21" s="4" t="s">
        <v>273</v>
      </c>
      <c r="C21" s="4" t="s">
        <v>341</v>
      </c>
      <c r="D21" s="16"/>
      <c r="E21" s="13">
        <v>242627938.78999999</v>
      </c>
      <c r="F21" s="13">
        <v>0</v>
      </c>
      <c r="G21" s="13">
        <v>0</v>
      </c>
      <c r="H21" s="13">
        <f t="shared" si="3"/>
        <v>242627938.78999999</v>
      </c>
      <c r="I21" s="13">
        <f>+'II-D-2.1'!T21</f>
        <v>370231108.33999997</v>
      </c>
      <c r="J21" s="13">
        <f t="shared" si="4"/>
        <v>612859047.13</v>
      </c>
      <c r="K21" s="153">
        <v>1</v>
      </c>
      <c r="L21" s="13">
        <f t="shared" si="5"/>
        <v>612859047.13</v>
      </c>
      <c r="M21" s="16"/>
      <c r="N21" s="16"/>
      <c r="O21" s="13">
        <f>ROUND(+'[1]Total Summary'!C68+'[2]Total Summary'!D69,2)</f>
        <v>29964915.23</v>
      </c>
      <c r="P21" s="13">
        <f>ROUND(+'[1]Total Summary'!D68+'[2]Total Summary'!E69,2)</f>
        <v>1429179.76</v>
      </c>
      <c r="Q21" s="13">
        <f>ROUND(+'[1]Total Summary'!E68+'[2]Total Summary'!F69,2)</f>
        <v>0</v>
      </c>
      <c r="R21" s="13">
        <f t="shared" si="6"/>
        <v>31394094.990000002</v>
      </c>
      <c r="S21" s="13">
        <f>ROUND(+'[1]Total Summary'!G68+'[2]Total Summary'!H69,2)</f>
        <v>581464952.13999999</v>
      </c>
      <c r="T21" s="13">
        <f>ROUND(+'[1]Total Summary'!H68+'[2]Total Summary'!I69,2)</f>
        <v>0</v>
      </c>
      <c r="U21" s="13">
        <f t="shared" si="7"/>
        <v>581464952.13999999</v>
      </c>
      <c r="V21" s="13">
        <f>ROUND(+'[1]Total Summary'!J68+'[2]Total Summary'!K69,2)</f>
        <v>0</v>
      </c>
      <c r="W21" s="13">
        <f>ROUND(+'[1]Total Summary'!K68+'[2]Total Summary'!L69,2)</f>
        <v>0</v>
      </c>
      <c r="X21" s="20">
        <f t="shared" si="8"/>
        <v>612859047.13</v>
      </c>
      <c r="Y21" s="4" t="b">
        <f t="shared" si="9"/>
        <v>1</v>
      </c>
      <c r="Z21" s="111">
        <f t="shared" si="2"/>
        <v>0</v>
      </c>
    </row>
    <row r="22" spans="1:26" s="4" customFormat="1" ht="15" customHeight="1">
      <c r="A22" s="16">
        <v>8</v>
      </c>
      <c r="B22" s="4" t="s">
        <v>274</v>
      </c>
      <c r="C22" s="4" t="s">
        <v>160</v>
      </c>
      <c r="D22" s="16"/>
      <c r="E22" s="13">
        <v>55785739.399999999</v>
      </c>
      <c r="F22" s="13">
        <v>0</v>
      </c>
      <c r="G22" s="13">
        <v>0</v>
      </c>
      <c r="H22" s="13">
        <f t="shared" si="3"/>
        <v>55785739.399999999</v>
      </c>
      <c r="I22" s="13">
        <f>+'II-D-2.1'!T22</f>
        <v>29460489.599999998</v>
      </c>
      <c r="J22" s="13">
        <f t="shared" si="4"/>
        <v>85246229</v>
      </c>
      <c r="K22" s="153">
        <v>1</v>
      </c>
      <c r="L22" s="13">
        <f t="shared" si="5"/>
        <v>85246229</v>
      </c>
      <c r="M22" s="16"/>
      <c r="N22" s="16"/>
      <c r="O22" s="13">
        <f>ROUND(+'[1]Total Summary'!C69+'[2]Total Summary'!D70,2)</f>
        <v>25394121.420000002</v>
      </c>
      <c r="P22" s="13">
        <f>ROUND(+'[1]Total Summary'!D69+'[2]Total Summary'!E70,2)</f>
        <v>0</v>
      </c>
      <c r="Q22" s="13">
        <f>ROUND(+'[1]Total Summary'!E69+'[2]Total Summary'!F70,2)</f>
        <v>0</v>
      </c>
      <c r="R22" s="13">
        <f t="shared" si="6"/>
        <v>25394121.420000002</v>
      </c>
      <c r="S22" s="13">
        <f>ROUND(+'[1]Total Summary'!G69+'[2]Total Summary'!H70,2)</f>
        <v>59852107.579999998</v>
      </c>
      <c r="T22" s="13">
        <f>ROUND(+'[1]Total Summary'!H69+'[2]Total Summary'!I70,2)</f>
        <v>0</v>
      </c>
      <c r="U22" s="13">
        <f t="shared" si="7"/>
        <v>59852107.579999998</v>
      </c>
      <c r="V22" s="13">
        <f>ROUND(+'[1]Total Summary'!J69+'[2]Total Summary'!K70,2)</f>
        <v>0</v>
      </c>
      <c r="W22" s="13">
        <f>ROUND(+'[1]Total Summary'!K69+'[2]Total Summary'!L70,2)</f>
        <v>0</v>
      </c>
      <c r="X22" s="20">
        <f t="shared" si="8"/>
        <v>85246229</v>
      </c>
      <c r="Y22" s="4" t="b">
        <f t="shared" si="9"/>
        <v>1</v>
      </c>
      <c r="Z22" s="111">
        <f t="shared" si="2"/>
        <v>0</v>
      </c>
    </row>
    <row r="23" spans="1:26" s="4" customFormat="1" ht="15" customHeight="1">
      <c r="A23" s="16">
        <v>9</v>
      </c>
      <c r="B23" s="4" t="s">
        <v>275</v>
      </c>
      <c r="C23" s="4" t="s">
        <v>28</v>
      </c>
      <c r="D23" s="16"/>
      <c r="E23" s="13">
        <v>92481916.810000032</v>
      </c>
      <c r="F23" s="13">
        <v>0</v>
      </c>
      <c r="G23" s="13">
        <v>0</v>
      </c>
      <c r="H23" s="13">
        <f t="shared" si="3"/>
        <v>92481916.810000032</v>
      </c>
      <c r="I23" s="13">
        <f>+'II-D-2.1'!T23</f>
        <v>-11606145.93</v>
      </c>
      <c r="J23" s="13">
        <f t="shared" si="4"/>
        <v>80875770.880000025</v>
      </c>
      <c r="K23" s="153">
        <v>1</v>
      </c>
      <c r="L23" s="13">
        <f t="shared" si="5"/>
        <v>80875770.880000025</v>
      </c>
      <c r="M23" s="16"/>
      <c r="N23" s="16"/>
      <c r="O23" s="13">
        <f>ROUND(+'[1]Total Summary'!C70+'[2]Total Summary'!D71,2)</f>
        <v>17829400.59</v>
      </c>
      <c r="P23" s="13">
        <f>ROUND(+'[1]Total Summary'!D70+'[2]Total Summary'!E71,2)</f>
        <v>0</v>
      </c>
      <c r="Q23" s="13">
        <f>ROUND(+'[1]Total Summary'!E70+'[2]Total Summary'!F71,2)</f>
        <v>0</v>
      </c>
      <c r="R23" s="13">
        <f t="shared" si="6"/>
        <v>17829400.59</v>
      </c>
      <c r="S23" s="13">
        <f>+L23-O23-P23-Q23-T23-V23-W23</f>
        <v>41617959.450000018</v>
      </c>
      <c r="T23" s="13">
        <f>ROUND(+'[1]Total Summary'!H70+'[2]Total Summary'!I71,2)</f>
        <v>0</v>
      </c>
      <c r="U23" s="13">
        <f t="shared" si="7"/>
        <v>41617959.450000018</v>
      </c>
      <c r="V23" s="13">
        <f>ROUND(+'[1]Total Summary'!J70+'[2]Total Summary'!K71,2)</f>
        <v>15432223.109999999</v>
      </c>
      <c r="W23" s="13">
        <f>ROUND(+'[1]Total Summary'!K70+'[2]Total Summary'!L71,2)</f>
        <v>5996187.7300000004</v>
      </c>
      <c r="X23" s="20">
        <f t="shared" si="8"/>
        <v>80875770.880000025</v>
      </c>
      <c r="Y23" s="4" t="b">
        <f t="shared" si="9"/>
        <v>1</v>
      </c>
      <c r="Z23" s="103">
        <f>+L23-X23</f>
        <v>0</v>
      </c>
    </row>
    <row r="24" spans="1:26" s="4" customFormat="1" ht="15" customHeight="1">
      <c r="A24" s="16">
        <v>10</v>
      </c>
      <c r="B24" s="4" t="s">
        <v>276</v>
      </c>
      <c r="C24" s="4" t="s">
        <v>127</v>
      </c>
      <c r="D24" s="16"/>
      <c r="E24" s="13">
        <v>6685777.5699999994</v>
      </c>
      <c r="F24" s="13">
        <v>0</v>
      </c>
      <c r="G24" s="13">
        <v>0</v>
      </c>
      <c r="H24" s="13">
        <f t="shared" si="3"/>
        <v>6685777.5699999994</v>
      </c>
      <c r="I24" s="13">
        <f>+'II-D-2.1'!T24</f>
        <v>-4561010.7799999993</v>
      </c>
      <c r="J24" s="13">
        <f t="shared" si="4"/>
        <v>2124766.79</v>
      </c>
      <c r="K24" s="153">
        <v>1</v>
      </c>
      <c r="L24" s="13">
        <f t="shared" si="5"/>
        <v>2124766.79</v>
      </c>
      <c r="M24" s="16"/>
      <c r="N24" s="16"/>
      <c r="O24" s="13">
        <f>ROUND(+'[1]Total Summary'!C71+'[2]Total Summary'!D72,2)</f>
        <v>0</v>
      </c>
      <c r="P24" s="13">
        <f>ROUND(+'[1]Total Summary'!D71+'[2]Total Summary'!E72,2)</f>
        <v>209845.6</v>
      </c>
      <c r="Q24" s="13">
        <f>ROUND(+'[1]Total Summary'!E71+'[2]Total Summary'!F72,2)</f>
        <v>0</v>
      </c>
      <c r="R24" s="13">
        <f t="shared" si="6"/>
        <v>209845.6</v>
      </c>
      <c r="S24" s="13">
        <f>ROUND(+'[1]Total Summary'!G71+'[2]Total Summary'!H72,2)</f>
        <v>1604197.31</v>
      </c>
      <c r="T24" s="13">
        <f>ROUND(+'[1]Total Summary'!H71+'[2]Total Summary'!I72,2)</f>
        <v>310723.88</v>
      </c>
      <c r="U24" s="13">
        <f t="shared" si="7"/>
        <v>1914921.19</v>
      </c>
      <c r="V24" s="13">
        <f>ROUND(+'[1]Total Summary'!J71+'[2]Total Summary'!K72,2)</f>
        <v>0</v>
      </c>
      <c r="W24" s="13">
        <f>ROUND(+'[1]Total Summary'!K71+'[2]Total Summary'!L72,2)</f>
        <v>0</v>
      </c>
      <c r="X24" s="20">
        <f t="shared" si="8"/>
        <v>2124766.79</v>
      </c>
      <c r="Y24" s="4" t="b">
        <f t="shared" si="9"/>
        <v>1</v>
      </c>
      <c r="Z24" s="111">
        <f t="shared" si="2"/>
        <v>0</v>
      </c>
    </row>
    <row r="25" spans="1:26" s="4" customFormat="1" ht="15" customHeight="1">
      <c r="A25" s="16">
        <v>11</v>
      </c>
      <c r="B25" s="30" t="s">
        <v>289</v>
      </c>
      <c r="C25" s="4" t="s">
        <v>29</v>
      </c>
      <c r="D25" s="16"/>
      <c r="E25" s="13">
        <v>789677.28999999992</v>
      </c>
      <c r="F25" s="13">
        <v>0</v>
      </c>
      <c r="G25" s="13">
        <v>0</v>
      </c>
      <c r="H25" s="13">
        <f t="shared" si="3"/>
        <v>789677.28999999992</v>
      </c>
      <c r="I25" s="13">
        <f>+'II-D-2.1'!T25</f>
        <v>-20015</v>
      </c>
      <c r="J25" s="13">
        <f t="shared" si="4"/>
        <v>769662.28999999992</v>
      </c>
      <c r="K25" s="153">
        <v>1</v>
      </c>
      <c r="L25" s="13">
        <f t="shared" si="5"/>
        <v>769662.28999999992</v>
      </c>
      <c r="M25" s="16"/>
      <c r="N25" s="16"/>
      <c r="O25" s="13">
        <f>ROUND(+'[1]Total Summary'!C72+'[2]Total Summary'!D73,2)</f>
        <v>56149.42</v>
      </c>
      <c r="P25" s="13">
        <f>ROUND(+'[1]Total Summary'!D72+'[2]Total Summary'!E73,2)</f>
        <v>0</v>
      </c>
      <c r="Q25" s="13">
        <f>ROUND(+'[1]Total Summary'!E72+'[2]Total Summary'!F73,2)</f>
        <v>0</v>
      </c>
      <c r="R25" s="13">
        <f t="shared" si="6"/>
        <v>56149.42</v>
      </c>
      <c r="S25" s="13">
        <f>ROUND(+'[1]Total Summary'!G72+'[2]Total Summary'!H73,2)</f>
        <v>160617.35</v>
      </c>
      <c r="T25" s="13">
        <f>ROUND(+'[1]Total Summary'!H72+'[2]Total Summary'!I73,2)</f>
        <v>0</v>
      </c>
      <c r="U25" s="13">
        <f t="shared" si="7"/>
        <v>160617.35</v>
      </c>
      <c r="V25" s="13">
        <f>ROUND(+'[1]Total Summary'!J72+'[2]Total Summary'!K73,2)</f>
        <v>41937.22</v>
      </c>
      <c r="W25" s="13">
        <f>ROUND(+'[1]Total Summary'!K72+'[2]Total Summary'!L73,2)</f>
        <v>510958.3</v>
      </c>
      <c r="X25" s="20">
        <f t="shared" si="8"/>
        <v>769662.29</v>
      </c>
      <c r="Y25" s="4" t="b">
        <f t="shared" si="9"/>
        <v>1</v>
      </c>
      <c r="Z25" s="111">
        <f t="shared" si="2"/>
        <v>0</v>
      </c>
    </row>
    <row r="26" spans="1:26" s="4" customFormat="1" ht="15" customHeight="1">
      <c r="A26" s="16">
        <v>12</v>
      </c>
      <c r="B26" s="30" t="s">
        <v>288</v>
      </c>
      <c r="C26" s="4" t="s">
        <v>153</v>
      </c>
      <c r="D26" s="16"/>
      <c r="E26" s="13">
        <v>17845950.600000005</v>
      </c>
      <c r="F26" s="13">
        <v>0</v>
      </c>
      <c r="G26" s="13">
        <v>0</v>
      </c>
      <c r="H26" s="13">
        <f t="shared" si="3"/>
        <v>17845950.600000005</v>
      </c>
      <c r="I26" s="13">
        <f>+'II-D-2.1'!T26</f>
        <v>5455993.7299999995</v>
      </c>
      <c r="J26" s="13">
        <f t="shared" si="4"/>
        <v>23301944.330000006</v>
      </c>
      <c r="K26" s="153">
        <v>1</v>
      </c>
      <c r="L26" s="13">
        <f t="shared" si="5"/>
        <v>23301944.330000006</v>
      </c>
      <c r="M26" s="16"/>
      <c r="N26" s="16"/>
      <c r="O26" s="13">
        <f>ROUND(+'[1]Total Summary'!C73+'[2]Total Summary'!D74,2)</f>
        <v>3198777.83</v>
      </c>
      <c r="P26" s="13">
        <f>ROUND(+'[1]Total Summary'!D73+'[2]Total Summary'!E74,2)</f>
        <v>46.86</v>
      </c>
      <c r="Q26" s="13">
        <f>ROUND(+'[1]Total Summary'!E73+'[2]Total Summary'!F74,2)</f>
        <v>0</v>
      </c>
      <c r="R26" s="13">
        <f t="shared" si="6"/>
        <v>3198824.69</v>
      </c>
      <c r="S26" s="13">
        <f>ROUND(+'[1]Total Summary'!G73+'[2]Total Summary'!H74,2)</f>
        <v>12042134.73</v>
      </c>
      <c r="T26" s="13">
        <f>ROUND(+'[1]Total Summary'!H73+'[2]Total Summary'!I74,2)</f>
        <v>3.06</v>
      </c>
      <c r="U26" s="13">
        <f t="shared" si="7"/>
        <v>12042137.790000001</v>
      </c>
      <c r="V26" s="13">
        <f>ROUND(+'[1]Total Summary'!J73+'[2]Total Summary'!K74,2)</f>
        <v>2248815.19</v>
      </c>
      <c r="W26" s="13">
        <f>ROUND(+'[1]Total Summary'!K73+'[2]Total Summary'!L74,2)</f>
        <v>5812166.6600000001</v>
      </c>
      <c r="X26" s="20">
        <f t="shared" si="8"/>
        <v>23301944.330000002</v>
      </c>
      <c r="Y26" s="4" t="b">
        <f t="shared" si="9"/>
        <v>1</v>
      </c>
      <c r="Z26" s="111">
        <f t="shared" si="2"/>
        <v>0</v>
      </c>
    </row>
    <row r="27" spans="1:26" s="4" customFormat="1" ht="15" customHeight="1">
      <c r="A27" s="16">
        <v>13</v>
      </c>
      <c r="B27" s="4" t="s">
        <v>277</v>
      </c>
      <c r="C27" s="4" t="s">
        <v>227</v>
      </c>
      <c r="D27" s="16"/>
      <c r="E27" s="13">
        <v>2064862.55</v>
      </c>
      <c r="F27" s="13">
        <v>0</v>
      </c>
      <c r="G27" s="13">
        <v>0</v>
      </c>
      <c r="H27" s="13">
        <f t="shared" si="3"/>
        <v>2064862.55</v>
      </c>
      <c r="I27" s="13">
        <f>+'II-D-2.1'!T27</f>
        <v>0</v>
      </c>
      <c r="J27" s="13">
        <f t="shared" si="4"/>
        <v>2064862.55</v>
      </c>
      <c r="K27" s="153">
        <v>1</v>
      </c>
      <c r="L27" s="13">
        <f t="shared" si="5"/>
        <v>2064862.55</v>
      </c>
      <c r="M27" s="16"/>
      <c r="N27" s="16"/>
      <c r="O27" s="13">
        <f>ROUND(+'[1]Total Summary'!C74+'[2]Total Summary'!D75,2)</f>
        <v>509393.42</v>
      </c>
      <c r="P27" s="13">
        <f>ROUND(+'[1]Total Summary'!D74+'[2]Total Summary'!E75,2)</f>
        <v>0</v>
      </c>
      <c r="Q27" s="13">
        <f>ROUND(+'[1]Total Summary'!E74+'[2]Total Summary'!F75,2)</f>
        <v>0</v>
      </c>
      <c r="R27" s="13">
        <f t="shared" si="6"/>
        <v>509393.42</v>
      </c>
      <c r="S27" s="13">
        <f>ROUND(+'[1]Total Summary'!G74+'[2]Total Summary'!H75,2)</f>
        <v>1126885.27</v>
      </c>
      <c r="T27" s="13">
        <f>ROUND(+'[1]Total Summary'!H74+'[2]Total Summary'!I75,2)</f>
        <v>0</v>
      </c>
      <c r="U27" s="13">
        <f t="shared" si="7"/>
        <v>1126885.27</v>
      </c>
      <c r="V27" s="13">
        <f>ROUND(+'[1]Total Summary'!J74+'[2]Total Summary'!K75,2)</f>
        <v>305921.09000000003</v>
      </c>
      <c r="W27" s="13">
        <f>ROUND(+'[1]Total Summary'!K74+'[2]Total Summary'!L75,2)</f>
        <v>122662.77</v>
      </c>
      <c r="X27" s="20">
        <f t="shared" si="8"/>
        <v>2064862.55</v>
      </c>
      <c r="Y27" s="4" t="b">
        <f t="shared" si="9"/>
        <v>1</v>
      </c>
      <c r="Z27" s="111">
        <f t="shared" si="2"/>
        <v>0</v>
      </c>
    </row>
    <row r="28" spans="1:26" s="4" customFormat="1" ht="15" customHeight="1">
      <c r="A28" s="16">
        <v>14</v>
      </c>
      <c r="B28" s="4" t="s">
        <v>26</v>
      </c>
      <c r="C28" s="4" t="s">
        <v>154</v>
      </c>
      <c r="D28" s="16"/>
      <c r="E28" s="13">
        <v>117645.40000000002</v>
      </c>
      <c r="F28" s="13">
        <f>ROUND('II-D-2.1'!Q28,2)</f>
        <v>0</v>
      </c>
      <c r="G28" s="13">
        <v>0</v>
      </c>
      <c r="H28" s="13">
        <f t="shared" si="3"/>
        <v>117645.40000000002</v>
      </c>
      <c r="I28" s="13">
        <f>+'II-D-2.1'!T28</f>
        <v>0</v>
      </c>
      <c r="J28" s="13">
        <f t="shared" si="4"/>
        <v>117645.40000000002</v>
      </c>
      <c r="K28" s="153">
        <v>1</v>
      </c>
      <c r="L28" s="13">
        <f t="shared" si="5"/>
        <v>117645.40000000002</v>
      </c>
      <c r="M28" s="16"/>
      <c r="N28" s="16"/>
      <c r="O28" s="13">
        <f>ROUND(+'[1]Total Summary'!C75+'[2]Total Summary'!D76,2)</f>
        <v>21214.02</v>
      </c>
      <c r="P28" s="13">
        <f>ROUND(+'[1]Total Summary'!D75+'[2]Total Summary'!E76,2)</f>
        <v>0</v>
      </c>
      <c r="Q28" s="13">
        <f>ROUND(+'[1]Total Summary'!E75+'[2]Total Summary'!F76,2)</f>
        <v>0</v>
      </c>
      <c r="R28" s="13">
        <f t="shared" si="6"/>
        <v>21214.02</v>
      </c>
      <c r="S28" s="13">
        <f>ROUND(+'[1]Total Summary'!G75+'[2]Total Summary'!H76,2)</f>
        <v>78960.899999999994</v>
      </c>
      <c r="T28" s="13">
        <f>ROUND(+'[1]Total Summary'!H75+'[2]Total Summary'!I76,2)</f>
        <v>0</v>
      </c>
      <c r="U28" s="13">
        <f t="shared" si="7"/>
        <v>78960.899999999994</v>
      </c>
      <c r="V28" s="13">
        <f>ROUND(+'[1]Total Summary'!J75+'[2]Total Summary'!K76,2)</f>
        <v>15820.32</v>
      </c>
      <c r="W28" s="13">
        <f>ROUND(+'[1]Total Summary'!K75+'[2]Total Summary'!L76,2)</f>
        <v>1650.16</v>
      </c>
      <c r="X28" s="20">
        <f t="shared" si="8"/>
        <v>117645.4</v>
      </c>
      <c r="Y28" s="4" t="b">
        <f t="shared" si="9"/>
        <v>1</v>
      </c>
      <c r="Z28" s="111">
        <f>ROUND(+L28,2)-ROUND(X28,2)</f>
        <v>0</v>
      </c>
    </row>
    <row r="29" spans="1:26" s="4" customFormat="1" ht="15" customHeight="1">
      <c r="A29" s="16">
        <v>15</v>
      </c>
      <c r="B29" s="4" t="s">
        <v>278</v>
      </c>
      <c r="C29" s="4" t="s">
        <v>154</v>
      </c>
      <c r="D29" s="16"/>
      <c r="E29" s="13">
        <v>4366896.9400000004</v>
      </c>
      <c r="F29" s="13">
        <f>ROUND('II-D-2.1'!Q29,2)</f>
        <v>0</v>
      </c>
      <c r="G29" s="13">
        <v>0</v>
      </c>
      <c r="H29" s="13">
        <f t="shared" si="3"/>
        <v>4366896.9400000004</v>
      </c>
      <c r="I29" s="13">
        <f>+'II-D-2.1'!T29</f>
        <v>3309088.41</v>
      </c>
      <c r="J29" s="13">
        <f t="shared" si="4"/>
        <v>7675985.3500000006</v>
      </c>
      <c r="K29" s="153">
        <v>1</v>
      </c>
      <c r="L29" s="13">
        <f t="shared" si="5"/>
        <v>7675985.3500000006</v>
      </c>
      <c r="M29" s="16"/>
      <c r="N29" s="16"/>
      <c r="O29" s="13">
        <f>ROUND(+'[1]Total Summary'!C76+'[2]Total Summary'!D77,2)</f>
        <v>5484405.0999999996</v>
      </c>
      <c r="P29" s="13">
        <f>ROUND(+'[1]Total Summary'!D76+'[2]Total Summary'!E77,2)</f>
        <v>63397.05</v>
      </c>
      <c r="Q29" s="13">
        <f>ROUND(+'[1]Total Summary'!E76+'[2]Total Summary'!F77,2)</f>
        <v>0</v>
      </c>
      <c r="R29" s="13">
        <f t="shared" si="6"/>
        <v>5547802.1499999994</v>
      </c>
      <c r="S29" s="13">
        <f>ROUND(+'[1]Total Summary'!G76+'[2]Total Summary'!H77,2)</f>
        <v>1645283.27</v>
      </c>
      <c r="T29" s="13">
        <f>ROUND(+'[1]Total Summary'!H76+'[2]Total Summary'!I77,2)</f>
        <v>0</v>
      </c>
      <c r="U29" s="13">
        <f t="shared" si="7"/>
        <v>1645283.27</v>
      </c>
      <c r="V29" s="13">
        <f>ROUND(+'[1]Total Summary'!J76+'[2]Total Summary'!K77,2)</f>
        <v>464165.05</v>
      </c>
      <c r="W29" s="13">
        <f>ROUND(+'[1]Total Summary'!K76+'[2]Total Summary'!L77,2)</f>
        <v>18734.88</v>
      </c>
      <c r="X29" s="20">
        <f t="shared" si="8"/>
        <v>7675985.3499999996</v>
      </c>
      <c r="Y29" s="4" t="b">
        <f t="shared" si="9"/>
        <v>1</v>
      </c>
      <c r="Z29" s="111">
        <f>ROUND(+L29,2)-ROUND(X29,2)</f>
        <v>0</v>
      </c>
    </row>
    <row r="30" spans="1:26" s="4" customFormat="1" ht="15" customHeight="1">
      <c r="A30" s="16">
        <v>16</v>
      </c>
      <c r="D30" s="16"/>
      <c r="E30" s="123"/>
      <c r="F30" s="123"/>
      <c r="G30" s="123"/>
      <c r="H30" s="123"/>
      <c r="I30" s="123"/>
      <c r="J30" s="123"/>
      <c r="K30" s="153"/>
      <c r="L30" s="123"/>
      <c r="M30" s="16"/>
      <c r="N30" s="16"/>
      <c r="O30" s="125"/>
      <c r="P30" s="125"/>
      <c r="Q30" s="125"/>
      <c r="R30" s="125"/>
      <c r="S30" s="125"/>
      <c r="T30" s="125"/>
      <c r="U30" s="125"/>
      <c r="V30" s="125"/>
      <c r="W30" s="125"/>
      <c r="X30" s="125"/>
    </row>
    <row r="31" spans="1:26" s="8" customFormat="1" ht="15" customHeight="1">
      <c r="A31" s="16">
        <v>17</v>
      </c>
      <c r="B31" s="8" t="s">
        <v>71</v>
      </c>
      <c r="C31" s="26"/>
      <c r="D31" s="18" t="s">
        <v>42</v>
      </c>
      <c r="E31" s="141">
        <f>SUM(E17:E29)</f>
        <v>704044057.85000002</v>
      </c>
      <c r="F31" s="141">
        <f>SUM(F17:F29)</f>
        <v>0</v>
      </c>
      <c r="G31" s="141">
        <f>SUM(G17:G29)</f>
        <v>0</v>
      </c>
      <c r="H31" s="141">
        <f>SUM(H17:H29)</f>
        <v>704044057.85000002</v>
      </c>
      <c r="I31" s="141">
        <f>SUM(I17:I30)</f>
        <v>398306172.46000004</v>
      </c>
      <c r="J31" s="141">
        <f>SUM(J17:J30)</f>
        <v>1102350230.3099997</v>
      </c>
      <c r="K31" s="19"/>
      <c r="L31" s="141">
        <f>SUM(L17:L30)</f>
        <v>1102350230.3099997</v>
      </c>
      <c r="M31" s="25"/>
      <c r="N31" s="18"/>
      <c r="O31" s="141">
        <f t="shared" ref="O31:X31" si="10">SUM(O17:O30)</f>
        <v>146353277</v>
      </c>
      <c r="P31" s="141">
        <f t="shared" ref="P31:W31" si="11">SUM(P17:P30)</f>
        <v>3361655.79</v>
      </c>
      <c r="Q31" s="141">
        <f t="shared" si="11"/>
        <v>0</v>
      </c>
      <c r="R31" s="141">
        <f t="shared" si="11"/>
        <v>149714932.78999999</v>
      </c>
      <c r="S31" s="141">
        <f t="shared" si="11"/>
        <v>862254076.08000004</v>
      </c>
      <c r="T31" s="141">
        <f t="shared" si="11"/>
        <v>475499.95</v>
      </c>
      <c r="U31" s="141">
        <f t="shared" si="11"/>
        <v>862729576.03000009</v>
      </c>
      <c r="V31" s="141">
        <f t="shared" si="11"/>
        <v>49056189.789999999</v>
      </c>
      <c r="W31" s="141">
        <f t="shared" si="11"/>
        <v>40849531.700000003</v>
      </c>
      <c r="X31" s="141">
        <f t="shared" si="10"/>
        <v>1102350230.3099999</v>
      </c>
      <c r="Y31" s="4" t="b">
        <f t="shared" si="9"/>
        <v>1</v>
      </c>
      <c r="Z31" s="111">
        <f>ROUND(+L31,2)-ROUND(X31,2)</f>
        <v>0</v>
      </c>
    </row>
    <row r="32" spans="1:26" s="4" customFormat="1" ht="15" customHeight="1">
      <c r="A32" s="16">
        <v>18</v>
      </c>
      <c r="C32" s="7"/>
      <c r="D32" s="18"/>
      <c r="E32" s="19"/>
      <c r="F32" s="19"/>
      <c r="G32" s="19"/>
      <c r="H32" s="19"/>
      <c r="I32" s="19"/>
      <c r="J32" s="19"/>
      <c r="K32" s="19"/>
      <c r="L32" s="19"/>
      <c r="M32" s="25"/>
      <c r="N32" s="18"/>
      <c r="O32" s="19"/>
      <c r="P32" s="19"/>
      <c r="Q32" s="19"/>
      <c r="R32" s="19"/>
      <c r="S32" s="19"/>
      <c r="T32" s="19"/>
      <c r="U32" s="19"/>
      <c r="V32" s="19"/>
      <c r="W32" s="19"/>
      <c r="X32" s="19"/>
    </row>
    <row r="33" spans="1:26" s="8" customFormat="1" ht="15" customHeight="1">
      <c r="A33" s="16">
        <v>19</v>
      </c>
      <c r="B33" s="8" t="s">
        <v>38</v>
      </c>
      <c r="C33" s="26"/>
      <c r="D33" s="18" t="s">
        <v>43</v>
      </c>
      <c r="E33" s="141">
        <f>+'II-D-1'!E102+'II-D-2'!E31</f>
        <v>3304990861.7999997</v>
      </c>
      <c r="F33" s="141">
        <f>+'II-D-1'!F102+'II-D-2'!F31</f>
        <v>0</v>
      </c>
      <c r="G33" s="141">
        <f>+'II-D-1'!G102+'II-D-2'!G31</f>
        <v>0</v>
      </c>
      <c r="H33" s="141">
        <f>+'II-D-1'!H102+'II-D-2'!H31</f>
        <v>3304990861.7999997</v>
      </c>
      <c r="I33" s="141">
        <f>+'II-D-1'!I102+'II-D-2'!I31</f>
        <v>493586912.30000013</v>
      </c>
      <c r="J33" s="141">
        <f>+'II-D-1'!J102+'II-D-2'!J31</f>
        <v>3798577774.0999994</v>
      </c>
      <c r="K33" s="19"/>
      <c r="L33" s="141">
        <f>+'II-D-1'!L102+'II-D-2'!L31</f>
        <v>3798577774.0999994</v>
      </c>
      <c r="M33" s="25"/>
      <c r="N33" s="18"/>
      <c r="O33" s="141">
        <f>+'II-D-1'!O102+'II-D-2'!O31</f>
        <v>281417380.88999999</v>
      </c>
      <c r="P33" s="141">
        <f>+'II-D-1'!P102+'II-D-2'!P31</f>
        <v>8707411.9800000004</v>
      </c>
      <c r="Q33" s="141">
        <f>+'II-D-1'!Q102+'II-D-2'!Q31</f>
        <v>475836.37</v>
      </c>
      <c r="R33" s="141">
        <f>+'II-D-1'!R102+'II-D-2'!R31</f>
        <v>290600629.24000001</v>
      </c>
      <c r="S33" s="141">
        <f>+'II-D-1'!S102+'II-D-2'!S31</f>
        <v>3328439803.2399998</v>
      </c>
      <c r="T33" s="141">
        <f>+'II-D-1'!T102+'II-D-2'!T31</f>
        <v>983223.52</v>
      </c>
      <c r="U33" s="141">
        <f>+'II-D-1'!U102+'II-D-2'!U31</f>
        <v>3329423026.7600002</v>
      </c>
      <c r="V33" s="141">
        <f>+'II-D-1'!V102+'II-D-2'!V31</f>
        <v>120417779.06999999</v>
      </c>
      <c r="W33" s="141">
        <f>+'II-D-1'!W102+'II-D-2'!W31</f>
        <v>58136339.030000001</v>
      </c>
      <c r="X33" s="141">
        <f>+'II-D-1'!X102+'II-D-2'!X31</f>
        <v>3798577774.0999999</v>
      </c>
      <c r="Y33" s="4" t="b">
        <f t="shared" si="9"/>
        <v>1</v>
      </c>
      <c r="Z33" s="111">
        <f>ROUND(+L33,2)-ROUND(X33,2)</f>
        <v>0</v>
      </c>
    </row>
    <row r="34" spans="1:26" s="8" customFormat="1" ht="15" customHeight="1">
      <c r="A34" s="16">
        <v>20</v>
      </c>
      <c r="D34" s="18"/>
      <c r="E34" s="19"/>
      <c r="F34" s="19"/>
      <c r="G34" s="19"/>
      <c r="H34" s="19"/>
      <c r="I34" s="19"/>
      <c r="J34" s="19"/>
      <c r="K34" s="19"/>
      <c r="L34" s="19"/>
      <c r="M34" s="18"/>
      <c r="N34" s="25"/>
      <c r="O34" s="19"/>
      <c r="P34" s="19"/>
      <c r="Q34" s="19"/>
      <c r="R34" s="19"/>
      <c r="S34" s="19"/>
      <c r="T34" s="19"/>
      <c r="U34" s="19"/>
      <c r="V34" s="19"/>
      <c r="W34" s="19"/>
      <c r="X34" s="19"/>
    </row>
    <row r="35" spans="1:26" s="8" customFormat="1" ht="15" customHeight="1">
      <c r="A35" s="16">
        <v>21</v>
      </c>
      <c r="B35" s="8" t="s">
        <v>72</v>
      </c>
      <c r="C35" s="26"/>
      <c r="D35" s="18" t="s">
        <v>43</v>
      </c>
      <c r="E35" s="141">
        <f t="shared" ref="E35:J35" si="12">+E33</f>
        <v>3304990861.7999997</v>
      </c>
      <c r="F35" s="141">
        <f t="shared" si="12"/>
        <v>0</v>
      </c>
      <c r="G35" s="141">
        <f t="shared" si="12"/>
        <v>0</v>
      </c>
      <c r="H35" s="141">
        <f t="shared" si="12"/>
        <v>3304990861.7999997</v>
      </c>
      <c r="I35" s="141">
        <f t="shared" si="12"/>
        <v>493586912.30000013</v>
      </c>
      <c r="J35" s="141">
        <f t="shared" si="12"/>
        <v>3798577774.0999994</v>
      </c>
      <c r="K35" s="19"/>
      <c r="L35" s="141">
        <f>+L33</f>
        <v>3798577774.0999994</v>
      </c>
      <c r="M35" s="25"/>
      <c r="N35" s="18"/>
      <c r="O35" s="141">
        <f t="shared" ref="O35:X35" si="13">+O33</f>
        <v>281417380.88999999</v>
      </c>
      <c r="P35" s="141">
        <f t="shared" ref="P35:W35" si="14">+P33</f>
        <v>8707411.9800000004</v>
      </c>
      <c r="Q35" s="141">
        <f t="shared" si="14"/>
        <v>475836.37</v>
      </c>
      <c r="R35" s="141">
        <f t="shared" si="14"/>
        <v>290600629.24000001</v>
      </c>
      <c r="S35" s="141">
        <f t="shared" si="14"/>
        <v>3328439803.2399998</v>
      </c>
      <c r="T35" s="141">
        <f t="shared" si="14"/>
        <v>983223.52</v>
      </c>
      <c r="U35" s="141">
        <f t="shared" si="14"/>
        <v>3329423026.7600002</v>
      </c>
      <c r="V35" s="141">
        <f t="shared" si="14"/>
        <v>120417779.06999999</v>
      </c>
      <c r="W35" s="141">
        <f t="shared" si="14"/>
        <v>58136339.030000001</v>
      </c>
      <c r="X35" s="141">
        <f t="shared" si="13"/>
        <v>3798577774.0999999</v>
      </c>
      <c r="Y35" s="4" t="b">
        <f t="shared" si="9"/>
        <v>1</v>
      </c>
      <c r="Z35" s="111">
        <f>ROUND(+L35,2)-ROUND(X35,2)</f>
        <v>0</v>
      </c>
    </row>
    <row r="36" spans="1:26" s="4" customFormat="1">
      <c r="D36" s="16"/>
      <c r="E36" s="19"/>
      <c r="F36" s="19"/>
      <c r="M36" s="16"/>
      <c r="N36" s="16"/>
      <c r="O36" s="141"/>
      <c r="P36" s="141"/>
      <c r="Q36" s="141"/>
      <c r="R36" s="141"/>
      <c r="S36" s="141"/>
      <c r="T36" s="141"/>
      <c r="U36" s="141"/>
      <c r="V36" s="141"/>
      <c r="W36" s="141"/>
      <c r="X36" s="141"/>
    </row>
    <row r="37" spans="1:26" s="4" customFormat="1">
      <c r="D37" s="16"/>
      <c r="E37" s="13"/>
      <c r="F37" s="13"/>
      <c r="G37" s="13"/>
      <c r="H37" s="13"/>
      <c r="I37" s="13"/>
      <c r="J37" s="13"/>
      <c r="K37" s="13"/>
      <c r="L37" s="13"/>
      <c r="M37" s="104"/>
      <c r="N37" s="20"/>
      <c r="O37" s="13"/>
      <c r="P37" s="13"/>
      <c r="Q37" s="13"/>
      <c r="R37" s="13"/>
      <c r="S37" s="13"/>
      <c r="T37" s="13"/>
      <c r="U37" s="13"/>
      <c r="V37" s="13"/>
      <c r="W37" s="13"/>
      <c r="X37" s="13"/>
    </row>
    <row r="38" spans="1:26" s="31" customFormat="1" ht="12.75" customHeight="1">
      <c r="E38" s="119"/>
      <c r="F38" s="43"/>
      <c r="G38" s="43"/>
      <c r="H38" s="43"/>
      <c r="I38" s="43"/>
      <c r="J38" s="43"/>
      <c r="K38" s="43"/>
      <c r="L38" s="32"/>
      <c r="M38" s="43"/>
      <c r="N38" s="32"/>
      <c r="O38" s="43"/>
      <c r="P38" s="43"/>
      <c r="Q38" s="43"/>
      <c r="R38" s="43"/>
      <c r="S38" s="46"/>
      <c r="T38" s="46"/>
      <c r="U38" s="46"/>
      <c r="V38" s="46"/>
      <c r="W38" s="46"/>
      <c r="X38" s="46"/>
    </row>
    <row r="39" spans="1:26" s="31" customFormat="1" ht="12.75" customHeight="1">
      <c r="D39" s="43"/>
      <c r="E39" s="120"/>
      <c r="F39" s="120"/>
      <c r="G39" s="120"/>
      <c r="H39" s="120"/>
      <c r="I39" s="120"/>
      <c r="J39" s="120"/>
      <c r="K39" s="43"/>
      <c r="L39" s="120"/>
      <c r="M39" s="43"/>
      <c r="N39" s="32"/>
      <c r="O39" s="120"/>
      <c r="P39" s="120"/>
      <c r="Q39" s="120"/>
      <c r="R39" s="120"/>
      <c r="S39" s="120"/>
      <c r="T39" s="120"/>
      <c r="U39" s="120"/>
      <c r="V39" s="120"/>
      <c r="W39" s="120"/>
      <c r="X39" s="120"/>
    </row>
    <row r="40" spans="1:26" s="31" customFormat="1" ht="12.75" customHeight="1">
      <c r="D40" s="41"/>
      <c r="E40" s="119"/>
      <c r="F40" s="119"/>
      <c r="G40" s="119"/>
      <c r="H40" s="119"/>
      <c r="I40" s="119"/>
      <c r="J40" s="119"/>
      <c r="K40" s="43"/>
      <c r="L40" s="32"/>
      <c r="M40" s="43"/>
      <c r="N40" s="32"/>
      <c r="O40" s="119"/>
      <c r="P40" s="119"/>
      <c r="Q40" s="119"/>
      <c r="R40" s="119"/>
      <c r="S40" s="231"/>
      <c r="T40" s="231"/>
      <c r="U40" s="231"/>
      <c r="V40" s="231"/>
      <c r="W40" s="231"/>
      <c r="X40" s="13"/>
    </row>
    <row r="41" spans="1:26" s="31" customFormat="1" ht="12.75" customHeight="1">
      <c r="D41" s="43"/>
      <c r="E41" s="43"/>
      <c r="F41" s="43"/>
      <c r="G41" s="43"/>
      <c r="H41" s="43"/>
      <c r="I41" s="43"/>
      <c r="J41" s="43"/>
      <c r="K41" s="43"/>
      <c r="L41" s="32"/>
      <c r="M41" s="43"/>
      <c r="N41" s="32"/>
      <c r="O41" s="43"/>
      <c r="P41" s="43"/>
      <c r="Q41" s="43"/>
      <c r="R41" s="43"/>
      <c r="S41" s="13"/>
      <c r="T41" s="13"/>
      <c r="U41" s="13"/>
      <c r="V41" s="13"/>
      <c r="W41" s="13"/>
      <c r="X41" s="13"/>
    </row>
    <row r="42" spans="1:26" s="35" customFormat="1" ht="12.75" customHeight="1">
      <c r="C42" s="44"/>
      <c r="D42" s="41"/>
      <c r="E42" s="41"/>
      <c r="F42" s="41"/>
      <c r="G42" s="41"/>
      <c r="H42" s="41"/>
      <c r="I42" s="41"/>
      <c r="J42" s="41"/>
      <c r="K42" s="41"/>
      <c r="L42" s="41"/>
      <c r="M42" s="41"/>
      <c r="N42" s="41"/>
      <c r="O42" s="119"/>
      <c r="P42" s="119"/>
      <c r="Q42" s="119"/>
      <c r="R42" s="119"/>
      <c r="S42" s="119"/>
      <c r="T42" s="119"/>
      <c r="U42" s="119"/>
      <c r="V42" s="119"/>
      <c r="W42" s="119"/>
      <c r="X42" s="41"/>
    </row>
    <row r="43" spans="1:26" s="31" customFormat="1" ht="12.75" customHeight="1">
      <c r="D43" s="43"/>
      <c r="E43" s="43"/>
      <c r="F43" s="43"/>
      <c r="G43" s="43"/>
      <c r="H43" s="43"/>
      <c r="I43" s="43"/>
      <c r="J43" s="43"/>
      <c r="K43" s="43"/>
      <c r="L43" s="32"/>
      <c r="M43" s="43"/>
      <c r="N43" s="32"/>
      <c r="O43" s="119"/>
      <c r="P43" s="119"/>
      <c r="Q43" s="119"/>
      <c r="R43" s="119"/>
      <c r="S43" s="119"/>
      <c r="T43" s="119"/>
      <c r="U43" s="119"/>
      <c r="V43" s="119"/>
      <c r="W43" s="119"/>
    </row>
    <row r="44" spans="1:26" s="35" customFormat="1" ht="12.75" customHeight="1">
      <c r="C44" s="47"/>
      <c r="D44" s="41"/>
      <c r="E44" s="41"/>
      <c r="F44" s="41"/>
      <c r="G44" s="48"/>
      <c r="H44" s="41"/>
      <c r="I44" s="41"/>
      <c r="J44" s="41"/>
      <c r="K44" s="41"/>
      <c r="L44" s="42"/>
      <c r="M44" s="41"/>
      <c r="N44" s="49"/>
      <c r="O44" s="41"/>
      <c r="P44" s="41"/>
      <c r="Q44" s="41"/>
      <c r="R44" s="41"/>
      <c r="S44" s="41"/>
      <c r="T44" s="41"/>
      <c r="U44" s="41"/>
      <c r="V44" s="41"/>
      <c r="W44" s="41"/>
    </row>
    <row r="45" spans="1:26" s="31" customFormat="1" ht="12.75" customHeight="1">
      <c r="D45" s="50"/>
      <c r="E45" s="43"/>
      <c r="F45" s="43"/>
      <c r="G45" s="43"/>
      <c r="H45" s="43"/>
      <c r="I45" s="43"/>
      <c r="J45" s="43"/>
      <c r="K45" s="43"/>
      <c r="L45" s="32"/>
      <c r="M45" s="43"/>
      <c r="N45" s="32"/>
      <c r="O45" s="43"/>
      <c r="P45" s="43"/>
      <c r="Q45" s="43"/>
      <c r="R45" s="43"/>
      <c r="S45" s="46"/>
      <c r="T45" s="46"/>
      <c r="U45" s="46"/>
      <c r="V45" s="46"/>
      <c r="W45" s="46"/>
      <c r="X45" s="46"/>
    </row>
    <row r="46" spans="1:26" s="31" customFormat="1" ht="12.75" customHeight="1">
      <c r="D46" s="50"/>
      <c r="E46" s="43"/>
      <c r="F46" s="43"/>
      <c r="G46" s="43"/>
      <c r="H46" s="43"/>
      <c r="I46" s="43"/>
      <c r="J46" s="43"/>
      <c r="K46" s="43"/>
      <c r="L46" s="32"/>
      <c r="M46" s="43"/>
      <c r="N46" s="32"/>
      <c r="O46" s="43"/>
      <c r="P46" s="43"/>
      <c r="Q46" s="43"/>
      <c r="R46" s="43"/>
      <c r="S46" s="46"/>
      <c r="T46" s="46"/>
      <c r="U46" s="46"/>
      <c r="V46" s="46"/>
      <c r="W46" s="46"/>
      <c r="X46" s="46"/>
    </row>
    <row r="47" spans="1:26" s="31" customFormat="1" ht="12.75" customHeight="1">
      <c r="D47" s="50"/>
      <c r="E47" s="43"/>
      <c r="F47" s="43"/>
      <c r="G47" s="43"/>
      <c r="H47" s="43"/>
      <c r="I47" s="43"/>
      <c r="J47" s="43"/>
      <c r="K47" s="43"/>
      <c r="L47" s="32"/>
      <c r="M47" s="43"/>
      <c r="N47" s="32"/>
      <c r="O47" s="43"/>
      <c r="P47" s="43"/>
      <c r="Q47" s="43"/>
      <c r="R47" s="43"/>
      <c r="S47" s="46"/>
      <c r="T47" s="46"/>
      <c r="U47" s="46"/>
      <c r="V47" s="46"/>
      <c r="W47" s="46"/>
      <c r="X47" s="46"/>
    </row>
    <row r="48" spans="1:26" s="31" customFormat="1" ht="12.75" customHeight="1">
      <c r="D48" s="50"/>
      <c r="E48" s="43"/>
      <c r="F48" s="43"/>
      <c r="G48" s="43"/>
      <c r="H48" s="43"/>
      <c r="I48" s="43"/>
      <c r="J48" s="43"/>
      <c r="K48" s="43"/>
      <c r="L48" s="32"/>
      <c r="M48" s="43"/>
      <c r="N48" s="32"/>
      <c r="O48" s="43"/>
      <c r="P48" s="43"/>
      <c r="Q48" s="43"/>
      <c r="R48" s="43"/>
      <c r="S48" s="46"/>
      <c r="T48" s="46"/>
      <c r="U48" s="46"/>
      <c r="V48" s="46"/>
      <c r="W48" s="46"/>
      <c r="X48" s="46"/>
    </row>
    <row r="49" spans="2:25" s="31" customFormat="1" ht="12.75" customHeight="1">
      <c r="D49" s="50"/>
      <c r="E49" s="43"/>
      <c r="F49" s="43"/>
      <c r="G49" s="43"/>
      <c r="H49" s="43"/>
      <c r="I49" s="43"/>
      <c r="J49" s="43"/>
      <c r="K49" s="43"/>
      <c r="L49" s="32"/>
      <c r="M49" s="43"/>
      <c r="N49" s="32"/>
      <c r="O49" s="43"/>
      <c r="P49" s="43"/>
      <c r="Q49" s="43"/>
      <c r="R49" s="43"/>
      <c r="S49" s="46"/>
      <c r="T49" s="46"/>
      <c r="U49" s="46"/>
      <c r="V49" s="46"/>
      <c r="W49" s="46"/>
      <c r="X49" s="46"/>
    </row>
    <row r="50" spans="2:25" s="31" customFormat="1" ht="12.75" customHeight="1">
      <c r="D50" s="50"/>
      <c r="E50" s="43"/>
      <c r="F50" s="43"/>
      <c r="G50" s="43"/>
      <c r="H50" s="43"/>
      <c r="I50" s="43"/>
      <c r="J50" s="43"/>
      <c r="K50" s="43"/>
      <c r="L50" s="32"/>
      <c r="M50" s="43"/>
      <c r="N50" s="32"/>
      <c r="O50" s="43"/>
      <c r="P50" s="43"/>
      <c r="Q50" s="43"/>
      <c r="R50" s="43"/>
      <c r="S50" s="46"/>
      <c r="T50" s="46"/>
      <c r="U50" s="46"/>
      <c r="V50" s="46"/>
      <c r="W50" s="46"/>
      <c r="X50" s="46"/>
    </row>
    <row r="51" spans="2:25" s="31" customFormat="1" ht="12.75" customHeight="1">
      <c r="D51" s="50"/>
      <c r="E51" s="43"/>
      <c r="F51" s="43"/>
      <c r="G51" s="43"/>
      <c r="H51" s="43"/>
      <c r="I51" s="43"/>
      <c r="J51" s="43"/>
      <c r="K51" s="43"/>
      <c r="L51" s="32"/>
      <c r="M51" s="43"/>
      <c r="N51" s="32"/>
      <c r="O51" s="43"/>
      <c r="P51" s="43"/>
      <c r="Q51" s="43"/>
      <c r="R51" s="43"/>
      <c r="S51" s="13"/>
      <c r="T51" s="13"/>
      <c r="U51" s="13"/>
      <c r="V51" s="13"/>
      <c r="W51" s="13"/>
      <c r="X51" s="13"/>
    </row>
    <row r="52" spans="2:25" s="31" customFormat="1" ht="12.75" customHeight="1">
      <c r="D52" s="50"/>
      <c r="E52" s="43"/>
      <c r="F52" s="43"/>
      <c r="G52" s="43"/>
      <c r="H52" s="43"/>
      <c r="I52" s="43"/>
      <c r="J52" s="43"/>
      <c r="K52" s="43"/>
      <c r="L52" s="32"/>
      <c r="M52" s="43"/>
      <c r="N52" s="32"/>
      <c r="O52" s="43"/>
      <c r="P52" s="43"/>
      <c r="Q52" s="43"/>
      <c r="R52" s="43"/>
      <c r="S52" s="46"/>
      <c r="T52" s="46"/>
      <c r="U52" s="46"/>
      <c r="V52" s="46"/>
      <c r="W52" s="46"/>
      <c r="X52" s="46"/>
    </row>
    <row r="53" spans="2:25" s="31" customFormat="1" ht="12.75" customHeight="1">
      <c r="D53" s="50"/>
      <c r="E53" s="43"/>
      <c r="F53" s="43"/>
      <c r="G53" s="43"/>
      <c r="H53" s="43"/>
      <c r="I53" s="43"/>
      <c r="J53" s="43"/>
      <c r="K53" s="43"/>
      <c r="L53" s="32"/>
      <c r="M53" s="43"/>
      <c r="N53" s="32"/>
      <c r="O53" s="43"/>
      <c r="P53" s="43"/>
      <c r="Q53" s="43"/>
      <c r="R53" s="43"/>
      <c r="S53" s="46"/>
      <c r="T53" s="46"/>
      <c r="U53" s="46"/>
      <c r="V53" s="46"/>
      <c r="W53" s="46"/>
      <c r="X53" s="46"/>
    </row>
    <row r="54" spans="2:25" s="31" customFormat="1" ht="12.75" customHeight="1">
      <c r="D54" s="50"/>
      <c r="E54" s="43"/>
      <c r="F54" s="43"/>
      <c r="G54" s="43"/>
      <c r="H54" s="43"/>
      <c r="I54" s="43"/>
      <c r="J54" s="43"/>
      <c r="K54" s="43"/>
      <c r="L54" s="32"/>
      <c r="M54" s="43"/>
      <c r="N54" s="32"/>
      <c r="O54" s="43"/>
      <c r="P54" s="43"/>
      <c r="Q54" s="43"/>
      <c r="R54" s="43"/>
      <c r="S54" s="46"/>
      <c r="T54" s="46"/>
      <c r="U54" s="46"/>
      <c r="V54" s="46"/>
      <c r="W54" s="46"/>
      <c r="X54" s="46"/>
    </row>
    <row r="55" spans="2:25" s="35" customFormat="1" ht="12.75" customHeight="1">
      <c r="C55" s="44"/>
      <c r="D55" s="48"/>
      <c r="E55" s="41"/>
      <c r="F55" s="41"/>
      <c r="G55" s="41"/>
      <c r="H55" s="41"/>
      <c r="I55" s="41"/>
      <c r="J55" s="41"/>
      <c r="K55" s="41"/>
      <c r="L55" s="49"/>
      <c r="M55" s="41"/>
      <c r="N55" s="42"/>
      <c r="O55" s="41"/>
      <c r="P55" s="41"/>
      <c r="Q55" s="41"/>
      <c r="R55" s="41"/>
      <c r="S55" s="41"/>
      <c r="T55" s="41"/>
      <c r="U55" s="41"/>
      <c r="V55" s="41"/>
      <c r="W55" s="41"/>
      <c r="X55" s="41"/>
      <c r="Y55" s="31"/>
    </row>
    <row r="56" spans="2:25" s="31" customFormat="1" ht="12.75" customHeight="1">
      <c r="C56" s="45"/>
      <c r="D56" s="50"/>
      <c r="E56" s="43"/>
      <c r="F56" s="43"/>
      <c r="G56" s="43"/>
      <c r="H56" s="43"/>
      <c r="I56" s="43"/>
      <c r="J56" s="43"/>
      <c r="K56" s="43"/>
      <c r="L56" s="51"/>
      <c r="M56" s="43"/>
      <c r="N56" s="32"/>
      <c r="O56" s="43"/>
      <c r="P56" s="43"/>
      <c r="Q56" s="43"/>
      <c r="R56" s="43"/>
      <c r="S56" s="43"/>
      <c r="T56" s="43"/>
      <c r="U56" s="43"/>
      <c r="V56" s="43"/>
      <c r="W56" s="43"/>
    </row>
    <row r="57" spans="2:25" s="35" customFormat="1" ht="12.75" customHeight="1">
      <c r="B57" s="52"/>
      <c r="D57" s="48"/>
      <c r="E57" s="41"/>
      <c r="F57" s="41"/>
      <c r="G57" s="41"/>
      <c r="H57" s="41"/>
      <c r="I57" s="41"/>
      <c r="J57" s="41"/>
      <c r="K57" s="41"/>
      <c r="L57" s="49"/>
      <c r="M57" s="41"/>
      <c r="N57" s="42"/>
      <c r="O57" s="41"/>
      <c r="P57" s="41"/>
      <c r="Q57" s="41"/>
      <c r="R57" s="41"/>
      <c r="S57" s="41"/>
      <c r="T57" s="41"/>
      <c r="U57" s="41"/>
      <c r="V57" s="41"/>
      <c r="W57" s="41"/>
      <c r="X57" s="41"/>
      <c r="Y57" s="31"/>
    </row>
    <row r="58" spans="2:25" s="31" customFormat="1" ht="12.75" customHeight="1">
      <c r="C58" s="44"/>
      <c r="D58" s="50"/>
      <c r="E58" s="43"/>
      <c r="F58" s="43"/>
      <c r="G58" s="43"/>
      <c r="H58" s="43"/>
      <c r="I58" s="43"/>
      <c r="J58" s="43"/>
      <c r="K58" s="43"/>
      <c r="L58" s="51"/>
      <c r="M58" s="43"/>
      <c r="N58" s="42"/>
      <c r="O58" s="43"/>
      <c r="P58" s="43"/>
      <c r="Q58" s="43"/>
      <c r="R58" s="43"/>
      <c r="S58" s="43"/>
      <c r="T58" s="43"/>
      <c r="U58" s="43"/>
      <c r="V58" s="43"/>
      <c r="W58" s="43"/>
      <c r="X58" s="43"/>
    </row>
    <row r="59" spans="2:25" s="35" customFormat="1" ht="12.75" customHeight="1">
      <c r="C59" s="44"/>
      <c r="D59" s="41"/>
      <c r="E59" s="41"/>
      <c r="F59" s="41"/>
      <c r="G59" s="41"/>
      <c r="H59" s="41"/>
      <c r="I59" s="41"/>
      <c r="J59" s="41"/>
      <c r="K59" s="41"/>
      <c r="L59" s="49"/>
      <c r="M59" s="41"/>
      <c r="N59" s="42"/>
      <c r="O59" s="41"/>
      <c r="P59" s="41"/>
      <c r="Q59" s="41"/>
      <c r="R59" s="41"/>
      <c r="S59" s="41"/>
      <c r="T59" s="41"/>
      <c r="U59" s="41"/>
      <c r="V59" s="41"/>
      <c r="W59" s="41"/>
      <c r="X59" s="41"/>
    </row>
    <row r="60" spans="2:25" s="35" customFormat="1" ht="12.75" customHeight="1">
      <c r="C60" s="44"/>
      <c r="D60" s="48"/>
      <c r="E60" s="41"/>
      <c r="F60" s="41"/>
      <c r="G60" s="41"/>
      <c r="H60" s="41"/>
      <c r="I60" s="41"/>
      <c r="J60" s="41"/>
      <c r="K60" s="41"/>
      <c r="L60" s="49"/>
      <c r="M60" s="41"/>
      <c r="N60" s="42"/>
      <c r="O60" s="41"/>
      <c r="P60" s="41"/>
      <c r="Q60" s="41"/>
      <c r="R60" s="41"/>
      <c r="S60" s="41"/>
      <c r="T60" s="41"/>
      <c r="U60" s="41"/>
      <c r="V60" s="41"/>
      <c r="W60" s="41"/>
    </row>
    <row r="61" spans="2:25" s="35" customFormat="1" ht="12.75" customHeight="1">
      <c r="C61" s="44"/>
      <c r="D61" s="41"/>
      <c r="E61" s="41"/>
      <c r="F61" s="41"/>
      <c r="G61" s="41"/>
      <c r="H61" s="41"/>
      <c r="I61" s="41"/>
      <c r="J61" s="41"/>
      <c r="K61" s="41"/>
      <c r="L61" s="49"/>
      <c r="M61" s="41"/>
      <c r="N61" s="42"/>
      <c r="O61" s="41"/>
      <c r="P61" s="41"/>
      <c r="Q61" s="41"/>
      <c r="R61" s="41"/>
      <c r="S61" s="53"/>
      <c r="T61" s="53"/>
      <c r="U61" s="53"/>
      <c r="V61" s="53"/>
      <c r="W61" s="53"/>
      <c r="X61" s="53"/>
    </row>
    <row r="62" spans="2:25" s="35" customFormat="1" ht="12.75" customHeight="1">
      <c r="C62" s="44"/>
      <c r="D62" s="48"/>
      <c r="E62" s="41"/>
      <c r="F62" s="41"/>
      <c r="G62" s="41"/>
      <c r="H62" s="41"/>
      <c r="I62" s="41"/>
      <c r="J62" s="41"/>
      <c r="K62" s="41"/>
      <c r="L62" s="49"/>
      <c r="M62" s="41"/>
      <c r="N62" s="42"/>
      <c r="O62" s="41"/>
      <c r="P62" s="41"/>
      <c r="Q62" s="41"/>
      <c r="R62" s="41"/>
      <c r="S62" s="41"/>
      <c r="T62" s="41"/>
      <c r="U62" s="41"/>
      <c r="V62" s="41"/>
      <c r="W62" s="41"/>
    </row>
    <row r="63" spans="2:25" s="35" customFormat="1" ht="12.75" customHeight="1">
      <c r="B63" s="40"/>
      <c r="C63" s="44"/>
      <c r="D63" s="48"/>
      <c r="E63" s="41"/>
      <c r="F63" s="41"/>
      <c r="G63" s="41"/>
      <c r="H63" s="41"/>
      <c r="I63" s="41"/>
      <c r="J63" s="41"/>
      <c r="K63" s="41"/>
      <c r="L63" s="49"/>
      <c r="M63" s="41"/>
      <c r="N63" s="42"/>
      <c r="O63" s="41"/>
      <c r="P63" s="41"/>
      <c r="Q63" s="41"/>
      <c r="R63" s="41"/>
      <c r="S63" s="41"/>
      <c r="T63" s="41"/>
      <c r="U63" s="41"/>
      <c r="V63" s="41"/>
      <c r="W63" s="41"/>
      <c r="X63" s="41"/>
    </row>
    <row r="64" spans="2:25" s="31" customFormat="1" ht="12.75" customHeight="1">
      <c r="C64" s="44"/>
      <c r="D64" s="50"/>
      <c r="E64" s="43"/>
      <c r="F64" s="43"/>
      <c r="G64" s="43"/>
      <c r="H64" s="43"/>
      <c r="I64" s="43"/>
      <c r="J64" s="43"/>
      <c r="K64" s="43"/>
      <c r="L64" s="51"/>
      <c r="M64" s="43"/>
      <c r="N64" s="42"/>
      <c r="O64" s="43"/>
      <c r="P64" s="43"/>
      <c r="Q64" s="43"/>
      <c r="R64" s="43"/>
      <c r="S64" s="43"/>
      <c r="T64" s="43"/>
      <c r="U64" s="43"/>
      <c r="V64" s="43"/>
      <c r="W64" s="43"/>
    </row>
    <row r="65" spans="3:24" s="31" customFormat="1" ht="12.75" customHeight="1">
      <c r="C65" s="44"/>
      <c r="D65" s="50"/>
      <c r="E65" s="43"/>
      <c r="F65" s="43"/>
      <c r="G65" s="43"/>
      <c r="H65" s="43"/>
      <c r="I65" s="43"/>
      <c r="J65" s="43"/>
      <c r="K65" s="43"/>
      <c r="L65" s="32"/>
      <c r="M65" s="43"/>
      <c r="N65" s="32"/>
      <c r="O65" s="43"/>
      <c r="P65" s="43"/>
      <c r="Q65" s="43"/>
      <c r="R65" s="43"/>
      <c r="S65" s="46"/>
      <c r="T65" s="46"/>
      <c r="U65" s="46"/>
      <c r="V65" s="46"/>
      <c r="W65" s="46"/>
      <c r="X65" s="46"/>
    </row>
    <row r="66" spans="3:24" s="31" customFormat="1" ht="12.75" customHeight="1">
      <c r="C66" s="44"/>
      <c r="D66" s="50"/>
      <c r="E66" s="43"/>
      <c r="F66" s="43"/>
      <c r="G66" s="43"/>
      <c r="H66" s="43"/>
      <c r="I66" s="43"/>
      <c r="J66" s="43"/>
      <c r="K66" s="43"/>
      <c r="L66" s="32"/>
      <c r="M66" s="43"/>
      <c r="N66" s="32"/>
      <c r="O66" s="43"/>
      <c r="P66" s="43"/>
      <c r="Q66" s="43"/>
      <c r="R66" s="43"/>
      <c r="S66" s="46"/>
      <c r="T66" s="46"/>
      <c r="U66" s="46"/>
      <c r="V66" s="46"/>
      <c r="W66" s="46"/>
      <c r="X66" s="46"/>
    </row>
    <row r="67" spans="3:24" s="31" customFormat="1" ht="12.75" customHeight="1">
      <c r="C67" s="44"/>
      <c r="D67" s="50"/>
      <c r="E67" s="43"/>
      <c r="F67" s="43"/>
      <c r="G67" s="43"/>
      <c r="H67" s="43"/>
      <c r="I67" s="43"/>
      <c r="J67" s="43"/>
      <c r="K67" s="43"/>
      <c r="L67" s="51"/>
      <c r="M67" s="43"/>
      <c r="N67" s="42"/>
      <c r="O67" s="43"/>
      <c r="P67" s="43"/>
      <c r="Q67" s="43"/>
      <c r="R67" s="43"/>
      <c r="S67" s="43"/>
      <c r="T67" s="43"/>
      <c r="U67" s="43"/>
      <c r="V67" s="43"/>
      <c r="W67" s="43"/>
    </row>
    <row r="68" spans="3:24" s="31" customFormat="1" ht="12.75" customHeight="1">
      <c r="C68" s="54"/>
      <c r="D68" s="50"/>
      <c r="E68" s="43"/>
      <c r="F68" s="43"/>
      <c r="G68" s="43"/>
      <c r="H68" s="43"/>
      <c r="I68" s="43"/>
      <c r="J68" s="43"/>
      <c r="K68" s="43"/>
      <c r="L68" s="32"/>
      <c r="M68" s="43"/>
      <c r="N68" s="32"/>
      <c r="O68" s="43"/>
      <c r="P68" s="43"/>
      <c r="Q68" s="43"/>
      <c r="R68" s="43"/>
      <c r="S68" s="46"/>
      <c r="T68" s="46"/>
      <c r="U68" s="46"/>
      <c r="V68" s="46"/>
      <c r="W68" s="46"/>
      <c r="X68" s="46"/>
    </row>
    <row r="69" spans="3:24" s="31" customFormat="1" ht="12.75" customHeight="1">
      <c r="C69" s="55"/>
      <c r="D69" s="50"/>
      <c r="E69" s="43"/>
      <c r="F69" s="43"/>
      <c r="G69" s="43"/>
      <c r="H69" s="43"/>
      <c r="I69" s="43"/>
      <c r="J69" s="43"/>
      <c r="K69" s="43"/>
      <c r="L69" s="32"/>
      <c r="M69" s="43"/>
      <c r="N69" s="32"/>
      <c r="O69" s="43"/>
      <c r="P69" s="43"/>
      <c r="Q69" s="43"/>
      <c r="R69" s="43"/>
      <c r="S69" s="46"/>
      <c r="T69" s="46"/>
      <c r="U69" s="46"/>
      <c r="V69" s="46"/>
      <c r="W69" s="46"/>
      <c r="X69" s="46"/>
    </row>
    <row r="70" spans="3:24" s="31" customFormat="1" ht="12.75" customHeight="1">
      <c r="L70" s="32"/>
      <c r="N70" s="32"/>
    </row>
    <row r="71" spans="3:24" s="31" customFormat="1" ht="12.75" customHeight="1">
      <c r="L71" s="32"/>
      <c r="N71" s="32"/>
    </row>
    <row r="72" spans="3:24" s="31" customFormat="1" ht="12.75" customHeight="1">
      <c r="L72" s="32"/>
      <c r="N72" s="32"/>
    </row>
    <row r="73" spans="3:24" s="31" customFormat="1" ht="12.75" customHeight="1">
      <c r="L73" s="32"/>
      <c r="N73" s="32"/>
    </row>
    <row r="74" spans="3:24" s="31" customFormat="1" ht="12.75" customHeight="1">
      <c r="L74" s="32"/>
      <c r="N74" s="32"/>
    </row>
    <row r="75" spans="3:24" s="31" customFormat="1" ht="12.75" customHeight="1">
      <c r="L75" s="32"/>
      <c r="N75" s="32"/>
    </row>
    <row r="76" spans="3:24" s="31" customFormat="1" ht="12.75" customHeight="1">
      <c r="L76" s="32"/>
      <c r="N76" s="32"/>
    </row>
    <row r="77" spans="3:24" s="31" customFormat="1" ht="12.75" customHeight="1">
      <c r="L77" s="32"/>
      <c r="N77" s="32"/>
    </row>
    <row r="78" spans="3:24" s="31" customFormat="1" ht="12.75" customHeight="1">
      <c r="L78" s="32"/>
      <c r="N78" s="32"/>
    </row>
    <row r="79" spans="3:24" s="31" customFormat="1" ht="12.75" customHeight="1">
      <c r="L79" s="32"/>
      <c r="N79" s="32"/>
    </row>
    <row r="80" spans="3:24" s="31" customFormat="1" ht="12.75" customHeight="1">
      <c r="L80" s="32"/>
      <c r="N80" s="32"/>
    </row>
    <row r="81" spans="12:14" s="31" customFormat="1" ht="12.75" customHeight="1">
      <c r="L81" s="32"/>
      <c r="N81" s="32"/>
    </row>
    <row r="82" spans="12:14" s="31" customFormat="1" ht="12.75" customHeight="1">
      <c r="L82" s="32"/>
      <c r="N82" s="32"/>
    </row>
    <row r="83" spans="12:14" s="31" customFormat="1" ht="12.75" customHeight="1">
      <c r="L83" s="32"/>
      <c r="N83" s="32"/>
    </row>
    <row r="84" spans="12:14" s="31" customFormat="1" ht="12.75" customHeight="1">
      <c r="L84" s="32"/>
      <c r="N84" s="32"/>
    </row>
    <row r="85" spans="12:14" s="31" customFormat="1" ht="12.75" customHeight="1">
      <c r="L85" s="32"/>
      <c r="N85" s="32"/>
    </row>
    <row r="86" spans="12:14" s="31" customFormat="1" ht="12.75" customHeight="1">
      <c r="L86" s="32"/>
      <c r="N86" s="32"/>
    </row>
    <row r="87" spans="12:14" s="31" customFormat="1" ht="12.75" customHeight="1">
      <c r="L87" s="32"/>
      <c r="N87" s="32"/>
    </row>
    <row r="88" spans="12:14" s="31" customFormat="1" ht="12.75" customHeight="1">
      <c r="L88" s="32"/>
      <c r="N88" s="32"/>
    </row>
    <row r="89" spans="12:14" s="31" customFormat="1" ht="12.75" customHeight="1">
      <c r="L89" s="32"/>
      <c r="N89" s="32"/>
    </row>
    <row r="90" spans="12:14" s="31" customFormat="1" ht="12.75" customHeight="1">
      <c r="L90" s="32"/>
      <c r="N90" s="32"/>
    </row>
    <row r="91" spans="12:14" s="31" customFormat="1" ht="12.75" customHeight="1">
      <c r="L91" s="32"/>
      <c r="N91" s="32"/>
    </row>
    <row r="92" spans="12:14" s="31" customFormat="1" ht="12.75" customHeight="1">
      <c r="L92" s="32"/>
      <c r="N92" s="32"/>
    </row>
    <row r="93" spans="12:14" s="31" customFormat="1" ht="12.75" customHeight="1">
      <c r="L93" s="32"/>
      <c r="N93" s="32"/>
    </row>
    <row r="94" spans="12:14" s="31" customFormat="1" ht="12.75" customHeight="1">
      <c r="L94" s="32"/>
      <c r="N94" s="32"/>
    </row>
    <row r="95" spans="12:14" s="31" customFormat="1" ht="12.75" customHeight="1">
      <c r="L95" s="32"/>
      <c r="N95" s="32"/>
    </row>
    <row r="96" spans="12:14" s="31" customFormat="1" ht="12.75" customHeight="1">
      <c r="L96" s="32"/>
      <c r="N96" s="32"/>
    </row>
    <row r="97" spans="12:14" s="31" customFormat="1" ht="12.75" customHeight="1">
      <c r="L97" s="32"/>
      <c r="N97" s="32"/>
    </row>
    <row r="98" spans="12:14" s="31" customFormat="1" ht="12.75" customHeight="1">
      <c r="L98" s="32"/>
      <c r="N98" s="32"/>
    </row>
    <row r="99" spans="12:14" s="31" customFormat="1" ht="12.75" customHeight="1">
      <c r="L99" s="32"/>
      <c r="N99" s="32"/>
    </row>
    <row r="100" spans="12:14" s="31" customFormat="1" ht="12.75" customHeight="1">
      <c r="L100" s="32"/>
      <c r="N100" s="32"/>
    </row>
    <row r="101" spans="12:14" s="31" customFormat="1" ht="12.75" customHeight="1">
      <c r="L101" s="32"/>
      <c r="N101" s="32"/>
    </row>
    <row r="102" spans="12:14" s="31" customFormat="1" ht="12.75" customHeight="1">
      <c r="L102" s="32"/>
      <c r="N102" s="32"/>
    </row>
    <row r="103" spans="12:14" s="31" customFormat="1" ht="12.75" customHeight="1">
      <c r="L103" s="32"/>
      <c r="N103" s="32"/>
    </row>
    <row r="104" spans="12:14" s="31" customFormat="1" ht="12.75" customHeight="1">
      <c r="L104" s="32"/>
      <c r="N104" s="32"/>
    </row>
    <row r="105" spans="12:14" s="31" customFormat="1" ht="12.75" customHeight="1">
      <c r="L105" s="32"/>
      <c r="N105" s="32"/>
    </row>
    <row r="106" spans="12:14" s="31" customFormat="1" ht="12.75" customHeight="1">
      <c r="L106" s="32"/>
      <c r="N106" s="32"/>
    </row>
    <row r="107" spans="12:14" s="31" customFormat="1" ht="12.75" customHeight="1">
      <c r="L107" s="32"/>
      <c r="N107" s="32"/>
    </row>
    <row r="108" spans="12:14" s="31" customFormat="1" ht="12.75" customHeight="1">
      <c r="L108" s="32"/>
      <c r="N108" s="32"/>
    </row>
    <row r="109" spans="12:14" s="31" customFormat="1" ht="12.75" customHeight="1">
      <c r="L109" s="32"/>
      <c r="N109" s="32"/>
    </row>
    <row r="110" spans="12:14" s="31" customFormat="1" ht="12.75" customHeight="1">
      <c r="L110" s="32"/>
      <c r="N110" s="32"/>
    </row>
    <row r="111" spans="12:14" s="31" customFormat="1" ht="12.75" customHeight="1">
      <c r="L111" s="32"/>
      <c r="N111" s="32"/>
    </row>
    <row r="112" spans="12:14" s="31" customFormat="1" ht="12.75" customHeight="1">
      <c r="L112" s="32"/>
      <c r="N112" s="32"/>
    </row>
    <row r="113" spans="12:14" s="31" customFormat="1" ht="12.75" customHeight="1">
      <c r="L113" s="32"/>
      <c r="N113" s="32"/>
    </row>
    <row r="114" spans="12:14" s="31" customFormat="1" ht="12.75" customHeight="1">
      <c r="L114" s="32"/>
      <c r="N114" s="32"/>
    </row>
    <row r="115" spans="12:14" s="31" customFormat="1" ht="12.75" customHeight="1">
      <c r="L115" s="32"/>
      <c r="N115" s="32"/>
    </row>
    <row r="116" spans="12:14" s="31" customFormat="1" ht="12.75" customHeight="1">
      <c r="L116" s="32"/>
      <c r="N116" s="32"/>
    </row>
    <row r="117" spans="12:14" s="31" customFormat="1" ht="12.75" customHeight="1">
      <c r="L117" s="32"/>
      <c r="N117" s="32"/>
    </row>
    <row r="118" spans="12:14" s="31" customFormat="1" ht="12.75" customHeight="1">
      <c r="L118" s="32"/>
      <c r="N118" s="32"/>
    </row>
    <row r="119" spans="12:14" s="31" customFormat="1" ht="12.75" customHeight="1">
      <c r="L119" s="32"/>
      <c r="N119" s="32"/>
    </row>
    <row r="120" spans="12:14" s="31" customFormat="1" ht="12.75" customHeight="1">
      <c r="L120" s="32"/>
      <c r="N120" s="32"/>
    </row>
    <row r="121" spans="12:14" s="31" customFormat="1" ht="12.75" customHeight="1">
      <c r="L121" s="32"/>
      <c r="N121" s="32"/>
    </row>
    <row r="122" spans="12:14" s="31" customFormat="1" ht="12.75" customHeight="1">
      <c r="L122" s="32"/>
      <c r="N122" s="32"/>
    </row>
    <row r="123" spans="12:14" s="31" customFormat="1" ht="12.75" customHeight="1">
      <c r="L123" s="32"/>
      <c r="N123" s="32"/>
    </row>
    <row r="124" spans="12:14" s="31" customFormat="1" ht="12.75" customHeight="1">
      <c r="L124" s="32"/>
      <c r="N124" s="32"/>
    </row>
    <row r="125" spans="12:14" s="31" customFormat="1" ht="12.75" customHeight="1">
      <c r="L125" s="32"/>
      <c r="N125" s="32"/>
    </row>
    <row r="126" spans="12:14" s="31" customFormat="1" ht="12.75" customHeight="1">
      <c r="L126" s="32"/>
      <c r="N126" s="32"/>
    </row>
    <row r="127" spans="12:14" s="31" customFormat="1" ht="12.75" customHeight="1">
      <c r="L127" s="32"/>
      <c r="N127" s="32"/>
    </row>
    <row r="128" spans="12:14" s="31" customFormat="1" ht="12.75" customHeight="1">
      <c r="L128" s="32"/>
      <c r="N128" s="32"/>
    </row>
    <row r="129" spans="12:14" s="31" customFormat="1" ht="12.75" customHeight="1">
      <c r="L129" s="32"/>
      <c r="N129" s="32"/>
    </row>
    <row r="130" spans="12:14" s="31" customFormat="1" ht="12.75" customHeight="1">
      <c r="L130" s="32"/>
      <c r="N130" s="32"/>
    </row>
    <row r="131" spans="12:14" s="31" customFormat="1" ht="12.75" customHeight="1">
      <c r="L131" s="32"/>
      <c r="N131" s="32"/>
    </row>
    <row r="132" spans="12:14" s="31" customFormat="1" ht="12.75" customHeight="1">
      <c r="L132" s="32"/>
      <c r="N132" s="32"/>
    </row>
    <row r="133" spans="12:14" s="31" customFormat="1" ht="12.75" customHeight="1">
      <c r="L133" s="32"/>
      <c r="N133" s="32"/>
    </row>
    <row r="134" spans="12:14" s="31" customFormat="1" ht="12.75" customHeight="1">
      <c r="L134" s="32"/>
      <c r="N134" s="32"/>
    </row>
    <row r="135" spans="12:14" s="31" customFormat="1" ht="12.75" customHeight="1">
      <c r="L135" s="32"/>
      <c r="N135" s="32"/>
    </row>
    <row r="136" spans="12:14" s="31" customFormat="1" ht="12.75" customHeight="1">
      <c r="L136" s="32"/>
      <c r="N136" s="32"/>
    </row>
    <row r="137" spans="12:14" s="31" customFormat="1" ht="12.75" customHeight="1">
      <c r="L137" s="32"/>
      <c r="N137" s="32"/>
    </row>
    <row r="138" spans="12:14" s="31" customFormat="1" ht="12.75" customHeight="1">
      <c r="L138" s="32"/>
      <c r="N138" s="32"/>
    </row>
    <row r="139" spans="12:14" s="31" customFormat="1" ht="12.75" customHeight="1">
      <c r="L139" s="32"/>
      <c r="N139" s="32"/>
    </row>
    <row r="140" spans="12:14" s="31" customFormat="1" ht="12.75" customHeight="1">
      <c r="L140" s="32"/>
      <c r="N140" s="32"/>
    </row>
    <row r="141" spans="12:14" s="31" customFormat="1" ht="12.75" customHeight="1">
      <c r="L141" s="32"/>
      <c r="N141" s="32"/>
    </row>
    <row r="142" spans="12:14" s="31" customFormat="1" ht="12.75" customHeight="1">
      <c r="L142" s="32"/>
      <c r="N142" s="32"/>
    </row>
    <row r="143" spans="12:14" s="31" customFormat="1" ht="12.75" customHeight="1">
      <c r="L143" s="32"/>
      <c r="N143" s="32"/>
    </row>
    <row r="144" spans="12:14" s="31" customFormat="1" ht="12.75" customHeight="1">
      <c r="L144" s="32"/>
      <c r="N144" s="32"/>
    </row>
    <row r="145" spans="12:14" s="31" customFormat="1" ht="12.75" customHeight="1">
      <c r="L145" s="32"/>
      <c r="N145" s="32"/>
    </row>
    <row r="146" spans="12:14" s="31" customFormat="1" ht="12.75" customHeight="1">
      <c r="L146" s="32"/>
      <c r="N146" s="32"/>
    </row>
  </sheetData>
  <phoneticPr fontId="5" type="noConversion"/>
  <printOptions horizontalCentered="1"/>
  <pageMargins left="0.5" right="0.5" top="3" bottom="0.5" header="1.5" footer="0.5"/>
  <pageSetup scale="49" fitToWidth="2" fitToHeight="0" pageOrder="overThenDown" orientation="landscape"/>
  <headerFooter alignWithMargins="0">
    <oddHeader>&amp;R&amp;"Arial,Bold"Schedule &amp;A
Page &amp;P of &amp;N&amp;C&amp;B
2025 RATE CASE
ONCOR ELECTRIC DELIVERY COMPANY LLC
II-D-2   A&amp;&amp;G EXPENSES
TEST YEAR ENDING DECEMBER 31, 2024
SPONSOR: R. PRACHYL</oddHeader>
  </headerFooter>
  <colBreaks count="1" manualBreakCount="1">
    <brk id="13" min="14" max="34"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0">
    <tabColor rgb="FFFF0000"/>
  </sheetPr>
  <dimension ref="A1:I145"/>
  <sheetViews>
    <sheetView zoomScale="85" zoomScaleNormal="85" workbookViewId="0">
      <pane xSplit="3" ySplit="15" topLeftCell="D16" activePane="bottomRight" state="frozen"/>
      <selection activeCell="L94" sqref="L94"/>
      <selection pane="topRight" activeCell="L94" sqref="L94"/>
      <selection pane="bottomLeft" activeCell="L94" sqref="L94"/>
      <selection pane="bottomRight" activeCell="D16" sqref="D16"/>
    </sheetView>
  </sheetViews>
  <sheetFormatPr defaultColWidth="9.140625" defaultRowHeight="12.75"/>
  <cols>
    <col min="1" max="1" width="5.7109375" style="31" customWidth="1"/>
    <col min="2" max="2" width="8.7109375" style="33" customWidth="1"/>
    <col min="3" max="3" width="46.5703125" style="33" customWidth="1"/>
    <col min="4" max="4" width="10.5703125" style="33" customWidth="1"/>
    <col min="5" max="7" width="15.28515625" style="33" bestFit="1" customWidth="1"/>
    <col min="8" max="8" width="18" style="33" bestFit="1" customWidth="1"/>
    <col min="9" max="16384" width="9.140625" style="33"/>
  </cols>
  <sheetData>
    <row r="1" spans="1:8">
      <c r="A1" s="35" t="str">
        <f>+'[3]Input Data'!$A$9</f>
        <v>2025 RATE CASE</v>
      </c>
    </row>
    <row r="2" spans="1:8">
      <c r="A2" s="8" t="str">
        <f>+'[3]Input Data'!$A$2</f>
        <v>ONCOR ELECTRIC DELIVERY COMPANY LLC</v>
      </c>
      <c r="B2" s="31"/>
      <c r="C2" s="31"/>
      <c r="D2" s="31"/>
      <c r="E2" s="31"/>
      <c r="F2" s="31"/>
      <c r="G2" s="57"/>
      <c r="H2" s="31"/>
    </row>
    <row r="3" spans="1:8">
      <c r="A3" s="186" t="s">
        <v>615</v>
      </c>
      <c r="B3" s="4"/>
      <c r="D3" s="31"/>
      <c r="E3" s="31"/>
      <c r="F3" s="31"/>
      <c r="G3" s="34"/>
      <c r="H3" s="31"/>
    </row>
    <row r="4" spans="1:8">
      <c r="A4" s="63" t="str">
        <f>+'[3]Input Data'!$A$4</f>
        <v>TEST YEAR ENDING DECEMBER 31, 2024</v>
      </c>
      <c r="B4" s="4"/>
      <c r="D4" s="31"/>
      <c r="E4" s="31"/>
      <c r="F4" s="31"/>
      <c r="G4" s="34"/>
      <c r="H4" s="31"/>
    </row>
    <row r="5" spans="1:8">
      <c r="A5" s="7" t="str">
        <f>CONCATENATE("SPONSOR: ",'[3]Schedule Sponsors'!$D$53)</f>
        <v>SPONSOR: R. PRACHYL</v>
      </c>
      <c r="B5" s="4"/>
      <c r="D5" s="31"/>
      <c r="E5" s="31"/>
      <c r="F5" s="31"/>
      <c r="G5" s="31"/>
      <c r="H5" s="31"/>
    </row>
    <row r="6" spans="1:8">
      <c r="B6" s="4"/>
      <c r="D6" s="31"/>
      <c r="E6" s="31"/>
      <c r="F6" s="31"/>
      <c r="G6" s="31"/>
      <c r="H6" s="31"/>
    </row>
    <row r="7" spans="1:8">
      <c r="B7" s="4"/>
      <c r="D7" s="31"/>
      <c r="E7" s="31"/>
      <c r="F7" s="31"/>
      <c r="G7" s="31"/>
      <c r="H7" s="31"/>
    </row>
    <row r="8" spans="1:8">
      <c r="B8" s="35"/>
      <c r="C8" s="31"/>
      <c r="D8" s="31"/>
      <c r="E8" s="31"/>
      <c r="F8" s="31"/>
      <c r="G8" s="31"/>
      <c r="H8" s="31"/>
    </row>
    <row r="9" spans="1:8" ht="13.5" thickBot="1">
      <c r="B9" s="31" t="s">
        <v>210</v>
      </c>
      <c r="C9" s="31"/>
      <c r="D9" s="31"/>
      <c r="E9" s="36"/>
      <c r="F9" s="36"/>
      <c r="G9" s="36"/>
      <c r="H9" s="36"/>
    </row>
    <row r="10" spans="1:8" s="56" customFormat="1">
      <c r="A10" s="9"/>
      <c r="B10" s="9"/>
      <c r="C10" s="9"/>
      <c r="D10" s="9"/>
      <c r="E10" s="10"/>
      <c r="F10" s="82"/>
      <c r="G10" s="82"/>
      <c r="H10" s="82"/>
    </row>
    <row r="11" spans="1:8" s="56" customFormat="1">
      <c r="A11" s="11"/>
      <c r="B11" s="11"/>
      <c r="C11" s="11"/>
      <c r="D11" s="11"/>
      <c r="E11" s="11" t="s">
        <v>319</v>
      </c>
      <c r="F11" s="81"/>
      <c r="G11" s="81"/>
      <c r="H11" s="81"/>
    </row>
    <row r="12" spans="1:8" s="56" customFormat="1">
      <c r="A12" s="11" t="s">
        <v>87</v>
      </c>
      <c r="B12" s="11" t="s">
        <v>212</v>
      </c>
      <c r="C12" s="11"/>
      <c r="D12" s="11" t="s">
        <v>209</v>
      </c>
      <c r="E12" s="11" t="s">
        <v>321</v>
      </c>
      <c r="F12" s="81" t="str">
        <f>+'II-D-1a'!F12</f>
        <v>Year</v>
      </c>
      <c r="G12" s="81" t="str">
        <f>+'II-D-1a'!G12</f>
        <v>Year</v>
      </c>
      <c r="H12" s="81" t="str">
        <f>+'II-D-1a'!H12</f>
        <v>Year</v>
      </c>
    </row>
    <row r="13" spans="1:8" s="56" customFormat="1">
      <c r="A13" s="11" t="s">
        <v>89</v>
      </c>
      <c r="B13" s="11" t="s">
        <v>294</v>
      </c>
      <c r="C13" s="11" t="s">
        <v>208</v>
      </c>
      <c r="D13" s="11" t="s">
        <v>211</v>
      </c>
      <c r="E13" s="11" t="s">
        <v>222</v>
      </c>
      <c r="F13" s="81">
        <f>+'II-D-1a'!F13</f>
        <v>2021</v>
      </c>
      <c r="G13" s="81">
        <f>+'II-D-1a'!G13</f>
        <v>2022</v>
      </c>
      <c r="H13" s="81">
        <f>+'II-D-1a'!H13</f>
        <v>2023</v>
      </c>
    </row>
    <row r="14" spans="1:8" s="56" customFormat="1" ht="13.5" thickBot="1">
      <c r="A14" s="12"/>
      <c r="B14" s="29" t="s">
        <v>44</v>
      </c>
      <c r="C14" s="29" t="s">
        <v>45</v>
      </c>
      <c r="D14" s="29" t="s">
        <v>74</v>
      </c>
      <c r="E14" s="29" t="s">
        <v>75</v>
      </c>
      <c r="F14" s="80" t="str">
        <f>+'II-D-1a'!F14</f>
        <v>(e)</v>
      </c>
      <c r="G14" s="80" t="str">
        <f>+'II-D-1a'!G14</f>
        <v>(f)</v>
      </c>
      <c r="H14" s="80" t="str">
        <f>+'II-D-1a'!H14</f>
        <v>(g)</v>
      </c>
    </row>
    <row r="15" spans="1:8" s="31" customFormat="1" ht="12.75" customHeight="1">
      <c r="B15" s="38"/>
      <c r="C15" s="38"/>
      <c r="D15" s="38"/>
      <c r="E15" s="38"/>
      <c r="F15" s="38"/>
      <c r="G15" s="38"/>
      <c r="H15" s="38"/>
    </row>
    <row r="16" spans="1:8" s="8" customFormat="1" ht="15" customHeight="1">
      <c r="A16" s="16">
        <v>1</v>
      </c>
      <c r="B16" s="325" t="s">
        <v>187</v>
      </c>
      <c r="D16" s="18" t="s">
        <v>385</v>
      </c>
      <c r="E16" s="19"/>
      <c r="F16" s="19"/>
      <c r="G16" s="19"/>
      <c r="H16" s="19"/>
    </row>
    <row r="17" spans="1:9" s="8" customFormat="1" ht="15" customHeight="1">
      <c r="A17" s="16">
        <v>2</v>
      </c>
      <c r="D17" s="18"/>
      <c r="E17" s="19"/>
      <c r="F17" s="19"/>
      <c r="G17" s="19"/>
      <c r="H17" s="19"/>
    </row>
    <row r="18" spans="1:9" s="4" customFormat="1" ht="15" customHeight="1">
      <c r="A18" s="16">
        <v>3</v>
      </c>
      <c r="B18" s="4" t="s">
        <v>269</v>
      </c>
      <c r="C18" s="4" t="s">
        <v>337</v>
      </c>
      <c r="D18" s="16"/>
      <c r="E18" s="150">
        <f>+'II-D-2'!H17</f>
        <v>133795210.46999998</v>
      </c>
      <c r="F18" s="230">
        <v>91188633.209999993</v>
      </c>
      <c r="G18" s="230">
        <v>98785908.140000001</v>
      </c>
      <c r="H18" s="230">
        <v>171062627.46000001</v>
      </c>
      <c r="I18" s="230"/>
    </row>
    <row r="19" spans="1:9" s="4" customFormat="1" ht="15" customHeight="1">
      <c r="A19" s="16">
        <v>4</v>
      </c>
      <c r="B19" s="4" t="s">
        <v>270</v>
      </c>
      <c r="C19" s="4" t="s">
        <v>338</v>
      </c>
      <c r="D19" s="16"/>
      <c r="E19" s="13">
        <f>+'II-D-2'!H18</f>
        <v>16585814.069999997</v>
      </c>
      <c r="F19" s="229">
        <v>9470759.8499999996</v>
      </c>
      <c r="G19" s="13">
        <v>12881624.630000001</v>
      </c>
      <c r="H19" s="13">
        <v>14157072.76</v>
      </c>
      <c r="I19" s="284"/>
    </row>
    <row r="20" spans="1:9" s="4" customFormat="1" ht="15" customHeight="1">
      <c r="A20" s="16">
        <v>5</v>
      </c>
      <c r="B20" s="4" t="s">
        <v>271</v>
      </c>
      <c r="C20" s="4" t="s">
        <v>339</v>
      </c>
      <c r="D20" s="16"/>
      <c r="E20" s="13">
        <f>+'II-D-2'!H19</f>
        <v>0</v>
      </c>
      <c r="F20" s="229">
        <v>0</v>
      </c>
      <c r="G20" s="13">
        <v>0</v>
      </c>
      <c r="H20" s="13">
        <v>0</v>
      </c>
      <c r="I20" s="284"/>
    </row>
    <row r="21" spans="1:9" s="4" customFormat="1" ht="15" customHeight="1">
      <c r="A21" s="16">
        <v>6</v>
      </c>
      <c r="B21" s="4" t="s">
        <v>272</v>
      </c>
      <c r="C21" s="23" t="s">
        <v>340</v>
      </c>
      <c r="D21" s="16"/>
      <c r="E21" s="13">
        <f>+'II-D-2'!H20</f>
        <v>130896627.95999995</v>
      </c>
      <c r="F21" s="229">
        <v>125515578.48999999</v>
      </c>
      <c r="G21" s="13">
        <v>132475805.56</v>
      </c>
      <c r="H21" s="13">
        <v>127338866.84999999</v>
      </c>
      <c r="I21" s="284"/>
    </row>
    <row r="22" spans="1:9" s="4" customFormat="1" ht="15" customHeight="1">
      <c r="A22" s="16">
        <v>7</v>
      </c>
      <c r="B22" s="4" t="s">
        <v>273</v>
      </c>
      <c r="C22" s="4" t="s">
        <v>341</v>
      </c>
      <c r="D22" s="16"/>
      <c r="E22" s="13">
        <f>+'II-D-2'!H21</f>
        <v>242627938.78999999</v>
      </c>
      <c r="F22" s="229">
        <v>113681193.59999999</v>
      </c>
      <c r="G22" s="13">
        <v>113482864.67</v>
      </c>
      <c r="H22" s="13">
        <v>197756369.63999999</v>
      </c>
      <c r="I22" s="284"/>
    </row>
    <row r="23" spans="1:9" s="4" customFormat="1" ht="15" customHeight="1">
      <c r="A23" s="16">
        <v>8</v>
      </c>
      <c r="B23" s="4" t="s">
        <v>274</v>
      </c>
      <c r="C23" s="4" t="s">
        <v>160</v>
      </c>
      <c r="D23" s="16"/>
      <c r="E23" s="13">
        <f>+'II-D-2'!H22</f>
        <v>55785739.399999999</v>
      </c>
      <c r="F23" s="229">
        <v>24016894.579999998</v>
      </c>
      <c r="G23" s="13">
        <v>26465619.489999998</v>
      </c>
      <c r="H23" s="13">
        <v>26066461.899999999</v>
      </c>
      <c r="I23" s="284"/>
    </row>
    <row r="24" spans="1:9" s="4" customFormat="1" ht="15" customHeight="1">
      <c r="A24" s="16">
        <v>9</v>
      </c>
      <c r="B24" s="4" t="s">
        <v>275</v>
      </c>
      <c r="C24" s="4" t="s">
        <v>28</v>
      </c>
      <c r="D24" s="16"/>
      <c r="E24" s="13">
        <f>+'II-D-2'!H23</f>
        <v>92481916.810000032</v>
      </c>
      <c r="F24" s="229">
        <v>151516132.00999999</v>
      </c>
      <c r="G24" s="13">
        <v>148671268.66</v>
      </c>
      <c r="H24" s="13">
        <v>117846256.65000001</v>
      </c>
      <c r="I24" s="284"/>
    </row>
    <row r="25" spans="1:9" s="4" customFormat="1" ht="15" customHeight="1">
      <c r="A25" s="16">
        <v>10</v>
      </c>
      <c r="B25" s="4" t="s">
        <v>276</v>
      </c>
      <c r="C25" s="4" t="s">
        <v>127</v>
      </c>
      <c r="D25" s="16"/>
      <c r="E25" s="13">
        <f>+'II-D-2'!H24</f>
        <v>6685777.5699999994</v>
      </c>
      <c r="F25" s="229">
        <v>258446.56</v>
      </c>
      <c r="G25" s="13">
        <v>1128592.99</v>
      </c>
      <c r="H25" s="13">
        <v>4593510.28</v>
      </c>
      <c r="I25" s="284"/>
    </row>
    <row r="26" spans="1:9" s="4" customFormat="1" ht="15" customHeight="1">
      <c r="A26" s="16">
        <v>11</v>
      </c>
      <c r="B26" s="30" t="s">
        <v>289</v>
      </c>
      <c r="C26" s="4" t="s">
        <v>29</v>
      </c>
      <c r="D26" s="16"/>
      <c r="E26" s="13">
        <f>+'II-D-2'!H25</f>
        <v>789677.28999999992</v>
      </c>
      <c r="F26" s="229">
        <v>151079.01</v>
      </c>
      <c r="G26" s="13">
        <v>603860.94999999995</v>
      </c>
      <c r="H26" s="13">
        <v>1559783.1</v>
      </c>
      <c r="I26" s="284"/>
    </row>
    <row r="27" spans="1:9" s="4" customFormat="1" ht="15" customHeight="1">
      <c r="A27" s="16">
        <v>12</v>
      </c>
      <c r="B27" s="30" t="s">
        <v>288</v>
      </c>
      <c r="C27" s="4" t="s">
        <v>153</v>
      </c>
      <c r="D27" s="16"/>
      <c r="E27" s="13">
        <f>+'II-D-2'!H26</f>
        <v>17845950.600000005</v>
      </c>
      <c r="F27" s="229">
        <v>17609656</v>
      </c>
      <c r="G27" s="13">
        <v>20246010.390000001</v>
      </c>
      <c r="H27" s="13">
        <v>16881623.43</v>
      </c>
      <c r="I27" s="284"/>
    </row>
    <row r="28" spans="1:9" s="4" customFormat="1" ht="15" customHeight="1">
      <c r="A28" s="16">
        <v>13</v>
      </c>
      <c r="B28" s="4" t="s">
        <v>277</v>
      </c>
      <c r="C28" s="4" t="s">
        <v>227</v>
      </c>
      <c r="D28" s="16"/>
      <c r="E28" s="13">
        <f>+'II-D-2'!H27</f>
        <v>2064862.55</v>
      </c>
      <c r="F28" s="229">
        <v>2142408.91</v>
      </c>
      <c r="G28" s="13">
        <v>2023115.96</v>
      </c>
      <c r="H28" s="13">
        <v>2270779.81</v>
      </c>
      <c r="I28" s="284"/>
    </row>
    <row r="29" spans="1:9" s="4" customFormat="1" ht="15" customHeight="1">
      <c r="A29" s="16">
        <v>14</v>
      </c>
      <c r="B29" s="4" t="s">
        <v>26</v>
      </c>
      <c r="C29" s="4" t="s">
        <v>154</v>
      </c>
      <c r="D29" s="16"/>
      <c r="E29" s="13">
        <f>+'II-D-2'!H28</f>
        <v>117645.40000000002</v>
      </c>
      <c r="F29" s="229">
        <v>-9752.35</v>
      </c>
      <c r="G29" s="13">
        <v>51533.15</v>
      </c>
      <c r="H29" s="13">
        <v>54634.720000000001</v>
      </c>
      <c r="I29" s="284"/>
    </row>
    <row r="30" spans="1:9" s="4" customFormat="1" ht="15" customHeight="1">
      <c r="A30" s="16">
        <v>15</v>
      </c>
      <c r="B30" s="4" t="s">
        <v>278</v>
      </c>
      <c r="C30" s="4" t="s">
        <v>154</v>
      </c>
      <c r="D30" s="16"/>
      <c r="E30" s="13">
        <f>+'II-D-2'!H29</f>
        <v>4366896.9400000004</v>
      </c>
      <c r="F30" s="229">
        <v>3541040.28</v>
      </c>
      <c r="G30" s="13">
        <v>3625295.6</v>
      </c>
      <c r="H30" s="13">
        <v>4080329.3</v>
      </c>
      <c r="I30" s="284"/>
    </row>
    <row r="31" spans="1:9" s="4" customFormat="1" ht="15" customHeight="1">
      <c r="A31" s="16">
        <v>16</v>
      </c>
      <c r="D31" s="16"/>
      <c r="E31" s="123"/>
      <c r="F31" s="123"/>
      <c r="G31" s="123"/>
      <c r="H31" s="123"/>
      <c r="I31" s="284"/>
    </row>
    <row r="32" spans="1:9" s="8" customFormat="1" ht="15" customHeight="1">
      <c r="A32" s="16">
        <v>17</v>
      </c>
      <c r="B32" s="8" t="s">
        <v>73</v>
      </c>
      <c r="C32" s="26"/>
      <c r="D32" s="18" t="s">
        <v>385</v>
      </c>
      <c r="E32" s="141">
        <f t="shared" ref="E32:H32" si="0">SUM(E18:E30)</f>
        <v>704044057.85000002</v>
      </c>
      <c r="F32" s="141">
        <f t="shared" si="0"/>
        <v>539082070.14999998</v>
      </c>
      <c r="G32" s="141">
        <f t="shared" si="0"/>
        <v>560441500.19000006</v>
      </c>
      <c r="H32" s="141">
        <f t="shared" si="0"/>
        <v>683668315.89999986</v>
      </c>
      <c r="I32" s="285"/>
    </row>
    <row r="33" spans="1:9" s="4" customFormat="1" ht="15" customHeight="1">
      <c r="A33" s="16">
        <v>18</v>
      </c>
      <c r="C33" s="7"/>
      <c r="D33" s="18"/>
      <c r="E33" s="19"/>
      <c r="F33" s="19"/>
      <c r="G33" s="19"/>
      <c r="H33" s="19"/>
      <c r="I33" s="284"/>
    </row>
    <row r="34" spans="1:9" s="8" customFormat="1" ht="15" customHeight="1">
      <c r="A34" s="16">
        <v>19</v>
      </c>
      <c r="B34" s="8" t="s">
        <v>384</v>
      </c>
      <c r="C34" s="26"/>
      <c r="D34" s="18" t="s">
        <v>386</v>
      </c>
      <c r="E34" s="141">
        <f>+'II-D-1a'!E103+'II-D-2a'!E32</f>
        <v>3304990861.7999997</v>
      </c>
      <c r="F34" s="141">
        <f>+'II-D-1a'!F103+'II-D-2a'!F32</f>
        <v>2560203691.8400002</v>
      </c>
      <c r="G34" s="141">
        <f>+'II-D-1a'!G103+'II-D-2a'!G32</f>
        <v>2806189865.6900001</v>
      </c>
      <c r="H34" s="141">
        <f>+'II-D-1a'!H103+'II-D-2a'!H32</f>
        <v>3085945054.0699997</v>
      </c>
      <c r="I34" s="285"/>
    </row>
    <row r="35" spans="1:9" s="4" customFormat="1">
      <c r="D35" s="16"/>
      <c r="E35" s="19"/>
      <c r="F35" s="19"/>
    </row>
    <row r="36" spans="1:9" s="4" customFormat="1">
      <c r="D36" s="16"/>
      <c r="F36" s="13"/>
      <c r="G36" s="13"/>
      <c r="H36" s="13"/>
    </row>
    <row r="37" spans="1:9" s="31" customFormat="1" ht="12.75" customHeight="1">
      <c r="E37" s="43"/>
      <c r="F37" s="43"/>
      <c r="G37" s="43"/>
      <c r="H37" s="43"/>
    </row>
    <row r="38" spans="1:9" s="31" customFormat="1" ht="12.75" customHeight="1">
      <c r="D38" s="43"/>
      <c r="E38" s="43"/>
      <c r="F38" s="43"/>
      <c r="G38" s="43"/>
      <c r="H38" s="43"/>
    </row>
    <row r="39" spans="1:9" s="31" customFormat="1" ht="12.75" customHeight="1">
      <c r="D39" s="41"/>
      <c r="E39" s="43"/>
      <c r="F39" s="43"/>
      <c r="G39" s="43"/>
      <c r="H39" s="43"/>
    </row>
    <row r="40" spans="1:9" s="31" customFormat="1" ht="12.75" customHeight="1">
      <c r="D40" s="43"/>
      <c r="E40" s="43"/>
      <c r="F40" s="43"/>
      <c r="G40" s="43"/>
      <c r="H40" s="43"/>
    </row>
    <row r="41" spans="1:9" s="35" customFormat="1" ht="12.75" customHeight="1">
      <c r="C41" s="44"/>
      <c r="D41" s="41"/>
      <c r="E41" s="41"/>
      <c r="F41" s="41"/>
      <c r="G41" s="41"/>
      <c r="H41" s="41"/>
    </row>
    <row r="42" spans="1:9" s="31" customFormat="1" ht="12.75" customHeight="1">
      <c r="D42" s="43"/>
      <c r="E42" s="43"/>
      <c r="F42" s="43"/>
      <c r="G42" s="43"/>
      <c r="H42" s="43"/>
    </row>
    <row r="43" spans="1:9" s="35" customFormat="1" ht="12.75" customHeight="1">
      <c r="C43" s="47"/>
      <c r="D43" s="41"/>
      <c r="E43" s="41"/>
      <c r="F43" s="41"/>
      <c r="G43" s="48"/>
      <c r="H43" s="41"/>
    </row>
    <row r="44" spans="1:9" s="31" customFormat="1" ht="12.75" customHeight="1">
      <c r="D44" s="50"/>
      <c r="E44" s="43"/>
      <c r="F44" s="43"/>
      <c r="G44" s="43"/>
      <c r="H44" s="43"/>
    </row>
    <row r="45" spans="1:9" s="31" customFormat="1" ht="12.75" customHeight="1">
      <c r="D45" s="50"/>
      <c r="E45" s="43"/>
      <c r="F45" s="43"/>
      <c r="G45" s="43"/>
      <c r="H45" s="43"/>
    </row>
    <row r="46" spans="1:9" s="31" customFormat="1" ht="12.75" customHeight="1">
      <c r="D46" s="50"/>
      <c r="E46" s="43"/>
      <c r="F46" s="43"/>
      <c r="G46" s="43"/>
      <c r="H46" s="43"/>
    </row>
    <row r="47" spans="1:9" s="31" customFormat="1" ht="12.75" customHeight="1">
      <c r="D47" s="50"/>
      <c r="E47" s="43"/>
      <c r="F47" s="43"/>
      <c r="G47" s="43"/>
      <c r="H47" s="43"/>
    </row>
    <row r="48" spans="1:9" s="31" customFormat="1" ht="12.75" customHeight="1">
      <c r="D48" s="50"/>
      <c r="E48" s="43"/>
      <c r="F48" s="43"/>
      <c r="G48" s="43"/>
      <c r="H48" s="43"/>
    </row>
    <row r="49" spans="2:8" s="31" customFormat="1" ht="12.75" customHeight="1">
      <c r="D49" s="50"/>
      <c r="E49" s="43"/>
      <c r="F49" s="43"/>
      <c r="G49" s="43"/>
      <c r="H49" s="43"/>
    </row>
    <row r="50" spans="2:8" s="31" customFormat="1" ht="12.75" customHeight="1">
      <c r="D50" s="50"/>
      <c r="E50" s="43"/>
      <c r="F50" s="43"/>
      <c r="G50" s="43"/>
      <c r="H50" s="43"/>
    </row>
    <row r="51" spans="2:8" s="31" customFormat="1" ht="12.75" customHeight="1">
      <c r="D51" s="50"/>
      <c r="E51" s="43"/>
      <c r="F51" s="43"/>
      <c r="G51" s="43"/>
      <c r="H51" s="43"/>
    </row>
    <row r="52" spans="2:8" s="31" customFormat="1" ht="12.75" customHeight="1">
      <c r="D52" s="50"/>
      <c r="E52" s="43"/>
      <c r="F52" s="43"/>
      <c r="G52" s="43"/>
      <c r="H52" s="43"/>
    </row>
    <row r="53" spans="2:8" s="31" customFormat="1" ht="12.75" customHeight="1">
      <c r="D53" s="50"/>
      <c r="E53" s="43"/>
      <c r="F53" s="43"/>
      <c r="G53" s="43"/>
      <c r="H53" s="43"/>
    </row>
    <row r="54" spans="2:8" s="35" customFormat="1" ht="12.75" customHeight="1">
      <c r="C54" s="44"/>
      <c r="D54" s="48"/>
      <c r="E54" s="41"/>
      <c r="F54" s="41"/>
      <c r="G54" s="41"/>
      <c r="H54" s="41"/>
    </row>
    <row r="55" spans="2:8" s="31" customFormat="1" ht="12.75" customHeight="1">
      <c r="C55" s="45"/>
      <c r="D55" s="50"/>
      <c r="E55" s="43"/>
      <c r="F55" s="43"/>
      <c r="G55" s="43"/>
      <c r="H55" s="43"/>
    </row>
    <row r="56" spans="2:8" s="35" customFormat="1" ht="12.75" customHeight="1">
      <c r="B56" s="52"/>
      <c r="D56" s="48"/>
      <c r="E56" s="41"/>
      <c r="F56" s="41"/>
      <c r="G56" s="41"/>
      <c r="H56" s="41"/>
    </row>
    <row r="57" spans="2:8" s="31" customFormat="1" ht="12.75" customHeight="1">
      <c r="C57" s="44"/>
      <c r="D57" s="50"/>
      <c r="E57" s="43"/>
      <c r="F57" s="43"/>
      <c r="G57" s="43"/>
      <c r="H57" s="43"/>
    </row>
    <row r="58" spans="2:8" s="35" customFormat="1" ht="12.75" customHeight="1">
      <c r="C58" s="44"/>
      <c r="D58" s="41"/>
      <c r="E58" s="41"/>
      <c r="F58" s="41"/>
      <c r="G58" s="41"/>
      <c r="H58" s="41"/>
    </row>
    <row r="59" spans="2:8" s="35" customFormat="1" ht="12.75" customHeight="1">
      <c r="C59" s="44"/>
      <c r="D59" s="48"/>
      <c r="E59" s="41"/>
      <c r="F59" s="41"/>
      <c r="G59" s="41"/>
      <c r="H59" s="41"/>
    </row>
    <row r="60" spans="2:8" s="35" customFormat="1" ht="12.75" customHeight="1">
      <c r="C60" s="44"/>
      <c r="D60" s="41"/>
      <c r="E60" s="41"/>
      <c r="F60" s="41"/>
      <c r="G60" s="41"/>
      <c r="H60" s="41"/>
    </row>
    <row r="61" spans="2:8" s="35" customFormat="1" ht="12.75" customHeight="1">
      <c r="C61" s="44"/>
      <c r="D61" s="48"/>
      <c r="E61" s="41"/>
      <c r="F61" s="41"/>
      <c r="G61" s="41"/>
      <c r="H61" s="41"/>
    </row>
    <row r="62" spans="2:8" s="35" customFormat="1" ht="12.75" customHeight="1">
      <c r="B62" s="40"/>
      <c r="C62" s="44"/>
      <c r="D62" s="48"/>
      <c r="E62" s="41"/>
      <c r="F62" s="41"/>
      <c r="G62" s="41"/>
      <c r="H62" s="41"/>
    </row>
    <row r="63" spans="2:8" s="31" customFormat="1" ht="12.75" customHeight="1">
      <c r="C63" s="44"/>
      <c r="D63" s="50"/>
      <c r="E63" s="43"/>
      <c r="F63" s="43"/>
      <c r="G63" s="43"/>
      <c r="H63" s="43"/>
    </row>
    <row r="64" spans="2:8" s="31" customFormat="1" ht="12.75" customHeight="1">
      <c r="C64" s="44"/>
      <c r="D64" s="50"/>
      <c r="E64" s="43"/>
      <c r="F64" s="43"/>
      <c r="G64" s="43"/>
      <c r="H64" s="43"/>
    </row>
    <row r="65" spans="3:8" s="31" customFormat="1" ht="12.75" customHeight="1">
      <c r="C65" s="44"/>
      <c r="D65" s="50"/>
      <c r="E65" s="43"/>
      <c r="F65" s="43"/>
      <c r="G65" s="43"/>
      <c r="H65" s="43"/>
    </row>
    <row r="66" spans="3:8" s="31" customFormat="1" ht="12.75" customHeight="1">
      <c r="C66" s="44"/>
      <c r="D66" s="50"/>
      <c r="E66" s="43"/>
      <c r="F66" s="43"/>
      <c r="G66" s="43"/>
      <c r="H66" s="43"/>
    </row>
    <row r="67" spans="3:8" s="31" customFormat="1" ht="12.75" customHeight="1">
      <c r="C67" s="54"/>
      <c r="D67" s="50"/>
      <c r="E67" s="43"/>
      <c r="F67" s="43"/>
      <c r="G67" s="43"/>
      <c r="H67" s="43"/>
    </row>
    <row r="68" spans="3:8" s="31" customFormat="1" ht="12.75" customHeight="1">
      <c r="C68" s="55"/>
      <c r="D68" s="50"/>
      <c r="E68" s="43"/>
      <c r="F68" s="43"/>
      <c r="G68" s="43"/>
      <c r="H68" s="43"/>
    </row>
    <row r="69" spans="3:8" s="31" customFormat="1" ht="12.75" customHeight="1"/>
    <row r="70" spans="3:8" s="31" customFormat="1" ht="12.75" customHeight="1"/>
    <row r="71" spans="3:8" s="31" customFormat="1" ht="12.75" customHeight="1"/>
    <row r="72" spans="3:8" s="31" customFormat="1" ht="12.75" customHeight="1"/>
    <row r="73" spans="3:8" s="31" customFormat="1" ht="12.75" customHeight="1"/>
    <row r="74" spans="3:8" s="31" customFormat="1" ht="12.75" customHeight="1"/>
    <row r="75" spans="3:8" s="31" customFormat="1" ht="12.75" customHeight="1"/>
    <row r="76" spans="3:8" s="31" customFormat="1" ht="12.75" customHeight="1"/>
    <row r="77" spans="3:8" s="31" customFormat="1" ht="12.75" customHeight="1"/>
    <row r="78" spans="3:8" s="31" customFormat="1" ht="12.75" customHeight="1"/>
    <row r="79" spans="3:8" s="31" customFormat="1" ht="12.75" customHeight="1"/>
    <row r="80" spans="3:8" s="31" customFormat="1" ht="12.75" customHeight="1"/>
    <row r="81" s="31" customFormat="1" ht="12.75" customHeight="1"/>
    <row r="82" s="31" customFormat="1" ht="12.75" customHeight="1"/>
    <row r="83" s="31" customFormat="1" ht="12.75" customHeight="1"/>
    <row r="84" s="31" customFormat="1" ht="12.75" customHeight="1"/>
    <row r="85" s="31" customFormat="1" ht="12.75" customHeight="1"/>
    <row r="86" s="31" customFormat="1" ht="12.75" customHeight="1"/>
    <row r="87" s="31" customFormat="1" ht="12.75" customHeight="1"/>
    <row r="88" s="31" customFormat="1" ht="12.75" customHeight="1"/>
    <row r="89" s="31" customFormat="1" ht="12.75" customHeight="1"/>
    <row r="90" s="31" customFormat="1" ht="12.75" customHeight="1"/>
    <row r="91" s="31" customFormat="1" ht="12.75" customHeight="1"/>
    <row r="92" s="31" customFormat="1" ht="12.75" customHeight="1"/>
    <row r="93" s="31" customFormat="1" ht="12.75" customHeight="1"/>
    <row r="94" s="31" customFormat="1" ht="12.75" customHeight="1"/>
    <row r="95" s="31" customFormat="1" ht="12.75" customHeight="1"/>
    <row r="96" s="31" customFormat="1" ht="12.75" customHeight="1"/>
    <row r="97" s="31" customFormat="1" ht="12.75" customHeight="1"/>
    <row r="98" s="31" customFormat="1" ht="12.75" customHeight="1"/>
    <row r="99" s="31" customFormat="1" ht="12.75" customHeight="1"/>
    <row r="100" s="31" customFormat="1" ht="12.75" customHeight="1"/>
    <row r="101" s="31" customFormat="1" ht="12.75" customHeight="1"/>
    <row r="102" s="31" customFormat="1" ht="12.75" customHeight="1"/>
    <row r="103" s="31" customFormat="1" ht="12.75" customHeight="1"/>
    <row r="104" s="31" customFormat="1" ht="12.75" customHeight="1"/>
    <row r="105" s="31" customFormat="1" ht="12.75" customHeight="1"/>
    <row r="106" s="31" customFormat="1" ht="12.75" customHeight="1"/>
    <row r="107" s="31" customFormat="1" ht="12.75" customHeight="1"/>
    <row r="108" s="31" customFormat="1" ht="12.75" customHeight="1"/>
    <row r="109" s="31" customFormat="1" ht="12.75" customHeight="1"/>
    <row r="110" s="31" customFormat="1" ht="12.75" customHeight="1"/>
    <row r="111" s="31" customFormat="1" ht="12.75" customHeight="1"/>
    <row r="112" s="31" customFormat="1" ht="12.75" customHeight="1"/>
    <row r="113" s="31" customFormat="1" ht="12.75" customHeight="1"/>
    <row r="114" s="31" customFormat="1" ht="12.75" customHeight="1"/>
    <row r="115" s="31" customFormat="1" ht="12.75" customHeight="1"/>
    <row r="116" s="31" customFormat="1" ht="12.75" customHeight="1"/>
    <row r="117" s="31" customFormat="1" ht="12.75" customHeight="1"/>
    <row r="118" s="31" customFormat="1" ht="12.75" customHeight="1"/>
    <row r="119" s="31" customFormat="1" ht="12.75" customHeight="1"/>
    <row r="120" s="31" customFormat="1" ht="12.75" customHeight="1"/>
    <row r="121" s="31" customFormat="1" ht="12.75" customHeight="1"/>
    <row r="122" s="31" customFormat="1" ht="12.75" customHeight="1"/>
    <row r="123" s="31" customFormat="1" ht="12.75" customHeight="1"/>
    <row r="124" s="31" customFormat="1" ht="12.75" customHeight="1"/>
    <row r="125" s="31" customFormat="1" ht="12.75" customHeight="1"/>
    <row r="126" s="31" customFormat="1" ht="12.75" customHeight="1"/>
    <row r="127" s="31" customFormat="1" ht="12.75" customHeight="1"/>
    <row r="128" s="31" customFormat="1" ht="12.75" customHeight="1"/>
    <row r="129" s="31" customFormat="1" ht="12.75" customHeight="1"/>
    <row r="130" s="31" customFormat="1" ht="12.75" customHeight="1"/>
    <row r="131" s="31" customFormat="1" ht="12.75" customHeight="1"/>
    <row r="132" s="31" customFormat="1" ht="12.75" customHeight="1"/>
    <row r="133" s="31" customFormat="1" ht="12.75" customHeight="1"/>
    <row r="134" s="31" customFormat="1" ht="12.75" customHeight="1"/>
    <row r="135" s="31" customFormat="1" ht="12.75" customHeight="1"/>
    <row r="136" s="31" customFormat="1" ht="12.75" customHeight="1"/>
    <row r="137" s="31" customFormat="1" ht="12.75" customHeight="1"/>
    <row r="138" s="31" customFormat="1" ht="12.75" customHeight="1"/>
    <row r="139" s="31" customFormat="1" ht="12.75" customHeight="1"/>
    <row r="140" s="31" customFormat="1" ht="12.75" customHeight="1"/>
    <row r="141" s="31" customFormat="1" ht="12.75" customHeight="1"/>
    <row r="142" s="31" customFormat="1" ht="12.75" customHeight="1"/>
    <row r="143" s="31" customFormat="1" ht="12.75" customHeight="1"/>
    <row r="144" s="31" customFormat="1" ht="12.75" customHeight="1"/>
    <row r="145" s="31" customFormat="1" ht="12.75" customHeight="1"/>
  </sheetData>
  <phoneticPr fontId="5" type="noConversion"/>
  <printOptions horizontalCentered="1"/>
  <pageMargins left="0.5" right="0.5" top="3" bottom="0.5" header="1.5" footer="0.5"/>
  <pageSetup scale="61" fitToWidth="2" fitToHeight="7" orientation="landscape"/>
  <headerFooter alignWithMargins="0">
    <oddHeader>&amp;R&amp;"Arial,Bold"Schedule &amp;A
Page &amp;P of &amp;N&amp;C&amp;B
2025 RATE CASE
ONCOR ELECTRIC DELIVERY COMPANY LLC
II-D-2a A&amp;&amp;G EXPENSES - PRIOR THREE YEARS
TEST YEAR ENDING DECEMBER 31, 2024
SPONSOR: R. PRACHYL</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7">
    <tabColor rgb="FFFF0000"/>
  </sheetPr>
  <dimension ref="A1:W38"/>
  <sheetViews>
    <sheetView zoomScale="85" zoomScaleNormal="85" workbookViewId="0">
      <pane xSplit="3" ySplit="14" topLeftCell="I15" activePane="bottomRight" state="frozen"/>
      <selection activeCell="N38" sqref="N38"/>
      <selection pane="topRight" activeCell="N38" sqref="N38"/>
      <selection pane="bottomLeft" activeCell="N38" sqref="N38"/>
      <selection pane="bottomRight" activeCell="B15" sqref="B15"/>
    </sheetView>
  </sheetViews>
  <sheetFormatPr defaultRowHeight="12.75"/>
  <cols>
    <col min="1" max="1" width="5.7109375" customWidth="1"/>
    <col min="2" max="2" width="8.7109375" customWidth="1"/>
    <col min="3" max="3" width="45.7109375" customWidth="1"/>
    <col min="4" max="15" width="16.28515625" customWidth="1"/>
    <col min="16" max="16" width="15.28515625" bestFit="1" customWidth="1"/>
    <col min="17" max="17" width="14.42578125" bestFit="1" customWidth="1"/>
    <col min="18" max="18" width="17" bestFit="1" customWidth="1"/>
    <col min="19" max="19" width="15.28515625" bestFit="1" customWidth="1"/>
    <col min="20" max="20" width="13.7109375" bestFit="1" customWidth="1"/>
    <col min="21" max="21" width="15.28515625" bestFit="1" customWidth="1"/>
  </cols>
  <sheetData>
    <row r="1" spans="1:21">
      <c r="A1" s="5" t="str">
        <f>+'[3]Input Data'!$A$9</f>
        <v>2025 RATE CASE</v>
      </c>
    </row>
    <row r="2" spans="1:21">
      <c r="A2" s="8" t="str">
        <f>+'[3]Input Data'!$A$2</f>
        <v>ONCOR ELECTRIC DELIVERY COMPANY LLC</v>
      </c>
    </row>
    <row r="3" spans="1:21">
      <c r="A3" s="7" t="str">
        <f>CONCATENATE('[3]Schedule Sponsors'!$A$54,'[3]Schedule Sponsors'!$B$54)</f>
        <v>II-D-2.1  MONTHLY A&amp;&amp;G EXPENSE</v>
      </c>
    </row>
    <row r="4" spans="1:21">
      <c r="A4" s="63" t="str">
        <f>+'[3]Input Data'!$A$4</f>
        <v>TEST YEAR ENDING DECEMBER 31, 2024</v>
      </c>
    </row>
    <row r="5" spans="1:21">
      <c r="A5" s="7" t="str">
        <f>CONCATENATE("SPONSOR: ",'[3]Schedule Sponsors'!$D$54)</f>
        <v>SPONSOR: R. PRACHYL</v>
      </c>
    </row>
    <row r="9" spans="1:21" ht="13.5" thickBot="1"/>
    <row r="10" spans="1:21" s="56" customFormat="1">
      <c r="A10" s="9"/>
      <c r="B10" s="9"/>
      <c r="C10" s="9"/>
      <c r="D10" s="9"/>
      <c r="E10" s="9"/>
      <c r="F10" s="9"/>
      <c r="G10" s="9"/>
      <c r="H10" s="10"/>
      <c r="I10" s="9"/>
      <c r="J10" s="10"/>
      <c r="K10" s="9"/>
      <c r="L10" s="9"/>
      <c r="M10" s="9"/>
      <c r="N10" s="10"/>
      <c r="O10" s="10"/>
      <c r="P10" s="10"/>
      <c r="Q10" s="10"/>
      <c r="R10" s="17"/>
      <c r="S10" s="10" t="s">
        <v>319</v>
      </c>
      <c r="T10" s="17" t="s">
        <v>184</v>
      </c>
      <c r="U10" s="10" t="s">
        <v>320</v>
      </c>
    </row>
    <row r="11" spans="1:21" s="56" customFormat="1">
      <c r="A11" s="11" t="s">
        <v>87</v>
      </c>
      <c r="B11" s="11" t="s">
        <v>212</v>
      </c>
      <c r="C11" s="11"/>
      <c r="D11" s="11" t="s">
        <v>181</v>
      </c>
      <c r="E11" s="11" t="s">
        <v>296</v>
      </c>
      <c r="F11" s="11" t="s">
        <v>18</v>
      </c>
      <c r="G11" s="11" t="s">
        <v>19</v>
      </c>
      <c r="H11" s="11" t="s">
        <v>20</v>
      </c>
      <c r="I11" s="11" t="s">
        <v>21</v>
      </c>
      <c r="J11" s="11" t="s">
        <v>156</v>
      </c>
      <c r="K11" s="11" t="s">
        <v>157</v>
      </c>
      <c r="L11" s="11" t="s">
        <v>30</v>
      </c>
      <c r="M11" s="11" t="s">
        <v>178</v>
      </c>
      <c r="N11" s="11" t="s">
        <v>179</v>
      </c>
      <c r="O11" s="11" t="s">
        <v>180</v>
      </c>
      <c r="P11" s="11" t="s">
        <v>40</v>
      </c>
      <c r="Q11" s="11"/>
      <c r="R11" s="11" t="s">
        <v>214</v>
      </c>
      <c r="S11" s="11" t="s">
        <v>321</v>
      </c>
      <c r="T11" s="11" t="s">
        <v>185</v>
      </c>
      <c r="U11" s="11" t="s">
        <v>319</v>
      </c>
    </row>
    <row r="12" spans="1:21" s="56" customFormat="1">
      <c r="A12" s="11" t="s">
        <v>89</v>
      </c>
      <c r="B12" s="11" t="s">
        <v>294</v>
      </c>
      <c r="C12" s="11" t="s">
        <v>208</v>
      </c>
      <c r="D12" s="11">
        <f>+'II-D-1.1'!D11</f>
        <v>2024</v>
      </c>
      <c r="E12" s="11">
        <f>+'II-D-1.1'!E11</f>
        <v>2024</v>
      </c>
      <c r="F12" s="11">
        <f>+'II-D-1.1'!F11</f>
        <v>2024</v>
      </c>
      <c r="G12" s="11">
        <f>+'II-D-1.1'!G11</f>
        <v>2024</v>
      </c>
      <c r="H12" s="11">
        <f>+'II-D-1.1'!H11</f>
        <v>2024</v>
      </c>
      <c r="I12" s="11">
        <f>+'II-D-1.1'!I11</f>
        <v>2024</v>
      </c>
      <c r="J12" s="11">
        <f>+'II-D-1.1'!J11</f>
        <v>2024</v>
      </c>
      <c r="K12" s="11">
        <f>+'II-D-1.1'!K11</f>
        <v>2024</v>
      </c>
      <c r="L12" s="11">
        <f>+'II-D-1.1'!L11</f>
        <v>2024</v>
      </c>
      <c r="M12" s="11">
        <f>+'II-D-1.1'!M11</f>
        <v>2024</v>
      </c>
      <c r="N12" s="11">
        <f>+'II-D-1.1'!N11</f>
        <v>2024</v>
      </c>
      <c r="O12" s="11">
        <f>+'II-D-1.1'!O11</f>
        <v>2024</v>
      </c>
      <c r="P12" s="11" t="s">
        <v>215</v>
      </c>
      <c r="Q12" s="11" t="s">
        <v>318</v>
      </c>
      <c r="R12" s="11" t="s">
        <v>221</v>
      </c>
      <c r="S12" s="11" t="s">
        <v>222</v>
      </c>
      <c r="T12" s="11" t="s">
        <v>61</v>
      </c>
      <c r="U12" s="11" t="s">
        <v>321</v>
      </c>
    </row>
    <row r="13" spans="1:21" s="33" customFormat="1" ht="13.5" thickBot="1">
      <c r="A13" s="29"/>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9" t="s">
        <v>86</v>
      </c>
      <c r="Q13" s="29" t="s">
        <v>254</v>
      </c>
      <c r="R13" s="29" t="s">
        <v>128</v>
      </c>
      <c r="S13" s="29" t="s">
        <v>23</v>
      </c>
      <c r="T13" s="29" t="s">
        <v>24</v>
      </c>
      <c r="U13" s="29" t="s">
        <v>136</v>
      </c>
    </row>
    <row r="14" spans="1:21" s="31" customFormat="1" ht="12.75" customHeight="1">
      <c r="B14" s="38"/>
      <c r="C14" s="38"/>
      <c r="D14" s="148">
        <v>1</v>
      </c>
      <c r="E14" s="148">
        <v>2</v>
      </c>
      <c r="F14" s="148">
        <v>3</v>
      </c>
      <c r="G14" s="148">
        <v>4</v>
      </c>
      <c r="H14" s="148">
        <v>5</v>
      </c>
      <c r="I14" s="148">
        <v>6</v>
      </c>
      <c r="J14" s="148">
        <v>7</v>
      </c>
      <c r="K14" s="148">
        <v>8</v>
      </c>
      <c r="L14" s="148">
        <v>9</v>
      </c>
      <c r="M14" s="148">
        <v>10</v>
      </c>
      <c r="N14" s="148">
        <v>11</v>
      </c>
      <c r="O14" s="148">
        <v>12</v>
      </c>
      <c r="P14" s="38"/>
      <c r="Q14" s="38"/>
      <c r="R14" s="38"/>
      <c r="S14" s="38"/>
      <c r="T14" s="38"/>
    </row>
    <row r="15" spans="1:21" s="8" customFormat="1" ht="15" customHeight="1">
      <c r="A15" s="16">
        <v>1</v>
      </c>
      <c r="B15" s="325" t="s">
        <v>187</v>
      </c>
      <c r="D15" s="18"/>
      <c r="E15" s="19"/>
      <c r="F15" s="19"/>
      <c r="G15" s="19"/>
      <c r="H15" s="19"/>
      <c r="I15" s="19"/>
      <c r="J15" s="19"/>
      <c r="K15" s="18"/>
      <c r="L15" s="25"/>
      <c r="M15" s="19"/>
      <c r="N15" s="19"/>
      <c r="O15" s="19"/>
      <c r="P15" s="19"/>
      <c r="Q15" s="19"/>
      <c r="R15" s="19"/>
    </row>
    <row r="16" spans="1:21" s="8" customFormat="1" ht="15" customHeight="1">
      <c r="A16" s="16">
        <v>2</v>
      </c>
      <c r="D16" s="18"/>
      <c r="E16" s="19"/>
      <c r="F16" s="19"/>
      <c r="G16" s="19"/>
      <c r="H16" s="19"/>
      <c r="I16" s="19"/>
      <c r="J16" s="19"/>
      <c r="K16" s="18"/>
      <c r="L16" s="25"/>
      <c r="M16" s="19"/>
      <c r="N16" s="19"/>
      <c r="O16" s="19"/>
      <c r="P16" s="19"/>
      <c r="Q16" s="19"/>
      <c r="R16" s="19"/>
    </row>
    <row r="17" spans="1:23" s="4" customFormat="1" ht="15" customHeight="1">
      <c r="A17" s="16">
        <v>3</v>
      </c>
      <c r="B17" s="4" t="s">
        <v>269</v>
      </c>
      <c r="C17" s="4" t="s">
        <v>337</v>
      </c>
      <c r="D17" s="150">
        <v>10315706.189999999</v>
      </c>
      <c r="E17" s="150">
        <v>8471819.7699999996</v>
      </c>
      <c r="F17" s="150">
        <v>14002723.369999999</v>
      </c>
      <c r="G17" s="150">
        <v>10705810.810000001</v>
      </c>
      <c r="H17" s="150">
        <v>8616675.4600000009</v>
      </c>
      <c r="I17" s="150">
        <v>12091622.859999999</v>
      </c>
      <c r="J17" s="150">
        <v>11120491.550000001</v>
      </c>
      <c r="K17" s="150">
        <v>10662410.41</v>
      </c>
      <c r="L17" s="150">
        <v>11070332.66</v>
      </c>
      <c r="M17" s="150">
        <v>11022335.66</v>
      </c>
      <c r="N17" s="150">
        <v>9704306.7899999991</v>
      </c>
      <c r="O17" s="150">
        <v>16010974.939999999</v>
      </c>
      <c r="P17" s="150">
        <f>SUM(D17:O17)</f>
        <v>133795210.47</v>
      </c>
      <c r="Q17" s="150">
        <v>0</v>
      </c>
      <c r="R17" s="150">
        <v>0</v>
      </c>
      <c r="S17" s="150">
        <f>+P17-Q17-R17</f>
        <v>133795210.47</v>
      </c>
      <c r="T17" s="150">
        <f>+'[2]Total Summary'!N65</f>
        <v>1395352.1700000002</v>
      </c>
      <c r="U17" s="150">
        <f>+S17+T17</f>
        <v>135190562.63999999</v>
      </c>
      <c r="V17" s="4" t="b">
        <f>+U17='II-D-2'!L17</f>
        <v>1</v>
      </c>
    </row>
    <row r="18" spans="1:23" s="4" customFormat="1" ht="15" customHeight="1">
      <c r="A18" s="16">
        <v>4</v>
      </c>
      <c r="B18" s="4" t="s">
        <v>270</v>
      </c>
      <c r="C18" s="4" t="s">
        <v>338</v>
      </c>
      <c r="D18" s="73">
        <v>922955.93</v>
      </c>
      <c r="E18" s="73">
        <v>1453454.78</v>
      </c>
      <c r="F18" s="73">
        <v>1309400.33</v>
      </c>
      <c r="G18" s="73">
        <v>1315077.94</v>
      </c>
      <c r="H18" s="73">
        <v>1287994.8500000001</v>
      </c>
      <c r="I18" s="73">
        <v>949451.98</v>
      </c>
      <c r="J18" s="73">
        <v>1161913.47</v>
      </c>
      <c r="K18" s="73">
        <v>1178060.53</v>
      </c>
      <c r="L18" s="73">
        <v>2001164.18</v>
      </c>
      <c r="M18" s="73">
        <v>1559836.39</v>
      </c>
      <c r="N18" s="73">
        <v>1162296.71</v>
      </c>
      <c r="O18" s="73">
        <v>2284206.98</v>
      </c>
      <c r="P18" s="13">
        <f t="shared" ref="P18:P29" si="0">SUM(D18:O18)</f>
        <v>16585814.07</v>
      </c>
      <c r="Q18" s="13">
        <v>0</v>
      </c>
      <c r="R18" s="13">
        <v>0</v>
      </c>
      <c r="S18" s="20">
        <f t="shared" ref="S18:S29" si="1">+P18-Q18-R18</f>
        <v>16585814.07</v>
      </c>
      <c r="T18" s="150">
        <f>+'[2]Total Summary'!N66</f>
        <v>-2351765.3100000005</v>
      </c>
      <c r="U18" s="21">
        <f t="shared" ref="U18:U29" si="2">+S18+T18</f>
        <v>14234048.76</v>
      </c>
      <c r="V18" s="4" t="b">
        <f>+U18='II-D-2'!L18</f>
        <v>1</v>
      </c>
    </row>
    <row r="19" spans="1:23" s="4" customFormat="1" ht="15" customHeight="1">
      <c r="A19" s="16">
        <v>5</v>
      </c>
      <c r="B19" s="4" t="s">
        <v>271</v>
      </c>
      <c r="C19" s="4" t="s">
        <v>339</v>
      </c>
      <c r="D19" s="73">
        <v>0</v>
      </c>
      <c r="E19" s="73">
        <v>0</v>
      </c>
      <c r="F19" s="73">
        <v>0</v>
      </c>
      <c r="G19" s="73">
        <v>0</v>
      </c>
      <c r="H19" s="73">
        <v>0</v>
      </c>
      <c r="I19" s="73">
        <v>0</v>
      </c>
      <c r="J19" s="73">
        <v>0</v>
      </c>
      <c r="K19" s="73">
        <v>0</v>
      </c>
      <c r="L19" s="73">
        <v>0</v>
      </c>
      <c r="M19" s="73">
        <v>0</v>
      </c>
      <c r="N19" s="73">
        <v>0</v>
      </c>
      <c r="O19" s="73">
        <v>0</v>
      </c>
      <c r="P19" s="13">
        <f t="shared" si="0"/>
        <v>0</v>
      </c>
      <c r="Q19" s="13">
        <v>0</v>
      </c>
      <c r="R19" s="13">
        <v>0</v>
      </c>
      <c r="S19" s="20">
        <f t="shared" si="1"/>
        <v>0</v>
      </c>
      <c r="T19" s="150">
        <f>+'[2]Total Summary'!N67</f>
        <v>0</v>
      </c>
      <c r="U19" s="21">
        <f t="shared" si="2"/>
        <v>0</v>
      </c>
      <c r="V19" s="4" t="b">
        <f>+U19='II-D-2'!L19</f>
        <v>1</v>
      </c>
    </row>
    <row r="20" spans="1:23" s="4" customFormat="1" ht="15" customHeight="1">
      <c r="A20" s="16">
        <v>6</v>
      </c>
      <c r="B20" s="4" t="s">
        <v>272</v>
      </c>
      <c r="C20" s="4" t="s">
        <v>340</v>
      </c>
      <c r="D20" s="73">
        <v>13047202.24</v>
      </c>
      <c r="E20" s="73">
        <v>9366939.0800000001</v>
      </c>
      <c r="F20" s="73">
        <v>9700917.6099999994</v>
      </c>
      <c r="G20" s="73">
        <v>9378946.9100000001</v>
      </c>
      <c r="H20" s="73">
        <v>10068775.33</v>
      </c>
      <c r="I20" s="73">
        <v>10001830.960000001</v>
      </c>
      <c r="J20" s="73">
        <v>10719949.42</v>
      </c>
      <c r="K20" s="73">
        <v>10539040.5</v>
      </c>
      <c r="L20" s="73">
        <v>10579094.189999999</v>
      </c>
      <c r="M20" s="73">
        <v>11108749.310000001</v>
      </c>
      <c r="N20" s="73">
        <v>10846859.119999999</v>
      </c>
      <c r="O20" s="73">
        <v>15538323.289999999</v>
      </c>
      <c r="P20" s="13">
        <f t="shared" si="0"/>
        <v>130896627.96000001</v>
      </c>
      <c r="Q20" s="13">
        <v>0</v>
      </c>
      <c r="R20" s="13">
        <v>0</v>
      </c>
      <c r="S20" s="20">
        <f t="shared" si="1"/>
        <v>130896627.96000001</v>
      </c>
      <c r="T20" s="150">
        <f>+'[2]Total Summary'!N68</f>
        <v>6993077.2299999995</v>
      </c>
      <c r="U20" s="21">
        <f t="shared" si="2"/>
        <v>137889705.19</v>
      </c>
      <c r="V20" s="4" t="b">
        <f>+U20='II-D-2'!L20</f>
        <v>1</v>
      </c>
    </row>
    <row r="21" spans="1:23" s="4" customFormat="1" ht="15" customHeight="1">
      <c r="A21" s="16">
        <v>7</v>
      </c>
      <c r="B21" s="4" t="s">
        <v>273</v>
      </c>
      <c r="C21" s="4" t="s">
        <v>341</v>
      </c>
      <c r="D21" s="73">
        <v>20188955.059999999</v>
      </c>
      <c r="E21" s="73">
        <v>20188955.039999999</v>
      </c>
      <c r="F21" s="73">
        <v>20188955.050000001</v>
      </c>
      <c r="G21" s="73">
        <v>20188955.050000001</v>
      </c>
      <c r="H21" s="73">
        <v>20455805.059999999</v>
      </c>
      <c r="I21" s="73">
        <v>20201913</v>
      </c>
      <c r="J21" s="73">
        <v>20201913.010000002</v>
      </c>
      <c r="K21" s="73">
        <v>20201913</v>
      </c>
      <c r="L21" s="73">
        <v>20201913.010000002</v>
      </c>
      <c r="M21" s="73">
        <v>20201913</v>
      </c>
      <c r="N21" s="73">
        <v>20203374.25</v>
      </c>
      <c r="O21" s="73">
        <v>20203374.260000002</v>
      </c>
      <c r="P21" s="13">
        <f t="shared" si="0"/>
        <v>242627938.78999996</v>
      </c>
      <c r="Q21" s="13">
        <v>0</v>
      </c>
      <c r="R21" s="13">
        <v>0</v>
      </c>
      <c r="S21" s="20">
        <f t="shared" si="1"/>
        <v>242627938.78999996</v>
      </c>
      <c r="T21" s="150">
        <f>+'[2]Total Summary'!N69</f>
        <v>370231108.33999997</v>
      </c>
      <c r="U21" s="21">
        <f t="shared" si="2"/>
        <v>612859047.12999988</v>
      </c>
      <c r="V21" s="4" t="b">
        <f>+U21='II-D-2'!L21</f>
        <v>1</v>
      </c>
    </row>
    <row r="22" spans="1:23" s="4" customFormat="1" ht="15" customHeight="1">
      <c r="A22" s="16">
        <v>8</v>
      </c>
      <c r="B22" s="4" t="s">
        <v>274</v>
      </c>
      <c r="C22" s="4" t="s">
        <v>160</v>
      </c>
      <c r="D22" s="73">
        <v>1813951.57</v>
      </c>
      <c r="E22" s="73">
        <v>1821752.35</v>
      </c>
      <c r="F22" s="73">
        <v>2945972.81</v>
      </c>
      <c r="G22" s="73">
        <v>1742257.61</v>
      </c>
      <c r="H22" s="73">
        <v>5994833.2699999996</v>
      </c>
      <c r="I22" s="73">
        <v>5003975.09</v>
      </c>
      <c r="J22" s="73">
        <v>6352088.5700000003</v>
      </c>
      <c r="K22" s="73">
        <v>6291155.5199999996</v>
      </c>
      <c r="L22" s="73">
        <v>5874762.04</v>
      </c>
      <c r="M22" s="73">
        <v>5847188.1799999997</v>
      </c>
      <c r="N22" s="73">
        <v>5934916.1100000003</v>
      </c>
      <c r="O22" s="73">
        <v>6162886.2800000003</v>
      </c>
      <c r="P22" s="13">
        <f t="shared" si="0"/>
        <v>55785739.399999999</v>
      </c>
      <c r="Q22" s="13">
        <v>0</v>
      </c>
      <c r="R22" s="13">
        <v>0</v>
      </c>
      <c r="S22" s="20">
        <f t="shared" si="1"/>
        <v>55785739.399999999</v>
      </c>
      <c r="T22" s="150">
        <f>+'[2]Total Summary'!N70</f>
        <v>29460489.599999998</v>
      </c>
      <c r="U22" s="21">
        <f t="shared" si="2"/>
        <v>85246229</v>
      </c>
      <c r="V22" s="4" t="b">
        <f>+U22='II-D-2'!L22</f>
        <v>1</v>
      </c>
    </row>
    <row r="23" spans="1:23" s="4" customFormat="1" ht="15" customHeight="1">
      <c r="A23" s="16">
        <v>9</v>
      </c>
      <c r="B23" s="4" t="s">
        <v>275</v>
      </c>
      <c r="C23" s="4" t="s">
        <v>28</v>
      </c>
      <c r="D23" s="73">
        <v>5489512.9299999997</v>
      </c>
      <c r="E23" s="73">
        <v>7603465.7300000004</v>
      </c>
      <c r="F23" s="73">
        <v>4537356.22</v>
      </c>
      <c r="G23" s="73">
        <v>6841512.6200000001</v>
      </c>
      <c r="H23" s="73">
        <v>13278410.380000001</v>
      </c>
      <c r="I23" s="73">
        <v>4657394.38</v>
      </c>
      <c r="J23" s="73">
        <v>8426615.0800000001</v>
      </c>
      <c r="K23" s="73">
        <v>8509682.7300000004</v>
      </c>
      <c r="L23" s="73">
        <v>6813344.8200000003</v>
      </c>
      <c r="M23" s="73">
        <v>6992839.25</v>
      </c>
      <c r="N23" s="73">
        <v>11457458.42</v>
      </c>
      <c r="O23" s="73">
        <v>7874324.25</v>
      </c>
      <c r="P23" s="13">
        <f t="shared" si="0"/>
        <v>92481916.810000017</v>
      </c>
      <c r="Q23" s="13">
        <v>0</v>
      </c>
      <c r="R23" s="13">
        <v>0</v>
      </c>
      <c r="S23" s="20">
        <f t="shared" si="1"/>
        <v>92481916.810000017</v>
      </c>
      <c r="T23" s="150">
        <f>+'[2]Total Summary'!N71</f>
        <v>-11606145.93</v>
      </c>
      <c r="U23" s="21">
        <f t="shared" si="2"/>
        <v>80875770.880000025</v>
      </c>
      <c r="V23" s="4" t="b">
        <f>+U23='II-D-2'!L23</f>
        <v>1</v>
      </c>
    </row>
    <row r="24" spans="1:23" s="4" customFormat="1" ht="15" customHeight="1">
      <c r="A24" s="16">
        <v>10</v>
      </c>
      <c r="B24" s="4" t="s">
        <v>276</v>
      </c>
      <c r="C24" s="4" t="s">
        <v>127</v>
      </c>
      <c r="D24" s="73">
        <v>551039.80000000005</v>
      </c>
      <c r="E24" s="73">
        <v>583363.61</v>
      </c>
      <c r="F24" s="73">
        <v>493404.71</v>
      </c>
      <c r="G24" s="73">
        <v>479613.4</v>
      </c>
      <c r="H24" s="73">
        <v>495376.61</v>
      </c>
      <c r="I24" s="73">
        <v>566114.28</v>
      </c>
      <c r="J24" s="73">
        <v>642688.5</v>
      </c>
      <c r="K24" s="73">
        <v>639158.35</v>
      </c>
      <c r="L24" s="73">
        <v>656878.25</v>
      </c>
      <c r="M24" s="73">
        <v>569214.15</v>
      </c>
      <c r="N24" s="73">
        <v>515700.25</v>
      </c>
      <c r="O24" s="73">
        <v>493225.66</v>
      </c>
      <c r="P24" s="13">
        <f t="shared" si="0"/>
        <v>6685777.5700000003</v>
      </c>
      <c r="Q24" s="13">
        <v>0</v>
      </c>
      <c r="R24" s="13">
        <v>0</v>
      </c>
      <c r="S24" s="20">
        <f t="shared" si="1"/>
        <v>6685777.5700000003</v>
      </c>
      <c r="T24" s="150">
        <f>+'[2]Total Summary'!N72</f>
        <v>-4561010.7799999993</v>
      </c>
      <c r="U24" s="21">
        <f t="shared" si="2"/>
        <v>2124766.790000001</v>
      </c>
      <c r="V24" s="4" t="b">
        <f>+U24='II-D-2'!L24</f>
        <v>1</v>
      </c>
    </row>
    <row r="25" spans="1:23" s="4" customFormat="1" ht="15" customHeight="1">
      <c r="A25" s="16">
        <v>11</v>
      </c>
      <c r="B25" s="30" t="s">
        <v>289</v>
      </c>
      <c r="C25" s="4" t="s">
        <v>29</v>
      </c>
      <c r="D25" s="73">
        <v>60621.84</v>
      </c>
      <c r="E25" s="73">
        <v>16873.5</v>
      </c>
      <c r="F25" s="73">
        <v>9980</v>
      </c>
      <c r="G25" s="73">
        <v>26441.94</v>
      </c>
      <c r="H25" s="73">
        <v>50047.51</v>
      </c>
      <c r="I25" s="73">
        <v>24892.97</v>
      </c>
      <c r="J25" s="73">
        <v>13057.6</v>
      </c>
      <c r="K25" s="73">
        <v>37724.9</v>
      </c>
      <c r="L25" s="73">
        <v>42448.6</v>
      </c>
      <c r="M25" s="73">
        <v>45462.15</v>
      </c>
      <c r="N25" s="73">
        <v>85116.63</v>
      </c>
      <c r="O25" s="73">
        <v>377009.65</v>
      </c>
      <c r="P25" s="13">
        <f t="shared" si="0"/>
        <v>789677.29</v>
      </c>
      <c r="Q25" s="13">
        <v>0</v>
      </c>
      <c r="R25" s="13">
        <v>0</v>
      </c>
      <c r="S25" s="20">
        <f t="shared" si="1"/>
        <v>789677.29</v>
      </c>
      <c r="T25" s="150">
        <f>+'[2]Total Summary'!N73</f>
        <v>-20015</v>
      </c>
      <c r="U25" s="21">
        <f t="shared" si="2"/>
        <v>769662.29</v>
      </c>
      <c r="V25" s="4" t="b">
        <f>+U25='II-D-2'!L25</f>
        <v>1</v>
      </c>
    </row>
    <row r="26" spans="1:23" s="4" customFormat="1" ht="15" customHeight="1">
      <c r="A26" s="16">
        <v>12</v>
      </c>
      <c r="B26" s="30" t="s">
        <v>288</v>
      </c>
      <c r="C26" s="4" t="s">
        <v>153</v>
      </c>
      <c r="D26" s="73">
        <v>-1418449.19</v>
      </c>
      <c r="E26" s="73">
        <v>1446498.81</v>
      </c>
      <c r="F26" s="73">
        <v>2250683.67</v>
      </c>
      <c r="G26" s="73">
        <v>1730040.9100000001</v>
      </c>
      <c r="H26" s="73">
        <v>1395778.74</v>
      </c>
      <c r="I26" s="73">
        <v>1877967.78</v>
      </c>
      <c r="J26" s="73">
        <v>1763566.88</v>
      </c>
      <c r="K26" s="73">
        <v>1230434.6299999999</v>
      </c>
      <c r="L26" s="73">
        <v>1802388.0799999998</v>
      </c>
      <c r="M26" s="73">
        <v>1229279.24</v>
      </c>
      <c r="N26" s="73">
        <v>1661108.9</v>
      </c>
      <c r="O26" s="73">
        <v>2876652.15</v>
      </c>
      <c r="P26" s="13">
        <f t="shared" si="0"/>
        <v>17845950.600000001</v>
      </c>
      <c r="Q26" s="13">
        <v>0</v>
      </c>
      <c r="R26" s="13">
        <v>0</v>
      </c>
      <c r="S26" s="20">
        <f t="shared" si="1"/>
        <v>17845950.600000001</v>
      </c>
      <c r="T26" s="150">
        <f>+'[2]Total Summary'!N74</f>
        <v>5455993.7299999995</v>
      </c>
      <c r="U26" s="21">
        <f t="shared" si="2"/>
        <v>23301944.330000002</v>
      </c>
      <c r="V26" s="4" t="b">
        <f>+U26='II-D-2'!L26</f>
        <v>1</v>
      </c>
    </row>
    <row r="27" spans="1:23" s="4" customFormat="1" ht="15" customHeight="1">
      <c r="A27" s="16">
        <v>13</v>
      </c>
      <c r="B27" s="4" t="s">
        <v>277</v>
      </c>
      <c r="C27" s="4" t="s">
        <v>227</v>
      </c>
      <c r="D27" s="73">
        <v>147642.74</v>
      </c>
      <c r="E27" s="73">
        <v>138323.71</v>
      </c>
      <c r="F27" s="73">
        <v>140693.39000000001</v>
      </c>
      <c r="G27" s="73">
        <v>139000.09</v>
      </c>
      <c r="H27" s="73">
        <v>179364.7</v>
      </c>
      <c r="I27" s="73">
        <v>239837.06</v>
      </c>
      <c r="J27" s="73">
        <v>191024.62</v>
      </c>
      <c r="K27" s="73">
        <v>182043.2</v>
      </c>
      <c r="L27" s="73">
        <v>85678.399999999994</v>
      </c>
      <c r="M27" s="73">
        <v>259890.05</v>
      </c>
      <c r="N27" s="73">
        <v>166416.76999999999</v>
      </c>
      <c r="O27" s="73">
        <v>194947.82</v>
      </c>
      <c r="P27" s="13">
        <f t="shared" si="0"/>
        <v>2064862.55</v>
      </c>
      <c r="Q27" s="13">
        <v>0</v>
      </c>
      <c r="R27" s="13">
        <v>0</v>
      </c>
      <c r="S27" s="20">
        <f t="shared" si="1"/>
        <v>2064862.55</v>
      </c>
      <c r="T27" s="150">
        <f>+'[2]Total Summary'!N75</f>
        <v>0</v>
      </c>
      <c r="U27" s="21">
        <f t="shared" si="2"/>
        <v>2064862.55</v>
      </c>
      <c r="V27" s="4" t="b">
        <f>+U27='II-D-2'!L27</f>
        <v>1</v>
      </c>
    </row>
    <row r="28" spans="1:23" s="4" customFormat="1" ht="15" customHeight="1">
      <c r="A28" s="16">
        <v>14</v>
      </c>
      <c r="B28" s="4" t="s">
        <v>26</v>
      </c>
      <c r="C28" s="4" t="s">
        <v>154</v>
      </c>
      <c r="D28" s="73">
        <v>3104.97</v>
      </c>
      <c r="E28" s="73">
        <v>1845.58</v>
      </c>
      <c r="F28" s="73">
        <v>88897.52</v>
      </c>
      <c r="G28" s="73">
        <v>887.82</v>
      </c>
      <c r="H28" s="73">
        <v>4990.6499999999996</v>
      </c>
      <c r="I28" s="73">
        <v>517.13</v>
      </c>
      <c r="J28" s="73">
        <v>2601.63</v>
      </c>
      <c r="K28" s="73">
        <v>-1347.49</v>
      </c>
      <c r="L28" s="73">
        <v>4961.5600000000004</v>
      </c>
      <c r="M28" s="73">
        <v>5950.37</v>
      </c>
      <c r="N28" s="73">
        <v>945.76</v>
      </c>
      <c r="O28" s="73">
        <v>4289.8999999999996</v>
      </c>
      <c r="P28" s="13">
        <f t="shared" si="0"/>
        <v>117645.4</v>
      </c>
      <c r="Q28" s="13">
        <v>0</v>
      </c>
      <c r="R28" s="13">
        <v>0</v>
      </c>
      <c r="S28" s="20">
        <f t="shared" si="1"/>
        <v>117645.4</v>
      </c>
      <c r="T28" s="150">
        <f>+'[2]Total Summary'!N76</f>
        <v>0</v>
      </c>
      <c r="U28" s="21">
        <f t="shared" si="2"/>
        <v>117645.4</v>
      </c>
      <c r="V28" s="4" t="b">
        <f>+U28='II-D-2'!L28</f>
        <v>1</v>
      </c>
      <c r="W28" s="21"/>
    </row>
    <row r="29" spans="1:23" s="4" customFormat="1" ht="15" customHeight="1">
      <c r="A29" s="16">
        <v>15</v>
      </c>
      <c r="B29" s="4" t="s">
        <v>278</v>
      </c>
      <c r="C29" s="4" t="s">
        <v>154</v>
      </c>
      <c r="D29" s="73">
        <v>384963.34</v>
      </c>
      <c r="E29" s="73">
        <v>301564.17</v>
      </c>
      <c r="F29" s="73">
        <v>301336.28000000003</v>
      </c>
      <c r="G29" s="73">
        <v>355082.51</v>
      </c>
      <c r="H29" s="73">
        <v>398422.01</v>
      </c>
      <c r="I29" s="73">
        <v>388348.45</v>
      </c>
      <c r="J29" s="73">
        <v>377724.1</v>
      </c>
      <c r="K29" s="73">
        <v>378762.28</v>
      </c>
      <c r="L29" s="73">
        <v>360444.74</v>
      </c>
      <c r="M29" s="73">
        <v>351601.68</v>
      </c>
      <c r="N29" s="73">
        <v>343087.51</v>
      </c>
      <c r="O29" s="73">
        <v>425559.87</v>
      </c>
      <c r="P29" s="13">
        <f t="shared" si="0"/>
        <v>4366896.9400000013</v>
      </c>
      <c r="Q29" s="13">
        <v>0</v>
      </c>
      <c r="R29" s="13">
        <v>0</v>
      </c>
      <c r="S29" s="13">
        <f t="shared" si="1"/>
        <v>4366896.9400000013</v>
      </c>
      <c r="T29" s="150">
        <f>+'[2]Total Summary'!N77</f>
        <v>3309088.41</v>
      </c>
      <c r="U29" s="21">
        <f t="shared" si="2"/>
        <v>7675985.3500000015</v>
      </c>
      <c r="V29" s="4" t="b">
        <f>+U29='II-D-2'!L29</f>
        <v>1</v>
      </c>
    </row>
    <row r="30" spans="1:23" s="4" customFormat="1" ht="15" customHeight="1">
      <c r="A30" s="16">
        <v>16</v>
      </c>
      <c r="D30" s="129"/>
      <c r="E30" s="129"/>
      <c r="F30" s="129"/>
      <c r="G30" s="129"/>
      <c r="H30" s="129"/>
      <c r="I30" s="129"/>
      <c r="J30" s="129"/>
      <c r="K30" s="129"/>
      <c r="L30" s="129"/>
      <c r="M30" s="129"/>
      <c r="N30" s="129"/>
      <c r="O30" s="129"/>
      <c r="P30" s="125"/>
      <c r="Q30" s="125"/>
      <c r="R30" s="125"/>
      <c r="S30" s="125"/>
      <c r="T30" s="125"/>
      <c r="U30" s="126"/>
    </row>
    <row r="31" spans="1:23" s="8" customFormat="1" ht="15" customHeight="1">
      <c r="A31" s="16">
        <v>17</v>
      </c>
      <c r="B31" s="8" t="s">
        <v>37</v>
      </c>
      <c r="C31" s="26"/>
      <c r="D31" s="141">
        <f>SUM(D17:D29)</f>
        <v>51507207.420000009</v>
      </c>
      <c r="E31" s="141">
        <f>SUM(E17:E29)</f>
        <v>51394856.130000003</v>
      </c>
      <c r="F31" s="141">
        <f t="shared" ref="F31:O31" si="3">SUM(F17:F29)</f>
        <v>55970320.960000008</v>
      </c>
      <c r="G31" s="141">
        <f t="shared" si="3"/>
        <v>52903627.609999999</v>
      </c>
      <c r="H31" s="141">
        <f t="shared" si="3"/>
        <v>62226474.57</v>
      </c>
      <c r="I31" s="141">
        <f t="shared" si="3"/>
        <v>56003865.940000013</v>
      </c>
      <c r="J31" s="141">
        <f t="shared" si="3"/>
        <v>60973634.430000007</v>
      </c>
      <c r="K31" s="141">
        <f t="shared" si="3"/>
        <v>59849038.560000002</v>
      </c>
      <c r="L31" s="141">
        <f t="shared" si="3"/>
        <v>59493410.530000009</v>
      </c>
      <c r="M31" s="141">
        <f t="shared" si="3"/>
        <v>59194259.429999992</v>
      </c>
      <c r="N31" s="141">
        <f t="shared" si="3"/>
        <v>62081587.219999999</v>
      </c>
      <c r="O31" s="141">
        <f t="shared" si="3"/>
        <v>72445775.050000012</v>
      </c>
      <c r="P31" s="141">
        <f t="shared" ref="P31:U31" si="4">SUM(P17:P30)</f>
        <v>704044057.85000002</v>
      </c>
      <c r="Q31" s="141">
        <f t="shared" si="4"/>
        <v>0</v>
      </c>
      <c r="R31" s="141">
        <f t="shared" si="4"/>
        <v>0</v>
      </c>
      <c r="S31" s="141">
        <f t="shared" si="4"/>
        <v>704044057.85000002</v>
      </c>
      <c r="T31" s="141">
        <f t="shared" si="4"/>
        <v>398306172.46000004</v>
      </c>
      <c r="U31" s="141">
        <f t="shared" si="4"/>
        <v>1102350230.3099997</v>
      </c>
      <c r="V31" s="4" t="b">
        <f>+U31='II-D-2'!L31</f>
        <v>1</v>
      </c>
    </row>
    <row r="32" spans="1:23" s="4" customFormat="1" ht="15" customHeight="1">
      <c r="A32" s="16">
        <v>18</v>
      </c>
      <c r="C32" s="7"/>
      <c r="D32" s="19"/>
      <c r="E32" s="19"/>
      <c r="F32" s="19"/>
      <c r="G32" s="19"/>
      <c r="H32" s="19"/>
      <c r="I32" s="19"/>
      <c r="J32" s="19"/>
      <c r="K32" s="19"/>
      <c r="L32" s="19"/>
      <c r="M32" s="19"/>
      <c r="N32" s="19"/>
      <c r="O32" s="19"/>
      <c r="P32" s="19"/>
      <c r="Q32" s="19"/>
      <c r="R32" s="19"/>
      <c r="S32" s="19"/>
      <c r="T32" s="19"/>
      <c r="U32" s="19"/>
    </row>
    <row r="33" spans="1:22" s="8" customFormat="1" ht="15" customHeight="1">
      <c r="A33" s="16">
        <v>19</v>
      </c>
      <c r="B33" s="8" t="s">
        <v>25</v>
      </c>
      <c r="C33" s="26"/>
      <c r="D33" s="141">
        <f>+D31+'II-D-1.1'!D101</f>
        <v>266359138.16</v>
      </c>
      <c r="E33" s="141">
        <f>+E31+'II-D-1.1'!E101</f>
        <v>260840872.89999998</v>
      </c>
      <c r="F33" s="141">
        <f>+F31+'II-D-1.1'!F101</f>
        <v>278343375</v>
      </c>
      <c r="G33" s="141">
        <f>+G31+'II-D-1.1'!G101</f>
        <v>267685972.13</v>
      </c>
      <c r="H33" s="141">
        <f>+H31+'II-D-1.1'!H101</f>
        <v>269121780.23000002</v>
      </c>
      <c r="I33" s="141">
        <f>+I31+'II-D-1.1'!I101</f>
        <v>262287835.73999995</v>
      </c>
      <c r="J33" s="141">
        <f>+J31+'II-D-1.1'!J101</f>
        <v>282563231.10000002</v>
      </c>
      <c r="K33" s="141">
        <f>+K31+'II-D-1.1'!K101</f>
        <v>277963570.76999998</v>
      </c>
      <c r="L33" s="141">
        <f>+L31+'II-D-1.1'!L101</f>
        <v>283946913.80000001</v>
      </c>
      <c r="M33" s="141">
        <f>+M31+'II-D-1.1'!M101</f>
        <v>270199716.87</v>
      </c>
      <c r="N33" s="141">
        <f>+N31+'II-D-1.1'!N101</f>
        <v>283398711.03999996</v>
      </c>
      <c r="O33" s="141">
        <f>+O31+'II-D-1.1'!O101</f>
        <v>302279744.06</v>
      </c>
      <c r="P33" s="141">
        <f>+P31+'II-D-1.1'!P101</f>
        <v>3304990861.8000002</v>
      </c>
      <c r="Q33" s="141">
        <f>+Q31+'II-D-1.1'!Q101</f>
        <v>0</v>
      </c>
      <c r="R33" s="141">
        <f>+R31+'II-D-1.1'!R101</f>
        <v>0</v>
      </c>
      <c r="S33" s="141">
        <f>+S31+'II-D-1.1'!S101</f>
        <v>3304990861.8000002</v>
      </c>
      <c r="T33" s="141">
        <f>+T31+'II-D-1.1'!T101</f>
        <v>493586912.30000013</v>
      </c>
      <c r="U33" s="141">
        <f>+U31+'II-D-1.1'!U101</f>
        <v>3798577774.0999994</v>
      </c>
      <c r="V33" s="4" t="b">
        <f>+U33='II-D-2'!L33</f>
        <v>1</v>
      </c>
    </row>
    <row r="34" spans="1:22" s="8" customFormat="1" ht="15" customHeight="1">
      <c r="A34" s="16">
        <v>20</v>
      </c>
      <c r="D34" s="19"/>
      <c r="E34" s="19"/>
      <c r="F34" s="19"/>
      <c r="G34" s="19"/>
      <c r="H34" s="19"/>
      <c r="I34" s="19"/>
      <c r="J34" s="19"/>
      <c r="K34" s="19"/>
      <c r="L34" s="19"/>
      <c r="M34" s="19"/>
      <c r="N34" s="19"/>
      <c r="O34" s="19"/>
      <c r="P34" s="19"/>
      <c r="Q34" s="19"/>
      <c r="R34" s="19"/>
      <c r="S34" s="19"/>
      <c r="T34" s="19"/>
      <c r="U34" s="19"/>
    </row>
    <row r="35" spans="1:22" s="8" customFormat="1" ht="15" customHeight="1">
      <c r="A35" s="16">
        <v>21</v>
      </c>
      <c r="B35" s="8" t="s">
        <v>39</v>
      </c>
      <c r="C35" s="26"/>
      <c r="D35" s="141">
        <f>+D33</f>
        <v>266359138.16</v>
      </c>
      <c r="E35" s="141">
        <f>+E33</f>
        <v>260840872.89999998</v>
      </c>
      <c r="F35" s="141">
        <f t="shared" ref="F35:O35" si="5">+F33</f>
        <v>278343375</v>
      </c>
      <c r="G35" s="141">
        <f t="shared" si="5"/>
        <v>267685972.13</v>
      </c>
      <c r="H35" s="141">
        <f t="shared" si="5"/>
        <v>269121780.23000002</v>
      </c>
      <c r="I35" s="141">
        <f t="shared" si="5"/>
        <v>262287835.73999995</v>
      </c>
      <c r="J35" s="141">
        <f t="shared" si="5"/>
        <v>282563231.10000002</v>
      </c>
      <c r="K35" s="141">
        <f t="shared" si="5"/>
        <v>277963570.76999998</v>
      </c>
      <c r="L35" s="141">
        <f t="shared" si="5"/>
        <v>283946913.80000001</v>
      </c>
      <c r="M35" s="141">
        <f t="shared" si="5"/>
        <v>270199716.87</v>
      </c>
      <c r="N35" s="141">
        <f t="shared" si="5"/>
        <v>283398711.03999996</v>
      </c>
      <c r="O35" s="141">
        <f t="shared" si="5"/>
        <v>302279744.06</v>
      </c>
      <c r="P35" s="141">
        <f t="shared" ref="P35:U35" si="6">+P33</f>
        <v>3304990861.8000002</v>
      </c>
      <c r="Q35" s="141">
        <f t="shared" si="6"/>
        <v>0</v>
      </c>
      <c r="R35" s="141">
        <f t="shared" si="6"/>
        <v>0</v>
      </c>
      <c r="S35" s="141">
        <f t="shared" si="6"/>
        <v>3304990861.8000002</v>
      </c>
      <c r="T35" s="141">
        <f t="shared" si="6"/>
        <v>493586912.30000013</v>
      </c>
      <c r="U35" s="141">
        <f t="shared" si="6"/>
        <v>3798577774.0999994</v>
      </c>
      <c r="V35" s="4" t="b">
        <f>+U35='II-D-2'!L35</f>
        <v>1</v>
      </c>
    </row>
    <row r="37" spans="1:22">
      <c r="D37" s="164"/>
      <c r="E37" s="164"/>
      <c r="F37" s="164"/>
      <c r="G37" s="164"/>
      <c r="H37" s="164"/>
      <c r="I37" s="164"/>
      <c r="J37" s="164"/>
      <c r="K37" s="164"/>
      <c r="L37" s="164"/>
      <c r="M37" s="164"/>
      <c r="N37" s="164"/>
      <c r="O37" s="164"/>
    </row>
    <row r="38" spans="1:22">
      <c r="D38" s="108"/>
      <c r="E38" s="108"/>
      <c r="F38" s="108"/>
      <c r="G38" s="108"/>
      <c r="H38" s="108"/>
      <c r="I38" s="108"/>
      <c r="J38" s="108"/>
      <c r="K38" s="108"/>
      <c r="L38" s="108"/>
      <c r="M38" s="108"/>
      <c r="N38" s="108"/>
      <c r="O38" s="108"/>
      <c r="P38" t="b">
        <f>+P35='II-D-2'!E35</f>
        <v>1</v>
      </c>
      <c r="Q38" t="b">
        <f>+Q35='II-D-2'!F35</f>
        <v>1</v>
      </c>
      <c r="R38" t="b">
        <f>+R35='II-D-2'!G35</f>
        <v>1</v>
      </c>
      <c r="S38" t="b">
        <f>+S35='II-D-2'!H35</f>
        <v>1</v>
      </c>
      <c r="T38" t="b">
        <f>+T35='II-D-2'!I35</f>
        <v>1</v>
      </c>
      <c r="U38" t="b">
        <f>+U35='II-D-2'!J35</f>
        <v>1</v>
      </c>
    </row>
  </sheetData>
  <phoneticPr fontId="5" type="noConversion"/>
  <printOptions horizontalCentered="1"/>
  <pageMargins left="0.5" right="0.5" top="3" bottom="0.5" header="1.5" footer="0.5"/>
  <pageSetup scale="61" fitToWidth="3" orientation="landscape"/>
  <headerFooter alignWithMargins="0">
    <oddHeader>&amp;R&amp;"Arial,Bold"Schedule &amp;A
Page &amp;P of &amp;N&amp;C&amp;B
2025 RATE CASE
ONCOR ELECTRIC DELIVERY COMPANY LLC
II-D-2.1  MONTHLY A&amp;&amp;G EXPENSE
TEST YEAR ENDING DECEMBER 31, 2024
SPONSOR: R. PRACHYL</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FF0000"/>
  </sheetPr>
  <dimension ref="A1:B29"/>
  <sheetViews>
    <sheetView zoomScaleNormal="100" workbookViewId="0">
      <pane ySplit="6" topLeftCell="A7" activePane="bottomLeft" state="frozen"/>
      <selection activeCell="N38" sqref="N38"/>
      <selection pane="bottomLeft" activeCell="A7" sqref="A7"/>
    </sheetView>
  </sheetViews>
  <sheetFormatPr defaultRowHeight="12.75"/>
  <sheetData>
    <row r="1" spans="1:2">
      <c r="A1" s="5" t="str">
        <f>+'[3]Input Data'!$A$9</f>
        <v>2025 RATE CASE</v>
      </c>
    </row>
    <row r="2" spans="1:2">
      <c r="A2" s="8" t="str">
        <f>+'[3]Input Data'!$A$2</f>
        <v>ONCOR ELECTRIC DELIVERY COMPANY LLC</v>
      </c>
    </row>
    <row r="3" spans="1:2">
      <c r="A3" s="7" t="str">
        <f>CONCATENATE('[3]Schedule Sponsors'!$A$55,'[3]Schedule Sponsors'!$B$55)</f>
        <v>II-D-2.2  BAD DEBT EXPENSE</v>
      </c>
    </row>
    <row r="4" spans="1:2">
      <c r="A4" s="63" t="str">
        <f>+'[3]Input Data'!$A$4</f>
        <v>TEST YEAR ENDING DECEMBER 31, 2024</v>
      </c>
    </row>
    <row r="5" spans="1:2">
      <c r="A5" s="7" t="str">
        <f>CONCATENATE("SPONSOR: ",'[3]Schedule Sponsors'!$D$55)</f>
        <v>SPONSOR: R. PRACHYL</v>
      </c>
    </row>
    <row r="10" spans="1:2">
      <c r="A10" s="5" t="s">
        <v>360</v>
      </c>
    </row>
    <row r="13" spans="1:2" ht="14.25">
      <c r="A13" s="259" t="s">
        <v>342</v>
      </c>
      <c r="B13" s="259"/>
    </row>
    <row r="14" spans="1:2" ht="14.25">
      <c r="A14" s="259" t="s">
        <v>367</v>
      </c>
      <c r="B14" s="259"/>
    </row>
    <row r="15" spans="1:2" ht="14.25">
      <c r="A15" s="259" t="s">
        <v>361</v>
      </c>
      <c r="B15" s="259"/>
    </row>
    <row r="16" spans="1:2" ht="14.25">
      <c r="A16" s="259" t="s">
        <v>362</v>
      </c>
      <c r="B16" s="259"/>
    </row>
    <row r="17" spans="1:2" ht="14.25">
      <c r="A17" s="259"/>
      <c r="B17" s="259"/>
    </row>
    <row r="18" spans="1:2" ht="14.25">
      <c r="A18" s="259" t="s">
        <v>631</v>
      </c>
      <c r="B18" s="259"/>
    </row>
    <row r="19" spans="1:2" ht="14.25">
      <c r="A19" s="259" t="s">
        <v>630</v>
      </c>
      <c r="B19" s="259"/>
    </row>
    <row r="20" spans="1:2" ht="14.25">
      <c r="A20" s="259"/>
      <c r="B20" s="259"/>
    </row>
    <row r="21" spans="1:2" ht="14.25">
      <c r="A21" s="259" t="s">
        <v>363</v>
      </c>
      <c r="B21" s="259"/>
    </row>
    <row r="22" spans="1:2" ht="14.25">
      <c r="A22" s="259" t="s">
        <v>368</v>
      </c>
      <c r="B22" s="259"/>
    </row>
    <row r="25" spans="1:2">
      <c r="A25" s="112"/>
    </row>
    <row r="29" spans="1:2">
      <c r="A29" s="112"/>
    </row>
  </sheetData>
  <phoneticPr fontId="5" type="noConversion"/>
  <printOptions horizontalCentered="1"/>
  <pageMargins left="0.5" right="0.5" top="3" bottom="0.5" header="1.5" footer="0.5"/>
  <pageSetup orientation="landscape"/>
  <headerFooter alignWithMargins="0">
    <oddHeader>&amp;R&amp;"Arial,Bold"Schedule &amp;A
Page &amp;P of &amp;N&amp;C&amp;B
2025 RATE CASE
ONCOR ELECTRIC DELIVERY COMPANY LLC
II-D-2.2  BAD DEBT EXPENSE
TEST YEAR ENDING DECEMBER 31, 2024
SPONSOR: R. PRACHYL</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pageSetUpPr fitToPage="1"/>
  </sheetPr>
  <dimension ref="A1:B22"/>
  <sheetViews>
    <sheetView topLeftCell="A2" zoomScaleNormal="100" workbookViewId="0">
      <pane ySplit="5" topLeftCell="A7" activePane="bottomLeft" state="frozen"/>
      <selection activeCell="N38" sqref="N38"/>
      <selection pane="bottomLeft" activeCell="B21" sqref="B21"/>
    </sheetView>
  </sheetViews>
  <sheetFormatPr defaultRowHeight="12.75"/>
  <cols>
    <col min="1" max="1" width="11.140625" customWidth="1"/>
  </cols>
  <sheetData>
    <row r="1" spans="1:2">
      <c r="A1" s="5" t="str">
        <f>+'[3]Input Data'!$A$9</f>
        <v>2025 RATE CASE</v>
      </c>
    </row>
    <row r="2" spans="1:2">
      <c r="A2" s="8" t="str">
        <f>+'[3]Input Data'!$A$2</f>
        <v>ONCOR ELECTRIC DELIVERY COMPANY LLC</v>
      </c>
    </row>
    <row r="3" spans="1:2">
      <c r="A3" s="7" t="str">
        <f>CONCATENATE('[3]Schedule Sponsors'!$A$55,'[3]Schedule Sponsors'!$B$55)</f>
        <v>II-D-2.2  BAD DEBT EXPENSE</v>
      </c>
    </row>
    <row r="4" spans="1:2">
      <c r="A4" s="63" t="str">
        <f>+'[3]Input Data'!$A$4</f>
        <v>TEST YEAR ENDING DECEMBER 31, 2024</v>
      </c>
    </row>
    <row r="5" spans="1:2">
      <c r="A5" s="7" t="str">
        <f>CONCATENATE("SPONSOR: ",'[3]Schedule Sponsors'!$D$55)</f>
        <v>SPONSOR: R. PRACHYL</v>
      </c>
    </row>
    <row r="10" spans="1:2">
      <c r="A10" s="5" t="s">
        <v>300</v>
      </c>
      <c r="B10" s="5" t="s">
        <v>301</v>
      </c>
    </row>
    <row r="11" spans="1:2">
      <c r="A11" s="5"/>
      <c r="B11" s="194" t="s">
        <v>192</v>
      </c>
    </row>
    <row r="13" spans="1:2">
      <c r="B13" t="s">
        <v>119</v>
      </c>
    </row>
    <row r="15" spans="1:2">
      <c r="B15" t="s">
        <v>428</v>
      </c>
    </row>
    <row r="16" spans="1:2">
      <c r="B16" t="s">
        <v>120</v>
      </c>
    </row>
    <row r="17" spans="2:2">
      <c r="B17" t="s">
        <v>364</v>
      </c>
    </row>
    <row r="18" spans="2:2">
      <c r="B18" t="s">
        <v>365</v>
      </c>
    </row>
    <row r="19" spans="2:2">
      <c r="B19" t="s">
        <v>366</v>
      </c>
    </row>
    <row r="20" spans="2:2">
      <c r="B20" t="s">
        <v>429</v>
      </c>
    </row>
    <row r="21" spans="2:2">
      <c r="B21" s="171" t="s">
        <v>1051</v>
      </c>
    </row>
    <row r="22" spans="2:2">
      <c r="B22" t="s">
        <v>632</v>
      </c>
    </row>
  </sheetData>
  <phoneticPr fontId="5" type="noConversion"/>
  <printOptions horizontalCentered="1"/>
  <pageMargins left="0.5" right="0.5" top="3" bottom="0.5" header="1.5" footer="0.5"/>
  <pageSetup orientation="landscape"/>
  <headerFooter alignWithMargins="0">
    <oddHeader>&amp;RSchedule  II-D-2.2.2
Page &amp;P of &amp;P&amp;C&amp;B
2025 RATE CASE
ONCOR ELECTRIC DELIVERY COMPANY LLC
II-D-2.2  BAD DEBT EXPENSE
TEST YEAR ENDING DECEMBER 31, 2024
SPONSOR: R. PRACHYL</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8">
    <tabColor rgb="FFFF0000"/>
    <pageSetUpPr fitToPage="1"/>
  </sheetPr>
  <dimension ref="A1:O40"/>
  <sheetViews>
    <sheetView zoomScaleNormal="100" workbookViewId="0">
      <pane xSplit="3" ySplit="13" topLeftCell="D14" activePane="bottomRight" state="frozen"/>
      <selection activeCell="N38" sqref="N38"/>
      <selection pane="topRight" activeCell="N38" sqref="N38"/>
      <selection pane="bottomLeft" activeCell="N38" sqref="N38"/>
      <selection pane="bottomRight" activeCell="C17" sqref="C17"/>
    </sheetView>
  </sheetViews>
  <sheetFormatPr defaultRowHeight="12.75"/>
  <cols>
    <col min="1" max="1" width="5.7109375" customWidth="1"/>
    <col min="2" max="2" width="8.7109375" customWidth="1"/>
    <col min="3" max="3" width="17.7109375" customWidth="1"/>
    <col min="4" max="14" width="13.7109375" customWidth="1"/>
  </cols>
  <sheetData>
    <row r="1" spans="1:14">
      <c r="A1" s="5" t="str">
        <f>+'[3]Input Data'!$A$9</f>
        <v>2025 RATE CASE</v>
      </c>
    </row>
    <row r="2" spans="1:14">
      <c r="A2" s="8" t="str">
        <f>+'[3]Input Data'!$A$2</f>
        <v>ONCOR ELECTRIC DELIVERY COMPANY LLC</v>
      </c>
    </row>
    <row r="3" spans="1:14">
      <c r="A3" s="7" t="str">
        <f>CONCATENATE('[3]Schedule Sponsors'!$A$55,'[3]Schedule Sponsors'!$B$55)</f>
        <v>II-D-2.2  BAD DEBT EXPENSE</v>
      </c>
    </row>
    <row r="4" spans="1:14">
      <c r="A4" s="63" t="str">
        <f>+'[3]Input Data'!$A$4</f>
        <v>TEST YEAR ENDING DECEMBER 31, 2024</v>
      </c>
    </row>
    <row r="5" spans="1:14">
      <c r="A5" s="7" t="str">
        <f>CONCATENATE("SPONSOR: ",'[3]Schedule Sponsors'!$D$55)</f>
        <v>SPONSOR: R. PRACHYL</v>
      </c>
    </row>
    <row r="9" spans="1:14" ht="13.5" thickBot="1"/>
    <row r="10" spans="1:14" s="35" customFormat="1">
      <c r="A10" s="9"/>
      <c r="B10" s="9"/>
      <c r="C10" s="9"/>
      <c r="D10" s="184"/>
      <c r="E10" s="184"/>
      <c r="F10" s="184"/>
      <c r="G10" s="184"/>
      <c r="H10" s="184"/>
      <c r="I10" s="184"/>
      <c r="J10" s="184"/>
      <c r="K10" s="184"/>
      <c r="L10" s="184"/>
      <c r="M10" s="184"/>
      <c r="N10" s="184"/>
    </row>
    <row r="11" spans="1:14" s="35" customFormat="1">
      <c r="A11" s="11" t="s">
        <v>87</v>
      </c>
      <c r="B11" s="11" t="s">
        <v>212</v>
      </c>
      <c r="C11" s="11"/>
      <c r="D11" s="183" t="s">
        <v>409</v>
      </c>
      <c r="E11" s="183"/>
      <c r="F11" s="183" t="s">
        <v>617</v>
      </c>
      <c r="G11" s="183" t="s">
        <v>623</v>
      </c>
      <c r="H11" s="183" t="s">
        <v>618</v>
      </c>
      <c r="I11" s="183"/>
      <c r="J11" s="183" t="s">
        <v>617</v>
      </c>
      <c r="K11" s="183" t="s">
        <v>618</v>
      </c>
      <c r="L11" s="183"/>
      <c r="M11" s="183"/>
      <c r="N11" s="183"/>
    </row>
    <row r="12" spans="1:14" s="35" customFormat="1">
      <c r="A12" s="11" t="s">
        <v>89</v>
      </c>
      <c r="B12" s="11" t="s">
        <v>294</v>
      </c>
      <c r="C12" s="11" t="s">
        <v>208</v>
      </c>
      <c r="D12" s="183" t="s">
        <v>416</v>
      </c>
      <c r="E12" s="183" t="s">
        <v>292</v>
      </c>
      <c r="F12" s="183" t="s">
        <v>292</v>
      </c>
      <c r="G12" s="183" t="s">
        <v>624</v>
      </c>
      <c r="H12" s="183" t="s">
        <v>292</v>
      </c>
      <c r="I12" s="183" t="s">
        <v>293</v>
      </c>
      <c r="J12" s="183" t="s">
        <v>293</v>
      </c>
      <c r="K12" s="183" t="s">
        <v>293</v>
      </c>
      <c r="L12" s="183" t="s">
        <v>281</v>
      </c>
      <c r="M12" s="183" t="s">
        <v>126</v>
      </c>
      <c r="N12" s="183" t="s">
        <v>215</v>
      </c>
    </row>
    <row r="13" spans="1:14" s="31" customFormat="1" ht="13.5" thickBot="1">
      <c r="A13" s="29"/>
      <c r="B13" s="29" t="s">
        <v>44</v>
      </c>
      <c r="C13" s="29" t="s">
        <v>45</v>
      </c>
      <c r="D13" s="29" t="s">
        <v>74</v>
      </c>
      <c r="E13" s="29" t="s">
        <v>75</v>
      </c>
      <c r="F13" s="213" t="s">
        <v>76</v>
      </c>
      <c r="G13" s="213" t="s">
        <v>77</v>
      </c>
      <c r="H13" s="213" t="s">
        <v>78</v>
      </c>
      <c r="I13" s="213" t="s">
        <v>79</v>
      </c>
      <c r="J13" s="213" t="s">
        <v>80</v>
      </c>
      <c r="K13" s="213" t="s">
        <v>81</v>
      </c>
      <c r="L13" s="213" t="s">
        <v>82</v>
      </c>
      <c r="M13" s="213" t="s">
        <v>83</v>
      </c>
      <c r="N13" s="213" t="s">
        <v>84</v>
      </c>
    </row>
    <row r="14" spans="1:14" s="31" customFormat="1" ht="12.75" customHeight="1">
      <c r="B14" s="38"/>
      <c r="C14" s="38"/>
      <c r="D14" s="38"/>
      <c r="E14" s="38"/>
      <c r="F14" s="38"/>
      <c r="G14" s="38"/>
      <c r="H14" s="38"/>
      <c r="I14" s="38"/>
      <c r="J14" s="38"/>
      <c r="K14" s="38"/>
      <c r="L14" s="38"/>
      <c r="M14" s="38"/>
      <c r="N14" s="38"/>
    </row>
    <row r="15" spans="1:14">
      <c r="A15" s="1"/>
    </row>
    <row r="16" spans="1:14">
      <c r="A16" s="1"/>
      <c r="B16" s="98" t="s">
        <v>809</v>
      </c>
    </row>
    <row r="17" spans="1:15">
      <c r="A17" s="1">
        <v>1</v>
      </c>
      <c r="B17" t="s">
        <v>95</v>
      </c>
      <c r="C17" t="s">
        <v>110</v>
      </c>
      <c r="D17" s="234">
        <v>92962880.629999995</v>
      </c>
      <c r="E17" s="234">
        <v>42912110.419999972</v>
      </c>
      <c r="F17" s="234">
        <v>-85576.609999999986</v>
      </c>
      <c r="G17" s="234">
        <v>3439949.0199999996</v>
      </c>
      <c r="H17" s="234">
        <f>SUM(E17:G17)</f>
        <v>46266482.829999968</v>
      </c>
      <c r="I17" s="234">
        <v>46696397.799999997</v>
      </c>
      <c r="J17" s="234">
        <v>0</v>
      </c>
      <c r="K17" s="234">
        <f>SUM(I17:J17)</f>
        <v>46696397.799999997</v>
      </c>
      <c r="L17" s="234">
        <v>0</v>
      </c>
      <c r="M17" s="234">
        <v>0</v>
      </c>
      <c r="N17" s="236">
        <f>+H17+K17+L17+M17</f>
        <v>92962880.629999965</v>
      </c>
      <c r="O17" t="b">
        <f>+D17=N17</f>
        <v>1</v>
      </c>
    </row>
    <row r="18" spans="1:15">
      <c r="A18" s="1">
        <v>2</v>
      </c>
      <c r="B18" t="s">
        <v>261</v>
      </c>
      <c r="C18" s="30" t="s">
        <v>13</v>
      </c>
      <c r="D18" s="235">
        <v>2061816.0500000026</v>
      </c>
      <c r="E18" s="235">
        <v>-153231.78999999998</v>
      </c>
      <c r="F18" s="235">
        <v>0</v>
      </c>
      <c r="G18" s="235">
        <v>0</v>
      </c>
      <c r="H18" s="235">
        <f>SUM(E18:G18)</f>
        <v>-153231.78999999998</v>
      </c>
      <c r="I18" s="235">
        <v>2215047.8400000026</v>
      </c>
      <c r="J18" s="235">
        <v>0</v>
      </c>
      <c r="K18" s="235">
        <f t="shared" ref="K18:K20" si="0">SUM(I18:J18)</f>
        <v>2215047.8400000026</v>
      </c>
      <c r="L18" s="235">
        <v>0</v>
      </c>
      <c r="M18" s="235">
        <v>0</v>
      </c>
      <c r="N18" s="237">
        <f t="shared" ref="N18:N20" si="1">+H18+K18+L18+M18</f>
        <v>2061816.0500000026</v>
      </c>
      <c r="O18" t="b">
        <f>+D18=N18</f>
        <v>1</v>
      </c>
    </row>
    <row r="19" spans="1:15">
      <c r="A19" s="1">
        <v>3</v>
      </c>
      <c r="B19" t="s">
        <v>261</v>
      </c>
      <c r="C19" s="232" t="s">
        <v>633</v>
      </c>
      <c r="D19" s="235">
        <v>1671750.84</v>
      </c>
      <c r="E19" s="235">
        <v>0</v>
      </c>
      <c r="F19" s="235">
        <v>0</v>
      </c>
      <c r="G19" s="235">
        <v>0</v>
      </c>
      <c r="H19" s="235">
        <f>SUM(E19:G19)</f>
        <v>0</v>
      </c>
      <c r="I19" s="235">
        <v>1671750.84</v>
      </c>
      <c r="J19" s="235">
        <v>0</v>
      </c>
      <c r="K19" s="235">
        <f t="shared" si="0"/>
        <v>1671750.84</v>
      </c>
      <c r="L19" s="235">
        <v>0</v>
      </c>
      <c r="M19" s="235">
        <v>0</v>
      </c>
      <c r="N19" s="237">
        <f t="shared" si="1"/>
        <v>1671750.84</v>
      </c>
      <c r="O19" t="b">
        <f>+D19=N19</f>
        <v>1</v>
      </c>
    </row>
    <row r="20" spans="1:15">
      <c r="A20" s="1">
        <v>4</v>
      </c>
      <c r="B20" t="s">
        <v>195</v>
      </c>
      <c r="C20" s="30" t="s">
        <v>111</v>
      </c>
      <c r="D20" s="235">
        <v>2636.82</v>
      </c>
      <c r="E20" s="235">
        <v>280.07</v>
      </c>
      <c r="F20" s="235">
        <v>0</v>
      </c>
      <c r="G20" s="235">
        <v>0</v>
      </c>
      <c r="H20" s="235">
        <f>SUM(E20:G20)</f>
        <v>280.07</v>
      </c>
      <c r="I20" s="235">
        <v>2356.75</v>
      </c>
      <c r="J20" s="235">
        <v>0</v>
      </c>
      <c r="K20" s="235">
        <f t="shared" si="0"/>
        <v>2356.75</v>
      </c>
      <c r="L20" s="235">
        <v>0</v>
      </c>
      <c r="M20" s="235">
        <v>0</v>
      </c>
      <c r="N20" s="237">
        <f t="shared" si="1"/>
        <v>2636.82</v>
      </c>
      <c r="O20" t="b">
        <f>+D20=N20</f>
        <v>1</v>
      </c>
    </row>
    <row r="21" spans="1:15">
      <c r="A21" s="1">
        <v>5</v>
      </c>
    </row>
    <row r="22" spans="1:15">
      <c r="A22" s="1">
        <v>6</v>
      </c>
    </row>
    <row r="23" spans="1:15">
      <c r="A23" s="1">
        <v>7</v>
      </c>
      <c r="B23" s="98" t="s">
        <v>810</v>
      </c>
    </row>
    <row r="24" spans="1:15">
      <c r="A24" s="1">
        <v>8</v>
      </c>
      <c r="B24" t="s">
        <v>95</v>
      </c>
      <c r="C24" t="s">
        <v>110</v>
      </c>
      <c r="D24" s="234">
        <v>89024202.469999969</v>
      </c>
      <c r="E24" s="234">
        <v>44731123.67999997</v>
      </c>
      <c r="F24" s="234">
        <v>0</v>
      </c>
      <c r="G24" s="234">
        <v>2521165.7800000003</v>
      </c>
      <c r="H24" s="234">
        <f t="shared" ref="H24:H27" si="2">SUM(E24:G24)</f>
        <v>47252289.459999971</v>
      </c>
      <c r="I24" s="234">
        <v>41771913.009999998</v>
      </c>
      <c r="J24" s="234">
        <v>0</v>
      </c>
      <c r="K24" s="234">
        <f t="shared" ref="K24:K27" si="3">SUM(I24:J24)</f>
        <v>41771913.009999998</v>
      </c>
      <c r="L24" s="234">
        <v>0</v>
      </c>
      <c r="M24" s="234">
        <v>0</v>
      </c>
      <c r="N24" s="236">
        <f t="shared" ref="N24:N27" si="4">+H24+K24+L24+M24</f>
        <v>89024202.469999969</v>
      </c>
      <c r="O24" t="b">
        <f>+D24=N24</f>
        <v>1</v>
      </c>
    </row>
    <row r="25" spans="1:15">
      <c r="A25" s="1">
        <v>9</v>
      </c>
      <c r="B25" t="s">
        <v>261</v>
      </c>
      <c r="C25" s="30" t="s">
        <v>13</v>
      </c>
      <c r="D25" s="235">
        <v>1455521.0200000003</v>
      </c>
      <c r="E25" s="235">
        <v>279774.15999999997</v>
      </c>
      <c r="F25" s="235">
        <v>0</v>
      </c>
      <c r="G25" s="235">
        <v>0</v>
      </c>
      <c r="H25" s="235">
        <f t="shared" si="2"/>
        <v>279774.15999999997</v>
      </c>
      <c r="I25" s="235">
        <v>1175746.8600000003</v>
      </c>
      <c r="J25" s="235">
        <v>0</v>
      </c>
      <c r="K25" s="235">
        <f t="shared" si="3"/>
        <v>1175746.8600000003</v>
      </c>
      <c r="L25" s="235">
        <v>0</v>
      </c>
      <c r="M25" s="235">
        <v>0</v>
      </c>
      <c r="N25" s="237">
        <f t="shared" si="4"/>
        <v>1455521.0200000003</v>
      </c>
      <c r="O25" t="b">
        <f>+D25=N25</f>
        <v>1</v>
      </c>
    </row>
    <row r="26" spans="1:15">
      <c r="A26" s="1">
        <v>10</v>
      </c>
      <c r="B26" t="s">
        <v>261</v>
      </c>
      <c r="C26" s="232" t="s">
        <v>633</v>
      </c>
      <c r="D26" s="235">
        <v>1187145.54</v>
      </c>
      <c r="E26" s="235">
        <v>0</v>
      </c>
      <c r="F26" s="235">
        <v>0</v>
      </c>
      <c r="G26" s="235">
        <v>0</v>
      </c>
      <c r="H26" s="235">
        <f t="shared" si="2"/>
        <v>0</v>
      </c>
      <c r="I26" s="235">
        <v>1187145.54</v>
      </c>
      <c r="J26" s="235">
        <v>0</v>
      </c>
      <c r="K26" s="235">
        <f t="shared" si="3"/>
        <v>1187145.54</v>
      </c>
      <c r="L26" s="235">
        <v>0</v>
      </c>
      <c r="M26" s="235">
        <v>0</v>
      </c>
      <c r="N26" s="237">
        <f t="shared" si="4"/>
        <v>1187145.54</v>
      </c>
      <c r="O26" t="b">
        <f>+D26=N26</f>
        <v>1</v>
      </c>
    </row>
    <row r="27" spans="1:15">
      <c r="A27" s="1">
        <v>11</v>
      </c>
      <c r="B27" t="s">
        <v>195</v>
      </c>
      <c r="C27" s="30" t="s">
        <v>111</v>
      </c>
      <c r="D27" s="235">
        <v>10184.93</v>
      </c>
      <c r="E27" s="235">
        <v>3273.19</v>
      </c>
      <c r="F27" s="235">
        <v>0</v>
      </c>
      <c r="G27" s="235">
        <v>0</v>
      </c>
      <c r="H27" s="235">
        <f t="shared" si="2"/>
        <v>3273.19</v>
      </c>
      <c r="I27" s="235">
        <v>6911.74</v>
      </c>
      <c r="J27" s="235">
        <v>0</v>
      </c>
      <c r="K27" s="235">
        <f t="shared" si="3"/>
        <v>6911.74</v>
      </c>
      <c r="L27" s="235">
        <v>0</v>
      </c>
      <c r="M27" s="235">
        <v>0</v>
      </c>
      <c r="N27" s="237">
        <f t="shared" si="4"/>
        <v>10184.93</v>
      </c>
      <c r="O27" t="b">
        <f>+D27=N27</f>
        <v>1</v>
      </c>
    </row>
    <row r="28" spans="1:15">
      <c r="A28" s="1">
        <v>12</v>
      </c>
      <c r="D28" s="66"/>
      <c r="E28" s="66"/>
      <c r="F28" s="66"/>
      <c r="G28" s="66"/>
      <c r="H28" s="66"/>
      <c r="I28" s="66"/>
      <c r="J28" s="66"/>
      <c r="K28" s="66"/>
      <c r="L28" s="66"/>
      <c r="M28" s="66"/>
      <c r="N28" s="66"/>
    </row>
    <row r="29" spans="1:15">
      <c r="A29" s="1">
        <v>13</v>
      </c>
    </row>
    <row r="30" spans="1:15">
      <c r="A30" s="1">
        <v>14</v>
      </c>
      <c r="B30" s="98" t="s">
        <v>811</v>
      </c>
    </row>
    <row r="31" spans="1:15">
      <c r="A31" s="1">
        <v>15</v>
      </c>
      <c r="B31" t="s">
        <v>95</v>
      </c>
      <c r="C31" t="s">
        <v>110</v>
      </c>
      <c r="D31" s="234">
        <v>91076797.359999999</v>
      </c>
      <c r="E31" s="234">
        <v>48492057.419999979</v>
      </c>
      <c r="F31" s="234">
        <v>0</v>
      </c>
      <c r="G31" s="234">
        <v>2581339.4899999998</v>
      </c>
      <c r="H31" s="234">
        <f t="shared" ref="H31:H34" si="5">SUM(E31:G31)</f>
        <v>51073396.909999982</v>
      </c>
      <c r="I31" s="234">
        <v>40003400.450000003</v>
      </c>
      <c r="J31" s="234">
        <v>0</v>
      </c>
      <c r="K31" s="234">
        <f t="shared" ref="K31:K34" si="6">SUM(I31:J31)</f>
        <v>40003400.450000003</v>
      </c>
      <c r="L31" s="234">
        <v>0</v>
      </c>
      <c r="M31" s="234">
        <v>0</v>
      </c>
      <c r="N31" s="236">
        <f t="shared" ref="N31:N34" si="7">+H31+K31+L31+M31</f>
        <v>91076797.359999985</v>
      </c>
      <c r="O31" t="b">
        <f>+D31=N31</f>
        <v>1</v>
      </c>
    </row>
    <row r="32" spans="1:15">
      <c r="A32" s="1">
        <v>16</v>
      </c>
      <c r="B32" t="s">
        <v>261</v>
      </c>
      <c r="C32" s="30" t="s">
        <v>13</v>
      </c>
      <c r="D32" s="235">
        <v>-168398.38000000009</v>
      </c>
      <c r="E32" s="235">
        <v>-428738.36000000004</v>
      </c>
      <c r="F32" s="235">
        <v>0</v>
      </c>
      <c r="G32" s="235">
        <v>0</v>
      </c>
      <c r="H32" s="235">
        <f t="shared" si="5"/>
        <v>-428738.36000000004</v>
      </c>
      <c r="I32" s="235">
        <v>260339.97999999995</v>
      </c>
      <c r="J32" s="235">
        <v>0</v>
      </c>
      <c r="K32" s="235">
        <f t="shared" si="6"/>
        <v>260339.97999999995</v>
      </c>
      <c r="L32" s="235">
        <v>0</v>
      </c>
      <c r="M32" s="235">
        <v>0</v>
      </c>
      <c r="N32" s="237">
        <f t="shared" si="7"/>
        <v>-168398.38000000009</v>
      </c>
      <c r="O32" t="b">
        <f>+D32=N32</f>
        <v>1</v>
      </c>
    </row>
    <row r="33" spans="1:15">
      <c r="A33" s="1">
        <v>17</v>
      </c>
      <c r="B33" t="s">
        <v>261</v>
      </c>
      <c r="C33" s="232" t="s">
        <v>633</v>
      </c>
      <c r="D33" s="235">
        <v>267957.36</v>
      </c>
      <c r="E33" s="235">
        <v>0</v>
      </c>
      <c r="F33" s="235">
        <v>0</v>
      </c>
      <c r="G33" s="235">
        <v>0</v>
      </c>
      <c r="H33" s="235">
        <f t="shared" si="5"/>
        <v>0</v>
      </c>
      <c r="I33" s="235">
        <v>267957.36</v>
      </c>
      <c r="J33" s="235">
        <v>0</v>
      </c>
      <c r="K33" s="235">
        <f t="shared" si="6"/>
        <v>267957.36</v>
      </c>
      <c r="L33" s="235">
        <v>0</v>
      </c>
      <c r="M33" s="235">
        <v>0</v>
      </c>
      <c r="N33" s="237">
        <f t="shared" si="7"/>
        <v>267957.36</v>
      </c>
      <c r="O33" t="b">
        <f>+D33=N33</f>
        <v>1</v>
      </c>
    </row>
    <row r="34" spans="1:15">
      <c r="A34" s="1">
        <v>18</v>
      </c>
      <c r="B34" t="s">
        <v>195</v>
      </c>
      <c r="C34" s="30" t="s">
        <v>111</v>
      </c>
      <c r="D34" s="235">
        <v>936.9</v>
      </c>
      <c r="E34" s="235">
        <v>135.08000000000001</v>
      </c>
      <c r="F34" s="235">
        <v>0</v>
      </c>
      <c r="G34" s="235">
        <v>0</v>
      </c>
      <c r="H34" s="235">
        <f t="shared" si="5"/>
        <v>135.08000000000001</v>
      </c>
      <c r="I34" s="235">
        <v>801.82</v>
      </c>
      <c r="J34" s="235">
        <v>0</v>
      </c>
      <c r="K34" s="235">
        <f t="shared" si="6"/>
        <v>801.82</v>
      </c>
      <c r="L34" s="235">
        <v>0</v>
      </c>
      <c r="M34" s="235">
        <v>0</v>
      </c>
      <c r="N34" s="237">
        <f t="shared" si="7"/>
        <v>936.90000000000009</v>
      </c>
      <c r="O34" t="b">
        <f>+D34=N34</f>
        <v>1</v>
      </c>
    </row>
    <row r="35" spans="1:15">
      <c r="A35" s="1">
        <v>19</v>
      </c>
      <c r="C35" s="4"/>
      <c r="D35" s="66"/>
      <c r="E35" s="66"/>
      <c r="F35" s="66"/>
      <c r="G35" s="66"/>
      <c r="H35" s="66"/>
      <c r="I35" s="66"/>
      <c r="J35" s="66"/>
      <c r="K35" s="66"/>
      <c r="L35" s="66"/>
      <c r="M35" s="66"/>
      <c r="N35" s="66"/>
    </row>
    <row r="36" spans="1:15">
      <c r="A36" s="1">
        <v>20</v>
      </c>
      <c r="B36" s="98" t="s">
        <v>812</v>
      </c>
    </row>
    <row r="37" spans="1:15">
      <c r="A37" s="1">
        <v>21</v>
      </c>
      <c r="B37" t="s">
        <v>95</v>
      </c>
      <c r="C37" t="s">
        <v>110</v>
      </c>
      <c r="D37" s="234">
        <v>80520103.129999995</v>
      </c>
      <c r="E37" s="234">
        <v>41538673.470000029</v>
      </c>
      <c r="F37" s="234">
        <v>1564.81</v>
      </c>
      <c r="G37" s="234">
        <v>1433157.19</v>
      </c>
      <c r="H37" s="234">
        <f t="shared" ref="H37:H40" si="8">SUM(E37:G37)</f>
        <v>42973395.470000029</v>
      </c>
      <c r="I37" s="234">
        <v>37546707.659999996</v>
      </c>
      <c r="J37" s="234">
        <v>0</v>
      </c>
      <c r="K37" s="234">
        <f t="shared" ref="K37:K40" si="9">SUM(I37:J37)</f>
        <v>37546707.659999996</v>
      </c>
      <c r="L37" s="234">
        <v>0</v>
      </c>
      <c r="M37" s="234">
        <v>0</v>
      </c>
      <c r="N37" s="236">
        <f t="shared" ref="N37:N40" si="10">+H37+K37+L37+M37</f>
        <v>80520103.130000025</v>
      </c>
      <c r="O37" t="b">
        <f>+D37=N37</f>
        <v>1</v>
      </c>
    </row>
    <row r="38" spans="1:15">
      <c r="A38" s="1">
        <v>22</v>
      </c>
      <c r="B38" t="s">
        <v>261</v>
      </c>
      <c r="C38" s="30" t="s">
        <v>13</v>
      </c>
      <c r="D38" s="235">
        <v>777311.6799999997</v>
      </c>
      <c r="E38" s="235">
        <v>481266.75999999995</v>
      </c>
      <c r="F38" s="235">
        <v>0</v>
      </c>
      <c r="G38" s="235">
        <v>0</v>
      </c>
      <c r="H38" s="235">
        <f t="shared" si="8"/>
        <v>481266.75999999995</v>
      </c>
      <c r="I38" s="235">
        <v>296044.91999999981</v>
      </c>
      <c r="J38" s="235">
        <v>0</v>
      </c>
      <c r="K38" s="235">
        <f t="shared" si="9"/>
        <v>296044.91999999981</v>
      </c>
      <c r="L38" s="235">
        <v>0</v>
      </c>
      <c r="M38" s="235">
        <v>0</v>
      </c>
      <c r="N38" s="237">
        <f t="shared" si="10"/>
        <v>777311.6799999997</v>
      </c>
      <c r="O38" t="b">
        <f>+D38=N38</f>
        <v>1</v>
      </c>
    </row>
    <row r="39" spans="1:15">
      <c r="A39" s="1">
        <v>23</v>
      </c>
      <c r="B39" t="s">
        <v>261</v>
      </c>
      <c r="C39" s="232" t="s">
        <v>633</v>
      </c>
      <c r="D39" s="235">
        <v>267957.36</v>
      </c>
      <c r="E39" s="235">
        <v>0</v>
      </c>
      <c r="F39" s="235">
        <v>0</v>
      </c>
      <c r="G39" s="235">
        <v>0</v>
      </c>
      <c r="H39" s="235">
        <f>SUM(E39:G39)</f>
        <v>0</v>
      </c>
      <c r="I39" s="235">
        <v>267957.36</v>
      </c>
      <c r="J39" s="235">
        <v>0</v>
      </c>
      <c r="K39" s="235">
        <f t="shared" si="9"/>
        <v>267957.36</v>
      </c>
      <c r="L39" s="235">
        <v>0</v>
      </c>
      <c r="M39" s="235">
        <v>0</v>
      </c>
      <c r="N39" s="237">
        <f t="shared" si="10"/>
        <v>267957.36</v>
      </c>
      <c r="O39" t="b">
        <f>+D39=N39</f>
        <v>1</v>
      </c>
    </row>
    <row r="40" spans="1:15">
      <c r="A40" s="1">
        <v>24</v>
      </c>
      <c r="B40" t="s">
        <v>195</v>
      </c>
      <c r="C40" s="30" t="s">
        <v>111</v>
      </c>
      <c r="D40" s="235">
        <v>83102.320000000007</v>
      </c>
      <c r="E40" s="235">
        <v>9.4</v>
      </c>
      <c r="F40" s="235">
        <v>0</v>
      </c>
      <c r="G40" s="235">
        <v>0</v>
      </c>
      <c r="H40" s="235">
        <f t="shared" si="8"/>
        <v>9.4</v>
      </c>
      <c r="I40" s="235">
        <v>83092.92</v>
      </c>
      <c r="J40" s="235">
        <v>0</v>
      </c>
      <c r="K40" s="235">
        <f t="shared" si="9"/>
        <v>83092.92</v>
      </c>
      <c r="L40" s="235">
        <v>0</v>
      </c>
      <c r="M40" s="235">
        <v>0</v>
      </c>
      <c r="N40" s="237">
        <f t="shared" si="10"/>
        <v>83102.319999999992</v>
      </c>
      <c r="O40" t="b">
        <f>+D40=N40</f>
        <v>1</v>
      </c>
    </row>
  </sheetData>
  <phoneticPr fontId="5" type="noConversion"/>
  <printOptions horizontalCentered="1"/>
  <pageMargins left="0.5" right="0.5" top="2.5" bottom="0.5" header="1.5" footer="0.5"/>
  <pageSetup scale="60" fitToHeight="0" pageOrder="overThenDown" orientation="landscape"/>
  <headerFooter alignWithMargins="0">
    <oddHeader>&amp;R&amp;"Arial,Bold"Schedule &amp;A
Page &amp;P of &amp;N&amp;C&amp;B
2025 RATE CASE
ONCOR ELECTRIC DELIVERY COMPANY LLC
II-D-2.2  BAD DEBT EXPENSE
TEST YEAR ENDING DECEMBER 31, 2024
SPONSOR: R. PRACHYL</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0000"/>
    <pageSetUpPr fitToPage="1"/>
  </sheetPr>
  <dimension ref="A1:N52"/>
  <sheetViews>
    <sheetView zoomScaleNormal="100" workbookViewId="0"/>
  </sheetViews>
  <sheetFormatPr defaultRowHeight="12.75"/>
  <cols>
    <col min="2" max="2" width="28.85546875" bestFit="1" customWidth="1"/>
    <col min="3" max="3" width="18.7109375" customWidth="1"/>
    <col min="4" max="4" width="18.28515625" customWidth="1"/>
    <col min="5" max="6" width="17.85546875" customWidth="1"/>
    <col min="7" max="7" width="14" bestFit="1" customWidth="1"/>
  </cols>
  <sheetData>
    <row r="1" spans="1:7">
      <c r="A1" s="5" t="str">
        <f>+'[3]Input Data'!$A$9</f>
        <v>2025 RATE CASE</v>
      </c>
    </row>
    <row r="2" spans="1:7">
      <c r="A2" s="8" t="str">
        <f>+'[3]Input Data'!$A$2</f>
        <v>ONCOR ELECTRIC DELIVERY COMPANY LLC</v>
      </c>
    </row>
    <row r="3" spans="1:7">
      <c r="A3" s="7" t="str">
        <f>CONCATENATE('[3]Schedule Sponsors'!$A$56,'[3]Schedule Sponsors'!$B$56)</f>
        <v>II-D-2.2a  BAD DEBT EXPENSE UNDER 16 TAC § 25.107</v>
      </c>
    </row>
    <row r="4" spans="1:7">
      <c r="A4" s="63" t="str">
        <f>+'[3]Input Data'!$A$4</f>
        <v>TEST YEAR ENDING DECEMBER 31, 2024</v>
      </c>
    </row>
    <row r="5" spans="1:7">
      <c r="A5" s="7" t="str">
        <f>CONCATENATE("SPONSOR: ",'[3]Schedule Sponsors'!$D$56)</f>
        <v>SPONSOR: R. PRACHYL</v>
      </c>
    </row>
    <row r="9" spans="1:7" ht="13.5" thickBot="1"/>
    <row r="10" spans="1:7">
      <c r="A10" s="9"/>
      <c r="B10" s="9"/>
      <c r="C10" s="9"/>
      <c r="D10" s="9"/>
      <c r="E10" s="9"/>
      <c r="F10" s="9"/>
      <c r="G10" s="9"/>
    </row>
    <row r="11" spans="1:7">
      <c r="A11" s="11" t="s">
        <v>87</v>
      </c>
      <c r="B11" s="183" t="s">
        <v>521</v>
      </c>
      <c r="C11" s="183" t="s">
        <v>523</v>
      </c>
      <c r="D11" s="183" t="s">
        <v>523</v>
      </c>
      <c r="E11" s="183" t="s">
        <v>526</v>
      </c>
      <c r="F11" s="183" t="s">
        <v>427</v>
      </c>
      <c r="G11" s="183" t="s">
        <v>528</v>
      </c>
    </row>
    <row r="12" spans="1:7">
      <c r="A12" s="11" t="s">
        <v>89</v>
      </c>
      <c r="B12" s="183" t="s">
        <v>522</v>
      </c>
      <c r="C12" s="183" t="s">
        <v>524</v>
      </c>
      <c r="D12" s="183" t="s">
        <v>525</v>
      </c>
      <c r="E12" s="183" t="s">
        <v>527</v>
      </c>
      <c r="F12" s="183" t="s">
        <v>527</v>
      </c>
      <c r="G12" s="183" t="s">
        <v>529</v>
      </c>
    </row>
    <row r="13" spans="1:7" ht="13.5" thickBot="1">
      <c r="A13" s="12"/>
      <c r="B13" s="213" t="s">
        <v>44</v>
      </c>
      <c r="C13" s="213" t="s">
        <v>45</v>
      </c>
      <c r="D13" s="213" t="s">
        <v>74</v>
      </c>
      <c r="E13" s="213" t="s">
        <v>75</v>
      </c>
      <c r="F13" s="213" t="s">
        <v>76</v>
      </c>
      <c r="G13" s="213" t="s">
        <v>77</v>
      </c>
    </row>
    <row r="15" spans="1:7">
      <c r="A15" s="1">
        <v>1</v>
      </c>
      <c r="B15" t="s">
        <v>813</v>
      </c>
      <c r="C15" s="310">
        <v>45389</v>
      </c>
      <c r="D15" s="265">
        <v>1814257.39</v>
      </c>
      <c r="E15" s="265">
        <v>0</v>
      </c>
      <c r="F15" s="265">
        <v>0</v>
      </c>
      <c r="G15" s="265">
        <f>D15-E15-F15</f>
        <v>1814257.39</v>
      </c>
    </row>
    <row r="16" spans="1:7">
      <c r="A16" s="1">
        <v>2</v>
      </c>
      <c r="B16" t="s">
        <v>814</v>
      </c>
      <c r="C16" s="310">
        <v>45342</v>
      </c>
      <c r="D16" s="235">
        <v>619842.41</v>
      </c>
      <c r="E16" s="235">
        <v>0</v>
      </c>
      <c r="F16" s="239">
        <v>0</v>
      </c>
      <c r="G16" s="235">
        <f t="shared" ref="G16:G22" si="0">D16-E16-F16</f>
        <v>619842.41</v>
      </c>
    </row>
    <row r="17" spans="1:8">
      <c r="A17" s="1">
        <v>3</v>
      </c>
      <c r="B17" t="s">
        <v>732</v>
      </c>
      <c r="C17" s="310">
        <v>45442</v>
      </c>
      <c r="D17" s="235">
        <v>25935.81</v>
      </c>
      <c r="E17" s="235">
        <v>0</v>
      </c>
      <c r="F17" s="239">
        <v>0</v>
      </c>
      <c r="G17" s="235">
        <f t="shared" si="0"/>
        <v>25935.81</v>
      </c>
    </row>
    <row r="18" spans="1:8">
      <c r="A18" s="1">
        <v>4</v>
      </c>
      <c r="B18" t="s">
        <v>815</v>
      </c>
      <c r="C18" s="310">
        <v>45166</v>
      </c>
      <c r="D18" s="235">
        <v>201511.29</v>
      </c>
      <c r="E18" s="235">
        <v>0</v>
      </c>
      <c r="F18" s="239">
        <v>0</v>
      </c>
      <c r="G18" s="235">
        <f t="shared" si="0"/>
        <v>201511.29</v>
      </c>
    </row>
    <row r="19" spans="1:8">
      <c r="A19" s="1">
        <v>5</v>
      </c>
      <c r="B19" t="s">
        <v>1033</v>
      </c>
      <c r="C19" s="310">
        <v>44284</v>
      </c>
      <c r="D19" s="235">
        <v>-96.25</v>
      </c>
      <c r="E19" s="235">
        <v>0</v>
      </c>
      <c r="F19" s="239">
        <v>0</v>
      </c>
      <c r="G19" s="235">
        <f t="shared" si="0"/>
        <v>-96.25</v>
      </c>
    </row>
    <row r="20" spans="1:8">
      <c r="A20" s="1">
        <v>6</v>
      </c>
      <c r="B20" t="s">
        <v>1034</v>
      </c>
      <c r="C20" s="310">
        <v>44263</v>
      </c>
      <c r="D20" s="235">
        <v>-25.35</v>
      </c>
      <c r="E20" s="235">
        <v>0</v>
      </c>
      <c r="F20" s="239">
        <v>0</v>
      </c>
      <c r="G20" s="235">
        <f t="shared" si="0"/>
        <v>-25.35</v>
      </c>
    </row>
    <row r="21" spans="1:8">
      <c r="A21" s="1">
        <v>7</v>
      </c>
      <c r="B21" t="s">
        <v>1035</v>
      </c>
      <c r="C21" s="310">
        <v>44266</v>
      </c>
      <c r="D21" s="235">
        <v>-12.29</v>
      </c>
      <c r="E21" s="235">
        <v>0</v>
      </c>
      <c r="F21" s="239">
        <v>0</v>
      </c>
      <c r="G21" s="235">
        <f t="shared" si="0"/>
        <v>-12.29</v>
      </c>
    </row>
    <row r="22" spans="1:8">
      <c r="A22" s="1">
        <v>8</v>
      </c>
      <c r="B22" t="s">
        <v>1036</v>
      </c>
      <c r="C22" s="310">
        <v>44330</v>
      </c>
      <c r="D22" s="235">
        <v>-12.21</v>
      </c>
      <c r="E22" s="235"/>
      <c r="F22" s="239"/>
      <c r="G22" s="235">
        <f t="shared" si="0"/>
        <v>-12.21</v>
      </c>
    </row>
    <row r="23" spans="1:8">
      <c r="A23" s="1">
        <v>9</v>
      </c>
      <c r="B23" s="311"/>
      <c r="D23" s="208"/>
      <c r="E23" s="208"/>
      <c r="F23" s="208"/>
      <c r="G23" s="208"/>
    </row>
    <row r="24" spans="1:8">
      <c r="A24" s="1">
        <v>10</v>
      </c>
      <c r="C24" s="238"/>
      <c r="D24" s="235"/>
      <c r="E24" s="235"/>
      <c r="F24" s="239"/>
      <c r="G24" s="235"/>
    </row>
    <row r="25" spans="1:8" ht="13.5" thickBot="1">
      <c r="A25" s="1">
        <v>11</v>
      </c>
      <c r="B25" s="194" t="s">
        <v>215</v>
      </c>
      <c r="D25" s="257">
        <f>SUM(D15:D24)</f>
        <v>2661400.7999999998</v>
      </c>
      <c r="E25" s="257">
        <f t="shared" ref="E25:G25" si="1">SUM(E15:E24)</f>
        <v>0</v>
      </c>
      <c r="F25" s="257">
        <f t="shared" si="1"/>
        <v>0</v>
      </c>
      <c r="G25" s="257">
        <f t="shared" si="1"/>
        <v>2661400.7999999998</v>
      </c>
      <c r="H25" t="s">
        <v>872</v>
      </c>
    </row>
    <row r="26" spans="1:8" ht="13.5" thickTop="1">
      <c r="A26" s="1">
        <v>12</v>
      </c>
      <c r="B26" s="171"/>
      <c r="D26" s="208"/>
      <c r="E26" s="208"/>
      <c r="F26" s="208"/>
      <c r="G26" s="208"/>
    </row>
    <row r="27" spans="1:8">
      <c r="A27" s="1">
        <v>13</v>
      </c>
      <c r="B27" s="171"/>
    </row>
    <row r="28" spans="1:8">
      <c r="A28" s="1">
        <v>14</v>
      </c>
      <c r="B28" s="171"/>
    </row>
    <row r="29" spans="1:8">
      <c r="A29" s="1">
        <v>15</v>
      </c>
      <c r="B29" t="s">
        <v>1037</v>
      </c>
    </row>
    <row r="30" spans="1:8">
      <c r="A30" s="1">
        <v>16</v>
      </c>
      <c r="B30" s="171"/>
    </row>
    <row r="31" spans="1:8">
      <c r="A31" s="1">
        <v>17</v>
      </c>
      <c r="B31" s="171"/>
    </row>
    <row r="32" spans="1:8">
      <c r="A32" s="1">
        <v>18</v>
      </c>
      <c r="B32" s="371" t="s">
        <v>733</v>
      </c>
      <c r="C32" s="372"/>
      <c r="D32" s="372"/>
      <c r="E32" s="373"/>
    </row>
    <row r="33" spans="1:8" ht="45">
      <c r="A33" s="1">
        <v>19</v>
      </c>
      <c r="B33" s="331" t="s">
        <v>521</v>
      </c>
      <c r="C33" s="330" t="s">
        <v>734</v>
      </c>
      <c r="D33" s="330" t="s">
        <v>816</v>
      </c>
      <c r="E33" s="330" t="s">
        <v>817</v>
      </c>
      <c r="F33" s="332" t="s">
        <v>735</v>
      </c>
    </row>
    <row r="34" spans="1:8">
      <c r="A34" s="1">
        <v>20</v>
      </c>
      <c r="B34" s="333" t="s">
        <v>813</v>
      </c>
      <c r="C34" s="334">
        <v>2092158.98</v>
      </c>
      <c r="D34" s="334">
        <v>-7724.03</v>
      </c>
      <c r="E34" s="334">
        <v>-270177.56</v>
      </c>
      <c r="F34" s="335">
        <f>+C34+D34+E34</f>
        <v>1814257.39</v>
      </c>
    </row>
    <row r="35" spans="1:8">
      <c r="A35" s="1">
        <v>21</v>
      </c>
      <c r="B35" s="312" t="s">
        <v>814</v>
      </c>
      <c r="C35" s="314">
        <v>994443.96</v>
      </c>
      <c r="D35" s="314">
        <v>-3462.72</v>
      </c>
      <c r="E35" s="314">
        <v>-371138.83</v>
      </c>
      <c r="F35" s="315">
        <f t="shared" ref="F35:F41" si="2">+C35+D35+E35</f>
        <v>619842.40999999992</v>
      </c>
    </row>
    <row r="36" spans="1:8">
      <c r="A36" s="1">
        <v>22</v>
      </c>
      <c r="B36" s="312" t="s">
        <v>732</v>
      </c>
      <c r="C36" s="314">
        <v>25027.88</v>
      </c>
      <c r="D36" s="314">
        <v>907.93</v>
      </c>
      <c r="E36" s="314">
        <v>0</v>
      </c>
      <c r="F36" s="315">
        <f t="shared" si="2"/>
        <v>25935.81</v>
      </c>
    </row>
    <row r="37" spans="1:8">
      <c r="A37" s="1">
        <v>23</v>
      </c>
      <c r="B37" s="312" t="s">
        <v>815</v>
      </c>
      <c r="C37" s="314">
        <v>202297.55</v>
      </c>
      <c r="D37" s="314">
        <v>-786.26</v>
      </c>
      <c r="E37" s="314">
        <v>0</v>
      </c>
      <c r="F37" s="315">
        <f t="shared" si="2"/>
        <v>201511.28999999998</v>
      </c>
    </row>
    <row r="38" spans="1:8">
      <c r="A38" s="1">
        <v>24</v>
      </c>
      <c r="B38" s="312" t="s">
        <v>1033</v>
      </c>
      <c r="C38" s="314">
        <v>-96.88</v>
      </c>
      <c r="D38" s="314">
        <v>0.63</v>
      </c>
      <c r="E38" s="314">
        <v>0</v>
      </c>
      <c r="F38" s="315">
        <f t="shared" si="2"/>
        <v>-96.25</v>
      </c>
    </row>
    <row r="39" spans="1:8">
      <c r="A39" s="1">
        <v>25</v>
      </c>
      <c r="B39" s="312" t="s">
        <v>1034</v>
      </c>
      <c r="C39" s="314">
        <v>-25.56</v>
      </c>
      <c r="D39" s="314">
        <v>0.21</v>
      </c>
      <c r="E39" s="314">
        <v>0</v>
      </c>
      <c r="F39" s="315">
        <f t="shared" si="2"/>
        <v>-25.349999999999998</v>
      </c>
    </row>
    <row r="40" spans="1:8">
      <c r="A40" s="1">
        <v>26</v>
      </c>
      <c r="B40" s="312" t="s">
        <v>1035</v>
      </c>
      <c r="C40" s="314">
        <v>-12.4</v>
      </c>
      <c r="D40" s="314">
        <v>0.11</v>
      </c>
      <c r="E40" s="314">
        <v>0</v>
      </c>
      <c r="F40" s="315">
        <f t="shared" si="2"/>
        <v>-12.290000000000001</v>
      </c>
    </row>
    <row r="41" spans="1:8">
      <c r="A41" s="1">
        <v>27</v>
      </c>
      <c r="B41" s="312" t="s">
        <v>1036</v>
      </c>
      <c r="C41" s="314">
        <v>-12.3</v>
      </c>
      <c r="D41" s="314">
        <v>0.09</v>
      </c>
      <c r="E41" s="314">
        <v>0</v>
      </c>
      <c r="F41" s="315">
        <f t="shared" si="2"/>
        <v>-12.21</v>
      </c>
    </row>
    <row r="42" spans="1:8">
      <c r="A42" s="1">
        <v>28</v>
      </c>
      <c r="B42" s="312"/>
      <c r="C42" s="316"/>
      <c r="D42" s="316"/>
      <c r="E42" s="316"/>
      <c r="F42" s="336"/>
    </row>
    <row r="43" spans="1:8">
      <c r="A43" s="1">
        <v>29</v>
      </c>
      <c r="B43" s="313" t="s">
        <v>736</v>
      </c>
      <c r="C43" s="317">
        <f>SUM(C34:C42)</f>
        <v>3313781.23</v>
      </c>
      <c r="D43" s="317">
        <f>SUM(D34:D42)</f>
        <v>-11064.04</v>
      </c>
      <c r="E43" s="317">
        <f>SUM(E34:E42)</f>
        <v>-641316.39</v>
      </c>
      <c r="F43" s="318">
        <f>SUM(F34:F42)</f>
        <v>2661400.7999999998</v>
      </c>
    </row>
    <row r="44" spans="1:8">
      <c r="A44" s="1">
        <v>30</v>
      </c>
    </row>
    <row r="45" spans="1:8">
      <c r="A45" s="1">
        <v>31</v>
      </c>
      <c r="B45" s="361" t="s">
        <v>1038</v>
      </c>
      <c r="C45" s="360"/>
      <c r="D45" s="360"/>
      <c r="E45" s="360"/>
      <c r="F45" s="360"/>
      <c r="G45" s="360"/>
    </row>
    <row r="46" spans="1:8">
      <c r="A46" s="1">
        <v>32</v>
      </c>
      <c r="B46" s="361" t="s">
        <v>1039</v>
      </c>
      <c r="C46" s="360"/>
      <c r="D46" s="360"/>
      <c r="E46" s="360"/>
      <c r="F46" s="360"/>
      <c r="G46" s="360"/>
    </row>
    <row r="47" spans="1:8">
      <c r="A47" s="1">
        <v>33</v>
      </c>
      <c r="B47" s="95"/>
    </row>
    <row r="48" spans="1:8">
      <c r="A48" s="1">
        <v>34</v>
      </c>
      <c r="B48" s="95" t="s">
        <v>1040</v>
      </c>
      <c r="G48" s="139">
        <v>2560889.5099999998</v>
      </c>
      <c r="H48" t="s">
        <v>1043</v>
      </c>
    </row>
    <row r="49" spans="1:14" ht="38.25" customHeight="1">
      <c r="A49" s="1">
        <v>35</v>
      </c>
      <c r="B49" s="95" t="s">
        <v>733</v>
      </c>
      <c r="G49" s="203">
        <v>100511.29</v>
      </c>
      <c r="H49" s="374" t="s">
        <v>1044</v>
      </c>
      <c r="I49" s="374"/>
      <c r="J49" s="374"/>
      <c r="K49" s="374"/>
      <c r="L49" s="374"/>
      <c r="M49" s="374"/>
      <c r="N49" s="374"/>
    </row>
    <row r="50" spans="1:14">
      <c r="A50" s="1">
        <v>36</v>
      </c>
      <c r="B50" s="95" t="s">
        <v>1041</v>
      </c>
      <c r="G50" s="139">
        <v>2661400.7999999998</v>
      </c>
      <c r="H50" t="s">
        <v>872</v>
      </c>
    </row>
    <row r="51" spans="1:14">
      <c r="A51" s="1">
        <v>37</v>
      </c>
      <c r="B51" s="95"/>
      <c r="G51" s="66"/>
    </row>
    <row r="52" spans="1:14">
      <c r="A52" s="1">
        <v>38</v>
      </c>
      <c r="B52" s="95" t="s">
        <v>1042</v>
      </c>
      <c r="G52" s="139">
        <v>532280.15999999992</v>
      </c>
      <c r="H52" t="s">
        <v>1045</v>
      </c>
    </row>
  </sheetData>
  <mergeCells count="2">
    <mergeCell ref="B32:E32"/>
    <mergeCell ref="H49:N49"/>
  </mergeCells>
  <printOptions horizontalCentered="1"/>
  <pageMargins left="0.5" right="0.5" top="2.5" bottom="0.5" header="1" footer="0.3"/>
  <pageSetup scale="62" fitToHeight="0" orientation="landscape"/>
  <headerFooter>
    <oddHeader>&amp;R&amp;"Arial,Bold"Schedule &amp;A
Page &amp;P of &amp;N&amp;C&amp;B
2025 RATE CASE
ONCOR ELECTRIC DELIVERY COMPANY LLC
II-D-2.2a  BAD DEBT EXPENSE UNDER 16 TAC § 25.107
TEST YEAR ENDING DECEMBER 31, 2024
SPONSOR: R. PRACHYL</oddHeader>
  </headerFooter>
  <rowBreaks count="1" manualBreakCount="1">
    <brk id="30" max="15"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9">
    <tabColor rgb="FFFF0000"/>
  </sheetPr>
  <dimension ref="A1:Y36"/>
  <sheetViews>
    <sheetView zoomScale="85" zoomScaleNormal="85" workbookViewId="0">
      <selection activeCell="J13" sqref="J13"/>
    </sheetView>
  </sheetViews>
  <sheetFormatPr defaultRowHeight="12.75"/>
  <cols>
    <col min="1" max="1" width="5.7109375" customWidth="1"/>
    <col min="2" max="2" width="8.7109375" customWidth="1"/>
    <col min="3" max="3" width="32.140625" bestFit="1" customWidth="1"/>
    <col min="4" max="4" width="10.7109375" bestFit="1" customWidth="1"/>
    <col min="5" max="5" width="16.28515625" bestFit="1" customWidth="1"/>
    <col min="6" max="6" width="12.42578125" bestFit="1" customWidth="1"/>
    <col min="7" max="7" width="17.28515625" bestFit="1" customWidth="1"/>
    <col min="8" max="8" width="11.7109375" customWidth="1"/>
    <col min="9" max="9" width="13.7109375" bestFit="1" customWidth="1"/>
    <col min="10" max="10" width="17.28515625" bestFit="1" customWidth="1"/>
    <col min="11" max="11" width="10.42578125" bestFit="1" customWidth="1"/>
    <col min="12" max="12" width="16.28515625" bestFit="1" customWidth="1"/>
    <col min="13" max="13" width="3.28515625" bestFit="1" customWidth="1"/>
    <col min="14" max="14" width="6.85546875" bestFit="1" customWidth="1"/>
    <col min="15" max="15" width="10.85546875" bestFit="1" customWidth="1"/>
    <col min="16" max="18" width="10.85546875" customWidth="1"/>
    <col min="19" max="19" width="13.28515625" bestFit="1" customWidth="1"/>
    <col min="20" max="21" width="13.28515625" customWidth="1"/>
    <col min="22" max="22" width="9" bestFit="1" customWidth="1"/>
    <col min="23" max="23" width="11.5703125" customWidth="1"/>
    <col min="24" max="24" width="11.5703125"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Sponsors'!$A$57,'[3]Schedule Sponsors'!$B$57)</f>
        <v>II-D-2.3  SUMMARY OF ADVERTISING, CONTRIBUTIONS, &amp;&amp; DUES</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Sponsors'!$D$57)</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ht="15" customHeight="1">
      <c r="A15" s="16">
        <v>1</v>
      </c>
      <c r="B15" s="8" t="s">
        <v>31</v>
      </c>
      <c r="D15" s="18" t="s">
        <v>354</v>
      </c>
      <c r="E15" s="19"/>
      <c r="F15" s="19"/>
      <c r="G15" s="19"/>
      <c r="H15" s="19"/>
      <c r="I15" s="19"/>
      <c r="J15" s="19"/>
      <c r="K15" s="19"/>
      <c r="L15" s="19"/>
      <c r="M15" s="18"/>
      <c r="N15" s="25"/>
      <c r="O15" s="19"/>
      <c r="P15" s="19"/>
      <c r="Q15" s="19"/>
      <c r="R15" s="19"/>
      <c r="S15" s="19"/>
      <c r="T15" s="19"/>
      <c r="U15" s="19"/>
      <c r="V15" s="19"/>
      <c r="W15" s="19"/>
    </row>
    <row r="16" spans="1:24" s="8" customFormat="1" ht="15" customHeight="1">
      <c r="A16" s="16">
        <v>2</v>
      </c>
      <c r="D16" s="18"/>
      <c r="E16" s="19"/>
      <c r="F16" s="19"/>
      <c r="G16" s="19"/>
      <c r="H16" s="19"/>
      <c r="I16" s="19"/>
      <c r="J16" s="19"/>
      <c r="K16" s="19"/>
      <c r="L16" s="19"/>
      <c r="M16" s="18"/>
      <c r="N16" s="25"/>
      <c r="O16" s="19"/>
      <c r="P16" s="19"/>
      <c r="Q16" s="19"/>
      <c r="R16" s="19"/>
      <c r="S16" s="19"/>
      <c r="T16" s="19"/>
      <c r="U16" s="19"/>
      <c r="V16" s="19"/>
      <c r="W16" s="19"/>
    </row>
    <row r="17" spans="1:25" s="4" customFormat="1" ht="15" customHeight="1">
      <c r="A17" s="16">
        <v>3</v>
      </c>
      <c r="C17" s="4" t="s">
        <v>32</v>
      </c>
      <c r="D17" s="18" t="s">
        <v>7</v>
      </c>
      <c r="E17" s="150">
        <f>+'II-D-2.4'!E26</f>
        <v>744112.46</v>
      </c>
      <c r="F17" s="150">
        <f>+'II-D-2.4'!F26</f>
        <v>0</v>
      </c>
      <c r="G17" s="150">
        <f>+'II-D-2.4'!G26</f>
        <v>0</v>
      </c>
      <c r="H17" s="150">
        <f>+E17-F17+G17</f>
        <v>744112.46</v>
      </c>
      <c r="I17" s="150">
        <f>+'II-D-2.4'!I26</f>
        <v>0</v>
      </c>
      <c r="J17" s="150">
        <f>+H17+I17</f>
        <v>744112.46</v>
      </c>
      <c r="K17" s="153">
        <v>1</v>
      </c>
      <c r="L17" s="150">
        <f>+J17*K17</f>
        <v>744112.46</v>
      </c>
      <c r="M17" s="16"/>
      <c r="N17" s="16"/>
      <c r="O17" s="150">
        <f>+'II-D-2.4'!O26</f>
        <v>59194.1</v>
      </c>
      <c r="P17" s="150">
        <f>+'II-D-2.4'!P26</f>
        <v>0</v>
      </c>
      <c r="Q17" s="150">
        <f>+'II-D-2.4'!Q26</f>
        <v>0</v>
      </c>
      <c r="R17" s="150">
        <f>+'II-D-2.4'!R26</f>
        <v>59194.1</v>
      </c>
      <c r="S17" s="150">
        <f>+'II-D-2.4'!S26</f>
        <v>204008.67</v>
      </c>
      <c r="T17" s="150">
        <f>+'II-D-2.4'!T26</f>
        <v>0</v>
      </c>
      <c r="U17" s="150">
        <f>+'II-D-2.4'!U26</f>
        <v>204008.67</v>
      </c>
      <c r="V17" s="150">
        <f>+'II-D-2.4'!V26</f>
        <v>44211.28</v>
      </c>
      <c r="W17" s="150">
        <f>+'II-D-2.4'!W26</f>
        <v>436698.40999999992</v>
      </c>
      <c r="X17" s="150">
        <f>+R17+U17+V17+W17</f>
        <v>744112.46</v>
      </c>
      <c r="Y17" s="4" t="b">
        <f>ROUND(+L17,2)=ROUND(X17,2)</f>
        <v>1</v>
      </c>
    </row>
    <row r="18" spans="1:25" s="4" customFormat="1" ht="15" customHeight="1">
      <c r="A18" s="16">
        <v>4</v>
      </c>
      <c r="C18" s="4" t="s">
        <v>33</v>
      </c>
      <c r="D18" s="18" t="s">
        <v>9</v>
      </c>
      <c r="E18" s="13">
        <f>+'II-D-2.5'!E30</f>
        <v>3100929.4699999997</v>
      </c>
      <c r="F18" s="13">
        <v>0</v>
      </c>
      <c r="G18" s="13">
        <f>+'II-D-2.5'!G30</f>
        <v>0</v>
      </c>
      <c r="H18" s="13">
        <f>+E18-F18+G18</f>
        <v>3100929.4699999997</v>
      </c>
      <c r="I18" s="13">
        <f>+'II-D-2.5'!I30</f>
        <v>0</v>
      </c>
      <c r="J18" s="13">
        <f>+H18+I18</f>
        <v>3100929.4699999997</v>
      </c>
      <c r="K18" s="153">
        <v>1</v>
      </c>
      <c r="L18" s="13">
        <f>+J18*K18</f>
        <v>3100929.4699999997</v>
      </c>
      <c r="M18" s="16"/>
      <c r="N18" s="16"/>
      <c r="O18" s="13">
        <f>+'II-D-2.5'!O30</f>
        <v>28785.889999999996</v>
      </c>
      <c r="P18" s="13">
        <f>+'II-D-2.5'!P30</f>
        <v>0</v>
      </c>
      <c r="Q18" s="13">
        <f>+'II-D-2.5'!Q30</f>
        <v>0</v>
      </c>
      <c r="R18" s="13">
        <f>+'II-D-2.5'!R30</f>
        <v>28785.889999999996</v>
      </c>
      <c r="S18" s="13">
        <f>+'II-D-2.5'!S30</f>
        <v>98281.909999999989</v>
      </c>
      <c r="T18" s="13">
        <f>+'II-D-2.5'!T30</f>
        <v>0</v>
      </c>
      <c r="U18" s="13">
        <f>+'II-D-2.5'!U30</f>
        <v>98281.909999999989</v>
      </c>
      <c r="V18" s="13">
        <f>+'II-D-2.5'!V30</f>
        <v>21499.789999999997</v>
      </c>
      <c r="W18" s="13">
        <f>+'II-D-2.5'!W30</f>
        <v>2952361.8799999994</v>
      </c>
      <c r="X18" s="20">
        <f t="shared" ref="X18:X19" si="0">+R18+U18+V18+W18</f>
        <v>3100929.4699999993</v>
      </c>
      <c r="Y18" s="4" t="b">
        <f>ROUND(+L18,2)=ROUND(X18,2)</f>
        <v>1</v>
      </c>
    </row>
    <row r="19" spans="1:25" s="4" customFormat="1" ht="15" customHeight="1">
      <c r="A19" s="16">
        <v>5</v>
      </c>
      <c r="C19" s="4" t="s">
        <v>34</v>
      </c>
      <c r="D19" s="18" t="s">
        <v>10</v>
      </c>
      <c r="E19" s="13">
        <f>+'II-D-2.6'!E21</f>
        <v>3545404.4899999998</v>
      </c>
      <c r="F19" s="13">
        <f>+'II-D-2.6'!F21</f>
        <v>0</v>
      </c>
      <c r="G19" s="13">
        <f>+'II-D-2.6'!G21</f>
        <v>0</v>
      </c>
      <c r="H19" s="13">
        <f>+E19-F19+G19</f>
        <v>3545404.4899999998</v>
      </c>
      <c r="I19" s="13">
        <f>+'II-D-2.6'!I21</f>
        <v>0</v>
      </c>
      <c r="J19" s="13">
        <f>+H19+I19</f>
        <v>3545404.4899999998</v>
      </c>
      <c r="K19" s="153">
        <v>1</v>
      </c>
      <c r="L19" s="13">
        <f>+J19*K19</f>
        <v>3545404.4899999998</v>
      </c>
      <c r="M19" s="16"/>
      <c r="N19" s="16"/>
      <c r="O19" s="13">
        <f>+'II-D-2.6'!O21</f>
        <v>779659.28215177078</v>
      </c>
      <c r="P19" s="13">
        <f>+'II-D-2.6'!P21</f>
        <v>0</v>
      </c>
      <c r="Q19" s="13">
        <f>+'II-D-2.6'!Q21</f>
        <v>0</v>
      </c>
      <c r="R19" s="13">
        <f>+'II-D-2.6'!R21</f>
        <v>779659.28215177078</v>
      </c>
      <c r="S19" s="13">
        <f>+'II-D-2.6'!S21</f>
        <v>1325684.9158590357</v>
      </c>
      <c r="T19" s="13">
        <f>+'II-D-2.6'!T21</f>
        <v>0</v>
      </c>
      <c r="U19" s="13">
        <f>+'II-D-2.6'!U21</f>
        <v>1325684.9158590357</v>
      </c>
      <c r="V19" s="13">
        <f>+'II-D-2.6'!V21</f>
        <v>381770.43835523841</v>
      </c>
      <c r="W19" s="13">
        <f>+'II-D-2.6'!W21</f>
        <v>1012956.4448339547</v>
      </c>
      <c r="X19" s="20">
        <f t="shared" si="0"/>
        <v>3500071.0811999999</v>
      </c>
      <c r="Y19" s="4" t="b">
        <f>ROUND(+L19,2)=ROUND(X19,2)</f>
        <v>0</v>
      </c>
    </row>
    <row r="20" spans="1:25" ht="15" customHeight="1">
      <c r="A20" s="16">
        <v>6</v>
      </c>
      <c r="E20" s="115"/>
      <c r="F20" s="115"/>
      <c r="G20" s="115"/>
      <c r="H20" s="115"/>
      <c r="I20" s="115"/>
      <c r="J20" s="115"/>
      <c r="L20" s="115"/>
      <c r="O20" s="115"/>
      <c r="P20" s="115"/>
      <c r="Q20" s="115"/>
      <c r="R20" s="115"/>
      <c r="S20" s="115"/>
      <c r="T20" s="115"/>
      <c r="U20" s="115"/>
      <c r="V20" s="115"/>
      <c r="W20" s="115"/>
      <c r="X20" s="115"/>
    </row>
    <row r="21" spans="1:25" ht="15" customHeight="1">
      <c r="A21" s="16">
        <v>7</v>
      </c>
      <c r="B21" s="5" t="s">
        <v>302</v>
      </c>
      <c r="E21" s="141">
        <f t="shared" ref="E21:L21" si="1">SUM(E17:E19)</f>
        <v>7390446.4199999999</v>
      </c>
      <c r="F21" s="141">
        <f t="shared" si="1"/>
        <v>0</v>
      </c>
      <c r="G21" s="141">
        <f t="shared" si="1"/>
        <v>0</v>
      </c>
      <c r="H21" s="141">
        <f t="shared" si="1"/>
        <v>7390446.4199999999</v>
      </c>
      <c r="I21" s="141">
        <f t="shared" si="1"/>
        <v>0</v>
      </c>
      <c r="J21" s="141">
        <f t="shared" si="1"/>
        <v>7390446.4199999999</v>
      </c>
      <c r="K21" s="14"/>
      <c r="L21" s="141">
        <f t="shared" si="1"/>
        <v>7390446.4199999999</v>
      </c>
      <c r="O21" s="141">
        <f t="shared" ref="O21:P21" si="2">SUM(O17:O18)</f>
        <v>87979.989999999991</v>
      </c>
      <c r="P21" s="141">
        <f t="shared" si="2"/>
        <v>0</v>
      </c>
      <c r="Q21" s="141">
        <f t="shared" ref="Q21:R21" si="3">SUM(Q17:Q18)</f>
        <v>0</v>
      </c>
      <c r="R21" s="141">
        <f t="shared" si="3"/>
        <v>87979.989999999991</v>
      </c>
      <c r="S21" s="141">
        <f t="shared" ref="S21:T21" si="4">SUM(S17:S18)</f>
        <v>302290.58</v>
      </c>
      <c r="T21" s="141">
        <f t="shared" si="4"/>
        <v>0</v>
      </c>
      <c r="U21" s="141">
        <f t="shared" ref="U21:W21" si="5">SUM(U17:U18)</f>
        <v>302290.58</v>
      </c>
      <c r="V21" s="141">
        <f t="shared" si="5"/>
        <v>65711.069999999992</v>
      </c>
      <c r="W21" s="141">
        <f t="shared" si="5"/>
        <v>3389060.2899999991</v>
      </c>
      <c r="X21" s="141">
        <f>SUM(X17:X19)</f>
        <v>7345113.0111999996</v>
      </c>
      <c r="Y21" s="4" t="b">
        <f>ROUND(+L21,2)=ROUND(X21,2)</f>
        <v>0</v>
      </c>
    </row>
    <row r="22" spans="1:25" ht="15" customHeight="1" thickBot="1">
      <c r="A22" s="16">
        <v>8</v>
      </c>
    </row>
    <row r="23" spans="1:25" ht="15" customHeight="1">
      <c r="A23" s="16">
        <v>9</v>
      </c>
      <c r="G23" s="68"/>
      <c r="H23" s="69"/>
      <c r="I23" s="69"/>
      <c r="J23" s="69"/>
      <c r="K23" s="70"/>
    </row>
    <row r="24" spans="1:25" ht="15" customHeight="1">
      <c r="A24" s="16">
        <v>10</v>
      </c>
      <c r="G24" s="375" t="s">
        <v>303</v>
      </c>
      <c r="H24" s="376"/>
      <c r="I24" s="376"/>
      <c r="J24" s="376"/>
      <c r="K24" s="377"/>
    </row>
    <row r="25" spans="1:25" ht="15" customHeight="1">
      <c r="A25" s="16">
        <v>11</v>
      </c>
      <c r="G25" s="72"/>
      <c r="H25" s="2"/>
      <c r="I25" s="2"/>
      <c r="J25" s="2"/>
      <c r="K25" s="71"/>
    </row>
    <row r="26" spans="1:25" ht="15" customHeight="1">
      <c r="A26" s="16">
        <v>12</v>
      </c>
      <c r="G26" s="72"/>
      <c r="H26" s="2"/>
      <c r="I26" s="2"/>
      <c r="J26" s="2"/>
      <c r="K26" s="71"/>
    </row>
    <row r="27" spans="1:25" ht="15" customHeight="1">
      <c r="A27" s="16">
        <v>13</v>
      </c>
      <c r="G27" s="72" t="s">
        <v>309</v>
      </c>
      <c r="H27" s="2"/>
      <c r="I27" s="2"/>
      <c r="J27" s="262">
        <f>+'[6]I-A-1'!$F$31</f>
        <v>7811146990.2141352</v>
      </c>
      <c r="K27" s="71"/>
    </row>
    <row r="28" spans="1:25" ht="15" customHeight="1">
      <c r="A28" s="16">
        <v>14</v>
      </c>
      <c r="G28" s="72" t="s">
        <v>310</v>
      </c>
      <c r="H28" s="2"/>
      <c r="I28" s="74" t="s">
        <v>88</v>
      </c>
      <c r="J28" s="75">
        <v>3.0000000000000001E-3</v>
      </c>
      <c r="K28" s="71"/>
    </row>
    <row r="29" spans="1:25" ht="15" customHeight="1">
      <c r="A29" s="16">
        <v>15</v>
      </c>
      <c r="G29" s="72" t="s">
        <v>311</v>
      </c>
      <c r="H29" s="2"/>
      <c r="I29" s="2"/>
      <c r="J29" s="140">
        <f>+J27*J28</f>
        <v>23433440.970642406</v>
      </c>
      <c r="K29" s="76" t="s">
        <v>312</v>
      </c>
    </row>
    <row r="30" spans="1:25" ht="15" customHeight="1">
      <c r="A30" s="16">
        <v>16</v>
      </c>
      <c r="G30" s="72"/>
      <c r="H30" s="2"/>
      <c r="I30" s="2"/>
      <c r="J30" s="2"/>
      <c r="K30" s="76"/>
    </row>
    <row r="31" spans="1:25" ht="15" customHeight="1">
      <c r="A31" s="16">
        <v>17</v>
      </c>
      <c r="G31" s="72" t="s">
        <v>314</v>
      </c>
      <c r="H31" s="2"/>
      <c r="I31" s="2"/>
      <c r="J31" s="140">
        <f>+J21</f>
        <v>7390446.4199999999</v>
      </c>
      <c r="K31" s="76"/>
    </row>
    <row r="32" spans="1:25" ht="15" customHeight="1">
      <c r="A32" s="16">
        <v>18</v>
      </c>
      <c r="G32" s="72" t="s">
        <v>137</v>
      </c>
      <c r="H32" s="2"/>
      <c r="I32" s="2"/>
      <c r="J32" s="67">
        <f>-J19</f>
        <v>-3545404.4899999998</v>
      </c>
      <c r="K32" s="76"/>
    </row>
    <row r="33" spans="1:11" ht="15" customHeight="1">
      <c r="A33" s="16">
        <v>19</v>
      </c>
      <c r="G33" s="72" t="s">
        <v>299</v>
      </c>
      <c r="H33" s="2"/>
      <c r="I33" s="2"/>
      <c r="J33" s="147">
        <f>SUM(J31:J32)</f>
        <v>3845041.93</v>
      </c>
      <c r="K33" s="76" t="s">
        <v>313</v>
      </c>
    </row>
    <row r="34" spans="1:11" ht="15" customHeight="1">
      <c r="A34" s="16">
        <v>20</v>
      </c>
      <c r="G34" s="72"/>
      <c r="H34" s="2"/>
      <c r="I34" s="2"/>
      <c r="J34" s="2"/>
      <c r="K34" s="76"/>
    </row>
    <row r="35" spans="1:11" ht="15" customHeight="1">
      <c r="A35" s="16">
        <v>21</v>
      </c>
      <c r="G35" s="72" t="s">
        <v>315</v>
      </c>
      <c r="H35" s="2"/>
      <c r="I35" s="2"/>
      <c r="J35" s="140">
        <f>+J29-J33</f>
        <v>19588399.040642407</v>
      </c>
      <c r="K35" s="76" t="s">
        <v>316</v>
      </c>
    </row>
    <row r="36" spans="1:11" ht="15" customHeight="1" thickBot="1">
      <c r="A36" s="16">
        <v>22</v>
      </c>
      <c r="G36" s="77"/>
      <c r="H36" s="78"/>
      <c r="I36" s="78"/>
      <c r="J36" s="78"/>
      <c r="K36" s="79"/>
    </row>
  </sheetData>
  <mergeCells count="1">
    <mergeCell ref="G24:K24"/>
  </mergeCells>
  <phoneticPr fontId="5" type="noConversion"/>
  <printOptions horizontalCentered="1"/>
  <pageMargins left="0.5" right="0.5" top="3" bottom="0.5" header="1.5" footer="0.5"/>
  <pageSetup scale="61" orientation="landscape"/>
  <headerFooter alignWithMargins="0">
    <oddHeader>&amp;R&amp;"Arial,Bold"Schedule &amp;A
Page &amp;P of &amp;N&amp;C&amp;B
2025 RATE CASE
ONCOR ELECTRIC DELIVERY COMPANY LLC
II-D-2.3  SUMMARY OF ADVERTISING, CONTRIBUTIONS, &amp;&amp; DUES
TEST YEAR ENDING DECEMBER 31, 2024
SPONSOR: R. PRACHYL</oddHeader>
  </headerFooter>
  <colBreaks count="1" manualBreakCount="1">
    <brk id="11" min="9" max="3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0">
    <tabColor rgb="FFFF0000"/>
  </sheetPr>
  <dimension ref="A1:Y26"/>
  <sheetViews>
    <sheetView zoomScale="85" zoomScaleNormal="85" workbookViewId="0">
      <pane xSplit="3" ySplit="16" topLeftCell="D17" activePane="bottomRight" state="frozen"/>
      <selection activeCell="N38" sqref="N38"/>
      <selection pane="topRight" activeCell="N38" sqref="N38"/>
      <selection pane="bottomLeft" activeCell="N38" sqref="N38"/>
      <selection pane="bottomRight" activeCell="D17" sqref="D17"/>
    </sheetView>
  </sheetViews>
  <sheetFormatPr defaultRowHeight="12.75"/>
  <cols>
    <col min="1" max="1" width="5.7109375" customWidth="1"/>
    <col min="2" max="2" width="8.7109375" customWidth="1"/>
    <col min="3" max="3" width="45.140625" bestFit="1" customWidth="1"/>
    <col min="4" max="4" width="10.28515625" bestFit="1" customWidth="1"/>
    <col min="5" max="5" width="12.5703125" bestFit="1" customWidth="1"/>
    <col min="6" max="6" width="12.42578125" bestFit="1" customWidth="1"/>
    <col min="7" max="7" width="17.28515625" bestFit="1" customWidth="1"/>
    <col min="8" max="8" width="12.5703125" bestFit="1" customWidth="1"/>
    <col min="9" max="9" width="13.5703125" bestFit="1" customWidth="1"/>
    <col min="10" max="10" width="12.5703125" bestFit="1" customWidth="1"/>
    <col min="11" max="11" width="10.28515625" customWidth="1"/>
    <col min="12" max="12" width="12.5703125" bestFit="1" customWidth="1"/>
    <col min="13" max="13" width="3.28515625" bestFit="1" customWidth="1"/>
    <col min="14" max="14" width="6.85546875" bestFit="1" customWidth="1"/>
    <col min="15" max="15" width="9.42578125" bestFit="1" customWidth="1"/>
    <col min="16" max="18" width="9.42578125" customWidth="1"/>
    <col min="19" max="19" width="12" bestFit="1" customWidth="1"/>
    <col min="20" max="21" width="12" customWidth="1"/>
    <col min="22" max="22" width="9.7109375" bestFit="1" customWidth="1"/>
    <col min="23" max="23" width="11.140625" customWidth="1"/>
    <col min="24" max="24" width="11.85546875" bestFit="1" customWidth="1"/>
    <col min="25" max="25" width="9.42578125" bestFit="1" customWidth="1"/>
    <col min="26" max="26" width="9.7109375"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Sponsors'!$A$58,'[3]Schedule Sponsors'!$B$58)</f>
        <v>II-D-2.4  SUMMARY OF ADVERTISING EXPENSE</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Sponsors'!$D$58)</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c r="A15" s="16">
        <v>1</v>
      </c>
      <c r="B15" s="8" t="s">
        <v>317</v>
      </c>
      <c r="D15" s="18" t="s">
        <v>7</v>
      </c>
      <c r="E15" s="19"/>
      <c r="F15" s="19"/>
      <c r="G15" s="19"/>
      <c r="H15" s="19"/>
      <c r="I15" s="19"/>
      <c r="J15" s="19"/>
      <c r="K15" s="19"/>
      <c r="L15" s="19"/>
      <c r="M15" s="18"/>
      <c r="N15" s="25"/>
      <c r="O15" s="19"/>
      <c r="P15" s="19"/>
      <c r="Q15" s="19"/>
      <c r="R15" s="19"/>
      <c r="S15" s="19"/>
      <c r="T15" s="19"/>
      <c r="U15" s="19"/>
      <c r="V15" s="19"/>
      <c r="W15" s="19"/>
    </row>
    <row r="16" spans="1:24" s="8" customFormat="1">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c r="A17" s="16">
        <v>3</v>
      </c>
      <c r="B17" t="s">
        <v>284</v>
      </c>
      <c r="C17" s="137" t="s">
        <v>390</v>
      </c>
      <c r="D17" s="18"/>
      <c r="E17" s="150">
        <v>6614.07</v>
      </c>
      <c r="F17" s="150">
        <v>0</v>
      </c>
      <c r="G17" s="150">
        <v>0</v>
      </c>
      <c r="H17" s="150">
        <f>+E17+F17+G17</f>
        <v>6614.07</v>
      </c>
      <c r="I17" s="150">
        <v>0</v>
      </c>
      <c r="J17" s="150">
        <f t="shared" ref="J17:J19" si="0">+H17+I17</f>
        <v>6614.07</v>
      </c>
      <c r="K17" s="153">
        <v>1</v>
      </c>
      <c r="L17" s="150">
        <f>+J17*K17</f>
        <v>6614.07</v>
      </c>
      <c r="M17" s="18"/>
      <c r="N17" s="16"/>
      <c r="O17" s="150">
        <v>0</v>
      </c>
      <c r="P17" s="150">
        <v>0</v>
      </c>
      <c r="Q17" s="150">
        <v>0</v>
      </c>
      <c r="R17" s="150">
        <f>SUM(O17:Q17)</f>
        <v>0</v>
      </c>
      <c r="S17" s="150">
        <v>0</v>
      </c>
      <c r="T17" s="150">
        <v>0</v>
      </c>
      <c r="U17" s="150">
        <f>SUM(S17:T17)</f>
        <v>0</v>
      </c>
      <c r="V17" s="150">
        <v>0</v>
      </c>
      <c r="W17" s="150">
        <v>6614.07</v>
      </c>
      <c r="X17" s="150">
        <f>+R17+U17+V17+W17</f>
        <v>6614.07</v>
      </c>
      <c r="Y17" s="8" t="b">
        <f t="shared" ref="Y17:Y23" si="1">X17=L17</f>
        <v>1</v>
      </c>
    </row>
    <row r="18" spans="1:25" s="8" customFormat="1">
      <c r="A18" s="16">
        <v>6</v>
      </c>
      <c r="B18" s="171" t="s">
        <v>329</v>
      </c>
      <c r="C18" s="137" t="s">
        <v>328</v>
      </c>
      <c r="D18" s="18"/>
      <c r="E18" s="13">
        <v>32389.180000000004</v>
      </c>
      <c r="F18" s="13">
        <v>0</v>
      </c>
      <c r="G18" s="13">
        <v>0</v>
      </c>
      <c r="H18" s="13">
        <f t="shared" ref="H18:H23" si="2">+E18+F18+G18</f>
        <v>32389.180000000004</v>
      </c>
      <c r="I18" s="13">
        <v>0</v>
      </c>
      <c r="J18" s="13">
        <f t="shared" si="0"/>
        <v>32389.180000000004</v>
      </c>
      <c r="K18" s="153">
        <v>1</v>
      </c>
      <c r="L18" s="13">
        <f t="shared" ref="L18:L19" si="3">+J18*K18</f>
        <v>32389.180000000004</v>
      </c>
      <c r="M18" s="18"/>
      <c r="N18" s="16"/>
      <c r="O18" s="13">
        <v>0</v>
      </c>
      <c r="P18" s="13">
        <v>0</v>
      </c>
      <c r="Q18" s="13">
        <v>0</v>
      </c>
      <c r="R18" s="13">
        <f t="shared" ref="R18:R23" si="4">SUM(O18:Q18)</f>
        <v>0</v>
      </c>
      <c r="S18" s="13">
        <v>0</v>
      </c>
      <c r="T18" s="13">
        <v>0</v>
      </c>
      <c r="U18" s="13">
        <f t="shared" ref="U18:U23" si="5">SUM(S18:T18)</f>
        <v>0</v>
      </c>
      <c r="V18" s="13">
        <v>0</v>
      </c>
      <c r="W18" s="13">
        <v>32389.180000000004</v>
      </c>
      <c r="X18" s="21">
        <f t="shared" ref="X18:X23" si="6">+R18+U18+V18+W18</f>
        <v>32389.180000000004</v>
      </c>
      <c r="Y18" s="8" t="b">
        <f t="shared" si="1"/>
        <v>1</v>
      </c>
    </row>
    <row r="19" spans="1:25" s="8" customFormat="1">
      <c r="A19" s="16">
        <v>7</v>
      </c>
      <c r="B19" t="s">
        <v>270</v>
      </c>
      <c r="C19" s="137" t="s">
        <v>338</v>
      </c>
      <c r="D19" s="18"/>
      <c r="E19" s="13">
        <v>217284.04999999993</v>
      </c>
      <c r="F19" s="13">
        <v>0</v>
      </c>
      <c r="G19" s="13">
        <v>0</v>
      </c>
      <c r="H19" s="13">
        <f t="shared" si="2"/>
        <v>217284.04999999993</v>
      </c>
      <c r="I19" s="13">
        <v>0</v>
      </c>
      <c r="J19" s="13">
        <f t="shared" si="0"/>
        <v>217284.04999999993</v>
      </c>
      <c r="K19" s="153">
        <v>1</v>
      </c>
      <c r="L19" s="13">
        <f t="shared" si="3"/>
        <v>217284.04999999993</v>
      </c>
      <c r="M19" s="18"/>
      <c r="N19" s="16"/>
      <c r="O19" s="13">
        <v>23707.659999999996</v>
      </c>
      <c r="P19" s="13">
        <v>0</v>
      </c>
      <c r="Q19" s="13">
        <v>0</v>
      </c>
      <c r="R19" s="13">
        <f t="shared" si="4"/>
        <v>23707.659999999996</v>
      </c>
      <c r="S19" s="13">
        <v>64065.830000000009</v>
      </c>
      <c r="T19" s="13">
        <v>0</v>
      </c>
      <c r="U19" s="13">
        <f t="shared" si="5"/>
        <v>64065.830000000009</v>
      </c>
      <c r="V19" s="13">
        <v>17706.95</v>
      </c>
      <c r="W19" s="13">
        <v>111803.60999999993</v>
      </c>
      <c r="X19" s="21">
        <f t="shared" si="6"/>
        <v>217284.04999999993</v>
      </c>
      <c r="Y19" s="8" t="b">
        <f t="shared" si="1"/>
        <v>1</v>
      </c>
    </row>
    <row r="20" spans="1:25" s="8" customFormat="1">
      <c r="A20" s="16">
        <v>8</v>
      </c>
      <c r="B20" t="s">
        <v>272</v>
      </c>
      <c r="C20" s="137" t="s">
        <v>340</v>
      </c>
      <c r="D20" s="18"/>
      <c r="E20" s="13">
        <v>22857.83</v>
      </c>
      <c r="F20" s="13">
        <v>0</v>
      </c>
      <c r="G20" s="13">
        <v>0</v>
      </c>
      <c r="H20" s="13">
        <f t="shared" si="2"/>
        <v>22857.83</v>
      </c>
      <c r="I20" s="13">
        <v>0</v>
      </c>
      <c r="J20" s="13">
        <f>+H20+I20</f>
        <v>22857.83</v>
      </c>
      <c r="K20" s="153">
        <v>1</v>
      </c>
      <c r="L20" s="13">
        <f>+J20*K20</f>
        <v>22857.83</v>
      </c>
      <c r="M20" s="18"/>
      <c r="N20" s="16"/>
      <c r="O20" s="13">
        <v>5138.4400000000005</v>
      </c>
      <c r="P20" s="13">
        <v>0</v>
      </c>
      <c r="Q20" s="13">
        <v>0</v>
      </c>
      <c r="R20" s="13">
        <f t="shared" si="4"/>
        <v>5138.4400000000005</v>
      </c>
      <c r="S20" s="13">
        <v>13723.84</v>
      </c>
      <c r="T20" s="13">
        <v>0</v>
      </c>
      <c r="U20" s="13">
        <f t="shared" si="5"/>
        <v>13723.84</v>
      </c>
      <c r="V20" s="13">
        <v>3837.83</v>
      </c>
      <c r="W20" s="13">
        <v>157.72</v>
      </c>
      <c r="X20" s="21">
        <f t="shared" si="6"/>
        <v>22857.83</v>
      </c>
      <c r="Y20" s="8" t="b">
        <f t="shared" si="1"/>
        <v>1</v>
      </c>
    </row>
    <row r="21" spans="1:25" s="8" customFormat="1">
      <c r="A21" s="16">
        <v>9</v>
      </c>
      <c r="B21" t="s">
        <v>289</v>
      </c>
      <c r="C21" s="137" t="s">
        <v>29</v>
      </c>
      <c r="D21" s="18"/>
      <c r="E21" s="13">
        <v>289814.46000000002</v>
      </c>
      <c r="F21" s="13">
        <v>0</v>
      </c>
      <c r="G21" s="13">
        <v>0</v>
      </c>
      <c r="H21" s="13">
        <f t="shared" si="2"/>
        <v>289814.46000000002</v>
      </c>
      <c r="I21" s="13">
        <v>0</v>
      </c>
      <c r="J21" s="13">
        <f>+H21+I21</f>
        <v>289814.46000000002</v>
      </c>
      <c r="K21" s="153">
        <v>1</v>
      </c>
      <c r="L21" s="13">
        <f>+J21*K21</f>
        <v>289814.46000000002</v>
      </c>
      <c r="M21" s="18"/>
      <c r="N21" s="16"/>
      <c r="O21" s="13">
        <v>20232</v>
      </c>
      <c r="P21" s="13">
        <v>0</v>
      </c>
      <c r="Q21" s="13">
        <v>0</v>
      </c>
      <c r="R21" s="13">
        <f t="shared" si="4"/>
        <v>20232</v>
      </c>
      <c r="S21" s="13">
        <v>59036</v>
      </c>
      <c r="T21" s="13">
        <v>0</v>
      </c>
      <c r="U21" s="13">
        <f t="shared" si="5"/>
        <v>59036</v>
      </c>
      <c r="V21" s="13">
        <v>15111</v>
      </c>
      <c r="W21" s="13">
        <v>195435.46000000002</v>
      </c>
      <c r="X21" s="21">
        <f t="shared" si="6"/>
        <v>289814.46000000002</v>
      </c>
      <c r="Y21" s="8" t="b">
        <f t="shared" si="1"/>
        <v>1</v>
      </c>
    </row>
    <row r="22" spans="1:25" s="8" customFormat="1">
      <c r="A22" s="16">
        <v>10</v>
      </c>
      <c r="B22" t="s">
        <v>288</v>
      </c>
      <c r="C22" s="137" t="s">
        <v>153</v>
      </c>
      <c r="D22" s="18"/>
      <c r="E22" s="13">
        <v>151634.74</v>
      </c>
      <c r="F22" s="13">
        <v>0</v>
      </c>
      <c r="G22" s="13">
        <v>0</v>
      </c>
      <c r="H22" s="13">
        <f t="shared" si="2"/>
        <v>151634.74</v>
      </c>
      <c r="I22" s="13">
        <v>0</v>
      </c>
      <c r="J22" s="13">
        <f>+H22+I22</f>
        <v>151634.74</v>
      </c>
      <c r="K22" s="153">
        <v>1</v>
      </c>
      <c r="L22" s="13">
        <f>+J22*K22</f>
        <v>151634.74</v>
      </c>
      <c r="M22" s="18"/>
      <c r="N22" s="16"/>
      <c r="O22" s="13">
        <v>10116</v>
      </c>
      <c r="P22" s="13">
        <v>0</v>
      </c>
      <c r="Q22" s="13">
        <v>0</v>
      </c>
      <c r="R22" s="13">
        <f t="shared" si="4"/>
        <v>10116</v>
      </c>
      <c r="S22" s="13">
        <v>67183</v>
      </c>
      <c r="T22" s="13">
        <v>0</v>
      </c>
      <c r="U22" s="13">
        <f t="shared" si="5"/>
        <v>67183</v>
      </c>
      <c r="V22" s="13">
        <v>7555.5</v>
      </c>
      <c r="W22" s="13">
        <v>66780.239999999991</v>
      </c>
      <c r="X22" s="21">
        <f t="shared" si="6"/>
        <v>151634.74</v>
      </c>
      <c r="Y22" s="8" t="b">
        <f t="shared" si="1"/>
        <v>1</v>
      </c>
    </row>
    <row r="23" spans="1:25" s="8" customFormat="1">
      <c r="A23" s="16">
        <v>11</v>
      </c>
      <c r="B23" t="s">
        <v>277</v>
      </c>
      <c r="C23" s="137" t="s">
        <v>227</v>
      </c>
      <c r="D23" s="18"/>
      <c r="E23" s="13">
        <v>23518.13</v>
      </c>
      <c r="F23" s="13">
        <v>0</v>
      </c>
      <c r="G23" s="13">
        <v>0</v>
      </c>
      <c r="H23" s="13">
        <f t="shared" si="2"/>
        <v>23518.13</v>
      </c>
      <c r="I23" s="13">
        <v>0</v>
      </c>
      <c r="J23" s="13">
        <f t="shared" ref="J23" si="7">+H23+I23</f>
        <v>23518.13</v>
      </c>
      <c r="K23" s="153">
        <v>1</v>
      </c>
      <c r="L23" s="13">
        <f t="shared" ref="L23" si="8">+J23*K23</f>
        <v>23518.13</v>
      </c>
      <c r="M23" s="18"/>
      <c r="N23" s="16"/>
      <c r="O23" s="13">
        <v>0</v>
      </c>
      <c r="P23" s="13">
        <v>0</v>
      </c>
      <c r="Q23" s="13">
        <v>0</v>
      </c>
      <c r="R23" s="13">
        <f t="shared" si="4"/>
        <v>0</v>
      </c>
      <c r="S23" s="13">
        <v>0</v>
      </c>
      <c r="T23" s="13">
        <v>0</v>
      </c>
      <c r="U23" s="13">
        <f t="shared" si="5"/>
        <v>0</v>
      </c>
      <c r="V23" s="13">
        <v>0</v>
      </c>
      <c r="W23" s="13">
        <v>23518.13</v>
      </c>
      <c r="X23" s="21">
        <f t="shared" si="6"/>
        <v>23518.13</v>
      </c>
      <c r="Y23" s="8" t="b">
        <f t="shared" si="1"/>
        <v>1</v>
      </c>
    </row>
    <row r="24" spans="1:25">
      <c r="A24" s="16">
        <v>12</v>
      </c>
      <c r="B24" s="4"/>
      <c r="C24" s="4"/>
      <c r="D24" s="18"/>
      <c r="E24" s="13"/>
      <c r="F24" s="13"/>
      <c r="G24" s="13"/>
      <c r="H24" s="13"/>
      <c r="I24" s="116"/>
      <c r="J24" s="13"/>
      <c r="K24" s="103"/>
      <c r="L24" s="13"/>
      <c r="O24" s="128"/>
      <c r="P24" s="128"/>
      <c r="Q24" s="128"/>
      <c r="R24" s="128"/>
      <c r="S24" s="128"/>
      <c r="T24" s="128"/>
      <c r="U24" s="128"/>
      <c r="V24" s="128"/>
      <c r="W24" s="128"/>
      <c r="X24" s="130"/>
      <c r="Y24" s="8"/>
    </row>
    <row r="25" spans="1:25">
      <c r="A25" s="16">
        <v>13</v>
      </c>
      <c r="E25" s="115"/>
      <c r="F25" s="115"/>
      <c r="G25" s="115"/>
      <c r="H25" s="115"/>
      <c r="I25" s="115"/>
      <c r="J25" s="115"/>
      <c r="L25" s="115"/>
      <c r="O25" s="115"/>
      <c r="P25" s="115"/>
      <c r="Q25" s="115"/>
      <c r="R25" s="115"/>
      <c r="S25" s="115"/>
      <c r="T25" s="115"/>
      <c r="U25" s="115"/>
      <c r="V25" s="115"/>
      <c r="W25" s="115"/>
      <c r="X25" s="115"/>
    </row>
    <row r="26" spans="1:25">
      <c r="A26" s="16">
        <v>14</v>
      </c>
      <c r="C26" s="5" t="str">
        <f>CONCATENATE("Total ",B15)</f>
        <v>Total Advertising Expense</v>
      </c>
      <c r="E26" s="141">
        <f t="shared" ref="E26:J26" si="9">SUM(E17:E24)</f>
        <v>744112.46</v>
      </c>
      <c r="F26" s="141">
        <f t="shared" si="9"/>
        <v>0</v>
      </c>
      <c r="G26" s="141">
        <f t="shared" si="9"/>
        <v>0</v>
      </c>
      <c r="H26" s="141">
        <f t="shared" si="9"/>
        <v>744112.46</v>
      </c>
      <c r="I26" s="141">
        <f t="shared" si="9"/>
        <v>0</v>
      </c>
      <c r="J26" s="141">
        <f t="shared" si="9"/>
        <v>744112.46</v>
      </c>
      <c r="L26" s="141">
        <f>SUM(L17:L24)</f>
        <v>744112.46</v>
      </c>
      <c r="O26" s="141">
        <f>SUM(O17:O24)</f>
        <v>59194.1</v>
      </c>
      <c r="P26" s="141">
        <f>SUM(P17:P24)</f>
        <v>0</v>
      </c>
      <c r="Q26" s="141">
        <f t="shared" ref="Q26" si="10">SUM(Q17:Q24)</f>
        <v>0</v>
      </c>
      <c r="R26" s="141">
        <f t="shared" ref="R26:X26" si="11">SUM(R17:R24)</f>
        <v>59194.1</v>
      </c>
      <c r="S26" s="141">
        <f t="shared" si="11"/>
        <v>204008.67</v>
      </c>
      <c r="T26" s="141">
        <f t="shared" si="11"/>
        <v>0</v>
      </c>
      <c r="U26" s="141">
        <f t="shared" si="11"/>
        <v>204008.67</v>
      </c>
      <c r="V26" s="141">
        <f t="shared" si="11"/>
        <v>44211.28</v>
      </c>
      <c r="W26" s="141">
        <f t="shared" si="11"/>
        <v>436698.40999999992</v>
      </c>
      <c r="X26" s="141">
        <f t="shared" si="11"/>
        <v>744112.46</v>
      </c>
      <c r="Y26" s="8" t="b">
        <f>ROUND(+X26,2)=ROUND(L26,2)</f>
        <v>1</v>
      </c>
    </row>
  </sheetData>
  <phoneticPr fontId="5" type="noConversion"/>
  <printOptions horizontalCentered="1"/>
  <pageMargins left="0.5" right="0.5" top="3" bottom="0.5" header="1.5" footer="0.5"/>
  <pageSetup scale="55" orientation="landscape"/>
  <headerFooter alignWithMargins="0">
    <oddHeader>&amp;R&amp;"Arial,Bold"Schedule &amp;A
Page &amp;P of &amp;N&amp;C&amp;B
2025 RATE CASE
ONCOR ELECTRIC DELIVERY COMPANY LLC
II-D-2.4  SUMMARY OF ADVERTISING EXPENSE
TEST YEAR ENDING DECEMBER 31, 2024
SPONSOR: R. PRACHYL</oddHeader>
  </headerFooter>
  <colBreaks count="1" manualBreakCount="1">
    <brk id="13" min="9" max="2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1">
    <tabColor rgb="FFFF0000"/>
  </sheetPr>
  <dimension ref="A1:X20"/>
  <sheetViews>
    <sheetView zoomScaleNormal="100" workbookViewId="0">
      <pane xSplit="3" ySplit="13" topLeftCell="D14" activePane="bottomRight" state="frozen"/>
      <selection activeCell="N38" sqref="N38"/>
      <selection pane="topRight" activeCell="N38" sqref="N38"/>
      <selection pane="bottomLeft" activeCell="N38" sqref="N38"/>
      <selection pane="bottomRight" activeCell="J13" sqref="J13"/>
    </sheetView>
  </sheetViews>
  <sheetFormatPr defaultRowHeight="12.75"/>
  <cols>
    <col min="1" max="1" width="5.7109375" customWidth="1"/>
    <col min="2" max="2" width="8.7109375" customWidth="1"/>
    <col min="3" max="3" width="45.140625" bestFit="1" customWidth="1"/>
    <col min="4" max="4" width="10.28515625" bestFit="1" customWidth="1"/>
    <col min="5" max="5" width="9.5703125" bestFit="1" customWidth="1"/>
    <col min="6" max="6" width="12.140625" bestFit="1" customWidth="1"/>
    <col min="7" max="7" width="17" bestFit="1" customWidth="1"/>
    <col min="8" max="8" width="10.28515625" bestFit="1" customWidth="1"/>
    <col min="9" max="9" width="12" bestFit="1" customWidth="1"/>
    <col min="10" max="10" width="10.28515625" bestFit="1" customWidth="1"/>
    <col min="11" max="12" width="10.140625" bestFit="1" customWidth="1"/>
    <col min="13" max="13" width="3.28515625" bestFit="1" customWidth="1"/>
    <col min="14" max="14" width="6.7109375"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Sponsors'!$A$59,'[3]Schedule Sponsors'!$B$59)</f>
        <v>II-D-2.4a  CAPITALIZED ADVERTISING</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Sponsors'!$D$59)</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c r="A15" s="16">
        <v>1</v>
      </c>
      <c r="B15" s="8" t="s">
        <v>90</v>
      </c>
      <c r="D15" s="18" t="s">
        <v>8</v>
      </c>
      <c r="E15" s="19"/>
      <c r="F15" s="19"/>
      <c r="G15" s="19"/>
      <c r="H15" s="19"/>
      <c r="I15" s="19"/>
      <c r="J15" s="19"/>
      <c r="K15" s="19"/>
      <c r="L15" s="19"/>
      <c r="M15" s="18"/>
      <c r="N15" s="25"/>
      <c r="O15" s="19"/>
      <c r="P15" s="19"/>
      <c r="Q15" s="19"/>
      <c r="R15" s="19"/>
      <c r="S15" s="19"/>
      <c r="T15" s="19"/>
      <c r="U15" s="19"/>
      <c r="V15" s="19"/>
      <c r="W15" s="19"/>
    </row>
    <row r="16" spans="1:24" s="8" customFormat="1">
      <c r="A16" s="16">
        <v>2</v>
      </c>
      <c r="D16" s="18"/>
      <c r="E16" s="19"/>
      <c r="F16" s="19"/>
      <c r="G16" s="19"/>
      <c r="H16" s="19"/>
      <c r="I16" s="19"/>
      <c r="J16" s="19"/>
      <c r="K16" s="19"/>
      <c r="L16" s="19"/>
      <c r="M16" s="18"/>
      <c r="N16" s="25"/>
      <c r="O16" s="19"/>
      <c r="P16" s="19"/>
      <c r="Q16" s="19"/>
      <c r="R16" s="19"/>
      <c r="S16" s="19"/>
      <c r="T16" s="19"/>
      <c r="U16" s="19"/>
      <c r="V16" s="19"/>
      <c r="W16" s="19"/>
      <c r="X16" s="62"/>
    </row>
    <row r="17" spans="1:24" s="8" customFormat="1">
      <c r="A17" s="16">
        <v>3</v>
      </c>
      <c r="B17" s="4" t="s">
        <v>324</v>
      </c>
      <c r="C17" s="30" t="s">
        <v>304</v>
      </c>
      <c r="D17" s="18"/>
      <c r="E17" s="150">
        <v>0</v>
      </c>
      <c r="F17" s="150">
        <v>0</v>
      </c>
      <c r="G17" s="150">
        <v>0</v>
      </c>
      <c r="H17" s="150">
        <f>+E17-F17+G17</f>
        <v>0</v>
      </c>
      <c r="I17" s="150">
        <f>-H17</f>
        <v>0</v>
      </c>
      <c r="J17" s="150">
        <f>+H17+I17</f>
        <v>0</v>
      </c>
      <c r="K17" s="153">
        <v>1</v>
      </c>
      <c r="L17" s="150">
        <f>+J17*K17</f>
        <v>0</v>
      </c>
      <c r="M17" s="16"/>
      <c r="N17" s="24"/>
      <c r="O17" s="150">
        <v>0</v>
      </c>
      <c r="P17" s="150">
        <v>0</v>
      </c>
      <c r="Q17" s="150">
        <v>0</v>
      </c>
      <c r="R17" s="150">
        <f>SUM(O17:Q17)</f>
        <v>0</v>
      </c>
      <c r="S17" s="150">
        <v>0</v>
      </c>
      <c r="T17" s="150">
        <v>0</v>
      </c>
      <c r="U17" s="150">
        <f>SUM(S17:T17)</f>
        <v>0</v>
      </c>
      <c r="V17" s="150">
        <v>0</v>
      </c>
      <c r="W17" s="150">
        <v>0</v>
      </c>
      <c r="X17" s="150">
        <f>+R17+U17+V17+W17</f>
        <v>0</v>
      </c>
    </row>
    <row r="18" spans="1:24">
      <c r="A18" s="16">
        <v>4</v>
      </c>
      <c r="B18" s="30"/>
      <c r="C18" s="4"/>
      <c r="E18" s="115"/>
      <c r="F18" s="115"/>
      <c r="G18" s="115"/>
      <c r="H18" s="115"/>
      <c r="I18" s="115"/>
      <c r="J18" s="115"/>
      <c r="L18" s="115"/>
      <c r="O18" s="115"/>
      <c r="P18" s="115"/>
      <c r="Q18" s="115"/>
      <c r="R18" s="115"/>
      <c r="S18" s="115"/>
      <c r="T18" s="115"/>
      <c r="U18" s="115"/>
      <c r="V18" s="115"/>
      <c r="W18" s="115"/>
      <c r="X18" s="115"/>
    </row>
    <row r="19" spans="1:24">
      <c r="A19" s="16">
        <v>5</v>
      </c>
    </row>
    <row r="20" spans="1:24">
      <c r="A20" s="16">
        <v>6</v>
      </c>
      <c r="B20" s="5" t="s">
        <v>91</v>
      </c>
      <c r="E20" s="202">
        <f t="shared" ref="E20:J20" si="0">SUM(E17:E18)</f>
        <v>0</v>
      </c>
      <c r="F20" s="202">
        <f t="shared" si="0"/>
        <v>0</v>
      </c>
      <c r="G20" s="202">
        <f t="shared" si="0"/>
        <v>0</v>
      </c>
      <c r="H20" s="202">
        <f t="shared" si="0"/>
        <v>0</v>
      </c>
      <c r="I20" s="202">
        <f t="shared" si="0"/>
        <v>0</v>
      </c>
      <c r="J20" s="202">
        <f t="shared" si="0"/>
        <v>0</v>
      </c>
      <c r="K20" s="264"/>
      <c r="L20" s="202">
        <f>SUM(L17:L18)</f>
        <v>0</v>
      </c>
      <c r="M20" s="194"/>
      <c r="N20" s="194"/>
      <c r="O20" s="202">
        <f t="shared" ref="O20:X20" si="1">SUM(O17:O18)</f>
        <v>0</v>
      </c>
      <c r="P20" s="202">
        <f t="shared" si="1"/>
        <v>0</v>
      </c>
      <c r="Q20" s="202">
        <f t="shared" ref="Q20" si="2">SUM(Q17:Q18)</f>
        <v>0</v>
      </c>
      <c r="R20" s="202">
        <f t="shared" si="1"/>
        <v>0</v>
      </c>
      <c r="S20" s="202">
        <f t="shared" si="1"/>
        <v>0</v>
      </c>
      <c r="T20" s="202">
        <f t="shared" si="1"/>
        <v>0</v>
      </c>
      <c r="U20" s="202">
        <f t="shared" si="1"/>
        <v>0</v>
      </c>
      <c r="V20" s="202">
        <f t="shared" si="1"/>
        <v>0</v>
      </c>
      <c r="W20" s="202">
        <f t="shared" ref="W20" si="3">SUM(W17:W18)</f>
        <v>0</v>
      </c>
      <c r="X20" s="202">
        <f t="shared" si="1"/>
        <v>0</v>
      </c>
    </row>
  </sheetData>
  <phoneticPr fontId="5" type="noConversion"/>
  <printOptions horizontalCentered="1"/>
  <pageMargins left="0.5" right="0.5" top="3" bottom="0.5" header="1.5" footer="0.5"/>
  <pageSetup scale="58" orientation="landscape"/>
  <headerFooter alignWithMargins="0">
    <oddHeader>&amp;R&amp;"Arial,Bold"Schedule &amp;A
Page &amp;P of &amp;N&amp;C&amp;B
2025 RATE CASE
ONCOR ELECTRIC DELIVERY COMPANY LLC
II-D-2.4a  CAPITALIZED ADVERTISING
TEST YEAR ENDING DECEMBER 31, 2024
SPONSOR: R. PRACHYL</oddHeader>
  </headerFooter>
  <colBreaks count="1" manualBreakCount="1">
    <brk id="13" min="9" max="19"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2">
    <tabColor rgb="FFFF0000"/>
  </sheetPr>
  <dimension ref="A1:AB509"/>
  <sheetViews>
    <sheetView zoomScale="85" zoomScaleNormal="85" workbookViewId="0">
      <pane xSplit="3" ySplit="16" topLeftCell="D17" activePane="bottomRight" state="frozen"/>
      <selection activeCell="N38" sqref="N38"/>
      <selection pane="topRight" activeCell="N38" sqref="N38"/>
      <selection pane="bottomLeft" activeCell="N38" sqref="N38"/>
      <selection pane="bottomRight" activeCell="D17" sqref="D17"/>
    </sheetView>
  </sheetViews>
  <sheetFormatPr defaultRowHeight="12.75"/>
  <cols>
    <col min="1" max="1" width="5.7109375" customWidth="1"/>
    <col min="2" max="2" width="8.7109375" customWidth="1"/>
    <col min="3" max="3" width="52.85546875" bestFit="1" customWidth="1"/>
    <col min="4" max="4" width="10.28515625" bestFit="1" customWidth="1"/>
    <col min="5" max="5" width="12.7109375" customWidth="1"/>
    <col min="6" max="6" width="12.28515625" bestFit="1" customWidth="1"/>
    <col min="7" max="7" width="17.140625" bestFit="1" customWidth="1"/>
    <col min="8" max="8" width="11.5703125" bestFit="1" customWidth="1"/>
    <col min="9" max="9" width="12.140625" bestFit="1" customWidth="1"/>
    <col min="10" max="10" width="11.5703125" bestFit="1" customWidth="1"/>
    <col min="11" max="11" width="10.28515625" customWidth="1"/>
    <col min="12" max="12" width="14.85546875" bestFit="1" customWidth="1"/>
    <col min="13" max="13" width="3.28515625" bestFit="1" customWidth="1"/>
    <col min="14" max="14" width="6.85546875" bestFit="1" customWidth="1"/>
    <col min="15" max="22" width="9.7109375" customWidth="1"/>
    <col min="23" max="23" width="11.5703125" customWidth="1"/>
    <col min="24" max="24" width="14.85546875" bestFit="1" customWidth="1"/>
  </cols>
  <sheetData>
    <row r="1" spans="1:25">
      <c r="A1" s="5" t="str">
        <f>+'[3]Input Data'!$A$9</f>
        <v>2025 RATE CASE</v>
      </c>
    </row>
    <row r="2" spans="1:25"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5" s="33" customFormat="1">
      <c r="A3" s="7" t="str">
        <f>CONCATENATE('[3]Schedule Sponsors'!$A$60,'[3]Schedule Sponsors'!$B$60)</f>
        <v>II-D-2.5  SUMMARY OF CONTRIBUTION &amp;&amp; DONATION EXPENSE</v>
      </c>
      <c r="B3" s="4"/>
      <c r="D3" s="31"/>
      <c r="E3" s="31"/>
      <c r="F3" s="31"/>
      <c r="G3" s="34"/>
      <c r="H3" s="31"/>
      <c r="I3" s="31"/>
      <c r="J3" s="31"/>
      <c r="K3" s="31"/>
      <c r="L3" s="32"/>
      <c r="M3" s="31"/>
      <c r="N3" s="32"/>
      <c r="O3" s="28"/>
      <c r="P3" s="28"/>
      <c r="Q3" s="28"/>
      <c r="R3" s="28"/>
      <c r="S3" s="31"/>
      <c r="T3" s="31"/>
      <c r="U3" s="31"/>
      <c r="V3" s="31"/>
      <c r="W3" s="31"/>
      <c r="X3" s="31"/>
    </row>
    <row r="4" spans="1:25"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5" s="33" customFormat="1">
      <c r="A5" s="7" t="str">
        <f>CONCATENATE("SPONSOR: ",'[3]Schedule Sponsors'!$D$60)</f>
        <v>SPONSOR: R. PRACHYL</v>
      </c>
      <c r="B5" s="4"/>
      <c r="D5" s="31"/>
      <c r="E5" s="31"/>
      <c r="F5" s="31"/>
      <c r="G5" s="31"/>
      <c r="H5" s="31"/>
      <c r="I5" s="31"/>
      <c r="J5" s="31"/>
      <c r="K5" s="31"/>
      <c r="L5" s="32"/>
      <c r="M5" s="31"/>
      <c r="N5" s="32"/>
      <c r="O5" s="31"/>
      <c r="P5" s="31"/>
      <c r="Q5" s="31"/>
      <c r="R5" s="31"/>
      <c r="S5" s="31"/>
      <c r="T5" s="31"/>
      <c r="U5" s="31"/>
      <c r="V5" s="31"/>
      <c r="W5" s="31"/>
      <c r="X5" s="31"/>
    </row>
    <row r="6" spans="1:25" s="33" customFormat="1">
      <c r="A6" s="31"/>
      <c r="B6" s="4"/>
      <c r="D6" s="31"/>
      <c r="E6" s="31"/>
      <c r="F6" s="31"/>
      <c r="G6" s="31"/>
      <c r="H6" s="31"/>
      <c r="I6" s="31"/>
      <c r="J6" s="31"/>
      <c r="K6" s="31"/>
      <c r="L6" s="32"/>
      <c r="M6" s="31"/>
      <c r="N6" s="32"/>
      <c r="O6" s="31"/>
      <c r="P6" s="31"/>
      <c r="Q6" s="31"/>
      <c r="R6" s="31"/>
      <c r="S6" s="31"/>
      <c r="T6" s="31"/>
      <c r="U6" s="31"/>
      <c r="V6" s="31"/>
      <c r="W6" s="31"/>
      <c r="X6" s="31"/>
    </row>
    <row r="7" spans="1:25" s="33" customFormat="1">
      <c r="A7" s="31"/>
      <c r="B7" s="4"/>
      <c r="D7" s="31"/>
      <c r="E7" s="31"/>
      <c r="F7" s="31"/>
      <c r="G7" s="31"/>
      <c r="H7" s="31"/>
      <c r="I7" s="31"/>
      <c r="J7" s="31"/>
      <c r="K7" s="31"/>
      <c r="L7" s="32"/>
      <c r="M7" s="31"/>
      <c r="N7" s="32"/>
      <c r="O7" s="31"/>
      <c r="P7" s="31"/>
      <c r="Q7" s="31"/>
      <c r="R7" s="31"/>
      <c r="S7" s="31"/>
      <c r="T7" s="31"/>
      <c r="U7" s="31"/>
      <c r="V7" s="31"/>
      <c r="W7" s="31"/>
      <c r="X7" s="31"/>
    </row>
    <row r="8" spans="1:25" s="33" customFormat="1">
      <c r="A8" s="31"/>
      <c r="B8" s="35"/>
      <c r="C8" s="31"/>
      <c r="D8" s="31"/>
      <c r="E8" s="31"/>
      <c r="F8" s="31"/>
      <c r="G8" s="31"/>
      <c r="H8" s="31"/>
      <c r="I8" s="31"/>
      <c r="J8" s="31"/>
      <c r="K8" s="31"/>
      <c r="L8" s="32"/>
      <c r="M8" s="31"/>
      <c r="N8" s="32"/>
      <c r="O8" s="31"/>
      <c r="P8" s="31"/>
      <c r="Q8" s="31"/>
      <c r="R8" s="31"/>
      <c r="S8" s="31"/>
      <c r="T8" s="31"/>
      <c r="U8" s="31"/>
      <c r="V8" s="31"/>
      <c r="W8" s="31"/>
      <c r="X8" s="31"/>
    </row>
    <row r="9" spans="1:25"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5"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5"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5"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5"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c r="Y13" s="118"/>
    </row>
    <row r="14" spans="1:25"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5" s="8" customFormat="1" ht="15" customHeight="1">
      <c r="A15" s="16">
        <v>1</v>
      </c>
      <c r="B15" s="8" t="s">
        <v>129</v>
      </c>
      <c r="D15" s="18" t="s">
        <v>9</v>
      </c>
      <c r="E15" s="19"/>
      <c r="F15" s="19"/>
      <c r="G15" s="19"/>
      <c r="H15" s="19"/>
      <c r="I15" s="19"/>
      <c r="J15" s="19"/>
      <c r="K15" s="19"/>
      <c r="L15" s="19"/>
      <c r="M15" s="18"/>
      <c r="N15" s="25"/>
      <c r="O15" s="19"/>
      <c r="P15" s="19"/>
      <c r="Q15" s="19"/>
      <c r="R15" s="19"/>
      <c r="S15" s="19"/>
      <c r="T15" s="19"/>
      <c r="U15" s="19"/>
      <c r="V15" s="19"/>
      <c r="W15" s="19"/>
    </row>
    <row r="16" spans="1:25" s="8" customFormat="1" ht="15" customHeight="1">
      <c r="A16" s="16">
        <v>2</v>
      </c>
      <c r="D16" s="18"/>
      <c r="E16" s="19"/>
      <c r="F16" s="19"/>
      <c r="G16" s="19"/>
      <c r="H16" s="19"/>
      <c r="I16" s="19"/>
      <c r="J16" s="19"/>
      <c r="K16" s="19"/>
      <c r="L16" s="19"/>
      <c r="M16" s="18"/>
      <c r="N16" s="25"/>
      <c r="O16" s="19"/>
      <c r="P16" s="19"/>
      <c r="Q16" s="19"/>
      <c r="R16" s="19"/>
      <c r="S16" s="19"/>
      <c r="T16" s="19"/>
      <c r="U16" s="19"/>
      <c r="V16" s="19"/>
      <c r="W16" s="19"/>
      <c r="X16" s="62"/>
    </row>
    <row r="17" spans="1:28" s="8" customFormat="1" ht="15" customHeight="1">
      <c r="A17" s="16">
        <v>3</v>
      </c>
      <c r="B17" s="175" t="s">
        <v>270</v>
      </c>
      <c r="C17" s="30" t="str">
        <f>VLOOKUP(B17,'II-D-3'!$B$17:$C$121,2,FALSE)</f>
        <v>Office Supplies and Expenses</v>
      </c>
      <c r="D17" s="18"/>
      <c r="E17" s="13"/>
      <c r="F17" s="13"/>
      <c r="G17" s="13"/>
      <c r="H17" s="13"/>
      <c r="I17" s="13"/>
      <c r="J17" s="13"/>
      <c r="K17" s="153"/>
      <c r="L17" s="13"/>
      <c r="M17" s="18"/>
      <c r="N17" s="24"/>
      <c r="O17" s="13"/>
      <c r="P17" s="13"/>
      <c r="Q17" s="13"/>
      <c r="R17" s="13"/>
      <c r="S17" s="13"/>
      <c r="T17" s="13"/>
      <c r="U17" s="13"/>
      <c r="V17" s="13"/>
      <c r="W17" s="13"/>
      <c r="X17" s="62"/>
    </row>
    <row r="18" spans="1:28" s="8" customFormat="1" ht="15" customHeight="1">
      <c r="A18" s="16">
        <v>4</v>
      </c>
      <c r="B18" s="4"/>
      <c r="C18" s="151" t="s">
        <v>346</v>
      </c>
      <c r="D18" s="18"/>
      <c r="E18" s="150">
        <v>1165.1500000000001</v>
      </c>
      <c r="F18" s="150">
        <v>0</v>
      </c>
      <c r="G18" s="150">
        <v>0</v>
      </c>
      <c r="H18" s="150">
        <f>+E18-F18+G18</f>
        <v>1165.1500000000001</v>
      </c>
      <c r="I18" s="150">
        <v>0</v>
      </c>
      <c r="J18" s="150">
        <f>+H18+I18</f>
        <v>1165.1500000000001</v>
      </c>
      <c r="K18" s="153">
        <v>1</v>
      </c>
      <c r="L18" s="150">
        <f>+J18*K18</f>
        <v>1165.1500000000001</v>
      </c>
      <c r="M18" s="18"/>
      <c r="N18" s="16"/>
      <c r="O18" s="150">
        <v>261.93</v>
      </c>
      <c r="P18" s="150">
        <v>0</v>
      </c>
      <c r="Q18" s="150">
        <v>0</v>
      </c>
      <c r="R18" s="150">
        <f t="shared" ref="R18:R20" si="0">SUM(O18:Q18)</f>
        <v>261.93</v>
      </c>
      <c r="S18" s="150">
        <v>699.55</v>
      </c>
      <c r="T18" s="150">
        <v>0</v>
      </c>
      <c r="U18" s="150">
        <f t="shared" ref="U18:U20" si="1">SUM(S18:T18)</f>
        <v>699.55</v>
      </c>
      <c r="V18" s="150">
        <v>195.63</v>
      </c>
      <c r="W18" s="150">
        <v>8.0399999999999991</v>
      </c>
      <c r="X18" s="150">
        <f t="shared" ref="X18:X20" si="2">+R18+U18+V18+W18</f>
        <v>1165.1500000000001</v>
      </c>
      <c r="Y18" s="8" t="b">
        <f>ROUND(+X18,2)=ROUND(L18,2)</f>
        <v>1</v>
      </c>
    </row>
    <row r="19" spans="1:28" s="8" customFormat="1" ht="15" customHeight="1">
      <c r="A19" s="16">
        <v>5</v>
      </c>
      <c r="B19" s="4"/>
      <c r="C19" s="151" t="s">
        <v>347</v>
      </c>
      <c r="D19" s="18"/>
      <c r="E19" s="13">
        <v>16635</v>
      </c>
      <c r="F19" s="13">
        <v>0</v>
      </c>
      <c r="G19" s="13">
        <v>0</v>
      </c>
      <c r="H19" s="13">
        <f>+E19-F19+G19</f>
        <v>16635</v>
      </c>
      <c r="I19" s="13">
        <v>0</v>
      </c>
      <c r="J19" s="13">
        <f>+H19+I19</f>
        <v>16635</v>
      </c>
      <c r="K19" s="153">
        <v>1</v>
      </c>
      <c r="L19" s="13">
        <f>+J19*K19</f>
        <v>16635</v>
      </c>
      <c r="M19" s="18"/>
      <c r="N19" s="16"/>
      <c r="O19" s="13">
        <v>3619.2799999999997</v>
      </c>
      <c r="P19" s="13">
        <v>0</v>
      </c>
      <c r="Q19" s="13">
        <v>0</v>
      </c>
      <c r="R19" s="13">
        <f t="shared" si="0"/>
        <v>3619.2799999999997</v>
      </c>
      <c r="S19" s="13">
        <v>9666.44</v>
      </c>
      <c r="T19" s="13">
        <v>0</v>
      </c>
      <c r="U19" s="13">
        <f t="shared" si="1"/>
        <v>9666.44</v>
      </c>
      <c r="V19" s="13">
        <v>2703.1899999999996</v>
      </c>
      <c r="W19" s="13">
        <v>646.09</v>
      </c>
      <c r="X19" s="13">
        <f t="shared" si="2"/>
        <v>16635</v>
      </c>
      <c r="Y19" s="8" t="b">
        <f>ROUND(+X19,2)=ROUND(L19,2)</f>
        <v>1</v>
      </c>
    </row>
    <row r="20" spans="1:28" s="8" customFormat="1" ht="15" customHeight="1">
      <c r="A20" s="16">
        <v>6</v>
      </c>
      <c r="B20" s="4"/>
      <c r="C20" s="151" t="s">
        <v>206</v>
      </c>
      <c r="D20" s="18"/>
      <c r="E20" s="13">
        <v>334.84999999999997</v>
      </c>
      <c r="F20" s="13">
        <v>0</v>
      </c>
      <c r="G20" s="13">
        <v>0</v>
      </c>
      <c r="H20" s="13">
        <f>+E20-F20+G20</f>
        <v>334.84999999999997</v>
      </c>
      <c r="I20" s="13">
        <v>0</v>
      </c>
      <c r="J20" s="13">
        <f>+H20+I20</f>
        <v>334.84999999999997</v>
      </c>
      <c r="K20" s="153">
        <v>1</v>
      </c>
      <c r="L20" s="13">
        <f>+J20*K20</f>
        <v>334.84999999999997</v>
      </c>
      <c r="M20" s="18"/>
      <c r="N20" s="16"/>
      <c r="O20" s="13">
        <v>75.27000000000001</v>
      </c>
      <c r="P20" s="13">
        <v>0</v>
      </c>
      <c r="Q20" s="13">
        <v>0</v>
      </c>
      <c r="R20" s="13">
        <f t="shared" si="0"/>
        <v>75.27000000000001</v>
      </c>
      <c r="S20" s="13">
        <v>201.04999999999995</v>
      </c>
      <c r="T20" s="13">
        <v>0</v>
      </c>
      <c r="U20" s="13">
        <f t="shared" si="1"/>
        <v>201.04999999999995</v>
      </c>
      <c r="V20" s="13">
        <v>56.22</v>
      </c>
      <c r="W20" s="13">
        <v>2.3100000000000005</v>
      </c>
      <c r="X20" s="13">
        <f t="shared" si="2"/>
        <v>334.84999999999997</v>
      </c>
      <c r="Y20" s="8" t="b">
        <f>ROUND(+X20,2)=ROUND(L20,2)</f>
        <v>1</v>
      </c>
    </row>
    <row r="21" spans="1:28" s="8" customFormat="1" ht="15" customHeight="1">
      <c r="A21" s="16">
        <v>7</v>
      </c>
      <c r="B21" s="4"/>
      <c r="C21" s="186" t="str">
        <f>CONCATENATE("Total Account ",MID(B17,2,3))</f>
        <v>Total Account 921</v>
      </c>
      <c r="D21" s="18"/>
      <c r="E21" s="174">
        <f t="shared" ref="E21:J21" si="3">SUM(E18:E20)</f>
        <v>18135</v>
      </c>
      <c r="F21" s="174">
        <f t="shared" si="3"/>
        <v>0</v>
      </c>
      <c r="G21" s="174">
        <f t="shared" si="3"/>
        <v>0</v>
      </c>
      <c r="H21" s="174">
        <f t="shared" si="3"/>
        <v>18135</v>
      </c>
      <c r="I21" s="174">
        <f t="shared" si="3"/>
        <v>0</v>
      </c>
      <c r="J21" s="174">
        <f t="shared" si="3"/>
        <v>18135</v>
      </c>
      <c r="K21" s="153"/>
      <c r="L21" s="174">
        <f>SUM(L18:L20)</f>
        <v>18135</v>
      </c>
      <c r="M21" s="18"/>
      <c r="N21" s="24"/>
      <c r="O21" s="174">
        <f t="shared" ref="O21:X21" si="4">SUM(O18:O20)</f>
        <v>3956.4799999999996</v>
      </c>
      <c r="P21" s="174">
        <f t="shared" si="4"/>
        <v>0</v>
      </c>
      <c r="Q21" s="174">
        <f t="shared" ref="Q21" si="5">SUM(Q18:Q20)</f>
        <v>0</v>
      </c>
      <c r="R21" s="174">
        <f t="shared" si="4"/>
        <v>3956.4799999999996</v>
      </c>
      <c r="S21" s="174">
        <f t="shared" si="4"/>
        <v>10567.039999999999</v>
      </c>
      <c r="T21" s="174">
        <f t="shared" ref="T21:U21" si="6">SUM(T18:T20)</f>
        <v>0</v>
      </c>
      <c r="U21" s="174">
        <f t="shared" si="6"/>
        <v>10567.039999999999</v>
      </c>
      <c r="V21" s="174">
        <f t="shared" si="4"/>
        <v>2955.0399999999995</v>
      </c>
      <c r="W21" s="174">
        <f t="shared" si="4"/>
        <v>656.43999999999994</v>
      </c>
      <c r="X21" s="174">
        <f t="shared" si="4"/>
        <v>18135</v>
      </c>
      <c r="Y21" s="8" t="b">
        <f>ROUND(+X21,2)=ROUND(L21,2)</f>
        <v>1</v>
      </c>
    </row>
    <row r="22" spans="1:28" s="8" customFormat="1" ht="15" customHeight="1">
      <c r="A22" s="16">
        <v>8</v>
      </c>
      <c r="B22" s="4"/>
      <c r="C22" s="30"/>
      <c r="D22" s="18"/>
      <c r="E22" s="13"/>
      <c r="F22" s="13"/>
      <c r="G22" s="13"/>
      <c r="H22" s="13"/>
      <c r="I22" s="13"/>
      <c r="J22" s="13"/>
      <c r="K22" s="153"/>
      <c r="L22" s="13"/>
      <c r="M22" s="18"/>
      <c r="N22" s="24"/>
      <c r="O22" s="19"/>
      <c r="P22" s="19"/>
      <c r="Q22" s="19"/>
      <c r="R22" s="19"/>
      <c r="S22" s="19"/>
      <c r="T22" s="19"/>
      <c r="U22" s="19"/>
      <c r="V22" s="19"/>
      <c r="W22" s="19"/>
      <c r="X22" s="62"/>
    </row>
    <row r="23" spans="1:28" s="8" customFormat="1" ht="15" customHeight="1">
      <c r="A23" s="16">
        <v>9</v>
      </c>
      <c r="B23" s="175" t="s">
        <v>288</v>
      </c>
      <c r="C23" s="30" t="str">
        <f>VLOOKUP(B23,'II-D-3'!$B$17:$C$121,2,FALSE)</f>
        <v>Miscellaneous General Expenses</v>
      </c>
      <c r="D23" s="18"/>
      <c r="E23" s="13"/>
      <c r="F23" s="13"/>
      <c r="G23" s="13"/>
      <c r="H23" s="13"/>
      <c r="I23" s="13"/>
      <c r="J23" s="13"/>
      <c r="K23" s="153"/>
      <c r="L23" s="13"/>
      <c r="M23" s="18"/>
      <c r="N23" s="24"/>
      <c r="O23" s="13"/>
      <c r="P23" s="13"/>
      <c r="Q23" s="13"/>
      <c r="R23" s="13"/>
      <c r="S23" s="13"/>
      <c r="T23" s="13"/>
      <c r="U23" s="13"/>
      <c r="V23" s="13"/>
      <c r="W23" s="13"/>
      <c r="X23" s="62"/>
    </row>
    <row r="24" spans="1:28" s="8" customFormat="1" ht="15" customHeight="1">
      <c r="A24" s="16">
        <v>10</v>
      </c>
      <c r="B24" s="4"/>
      <c r="C24" s="151" t="s">
        <v>346</v>
      </c>
      <c r="D24" s="18"/>
      <c r="E24" s="150">
        <v>1227615</v>
      </c>
      <c r="F24" s="150">
        <v>0</v>
      </c>
      <c r="G24" s="150">
        <v>0</v>
      </c>
      <c r="H24" s="150">
        <f>+E24-F24+G24</f>
        <v>1227615</v>
      </c>
      <c r="I24" s="150">
        <v>0</v>
      </c>
      <c r="J24" s="150">
        <f>+H24+I24</f>
        <v>1227615</v>
      </c>
      <c r="K24" s="153">
        <v>1</v>
      </c>
      <c r="L24" s="150">
        <f>+J24*K24</f>
        <v>1227615</v>
      </c>
      <c r="M24" s="18"/>
      <c r="N24" s="16"/>
      <c r="O24" s="150">
        <v>9778.7900000000009</v>
      </c>
      <c r="P24" s="150">
        <v>0</v>
      </c>
      <c r="Q24" s="150">
        <v>0</v>
      </c>
      <c r="R24" s="150">
        <f t="shared" ref="R24:R26" si="7">SUM(O24:Q24)</f>
        <v>9778.7900000000009</v>
      </c>
      <c r="S24" s="150">
        <v>31117.410000000003</v>
      </c>
      <c r="T24" s="150">
        <v>0</v>
      </c>
      <c r="U24" s="150">
        <f t="shared" ref="U24:U26" si="8">SUM(S24:T24)</f>
        <v>31117.410000000003</v>
      </c>
      <c r="V24" s="150">
        <v>7303.65</v>
      </c>
      <c r="W24" s="150">
        <v>1179415.1499999999</v>
      </c>
      <c r="X24" s="150">
        <f t="shared" ref="X24:X26" si="9">+R24+U24+V24+W24</f>
        <v>1227615</v>
      </c>
      <c r="Y24" s="8" t="b">
        <f>ROUND(+X24,2)=ROUND(L24,2)</f>
        <v>1</v>
      </c>
    </row>
    <row r="25" spans="1:28" s="8" customFormat="1" ht="15" customHeight="1">
      <c r="A25" s="16">
        <v>11</v>
      </c>
      <c r="B25" s="4"/>
      <c r="C25" s="151" t="s">
        <v>347</v>
      </c>
      <c r="D25" s="18"/>
      <c r="E25" s="13">
        <v>1286492.3799999999</v>
      </c>
      <c r="F25" s="13">
        <v>0</v>
      </c>
      <c r="G25" s="13">
        <v>0</v>
      </c>
      <c r="H25" s="13">
        <f>+E25-F25+G25</f>
        <v>1286492.3799999999</v>
      </c>
      <c r="I25" s="13">
        <v>0</v>
      </c>
      <c r="J25" s="13">
        <f>+H25+I25</f>
        <v>1286492.3799999999</v>
      </c>
      <c r="K25" s="153">
        <v>1</v>
      </c>
      <c r="L25" s="13">
        <f>+J25*K25</f>
        <v>1286492.3799999999</v>
      </c>
      <c r="M25" s="18"/>
      <c r="N25" s="16"/>
      <c r="O25" s="13">
        <v>14106.199999999999</v>
      </c>
      <c r="P25" s="13">
        <v>0</v>
      </c>
      <c r="Q25" s="13">
        <v>0</v>
      </c>
      <c r="R25" s="13">
        <f t="shared" si="7"/>
        <v>14106.199999999999</v>
      </c>
      <c r="S25" s="13">
        <v>54075.09</v>
      </c>
      <c r="T25" s="13">
        <v>0</v>
      </c>
      <c r="U25" s="13">
        <f t="shared" si="8"/>
        <v>54075.09</v>
      </c>
      <c r="V25" s="13">
        <v>10535.73</v>
      </c>
      <c r="W25" s="13">
        <v>1207775.3599999999</v>
      </c>
      <c r="X25" s="13">
        <f t="shared" si="9"/>
        <v>1286492.3799999999</v>
      </c>
      <c r="Y25" s="8" t="b">
        <f>ROUND(+X25,2)=ROUND(L25,2)</f>
        <v>1</v>
      </c>
    </row>
    <row r="26" spans="1:28" s="8" customFormat="1" ht="15" customHeight="1">
      <c r="A26" s="16">
        <v>12</v>
      </c>
      <c r="B26" s="4"/>
      <c r="C26" s="151" t="s">
        <v>206</v>
      </c>
      <c r="D26" s="18"/>
      <c r="E26" s="13">
        <v>568687.09</v>
      </c>
      <c r="F26" s="13">
        <v>0</v>
      </c>
      <c r="G26" s="13">
        <v>0</v>
      </c>
      <c r="H26" s="13">
        <f>+E26-F26+G26</f>
        <v>568687.09</v>
      </c>
      <c r="I26" s="13">
        <v>0</v>
      </c>
      <c r="J26" s="13">
        <f>+H26+I26</f>
        <v>568687.09</v>
      </c>
      <c r="K26" s="153">
        <v>1</v>
      </c>
      <c r="L26" s="13">
        <f>+J26*K26</f>
        <v>568687.09</v>
      </c>
      <c r="M26" s="18"/>
      <c r="N26" s="16"/>
      <c r="O26" s="13">
        <v>944.41999999999973</v>
      </c>
      <c r="P26" s="13">
        <v>0</v>
      </c>
      <c r="Q26" s="13">
        <v>0</v>
      </c>
      <c r="R26" s="13">
        <f t="shared" si="7"/>
        <v>944.41999999999973</v>
      </c>
      <c r="S26" s="13">
        <v>2522.37</v>
      </c>
      <c r="T26" s="13">
        <v>0</v>
      </c>
      <c r="U26" s="13">
        <f t="shared" si="8"/>
        <v>2522.37</v>
      </c>
      <c r="V26" s="13">
        <v>705.37000000000012</v>
      </c>
      <c r="W26" s="13">
        <v>564514.92999999993</v>
      </c>
      <c r="X26" s="13">
        <f t="shared" si="9"/>
        <v>568687.09</v>
      </c>
      <c r="Y26" s="8" t="b">
        <f>ROUND(+X26,2)=ROUND(L26,2)</f>
        <v>1</v>
      </c>
    </row>
    <row r="27" spans="1:28" s="8" customFormat="1" ht="15" customHeight="1">
      <c r="A27" s="16">
        <v>13</v>
      </c>
      <c r="B27" s="4"/>
      <c r="C27" s="186" t="str">
        <f>CONCATENATE("Total Account ",MID(B23,2,5))</f>
        <v>Total Account 930.2</v>
      </c>
      <c r="D27" s="18"/>
      <c r="E27" s="174">
        <f t="shared" ref="E27:J27" si="10">SUM(E24:E26)</f>
        <v>3082794.4699999997</v>
      </c>
      <c r="F27" s="174">
        <f t="shared" si="10"/>
        <v>0</v>
      </c>
      <c r="G27" s="174">
        <f t="shared" si="10"/>
        <v>0</v>
      </c>
      <c r="H27" s="174">
        <f t="shared" si="10"/>
        <v>3082794.4699999997</v>
      </c>
      <c r="I27" s="174">
        <f t="shared" si="10"/>
        <v>0</v>
      </c>
      <c r="J27" s="174">
        <f t="shared" si="10"/>
        <v>3082794.4699999997</v>
      </c>
      <c r="K27" s="153"/>
      <c r="L27" s="174">
        <f>SUM(L24:L26)</f>
        <v>3082794.4699999997</v>
      </c>
      <c r="M27" s="18"/>
      <c r="N27" s="24"/>
      <c r="O27" s="174">
        <f t="shared" ref="O27:X27" si="11">SUM(O24:O26)</f>
        <v>24829.409999999996</v>
      </c>
      <c r="P27" s="174">
        <f t="shared" si="11"/>
        <v>0</v>
      </c>
      <c r="Q27" s="174">
        <f t="shared" ref="Q27" si="12">SUM(Q24:Q26)</f>
        <v>0</v>
      </c>
      <c r="R27" s="174">
        <f t="shared" ref="R27" si="13">SUM(R24:R26)</f>
        <v>24829.409999999996</v>
      </c>
      <c r="S27" s="174">
        <f t="shared" si="11"/>
        <v>87714.87</v>
      </c>
      <c r="T27" s="174">
        <f t="shared" ref="T27:U27" si="14">SUM(T24:T26)</f>
        <v>0</v>
      </c>
      <c r="U27" s="174">
        <f t="shared" si="14"/>
        <v>87714.87</v>
      </c>
      <c r="V27" s="174">
        <f t="shared" si="11"/>
        <v>18544.749999999996</v>
      </c>
      <c r="W27" s="174">
        <f t="shared" si="11"/>
        <v>2951705.4399999995</v>
      </c>
      <c r="X27" s="174">
        <f t="shared" si="11"/>
        <v>3082794.4699999997</v>
      </c>
      <c r="Y27" s="8" t="b">
        <f>ROUND(+X27,2)=ROUND(L27,2)</f>
        <v>1</v>
      </c>
    </row>
    <row r="28" spans="1:28" s="4" customFormat="1" ht="15" customHeight="1">
      <c r="A28" s="16">
        <v>14</v>
      </c>
      <c r="C28" s="30"/>
      <c r="D28" s="16"/>
      <c r="E28" s="13"/>
      <c r="F28" s="13"/>
      <c r="G28" s="13"/>
      <c r="H28" s="13"/>
      <c r="I28" s="13"/>
      <c r="J28" s="13"/>
      <c r="K28" s="153"/>
      <c r="L28" s="13"/>
      <c r="M28" s="16"/>
      <c r="N28" s="16"/>
      <c r="O28" s="13"/>
      <c r="P28" s="13"/>
      <c r="Q28" s="13"/>
      <c r="R28" s="13"/>
      <c r="S28" s="13"/>
      <c r="T28" s="13"/>
      <c r="U28" s="13"/>
      <c r="V28" s="13"/>
      <c r="W28" s="13"/>
      <c r="X28" s="62"/>
    </row>
    <row r="29" spans="1:28" s="4" customFormat="1" ht="15" customHeight="1">
      <c r="A29" s="16">
        <v>15</v>
      </c>
      <c r="C29" s="30"/>
      <c r="D29" s="16"/>
      <c r="E29" s="13"/>
      <c r="F29" s="13"/>
      <c r="G29" s="13"/>
      <c r="H29" s="13"/>
      <c r="I29" s="13"/>
      <c r="J29" s="13"/>
      <c r="K29" s="153"/>
      <c r="L29" s="13"/>
      <c r="M29" s="16"/>
      <c r="N29" s="16"/>
      <c r="O29" s="20"/>
      <c r="P29" s="20"/>
      <c r="Q29" s="20"/>
      <c r="R29" s="20"/>
      <c r="S29" s="20"/>
      <c r="T29" s="20"/>
      <c r="U29" s="20"/>
      <c r="V29" s="20"/>
      <c r="W29" s="20"/>
      <c r="X29" s="62"/>
    </row>
    <row r="30" spans="1:28" s="2" customFormat="1" ht="15" customHeight="1">
      <c r="A30" s="16">
        <v>16</v>
      </c>
      <c r="B30" s="85" t="str">
        <f>CONCATENATE("Total"," ",+B15)</f>
        <v>Total Contribution and Donation Expense</v>
      </c>
      <c r="E30" s="178">
        <f t="shared" ref="E30:J30" si="15">+E21+E27</f>
        <v>3100929.4699999997</v>
      </c>
      <c r="F30" s="178">
        <f t="shared" si="15"/>
        <v>0</v>
      </c>
      <c r="G30" s="178">
        <f t="shared" si="15"/>
        <v>0</v>
      </c>
      <c r="H30" s="178">
        <f t="shared" si="15"/>
        <v>3100929.4699999997</v>
      </c>
      <c r="I30" s="178">
        <f t="shared" si="15"/>
        <v>0</v>
      </c>
      <c r="J30" s="178">
        <f t="shared" si="15"/>
        <v>3100929.4699999997</v>
      </c>
      <c r="K30" s="161"/>
      <c r="L30" s="178">
        <f>+L21+L27</f>
        <v>3100929.4699999997</v>
      </c>
      <c r="M30" s="85"/>
      <c r="N30" s="85"/>
      <c r="O30" s="178">
        <f t="shared" ref="O30:X30" si="16">+O21+O27</f>
        <v>28785.889999999996</v>
      </c>
      <c r="P30" s="178">
        <f t="shared" si="16"/>
        <v>0</v>
      </c>
      <c r="Q30" s="178">
        <f t="shared" si="16"/>
        <v>0</v>
      </c>
      <c r="R30" s="178">
        <f t="shared" si="16"/>
        <v>28785.889999999996</v>
      </c>
      <c r="S30" s="178">
        <f t="shared" si="16"/>
        <v>98281.909999999989</v>
      </c>
      <c r="T30" s="178">
        <f t="shared" si="16"/>
        <v>0</v>
      </c>
      <c r="U30" s="178">
        <f t="shared" si="16"/>
        <v>98281.909999999989</v>
      </c>
      <c r="V30" s="178">
        <f t="shared" si="16"/>
        <v>21499.789999999997</v>
      </c>
      <c r="W30" s="178">
        <f t="shared" si="16"/>
        <v>2952361.8799999994</v>
      </c>
      <c r="X30" s="178">
        <f t="shared" si="16"/>
        <v>3100929.4699999997</v>
      </c>
      <c r="Y30" s="178" t="b">
        <f>+X30=L30</f>
        <v>1</v>
      </c>
      <c r="Z30" s="85"/>
      <c r="AA30" s="85"/>
      <c r="AB30" s="85"/>
    </row>
    <row r="31" spans="1:28" s="2" customFormat="1">
      <c r="A31" s="16"/>
      <c r="K31" s="162"/>
      <c r="Y31" s="8"/>
    </row>
    <row r="32" spans="1:28" s="2" customFormat="1">
      <c r="K32" s="162"/>
      <c r="Y32" s="8"/>
    </row>
    <row r="33" spans="11:25" s="2" customFormat="1">
      <c r="K33" s="162"/>
      <c r="Y33" s="8"/>
    </row>
    <row r="34" spans="11:25" s="2" customFormat="1">
      <c r="K34" s="162"/>
    </row>
    <row r="35" spans="11:25" s="2" customFormat="1">
      <c r="K35" s="162"/>
    </row>
    <row r="36" spans="11:25" s="2" customFormat="1">
      <c r="K36" s="162"/>
    </row>
    <row r="37" spans="11:25" s="2" customFormat="1">
      <c r="K37" s="162"/>
    </row>
    <row r="38" spans="11:25" s="2" customFormat="1">
      <c r="K38" s="162"/>
    </row>
    <row r="39" spans="11:25" s="2" customFormat="1">
      <c r="K39" s="162"/>
    </row>
    <row r="40" spans="11:25" s="2" customFormat="1">
      <c r="K40" s="162"/>
    </row>
    <row r="41" spans="11:25" s="2" customFormat="1">
      <c r="K41" s="162"/>
    </row>
    <row r="42" spans="11:25" s="2" customFormat="1">
      <c r="K42" s="162"/>
    </row>
    <row r="43" spans="11:25" s="2" customFormat="1">
      <c r="K43" s="162"/>
    </row>
    <row r="44" spans="11:25" s="2" customFormat="1">
      <c r="K44" s="162"/>
    </row>
    <row r="45" spans="11:25" s="2" customFormat="1">
      <c r="K45" s="162"/>
    </row>
    <row r="46" spans="11:25" s="2" customFormat="1">
      <c r="K46" s="162"/>
    </row>
    <row r="47" spans="11:25" s="2" customFormat="1">
      <c r="K47" s="162"/>
    </row>
    <row r="48" spans="11:25" s="2" customFormat="1">
      <c r="K48" s="162"/>
    </row>
    <row r="49" spans="11:11" s="2" customFormat="1">
      <c r="K49" s="162"/>
    </row>
    <row r="50" spans="11:11" s="2" customFormat="1">
      <c r="K50" s="162"/>
    </row>
    <row r="51" spans="11:11" s="2" customFormat="1">
      <c r="K51" s="162"/>
    </row>
    <row r="52" spans="11:11" s="2" customFormat="1">
      <c r="K52" s="162"/>
    </row>
    <row r="53" spans="11:11" s="2" customFormat="1"/>
    <row r="54" spans="11:11" s="2" customFormat="1"/>
    <row r="55" spans="11:11" s="2" customFormat="1"/>
    <row r="56" spans="11:11" s="2" customFormat="1"/>
    <row r="57" spans="11:11" s="2" customFormat="1"/>
    <row r="58" spans="11:11" s="2" customFormat="1"/>
    <row r="59" spans="11:11" s="2" customFormat="1"/>
    <row r="60" spans="11:11" s="2" customFormat="1"/>
    <row r="61" spans="11:11" s="2" customFormat="1"/>
    <row r="62" spans="11:11" s="2" customFormat="1"/>
    <row r="63" spans="11:11" s="2" customFormat="1"/>
    <row r="64" spans="11:11" s="2" customFormat="1"/>
    <row r="65" s="2" customFormat="1"/>
    <row r="66" s="2" customFormat="1"/>
    <row r="67" s="2" customFormat="1"/>
    <row r="68" s="2" customFormat="1"/>
    <row r="69" s="2" customFormat="1"/>
    <row r="70" s="2" customFormat="1"/>
    <row r="71" s="2" customFormat="1"/>
    <row r="72" s="2" customFormat="1"/>
    <row r="73" s="2" customFormat="1"/>
    <row r="74" s="2" customFormat="1"/>
    <row r="75" s="2" customFormat="1"/>
    <row r="76" s="2" customFormat="1"/>
    <row r="77" s="2" customFormat="1"/>
    <row r="78" s="2" customFormat="1"/>
    <row r="79" s="2" customFormat="1"/>
    <row r="80" s="2" customFormat="1"/>
    <row r="81" s="2" customFormat="1"/>
    <row r="82" s="2" customFormat="1"/>
    <row r="83" s="2" customFormat="1"/>
    <row r="84" s="2" customFormat="1"/>
    <row r="85" s="2" customFormat="1"/>
    <row r="86" s="2" customFormat="1"/>
    <row r="87" s="2" customFormat="1"/>
    <row r="88" s="2" customFormat="1"/>
    <row r="89" s="2" customFormat="1"/>
    <row r="90" s="2" customFormat="1"/>
    <row r="91" s="2" customFormat="1"/>
    <row r="92" s="2" customFormat="1"/>
    <row r="93" s="2" customFormat="1"/>
    <row r="94" s="2" customFormat="1"/>
    <row r="95" s="2" customFormat="1"/>
    <row r="96" s="2" customFormat="1"/>
    <row r="97" s="2" customFormat="1"/>
    <row r="98" s="2" customFormat="1"/>
    <row r="99" s="2" customFormat="1"/>
    <row r="100" s="2" customFormat="1"/>
    <row r="101" s="2" customFormat="1"/>
    <row r="102" s="2" customFormat="1"/>
    <row r="103" s="2" customFormat="1"/>
    <row r="104" s="2" customFormat="1"/>
    <row r="105" s="2" customFormat="1"/>
    <row r="106" s="2" customFormat="1"/>
    <row r="107" s="2" customFormat="1"/>
    <row r="108" s="2" customFormat="1"/>
    <row r="109" s="2" customFormat="1"/>
    <row r="110" s="2" customFormat="1"/>
    <row r="111" s="2" customFormat="1"/>
    <row r="112" s="2" customFormat="1"/>
    <row r="113" s="2" customFormat="1"/>
    <row r="114" s="2" customFormat="1"/>
    <row r="115" s="2" customFormat="1"/>
    <row r="116" s="2" customFormat="1"/>
    <row r="117" s="2" customFormat="1"/>
    <row r="118" s="2" customFormat="1"/>
    <row r="119" s="2" customFormat="1"/>
    <row r="120" s="2" customFormat="1"/>
    <row r="121" s="2" customFormat="1"/>
    <row r="122" s="2" customFormat="1"/>
    <row r="123" s="2" customFormat="1"/>
    <row r="124" s="2" customFormat="1"/>
    <row r="125" s="2" customFormat="1"/>
    <row r="126" s="2" customFormat="1"/>
    <row r="127" s="2" customFormat="1"/>
    <row r="128" s="2" customFormat="1"/>
    <row r="129" s="2" customFormat="1"/>
    <row r="130" s="2" customFormat="1"/>
    <row r="131" s="2" customFormat="1"/>
    <row r="132" s="2" customFormat="1"/>
    <row r="133" s="2" customFormat="1"/>
    <row r="134" s="2" customFormat="1"/>
    <row r="135" s="2" customFormat="1"/>
    <row r="136" s="2" customFormat="1"/>
    <row r="137" s="2" customFormat="1"/>
    <row r="138" s="2" customFormat="1"/>
    <row r="139" s="2" customFormat="1"/>
    <row r="140" s="2" customFormat="1"/>
    <row r="141" s="2" customFormat="1"/>
    <row r="142" s="2" customFormat="1"/>
    <row r="143" s="2" customFormat="1"/>
    <row r="144" s="2" customFormat="1"/>
    <row r="145" s="2" customFormat="1"/>
    <row r="146" s="2" customFormat="1"/>
    <row r="147" s="2" customFormat="1"/>
    <row r="148" s="2" customFormat="1"/>
    <row r="149" s="2" customFormat="1"/>
    <row r="150" s="2" customFormat="1"/>
    <row r="151" s="2" customFormat="1"/>
    <row r="152" s="2" customFormat="1"/>
    <row r="153" s="2" customFormat="1"/>
    <row r="154" s="2" customFormat="1"/>
    <row r="155" s="2" customFormat="1"/>
    <row r="156" s="2" customFormat="1"/>
    <row r="157" s="2" customFormat="1"/>
    <row r="158" s="2" customFormat="1"/>
    <row r="159" s="2" customFormat="1"/>
    <row r="160" s="2" customFormat="1"/>
    <row r="161" s="2" customFormat="1"/>
    <row r="162" s="2" customFormat="1"/>
    <row r="163" s="2" customFormat="1"/>
    <row r="164" s="2" customFormat="1"/>
    <row r="165" s="2" customFormat="1"/>
    <row r="166" s="2" customFormat="1"/>
    <row r="167" s="2" customFormat="1"/>
    <row r="168" s="2" customFormat="1"/>
    <row r="169" s="2" customFormat="1"/>
    <row r="170" s="2" customFormat="1"/>
    <row r="171" s="2" customFormat="1"/>
    <row r="172" s="2" customFormat="1"/>
    <row r="173" s="2" customFormat="1"/>
    <row r="174" s="2" customFormat="1"/>
    <row r="175" s="2" customFormat="1"/>
    <row r="176" s="2" customFormat="1"/>
    <row r="177" s="2" customFormat="1"/>
    <row r="178" s="2" customFormat="1"/>
    <row r="179" s="2" customFormat="1"/>
    <row r="180" s="2" customFormat="1"/>
    <row r="181" s="2" customFormat="1"/>
    <row r="182" s="2" customFormat="1"/>
    <row r="183" s="2" customFormat="1"/>
    <row r="184" s="2" customFormat="1"/>
    <row r="185" s="2" customFormat="1"/>
    <row r="186" s="2" customFormat="1"/>
    <row r="187" s="2" customFormat="1"/>
    <row r="188" s="2" customFormat="1"/>
    <row r="189" s="2" customFormat="1"/>
    <row r="190" s="2" customFormat="1"/>
    <row r="191" s="2" customFormat="1"/>
    <row r="192" s="2" customFormat="1"/>
    <row r="193" s="2" customFormat="1"/>
    <row r="194" s="2" customFormat="1"/>
    <row r="195" s="2" customFormat="1"/>
    <row r="196" s="2" customFormat="1"/>
    <row r="197" s="2" customFormat="1"/>
    <row r="198" s="2" customFormat="1"/>
    <row r="199" s="2" customFormat="1"/>
    <row r="200" s="2" customFormat="1"/>
    <row r="201" s="2" customFormat="1"/>
    <row r="202" s="2" customFormat="1"/>
    <row r="203" s="2" customFormat="1"/>
    <row r="204" s="2" customFormat="1"/>
    <row r="205" s="2" customFormat="1"/>
    <row r="206" s="2" customFormat="1"/>
    <row r="207" s="2" customFormat="1"/>
    <row r="208" s="2" customFormat="1"/>
    <row r="209" s="2" customFormat="1"/>
    <row r="210" s="2" customFormat="1"/>
    <row r="211" s="2" customFormat="1"/>
    <row r="212" s="2" customFormat="1"/>
    <row r="213" s="2" customFormat="1"/>
    <row r="214" s="2" customFormat="1"/>
    <row r="215" s="2" customFormat="1"/>
    <row r="216" s="2" customFormat="1"/>
    <row r="217" s="2" customFormat="1"/>
    <row r="218" s="2" customFormat="1"/>
    <row r="219" s="2" customFormat="1"/>
    <row r="220" s="2" customFormat="1"/>
    <row r="221" s="2" customFormat="1"/>
    <row r="222" s="2" customFormat="1"/>
    <row r="223" s="2" customFormat="1"/>
    <row r="224" s="2" customFormat="1"/>
    <row r="225" s="2" customFormat="1"/>
    <row r="226" s="2" customFormat="1"/>
    <row r="227" s="2" customFormat="1"/>
    <row r="228" s="2" customFormat="1"/>
    <row r="229" s="2" customFormat="1"/>
    <row r="230" s="2" customFormat="1"/>
    <row r="231" s="2" customFormat="1"/>
    <row r="232" s="2" customFormat="1"/>
    <row r="233" s="2" customFormat="1"/>
    <row r="234" s="2" customFormat="1"/>
    <row r="235" s="2" customFormat="1"/>
    <row r="236" s="2" customFormat="1"/>
    <row r="237" s="2" customFormat="1"/>
    <row r="238" s="2" customFormat="1"/>
    <row r="239" s="2" customFormat="1"/>
    <row r="240" s="2" customFormat="1"/>
    <row r="241" s="2" customFormat="1"/>
    <row r="242" s="2" customFormat="1"/>
    <row r="243" s="2" customFormat="1"/>
    <row r="244" s="2" customFormat="1"/>
    <row r="245" s="2" customFormat="1"/>
    <row r="246" s="2" customFormat="1"/>
    <row r="247" s="2" customFormat="1"/>
    <row r="248" s="2" customFormat="1"/>
    <row r="249" s="2" customFormat="1"/>
    <row r="250" s="2" customFormat="1"/>
    <row r="251" s="2" customFormat="1"/>
    <row r="252" s="2" customFormat="1"/>
    <row r="253" s="2" customFormat="1"/>
    <row r="254" s="2" customFormat="1"/>
    <row r="255" s="2" customFormat="1"/>
    <row r="256" s="2" customFormat="1"/>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row r="287" s="2" customFormat="1"/>
    <row r="288" s="2" customFormat="1"/>
    <row r="289" s="2" customFormat="1"/>
    <row r="290" s="2" customFormat="1"/>
    <row r="291" s="2" customFormat="1"/>
    <row r="292" s="2" customFormat="1"/>
    <row r="293" s="2" customFormat="1"/>
    <row r="294" s="2" customFormat="1"/>
    <row r="295" s="2" customFormat="1"/>
    <row r="296" s="2" customFormat="1"/>
    <row r="297" s="2" customFormat="1"/>
    <row r="298" s="2" customFormat="1"/>
    <row r="299" s="2" customFormat="1"/>
    <row r="300" s="2" customFormat="1"/>
    <row r="301" s="2" customFormat="1"/>
    <row r="302" s="2" customFormat="1"/>
    <row r="303" s="2" customFormat="1"/>
    <row r="304" s="2" customFormat="1"/>
    <row r="305" s="2" customFormat="1"/>
    <row r="306" s="2" customFormat="1"/>
    <row r="307" s="2" customFormat="1"/>
    <row r="308" s="2" customFormat="1"/>
    <row r="309" s="2" customFormat="1"/>
    <row r="310" s="2" customFormat="1"/>
    <row r="311" s="2" customFormat="1"/>
    <row r="312" s="2" customFormat="1"/>
    <row r="313" s="2" customFormat="1"/>
    <row r="314" s="2" customFormat="1"/>
    <row r="315" s="2" customFormat="1"/>
    <row r="316" s="2" customFormat="1"/>
    <row r="317" s="2" customFormat="1"/>
    <row r="318" s="2" customFormat="1"/>
    <row r="319" s="2" customFormat="1"/>
    <row r="320" s="2" customFormat="1"/>
    <row r="321" s="2" customFormat="1"/>
    <row r="322" s="2" customFormat="1"/>
    <row r="323" s="2" customFormat="1"/>
    <row r="324" s="2" customFormat="1"/>
    <row r="325" s="2" customFormat="1"/>
    <row r="326" s="2" customFormat="1"/>
    <row r="327" s="2" customFormat="1"/>
    <row r="328" s="2" customFormat="1"/>
    <row r="329" s="2" customFormat="1"/>
    <row r="330" s="2" customFormat="1"/>
    <row r="331" s="2" customFormat="1"/>
    <row r="332" s="2" customFormat="1"/>
    <row r="333" s="2" customFormat="1"/>
    <row r="334" s="2" customFormat="1"/>
    <row r="335" s="2" customFormat="1"/>
    <row r="336" s="2" customFormat="1"/>
    <row r="337" s="2" customFormat="1"/>
    <row r="338" s="2" customFormat="1"/>
    <row r="339" s="2" customFormat="1"/>
    <row r="340" s="2" customFormat="1"/>
    <row r="341" s="2" customFormat="1"/>
    <row r="342" s="2" customFormat="1"/>
    <row r="343" s="2" customFormat="1"/>
    <row r="344" s="2" customFormat="1"/>
    <row r="345" s="2" customFormat="1"/>
    <row r="346" s="2" customFormat="1"/>
    <row r="347" s="2" customFormat="1"/>
    <row r="348" s="2" customFormat="1"/>
    <row r="349" s="2" customFormat="1"/>
    <row r="350" s="2" customFormat="1"/>
    <row r="351" s="2" customFormat="1"/>
    <row r="352" s="2" customFormat="1"/>
    <row r="353" s="2" customFormat="1"/>
    <row r="354" s="2" customFormat="1"/>
    <row r="355" s="2" customFormat="1"/>
    <row r="356" s="2" customFormat="1"/>
    <row r="357" s="2" customFormat="1"/>
    <row r="358" s="2" customFormat="1"/>
    <row r="359" s="2" customFormat="1"/>
    <row r="360" s="2" customFormat="1"/>
    <row r="361" s="2" customFormat="1"/>
    <row r="362" s="2" customFormat="1"/>
    <row r="363" s="2" customFormat="1"/>
    <row r="364" s="2" customFormat="1"/>
    <row r="365" s="2" customFormat="1"/>
    <row r="366" s="2" customFormat="1"/>
    <row r="367" s="2" customFormat="1"/>
    <row r="368" s="2" customFormat="1"/>
    <row r="369" s="2" customFormat="1"/>
    <row r="370" s="2" customFormat="1"/>
    <row r="371" s="2" customFormat="1"/>
    <row r="372" s="2" customFormat="1"/>
    <row r="373" s="2" customFormat="1"/>
    <row r="374" s="2" customFormat="1"/>
    <row r="375" s="2" customFormat="1"/>
    <row r="376" s="2" customFormat="1"/>
    <row r="377" s="2" customFormat="1"/>
    <row r="378" s="2" customFormat="1"/>
    <row r="379" s="2" customFormat="1"/>
    <row r="380" s="2" customFormat="1"/>
    <row r="381" s="2" customFormat="1"/>
    <row r="382" s="2" customFormat="1"/>
    <row r="383" s="2" customFormat="1"/>
    <row r="384" s="2" customFormat="1"/>
    <row r="385" s="2" customFormat="1"/>
    <row r="386" s="2" customFormat="1"/>
    <row r="387" s="2" customFormat="1"/>
    <row r="388" s="2" customFormat="1"/>
    <row r="389" s="2" customFormat="1"/>
    <row r="390" s="2" customFormat="1"/>
    <row r="391" s="2" customFormat="1"/>
    <row r="392" s="2" customFormat="1"/>
    <row r="393" s="2" customFormat="1"/>
    <row r="394" s="2" customFormat="1"/>
    <row r="395" s="2" customFormat="1"/>
    <row r="396" s="2" customFormat="1"/>
    <row r="397" s="2" customFormat="1"/>
    <row r="398" s="2" customFormat="1"/>
    <row r="399" s="2" customFormat="1"/>
    <row r="400" s="2" customFormat="1"/>
    <row r="401" s="2" customFormat="1"/>
    <row r="402" s="2" customFormat="1"/>
    <row r="403" s="2" customFormat="1"/>
    <row r="404" s="2" customFormat="1"/>
    <row r="405" s="2" customFormat="1"/>
    <row r="406" s="2" customFormat="1"/>
    <row r="407" s="2" customFormat="1"/>
    <row r="408" s="2" customFormat="1"/>
    <row r="409" s="2" customFormat="1"/>
    <row r="410" s="2" customFormat="1"/>
    <row r="411" s="2" customFormat="1"/>
    <row r="412" s="2" customFormat="1"/>
    <row r="413" s="2" customFormat="1"/>
    <row r="414" s="2" customFormat="1"/>
    <row r="415" s="2" customFormat="1"/>
    <row r="416" s="2" customFormat="1"/>
    <row r="417" s="2" customFormat="1"/>
    <row r="418" s="2" customFormat="1"/>
    <row r="419" s="2" customFormat="1"/>
    <row r="420" s="2" customFormat="1"/>
    <row r="421" s="2" customFormat="1"/>
    <row r="422" s="2" customFormat="1"/>
    <row r="423" s="2" customFormat="1"/>
    <row r="424" s="2" customFormat="1"/>
    <row r="425" s="2" customFormat="1"/>
    <row r="426" s="2" customFormat="1"/>
    <row r="427" s="2" customFormat="1"/>
    <row r="428" s="2" customFormat="1"/>
    <row r="429" s="2" customFormat="1"/>
    <row r="430" s="2" customFormat="1"/>
    <row r="431" s="2" customFormat="1"/>
    <row r="432" s="2" customFormat="1"/>
    <row r="433" s="2" customFormat="1"/>
    <row r="434" s="2" customFormat="1"/>
    <row r="435" s="2" customFormat="1"/>
    <row r="436" s="2" customFormat="1"/>
    <row r="437" s="2" customFormat="1"/>
    <row r="438" s="2" customFormat="1"/>
    <row r="439" s="2" customFormat="1"/>
    <row r="440" s="2" customFormat="1"/>
    <row r="441" s="2" customFormat="1"/>
    <row r="442" s="2" customFormat="1"/>
    <row r="443" s="2" customFormat="1"/>
    <row r="444" s="2" customFormat="1"/>
    <row r="445" s="2" customFormat="1"/>
    <row r="446" s="2" customFormat="1"/>
    <row r="447" s="2" customFormat="1"/>
    <row r="448" s="2" customFormat="1"/>
    <row r="449" s="2" customFormat="1"/>
    <row r="450" s="2" customFormat="1"/>
    <row r="451" s="2" customFormat="1"/>
    <row r="452" s="2" customFormat="1"/>
    <row r="453" s="2" customFormat="1"/>
    <row r="454" s="2" customFormat="1"/>
    <row r="455" s="2" customFormat="1"/>
    <row r="456" s="2" customFormat="1"/>
    <row r="457" s="2" customFormat="1"/>
    <row r="458" s="2" customFormat="1"/>
    <row r="459" s="2" customFormat="1"/>
    <row r="460" s="2" customFormat="1"/>
    <row r="461" s="2" customFormat="1"/>
    <row r="462" s="2" customFormat="1"/>
    <row r="463" s="2" customFormat="1"/>
    <row r="464" s="2" customFormat="1"/>
    <row r="465" s="2" customFormat="1"/>
    <row r="466" s="2" customFormat="1"/>
    <row r="467" s="2" customFormat="1"/>
    <row r="468" s="2" customFormat="1"/>
    <row r="469" s="2" customFormat="1"/>
    <row r="470" s="2" customFormat="1"/>
    <row r="471" s="2" customFormat="1"/>
    <row r="472" s="2" customFormat="1"/>
    <row r="473" s="2" customFormat="1"/>
    <row r="474" s="2" customFormat="1"/>
    <row r="475" s="2" customFormat="1"/>
    <row r="476" s="2" customFormat="1"/>
    <row r="477" s="2" customFormat="1"/>
    <row r="478" s="2" customFormat="1"/>
    <row r="479" s="2" customFormat="1"/>
    <row r="480" s="2" customFormat="1"/>
    <row r="481" s="2" customFormat="1"/>
    <row r="482" s="2" customFormat="1"/>
    <row r="483" s="2" customFormat="1"/>
    <row r="484" s="2" customFormat="1"/>
    <row r="485" s="2" customFormat="1"/>
    <row r="486" s="2" customFormat="1"/>
    <row r="487" s="2" customFormat="1"/>
    <row r="488" s="2" customFormat="1"/>
    <row r="489" s="2" customFormat="1"/>
    <row r="490" s="2" customFormat="1"/>
    <row r="491" s="2" customFormat="1"/>
    <row r="492" s="2" customFormat="1"/>
    <row r="493" s="2" customFormat="1"/>
    <row r="494" s="2" customFormat="1"/>
    <row r="495" s="2" customFormat="1"/>
    <row r="496" s="2" customFormat="1"/>
    <row r="497" s="2" customFormat="1"/>
    <row r="498" s="2" customFormat="1"/>
    <row r="499" s="2" customFormat="1"/>
    <row r="500" s="2" customFormat="1"/>
    <row r="501" s="2" customFormat="1"/>
    <row r="502" s="2" customFormat="1"/>
    <row r="503" s="2" customFormat="1"/>
    <row r="504" s="2" customFormat="1"/>
    <row r="505" s="2" customFormat="1"/>
    <row r="506" s="2" customFormat="1"/>
    <row r="507" s="2" customFormat="1"/>
    <row r="508" s="2" customFormat="1"/>
    <row r="509" s="2" customFormat="1"/>
  </sheetData>
  <phoneticPr fontId="5" type="noConversion"/>
  <printOptions horizontalCentered="1"/>
  <pageMargins left="0.5" right="0.5" top="3" bottom="0.5" header="1.5" footer="0.5"/>
  <pageSetup scale="65" pageOrder="overThenDown" orientation="landscape"/>
  <headerFooter alignWithMargins="0">
    <oddHeader>&amp;R&amp;"Arial,Bold"Schedule &amp;A
Page &amp;P of &amp;N&amp;C&amp;B
2025 RATE CASE
ONCOR ELECTRIC DELIVERY COMPANY LLC
II-D-2.5  SUMMARY OF CONTRIBUTION &amp;&amp; DONATION EXPENSE
TEST YEAR ENDING DECEMBER 31, 2024
SPONSOR: R. PRACHYL</oddHeader>
  </headerFooter>
  <colBreaks count="1" manualBreakCount="1">
    <brk id="11" min="14" max="83"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3">
    <tabColor rgb="FFFF0000"/>
  </sheetPr>
  <dimension ref="A1:Y30"/>
  <sheetViews>
    <sheetView zoomScaleNormal="100" workbookViewId="0">
      <pane xSplit="3" ySplit="16" topLeftCell="D17" activePane="bottomRight" state="frozen"/>
      <selection activeCell="N38" sqref="N38"/>
      <selection pane="topRight" activeCell="N38" sqref="N38"/>
      <selection pane="bottomLeft" activeCell="N38" sqref="N38"/>
      <selection pane="bottomRight" activeCell="G27" sqref="G27"/>
    </sheetView>
  </sheetViews>
  <sheetFormatPr defaultRowHeight="12.75"/>
  <cols>
    <col min="1" max="1" width="5.7109375" customWidth="1"/>
    <col min="2" max="2" width="8.7109375" customWidth="1"/>
    <col min="3" max="3" width="45.140625" bestFit="1" customWidth="1"/>
    <col min="4" max="4" width="10.28515625" bestFit="1" customWidth="1"/>
    <col min="5" max="5" width="15.5703125" bestFit="1" customWidth="1"/>
    <col min="6" max="6" width="12.42578125" bestFit="1" customWidth="1"/>
    <col min="7" max="7" width="17.28515625" bestFit="1" customWidth="1"/>
    <col min="8" max="8" width="15.5703125" bestFit="1" customWidth="1"/>
    <col min="9" max="9" width="15.42578125" bestFit="1" customWidth="1"/>
    <col min="10" max="10" width="15.5703125" bestFit="1" customWidth="1"/>
    <col min="11" max="11" width="10.28515625" customWidth="1"/>
    <col min="12" max="12" width="12.42578125" bestFit="1" customWidth="1"/>
    <col min="13" max="13" width="3.28515625" bestFit="1" customWidth="1"/>
    <col min="14" max="14" width="6.7109375" bestFit="1" customWidth="1"/>
    <col min="15" max="15" width="11.28515625" bestFit="1" customWidth="1"/>
    <col min="16" max="17" width="9.140625" bestFit="1" customWidth="1"/>
    <col min="18" max="18" width="11.28515625" bestFit="1" customWidth="1"/>
    <col min="19" max="19" width="11.42578125" bestFit="1" customWidth="1"/>
    <col min="20" max="20" width="9.140625" bestFit="1" customWidth="1"/>
    <col min="21" max="21" width="13" customWidth="1"/>
    <col min="22" max="22" width="11.28515625" bestFit="1" customWidth="1"/>
    <col min="23" max="24" width="12.85546875" bestFit="1" customWidth="1"/>
    <col min="25" max="25" width="9.28515625"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Sponsors'!$A$61,'[3]Schedule Sponsors'!$B$61)</f>
        <v>II-D-2.6  SUMMARY OF MEMBERSHIP DUES EXPENSE</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Sponsors'!$D$61)</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c r="A15" s="16">
        <v>1</v>
      </c>
      <c r="B15" s="8" t="s">
        <v>130</v>
      </c>
      <c r="D15" s="18" t="s">
        <v>10</v>
      </c>
      <c r="E15" s="19"/>
      <c r="F15" s="19"/>
      <c r="G15" s="19"/>
      <c r="H15" s="19"/>
      <c r="I15" s="19"/>
      <c r="J15" s="19"/>
      <c r="K15" s="19"/>
      <c r="L15" s="19"/>
      <c r="M15" s="18"/>
      <c r="N15" s="25"/>
      <c r="O15" s="19"/>
      <c r="P15" s="19"/>
      <c r="Q15" s="19"/>
      <c r="R15" s="19"/>
      <c r="S15" s="19"/>
      <c r="T15" s="19"/>
      <c r="U15" s="19"/>
      <c r="V15" s="19"/>
      <c r="W15" s="19"/>
    </row>
    <row r="16" spans="1:24" s="8" customFormat="1">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c r="A17" s="16">
        <v>3</v>
      </c>
      <c r="B17" s="4"/>
      <c r="C17" s="30" t="s">
        <v>133</v>
      </c>
      <c r="D17" s="18"/>
      <c r="E17" s="150">
        <f>+'II-D-2.6a'!E32</f>
        <v>1034019.4999999999</v>
      </c>
      <c r="F17" s="150">
        <f>+'II-D-2.6a'!F32</f>
        <v>0</v>
      </c>
      <c r="G17" s="150">
        <f>+'II-D-2.6a'!G32</f>
        <v>0</v>
      </c>
      <c r="H17" s="150">
        <f>+E17+F17+G17</f>
        <v>1034019.4999999999</v>
      </c>
      <c r="I17" s="150">
        <f>+'II-D-2.6a'!I32</f>
        <v>0</v>
      </c>
      <c r="J17" s="150">
        <f>+H17+I17</f>
        <v>1034019.4999999999</v>
      </c>
      <c r="K17" s="153">
        <v>1</v>
      </c>
      <c r="L17" s="150">
        <f>+J17*K17</f>
        <v>1034019.4999999999</v>
      </c>
      <c r="M17" s="150"/>
      <c r="N17" s="150"/>
      <c r="O17" s="150">
        <f>+'II-D-2.6a'!O32</f>
        <v>231628.65000000002</v>
      </c>
      <c r="P17" s="150">
        <f>+'II-D-2.6a'!P32</f>
        <v>0</v>
      </c>
      <c r="Q17" s="150">
        <f>+'II-D-2.6a'!Q32</f>
        <v>0</v>
      </c>
      <c r="R17" s="150">
        <f>+'II-D-2.6a'!R32</f>
        <v>231628.65000000002</v>
      </c>
      <c r="S17" s="150">
        <f>+'II-D-2.6a'!S32</f>
        <v>600214.76</v>
      </c>
      <c r="T17" s="150">
        <f>+'II-D-2.6a'!T32</f>
        <v>0</v>
      </c>
      <c r="U17" s="150">
        <f>+'II-D-2.6a'!U32</f>
        <v>600214.76</v>
      </c>
      <c r="V17" s="150">
        <f>+'II-D-2.6a'!V32</f>
        <v>163962.88</v>
      </c>
      <c r="W17" s="150">
        <f>+'II-D-2.6a'!W32</f>
        <v>38213.21</v>
      </c>
      <c r="X17" s="150">
        <f>+R17+U17+V17+W17</f>
        <v>1034019.5</v>
      </c>
      <c r="Y17" s="8" t="b">
        <f>ROUND(+X17,2)=ROUND(L17,2)</f>
        <v>1</v>
      </c>
    </row>
    <row r="18" spans="1:25" s="4" customFormat="1">
      <c r="A18" s="16">
        <v>4</v>
      </c>
      <c r="C18" s="4" t="s">
        <v>134</v>
      </c>
      <c r="D18" s="16"/>
      <c r="E18" s="13">
        <f>+'II-D-2.6b'!E458</f>
        <v>1628958.8599999999</v>
      </c>
      <c r="F18" s="13">
        <f>+'II-D-2.6b'!F458</f>
        <v>0</v>
      </c>
      <c r="G18" s="13">
        <f>+'II-D-2.6b'!G458</f>
        <v>0</v>
      </c>
      <c r="H18" s="13">
        <f>+E18+F18+G18</f>
        <v>1628958.8599999999</v>
      </c>
      <c r="I18" s="13">
        <f>+'II-D-2.6b'!I441</f>
        <v>0</v>
      </c>
      <c r="J18" s="13">
        <f>+H18+I18</f>
        <v>1628958.8599999999</v>
      </c>
      <c r="K18" s="153">
        <v>1</v>
      </c>
      <c r="L18" s="321">
        <f>+J18*K18</f>
        <v>1628958.8599999999</v>
      </c>
      <c r="M18" s="323"/>
      <c r="N18" s="323"/>
      <c r="O18" s="13">
        <f>+'II-D-2.6b'!O458</f>
        <v>118251.32215177079</v>
      </c>
      <c r="P18" s="13">
        <f>+'II-D-2.6b'!P458</f>
        <v>0</v>
      </c>
      <c r="Q18" s="13">
        <f>+'II-D-2.6b'!Q458</f>
        <v>0</v>
      </c>
      <c r="R18" s="13">
        <f>+'II-D-2.6b'!R458</f>
        <v>118251.32215177079</v>
      </c>
      <c r="S18" s="13">
        <f>+'II-D-2.6b'!S458</f>
        <v>385292.62585903582</v>
      </c>
      <c r="T18" s="13">
        <f>+'II-D-2.6b'!T458</f>
        <v>0</v>
      </c>
      <c r="U18" s="13">
        <f>+'II-D-2.6b'!U458</f>
        <v>385292.62585903582</v>
      </c>
      <c r="V18" s="13">
        <f>+'II-D-2.6b'!V458</f>
        <v>123590.71835523844</v>
      </c>
      <c r="W18" s="13">
        <f>+'II-D-2.6b'!W458</f>
        <v>956490.78483395476</v>
      </c>
      <c r="X18" s="13">
        <f t="shared" ref="X18:X19" si="0">+R18+U18+V18+W18</f>
        <v>1583625.4511999998</v>
      </c>
      <c r="Y18" s="8" t="b">
        <f>ROUND(+X18,2)=ROUND(L18,2)</f>
        <v>0</v>
      </c>
    </row>
    <row r="19" spans="1:25" s="4" customFormat="1">
      <c r="A19" s="16">
        <v>5</v>
      </c>
      <c r="C19" s="60" t="s">
        <v>135</v>
      </c>
      <c r="D19" s="16"/>
      <c r="E19" s="13">
        <f>+'II-D-2.6c'!E76</f>
        <v>882426.12999999989</v>
      </c>
      <c r="F19" s="13">
        <f>+'II-D-2.6c'!F76</f>
        <v>0</v>
      </c>
      <c r="G19" s="13">
        <f>+'II-D-2.6c'!G76</f>
        <v>0</v>
      </c>
      <c r="H19" s="13">
        <f>+E19+F19+G19</f>
        <v>882426.12999999989</v>
      </c>
      <c r="I19" s="13">
        <f>+'II-D-2.6c'!I76</f>
        <v>0</v>
      </c>
      <c r="J19" s="13">
        <f>+H19+I19</f>
        <v>882426.12999999989</v>
      </c>
      <c r="K19" s="153">
        <v>1</v>
      </c>
      <c r="L19" s="321">
        <f>+J19*K19</f>
        <v>882426.12999999989</v>
      </c>
      <c r="M19" s="323"/>
      <c r="N19" s="323"/>
      <c r="O19" s="13">
        <f>+'II-D-2.6c'!O76</f>
        <v>429779.31</v>
      </c>
      <c r="P19" s="13">
        <f>+'II-D-2.6c'!P76</f>
        <v>0</v>
      </c>
      <c r="Q19" s="13">
        <f>+'II-D-2.6c'!Q76</f>
        <v>0</v>
      </c>
      <c r="R19" s="13">
        <f>+'II-D-2.6c'!R76</f>
        <v>429779.31</v>
      </c>
      <c r="S19" s="13">
        <f>+'II-D-2.6c'!S76</f>
        <v>340177.52999999991</v>
      </c>
      <c r="T19" s="13">
        <f>+'II-D-2.6c'!T76</f>
        <v>0</v>
      </c>
      <c r="U19" s="13">
        <f>+'II-D-2.6c'!U76</f>
        <v>340177.52999999991</v>
      </c>
      <c r="V19" s="13">
        <f>+'II-D-2.6c'!V76</f>
        <v>94216.84</v>
      </c>
      <c r="W19" s="13">
        <f>+'II-D-2.6c'!W76</f>
        <v>18252.45</v>
      </c>
      <c r="X19" s="13">
        <f t="shared" si="0"/>
        <v>882426.12999999977</v>
      </c>
      <c r="Y19" s="8" t="b">
        <f>ROUND(+X19,2)=ROUND(L19,2)</f>
        <v>1</v>
      </c>
    </row>
    <row r="20" spans="1:25">
      <c r="A20" s="16">
        <v>6</v>
      </c>
      <c r="E20" s="115"/>
      <c r="F20" s="115"/>
      <c r="G20" s="115"/>
      <c r="H20" s="115"/>
      <c r="I20" s="115"/>
      <c r="J20" s="115"/>
      <c r="L20" s="115"/>
      <c r="O20" s="115"/>
      <c r="P20" s="115"/>
      <c r="Q20" s="115"/>
      <c r="R20" s="115"/>
      <c r="S20" s="115"/>
      <c r="T20" s="115"/>
      <c r="U20" s="115"/>
      <c r="V20" s="115"/>
      <c r="W20" s="115"/>
      <c r="X20" s="115"/>
    </row>
    <row r="21" spans="1:25">
      <c r="A21" s="16">
        <v>7</v>
      </c>
      <c r="B21" s="5" t="str">
        <f>CONCATENATE("Total"," ",+B15)</f>
        <v>Total Membership Dues Expense</v>
      </c>
      <c r="E21" s="141">
        <f t="shared" ref="E21:J21" si="1">SUM(E17:E19)</f>
        <v>3545404.4899999998</v>
      </c>
      <c r="F21" s="141">
        <f t="shared" si="1"/>
        <v>0</v>
      </c>
      <c r="G21" s="141">
        <f t="shared" si="1"/>
        <v>0</v>
      </c>
      <c r="H21" s="141">
        <f t="shared" si="1"/>
        <v>3545404.4899999998</v>
      </c>
      <c r="I21" s="141">
        <f t="shared" si="1"/>
        <v>0</v>
      </c>
      <c r="J21" s="141">
        <f t="shared" si="1"/>
        <v>3545404.4899999998</v>
      </c>
      <c r="K21" s="141"/>
      <c r="L21" s="141">
        <f>SUM(L17:L19)</f>
        <v>3545404.4899999998</v>
      </c>
      <c r="M21" s="141"/>
      <c r="N21" s="141"/>
      <c r="O21" s="141">
        <f t="shared" ref="O21:X21" si="2">SUM(O17:O19)</f>
        <v>779659.28215177078</v>
      </c>
      <c r="P21" s="141">
        <f t="shared" si="2"/>
        <v>0</v>
      </c>
      <c r="Q21" s="141">
        <f t="shared" ref="Q21:R21" si="3">SUM(Q17:Q19)</f>
        <v>0</v>
      </c>
      <c r="R21" s="141">
        <f t="shared" si="3"/>
        <v>779659.28215177078</v>
      </c>
      <c r="S21" s="141">
        <f t="shared" si="2"/>
        <v>1325684.9158590357</v>
      </c>
      <c r="T21" s="141">
        <f t="shared" ref="T21:U21" si="4">SUM(T17:T19)</f>
        <v>0</v>
      </c>
      <c r="U21" s="141">
        <f t="shared" si="4"/>
        <v>1325684.9158590357</v>
      </c>
      <c r="V21" s="141">
        <f t="shared" ref="V21:W21" si="5">SUM(V17:V19)</f>
        <v>381770.43835523841</v>
      </c>
      <c r="W21" s="141">
        <f t="shared" si="5"/>
        <v>1012956.4448339547</v>
      </c>
      <c r="X21" s="141">
        <f t="shared" si="2"/>
        <v>3500071.0811999999</v>
      </c>
      <c r="Y21" s="8" t="b">
        <f>ROUND(+X21,2)=ROUND(L21,2)</f>
        <v>0</v>
      </c>
    </row>
    <row r="27" spans="1:25">
      <c r="C27" s="3"/>
      <c r="D27" s="3"/>
    </row>
    <row r="28" spans="1:25">
      <c r="C28" s="3"/>
      <c r="D28" s="3"/>
    </row>
    <row r="29" spans="1:25">
      <c r="C29" s="3"/>
      <c r="D29" s="3"/>
    </row>
    <row r="30" spans="1:25">
      <c r="C30" s="3"/>
      <c r="D30" s="3"/>
    </row>
  </sheetData>
  <phoneticPr fontId="5" type="noConversion"/>
  <printOptions horizontalCentered="1"/>
  <pageMargins left="0.5" right="0.5" top="3" bottom="0.5" header="1.5" footer="0.5"/>
  <pageSetup scale="70" fitToWidth="2" fitToHeight="2" orientation="landscape"/>
  <headerFooter alignWithMargins="0">
    <oddHeader>&amp;R&amp;"Arial,Bold"Schedule &amp;A
Page &amp;P of &amp;N&amp;C&amp;B
2024 RATE CASE
ONCOR ELECTRIC DELIVERY COMPANY LLC
II-D-2.6  SUMMARY OF MEMBERSHIP DUES EXPENSE
TEST YEAR ENDING DECEMBER 31, 2024
SPONSOR: R. PRACHYL</oddHeader>
  </headerFooter>
  <colBreaks count="1" manualBreakCount="1">
    <brk id="12" min="14" max="20"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4">
    <tabColor rgb="FFFF0000"/>
  </sheetPr>
  <dimension ref="A1:Y32"/>
  <sheetViews>
    <sheetView zoomScale="85" zoomScaleNormal="85" workbookViewId="0">
      <pane xSplit="3" ySplit="16" topLeftCell="D17" activePane="bottomRight" state="frozen"/>
      <selection activeCell="N38" sqref="N38"/>
      <selection pane="topRight" activeCell="N38" sqref="N38"/>
      <selection pane="bottomLeft" activeCell="N38" sqref="N38"/>
      <selection pane="bottomRight" activeCell="D17" sqref="D17"/>
    </sheetView>
  </sheetViews>
  <sheetFormatPr defaultRowHeight="12.75"/>
  <cols>
    <col min="1" max="1" width="5.7109375" customWidth="1"/>
    <col min="2" max="2" width="8.7109375" customWidth="1"/>
    <col min="3" max="3" width="84.42578125" customWidth="1"/>
    <col min="4" max="4" width="10.28515625" bestFit="1" customWidth="1"/>
    <col min="5" max="5" width="14.140625" bestFit="1" customWidth="1"/>
    <col min="6" max="6" width="12.28515625" bestFit="1" customWidth="1"/>
    <col min="7" max="7" width="17.140625" bestFit="1" customWidth="1"/>
    <col min="8" max="8" width="14.140625" bestFit="1" customWidth="1"/>
    <col min="9" max="9" width="13.42578125" bestFit="1" customWidth="1"/>
    <col min="10" max="10" width="14.140625" bestFit="1" customWidth="1"/>
    <col min="11" max="11" width="10.28515625" customWidth="1"/>
    <col min="12" max="12" width="12.42578125" bestFit="1" customWidth="1"/>
    <col min="13" max="13" width="3.28515625" bestFit="1" customWidth="1"/>
    <col min="14" max="14" width="6.85546875" bestFit="1" customWidth="1"/>
    <col min="15" max="15" width="11.5703125" bestFit="1" customWidth="1"/>
    <col min="16" max="16" width="9.140625" customWidth="1"/>
    <col min="17" max="17" width="6.140625" bestFit="1" customWidth="1"/>
    <col min="18" max="18" width="11.5703125" customWidth="1"/>
    <col min="19" max="19" width="13.42578125" bestFit="1" customWidth="1"/>
    <col min="20" max="20" width="9.7109375" customWidth="1"/>
    <col min="21" max="21" width="13.42578125" customWidth="1"/>
    <col min="22" max="22" width="11.28515625" bestFit="1" customWidth="1"/>
    <col min="23" max="23" width="11.85546875" customWidth="1"/>
    <col min="24" max="24" width="13"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Sponsors'!$A$62,'[3]Schedule Sponsors'!$B$62)</f>
        <v>II-D-2.6a  SUMMARY OF INDUSTRY ORGANIZATION DUES</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Sponsors'!$D$62)</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c r="A15" s="16">
        <v>1</v>
      </c>
      <c r="B15" s="8" t="s">
        <v>131</v>
      </c>
      <c r="D15" s="18" t="s">
        <v>204</v>
      </c>
      <c r="E15" s="19"/>
      <c r="F15" s="19"/>
      <c r="G15" s="19"/>
      <c r="H15" s="19"/>
      <c r="I15" s="19"/>
      <c r="J15" s="19"/>
      <c r="K15" s="19"/>
      <c r="L15" s="19"/>
      <c r="M15" s="18"/>
      <c r="N15" s="25"/>
      <c r="O15" s="19"/>
      <c r="P15" s="19"/>
      <c r="Q15" s="19"/>
      <c r="R15" s="19"/>
      <c r="S15" s="19"/>
      <c r="T15" s="19"/>
      <c r="U15" s="19"/>
      <c r="V15" s="19"/>
      <c r="W15" s="19"/>
    </row>
    <row r="16" spans="1:24" s="8" customFormat="1">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c r="A17" s="16">
        <v>3</v>
      </c>
      <c r="B17" t="s">
        <v>231</v>
      </c>
      <c r="C17" t="s">
        <v>514</v>
      </c>
      <c r="D17" s="18"/>
      <c r="E17" s="150">
        <v>6875</v>
      </c>
      <c r="F17" s="150">
        <v>0</v>
      </c>
      <c r="G17" s="150">
        <v>0</v>
      </c>
      <c r="H17" s="150">
        <f t="shared" ref="H17:H20" si="0">+E17-F17+G17</f>
        <v>6875</v>
      </c>
      <c r="I17" s="150">
        <v>0</v>
      </c>
      <c r="J17" s="150">
        <f t="shared" ref="J17:J20" si="1">+H17+I17</f>
        <v>6875</v>
      </c>
      <c r="K17" s="153">
        <v>1</v>
      </c>
      <c r="L17" s="150">
        <f t="shared" ref="L17:L20" si="2">+J17*K17</f>
        <v>6875</v>
      </c>
      <c r="M17" s="150"/>
      <c r="N17" s="150"/>
      <c r="O17" s="150">
        <v>6875</v>
      </c>
      <c r="P17" s="150">
        <v>0</v>
      </c>
      <c r="Q17" s="150">
        <v>0</v>
      </c>
      <c r="R17" s="150">
        <f>SUM(O17:Q17)</f>
        <v>6875</v>
      </c>
      <c r="S17" s="150">
        <v>0</v>
      </c>
      <c r="T17" s="150">
        <v>0</v>
      </c>
      <c r="U17" s="150">
        <f>SUM(S17:T17)</f>
        <v>0</v>
      </c>
      <c r="V17" s="150">
        <v>0</v>
      </c>
      <c r="W17" s="150">
        <v>0</v>
      </c>
      <c r="X17" s="150">
        <f>+R17+U17+V17+W17</f>
        <v>6875</v>
      </c>
      <c r="Y17" s="8" t="b">
        <f>+X17=L17</f>
        <v>1</v>
      </c>
    </row>
    <row r="18" spans="1:25" s="8" customFormat="1">
      <c r="A18" s="16">
        <v>4</v>
      </c>
      <c r="B18" t="s">
        <v>235</v>
      </c>
      <c r="C18" t="s">
        <v>430</v>
      </c>
      <c r="D18" s="18"/>
      <c r="E18" s="13">
        <v>5250</v>
      </c>
      <c r="F18" s="13">
        <v>0</v>
      </c>
      <c r="G18" s="13">
        <v>0</v>
      </c>
      <c r="H18" s="13">
        <f t="shared" si="0"/>
        <v>5250</v>
      </c>
      <c r="I18" s="13">
        <v>0</v>
      </c>
      <c r="J18" s="13">
        <f t="shared" si="1"/>
        <v>5250</v>
      </c>
      <c r="K18" s="153">
        <v>1</v>
      </c>
      <c r="L18" s="13">
        <f t="shared" si="2"/>
        <v>5250</v>
      </c>
      <c r="M18" s="322"/>
      <c r="N18" s="323"/>
      <c r="O18" s="13">
        <v>5225.04</v>
      </c>
      <c r="P18" s="13">
        <v>0</v>
      </c>
      <c r="Q18" s="13">
        <v>0</v>
      </c>
      <c r="R18" s="13">
        <f t="shared" ref="R18:R29" si="3">SUM(O18:Q18)</f>
        <v>5225.04</v>
      </c>
      <c r="S18" s="13">
        <v>24.96</v>
      </c>
      <c r="T18" s="13">
        <v>0</v>
      </c>
      <c r="U18" s="13">
        <f t="shared" ref="U18:U29" si="4">SUM(S18:T18)</f>
        <v>24.96</v>
      </c>
      <c r="V18" s="13">
        <v>0</v>
      </c>
      <c r="W18" s="13">
        <v>0</v>
      </c>
      <c r="X18" s="13">
        <f t="shared" ref="X18:X20" si="5">+R18+U18+V18+W18</f>
        <v>5250</v>
      </c>
      <c r="Y18" s="8" t="b">
        <f t="shared" ref="Y18:Y20" si="6">+X18=L18</f>
        <v>1</v>
      </c>
    </row>
    <row r="19" spans="1:25" s="8" customFormat="1">
      <c r="A19" s="16">
        <v>5</v>
      </c>
      <c r="B19" t="s">
        <v>250</v>
      </c>
      <c r="C19" t="s">
        <v>1012</v>
      </c>
      <c r="D19" s="18"/>
      <c r="E19" s="13">
        <v>2000</v>
      </c>
      <c r="F19" s="13">
        <v>0</v>
      </c>
      <c r="G19" s="13">
        <v>0</v>
      </c>
      <c r="H19" s="13">
        <f t="shared" si="0"/>
        <v>2000</v>
      </c>
      <c r="I19" s="13">
        <v>0</v>
      </c>
      <c r="J19" s="13">
        <f t="shared" si="1"/>
        <v>2000</v>
      </c>
      <c r="K19" s="153">
        <v>1</v>
      </c>
      <c r="L19" s="13">
        <f t="shared" si="2"/>
        <v>2000</v>
      </c>
      <c r="M19" s="322"/>
      <c r="N19" s="323"/>
      <c r="O19" s="13">
        <v>0</v>
      </c>
      <c r="P19" s="13">
        <v>0</v>
      </c>
      <c r="Q19" s="13">
        <v>0</v>
      </c>
      <c r="R19" s="13">
        <f t="shared" si="3"/>
        <v>0</v>
      </c>
      <c r="S19" s="13">
        <v>2000</v>
      </c>
      <c r="T19" s="13">
        <v>0</v>
      </c>
      <c r="U19" s="13">
        <f t="shared" si="4"/>
        <v>2000</v>
      </c>
      <c r="V19" s="13">
        <v>0</v>
      </c>
      <c r="W19" s="13">
        <v>0</v>
      </c>
      <c r="X19" s="13">
        <f t="shared" si="5"/>
        <v>2000</v>
      </c>
      <c r="Y19" s="8" t="b">
        <f t="shared" si="6"/>
        <v>1</v>
      </c>
    </row>
    <row r="20" spans="1:25" s="8" customFormat="1">
      <c r="A20" s="16">
        <v>6</v>
      </c>
      <c r="B20" t="s">
        <v>270</v>
      </c>
      <c r="C20" t="s">
        <v>657</v>
      </c>
      <c r="D20" s="18"/>
      <c r="E20" s="13">
        <v>4500</v>
      </c>
      <c r="F20" s="13">
        <v>0</v>
      </c>
      <c r="G20" s="13">
        <v>0</v>
      </c>
      <c r="H20" s="13">
        <f t="shared" si="0"/>
        <v>4500</v>
      </c>
      <c r="I20" s="13">
        <v>0</v>
      </c>
      <c r="J20" s="13">
        <f t="shared" si="1"/>
        <v>4500</v>
      </c>
      <c r="K20" s="153">
        <v>1</v>
      </c>
      <c r="L20" s="13">
        <f t="shared" si="2"/>
        <v>4500</v>
      </c>
      <c r="M20" s="322"/>
      <c r="N20" s="323"/>
      <c r="O20" s="13">
        <v>1011.6</v>
      </c>
      <c r="P20" s="13">
        <v>0</v>
      </c>
      <c r="Q20" s="13">
        <v>0</v>
      </c>
      <c r="R20" s="13">
        <f t="shared" si="3"/>
        <v>1011.6</v>
      </c>
      <c r="S20" s="13">
        <v>2701.8</v>
      </c>
      <c r="T20" s="13">
        <v>0</v>
      </c>
      <c r="U20" s="13">
        <f t="shared" si="4"/>
        <v>2701.8</v>
      </c>
      <c r="V20" s="13">
        <v>755.55</v>
      </c>
      <c r="W20" s="13">
        <v>31.05</v>
      </c>
      <c r="X20" s="13">
        <f t="shared" si="5"/>
        <v>4500</v>
      </c>
      <c r="Y20" s="8" t="b">
        <f t="shared" si="6"/>
        <v>1</v>
      </c>
    </row>
    <row r="21" spans="1:25" s="8" customFormat="1">
      <c r="A21" s="16">
        <v>7</v>
      </c>
      <c r="B21" t="s">
        <v>270</v>
      </c>
      <c r="C21" t="s">
        <v>1013</v>
      </c>
      <c r="D21" s="18"/>
      <c r="E21" s="13">
        <v>320</v>
      </c>
      <c r="F21" s="13">
        <v>0</v>
      </c>
      <c r="G21" s="13">
        <v>0</v>
      </c>
      <c r="H21" s="13">
        <f t="shared" ref="H21:H29" si="7">+E21-F21+G21</f>
        <v>320</v>
      </c>
      <c r="I21" s="13">
        <v>0</v>
      </c>
      <c r="J21" s="13">
        <f t="shared" ref="J21:J29" si="8">+H21+I21</f>
        <v>320</v>
      </c>
      <c r="K21" s="153">
        <v>1</v>
      </c>
      <c r="L21" s="13">
        <f t="shared" ref="L21:L29" si="9">+J21*K21</f>
        <v>320</v>
      </c>
      <c r="M21" s="322"/>
      <c r="N21" s="323"/>
      <c r="O21" s="13">
        <v>71.94</v>
      </c>
      <c r="P21" s="13">
        <v>0</v>
      </c>
      <c r="Q21" s="13">
        <v>0</v>
      </c>
      <c r="R21" s="13">
        <f t="shared" si="3"/>
        <v>71.94</v>
      </c>
      <c r="S21" s="13">
        <v>192.12</v>
      </c>
      <c r="T21" s="13">
        <v>0</v>
      </c>
      <c r="U21" s="13">
        <f t="shared" si="4"/>
        <v>192.12</v>
      </c>
      <c r="V21" s="13">
        <v>53.73</v>
      </c>
      <c r="W21" s="13">
        <v>2.21</v>
      </c>
      <c r="X21" s="13">
        <f t="shared" ref="X21:X29" si="10">+R21+U21+V21+W21</f>
        <v>320</v>
      </c>
      <c r="Y21" s="8" t="b">
        <f t="shared" ref="Y21:Y29" si="11">+X21=L21</f>
        <v>1</v>
      </c>
    </row>
    <row r="22" spans="1:25" s="8" customFormat="1">
      <c r="A22" s="16">
        <v>8</v>
      </c>
      <c r="B22" t="s">
        <v>270</v>
      </c>
      <c r="C22" t="s">
        <v>658</v>
      </c>
      <c r="D22" s="18"/>
      <c r="E22" s="13">
        <v>18249.75</v>
      </c>
      <c r="F22" s="13">
        <v>0</v>
      </c>
      <c r="G22" s="13">
        <v>0</v>
      </c>
      <c r="H22" s="13">
        <f t="shared" si="7"/>
        <v>18249.75</v>
      </c>
      <c r="I22" s="13">
        <v>0</v>
      </c>
      <c r="J22" s="13">
        <f t="shared" si="8"/>
        <v>18249.75</v>
      </c>
      <c r="K22" s="153">
        <v>1</v>
      </c>
      <c r="L22" s="13">
        <f t="shared" si="9"/>
        <v>18249.75</v>
      </c>
      <c r="M22" s="322"/>
      <c r="N22" s="323"/>
      <c r="O22" s="13">
        <v>4102.54</v>
      </c>
      <c r="P22" s="13">
        <v>0</v>
      </c>
      <c r="Q22" s="13">
        <v>0</v>
      </c>
      <c r="R22" s="13">
        <f t="shared" si="3"/>
        <v>4102.54</v>
      </c>
      <c r="S22" s="13">
        <v>10957.15</v>
      </c>
      <c r="T22" s="13">
        <v>0</v>
      </c>
      <c r="U22" s="13">
        <f t="shared" si="4"/>
        <v>10957.15</v>
      </c>
      <c r="V22" s="13">
        <v>3064.14</v>
      </c>
      <c r="W22" s="13">
        <v>125.92</v>
      </c>
      <c r="X22" s="13">
        <f t="shared" si="10"/>
        <v>18249.749999999996</v>
      </c>
      <c r="Y22" s="8" t="b">
        <f t="shared" si="11"/>
        <v>1</v>
      </c>
    </row>
    <row r="23" spans="1:25" s="8" customFormat="1">
      <c r="A23" s="16">
        <v>9</v>
      </c>
      <c r="B23" t="s">
        <v>270</v>
      </c>
      <c r="C23" t="s">
        <v>1014</v>
      </c>
      <c r="D23" s="18"/>
      <c r="E23" s="13">
        <v>8118.75</v>
      </c>
      <c r="F23" s="13">
        <v>0</v>
      </c>
      <c r="G23" s="13">
        <v>0</v>
      </c>
      <c r="H23" s="13">
        <f t="shared" si="7"/>
        <v>8118.75</v>
      </c>
      <c r="I23" s="13">
        <v>0</v>
      </c>
      <c r="J23" s="13">
        <f t="shared" si="8"/>
        <v>8118.75</v>
      </c>
      <c r="K23" s="153">
        <v>1</v>
      </c>
      <c r="L23" s="13">
        <f t="shared" si="9"/>
        <v>8118.75</v>
      </c>
      <c r="M23" s="322"/>
      <c r="N23" s="323"/>
      <c r="O23" s="13">
        <v>0</v>
      </c>
      <c r="P23" s="13">
        <v>0</v>
      </c>
      <c r="Q23" s="13">
        <v>0</v>
      </c>
      <c r="R23" s="13">
        <f t="shared" si="3"/>
        <v>0</v>
      </c>
      <c r="S23" s="13">
        <v>8118.75</v>
      </c>
      <c r="T23" s="13">
        <v>0</v>
      </c>
      <c r="U23" s="13">
        <f t="shared" si="4"/>
        <v>8118.75</v>
      </c>
      <c r="V23" s="13">
        <v>0</v>
      </c>
      <c r="W23" s="13">
        <v>0</v>
      </c>
      <c r="X23" s="13">
        <f t="shared" si="10"/>
        <v>8118.75</v>
      </c>
      <c r="Y23" s="8" t="b">
        <f t="shared" si="11"/>
        <v>1</v>
      </c>
    </row>
    <row r="24" spans="1:25" s="8" customFormat="1">
      <c r="A24" s="16">
        <v>10</v>
      </c>
      <c r="B24" t="s">
        <v>289</v>
      </c>
      <c r="C24" t="s">
        <v>1015</v>
      </c>
      <c r="D24" s="18"/>
      <c r="E24" s="13">
        <v>11000</v>
      </c>
      <c r="F24" s="13">
        <v>0</v>
      </c>
      <c r="G24" s="13">
        <v>0</v>
      </c>
      <c r="H24" s="13">
        <f t="shared" si="7"/>
        <v>11000</v>
      </c>
      <c r="I24" s="13">
        <v>0</v>
      </c>
      <c r="J24" s="13">
        <f t="shared" si="8"/>
        <v>11000</v>
      </c>
      <c r="K24" s="153">
        <v>1</v>
      </c>
      <c r="L24" s="13">
        <f t="shared" si="9"/>
        <v>11000</v>
      </c>
      <c r="M24" s="322"/>
      <c r="N24" s="323"/>
      <c r="O24" s="13">
        <v>2472.8000000000002</v>
      </c>
      <c r="P24" s="13">
        <v>0</v>
      </c>
      <c r="Q24" s="13">
        <v>0</v>
      </c>
      <c r="R24" s="13">
        <f t="shared" si="3"/>
        <v>2472.8000000000002</v>
      </c>
      <c r="S24" s="13">
        <v>6604.4</v>
      </c>
      <c r="T24" s="13">
        <v>0</v>
      </c>
      <c r="U24" s="13">
        <f t="shared" si="4"/>
        <v>6604.4</v>
      </c>
      <c r="V24" s="13">
        <v>1846.9</v>
      </c>
      <c r="W24" s="13">
        <v>75.900000000000006</v>
      </c>
      <c r="X24" s="13">
        <f t="shared" si="10"/>
        <v>11000</v>
      </c>
      <c r="Y24" s="8" t="b">
        <f t="shared" si="11"/>
        <v>1</v>
      </c>
    </row>
    <row r="25" spans="1:25" s="8" customFormat="1">
      <c r="A25" s="16">
        <v>11</v>
      </c>
      <c r="B25" t="s">
        <v>289</v>
      </c>
      <c r="C25" t="s">
        <v>1016</v>
      </c>
      <c r="D25" s="18"/>
      <c r="E25" s="13">
        <v>5000</v>
      </c>
      <c r="F25" s="13">
        <v>0</v>
      </c>
      <c r="G25" s="13">
        <v>0</v>
      </c>
      <c r="H25" s="13">
        <f t="shared" si="7"/>
        <v>5000</v>
      </c>
      <c r="I25" s="13">
        <v>0</v>
      </c>
      <c r="J25" s="13">
        <f t="shared" si="8"/>
        <v>5000</v>
      </c>
      <c r="K25" s="153">
        <v>1</v>
      </c>
      <c r="L25" s="13">
        <f t="shared" si="9"/>
        <v>5000</v>
      </c>
      <c r="M25" s="322"/>
      <c r="N25" s="323"/>
      <c r="O25" s="13">
        <v>0</v>
      </c>
      <c r="P25" s="13">
        <v>0</v>
      </c>
      <c r="Q25" s="13">
        <v>0</v>
      </c>
      <c r="R25" s="13">
        <f t="shared" si="3"/>
        <v>0</v>
      </c>
      <c r="S25" s="13">
        <v>0</v>
      </c>
      <c r="T25" s="13">
        <v>0</v>
      </c>
      <c r="U25" s="13">
        <f t="shared" si="4"/>
        <v>0</v>
      </c>
      <c r="V25" s="13">
        <v>0</v>
      </c>
      <c r="W25" s="13">
        <v>5000</v>
      </c>
      <c r="X25" s="13">
        <f t="shared" si="10"/>
        <v>5000</v>
      </c>
      <c r="Y25" s="8" t="b">
        <f t="shared" si="11"/>
        <v>1</v>
      </c>
    </row>
    <row r="26" spans="1:25" s="8" customFormat="1">
      <c r="A26" s="16">
        <v>12</v>
      </c>
      <c r="B26" t="s">
        <v>288</v>
      </c>
      <c r="C26" t="s">
        <v>698</v>
      </c>
      <c r="D26" s="18"/>
      <c r="E26" s="13">
        <v>25000</v>
      </c>
      <c r="F26" s="13">
        <v>0</v>
      </c>
      <c r="G26" s="13">
        <v>0</v>
      </c>
      <c r="H26" s="13">
        <f t="shared" si="7"/>
        <v>25000</v>
      </c>
      <c r="I26" s="13">
        <v>0</v>
      </c>
      <c r="J26" s="13">
        <f t="shared" si="8"/>
        <v>25000</v>
      </c>
      <c r="K26" s="153">
        <v>1</v>
      </c>
      <c r="L26" s="13">
        <f t="shared" si="9"/>
        <v>25000</v>
      </c>
      <c r="M26" s="322"/>
      <c r="N26" s="323"/>
      <c r="O26" s="13">
        <v>0</v>
      </c>
      <c r="P26" s="13">
        <v>0</v>
      </c>
      <c r="Q26" s="13">
        <v>0</v>
      </c>
      <c r="R26" s="13">
        <f t="shared" si="3"/>
        <v>0</v>
      </c>
      <c r="S26" s="13">
        <v>0</v>
      </c>
      <c r="T26" s="13">
        <v>0</v>
      </c>
      <c r="U26" s="13">
        <f t="shared" si="4"/>
        <v>0</v>
      </c>
      <c r="V26" s="13">
        <v>0</v>
      </c>
      <c r="W26" s="13">
        <v>25000</v>
      </c>
      <c r="X26" s="13">
        <f t="shared" si="10"/>
        <v>25000</v>
      </c>
      <c r="Y26" s="8" t="b">
        <f t="shared" si="11"/>
        <v>1</v>
      </c>
    </row>
    <row r="27" spans="1:25" s="8" customFormat="1">
      <c r="A27" s="16">
        <v>13</v>
      </c>
      <c r="B27" t="s">
        <v>288</v>
      </c>
      <c r="C27" t="s">
        <v>1017</v>
      </c>
      <c r="D27" s="18"/>
      <c r="E27" s="13">
        <v>942480.99999999988</v>
      </c>
      <c r="F27" s="13">
        <v>0</v>
      </c>
      <c r="G27" s="13">
        <v>0</v>
      </c>
      <c r="H27" s="13">
        <f t="shared" si="7"/>
        <v>942480.99999999988</v>
      </c>
      <c r="I27" s="13">
        <v>0</v>
      </c>
      <c r="J27" s="13">
        <f t="shared" si="8"/>
        <v>942480.99999999988</v>
      </c>
      <c r="K27" s="153">
        <v>1</v>
      </c>
      <c r="L27" s="13">
        <f t="shared" si="9"/>
        <v>942480.99999999988</v>
      </c>
      <c r="M27" s="322"/>
      <c r="N27" s="323"/>
      <c r="O27" s="13">
        <v>211869.73</v>
      </c>
      <c r="P27" s="13">
        <v>0</v>
      </c>
      <c r="Q27" s="13">
        <v>0</v>
      </c>
      <c r="R27" s="13">
        <f t="shared" si="3"/>
        <v>211869.73</v>
      </c>
      <c r="S27" s="13">
        <v>565865.57999999996</v>
      </c>
      <c r="T27" s="13">
        <v>0</v>
      </c>
      <c r="U27" s="13">
        <f t="shared" si="4"/>
        <v>565865.57999999996</v>
      </c>
      <c r="V27" s="13">
        <v>158242.56</v>
      </c>
      <c r="W27" s="13">
        <v>6503.13</v>
      </c>
      <c r="X27" s="13">
        <f t="shared" si="10"/>
        <v>942480.99999999988</v>
      </c>
      <c r="Y27" s="8" t="b">
        <f t="shared" si="11"/>
        <v>1</v>
      </c>
    </row>
    <row r="28" spans="1:25" s="8" customFormat="1">
      <c r="A28" s="16">
        <v>14</v>
      </c>
      <c r="B28" t="s">
        <v>288</v>
      </c>
      <c r="C28" t="s">
        <v>699</v>
      </c>
      <c r="D28" s="18"/>
      <c r="E28" s="13">
        <v>3750</v>
      </c>
      <c r="F28" s="13">
        <v>0</v>
      </c>
      <c r="G28" s="13">
        <v>0</v>
      </c>
      <c r="H28" s="13">
        <f t="shared" si="7"/>
        <v>3750</v>
      </c>
      <c r="I28" s="13">
        <v>0</v>
      </c>
      <c r="J28" s="13">
        <f t="shared" si="8"/>
        <v>3750</v>
      </c>
      <c r="K28" s="153">
        <v>1</v>
      </c>
      <c r="L28" s="13">
        <f t="shared" si="9"/>
        <v>3750</v>
      </c>
      <c r="M28" s="322"/>
      <c r="N28" s="323"/>
      <c r="O28" s="13">
        <v>0</v>
      </c>
      <c r="P28" s="13">
        <v>0</v>
      </c>
      <c r="Q28" s="13">
        <v>0</v>
      </c>
      <c r="R28" s="13">
        <f t="shared" si="3"/>
        <v>0</v>
      </c>
      <c r="S28" s="13">
        <v>3750</v>
      </c>
      <c r="T28" s="13">
        <v>0</v>
      </c>
      <c r="U28" s="13">
        <f t="shared" si="4"/>
        <v>3750</v>
      </c>
      <c r="V28" s="13">
        <v>0</v>
      </c>
      <c r="W28" s="13">
        <v>0</v>
      </c>
      <c r="X28" s="13">
        <f t="shared" si="10"/>
        <v>3750</v>
      </c>
      <c r="Y28" s="8" t="b">
        <f t="shared" si="11"/>
        <v>1</v>
      </c>
    </row>
    <row r="29" spans="1:25" s="8" customFormat="1">
      <c r="A29" s="16">
        <v>15</v>
      </c>
      <c r="B29" t="s">
        <v>288</v>
      </c>
      <c r="C29" t="s">
        <v>453</v>
      </c>
      <c r="D29" s="18"/>
      <c r="E29" s="13">
        <v>1475</v>
      </c>
      <c r="F29" s="13">
        <v>0</v>
      </c>
      <c r="G29" s="13">
        <v>0</v>
      </c>
      <c r="H29" s="13">
        <f t="shared" si="7"/>
        <v>1475</v>
      </c>
      <c r="I29" s="13">
        <v>0</v>
      </c>
      <c r="J29" s="13">
        <f t="shared" si="8"/>
        <v>1475</v>
      </c>
      <c r="K29" s="153">
        <v>1</v>
      </c>
      <c r="L29" s="13">
        <f t="shared" si="9"/>
        <v>1475</v>
      </c>
      <c r="M29" s="322"/>
      <c r="N29" s="323"/>
      <c r="O29" s="13">
        <v>0</v>
      </c>
      <c r="P29" s="13">
        <v>0</v>
      </c>
      <c r="Q29" s="13">
        <v>0</v>
      </c>
      <c r="R29" s="13">
        <f t="shared" si="3"/>
        <v>0</v>
      </c>
      <c r="S29" s="13">
        <v>0</v>
      </c>
      <c r="T29" s="13">
        <v>0</v>
      </c>
      <c r="U29" s="13">
        <f t="shared" si="4"/>
        <v>0</v>
      </c>
      <c r="V29" s="13">
        <v>0</v>
      </c>
      <c r="W29" s="13">
        <v>1475</v>
      </c>
      <c r="X29" s="13">
        <f t="shared" si="10"/>
        <v>1475</v>
      </c>
      <c r="Y29" s="8" t="b">
        <f t="shared" si="11"/>
        <v>1</v>
      </c>
    </row>
    <row r="30" spans="1:25" s="8" customFormat="1">
      <c r="A30" s="16">
        <v>16</v>
      </c>
      <c r="B30"/>
      <c r="C30"/>
      <c r="D30" s="18"/>
      <c r="E30" s="13"/>
      <c r="F30" s="13"/>
      <c r="G30" s="13"/>
      <c r="H30" s="13"/>
      <c r="I30" s="13"/>
      <c r="J30" s="13"/>
      <c r="K30" s="153"/>
      <c r="L30" s="13"/>
      <c r="M30" s="18"/>
      <c r="N30" s="16"/>
      <c r="O30" s="13"/>
      <c r="P30" s="13"/>
      <c r="Q30" s="13"/>
      <c r="R30" s="13"/>
      <c r="S30" s="13"/>
      <c r="T30" s="13"/>
      <c r="U30" s="13"/>
      <c r="V30" s="13"/>
      <c r="W30" s="13"/>
      <c r="X30" s="13"/>
    </row>
    <row r="31" spans="1:25" s="4" customFormat="1">
      <c r="A31" s="16">
        <v>17</v>
      </c>
      <c r="D31" s="16"/>
      <c r="E31" s="123"/>
      <c r="F31" s="123"/>
      <c r="G31" s="123"/>
      <c r="H31" s="123"/>
      <c r="I31" s="123"/>
      <c r="J31" s="123"/>
      <c r="K31" s="103"/>
      <c r="L31" s="123"/>
      <c r="M31" s="16"/>
      <c r="N31" s="16"/>
      <c r="O31" s="123"/>
      <c r="P31" s="123"/>
      <c r="Q31" s="123"/>
      <c r="R31" s="123"/>
      <c r="S31" s="123"/>
      <c r="T31" s="123"/>
      <c r="U31" s="123"/>
      <c r="V31" s="123"/>
      <c r="W31" s="123"/>
      <c r="X31" s="131"/>
      <c r="Y31" s="8"/>
    </row>
    <row r="32" spans="1:25">
      <c r="A32" s="16">
        <v>18</v>
      </c>
      <c r="B32" s="5" t="str">
        <f>CONCATENATE("Total"," ",+B15)</f>
        <v>Total Industry Organization Dues</v>
      </c>
      <c r="E32" s="141">
        <f t="shared" ref="E32:J32" si="12">SUM(E17:E30)</f>
        <v>1034019.4999999999</v>
      </c>
      <c r="F32" s="141">
        <f t="shared" si="12"/>
        <v>0</v>
      </c>
      <c r="G32" s="141">
        <f t="shared" si="12"/>
        <v>0</v>
      </c>
      <c r="H32" s="141">
        <f t="shared" si="12"/>
        <v>1034019.4999999999</v>
      </c>
      <c r="I32" s="141">
        <f t="shared" si="12"/>
        <v>0</v>
      </c>
      <c r="J32" s="141">
        <f t="shared" si="12"/>
        <v>1034019.4999999999</v>
      </c>
      <c r="K32" s="14"/>
      <c r="L32" s="141">
        <f>SUM(L17:L30)</f>
        <v>1034019.4999999999</v>
      </c>
      <c r="M32" s="141"/>
      <c r="N32" s="141"/>
      <c r="O32" s="141">
        <f t="shared" ref="O32:X32" si="13">SUM(O17:O30)</f>
        <v>231628.65000000002</v>
      </c>
      <c r="P32" s="141">
        <f t="shared" si="13"/>
        <v>0</v>
      </c>
      <c r="Q32" s="141">
        <f t="shared" si="13"/>
        <v>0</v>
      </c>
      <c r="R32" s="141">
        <f t="shared" si="13"/>
        <v>231628.65000000002</v>
      </c>
      <c r="S32" s="141">
        <f t="shared" si="13"/>
        <v>600214.76</v>
      </c>
      <c r="T32" s="141">
        <f t="shared" si="13"/>
        <v>0</v>
      </c>
      <c r="U32" s="141">
        <f t="shared" si="13"/>
        <v>600214.76</v>
      </c>
      <c r="V32" s="141">
        <f t="shared" si="13"/>
        <v>163962.88</v>
      </c>
      <c r="W32" s="141">
        <f t="shared" si="13"/>
        <v>38213.21</v>
      </c>
      <c r="X32" s="141">
        <f t="shared" si="13"/>
        <v>1034019.4999999999</v>
      </c>
      <c r="Y32" s="8" t="b">
        <f>ROUND(+X32,2)=ROUND(L32,2)</f>
        <v>1</v>
      </c>
    </row>
  </sheetData>
  <phoneticPr fontId="5" type="noConversion"/>
  <printOptions horizontalCentered="1"/>
  <pageMargins left="0.5" right="0.5" top="3" bottom="0.5" header="1.5" footer="0.5"/>
  <pageSetup scale="59" fitToWidth="2" fitToHeight="2" orientation="landscape"/>
  <headerFooter alignWithMargins="0">
    <oddHeader>&amp;R&amp;"Arial,Bold"Schedule &amp;A
Page &amp;P of &amp;N&amp;C&amp;B
2025 RATE CASE
ONCOR ELECTRIC DELIVERY COMPANY LLC
II-D-2.6a  SUMMARY OF INDUSTRY ORGANIZATION DUES
TEST YEAR ENDING DECEMBER 31, 2024
SPONSOR: R. PRACHYL</oddHeader>
  </headerFooter>
  <colBreaks count="1" manualBreakCount="1">
    <brk id="13" min="14" max="47"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5">
    <tabColor rgb="FFFF0000"/>
  </sheetPr>
  <dimension ref="A1:AA459"/>
  <sheetViews>
    <sheetView zoomScaleNormal="100" workbookViewId="0">
      <pane ySplit="13" topLeftCell="A14" activePane="bottomLeft" state="frozen"/>
      <selection pane="bottomLeft" activeCell="H27" sqref="H27"/>
    </sheetView>
  </sheetViews>
  <sheetFormatPr defaultRowHeight="12.75"/>
  <cols>
    <col min="1" max="1" width="5.7109375" customWidth="1"/>
    <col min="2" max="2" width="8.7109375" customWidth="1"/>
    <col min="3" max="3" width="68" bestFit="1" customWidth="1"/>
    <col min="4" max="4" width="10.28515625" bestFit="1" customWidth="1"/>
    <col min="5" max="5" width="11.28515625" bestFit="1" customWidth="1"/>
    <col min="6" max="6" width="12.140625" bestFit="1" customWidth="1"/>
    <col min="7" max="7" width="17" bestFit="1" customWidth="1"/>
    <col min="8" max="10" width="12" bestFit="1" customWidth="1"/>
    <col min="11" max="11" width="10.140625" bestFit="1" customWidth="1"/>
    <col min="12" max="12" width="12.5703125" bestFit="1" customWidth="1"/>
    <col min="13" max="13" width="3.28515625" bestFit="1" customWidth="1"/>
    <col min="14" max="14" width="6.7109375" bestFit="1" customWidth="1"/>
    <col min="15" max="15" width="10.28515625" bestFit="1" customWidth="1"/>
    <col min="16" max="17" width="8.7109375" customWidth="1"/>
    <col min="18" max="18" width="9.7109375" bestFit="1" customWidth="1"/>
    <col min="19" max="19" width="10.28515625" bestFit="1" customWidth="1"/>
    <col min="20" max="21" width="9.7109375" customWidth="1"/>
    <col min="22" max="22" width="10.28515625" bestFit="1" customWidth="1"/>
    <col min="23" max="23" width="11.28515625" bestFit="1" customWidth="1"/>
    <col min="24" max="24" width="11.42578125" bestFit="1" customWidth="1"/>
    <col min="25" max="25" width="9.140625" style="194"/>
  </cols>
  <sheetData>
    <row r="1" spans="1:25">
      <c r="A1" s="5" t="str">
        <f>+'[3]Input Data'!$A$9</f>
        <v>2025 RATE CASE</v>
      </c>
    </row>
    <row r="2" spans="1:25"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c r="Y2" s="366"/>
    </row>
    <row r="3" spans="1:25" s="33" customFormat="1">
      <c r="A3" s="7" t="str">
        <f>CONCATENATE('[3]Schedule Sponsors'!$A$63,'[3]Schedule Sponsors'!$B$63)</f>
        <v>II-D-2.6b  SUMMARY OF BUSINESS/ECONOMIC DUES</v>
      </c>
      <c r="B3" s="4"/>
      <c r="D3" s="31"/>
      <c r="E3" s="31"/>
      <c r="F3" s="31"/>
      <c r="G3" s="34"/>
      <c r="H3" s="31"/>
      <c r="I3" s="31"/>
      <c r="J3" s="31"/>
      <c r="K3" s="31"/>
      <c r="L3" s="32"/>
      <c r="M3" s="31"/>
      <c r="N3" s="32"/>
      <c r="O3" s="28"/>
      <c r="P3" s="28"/>
      <c r="Q3" s="28"/>
      <c r="R3" s="28"/>
      <c r="S3" s="31"/>
      <c r="T3" s="31"/>
      <c r="U3" s="31"/>
      <c r="V3" s="31"/>
      <c r="W3" s="31"/>
      <c r="X3" s="31"/>
      <c r="Y3" s="366"/>
    </row>
    <row r="4" spans="1:25"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c r="Y4" s="366"/>
    </row>
    <row r="5" spans="1:25" s="33" customFormat="1">
      <c r="A5" s="7" t="str">
        <f>CONCATENATE("SPONSOR: ",'[3]Schedule Sponsors'!$D$63)</f>
        <v>SPONSOR: R. PRACHYL</v>
      </c>
      <c r="B5" s="4"/>
      <c r="D5" s="31"/>
      <c r="E5" s="31"/>
      <c r="F5" s="31"/>
      <c r="G5" s="31"/>
      <c r="H5" s="31"/>
      <c r="I5" s="31"/>
      <c r="J5" s="31"/>
      <c r="K5" s="31"/>
      <c r="L5" s="32"/>
      <c r="M5" s="31"/>
      <c r="N5" s="32"/>
      <c r="O5" s="31"/>
      <c r="P5" s="31"/>
      <c r="Q5" s="31"/>
      <c r="R5" s="31"/>
      <c r="S5" s="31"/>
      <c r="T5" s="31"/>
      <c r="U5" s="31"/>
      <c r="V5" s="31"/>
      <c r="W5" s="31"/>
      <c r="X5" s="31"/>
      <c r="Y5" s="366"/>
    </row>
    <row r="6" spans="1:25" s="33" customFormat="1">
      <c r="A6" s="31"/>
      <c r="B6" s="4"/>
      <c r="D6" s="31"/>
      <c r="E6" s="31"/>
      <c r="F6" s="31"/>
      <c r="G6" s="31"/>
      <c r="H6" s="31"/>
      <c r="I6" s="31"/>
      <c r="J6" s="31"/>
      <c r="K6" s="31"/>
      <c r="L6" s="32"/>
      <c r="M6" s="31"/>
      <c r="N6" s="32"/>
      <c r="O6" s="31"/>
      <c r="P6" s="31"/>
      <c r="Q6" s="31"/>
      <c r="R6" s="31"/>
      <c r="S6" s="31"/>
      <c r="T6" s="31"/>
      <c r="U6" s="31"/>
      <c r="V6" s="31"/>
      <c r="W6" s="31"/>
      <c r="X6" s="31"/>
      <c r="Y6" s="366"/>
    </row>
    <row r="7" spans="1:25" s="33" customFormat="1">
      <c r="A7" s="31"/>
      <c r="B7" s="4"/>
      <c r="D7" s="31"/>
      <c r="E7" s="31"/>
      <c r="F7" s="31"/>
      <c r="G7" s="31"/>
      <c r="H7" s="31"/>
      <c r="I7" s="31"/>
      <c r="J7" s="31"/>
      <c r="K7" s="31"/>
      <c r="L7" s="32"/>
      <c r="M7" s="31"/>
      <c r="N7" s="32"/>
      <c r="O7" s="31"/>
      <c r="P7" s="31"/>
      <c r="Q7" s="31"/>
      <c r="R7" s="31"/>
      <c r="S7" s="31"/>
      <c r="T7" s="31"/>
      <c r="U7" s="31"/>
      <c r="V7" s="31"/>
      <c r="W7" s="31"/>
      <c r="X7" s="31"/>
      <c r="Y7" s="366"/>
    </row>
    <row r="8" spans="1:25" s="33" customFormat="1">
      <c r="A8" s="31"/>
      <c r="B8" s="35"/>
      <c r="C8" s="31"/>
      <c r="D8" s="31"/>
      <c r="E8" s="31"/>
      <c r="F8" s="31"/>
      <c r="G8" s="31"/>
      <c r="H8" s="31"/>
      <c r="I8" s="31"/>
      <c r="J8" s="31"/>
      <c r="K8" s="31"/>
      <c r="L8" s="32"/>
      <c r="M8" s="31"/>
      <c r="N8" s="32"/>
      <c r="O8" s="31"/>
      <c r="P8" s="31"/>
      <c r="Q8" s="31"/>
      <c r="R8" s="31"/>
      <c r="S8" s="31"/>
      <c r="T8" s="31"/>
      <c r="U8" s="31"/>
      <c r="V8" s="31"/>
      <c r="W8" s="31"/>
      <c r="X8" s="31"/>
      <c r="Y8" s="366"/>
    </row>
    <row r="9" spans="1:25"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c r="Y9" s="366"/>
    </row>
    <row r="10" spans="1:25"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c r="Y10" s="367"/>
    </row>
    <row r="11" spans="1:25"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c r="Y11" s="367"/>
    </row>
    <row r="12" spans="1:25" s="35"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c r="Y12" s="367"/>
    </row>
    <row r="13" spans="1:25"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c r="Y13" s="367"/>
    </row>
    <row r="14" spans="1:25" s="31" customFormat="1">
      <c r="B14" s="38"/>
      <c r="C14" s="38"/>
      <c r="D14" s="38"/>
      <c r="E14" s="38"/>
      <c r="F14" s="38"/>
      <c r="G14" s="38"/>
      <c r="H14" s="38"/>
      <c r="I14" s="38"/>
      <c r="J14" s="38"/>
      <c r="K14" s="38"/>
      <c r="L14" s="39"/>
      <c r="M14" s="38"/>
      <c r="N14" s="39"/>
      <c r="O14" s="38"/>
      <c r="P14" s="38"/>
      <c r="Q14" s="38"/>
      <c r="R14" s="38"/>
      <c r="S14" s="38"/>
      <c r="T14" s="38"/>
      <c r="U14" s="38"/>
      <c r="V14" s="38"/>
      <c r="W14" s="38"/>
      <c r="X14" s="38"/>
      <c r="Y14" s="367"/>
    </row>
    <row r="15" spans="1:25" s="8" customFormat="1">
      <c r="A15" s="16">
        <v>1</v>
      </c>
      <c r="B15" s="8" t="s">
        <v>132</v>
      </c>
      <c r="D15" s="18" t="s">
        <v>11</v>
      </c>
      <c r="E15" s="19"/>
      <c r="F15" s="19"/>
      <c r="G15" s="19"/>
      <c r="H15" s="19"/>
      <c r="I15" s="19"/>
      <c r="J15" s="19"/>
      <c r="K15" s="19"/>
      <c r="L15" s="19"/>
      <c r="M15" s="18"/>
      <c r="N15" s="25"/>
      <c r="O15" s="19"/>
      <c r="P15" s="19"/>
      <c r="Q15" s="19"/>
      <c r="R15" s="19"/>
      <c r="S15" s="19"/>
      <c r="T15" s="19"/>
      <c r="U15" s="19"/>
      <c r="V15" s="19"/>
      <c r="W15" s="19"/>
      <c r="Y15" s="325"/>
    </row>
    <row r="16" spans="1:25" s="8" customFormat="1">
      <c r="A16" s="16">
        <v>2</v>
      </c>
      <c r="D16" s="18"/>
      <c r="E16" s="19"/>
      <c r="F16" s="19"/>
      <c r="G16" s="19"/>
      <c r="H16" s="19"/>
      <c r="I16" s="19"/>
      <c r="J16" s="19"/>
      <c r="K16" s="19"/>
      <c r="L16" s="19"/>
      <c r="M16" s="18"/>
      <c r="N16" s="25"/>
      <c r="O16" s="19"/>
      <c r="P16" s="19"/>
      <c r="Q16" s="19"/>
      <c r="R16" s="19"/>
      <c r="S16" s="19"/>
      <c r="T16" s="19"/>
      <c r="U16" s="19"/>
      <c r="V16" s="19"/>
      <c r="W16" s="19"/>
      <c r="X16" s="62"/>
      <c r="Y16" s="325"/>
    </row>
    <row r="17" spans="1:25" s="8" customFormat="1">
      <c r="A17" s="16">
        <v>3</v>
      </c>
      <c r="B17" t="s">
        <v>231</v>
      </c>
      <c r="C17" t="s">
        <v>1060</v>
      </c>
      <c r="D17" s="18"/>
      <c r="E17" s="230">
        <v>4800</v>
      </c>
      <c r="F17" s="230">
        <v>0</v>
      </c>
      <c r="G17" s="230">
        <v>0</v>
      </c>
      <c r="H17" s="230">
        <f>+E17+F17+G17</f>
        <v>4800</v>
      </c>
      <c r="I17" s="230">
        <v>0</v>
      </c>
      <c r="J17" s="230">
        <f>+H17+I17</f>
        <v>4800</v>
      </c>
      <c r="K17" s="364">
        <v>1</v>
      </c>
      <c r="L17" s="230">
        <f t="shared" ref="L17" si="0">+J17*K17</f>
        <v>4800</v>
      </c>
      <c r="M17" s="150"/>
      <c r="N17" s="150"/>
      <c r="O17" s="150">
        <v>4800</v>
      </c>
      <c r="P17" s="150">
        <v>0</v>
      </c>
      <c r="Q17" s="150">
        <v>0</v>
      </c>
      <c r="R17" s="150">
        <f>SUM(O17:Q17)</f>
        <v>4800</v>
      </c>
      <c r="S17" s="150">
        <v>0</v>
      </c>
      <c r="T17" s="150">
        <v>0</v>
      </c>
      <c r="U17" s="150">
        <f>SUM(S17:T17)</f>
        <v>0</v>
      </c>
      <c r="V17" s="150">
        <v>0</v>
      </c>
      <c r="W17" s="150">
        <v>0</v>
      </c>
      <c r="X17" s="357">
        <f>+O17+P17+Q17+S17+T17+V17+W17</f>
        <v>4800</v>
      </c>
      <c r="Y17" s="325" t="b">
        <f t="shared" ref="Y17:Y367" si="1">+X17=L17</f>
        <v>1</v>
      </c>
    </row>
    <row r="18" spans="1:25" s="4" customFormat="1">
      <c r="A18" s="16">
        <v>4</v>
      </c>
      <c r="B18" t="s">
        <v>231</v>
      </c>
      <c r="C18" t="s">
        <v>1061</v>
      </c>
      <c r="D18" s="16"/>
      <c r="E18" s="229">
        <v>208.8</v>
      </c>
      <c r="F18" s="229">
        <v>0</v>
      </c>
      <c r="G18" s="229">
        <v>0</v>
      </c>
      <c r="H18" s="229">
        <f t="shared" ref="H18:H81" si="2">+E18+F18+G18</f>
        <v>208.8</v>
      </c>
      <c r="I18" s="229">
        <v>0</v>
      </c>
      <c r="J18" s="229">
        <f t="shared" ref="J18:J81" si="3">+H18+I18</f>
        <v>208.8</v>
      </c>
      <c r="K18" s="364">
        <v>1</v>
      </c>
      <c r="L18" s="229">
        <f t="shared" ref="L18:L81" si="4">+J18*K18</f>
        <v>208.8</v>
      </c>
      <c r="M18" s="16"/>
      <c r="N18" s="16"/>
      <c r="O18" s="229">
        <v>208.8</v>
      </c>
      <c r="P18" s="229">
        <v>0</v>
      </c>
      <c r="Q18" s="229">
        <v>0</v>
      </c>
      <c r="R18" s="229">
        <f t="shared" ref="R18:R81" si="5">SUM(O18:Q18)</f>
        <v>208.8</v>
      </c>
      <c r="S18" s="229">
        <v>0</v>
      </c>
      <c r="T18" s="229">
        <v>0</v>
      </c>
      <c r="U18" s="229">
        <f t="shared" ref="U18:U81" si="6">SUM(S18:T18)</f>
        <v>0</v>
      </c>
      <c r="V18" s="229">
        <v>0</v>
      </c>
      <c r="W18" s="229">
        <v>0</v>
      </c>
      <c r="X18" s="358">
        <f t="shared" ref="X18:X81" si="7">+O18+P18+Q18+S18+T18+V18+W18</f>
        <v>208.8</v>
      </c>
      <c r="Y18" s="325" t="b">
        <f t="shared" si="1"/>
        <v>1</v>
      </c>
    </row>
    <row r="19" spans="1:25" s="4" customFormat="1">
      <c r="A19" s="16">
        <v>5</v>
      </c>
      <c r="B19" t="s">
        <v>235</v>
      </c>
      <c r="C19" t="s">
        <v>1062</v>
      </c>
      <c r="D19" s="16"/>
      <c r="E19" s="229">
        <v>43.53</v>
      </c>
      <c r="F19" s="229">
        <v>0</v>
      </c>
      <c r="G19" s="229">
        <v>0</v>
      </c>
      <c r="H19" s="229">
        <f t="shared" si="2"/>
        <v>43.53</v>
      </c>
      <c r="I19" s="229">
        <v>0</v>
      </c>
      <c r="J19" s="229">
        <f t="shared" si="3"/>
        <v>43.53</v>
      </c>
      <c r="K19" s="364">
        <v>1</v>
      </c>
      <c r="L19" s="229">
        <f t="shared" si="4"/>
        <v>43.53</v>
      </c>
      <c r="M19" s="16"/>
      <c r="N19" s="16"/>
      <c r="O19" s="229">
        <v>43.53</v>
      </c>
      <c r="P19" s="229">
        <v>0</v>
      </c>
      <c r="Q19" s="229">
        <v>0</v>
      </c>
      <c r="R19" s="229">
        <f t="shared" si="5"/>
        <v>43.53</v>
      </c>
      <c r="S19" s="229">
        <v>0</v>
      </c>
      <c r="T19" s="229">
        <v>0</v>
      </c>
      <c r="U19" s="229">
        <f t="shared" si="6"/>
        <v>0</v>
      </c>
      <c r="V19" s="229">
        <v>0</v>
      </c>
      <c r="W19" s="229">
        <v>0</v>
      </c>
      <c r="X19" s="358">
        <f t="shared" si="7"/>
        <v>43.53</v>
      </c>
      <c r="Y19" s="325" t="b">
        <f t="shared" si="1"/>
        <v>1</v>
      </c>
    </row>
    <row r="20" spans="1:25" s="4" customFormat="1">
      <c r="A20" s="16">
        <v>6</v>
      </c>
      <c r="B20" t="s">
        <v>235</v>
      </c>
      <c r="C20" t="s">
        <v>873</v>
      </c>
      <c r="D20" s="16"/>
      <c r="E20" s="229">
        <v>5343.6</v>
      </c>
      <c r="F20" s="229">
        <v>0</v>
      </c>
      <c r="G20" s="229">
        <v>0</v>
      </c>
      <c r="H20" s="229">
        <f t="shared" si="2"/>
        <v>5343.6</v>
      </c>
      <c r="I20" s="229">
        <v>0</v>
      </c>
      <c r="J20" s="229">
        <f t="shared" si="3"/>
        <v>5343.6</v>
      </c>
      <c r="K20" s="364">
        <v>1</v>
      </c>
      <c r="L20" s="229">
        <f t="shared" si="4"/>
        <v>5343.6</v>
      </c>
      <c r="M20" s="16"/>
      <c r="N20" s="16"/>
      <c r="O20" s="229">
        <v>5343.6</v>
      </c>
      <c r="P20" s="229">
        <v>0</v>
      </c>
      <c r="Q20" s="229">
        <v>0</v>
      </c>
      <c r="R20" s="229">
        <f t="shared" si="5"/>
        <v>5343.6</v>
      </c>
      <c r="S20" s="229">
        <v>0</v>
      </c>
      <c r="T20" s="229">
        <v>0</v>
      </c>
      <c r="U20" s="229">
        <f t="shared" si="6"/>
        <v>0</v>
      </c>
      <c r="V20" s="229">
        <v>0</v>
      </c>
      <c r="W20" s="229">
        <v>0</v>
      </c>
      <c r="X20" s="358">
        <f t="shared" si="7"/>
        <v>5343.6</v>
      </c>
      <c r="Y20" s="325" t="b">
        <f t="shared" si="1"/>
        <v>1</v>
      </c>
    </row>
    <row r="21" spans="1:25" s="4" customFormat="1">
      <c r="A21" s="16">
        <v>7</v>
      </c>
      <c r="B21" t="s">
        <v>235</v>
      </c>
      <c r="C21" t="s">
        <v>1063</v>
      </c>
      <c r="D21" s="16"/>
      <c r="E21" s="229">
        <v>69.61</v>
      </c>
      <c r="F21" s="229">
        <v>0</v>
      </c>
      <c r="G21" s="229">
        <v>0</v>
      </c>
      <c r="H21" s="229">
        <f t="shared" si="2"/>
        <v>69.61</v>
      </c>
      <c r="I21" s="229">
        <v>0</v>
      </c>
      <c r="J21" s="229">
        <f t="shared" si="3"/>
        <v>69.61</v>
      </c>
      <c r="K21" s="364">
        <v>1</v>
      </c>
      <c r="L21" s="229">
        <f t="shared" si="4"/>
        <v>69.61</v>
      </c>
      <c r="M21" s="16"/>
      <c r="N21" s="16"/>
      <c r="O21" s="229">
        <v>69.61</v>
      </c>
      <c r="P21" s="229">
        <v>0</v>
      </c>
      <c r="Q21" s="229">
        <v>0</v>
      </c>
      <c r="R21" s="229">
        <f t="shared" si="5"/>
        <v>69.61</v>
      </c>
      <c r="S21" s="229">
        <v>0</v>
      </c>
      <c r="T21" s="229">
        <v>0</v>
      </c>
      <c r="U21" s="229">
        <f t="shared" si="6"/>
        <v>0</v>
      </c>
      <c r="V21" s="229">
        <v>0</v>
      </c>
      <c r="W21" s="229">
        <v>0</v>
      </c>
      <c r="X21" s="358">
        <f t="shared" si="7"/>
        <v>69.61</v>
      </c>
      <c r="Y21" s="325" t="b">
        <f t="shared" si="1"/>
        <v>1</v>
      </c>
    </row>
    <row r="22" spans="1:25" s="4" customFormat="1">
      <c r="A22" s="16">
        <v>8</v>
      </c>
      <c r="B22" t="s">
        <v>235</v>
      </c>
      <c r="C22" t="s">
        <v>875</v>
      </c>
      <c r="D22" s="16"/>
      <c r="E22" s="229">
        <v>1219.17</v>
      </c>
      <c r="F22" s="229">
        <v>0</v>
      </c>
      <c r="G22" s="229">
        <v>0</v>
      </c>
      <c r="H22" s="229">
        <f t="shared" si="2"/>
        <v>1219.17</v>
      </c>
      <c r="I22" s="229">
        <v>0</v>
      </c>
      <c r="J22" s="229">
        <f t="shared" si="3"/>
        <v>1219.17</v>
      </c>
      <c r="K22" s="364">
        <v>1</v>
      </c>
      <c r="L22" s="229">
        <f t="shared" si="4"/>
        <v>1219.17</v>
      </c>
      <c r="M22" s="16"/>
      <c r="N22" s="16"/>
      <c r="O22" s="229">
        <v>1184.52</v>
      </c>
      <c r="P22" s="229">
        <v>0</v>
      </c>
      <c r="Q22" s="229">
        <v>0</v>
      </c>
      <c r="R22" s="229">
        <f t="shared" si="5"/>
        <v>1184.52</v>
      </c>
      <c r="S22" s="229">
        <v>34.65</v>
      </c>
      <c r="T22" s="229">
        <v>0</v>
      </c>
      <c r="U22" s="229">
        <f t="shared" si="6"/>
        <v>34.65</v>
      </c>
      <c r="V22" s="229">
        <v>0</v>
      </c>
      <c r="W22" s="229">
        <v>0</v>
      </c>
      <c r="X22" s="358">
        <f t="shared" si="7"/>
        <v>1219.17</v>
      </c>
      <c r="Y22" s="325" t="b">
        <f t="shared" si="1"/>
        <v>1</v>
      </c>
    </row>
    <row r="23" spans="1:25" s="4" customFormat="1">
      <c r="A23" s="16">
        <v>9</v>
      </c>
      <c r="B23" t="s">
        <v>235</v>
      </c>
      <c r="C23" t="s">
        <v>1064</v>
      </c>
      <c r="D23" s="16"/>
      <c r="E23" s="229">
        <v>10.85</v>
      </c>
      <c r="F23" s="229">
        <v>0</v>
      </c>
      <c r="G23" s="229">
        <v>0</v>
      </c>
      <c r="H23" s="229">
        <f t="shared" si="2"/>
        <v>10.85</v>
      </c>
      <c r="I23" s="229">
        <v>0</v>
      </c>
      <c r="J23" s="229">
        <f t="shared" si="3"/>
        <v>10.85</v>
      </c>
      <c r="K23" s="364">
        <v>1</v>
      </c>
      <c r="L23" s="229">
        <f t="shared" si="4"/>
        <v>10.85</v>
      </c>
      <c r="M23" s="16"/>
      <c r="N23" s="16"/>
      <c r="O23" s="229">
        <v>10.85</v>
      </c>
      <c r="P23" s="229">
        <v>0</v>
      </c>
      <c r="Q23" s="229">
        <v>0</v>
      </c>
      <c r="R23" s="229">
        <f t="shared" si="5"/>
        <v>10.85</v>
      </c>
      <c r="S23" s="229">
        <v>0</v>
      </c>
      <c r="T23" s="229">
        <v>0</v>
      </c>
      <c r="U23" s="229">
        <f t="shared" si="6"/>
        <v>0</v>
      </c>
      <c r="V23" s="229">
        <v>0</v>
      </c>
      <c r="W23" s="229">
        <v>0</v>
      </c>
      <c r="X23" s="358">
        <f t="shared" si="7"/>
        <v>10.85</v>
      </c>
      <c r="Y23" s="325" t="b">
        <f t="shared" si="1"/>
        <v>1</v>
      </c>
    </row>
    <row r="24" spans="1:25" s="4" customFormat="1">
      <c r="A24" s="16">
        <v>10</v>
      </c>
      <c r="B24" t="s">
        <v>235</v>
      </c>
      <c r="C24" t="s">
        <v>1065</v>
      </c>
      <c r="D24" s="16"/>
      <c r="E24" s="229">
        <v>11.25</v>
      </c>
      <c r="F24" s="229">
        <v>0</v>
      </c>
      <c r="G24" s="229">
        <v>0</v>
      </c>
      <c r="H24" s="229">
        <f t="shared" si="2"/>
        <v>11.25</v>
      </c>
      <c r="I24" s="229">
        <v>0</v>
      </c>
      <c r="J24" s="229">
        <f t="shared" si="3"/>
        <v>11.25</v>
      </c>
      <c r="K24" s="364">
        <v>1</v>
      </c>
      <c r="L24" s="229">
        <f t="shared" si="4"/>
        <v>11.25</v>
      </c>
      <c r="M24" s="16"/>
      <c r="N24" s="16"/>
      <c r="O24" s="229">
        <v>11.25</v>
      </c>
      <c r="P24" s="229">
        <v>0</v>
      </c>
      <c r="Q24" s="229">
        <v>0</v>
      </c>
      <c r="R24" s="229">
        <f t="shared" si="5"/>
        <v>11.25</v>
      </c>
      <c r="S24" s="229">
        <v>0</v>
      </c>
      <c r="T24" s="229">
        <v>0</v>
      </c>
      <c r="U24" s="229">
        <f t="shared" si="6"/>
        <v>0</v>
      </c>
      <c r="V24" s="229">
        <v>0</v>
      </c>
      <c r="W24" s="229">
        <v>0</v>
      </c>
      <c r="X24" s="358">
        <f t="shared" si="7"/>
        <v>11.25</v>
      </c>
      <c r="Y24" s="325" t="b">
        <f t="shared" si="1"/>
        <v>1</v>
      </c>
    </row>
    <row r="25" spans="1:25" s="4" customFormat="1">
      <c r="A25" s="16">
        <v>11</v>
      </c>
      <c r="B25" t="s">
        <v>235</v>
      </c>
      <c r="C25" t="s">
        <v>1066</v>
      </c>
      <c r="D25" s="16"/>
      <c r="E25" s="229">
        <v>50</v>
      </c>
      <c r="F25" s="229">
        <v>0</v>
      </c>
      <c r="G25" s="229">
        <v>0</v>
      </c>
      <c r="H25" s="229">
        <f t="shared" si="2"/>
        <v>50</v>
      </c>
      <c r="I25" s="229">
        <v>0</v>
      </c>
      <c r="J25" s="229">
        <f t="shared" si="3"/>
        <v>50</v>
      </c>
      <c r="K25" s="364">
        <v>1</v>
      </c>
      <c r="L25" s="229">
        <f t="shared" si="4"/>
        <v>50</v>
      </c>
      <c r="M25" s="16"/>
      <c r="N25" s="16"/>
      <c r="O25" s="229">
        <v>50</v>
      </c>
      <c r="P25" s="229">
        <v>0</v>
      </c>
      <c r="Q25" s="229">
        <v>0</v>
      </c>
      <c r="R25" s="229">
        <f t="shared" si="5"/>
        <v>50</v>
      </c>
      <c r="S25" s="229">
        <v>0</v>
      </c>
      <c r="T25" s="229">
        <v>0</v>
      </c>
      <c r="U25" s="229">
        <f t="shared" si="6"/>
        <v>0</v>
      </c>
      <c r="V25" s="229">
        <v>0</v>
      </c>
      <c r="W25" s="229">
        <v>0</v>
      </c>
      <c r="X25" s="358">
        <f t="shared" si="7"/>
        <v>50</v>
      </c>
      <c r="Y25" s="325" t="b">
        <f t="shared" si="1"/>
        <v>1</v>
      </c>
    </row>
    <row r="26" spans="1:25" s="4" customFormat="1">
      <c r="A26" s="16">
        <v>12</v>
      </c>
      <c r="B26" t="s">
        <v>249</v>
      </c>
      <c r="C26" t="s">
        <v>1067</v>
      </c>
      <c r="D26" s="16"/>
      <c r="E26" s="229">
        <v>57</v>
      </c>
      <c r="F26" s="229">
        <v>0</v>
      </c>
      <c r="G26" s="229">
        <v>0</v>
      </c>
      <c r="H26" s="229">
        <f t="shared" si="2"/>
        <v>57</v>
      </c>
      <c r="I26" s="229">
        <v>0</v>
      </c>
      <c r="J26" s="229">
        <f t="shared" si="3"/>
        <v>57</v>
      </c>
      <c r="K26" s="364">
        <v>1</v>
      </c>
      <c r="L26" s="229">
        <f t="shared" si="4"/>
        <v>57</v>
      </c>
      <c r="M26" s="16"/>
      <c r="N26" s="16"/>
      <c r="O26" s="229">
        <v>0</v>
      </c>
      <c r="P26" s="229">
        <v>0</v>
      </c>
      <c r="Q26" s="229">
        <v>0</v>
      </c>
      <c r="R26" s="229">
        <f t="shared" si="5"/>
        <v>0</v>
      </c>
      <c r="S26" s="229">
        <v>57</v>
      </c>
      <c r="T26" s="229">
        <v>0</v>
      </c>
      <c r="U26" s="229">
        <f t="shared" si="6"/>
        <v>57</v>
      </c>
      <c r="V26" s="229">
        <v>0</v>
      </c>
      <c r="W26" s="229">
        <v>0</v>
      </c>
      <c r="X26" s="358">
        <f t="shared" si="7"/>
        <v>57</v>
      </c>
      <c r="Y26" s="325" t="b">
        <f t="shared" si="1"/>
        <v>1</v>
      </c>
    </row>
    <row r="27" spans="1:25" s="4" customFormat="1">
      <c r="A27" s="16">
        <v>13</v>
      </c>
      <c r="B27" t="s">
        <v>249</v>
      </c>
      <c r="C27" t="s">
        <v>1068</v>
      </c>
      <c r="D27" s="16"/>
      <c r="E27" s="229">
        <v>225</v>
      </c>
      <c r="F27" s="229">
        <v>0</v>
      </c>
      <c r="G27" s="229">
        <v>0</v>
      </c>
      <c r="H27" s="229">
        <f t="shared" si="2"/>
        <v>225</v>
      </c>
      <c r="I27" s="229">
        <v>0</v>
      </c>
      <c r="J27" s="229">
        <f t="shared" si="3"/>
        <v>225</v>
      </c>
      <c r="K27" s="364">
        <v>1</v>
      </c>
      <c r="L27" s="229">
        <f t="shared" si="4"/>
        <v>225</v>
      </c>
      <c r="M27" s="16"/>
      <c r="N27" s="16"/>
      <c r="O27" s="229">
        <v>0</v>
      </c>
      <c r="P27" s="229">
        <v>0</v>
      </c>
      <c r="Q27" s="229">
        <v>0</v>
      </c>
      <c r="R27" s="229">
        <f t="shared" si="5"/>
        <v>0</v>
      </c>
      <c r="S27" s="229">
        <v>0</v>
      </c>
      <c r="T27" s="229">
        <v>0</v>
      </c>
      <c r="U27" s="229">
        <f t="shared" si="6"/>
        <v>0</v>
      </c>
      <c r="V27" s="229">
        <v>0</v>
      </c>
      <c r="W27" s="229">
        <v>225</v>
      </c>
      <c r="X27" s="358">
        <f t="shared" si="7"/>
        <v>225</v>
      </c>
      <c r="Y27" s="325" t="b">
        <f t="shared" si="1"/>
        <v>1</v>
      </c>
    </row>
    <row r="28" spans="1:25" s="4" customFormat="1">
      <c r="A28" s="16">
        <v>14</v>
      </c>
      <c r="B28" t="s">
        <v>249</v>
      </c>
      <c r="C28" t="s">
        <v>876</v>
      </c>
      <c r="D28" s="16"/>
      <c r="E28" s="229">
        <v>1510.6</v>
      </c>
      <c r="F28" s="229">
        <v>0</v>
      </c>
      <c r="G28" s="229">
        <v>0</v>
      </c>
      <c r="H28" s="229">
        <f t="shared" si="2"/>
        <v>1510.6</v>
      </c>
      <c r="I28" s="229">
        <v>0</v>
      </c>
      <c r="J28" s="229">
        <f t="shared" si="3"/>
        <v>1510.6</v>
      </c>
      <c r="K28" s="364">
        <v>1</v>
      </c>
      <c r="L28" s="229">
        <f t="shared" si="4"/>
        <v>1510.6</v>
      </c>
      <c r="M28" s="16"/>
      <c r="N28" s="16"/>
      <c r="O28" s="229">
        <v>0</v>
      </c>
      <c r="P28" s="229">
        <v>0</v>
      </c>
      <c r="Q28" s="229">
        <v>0</v>
      </c>
      <c r="R28" s="229">
        <f t="shared" si="5"/>
        <v>0</v>
      </c>
      <c r="S28" s="229">
        <v>16</v>
      </c>
      <c r="T28" s="229">
        <v>0</v>
      </c>
      <c r="U28" s="229">
        <f t="shared" si="6"/>
        <v>16</v>
      </c>
      <c r="V28" s="229">
        <v>119.6</v>
      </c>
      <c r="W28" s="229">
        <v>1375</v>
      </c>
      <c r="X28" s="358">
        <f t="shared" si="7"/>
        <v>1510.6</v>
      </c>
      <c r="Y28" s="325" t="b">
        <f t="shared" si="1"/>
        <v>1</v>
      </c>
    </row>
    <row r="29" spans="1:25" s="4" customFormat="1">
      <c r="A29" s="16">
        <v>15</v>
      </c>
      <c r="B29" t="s">
        <v>249</v>
      </c>
      <c r="C29" t="s">
        <v>1060</v>
      </c>
      <c r="D29" s="16"/>
      <c r="E29" s="229">
        <v>1200</v>
      </c>
      <c r="F29" s="229">
        <v>0</v>
      </c>
      <c r="G29" s="229">
        <v>0</v>
      </c>
      <c r="H29" s="229">
        <f t="shared" si="2"/>
        <v>1200</v>
      </c>
      <c r="I29" s="229">
        <v>0</v>
      </c>
      <c r="J29" s="229">
        <f t="shared" si="3"/>
        <v>1200</v>
      </c>
      <c r="K29" s="364">
        <v>1</v>
      </c>
      <c r="L29" s="229">
        <f t="shared" si="4"/>
        <v>1200</v>
      </c>
      <c r="M29" s="16"/>
      <c r="N29" s="16"/>
      <c r="O29" s="229">
        <v>0</v>
      </c>
      <c r="P29" s="229">
        <v>0</v>
      </c>
      <c r="Q29" s="229">
        <v>0</v>
      </c>
      <c r="R29" s="229">
        <f t="shared" si="5"/>
        <v>0</v>
      </c>
      <c r="S29" s="229">
        <v>1200</v>
      </c>
      <c r="T29" s="229">
        <v>0</v>
      </c>
      <c r="U29" s="229">
        <f t="shared" si="6"/>
        <v>1200</v>
      </c>
      <c r="V29" s="229">
        <v>0</v>
      </c>
      <c r="W29" s="229">
        <v>0</v>
      </c>
      <c r="X29" s="358">
        <f t="shared" si="7"/>
        <v>1200</v>
      </c>
      <c r="Y29" s="325" t="b">
        <f t="shared" si="1"/>
        <v>1</v>
      </c>
    </row>
    <row r="30" spans="1:25" s="4" customFormat="1">
      <c r="A30" s="16">
        <v>16</v>
      </c>
      <c r="B30" t="s">
        <v>249</v>
      </c>
      <c r="C30" t="s">
        <v>435</v>
      </c>
      <c r="D30" s="16"/>
      <c r="E30" s="229">
        <v>480</v>
      </c>
      <c r="F30" s="229">
        <v>0</v>
      </c>
      <c r="G30" s="229">
        <v>0</v>
      </c>
      <c r="H30" s="229">
        <f t="shared" si="2"/>
        <v>480</v>
      </c>
      <c r="I30" s="229">
        <v>0</v>
      </c>
      <c r="J30" s="229">
        <f t="shared" si="3"/>
        <v>480</v>
      </c>
      <c r="K30" s="364">
        <v>1</v>
      </c>
      <c r="L30" s="229">
        <f t="shared" si="4"/>
        <v>480</v>
      </c>
      <c r="M30" s="16"/>
      <c r="N30" s="16"/>
      <c r="O30" s="229">
        <v>0</v>
      </c>
      <c r="P30" s="229">
        <v>0</v>
      </c>
      <c r="Q30" s="229">
        <v>0</v>
      </c>
      <c r="R30" s="229">
        <f t="shared" si="5"/>
        <v>0</v>
      </c>
      <c r="S30" s="229">
        <v>0</v>
      </c>
      <c r="T30" s="229">
        <v>0</v>
      </c>
      <c r="U30" s="229">
        <f t="shared" si="6"/>
        <v>0</v>
      </c>
      <c r="V30" s="229">
        <v>0</v>
      </c>
      <c r="W30" s="229">
        <v>480</v>
      </c>
      <c r="X30" s="358">
        <f t="shared" si="7"/>
        <v>480</v>
      </c>
      <c r="Y30" s="325" t="b">
        <f t="shared" si="1"/>
        <v>1</v>
      </c>
    </row>
    <row r="31" spans="1:25" s="4" customFormat="1">
      <c r="A31" s="16">
        <v>17</v>
      </c>
      <c r="B31" t="s">
        <v>249</v>
      </c>
      <c r="C31" t="s">
        <v>1069</v>
      </c>
      <c r="D31" s="16"/>
      <c r="E31" s="229">
        <v>5</v>
      </c>
      <c r="F31" s="229">
        <v>0</v>
      </c>
      <c r="G31" s="229">
        <v>0</v>
      </c>
      <c r="H31" s="229">
        <f t="shared" si="2"/>
        <v>5</v>
      </c>
      <c r="I31" s="229">
        <v>0</v>
      </c>
      <c r="J31" s="229">
        <f t="shared" si="3"/>
        <v>5</v>
      </c>
      <c r="K31" s="364">
        <v>1</v>
      </c>
      <c r="L31" s="229">
        <f t="shared" si="4"/>
        <v>5</v>
      </c>
      <c r="M31" s="16"/>
      <c r="N31" s="16"/>
      <c r="O31" s="229">
        <v>0</v>
      </c>
      <c r="P31" s="229">
        <v>0</v>
      </c>
      <c r="Q31" s="229">
        <v>0</v>
      </c>
      <c r="R31" s="229">
        <f t="shared" si="5"/>
        <v>0</v>
      </c>
      <c r="S31" s="229">
        <v>5</v>
      </c>
      <c r="T31" s="229">
        <v>0</v>
      </c>
      <c r="U31" s="229">
        <f t="shared" si="6"/>
        <v>5</v>
      </c>
      <c r="V31" s="229">
        <v>0</v>
      </c>
      <c r="W31" s="229">
        <v>0</v>
      </c>
      <c r="X31" s="358">
        <f t="shared" si="7"/>
        <v>5</v>
      </c>
      <c r="Y31" s="325" t="b">
        <f t="shared" si="1"/>
        <v>1</v>
      </c>
    </row>
    <row r="32" spans="1:25" s="4" customFormat="1">
      <c r="A32" s="16">
        <v>18</v>
      </c>
      <c r="B32" t="s">
        <v>249</v>
      </c>
      <c r="C32" t="s">
        <v>1070</v>
      </c>
      <c r="D32" s="16"/>
      <c r="E32" s="229">
        <v>18.52</v>
      </c>
      <c r="F32" s="229">
        <v>0</v>
      </c>
      <c r="G32" s="229">
        <v>0</v>
      </c>
      <c r="H32" s="229">
        <f t="shared" si="2"/>
        <v>18.52</v>
      </c>
      <c r="I32" s="229">
        <v>0</v>
      </c>
      <c r="J32" s="229">
        <f t="shared" si="3"/>
        <v>18.52</v>
      </c>
      <c r="K32" s="364">
        <v>1</v>
      </c>
      <c r="L32" s="229">
        <f t="shared" si="4"/>
        <v>18.52</v>
      </c>
      <c r="M32" s="16"/>
      <c r="N32" s="16"/>
      <c r="O32" s="229">
        <v>0</v>
      </c>
      <c r="P32" s="229">
        <v>0</v>
      </c>
      <c r="Q32" s="229">
        <v>0</v>
      </c>
      <c r="R32" s="229">
        <f t="shared" si="5"/>
        <v>0</v>
      </c>
      <c r="S32" s="229">
        <v>18.52</v>
      </c>
      <c r="T32" s="229">
        <v>0</v>
      </c>
      <c r="U32" s="229">
        <f t="shared" si="6"/>
        <v>18.52</v>
      </c>
      <c r="V32" s="229">
        <v>0</v>
      </c>
      <c r="W32" s="229">
        <v>0</v>
      </c>
      <c r="X32" s="358">
        <f t="shared" si="7"/>
        <v>18.52</v>
      </c>
      <c r="Y32" s="325" t="b">
        <f t="shared" si="1"/>
        <v>1</v>
      </c>
    </row>
    <row r="33" spans="1:25" s="4" customFormat="1">
      <c r="A33" s="16">
        <v>19</v>
      </c>
      <c r="B33" t="s">
        <v>249</v>
      </c>
      <c r="C33" t="s">
        <v>1071</v>
      </c>
      <c r="D33" s="16"/>
      <c r="E33" s="229">
        <v>146.82999999999998</v>
      </c>
      <c r="F33" s="229">
        <v>0</v>
      </c>
      <c r="G33" s="229">
        <v>0</v>
      </c>
      <c r="H33" s="229">
        <f t="shared" si="2"/>
        <v>146.82999999999998</v>
      </c>
      <c r="I33" s="229">
        <v>0</v>
      </c>
      <c r="J33" s="229">
        <f t="shared" si="3"/>
        <v>146.82999999999998</v>
      </c>
      <c r="K33" s="364">
        <v>1</v>
      </c>
      <c r="L33" s="229">
        <f t="shared" si="4"/>
        <v>146.82999999999998</v>
      </c>
      <c r="M33" s="16"/>
      <c r="N33" s="16"/>
      <c r="O33" s="229">
        <v>0</v>
      </c>
      <c r="P33" s="229">
        <v>0</v>
      </c>
      <c r="Q33" s="229">
        <v>0</v>
      </c>
      <c r="R33" s="229">
        <f t="shared" si="5"/>
        <v>0</v>
      </c>
      <c r="S33" s="229">
        <v>3.42</v>
      </c>
      <c r="T33" s="229">
        <v>0</v>
      </c>
      <c r="U33" s="229">
        <f t="shared" si="6"/>
        <v>3.42</v>
      </c>
      <c r="V33" s="229">
        <v>0</v>
      </c>
      <c r="W33" s="229">
        <v>143.41</v>
      </c>
      <c r="X33" s="358">
        <f t="shared" si="7"/>
        <v>146.82999999999998</v>
      </c>
      <c r="Y33" s="325" t="b">
        <f t="shared" si="1"/>
        <v>1</v>
      </c>
    </row>
    <row r="34" spans="1:25" s="4" customFormat="1">
      <c r="A34" s="16">
        <v>20</v>
      </c>
      <c r="B34" t="s">
        <v>249</v>
      </c>
      <c r="C34" t="s">
        <v>1072</v>
      </c>
      <c r="D34" s="16"/>
      <c r="E34" s="229">
        <v>230</v>
      </c>
      <c r="F34" s="229">
        <v>0</v>
      </c>
      <c r="G34" s="229">
        <v>0</v>
      </c>
      <c r="H34" s="229">
        <f t="shared" si="2"/>
        <v>230</v>
      </c>
      <c r="I34" s="229">
        <v>0</v>
      </c>
      <c r="J34" s="229">
        <f t="shared" si="3"/>
        <v>230</v>
      </c>
      <c r="K34" s="364">
        <v>1</v>
      </c>
      <c r="L34" s="229">
        <f t="shared" si="4"/>
        <v>230</v>
      </c>
      <c r="M34" s="16"/>
      <c r="N34" s="16"/>
      <c r="O34" s="229">
        <v>0</v>
      </c>
      <c r="P34" s="229">
        <v>0</v>
      </c>
      <c r="Q34" s="229">
        <v>0</v>
      </c>
      <c r="R34" s="229">
        <f t="shared" si="5"/>
        <v>0</v>
      </c>
      <c r="S34" s="229">
        <v>0</v>
      </c>
      <c r="T34" s="229">
        <v>0</v>
      </c>
      <c r="U34" s="229">
        <f t="shared" si="6"/>
        <v>0</v>
      </c>
      <c r="V34" s="229">
        <v>0</v>
      </c>
      <c r="W34" s="229">
        <v>230</v>
      </c>
      <c r="X34" s="358">
        <f t="shared" si="7"/>
        <v>230</v>
      </c>
      <c r="Y34" s="325" t="b">
        <f t="shared" si="1"/>
        <v>1</v>
      </c>
    </row>
    <row r="35" spans="1:25" s="4" customFormat="1">
      <c r="A35" s="16">
        <v>21</v>
      </c>
      <c r="B35" t="s">
        <v>249</v>
      </c>
      <c r="C35" t="s">
        <v>1061</v>
      </c>
      <c r="D35" s="16"/>
      <c r="E35" s="229">
        <v>52.2</v>
      </c>
      <c r="F35" s="229">
        <v>0</v>
      </c>
      <c r="G35" s="229">
        <v>0</v>
      </c>
      <c r="H35" s="229">
        <f t="shared" si="2"/>
        <v>52.2</v>
      </c>
      <c r="I35" s="229">
        <v>0</v>
      </c>
      <c r="J35" s="229">
        <f t="shared" si="3"/>
        <v>52.2</v>
      </c>
      <c r="K35" s="364">
        <v>1</v>
      </c>
      <c r="L35" s="229">
        <f t="shared" si="4"/>
        <v>52.2</v>
      </c>
      <c r="M35" s="16"/>
      <c r="N35" s="16"/>
      <c r="O35" s="229">
        <v>0</v>
      </c>
      <c r="P35" s="229">
        <v>0</v>
      </c>
      <c r="Q35" s="229">
        <v>0</v>
      </c>
      <c r="R35" s="229">
        <f t="shared" si="5"/>
        <v>0</v>
      </c>
      <c r="S35" s="229">
        <v>52.2</v>
      </c>
      <c r="T35" s="229">
        <v>0</v>
      </c>
      <c r="U35" s="229">
        <f t="shared" si="6"/>
        <v>52.2</v>
      </c>
      <c r="V35" s="229">
        <v>0</v>
      </c>
      <c r="W35" s="229">
        <v>0</v>
      </c>
      <c r="X35" s="358">
        <f t="shared" si="7"/>
        <v>52.2</v>
      </c>
      <c r="Y35" s="325" t="b">
        <f t="shared" si="1"/>
        <v>1</v>
      </c>
    </row>
    <row r="36" spans="1:25" s="4" customFormat="1">
      <c r="A36" s="16">
        <v>22</v>
      </c>
      <c r="B36" t="s">
        <v>246</v>
      </c>
      <c r="C36" t="s">
        <v>1073</v>
      </c>
      <c r="D36" s="16"/>
      <c r="E36" s="229">
        <v>138.30000000000001</v>
      </c>
      <c r="F36" s="229">
        <v>0</v>
      </c>
      <c r="G36" s="229">
        <v>0</v>
      </c>
      <c r="H36" s="229">
        <f t="shared" si="2"/>
        <v>138.30000000000001</v>
      </c>
      <c r="I36" s="229">
        <v>0</v>
      </c>
      <c r="J36" s="229">
        <f t="shared" si="3"/>
        <v>138.30000000000001</v>
      </c>
      <c r="K36" s="364">
        <v>1</v>
      </c>
      <c r="L36" s="229">
        <f t="shared" si="4"/>
        <v>138.30000000000001</v>
      </c>
      <c r="M36" s="16"/>
      <c r="N36" s="16"/>
      <c r="O36" s="229">
        <v>0</v>
      </c>
      <c r="P36" s="229">
        <v>0</v>
      </c>
      <c r="Q36" s="229">
        <v>0</v>
      </c>
      <c r="R36" s="229">
        <f t="shared" si="5"/>
        <v>0</v>
      </c>
      <c r="S36" s="229">
        <v>0</v>
      </c>
      <c r="T36" s="229">
        <v>0</v>
      </c>
      <c r="U36" s="229">
        <f t="shared" si="6"/>
        <v>0</v>
      </c>
      <c r="V36" s="229">
        <v>138.30000000000001</v>
      </c>
      <c r="W36" s="229">
        <v>0</v>
      </c>
      <c r="X36" s="358">
        <f t="shared" si="7"/>
        <v>138.30000000000001</v>
      </c>
      <c r="Y36" s="325" t="b">
        <f t="shared" si="1"/>
        <v>1</v>
      </c>
    </row>
    <row r="37" spans="1:25" s="4" customFormat="1">
      <c r="A37" s="16">
        <v>23</v>
      </c>
      <c r="B37" t="s">
        <v>246</v>
      </c>
      <c r="C37" t="s">
        <v>887</v>
      </c>
      <c r="D37" s="16"/>
      <c r="E37" s="229">
        <v>149.5</v>
      </c>
      <c r="F37" s="229">
        <v>0</v>
      </c>
      <c r="G37" s="229">
        <v>0</v>
      </c>
      <c r="H37" s="229">
        <f t="shared" si="2"/>
        <v>149.5</v>
      </c>
      <c r="I37" s="229">
        <v>0</v>
      </c>
      <c r="J37" s="229">
        <f t="shared" si="3"/>
        <v>149.5</v>
      </c>
      <c r="K37" s="364">
        <v>1</v>
      </c>
      <c r="L37" s="229">
        <f t="shared" si="4"/>
        <v>149.5</v>
      </c>
      <c r="M37" s="16"/>
      <c r="N37" s="16"/>
      <c r="O37" s="229">
        <v>0</v>
      </c>
      <c r="P37" s="229">
        <v>0</v>
      </c>
      <c r="Q37" s="229">
        <v>0</v>
      </c>
      <c r="R37" s="229">
        <f t="shared" si="5"/>
        <v>0</v>
      </c>
      <c r="S37" s="229">
        <v>0</v>
      </c>
      <c r="T37" s="229">
        <v>0</v>
      </c>
      <c r="U37" s="229">
        <f t="shared" si="6"/>
        <v>0</v>
      </c>
      <c r="V37" s="229">
        <v>149.5</v>
      </c>
      <c r="W37" s="229">
        <v>0</v>
      </c>
      <c r="X37" s="358">
        <f t="shared" si="7"/>
        <v>149.5</v>
      </c>
      <c r="Y37" s="325" t="b">
        <f t="shared" si="1"/>
        <v>1</v>
      </c>
    </row>
    <row r="38" spans="1:25" s="4" customFormat="1">
      <c r="A38" s="16">
        <v>24</v>
      </c>
      <c r="B38" t="s">
        <v>250</v>
      </c>
      <c r="C38" t="s">
        <v>1074</v>
      </c>
      <c r="D38" s="16"/>
      <c r="E38" s="229">
        <v>8300</v>
      </c>
      <c r="F38" s="229">
        <v>0</v>
      </c>
      <c r="G38" s="229">
        <v>0</v>
      </c>
      <c r="H38" s="229">
        <f t="shared" si="2"/>
        <v>8300</v>
      </c>
      <c r="I38" s="229">
        <v>0</v>
      </c>
      <c r="J38" s="229">
        <f t="shared" si="3"/>
        <v>8300</v>
      </c>
      <c r="K38" s="364">
        <v>1</v>
      </c>
      <c r="L38" s="229">
        <f t="shared" si="4"/>
        <v>8300</v>
      </c>
      <c r="M38" s="16"/>
      <c r="N38" s="16"/>
      <c r="O38" s="229">
        <v>0</v>
      </c>
      <c r="P38" s="229">
        <v>0</v>
      </c>
      <c r="Q38" s="229">
        <v>0</v>
      </c>
      <c r="R38" s="229">
        <f t="shared" si="5"/>
        <v>0</v>
      </c>
      <c r="S38" s="229">
        <v>8300</v>
      </c>
      <c r="T38" s="229">
        <v>0</v>
      </c>
      <c r="U38" s="229">
        <f t="shared" si="6"/>
        <v>8300</v>
      </c>
      <c r="V38" s="229">
        <v>0</v>
      </c>
      <c r="W38" s="229">
        <v>0</v>
      </c>
      <c r="X38" s="358">
        <f t="shared" si="7"/>
        <v>8300</v>
      </c>
      <c r="Y38" s="325" t="b">
        <f t="shared" si="1"/>
        <v>1</v>
      </c>
    </row>
    <row r="39" spans="1:25" s="4" customFormat="1">
      <c r="A39" s="16">
        <v>25</v>
      </c>
      <c r="B39" t="s">
        <v>250</v>
      </c>
      <c r="C39" t="s">
        <v>1075</v>
      </c>
      <c r="D39" s="16"/>
      <c r="E39" s="229">
        <v>11</v>
      </c>
      <c r="F39" s="229">
        <v>0</v>
      </c>
      <c r="G39" s="229">
        <v>0</v>
      </c>
      <c r="H39" s="229">
        <f t="shared" si="2"/>
        <v>11</v>
      </c>
      <c r="I39" s="229">
        <v>0</v>
      </c>
      <c r="J39" s="229">
        <f t="shared" si="3"/>
        <v>11</v>
      </c>
      <c r="K39" s="364">
        <v>1</v>
      </c>
      <c r="L39" s="229">
        <f t="shared" si="4"/>
        <v>11</v>
      </c>
      <c r="M39" s="16"/>
      <c r="N39" s="16"/>
      <c r="O39" s="229">
        <v>0</v>
      </c>
      <c r="P39" s="229">
        <v>0</v>
      </c>
      <c r="Q39" s="229">
        <v>0</v>
      </c>
      <c r="R39" s="229">
        <f t="shared" si="5"/>
        <v>0</v>
      </c>
      <c r="S39" s="229">
        <v>11</v>
      </c>
      <c r="T39" s="229">
        <v>0</v>
      </c>
      <c r="U39" s="229">
        <f t="shared" si="6"/>
        <v>11</v>
      </c>
      <c r="V39" s="229">
        <v>0</v>
      </c>
      <c r="W39" s="229">
        <v>0</v>
      </c>
      <c r="X39" s="358">
        <f t="shared" si="7"/>
        <v>11</v>
      </c>
      <c r="Y39" s="325" t="b">
        <f t="shared" si="1"/>
        <v>1</v>
      </c>
    </row>
    <row r="40" spans="1:25" s="4" customFormat="1">
      <c r="A40" s="16">
        <v>26</v>
      </c>
      <c r="B40" t="s">
        <v>250</v>
      </c>
      <c r="C40" t="s">
        <v>1012</v>
      </c>
      <c r="D40" s="16"/>
      <c r="E40" s="229">
        <v>182</v>
      </c>
      <c r="F40" s="229">
        <v>0</v>
      </c>
      <c r="G40" s="229">
        <v>0</v>
      </c>
      <c r="H40" s="229">
        <f t="shared" si="2"/>
        <v>182</v>
      </c>
      <c r="I40" s="229">
        <v>0</v>
      </c>
      <c r="J40" s="229">
        <f t="shared" si="3"/>
        <v>182</v>
      </c>
      <c r="K40" s="364">
        <v>1</v>
      </c>
      <c r="L40" s="229">
        <f t="shared" si="4"/>
        <v>182</v>
      </c>
      <c r="M40" s="16"/>
      <c r="N40" s="16"/>
      <c r="O40" s="229">
        <v>0</v>
      </c>
      <c r="P40" s="229">
        <v>0</v>
      </c>
      <c r="Q40" s="229">
        <v>0</v>
      </c>
      <c r="R40" s="229">
        <f t="shared" si="5"/>
        <v>0</v>
      </c>
      <c r="S40" s="229">
        <v>182</v>
      </c>
      <c r="T40" s="229">
        <v>0</v>
      </c>
      <c r="U40" s="229">
        <f t="shared" si="6"/>
        <v>182</v>
      </c>
      <c r="V40" s="229">
        <v>0</v>
      </c>
      <c r="W40" s="229">
        <v>0</v>
      </c>
      <c r="X40" s="358">
        <f t="shared" si="7"/>
        <v>182</v>
      </c>
      <c r="Y40" s="325" t="b">
        <f t="shared" si="1"/>
        <v>1</v>
      </c>
    </row>
    <row r="41" spans="1:25" s="4" customFormat="1">
      <c r="A41" s="16">
        <v>27</v>
      </c>
      <c r="B41" t="s">
        <v>250</v>
      </c>
      <c r="C41" t="s">
        <v>1076</v>
      </c>
      <c r="D41" s="16"/>
      <c r="E41" s="229">
        <v>119.6</v>
      </c>
      <c r="F41" s="229">
        <v>0</v>
      </c>
      <c r="G41" s="229">
        <v>0</v>
      </c>
      <c r="H41" s="229">
        <f t="shared" si="2"/>
        <v>119.6</v>
      </c>
      <c r="I41" s="229">
        <v>0</v>
      </c>
      <c r="J41" s="229">
        <f t="shared" si="3"/>
        <v>119.6</v>
      </c>
      <c r="K41" s="364">
        <v>1</v>
      </c>
      <c r="L41" s="229">
        <f t="shared" si="4"/>
        <v>119.6</v>
      </c>
      <c r="M41" s="16"/>
      <c r="N41" s="16"/>
      <c r="O41" s="229">
        <v>0</v>
      </c>
      <c r="P41" s="229">
        <v>0</v>
      </c>
      <c r="Q41" s="229">
        <v>0</v>
      </c>
      <c r="R41" s="229">
        <f t="shared" si="5"/>
        <v>0</v>
      </c>
      <c r="S41" s="229">
        <v>119.6</v>
      </c>
      <c r="T41" s="229">
        <v>0</v>
      </c>
      <c r="U41" s="229">
        <f t="shared" si="6"/>
        <v>119.6</v>
      </c>
      <c r="V41" s="229">
        <v>0</v>
      </c>
      <c r="W41" s="229">
        <v>0</v>
      </c>
      <c r="X41" s="358">
        <f t="shared" si="7"/>
        <v>119.6</v>
      </c>
      <c r="Y41" s="325" t="b">
        <f t="shared" si="1"/>
        <v>1</v>
      </c>
    </row>
    <row r="42" spans="1:25" s="4" customFormat="1">
      <c r="A42" s="16">
        <v>28</v>
      </c>
      <c r="B42" t="s">
        <v>250</v>
      </c>
      <c r="C42" t="s">
        <v>737</v>
      </c>
      <c r="D42" s="16"/>
      <c r="E42" s="229">
        <v>33.4</v>
      </c>
      <c r="F42" s="229">
        <v>0</v>
      </c>
      <c r="G42" s="229">
        <v>0</v>
      </c>
      <c r="H42" s="229">
        <f t="shared" si="2"/>
        <v>33.4</v>
      </c>
      <c r="I42" s="229">
        <v>0</v>
      </c>
      <c r="J42" s="229">
        <f t="shared" si="3"/>
        <v>33.4</v>
      </c>
      <c r="K42" s="364">
        <v>1</v>
      </c>
      <c r="L42" s="229">
        <f t="shared" si="4"/>
        <v>33.4</v>
      </c>
      <c r="M42" s="16"/>
      <c r="N42" s="16"/>
      <c r="O42" s="229">
        <v>0</v>
      </c>
      <c r="P42" s="229">
        <v>0</v>
      </c>
      <c r="Q42" s="229">
        <v>0</v>
      </c>
      <c r="R42" s="229">
        <f t="shared" si="5"/>
        <v>0</v>
      </c>
      <c r="S42" s="229">
        <v>33.4</v>
      </c>
      <c r="T42" s="229">
        <v>0</v>
      </c>
      <c r="U42" s="229">
        <f t="shared" si="6"/>
        <v>33.4</v>
      </c>
      <c r="V42" s="229">
        <v>0</v>
      </c>
      <c r="W42" s="229">
        <v>0</v>
      </c>
      <c r="X42" s="358">
        <f t="shared" si="7"/>
        <v>33.4</v>
      </c>
      <c r="Y42" s="325" t="b">
        <f t="shared" si="1"/>
        <v>1</v>
      </c>
    </row>
    <row r="43" spans="1:25" s="4" customFormat="1">
      <c r="A43" s="16">
        <v>29</v>
      </c>
      <c r="B43" t="s">
        <v>250</v>
      </c>
      <c r="C43" t="s">
        <v>1077</v>
      </c>
      <c r="D43" s="16"/>
      <c r="E43" s="229">
        <v>6</v>
      </c>
      <c r="F43" s="229">
        <v>0</v>
      </c>
      <c r="G43" s="229">
        <v>0</v>
      </c>
      <c r="H43" s="229">
        <f t="shared" si="2"/>
        <v>6</v>
      </c>
      <c r="I43" s="229">
        <v>0</v>
      </c>
      <c r="J43" s="229">
        <f t="shared" si="3"/>
        <v>6</v>
      </c>
      <c r="K43" s="364">
        <v>1</v>
      </c>
      <c r="L43" s="229">
        <f t="shared" si="4"/>
        <v>6</v>
      </c>
      <c r="M43" s="16"/>
      <c r="N43" s="16"/>
      <c r="O43" s="229">
        <v>0</v>
      </c>
      <c r="P43" s="229">
        <v>0</v>
      </c>
      <c r="Q43" s="229">
        <v>0</v>
      </c>
      <c r="R43" s="229">
        <f t="shared" si="5"/>
        <v>0</v>
      </c>
      <c r="S43" s="229">
        <v>6</v>
      </c>
      <c r="T43" s="229">
        <v>0</v>
      </c>
      <c r="U43" s="229">
        <f t="shared" si="6"/>
        <v>6</v>
      </c>
      <c r="V43" s="229">
        <v>0</v>
      </c>
      <c r="W43" s="229">
        <v>0</v>
      </c>
      <c r="X43" s="358">
        <f t="shared" si="7"/>
        <v>6</v>
      </c>
      <c r="Y43" s="325" t="b">
        <f t="shared" si="1"/>
        <v>1</v>
      </c>
    </row>
    <row r="44" spans="1:25" s="4" customFormat="1">
      <c r="A44" s="16">
        <v>30</v>
      </c>
      <c r="B44" t="s">
        <v>250</v>
      </c>
      <c r="C44" t="s">
        <v>1078</v>
      </c>
      <c r="D44" s="16"/>
      <c r="E44" s="229">
        <v>40.6</v>
      </c>
      <c r="F44" s="229">
        <v>0</v>
      </c>
      <c r="G44" s="229">
        <v>0</v>
      </c>
      <c r="H44" s="229">
        <f t="shared" si="2"/>
        <v>40.6</v>
      </c>
      <c r="I44" s="229">
        <v>0</v>
      </c>
      <c r="J44" s="229">
        <f t="shared" si="3"/>
        <v>40.6</v>
      </c>
      <c r="K44" s="364">
        <v>1</v>
      </c>
      <c r="L44" s="229">
        <f t="shared" si="4"/>
        <v>40.6</v>
      </c>
      <c r="M44" s="16"/>
      <c r="N44" s="16"/>
      <c r="O44" s="229">
        <v>0</v>
      </c>
      <c r="P44" s="229">
        <v>0</v>
      </c>
      <c r="Q44" s="229">
        <v>0</v>
      </c>
      <c r="R44" s="229">
        <f t="shared" si="5"/>
        <v>0</v>
      </c>
      <c r="S44" s="229">
        <v>40.6</v>
      </c>
      <c r="T44" s="229">
        <v>0</v>
      </c>
      <c r="U44" s="229">
        <f t="shared" si="6"/>
        <v>40.6</v>
      </c>
      <c r="V44" s="229">
        <v>0</v>
      </c>
      <c r="W44" s="229">
        <v>0</v>
      </c>
      <c r="X44" s="358">
        <f t="shared" si="7"/>
        <v>40.6</v>
      </c>
      <c r="Y44" s="325" t="b">
        <f t="shared" si="1"/>
        <v>1</v>
      </c>
    </row>
    <row r="45" spans="1:25" s="4" customFormat="1">
      <c r="A45" s="16">
        <v>31</v>
      </c>
      <c r="B45" t="s">
        <v>250</v>
      </c>
      <c r="C45" t="s">
        <v>1073</v>
      </c>
      <c r="D45" s="16"/>
      <c r="E45" s="229">
        <v>223.6</v>
      </c>
      <c r="F45" s="229">
        <v>0</v>
      </c>
      <c r="G45" s="229">
        <v>0</v>
      </c>
      <c r="H45" s="229">
        <f t="shared" si="2"/>
        <v>223.6</v>
      </c>
      <c r="I45" s="229">
        <v>0</v>
      </c>
      <c r="J45" s="229">
        <f t="shared" si="3"/>
        <v>223.6</v>
      </c>
      <c r="K45" s="364">
        <v>1</v>
      </c>
      <c r="L45" s="229">
        <f t="shared" si="4"/>
        <v>223.6</v>
      </c>
      <c r="M45" s="16"/>
      <c r="N45" s="16"/>
      <c r="O45" s="229">
        <v>0</v>
      </c>
      <c r="P45" s="229">
        <v>0</v>
      </c>
      <c r="Q45" s="229">
        <v>0</v>
      </c>
      <c r="R45" s="229">
        <f t="shared" si="5"/>
        <v>0</v>
      </c>
      <c r="S45" s="229">
        <v>223.6</v>
      </c>
      <c r="T45" s="229">
        <v>0</v>
      </c>
      <c r="U45" s="229">
        <f t="shared" si="6"/>
        <v>223.6</v>
      </c>
      <c r="V45" s="229">
        <v>0</v>
      </c>
      <c r="W45" s="229">
        <v>0</v>
      </c>
      <c r="X45" s="358">
        <f t="shared" si="7"/>
        <v>223.6</v>
      </c>
      <c r="Y45" s="325" t="b">
        <f t="shared" si="1"/>
        <v>1</v>
      </c>
    </row>
    <row r="46" spans="1:25" s="4" customFormat="1">
      <c r="A46" s="16">
        <v>32</v>
      </c>
      <c r="B46" t="s">
        <v>250</v>
      </c>
      <c r="C46" t="s">
        <v>1079</v>
      </c>
      <c r="D46" s="16"/>
      <c r="E46" s="229">
        <v>63.75</v>
      </c>
      <c r="F46" s="229">
        <v>0</v>
      </c>
      <c r="G46" s="229">
        <v>0</v>
      </c>
      <c r="H46" s="229">
        <f t="shared" si="2"/>
        <v>63.75</v>
      </c>
      <c r="I46" s="229">
        <v>0</v>
      </c>
      <c r="J46" s="229">
        <f t="shared" si="3"/>
        <v>63.75</v>
      </c>
      <c r="K46" s="364">
        <v>1</v>
      </c>
      <c r="L46" s="229">
        <f t="shared" si="4"/>
        <v>63.75</v>
      </c>
      <c r="M46" s="16"/>
      <c r="N46" s="16"/>
      <c r="O46" s="229">
        <v>0</v>
      </c>
      <c r="P46" s="229">
        <v>0</v>
      </c>
      <c r="Q46" s="229">
        <v>0</v>
      </c>
      <c r="R46" s="229">
        <f t="shared" si="5"/>
        <v>0</v>
      </c>
      <c r="S46" s="229">
        <v>63.75</v>
      </c>
      <c r="T46" s="229">
        <v>0</v>
      </c>
      <c r="U46" s="229">
        <f t="shared" si="6"/>
        <v>63.75</v>
      </c>
      <c r="V46" s="229">
        <v>0</v>
      </c>
      <c r="W46" s="229">
        <v>0</v>
      </c>
      <c r="X46" s="358">
        <f t="shared" si="7"/>
        <v>63.75</v>
      </c>
      <c r="Y46" s="325" t="b">
        <f t="shared" si="1"/>
        <v>1</v>
      </c>
    </row>
    <row r="47" spans="1:25" s="4" customFormat="1">
      <c r="A47" s="16">
        <v>33</v>
      </c>
      <c r="B47" t="s">
        <v>250</v>
      </c>
      <c r="C47" t="s">
        <v>1069</v>
      </c>
      <c r="D47" s="16"/>
      <c r="E47" s="229">
        <v>34</v>
      </c>
      <c r="F47" s="229">
        <v>0</v>
      </c>
      <c r="G47" s="229">
        <v>0</v>
      </c>
      <c r="H47" s="229">
        <f t="shared" si="2"/>
        <v>34</v>
      </c>
      <c r="I47" s="229">
        <v>0</v>
      </c>
      <c r="J47" s="229">
        <f t="shared" si="3"/>
        <v>34</v>
      </c>
      <c r="K47" s="364">
        <v>1</v>
      </c>
      <c r="L47" s="229">
        <f t="shared" si="4"/>
        <v>34</v>
      </c>
      <c r="M47" s="16"/>
      <c r="N47" s="16"/>
      <c r="O47" s="229">
        <v>0</v>
      </c>
      <c r="P47" s="229">
        <v>0</v>
      </c>
      <c r="Q47" s="229">
        <v>0</v>
      </c>
      <c r="R47" s="229">
        <f t="shared" si="5"/>
        <v>0</v>
      </c>
      <c r="S47" s="229">
        <v>34</v>
      </c>
      <c r="T47" s="229">
        <v>0</v>
      </c>
      <c r="U47" s="229">
        <f t="shared" si="6"/>
        <v>34</v>
      </c>
      <c r="V47" s="229">
        <v>0</v>
      </c>
      <c r="W47" s="229">
        <v>0</v>
      </c>
      <c r="X47" s="358">
        <f t="shared" si="7"/>
        <v>34</v>
      </c>
      <c r="Y47" s="325" t="b">
        <f t="shared" si="1"/>
        <v>1</v>
      </c>
    </row>
    <row r="48" spans="1:25" s="4" customFormat="1">
      <c r="A48" s="16">
        <v>34</v>
      </c>
      <c r="B48" t="s">
        <v>250</v>
      </c>
      <c r="C48" t="s">
        <v>1063</v>
      </c>
      <c r="D48" s="16"/>
      <c r="E48" s="229">
        <v>189.13</v>
      </c>
      <c r="F48" s="229">
        <v>0</v>
      </c>
      <c r="G48" s="229">
        <v>0</v>
      </c>
      <c r="H48" s="229">
        <f t="shared" si="2"/>
        <v>189.13</v>
      </c>
      <c r="I48" s="229">
        <v>0</v>
      </c>
      <c r="J48" s="229">
        <f t="shared" si="3"/>
        <v>189.13</v>
      </c>
      <c r="K48" s="364">
        <v>1</v>
      </c>
      <c r="L48" s="229">
        <f t="shared" si="4"/>
        <v>189.13</v>
      </c>
      <c r="M48" s="16"/>
      <c r="N48" s="16"/>
      <c r="O48" s="229">
        <v>0</v>
      </c>
      <c r="P48" s="229">
        <v>0</v>
      </c>
      <c r="Q48" s="229">
        <v>0</v>
      </c>
      <c r="R48" s="229">
        <f t="shared" si="5"/>
        <v>0</v>
      </c>
      <c r="S48" s="229">
        <v>189.13</v>
      </c>
      <c r="T48" s="229">
        <v>0</v>
      </c>
      <c r="U48" s="229">
        <f t="shared" si="6"/>
        <v>189.13</v>
      </c>
      <c r="V48" s="229">
        <v>0</v>
      </c>
      <c r="W48" s="229">
        <v>0</v>
      </c>
      <c r="X48" s="358">
        <f t="shared" si="7"/>
        <v>189.13</v>
      </c>
      <c r="Y48" s="325" t="b">
        <f t="shared" si="1"/>
        <v>1</v>
      </c>
    </row>
    <row r="49" spans="1:25" s="4" customFormat="1">
      <c r="A49" s="16">
        <v>35</v>
      </c>
      <c r="B49" t="s">
        <v>250</v>
      </c>
      <c r="C49" t="s">
        <v>1080</v>
      </c>
      <c r="D49" s="16"/>
      <c r="E49" s="229">
        <v>68.430000000000007</v>
      </c>
      <c r="F49" s="229">
        <v>0</v>
      </c>
      <c r="G49" s="229">
        <v>0</v>
      </c>
      <c r="H49" s="229">
        <f t="shared" si="2"/>
        <v>68.430000000000007</v>
      </c>
      <c r="I49" s="229">
        <v>0</v>
      </c>
      <c r="J49" s="229">
        <f t="shared" si="3"/>
        <v>68.430000000000007</v>
      </c>
      <c r="K49" s="364">
        <v>1</v>
      </c>
      <c r="L49" s="229">
        <f t="shared" si="4"/>
        <v>68.430000000000007</v>
      </c>
      <c r="M49" s="16"/>
      <c r="N49" s="16"/>
      <c r="O49" s="229">
        <v>0</v>
      </c>
      <c r="P49" s="229">
        <v>0</v>
      </c>
      <c r="Q49" s="229">
        <v>0</v>
      </c>
      <c r="R49" s="229">
        <f t="shared" si="5"/>
        <v>0</v>
      </c>
      <c r="S49" s="229">
        <v>68.430000000000007</v>
      </c>
      <c r="T49" s="229">
        <v>0</v>
      </c>
      <c r="U49" s="229">
        <f t="shared" si="6"/>
        <v>68.430000000000007</v>
      </c>
      <c r="V49" s="229">
        <v>0</v>
      </c>
      <c r="W49" s="229">
        <v>0</v>
      </c>
      <c r="X49" s="358">
        <f t="shared" si="7"/>
        <v>68.430000000000007</v>
      </c>
      <c r="Y49" s="325" t="b">
        <f t="shared" si="1"/>
        <v>1</v>
      </c>
    </row>
    <row r="50" spans="1:25" s="4" customFormat="1">
      <c r="A50" s="16">
        <v>36</v>
      </c>
      <c r="B50" t="s">
        <v>250</v>
      </c>
      <c r="C50" t="s">
        <v>1081</v>
      </c>
      <c r="D50" s="16"/>
      <c r="E50" s="229">
        <v>31.25</v>
      </c>
      <c r="F50" s="229">
        <v>0</v>
      </c>
      <c r="G50" s="229">
        <v>0</v>
      </c>
      <c r="H50" s="229">
        <f t="shared" si="2"/>
        <v>31.25</v>
      </c>
      <c r="I50" s="229">
        <v>0</v>
      </c>
      <c r="J50" s="229">
        <f t="shared" si="3"/>
        <v>31.25</v>
      </c>
      <c r="K50" s="364">
        <v>1</v>
      </c>
      <c r="L50" s="229">
        <f t="shared" si="4"/>
        <v>31.25</v>
      </c>
      <c r="M50" s="16"/>
      <c r="N50" s="16"/>
      <c r="O50" s="229">
        <v>0</v>
      </c>
      <c r="P50" s="229">
        <v>0</v>
      </c>
      <c r="Q50" s="229">
        <v>0</v>
      </c>
      <c r="R50" s="229">
        <f t="shared" si="5"/>
        <v>0</v>
      </c>
      <c r="S50" s="229">
        <v>31.25</v>
      </c>
      <c r="T50" s="229">
        <v>0</v>
      </c>
      <c r="U50" s="229">
        <f t="shared" si="6"/>
        <v>31.25</v>
      </c>
      <c r="V50" s="229">
        <v>0</v>
      </c>
      <c r="W50" s="229">
        <v>0</v>
      </c>
      <c r="X50" s="358">
        <f t="shared" si="7"/>
        <v>31.25</v>
      </c>
      <c r="Y50" s="325" t="b">
        <f t="shared" si="1"/>
        <v>1</v>
      </c>
    </row>
    <row r="51" spans="1:25" s="4" customFormat="1">
      <c r="A51" s="16">
        <v>37</v>
      </c>
      <c r="B51" t="s">
        <v>250</v>
      </c>
      <c r="C51" t="s">
        <v>1082</v>
      </c>
      <c r="D51" s="16"/>
      <c r="E51" s="229">
        <v>36.5</v>
      </c>
      <c r="F51" s="229">
        <v>0</v>
      </c>
      <c r="G51" s="229">
        <v>0</v>
      </c>
      <c r="H51" s="229">
        <f t="shared" si="2"/>
        <v>36.5</v>
      </c>
      <c r="I51" s="229">
        <v>0</v>
      </c>
      <c r="J51" s="229">
        <f t="shared" si="3"/>
        <v>36.5</v>
      </c>
      <c r="K51" s="364">
        <v>1</v>
      </c>
      <c r="L51" s="229">
        <f t="shared" si="4"/>
        <v>36.5</v>
      </c>
      <c r="M51" s="16"/>
      <c r="N51" s="16"/>
      <c r="O51" s="229">
        <v>0</v>
      </c>
      <c r="P51" s="229">
        <v>0</v>
      </c>
      <c r="Q51" s="229">
        <v>0</v>
      </c>
      <c r="R51" s="229">
        <f t="shared" si="5"/>
        <v>0</v>
      </c>
      <c r="S51" s="229">
        <v>36.5</v>
      </c>
      <c r="T51" s="229">
        <v>0</v>
      </c>
      <c r="U51" s="229">
        <f t="shared" si="6"/>
        <v>36.5</v>
      </c>
      <c r="V51" s="229">
        <v>0</v>
      </c>
      <c r="W51" s="229">
        <v>0</v>
      </c>
      <c r="X51" s="358">
        <f t="shared" si="7"/>
        <v>36.5</v>
      </c>
      <c r="Y51" s="325" t="b">
        <f t="shared" si="1"/>
        <v>1</v>
      </c>
    </row>
    <row r="52" spans="1:25" s="4" customFormat="1">
      <c r="A52" s="16">
        <v>38</v>
      </c>
      <c r="B52" t="s">
        <v>250</v>
      </c>
      <c r="C52" t="s">
        <v>1083</v>
      </c>
      <c r="D52" s="16"/>
      <c r="E52" s="229">
        <v>51</v>
      </c>
      <c r="F52" s="229">
        <v>0</v>
      </c>
      <c r="G52" s="229">
        <v>0</v>
      </c>
      <c r="H52" s="229">
        <f t="shared" si="2"/>
        <v>51</v>
      </c>
      <c r="I52" s="229">
        <v>0</v>
      </c>
      <c r="J52" s="229">
        <f t="shared" si="3"/>
        <v>51</v>
      </c>
      <c r="K52" s="364">
        <v>1</v>
      </c>
      <c r="L52" s="229">
        <f t="shared" si="4"/>
        <v>51</v>
      </c>
      <c r="M52" s="16"/>
      <c r="N52" s="16"/>
      <c r="O52" s="229">
        <v>0</v>
      </c>
      <c r="P52" s="229">
        <v>0</v>
      </c>
      <c r="Q52" s="229">
        <v>0</v>
      </c>
      <c r="R52" s="229">
        <f t="shared" si="5"/>
        <v>0</v>
      </c>
      <c r="S52" s="229">
        <v>51</v>
      </c>
      <c r="T52" s="229">
        <v>0</v>
      </c>
      <c r="U52" s="229">
        <f t="shared" si="6"/>
        <v>51</v>
      </c>
      <c r="V52" s="229">
        <v>0</v>
      </c>
      <c r="W52" s="229">
        <v>0</v>
      </c>
      <c r="X52" s="358">
        <f t="shared" si="7"/>
        <v>51</v>
      </c>
      <c r="Y52" s="325" t="b">
        <f t="shared" si="1"/>
        <v>1</v>
      </c>
    </row>
    <row r="53" spans="1:25" s="4" customFormat="1">
      <c r="A53" s="16">
        <v>39</v>
      </c>
      <c r="B53" t="s">
        <v>250</v>
      </c>
      <c r="C53" t="s">
        <v>1084</v>
      </c>
      <c r="D53" s="16"/>
      <c r="E53" s="229">
        <v>76</v>
      </c>
      <c r="F53" s="229">
        <v>0</v>
      </c>
      <c r="G53" s="229">
        <v>0</v>
      </c>
      <c r="H53" s="229">
        <f t="shared" si="2"/>
        <v>76</v>
      </c>
      <c r="I53" s="229">
        <v>0</v>
      </c>
      <c r="J53" s="229">
        <f t="shared" si="3"/>
        <v>76</v>
      </c>
      <c r="K53" s="364">
        <v>1</v>
      </c>
      <c r="L53" s="229">
        <f t="shared" si="4"/>
        <v>76</v>
      </c>
      <c r="M53" s="16"/>
      <c r="N53" s="16"/>
      <c r="O53" s="229">
        <v>0</v>
      </c>
      <c r="P53" s="229">
        <v>0</v>
      </c>
      <c r="Q53" s="229">
        <v>0</v>
      </c>
      <c r="R53" s="229">
        <f t="shared" si="5"/>
        <v>0</v>
      </c>
      <c r="S53" s="229">
        <v>76</v>
      </c>
      <c r="T53" s="229">
        <v>0</v>
      </c>
      <c r="U53" s="229">
        <f t="shared" si="6"/>
        <v>76</v>
      </c>
      <c r="V53" s="229">
        <v>0</v>
      </c>
      <c r="W53" s="229">
        <v>0</v>
      </c>
      <c r="X53" s="358">
        <f t="shared" si="7"/>
        <v>76</v>
      </c>
      <c r="Y53" s="325" t="b">
        <f t="shared" si="1"/>
        <v>1</v>
      </c>
    </row>
    <row r="54" spans="1:25" s="4" customFormat="1">
      <c r="A54" s="16">
        <v>40</v>
      </c>
      <c r="B54" t="s">
        <v>250</v>
      </c>
      <c r="C54" t="s">
        <v>887</v>
      </c>
      <c r="D54" s="16"/>
      <c r="E54" s="229">
        <v>21.38</v>
      </c>
      <c r="F54" s="229">
        <v>0</v>
      </c>
      <c r="G54" s="229">
        <v>0</v>
      </c>
      <c r="H54" s="229">
        <f t="shared" si="2"/>
        <v>21.38</v>
      </c>
      <c r="I54" s="229">
        <v>0</v>
      </c>
      <c r="J54" s="229">
        <f t="shared" si="3"/>
        <v>21.38</v>
      </c>
      <c r="K54" s="364">
        <v>1</v>
      </c>
      <c r="L54" s="229">
        <f t="shared" si="4"/>
        <v>21.38</v>
      </c>
      <c r="M54" s="16"/>
      <c r="N54" s="16"/>
      <c r="O54" s="229">
        <v>0</v>
      </c>
      <c r="P54" s="229">
        <v>0</v>
      </c>
      <c r="Q54" s="229">
        <v>0</v>
      </c>
      <c r="R54" s="229">
        <f t="shared" si="5"/>
        <v>0</v>
      </c>
      <c r="S54" s="229">
        <v>21.38</v>
      </c>
      <c r="T54" s="229">
        <v>0</v>
      </c>
      <c r="U54" s="229">
        <f t="shared" si="6"/>
        <v>21.38</v>
      </c>
      <c r="V54" s="229">
        <v>0</v>
      </c>
      <c r="W54" s="229">
        <v>0</v>
      </c>
      <c r="X54" s="358">
        <f t="shared" si="7"/>
        <v>21.38</v>
      </c>
      <c r="Y54" s="325" t="b">
        <f t="shared" si="1"/>
        <v>1</v>
      </c>
    </row>
    <row r="55" spans="1:25" s="4" customFormat="1">
      <c r="A55" s="16">
        <v>41</v>
      </c>
      <c r="B55" t="s">
        <v>250</v>
      </c>
      <c r="C55" t="s">
        <v>1085</v>
      </c>
      <c r="D55" s="16"/>
      <c r="E55" s="229">
        <v>39.900000000000006</v>
      </c>
      <c r="F55" s="229">
        <v>0</v>
      </c>
      <c r="G55" s="229">
        <v>0</v>
      </c>
      <c r="H55" s="229">
        <f t="shared" si="2"/>
        <v>39.900000000000006</v>
      </c>
      <c r="I55" s="229">
        <v>0</v>
      </c>
      <c r="J55" s="229">
        <f t="shared" si="3"/>
        <v>39.900000000000006</v>
      </c>
      <c r="K55" s="364">
        <v>1</v>
      </c>
      <c r="L55" s="229">
        <f t="shared" si="4"/>
        <v>39.900000000000006</v>
      </c>
      <c r="M55" s="16"/>
      <c r="N55" s="16"/>
      <c r="O55" s="229">
        <v>0</v>
      </c>
      <c r="P55" s="229">
        <v>0</v>
      </c>
      <c r="Q55" s="229">
        <v>0</v>
      </c>
      <c r="R55" s="229">
        <f t="shared" si="5"/>
        <v>0</v>
      </c>
      <c r="S55" s="229">
        <v>39.900000000000006</v>
      </c>
      <c r="T55" s="229">
        <v>0</v>
      </c>
      <c r="U55" s="229">
        <f t="shared" si="6"/>
        <v>39.900000000000006</v>
      </c>
      <c r="V55" s="229">
        <v>0</v>
      </c>
      <c r="W55" s="229">
        <v>0</v>
      </c>
      <c r="X55" s="358">
        <f t="shared" si="7"/>
        <v>39.900000000000006</v>
      </c>
      <c r="Y55" s="325" t="b">
        <f t="shared" si="1"/>
        <v>1</v>
      </c>
    </row>
    <row r="56" spans="1:25" s="4" customFormat="1">
      <c r="A56" s="16">
        <v>42</v>
      </c>
      <c r="B56" t="s">
        <v>250</v>
      </c>
      <c r="C56" t="s">
        <v>1030</v>
      </c>
      <c r="D56" s="16"/>
      <c r="E56" s="229">
        <v>11.2</v>
      </c>
      <c r="F56" s="229">
        <v>0</v>
      </c>
      <c r="G56" s="229">
        <v>0</v>
      </c>
      <c r="H56" s="229">
        <f t="shared" si="2"/>
        <v>11.2</v>
      </c>
      <c r="I56" s="229">
        <v>0</v>
      </c>
      <c r="J56" s="229">
        <f t="shared" si="3"/>
        <v>11.2</v>
      </c>
      <c r="K56" s="364">
        <v>1</v>
      </c>
      <c r="L56" s="229">
        <f t="shared" si="4"/>
        <v>11.2</v>
      </c>
      <c r="M56" s="16"/>
      <c r="N56" s="16"/>
      <c r="O56" s="229">
        <v>0</v>
      </c>
      <c r="P56" s="229">
        <v>0</v>
      </c>
      <c r="Q56" s="229">
        <v>0</v>
      </c>
      <c r="R56" s="229">
        <f t="shared" si="5"/>
        <v>0</v>
      </c>
      <c r="S56" s="229">
        <v>11.2</v>
      </c>
      <c r="T56" s="229">
        <v>0</v>
      </c>
      <c r="U56" s="229">
        <f t="shared" si="6"/>
        <v>11.2</v>
      </c>
      <c r="V56" s="229">
        <v>0</v>
      </c>
      <c r="W56" s="229">
        <v>0</v>
      </c>
      <c r="X56" s="358">
        <f t="shared" si="7"/>
        <v>11.2</v>
      </c>
      <c r="Y56" s="325" t="b">
        <f t="shared" si="1"/>
        <v>1</v>
      </c>
    </row>
    <row r="57" spans="1:25" s="4" customFormat="1">
      <c r="A57" s="16">
        <v>43</v>
      </c>
      <c r="B57" t="s">
        <v>250</v>
      </c>
      <c r="C57" t="s">
        <v>1072</v>
      </c>
      <c r="D57" s="16"/>
      <c r="E57" s="229">
        <v>119.6</v>
      </c>
      <c r="F57" s="229">
        <v>0</v>
      </c>
      <c r="G57" s="229">
        <v>0</v>
      </c>
      <c r="H57" s="229">
        <f t="shared" si="2"/>
        <v>119.6</v>
      </c>
      <c r="I57" s="229">
        <v>0</v>
      </c>
      <c r="J57" s="229">
        <f t="shared" si="3"/>
        <v>119.6</v>
      </c>
      <c r="K57" s="364">
        <v>1</v>
      </c>
      <c r="L57" s="229">
        <f t="shared" si="4"/>
        <v>119.6</v>
      </c>
      <c r="M57" s="16"/>
      <c r="N57" s="16"/>
      <c r="O57" s="229">
        <v>0</v>
      </c>
      <c r="P57" s="229">
        <v>0</v>
      </c>
      <c r="Q57" s="229">
        <v>0</v>
      </c>
      <c r="R57" s="229">
        <f t="shared" si="5"/>
        <v>0</v>
      </c>
      <c r="S57" s="229">
        <v>119.6</v>
      </c>
      <c r="T57" s="229">
        <v>0</v>
      </c>
      <c r="U57" s="229">
        <f t="shared" si="6"/>
        <v>119.6</v>
      </c>
      <c r="V57" s="229">
        <v>0</v>
      </c>
      <c r="W57" s="229">
        <v>0</v>
      </c>
      <c r="X57" s="358">
        <f t="shared" si="7"/>
        <v>119.6</v>
      </c>
      <c r="Y57" s="325" t="b">
        <f t="shared" si="1"/>
        <v>1</v>
      </c>
    </row>
    <row r="58" spans="1:25" s="4" customFormat="1">
      <c r="A58" s="16">
        <v>44</v>
      </c>
      <c r="B58" t="s">
        <v>250</v>
      </c>
      <c r="C58" t="s">
        <v>1086</v>
      </c>
      <c r="D58" s="16"/>
      <c r="E58" s="229">
        <v>167.57</v>
      </c>
      <c r="F58" s="229">
        <v>0</v>
      </c>
      <c r="G58" s="229">
        <v>0</v>
      </c>
      <c r="H58" s="229">
        <f t="shared" si="2"/>
        <v>167.57</v>
      </c>
      <c r="I58" s="229">
        <v>0</v>
      </c>
      <c r="J58" s="229">
        <f t="shared" si="3"/>
        <v>167.57</v>
      </c>
      <c r="K58" s="364">
        <v>1</v>
      </c>
      <c r="L58" s="229">
        <f t="shared" si="4"/>
        <v>167.57</v>
      </c>
      <c r="M58" s="16"/>
      <c r="N58" s="16"/>
      <c r="O58" s="229">
        <v>0</v>
      </c>
      <c r="P58" s="229">
        <v>0</v>
      </c>
      <c r="Q58" s="229">
        <v>0</v>
      </c>
      <c r="R58" s="229">
        <f t="shared" si="5"/>
        <v>0</v>
      </c>
      <c r="S58" s="229">
        <v>167.57</v>
      </c>
      <c r="T58" s="229">
        <v>0</v>
      </c>
      <c r="U58" s="229">
        <f t="shared" si="6"/>
        <v>167.57</v>
      </c>
      <c r="V58" s="229">
        <v>0</v>
      </c>
      <c r="W58" s="229">
        <v>0</v>
      </c>
      <c r="X58" s="358">
        <f t="shared" si="7"/>
        <v>167.57</v>
      </c>
      <c r="Y58" s="325" t="b">
        <f t="shared" si="1"/>
        <v>1</v>
      </c>
    </row>
    <row r="59" spans="1:25" s="4" customFormat="1">
      <c r="A59" s="16">
        <v>45</v>
      </c>
      <c r="B59" t="s">
        <v>250</v>
      </c>
      <c r="C59" t="s">
        <v>1087</v>
      </c>
      <c r="D59" s="16"/>
      <c r="E59" s="229">
        <v>5500</v>
      </c>
      <c r="F59" s="229">
        <v>0</v>
      </c>
      <c r="G59" s="229">
        <v>0</v>
      </c>
      <c r="H59" s="229">
        <f t="shared" si="2"/>
        <v>5500</v>
      </c>
      <c r="I59" s="229">
        <v>0</v>
      </c>
      <c r="J59" s="229">
        <f t="shared" si="3"/>
        <v>5500</v>
      </c>
      <c r="K59" s="364">
        <v>1</v>
      </c>
      <c r="L59" s="229">
        <f t="shared" si="4"/>
        <v>5500</v>
      </c>
      <c r="M59" s="16"/>
      <c r="N59" s="16"/>
      <c r="O59" s="229">
        <v>0</v>
      </c>
      <c r="P59" s="229">
        <v>0</v>
      </c>
      <c r="Q59" s="229">
        <v>0</v>
      </c>
      <c r="R59" s="229">
        <f t="shared" si="5"/>
        <v>0</v>
      </c>
      <c r="S59" s="229">
        <v>5500</v>
      </c>
      <c r="T59" s="229">
        <v>0</v>
      </c>
      <c r="U59" s="229">
        <f t="shared" si="6"/>
        <v>5500</v>
      </c>
      <c r="V59" s="229">
        <v>0</v>
      </c>
      <c r="W59" s="229">
        <v>0</v>
      </c>
      <c r="X59" s="358">
        <f t="shared" si="7"/>
        <v>5500</v>
      </c>
      <c r="Y59" s="325" t="b">
        <f t="shared" si="1"/>
        <v>1</v>
      </c>
    </row>
    <row r="60" spans="1:25" s="4" customFormat="1">
      <c r="A60" s="16">
        <v>46</v>
      </c>
      <c r="B60" t="s">
        <v>250</v>
      </c>
      <c r="C60" t="s">
        <v>1061</v>
      </c>
      <c r="D60" s="16"/>
      <c r="E60" s="229">
        <v>17.2</v>
      </c>
      <c r="F60" s="229">
        <v>0</v>
      </c>
      <c r="G60" s="229">
        <v>0</v>
      </c>
      <c r="H60" s="229">
        <f t="shared" si="2"/>
        <v>17.2</v>
      </c>
      <c r="I60" s="229">
        <v>0</v>
      </c>
      <c r="J60" s="229">
        <f t="shared" si="3"/>
        <v>17.2</v>
      </c>
      <c r="K60" s="364">
        <v>1</v>
      </c>
      <c r="L60" s="229">
        <f t="shared" si="4"/>
        <v>17.2</v>
      </c>
      <c r="M60" s="16"/>
      <c r="N60" s="16"/>
      <c r="O60" s="229">
        <v>0</v>
      </c>
      <c r="P60" s="229">
        <v>0</v>
      </c>
      <c r="Q60" s="229">
        <v>0</v>
      </c>
      <c r="R60" s="229">
        <f t="shared" si="5"/>
        <v>0</v>
      </c>
      <c r="S60" s="229">
        <v>17.2</v>
      </c>
      <c r="T60" s="229">
        <v>0</v>
      </c>
      <c r="U60" s="229">
        <f t="shared" si="6"/>
        <v>17.2</v>
      </c>
      <c r="V60" s="229">
        <v>0</v>
      </c>
      <c r="W60" s="229">
        <v>0</v>
      </c>
      <c r="X60" s="358">
        <f t="shared" si="7"/>
        <v>17.2</v>
      </c>
      <c r="Y60" s="325" t="b">
        <f t="shared" si="1"/>
        <v>1</v>
      </c>
    </row>
    <row r="61" spans="1:25" s="4" customFormat="1">
      <c r="A61" s="16">
        <v>47</v>
      </c>
      <c r="B61" t="s">
        <v>250</v>
      </c>
      <c r="C61" t="s">
        <v>877</v>
      </c>
      <c r="D61" s="16"/>
      <c r="E61" s="229">
        <v>59.63</v>
      </c>
      <c r="F61" s="229">
        <v>0</v>
      </c>
      <c r="G61" s="229">
        <v>0</v>
      </c>
      <c r="H61" s="229">
        <f t="shared" si="2"/>
        <v>59.63</v>
      </c>
      <c r="I61" s="229">
        <v>0</v>
      </c>
      <c r="J61" s="229">
        <f t="shared" si="3"/>
        <v>59.63</v>
      </c>
      <c r="K61" s="364">
        <v>1</v>
      </c>
      <c r="L61" s="229">
        <f t="shared" si="4"/>
        <v>59.63</v>
      </c>
      <c r="M61" s="16"/>
      <c r="N61" s="16"/>
      <c r="O61" s="229">
        <v>0</v>
      </c>
      <c r="P61" s="229">
        <v>0</v>
      </c>
      <c r="Q61" s="229">
        <v>0</v>
      </c>
      <c r="R61" s="229">
        <f t="shared" si="5"/>
        <v>0</v>
      </c>
      <c r="S61" s="229">
        <v>59.63</v>
      </c>
      <c r="T61" s="229">
        <v>0</v>
      </c>
      <c r="U61" s="229">
        <f t="shared" si="6"/>
        <v>59.63</v>
      </c>
      <c r="V61" s="229">
        <v>0</v>
      </c>
      <c r="W61" s="229">
        <v>0</v>
      </c>
      <c r="X61" s="358">
        <f t="shared" si="7"/>
        <v>59.63</v>
      </c>
      <c r="Y61" s="325" t="b">
        <f t="shared" si="1"/>
        <v>1</v>
      </c>
    </row>
    <row r="62" spans="1:25" s="4" customFormat="1">
      <c r="A62" s="16">
        <v>48</v>
      </c>
      <c r="B62" t="s">
        <v>250</v>
      </c>
      <c r="C62" t="s">
        <v>1088</v>
      </c>
      <c r="D62" s="16"/>
      <c r="E62" s="229">
        <v>26.25</v>
      </c>
      <c r="F62" s="229">
        <v>0</v>
      </c>
      <c r="G62" s="229">
        <v>0</v>
      </c>
      <c r="H62" s="229">
        <f t="shared" si="2"/>
        <v>26.25</v>
      </c>
      <c r="I62" s="229">
        <v>0</v>
      </c>
      <c r="J62" s="229">
        <f t="shared" si="3"/>
        <v>26.25</v>
      </c>
      <c r="K62" s="364">
        <v>1</v>
      </c>
      <c r="L62" s="229">
        <f t="shared" si="4"/>
        <v>26.25</v>
      </c>
      <c r="M62" s="16"/>
      <c r="N62" s="16"/>
      <c r="O62" s="229">
        <v>0</v>
      </c>
      <c r="P62" s="229">
        <v>0</v>
      </c>
      <c r="Q62" s="229">
        <v>0</v>
      </c>
      <c r="R62" s="229">
        <f t="shared" si="5"/>
        <v>0</v>
      </c>
      <c r="S62" s="229">
        <v>26.25</v>
      </c>
      <c r="T62" s="229">
        <v>0</v>
      </c>
      <c r="U62" s="229">
        <f t="shared" si="6"/>
        <v>26.25</v>
      </c>
      <c r="V62" s="229">
        <v>0</v>
      </c>
      <c r="W62" s="229">
        <v>0</v>
      </c>
      <c r="X62" s="358">
        <f t="shared" si="7"/>
        <v>26.25</v>
      </c>
      <c r="Y62" s="325" t="b">
        <f t="shared" si="1"/>
        <v>1</v>
      </c>
    </row>
    <row r="63" spans="1:25" s="4" customFormat="1">
      <c r="A63" s="16">
        <v>49</v>
      </c>
      <c r="B63" t="s">
        <v>256</v>
      </c>
      <c r="C63" t="s">
        <v>876</v>
      </c>
      <c r="D63" s="16"/>
      <c r="E63" s="229">
        <v>74.75</v>
      </c>
      <c r="F63" s="229">
        <v>0</v>
      </c>
      <c r="G63" s="229">
        <v>0</v>
      </c>
      <c r="H63" s="229">
        <f t="shared" si="2"/>
        <v>74.75</v>
      </c>
      <c r="I63" s="229">
        <v>0</v>
      </c>
      <c r="J63" s="229">
        <f t="shared" si="3"/>
        <v>74.75</v>
      </c>
      <c r="K63" s="364">
        <v>1</v>
      </c>
      <c r="L63" s="229">
        <f t="shared" si="4"/>
        <v>74.75</v>
      </c>
      <c r="M63" s="16"/>
      <c r="N63" s="16"/>
      <c r="O63" s="229">
        <v>0</v>
      </c>
      <c r="P63" s="229">
        <v>0</v>
      </c>
      <c r="Q63" s="229">
        <v>0</v>
      </c>
      <c r="R63" s="229">
        <f t="shared" si="5"/>
        <v>0</v>
      </c>
      <c r="S63" s="229">
        <v>0</v>
      </c>
      <c r="T63" s="229">
        <v>0</v>
      </c>
      <c r="U63" s="229">
        <f t="shared" si="6"/>
        <v>0</v>
      </c>
      <c r="V63" s="229">
        <v>74.75</v>
      </c>
      <c r="W63" s="229">
        <v>0</v>
      </c>
      <c r="X63" s="358">
        <f t="shared" si="7"/>
        <v>74.75</v>
      </c>
      <c r="Y63" s="325" t="b">
        <f t="shared" si="1"/>
        <v>1</v>
      </c>
    </row>
    <row r="64" spans="1:25" s="4" customFormat="1">
      <c r="A64" s="16">
        <v>50</v>
      </c>
      <c r="B64" t="s">
        <v>147</v>
      </c>
      <c r="C64" t="s">
        <v>1089</v>
      </c>
      <c r="D64" s="16"/>
      <c r="E64" s="229">
        <v>105.85000000000001</v>
      </c>
      <c r="F64" s="229">
        <v>0</v>
      </c>
      <c r="G64" s="229">
        <v>0</v>
      </c>
      <c r="H64" s="229">
        <f t="shared" si="2"/>
        <v>105.85000000000001</v>
      </c>
      <c r="I64" s="229">
        <v>0</v>
      </c>
      <c r="J64" s="229">
        <f t="shared" si="3"/>
        <v>105.85000000000001</v>
      </c>
      <c r="K64" s="364">
        <v>1</v>
      </c>
      <c r="L64" s="229">
        <f t="shared" si="4"/>
        <v>105.85000000000001</v>
      </c>
      <c r="M64" s="16"/>
      <c r="N64" s="16"/>
      <c r="O64" s="229">
        <v>0</v>
      </c>
      <c r="P64" s="229">
        <v>0</v>
      </c>
      <c r="Q64" s="229">
        <v>0</v>
      </c>
      <c r="R64" s="229">
        <f t="shared" si="5"/>
        <v>0</v>
      </c>
      <c r="S64" s="229">
        <v>105.85</v>
      </c>
      <c r="T64" s="229">
        <v>0</v>
      </c>
      <c r="U64" s="229">
        <f t="shared" si="6"/>
        <v>105.85</v>
      </c>
      <c r="V64" s="229">
        <v>0</v>
      </c>
      <c r="W64" s="229">
        <v>0</v>
      </c>
      <c r="X64" s="358">
        <f t="shared" si="7"/>
        <v>105.85</v>
      </c>
      <c r="Y64" s="325" t="b">
        <f t="shared" si="1"/>
        <v>1</v>
      </c>
    </row>
    <row r="65" spans="1:25" s="4" customFormat="1">
      <c r="A65" s="16">
        <v>51</v>
      </c>
      <c r="B65" t="s">
        <v>147</v>
      </c>
      <c r="C65" t="s">
        <v>1090</v>
      </c>
      <c r="D65" s="16"/>
      <c r="E65" s="229">
        <v>121.9</v>
      </c>
      <c r="F65" s="229">
        <v>0</v>
      </c>
      <c r="G65" s="229">
        <v>0</v>
      </c>
      <c r="H65" s="229">
        <f t="shared" si="2"/>
        <v>121.9</v>
      </c>
      <c r="I65" s="229">
        <v>0</v>
      </c>
      <c r="J65" s="229">
        <f t="shared" si="3"/>
        <v>121.9</v>
      </c>
      <c r="K65" s="364">
        <v>1</v>
      </c>
      <c r="L65" s="229">
        <f t="shared" si="4"/>
        <v>121.9</v>
      </c>
      <c r="M65" s="16"/>
      <c r="N65" s="16"/>
      <c r="O65" s="229">
        <v>0</v>
      </c>
      <c r="P65" s="229">
        <v>0</v>
      </c>
      <c r="Q65" s="229">
        <v>0</v>
      </c>
      <c r="R65" s="229">
        <f t="shared" si="5"/>
        <v>0</v>
      </c>
      <c r="S65" s="229">
        <v>121.9</v>
      </c>
      <c r="T65" s="229">
        <v>0</v>
      </c>
      <c r="U65" s="229">
        <f t="shared" si="6"/>
        <v>121.9</v>
      </c>
      <c r="V65" s="229">
        <v>0</v>
      </c>
      <c r="W65" s="229">
        <v>0</v>
      </c>
      <c r="X65" s="358">
        <f t="shared" si="7"/>
        <v>121.9</v>
      </c>
      <c r="Y65" s="325" t="b">
        <f t="shared" si="1"/>
        <v>1</v>
      </c>
    </row>
    <row r="66" spans="1:25" s="4" customFormat="1">
      <c r="A66" s="16">
        <v>52</v>
      </c>
      <c r="B66" t="s">
        <v>147</v>
      </c>
      <c r="C66" t="s">
        <v>1079</v>
      </c>
      <c r="D66" s="16"/>
      <c r="E66" s="229">
        <v>195.5</v>
      </c>
      <c r="F66" s="229">
        <v>0</v>
      </c>
      <c r="G66" s="229">
        <v>0</v>
      </c>
      <c r="H66" s="229">
        <f t="shared" si="2"/>
        <v>195.5</v>
      </c>
      <c r="I66" s="229">
        <v>0</v>
      </c>
      <c r="J66" s="229">
        <f t="shared" si="3"/>
        <v>195.5</v>
      </c>
      <c r="K66" s="364">
        <v>1</v>
      </c>
      <c r="L66" s="229">
        <f t="shared" si="4"/>
        <v>195.5</v>
      </c>
      <c r="M66" s="16"/>
      <c r="N66" s="16"/>
      <c r="O66" s="229">
        <v>0</v>
      </c>
      <c r="P66" s="229">
        <v>0</v>
      </c>
      <c r="Q66" s="229">
        <v>0</v>
      </c>
      <c r="R66" s="229">
        <f t="shared" si="5"/>
        <v>0</v>
      </c>
      <c r="S66" s="229">
        <v>195.5</v>
      </c>
      <c r="T66" s="229">
        <v>0</v>
      </c>
      <c r="U66" s="229">
        <f t="shared" si="6"/>
        <v>195.5</v>
      </c>
      <c r="V66" s="229">
        <v>0</v>
      </c>
      <c r="W66" s="229">
        <v>0</v>
      </c>
      <c r="X66" s="358">
        <f t="shared" si="7"/>
        <v>195.5</v>
      </c>
      <c r="Y66" s="325" t="b">
        <f t="shared" si="1"/>
        <v>1</v>
      </c>
    </row>
    <row r="67" spans="1:25" s="4" customFormat="1">
      <c r="A67" s="16">
        <v>53</v>
      </c>
      <c r="B67" t="s">
        <v>147</v>
      </c>
      <c r="C67" t="s">
        <v>1024</v>
      </c>
      <c r="D67" s="16"/>
      <c r="E67" s="229">
        <v>794.89</v>
      </c>
      <c r="F67" s="229">
        <v>0</v>
      </c>
      <c r="G67" s="229">
        <v>0</v>
      </c>
      <c r="H67" s="229">
        <f t="shared" si="2"/>
        <v>794.89</v>
      </c>
      <c r="I67" s="229">
        <v>0</v>
      </c>
      <c r="J67" s="229">
        <f t="shared" si="3"/>
        <v>794.89</v>
      </c>
      <c r="K67" s="364">
        <v>1</v>
      </c>
      <c r="L67" s="229">
        <f t="shared" si="4"/>
        <v>794.89</v>
      </c>
      <c r="M67" s="16"/>
      <c r="N67" s="16"/>
      <c r="O67" s="229">
        <v>0</v>
      </c>
      <c r="P67" s="229">
        <v>0</v>
      </c>
      <c r="Q67" s="229">
        <v>0</v>
      </c>
      <c r="R67" s="229">
        <f t="shared" si="5"/>
        <v>0</v>
      </c>
      <c r="S67" s="229">
        <v>794.89</v>
      </c>
      <c r="T67" s="229">
        <v>0</v>
      </c>
      <c r="U67" s="229">
        <f t="shared" si="6"/>
        <v>794.89</v>
      </c>
      <c r="V67" s="229">
        <v>0</v>
      </c>
      <c r="W67" s="229">
        <v>0</v>
      </c>
      <c r="X67" s="358">
        <f t="shared" si="7"/>
        <v>794.89</v>
      </c>
      <c r="Y67" s="325" t="b">
        <f t="shared" si="1"/>
        <v>1</v>
      </c>
    </row>
    <row r="68" spans="1:25" s="4" customFormat="1">
      <c r="A68" s="16">
        <v>54</v>
      </c>
      <c r="B68" t="s">
        <v>147</v>
      </c>
      <c r="C68" t="s">
        <v>1091</v>
      </c>
      <c r="D68" s="16"/>
      <c r="E68" s="229">
        <v>136.23999999999998</v>
      </c>
      <c r="F68" s="229">
        <v>0</v>
      </c>
      <c r="G68" s="229">
        <v>0</v>
      </c>
      <c r="H68" s="229">
        <f t="shared" si="2"/>
        <v>136.23999999999998</v>
      </c>
      <c r="I68" s="229">
        <v>0</v>
      </c>
      <c r="J68" s="229">
        <f t="shared" si="3"/>
        <v>136.23999999999998</v>
      </c>
      <c r="K68" s="364">
        <v>1</v>
      </c>
      <c r="L68" s="229">
        <f t="shared" si="4"/>
        <v>136.23999999999998</v>
      </c>
      <c r="M68" s="16"/>
      <c r="N68" s="16"/>
      <c r="O68" s="229">
        <v>0</v>
      </c>
      <c r="P68" s="229">
        <v>0</v>
      </c>
      <c r="Q68" s="229">
        <v>0</v>
      </c>
      <c r="R68" s="229">
        <f t="shared" si="5"/>
        <v>0</v>
      </c>
      <c r="S68" s="229">
        <v>136.24</v>
      </c>
      <c r="T68" s="229">
        <v>0</v>
      </c>
      <c r="U68" s="229">
        <f t="shared" si="6"/>
        <v>136.24</v>
      </c>
      <c r="V68" s="229">
        <v>0</v>
      </c>
      <c r="W68" s="229">
        <v>0</v>
      </c>
      <c r="X68" s="358">
        <f t="shared" si="7"/>
        <v>136.24</v>
      </c>
      <c r="Y68" s="325" t="b">
        <f t="shared" si="1"/>
        <v>1</v>
      </c>
    </row>
    <row r="69" spans="1:25" s="4" customFormat="1">
      <c r="A69" s="16">
        <v>55</v>
      </c>
      <c r="B69" t="s">
        <v>147</v>
      </c>
      <c r="C69" t="s">
        <v>1071</v>
      </c>
      <c r="D69" s="16"/>
      <c r="E69" s="229">
        <v>258.14</v>
      </c>
      <c r="F69" s="229">
        <v>0</v>
      </c>
      <c r="G69" s="229">
        <v>0</v>
      </c>
      <c r="H69" s="229">
        <f t="shared" si="2"/>
        <v>258.14</v>
      </c>
      <c r="I69" s="229">
        <v>0</v>
      </c>
      <c r="J69" s="229">
        <f t="shared" si="3"/>
        <v>258.14</v>
      </c>
      <c r="K69" s="364">
        <v>1</v>
      </c>
      <c r="L69" s="229">
        <f t="shared" si="4"/>
        <v>258.14</v>
      </c>
      <c r="M69" s="16"/>
      <c r="N69" s="16"/>
      <c r="O69" s="229">
        <v>0</v>
      </c>
      <c r="P69" s="229">
        <v>0</v>
      </c>
      <c r="Q69" s="229">
        <v>0</v>
      </c>
      <c r="R69" s="229">
        <f t="shared" si="5"/>
        <v>0</v>
      </c>
      <c r="S69" s="229">
        <v>258.14</v>
      </c>
      <c r="T69" s="229">
        <v>0</v>
      </c>
      <c r="U69" s="229">
        <f t="shared" si="6"/>
        <v>258.14</v>
      </c>
      <c r="V69" s="229">
        <v>0</v>
      </c>
      <c r="W69" s="229">
        <v>0</v>
      </c>
      <c r="X69" s="358">
        <f t="shared" si="7"/>
        <v>258.14</v>
      </c>
      <c r="Y69" s="325" t="b">
        <f t="shared" si="1"/>
        <v>1</v>
      </c>
    </row>
    <row r="70" spans="1:25" s="4" customFormat="1">
      <c r="A70" s="16">
        <v>56</v>
      </c>
      <c r="B70" t="s">
        <v>147</v>
      </c>
      <c r="C70" t="s">
        <v>1092</v>
      </c>
      <c r="D70" s="16"/>
      <c r="E70" s="229">
        <v>230</v>
      </c>
      <c r="F70" s="229">
        <v>0</v>
      </c>
      <c r="G70" s="229">
        <v>0</v>
      </c>
      <c r="H70" s="229">
        <f t="shared" si="2"/>
        <v>230</v>
      </c>
      <c r="I70" s="229">
        <v>0</v>
      </c>
      <c r="J70" s="229">
        <f t="shared" si="3"/>
        <v>230</v>
      </c>
      <c r="K70" s="364">
        <v>1</v>
      </c>
      <c r="L70" s="229">
        <f t="shared" si="4"/>
        <v>230</v>
      </c>
      <c r="M70" s="16"/>
      <c r="N70" s="16"/>
      <c r="O70" s="229">
        <v>0</v>
      </c>
      <c r="P70" s="229">
        <v>0</v>
      </c>
      <c r="Q70" s="229">
        <v>0</v>
      </c>
      <c r="R70" s="229">
        <f t="shared" si="5"/>
        <v>0</v>
      </c>
      <c r="S70" s="229">
        <v>230</v>
      </c>
      <c r="T70" s="229">
        <v>0</v>
      </c>
      <c r="U70" s="229">
        <f t="shared" si="6"/>
        <v>230</v>
      </c>
      <c r="V70" s="229">
        <v>0</v>
      </c>
      <c r="W70" s="229">
        <v>0</v>
      </c>
      <c r="X70" s="358">
        <f t="shared" si="7"/>
        <v>230</v>
      </c>
      <c r="Y70" s="325" t="b">
        <f t="shared" si="1"/>
        <v>1</v>
      </c>
    </row>
    <row r="71" spans="1:25" s="4" customFormat="1">
      <c r="A71" s="16">
        <v>57</v>
      </c>
      <c r="B71" t="s">
        <v>147</v>
      </c>
      <c r="C71" t="s">
        <v>1072</v>
      </c>
      <c r="D71" s="16"/>
      <c r="E71" s="229">
        <v>63.75</v>
      </c>
      <c r="F71" s="229">
        <v>0</v>
      </c>
      <c r="G71" s="229">
        <v>0</v>
      </c>
      <c r="H71" s="229">
        <f t="shared" si="2"/>
        <v>63.75</v>
      </c>
      <c r="I71" s="229">
        <v>0</v>
      </c>
      <c r="J71" s="229">
        <f t="shared" si="3"/>
        <v>63.75</v>
      </c>
      <c r="K71" s="364">
        <v>1</v>
      </c>
      <c r="L71" s="229">
        <f t="shared" si="4"/>
        <v>63.75</v>
      </c>
      <c r="M71" s="16"/>
      <c r="N71" s="16"/>
      <c r="O71" s="229">
        <v>0</v>
      </c>
      <c r="P71" s="229">
        <v>0</v>
      </c>
      <c r="Q71" s="229">
        <v>0</v>
      </c>
      <c r="R71" s="229">
        <f t="shared" si="5"/>
        <v>0</v>
      </c>
      <c r="S71" s="229">
        <v>63.75</v>
      </c>
      <c r="T71" s="229">
        <v>0</v>
      </c>
      <c r="U71" s="229">
        <f t="shared" si="6"/>
        <v>63.75</v>
      </c>
      <c r="V71" s="229">
        <v>0</v>
      </c>
      <c r="W71" s="229">
        <v>0</v>
      </c>
      <c r="X71" s="358">
        <f t="shared" si="7"/>
        <v>63.75</v>
      </c>
      <c r="Y71" s="325" t="b">
        <f t="shared" si="1"/>
        <v>1</v>
      </c>
    </row>
    <row r="72" spans="1:25" s="4" customFormat="1">
      <c r="A72" s="16">
        <v>58</v>
      </c>
      <c r="B72" t="s">
        <v>259</v>
      </c>
      <c r="C72" t="s">
        <v>510</v>
      </c>
      <c r="D72" s="16"/>
      <c r="E72" s="229">
        <v>1800</v>
      </c>
      <c r="F72" s="229">
        <v>0</v>
      </c>
      <c r="G72" s="229">
        <v>0</v>
      </c>
      <c r="H72" s="229">
        <f t="shared" si="2"/>
        <v>1800</v>
      </c>
      <c r="I72" s="229">
        <v>0</v>
      </c>
      <c r="J72" s="229">
        <f t="shared" si="3"/>
        <v>1800</v>
      </c>
      <c r="K72" s="364">
        <v>1</v>
      </c>
      <c r="L72" s="229">
        <f t="shared" si="4"/>
        <v>1800</v>
      </c>
      <c r="M72" s="16"/>
      <c r="N72" s="16"/>
      <c r="O72" s="229">
        <v>0</v>
      </c>
      <c r="P72" s="229">
        <v>0</v>
      </c>
      <c r="Q72" s="229">
        <v>0</v>
      </c>
      <c r="R72" s="229">
        <f t="shared" si="5"/>
        <v>0</v>
      </c>
      <c r="S72" s="229">
        <v>0</v>
      </c>
      <c r="T72" s="229">
        <v>0</v>
      </c>
      <c r="U72" s="229">
        <f t="shared" si="6"/>
        <v>0</v>
      </c>
      <c r="V72" s="229">
        <v>0</v>
      </c>
      <c r="W72" s="229">
        <v>1800</v>
      </c>
      <c r="X72" s="358">
        <f t="shared" si="7"/>
        <v>1800</v>
      </c>
      <c r="Y72" s="325" t="b">
        <f t="shared" si="1"/>
        <v>1</v>
      </c>
    </row>
    <row r="73" spans="1:25" s="4" customFormat="1">
      <c r="A73" s="16">
        <v>59</v>
      </c>
      <c r="B73" t="s">
        <v>258</v>
      </c>
      <c r="C73" t="s">
        <v>461</v>
      </c>
      <c r="D73" s="16"/>
      <c r="E73" s="229">
        <v>49400</v>
      </c>
      <c r="F73" s="229">
        <v>0</v>
      </c>
      <c r="G73" s="229">
        <v>0</v>
      </c>
      <c r="H73" s="229">
        <f t="shared" si="2"/>
        <v>49400</v>
      </c>
      <c r="I73" s="229">
        <v>-3952</v>
      </c>
      <c r="J73" s="229">
        <f t="shared" si="3"/>
        <v>45448</v>
      </c>
      <c r="K73" s="364">
        <v>1</v>
      </c>
      <c r="L73" s="229">
        <f t="shared" si="4"/>
        <v>45448</v>
      </c>
      <c r="M73" s="16"/>
      <c r="N73" s="16"/>
      <c r="O73" s="229">
        <v>0</v>
      </c>
      <c r="P73" s="229">
        <v>0</v>
      </c>
      <c r="Q73" s="229">
        <v>0</v>
      </c>
      <c r="R73" s="229">
        <f t="shared" si="5"/>
        <v>0</v>
      </c>
      <c r="S73" s="229">
        <v>0</v>
      </c>
      <c r="T73" s="229">
        <v>0</v>
      </c>
      <c r="U73" s="229">
        <f t="shared" si="6"/>
        <v>0</v>
      </c>
      <c r="V73" s="229">
        <f>+L73</f>
        <v>45448</v>
      </c>
      <c r="W73" s="229">
        <v>0</v>
      </c>
      <c r="X73" s="358">
        <f t="shared" si="7"/>
        <v>45448</v>
      </c>
      <c r="Y73" s="325" t="b">
        <f t="shared" si="1"/>
        <v>1</v>
      </c>
    </row>
    <row r="74" spans="1:25" s="4" customFormat="1">
      <c r="A74" s="16">
        <v>60</v>
      </c>
      <c r="B74" t="s">
        <v>284</v>
      </c>
      <c r="C74" t="s">
        <v>639</v>
      </c>
      <c r="D74" s="16"/>
      <c r="E74" s="229">
        <v>19295</v>
      </c>
      <c r="F74" s="229">
        <v>0</v>
      </c>
      <c r="G74" s="229">
        <v>0</v>
      </c>
      <c r="H74" s="229">
        <f t="shared" si="2"/>
        <v>19295</v>
      </c>
      <c r="I74" s="229">
        <v>0</v>
      </c>
      <c r="J74" s="229">
        <f t="shared" si="3"/>
        <v>19295</v>
      </c>
      <c r="K74" s="364">
        <v>1</v>
      </c>
      <c r="L74" s="229">
        <f t="shared" si="4"/>
        <v>19295</v>
      </c>
      <c r="M74" s="16"/>
      <c r="N74" s="16"/>
      <c r="O74" s="229">
        <v>0</v>
      </c>
      <c r="P74" s="229">
        <v>0</v>
      </c>
      <c r="Q74" s="229">
        <v>0</v>
      </c>
      <c r="R74" s="229">
        <f t="shared" si="5"/>
        <v>0</v>
      </c>
      <c r="S74" s="229">
        <v>0</v>
      </c>
      <c r="T74" s="229">
        <v>0</v>
      </c>
      <c r="U74" s="229">
        <f t="shared" si="6"/>
        <v>0</v>
      </c>
      <c r="V74" s="229">
        <v>0</v>
      </c>
      <c r="W74" s="229">
        <v>19295</v>
      </c>
      <c r="X74" s="358">
        <f t="shared" si="7"/>
        <v>19295</v>
      </c>
      <c r="Y74" s="325" t="b">
        <f t="shared" si="1"/>
        <v>1</v>
      </c>
    </row>
    <row r="75" spans="1:25" s="4" customFormat="1">
      <c r="A75" s="16">
        <v>61</v>
      </c>
      <c r="B75" t="s">
        <v>265</v>
      </c>
      <c r="C75" t="s">
        <v>489</v>
      </c>
      <c r="D75" s="16"/>
      <c r="E75" s="229">
        <v>150</v>
      </c>
      <c r="F75" s="229">
        <v>0</v>
      </c>
      <c r="G75" s="229">
        <v>0</v>
      </c>
      <c r="H75" s="229">
        <f t="shared" si="2"/>
        <v>150</v>
      </c>
      <c r="I75" s="229">
        <v>0</v>
      </c>
      <c r="J75" s="229">
        <f t="shared" si="3"/>
        <v>150</v>
      </c>
      <c r="K75" s="364">
        <v>1</v>
      </c>
      <c r="L75" s="229">
        <f t="shared" si="4"/>
        <v>150</v>
      </c>
      <c r="M75" s="16"/>
      <c r="N75" s="16"/>
      <c r="O75" s="229">
        <v>0</v>
      </c>
      <c r="P75" s="229">
        <v>0</v>
      </c>
      <c r="Q75" s="229">
        <v>0</v>
      </c>
      <c r="R75" s="229">
        <f t="shared" si="5"/>
        <v>0</v>
      </c>
      <c r="S75" s="229">
        <v>0</v>
      </c>
      <c r="T75" s="229">
        <v>0</v>
      </c>
      <c r="U75" s="229">
        <f t="shared" si="6"/>
        <v>0</v>
      </c>
      <c r="V75" s="229">
        <v>0</v>
      </c>
      <c r="W75" s="229">
        <v>150</v>
      </c>
      <c r="X75" s="358">
        <f t="shared" si="7"/>
        <v>150</v>
      </c>
      <c r="Y75" s="325" t="b">
        <f t="shared" si="1"/>
        <v>1</v>
      </c>
    </row>
    <row r="76" spans="1:25" s="4" customFormat="1">
      <c r="A76" s="16">
        <v>62</v>
      </c>
      <c r="B76" t="s">
        <v>270</v>
      </c>
      <c r="C76" t="s">
        <v>878</v>
      </c>
      <c r="D76" s="16"/>
      <c r="E76" s="229">
        <v>12500</v>
      </c>
      <c r="F76" s="229">
        <v>0</v>
      </c>
      <c r="G76" s="229">
        <v>0</v>
      </c>
      <c r="H76" s="229">
        <f t="shared" si="2"/>
        <v>12500</v>
      </c>
      <c r="I76" s="229">
        <v>0</v>
      </c>
      <c r="J76" s="229">
        <f t="shared" si="3"/>
        <v>12500</v>
      </c>
      <c r="K76" s="364">
        <v>1</v>
      </c>
      <c r="L76" s="229">
        <f t="shared" si="4"/>
        <v>12500</v>
      </c>
      <c r="M76" s="16"/>
      <c r="N76" s="16"/>
      <c r="O76" s="229">
        <v>0</v>
      </c>
      <c r="P76" s="229">
        <v>0</v>
      </c>
      <c r="Q76" s="229">
        <v>0</v>
      </c>
      <c r="R76" s="229">
        <f t="shared" si="5"/>
        <v>0</v>
      </c>
      <c r="S76" s="229">
        <v>0</v>
      </c>
      <c r="T76" s="229">
        <v>0</v>
      </c>
      <c r="U76" s="229">
        <f t="shared" si="6"/>
        <v>0</v>
      </c>
      <c r="V76" s="229">
        <v>0</v>
      </c>
      <c r="W76" s="229">
        <v>12500</v>
      </c>
      <c r="X76" s="358">
        <f t="shared" si="7"/>
        <v>12500</v>
      </c>
      <c r="Y76" s="325" t="b">
        <f t="shared" si="1"/>
        <v>1</v>
      </c>
    </row>
    <row r="77" spans="1:25" s="4" customFormat="1">
      <c r="A77" s="16">
        <v>63</v>
      </c>
      <c r="B77" t="s">
        <v>270</v>
      </c>
      <c r="C77" t="s">
        <v>1093</v>
      </c>
      <c r="D77" s="16"/>
      <c r="E77" s="229">
        <v>990</v>
      </c>
      <c r="F77" s="229">
        <v>0</v>
      </c>
      <c r="G77" s="229">
        <v>0</v>
      </c>
      <c r="H77" s="229">
        <f t="shared" si="2"/>
        <v>990</v>
      </c>
      <c r="I77" s="229">
        <v>0</v>
      </c>
      <c r="J77" s="229">
        <f t="shared" si="3"/>
        <v>990</v>
      </c>
      <c r="K77" s="364">
        <v>1</v>
      </c>
      <c r="L77" s="229">
        <f t="shared" si="4"/>
        <v>990</v>
      </c>
      <c r="M77" s="16"/>
      <c r="N77" s="16"/>
      <c r="O77" s="229">
        <v>222.56</v>
      </c>
      <c r="P77" s="229">
        <v>0</v>
      </c>
      <c r="Q77" s="229">
        <v>0</v>
      </c>
      <c r="R77" s="229">
        <f t="shared" si="5"/>
        <v>222.56</v>
      </c>
      <c r="S77" s="229">
        <v>594.38</v>
      </c>
      <c r="T77" s="229">
        <v>0</v>
      </c>
      <c r="U77" s="229">
        <f t="shared" si="6"/>
        <v>594.38</v>
      </c>
      <c r="V77" s="229">
        <v>166.22</v>
      </c>
      <c r="W77" s="229">
        <v>6.84</v>
      </c>
      <c r="X77" s="358">
        <f t="shared" si="7"/>
        <v>990.00000000000011</v>
      </c>
      <c r="Y77" s="325" t="b">
        <f t="shared" si="1"/>
        <v>1</v>
      </c>
    </row>
    <row r="78" spans="1:25" s="4" customFormat="1">
      <c r="A78" s="16">
        <v>64</v>
      </c>
      <c r="B78" t="s">
        <v>270</v>
      </c>
      <c r="C78" t="s">
        <v>1094</v>
      </c>
      <c r="D78" s="16"/>
      <c r="E78" s="229">
        <v>1092</v>
      </c>
      <c r="F78" s="229">
        <v>0</v>
      </c>
      <c r="G78" s="229">
        <v>0</v>
      </c>
      <c r="H78" s="229">
        <f t="shared" si="2"/>
        <v>1092</v>
      </c>
      <c r="I78" s="229">
        <v>0</v>
      </c>
      <c r="J78" s="229">
        <f t="shared" si="3"/>
        <v>1092</v>
      </c>
      <c r="K78" s="364">
        <v>1</v>
      </c>
      <c r="L78" s="229">
        <f t="shared" si="4"/>
        <v>1092</v>
      </c>
      <c r="M78" s="16"/>
      <c r="N78" s="16"/>
      <c r="O78" s="229">
        <v>245.49</v>
      </c>
      <c r="P78" s="229">
        <v>0</v>
      </c>
      <c r="Q78" s="229">
        <v>0</v>
      </c>
      <c r="R78" s="229">
        <f t="shared" si="5"/>
        <v>245.49</v>
      </c>
      <c r="S78" s="229">
        <v>655.62</v>
      </c>
      <c r="T78" s="229">
        <v>0</v>
      </c>
      <c r="U78" s="229">
        <f t="shared" si="6"/>
        <v>655.62</v>
      </c>
      <c r="V78" s="229">
        <v>183.35</v>
      </c>
      <c r="W78" s="229">
        <v>7.54</v>
      </c>
      <c r="X78" s="358">
        <f t="shared" si="7"/>
        <v>1092</v>
      </c>
      <c r="Y78" s="325" t="b">
        <f t="shared" si="1"/>
        <v>1</v>
      </c>
    </row>
    <row r="79" spans="1:25" s="4" customFormat="1">
      <c r="A79" s="16">
        <v>65</v>
      </c>
      <c r="B79" t="s">
        <v>270</v>
      </c>
      <c r="C79" t="s">
        <v>1095</v>
      </c>
      <c r="D79" s="16"/>
      <c r="E79" s="229">
        <v>565</v>
      </c>
      <c r="F79" s="229">
        <v>0</v>
      </c>
      <c r="G79" s="229">
        <v>0</v>
      </c>
      <c r="H79" s="229">
        <f t="shared" si="2"/>
        <v>565</v>
      </c>
      <c r="I79" s="229">
        <v>0</v>
      </c>
      <c r="J79" s="229">
        <f t="shared" si="3"/>
        <v>565</v>
      </c>
      <c r="K79" s="364">
        <v>1</v>
      </c>
      <c r="L79" s="229">
        <f t="shared" si="4"/>
        <v>565</v>
      </c>
      <c r="M79" s="16"/>
      <c r="N79" s="16"/>
      <c r="O79" s="229">
        <v>127.01</v>
      </c>
      <c r="P79" s="229">
        <v>0</v>
      </c>
      <c r="Q79" s="229">
        <v>0</v>
      </c>
      <c r="R79" s="229">
        <f t="shared" si="5"/>
        <v>127.01</v>
      </c>
      <c r="S79" s="229">
        <v>339.23</v>
      </c>
      <c r="T79" s="229">
        <v>0</v>
      </c>
      <c r="U79" s="229">
        <f t="shared" si="6"/>
        <v>339.23</v>
      </c>
      <c r="V79" s="229">
        <v>94.86</v>
      </c>
      <c r="W79" s="229">
        <v>3.9</v>
      </c>
      <c r="X79" s="358">
        <f t="shared" si="7"/>
        <v>565</v>
      </c>
      <c r="Y79" s="325" t="b">
        <f t="shared" si="1"/>
        <v>1</v>
      </c>
    </row>
    <row r="80" spans="1:25" s="4" customFormat="1">
      <c r="A80" s="16">
        <v>66</v>
      </c>
      <c r="B80" t="s">
        <v>270</v>
      </c>
      <c r="C80" t="s">
        <v>1096</v>
      </c>
      <c r="D80" s="16"/>
      <c r="E80" s="229">
        <v>452</v>
      </c>
      <c r="F80" s="229">
        <v>0</v>
      </c>
      <c r="G80" s="229">
        <v>0</v>
      </c>
      <c r="H80" s="229">
        <f t="shared" si="2"/>
        <v>452</v>
      </c>
      <c r="I80" s="229">
        <v>0</v>
      </c>
      <c r="J80" s="229">
        <f t="shared" si="3"/>
        <v>452</v>
      </c>
      <c r="K80" s="364">
        <v>1</v>
      </c>
      <c r="L80" s="229">
        <f t="shared" si="4"/>
        <v>452</v>
      </c>
      <c r="M80" s="16"/>
      <c r="N80" s="16"/>
      <c r="O80" s="229">
        <v>101.61</v>
      </c>
      <c r="P80" s="229">
        <v>0</v>
      </c>
      <c r="Q80" s="229">
        <v>0</v>
      </c>
      <c r="R80" s="229">
        <f t="shared" si="5"/>
        <v>101.61</v>
      </c>
      <c r="S80" s="229">
        <v>271.38</v>
      </c>
      <c r="T80" s="229">
        <v>0</v>
      </c>
      <c r="U80" s="229">
        <f t="shared" si="6"/>
        <v>271.38</v>
      </c>
      <c r="V80" s="229">
        <v>75.89</v>
      </c>
      <c r="W80" s="229">
        <v>3.12</v>
      </c>
      <c r="X80" s="358">
        <f t="shared" si="7"/>
        <v>452</v>
      </c>
      <c r="Y80" s="325" t="b">
        <f t="shared" si="1"/>
        <v>1</v>
      </c>
    </row>
    <row r="81" spans="1:25" s="4" customFormat="1">
      <c r="A81" s="16">
        <v>67</v>
      </c>
      <c r="B81" t="s">
        <v>270</v>
      </c>
      <c r="C81" t="s">
        <v>1074</v>
      </c>
      <c r="D81" s="16"/>
      <c r="E81" s="229">
        <v>648.75</v>
      </c>
      <c r="F81" s="229">
        <v>0</v>
      </c>
      <c r="G81" s="229">
        <v>0</v>
      </c>
      <c r="H81" s="229">
        <f t="shared" si="2"/>
        <v>648.75</v>
      </c>
      <c r="I81" s="229">
        <v>0</v>
      </c>
      <c r="J81" s="229">
        <f t="shared" si="3"/>
        <v>648.75</v>
      </c>
      <c r="K81" s="364">
        <v>1</v>
      </c>
      <c r="L81" s="229">
        <f t="shared" si="4"/>
        <v>648.75</v>
      </c>
      <c r="M81" s="16"/>
      <c r="N81" s="16"/>
      <c r="O81" s="229">
        <v>37.49</v>
      </c>
      <c r="P81" s="229">
        <v>0</v>
      </c>
      <c r="Q81" s="229">
        <v>0</v>
      </c>
      <c r="R81" s="229">
        <f t="shared" si="5"/>
        <v>37.49</v>
      </c>
      <c r="S81" s="229">
        <v>100.12</v>
      </c>
      <c r="T81" s="229">
        <v>0</v>
      </c>
      <c r="U81" s="229">
        <f t="shared" si="6"/>
        <v>100.12</v>
      </c>
      <c r="V81" s="229">
        <v>27.990000000000002</v>
      </c>
      <c r="W81" s="229">
        <v>483.15</v>
      </c>
      <c r="X81" s="358">
        <f t="shared" si="7"/>
        <v>648.75</v>
      </c>
      <c r="Y81" s="325" t="b">
        <f t="shared" si="1"/>
        <v>1</v>
      </c>
    </row>
    <row r="82" spans="1:25" s="4" customFormat="1">
      <c r="A82" s="16">
        <v>68</v>
      </c>
      <c r="B82" t="s">
        <v>270</v>
      </c>
      <c r="C82" t="s">
        <v>1097</v>
      </c>
      <c r="D82" s="16"/>
      <c r="E82" s="229">
        <v>85.25</v>
      </c>
      <c r="F82" s="229">
        <v>0</v>
      </c>
      <c r="G82" s="229">
        <v>0</v>
      </c>
      <c r="H82" s="229">
        <f t="shared" ref="H82:H145" si="8">+E82+F82+G82</f>
        <v>85.25</v>
      </c>
      <c r="I82" s="229">
        <v>0</v>
      </c>
      <c r="J82" s="229">
        <f t="shared" ref="J82:J145" si="9">+H82+I82</f>
        <v>85.25</v>
      </c>
      <c r="K82" s="364">
        <v>1</v>
      </c>
      <c r="L82" s="229">
        <f t="shared" ref="L82:L145" si="10">+J82*K82</f>
        <v>85.25</v>
      </c>
      <c r="M82" s="16"/>
      <c r="N82" s="16"/>
      <c r="O82" s="229">
        <v>19.16</v>
      </c>
      <c r="P82" s="229">
        <v>0</v>
      </c>
      <c r="Q82" s="229">
        <v>0</v>
      </c>
      <c r="R82" s="229">
        <f t="shared" ref="R82:R145" si="11">SUM(O82:Q82)</f>
        <v>19.16</v>
      </c>
      <c r="S82" s="229">
        <v>51.19</v>
      </c>
      <c r="T82" s="229">
        <v>0</v>
      </c>
      <c r="U82" s="229">
        <f t="shared" ref="U82:U145" si="12">SUM(S82:T82)</f>
        <v>51.19</v>
      </c>
      <c r="V82" s="229">
        <v>14.31</v>
      </c>
      <c r="W82" s="229">
        <v>0.59</v>
      </c>
      <c r="X82" s="358">
        <f t="shared" ref="X82:X145" si="13">+O82+P82+Q82+S82+T82+V82+W82</f>
        <v>85.25</v>
      </c>
      <c r="Y82" s="325" t="b">
        <f t="shared" si="1"/>
        <v>1</v>
      </c>
    </row>
    <row r="83" spans="1:25" s="4" customFormat="1">
      <c r="A83" s="16">
        <v>69</v>
      </c>
      <c r="B83" t="s">
        <v>270</v>
      </c>
      <c r="C83" t="s">
        <v>1098</v>
      </c>
      <c r="D83" s="16"/>
      <c r="E83" s="229">
        <v>1000</v>
      </c>
      <c r="F83" s="229">
        <v>0</v>
      </c>
      <c r="G83" s="229">
        <v>0</v>
      </c>
      <c r="H83" s="229">
        <f t="shared" si="8"/>
        <v>1000</v>
      </c>
      <c r="I83" s="229">
        <v>0</v>
      </c>
      <c r="J83" s="229">
        <f t="shared" si="9"/>
        <v>1000</v>
      </c>
      <c r="K83" s="364">
        <v>1</v>
      </c>
      <c r="L83" s="229">
        <f t="shared" si="10"/>
        <v>1000</v>
      </c>
      <c r="M83" s="16"/>
      <c r="N83" s="16"/>
      <c r="O83" s="229">
        <v>224.8</v>
      </c>
      <c r="P83" s="229">
        <v>0</v>
      </c>
      <c r="Q83" s="229">
        <v>0</v>
      </c>
      <c r="R83" s="229">
        <f t="shared" si="11"/>
        <v>224.8</v>
      </c>
      <c r="S83" s="229">
        <v>600.4</v>
      </c>
      <c r="T83" s="229">
        <v>0</v>
      </c>
      <c r="U83" s="229">
        <f t="shared" si="12"/>
        <v>600.4</v>
      </c>
      <c r="V83" s="229">
        <v>167.9</v>
      </c>
      <c r="W83" s="229">
        <v>6.9</v>
      </c>
      <c r="X83" s="358">
        <f t="shared" si="13"/>
        <v>1000</v>
      </c>
      <c r="Y83" s="325" t="b">
        <f t="shared" si="1"/>
        <v>1</v>
      </c>
    </row>
    <row r="84" spans="1:25" s="4" customFormat="1">
      <c r="A84" s="16">
        <v>70</v>
      </c>
      <c r="B84" t="s">
        <v>270</v>
      </c>
      <c r="C84" t="s">
        <v>1067</v>
      </c>
      <c r="D84" s="16"/>
      <c r="E84" s="229">
        <v>986.31</v>
      </c>
      <c r="F84" s="229">
        <v>0</v>
      </c>
      <c r="G84" s="229">
        <v>0</v>
      </c>
      <c r="H84" s="229">
        <f t="shared" si="8"/>
        <v>986.31</v>
      </c>
      <c r="I84" s="229">
        <v>0</v>
      </c>
      <c r="J84" s="229">
        <f t="shared" si="9"/>
        <v>986.31</v>
      </c>
      <c r="K84" s="364">
        <v>1</v>
      </c>
      <c r="L84" s="229">
        <f t="shared" si="10"/>
        <v>986.31</v>
      </c>
      <c r="M84" s="16"/>
      <c r="N84" s="16"/>
      <c r="O84" s="229">
        <v>221.72</v>
      </c>
      <c r="P84" s="229">
        <v>0</v>
      </c>
      <c r="Q84" s="229">
        <v>0</v>
      </c>
      <c r="R84" s="229">
        <f t="shared" si="11"/>
        <v>221.72</v>
      </c>
      <c r="S84" s="229">
        <v>592.17999999999995</v>
      </c>
      <c r="T84" s="229">
        <v>0</v>
      </c>
      <c r="U84" s="229">
        <f t="shared" si="12"/>
        <v>592.17999999999995</v>
      </c>
      <c r="V84" s="229">
        <v>165.6</v>
      </c>
      <c r="W84" s="229">
        <v>6.81</v>
      </c>
      <c r="X84" s="358">
        <f t="shared" si="13"/>
        <v>986.31</v>
      </c>
      <c r="Y84" s="325" t="b">
        <f t="shared" si="1"/>
        <v>1</v>
      </c>
    </row>
    <row r="85" spans="1:25" s="4" customFormat="1">
      <c r="A85" s="16">
        <v>71</v>
      </c>
      <c r="B85" t="s">
        <v>270</v>
      </c>
      <c r="C85" t="s">
        <v>1075</v>
      </c>
      <c r="D85" s="16"/>
      <c r="E85" s="229">
        <v>256</v>
      </c>
      <c r="F85" s="229">
        <v>0</v>
      </c>
      <c r="G85" s="229">
        <v>0</v>
      </c>
      <c r="H85" s="229">
        <f t="shared" si="8"/>
        <v>256</v>
      </c>
      <c r="I85" s="229">
        <v>0</v>
      </c>
      <c r="J85" s="229">
        <f t="shared" si="9"/>
        <v>256</v>
      </c>
      <c r="K85" s="364">
        <v>1</v>
      </c>
      <c r="L85" s="229">
        <f t="shared" si="10"/>
        <v>256</v>
      </c>
      <c r="M85" s="16"/>
      <c r="N85" s="16"/>
      <c r="O85" s="229">
        <v>5.62</v>
      </c>
      <c r="P85" s="229">
        <v>0</v>
      </c>
      <c r="Q85" s="229">
        <v>0</v>
      </c>
      <c r="R85" s="229">
        <f t="shared" si="11"/>
        <v>5.62</v>
      </c>
      <c r="S85" s="229">
        <v>15.01</v>
      </c>
      <c r="T85" s="229">
        <v>0</v>
      </c>
      <c r="U85" s="229">
        <f t="shared" si="12"/>
        <v>15.01</v>
      </c>
      <c r="V85" s="229">
        <v>4.2</v>
      </c>
      <c r="W85" s="229">
        <v>231.17</v>
      </c>
      <c r="X85" s="358">
        <f t="shared" si="13"/>
        <v>256</v>
      </c>
      <c r="Y85" s="325" t="b">
        <f t="shared" si="1"/>
        <v>1</v>
      </c>
    </row>
    <row r="86" spans="1:25" s="4" customFormat="1">
      <c r="A86" s="16">
        <v>72</v>
      </c>
      <c r="B86" t="s">
        <v>270</v>
      </c>
      <c r="C86" t="s">
        <v>1012</v>
      </c>
      <c r="D86" s="16"/>
      <c r="E86" s="229">
        <v>160</v>
      </c>
      <c r="F86" s="229">
        <v>0</v>
      </c>
      <c r="G86" s="229">
        <v>0</v>
      </c>
      <c r="H86" s="229">
        <f t="shared" si="8"/>
        <v>160</v>
      </c>
      <c r="I86" s="229">
        <v>0</v>
      </c>
      <c r="J86" s="229">
        <f t="shared" si="9"/>
        <v>160</v>
      </c>
      <c r="K86" s="364">
        <v>1</v>
      </c>
      <c r="L86" s="229">
        <f t="shared" si="10"/>
        <v>160</v>
      </c>
      <c r="M86" s="16"/>
      <c r="N86" s="16"/>
      <c r="O86" s="229">
        <v>35.97</v>
      </c>
      <c r="P86" s="229">
        <v>0</v>
      </c>
      <c r="Q86" s="229">
        <v>0</v>
      </c>
      <c r="R86" s="229">
        <f t="shared" si="11"/>
        <v>35.97</v>
      </c>
      <c r="S86" s="229">
        <v>96.070000000000007</v>
      </c>
      <c r="T86" s="229">
        <v>0</v>
      </c>
      <c r="U86" s="229">
        <f t="shared" si="12"/>
        <v>96.070000000000007</v>
      </c>
      <c r="V86" s="229">
        <v>26.86</v>
      </c>
      <c r="W86" s="229">
        <v>1.1000000000000001</v>
      </c>
      <c r="X86" s="358">
        <f t="shared" si="13"/>
        <v>160.00000000000003</v>
      </c>
      <c r="Y86" s="325" t="b">
        <f t="shared" si="1"/>
        <v>1</v>
      </c>
    </row>
    <row r="87" spans="1:25" s="4" customFormat="1">
      <c r="A87" s="16">
        <v>73</v>
      </c>
      <c r="B87" t="s">
        <v>270</v>
      </c>
      <c r="C87" t="s">
        <v>701</v>
      </c>
      <c r="D87" s="16"/>
      <c r="E87" s="229">
        <v>15230</v>
      </c>
      <c r="F87" s="229">
        <v>0</v>
      </c>
      <c r="G87" s="229">
        <v>0</v>
      </c>
      <c r="H87" s="229">
        <f t="shared" si="8"/>
        <v>15230</v>
      </c>
      <c r="I87" s="229">
        <v>0</v>
      </c>
      <c r="J87" s="229">
        <f t="shared" si="9"/>
        <v>15230</v>
      </c>
      <c r="K87" s="364">
        <v>1</v>
      </c>
      <c r="L87" s="229">
        <f t="shared" si="10"/>
        <v>15230</v>
      </c>
      <c r="M87" s="16"/>
      <c r="N87" s="16"/>
      <c r="O87" s="229">
        <v>0</v>
      </c>
      <c r="P87" s="229">
        <v>0</v>
      </c>
      <c r="Q87" s="229">
        <v>0</v>
      </c>
      <c r="R87" s="229">
        <f t="shared" si="11"/>
        <v>0</v>
      </c>
      <c r="S87" s="229">
        <v>0</v>
      </c>
      <c r="T87" s="229">
        <v>0</v>
      </c>
      <c r="U87" s="229">
        <f t="shared" si="12"/>
        <v>0</v>
      </c>
      <c r="V87" s="229">
        <v>0</v>
      </c>
      <c r="W87" s="229">
        <v>15230</v>
      </c>
      <c r="X87" s="358">
        <f t="shared" si="13"/>
        <v>15230</v>
      </c>
      <c r="Y87" s="325" t="b">
        <f t="shared" si="1"/>
        <v>1</v>
      </c>
    </row>
    <row r="88" spans="1:25" s="4" customFormat="1">
      <c r="A88" s="16">
        <v>74</v>
      </c>
      <c r="B88" t="s">
        <v>270</v>
      </c>
      <c r="C88" t="s">
        <v>639</v>
      </c>
      <c r="D88" s="16"/>
      <c r="E88" s="229">
        <v>5995</v>
      </c>
      <c r="F88" s="229">
        <v>0</v>
      </c>
      <c r="G88" s="229">
        <v>0</v>
      </c>
      <c r="H88" s="229">
        <f t="shared" si="8"/>
        <v>5995</v>
      </c>
      <c r="I88" s="229">
        <v>0</v>
      </c>
      <c r="J88" s="229">
        <f t="shared" si="9"/>
        <v>5995</v>
      </c>
      <c r="K88" s="364">
        <v>1</v>
      </c>
      <c r="L88" s="229">
        <f t="shared" si="10"/>
        <v>5995</v>
      </c>
      <c r="M88" s="16"/>
      <c r="N88" s="16"/>
      <c r="O88" s="229">
        <v>1347.68</v>
      </c>
      <c r="P88" s="229">
        <v>0</v>
      </c>
      <c r="Q88" s="229">
        <v>0</v>
      </c>
      <c r="R88" s="229">
        <f t="shared" si="11"/>
        <v>1347.68</v>
      </c>
      <c r="S88" s="229">
        <v>3599.4</v>
      </c>
      <c r="T88" s="229">
        <v>0</v>
      </c>
      <c r="U88" s="229">
        <f t="shared" si="12"/>
        <v>3599.4</v>
      </c>
      <c r="V88" s="229">
        <v>1006.56</v>
      </c>
      <c r="W88" s="229">
        <v>41.36</v>
      </c>
      <c r="X88" s="358">
        <f t="shared" si="13"/>
        <v>5994.9999999999991</v>
      </c>
      <c r="Y88" s="325" t="b">
        <f t="shared" si="1"/>
        <v>1</v>
      </c>
    </row>
    <row r="89" spans="1:25" s="4" customFormat="1">
      <c r="A89" s="16">
        <v>75</v>
      </c>
      <c r="B89" t="s">
        <v>270</v>
      </c>
      <c r="C89" t="s">
        <v>876</v>
      </c>
      <c r="D89" s="16"/>
      <c r="E89" s="229">
        <v>1661.85</v>
      </c>
      <c r="F89" s="229">
        <v>0</v>
      </c>
      <c r="G89" s="229">
        <v>0</v>
      </c>
      <c r="H89" s="229">
        <f t="shared" si="8"/>
        <v>1661.85</v>
      </c>
      <c r="I89" s="229">
        <v>0</v>
      </c>
      <c r="J89" s="229">
        <f t="shared" si="9"/>
        <v>1661.85</v>
      </c>
      <c r="K89" s="364">
        <v>1</v>
      </c>
      <c r="L89" s="229">
        <f t="shared" si="10"/>
        <v>1661.85</v>
      </c>
      <c r="M89" s="16"/>
      <c r="N89" s="16"/>
      <c r="O89" s="229">
        <v>151.06</v>
      </c>
      <c r="P89" s="229">
        <v>0</v>
      </c>
      <c r="Q89" s="229">
        <v>0</v>
      </c>
      <c r="R89" s="229">
        <f t="shared" si="11"/>
        <v>151.06</v>
      </c>
      <c r="S89" s="229">
        <v>403.47</v>
      </c>
      <c r="T89" s="229">
        <v>0</v>
      </c>
      <c r="U89" s="229">
        <f t="shared" si="12"/>
        <v>403.47</v>
      </c>
      <c r="V89" s="229">
        <v>112.83</v>
      </c>
      <c r="W89" s="229">
        <v>994.49000000000012</v>
      </c>
      <c r="X89" s="358">
        <f t="shared" si="13"/>
        <v>1661.8500000000001</v>
      </c>
      <c r="Y89" s="325" t="b">
        <f t="shared" si="1"/>
        <v>1</v>
      </c>
    </row>
    <row r="90" spans="1:25" s="4" customFormat="1">
      <c r="A90" s="16">
        <v>76</v>
      </c>
      <c r="B90" t="s">
        <v>270</v>
      </c>
      <c r="C90" t="s">
        <v>1076</v>
      </c>
      <c r="D90" s="16"/>
      <c r="E90" s="229">
        <v>285.95</v>
      </c>
      <c r="F90" s="229">
        <v>0</v>
      </c>
      <c r="G90" s="229">
        <v>0</v>
      </c>
      <c r="H90" s="229">
        <f t="shared" si="8"/>
        <v>285.95</v>
      </c>
      <c r="I90" s="229">
        <v>0</v>
      </c>
      <c r="J90" s="229">
        <f t="shared" si="9"/>
        <v>285.95</v>
      </c>
      <c r="K90" s="364">
        <v>1</v>
      </c>
      <c r="L90" s="229">
        <f t="shared" si="10"/>
        <v>285.95</v>
      </c>
      <c r="M90" s="16"/>
      <c r="N90" s="16"/>
      <c r="O90" s="229">
        <v>64.28</v>
      </c>
      <c r="P90" s="229">
        <v>0</v>
      </c>
      <c r="Q90" s="229">
        <v>0</v>
      </c>
      <c r="R90" s="229">
        <f t="shared" si="11"/>
        <v>64.28</v>
      </c>
      <c r="S90" s="229">
        <v>171.68</v>
      </c>
      <c r="T90" s="229">
        <v>0</v>
      </c>
      <c r="U90" s="229">
        <f t="shared" si="12"/>
        <v>171.68</v>
      </c>
      <c r="V90" s="229">
        <v>48.010000000000005</v>
      </c>
      <c r="W90" s="229">
        <v>1.98</v>
      </c>
      <c r="X90" s="358">
        <f t="shared" si="13"/>
        <v>285.95000000000005</v>
      </c>
      <c r="Y90" s="325" t="b">
        <f t="shared" si="1"/>
        <v>1</v>
      </c>
    </row>
    <row r="91" spans="1:25" s="4" customFormat="1">
      <c r="A91" s="16">
        <v>77</v>
      </c>
      <c r="B91" t="s">
        <v>270</v>
      </c>
      <c r="C91" t="s">
        <v>737</v>
      </c>
      <c r="D91" s="16"/>
      <c r="E91" s="229">
        <v>1835</v>
      </c>
      <c r="F91" s="229">
        <v>0</v>
      </c>
      <c r="G91" s="229">
        <v>0</v>
      </c>
      <c r="H91" s="229">
        <f t="shared" si="8"/>
        <v>1835</v>
      </c>
      <c r="I91" s="229">
        <v>0</v>
      </c>
      <c r="J91" s="229">
        <f t="shared" si="9"/>
        <v>1835</v>
      </c>
      <c r="K91" s="364">
        <v>1</v>
      </c>
      <c r="L91" s="229">
        <f t="shared" si="10"/>
        <v>1835</v>
      </c>
      <c r="M91" s="16"/>
      <c r="N91" s="16"/>
      <c r="O91" s="229">
        <v>97.789999999999992</v>
      </c>
      <c r="P91" s="229">
        <v>0</v>
      </c>
      <c r="Q91" s="229">
        <v>0</v>
      </c>
      <c r="R91" s="229">
        <f t="shared" si="11"/>
        <v>97.789999999999992</v>
      </c>
      <c r="S91" s="229">
        <v>261.17</v>
      </c>
      <c r="T91" s="229">
        <v>0</v>
      </c>
      <c r="U91" s="229">
        <f t="shared" si="12"/>
        <v>261.17</v>
      </c>
      <c r="V91" s="229">
        <v>73.039999999999992</v>
      </c>
      <c r="W91" s="229">
        <v>1403</v>
      </c>
      <c r="X91" s="358">
        <f t="shared" si="13"/>
        <v>1835</v>
      </c>
      <c r="Y91" s="325" t="b">
        <f t="shared" si="1"/>
        <v>1</v>
      </c>
    </row>
    <row r="92" spans="1:25" s="4" customFormat="1">
      <c r="A92" s="16">
        <v>78</v>
      </c>
      <c r="B92" t="s">
        <v>270</v>
      </c>
      <c r="C92" t="s">
        <v>1077</v>
      </c>
      <c r="D92" s="16"/>
      <c r="E92" s="229">
        <v>110</v>
      </c>
      <c r="F92" s="229">
        <v>0</v>
      </c>
      <c r="G92" s="229">
        <v>0</v>
      </c>
      <c r="H92" s="229">
        <f t="shared" si="8"/>
        <v>110</v>
      </c>
      <c r="I92" s="229">
        <v>0</v>
      </c>
      <c r="J92" s="229">
        <f t="shared" si="9"/>
        <v>110</v>
      </c>
      <c r="K92" s="364">
        <v>1</v>
      </c>
      <c r="L92" s="229">
        <f t="shared" si="10"/>
        <v>110</v>
      </c>
      <c r="M92" s="16"/>
      <c r="N92" s="16"/>
      <c r="O92" s="229">
        <v>24.73</v>
      </c>
      <c r="P92" s="229">
        <v>0</v>
      </c>
      <c r="Q92" s="229">
        <v>0</v>
      </c>
      <c r="R92" s="229">
        <f t="shared" si="11"/>
        <v>24.73</v>
      </c>
      <c r="S92" s="229">
        <v>66.05</v>
      </c>
      <c r="T92" s="229">
        <v>0</v>
      </c>
      <c r="U92" s="229">
        <f t="shared" si="12"/>
        <v>66.05</v>
      </c>
      <c r="V92" s="229">
        <v>18.46</v>
      </c>
      <c r="W92" s="229">
        <v>0.76</v>
      </c>
      <c r="X92" s="358">
        <f t="shared" si="13"/>
        <v>110.00000000000001</v>
      </c>
      <c r="Y92" s="325" t="b">
        <f t="shared" si="1"/>
        <v>1</v>
      </c>
    </row>
    <row r="93" spans="1:25" s="4" customFormat="1">
      <c r="A93" s="16">
        <v>79</v>
      </c>
      <c r="B93" t="s">
        <v>270</v>
      </c>
      <c r="C93" t="s">
        <v>1089</v>
      </c>
      <c r="D93" s="16"/>
      <c r="E93" s="229">
        <v>1043</v>
      </c>
      <c r="F93" s="229">
        <v>0</v>
      </c>
      <c r="G93" s="229">
        <v>0</v>
      </c>
      <c r="H93" s="229">
        <f t="shared" si="8"/>
        <v>1043</v>
      </c>
      <c r="I93" s="229">
        <v>0</v>
      </c>
      <c r="J93" s="229">
        <f t="shared" si="9"/>
        <v>1043</v>
      </c>
      <c r="K93" s="364">
        <v>1</v>
      </c>
      <c r="L93" s="229">
        <f t="shared" si="10"/>
        <v>1043</v>
      </c>
      <c r="M93" s="16"/>
      <c r="N93" s="16"/>
      <c r="O93" s="229">
        <v>91.04</v>
      </c>
      <c r="P93" s="229">
        <v>0</v>
      </c>
      <c r="Q93" s="229">
        <v>0</v>
      </c>
      <c r="R93" s="229">
        <f t="shared" si="11"/>
        <v>91.04</v>
      </c>
      <c r="S93" s="229">
        <v>243.17</v>
      </c>
      <c r="T93" s="229">
        <v>0</v>
      </c>
      <c r="U93" s="229">
        <f t="shared" si="12"/>
        <v>243.17</v>
      </c>
      <c r="V93" s="229">
        <v>68</v>
      </c>
      <c r="W93" s="229">
        <v>640.79</v>
      </c>
      <c r="X93" s="358">
        <f t="shared" si="13"/>
        <v>1043</v>
      </c>
      <c r="Y93" s="325" t="b">
        <f t="shared" si="1"/>
        <v>1</v>
      </c>
    </row>
    <row r="94" spans="1:25" s="4" customFormat="1">
      <c r="A94" s="16">
        <v>80</v>
      </c>
      <c r="B94" t="s">
        <v>270</v>
      </c>
      <c r="C94" t="s">
        <v>1099</v>
      </c>
      <c r="D94" s="16"/>
      <c r="E94" s="229">
        <v>11380.32</v>
      </c>
      <c r="F94" s="229">
        <v>0</v>
      </c>
      <c r="G94" s="229">
        <v>0</v>
      </c>
      <c r="H94" s="229">
        <f t="shared" si="8"/>
        <v>11380.32</v>
      </c>
      <c r="I94" s="229">
        <v>0</v>
      </c>
      <c r="J94" s="229">
        <f t="shared" si="9"/>
        <v>11380.32</v>
      </c>
      <c r="K94" s="364">
        <v>1</v>
      </c>
      <c r="L94" s="229">
        <f t="shared" si="10"/>
        <v>11380.32</v>
      </c>
      <c r="M94" s="16"/>
      <c r="N94" s="16"/>
      <c r="O94" s="229">
        <v>2558.2999999999997</v>
      </c>
      <c r="P94" s="229">
        <v>0</v>
      </c>
      <c r="Q94" s="229">
        <v>0</v>
      </c>
      <c r="R94" s="229">
        <f t="shared" si="11"/>
        <v>2558.2999999999997</v>
      </c>
      <c r="S94" s="229">
        <v>6832.7300000000005</v>
      </c>
      <c r="T94" s="229">
        <v>0</v>
      </c>
      <c r="U94" s="229">
        <f t="shared" si="12"/>
        <v>6832.7300000000005</v>
      </c>
      <c r="V94" s="229">
        <v>1910.75</v>
      </c>
      <c r="W94" s="229">
        <v>78.539999999999992</v>
      </c>
      <c r="X94" s="358">
        <f t="shared" si="13"/>
        <v>11380.320000000002</v>
      </c>
      <c r="Y94" s="325" t="b">
        <f t="shared" si="1"/>
        <v>1</v>
      </c>
    </row>
    <row r="95" spans="1:25" s="4" customFormat="1">
      <c r="A95" s="16">
        <v>81</v>
      </c>
      <c r="B95" t="s">
        <v>270</v>
      </c>
      <c r="C95" t="s">
        <v>1015</v>
      </c>
      <c r="D95" s="16"/>
      <c r="E95" s="229">
        <v>2220</v>
      </c>
      <c r="F95" s="229">
        <v>0</v>
      </c>
      <c r="G95" s="229">
        <v>0</v>
      </c>
      <c r="H95" s="229">
        <f t="shared" si="8"/>
        <v>2220</v>
      </c>
      <c r="I95" s="229">
        <v>0</v>
      </c>
      <c r="J95" s="229">
        <f t="shared" si="9"/>
        <v>2220</v>
      </c>
      <c r="K95" s="364">
        <v>1</v>
      </c>
      <c r="L95" s="229">
        <f t="shared" si="10"/>
        <v>2220</v>
      </c>
      <c r="M95" s="16"/>
      <c r="N95" s="16"/>
      <c r="O95" s="229">
        <v>499.05</v>
      </c>
      <c r="P95" s="229">
        <v>0</v>
      </c>
      <c r="Q95" s="229">
        <v>0</v>
      </c>
      <c r="R95" s="229">
        <f t="shared" si="11"/>
        <v>499.05</v>
      </c>
      <c r="S95" s="229">
        <v>1332.8899999999999</v>
      </c>
      <c r="T95" s="229">
        <v>0</v>
      </c>
      <c r="U95" s="229">
        <f t="shared" si="12"/>
        <v>1332.8899999999999</v>
      </c>
      <c r="V95" s="229">
        <v>372.74</v>
      </c>
      <c r="W95" s="229">
        <v>15.32</v>
      </c>
      <c r="X95" s="358">
        <f t="shared" si="13"/>
        <v>2220</v>
      </c>
      <c r="Y95" s="325" t="b">
        <f t="shared" si="1"/>
        <v>1</v>
      </c>
    </row>
    <row r="96" spans="1:25" s="4" customFormat="1">
      <c r="A96" s="16">
        <v>82</v>
      </c>
      <c r="B96" t="s">
        <v>270</v>
      </c>
      <c r="C96" t="s">
        <v>1100</v>
      </c>
      <c r="D96" s="16"/>
      <c r="E96" s="229">
        <v>1452</v>
      </c>
      <c r="F96" s="229">
        <v>0</v>
      </c>
      <c r="G96" s="229">
        <v>0</v>
      </c>
      <c r="H96" s="229">
        <f t="shared" si="8"/>
        <v>1452</v>
      </c>
      <c r="I96" s="229">
        <v>0</v>
      </c>
      <c r="J96" s="229">
        <f t="shared" si="9"/>
        <v>1452</v>
      </c>
      <c r="K96" s="364">
        <v>1</v>
      </c>
      <c r="L96" s="229">
        <f t="shared" si="10"/>
        <v>1452</v>
      </c>
      <c r="M96" s="16"/>
      <c r="N96" s="16"/>
      <c r="O96" s="229">
        <v>326.41000000000003</v>
      </c>
      <c r="P96" s="229">
        <v>0</v>
      </c>
      <c r="Q96" s="229">
        <v>0</v>
      </c>
      <c r="R96" s="229">
        <f t="shared" si="11"/>
        <v>326.41000000000003</v>
      </c>
      <c r="S96" s="229">
        <v>871.78</v>
      </c>
      <c r="T96" s="229">
        <v>0</v>
      </c>
      <c r="U96" s="229">
        <f t="shared" si="12"/>
        <v>871.78</v>
      </c>
      <c r="V96" s="229">
        <v>243.79</v>
      </c>
      <c r="W96" s="229">
        <v>10.02</v>
      </c>
      <c r="X96" s="358">
        <f t="shared" si="13"/>
        <v>1452</v>
      </c>
      <c r="Y96" s="325" t="b">
        <f t="shared" si="1"/>
        <v>1</v>
      </c>
    </row>
    <row r="97" spans="1:25" s="4" customFormat="1">
      <c r="A97" s="16">
        <v>83</v>
      </c>
      <c r="B97" t="s">
        <v>270</v>
      </c>
      <c r="C97" t="s">
        <v>1090</v>
      </c>
      <c r="D97" s="16"/>
      <c r="E97" s="229">
        <v>2352.0100000000002</v>
      </c>
      <c r="F97" s="229">
        <v>0</v>
      </c>
      <c r="G97" s="229">
        <v>0</v>
      </c>
      <c r="H97" s="229">
        <f t="shared" si="8"/>
        <v>2352.0100000000002</v>
      </c>
      <c r="I97" s="229">
        <v>0</v>
      </c>
      <c r="J97" s="229">
        <f t="shared" si="9"/>
        <v>2352.0100000000002</v>
      </c>
      <c r="K97" s="364">
        <v>1</v>
      </c>
      <c r="L97" s="229">
        <f t="shared" si="10"/>
        <v>2352.0100000000002</v>
      </c>
      <c r="M97" s="16"/>
      <c r="N97" s="16"/>
      <c r="O97" s="229">
        <v>528.73</v>
      </c>
      <c r="P97" s="229">
        <v>0</v>
      </c>
      <c r="Q97" s="229">
        <v>0</v>
      </c>
      <c r="R97" s="229">
        <f t="shared" si="11"/>
        <v>528.73</v>
      </c>
      <c r="S97" s="229">
        <v>1412.15</v>
      </c>
      <c r="T97" s="229">
        <v>0</v>
      </c>
      <c r="U97" s="229">
        <f t="shared" si="12"/>
        <v>1412.15</v>
      </c>
      <c r="V97" s="229">
        <v>394.9</v>
      </c>
      <c r="W97" s="229">
        <v>16.23</v>
      </c>
      <c r="X97" s="358">
        <f t="shared" si="13"/>
        <v>2352.0100000000002</v>
      </c>
      <c r="Y97" s="325" t="b">
        <f t="shared" si="1"/>
        <v>1</v>
      </c>
    </row>
    <row r="98" spans="1:25" s="4" customFormat="1">
      <c r="A98" s="16">
        <v>84</v>
      </c>
      <c r="B98" t="s">
        <v>270</v>
      </c>
      <c r="C98" t="s">
        <v>1101</v>
      </c>
      <c r="D98" s="16"/>
      <c r="E98" s="229">
        <v>765</v>
      </c>
      <c r="F98" s="229">
        <v>0</v>
      </c>
      <c r="G98" s="229">
        <v>0</v>
      </c>
      <c r="H98" s="229">
        <f t="shared" si="8"/>
        <v>765</v>
      </c>
      <c r="I98" s="229">
        <v>0</v>
      </c>
      <c r="J98" s="229">
        <f t="shared" si="9"/>
        <v>765</v>
      </c>
      <c r="K98" s="364">
        <v>1</v>
      </c>
      <c r="L98" s="229">
        <f t="shared" si="10"/>
        <v>765</v>
      </c>
      <c r="M98" s="16"/>
      <c r="N98" s="16"/>
      <c r="O98" s="229">
        <v>110.60000000000001</v>
      </c>
      <c r="P98" s="229">
        <v>0</v>
      </c>
      <c r="Q98" s="229">
        <v>0</v>
      </c>
      <c r="R98" s="229">
        <f t="shared" si="11"/>
        <v>110.60000000000001</v>
      </c>
      <c r="S98" s="229">
        <v>295.39</v>
      </c>
      <c r="T98" s="229">
        <v>0</v>
      </c>
      <c r="U98" s="229">
        <f t="shared" si="12"/>
        <v>295.39</v>
      </c>
      <c r="V98" s="229">
        <v>82.61</v>
      </c>
      <c r="W98" s="229">
        <v>276.40000000000003</v>
      </c>
      <c r="X98" s="358">
        <f t="shared" si="13"/>
        <v>765</v>
      </c>
      <c r="Y98" s="325" t="b">
        <f t="shared" si="1"/>
        <v>1</v>
      </c>
    </row>
    <row r="99" spans="1:25" s="4" customFormat="1">
      <c r="A99" s="16">
        <v>85</v>
      </c>
      <c r="B99" t="s">
        <v>270</v>
      </c>
      <c r="C99" t="s">
        <v>879</v>
      </c>
      <c r="D99" s="16"/>
      <c r="E99" s="229">
        <v>1399</v>
      </c>
      <c r="F99" s="229">
        <v>0</v>
      </c>
      <c r="G99" s="229">
        <v>0</v>
      </c>
      <c r="H99" s="229">
        <f t="shared" si="8"/>
        <v>1399</v>
      </c>
      <c r="I99" s="229">
        <v>0</v>
      </c>
      <c r="J99" s="229">
        <f t="shared" si="9"/>
        <v>1399</v>
      </c>
      <c r="K99" s="364">
        <v>1</v>
      </c>
      <c r="L99" s="229">
        <f t="shared" si="10"/>
        <v>1399</v>
      </c>
      <c r="M99" s="16"/>
      <c r="N99" s="16"/>
      <c r="O99" s="229">
        <v>314.5</v>
      </c>
      <c r="P99" s="229">
        <v>0</v>
      </c>
      <c r="Q99" s="229">
        <v>0</v>
      </c>
      <c r="R99" s="229">
        <f t="shared" si="11"/>
        <v>314.5</v>
      </c>
      <c r="S99" s="229">
        <v>839.96</v>
      </c>
      <c r="T99" s="229">
        <v>0</v>
      </c>
      <c r="U99" s="229">
        <f t="shared" si="12"/>
        <v>839.96</v>
      </c>
      <c r="V99" s="229">
        <v>234.89</v>
      </c>
      <c r="W99" s="229">
        <v>9.65</v>
      </c>
      <c r="X99" s="358">
        <f t="shared" si="13"/>
        <v>1399</v>
      </c>
      <c r="Y99" s="325" t="b">
        <f t="shared" si="1"/>
        <v>1</v>
      </c>
    </row>
    <row r="100" spans="1:25" s="4" customFormat="1">
      <c r="A100" s="16">
        <v>86</v>
      </c>
      <c r="B100" t="s">
        <v>270</v>
      </c>
      <c r="C100" t="s">
        <v>880</v>
      </c>
      <c r="D100" s="16"/>
      <c r="E100" s="229">
        <v>9500</v>
      </c>
      <c r="F100" s="229">
        <v>0</v>
      </c>
      <c r="G100" s="229">
        <v>0</v>
      </c>
      <c r="H100" s="229">
        <f t="shared" si="8"/>
        <v>9500</v>
      </c>
      <c r="I100" s="229">
        <v>0</v>
      </c>
      <c r="J100" s="229">
        <f t="shared" si="9"/>
        <v>9500</v>
      </c>
      <c r="K100" s="364">
        <v>1</v>
      </c>
      <c r="L100" s="229">
        <f t="shared" si="10"/>
        <v>9500</v>
      </c>
      <c r="M100" s="16"/>
      <c r="N100" s="16"/>
      <c r="O100" s="229">
        <v>2395.7800000000002</v>
      </c>
      <c r="P100" s="229">
        <v>0</v>
      </c>
      <c r="Q100" s="229">
        <v>0</v>
      </c>
      <c r="R100" s="229">
        <f t="shared" si="11"/>
        <v>2395.7800000000002</v>
      </c>
      <c r="S100" s="229">
        <v>4791.9399999999996</v>
      </c>
      <c r="T100" s="229">
        <v>0</v>
      </c>
      <c r="U100" s="229">
        <f t="shared" si="12"/>
        <v>4791.9399999999996</v>
      </c>
      <c r="V100" s="229">
        <v>1264.5</v>
      </c>
      <c r="W100" s="229">
        <v>1047.78</v>
      </c>
      <c r="X100" s="358">
        <f t="shared" si="13"/>
        <v>9500</v>
      </c>
      <c r="Y100" s="325" t="b">
        <f t="shared" si="1"/>
        <v>1</v>
      </c>
    </row>
    <row r="101" spans="1:25" s="4" customFormat="1">
      <c r="A101" s="16">
        <v>87</v>
      </c>
      <c r="B101" t="s">
        <v>270</v>
      </c>
      <c r="C101" t="s">
        <v>1102</v>
      </c>
      <c r="D101" s="16"/>
      <c r="E101" s="229">
        <v>170</v>
      </c>
      <c r="F101" s="229">
        <v>0</v>
      </c>
      <c r="G101" s="229">
        <v>0</v>
      </c>
      <c r="H101" s="229">
        <f t="shared" si="8"/>
        <v>170</v>
      </c>
      <c r="I101" s="229">
        <v>0</v>
      </c>
      <c r="J101" s="229">
        <f t="shared" si="9"/>
        <v>170</v>
      </c>
      <c r="K101" s="364">
        <v>1</v>
      </c>
      <c r="L101" s="229">
        <f t="shared" si="10"/>
        <v>170</v>
      </c>
      <c r="M101" s="16"/>
      <c r="N101" s="16"/>
      <c r="O101" s="229">
        <v>38.22</v>
      </c>
      <c r="P101" s="229">
        <v>0</v>
      </c>
      <c r="Q101" s="229">
        <v>0</v>
      </c>
      <c r="R101" s="229">
        <f t="shared" si="11"/>
        <v>38.22</v>
      </c>
      <c r="S101" s="229">
        <v>102.07</v>
      </c>
      <c r="T101" s="229">
        <v>0</v>
      </c>
      <c r="U101" s="229">
        <f t="shared" si="12"/>
        <v>102.07</v>
      </c>
      <c r="V101" s="229">
        <v>28.54</v>
      </c>
      <c r="W101" s="229">
        <v>1.17</v>
      </c>
      <c r="X101" s="358">
        <f t="shared" si="13"/>
        <v>169.99999999999997</v>
      </c>
      <c r="Y101" s="325" t="b">
        <f t="shared" si="1"/>
        <v>1</v>
      </c>
    </row>
    <row r="102" spans="1:25" s="4" customFormat="1">
      <c r="A102" s="16">
        <v>88</v>
      </c>
      <c r="B102" t="s">
        <v>270</v>
      </c>
      <c r="C102" t="s">
        <v>1078</v>
      </c>
      <c r="D102" s="16"/>
      <c r="E102" s="229">
        <v>163.25</v>
      </c>
      <c r="F102" s="229">
        <v>0</v>
      </c>
      <c r="G102" s="229">
        <v>0</v>
      </c>
      <c r="H102" s="229">
        <f t="shared" si="8"/>
        <v>163.25</v>
      </c>
      <c r="I102" s="229">
        <v>0</v>
      </c>
      <c r="J102" s="229">
        <f t="shared" si="9"/>
        <v>163.25</v>
      </c>
      <c r="K102" s="364">
        <v>1</v>
      </c>
      <c r="L102" s="229">
        <f t="shared" si="10"/>
        <v>163.25</v>
      </c>
      <c r="M102" s="16"/>
      <c r="N102" s="16"/>
      <c r="O102" s="229">
        <v>36.700000000000003</v>
      </c>
      <c r="P102" s="229">
        <v>0</v>
      </c>
      <c r="Q102" s="229">
        <v>0</v>
      </c>
      <c r="R102" s="229">
        <f t="shared" si="11"/>
        <v>36.700000000000003</v>
      </c>
      <c r="S102" s="229">
        <v>98.01</v>
      </c>
      <c r="T102" s="229">
        <v>0</v>
      </c>
      <c r="U102" s="229">
        <f t="shared" si="12"/>
        <v>98.01</v>
      </c>
      <c r="V102" s="229">
        <v>27.41</v>
      </c>
      <c r="W102" s="229">
        <v>1.1299999999999999</v>
      </c>
      <c r="X102" s="358">
        <f t="shared" si="13"/>
        <v>163.25</v>
      </c>
      <c r="Y102" s="325" t="b">
        <f t="shared" si="1"/>
        <v>1</v>
      </c>
    </row>
    <row r="103" spans="1:25" s="4" customFormat="1">
      <c r="A103" s="16">
        <v>89</v>
      </c>
      <c r="B103" t="s">
        <v>270</v>
      </c>
      <c r="C103" t="s">
        <v>1073</v>
      </c>
      <c r="D103" s="16"/>
      <c r="E103" s="229">
        <v>1169.55</v>
      </c>
      <c r="F103" s="229">
        <v>0</v>
      </c>
      <c r="G103" s="229">
        <v>0</v>
      </c>
      <c r="H103" s="229">
        <f t="shared" si="8"/>
        <v>1169.55</v>
      </c>
      <c r="I103" s="229">
        <v>0</v>
      </c>
      <c r="J103" s="229">
        <f t="shared" si="9"/>
        <v>1169.55</v>
      </c>
      <c r="K103" s="364">
        <v>1</v>
      </c>
      <c r="L103" s="229">
        <f t="shared" si="10"/>
        <v>1169.55</v>
      </c>
      <c r="M103" s="16"/>
      <c r="N103" s="16"/>
      <c r="O103" s="229">
        <v>21.81</v>
      </c>
      <c r="P103" s="229">
        <v>0</v>
      </c>
      <c r="Q103" s="229">
        <v>0</v>
      </c>
      <c r="R103" s="229">
        <f t="shared" si="11"/>
        <v>21.81</v>
      </c>
      <c r="S103" s="229">
        <v>58.23</v>
      </c>
      <c r="T103" s="229">
        <v>0</v>
      </c>
      <c r="U103" s="229">
        <f t="shared" si="12"/>
        <v>58.23</v>
      </c>
      <c r="V103" s="229">
        <v>16.29</v>
      </c>
      <c r="W103" s="229">
        <v>1073.22</v>
      </c>
      <c r="X103" s="358">
        <f t="shared" si="13"/>
        <v>1169.55</v>
      </c>
      <c r="Y103" s="325" t="b">
        <f t="shared" si="1"/>
        <v>1</v>
      </c>
    </row>
    <row r="104" spans="1:25" s="4" customFormat="1">
      <c r="A104" s="16">
        <v>90</v>
      </c>
      <c r="B104" t="s">
        <v>270</v>
      </c>
      <c r="C104" t="s">
        <v>1024</v>
      </c>
      <c r="D104" s="16"/>
      <c r="E104" s="229">
        <v>35.5</v>
      </c>
      <c r="F104" s="229">
        <v>0</v>
      </c>
      <c r="G104" s="229">
        <v>0</v>
      </c>
      <c r="H104" s="229">
        <f t="shared" si="8"/>
        <v>35.5</v>
      </c>
      <c r="I104" s="229">
        <v>0</v>
      </c>
      <c r="J104" s="229">
        <f t="shared" si="9"/>
        <v>35.5</v>
      </c>
      <c r="K104" s="364">
        <v>1</v>
      </c>
      <c r="L104" s="229">
        <f t="shared" si="10"/>
        <v>35.5</v>
      </c>
      <c r="M104" s="16"/>
      <c r="N104" s="16"/>
      <c r="O104" s="229">
        <v>7.98</v>
      </c>
      <c r="P104" s="229">
        <v>0</v>
      </c>
      <c r="Q104" s="229">
        <v>0</v>
      </c>
      <c r="R104" s="229">
        <f t="shared" si="11"/>
        <v>7.98</v>
      </c>
      <c r="S104" s="229">
        <v>21.32</v>
      </c>
      <c r="T104" s="229">
        <v>0</v>
      </c>
      <c r="U104" s="229">
        <f t="shared" si="12"/>
        <v>21.32</v>
      </c>
      <c r="V104" s="229">
        <v>5.96</v>
      </c>
      <c r="W104" s="229">
        <v>0.24</v>
      </c>
      <c r="X104" s="358">
        <f t="shared" si="13"/>
        <v>35.5</v>
      </c>
      <c r="Y104" s="325" t="b">
        <f t="shared" si="1"/>
        <v>1</v>
      </c>
    </row>
    <row r="105" spans="1:25" s="4" customFormat="1">
      <c r="A105" s="16">
        <v>91</v>
      </c>
      <c r="B105" t="s">
        <v>270</v>
      </c>
      <c r="C105" t="s">
        <v>1069</v>
      </c>
      <c r="D105" s="16"/>
      <c r="E105" s="229">
        <v>1145.5</v>
      </c>
      <c r="F105" s="229">
        <v>0</v>
      </c>
      <c r="G105" s="229">
        <v>0</v>
      </c>
      <c r="H105" s="229">
        <f t="shared" si="8"/>
        <v>1145.5</v>
      </c>
      <c r="I105" s="229">
        <v>0</v>
      </c>
      <c r="J105" s="229">
        <f t="shared" si="9"/>
        <v>1145.5</v>
      </c>
      <c r="K105" s="364">
        <v>1</v>
      </c>
      <c r="L105" s="229">
        <f t="shared" si="10"/>
        <v>1145.5</v>
      </c>
      <c r="M105" s="16"/>
      <c r="N105" s="16"/>
      <c r="O105" s="229">
        <v>60.7</v>
      </c>
      <c r="P105" s="229">
        <v>0</v>
      </c>
      <c r="Q105" s="229">
        <v>0</v>
      </c>
      <c r="R105" s="229">
        <f t="shared" si="11"/>
        <v>60.7</v>
      </c>
      <c r="S105" s="229">
        <v>162.11000000000001</v>
      </c>
      <c r="T105" s="229">
        <v>0</v>
      </c>
      <c r="U105" s="229">
        <f t="shared" si="12"/>
        <v>162.11000000000001</v>
      </c>
      <c r="V105" s="229">
        <v>45.33</v>
      </c>
      <c r="W105" s="229">
        <v>877.36</v>
      </c>
      <c r="X105" s="358">
        <f t="shared" si="13"/>
        <v>1145.5</v>
      </c>
      <c r="Y105" s="325" t="b">
        <f t="shared" si="1"/>
        <v>1</v>
      </c>
    </row>
    <row r="106" spans="1:25" s="4" customFormat="1">
      <c r="A106" s="16">
        <v>92</v>
      </c>
      <c r="B106" t="s">
        <v>270</v>
      </c>
      <c r="C106" t="s">
        <v>881</v>
      </c>
      <c r="D106" s="16"/>
      <c r="E106" s="229">
        <v>1000</v>
      </c>
      <c r="F106" s="229">
        <v>0</v>
      </c>
      <c r="G106" s="229">
        <v>0</v>
      </c>
      <c r="H106" s="229">
        <f t="shared" si="8"/>
        <v>1000</v>
      </c>
      <c r="I106" s="229">
        <v>0</v>
      </c>
      <c r="J106" s="229">
        <f t="shared" si="9"/>
        <v>1000</v>
      </c>
      <c r="K106" s="364">
        <v>1</v>
      </c>
      <c r="L106" s="229">
        <f t="shared" si="10"/>
        <v>1000</v>
      </c>
      <c r="M106" s="16"/>
      <c r="N106" s="16"/>
      <c r="O106" s="229">
        <v>224.8</v>
      </c>
      <c r="P106" s="229">
        <v>0</v>
      </c>
      <c r="Q106" s="229">
        <v>0</v>
      </c>
      <c r="R106" s="229">
        <f t="shared" si="11"/>
        <v>224.8</v>
      </c>
      <c r="S106" s="229">
        <v>600.4</v>
      </c>
      <c r="T106" s="229">
        <v>0</v>
      </c>
      <c r="U106" s="229">
        <f t="shared" si="12"/>
        <v>600.4</v>
      </c>
      <c r="V106" s="229">
        <v>167.9</v>
      </c>
      <c r="W106" s="229">
        <v>6.9</v>
      </c>
      <c r="X106" s="358">
        <f t="shared" si="13"/>
        <v>1000</v>
      </c>
      <c r="Y106" s="325" t="b">
        <f t="shared" si="1"/>
        <v>1</v>
      </c>
    </row>
    <row r="107" spans="1:25" s="4" customFormat="1">
      <c r="A107" s="16">
        <v>93</v>
      </c>
      <c r="B107" t="s">
        <v>270</v>
      </c>
      <c r="C107" t="s">
        <v>882</v>
      </c>
      <c r="D107" s="16"/>
      <c r="E107" s="229">
        <v>500</v>
      </c>
      <c r="F107" s="229">
        <v>0</v>
      </c>
      <c r="G107" s="229">
        <v>0</v>
      </c>
      <c r="H107" s="229">
        <f t="shared" si="8"/>
        <v>500</v>
      </c>
      <c r="I107" s="229">
        <v>0</v>
      </c>
      <c r="J107" s="229">
        <f t="shared" si="9"/>
        <v>500</v>
      </c>
      <c r="K107" s="364">
        <v>1</v>
      </c>
      <c r="L107" s="229">
        <f t="shared" si="10"/>
        <v>500</v>
      </c>
      <c r="M107" s="16"/>
      <c r="N107" s="16"/>
      <c r="O107" s="229">
        <v>0</v>
      </c>
      <c r="P107" s="229">
        <v>0</v>
      </c>
      <c r="Q107" s="229">
        <v>0</v>
      </c>
      <c r="R107" s="229">
        <f t="shared" si="11"/>
        <v>0</v>
      </c>
      <c r="S107" s="229">
        <v>0</v>
      </c>
      <c r="T107" s="229">
        <v>0</v>
      </c>
      <c r="U107" s="229">
        <f t="shared" si="12"/>
        <v>0</v>
      </c>
      <c r="V107" s="229">
        <v>0</v>
      </c>
      <c r="W107" s="229">
        <v>500</v>
      </c>
      <c r="X107" s="358">
        <f t="shared" si="13"/>
        <v>500</v>
      </c>
      <c r="Y107" s="325" t="b">
        <f t="shared" si="1"/>
        <v>1</v>
      </c>
    </row>
    <row r="108" spans="1:25" s="4" customFormat="1">
      <c r="A108" s="16">
        <v>94</v>
      </c>
      <c r="B108" t="s">
        <v>270</v>
      </c>
      <c r="C108" t="s">
        <v>1103</v>
      </c>
      <c r="D108" s="16"/>
      <c r="E108" s="229">
        <v>100</v>
      </c>
      <c r="F108" s="229">
        <v>0</v>
      </c>
      <c r="G108" s="229">
        <v>0</v>
      </c>
      <c r="H108" s="229">
        <f t="shared" si="8"/>
        <v>100</v>
      </c>
      <c r="I108" s="229">
        <v>0</v>
      </c>
      <c r="J108" s="229">
        <f t="shared" si="9"/>
        <v>100</v>
      </c>
      <c r="K108" s="364">
        <v>1</v>
      </c>
      <c r="L108" s="229">
        <f t="shared" si="10"/>
        <v>100</v>
      </c>
      <c r="M108" s="16"/>
      <c r="N108" s="16"/>
      <c r="O108" s="229">
        <v>22.48</v>
      </c>
      <c r="P108" s="229">
        <v>0</v>
      </c>
      <c r="Q108" s="229">
        <v>0</v>
      </c>
      <c r="R108" s="229">
        <f t="shared" si="11"/>
        <v>22.48</v>
      </c>
      <c r="S108" s="229">
        <v>60.04</v>
      </c>
      <c r="T108" s="229">
        <v>0</v>
      </c>
      <c r="U108" s="229">
        <f t="shared" si="12"/>
        <v>60.04</v>
      </c>
      <c r="V108" s="229">
        <v>16.79</v>
      </c>
      <c r="W108" s="229">
        <v>0.69</v>
      </c>
      <c r="X108" s="358">
        <f t="shared" si="13"/>
        <v>100</v>
      </c>
      <c r="Y108" s="325" t="b">
        <f t="shared" si="1"/>
        <v>1</v>
      </c>
    </row>
    <row r="109" spans="1:25" s="4" customFormat="1">
      <c r="A109" s="16">
        <v>95</v>
      </c>
      <c r="B109" t="s">
        <v>270</v>
      </c>
      <c r="C109" t="s">
        <v>716</v>
      </c>
      <c r="D109" s="16"/>
      <c r="E109" s="229">
        <v>2000</v>
      </c>
      <c r="F109" s="229">
        <v>0</v>
      </c>
      <c r="G109" s="229">
        <v>0</v>
      </c>
      <c r="H109" s="229">
        <f t="shared" si="8"/>
        <v>2000</v>
      </c>
      <c r="I109" s="229">
        <v>-200</v>
      </c>
      <c r="J109" s="229">
        <f t="shared" si="9"/>
        <v>1800</v>
      </c>
      <c r="K109" s="364">
        <v>1</v>
      </c>
      <c r="L109" s="229">
        <f t="shared" si="10"/>
        <v>1800</v>
      </c>
      <c r="M109" s="16"/>
      <c r="N109" s="16"/>
      <c r="O109" s="229">
        <v>0</v>
      </c>
      <c r="P109" s="229">
        <v>0</v>
      </c>
      <c r="Q109" s="229">
        <v>0</v>
      </c>
      <c r="R109" s="229">
        <f t="shared" si="11"/>
        <v>0</v>
      </c>
      <c r="S109" s="229">
        <v>0</v>
      </c>
      <c r="T109" s="229">
        <v>0</v>
      </c>
      <c r="U109" s="229">
        <f t="shared" si="12"/>
        <v>0</v>
      </c>
      <c r="V109" s="229">
        <v>0</v>
      </c>
      <c r="W109" s="229">
        <f>+L109</f>
        <v>1800</v>
      </c>
      <c r="X109" s="358">
        <f t="shared" si="13"/>
        <v>1800</v>
      </c>
      <c r="Y109" s="325" t="b">
        <f t="shared" si="1"/>
        <v>1</v>
      </c>
    </row>
    <row r="110" spans="1:25" s="4" customFormat="1">
      <c r="A110" s="16">
        <v>96</v>
      </c>
      <c r="B110" t="s">
        <v>270</v>
      </c>
      <c r="C110" t="s">
        <v>1104</v>
      </c>
      <c r="D110" s="16"/>
      <c r="E110" s="229">
        <v>265</v>
      </c>
      <c r="F110" s="229">
        <v>0</v>
      </c>
      <c r="G110" s="229">
        <v>0</v>
      </c>
      <c r="H110" s="229">
        <f t="shared" si="8"/>
        <v>265</v>
      </c>
      <c r="I110" s="229">
        <v>0</v>
      </c>
      <c r="J110" s="229">
        <f t="shared" si="9"/>
        <v>265</v>
      </c>
      <c r="K110" s="364">
        <v>1</v>
      </c>
      <c r="L110" s="229">
        <f t="shared" si="10"/>
        <v>265</v>
      </c>
      <c r="M110" s="16"/>
      <c r="N110" s="16"/>
      <c r="O110" s="229">
        <v>59.57</v>
      </c>
      <c r="P110" s="229">
        <v>0</v>
      </c>
      <c r="Q110" s="229">
        <v>0</v>
      </c>
      <c r="R110" s="229">
        <f t="shared" si="11"/>
        <v>59.57</v>
      </c>
      <c r="S110" s="229">
        <v>159.11000000000001</v>
      </c>
      <c r="T110" s="229">
        <v>0</v>
      </c>
      <c r="U110" s="229">
        <f t="shared" si="12"/>
        <v>159.11000000000001</v>
      </c>
      <c r="V110" s="229">
        <v>44.49</v>
      </c>
      <c r="W110" s="229">
        <v>1.83</v>
      </c>
      <c r="X110" s="358">
        <f t="shared" si="13"/>
        <v>265</v>
      </c>
      <c r="Y110" s="325" t="b">
        <f t="shared" si="1"/>
        <v>1</v>
      </c>
    </row>
    <row r="111" spans="1:25" s="4" customFormat="1">
      <c r="A111" s="16">
        <v>97</v>
      </c>
      <c r="B111" t="s">
        <v>270</v>
      </c>
      <c r="C111" t="s">
        <v>883</v>
      </c>
      <c r="D111" s="16"/>
      <c r="E111" s="229">
        <v>17320</v>
      </c>
      <c r="F111" s="229">
        <v>0</v>
      </c>
      <c r="G111" s="229">
        <v>0</v>
      </c>
      <c r="H111" s="229">
        <f t="shared" si="8"/>
        <v>17320</v>
      </c>
      <c r="I111" s="229">
        <v>0</v>
      </c>
      <c r="J111" s="229">
        <f t="shared" si="9"/>
        <v>17320</v>
      </c>
      <c r="K111" s="364">
        <v>1</v>
      </c>
      <c r="L111" s="229">
        <f t="shared" si="10"/>
        <v>17320</v>
      </c>
      <c r="M111" s="16"/>
      <c r="N111" s="16"/>
      <c r="O111" s="229">
        <v>0</v>
      </c>
      <c r="P111" s="229">
        <v>0</v>
      </c>
      <c r="Q111" s="229">
        <v>0</v>
      </c>
      <c r="R111" s="229">
        <f t="shared" si="11"/>
        <v>0</v>
      </c>
      <c r="S111" s="229">
        <v>0</v>
      </c>
      <c r="T111" s="229">
        <v>0</v>
      </c>
      <c r="U111" s="229">
        <f t="shared" si="12"/>
        <v>0</v>
      </c>
      <c r="V111" s="229">
        <v>0</v>
      </c>
      <c r="W111" s="229">
        <v>17320</v>
      </c>
      <c r="X111" s="358">
        <f t="shared" si="13"/>
        <v>17320</v>
      </c>
      <c r="Y111" s="325" t="b">
        <f t="shared" si="1"/>
        <v>1</v>
      </c>
    </row>
    <row r="112" spans="1:25" s="4" customFormat="1">
      <c r="A112" s="16">
        <v>98</v>
      </c>
      <c r="B112" t="s">
        <v>270</v>
      </c>
      <c r="C112" t="s">
        <v>1080</v>
      </c>
      <c r="D112" s="16"/>
      <c r="E112" s="229">
        <v>879</v>
      </c>
      <c r="F112" s="229">
        <v>0</v>
      </c>
      <c r="G112" s="229">
        <v>0</v>
      </c>
      <c r="H112" s="229">
        <f t="shared" si="8"/>
        <v>879</v>
      </c>
      <c r="I112" s="229">
        <v>0</v>
      </c>
      <c r="J112" s="229">
        <f t="shared" si="9"/>
        <v>879</v>
      </c>
      <c r="K112" s="364">
        <v>1</v>
      </c>
      <c r="L112" s="229">
        <f t="shared" si="10"/>
        <v>879</v>
      </c>
      <c r="M112" s="16"/>
      <c r="N112" s="16"/>
      <c r="O112" s="229">
        <v>20.23</v>
      </c>
      <c r="P112" s="229">
        <v>0</v>
      </c>
      <c r="Q112" s="229">
        <v>0</v>
      </c>
      <c r="R112" s="229">
        <f t="shared" si="11"/>
        <v>20.23</v>
      </c>
      <c r="S112" s="229">
        <v>54.04</v>
      </c>
      <c r="T112" s="229">
        <v>0</v>
      </c>
      <c r="U112" s="229">
        <f t="shared" si="12"/>
        <v>54.04</v>
      </c>
      <c r="V112" s="229">
        <v>15.11</v>
      </c>
      <c r="W112" s="229">
        <v>789.62</v>
      </c>
      <c r="X112" s="358">
        <f t="shared" si="13"/>
        <v>879</v>
      </c>
      <c r="Y112" s="325" t="b">
        <f t="shared" si="1"/>
        <v>1</v>
      </c>
    </row>
    <row r="113" spans="1:25" s="4" customFormat="1">
      <c r="A113" s="16">
        <v>99</v>
      </c>
      <c r="B113" t="s">
        <v>270</v>
      </c>
      <c r="C113" t="s">
        <v>874</v>
      </c>
      <c r="D113" s="16"/>
      <c r="E113" s="229">
        <v>60</v>
      </c>
      <c r="F113" s="229">
        <v>0</v>
      </c>
      <c r="G113" s="229">
        <v>0</v>
      </c>
      <c r="H113" s="229">
        <f t="shared" si="8"/>
        <v>60</v>
      </c>
      <c r="I113" s="229">
        <v>0</v>
      </c>
      <c r="J113" s="229">
        <f t="shared" si="9"/>
        <v>60</v>
      </c>
      <c r="K113" s="364">
        <v>1</v>
      </c>
      <c r="L113" s="229">
        <f t="shared" si="10"/>
        <v>60</v>
      </c>
      <c r="M113" s="16"/>
      <c r="N113" s="16"/>
      <c r="O113" s="229">
        <v>0</v>
      </c>
      <c r="P113" s="229">
        <v>0</v>
      </c>
      <c r="Q113" s="229">
        <v>0</v>
      </c>
      <c r="R113" s="229">
        <f t="shared" si="11"/>
        <v>0</v>
      </c>
      <c r="S113" s="229">
        <v>0</v>
      </c>
      <c r="T113" s="229">
        <v>0</v>
      </c>
      <c r="U113" s="229">
        <f t="shared" si="12"/>
        <v>0</v>
      </c>
      <c r="V113" s="229">
        <v>0</v>
      </c>
      <c r="W113" s="229">
        <v>60</v>
      </c>
      <c r="X113" s="358">
        <f t="shared" si="13"/>
        <v>60</v>
      </c>
      <c r="Y113" s="325" t="b">
        <f t="shared" si="1"/>
        <v>1</v>
      </c>
    </row>
    <row r="114" spans="1:25" s="4" customFormat="1">
      <c r="A114" s="16">
        <v>100</v>
      </c>
      <c r="B114" t="s">
        <v>270</v>
      </c>
      <c r="C114" t="s">
        <v>884</v>
      </c>
      <c r="D114" s="16"/>
      <c r="E114" s="229">
        <v>2219</v>
      </c>
      <c r="F114" s="229">
        <v>0</v>
      </c>
      <c r="G114" s="229">
        <v>0</v>
      </c>
      <c r="H114" s="229">
        <f t="shared" si="8"/>
        <v>2219</v>
      </c>
      <c r="I114" s="229">
        <v>0</v>
      </c>
      <c r="J114" s="229">
        <f t="shared" si="9"/>
        <v>2219</v>
      </c>
      <c r="K114" s="364">
        <v>1</v>
      </c>
      <c r="L114" s="229">
        <f t="shared" si="10"/>
        <v>2219</v>
      </c>
      <c r="M114" s="16"/>
      <c r="N114" s="16"/>
      <c r="O114" s="229">
        <v>0</v>
      </c>
      <c r="P114" s="229">
        <v>0</v>
      </c>
      <c r="Q114" s="229">
        <v>0</v>
      </c>
      <c r="R114" s="229">
        <f t="shared" si="11"/>
        <v>0</v>
      </c>
      <c r="S114" s="229">
        <v>0</v>
      </c>
      <c r="T114" s="229">
        <v>0</v>
      </c>
      <c r="U114" s="229">
        <f t="shared" si="12"/>
        <v>0</v>
      </c>
      <c r="V114" s="229">
        <v>0</v>
      </c>
      <c r="W114" s="229">
        <v>2219</v>
      </c>
      <c r="X114" s="358">
        <f t="shared" si="13"/>
        <v>2219</v>
      </c>
      <c r="Y114" s="325" t="b">
        <f t="shared" si="1"/>
        <v>1</v>
      </c>
    </row>
    <row r="115" spans="1:25" s="4" customFormat="1">
      <c r="A115" s="16">
        <v>101</v>
      </c>
      <c r="B115" t="s">
        <v>270</v>
      </c>
      <c r="C115" t="s">
        <v>885</v>
      </c>
      <c r="D115" s="16"/>
      <c r="E115" s="229">
        <v>1500</v>
      </c>
      <c r="F115" s="229">
        <v>0</v>
      </c>
      <c r="G115" s="229">
        <v>0</v>
      </c>
      <c r="H115" s="229">
        <f t="shared" si="8"/>
        <v>1500</v>
      </c>
      <c r="I115" s="229">
        <v>0</v>
      </c>
      <c r="J115" s="229">
        <f t="shared" si="9"/>
        <v>1500</v>
      </c>
      <c r="K115" s="364">
        <v>1</v>
      </c>
      <c r="L115" s="229">
        <f t="shared" si="10"/>
        <v>1500</v>
      </c>
      <c r="M115" s="16"/>
      <c r="N115" s="16"/>
      <c r="O115" s="229">
        <v>0</v>
      </c>
      <c r="P115" s="229">
        <v>0</v>
      </c>
      <c r="Q115" s="229">
        <v>0</v>
      </c>
      <c r="R115" s="229">
        <f t="shared" si="11"/>
        <v>0</v>
      </c>
      <c r="S115" s="229">
        <v>0</v>
      </c>
      <c r="T115" s="229">
        <v>0</v>
      </c>
      <c r="U115" s="229">
        <f t="shared" si="12"/>
        <v>0</v>
      </c>
      <c r="V115" s="229">
        <v>0</v>
      </c>
      <c r="W115" s="229">
        <v>1500</v>
      </c>
      <c r="X115" s="358">
        <f t="shared" si="13"/>
        <v>1500</v>
      </c>
      <c r="Y115" s="325" t="b">
        <f t="shared" si="1"/>
        <v>1</v>
      </c>
    </row>
    <row r="116" spans="1:25" s="4" customFormat="1">
      <c r="A116" s="16">
        <v>102</v>
      </c>
      <c r="B116" t="s">
        <v>270</v>
      </c>
      <c r="C116" t="s">
        <v>1081</v>
      </c>
      <c r="D116" s="16"/>
      <c r="E116" s="229">
        <v>983.33</v>
      </c>
      <c r="F116" s="229">
        <v>0</v>
      </c>
      <c r="G116" s="229">
        <v>0</v>
      </c>
      <c r="H116" s="229">
        <f t="shared" si="8"/>
        <v>983.33</v>
      </c>
      <c r="I116" s="229">
        <v>0</v>
      </c>
      <c r="J116" s="229">
        <f t="shared" si="9"/>
        <v>983.33</v>
      </c>
      <c r="K116" s="364">
        <v>1</v>
      </c>
      <c r="L116" s="229">
        <f t="shared" si="10"/>
        <v>983.33</v>
      </c>
      <c r="M116" s="16"/>
      <c r="N116" s="16"/>
      <c r="O116" s="229">
        <v>0</v>
      </c>
      <c r="P116" s="229">
        <v>0</v>
      </c>
      <c r="Q116" s="229">
        <v>0</v>
      </c>
      <c r="R116" s="229">
        <f t="shared" si="11"/>
        <v>0</v>
      </c>
      <c r="S116" s="229">
        <v>0</v>
      </c>
      <c r="T116" s="229">
        <v>0</v>
      </c>
      <c r="U116" s="229">
        <f t="shared" si="12"/>
        <v>0</v>
      </c>
      <c r="V116" s="229">
        <v>0</v>
      </c>
      <c r="W116" s="229">
        <v>983.33</v>
      </c>
      <c r="X116" s="358">
        <f t="shared" si="13"/>
        <v>983.33</v>
      </c>
      <c r="Y116" s="325" t="b">
        <f t="shared" si="1"/>
        <v>1</v>
      </c>
    </row>
    <row r="117" spans="1:25" s="4" customFormat="1">
      <c r="A117" s="16">
        <v>103</v>
      </c>
      <c r="B117" t="s">
        <v>270</v>
      </c>
      <c r="C117" t="s">
        <v>1105</v>
      </c>
      <c r="D117" s="16"/>
      <c r="E117" s="229">
        <v>779.25</v>
      </c>
      <c r="F117" s="229">
        <v>0</v>
      </c>
      <c r="G117" s="229">
        <v>0</v>
      </c>
      <c r="H117" s="229">
        <f t="shared" si="8"/>
        <v>779.25</v>
      </c>
      <c r="I117" s="229">
        <v>0</v>
      </c>
      <c r="J117" s="229">
        <f t="shared" si="9"/>
        <v>779.25</v>
      </c>
      <c r="K117" s="364">
        <v>1</v>
      </c>
      <c r="L117" s="229">
        <f t="shared" si="10"/>
        <v>779.25</v>
      </c>
      <c r="M117" s="16"/>
      <c r="N117" s="16"/>
      <c r="O117" s="229">
        <v>166.19</v>
      </c>
      <c r="P117" s="229">
        <v>0</v>
      </c>
      <c r="Q117" s="229">
        <v>0</v>
      </c>
      <c r="R117" s="229">
        <f t="shared" si="11"/>
        <v>166.19</v>
      </c>
      <c r="S117" s="229">
        <v>443.84000000000003</v>
      </c>
      <c r="T117" s="229">
        <v>0</v>
      </c>
      <c r="U117" s="229">
        <f t="shared" si="12"/>
        <v>443.84000000000003</v>
      </c>
      <c r="V117" s="229">
        <v>124.11999999999999</v>
      </c>
      <c r="W117" s="229">
        <v>45.099999999999994</v>
      </c>
      <c r="X117" s="358">
        <f t="shared" si="13"/>
        <v>779.25</v>
      </c>
      <c r="Y117" s="325" t="b">
        <f t="shared" si="1"/>
        <v>1</v>
      </c>
    </row>
    <row r="118" spans="1:25" s="4" customFormat="1">
      <c r="A118" s="16">
        <v>104</v>
      </c>
      <c r="B118" t="s">
        <v>270</v>
      </c>
      <c r="C118" t="s">
        <v>641</v>
      </c>
      <c r="D118" s="16"/>
      <c r="E118" s="229">
        <v>1000</v>
      </c>
      <c r="F118" s="229">
        <v>0</v>
      </c>
      <c r="G118" s="229">
        <v>0</v>
      </c>
      <c r="H118" s="229">
        <f t="shared" si="8"/>
        <v>1000</v>
      </c>
      <c r="I118" s="229">
        <v>0</v>
      </c>
      <c r="J118" s="229">
        <f t="shared" si="9"/>
        <v>1000</v>
      </c>
      <c r="K118" s="364">
        <v>1</v>
      </c>
      <c r="L118" s="229">
        <f t="shared" si="10"/>
        <v>1000</v>
      </c>
      <c r="M118" s="16"/>
      <c r="N118" s="16"/>
      <c r="O118" s="229">
        <v>224.8</v>
      </c>
      <c r="P118" s="229">
        <v>0</v>
      </c>
      <c r="Q118" s="229">
        <v>0</v>
      </c>
      <c r="R118" s="229">
        <f t="shared" si="11"/>
        <v>224.8</v>
      </c>
      <c r="S118" s="229">
        <v>600.4</v>
      </c>
      <c r="T118" s="229">
        <v>0</v>
      </c>
      <c r="U118" s="229">
        <f t="shared" si="12"/>
        <v>600.4</v>
      </c>
      <c r="V118" s="229">
        <v>167.9</v>
      </c>
      <c r="W118" s="229">
        <v>6.9</v>
      </c>
      <c r="X118" s="358">
        <f t="shared" si="13"/>
        <v>1000</v>
      </c>
      <c r="Y118" s="325" t="b">
        <f t="shared" si="1"/>
        <v>1</v>
      </c>
    </row>
    <row r="119" spans="1:25" s="4" customFormat="1">
      <c r="A119" s="16">
        <v>105</v>
      </c>
      <c r="B119" t="s">
        <v>270</v>
      </c>
      <c r="C119" t="s">
        <v>1091</v>
      </c>
      <c r="D119" s="16"/>
      <c r="E119" s="229">
        <v>275</v>
      </c>
      <c r="F119" s="229">
        <v>0</v>
      </c>
      <c r="G119" s="229">
        <v>0</v>
      </c>
      <c r="H119" s="229">
        <f t="shared" si="8"/>
        <v>275</v>
      </c>
      <c r="I119" s="229">
        <v>0</v>
      </c>
      <c r="J119" s="229">
        <f t="shared" si="9"/>
        <v>275</v>
      </c>
      <c r="K119" s="364">
        <v>1</v>
      </c>
      <c r="L119" s="229">
        <f t="shared" si="10"/>
        <v>275</v>
      </c>
      <c r="M119" s="16"/>
      <c r="N119" s="16"/>
      <c r="O119" s="229">
        <v>0</v>
      </c>
      <c r="P119" s="229">
        <v>0</v>
      </c>
      <c r="Q119" s="229">
        <v>0</v>
      </c>
      <c r="R119" s="229">
        <f t="shared" si="11"/>
        <v>0</v>
      </c>
      <c r="S119" s="229">
        <v>0</v>
      </c>
      <c r="T119" s="229">
        <v>0</v>
      </c>
      <c r="U119" s="229">
        <f t="shared" si="12"/>
        <v>0</v>
      </c>
      <c r="V119" s="229">
        <v>0</v>
      </c>
      <c r="W119" s="229">
        <v>275</v>
      </c>
      <c r="X119" s="358">
        <f t="shared" si="13"/>
        <v>275</v>
      </c>
      <c r="Y119" s="325" t="b">
        <f t="shared" si="1"/>
        <v>1</v>
      </c>
    </row>
    <row r="120" spans="1:25" s="4" customFormat="1">
      <c r="A120" s="16">
        <v>106</v>
      </c>
      <c r="B120" t="s">
        <v>270</v>
      </c>
      <c r="C120" t="s">
        <v>1082</v>
      </c>
      <c r="D120" s="16"/>
      <c r="E120" s="229">
        <v>766.2</v>
      </c>
      <c r="F120" s="229">
        <v>0</v>
      </c>
      <c r="G120" s="229">
        <v>0</v>
      </c>
      <c r="H120" s="229">
        <f t="shared" si="8"/>
        <v>766.2</v>
      </c>
      <c r="I120" s="229">
        <v>0</v>
      </c>
      <c r="J120" s="229">
        <f t="shared" si="9"/>
        <v>766.2</v>
      </c>
      <c r="K120" s="364">
        <v>1</v>
      </c>
      <c r="L120" s="229">
        <f t="shared" si="10"/>
        <v>766.2</v>
      </c>
      <c r="M120" s="16"/>
      <c r="N120" s="16"/>
      <c r="O120" s="229">
        <v>100.27</v>
      </c>
      <c r="P120" s="229">
        <v>0</v>
      </c>
      <c r="Q120" s="229">
        <v>0</v>
      </c>
      <c r="R120" s="229">
        <f t="shared" si="11"/>
        <v>100.27</v>
      </c>
      <c r="S120" s="229">
        <v>267.76</v>
      </c>
      <c r="T120" s="229">
        <v>0</v>
      </c>
      <c r="U120" s="229">
        <f t="shared" si="12"/>
        <v>267.76</v>
      </c>
      <c r="V120" s="229">
        <v>74.89</v>
      </c>
      <c r="W120" s="229">
        <v>323.27999999999997</v>
      </c>
      <c r="X120" s="358">
        <f t="shared" si="13"/>
        <v>766.19999999999993</v>
      </c>
      <c r="Y120" s="325" t="b">
        <f t="shared" si="1"/>
        <v>1</v>
      </c>
    </row>
    <row r="121" spans="1:25" s="4" customFormat="1">
      <c r="A121" s="16">
        <v>107</v>
      </c>
      <c r="B121" t="s">
        <v>270</v>
      </c>
      <c r="C121" t="s">
        <v>886</v>
      </c>
      <c r="D121" s="16"/>
      <c r="E121" s="229">
        <v>664</v>
      </c>
      <c r="F121" s="229">
        <v>0</v>
      </c>
      <c r="G121" s="229">
        <v>0</v>
      </c>
      <c r="H121" s="229">
        <f t="shared" si="8"/>
        <v>664</v>
      </c>
      <c r="I121" s="229">
        <v>0</v>
      </c>
      <c r="J121" s="229">
        <f t="shared" si="9"/>
        <v>664</v>
      </c>
      <c r="K121" s="364">
        <v>1</v>
      </c>
      <c r="L121" s="229">
        <f t="shared" si="10"/>
        <v>664</v>
      </c>
      <c r="M121" s="16"/>
      <c r="N121" s="16"/>
      <c r="O121" s="229">
        <v>149.27000000000001</v>
      </c>
      <c r="P121" s="229">
        <v>0</v>
      </c>
      <c r="Q121" s="229">
        <v>0</v>
      </c>
      <c r="R121" s="229">
        <f t="shared" si="11"/>
        <v>149.27000000000001</v>
      </c>
      <c r="S121" s="229">
        <v>398.66</v>
      </c>
      <c r="T121" s="229">
        <v>0</v>
      </c>
      <c r="U121" s="229">
        <f t="shared" si="12"/>
        <v>398.66</v>
      </c>
      <c r="V121" s="229">
        <v>111.49</v>
      </c>
      <c r="W121" s="229">
        <v>4.58</v>
      </c>
      <c r="X121" s="358">
        <f t="shared" si="13"/>
        <v>664.00000000000011</v>
      </c>
      <c r="Y121" s="325" t="b">
        <f t="shared" si="1"/>
        <v>1</v>
      </c>
    </row>
    <row r="122" spans="1:25" s="4" customFormat="1">
      <c r="A122" s="16">
        <v>108</v>
      </c>
      <c r="B122" t="s">
        <v>270</v>
      </c>
      <c r="C122" t="s">
        <v>985</v>
      </c>
      <c r="D122" s="16"/>
      <c r="E122" s="229">
        <v>3282.38</v>
      </c>
      <c r="F122" s="229">
        <v>0</v>
      </c>
      <c r="G122" s="229">
        <v>0</v>
      </c>
      <c r="H122" s="229">
        <f t="shared" si="8"/>
        <v>3282.38</v>
      </c>
      <c r="I122" s="229">
        <v>0</v>
      </c>
      <c r="J122" s="229">
        <f t="shared" si="9"/>
        <v>3282.38</v>
      </c>
      <c r="K122" s="364">
        <v>1</v>
      </c>
      <c r="L122" s="229">
        <f t="shared" si="10"/>
        <v>3282.38</v>
      </c>
      <c r="M122" s="16"/>
      <c r="N122" s="16"/>
      <c r="O122" s="229">
        <v>737.88</v>
      </c>
      <c r="P122" s="229">
        <v>0</v>
      </c>
      <c r="Q122" s="229">
        <v>0</v>
      </c>
      <c r="R122" s="229">
        <f t="shared" si="11"/>
        <v>737.88</v>
      </c>
      <c r="S122" s="229">
        <v>1970.74</v>
      </c>
      <c r="T122" s="229">
        <v>0</v>
      </c>
      <c r="U122" s="229">
        <f t="shared" si="12"/>
        <v>1970.74</v>
      </c>
      <c r="V122" s="229">
        <v>551.11</v>
      </c>
      <c r="W122" s="229">
        <v>22.650000000000002</v>
      </c>
      <c r="X122" s="358">
        <f t="shared" si="13"/>
        <v>3282.38</v>
      </c>
      <c r="Y122" s="325" t="b">
        <f t="shared" si="1"/>
        <v>1</v>
      </c>
    </row>
    <row r="123" spans="1:25" s="4" customFormat="1">
      <c r="A123" s="16">
        <v>109</v>
      </c>
      <c r="B123" t="s">
        <v>270</v>
      </c>
      <c r="C123" t="s">
        <v>1083</v>
      </c>
      <c r="D123" s="16"/>
      <c r="E123" s="229">
        <v>388.49</v>
      </c>
      <c r="F123" s="229">
        <v>0</v>
      </c>
      <c r="G123" s="229">
        <v>0</v>
      </c>
      <c r="H123" s="229">
        <f t="shared" si="8"/>
        <v>388.49</v>
      </c>
      <c r="I123" s="229">
        <v>0</v>
      </c>
      <c r="J123" s="229">
        <f t="shared" si="9"/>
        <v>388.49</v>
      </c>
      <c r="K123" s="364">
        <v>1</v>
      </c>
      <c r="L123" s="229">
        <f t="shared" si="10"/>
        <v>388.49</v>
      </c>
      <c r="M123" s="16"/>
      <c r="N123" s="16"/>
      <c r="O123" s="229">
        <v>87.34</v>
      </c>
      <c r="P123" s="229">
        <v>0</v>
      </c>
      <c r="Q123" s="229">
        <v>0</v>
      </c>
      <c r="R123" s="229">
        <f t="shared" si="11"/>
        <v>87.34</v>
      </c>
      <c r="S123" s="229">
        <v>233.24</v>
      </c>
      <c r="T123" s="229">
        <v>0</v>
      </c>
      <c r="U123" s="229">
        <f t="shared" si="12"/>
        <v>233.24</v>
      </c>
      <c r="V123" s="229">
        <v>65.22999999999999</v>
      </c>
      <c r="W123" s="229">
        <v>2.68</v>
      </c>
      <c r="X123" s="358">
        <f t="shared" si="13"/>
        <v>388.49000000000007</v>
      </c>
      <c r="Y123" s="325" t="b">
        <f t="shared" si="1"/>
        <v>1</v>
      </c>
    </row>
    <row r="124" spans="1:25" s="4" customFormat="1">
      <c r="A124" s="16">
        <v>110</v>
      </c>
      <c r="B124" t="s">
        <v>270</v>
      </c>
      <c r="C124" t="s">
        <v>1106</v>
      </c>
      <c r="D124" s="16"/>
      <c r="E124" s="229">
        <v>60</v>
      </c>
      <c r="F124" s="229">
        <v>0</v>
      </c>
      <c r="G124" s="229">
        <v>0</v>
      </c>
      <c r="H124" s="229">
        <f t="shared" si="8"/>
        <v>60</v>
      </c>
      <c r="I124" s="229">
        <v>0</v>
      </c>
      <c r="J124" s="229">
        <f t="shared" si="9"/>
        <v>60</v>
      </c>
      <c r="K124" s="364">
        <v>1</v>
      </c>
      <c r="L124" s="229">
        <f t="shared" si="10"/>
        <v>60</v>
      </c>
      <c r="M124" s="16"/>
      <c r="N124" s="16"/>
      <c r="O124" s="229">
        <v>13.49</v>
      </c>
      <c r="P124" s="229">
        <v>0</v>
      </c>
      <c r="Q124" s="229">
        <v>0</v>
      </c>
      <c r="R124" s="229">
        <f t="shared" si="11"/>
        <v>13.49</v>
      </c>
      <c r="S124" s="229">
        <v>36.03</v>
      </c>
      <c r="T124" s="229">
        <v>0</v>
      </c>
      <c r="U124" s="229">
        <f t="shared" si="12"/>
        <v>36.03</v>
      </c>
      <c r="V124" s="229">
        <v>10.07</v>
      </c>
      <c r="W124" s="229">
        <v>0.41</v>
      </c>
      <c r="X124" s="358">
        <f t="shared" si="13"/>
        <v>60</v>
      </c>
      <c r="Y124" s="325" t="b">
        <f t="shared" si="1"/>
        <v>1</v>
      </c>
    </row>
    <row r="125" spans="1:25" s="4" customFormat="1">
      <c r="A125" s="16">
        <v>111</v>
      </c>
      <c r="B125" t="s">
        <v>270</v>
      </c>
      <c r="C125" t="s">
        <v>1084</v>
      </c>
      <c r="D125" s="16"/>
      <c r="E125" s="229">
        <v>135</v>
      </c>
      <c r="F125" s="229">
        <v>0</v>
      </c>
      <c r="G125" s="229">
        <v>0</v>
      </c>
      <c r="H125" s="229">
        <f t="shared" si="8"/>
        <v>135</v>
      </c>
      <c r="I125" s="229">
        <v>0</v>
      </c>
      <c r="J125" s="229">
        <f t="shared" si="9"/>
        <v>135</v>
      </c>
      <c r="K125" s="364">
        <v>1</v>
      </c>
      <c r="L125" s="229">
        <f t="shared" si="10"/>
        <v>135</v>
      </c>
      <c r="M125" s="16"/>
      <c r="N125" s="16"/>
      <c r="O125" s="229">
        <v>30.35</v>
      </c>
      <c r="P125" s="229">
        <v>0</v>
      </c>
      <c r="Q125" s="229">
        <v>0</v>
      </c>
      <c r="R125" s="229">
        <f t="shared" si="11"/>
        <v>30.35</v>
      </c>
      <c r="S125" s="229">
        <v>81.05</v>
      </c>
      <c r="T125" s="229">
        <v>0</v>
      </c>
      <c r="U125" s="229">
        <f t="shared" si="12"/>
        <v>81.05</v>
      </c>
      <c r="V125" s="229">
        <v>22.67</v>
      </c>
      <c r="W125" s="229">
        <v>0.93</v>
      </c>
      <c r="X125" s="358">
        <f t="shared" si="13"/>
        <v>135</v>
      </c>
      <c r="Y125" s="325" t="b">
        <f t="shared" si="1"/>
        <v>1</v>
      </c>
    </row>
    <row r="126" spans="1:25" s="4" customFormat="1">
      <c r="A126" s="16">
        <v>112</v>
      </c>
      <c r="B126" t="s">
        <v>270</v>
      </c>
      <c r="C126" t="s">
        <v>887</v>
      </c>
      <c r="D126" s="16"/>
      <c r="E126" s="229">
        <v>1180.75</v>
      </c>
      <c r="F126" s="229">
        <v>0</v>
      </c>
      <c r="G126" s="229">
        <v>0</v>
      </c>
      <c r="H126" s="229">
        <f t="shared" si="8"/>
        <v>1180.75</v>
      </c>
      <c r="I126" s="229">
        <v>0</v>
      </c>
      <c r="J126" s="229">
        <f t="shared" si="9"/>
        <v>1180.75</v>
      </c>
      <c r="K126" s="364">
        <v>1</v>
      </c>
      <c r="L126" s="229">
        <f t="shared" si="10"/>
        <v>1180.75</v>
      </c>
      <c r="M126" s="16"/>
      <c r="N126" s="16"/>
      <c r="O126" s="229">
        <v>265.43</v>
      </c>
      <c r="P126" s="229">
        <v>0</v>
      </c>
      <c r="Q126" s="229">
        <v>0</v>
      </c>
      <c r="R126" s="229">
        <f t="shared" si="11"/>
        <v>265.43</v>
      </c>
      <c r="S126" s="229">
        <v>708.92000000000007</v>
      </c>
      <c r="T126" s="229">
        <v>0</v>
      </c>
      <c r="U126" s="229">
        <f t="shared" si="12"/>
        <v>708.92000000000007</v>
      </c>
      <c r="V126" s="229">
        <v>198.25</v>
      </c>
      <c r="W126" s="229">
        <v>8.15</v>
      </c>
      <c r="X126" s="358">
        <f t="shared" si="13"/>
        <v>1180.7500000000002</v>
      </c>
      <c r="Y126" s="325" t="b">
        <f t="shared" si="1"/>
        <v>1</v>
      </c>
    </row>
    <row r="127" spans="1:25" s="4" customFormat="1">
      <c r="A127" s="16">
        <v>113</v>
      </c>
      <c r="B127" t="s">
        <v>270</v>
      </c>
      <c r="C127" t="s">
        <v>1085</v>
      </c>
      <c r="D127" s="16"/>
      <c r="E127" s="229">
        <v>1030</v>
      </c>
      <c r="F127" s="229">
        <v>0</v>
      </c>
      <c r="G127" s="229">
        <v>0</v>
      </c>
      <c r="H127" s="229">
        <f t="shared" si="8"/>
        <v>1030</v>
      </c>
      <c r="I127" s="229">
        <v>0</v>
      </c>
      <c r="J127" s="229">
        <f t="shared" si="9"/>
        <v>1030</v>
      </c>
      <c r="K127" s="364">
        <v>1</v>
      </c>
      <c r="L127" s="229">
        <f t="shared" si="10"/>
        <v>1030</v>
      </c>
      <c r="M127" s="16"/>
      <c r="N127" s="16"/>
      <c r="O127" s="229">
        <v>0</v>
      </c>
      <c r="P127" s="229">
        <v>0</v>
      </c>
      <c r="Q127" s="229">
        <v>0</v>
      </c>
      <c r="R127" s="229">
        <f t="shared" si="11"/>
        <v>0</v>
      </c>
      <c r="S127" s="229">
        <v>0</v>
      </c>
      <c r="T127" s="229">
        <v>0</v>
      </c>
      <c r="U127" s="229">
        <f t="shared" si="12"/>
        <v>0</v>
      </c>
      <c r="V127" s="229">
        <v>0</v>
      </c>
      <c r="W127" s="229">
        <v>1030</v>
      </c>
      <c r="X127" s="358">
        <f t="shared" si="13"/>
        <v>1030</v>
      </c>
      <c r="Y127" s="325" t="b">
        <f t="shared" si="1"/>
        <v>1</v>
      </c>
    </row>
    <row r="128" spans="1:25" s="4" customFormat="1">
      <c r="A128" s="16">
        <v>114</v>
      </c>
      <c r="B128" t="s">
        <v>270</v>
      </c>
      <c r="C128" t="s">
        <v>1107</v>
      </c>
      <c r="D128" s="16"/>
      <c r="E128" s="229">
        <v>289.15999999999997</v>
      </c>
      <c r="F128" s="229">
        <v>0</v>
      </c>
      <c r="G128" s="229">
        <v>0</v>
      </c>
      <c r="H128" s="229">
        <f t="shared" si="8"/>
        <v>289.15999999999997</v>
      </c>
      <c r="I128" s="229">
        <v>0</v>
      </c>
      <c r="J128" s="229">
        <f t="shared" si="9"/>
        <v>289.15999999999997</v>
      </c>
      <c r="K128" s="364">
        <v>1</v>
      </c>
      <c r="L128" s="229">
        <f t="shared" si="10"/>
        <v>289.15999999999997</v>
      </c>
      <c r="M128" s="16"/>
      <c r="N128" s="16"/>
      <c r="O128" s="229">
        <v>65</v>
      </c>
      <c r="P128" s="229">
        <v>0</v>
      </c>
      <c r="Q128" s="229">
        <v>0</v>
      </c>
      <c r="R128" s="229">
        <f t="shared" si="11"/>
        <v>65</v>
      </c>
      <c r="S128" s="229">
        <v>173.61</v>
      </c>
      <c r="T128" s="229">
        <v>0</v>
      </c>
      <c r="U128" s="229">
        <f t="shared" si="12"/>
        <v>173.61</v>
      </c>
      <c r="V128" s="229">
        <v>48.55</v>
      </c>
      <c r="W128" s="229">
        <v>2</v>
      </c>
      <c r="X128" s="358">
        <f t="shared" si="13"/>
        <v>289.16000000000003</v>
      </c>
      <c r="Y128" s="325" t="b">
        <f t="shared" si="1"/>
        <v>1</v>
      </c>
    </row>
    <row r="129" spans="1:25" s="4" customFormat="1">
      <c r="A129" s="16">
        <v>115</v>
      </c>
      <c r="B129" t="s">
        <v>270</v>
      </c>
      <c r="C129" t="s">
        <v>1071</v>
      </c>
      <c r="D129" s="16"/>
      <c r="E129" s="229">
        <v>97</v>
      </c>
      <c r="F129" s="229">
        <v>0</v>
      </c>
      <c r="G129" s="229">
        <v>0</v>
      </c>
      <c r="H129" s="229">
        <f t="shared" si="8"/>
        <v>97</v>
      </c>
      <c r="I129" s="229">
        <v>0</v>
      </c>
      <c r="J129" s="229">
        <f t="shared" si="9"/>
        <v>97</v>
      </c>
      <c r="K129" s="364">
        <v>1</v>
      </c>
      <c r="L129" s="229">
        <f t="shared" si="10"/>
        <v>97</v>
      </c>
      <c r="M129" s="16"/>
      <c r="N129" s="16"/>
      <c r="O129" s="229">
        <v>21.81</v>
      </c>
      <c r="P129" s="229">
        <v>0</v>
      </c>
      <c r="Q129" s="229">
        <v>0</v>
      </c>
      <c r="R129" s="229">
        <f t="shared" si="11"/>
        <v>21.81</v>
      </c>
      <c r="S129" s="229">
        <v>58.23</v>
      </c>
      <c r="T129" s="229">
        <v>0</v>
      </c>
      <c r="U129" s="229">
        <f t="shared" si="12"/>
        <v>58.23</v>
      </c>
      <c r="V129" s="229">
        <v>16.29</v>
      </c>
      <c r="W129" s="229">
        <v>0.67</v>
      </c>
      <c r="X129" s="358">
        <f t="shared" si="13"/>
        <v>96.999999999999986</v>
      </c>
      <c r="Y129" s="325" t="b">
        <f t="shared" si="1"/>
        <v>1</v>
      </c>
    </row>
    <row r="130" spans="1:25" s="4" customFormat="1">
      <c r="A130" s="16">
        <v>116</v>
      </c>
      <c r="B130" t="s">
        <v>270</v>
      </c>
      <c r="C130" t="s">
        <v>1108</v>
      </c>
      <c r="D130" s="16"/>
      <c r="E130" s="229">
        <v>17</v>
      </c>
      <c r="F130" s="229">
        <v>0</v>
      </c>
      <c r="G130" s="229">
        <v>0</v>
      </c>
      <c r="H130" s="229">
        <f t="shared" si="8"/>
        <v>17</v>
      </c>
      <c r="I130" s="229">
        <v>0</v>
      </c>
      <c r="J130" s="229">
        <f t="shared" si="9"/>
        <v>17</v>
      </c>
      <c r="K130" s="364">
        <v>1</v>
      </c>
      <c r="L130" s="229">
        <f t="shared" si="10"/>
        <v>17</v>
      </c>
      <c r="M130" s="16"/>
      <c r="N130" s="16"/>
      <c r="O130" s="229">
        <v>3.82</v>
      </c>
      <c r="P130" s="229">
        <v>0</v>
      </c>
      <c r="Q130" s="229">
        <v>0</v>
      </c>
      <c r="R130" s="229">
        <f t="shared" si="11"/>
        <v>3.82</v>
      </c>
      <c r="S130" s="229">
        <v>10.210000000000001</v>
      </c>
      <c r="T130" s="229">
        <v>0</v>
      </c>
      <c r="U130" s="229">
        <f t="shared" si="12"/>
        <v>10.210000000000001</v>
      </c>
      <c r="V130" s="229">
        <v>2.85</v>
      </c>
      <c r="W130" s="229">
        <v>0.12</v>
      </c>
      <c r="X130" s="358">
        <f t="shared" si="13"/>
        <v>17.000000000000004</v>
      </c>
      <c r="Y130" s="325" t="b">
        <f t="shared" si="1"/>
        <v>1</v>
      </c>
    </row>
    <row r="131" spans="1:25" s="4" customFormat="1">
      <c r="A131" s="16">
        <v>117</v>
      </c>
      <c r="B131" t="s">
        <v>270</v>
      </c>
      <c r="C131" t="s">
        <v>1030</v>
      </c>
      <c r="D131" s="16"/>
      <c r="E131" s="229">
        <v>1100</v>
      </c>
      <c r="F131" s="229">
        <v>0</v>
      </c>
      <c r="G131" s="229">
        <v>0</v>
      </c>
      <c r="H131" s="229">
        <f t="shared" si="8"/>
        <v>1100</v>
      </c>
      <c r="I131" s="229">
        <v>0</v>
      </c>
      <c r="J131" s="229">
        <f t="shared" si="9"/>
        <v>1100</v>
      </c>
      <c r="K131" s="364">
        <v>1</v>
      </c>
      <c r="L131" s="229">
        <f t="shared" si="10"/>
        <v>1100</v>
      </c>
      <c r="M131" s="16"/>
      <c r="N131" s="16"/>
      <c r="O131" s="229">
        <v>0</v>
      </c>
      <c r="P131" s="229">
        <v>0</v>
      </c>
      <c r="Q131" s="229">
        <v>0</v>
      </c>
      <c r="R131" s="229">
        <f t="shared" si="11"/>
        <v>0</v>
      </c>
      <c r="S131" s="229">
        <v>0</v>
      </c>
      <c r="T131" s="229">
        <v>0</v>
      </c>
      <c r="U131" s="229">
        <f t="shared" si="12"/>
        <v>0</v>
      </c>
      <c r="V131" s="229">
        <v>0</v>
      </c>
      <c r="W131" s="229">
        <v>1100</v>
      </c>
      <c r="X131" s="358">
        <f t="shared" si="13"/>
        <v>1100</v>
      </c>
      <c r="Y131" s="325" t="b">
        <f t="shared" si="1"/>
        <v>1</v>
      </c>
    </row>
    <row r="132" spans="1:25" s="4" customFormat="1">
      <c r="A132" s="16">
        <v>118</v>
      </c>
      <c r="B132" t="s">
        <v>270</v>
      </c>
      <c r="C132" t="s">
        <v>1092</v>
      </c>
      <c r="D132" s="16"/>
      <c r="E132" s="229">
        <v>206.01</v>
      </c>
      <c r="F132" s="229">
        <v>0</v>
      </c>
      <c r="G132" s="229">
        <v>0</v>
      </c>
      <c r="H132" s="229">
        <f t="shared" si="8"/>
        <v>206.01</v>
      </c>
      <c r="I132" s="229">
        <v>0</v>
      </c>
      <c r="J132" s="229">
        <f t="shared" si="9"/>
        <v>206.01</v>
      </c>
      <c r="K132" s="364">
        <v>1</v>
      </c>
      <c r="L132" s="229">
        <f t="shared" si="10"/>
        <v>206.01</v>
      </c>
      <c r="M132" s="16"/>
      <c r="N132" s="16"/>
      <c r="O132" s="229">
        <v>46.31</v>
      </c>
      <c r="P132" s="229">
        <v>0</v>
      </c>
      <c r="Q132" s="229">
        <v>0</v>
      </c>
      <c r="R132" s="229">
        <f t="shared" si="11"/>
        <v>46.31</v>
      </c>
      <c r="S132" s="229">
        <v>123.69</v>
      </c>
      <c r="T132" s="229">
        <v>0</v>
      </c>
      <c r="U132" s="229">
        <f t="shared" si="12"/>
        <v>123.69</v>
      </c>
      <c r="V132" s="229">
        <v>34.590000000000003</v>
      </c>
      <c r="W132" s="229">
        <v>1.42</v>
      </c>
      <c r="X132" s="358">
        <f t="shared" si="13"/>
        <v>206.01</v>
      </c>
      <c r="Y132" s="325" t="b">
        <f t="shared" si="1"/>
        <v>1</v>
      </c>
    </row>
    <row r="133" spans="1:25" s="4" customFormat="1">
      <c r="A133" s="16">
        <v>119</v>
      </c>
      <c r="B133" t="s">
        <v>270</v>
      </c>
      <c r="C133" t="s">
        <v>1072</v>
      </c>
      <c r="D133" s="16"/>
      <c r="E133" s="229">
        <v>3575</v>
      </c>
      <c r="F133" s="229">
        <v>0</v>
      </c>
      <c r="G133" s="229">
        <v>0</v>
      </c>
      <c r="H133" s="229">
        <f t="shared" si="8"/>
        <v>3575</v>
      </c>
      <c r="I133" s="229">
        <v>0</v>
      </c>
      <c r="J133" s="229">
        <f t="shared" si="9"/>
        <v>3575</v>
      </c>
      <c r="K133" s="364">
        <v>1</v>
      </c>
      <c r="L133" s="229">
        <f t="shared" si="10"/>
        <v>3575</v>
      </c>
      <c r="M133" s="16"/>
      <c r="N133" s="16"/>
      <c r="O133" s="229">
        <v>0</v>
      </c>
      <c r="P133" s="229">
        <v>0</v>
      </c>
      <c r="Q133" s="229">
        <v>0</v>
      </c>
      <c r="R133" s="229">
        <f t="shared" si="11"/>
        <v>0</v>
      </c>
      <c r="S133" s="229">
        <v>0</v>
      </c>
      <c r="T133" s="229">
        <v>0</v>
      </c>
      <c r="U133" s="229">
        <f t="shared" si="12"/>
        <v>0</v>
      </c>
      <c r="V133" s="229">
        <v>0</v>
      </c>
      <c r="W133" s="229">
        <v>3575</v>
      </c>
      <c r="X133" s="358">
        <f t="shared" si="13"/>
        <v>3575</v>
      </c>
      <c r="Y133" s="325" t="b">
        <f t="shared" si="1"/>
        <v>1</v>
      </c>
    </row>
    <row r="134" spans="1:25" s="4" customFormat="1">
      <c r="A134" s="16">
        <v>120</v>
      </c>
      <c r="B134" t="s">
        <v>270</v>
      </c>
      <c r="C134" t="s">
        <v>1064</v>
      </c>
      <c r="D134" s="16"/>
      <c r="E134" s="229">
        <v>19</v>
      </c>
      <c r="F134" s="229">
        <v>0</v>
      </c>
      <c r="G134" s="229">
        <v>0</v>
      </c>
      <c r="H134" s="229">
        <f t="shared" si="8"/>
        <v>19</v>
      </c>
      <c r="I134" s="229">
        <v>0</v>
      </c>
      <c r="J134" s="229">
        <f t="shared" si="9"/>
        <v>19</v>
      </c>
      <c r="K134" s="364">
        <v>1</v>
      </c>
      <c r="L134" s="229">
        <f t="shared" si="10"/>
        <v>19</v>
      </c>
      <c r="M134" s="16"/>
      <c r="N134" s="16"/>
      <c r="O134" s="229">
        <v>19</v>
      </c>
      <c r="P134" s="229">
        <v>0</v>
      </c>
      <c r="Q134" s="229">
        <v>0</v>
      </c>
      <c r="R134" s="229">
        <f t="shared" si="11"/>
        <v>19</v>
      </c>
      <c r="S134" s="229">
        <v>0</v>
      </c>
      <c r="T134" s="229">
        <v>0</v>
      </c>
      <c r="U134" s="229">
        <f t="shared" si="12"/>
        <v>0</v>
      </c>
      <c r="V134" s="229">
        <v>0</v>
      </c>
      <c r="W134" s="229">
        <v>0</v>
      </c>
      <c r="X134" s="358">
        <f t="shared" si="13"/>
        <v>19</v>
      </c>
      <c r="Y134" s="325" t="b">
        <f t="shared" si="1"/>
        <v>1</v>
      </c>
    </row>
    <row r="135" spans="1:25" s="4" customFormat="1">
      <c r="A135" s="16">
        <v>121</v>
      </c>
      <c r="B135" t="s">
        <v>270</v>
      </c>
      <c r="C135" t="s">
        <v>1086</v>
      </c>
      <c r="D135" s="16"/>
      <c r="E135" s="229">
        <v>2422</v>
      </c>
      <c r="F135" s="229">
        <v>0</v>
      </c>
      <c r="G135" s="229">
        <v>0</v>
      </c>
      <c r="H135" s="229">
        <f t="shared" si="8"/>
        <v>2422</v>
      </c>
      <c r="I135" s="229">
        <v>0</v>
      </c>
      <c r="J135" s="229">
        <f t="shared" si="9"/>
        <v>2422</v>
      </c>
      <c r="K135" s="364">
        <v>1</v>
      </c>
      <c r="L135" s="229">
        <f t="shared" si="10"/>
        <v>2422</v>
      </c>
      <c r="M135" s="16"/>
      <c r="N135" s="16"/>
      <c r="O135" s="229">
        <v>533.23</v>
      </c>
      <c r="P135" s="229">
        <v>0</v>
      </c>
      <c r="Q135" s="229">
        <v>0</v>
      </c>
      <c r="R135" s="229">
        <f t="shared" si="11"/>
        <v>533.23</v>
      </c>
      <c r="S135" s="229">
        <v>1424.16</v>
      </c>
      <c r="T135" s="229">
        <v>0</v>
      </c>
      <c r="U135" s="229">
        <f t="shared" si="12"/>
        <v>1424.16</v>
      </c>
      <c r="V135" s="229">
        <v>398.25</v>
      </c>
      <c r="W135" s="229">
        <v>66.36</v>
      </c>
      <c r="X135" s="358">
        <f t="shared" si="13"/>
        <v>2422.0000000000005</v>
      </c>
      <c r="Y135" s="325" t="b">
        <f t="shared" si="1"/>
        <v>1</v>
      </c>
    </row>
    <row r="136" spans="1:25" s="4" customFormat="1">
      <c r="A136" s="16">
        <v>122</v>
      </c>
      <c r="B136" t="s">
        <v>270</v>
      </c>
      <c r="C136" t="s">
        <v>1087</v>
      </c>
      <c r="D136" s="16"/>
      <c r="E136" s="229">
        <v>97</v>
      </c>
      <c r="F136" s="229">
        <v>0</v>
      </c>
      <c r="G136" s="229">
        <v>0</v>
      </c>
      <c r="H136" s="229">
        <f t="shared" si="8"/>
        <v>97</v>
      </c>
      <c r="I136" s="229">
        <v>0</v>
      </c>
      <c r="J136" s="229">
        <f t="shared" si="9"/>
        <v>97</v>
      </c>
      <c r="K136" s="364">
        <v>1</v>
      </c>
      <c r="L136" s="229">
        <f t="shared" si="10"/>
        <v>97</v>
      </c>
      <c r="M136" s="16"/>
      <c r="N136" s="16"/>
      <c r="O136" s="229">
        <v>21.81</v>
      </c>
      <c r="P136" s="229">
        <v>0</v>
      </c>
      <c r="Q136" s="229">
        <v>0</v>
      </c>
      <c r="R136" s="229">
        <f t="shared" si="11"/>
        <v>21.81</v>
      </c>
      <c r="S136" s="229">
        <v>58.23</v>
      </c>
      <c r="T136" s="229">
        <v>0</v>
      </c>
      <c r="U136" s="229">
        <f t="shared" si="12"/>
        <v>58.23</v>
      </c>
      <c r="V136" s="229">
        <v>16.29</v>
      </c>
      <c r="W136" s="229">
        <v>0.67</v>
      </c>
      <c r="X136" s="358">
        <f t="shared" si="13"/>
        <v>96.999999999999986</v>
      </c>
      <c r="Y136" s="325" t="b">
        <f t="shared" si="1"/>
        <v>1</v>
      </c>
    </row>
    <row r="137" spans="1:25" s="4" customFormat="1">
      <c r="A137" s="16">
        <v>123</v>
      </c>
      <c r="B137" t="s">
        <v>270</v>
      </c>
      <c r="C137" t="s">
        <v>1109</v>
      </c>
      <c r="D137" s="16"/>
      <c r="E137" s="229">
        <v>1825.09</v>
      </c>
      <c r="F137" s="229">
        <v>0</v>
      </c>
      <c r="G137" s="229">
        <v>0</v>
      </c>
      <c r="H137" s="229">
        <f t="shared" si="8"/>
        <v>1825.09</v>
      </c>
      <c r="I137" s="229">
        <v>0</v>
      </c>
      <c r="J137" s="229">
        <f t="shared" si="9"/>
        <v>1825.09</v>
      </c>
      <c r="K137" s="364">
        <v>1</v>
      </c>
      <c r="L137" s="229">
        <f t="shared" si="10"/>
        <v>1825.09</v>
      </c>
      <c r="M137" s="16"/>
      <c r="N137" s="16"/>
      <c r="O137" s="229">
        <v>410.28</v>
      </c>
      <c r="P137" s="229">
        <v>0</v>
      </c>
      <c r="Q137" s="229">
        <v>0</v>
      </c>
      <c r="R137" s="229">
        <f t="shared" si="11"/>
        <v>410.28</v>
      </c>
      <c r="S137" s="229">
        <v>1095.79</v>
      </c>
      <c r="T137" s="229">
        <v>0</v>
      </c>
      <c r="U137" s="229">
        <f t="shared" si="12"/>
        <v>1095.79</v>
      </c>
      <c r="V137" s="229">
        <v>306.43</v>
      </c>
      <c r="W137" s="229">
        <v>12.59</v>
      </c>
      <c r="X137" s="358">
        <f t="shared" si="13"/>
        <v>1825.09</v>
      </c>
      <c r="Y137" s="325" t="b">
        <f t="shared" si="1"/>
        <v>1</v>
      </c>
    </row>
    <row r="138" spans="1:25" s="4" customFormat="1">
      <c r="A138" s="16">
        <v>124</v>
      </c>
      <c r="B138" t="s">
        <v>270</v>
      </c>
      <c r="C138" t="s">
        <v>1110</v>
      </c>
      <c r="D138" s="16"/>
      <c r="E138" s="229">
        <v>120</v>
      </c>
      <c r="F138" s="229">
        <v>0</v>
      </c>
      <c r="G138" s="229">
        <v>0</v>
      </c>
      <c r="H138" s="229">
        <f t="shared" si="8"/>
        <v>120</v>
      </c>
      <c r="I138" s="229">
        <v>0</v>
      </c>
      <c r="J138" s="229">
        <f t="shared" si="9"/>
        <v>120</v>
      </c>
      <c r="K138" s="364">
        <v>1</v>
      </c>
      <c r="L138" s="229">
        <f t="shared" si="10"/>
        <v>120</v>
      </c>
      <c r="M138" s="16"/>
      <c r="N138" s="16"/>
      <c r="O138" s="229">
        <v>26.98</v>
      </c>
      <c r="P138" s="229">
        <v>0</v>
      </c>
      <c r="Q138" s="229">
        <v>0</v>
      </c>
      <c r="R138" s="229">
        <f t="shared" si="11"/>
        <v>26.98</v>
      </c>
      <c r="S138" s="229">
        <v>72.040000000000006</v>
      </c>
      <c r="T138" s="229">
        <v>0</v>
      </c>
      <c r="U138" s="229">
        <f t="shared" si="12"/>
        <v>72.040000000000006</v>
      </c>
      <c r="V138" s="229">
        <v>20.149999999999999</v>
      </c>
      <c r="W138" s="229">
        <v>0.83</v>
      </c>
      <c r="X138" s="358">
        <f t="shared" si="13"/>
        <v>120.00000000000001</v>
      </c>
      <c r="Y138" s="325" t="b">
        <f t="shared" si="1"/>
        <v>1</v>
      </c>
    </row>
    <row r="139" spans="1:25" s="4" customFormat="1">
      <c r="A139" s="16">
        <v>125</v>
      </c>
      <c r="B139" t="s">
        <v>270</v>
      </c>
      <c r="C139" t="s">
        <v>1066</v>
      </c>
      <c r="D139" s="16"/>
      <c r="E139" s="229">
        <v>2230.58</v>
      </c>
      <c r="F139" s="229">
        <v>0</v>
      </c>
      <c r="G139" s="229">
        <v>0</v>
      </c>
      <c r="H139" s="229">
        <f t="shared" si="8"/>
        <v>2230.58</v>
      </c>
      <c r="I139" s="229">
        <v>0</v>
      </c>
      <c r="J139" s="229">
        <f t="shared" si="9"/>
        <v>2230.58</v>
      </c>
      <c r="K139" s="364">
        <v>1</v>
      </c>
      <c r="L139" s="229">
        <f t="shared" si="10"/>
        <v>2230.58</v>
      </c>
      <c r="M139" s="16"/>
      <c r="N139" s="16"/>
      <c r="O139" s="229">
        <v>501.43</v>
      </c>
      <c r="P139" s="229">
        <v>0</v>
      </c>
      <c r="Q139" s="229">
        <v>0</v>
      </c>
      <c r="R139" s="229">
        <f t="shared" si="11"/>
        <v>501.43</v>
      </c>
      <c r="S139" s="229">
        <v>1339.2599999999998</v>
      </c>
      <c r="T139" s="229">
        <v>0</v>
      </c>
      <c r="U139" s="229">
        <f t="shared" si="12"/>
        <v>1339.2599999999998</v>
      </c>
      <c r="V139" s="229">
        <v>374.50999999999993</v>
      </c>
      <c r="W139" s="229">
        <v>15.38</v>
      </c>
      <c r="X139" s="358">
        <f t="shared" si="13"/>
        <v>2230.58</v>
      </c>
      <c r="Y139" s="325" t="b">
        <f t="shared" si="1"/>
        <v>1</v>
      </c>
    </row>
    <row r="140" spans="1:25" s="4" customFormat="1">
      <c r="A140" s="16">
        <v>126</v>
      </c>
      <c r="B140" t="s">
        <v>270</v>
      </c>
      <c r="C140" t="s">
        <v>1111</v>
      </c>
      <c r="D140" s="16"/>
      <c r="E140" s="229">
        <v>300</v>
      </c>
      <c r="F140" s="229">
        <v>0</v>
      </c>
      <c r="G140" s="229">
        <v>0</v>
      </c>
      <c r="H140" s="229">
        <f t="shared" si="8"/>
        <v>300</v>
      </c>
      <c r="I140" s="229">
        <v>0</v>
      </c>
      <c r="J140" s="229">
        <f t="shared" si="9"/>
        <v>300</v>
      </c>
      <c r="K140" s="364">
        <v>1</v>
      </c>
      <c r="L140" s="229">
        <f t="shared" si="10"/>
        <v>300</v>
      </c>
      <c r="M140" s="16"/>
      <c r="N140" s="16"/>
      <c r="O140" s="229">
        <v>0</v>
      </c>
      <c r="P140" s="229">
        <v>0</v>
      </c>
      <c r="Q140" s="229">
        <v>0</v>
      </c>
      <c r="R140" s="229">
        <f t="shared" si="11"/>
        <v>0</v>
      </c>
      <c r="S140" s="229">
        <v>0</v>
      </c>
      <c r="T140" s="229">
        <v>0</v>
      </c>
      <c r="U140" s="229">
        <f t="shared" si="12"/>
        <v>0</v>
      </c>
      <c r="V140" s="229">
        <v>0</v>
      </c>
      <c r="W140" s="229">
        <v>300</v>
      </c>
      <c r="X140" s="358">
        <f t="shared" si="13"/>
        <v>300</v>
      </c>
      <c r="Y140" s="325" t="b">
        <f t="shared" si="1"/>
        <v>1</v>
      </c>
    </row>
    <row r="141" spans="1:25" s="4" customFormat="1">
      <c r="A141" s="16">
        <v>127</v>
      </c>
      <c r="B141" t="s">
        <v>270</v>
      </c>
      <c r="C141" t="s">
        <v>1061</v>
      </c>
      <c r="D141" s="16"/>
      <c r="E141" s="229">
        <v>120</v>
      </c>
      <c r="F141" s="229">
        <v>0</v>
      </c>
      <c r="G141" s="229">
        <v>0</v>
      </c>
      <c r="H141" s="229">
        <f t="shared" si="8"/>
        <v>120</v>
      </c>
      <c r="I141" s="229">
        <v>0</v>
      </c>
      <c r="J141" s="229">
        <f t="shared" si="9"/>
        <v>120</v>
      </c>
      <c r="K141" s="364">
        <v>1</v>
      </c>
      <c r="L141" s="229">
        <f t="shared" si="10"/>
        <v>120</v>
      </c>
      <c r="M141" s="16"/>
      <c r="N141" s="16"/>
      <c r="O141" s="229">
        <v>26.98</v>
      </c>
      <c r="P141" s="229">
        <v>0</v>
      </c>
      <c r="Q141" s="229">
        <v>0</v>
      </c>
      <c r="R141" s="229">
        <f t="shared" si="11"/>
        <v>26.98</v>
      </c>
      <c r="S141" s="229">
        <v>72.06</v>
      </c>
      <c r="T141" s="229">
        <v>0</v>
      </c>
      <c r="U141" s="229">
        <f t="shared" si="12"/>
        <v>72.06</v>
      </c>
      <c r="V141" s="229">
        <v>20.14</v>
      </c>
      <c r="W141" s="229">
        <v>0.82</v>
      </c>
      <c r="X141" s="358">
        <f t="shared" si="13"/>
        <v>120</v>
      </c>
      <c r="Y141" s="325" t="b">
        <f t="shared" si="1"/>
        <v>1</v>
      </c>
    </row>
    <row r="142" spans="1:25" s="4" customFormat="1">
      <c r="A142" s="16">
        <v>128</v>
      </c>
      <c r="B142" t="s">
        <v>270</v>
      </c>
      <c r="C142" t="s">
        <v>1017</v>
      </c>
      <c r="D142" s="16"/>
      <c r="E142" s="229">
        <v>10000</v>
      </c>
      <c r="F142" s="229">
        <v>0</v>
      </c>
      <c r="G142" s="229">
        <v>0</v>
      </c>
      <c r="H142" s="229">
        <f t="shared" si="8"/>
        <v>10000</v>
      </c>
      <c r="I142" s="229">
        <v>0</v>
      </c>
      <c r="J142" s="229">
        <f t="shared" si="9"/>
        <v>10000</v>
      </c>
      <c r="K142" s="364">
        <v>1</v>
      </c>
      <c r="L142" s="229">
        <f t="shared" si="10"/>
        <v>10000</v>
      </c>
      <c r="M142" s="16"/>
      <c r="N142" s="16"/>
      <c r="O142" s="229">
        <v>2248</v>
      </c>
      <c r="P142" s="229">
        <v>0</v>
      </c>
      <c r="Q142" s="229">
        <v>0</v>
      </c>
      <c r="R142" s="229">
        <f t="shared" si="11"/>
        <v>2248</v>
      </c>
      <c r="S142" s="229">
        <v>6004</v>
      </c>
      <c r="T142" s="229">
        <v>0</v>
      </c>
      <c r="U142" s="229">
        <f t="shared" si="12"/>
        <v>6004</v>
      </c>
      <c r="V142" s="229">
        <v>1679</v>
      </c>
      <c r="W142" s="229">
        <v>69</v>
      </c>
      <c r="X142" s="358">
        <f t="shared" si="13"/>
        <v>10000</v>
      </c>
      <c r="Y142" s="325" t="b">
        <f t="shared" si="1"/>
        <v>1</v>
      </c>
    </row>
    <row r="143" spans="1:25" s="4" customFormat="1">
      <c r="A143" s="16">
        <v>129</v>
      </c>
      <c r="B143" t="s">
        <v>270</v>
      </c>
      <c r="C143" t="s">
        <v>699</v>
      </c>
      <c r="D143" s="16"/>
      <c r="E143" s="229">
        <v>3300</v>
      </c>
      <c r="F143" s="229">
        <v>0</v>
      </c>
      <c r="G143" s="229">
        <v>0</v>
      </c>
      <c r="H143" s="229">
        <f t="shared" si="8"/>
        <v>3300</v>
      </c>
      <c r="I143" s="229">
        <v>0</v>
      </c>
      <c r="J143" s="229">
        <f t="shared" si="9"/>
        <v>3300</v>
      </c>
      <c r="K143" s="364">
        <v>1</v>
      </c>
      <c r="L143" s="229">
        <f t="shared" si="10"/>
        <v>3300</v>
      </c>
      <c r="M143" s="16"/>
      <c r="N143" s="16"/>
      <c r="O143" s="229">
        <v>741.84</v>
      </c>
      <c r="P143" s="229">
        <v>0</v>
      </c>
      <c r="Q143" s="229">
        <v>0</v>
      </c>
      <c r="R143" s="229">
        <f t="shared" si="11"/>
        <v>741.84</v>
      </c>
      <c r="S143" s="229">
        <v>1981.32</v>
      </c>
      <c r="T143" s="229">
        <v>0</v>
      </c>
      <c r="U143" s="229">
        <f t="shared" si="12"/>
        <v>1981.32</v>
      </c>
      <c r="V143" s="229">
        <v>554.07000000000005</v>
      </c>
      <c r="W143" s="229">
        <v>22.77</v>
      </c>
      <c r="X143" s="358">
        <f t="shared" si="13"/>
        <v>3300</v>
      </c>
      <c r="Y143" s="325" t="b">
        <f t="shared" si="1"/>
        <v>1</v>
      </c>
    </row>
    <row r="144" spans="1:25" s="4" customFormat="1">
      <c r="A144" s="16">
        <v>130</v>
      </c>
      <c r="B144" t="s">
        <v>270</v>
      </c>
      <c r="C144" t="s">
        <v>1112</v>
      </c>
      <c r="D144" s="16"/>
      <c r="E144" s="229">
        <v>790</v>
      </c>
      <c r="F144" s="229">
        <v>0</v>
      </c>
      <c r="G144" s="229">
        <v>0</v>
      </c>
      <c r="H144" s="229">
        <f t="shared" si="8"/>
        <v>790</v>
      </c>
      <c r="I144" s="229">
        <v>0</v>
      </c>
      <c r="J144" s="229">
        <f t="shared" si="9"/>
        <v>790</v>
      </c>
      <c r="K144" s="364">
        <v>1</v>
      </c>
      <c r="L144" s="229">
        <f t="shared" si="10"/>
        <v>790</v>
      </c>
      <c r="M144" s="16"/>
      <c r="N144" s="16"/>
      <c r="O144" s="229">
        <v>87.67</v>
      </c>
      <c r="P144" s="229">
        <v>0</v>
      </c>
      <c r="Q144" s="229">
        <v>0</v>
      </c>
      <c r="R144" s="229">
        <f t="shared" si="11"/>
        <v>87.67</v>
      </c>
      <c r="S144" s="229">
        <v>234.15</v>
      </c>
      <c r="T144" s="229">
        <v>0</v>
      </c>
      <c r="U144" s="229">
        <f t="shared" si="12"/>
        <v>234.15</v>
      </c>
      <c r="V144" s="229">
        <v>65.490000000000009</v>
      </c>
      <c r="W144" s="229">
        <v>402.69</v>
      </c>
      <c r="X144" s="358">
        <f t="shared" si="13"/>
        <v>790</v>
      </c>
      <c r="Y144" s="325" t="b">
        <f t="shared" si="1"/>
        <v>1</v>
      </c>
    </row>
    <row r="145" spans="1:25" s="4" customFormat="1">
      <c r="A145" s="16">
        <v>131</v>
      </c>
      <c r="B145" t="s">
        <v>272</v>
      </c>
      <c r="C145" t="s">
        <v>426</v>
      </c>
      <c r="D145" s="16"/>
      <c r="E145" s="229">
        <v>2500</v>
      </c>
      <c r="F145" s="229">
        <v>0</v>
      </c>
      <c r="G145" s="229">
        <v>0</v>
      </c>
      <c r="H145" s="229">
        <f t="shared" si="8"/>
        <v>2500</v>
      </c>
      <c r="I145" s="229">
        <v>0</v>
      </c>
      <c r="J145" s="229">
        <f t="shared" si="9"/>
        <v>2500</v>
      </c>
      <c r="K145" s="364">
        <v>1</v>
      </c>
      <c r="L145" s="229">
        <f t="shared" si="10"/>
        <v>2500</v>
      </c>
      <c r="M145" s="16"/>
      <c r="N145" s="16"/>
      <c r="O145" s="229">
        <v>562</v>
      </c>
      <c r="P145" s="229">
        <v>0</v>
      </c>
      <c r="Q145" s="229">
        <v>0</v>
      </c>
      <c r="R145" s="229">
        <f t="shared" si="11"/>
        <v>562</v>
      </c>
      <c r="S145" s="229">
        <v>1501</v>
      </c>
      <c r="T145" s="229">
        <v>0</v>
      </c>
      <c r="U145" s="229">
        <f t="shared" si="12"/>
        <v>1501</v>
      </c>
      <c r="V145" s="229">
        <v>419.75</v>
      </c>
      <c r="W145" s="229">
        <v>17.25</v>
      </c>
      <c r="X145" s="358">
        <f t="shared" si="13"/>
        <v>2500</v>
      </c>
      <c r="Y145" s="325" t="b">
        <f t="shared" si="1"/>
        <v>1</v>
      </c>
    </row>
    <row r="146" spans="1:25" s="4" customFormat="1">
      <c r="A146" s="16">
        <v>132</v>
      </c>
      <c r="B146" t="s">
        <v>272</v>
      </c>
      <c r="C146" t="s">
        <v>888</v>
      </c>
      <c r="D146" s="16"/>
      <c r="E146" s="229">
        <v>36996.370000000003</v>
      </c>
      <c r="F146" s="229">
        <v>0</v>
      </c>
      <c r="G146" s="229">
        <v>0</v>
      </c>
      <c r="H146" s="229">
        <f t="shared" ref="H146:H209" si="14">+E146+F146+G146</f>
        <v>36996.370000000003</v>
      </c>
      <c r="I146" s="229">
        <v>-369.96370000000002</v>
      </c>
      <c r="J146" s="229">
        <f t="shared" ref="J146:J209" si="15">+H146+I146</f>
        <v>36626.406300000002</v>
      </c>
      <c r="K146" s="364">
        <v>1</v>
      </c>
      <c r="L146" s="229">
        <f t="shared" ref="L146:L209" si="16">+J146*K146</f>
        <v>36626.406300000002</v>
      </c>
      <c r="M146" s="16"/>
      <c r="N146" s="16"/>
      <c r="O146" s="229">
        <v>2693.07</v>
      </c>
      <c r="P146" s="229">
        <v>0</v>
      </c>
      <c r="Q146" s="229">
        <v>0</v>
      </c>
      <c r="R146" s="229">
        <f t="shared" ref="R146:R209" si="17">SUM(O146:Q146)</f>
        <v>2693.07</v>
      </c>
      <c r="S146" s="229">
        <v>31351.206300000002</v>
      </c>
      <c r="T146" s="229">
        <v>0</v>
      </c>
      <c r="U146" s="229">
        <f t="shared" ref="U146:U209" si="18">SUM(S146:T146)</f>
        <v>31351.206300000002</v>
      </c>
      <c r="V146" s="229">
        <v>1355.29</v>
      </c>
      <c r="W146" s="229">
        <v>1226.8399999999999</v>
      </c>
      <c r="X146" s="358">
        <f t="shared" ref="X146:X209" si="19">+O146+P146+Q146+S146+T146+V146+W146</f>
        <v>36626.406300000002</v>
      </c>
      <c r="Y146" s="325" t="b">
        <f t="shared" si="1"/>
        <v>1</v>
      </c>
    </row>
    <row r="147" spans="1:25" s="4" customFormat="1">
      <c r="A147" s="16">
        <v>133</v>
      </c>
      <c r="B147" t="s">
        <v>272</v>
      </c>
      <c r="C147" t="s">
        <v>1100</v>
      </c>
      <c r="D147" s="16"/>
      <c r="E147" s="229">
        <v>57</v>
      </c>
      <c r="F147" s="229">
        <v>0</v>
      </c>
      <c r="G147" s="229">
        <v>0</v>
      </c>
      <c r="H147" s="229">
        <f t="shared" si="14"/>
        <v>57</v>
      </c>
      <c r="I147" s="229">
        <v>0</v>
      </c>
      <c r="J147" s="229">
        <f t="shared" si="15"/>
        <v>57</v>
      </c>
      <c r="K147" s="364">
        <v>1</v>
      </c>
      <c r="L147" s="229">
        <f t="shared" si="16"/>
        <v>57</v>
      </c>
      <c r="M147" s="16"/>
      <c r="N147" s="16"/>
      <c r="O147" s="229">
        <v>12.81</v>
      </c>
      <c r="P147" s="229">
        <v>0</v>
      </c>
      <c r="Q147" s="229">
        <v>0</v>
      </c>
      <c r="R147" s="229">
        <f t="shared" si="17"/>
        <v>12.81</v>
      </c>
      <c r="S147" s="229">
        <v>34.229999999999997</v>
      </c>
      <c r="T147" s="229">
        <v>0</v>
      </c>
      <c r="U147" s="229">
        <f t="shared" si="18"/>
        <v>34.229999999999997</v>
      </c>
      <c r="V147" s="229">
        <v>9.57</v>
      </c>
      <c r="W147" s="229">
        <v>0.39</v>
      </c>
      <c r="X147" s="358">
        <f t="shared" si="19"/>
        <v>57</v>
      </c>
      <c r="Y147" s="325" t="b">
        <f t="shared" si="1"/>
        <v>1</v>
      </c>
    </row>
    <row r="148" spans="1:25" s="4" customFormat="1">
      <c r="A148" s="16">
        <v>134</v>
      </c>
      <c r="B148" t="s">
        <v>272</v>
      </c>
      <c r="C148" t="s">
        <v>1090</v>
      </c>
      <c r="D148" s="16"/>
      <c r="E148" s="229">
        <v>100</v>
      </c>
      <c r="F148" s="229">
        <v>0</v>
      </c>
      <c r="G148" s="229">
        <v>0</v>
      </c>
      <c r="H148" s="229">
        <f t="shared" si="14"/>
        <v>100</v>
      </c>
      <c r="I148" s="229">
        <v>0</v>
      </c>
      <c r="J148" s="229">
        <f t="shared" si="15"/>
        <v>100</v>
      </c>
      <c r="K148" s="364">
        <v>1</v>
      </c>
      <c r="L148" s="229">
        <f t="shared" si="16"/>
        <v>100</v>
      </c>
      <c r="M148" s="16"/>
      <c r="N148" s="16"/>
      <c r="O148" s="229">
        <v>22.48</v>
      </c>
      <c r="P148" s="229">
        <v>0</v>
      </c>
      <c r="Q148" s="229">
        <v>0</v>
      </c>
      <c r="R148" s="229">
        <f t="shared" si="17"/>
        <v>22.48</v>
      </c>
      <c r="S148" s="229">
        <v>60.04</v>
      </c>
      <c r="T148" s="229">
        <v>0</v>
      </c>
      <c r="U148" s="229">
        <f t="shared" si="18"/>
        <v>60.04</v>
      </c>
      <c r="V148" s="229">
        <v>16.79</v>
      </c>
      <c r="W148" s="229">
        <v>0.69</v>
      </c>
      <c r="X148" s="358">
        <f t="shared" si="19"/>
        <v>100</v>
      </c>
      <c r="Y148" s="325" t="b">
        <f t="shared" si="1"/>
        <v>1</v>
      </c>
    </row>
    <row r="149" spans="1:25" s="4" customFormat="1">
      <c r="A149" s="16">
        <v>135</v>
      </c>
      <c r="B149" t="s">
        <v>272</v>
      </c>
      <c r="C149" t="s">
        <v>1113</v>
      </c>
      <c r="D149" s="16"/>
      <c r="E149" s="229">
        <v>520</v>
      </c>
      <c r="F149" s="229">
        <v>0</v>
      </c>
      <c r="G149" s="229">
        <v>0</v>
      </c>
      <c r="H149" s="229">
        <f t="shared" si="14"/>
        <v>520</v>
      </c>
      <c r="I149" s="229">
        <v>0</v>
      </c>
      <c r="J149" s="229">
        <f t="shared" si="15"/>
        <v>520</v>
      </c>
      <c r="K149" s="364">
        <v>1</v>
      </c>
      <c r="L149" s="229">
        <f t="shared" si="16"/>
        <v>520</v>
      </c>
      <c r="M149" s="16"/>
      <c r="N149" s="16"/>
      <c r="O149" s="229">
        <v>116.9</v>
      </c>
      <c r="P149" s="229">
        <v>0</v>
      </c>
      <c r="Q149" s="229">
        <v>0</v>
      </c>
      <c r="R149" s="229">
        <f t="shared" si="17"/>
        <v>116.9</v>
      </c>
      <c r="S149" s="229">
        <v>312.20000000000005</v>
      </c>
      <c r="T149" s="229">
        <v>0</v>
      </c>
      <c r="U149" s="229">
        <f t="shared" si="18"/>
        <v>312.20000000000005</v>
      </c>
      <c r="V149" s="229">
        <v>87.31</v>
      </c>
      <c r="W149" s="229">
        <v>3.59</v>
      </c>
      <c r="X149" s="358">
        <f t="shared" si="19"/>
        <v>520.00000000000011</v>
      </c>
      <c r="Y149" s="325" t="b">
        <f t="shared" si="1"/>
        <v>1</v>
      </c>
    </row>
    <row r="150" spans="1:25" s="4" customFormat="1">
      <c r="A150" s="16">
        <v>136</v>
      </c>
      <c r="B150" t="s">
        <v>272</v>
      </c>
      <c r="C150" t="s">
        <v>889</v>
      </c>
      <c r="D150" s="16"/>
      <c r="E150" s="229">
        <v>540.16999999999996</v>
      </c>
      <c r="F150" s="229">
        <v>0</v>
      </c>
      <c r="G150" s="229">
        <v>0</v>
      </c>
      <c r="H150" s="229">
        <f t="shared" si="14"/>
        <v>540.16999999999996</v>
      </c>
      <c r="I150" s="229">
        <v>0</v>
      </c>
      <c r="J150" s="229">
        <f t="shared" si="15"/>
        <v>540.16999999999996</v>
      </c>
      <c r="K150" s="364">
        <v>1</v>
      </c>
      <c r="L150" s="229">
        <f t="shared" si="16"/>
        <v>540.16999999999996</v>
      </c>
      <c r="M150" s="16"/>
      <c r="N150" s="16"/>
      <c r="O150" s="229">
        <v>0</v>
      </c>
      <c r="P150" s="229">
        <v>0</v>
      </c>
      <c r="Q150" s="229">
        <v>0</v>
      </c>
      <c r="R150" s="229">
        <f t="shared" si="17"/>
        <v>0</v>
      </c>
      <c r="S150" s="229">
        <v>540.16999999999996</v>
      </c>
      <c r="T150" s="229">
        <v>0</v>
      </c>
      <c r="U150" s="229">
        <f t="shared" si="18"/>
        <v>540.16999999999996</v>
      </c>
      <c r="V150" s="229">
        <v>0</v>
      </c>
      <c r="W150" s="229">
        <v>0</v>
      </c>
      <c r="X150" s="358">
        <f t="shared" si="19"/>
        <v>540.16999999999996</v>
      </c>
      <c r="Y150" s="325" t="b">
        <f t="shared" si="1"/>
        <v>1</v>
      </c>
    </row>
    <row r="151" spans="1:25" s="4" customFormat="1">
      <c r="A151" s="16">
        <v>137</v>
      </c>
      <c r="B151" t="s">
        <v>272</v>
      </c>
      <c r="C151" t="s">
        <v>1071</v>
      </c>
      <c r="D151" s="16"/>
      <c r="E151" s="229">
        <v>25</v>
      </c>
      <c r="F151" s="229">
        <v>0</v>
      </c>
      <c r="G151" s="229">
        <v>0</v>
      </c>
      <c r="H151" s="229">
        <f t="shared" si="14"/>
        <v>25</v>
      </c>
      <c r="I151" s="229">
        <v>0</v>
      </c>
      <c r="J151" s="229">
        <f t="shared" si="15"/>
        <v>25</v>
      </c>
      <c r="K151" s="364">
        <v>1</v>
      </c>
      <c r="L151" s="229">
        <f t="shared" si="16"/>
        <v>25</v>
      </c>
      <c r="M151" s="16"/>
      <c r="N151" s="16"/>
      <c r="O151" s="229">
        <v>0</v>
      </c>
      <c r="P151" s="229">
        <v>0</v>
      </c>
      <c r="Q151" s="229">
        <v>0</v>
      </c>
      <c r="R151" s="229">
        <f t="shared" si="17"/>
        <v>0</v>
      </c>
      <c r="S151" s="229">
        <v>0</v>
      </c>
      <c r="T151" s="229">
        <v>0</v>
      </c>
      <c r="U151" s="229">
        <f t="shared" si="18"/>
        <v>0</v>
      </c>
      <c r="V151" s="229">
        <v>0</v>
      </c>
      <c r="W151" s="229">
        <v>25</v>
      </c>
      <c r="X151" s="358">
        <f t="shared" si="19"/>
        <v>25</v>
      </c>
      <c r="Y151" s="325" t="b">
        <f t="shared" si="1"/>
        <v>1</v>
      </c>
    </row>
    <row r="152" spans="1:25" s="4" customFormat="1">
      <c r="A152" s="16">
        <v>138</v>
      </c>
      <c r="B152" t="s">
        <v>272</v>
      </c>
      <c r="C152" t="s">
        <v>1025</v>
      </c>
      <c r="D152" s="16"/>
      <c r="E152" s="229">
        <v>39250.660000000003</v>
      </c>
      <c r="F152" s="229">
        <v>0</v>
      </c>
      <c r="G152" s="229">
        <v>0</v>
      </c>
      <c r="H152" s="229">
        <f t="shared" si="14"/>
        <v>39250.660000000003</v>
      </c>
      <c r="I152" s="229">
        <v>-392.50660000000005</v>
      </c>
      <c r="J152" s="229">
        <f t="shared" si="15"/>
        <v>38858.153400000003</v>
      </c>
      <c r="K152" s="364">
        <v>1</v>
      </c>
      <c r="L152" s="229">
        <f t="shared" si="16"/>
        <v>38858.153400000003</v>
      </c>
      <c r="M152" s="16"/>
      <c r="N152" s="16"/>
      <c r="O152" s="229">
        <v>2857.17</v>
      </c>
      <c r="P152" s="229">
        <v>0</v>
      </c>
      <c r="Q152" s="229">
        <v>0</v>
      </c>
      <c r="R152" s="229">
        <f t="shared" si="17"/>
        <v>2857.17</v>
      </c>
      <c r="S152" s="229">
        <v>33261.513400000003</v>
      </c>
      <c r="T152" s="229">
        <v>0</v>
      </c>
      <c r="U152" s="229">
        <f t="shared" si="18"/>
        <v>33261.513400000003</v>
      </c>
      <c r="V152" s="229">
        <v>1437.87</v>
      </c>
      <c r="W152" s="229">
        <v>1301.5999999999999</v>
      </c>
      <c r="X152" s="358">
        <f t="shared" si="19"/>
        <v>38858.153400000003</v>
      </c>
      <c r="Y152" s="325" t="b">
        <f t="shared" si="1"/>
        <v>1</v>
      </c>
    </row>
    <row r="153" spans="1:25" s="4" customFormat="1">
      <c r="A153" s="16">
        <v>139</v>
      </c>
      <c r="B153" t="s">
        <v>272</v>
      </c>
      <c r="C153" t="s">
        <v>1114</v>
      </c>
      <c r="D153" s="16"/>
      <c r="E153" s="229">
        <v>500</v>
      </c>
      <c r="F153" s="229">
        <v>0</v>
      </c>
      <c r="G153" s="229">
        <v>0</v>
      </c>
      <c r="H153" s="229">
        <f t="shared" si="14"/>
        <v>500</v>
      </c>
      <c r="I153" s="229">
        <v>0</v>
      </c>
      <c r="J153" s="229">
        <f t="shared" si="15"/>
        <v>500</v>
      </c>
      <c r="K153" s="364">
        <v>1</v>
      </c>
      <c r="L153" s="229">
        <f t="shared" si="16"/>
        <v>500</v>
      </c>
      <c r="M153" s="16"/>
      <c r="N153" s="16"/>
      <c r="O153" s="229">
        <v>112.4</v>
      </c>
      <c r="P153" s="229">
        <v>0</v>
      </c>
      <c r="Q153" s="229">
        <v>0</v>
      </c>
      <c r="R153" s="229">
        <f t="shared" si="17"/>
        <v>112.4</v>
      </c>
      <c r="S153" s="229">
        <v>300.2</v>
      </c>
      <c r="T153" s="229">
        <v>0</v>
      </c>
      <c r="U153" s="229">
        <f t="shared" si="18"/>
        <v>300.2</v>
      </c>
      <c r="V153" s="229">
        <v>83.95</v>
      </c>
      <c r="W153" s="229">
        <v>3.45</v>
      </c>
      <c r="X153" s="358">
        <f t="shared" si="19"/>
        <v>500</v>
      </c>
      <c r="Y153" s="325" t="b">
        <f t="shared" si="1"/>
        <v>1</v>
      </c>
    </row>
    <row r="154" spans="1:25" s="4" customFormat="1">
      <c r="A154" s="16">
        <v>140</v>
      </c>
      <c r="B154" t="s">
        <v>274</v>
      </c>
      <c r="C154" t="s">
        <v>1074</v>
      </c>
      <c r="D154" s="16"/>
      <c r="E154" s="229">
        <v>58.25</v>
      </c>
      <c r="F154" s="229">
        <v>0</v>
      </c>
      <c r="G154" s="229">
        <v>0</v>
      </c>
      <c r="H154" s="229">
        <f t="shared" si="14"/>
        <v>58.25</v>
      </c>
      <c r="I154" s="229">
        <v>0</v>
      </c>
      <c r="J154" s="229">
        <f t="shared" si="15"/>
        <v>58.25</v>
      </c>
      <c r="K154" s="364">
        <v>1</v>
      </c>
      <c r="L154" s="229">
        <f t="shared" si="16"/>
        <v>58.25</v>
      </c>
      <c r="M154" s="16"/>
      <c r="N154" s="16"/>
      <c r="O154" s="229">
        <v>0</v>
      </c>
      <c r="P154" s="229">
        <v>0</v>
      </c>
      <c r="Q154" s="229">
        <v>0</v>
      </c>
      <c r="R154" s="229">
        <f t="shared" si="17"/>
        <v>0</v>
      </c>
      <c r="S154" s="229">
        <v>58.25</v>
      </c>
      <c r="T154" s="229">
        <v>0</v>
      </c>
      <c r="U154" s="229">
        <f t="shared" si="18"/>
        <v>58.25</v>
      </c>
      <c r="V154" s="229">
        <v>0</v>
      </c>
      <c r="W154" s="229">
        <v>0</v>
      </c>
      <c r="X154" s="358">
        <f t="shared" si="19"/>
        <v>58.25</v>
      </c>
      <c r="Y154" s="325" t="b">
        <f t="shared" si="1"/>
        <v>1</v>
      </c>
    </row>
    <row r="155" spans="1:25" s="4" customFormat="1">
      <c r="A155" s="16">
        <v>141</v>
      </c>
      <c r="B155" t="s">
        <v>289</v>
      </c>
      <c r="C155" t="s">
        <v>437</v>
      </c>
      <c r="D155" s="16"/>
      <c r="E155" s="229">
        <v>3380</v>
      </c>
      <c r="F155" s="229">
        <v>0</v>
      </c>
      <c r="G155" s="229">
        <v>0</v>
      </c>
      <c r="H155" s="229">
        <f t="shared" si="14"/>
        <v>3380</v>
      </c>
      <c r="I155" s="229">
        <v>0</v>
      </c>
      <c r="J155" s="229">
        <f t="shared" si="15"/>
        <v>3380</v>
      </c>
      <c r="K155" s="364">
        <v>1</v>
      </c>
      <c r="L155" s="229">
        <f t="shared" si="16"/>
        <v>3380</v>
      </c>
      <c r="M155" s="16"/>
      <c r="N155" s="16"/>
      <c r="O155" s="229">
        <v>0</v>
      </c>
      <c r="P155" s="229">
        <v>0</v>
      </c>
      <c r="Q155" s="229">
        <v>0</v>
      </c>
      <c r="R155" s="229">
        <f t="shared" si="17"/>
        <v>0</v>
      </c>
      <c r="S155" s="229">
        <v>0</v>
      </c>
      <c r="T155" s="229">
        <v>0</v>
      </c>
      <c r="U155" s="229">
        <f t="shared" si="18"/>
        <v>0</v>
      </c>
      <c r="V155" s="229">
        <v>0</v>
      </c>
      <c r="W155" s="229">
        <v>3380</v>
      </c>
      <c r="X155" s="358">
        <f t="shared" si="19"/>
        <v>3380</v>
      </c>
      <c r="Y155" s="325" t="b">
        <f t="shared" si="1"/>
        <v>1</v>
      </c>
    </row>
    <row r="156" spans="1:25" s="4" customFormat="1">
      <c r="A156" s="16">
        <v>142</v>
      </c>
      <c r="B156" t="s">
        <v>289</v>
      </c>
      <c r="C156" t="s">
        <v>890</v>
      </c>
      <c r="D156" s="16"/>
      <c r="E156" s="229">
        <v>1200</v>
      </c>
      <c r="F156" s="229">
        <v>0</v>
      </c>
      <c r="G156" s="229">
        <v>0</v>
      </c>
      <c r="H156" s="229">
        <f t="shared" si="14"/>
        <v>1200</v>
      </c>
      <c r="I156" s="229">
        <v>0</v>
      </c>
      <c r="J156" s="229">
        <f t="shared" si="15"/>
        <v>1200</v>
      </c>
      <c r="K156" s="364">
        <v>1</v>
      </c>
      <c r="L156" s="229">
        <f t="shared" si="16"/>
        <v>1200</v>
      </c>
      <c r="M156" s="16"/>
      <c r="N156" s="16"/>
      <c r="O156" s="229">
        <v>0</v>
      </c>
      <c r="P156" s="229">
        <v>0</v>
      </c>
      <c r="Q156" s="229">
        <v>0</v>
      </c>
      <c r="R156" s="229">
        <f t="shared" si="17"/>
        <v>0</v>
      </c>
      <c r="S156" s="229">
        <v>0</v>
      </c>
      <c r="T156" s="229">
        <v>0</v>
      </c>
      <c r="U156" s="229">
        <f t="shared" si="18"/>
        <v>0</v>
      </c>
      <c r="V156" s="229">
        <v>0</v>
      </c>
      <c r="W156" s="229">
        <v>1200</v>
      </c>
      <c r="X156" s="358">
        <f t="shared" si="19"/>
        <v>1200</v>
      </c>
      <c r="Y156" s="325" t="b">
        <f t="shared" si="1"/>
        <v>1</v>
      </c>
    </row>
    <row r="157" spans="1:25" s="4" customFormat="1">
      <c r="A157" s="16">
        <v>143</v>
      </c>
      <c r="B157" t="s">
        <v>289</v>
      </c>
      <c r="C157" t="s">
        <v>645</v>
      </c>
      <c r="D157" s="16"/>
      <c r="E157" s="229">
        <v>200</v>
      </c>
      <c r="F157" s="229">
        <v>0</v>
      </c>
      <c r="G157" s="229">
        <v>0</v>
      </c>
      <c r="H157" s="229">
        <f t="shared" si="14"/>
        <v>200</v>
      </c>
      <c r="I157" s="229">
        <v>0</v>
      </c>
      <c r="J157" s="229">
        <f t="shared" si="15"/>
        <v>200</v>
      </c>
      <c r="K157" s="364">
        <v>1</v>
      </c>
      <c r="L157" s="229">
        <f t="shared" si="16"/>
        <v>200</v>
      </c>
      <c r="M157" s="16"/>
      <c r="N157" s="16"/>
      <c r="O157" s="229">
        <v>0</v>
      </c>
      <c r="P157" s="229">
        <v>0</v>
      </c>
      <c r="Q157" s="229">
        <v>0</v>
      </c>
      <c r="R157" s="229">
        <f t="shared" si="17"/>
        <v>0</v>
      </c>
      <c r="S157" s="229">
        <v>0</v>
      </c>
      <c r="T157" s="229">
        <v>0</v>
      </c>
      <c r="U157" s="229">
        <f t="shared" si="18"/>
        <v>0</v>
      </c>
      <c r="V157" s="229">
        <v>0</v>
      </c>
      <c r="W157" s="229">
        <v>200</v>
      </c>
      <c r="X157" s="358">
        <f t="shared" si="19"/>
        <v>200</v>
      </c>
      <c r="Y157" s="325" t="b">
        <f t="shared" si="1"/>
        <v>1</v>
      </c>
    </row>
    <row r="158" spans="1:25" s="4" customFormat="1">
      <c r="A158" s="16">
        <v>144</v>
      </c>
      <c r="B158" t="s">
        <v>289</v>
      </c>
      <c r="C158" t="s">
        <v>891</v>
      </c>
      <c r="D158" s="16"/>
      <c r="E158" s="229">
        <v>8118.75</v>
      </c>
      <c r="F158" s="229">
        <v>0</v>
      </c>
      <c r="G158" s="229">
        <v>0</v>
      </c>
      <c r="H158" s="229">
        <f t="shared" si="14"/>
        <v>8118.75</v>
      </c>
      <c r="I158" s="229">
        <v>0</v>
      </c>
      <c r="J158" s="229">
        <f t="shared" si="15"/>
        <v>8118.75</v>
      </c>
      <c r="K158" s="364">
        <v>1</v>
      </c>
      <c r="L158" s="229">
        <f t="shared" si="16"/>
        <v>8118.75</v>
      </c>
      <c r="M158" s="16"/>
      <c r="N158" s="16"/>
      <c r="O158" s="229">
        <v>0</v>
      </c>
      <c r="P158" s="229">
        <v>0</v>
      </c>
      <c r="Q158" s="229">
        <v>0</v>
      </c>
      <c r="R158" s="229">
        <f t="shared" si="17"/>
        <v>0</v>
      </c>
      <c r="S158" s="229">
        <v>0</v>
      </c>
      <c r="T158" s="229">
        <v>0</v>
      </c>
      <c r="U158" s="229">
        <f t="shared" si="18"/>
        <v>0</v>
      </c>
      <c r="V158" s="229">
        <v>0</v>
      </c>
      <c r="W158" s="229">
        <v>8118.75</v>
      </c>
      <c r="X158" s="358">
        <f t="shared" si="19"/>
        <v>8118.75</v>
      </c>
      <c r="Y158" s="325" t="b">
        <f t="shared" si="1"/>
        <v>1</v>
      </c>
    </row>
    <row r="159" spans="1:25" s="4" customFormat="1">
      <c r="A159" s="16">
        <v>145</v>
      </c>
      <c r="B159" t="s">
        <v>289</v>
      </c>
      <c r="C159" t="s">
        <v>704</v>
      </c>
      <c r="D159" s="16"/>
      <c r="E159" s="229">
        <v>1700</v>
      </c>
      <c r="F159" s="229">
        <v>0</v>
      </c>
      <c r="G159" s="229">
        <v>0</v>
      </c>
      <c r="H159" s="229">
        <f t="shared" si="14"/>
        <v>1700</v>
      </c>
      <c r="I159" s="229">
        <v>0</v>
      </c>
      <c r="J159" s="229">
        <f t="shared" si="15"/>
        <v>1700</v>
      </c>
      <c r="K159" s="364">
        <v>1</v>
      </c>
      <c r="L159" s="229">
        <f t="shared" si="16"/>
        <v>1700</v>
      </c>
      <c r="M159" s="16"/>
      <c r="N159" s="16"/>
      <c r="O159" s="229">
        <v>0</v>
      </c>
      <c r="P159" s="229">
        <v>0</v>
      </c>
      <c r="Q159" s="229">
        <v>0</v>
      </c>
      <c r="R159" s="229">
        <f t="shared" si="17"/>
        <v>0</v>
      </c>
      <c r="S159" s="229">
        <v>0</v>
      </c>
      <c r="T159" s="229">
        <v>0</v>
      </c>
      <c r="U159" s="229">
        <f t="shared" si="18"/>
        <v>0</v>
      </c>
      <c r="V159" s="229">
        <v>0</v>
      </c>
      <c r="W159" s="229">
        <v>1700</v>
      </c>
      <c r="X159" s="358">
        <f t="shared" si="19"/>
        <v>1700</v>
      </c>
      <c r="Y159" s="325" t="b">
        <f t="shared" si="1"/>
        <v>1</v>
      </c>
    </row>
    <row r="160" spans="1:25" s="4" customFormat="1">
      <c r="A160" s="16">
        <v>146</v>
      </c>
      <c r="B160" t="s">
        <v>289</v>
      </c>
      <c r="C160" t="s">
        <v>892</v>
      </c>
      <c r="D160" s="16"/>
      <c r="E160" s="229">
        <v>1080</v>
      </c>
      <c r="F160" s="229">
        <v>0</v>
      </c>
      <c r="G160" s="229">
        <v>0</v>
      </c>
      <c r="H160" s="229">
        <f t="shared" si="14"/>
        <v>1080</v>
      </c>
      <c r="I160" s="229">
        <v>0</v>
      </c>
      <c r="J160" s="229">
        <f t="shared" si="15"/>
        <v>1080</v>
      </c>
      <c r="K160" s="364">
        <v>1</v>
      </c>
      <c r="L160" s="229">
        <f t="shared" si="16"/>
        <v>1080</v>
      </c>
      <c r="M160" s="16"/>
      <c r="N160" s="16"/>
      <c r="O160" s="229">
        <v>0</v>
      </c>
      <c r="P160" s="229">
        <v>0</v>
      </c>
      <c r="Q160" s="229">
        <v>0</v>
      </c>
      <c r="R160" s="229">
        <f t="shared" si="17"/>
        <v>0</v>
      </c>
      <c r="S160" s="229">
        <v>0</v>
      </c>
      <c r="T160" s="229">
        <v>0</v>
      </c>
      <c r="U160" s="229">
        <f t="shared" si="18"/>
        <v>0</v>
      </c>
      <c r="V160" s="229">
        <v>0</v>
      </c>
      <c r="W160" s="229">
        <v>1080</v>
      </c>
      <c r="X160" s="358">
        <f t="shared" si="19"/>
        <v>1080</v>
      </c>
      <c r="Y160" s="325" t="b">
        <f t="shared" si="1"/>
        <v>1</v>
      </c>
    </row>
    <row r="161" spans="1:25" s="4" customFormat="1">
      <c r="A161" s="16">
        <v>147</v>
      </c>
      <c r="B161" t="s">
        <v>289</v>
      </c>
      <c r="C161" t="s">
        <v>1115</v>
      </c>
      <c r="D161" s="16"/>
      <c r="E161" s="229">
        <v>7600</v>
      </c>
      <c r="F161" s="229">
        <v>0</v>
      </c>
      <c r="G161" s="229">
        <v>0</v>
      </c>
      <c r="H161" s="229">
        <f t="shared" si="14"/>
        <v>7600</v>
      </c>
      <c r="I161" s="229">
        <v>0</v>
      </c>
      <c r="J161" s="229">
        <f t="shared" si="15"/>
        <v>7600</v>
      </c>
      <c r="K161" s="364">
        <v>1</v>
      </c>
      <c r="L161" s="229">
        <f t="shared" si="16"/>
        <v>7600</v>
      </c>
      <c r="M161" s="16"/>
      <c r="N161" s="16"/>
      <c r="O161" s="229">
        <v>1708.48</v>
      </c>
      <c r="P161" s="229">
        <v>0</v>
      </c>
      <c r="Q161" s="229">
        <v>0</v>
      </c>
      <c r="R161" s="229">
        <f t="shared" si="17"/>
        <v>1708.48</v>
      </c>
      <c r="S161" s="229">
        <v>4563.04</v>
      </c>
      <c r="T161" s="229">
        <v>0</v>
      </c>
      <c r="U161" s="229">
        <f t="shared" si="18"/>
        <v>4563.04</v>
      </c>
      <c r="V161" s="229">
        <v>1276.04</v>
      </c>
      <c r="W161" s="229">
        <v>52.44</v>
      </c>
      <c r="X161" s="358">
        <f t="shared" si="19"/>
        <v>7600</v>
      </c>
      <c r="Y161" s="325" t="b">
        <f t="shared" si="1"/>
        <v>1</v>
      </c>
    </row>
    <row r="162" spans="1:25" s="4" customFormat="1">
      <c r="A162" s="16">
        <v>148</v>
      </c>
      <c r="B162" t="s">
        <v>289</v>
      </c>
      <c r="C162" t="s">
        <v>737</v>
      </c>
      <c r="D162" s="16"/>
      <c r="E162" s="229">
        <v>141175</v>
      </c>
      <c r="F162" s="229">
        <v>0</v>
      </c>
      <c r="G162" s="229">
        <v>0</v>
      </c>
      <c r="H162" s="229">
        <f t="shared" si="14"/>
        <v>141175</v>
      </c>
      <c r="I162" s="229">
        <v>0</v>
      </c>
      <c r="J162" s="229">
        <f t="shared" si="15"/>
        <v>141175</v>
      </c>
      <c r="K162" s="364">
        <v>1</v>
      </c>
      <c r="L162" s="229">
        <f t="shared" si="16"/>
        <v>141175</v>
      </c>
      <c r="M162" s="16"/>
      <c r="N162" s="16"/>
      <c r="O162" s="229">
        <v>31736.14</v>
      </c>
      <c r="P162" s="229">
        <v>0</v>
      </c>
      <c r="Q162" s="229">
        <v>0</v>
      </c>
      <c r="R162" s="229">
        <f t="shared" si="17"/>
        <v>31736.14</v>
      </c>
      <c r="S162" s="229">
        <v>84761.47</v>
      </c>
      <c r="T162" s="229">
        <v>0</v>
      </c>
      <c r="U162" s="229">
        <f t="shared" si="18"/>
        <v>84761.47</v>
      </c>
      <c r="V162" s="229">
        <v>23703.279999999999</v>
      </c>
      <c r="W162" s="229">
        <v>974.11</v>
      </c>
      <c r="X162" s="358">
        <f t="shared" si="19"/>
        <v>141175</v>
      </c>
      <c r="Y162" s="325" t="b">
        <f t="shared" si="1"/>
        <v>1</v>
      </c>
    </row>
    <row r="163" spans="1:25" s="4" customFormat="1">
      <c r="A163" s="16">
        <v>149</v>
      </c>
      <c r="B163" t="s">
        <v>289</v>
      </c>
      <c r="C163" t="s">
        <v>459</v>
      </c>
      <c r="D163" s="16"/>
      <c r="E163" s="229">
        <v>145</v>
      </c>
      <c r="F163" s="229">
        <v>0</v>
      </c>
      <c r="G163" s="229">
        <v>0</v>
      </c>
      <c r="H163" s="229">
        <f t="shared" si="14"/>
        <v>145</v>
      </c>
      <c r="I163" s="229">
        <v>0</v>
      </c>
      <c r="J163" s="229">
        <f t="shared" si="15"/>
        <v>145</v>
      </c>
      <c r="K163" s="364">
        <v>1</v>
      </c>
      <c r="L163" s="229">
        <f t="shared" si="16"/>
        <v>145</v>
      </c>
      <c r="M163" s="16"/>
      <c r="N163" s="16"/>
      <c r="O163" s="229">
        <v>0</v>
      </c>
      <c r="P163" s="229">
        <v>0</v>
      </c>
      <c r="Q163" s="229">
        <v>0</v>
      </c>
      <c r="R163" s="229">
        <f t="shared" si="17"/>
        <v>0</v>
      </c>
      <c r="S163" s="229">
        <v>0</v>
      </c>
      <c r="T163" s="229">
        <v>0</v>
      </c>
      <c r="U163" s="229">
        <f t="shared" si="18"/>
        <v>0</v>
      </c>
      <c r="V163" s="229">
        <v>0</v>
      </c>
      <c r="W163" s="229">
        <v>145</v>
      </c>
      <c r="X163" s="358">
        <f t="shared" si="19"/>
        <v>145</v>
      </c>
      <c r="Y163" s="325" t="b">
        <f t="shared" si="1"/>
        <v>1</v>
      </c>
    </row>
    <row r="164" spans="1:25" s="4" customFormat="1">
      <c r="A164" s="16">
        <v>150</v>
      </c>
      <c r="B164" t="s">
        <v>289</v>
      </c>
      <c r="C164" t="s">
        <v>648</v>
      </c>
      <c r="D164" s="16"/>
      <c r="E164" s="229">
        <v>175</v>
      </c>
      <c r="F164" s="229">
        <v>0</v>
      </c>
      <c r="G164" s="229">
        <v>0</v>
      </c>
      <c r="H164" s="229">
        <f t="shared" si="14"/>
        <v>175</v>
      </c>
      <c r="I164" s="229">
        <v>0</v>
      </c>
      <c r="J164" s="229">
        <f t="shared" si="15"/>
        <v>175</v>
      </c>
      <c r="K164" s="364">
        <v>1</v>
      </c>
      <c r="L164" s="229">
        <f t="shared" si="16"/>
        <v>175</v>
      </c>
      <c r="M164" s="16"/>
      <c r="N164" s="16"/>
      <c r="O164" s="229">
        <v>0</v>
      </c>
      <c r="P164" s="229">
        <v>0</v>
      </c>
      <c r="Q164" s="229">
        <v>0</v>
      </c>
      <c r="R164" s="229">
        <f t="shared" si="17"/>
        <v>0</v>
      </c>
      <c r="S164" s="229">
        <v>0</v>
      </c>
      <c r="T164" s="229">
        <v>0</v>
      </c>
      <c r="U164" s="229">
        <f t="shared" si="18"/>
        <v>0</v>
      </c>
      <c r="V164" s="229">
        <v>0</v>
      </c>
      <c r="W164" s="229">
        <v>175</v>
      </c>
      <c r="X164" s="358">
        <f t="shared" si="19"/>
        <v>175</v>
      </c>
      <c r="Y164" s="325" t="b">
        <f t="shared" si="1"/>
        <v>1</v>
      </c>
    </row>
    <row r="165" spans="1:25" s="4" customFormat="1">
      <c r="A165" s="16">
        <v>151</v>
      </c>
      <c r="B165" t="s">
        <v>289</v>
      </c>
      <c r="C165" t="s">
        <v>710</v>
      </c>
      <c r="D165" s="16"/>
      <c r="E165" s="229">
        <v>2800</v>
      </c>
      <c r="F165" s="229">
        <v>0</v>
      </c>
      <c r="G165" s="229">
        <v>0</v>
      </c>
      <c r="H165" s="229">
        <f t="shared" si="14"/>
        <v>2800</v>
      </c>
      <c r="I165" s="229">
        <v>0</v>
      </c>
      <c r="J165" s="229">
        <f t="shared" si="15"/>
        <v>2800</v>
      </c>
      <c r="K165" s="364">
        <v>1</v>
      </c>
      <c r="L165" s="229">
        <f t="shared" si="16"/>
        <v>2800</v>
      </c>
      <c r="M165" s="16"/>
      <c r="N165" s="16"/>
      <c r="O165" s="229">
        <v>0</v>
      </c>
      <c r="P165" s="229">
        <v>0</v>
      </c>
      <c r="Q165" s="229">
        <v>0</v>
      </c>
      <c r="R165" s="229">
        <f t="shared" si="17"/>
        <v>0</v>
      </c>
      <c r="S165" s="229">
        <v>0</v>
      </c>
      <c r="T165" s="229">
        <v>0</v>
      </c>
      <c r="U165" s="229">
        <f t="shared" si="18"/>
        <v>0</v>
      </c>
      <c r="V165" s="229">
        <v>0</v>
      </c>
      <c r="W165" s="229">
        <v>2800</v>
      </c>
      <c r="X165" s="358">
        <f t="shared" si="19"/>
        <v>2800</v>
      </c>
      <c r="Y165" s="325" t="b">
        <f t="shared" si="1"/>
        <v>1</v>
      </c>
    </row>
    <row r="166" spans="1:25" s="4" customFormat="1">
      <c r="A166" s="16">
        <v>152</v>
      </c>
      <c r="B166" t="s">
        <v>289</v>
      </c>
      <c r="C166" t="s">
        <v>462</v>
      </c>
      <c r="D166" s="16"/>
      <c r="E166" s="229">
        <v>11572.189999999999</v>
      </c>
      <c r="F166" s="229">
        <v>0</v>
      </c>
      <c r="G166" s="229">
        <v>0</v>
      </c>
      <c r="H166" s="229">
        <f t="shared" si="14"/>
        <v>11572.189999999999</v>
      </c>
      <c r="I166" s="229">
        <v>0</v>
      </c>
      <c r="J166" s="229">
        <f t="shared" si="15"/>
        <v>11572.189999999999</v>
      </c>
      <c r="K166" s="364">
        <v>1</v>
      </c>
      <c r="L166" s="229">
        <f t="shared" si="16"/>
        <v>11572.189999999999</v>
      </c>
      <c r="M166" s="16"/>
      <c r="N166" s="16"/>
      <c r="O166" s="229">
        <v>0</v>
      </c>
      <c r="P166" s="229">
        <v>0</v>
      </c>
      <c r="Q166" s="229">
        <v>0</v>
      </c>
      <c r="R166" s="229">
        <f t="shared" si="17"/>
        <v>0</v>
      </c>
      <c r="S166" s="229">
        <v>0</v>
      </c>
      <c r="T166" s="229">
        <v>0</v>
      </c>
      <c r="U166" s="229">
        <f t="shared" si="18"/>
        <v>0</v>
      </c>
      <c r="V166" s="229">
        <v>0</v>
      </c>
      <c r="W166" s="229">
        <v>11572.19</v>
      </c>
      <c r="X166" s="358">
        <f t="shared" si="19"/>
        <v>11572.19</v>
      </c>
      <c r="Y166" s="325" t="b">
        <f t="shared" si="1"/>
        <v>1</v>
      </c>
    </row>
    <row r="167" spans="1:25" s="4" customFormat="1">
      <c r="A167" s="16">
        <v>153</v>
      </c>
      <c r="B167" t="s">
        <v>289</v>
      </c>
      <c r="C167" t="s">
        <v>893</v>
      </c>
      <c r="D167" s="16"/>
      <c r="E167" s="229">
        <v>255</v>
      </c>
      <c r="F167" s="229">
        <v>0</v>
      </c>
      <c r="G167" s="229">
        <v>0</v>
      </c>
      <c r="H167" s="229">
        <f t="shared" si="14"/>
        <v>255</v>
      </c>
      <c r="I167" s="229">
        <v>0</v>
      </c>
      <c r="J167" s="229">
        <f t="shared" si="15"/>
        <v>255</v>
      </c>
      <c r="K167" s="364">
        <v>1</v>
      </c>
      <c r="L167" s="229">
        <f t="shared" si="16"/>
        <v>255</v>
      </c>
      <c r="M167" s="16"/>
      <c r="N167" s="16"/>
      <c r="O167" s="229">
        <v>0</v>
      </c>
      <c r="P167" s="229">
        <v>0</v>
      </c>
      <c r="Q167" s="229">
        <v>0</v>
      </c>
      <c r="R167" s="229">
        <f t="shared" si="17"/>
        <v>0</v>
      </c>
      <c r="S167" s="229">
        <v>0</v>
      </c>
      <c r="T167" s="229">
        <v>0</v>
      </c>
      <c r="U167" s="229">
        <f t="shared" si="18"/>
        <v>0</v>
      </c>
      <c r="V167" s="229">
        <v>0</v>
      </c>
      <c r="W167" s="229">
        <v>255</v>
      </c>
      <c r="X167" s="358">
        <f t="shared" si="19"/>
        <v>255</v>
      </c>
      <c r="Y167" s="325" t="b">
        <f t="shared" si="1"/>
        <v>1</v>
      </c>
    </row>
    <row r="168" spans="1:25" s="4" customFormat="1">
      <c r="A168" s="16">
        <v>154</v>
      </c>
      <c r="B168" t="s">
        <v>289</v>
      </c>
      <c r="C168" t="s">
        <v>464</v>
      </c>
      <c r="D168" s="16"/>
      <c r="E168" s="229">
        <v>50000</v>
      </c>
      <c r="F168" s="229">
        <v>0</v>
      </c>
      <c r="G168" s="229">
        <v>0</v>
      </c>
      <c r="H168" s="229">
        <f t="shared" si="14"/>
        <v>50000</v>
      </c>
      <c r="I168" s="229">
        <v>0</v>
      </c>
      <c r="J168" s="229">
        <f t="shared" si="15"/>
        <v>50000</v>
      </c>
      <c r="K168" s="364">
        <v>1</v>
      </c>
      <c r="L168" s="229">
        <f t="shared" si="16"/>
        <v>50000</v>
      </c>
      <c r="M168" s="16"/>
      <c r="N168" s="16"/>
      <c r="O168" s="229">
        <v>0</v>
      </c>
      <c r="P168" s="229">
        <v>0</v>
      </c>
      <c r="Q168" s="229">
        <v>0</v>
      </c>
      <c r="R168" s="229">
        <f t="shared" si="17"/>
        <v>0</v>
      </c>
      <c r="S168" s="229">
        <v>0</v>
      </c>
      <c r="T168" s="229">
        <v>0</v>
      </c>
      <c r="U168" s="229">
        <f t="shared" si="18"/>
        <v>0</v>
      </c>
      <c r="V168" s="229">
        <v>0</v>
      </c>
      <c r="W168" s="229">
        <v>50000</v>
      </c>
      <c r="X168" s="358">
        <f t="shared" si="19"/>
        <v>50000</v>
      </c>
      <c r="Y168" s="325" t="b">
        <f t="shared" si="1"/>
        <v>1</v>
      </c>
    </row>
    <row r="169" spans="1:25" s="4" customFormat="1">
      <c r="A169" s="16">
        <v>155</v>
      </c>
      <c r="B169" t="s">
        <v>289</v>
      </c>
      <c r="C169" t="s">
        <v>712</v>
      </c>
      <c r="D169" s="16"/>
      <c r="E169" s="229">
        <v>500</v>
      </c>
      <c r="F169" s="229">
        <v>0</v>
      </c>
      <c r="G169" s="229">
        <v>0</v>
      </c>
      <c r="H169" s="229">
        <f t="shared" si="14"/>
        <v>500</v>
      </c>
      <c r="I169" s="229">
        <v>0</v>
      </c>
      <c r="J169" s="229">
        <f t="shared" si="15"/>
        <v>500</v>
      </c>
      <c r="K169" s="364">
        <v>1</v>
      </c>
      <c r="L169" s="229">
        <f t="shared" si="16"/>
        <v>500</v>
      </c>
      <c r="M169" s="16"/>
      <c r="N169" s="16"/>
      <c r="O169" s="229">
        <v>0</v>
      </c>
      <c r="P169" s="229">
        <v>0</v>
      </c>
      <c r="Q169" s="229">
        <v>0</v>
      </c>
      <c r="R169" s="229">
        <f t="shared" si="17"/>
        <v>0</v>
      </c>
      <c r="S169" s="229">
        <v>0</v>
      </c>
      <c r="T169" s="229">
        <v>0</v>
      </c>
      <c r="U169" s="229">
        <f t="shared" si="18"/>
        <v>0</v>
      </c>
      <c r="V169" s="229">
        <v>0</v>
      </c>
      <c r="W169" s="229">
        <v>500</v>
      </c>
      <c r="X169" s="358">
        <f t="shared" si="19"/>
        <v>500</v>
      </c>
      <c r="Y169" s="325" t="b">
        <f t="shared" si="1"/>
        <v>1</v>
      </c>
    </row>
    <row r="170" spans="1:25" s="4" customFormat="1">
      <c r="A170" s="16">
        <v>156</v>
      </c>
      <c r="B170" t="s">
        <v>289</v>
      </c>
      <c r="C170" t="s">
        <v>466</v>
      </c>
      <c r="D170" s="16"/>
      <c r="E170" s="229">
        <v>20100</v>
      </c>
      <c r="F170" s="229">
        <v>0</v>
      </c>
      <c r="G170" s="229">
        <v>0</v>
      </c>
      <c r="H170" s="229">
        <f t="shared" si="14"/>
        <v>20100</v>
      </c>
      <c r="I170" s="229">
        <v>0</v>
      </c>
      <c r="J170" s="229">
        <f t="shared" si="15"/>
        <v>20100</v>
      </c>
      <c r="K170" s="364">
        <v>1</v>
      </c>
      <c r="L170" s="229">
        <f t="shared" si="16"/>
        <v>20100</v>
      </c>
      <c r="M170" s="16"/>
      <c r="N170" s="16"/>
      <c r="O170" s="229">
        <v>0</v>
      </c>
      <c r="P170" s="229">
        <v>0</v>
      </c>
      <c r="Q170" s="229">
        <v>0</v>
      </c>
      <c r="R170" s="229">
        <f t="shared" si="17"/>
        <v>0</v>
      </c>
      <c r="S170" s="229">
        <v>0</v>
      </c>
      <c r="T170" s="229">
        <v>0</v>
      </c>
      <c r="U170" s="229">
        <f t="shared" si="18"/>
        <v>0</v>
      </c>
      <c r="V170" s="229">
        <v>0</v>
      </c>
      <c r="W170" s="229">
        <v>20100</v>
      </c>
      <c r="X170" s="358">
        <f t="shared" si="19"/>
        <v>20100</v>
      </c>
      <c r="Y170" s="325" t="b">
        <f t="shared" si="1"/>
        <v>1</v>
      </c>
    </row>
    <row r="171" spans="1:25" s="4" customFormat="1">
      <c r="A171" s="16">
        <v>157</v>
      </c>
      <c r="B171" t="s">
        <v>289</v>
      </c>
      <c r="C171" t="s">
        <v>470</v>
      </c>
      <c r="D171" s="16"/>
      <c r="E171" s="229">
        <v>300</v>
      </c>
      <c r="F171" s="229">
        <v>0</v>
      </c>
      <c r="G171" s="229">
        <v>0</v>
      </c>
      <c r="H171" s="229">
        <f t="shared" si="14"/>
        <v>300</v>
      </c>
      <c r="I171" s="229">
        <v>0</v>
      </c>
      <c r="J171" s="229">
        <f t="shared" si="15"/>
        <v>300</v>
      </c>
      <c r="K171" s="364">
        <v>1</v>
      </c>
      <c r="L171" s="229">
        <f t="shared" si="16"/>
        <v>300</v>
      </c>
      <c r="M171" s="16"/>
      <c r="N171" s="16"/>
      <c r="O171" s="229">
        <v>0</v>
      </c>
      <c r="P171" s="229">
        <v>0</v>
      </c>
      <c r="Q171" s="229">
        <v>0</v>
      </c>
      <c r="R171" s="229">
        <f t="shared" si="17"/>
        <v>0</v>
      </c>
      <c r="S171" s="229">
        <v>0</v>
      </c>
      <c r="T171" s="229">
        <v>0</v>
      </c>
      <c r="U171" s="229">
        <f t="shared" si="18"/>
        <v>0</v>
      </c>
      <c r="V171" s="229">
        <v>0</v>
      </c>
      <c r="W171" s="229">
        <v>300</v>
      </c>
      <c r="X171" s="358">
        <f t="shared" si="19"/>
        <v>300</v>
      </c>
      <c r="Y171" s="325" t="b">
        <f t="shared" si="1"/>
        <v>1</v>
      </c>
    </row>
    <row r="172" spans="1:25" s="4" customFormat="1">
      <c r="A172" s="16">
        <v>158</v>
      </c>
      <c r="B172" t="s">
        <v>289</v>
      </c>
      <c r="C172" t="s">
        <v>651</v>
      </c>
      <c r="D172" s="16"/>
      <c r="E172" s="229">
        <v>200</v>
      </c>
      <c r="F172" s="229">
        <v>0</v>
      </c>
      <c r="G172" s="229">
        <v>0</v>
      </c>
      <c r="H172" s="229">
        <f t="shared" si="14"/>
        <v>200</v>
      </c>
      <c r="I172" s="229">
        <v>0</v>
      </c>
      <c r="J172" s="229">
        <f t="shared" si="15"/>
        <v>200</v>
      </c>
      <c r="K172" s="364">
        <v>1</v>
      </c>
      <c r="L172" s="229">
        <f t="shared" si="16"/>
        <v>200</v>
      </c>
      <c r="M172" s="16"/>
      <c r="N172" s="16"/>
      <c r="O172" s="229">
        <v>0</v>
      </c>
      <c r="P172" s="229">
        <v>0</v>
      </c>
      <c r="Q172" s="229">
        <v>0</v>
      </c>
      <c r="R172" s="229">
        <f t="shared" si="17"/>
        <v>0</v>
      </c>
      <c r="S172" s="229">
        <v>0</v>
      </c>
      <c r="T172" s="229">
        <v>0</v>
      </c>
      <c r="U172" s="229">
        <f t="shared" si="18"/>
        <v>0</v>
      </c>
      <c r="V172" s="229">
        <v>0</v>
      </c>
      <c r="W172" s="229">
        <v>200</v>
      </c>
      <c r="X172" s="358">
        <f t="shared" si="19"/>
        <v>200</v>
      </c>
      <c r="Y172" s="325" t="b">
        <f t="shared" si="1"/>
        <v>1</v>
      </c>
    </row>
    <row r="173" spans="1:25" s="4" customFormat="1">
      <c r="A173" s="16">
        <v>159</v>
      </c>
      <c r="B173" t="s">
        <v>289</v>
      </c>
      <c r="C173" t="s">
        <v>713</v>
      </c>
      <c r="D173" s="16"/>
      <c r="E173" s="229">
        <v>1520</v>
      </c>
      <c r="F173" s="229">
        <v>0</v>
      </c>
      <c r="G173" s="229">
        <v>0</v>
      </c>
      <c r="H173" s="229">
        <f t="shared" si="14"/>
        <v>1520</v>
      </c>
      <c r="I173" s="229">
        <v>0</v>
      </c>
      <c r="J173" s="229">
        <f t="shared" si="15"/>
        <v>1520</v>
      </c>
      <c r="K173" s="364">
        <v>1</v>
      </c>
      <c r="L173" s="229">
        <f t="shared" si="16"/>
        <v>1520</v>
      </c>
      <c r="M173" s="16"/>
      <c r="N173" s="16"/>
      <c r="O173" s="229">
        <v>0</v>
      </c>
      <c r="P173" s="229">
        <v>0</v>
      </c>
      <c r="Q173" s="229">
        <v>0</v>
      </c>
      <c r="R173" s="229">
        <f t="shared" si="17"/>
        <v>0</v>
      </c>
      <c r="S173" s="229">
        <v>0</v>
      </c>
      <c r="T173" s="229">
        <v>0</v>
      </c>
      <c r="U173" s="229">
        <f t="shared" si="18"/>
        <v>0</v>
      </c>
      <c r="V173" s="229">
        <v>0</v>
      </c>
      <c r="W173" s="229">
        <v>1520</v>
      </c>
      <c r="X173" s="358">
        <f t="shared" si="19"/>
        <v>1520</v>
      </c>
      <c r="Y173" s="325" t="b">
        <f t="shared" si="1"/>
        <v>1</v>
      </c>
    </row>
    <row r="174" spans="1:25" s="4" customFormat="1">
      <c r="A174" s="16">
        <v>160</v>
      </c>
      <c r="B174" t="s">
        <v>289</v>
      </c>
      <c r="C174" t="s">
        <v>477</v>
      </c>
      <c r="D174" s="16"/>
      <c r="E174" s="229">
        <v>800</v>
      </c>
      <c r="F174" s="229">
        <v>0</v>
      </c>
      <c r="G174" s="229">
        <v>0</v>
      </c>
      <c r="H174" s="229">
        <f t="shared" si="14"/>
        <v>800</v>
      </c>
      <c r="I174" s="229">
        <v>0</v>
      </c>
      <c r="J174" s="229">
        <f t="shared" si="15"/>
        <v>800</v>
      </c>
      <c r="K174" s="364">
        <v>1</v>
      </c>
      <c r="L174" s="229">
        <f t="shared" si="16"/>
        <v>800</v>
      </c>
      <c r="M174" s="16"/>
      <c r="N174" s="16"/>
      <c r="O174" s="229">
        <v>0</v>
      </c>
      <c r="P174" s="229">
        <v>0</v>
      </c>
      <c r="Q174" s="229">
        <v>0</v>
      </c>
      <c r="R174" s="229">
        <f t="shared" si="17"/>
        <v>0</v>
      </c>
      <c r="S174" s="229">
        <v>0</v>
      </c>
      <c r="T174" s="229">
        <v>0</v>
      </c>
      <c r="U174" s="229">
        <f t="shared" si="18"/>
        <v>0</v>
      </c>
      <c r="V174" s="229">
        <v>0</v>
      </c>
      <c r="W174" s="229">
        <v>800</v>
      </c>
      <c r="X174" s="358">
        <f t="shared" si="19"/>
        <v>800</v>
      </c>
      <c r="Y174" s="325" t="b">
        <f t="shared" si="1"/>
        <v>1</v>
      </c>
    </row>
    <row r="175" spans="1:25" s="4" customFormat="1">
      <c r="A175" s="16">
        <v>161</v>
      </c>
      <c r="B175" t="s">
        <v>289</v>
      </c>
      <c r="C175" t="s">
        <v>480</v>
      </c>
      <c r="D175" s="16"/>
      <c r="E175" s="229">
        <v>7700</v>
      </c>
      <c r="F175" s="229">
        <v>0</v>
      </c>
      <c r="G175" s="229">
        <v>0</v>
      </c>
      <c r="H175" s="229">
        <f t="shared" si="14"/>
        <v>7700</v>
      </c>
      <c r="I175" s="229">
        <v>0</v>
      </c>
      <c r="J175" s="229">
        <f t="shared" si="15"/>
        <v>7700</v>
      </c>
      <c r="K175" s="364">
        <v>1</v>
      </c>
      <c r="L175" s="229">
        <f t="shared" si="16"/>
        <v>7700</v>
      </c>
      <c r="M175" s="16"/>
      <c r="N175" s="16"/>
      <c r="O175" s="229">
        <v>0</v>
      </c>
      <c r="P175" s="229">
        <v>0</v>
      </c>
      <c r="Q175" s="229">
        <v>0</v>
      </c>
      <c r="R175" s="229">
        <f t="shared" si="17"/>
        <v>0</v>
      </c>
      <c r="S175" s="229">
        <v>0</v>
      </c>
      <c r="T175" s="229">
        <v>0</v>
      </c>
      <c r="U175" s="229">
        <f t="shared" si="18"/>
        <v>0</v>
      </c>
      <c r="V175" s="229">
        <v>0</v>
      </c>
      <c r="W175" s="229">
        <v>7700</v>
      </c>
      <c r="X175" s="358">
        <f t="shared" si="19"/>
        <v>7700</v>
      </c>
      <c r="Y175" s="325" t="b">
        <f t="shared" si="1"/>
        <v>1</v>
      </c>
    </row>
    <row r="176" spans="1:25" s="4" customFormat="1">
      <c r="A176" s="16">
        <v>162</v>
      </c>
      <c r="B176" t="s">
        <v>289</v>
      </c>
      <c r="C176" t="s">
        <v>481</v>
      </c>
      <c r="D176" s="16"/>
      <c r="E176" s="229">
        <v>3250</v>
      </c>
      <c r="F176" s="229">
        <v>0</v>
      </c>
      <c r="G176" s="229">
        <v>0</v>
      </c>
      <c r="H176" s="229">
        <f t="shared" si="14"/>
        <v>3250</v>
      </c>
      <c r="I176" s="229">
        <v>0</v>
      </c>
      <c r="J176" s="229">
        <f t="shared" si="15"/>
        <v>3250</v>
      </c>
      <c r="K176" s="364">
        <v>1</v>
      </c>
      <c r="L176" s="229">
        <f t="shared" si="16"/>
        <v>3250</v>
      </c>
      <c r="M176" s="16"/>
      <c r="N176" s="16"/>
      <c r="O176" s="229">
        <v>0</v>
      </c>
      <c r="P176" s="229">
        <v>0</v>
      </c>
      <c r="Q176" s="229">
        <v>0</v>
      </c>
      <c r="R176" s="229">
        <f t="shared" si="17"/>
        <v>0</v>
      </c>
      <c r="S176" s="229">
        <v>0</v>
      </c>
      <c r="T176" s="229">
        <v>0</v>
      </c>
      <c r="U176" s="229">
        <f t="shared" si="18"/>
        <v>0</v>
      </c>
      <c r="V176" s="229">
        <v>0</v>
      </c>
      <c r="W176" s="229">
        <v>3250</v>
      </c>
      <c r="X176" s="358">
        <f t="shared" si="19"/>
        <v>3250</v>
      </c>
      <c r="Y176" s="325" t="b">
        <f t="shared" si="1"/>
        <v>1</v>
      </c>
    </row>
    <row r="177" spans="1:25" s="4" customFormat="1">
      <c r="A177" s="16">
        <v>163</v>
      </c>
      <c r="B177" t="s">
        <v>289</v>
      </c>
      <c r="C177" t="s">
        <v>482</v>
      </c>
      <c r="D177" s="16"/>
      <c r="E177" s="229">
        <v>2500</v>
      </c>
      <c r="F177" s="229">
        <v>0</v>
      </c>
      <c r="G177" s="229">
        <v>0</v>
      </c>
      <c r="H177" s="229">
        <f t="shared" si="14"/>
        <v>2500</v>
      </c>
      <c r="I177" s="229">
        <v>0</v>
      </c>
      <c r="J177" s="229">
        <f t="shared" si="15"/>
        <v>2500</v>
      </c>
      <c r="K177" s="364">
        <v>1</v>
      </c>
      <c r="L177" s="229">
        <f t="shared" si="16"/>
        <v>2500</v>
      </c>
      <c r="M177" s="16"/>
      <c r="N177" s="16"/>
      <c r="O177" s="229">
        <v>0</v>
      </c>
      <c r="P177" s="229">
        <v>0</v>
      </c>
      <c r="Q177" s="229">
        <v>0</v>
      </c>
      <c r="R177" s="229">
        <f t="shared" si="17"/>
        <v>0</v>
      </c>
      <c r="S177" s="229">
        <v>0</v>
      </c>
      <c r="T177" s="229">
        <v>0</v>
      </c>
      <c r="U177" s="229">
        <f t="shared" si="18"/>
        <v>0</v>
      </c>
      <c r="V177" s="229">
        <v>0</v>
      </c>
      <c r="W177" s="229">
        <v>2500</v>
      </c>
      <c r="X177" s="358">
        <f t="shared" si="19"/>
        <v>2500</v>
      </c>
      <c r="Y177" s="325" t="b">
        <f t="shared" si="1"/>
        <v>1</v>
      </c>
    </row>
    <row r="178" spans="1:25" s="4" customFormat="1">
      <c r="A178" s="16">
        <v>164</v>
      </c>
      <c r="B178" t="s">
        <v>289</v>
      </c>
      <c r="C178" t="s">
        <v>484</v>
      </c>
      <c r="D178" s="16"/>
      <c r="E178" s="229">
        <v>2000</v>
      </c>
      <c r="F178" s="229">
        <v>0</v>
      </c>
      <c r="G178" s="229">
        <v>0</v>
      </c>
      <c r="H178" s="229">
        <f t="shared" si="14"/>
        <v>2000</v>
      </c>
      <c r="I178" s="229">
        <v>0</v>
      </c>
      <c r="J178" s="229">
        <f t="shared" si="15"/>
        <v>2000</v>
      </c>
      <c r="K178" s="364">
        <v>1</v>
      </c>
      <c r="L178" s="229">
        <f t="shared" si="16"/>
        <v>2000</v>
      </c>
      <c r="M178" s="16"/>
      <c r="N178" s="16"/>
      <c r="O178" s="229">
        <v>0</v>
      </c>
      <c r="P178" s="229">
        <v>0</v>
      </c>
      <c r="Q178" s="229">
        <v>0</v>
      </c>
      <c r="R178" s="229">
        <f t="shared" si="17"/>
        <v>0</v>
      </c>
      <c r="S178" s="229">
        <v>0</v>
      </c>
      <c r="T178" s="229">
        <v>0</v>
      </c>
      <c r="U178" s="229">
        <f t="shared" si="18"/>
        <v>0</v>
      </c>
      <c r="V178" s="229">
        <v>0</v>
      </c>
      <c r="W178" s="229">
        <v>2000</v>
      </c>
      <c r="X178" s="358">
        <f t="shared" si="19"/>
        <v>2000</v>
      </c>
      <c r="Y178" s="325" t="b">
        <f t="shared" si="1"/>
        <v>1</v>
      </c>
    </row>
    <row r="179" spans="1:25" s="4" customFormat="1">
      <c r="A179" s="16">
        <v>165</v>
      </c>
      <c r="B179" t="s">
        <v>289</v>
      </c>
      <c r="C179" t="s">
        <v>485</v>
      </c>
      <c r="D179" s="16"/>
      <c r="E179" s="229">
        <v>415</v>
      </c>
      <c r="F179" s="229">
        <v>0</v>
      </c>
      <c r="G179" s="229">
        <v>0</v>
      </c>
      <c r="H179" s="229">
        <f t="shared" si="14"/>
        <v>415</v>
      </c>
      <c r="I179" s="229">
        <v>0</v>
      </c>
      <c r="J179" s="229">
        <f t="shared" si="15"/>
        <v>415</v>
      </c>
      <c r="K179" s="364">
        <v>1</v>
      </c>
      <c r="L179" s="229">
        <f t="shared" si="16"/>
        <v>415</v>
      </c>
      <c r="M179" s="16"/>
      <c r="N179" s="16"/>
      <c r="O179" s="229">
        <v>0</v>
      </c>
      <c r="P179" s="229">
        <v>0</v>
      </c>
      <c r="Q179" s="229">
        <v>0</v>
      </c>
      <c r="R179" s="229">
        <f t="shared" si="17"/>
        <v>0</v>
      </c>
      <c r="S179" s="229">
        <v>0</v>
      </c>
      <c r="T179" s="229">
        <v>0</v>
      </c>
      <c r="U179" s="229">
        <f t="shared" si="18"/>
        <v>0</v>
      </c>
      <c r="V179" s="229">
        <v>0</v>
      </c>
      <c r="W179" s="229">
        <v>415</v>
      </c>
      <c r="X179" s="358">
        <f t="shared" si="19"/>
        <v>415</v>
      </c>
      <c r="Y179" s="325" t="b">
        <f t="shared" si="1"/>
        <v>1</v>
      </c>
    </row>
    <row r="180" spans="1:25" s="4" customFormat="1">
      <c r="A180" s="16">
        <v>166</v>
      </c>
      <c r="B180" t="s">
        <v>289</v>
      </c>
      <c r="C180" t="s">
        <v>486</v>
      </c>
      <c r="D180" s="16"/>
      <c r="E180" s="229">
        <v>3675</v>
      </c>
      <c r="F180" s="229">
        <v>0</v>
      </c>
      <c r="G180" s="229">
        <v>0</v>
      </c>
      <c r="H180" s="229">
        <f t="shared" si="14"/>
        <v>3675</v>
      </c>
      <c r="I180" s="229">
        <v>0</v>
      </c>
      <c r="J180" s="229">
        <f t="shared" si="15"/>
        <v>3675</v>
      </c>
      <c r="K180" s="364">
        <v>1</v>
      </c>
      <c r="L180" s="229">
        <f t="shared" si="16"/>
        <v>3675</v>
      </c>
      <c r="M180" s="16"/>
      <c r="N180" s="16"/>
      <c r="O180" s="229">
        <v>0</v>
      </c>
      <c r="P180" s="229">
        <v>0</v>
      </c>
      <c r="Q180" s="229">
        <v>0</v>
      </c>
      <c r="R180" s="229">
        <f t="shared" si="17"/>
        <v>0</v>
      </c>
      <c r="S180" s="229">
        <v>0</v>
      </c>
      <c r="T180" s="229">
        <v>0</v>
      </c>
      <c r="U180" s="229">
        <f t="shared" si="18"/>
        <v>0</v>
      </c>
      <c r="V180" s="229">
        <v>0</v>
      </c>
      <c r="W180" s="229">
        <v>3675</v>
      </c>
      <c r="X180" s="358">
        <f t="shared" si="19"/>
        <v>3675</v>
      </c>
      <c r="Y180" s="325" t="b">
        <f t="shared" si="1"/>
        <v>1</v>
      </c>
    </row>
    <row r="181" spans="1:25" s="4" customFormat="1">
      <c r="A181" s="16">
        <v>167</v>
      </c>
      <c r="B181" t="s">
        <v>289</v>
      </c>
      <c r="C181" t="s">
        <v>487</v>
      </c>
      <c r="D181" s="16"/>
      <c r="E181" s="229">
        <v>28000</v>
      </c>
      <c r="F181" s="229">
        <v>0</v>
      </c>
      <c r="G181" s="229">
        <v>0</v>
      </c>
      <c r="H181" s="229">
        <f t="shared" si="14"/>
        <v>28000</v>
      </c>
      <c r="I181" s="229">
        <v>0</v>
      </c>
      <c r="J181" s="229">
        <f t="shared" si="15"/>
        <v>28000</v>
      </c>
      <c r="K181" s="364">
        <v>1</v>
      </c>
      <c r="L181" s="229">
        <f t="shared" si="16"/>
        <v>28000</v>
      </c>
      <c r="M181" s="16"/>
      <c r="N181" s="16"/>
      <c r="O181" s="229">
        <v>0</v>
      </c>
      <c r="P181" s="229">
        <v>0</v>
      </c>
      <c r="Q181" s="229">
        <v>0</v>
      </c>
      <c r="R181" s="229">
        <f t="shared" si="17"/>
        <v>0</v>
      </c>
      <c r="S181" s="229">
        <v>0</v>
      </c>
      <c r="T181" s="229">
        <v>0</v>
      </c>
      <c r="U181" s="229">
        <f t="shared" si="18"/>
        <v>0</v>
      </c>
      <c r="V181" s="229">
        <v>0</v>
      </c>
      <c r="W181" s="229">
        <v>28000</v>
      </c>
      <c r="X181" s="358">
        <f t="shared" si="19"/>
        <v>28000</v>
      </c>
      <c r="Y181" s="325" t="b">
        <f t="shared" si="1"/>
        <v>1</v>
      </c>
    </row>
    <row r="182" spans="1:25" s="4" customFormat="1">
      <c r="A182" s="16">
        <v>168</v>
      </c>
      <c r="B182" t="s">
        <v>289</v>
      </c>
      <c r="C182" t="s">
        <v>894</v>
      </c>
      <c r="D182" s="16"/>
      <c r="E182" s="229">
        <v>10000</v>
      </c>
      <c r="F182" s="229">
        <v>0</v>
      </c>
      <c r="G182" s="229">
        <v>0</v>
      </c>
      <c r="H182" s="229">
        <f t="shared" si="14"/>
        <v>10000</v>
      </c>
      <c r="I182" s="229">
        <v>0</v>
      </c>
      <c r="J182" s="229">
        <f t="shared" si="15"/>
        <v>10000</v>
      </c>
      <c r="K182" s="364">
        <v>1</v>
      </c>
      <c r="L182" s="229">
        <f t="shared" si="16"/>
        <v>10000</v>
      </c>
      <c r="M182" s="16"/>
      <c r="N182" s="16"/>
      <c r="O182" s="229">
        <v>0</v>
      </c>
      <c r="P182" s="229">
        <v>0</v>
      </c>
      <c r="Q182" s="229">
        <v>0</v>
      </c>
      <c r="R182" s="229">
        <f t="shared" si="17"/>
        <v>0</v>
      </c>
      <c r="S182" s="229">
        <v>0</v>
      </c>
      <c r="T182" s="229">
        <v>0</v>
      </c>
      <c r="U182" s="229">
        <f t="shared" si="18"/>
        <v>0</v>
      </c>
      <c r="V182" s="229">
        <v>0</v>
      </c>
      <c r="W182" s="229">
        <v>10000</v>
      </c>
      <c r="X182" s="358">
        <f t="shared" si="19"/>
        <v>10000</v>
      </c>
      <c r="Y182" s="325" t="b">
        <f t="shared" si="1"/>
        <v>1</v>
      </c>
    </row>
    <row r="183" spans="1:25" s="4" customFormat="1">
      <c r="A183" s="16">
        <v>169</v>
      </c>
      <c r="B183" t="s">
        <v>289</v>
      </c>
      <c r="C183" t="s">
        <v>493</v>
      </c>
      <c r="D183" s="16"/>
      <c r="E183" s="229">
        <v>393</v>
      </c>
      <c r="F183" s="229">
        <v>0</v>
      </c>
      <c r="G183" s="229">
        <v>0</v>
      </c>
      <c r="H183" s="229">
        <f t="shared" si="14"/>
        <v>393</v>
      </c>
      <c r="I183" s="229">
        <v>0</v>
      </c>
      <c r="J183" s="229">
        <f t="shared" si="15"/>
        <v>393</v>
      </c>
      <c r="K183" s="364">
        <v>1</v>
      </c>
      <c r="L183" s="229">
        <f t="shared" si="16"/>
        <v>393</v>
      </c>
      <c r="M183" s="16"/>
      <c r="N183" s="16"/>
      <c r="O183" s="229">
        <v>0</v>
      </c>
      <c r="P183" s="229">
        <v>0</v>
      </c>
      <c r="Q183" s="229">
        <v>0</v>
      </c>
      <c r="R183" s="229">
        <f t="shared" si="17"/>
        <v>0</v>
      </c>
      <c r="S183" s="229">
        <v>0</v>
      </c>
      <c r="T183" s="229">
        <v>0</v>
      </c>
      <c r="U183" s="229">
        <f t="shared" si="18"/>
        <v>0</v>
      </c>
      <c r="V183" s="229">
        <v>0</v>
      </c>
      <c r="W183" s="229">
        <v>393</v>
      </c>
      <c r="X183" s="358">
        <f t="shared" si="19"/>
        <v>393</v>
      </c>
      <c r="Y183" s="325" t="b">
        <f t="shared" si="1"/>
        <v>1</v>
      </c>
    </row>
    <row r="184" spans="1:25" s="4" customFormat="1">
      <c r="A184" s="16">
        <v>170</v>
      </c>
      <c r="B184" t="s">
        <v>289</v>
      </c>
      <c r="C184" t="s">
        <v>717</v>
      </c>
      <c r="D184" s="16"/>
      <c r="E184" s="229">
        <v>475</v>
      </c>
      <c r="F184" s="229">
        <v>0</v>
      </c>
      <c r="G184" s="229">
        <v>0</v>
      </c>
      <c r="H184" s="229">
        <f t="shared" si="14"/>
        <v>475</v>
      </c>
      <c r="I184" s="229">
        <v>0</v>
      </c>
      <c r="J184" s="229">
        <f t="shared" si="15"/>
        <v>475</v>
      </c>
      <c r="K184" s="364">
        <v>1</v>
      </c>
      <c r="L184" s="229">
        <f t="shared" si="16"/>
        <v>475</v>
      </c>
      <c r="M184" s="16"/>
      <c r="N184" s="16"/>
      <c r="O184" s="229">
        <v>0</v>
      </c>
      <c r="P184" s="229">
        <v>0</v>
      </c>
      <c r="Q184" s="229">
        <v>0</v>
      </c>
      <c r="R184" s="229">
        <f t="shared" si="17"/>
        <v>0</v>
      </c>
      <c r="S184" s="229">
        <v>0</v>
      </c>
      <c r="T184" s="229">
        <v>0</v>
      </c>
      <c r="U184" s="229">
        <f t="shared" si="18"/>
        <v>0</v>
      </c>
      <c r="V184" s="229">
        <v>0</v>
      </c>
      <c r="W184" s="229">
        <v>475</v>
      </c>
      <c r="X184" s="358">
        <f t="shared" si="19"/>
        <v>475</v>
      </c>
      <c r="Y184" s="325" t="b">
        <f t="shared" si="1"/>
        <v>1</v>
      </c>
    </row>
    <row r="185" spans="1:25" s="4" customFormat="1">
      <c r="A185" s="16">
        <v>171</v>
      </c>
      <c r="B185" t="s">
        <v>289</v>
      </c>
      <c r="C185" t="s">
        <v>495</v>
      </c>
      <c r="D185" s="16"/>
      <c r="E185" s="229">
        <v>750</v>
      </c>
      <c r="F185" s="229">
        <v>0</v>
      </c>
      <c r="G185" s="229">
        <v>0</v>
      </c>
      <c r="H185" s="229">
        <f t="shared" si="14"/>
        <v>750</v>
      </c>
      <c r="I185" s="229">
        <v>0</v>
      </c>
      <c r="J185" s="229">
        <f t="shared" si="15"/>
        <v>750</v>
      </c>
      <c r="K185" s="364">
        <v>1</v>
      </c>
      <c r="L185" s="229">
        <f t="shared" si="16"/>
        <v>750</v>
      </c>
      <c r="M185" s="16"/>
      <c r="N185" s="16"/>
      <c r="O185" s="229">
        <v>0</v>
      </c>
      <c r="P185" s="229">
        <v>0</v>
      </c>
      <c r="Q185" s="229">
        <v>0</v>
      </c>
      <c r="R185" s="229">
        <f t="shared" si="17"/>
        <v>0</v>
      </c>
      <c r="S185" s="229">
        <v>0</v>
      </c>
      <c r="T185" s="229">
        <v>0</v>
      </c>
      <c r="U185" s="229">
        <f t="shared" si="18"/>
        <v>0</v>
      </c>
      <c r="V185" s="229">
        <v>0</v>
      </c>
      <c r="W185" s="229">
        <v>750</v>
      </c>
      <c r="X185" s="358">
        <f t="shared" si="19"/>
        <v>750</v>
      </c>
      <c r="Y185" s="325" t="b">
        <f t="shared" si="1"/>
        <v>1</v>
      </c>
    </row>
    <row r="186" spans="1:25" s="4" customFormat="1">
      <c r="A186" s="16">
        <v>172</v>
      </c>
      <c r="B186" t="s">
        <v>289</v>
      </c>
      <c r="C186" t="s">
        <v>496</v>
      </c>
      <c r="D186" s="16"/>
      <c r="E186" s="229">
        <v>4140</v>
      </c>
      <c r="F186" s="229">
        <v>0</v>
      </c>
      <c r="G186" s="229">
        <v>0</v>
      </c>
      <c r="H186" s="229">
        <f t="shared" si="14"/>
        <v>4140</v>
      </c>
      <c r="I186" s="229">
        <v>0</v>
      </c>
      <c r="J186" s="229">
        <f t="shared" si="15"/>
        <v>4140</v>
      </c>
      <c r="K186" s="364">
        <v>1</v>
      </c>
      <c r="L186" s="229">
        <f t="shared" si="16"/>
        <v>4140</v>
      </c>
      <c r="M186" s="16"/>
      <c r="N186" s="16"/>
      <c r="O186" s="229">
        <v>0</v>
      </c>
      <c r="P186" s="229">
        <v>0</v>
      </c>
      <c r="Q186" s="229">
        <v>0</v>
      </c>
      <c r="R186" s="229">
        <f t="shared" si="17"/>
        <v>0</v>
      </c>
      <c r="S186" s="229">
        <v>0</v>
      </c>
      <c r="T186" s="229">
        <v>0</v>
      </c>
      <c r="U186" s="229">
        <f t="shared" si="18"/>
        <v>0</v>
      </c>
      <c r="V186" s="229">
        <v>0</v>
      </c>
      <c r="W186" s="229">
        <v>4140</v>
      </c>
      <c r="X186" s="358">
        <f t="shared" si="19"/>
        <v>4140</v>
      </c>
      <c r="Y186" s="325" t="b">
        <f t="shared" si="1"/>
        <v>1</v>
      </c>
    </row>
    <row r="187" spans="1:25" s="4" customFormat="1">
      <c r="A187" s="16">
        <v>173</v>
      </c>
      <c r="B187" t="s">
        <v>289</v>
      </c>
      <c r="C187" t="s">
        <v>497</v>
      </c>
      <c r="D187" s="16"/>
      <c r="E187" s="229">
        <v>420</v>
      </c>
      <c r="F187" s="229">
        <v>0</v>
      </c>
      <c r="G187" s="229">
        <v>0</v>
      </c>
      <c r="H187" s="229">
        <f t="shared" si="14"/>
        <v>420</v>
      </c>
      <c r="I187" s="229">
        <v>0</v>
      </c>
      <c r="J187" s="229">
        <f t="shared" si="15"/>
        <v>420</v>
      </c>
      <c r="K187" s="364">
        <v>1</v>
      </c>
      <c r="L187" s="229">
        <f t="shared" si="16"/>
        <v>420</v>
      </c>
      <c r="M187" s="16"/>
      <c r="N187" s="16"/>
      <c r="O187" s="229">
        <v>0</v>
      </c>
      <c r="P187" s="229">
        <v>0</v>
      </c>
      <c r="Q187" s="229">
        <v>0</v>
      </c>
      <c r="R187" s="229">
        <f t="shared" si="17"/>
        <v>0</v>
      </c>
      <c r="S187" s="229">
        <v>0</v>
      </c>
      <c r="T187" s="229">
        <v>0</v>
      </c>
      <c r="U187" s="229">
        <f t="shared" si="18"/>
        <v>0</v>
      </c>
      <c r="V187" s="229">
        <v>0</v>
      </c>
      <c r="W187" s="229">
        <v>420</v>
      </c>
      <c r="X187" s="358">
        <f t="shared" si="19"/>
        <v>420</v>
      </c>
      <c r="Y187" s="325" t="b">
        <f t="shared" si="1"/>
        <v>1</v>
      </c>
    </row>
    <row r="188" spans="1:25" s="4" customFormat="1">
      <c r="A188" s="16">
        <v>174</v>
      </c>
      <c r="B188" t="s">
        <v>289</v>
      </c>
      <c r="C188" t="s">
        <v>895</v>
      </c>
      <c r="D188" s="16"/>
      <c r="E188" s="229">
        <v>27</v>
      </c>
      <c r="F188" s="229">
        <v>0</v>
      </c>
      <c r="G188" s="229">
        <v>0</v>
      </c>
      <c r="H188" s="229">
        <f t="shared" si="14"/>
        <v>27</v>
      </c>
      <c r="I188" s="229">
        <v>0</v>
      </c>
      <c r="J188" s="229">
        <f t="shared" si="15"/>
        <v>27</v>
      </c>
      <c r="K188" s="364">
        <v>1</v>
      </c>
      <c r="L188" s="229">
        <f t="shared" si="16"/>
        <v>27</v>
      </c>
      <c r="M188" s="16"/>
      <c r="N188" s="16"/>
      <c r="O188" s="229">
        <v>0</v>
      </c>
      <c r="P188" s="229">
        <v>0</v>
      </c>
      <c r="Q188" s="229">
        <v>0</v>
      </c>
      <c r="R188" s="229">
        <f t="shared" si="17"/>
        <v>0</v>
      </c>
      <c r="S188" s="229">
        <v>0</v>
      </c>
      <c r="T188" s="229">
        <v>0</v>
      </c>
      <c r="U188" s="229">
        <f t="shared" si="18"/>
        <v>0</v>
      </c>
      <c r="V188" s="229">
        <v>0</v>
      </c>
      <c r="W188" s="229">
        <v>27</v>
      </c>
      <c r="X188" s="358">
        <f t="shared" si="19"/>
        <v>27</v>
      </c>
      <c r="Y188" s="325" t="b">
        <f t="shared" si="1"/>
        <v>1</v>
      </c>
    </row>
    <row r="189" spans="1:25" s="4" customFormat="1">
      <c r="A189" s="16">
        <v>175</v>
      </c>
      <c r="B189" t="s">
        <v>289</v>
      </c>
      <c r="C189" t="s">
        <v>499</v>
      </c>
      <c r="D189" s="16"/>
      <c r="E189" s="229">
        <v>1185</v>
      </c>
      <c r="F189" s="229">
        <v>0</v>
      </c>
      <c r="G189" s="229">
        <v>0</v>
      </c>
      <c r="H189" s="229">
        <f t="shared" si="14"/>
        <v>1185</v>
      </c>
      <c r="I189" s="229">
        <v>0</v>
      </c>
      <c r="J189" s="229">
        <f t="shared" si="15"/>
        <v>1185</v>
      </c>
      <c r="K189" s="364">
        <v>1</v>
      </c>
      <c r="L189" s="229">
        <f t="shared" si="16"/>
        <v>1185</v>
      </c>
      <c r="M189" s="16"/>
      <c r="N189" s="16"/>
      <c r="O189" s="229">
        <v>0</v>
      </c>
      <c r="P189" s="229">
        <v>0</v>
      </c>
      <c r="Q189" s="229">
        <v>0</v>
      </c>
      <c r="R189" s="229">
        <f t="shared" si="17"/>
        <v>0</v>
      </c>
      <c r="S189" s="229">
        <v>0</v>
      </c>
      <c r="T189" s="229">
        <v>0</v>
      </c>
      <c r="U189" s="229">
        <f t="shared" si="18"/>
        <v>0</v>
      </c>
      <c r="V189" s="229">
        <v>0</v>
      </c>
      <c r="W189" s="229">
        <v>1185</v>
      </c>
      <c r="X189" s="358">
        <f t="shared" si="19"/>
        <v>1185</v>
      </c>
      <c r="Y189" s="325" t="b">
        <f t="shared" si="1"/>
        <v>1</v>
      </c>
    </row>
    <row r="190" spans="1:25" s="4" customFormat="1">
      <c r="A190" s="16">
        <v>176</v>
      </c>
      <c r="B190" t="s">
        <v>289</v>
      </c>
      <c r="C190" t="s">
        <v>500</v>
      </c>
      <c r="D190" s="16"/>
      <c r="E190" s="229">
        <v>650</v>
      </c>
      <c r="F190" s="229">
        <v>0</v>
      </c>
      <c r="G190" s="229">
        <v>0</v>
      </c>
      <c r="H190" s="229">
        <f t="shared" si="14"/>
        <v>650</v>
      </c>
      <c r="I190" s="229">
        <v>0</v>
      </c>
      <c r="J190" s="229">
        <f t="shared" si="15"/>
        <v>650</v>
      </c>
      <c r="K190" s="364">
        <v>1</v>
      </c>
      <c r="L190" s="229">
        <f t="shared" si="16"/>
        <v>650</v>
      </c>
      <c r="M190" s="16"/>
      <c r="N190" s="16"/>
      <c r="O190" s="229">
        <v>0</v>
      </c>
      <c r="P190" s="229">
        <v>0</v>
      </c>
      <c r="Q190" s="229">
        <v>0</v>
      </c>
      <c r="R190" s="229">
        <f t="shared" si="17"/>
        <v>0</v>
      </c>
      <c r="S190" s="229">
        <v>0</v>
      </c>
      <c r="T190" s="229">
        <v>0</v>
      </c>
      <c r="U190" s="229">
        <f t="shared" si="18"/>
        <v>0</v>
      </c>
      <c r="V190" s="229">
        <v>0</v>
      </c>
      <c r="W190" s="229">
        <v>650</v>
      </c>
      <c r="X190" s="358">
        <f t="shared" si="19"/>
        <v>650</v>
      </c>
      <c r="Y190" s="325" t="b">
        <f t="shared" si="1"/>
        <v>1</v>
      </c>
    </row>
    <row r="191" spans="1:25" s="4" customFormat="1">
      <c r="A191" s="16">
        <v>177</v>
      </c>
      <c r="B191" t="s">
        <v>289</v>
      </c>
      <c r="C191" t="s">
        <v>501</v>
      </c>
      <c r="D191" s="16"/>
      <c r="E191" s="229">
        <v>500</v>
      </c>
      <c r="F191" s="229">
        <v>0</v>
      </c>
      <c r="G191" s="229">
        <v>0</v>
      </c>
      <c r="H191" s="229">
        <f t="shared" si="14"/>
        <v>500</v>
      </c>
      <c r="I191" s="229">
        <v>0</v>
      </c>
      <c r="J191" s="229">
        <f t="shared" si="15"/>
        <v>500</v>
      </c>
      <c r="K191" s="364">
        <v>1</v>
      </c>
      <c r="L191" s="229">
        <f t="shared" si="16"/>
        <v>500</v>
      </c>
      <c r="M191" s="16"/>
      <c r="N191" s="16"/>
      <c r="O191" s="229">
        <v>0</v>
      </c>
      <c r="P191" s="229">
        <v>0</v>
      </c>
      <c r="Q191" s="229">
        <v>0</v>
      </c>
      <c r="R191" s="229">
        <f t="shared" si="17"/>
        <v>0</v>
      </c>
      <c r="S191" s="229">
        <v>0</v>
      </c>
      <c r="T191" s="229">
        <v>0</v>
      </c>
      <c r="U191" s="229">
        <f t="shared" si="18"/>
        <v>0</v>
      </c>
      <c r="V191" s="229">
        <v>0</v>
      </c>
      <c r="W191" s="229">
        <v>500</v>
      </c>
      <c r="X191" s="358">
        <f t="shared" si="19"/>
        <v>500</v>
      </c>
      <c r="Y191" s="325" t="b">
        <f t="shared" si="1"/>
        <v>1</v>
      </c>
    </row>
    <row r="192" spans="1:25" s="4" customFormat="1">
      <c r="A192" s="16">
        <v>178</v>
      </c>
      <c r="B192" t="s">
        <v>289</v>
      </c>
      <c r="C192" t="s">
        <v>502</v>
      </c>
      <c r="D192" s="16"/>
      <c r="E192" s="229">
        <v>300</v>
      </c>
      <c r="F192" s="229">
        <v>0</v>
      </c>
      <c r="G192" s="229">
        <v>0</v>
      </c>
      <c r="H192" s="229">
        <f t="shared" si="14"/>
        <v>300</v>
      </c>
      <c r="I192" s="229">
        <v>0</v>
      </c>
      <c r="J192" s="229">
        <f t="shared" si="15"/>
        <v>300</v>
      </c>
      <c r="K192" s="364">
        <v>1</v>
      </c>
      <c r="L192" s="229">
        <f t="shared" si="16"/>
        <v>300</v>
      </c>
      <c r="M192" s="16"/>
      <c r="N192" s="16"/>
      <c r="O192" s="229">
        <v>0</v>
      </c>
      <c r="P192" s="229">
        <v>0</v>
      </c>
      <c r="Q192" s="229">
        <v>0</v>
      </c>
      <c r="R192" s="229">
        <f t="shared" si="17"/>
        <v>0</v>
      </c>
      <c r="S192" s="229">
        <v>0</v>
      </c>
      <c r="T192" s="229">
        <v>0</v>
      </c>
      <c r="U192" s="229">
        <f t="shared" si="18"/>
        <v>0</v>
      </c>
      <c r="V192" s="229">
        <v>0</v>
      </c>
      <c r="W192" s="229">
        <v>300</v>
      </c>
      <c r="X192" s="358">
        <f t="shared" si="19"/>
        <v>300</v>
      </c>
      <c r="Y192" s="325" t="b">
        <f t="shared" si="1"/>
        <v>1</v>
      </c>
    </row>
    <row r="193" spans="1:25" s="4" customFormat="1">
      <c r="A193" s="16">
        <v>179</v>
      </c>
      <c r="B193" t="s">
        <v>289</v>
      </c>
      <c r="C193" t="s">
        <v>503</v>
      </c>
      <c r="D193" s="16"/>
      <c r="E193" s="229">
        <v>250</v>
      </c>
      <c r="F193" s="229">
        <v>0</v>
      </c>
      <c r="G193" s="229">
        <v>0</v>
      </c>
      <c r="H193" s="229">
        <f t="shared" si="14"/>
        <v>250</v>
      </c>
      <c r="I193" s="229">
        <v>0</v>
      </c>
      <c r="J193" s="229">
        <f t="shared" si="15"/>
        <v>250</v>
      </c>
      <c r="K193" s="364">
        <v>1</v>
      </c>
      <c r="L193" s="229">
        <f t="shared" si="16"/>
        <v>250</v>
      </c>
      <c r="M193" s="16"/>
      <c r="N193" s="16"/>
      <c r="O193" s="229">
        <v>0</v>
      </c>
      <c r="P193" s="229">
        <v>0</v>
      </c>
      <c r="Q193" s="229">
        <v>0</v>
      </c>
      <c r="R193" s="229">
        <f t="shared" si="17"/>
        <v>0</v>
      </c>
      <c r="S193" s="229">
        <v>0</v>
      </c>
      <c r="T193" s="229">
        <v>0</v>
      </c>
      <c r="U193" s="229">
        <f t="shared" si="18"/>
        <v>0</v>
      </c>
      <c r="V193" s="229">
        <v>0</v>
      </c>
      <c r="W193" s="229">
        <v>250</v>
      </c>
      <c r="X193" s="358">
        <f t="shared" si="19"/>
        <v>250</v>
      </c>
      <c r="Y193" s="325" t="b">
        <f t="shared" si="1"/>
        <v>1</v>
      </c>
    </row>
    <row r="194" spans="1:25" s="4" customFormat="1">
      <c r="A194" s="16">
        <v>180</v>
      </c>
      <c r="B194" t="s">
        <v>289</v>
      </c>
      <c r="C194" t="s">
        <v>720</v>
      </c>
      <c r="D194" s="16"/>
      <c r="E194" s="229">
        <v>3500</v>
      </c>
      <c r="F194" s="229">
        <v>0</v>
      </c>
      <c r="G194" s="229">
        <v>0</v>
      </c>
      <c r="H194" s="229">
        <f t="shared" si="14"/>
        <v>3500</v>
      </c>
      <c r="I194" s="229">
        <v>0</v>
      </c>
      <c r="J194" s="229">
        <f t="shared" si="15"/>
        <v>3500</v>
      </c>
      <c r="K194" s="364">
        <v>1</v>
      </c>
      <c r="L194" s="229">
        <f t="shared" si="16"/>
        <v>3500</v>
      </c>
      <c r="M194" s="16"/>
      <c r="N194" s="16"/>
      <c r="O194" s="229">
        <v>0</v>
      </c>
      <c r="P194" s="229">
        <v>0</v>
      </c>
      <c r="Q194" s="229">
        <v>0</v>
      </c>
      <c r="R194" s="229">
        <f t="shared" si="17"/>
        <v>0</v>
      </c>
      <c r="S194" s="229">
        <v>0</v>
      </c>
      <c r="T194" s="229">
        <v>0</v>
      </c>
      <c r="U194" s="229">
        <f t="shared" si="18"/>
        <v>0</v>
      </c>
      <c r="V194" s="229">
        <v>0</v>
      </c>
      <c r="W194" s="229">
        <v>3500</v>
      </c>
      <c r="X194" s="358">
        <f t="shared" si="19"/>
        <v>3500</v>
      </c>
      <c r="Y194" s="325" t="b">
        <f t="shared" si="1"/>
        <v>1</v>
      </c>
    </row>
    <row r="195" spans="1:25" s="4" customFormat="1">
      <c r="A195" s="16">
        <v>181</v>
      </c>
      <c r="B195" t="s">
        <v>289</v>
      </c>
      <c r="C195" t="s">
        <v>508</v>
      </c>
      <c r="D195" s="16"/>
      <c r="E195" s="229">
        <v>400</v>
      </c>
      <c r="F195" s="229">
        <v>0</v>
      </c>
      <c r="G195" s="229">
        <v>0</v>
      </c>
      <c r="H195" s="229">
        <f t="shared" si="14"/>
        <v>400</v>
      </c>
      <c r="I195" s="229">
        <v>0</v>
      </c>
      <c r="J195" s="229">
        <f t="shared" si="15"/>
        <v>400</v>
      </c>
      <c r="K195" s="364">
        <v>1</v>
      </c>
      <c r="L195" s="229">
        <f t="shared" si="16"/>
        <v>400</v>
      </c>
      <c r="M195" s="16"/>
      <c r="N195" s="16"/>
      <c r="O195" s="229">
        <v>0</v>
      </c>
      <c r="P195" s="229">
        <v>0</v>
      </c>
      <c r="Q195" s="229">
        <v>0</v>
      </c>
      <c r="R195" s="229">
        <f t="shared" si="17"/>
        <v>0</v>
      </c>
      <c r="S195" s="229">
        <v>0</v>
      </c>
      <c r="T195" s="229">
        <v>0</v>
      </c>
      <c r="U195" s="229">
        <f t="shared" si="18"/>
        <v>0</v>
      </c>
      <c r="V195" s="229">
        <v>0</v>
      </c>
      <c r="W195" s="229">
        <v>400</v>
      </c>
      <c r="X195" s="358">
        <f t="shared" si="19"/>
        <v>400</v>
      </c>
      <c r="Y195" s="325" t="b">
        <f t="shared" si="1"/>
        <v>1</v>
      </c>
    </row>
    <row r="196" spans="1:25" s="4" customFormat="1">
      <c r="A196" s="16">
        <v>182</v>
      </c>
      <c r="B196" t="s">
        <v>289</v>
      </c>
      <c r="C196" t="s">
        <v>509</v>
      </c>
      <c r="D196" s="16"/>
      <c r="E196" s="229">
        <v>1150</v>
      </c>
      <c r="F196" s="229">
        <v>0</v>
      </c>
      <c r="G196" s="229">
        <v>0</v>
      </c>
      <c r="H196" s="229">
        <f t="shared" si="14"/>
        <v>1150</v>
      </c>
      <c r="I196" s="229">
        <v>0</v>
      </c>
      <c r="J196" s="229">
        <f t="shared" si="15"/>
        <v>1150</v>
      </c>
      <c r="K196" s="364">
        <v>1</v>
      </c>
      <c r="L196" s="229">
        <f t="shared" si="16"/>
        <v>1150</v>
      </c>
      <c r="M196" s="16"/>
      <c r="N196" s="16"/>
      <c r="O196" s="229">
        <v>0</v>
      </c>
      <c r="P196" s="229">
        <v>0</v>
      </c>
      <c r="Q196" s="229">
        <v>0</v>
      </c>
      <c r="R196" s="229">
        <f t="shared" si="17"/>
        <v>0</v>
      </c>
      <c r="S196" s="229">
        <v>0</v>
      </c>
      <c r="T196" s="229">
        <v>0</v>
      </c>
      <c r="U196" s="229">
        <f t="shared" si="18"/>
        <v>0</v>
      </c>
      <c r="V196" s="229">
        <v>0</v>
      </c>
      <c r="W196" s="229">
        <v>1150</v>
      </c>
      <c r="X196" s="358">
        <f t="shared" si="19"/>
        <v>1150</v>
      </c>
      <c r="Y196" s="325" t="b">
        <f t="shared" si="1"/>
        <v>1</v>
      </c>
    </row>
    <row r="197" spans="1:25" s="4" customFormat="1">
      <c r="A197" s="16">
        <v>183</v>
      </c>
      <c r="B197" t="s">
        <v>289</v>
      </c>
      <c r="C197" t="s">
        <v>512</v>
      </c>
      <c r="D197" s="16"/>
      <c r="E197" s="229">
        <v>150</v>
      </c>
      <c r="F197" s="229">
        <v>0</v>
      </c>
      <c r="G197" s="229">
        <v>0</v>
      </c>
      <c r="H197" s="229">
        <f t="shared" si="14"/>
        <v>150</v>
      </c>
      <c r="I197" s="229">
        <v>0</v>
      </c>
      <c r="J197" s="229">
        <f t="shared" si="15"/>
        <v>150</v>
      </c>
      <c r="K197" s="364">
        <v>1</v>
      </c>
      <c r="L197" s="229">
        <f t="shared" si="16"/>
        <v>150</v>
      </c>
      <c r="M197" s="16"/>
      <c r="N197" s="16"/>
      <c r="O197" s="229">
        <v>0</v>
      </c>
      <c r="P197" s="229">
        <v>0</v>
      </c>
      <c r="Q197" s="229">
        <v>0</v>
      </c>
      <c r="R197" s="229">
        <f t="shared" si="17"/>
        <v>0</v>
      </c>
      <c r="S197" s="229">
        <v>0</v>
      </c>
      <c r="T197" s="229">
        <v>0</v>
      </c>
      <c r="U197" s="229">
        <f t="shared" si="18"/>
        <v>0</v>
      </c>
      <c r="V197" s="229">
        <v>0</v>
      </c>
      <c r="W197" s="229">
        <v>150</v>
      </c>
      <c r="X197" s="358">
        <f t="shared" si="19"/>
        <v>150</v>
      </c>
      <c r="Y197" s="325" t="b">
        <f t="shared" si="1"/>
        <v>1</v>
      </c>
    </row>
    <row r="198" spans="1:25" s="4" customFormat="1">
      <c r="A198" s="16">
        <v>184</v>
      </c>
      <c r="B198" t="s">
        <v>289</v>
      </c>
      <c r="C198" t="s">
        <v>896</v>
      </c>
      <c r="D198" s="16"/>
      <c r="E198" s="229">
        <v>5934</v>
      </c>
      <c r="F198" s="229">
        <v>0</v>
      </c>
      <c r="G198" s="229">
        <v>0</v>
      </c>
      <c r="H198" s="229">
        <f t="shared" si="14"/>
        <v>5934</v>
      </c>
      <c r="I198" s="229">
        <v>0</v>
      </c>
      <c r="J198" s="229">
        <f t="shared" si="15"/>
        <v>5934</v>
      </c>
      <c r="K198" s="364">
        <v>1</v>
      </c>
      <c r="L198" s="229">
        <f t="shared" si="16"/>
        <v>5934</v>
      </c>
      <c r="M198" s="16"/>
      <c r="N198" s="16"/>
      <c r="O198" s="229">
        <v>0</v>
      </c>
      <c r="P198" s="229">
        <v>0</v>
      </c>
      <c r="Q198" s="229">
        <v>0</v>
      </c>
      <c r="R198" s="229">
        <f t="shared" si="17"/>
        <v>0</v>
      </c>
      <c r="S198" s="229">
        <v>0</v>
      </c>
      <c r="T198" s="229">
        <v>0</v>
      </c>
      <c r="U198" s="229">
        <f t="shared" si="18"/>
        <v>0</v>
      </c>
      <c r="V198" s="229">
        <v>0</v>
      </c>
      <c r="W198" s="229">
        <v>5934</v>
      </c>
      <c r="X198" s="358">
        <f t="shared" si="19"/>
        <v>5934</v>
      </c>
      <c r="Y198" s="325" t="b">
        <f t="shared" si="1"/>
        <v>1</v>
      </c>
    </row>
    <row r="199" spans="1:25" s="4" customFormat="1">
      <c r="A199" s="16">
        <v>185</v>
      </c>
      <c r="B199" t="s">
        <v>289</v>
      </c>
      <c r="C199" t="s">
        <v>516</v>
      </c>
      <c r="D199" s="16"/>
      <c r="E199" s="229">
        <v>5000</v>
      </c>
      <c r="F199" s="229">
        <v>0</v>
      </c>
      <c r="G199" s="229">
        <v>0</v>
      </c>
      <c r="H199" s="229">
        <f t="shared" si="14"/>
        <v>5000</v>
      </c>
      <c r="I199" s="229">
        <v>0</v>
      </c>
      <c r="J199" s="229">
        <f t="shared" si="15"/>
        <v>5000</v>
      </c>
      <c r="K199" s="364">
        <v>1</v>
      </c>
      <c r="L199" s="229">
        <f t="shared" si="16"/>
        <v>5000</v>
      </c>
      <c r="M199" s="16"/>
      <c r="N199" s="16"/>
      <c r="O199" s="229">
        <v>0</v>
      </c>
      <c r="P199" s="229">
        <v>0</v>
      </c>
      <c r="Q199" s="229">
        <v>0</v>
      </c>
      <c r="R199" s="229">
        <f t="shared" si="17"/>
        <v>0</v>
      </c>
      <c r="S199" s="229">
        <v>0</v>
      </c>
      <c r="T199" s="229">
        <v>0</v>
      </c>
      <c r="U199" s="229">
        <f t="shared" si="18"/>
        <v>0</v>
      </c>
      <c r="V199" s="229">
        <v>0</v>
      </c>
      <c r="W199" s="229">
        <v>5000</v>
      </c>
      <c r="X199" s="358">
        <f t="shared" si="19"/>
        <v>5000</v>
      </c>
      <c r="Y199" s="325" t="b">
        <f t="shared" si="1"/>
        <v>1</v>
      </c>
    </row>
    <row r="200" spans="1:25" s="4" customFormat="1">
      <c r="A200" s="16">
        <v>186</v>
      </c>
      <c r="B200" t="s">
        <v>289</v>
      </c>
      <c r="C200" t="s">
        <v>519</v>
      </c>
      <c r="D200" s="16"/>
      <c r="E200" s="229">
        <v>999</v>
      </c>
      <c r="F200" s="229">
        <v>0</v>
      </c>
      <c r="G200" s="229">
        <v>0</v>
      </c>
      <c r="H200" s="229">
        <f t="shared" si="14"/>
        <v>999</v>
      </c>
      <c r="I200" s="229">
        <v>0</v>
      </c>
      <c r="J200" s="229">
        <f t="shared" si="15"/>
        <v>999</v>
      </c>
      <c r="K200" s="364">
        <v>1</v>
      </c>
      <c r="L200" s="229">
        <f t="shared" si="16"/>
        <v>999</v>
      </c>
      <c r="M200" s="16"/>
      <c r="N200" s="16"/>
      <c r="O200" s="229">
        <v>0</v>
      </c>
      <c r="P200" s="229">
        <v>0</v>
      </c>
      <c r="Q200" s="229">
        <v>0</v>
      </c>
      <c r="R200" s="229">
        <f t="shared" si="17"/>
        <v>0</v>
      </c>
      <c r="S200" s="229">
        <v>0</v>
      </c>
      <c r="T200" s="229">
        <v>0</v>
      </c>
      <c r="U200" s="229">
        <f t="shared" si="18"/>
        <v>0</v>
      </c>
      <c r="V200" s="229">
        <v>0</v>
      </c>
      <c r="W200" s="229">
        <v>999</v>
      </c>
      <c r="X200" s="358">
        <f t="shared" si="19"/>
        <v>999</v>
      </c>
      <c r="Y200" s="325" t="b">
        <f t="shared" si="1"/>
        <v>1</v>
      </c>
    </row>
    <row r="201" spans="1:25" s="4" customFormat="1">
      <c r="A201" s="16">
        <v>187</v>
      </c>
      <c r="B201" t="s">
        <v>288</v>
      </c>
      <c r="C201" t="s">
        <v>437</v>
      </c>
      <c r="D201" s="16"/>
      <c r="E201" s="229">
        <v>1800</v>
      </c>
      <c r="F201" s="229">
        <v>0</v>
      </c>
      <c r="G201" s="229">
        <v>0</v>
      </c>
      <c r="H201" s="229">
        <f t="shared" si="14"/>
        <v>1800</v>
      </c>
      <c r="I201" s="229">
        <v>0</v>
      </c>
      <c r="J201" s="229">
        <f t="shared" si="15"/>
        <v>1800</v>
      </c>
      <c r="K201" s="364">
        <v>1</v>
      </c>
      <c r="L201" s="229">
        <f t="shared" si="16"/>
        <v>1800</v>
      </c>
      <c r="M201" s="16"/>
      <c r="N201" s="16"/>
      <c r="O201" s="229">
        <v>0</v>
      </c>
      <c r="P201" s="229">
        <v>0</v>
      </c>
      <c r="Q201" s="229">
        <v>0</v>
      </c>
      <c r="R201" s="229">
        <f t="shared" si="17"/>
        <v>0</v>
      </c>
      <c r="S201" s="229">
        <v>0</v>
      </c>
      <c r="T201" s="229">
        <v>0</v>
      </c>
      <c r="U201" s="229">
        <f t="shared" si="18"/>
        <v>0</v>
      </c>
      <c r="V201" s="229">
        <v>0</v>
      </c>
      <c r="W201" s="229">
        <v>1800</v>
      </c>
      <c r="X201" s="358">
        <f t="shared" si="19"/>
        <v>1800</v>
      </c>
      <c r="Y201" s="325" t="b">
        <f t="shared" si="1"/>
        <v>1</v>
      </c>
    </row>
    <row r="202" spans="1:25" s="4" customFormat="1">
      <c r="A202" s="16">
        <v>188</v>
      </c>
      <c r="B202" t="s">
        <v>288</v>
      </c>
      <c r="C202" t="s">
        <v>700</v>
      </c>
      <c r="D202" s="16"/>
      <c r="E202" s="229">
        <v>25000</v>
      </c>
      <c r="F202" s="229">
        <v>0</v>
      </c>
      <c r="G202" s="229">
        <v>0</v>
      </c>
      <c r="H202" s="229">
        <f t="shared" si="14"/>
        <v>25000</v>
      </c>
      <c r="I202" s="229">
        <v>0</v>
      </c>
      <c r="J202" s="229">
        <f t="shared" si="15"/>
        <v>25000</v>
      </c>
      <c r="K202" s="364">
        <v>1</v>
      </c>
      <c r="L202" s="229">
        <f t="shared" si="16"/>
        <v>25000</v>
      </c>
      <c r="M202" s="16"/>
      <c r="N202" s="16"/>
      <c r="O202" s="229">
        <v>0</v>
      </c>
      <c r="P202" s="229">
        <v>0</v>
      </c>
      <c r="Q202" s="229">
        <v>0</v>
      </c>
      <c r="R202" s="229">
        <f t="shared" si="17"/>
        <v>0</v>
      </c>
      <c r="S202" s="229">
        <v>25000</v>
      </c>
      <c r="T202" s="229">
        <v>0</v>
      </c>
      <c r="U202" s="229">
        <f t="shared" si="18"/>
        <v>25000</v>
      </c>
      <c r="V202" s="229">
        <v>0</v>
      </c>
      <c r="W202" s="229">
        <v>0</v>
      </c>
      <c r="X202" s="358">
        <f t="shared" si="19"/>
        <v>25000</v>
      </c>
      <c r="Y202" s="325" t="b">
        <f t="shared" si="1"/>
        <v>1</v>
      </c>
    </row>
    <row r="203" spans="1:25" s="4" customFormat="1">
      <c r="A203" s="16">
        <v>189</v>
      </c>
      <c r="B203" t="s">
        <v>288</v>
      </c>
      <c r="C203" t="s">
        <v>897</v>
      </c>
      <c r="D203" s="16"/>
      <c r="E203" s="229">
        <v>5000</v>
      </c>
      <c r="F203" s="229">
        <v>0</v>
      </c>
      <c r="G203" s="229">
        <v>0</v>
      </c>
      <c r="H203" s="229">
        <f t="shared" si="14"/>
        <v>5000</v>
      </c>
      <c r="I203" s="229">
        <v>0</v>
      </c>
      <c r="J203" s="229">
        <f t="shared" si="15"/>
        <v>5000</v>
      </c>
      <c r="K203" s="364">
        <v>1</v>
      </c>
      <c r="L203" s="229">
        <f t="shared" si="16"/>
        <v>5000</v>
      </c>
      <c r="M203" s="16"/>
      <c r="N203" s="16"/>
      <c r="O203" s="229">
        <v>0</v>
      </c>
      <c r="P203" s="229">
        <v>0</v>
      </c>
      <c r="Q203" s="229">
        <v>0</v>
      </c>
      <c r="R203" s="229">
        <f t="shared" si="17"/>
        <v>0</v>
      </c>
      <c r="S203" s="229">
        <v>0</v>
      </c>
      <c r="T203" s="229">
        <v>0</v>
      </c>
      <c r="U203" s="229">
        <f t="shared" si="18"/>
        <v>0</v>
      </c>
      <c r="V203" s="229">
        <v>0</v>
      </c>
      <c r="W203" s="229">
        <v>5000</v>
      </c>
      <c r="X203" s="358">
        <f t="shared" si="19"/>
        <v>5000</v>
      </c>
      <c r="Y203" s="325" t="b">
        <f t="shared" si="1"/>
        <v>1</v>
      </c>
    </row>
    <row r="204" spans="1:25" s="4" customFormat="1">
      <c r="A204" s="16">
        <v>190</v>
      </c>
      <c r="B204" t="s">
        <v>288</v>
      </c>
      <c r="C204" t="s">
        <v>1116</v>
      </c>
      <c r="D204" s="16"/>
      <c r="E204" s="229">
        <v>16.23</v>
      </c>
      <c r="F204" s="229">
        <v>0</v>
      </c>
      <c r="G204" s="229">
        <v>0</v>
      </c>
      <c r="H204" s="229">
        <f t="shared" si="14"/>
        <v>16.23</v>
      </c>
      <c r="I204" s="229">
        <v>0</v>
      </c>
      <c r="J204" s="229">
        <f t="shared" si="15"/>
        <v>16.23</v>
      </c>
      <c r="K204" s="364">
        <v>1</v>
      </c>
      <c r="L204" s="229">
        <f t="shared" si="16"/>
        <v>16.23</v>
      </c>
      <c r="M204" s="16"/>
      <c r="N204" s="16"/>
      <c r="O204" s="229">
        <v>16.23</v>
      </c>
      <c r="P204" s="229">
        <v>0</v>
      </c>
      <c r="Q204" s="229">
        <v>0</v>
      </c>
      <c r="R204" s="229">
        <f t="shared" si="17"/>
        <v>16.23</v>
      </c>
      <c r="S204" s="229">
        <v>0</v>
      </c>
      <c r="T204" s="229">
        <v>0</v>
      </c>
      <c r="U204" s="229">
        <f t="shared" si="18"/>
        <v>0</v>
      </c>
      <c r="V204" s="229">
        <v>0</v>
      </c>
      <c r="W204" s="229">
        <v>0</v>
      </c>
      <c r="X204" s="358">
        <f t="shared" si="19"/>
        <v>16.23</v>
      </c>
      <c r="Y204" s="325" t="b">
        <f t="shared" si="1"/>
        <v>1</v>
      </c>
    </row>
    <row r="205" spans="1:25" s="4" customFormat="1">
      <c r="A205" s="16">
        <v>191</v>
      </c>
      <c r="B205" t="s">
        <v>288</v>
      </c>
      <c r="C205" t="s">
        <v>898</v>
      </c>
      <c r="D205" s="16"/>
      <c r="E205" s="229">
        <v>2500</v>
      </c>
      <c r="F205" s="229">
        <v>0</v>
      </c>
      <c r="G205" s="229">
        <v>0</v>
      </c>
      <c r="H205" s="229">
        <f t="shared" si="14"/>
        <v>2500</v>
      </c>
      <c r="I205" s="229">
        <v>-250</v>
      </c>
      <c r="J205" s="229">
        <f t="shared" si="15"/>
        <v>2250</v>
      </c>
      <c r="K205" s="364">
        <v>1</v>
      </c>
      <c r="L205" s="229">
        <f t="shared" si="16"/>
        <v>2250</v>
      </c>
      <c r="M205" s="16"/>
      <c r="N205" s="16"/>
      <c r="O205" s="229">
        <v>0</v>
      </c>
      <c r="P205" s="229">
        <v>0</v>
      </c>
      <c r="Q205" s="229">
        <v>0</v>
      </c>
      <c r="R205" s="229">
        <f t="shared" si="17"/>
        <v>0</v>
      </c>
      <c r="S205" s="229">
        <v>0</v>
      </c>
      <c r="T205" s="229">
        <v>0</v>
      </c>
      <c r="U205" s="229">
        <f t="shared" si="18"/>
        <v>0</v>
      </c>
      <c r="V205" s="229">
        <v>0</v>
      </c>
      <c r="W205" s="229">
        <f t="shared" ref="W205:W206" si="20">+L205</f>
        <v>2250</v>
      </c>
      <c r="X205" s="358">
        <f t="shared" si="19"/>
        <v>2250</v>
      </c>
      <c r="Y205" s="325" t="b">
        <f t="shared" si="1"/>
        <v>1</v>
      </c>
    </row>
    <row r="206" spans="1:25" s="4" customFormat="1">
      <c r="A206" s="16">
        <v>192</v>
      </c>
      <c r="B206" t="s">
        <v>288</v>
      </c>
      <c r="C206" t="s">
        <v>438</v>
      </c>
      <c r="D206" s="16"/>
      <c r="E206" s="229">
        <v>34700</v>
      </c>
      <c r="F206" s="229">
        <v>0</v>
      </c>
      <c r="G206" s="229">
        <v>0</v>
      </c>
      <c r="H206" s="229">
        <f t="shared" si="14"/>
        <v>34700</v>
      </c>
      <c r="I206" s="229">
        <v>-130</v>
      </c>
      <c r="J206" s="229">
        <f t="shared" si="15"/>
        <v>34570</v>
      </c>
      <c r="K206" s="364">
        <v>1</v>
      </c>
      <c r="L206" s="229">
        <f t="shared" si="16"/>
        <v>34570</v>
      </c>
      <c r="M206" s="16"/>
      <c r="N206" s="16"/>
      <c r="O206" s="229">
        <v>0</v>
      </c>
      <c r="P206" s="229">
        <v>0</v>
      </c>
      <c r="Q206" s="229">
        <v>0</v>
      </c>
      <c r="R206" s="229">
        <f t="shared" si="17"/>
        <v>0</v>
      </c>
      <c r="S206" s="229">
        <v>0</v>
      </c>
      <c r="T206" s="229">
        <v>0</v>
      </c>
      <c r="U206" s="229">
        <f t="shared" si="18"/>
        <v>0</v>
      </c>
      <c r="V206" s="229">
        <v>0</v>
      </c>
      <c r="W206" s="229">
        <f t="shared" si="20"/>
        <v>34570</v>
      </c>
      <c r="X206" s="358">
        <f t="shared" si="19"/>
        <v>34570</v>
      </c>
      <c r="Y206" s="325" t="b">
        <f t="shared" si="1"/>
        <v>1</v>
      </c>
    </row>
    <row r="207" spans="1:25" s="4" customFormat="1">
      <c r="A207" s="16">
        <v>193</v>
      </c>
      <c r="B207" t="s">
        <v>288</v>
      </c>
      <c r="C207" t="s">
        <v>899</v>
      </c>
      <c r="D207" s="16"/>
      <c r="E207" s="229">
        <v>1000</v>
      </c>
      <c r="F207" s="229">
        <v>0</v>
      </c>
      <c r="G207" s="229">
        <v>0</v>
      </c>
      <c r="H207" s="229">
        <f t="shared" si="14"/>
        <v>1000</v>
      </c>
      <c r="I207" s="229">
        <v>0</v>
      </c>
      <c r="J207" s="229">
        <f t="shared" si="15"/>
        <v>1000</v>
      </c>
      <c r="K207" s="364">
        <v>1</v>
      </c>
      <c r="L207" s="229">
        <f t="shared" si="16"/>
        <v>1000</v>
      </c>
      <c r="M207" s="16"/>
      <c r="N207" s="16"/>
      <c r="O207" s="229">
        <v>0</v>
      </c>
      <c r="P207" s="229">
        <v>0</v>
      </c>
      <c r="Q207" s="229">
        <v>0</v>
      </c>
      <c r="R207" s="229">
        <f t="shared" si="17"/>
        <v>0</v>
      </c>
      <c r="S207" s="229">
        <v>0</v>
      </c>
      <c r="T207" s="229">
        <v>0</v>
      </c>
      <c r="U207" s="229">
        <f t="shared" si="18"/>
        <v>0</v>
      </c>
      <c r="V207" s="229">
        <v>0</v>
      </c>
      <c r="W207" s="229">
        <v>1000</v>
      </c>
      <c r="X207" s="358">
        <f t="shared" si="19"/>
        <v>1000</v>
      </c>
      <c r="Y207" s="325" t="b">
        <f t="shared" si="1"/>
        <v>1</v>
      </c>
    </row>
    <row r="208" spans="1:25" s="4" customFormat="1">
      <c r="A208" s="16">
        <v>194</v>
      </c>
      <c r="B208" t="s">
        <v>288</v>
      </c>
      <c r="C208" t="s">
        <v>900</v>
      </c>
      <c r="D208" s="16"/>
      <c r="E208" s="229">
        <v>500</v>
      </c>
      <c r="F208" s="229">
        <v>0</v>
      </c>
      <c r="G208" s="229">
        <v>0</v>
      </c>
      <c r="H208" s="229">
        <f t="shared" si="14"/>
        <v>500</v>
      </c>
      <c r="I208" s="229">
        <v>0</v>
      </c>
      <c r="J208" s="229">
        <f t="shared" si="15"/>
        <v>500</v>
      </c>
      <c r="K208" s="364">
        <v>1</v>
      </c>
      <c r="L208" s="229">
        <f t="shared" si="16"/>
        <v>500</v>
      </c>
      <c r="M208" s="16"/>
      <c r="N208" s="16"/>
      <c r="O208" s="229">
        <v>0</v>
      </c>
      <c r="P208" s="229">
        <v>0</v>
      </c>
      <c r="Q208" s="229">
        <v>0</v>
      </c>
      <c r="R208" s="229">
        <f t="shared" si="17"/>
        <v>0</v>
      </c>
      <c r="S208" s="229">
        <v>0</v>
      </c>
      <c r="T208" s="229">
        <v>0</v>
      </c>
      <c r="U208" s="229">
        <f t="shared" si="18"/>
        <v>0</v>
      </c>
      <c r="V208" s="229">
        <v>0</v>
      </c>
      <c r="W208" s="229">
        <v>500</v>
      </c>
      <c r="X208" s="358">
        <f t="shared" si="19"/>
        <v>500</v>
      </c>
      <c r="Y208" s="325" t="b">
        <f t="shared" si="1"/>
        <v>1</v>
      </c>
    </row>
    <row r="209" spans="1:25" s="4" customFormat="1">
      <c r="A209" s="16">
        <v>195</v>
      </c>
      <c r="B209" t="s">
        <v>288</v>
      </c>
      <c r="C209" t="s">
        <v>431</v>
      </c>
      <c r="D209" s="16"/>
      <c r="E209" s="229">
        <v>53447</v>
      </c>
      <c r="F209" s="229">
        <v>0</v>
      </c>
      <c r="G209" s="229">
        <v>0</v>
      </c>
      <c r="H209" s="229">
        <f t="shared" si="14"/>
        <v>53447</v>
      </c>
      <c r="I209" s="229">
        <v>0</v>
      </c>
      <c r="J209" s="229">
        <f t="shared" si="15"/>
        <v>53447</v>
      </c>
      <c r="K209" s="364">
        <v>1</v>
      </c>
      <c r="L209" s="229">
        <f t="shared" si="16"/>
        <v>53447</v>
      </c>
      <c r="M209" s="16"/>
      <c r="N209" s="16"/>
      <c r="O209" s="229">
        <v>12014.89</v>
      </c>
      <c r="P209" s="229">
        <v>0</v>
      </c>
      <c r="Q209" s="229">
        <v>0</v>
      </c>
      <c r="R209" s="229">
        <f t="shared" si="17"/>
        <v>12014.89</v>
      </c>
      <c r="S209" s="229">
        <v>32089.58</v>
      </c>
      <c r="T209" s="229">
        <v>0</v>
      </c>
      <c r="U209" s="229">
        <f t="shared" si="18"/>
        <v>32089.58</v>
      </c>
      <c r="V209" s="229">
        <v>8973.75</v>
      </c>
      <c r="W209" s="229">
        <v>368.78</v>
      </c>
      <c r="X209" s="358">
        <f t="shared" si="19"/>
        <v>53447</v>
      </c>
      <c r="Y209" s="325" t="b">
        <f t="shared" si="1"/>
        <v>1</v>
      </c>
    </row>
    <row r="210" spans="1:25" s="4" customFormat="1">
      <c r="A210" s="16">
        <v>196</v>
      </c>
      <c r="B210" t="s">
        <v>288</v>
      </c>
      <c r="C210" t="s">
        <v>901</v>
      </c>
      <c r="D210" s="16"/>
      <c r="E210" s="229">
        <v>1175</v>
      </c>
      <c r="F210" s="229">
        <v>0</v>
      </c>
      <c r="G210" s="229">
        <v>0</v>
      </c>
      <c r="H210" s="229">
        <f t="shared" ref="H210:H273" si="21">+E210+F210+G210</f>
        <v>1175</v>
      </c>
      <c r="I210" s="229">
        <v>0</v>
      </c>
      <c r="J210" s="229">
        <f t="shared" ref="J210:J273" si="22">+H210+I210</f>
        <v>1175</v>
      </c>
      <c r="K210" s="364">
        <v>1</v>
      </c>
      <c r="L210" s="229">
        <f t="shared" ref="L210:L273" si="23">+J210*K210</f>
        <v>1175</v>
      </c>
      <c r="M210" s="16"/>
      <c r="N210" s="16"/>
      <c r="O210" s="229">
        <v>0</v>
      </c>
      <c r="P210" s="229">
        <v>0</v>
      </c>
      <c r="Q210" s="229">
        <v>0</v>
      </c>
      <c r="R210" s="229">
        <f t="shared" ref="R210:R273" si="24">SUM(O210:Q210)</f>
        <v>0</v>
      </c>
      <c r="S210" s="229">
        <v>0</v>
      </c>
      <c r="T210" s="229">
        <v>0</v>
      </c>
      <c r="U210" s="229">
        <f t="shared" ref="U210:U273" si="25">SUM(S210:T210)</f>
        <v>0</v>
      </c>
      <c r="V210" s="229">
        <v>0</v>
      </c>
      <c r="W210" s="229">
        <v>1175</v>
      </c>
      <c r="X210" s="358">
        <f t="shared" ref="X210:X273" si="26">+O210+P210+Q210+S210+T210+V210+W210</f>
        <v>1175</v>
      </c>
      <c r="Y210" s="325" t="b">
        <f t="shared" si="1"/>
        <v>1</v>
      </c>
    </row>
    <row r="211" spans="1:25" s="4" customFormat="1">
      <c r="A211" s="16">
        <v>197</v>
      </c>
      <c r="B211" t="s">
        <v>288</v>
      </c>
      <c r="C211" t="s">
        <v>902</v>
      </c>
      <c r="D211" s="16"/>
      <c r="E211" s="229">
        <v>2500</v>
      </c>
      <c r="F211" s="229">
        <v>0</v>
      </c>
      <c r="G211" s="229">
        <v>0</v>
      </c>
      <c r="H211" s="229">
        <f t="shared" si="21"/>
        <v>2500</v>
      </c>
      <c r="I211" s="229">
        <v>-100</v>
      </c>
      <c r="J211" s="229">
        <f t="shared" si="22"/>
        <v>2400</v>
      </c>
      <c r="K211" s="364">
        <v>1</v>
      </c>
      <c r="L211" s="229">
        <f t="shared" si="23"/>
        <v>2400</v>
      </c>
      <c r="M211" s="16"/>
      <c r="N211" s="16"/>
      <c r="O211" s="229">
        <v>0</v>
      </c>
      <c r="P211" s="229">
        <v>0</v>
      </c>
      <c r="Q211" s="229">
        <v>0</v>
      </c>
      <c r="R211" s="229">
        <f t="shared" si="24"/>
        <v>0</v>
      </c>
      <c r="S211" s="229">
        <v>0</v>
      </c>
      <c r="T211" s="229">
        <v>0</v>
      </c>
      <c r="U211" s="229">
        <f t="shared" si="25"/>
        <v>0</v>
      </c>
      <c r="V211" s="229">
        <v>0</v>
      </c>
      <c r="W211" s="229">
        <f t="shared" ref="W211:W212" si="27">+L211</f>
        <v>2400</v>
      </c>
      <c r="X211" s="358">
        <f t="shared" si="26"/>
        <v>2400</v>
      </c>
      <c r="Y211" s="325" t="b">
        <f t="shared" si="1"/>
        <v>1</v>
      </c>
    </row>
    <row r="212" spans="1:25" s="4" customFormat="1">
      <c r="A212" s="16">
        <v>198</v>
      </c>
      <c r="B212" t="s">
        <v>288</v>
      </c>
      <c r="C212" t="s">
        <v>439</v>
      </c>
      <c r="D212" s="16"/>
      <c r="E212" s="229">
        <v>1800</v>
      </c>
      <c r="F212" s="229">
        <v>0</v>
      </c>
      <c r="G212" s="229">
        <v>0</v>
      </c>
      <c r="H212" s="229">
        <f t="shared" si="21"/>
        <v>1800</v>
      </c>
      <c r="I212" s="229">
        <v>-180</v>
      </c>
      <c r="J212" s="229">
        <f t="shared" si="22"/>
        <v>1620</v>
      </c>
      <c r="K212" s="364">
        <v>1</v>
      </c>
      <c r="L212" s="229">
        <f t="shared" si="23"/>
        <v>1620</v>
      </c>
      <c r="M212" s="16"/>
      <c r="N212" s="16"/>
      <c r="O212" s="229">
        <v>0</v>
      </c>
      <c r="P212" s="229">
        <v>0</v>
      </c>
      <c r="Q212" s="229">
        <v>0</v>
      </c>
      <c r="R212" s="229">
        <f t="shared" si="24"/>
        <v>0</v>
      </c>
      <c r="S212" s="229">
        <v>0</v>
      </c>
      <c r="T212" s="229">
        <v>0</v>
      </c>
      <c r="U212" s="229">
        <f t="shared" si="25"/>
        <v>0</v>
      </c>
      <c r="V212" s="229">
        <v>0</v>
      </c>
      <c r="W212" s="229">
        <f t="shared" si="27"/>
        <v>1620</v>
      </c>
      <c r="X212" s="358">
        <f t="shared" si="26"/>
        <v>1620</v>
      </c>
      <c r="Y212" s="325" t="b">
        <f t="shared" si="1"/>
        <v>1</v>
      </c>
    </row>
    <row r="213" spans="1:25" s="4" customFormat="1">
      <c r="A213" s="16">
        <v>199</v>
      </c>
      <c r="B213" t="s">
        <v>288</v>
      </c>
      <c r="C213" t="s">
        <v>440</v>
      </c>
      <c r="D213" s="16"/>
      <c r="E213" s="229">
        <v>2000</v>
      </c>
      <c r="F213" s="229">
        <v>0</v>
      </c>
      <c r="G213" s="229">
        <v>0</v>
      </c>
      <c r="H213" s="229">
        <f t="shared" si="21"/>
        <v>2000</v>
      </c>
      <c r="I213" s="229">
        <v>0</v>
      </c>
      <c r="J213" s="229">
        <f t="shared" si="22"/>
        <v>2000</v>
      </c>
      <c r="K213" s="364">
        <v>1</v>
      </c>
      <c r="L213" s="229">
        <f t="shared" si="23"/>
        <v>2000</v>
      </c>
      <c r="M213" s="16"/>
      <c r="N213" s="16"/>
      <c r="O213" s="229">
        <v>0</v>
      </c>
      <c r="P213" s="229">
        <v>0</v>
      </c>
      <c r="Q213" s="229">
        <v>0</v>
      </c>
      <c r="R213" s="229">
        <f t="shared" si="24"/>
        <v>0</v>
      </c>
      <c r="S213" s="229">
        <v>0</v>
      </c>
      <c r="T213" s="229">
        <v>0</v>
      </c>
      <c r="U213" s="229">
        <f t="shared" si="25"/>
        <v>0</v>
      </c>
      <c r="V213" s="229">
        <v>0</v>
      </c>
      <c r="W213" s="229">
        <v>2000</v>
      </c>
      <c r="X213" s="358">
        <f t="shared" si="26"/>
        <v>2000</v>
      </c>
      <c r="Y213" s="325" t="b">
        <f t="shared" ref="Y213:Y228" si="28">+X213=L213</f>
        <v>1</v>
      </c>
    </row>
    <row r="214" spans="1:25" s="4" customFormat="1">
      <c r="A214" s="16">
        <v>200</v>
      </c>
      <c r="B214" t="s">
        <v>288</v>
      </c>
      <c r="C214" t="s">
        <v>441</v>
      </c>
      <c r="D214" s="16"/>
      <c r="E214" s="229">
        <v>500</v>
      </c>
      <c r="F214" s="229">
        <v>0</v>
      </c>
      <c r="G214" s="229">
        <v>0</v>
      </c>
      <c r="H214" s="229">
        <f t="shared" si="21"/>
        <v>500</v>
      </c>
      <c r="I214" s="229">
        <v>-50</v>
      </c>
      <c r="J214" s="229">
        <f t="shared" si="22"/>
        <v>450</v>
      </c>
      <c r="K214" s="364">
        <v>1</v>
      </c>
      <c r="L214" s="229">
        <f t="shared" si="23"/>
        <v>450</v>
      </c>
      <c r="M214" s="16"/>
      <c r="N214" s="16"/>
      <c r="O214" s="229">
        <v>0</v>
      </c>
      <c r="P214" s="229">
        <v>0</v>
      </c>
      <c r="Q214" s="229">
        <v>0</v>
      </c>
      <c r="R214" s="229">
        <f t="shared" si="24"/>
        <v>0</v>
      </c>
      <c r="S214" s="229">
        <v>0</v>
      </c>
      <c r="T214" s="229">
        <v>0</v>
      </c>
      <c r="U214" s="229">
        <f t="shared" si="25"/>
        <v>0</v>
      </c>
      <c r="V214" s="229">
        <v>0</v>
      </c>
      <c r="W214" s="229">
        <f t="shared" ref="W214:W216" si="29">+L214</f>
        <v>450</v>
      </c>
      <c r="X214" s="358">
        <f t="shared" si="26"/>
        <v>450</v>
      </c>
      <c r="Y214" s="325" t="b">
        <f t="shared" si="28"/>
        <v>1</v>
      </c>
    </row>
    <row r="215" spans="1:25" s="4" customFormat="1">
      <c r="A215" s="16">
        <v>201</v>
      </c>
      <c r="B215" t="s">
        <v>288</v>
      </c>
      <c r="C215" t="s">
        <v>442</v>
      </c>
      <c r="D215" s="16"/>
      <c r="E215" s="229">
        <v>2500</v>
      </c>
      <c r="F215" s="229">
        <v>0</v>
      </c>
      <c r="G215" s="229">
        <v>0</v>
      </c>
      <c r="H215" s="229">
        <f t="shared" si="21"/>
        <v>2500</v>
      </c>
      <c r="I215" s="229">
        <v>-250</v>
      </c>
      <c r="J215" s="229">
        <f t="shared" si="22"/>
        <v>2250</v>
      </c>
      <c r="K215" s="364">
        <v>1</v>
      </c>
      <c r="L215" s="229">
        <f t="shared" si="23"/>
        <v>2250</v>
      </c>
      <c r="M215" s="16"/>
      <c r="N215" s="16"/>
      <c r="O215" s="229">
        <v>0</v>
      </c>
      <c r="P215" s="229">
        <v>0</v>
      </c>
      <c r="Q215" s="229">
        <v>0</v>
      </c>
      <c r="R215" s="229">
        <f t="shared" si="24"/>
        <v>0</v>
      </c>
      <c r="S215" s="229">
        <v>0</v>
      </c>
      <c r="T215" s="229">
        <v>0</v>
      </c>
      <c r="U215" s="229">
        <f t="shared" si="25"/>
        <v>0</v>
      </c>
      <c r="V215" s="229">
        <v>0</v>
      </c>
      <c r="W215" s="229">
        <f t="shared" si="29"/>
        <v>2250</v>
      </c>
      <c r="X215" s="358">
        <f t="shared" si="26"/>
        <v>2250</v>
      </c>
      <c r="Y215" s="325" t="b">
        <f t="shared" si="28"/>
        <v>1</v>
      </c>
    </row>
    <row r="216" spans="1:25" s="4" customFormat="1">
      <c r="A216" s="16">
        <v>202</v>
      </c>
      <c r="B216" t="s">
        <v>288</v>
      </c>
      <c r="C216" t="s">
        <v>443</v>
      </c>
      <c r="D216" s="16"/>
      <c r="E216" s="229">
        <v>3000</v>
      </c>
      <c r="F216" s="229">
        <v>0</v>
      </c>
      <c r="G216" s="229">
        <v>0</v>
      </c>
      <c r="H216" s="229">
        <f t="shared" si="21"/>
        <v>3000</v>
      </c>
      <c r="I216" s="229">
        <v>-300</v>
      </c>
      <c r="J216" s="229">
        <f t="shared" si="22"/>
        <v>2700</v>
      </c>
      <c r="K216" s="364">
        <v>1</v>
      </c>
      <c r="L216" s="229">
        <f t="shared" si="23"/>
        <v>2700</v>
      </c>
      <c r="M216" s="16"/>
      <c r="N216" s="16"/>
      <c r="O216" s="229">
        <v>0</v>
      </c>
      <c r="P216" s="229">
        <v>0</v>
      </c>
      <c r="Q216" s="229">
        <v>0</v>
      </c>
      <c r="R216" s="229">
        <f t="shared" si="24"/>
        <v>0</v>
      </c>
      <c r="S216" s="229">
        <v>0</v>
      </c>
      <c r="T216" s="229">
        <v>0</v>
      </c>
      <c r="U216" s="229">
        <f t="shared" si="25"/>
        <v>0</v>
      </c>
      <c r="V216" s="229">
        <v>0</v>
      </c>
      <c r="W216" s="229">
        <f t="shared" si="29"/>
        <v>2700</v>
      </c>
      <c r="X216" s="358">
        <f t="shared" si="26"/>
        <v>2700</v>
      </c>
      <c r="Y216" s="325" t="b">
        <f t="shared" si="28"/>
        <v>1</v>
      </c>
    </row>
    <row r="217" spans="1:25" s="4" customFormat="1">
      <c r="A217" s="16">
        <v>203</v>
      </c>
      <c r="B217" t="s">
        <v>288</v>
      </c>
      <c r="C217" t="s">
        <v>444</v>
      </c>
      <c r="D217" s="16"/>
      <c r="E217" s="229">
        <v>6500</v>
      </c>
      <c r="F217" s="229">
        <v>0</v>
      </c>
      <c r="G217" s="229">
        <v>0</v>
      </c>
      <c r="H217" s="229">
        <f t="shared" si="21"/>
        <v>6500</v>
      </c>
      <c r="I217" s="229">
        <v>0</v>
      </c>
      <c r="J217" s="229">
        <f t="shared" si="22"/>
        <v>6500</v>
      </c>
      <c r="K217" s="364">
        <v>1</v>
      </c>
      <c r="L217" s="229">
        <f t="shared" si="23"/>
        <v>6500</v>
      </c>
      <c r="M217" s="16"/>
      <c r="N217" s="16"/>
      <c r="O217" s="229">
        <v>0</v>
      </c>
      <c r="P217" s="229">
        <v>0</v>
      </c>
      <c r="Q217" s="229">
        <v>0</v>
      </c>
      <c r="R217" s="229">
        <f t="shared" si="24"/>
        <v>0</v>
      </c>
      <c r="S217" s="229">
        <v>0</v>
      </c>
      <c r="T217" s="229">
        <v>0</v>
      </c>
      <c r="U217" s="229">
        <f t="shared" si="25"/>
        <v>0</v>
      </c>
      <c r="V217" s="229">
        <v>0</v>
      </c>
      <c r="W217" s="229">
        <v>6500</v>
      </c>
      <c r="X217" s="358">
        <f t="shared" si="26"/>
        <v>6500</v>
      </c>
      <c r="Y217" s="325" t="b">
        <f t="shared" si="28"/>
        <v>1</v>
      </c>
    </row>
    <row r="218" spans="1:25" s="4" customFormat="1">
      <c r="A218" s="16">
        <v>204</v>
      </c>
      <c r="B218" t="s">
        <v>288</v>
      </c>
      <c r="C218" t="s">
        <v>445</v>
      </c>
      <c r="D218" s="16"/>
      <c r="E218" s="229">
        <v>3205</v>
      </c>
      <c r="F218" s="229">
        <v>0</v>
      </c>
      <c r="G218" s="229">
        <v>0</v>
      </c>
      <c r="H218" s="229">
        <f t="shared" si="21"/>
        <v>3205</v>
      </c>
      <c r="I218" s="229">
        <v>-320.5</v>
      </c>
      <c r="J218" s="229">
        <f t="shared" si="22"/>
        <v>2884.5</v>
      </c>
      <c r="K218" s="364">
        <v>1</v>
      </c>
      <c r="L218" s="229">
        <f t="shared" si="23"/>
        <v>2884.5</v>
      </c>
      <c r="M218" s="16"/>
      <c r="N218" s="16"/>
      <c r="O218" s="229">
        <v>0</v>
      </c>
      <c r="P218" s="229">
        <v>0</v>
      </c>
      <c r="Q218" s="229">
        <v>0</v>
      </c>
      <c r="R218" s="229">
        <f t="shared" si="24"/>
        <v>0</v>
      </c>
      <c r="S218" s="229">
        <v>0</v>
      </c>
      <c r="T218" s="229">
        <v>0</v>
      </c>
      <c r="U218" s="229">
        <f t="shared" si="25"/>
        <v>0</v>
      </c>
      <c r="V218" s="229">
        <v>0</v>
      </c>
      <c r="W218" s="229">
        <f t="shared" ref="W218:W219" si="30">+L218</f>
        <v>2884.5</v>
      </c>
      <c r="X218" s="358">
        <f t="shared" si="26"/>
        <v>2884.5</v>
      </c>
      <c r="Y218" s="325" t="b">
        <f t="shared" si="28"/>
        <v>1</v>
      </c>
    </row>
    <row r="219" spans="1:25" s="4" customFormat="1">
      <c r="A219" s="16">
        <v>205</v>
      </c>
      <c r="B219" t="s">
        <v>288</v>
      </c>
      <c r="C219" t="s">
        <v>903</v>
      </c>
      <c r="D219" s="16"/>
      <c r="E219" s="229">
        <v>500</v>
      </c>
      <c r="F219" s="229">
        <v>0</v>
      </c>
      <c r="G219" s="229">
        <v>0</v>
      </c>
      <c r="H219" s="229">
        <f t="shared" si="21"/>
        <v>500</v>
      </c>
      <c r="I219" s="229">
        <v>-50</v>
      </c>
      <c r="J219" s="229">
        <f t="shared" si="22"/>
        <v>450</v>
      </c>
      <c r="K219" s="364">
        <v>1</v>
      </c>
      <c r="L219" s="229">
        <f t="shared" si="23"/>
        <v>450</v>
      </c>
      <c r="M219" s="16"/>
      <c r="N219" s="16"/>
      <c r="O219" s="229">
        <v>0</v>
      </c>
      <c r="P219" s="229">
        <v>0</v>
      </c>
      <c r="Q219" s="229">
        <v>0</v>
      </c>
      <c r="R219" s="229">
        <f t="shared" si="24"/>
        <v>0</v>
      </c>
      <c r="S219" s="229">
        <v>0</v>
      </c>
      <c r="T219" s="229">
        <v>0</v>
      </c>
      <c r="U219" s="229">
        <f t="shared" si="25"/>
        <v>0</v>
      </c>
      <c r="V219" s="229">
        <v>0</v>
      </c>
      <c r="W219" s="229">
        <f t="shared" si="30"/>
        <v>450</v>
      </c>
      <c r="X219" s="358">
        <f t="shared" si="26"/>
        <v>450</v>
      </c>
      <c r="Y219" s="325" t="b">
        <f t="shared" si="28"/>
        <v>1</v>
      </c>
    </row>
    <row r="220" spans="1:25" s="4" customFormat="1">
      <c r="A220" s="16">
        <v>206</v>
      </c>
      <c r="B220" t="s">
        <v>288</v>
      </c>
      <c r="C220" t="s">
        <v>1018</v>
      </c>
      <c r="D220" s="16"/>
      <c r="E220" s="229">
        <v>1000</v>
      </c>
      <c r="F220" s="229">
        <v>0</v>
      </c>
      <c r="G220" s="229">
        <v>0</v>
      </c>
      <c r="H220" s="229">
        <f t="shared" si="21"/>
        <v>1000</v>
      </c>
      <c r="I220" s="229">
        <v>0</v>
      </c>
      <c r="J220" s="229">
        <f t="shared" si="22"/>
        <v>1000</v>
      </c>
      <c r="K220" s="364">
        <v>1</v>
      </c>
      <c r="L220" s="229">
        <f t="shared" si="23"/>
        <v>1000</v>
      </c>
      <c r="M220" s="16"/>
      <c r="N220" s="16"/>
      <c r="O220" s="229">
        <v>0</v>
      </c>
      <c r="P220" s="229">
        <v>0</v>
      </c>
      <c r="Q220" s="229">
        <v>0</v>
      </c>
      <c r="R220" s="229">
        <f t="shared" si="24"/>
        <v>0</v>
      </c>
      <c r="S220" s="229">
        <v>0</v>
      </c>
      <c r="T220" s="229">
        <v>0</v>
      </c>
      <c r="U220" s="229">
        <f t="shared" si="25"/>
        <v>0</v>
      </c>
      <c r="V220" s="229">
        <v>0</v>
      </c>
      <c r="W220" s="229">
        <v>1000</v>
      </c>
      <c r="X220" s="358">
        <f t="shared" si="26"/>
        <v>1000</v>
      </c>
      <c r="Y220" s="325" t="b">
        <f t="shared" si="28"/>
        <v>1</v>
      </c>
    </row>
    <row r="221" spans="1:25" s="4" customFormat="1">
      <c r="A221" s="16">
        <v>207</v>
      </c>
      <c r="B221" t="s">
        <v>288</v>
      </c>
      <c r="C221" t="s">
        <v>904</v>
      </c>
      <c r="D221" s="16"/>
      <c r="E221" s="229">
        <v>350</v>
      </c>
      <c r="F221" s="229">
        <v>0</v>
      </c>
      <c r="G221" s="229">
        <v>0</v>
      </c>
      <c r="H221" s="229">
        <f t="shared" si="21"/>
        <v>350</v>
      </c>
      <c r="I221" s="229">
        <v>-35</v>
      </c>
      <c r="J221" s="229">
        <f t="shared" si="22"/>
        <v>315</v>
      </c>
      <c r="K221" s="364">
        <v>1</v>
      </c>
      <c r="L221" s="229">
        <f t="shared" si="23"/>
        <v>315</v>
      </c>
      <c r="M221" s="16"/>
      <c r="N221" s="16"/>
      <c r="O221" s="229">
        <v>0</v>
      </c>
      <c r="P221" s="229">
        <v>0</v>
      </c>
      <c r="Q221" s="229">
        <v>0</v>
      </c>
      <c r="R221" s="229">
        <f t="shared" si="24"/>
        <v>0</v>
      </c>
      <c r="S221" s="229">
        <v>0</v>
      </c>
      <c r="T221" s="229">
        <v>0</v>
      </c>
      <c r="U221" s="229">
        <f t="shared" si="25"/>
        <v>0</v>
      </c>
      <c r="V221" s="229">
        <v>0</v>
      </c>
      <c r="W221" s="229">
        <f>+L221</f>
        <v>315</v>
      </c>
      <c r="X221" s="358">
        <f t="shared" si="26"/>
        <v>315</v>
      </c>
      <c r="Y221" s="325" t="b">
        <f t="shared" si="28"/>
        <v>1</v>
      </c>
    </row>
    <row r="222" spans="1:25" s="4" customFormat="1">
      <c r="A222" s="16">
        <v>208</v>
      </c>
      <c r="B222" t="s">
        <v>288</v>
      </c>
      <c r="C222" t="s">
        <v>905</v>
      </c>
      <c r="D222" s="16"/>
      <c r="E222" s="229">
        <v>1000</v>
      </c>
      <c r="F222" s="229">
        <v>0</v>
      </c>
      <c r="G222" s="229">
        <v>0</v>
      </c>
      <c r="H222" s="229">
        <f t="shared" si="21"/>
        <v>1000</v>
      </c>
      <c r="I222" s="229">
        <v>0</v>
      </c>
      <c r="J222" s="229">
        <f t="shared" si="22"/>
        <v>1000</v>
      </c>
      <c r="K222" s="364">
        <v>1</v>
      </c>
      <c r="L222" s="229">
        <f t="shared" si="23"/>
        <v>1000</v>
      </c>
      <c r="M222" s="16"/>
      <c r="N222" s="16"/>
      <c r="O222" s="229">
        <v>0</v>
      </c>
      <c r="P222" s="229">
        <v>0</v>
      </c>
      <c r="Q222" s="229">
        <v>0</v>
      </c>
      <c r="R222" s="229">
        <f t="shared" si="24"/>
        <v>0</v>
      </c>
      <c r="S222" s="229">
        <v>0</v>
      </c>
      <c r="T222" s="229">
        <v>0</v>
      </c>
      <c r="U222" s="229">
        <f t="shared" si="25"/>
        <v>0</v>
      </c>
      <c r="V222" s="229">
        <v>0</v>
      </c>
      <c r="W222" s="229">
        <v>1000</v>
      </c>
      <c r="X222" s="358">
        <f t="shared" si="26"/>
        <v>1000</v>
      </c>
      <c r="Y222" s="325" t="b">
        <f t="shared" si="28"/>
        <v>1</v>
      </c>
    </row>
    <row r="223" spans="1:25" s="4" customFormat="1">
      <c r="A223" s="16">
        <v>209</v>
      </c>
      <c r="B223" t="s">
        <v>288</v>
      </c>
      <c r="C223" t="s">
        <v>906</v>
      </c>
      <c r="D223" s="16"/>
      <c r="E223" s="229">
        <v>500</v>
      </c>
      <c r="F223" s="229">
        <v>0</v>
      </c>
      <c r="G223" s="229">
        <v>0</v>
      </c>
      <c r="H223" s="229">
        <f t="shared" si="21"/>
        <v>500</v>
      </c>
      <c r="I223" s="229">
        <v>0</v>
      </c>
      <c r="J223" s="229">
        <f t="shared" si="22"/>
        <v>500</v>
      </c>
      <c r="K223" s="364">
        <v>1</v>
      </c>
      <c r="L223" s="229">
        <f t="shared" si="23"/>
        <v>500</v>
      </c>
      <c r="M223" s="16"/>
      <c r="N223" s="16"/>
      <c r="O223" s="229">
        <v>0</v>
      </c>
      <c r="P223" s="229">
        <v>0</v>
      </c>
      <c r="Q223" s="229">
        <v>0</v>
      </c>
      <c r="R223" s="229">
        <f t="shared" si="24"/>
        <v>0</v>
      </c>
      <c r="S223" s="229">
        <v>0</v>
      </c>
      <c r="T223" s="229">
        <v>0</v>
      </c>
      <c r="U223" s="229">
        <f t="shared" si="25"/>
        <v>0</v>
      </c>
      <c r="V223" s="229">
        <v>0</v>
      </c>
      <c r="W223" s="229">
        <v>500</v>
      </c>
      <c r="X223" s="358">
        <f t="shared" si="26"/>
        <v>500</v>
      </c>
      <c r="Y223" s="325" t="b">
        <f t="shared" si="28"/>
        <v>1</v>
      </c>
    </row>
    <row r="224" spans="1:25" s="4" customFormat="1">
      <c r="A224" s="16">
        <v>210</v>
      </c>
      <c r="B224" t="s">
        <v>288</v>
      </c>
      <c r="C224" t="s">
        <v>702</v>
      </c>
      <c r="D224" s="16"/>
      <c r="E224" s="229">
        <v>750</v>
      </c>
      <c r="F224" s="229">
        <v>0</v>
      </c>
      <c r="G224" s="229">
        <v>0</v>
      </c>
      <c r="H224" s="229">
        <f t="shared" si="21"/>
        <v>750</v>
      </c>
      <c r="I224" s="229">
        <v>0</v>
      </c>
      <c r="J224" s="229">
        <f t="shared" si="22"/>
        <v>750</v>
      </c>
      <c r="K224" s="364">
        <v>1</v>
      </c>
      <c r="L224" s="229">
        <f t="shared" si="23"/>
        <v>750</v>
      </c>
      <c r="M224" s="16"/>
      <c r="N224" s="16"/>
      <c r="O224" s="229">
        <v>0</v>
      </c>
      <c r="P224" s="229">
        <v>0</v>
      </c>
      <c r="Q224" s="229">
        <v>0</v>
      </c>
      <c r="R224" s="229">
        <f t="shared" si="24"/>
        <v>0</v>
      </c>
      <c r="S224" s="229">
        <v>0</v>
      </c>
      <c r="T224" s="229">
        <v>0</v>
      </c>
      <c r="U224" s="229">
        <f t="shared" si="25"/>
        <v>0</v>
      </c>
      <c r="V224" s="229">
        <v>0</v>
      </c>
      <c r="W224" s="229">
        <v>750</v>
      </c>
      <c r="X224" s="358">
        <f t="shared" si="26"/>
        <v>750</v>
      </c>
      <c r="Y224" s="325" t="b">
        <f t="shared" si="28"/>
        <v>1</v>
      </c>
    </row>
    <row r="225" spans="1:25" s="4" customFormat="1">
      <c r="A225" s="16">
        <v>211</v>
      </c>
      <c r="B225" t="s">
        <v>288</v>
      </c>
      <c r="C225" t="s">
        <v>446</v>
      </c>
      <c r="D225" s="16"/>
      <c r="E225" s="229">
        <v>1050</v>
      </c>
      <c r="F225" s="229">
        <v>0</v>
      </c>
      <c r="G225" s="229">
        <v>0</v>
      </c>
      <c r="H225" s="229">
        <f t="shared" si="21"/>
        <v>1050</v>
      </c>
      <c r="I225" s="229">
        <v>-105</v>
      </c>
      <c r="J225" s="229">
        <f t="shared" si="22"/>
        <v>945</v>
      </c>
      <c r="K225" s="364">
        <v>1</v>
      </c>
      <c r="L225" s="229">
        <f t="shared" si="23"/>
        <v>945</v>
      </c>
      <c r="M225" s="16"/>
      <c r="N225" s="16"/>
      <c r="O225" s="229">
        <v>0</v>
      </c>
      <c r="P225" s="229">
        <v>0</v>
      </c>
      <c r="Q225" s="229">
        <v>0</v>
      </c>
      <c r="R225" s="229">
        <f t="shared" si="24"/>
        <v>0</v>
      </c>
      <c r="S225" s="229">
        <v>0</v>
      </c>
      <c r="T225" s="229">
        <v>0</v>
      </c>
      <c r="U225" s="229">
        <f t="shared" si="25"/>
        <v>0</v>
      </c>
      <c r="V225" s="229">
        <v>0</v>
      </c>
      <c r="W225" s="229">
        <f t="shared" ref="W225:W231" si="31">+L225</f>
        <v>945</v>
      </c>
      <c r="X225" s="358">
        <f t="shared" si="26"/>
        <v>945</v>
      </c>
      <c r="Y225" s="325" t="b">
        <f t="shared" si="28"/>
        <v>1</v>
      </c>
    </row>
    <row r="226" spans="1:25" s="4" customFormat="1">
      <c r="A226" s="16">
        <v>212</v>
      </c>
      <c r="B226" t="s">
        <v>288</v>
      </c>
      <c r="C226" t="s">
        <v>643</v>
      </c>
      <c r="D226" s="16"/>
      <c r="E226" s="229">
        <v>200</v>
      </c>
      <c r="F226" s="229">
        <v>0</v>
      </c>
      <c r="G226" s="229">
        <v>0</v>
      </c>
      <c r="H226" s="229">
        <f t="shared" si="21"/>
        <v>200</v>
      </c>
      <c r="I226" s="229">
        <v>-20</v>
      </c>
      <c r="J226" s="229">
        <f t="shared" si="22"/>
        <v>180</v>
      </c>
      <c r="K226" s="364">
        <v>1</v>
      </c>
      <c r="L226" s="229">
        <f t="shared" si="23"/>
        <v>180</v>
      </c>
      <c r="M226" s="16"/>
      <c r="N226" s="16"/>
      <c r="O226" s="229">
        <v>0</v>
      </c>
      <c r="P226" s="229">
        <v>0</v>
      </c>
      <c r="Q226" s="229">
        <v>0</v>
      </c>
      <c r="R226" s="229">
        <f t="shared" si="24"/>
        <v>0</v>
      </c>
      <c r="S226" s="229">
        <v>0</v>
      </c>
      <c r="T226" s="229">
        <v>0</v>
      </c>
      <c r="U226" s="229">
        <f t="shared" si="25"/>
        <v>0</v>
      </c>
      <c r="V226" s="229">
        <v>0</v>
      </c>
      <c r="W226" s="229">
        <f t="shared" si="31"/>
        <v>180</v>
      </c>
      <c r="X226" s="358">
        <f t="shared" si="26"/>
        <v>180</v>
      </c>
      <c r="Y226" s="325" t="b">
        <f t="shared" si="28"/>
        <v>1</v>
      </c>
    </row>
    <row r="227" spans="1:25" s="4" customFormat="1">
      <c r="A227" s="16">
        <v>213</v>
      </c>
      <c r="B227" t="s">
        <v>288</v>
      </c>
      <c r="C227" t="s">
        <v>703</v>
      </c>
      <c r="D227" s="16"/>
      <c r="E227" s="229">
        <v>900</v>
      </c>
      <c r="F227" s="229">
        <v>0</v>
      </c>
      <c r="G227" s="229">
        <v>0</v>
      </c>
      <c r="H227" s="229">
        <f t="shared" si="21"/>
        <v>900</v>
      </c>
      <c r="I227" s="229">
        <v>-90</v>
      </c>
      <c r="J227" s="229">
        <f t="shared" si="22"/>
        <v>810</v>
      </c>
      <c r="K227" s="364">
        <v>1</v>
      </c>
      <c r="L227" s="229">
        <f t="shared" si="23"/>
        <v>810</v>
      </c>
      <c r="M227" s="16"/>
      <c r="N227" s="16"/>
      <c r="O227" s="229">
        <v>0</v>
      </c>
      <c r="P227" s="229">
        <v>0</v>
      </c>
      <c r="Q227" s="229">
        <v>0</v>
      </c>
      <c r="R227" s="229">
        <f t="shared" si="24"/>
        <v>0</v>
      </c>
      <c r="S227" s="229">
        <v>0</v>
      </c>
      <c r="T227" s="229">
        <v>0</v>
      </c>
      <c r="U227" s="229">
        <f t="shared" si="25"/>
        <v>0</v>
      </c>
      <c r="V227" s="229">
        <v>0</v>
      </c>
      <c r="W227" s="229">
        <f t="shared" si="31"/>
        <v>810</v>
      </c>
      <c r="X227" s="358">
        <f t="shared" si="26"/>
        <v>810</v>
      </c>
      <c r="Y227" s="325" t="b">
        <f t="shared" si="28"/>
        <v>1</v>
      </c>
    </row>
    <row r="228" spans="1:25" s="4" customFormat="1">
      <c r="A228" s="16">
        <v>214</v>
      </c>
      <c r="B228" t="s">
        <v>288</v>
      </c>
      <c r="C228" t="s">
        <v>907</v>
      </c>
      <c r="D228" s="16"/>
      <c r="E228" s="229">
        <v>1500</v>
      </c>
      <c r="F228" s="229">
        <v>0</v>
      </c>
      <c r="G228" s="229">
        <v>0</v>
      </c>
      <c r="H228" s="229">
        <f t="shared" si="21"/>
        <v>1500</v>
      </c>
      <c r="I228" s="229">
        <v>-1500</v>
      </c>
      <c r="J228" s="229">
        <f t="shared" si="22"/>
        <v>0</v>
      </c>
      <c r="K228" s="364">
        <v>1</v>
      </c>
      <c r="L228" s="229">
        <f t="shared" si="23"/>
        <v>0</v>
      </c>
      <c r="M228" s="16"/>
      <c r="N228" s="16"/>
      <c r="O228" s="229">
        <v>0</v>
      </c>
      <c r="P228" s="229">
        <v>0</v>
      </c>
      <c r="Q228" s="229">
        <v>0</v>
      </c>
      <c r="R228" s="229">
        <f t="shared" si="24"/>
        <v>0</v>
      </c>
      <c r="S228" s="229">
        <v>0</v>
      </c>
      <c r="T228" s="229">
        <v>0</v>
      </c>
      <c r="U228" s="229">
        <f t="shared" si="25"/>
        <v>0</v>
      </c>
      <c r="V228" s="229">
        <v>0</v>
      </c>
      <c r="W228" s="229">
        <f t="shared" si="31"/>
        <v>0</v>
      </c>
      <c r="X228" s="358">
        <f t="shared" si="26"/>
        <v>0</v>
      </c>
      <c r="Y228" s="325" t="b">
        <f t="shared" si="28"/>
        <v>1</v>
      </c>
    </row>
    <row r="229" spans="1:25" s="4" customFormat="1">
      <c r="A229" s="16">
        <v>6</v>
      </c>
      <c r="B229" t="s">
        <v>288</v>
      </c>
      <c r="C229" t="s">
        <v>447</v>
      </c>
      <c r="D229" s="16"/>
      <c r="E229" s="229">
        <v>516.79999999999995</v>
      </c>
      <c r="F229" s="229">
        <v>0</v>
      </c>
      <c r="G229" s="229">
        <v>0</v>
      </c>
      <c r="H229" s="229">
        <f t="shared" si="21"/>
        <v>516.79999999999995</v>
      </c>
      <c r="I229" s="229">
        <v>-51.68</v>
      </c>
      <c r="J229" s="229">
        <f t="shared" si="22"/>
        <v>465.11999999999995</v>
      </c>
      <c r="K229" s="364">
        <v>1</v>
      </c>
      <c r="L229" s="229">
        <f t="shared" si="23"/>
        <v>465.11999999999995</v>
      </c>
      <c r="M229" s="16"/>
      <c r="N229" s="16"/>
      <c r="O229" s="229">
        <v>0</v>
      </c>
      <c r="P229" s="229">
        <v>0</v>
      </c>
      <c r="Q229" s="229">
        <v>0</v>
      </c>
      <c r="R229" s="229">
        <f t="shared" si="24"/>
        <v>0</v>
      </c>
      <c r="S229" s="229">
        <v>0</v>
      </c>
      <c r="T229" s="229">
        <v>0</v>
      </c>
      <c r="U229" s="229">
        <f t="shared" si="25"/>
        <v>0</v>
      </c>
      <c r="V229" s="229">
        <v>0</v>
      </c>
      <c r="W229" s="229">
        <f t="shared" si="31"/>
        <v>465.11999999999995</v>
      </c>
      <c r="X229" s="358">
        <f t="shared" si="26"/>
        <v>465.11999999999995</v>
      </c>
      <c r="Y229" s="325" t="b">
        <f t="shared" si="1"/>
        <v>1</v>
      </c>
    </row>
    <row r="230" spans="1:25">
      <c r="A230" s="16">
        <v>7</v>
      </c>
      <c r="B230" t="s">
        <v>288</v>
      </c>
      <c r="C230" s="172" t="s">
        <v>908</v>
      </c>
      <c r="E230" s="229">
        <v>850</v>
      </c>
      <c r="F230" s="229">
        <v>0</v>
      </c>
      <c r="G230" s="229">
        <v>0</v>
      </c>
      <c r="H230" s="229">
        <f t="shared" si="21"/>
        <v>850</v>
      </c>
      <c r="I230" s="229">
        <v>-85</v>
      </c>
      <c r="J230" s="229">
        <f t="shared" si="22"/>
        <v>765</v>
      </c>
      <c r="K230" s="364">
        <v>1</v>
      </c>
      <c r="L230" s="229">
        <f t="shared" si="23"/>
        <v>765</v>
      </c>
      <c r="N230" s="16"/>
      <c r="O230" s="229">
        <v>0</v>
      </c>
      <c r="P230" s="229">
        <v>0</v>
      </c>
      <c r="Q230" s="229">
        <v>0</v>
      </c>
      <c r="R230" s="229">
        <f t="shared" si="24"/>
        <v>0</v>
      </c>
      <c r="S230" s="229">
        <v>0</v>
      </c>
      <c r="T230" s="229">
        <v>0</v>
      </c>
      <c r="U230" s="229">
        <f t="shared" si="25"/>
        <v>0</v>
      </c>
      <c r="V230" s="229">
        <v>0</v>
      </c>
      <c r="W230" s="229">
        <f t="shared" si="31"/>
        <v>765</v>
      </c>
      <c r="X230" s="358">
        <f t="shared" si="26"/>
        <v>765</v>
      </c>
      <c r="Y230" s="325" t="b">
        <f t="shared" si="1"/>
        <v>1</v>
      </c>
    </row>
    <row r="231" spans="1:25">
      <c r="A231" s="16">
        <v>8</v>
      </c>
      <c r="B231" t="s">
        <v>288</v>
      </c>
      <c r="C231" t="s">
        <v>644</v>
      </c>
      <c r="E231" s="229">
        <v>750</v>
      </c>
      <c r="F231" s="229">
        <v>0</v>
      </c>
      <c r="G231" s="229">
        <v>0</v>
      </c>
      <c r="H231" s="229">
        <f t="shared" si="21"/>
        <v>750</v>
      </c>
      <c r="I231" s="229">
        <v>-75</v>
      </c>
      <c r="J231" s="229">
        <f t="shared" si="22"/>
        <v>675</v>
      </c>
      <c r="K231" s="364">
        <v>1</v>
      </c>
      <c r="L231" s="229">
        <f t="shared" si="23"/>
        <v>675</v>
      </c>
      <c r="N231" s="16"/>
      <c r="O231" s="229">
        <v>0</v>
      </c>
      <c r="P231" s="229">
        <v>0</v>
      </c>
      <c r="Q231" s="229">
        <v>0</v>
      </c>
      <c r="R231" s="229">
        <f t="shared" si="24"/>
        <v>0</v>
      </c>
      <c r="S231" s="229">
        <v>0</v>
      </c>
      <c r="T231" s="229">
        <v>0</v>
      </c>
      <c r="U231" s="229">
        <f t="shared" si="25"/>
        <v>0</v>
      </c>
      <c r="V231" s="229">
        <v>0</v>
      </c>
      <c r="W231" s="229">
        <f t="shared" si="31"/>
        <v>675</v>
      </c>
      <c r="X231" s="358">
        <f t="shared" si="26"/>
        <v>675</v>
      </c>
      <c r="Y231" s="325" t="b">
        <f t="shared" si="1"/>
        <v>1</v>
      </c>
    </row>
    <row r="232" spans="1:25">
      <c r="A232" s="16">
        <v>9</v>
      </c>
      <c r="B232" t="s">
        <v>288</v>
      </c>
      <c r="C232" t="s">
        <v>909</v>
      </c>
      <c r="E232" s="229">
        <v>100</v>
      </c>
      <c r="F232" s="229">
        <v>0</v>
      </c>
      <c r="G232" s="229">
        <v>0</v>
      </c>
      <c r="H232" s="229">
        <f t="shared" si="21"/>
        <v>100</v>
      </c>
      <c r="I232" s="229">
        <v>0</v>
      </c>
      <c r="J232" s="229">
        <f t="shared" si="22"/>
        <v>100</v>
      </c>
      <c r="K232" s="364">
        <v>1</v>
      </c>
      <c r="L232" s="229">
        <f t="shared" si="23"/>
        <v>100</v>
      </c>
      <c r="N232" s="16"/>
      <c r="O232" s="229">
        <v>0</v>
      </c>
      <c r="P232" s="229">
        <v>0</v>
      </c>
      <c r="Q232" s="229">
        <v>0</v>
      </c>
      <c r="R232" s="229">
        <f t="shared" si="24"/>
        <v>0</v>
      </c>
      <c r="S232" s="229">
        <v>0</v>
      </c>
      <c r="T232" s="229">
        <v>0</v>
      </c>
      <c r="U232" s="229">
        <f t="shared" si="25"/>
        <v>0</v>
      </c>
      <c r="V232" s="229">
        <v>0</v>
      </c>
      <c r="W232" s="229">
        <v>100</v>
      </c>
      <c r="X232" s="358">
        <f t="shared" si="26"/>
        <v>100</v>
      </c>
      <c r="Y232" s="325" t="b">
        <f t="shared" si="1"/>
        <v>1</v>
      </c>
    </row>
    <row r="233" spans="1:25">
      <c r="A233" s="16">
        <v>10</v>
      </c>
      <c r="B233" t="s">
        <v>288</v>
      </c>
      <c r="C233" t="s">
        <v>910</v>
      </c>
      <c r="E233" s="229">
        <v>1000</v>
      </c>
      <c r="F233" s="229">
        <v>0</v>
      </c>
      <c r="G233" s="229">
        <v>0</v>
      </c>
      <c r="H233" s="229">
        <f t="shared" si="21"/>
        <v>1000</v>
      </c>
      <c r="I233" s="229">
        <v>-1000</v>
      </c>
      <c r="J233" s="229">
        <f t="shared" si="22"/>
        <v>0</v>
      </c>
      <c r="K233" s="364">
        <v>1</v>
      </c>
      <c r="L233" s="229">
        <f t="shared" si="23"/>
        <v>0</v>
      </c>
      <c r="N233" s="16"/>
      <c r="O233" s="229">
        <v>0</v>
      </c>
      <c r="P233" s="229">
        <v>0</v>
      </c>
      <c r="Q233" s="229">
        <v>0</v>
      </c>
      <c r="R233" s="229">
        <f t="shared" si="24"/>
        <v>0</v>
      </c>
      <c r="S233" s="229">
        <v>0</v>
      </c>
      <c r="T233" s="229">
        <v>0</v>
      </c>
      <c r="U233" s="229">
        <f t="shared" si="25"/>
        <v>0</v>
      </c>
      <c r="V233" s="229">
        <v>0</v>
      </c>
      <c r="W233" s="229">
        <f>+L233</f>
        <v>0</v>
      </c>
      <c r="X233" s="358">
        <f t="shared" si="26"/>
        <v>0</v>
      </c>
      <c r="Y233" s="325" t="b">
        <f t="shared" si="1"/>
        <v>1</v>
      </c>
    </row>
    <row r="234" spans="1:25">
      <c r="A234" s="16">
        <v>11</v>
      </c>
      <c r="B234" t="s">
        <v>288</v>
      </c>
      <c r="C234" t="s">
        <v>911</v>
      </c>
      <c r="E234" s="229">
        <v>250</v>
      </c>
      <c r="F234" s="229">
        <v>0</v>
      </c>
      <c r="G234" s="229">
        <v>0</v>
      </c>
      <c r="H234" s="229">
        <f t="shared" si="21"/>
        <v>250</v>
      </c>
      <c r="I234" s="229">
        <v>0</v>
      </c>
      <c r="J234" s="229">
        <f t="shared" si="22"/>
        <v>250</v>
      </c>
      <c r="K234" s="364">
        <v>1</v>
      </c>
      <c r="L234" s="229">
        <f t="shared" si="23"/>
        <v>250</v>
      </c>
      <c r="N234" s="16"/>
      <c r="O234" s="229">
        <v>0</v>
      </c>
      <c r="P234" s="229">
        <v>0</v>
      </c>
      <c r="Q234" s="229">
        <v>0</v>
      </c>
      <c r="R234" s="229">
        <f t="shared" si="24"/>
        <v>0</v>
      </c>
      <c r="S234" s="229">
        <v>0</v>
      </c>
      <c r="T234" s="229">
        <v>0</v>
      </c>
      <c r="U234" s="229">
        <f t="shared" si="25"/>
        <v>0</v>
      </c>
      <c r="V234" s="229">
        <v>0</v>
      </c>
      <c r="W234" s="229">
        <v>250</v>
      </c>
      <c r="X234" s="358">
        <f t="shared" si="26"/>
        <v>250</v>
      </c>
      <c r="Y234" s="325" t="b">
        <f t="shared" si="1"/>
        <v>1</v>
      </c>
    </row>
    <row r="235" spans="1:25">
      <c r="A235" s="16">
        <v>12</v>
      </c>
      <c r="B235" t="s">
        <v>288</v>
      </c>
      <c r="C235" s="172" t="s">
        <v>912</v>
      </c>
      <c r="E235" s="229">
        <v>1000</v>
      </c>
      <c r="F235" s="229">
        <v>0</v>
      </c>
      <c r="G235" s="229">
        <v>0</v>
      </c>
      <c r="H235" s="229">
        <f t="shared" si="21"/>
        <v>1000</v>
      </c>
      <c r="I235" s="229">
        <v>0</v>
      </c>
      <c r="J235" s="229">
        <f t="shared" si="22"/>
        <v>1000</v>
      </c>
      <c r="K235" s="364">
        <v>1</v>
      </c>
      <c r="L235" s="229">
        <f t="shared" si="23"/>
        <v>1000</v>
      </c>
      <c r="N235" s="16"/>
      <c r="O235" s="229">
        <v>0</v>
      </c>
      <c r="P235" s="229">
        <v>0</v>
      </c>
      <c r="Q235" s="229">
        <v>0</v>
      </c>
      <c r="R235" s="229">
        <f t="shared" si="24"/>
        <v>0</v>
      </c>
      <c r="S235" s="229">
        <v>0</v>
      </c>
      <c r="T235" s="229">
        <v>0</v>
      </c>
      <c r="U235" s="229">
        <f t="shared" si="25"/>
        <v>0</v>
      </c>
      <c r="V235" s="229">
        <v>0</v>
      </c>
      <c r="W235" s="229">
        <v>1000</v>
      </c>
      <c r="X235" s="358">
        <f t="shared" si="26"/>
        <v>1000</v>
      </c>
      <c r="Y235" s="325" t="b">
        <f t="shared" si="1"/>
        <v>1</v>
      </c>
    </row>
    <row r="236" spans="1:25">
      <c r="A236" s="16">
        <v>13</v>
      </c>
      <c r="B236" t="s">
        <v>288</v>
      </c>
      <c r="C236" t="s">
        <v>913</v>
      </c>
      <c r="E236" s="229">
        <v>180</v>
      </c>
      <c r="F236" s="229">
        <v>0</v>
      </c>
      <c r="G236" s="229">
        <v>0</v>
      </c>
      <c r="H236" s="229">
        <f t="shared" si="21"/>
        <v>180</v>
      </c>
      <c r="I236" s="229">
        <v>-18</v>
      </c>
      <c r="J236" s="229">
        <f t="shared" si="22"/>
        <v>162</v>
      </c>
      <c r="K236" s="364">
        <v>1</v>
      </c>
      <c r="L236" s="229">
        <f t="shared" si="23"/>
        <v>162</v>
      </c>
      <c r="N236" s="16"/>
      <c r="O236" s="229">
        <v>0</v>
      </c>
      <c r="P236" s="229">
        <v>0</v>
      </c>
      <c r="Q236" s="229">
        <v>0</v>
      </c>
      <c r="R236" s="229">
        <f t="shared" si="24"/>
        <v>0</v>
      </c>
      <c r="S236" s="229">
        <v>0</v>
      </c>
      <c r="T236" s="229">
        <v>0</v>
      </c>
      <c r="U236" s="229">
        <f t="shared" si="25"/>
        <v>0</v>
      </c>
      <c r="V236" s="229">
        <v>0</v>
      </c>
      <c r="W236" s="229">
        <f>+L236</f>
        <v>162</v>
      </c>
      <c r="X236" s="358">
        <f t="shared" si="26"/>
        <v>162</v>
      </c>
      <c r="Y236" s="325" t="b">
        <f t="shared" si="1"/>
        <v>1</v>
      </c>
    </row>
    <row r="237" spans="1:25" s="137" customFormat="1">
      <c r="A237" s="16">
        <v>14</v>
      </c>
      <c r="B237" s="137" t="s">
        <v>288</v>
      </c>
      <c r="C237" s="137" t="s">
        <v>914</v>
      </c>
      <c r="D237" s="18"/>
      <c r="E237" s="229">
        <v>3000</v>
      </c>
      <c r="F237" s="229">
        <v>0</v>
      </c>
      <c r="G237" s="229">
        <v>0</v>
      </c>
      <c r="H237" s="229">
        <f t="shared" si="21"/>
        <v>3000</v>
      </c>
      <c r="I237" s="229">
        <v>0</v>
      </c>
      <c r="J237" s="229">
        <f t="shared" si="22"/>
        <v>3000</v>
      </c>
      <c r="K237" s="364">
        <v>1</v>
      </c>
      <c r="L237" s="229">
        <f t="shared" si="23"/>
        <v>3000</v>
      </c>
      <c r="M237" s="305"/>
      <c r="N237" s="305"/>
      <c r="O237" s="229">
        <v>0</v>
      </c>
      <c r="P237" s="229">
        <v>0</v>
      </c>
      <c r="Q237" s="229">
        <v>0</v>
      </c>
      <c r="R237" s="229">
        <f t="shared" si="24"/>
        <v>0</v>
      </c>
      <c r="S237" s="229">
        <v>0</v>
      </c>
      <c r="T237" s="229">
        <v>0</v>
      </c>
      <c r="U237" s="229">
        <f t="shared" si="25"/>
        <v>0</v>
      </c>
      <c r="V237" s="229">
        <v>0</v>
      </c>
      <c r="W237" s="229">
        <v>3000</v>
      </c>
      <c r="X237" s="358">
        <f t="shared" si="26"/>
        <v>3000</v>
      </c>
      <c r="Y237" s="368" t="b">
        <f t="shared" si="1"/>
        <v>1</v>
      </c>
    </row>
    <row r="238" spans="1:25">
      <c r="A238" s="16">
        <v>15</v>
      </c>
      <c r="B238" t="s">
        <v>288</v>
      </c>
      <c r="C238" t="s">
        <v>915</v>
      </c>
      <c r="E238" s="229">
        <v>1550</v>
      </c>
      <c r="F238" s="229">
        <v>0</v>
      </c>
      <c r="G238" s="229">
        <v>0</v>
      </c>
      <c r="H238" s="229">
        <f t="shared" si="21"/>
        <v>1550</v>
      </c>
      <c r="I238" s="229">
        <v>0</v>
      </c>
      <c r="J238" s="229">
        <f t="shared" si="22"/>
        <v>1550</v>
      </c>
      <c r="K238" s="364">
        <v>1</v>
      </c>
      <c r="L238" s="229">
        <f t="shared" si="23"/>
        <v>1550</v>
      </c>
      <c r="N238" s="16"/>
      <c r="O238" s="229">
        <v>0</v>
      </c>
      <c r="P238" s="229">
        <v>0</v>
      </c>
      <c r="Q238" s="229">
        <v>0</v>
      </c>
      <c r="R238" s="229">
        <f t="shared" si="24"/>
        <v>0</v>
      </c>
      <c r="S238" s="229">
        <v>0</v>
      </c>
      <c r="T238" s="229">
        <v>0</v>
      </c>
      <c r="U238" s="229">
        <f t="shared" si="25"/>
        <v>0</v>
      </c>
      <c r="V238" s="229">
        <v>0</v>
      </c>
      <c r="W238" s="229">
        <v>1550</v>
      </c>
      <c r="X238" s="358">
        <f t="shared" si="26"/>
        <v>1550</v>
      </c>
      <c r="Y238" s="325" t="b">
        <f t="shared" si="1"/>
        <v>1</v>
      </c>
    </row>
    <row r="239" spans="1:25">
      <c r="A239" s="16">
        <v>16</v>
      </c>
      <c r="B239" t="s">
        <v>288</v>
      </c>
      <c r="C239" t="s">
        <v>916</v>
      </c>
      <c r="E239" s="229">
        <v>600</v>
      </c>
      <c r="F239" s="229">
        <v>0</v>
      </c>
      <c r="G239" s="229">
        <v>0</v>
      </c>
      <c r="H239" s="229">
        <f t="shared" si="21"/>
        <v>600</v>
      </c>
      <c r="I239" s="229">
        <v>0</v>
      </c>
      <c r="J239" s="229">
        <f t="shared" si="22"/>
        <v>600</v>
      </c>
      <c r="K239" s="364">
        <v>1</v>
      </c>
      <c r="L239" s="229">
        <f t="shared" si="23"/>
        <v>600</v>
      </c>
      <c r="N239" s="16"/>
      <c r="O239" s="229">
        <v>0</v>
      </c>
      <c r="P239" s="229">
        <v>0</v>
      </c>
      <c r="Q239" s="229">
        <v>0</v>
      </c>
      <c r="R239" s="229">
        <f t="shared" si="24"/>
        <v>0</v>
      </c>
      <c r="S239" s="229">
        <v>0</v>
      </c>
      <c r="T239" s="229">
        <v>0</v>
      </c>
      <c r="U239" s="229">
        <f t="shared" si="25"/>
        <v>0</v>
      </c>
      <c r="V239" s="229">
        <v>0</v>
      </c>
      <c r="W239" s="229">
        <v>600</v>
      </c>
      <c r="X239" s="358">
        <f t="shared" si="26"/>
        <v>600</v>
      </c>
      <c r="Y239" s="325" t="b">
        <f t="shared" si="1"/>
        <v>1</v>
      </c>
    </row>
    <row r="240" spans="1:25">
      <c r="A240" s="16">
        <v>17</v>
      </c>
      <c r="B240" t="s">
        <v>288</v>
      </c>
      <c r="C240" t="s">
        <v>917</v>
      </c>
      <c r="E240" s="229">
        <v>500</v>
      </c>
      <c r="F240" s="229">
        <v>0</v>
      </c>
      <c r="G240" s="229">
        <v>0</v>
      </c>
      <c r="H240" s="229">
        <f t="shared" si="21"/>
        <v>500</v>
      </c>
      <c r="I240" s="229">
        <v>0</v>
      </c>
      <c r="J240" s="229">
        <f t="shared" si="22"/>
        <v>500</v>
      </c>
      <c r="K240" s="364">
        <v>1</v>
      </c>
      <c r="L240" s="229">
        <f t="shared" si="23"/>
        <v>500</v>
      </c>
      <c r="N240" s="16"/>
      <c r="O240" s="229">
        <v>0</v>
      </c>
      <c r="P240" s="229">
        <v>0</v>
      </c>
      <c r="Q240" s="229">
        <v>0</v>
      </c>
      <c r="R240" s="229">
        <f t="shared" si="24"/>
        <v>0</v>
      </c>
      <c r="S240" s="229">
        <v>0</v>
      </c>
      <c r="T240" s="229">
        <v>0</v>
      </c>
      <c r="U240" s="229">
        <f t="shared" si="25"/>
        <v>0</v>
      </c>
      <c r="V240" s="229">
        <v>0</v>
      </c>
      <c r="W240" s="229">
        <v>500</v>
      </c>
      <c r="X240" s="358">
        <f t="shared" si="26"/>
        <v>500</v>
      </c>
      <c r="Y240" s="325" t="b">
        <f t="shared" si="1"/>
        <v>1</v>
      </c>
    </row>
    <row r="241" spans="1:25" s="137" customFormat="1">
      <c r="A241" s="16">
        <v>18</v>
      </c>
      <c r="B241" s="137" t="s">
        <v>288</v>
      </c>
      <c r="C241" s="137" t="s">
        <v>892</v>
      </c>
      <c r="D241" s="18"/>
      <c r="E241" s="229">
        <v>750</v>
      </c>
      <c r="F241" s="229">
        <v>0</v>
      </c>
      <c r="G241" s="229">
        <v>0</v>
      </c>
      <c r="H241" s="229">
        <f t="shared" si="21"/>
        <v>750</v>
      </c>
      <c r="I241" s="229">
        <v>0</v>
      </c>
      <c r="J241" s="229">
        <f t="shared" si="22"/>
        <v>750</v>
      </c>
      <c r="K241" s="364">
        <v>1</v>
      </c>
      <c r="L241" s="229">
        <f t="shared" si="23"/>
        <v>750</v>
      </c>
      <c r="M241" s="305"/>
      <c r="N241" s="305"/>
      <c r="O241" s="229">
        <v>0</v>
      </c>
      <c r="P241" s="229">
        <v>0</v>
      </c>
      <c r="Q241" s="229">
        <v>0</v>
      </c>
      <c r="R241" s="229">
        <f t="shared" si="24"/>
        <v>0</v>
      </c>
      <c r="S241" s="229">
        <v>0</v>
      </c>
      <c r="T241" s="229">
        <v>0</v>
      </c>
      <c r="U241" s="229">
        <f t="shared" si="25"/>
        <v>0</v>
      </c>
      <c r="V241" s="229">
        <v>0</v>
      </c>
      <c r="W241" s="229">
        <v>750</v>
      </c>
      <c r="X241" s="358">
        <f t="shared" si="26"/>
        <v>750</v>
      </c>
      <c r="Y241" s="368" t="b">
        <f t="shared" si="1"/>
        <v>1</v>
      </c>
    </row>
    <row r="242" spans="1:25">
      <c r="A242" s="16">
        <v>19</v>
      </c>
      <c r="B242" t="s">
        <v>288</v>
      </c>
      <c r="C242" t="s">
        <v>918</v>
      </c>
      <c r="E242" s="229">
        <v>525</v>
      </c>
      <c r="F242" s="229">
        <v>0</v>
      </c>
      <c r="G242" s="229">
        <v>0</v>
      </c>
      <c r="H242" s="229">
        <f t="shared" si="21"/>
        <v>525</v>
      </c>
      <c r="I242" s="229">
        <v>0</v>
      </c>
      <c r="J242" s="229">
        <f t="shared" si="22"/>
        <v>525</v>
      </c>
      <c r="K242" s="364">
        <v>1</v>
      </c>
      <c r="L242" s="229">
        <f t="shared" si="23"/>
        <v>525</v>
      </c>
      <c r="N242" s="16"/>
      <c r="O242" s="229">
        <v>0</v>
      </c>
      <c r="P242" s="229">
        <v>0</v>
      </c>
      <c r="Q242" s="229">
        <v>0</v>
      </c>
      <c r="R242" s="229">
        <f t="shared" si="24"/>
        <v>0</v>
      </c>
      <c r="S242" s="229">
        <v>0</v>
      </c>
      <c r="T242" s="229">
        <v>0</v>
      </c>
      <c r="U242" s="229">
        <f t="shared" si="25"/>
        <v>0</v>
      </c>
      <c r="V242" s="229">
        <v>0</v>
      </c>
      <c r="W242" s="229">
        <v>525</v>
      </c>
      <c r="X242" s="358">
        <f t="shared" si="26"/>
        <v>525</v>
      </c>
      <c r="Y242" s="325" t="b">
        <f t="shared" si="1"/>
        <v>1</v>
      </c>
    </row>
    <row r="243" spans="1:25">
      <c r="A243" s="16">
        <v>20</v>
      </c>
      <c r="B243" t="s">
        <v>288</v>
      </c>
      <c r="C243" t="s">
        <v>919</v>
      </c>
      <c r="E243" s="229">
        <v>1000</v>
      </c>
      <c r="F243" s="229">
        <v>0</v>
      </c>
      <c r="G243" s="229">
        <v>0</v>
      </c>
      <c r="H243" s="229">
        <f t="shared" si="21"/>
        <v>1000</v>
      </c>
      <c r="I243" s="229">
        <v>0</v>
      </c>
      <c r="J243" s="229">
        <f t="shared" si="22"/>
        <v>1000</v>
      </c>
      <c r="K243" s="364">
        <v>1</v>
      </c>
      <c r="L243" s="229">
        <f t="shared" si="23"/>
        <v>1000</v>
      </c>
      <c r="N243" s="16"/>
      <c r="O243" s="229">
        <v>0</v>
      </c>
      <c r="P243" s="229">
        <v>0</v>
      </c>
      <c r="Q243" s="229">
        <v>0</v>
      </c>
      <c r="R243" s="229">
        <f t="shared" si="24"/>
        <v>0</v>
      </c>
      <c r="S243" s="229">
        <v>0</v>
      </c>
      <c r="T243" s="229">
        <v>0</v>
      </c>
      <c r="U243" s="229">
        <f t="shared" si="25"/>
        <v>0</v>
      </c>
      <c r="V243" s="229">
        <v>0</v>
      </c>
      <c r="W243" s="229">
        <v>1000</v>
      </c>
      <c r="X243" s="358">
        <f t="shared" si="26"/>
        <v>1000</v>
      </c>
      <c r="Y243" s="325" t="b">
        <f t="shared" si="1"/>
        <v>1</v>
      </c>
    </row>
    <row r="244" spans="1:25">
      <c r="A244" s="16">
        <v>21</v>
      </c>
      <c r="B244" t="s">
        <v>288</v>
      </c>
      <c r="C244" t="s">
        <v>920</v>
      </c>
      <c r="E244" s="229">
        <v>750</v>
      </c>
      <c r="F244" s="229">
        <v>0</v>
      </c>
      <c r="G244" s="229">
        <v>0</v>
      </c>
      <c r="H244" s="229">
        <f t="shared" si="21"/>
        <v>750</v>
      </c>
      <c r="I244" s="229">
        <v>0</v>
      </c>
      <c r="J244" s="229">
        <f t="shared" si="22"/>
        <v>750</v>
      </c>
      <c r="K244" s="364">
        <v>1</v>
      </c>
      <c r="L244" s="229">
        <f t="shared" si="23"/>
        <v>750</v>
      </c>
      <c r="N244" s="16"/>
      <c r="O244" s="229">
        <v>0</v>
      </c>
      <c r="P244" s="229">
        <v>0</v>
      </c>
      <c r="Q244" s="229">
        <v>0</v>
      </c>
      <c r="R244" s="229">
        <f t="shared" si="24"/>
        <v>0</v>
      </c>
      <c r="S244" s="229">
        <v>0</v>
      </c>
      <c r="T244" s="229">
        <v>0</v>
      </c>
      <c r="U244" s="229">
        <f t="shared" si="25"/>
        <v>0</v>
      </c>
      <c r="V244" s="229">
        <v>0</v>
      </c>
      <c r="W244" s="229">
        <v>750</v>
      </c>
      <c r="X244" s="358">
        <f t="shared" si="26"/>
        <v>750</v>
      </c>
      <c r="Y244" s="325" t="b">
        <f t="shared" si="1"/>
        <v>1</v>
      </c>
    </row>
    <row r="245" spans="1:25">
      <c r="A245" s="16">
        <v>22</v>
      </c>
      <c r="B245" t="s">
        <v>288</v>
      </c>
      <c r="C245" t="s">
        <v>921</v>
      </c>
      <c r="E245" s="229">
        <v>1000</v>
      </c>
      <c r="F245" s="229">
        <v>0</v>
      </c>
      <c r="G245" s="229">
        <v>0</v>
      </c>
      <c r="H245" s="229">
        <f t="shared" si="21"/>
        <v>1000</v>
      </c>
      <c r="I245" s="229">
        <v>0</v>
      </c>
      <c r="J245" s="229">
        <f t="shared" si="22"/>
        <v>1000</v>
      </c>
      <c r="K245" s="364">
        <v>1</v>
      </c>
      <c r="L245" s="229">
        <f t="shared" si="23"/>
        <v>1000</v>
      </c>
      <c r="N245" s="16"/>
      <c r="O245" s="229">
        <v>0</v>
      </c>
      <c r="P245" s="229">
        <v>0</v>
      </c>
      <c r="Q245" s="229">
        <v>0</v>
      </c>
      <c r="R245" s="229">
        <f t="shared" si="24"/>
        <v>0</v>
      </c>
      <c r="S245" s="229">
        <v>0</v>
      </c>
      <c r="T245" s="229">
        <v>0</v>
      </c>
      <c r="U245" s="229">
        <f t="shared" si="25"/>
        <v>0</v>
      </c>
      <c r="V245" s="229">
        <v>0</v>
      </c>
      <c r="W245" s="229">
        <v>1000</v>
      </c>
      <c r="X245" s="358">
        <f t="shared" si="26"/>
        <v>1000</v>
      </c>
      <c r="Y245" s="325" t="b">
        <f t="shared" si="1"/>
        <v>1</v>
      </c>
    </row>
    <row r="246" spans="1:25">
      <c r="A246" s="16">
        <v>23</v>
      </c>
      <c r="B246" t="s">
        <v>288</v>
      </c>
      <c r="C246" t="s">
        <v>922</v>
      </c>
      <c r="E246" s="229">
        <v>1000</v>
      </c>
      <c r="F246" s="229">
        <v>0</v>
      </c>
      <c r="G246" s="229">
        <v>0</v>
      </c>
      <c r="H246" s="229">
        <f t="shared" si="21"/>
        <v>1000</v>
      </c>
      <c r="I246" s="229">
        <v>0</v>
      </c>
      <c r="J246" s="229">
        <f t="shared" si="22"/>
        <v>1000</v>
      </c>
      <c r="K246" s="364">
        <v>1</v>
      </c>
      <c r="L246" s="229">
        <f t="shared" si="23"/>
        <v>1000</v>
      </c>
      <c r="N246" s="16"/>
      <c r="O246" s="229">
        <v>0</v>
      </c>
      <c r="P246" s="229">
        <v>0</v>
      </c>
      <c r="Q246" s="229">
        <v>0</v>
      </c>
      <c r="R246" s="229">
        <f t="shared" si="24"/>
        <v>0</v>
      </c>
      <c r="S246" s="229">
        <v>0</v>
      </c>
      <c r="T246" s="229">
        <v>0</v>
      </c>
      <c r="U246" s="229">
        <f t="shared" si="25"/>
        <v>0</v>
      </c>
      <c r="V246" s="229">
        <v>0</v>
      </c>
      <c r="W246" s="229">
        <v>1000</v>
      </c>
      <c r="X246" s="358">
        <f t="shared" si="26"/>
        <v>1000</v>
      </c>
      <c r="Y246" s="325" t="b">
        <f t="shared" ref="Y246:Y307" si="32">+X246=L246</f>
        <v>1</v>
      </c>
    </row>
    <row r="247" spans="1:25">
      <c r="A247" s="16">
        <v>24</v>
      </c>
      <c r="B247" t="s">
        <v>288</v>
      </c>
      <c r="C247" t="s">
        <v>923</v>
      </c>
      <c r="E247" s="229">
        <v>1000</v>
      </c>
      <c r="F247" s="229">
        <v>0</v>
      </c>
      <c r="G247" s="229">
        <v>0</v>
      </c>
      <c r="H247" s="229">
        <f t="shared" si="21"/>
        <v>1000</v>
      </c>
      <c r="I247" s="229">
        <v>-500</v>
      </c>
      <c r="J247" s="229">
        <f t="shared" si="22"/>
        <v>500</v>
      </c>
      <c r="K247" s="364">
        <v>1</v>
      </c>
      <c r="L247" s="229">
        <f t="shared" si="23"/>
        <v>500</v>
      </c>
      <c r="N247" s="16"/>
      <c r="O247" s="229">
        <v>0</v>
      </c>
      <c r="P247" s="229">
        <v>0</v>
      </c>
      <c r="Q247" s="229">
        <v>0</v>
      </c>
      <c r="R247" s="229">
        <f t="shared" si="24"/>
        <v>0</v>
      </c>
      <c r="S247" s="229">
        <v>0</v>
      </c>
      <c r="T247" s="229">
        <v>0</v>
      </c>
      <c r="U247" s="229">
        <f t="shared" si="25"/>
        <v>0</v>
      </c>
      <c r="V247" s="229">
        <v>0</v>
      </c>
      <c r="W247" s="229">
        <f>+L247</f>
        <v>500</v>
      </c>
      <c r="X247" s="358">
        <f t="shared" si="26"/>
        <v>500</v>
      </c>
      <c r="Y247" s="325" t="b">
        <f t="shared" si="32"/>
        <v>1</v>
      </c>
    </row>
    <row r="248" spans="1:25">
      <c r="A248" s="16">
        <v>25</v>
      </c>
      <c r="B248" t="s">
        <v>288</v>
      </c>
      <c r="C248" t="s">
        <v>924</v>
      </c>
      <c r="E248" s="229">
        <v>1000</v>
      </c>
      <c r="F248" s="229">
        <v>0</v>
      </c>
      <c r="G248" s="229">
        <v>0</v>
      </c>
      <c r="H248" s="229">
        <f t="shared" si="21"/>
        <v>1000</v>
      </c>
      <c r="I248" s="229">
        <v>0</v>
      </c>
      <c r="J248" s="229">
        <f t="shared" si="22"/>
        <v>1000</v>
      </c>
      <c r="K248" s="364">
        <v>1</v>
      </c>
      <c r="L248" s="229">
        <f t="shared" si="23"/>
        <v>1000</v>
      </c>
      <c r="N248" s="16"/>
      <c r="O248" s="229">
        <v>0</v>
      </c>
      <c r="P248" s="229">
        <v>0</v>
      </c>
      <c r="Q248" s="229">
        <v>0</v>
      </c>
      <c r="R248" s="229">
        <f t="shared" si="24"/>
        <v>0</v>
      </c>
      <c r="S248" s="229">
        <v>0</v>
      </c>
      <c r="T248" s="229">
        <v>0</v>
      </c>
      <c r="U248" s="229">
        <f t="shared" si="25"/>
        <v>0</v>
      </c>
      <c r="V248" s="229">
        <v>0</v>
      </c>
      <c r="W248" s="229">
        <v>1000</v>
      </c>
      <c r="X248" s="358">
        <f t="shared" si="26"/>
        <v>1000</v>
      </c>
      <c r="Y248" s="325" t="b">
        <f t="shared" si="32"/>
        <v>1</v>
      </c>
    </row>
    <row r="249" spans="1:25">
      <c r="A249" s="16">
        <v>26</v>
      </c>
      <c r="B249" t="s">
        <v>288</v>
      </c>
      <c r="C249" t="s">
        <v>925</v>
      </c>
      <c r="E249" s="229">
        <v>250</v>
      </c>
      <c r="F249" s="229">
        <v>0</v>
      </c>
      <c r="G249" s="229">
        <v>0</v>
      </c>
      <c r="H249" s="229">
        <f t="shared" si="21"/>
        <v>250</v>
      </c>
      <c r="I249" s="229">
        <v>0</v>
      </c>
      <c r="J249" s="229">
        <f t="shared" si="22"/>
        <v>250</v>
      </c>
      <c r="K249" s="364">
        <v>1</v>
      </c>
      <c r="L249" s="229">
        <f t="shared" si="23"/>
        <v>250</v>
      </c>
      <c r="N249" s="16"/>
      <c r="O249" s="229">
        <v>0</v>
      </c>
      <c r="P249" s="229">
        <v>0</v>
      </c>
      <c r="Q249" s="229">
        <v>0</v>
      </c>
      <c r="R249" s="229">
        <f t="shared" si="24"/>
        <v>0</v>
      </c>
      <c r="S249" s="229">
        <v>0</v>
      </c>
      <c r="T249" s="229">
        <v>0</v>
      </c>
      <c r="U249" s="229">
        <f t="shared" si="25"/>
        <v>0</v>
      </c>
      <c r="V249" s="229">
        <v>0</v>
      </c>
      <c r="W249" s="229">
        <v>250</v>
      </c>
      <c r="X249" s="358">
        <f t="shared" si="26"/>
        <v>250</v>
      </c>
      <c r="Y249" s="325" t="b">
        <f t="shared" si="32"/>
        <v>1</v>
      </c>
    </row>
    <row r="250" spans="1:25">
      <c r="A250" s="16">
        <v>27</v>
      </c>
      <c r="B250" t="s">
        <v>288</v>
      </c>
      <c r="C250" t="s">
        <v>926</v>
      </c>
      <c r="E250" s="229">
        <v>650</v>
      </c>
      <c r="F250" s="229">
        <v>0</v>
      </c>
      <c r="G250" s="229">
        <v>0</v>
      </c>
      <c r="H250" s="229">
        <f t="shared" si="21"/>
        <v>650</v>
      </c>
      <c r="I250" s="229">
        <v>0</v>
      </c>
      <c r="J250" s="229">
        <f t="shared" si="22"/>
        <v>650</v>
      </c>
      <c r="K250" s="364">
        <v>1</v>
      </c>
      <c r="L250" s="229">
        <f t="shared" si="23"/>
        <v>650</v>
      </c>
      <c r="N250" s="16"/>
      <c r="O250" s="229">
        <v>0</v>
      </c>
      <c r="P250" s="229">
        <v>0</v>
      </c>
      <c r="Q250" s="229">
        <v>0</v>
      </c>
      <c r="R250" s="229">
        <f t="shared" si="24"/>
        <v>0</v>
      </c>
      <c r="S250" s="229">
        <v>0</v>
      </c>
      <c r="T250" s="229">
        <v>0</v>
      </c>
      <c r="U250" s="229">
        <f t="shared" si="25"/>
        <v>0</v>
      </c>
      <c r="V250" s="229">
        <v>0</v>
      </c>
      <c r="W250" s="229">
        <v>650</v>
      </c>
      <c r="X250" s="358">
        <f t="shared" si="26"/>
        <v>650</v>
      </c>
      <c r="Y250" s="325" t="b">
        <f t="shared" si="32"/>
        <v>1</v>
      </c>
    </row>
    <row r="251" spans="1:25" s="137" customFormat="1">
      <c r="A251" s="16">
        <v>28</v>
      </c>
      <c r="B251" s="137" t="s">
        <v>288</v>
      </c>
      <c r="C251" s="137" t="s">
        <v>927</v>
      </c>
      <c r="D251" s="18"/>
      <c r="E251" s="229">
        <v>1000</v>
      </c>
      <c r="F251" s="229">
        <v>0</v>
      </c>
      <c r="G251" s="229">
        <v>0</v>
      </c>
      <c r="H251" s="229">
        <f t="shared" si="21"/>
        <v>1000</v>
      </c>
      <c r="I251" s="229">
        <v>0</v>
      </c>
      <c r="J251" s="229">
        <f t="shared" si="22"/>
        <v>1000</v>
      </c>
      <c r="K251" s="364">
        <v>1</v>
      </c>
      <c r="L251" s="229">
        <f t="shared" si="23"/>
        <v>1000</v>
      </c>
      <c r="M251" s="305"/>
      <c r="N251" s="305"/>
      <c r="O251" s="229">
        <v>0</v>
      </c>
      <c r="P251" s="229">
        <v>0</v>
      </c>
      <c r="Q251" s="229">
        <v>0</v>
      </c>
      <c r="R251" s="229">
        <f t="shared" si="24"/>
        <v>0</v>
      </c>
      <c r="S251" s="229">
        <v>0</v>
      </c>
      <c r="T251" s="229">
        <v>0</v>
      </c>
      <c r="U251" s="229">
        <f t="shared" si="25"/>
        <v>0</v>
      </c>
      <c r="V251" s="229">
        <v>0</v>
      </c>
      <c r="W251" s="229">
        <v>1000</v>
      </c>
      <c r="X251" s="358">
        <f t="shared" si="26"/>
        <v>1000</v>
      </c>
      <c r="Y251" s="368" t="b">
        <f t="shared" si="32"/>
        <v>1</v>
      </c>
    </row>
    <row r="252" spans="1:25">
      <c r="A252" s="16">
        <v>29</v>
      </c>
      <c r="B252" t="s">
        <v>288</v>
      </c>
      <c r="C252" t="s">
        <v>928</v>
      </c>
      <c r="E252" s="229">
        <v>2000</v>
      </c>
      <c r="F252" s="229">
        <v>0</v>
      </c>
      <c r="G252" s="229">
        <v>0</v>
      </c>
      <c r="H252" s="229">
        <f t="shared" si="21"/>
        <v>2000</v>
      </c>
      <c r="I252" s="229">
        <v>0</v>
      </c>
      <c r="J252" s="229">
        <f t="shared" si="22"/>
        <v>2000</v>
      </c>
      <c r="K252" s="364">
        <v>1</v>
      </c>
      <c r="L252" s="229">
        <f t="shared" si="23"/>
        <v>2000</v>
      </c>
      <c r="N252" s="16"/>
      <c r="O252" s="229">
        <v>0</v>
      </c>
      <c r="P252" s="229">
        <v>0</v>
      </c>
      <c r="Q252" s="229">
        <v>0</v>
      </c>
      <c r="R252" s="229">
        <f t="shared" si="24"/>
        <v>0</v>
      </c>
      <c r="S252" s="229">
        <v>0</v>
      </c>
      <c r="T252" s="229">
        <v>0</v>
      </c>
      <c r="U252" s="229">
        <f t="shared" si="25"/>
        <v>0</v>
      </c>
      <c r="V252" s="229">
        <v>0</v>
      </c>
      <c r="W252" s="229">
        <v>2000</v>
      </c>
      <c r="X252" s="358">
        <f t="shared" si="26"/>
        <v>2000</v>
      </c>
      <c r="Y252" s="325" t="b">
        <f t="shared" si="32"/>
        <v>1</v>
      </c>
    </row>
    <row r="253" spans="1:25">
      <c r="A253" s="16">
        <v>30</v>
      </c>
      <c r="B253" t="s">
        <v>288</v>
      </c>
      <c r="C253" t="s">
        <v>929</v>
      </c>
      <c r="E253" s="229">
        <v>300</v>
      </c>
      <c r="F253" s="229">
        <v>0</v>
      </c>
      <c r="G253" s="229">
        <v>0</v>
      </c>
      <c r="H253" s="229">
        <f t="shared" si="21"/>
        <v>300</v>
      </c>
      <c r="I253" s="229">
        <v>0</v>
      </c>
      <c r="J253" s="229">
        <f t="shared" si="22"/>
        <v>300</v>
      </c>
      <c r="K253" s="364">
        <v>1</v>
      </c>
      <c r="L253" s="229">
        <f t="shared" si="23"/>
        <v>300</v>
      </c>
      <c r="N253" s="16"/>
      <c r="O253" s="229">
        <v>0</v>
      </c>
      <c r="P253" s="229">
        <v>0</v>
      </c>
      <c r="Q253" s="229">
        <v>0</v>
      </c>
      <c r="R253" s="229">
        <f t="shared" si="24"/>
        <v>0</v>
      </c>
      <c r="S253" s="229">
        <v>0</v>
      </c>
      <c r="T253" s="229">
        <v>0</v>
      </c>
      <c r="U253" s="229">
        <f t="shared" si="25"/>
        <v>0</v>
      </c>
      <c r="V253" s="229">
        <v>0</v>
      </c>
      <c r="W253" s="229">
        <v>300</v>
      </c>
      <c r="X253" s="358">
        <f t="shared" si="26"/>
        <v>300</v>
      </c>
      <c r="Y253" s="325" t="b">
        <f t="shared" si="32"/>
        <v>1</v>
      </c>
    </row>
    <row r="254" spans="1:25">
      <c r="A254" s="16">
        <v>31</v>
      </c>
      <c r="B254" t="s">
        <v>288</v>
      </c>
      <c r="C254" t="s">
        <v>930</v>
      </c>
      <c r="E254" s="229">
        <v>500</v>
      </c>
      <c r="F254" s="229">
        <v>0</v>
      </c>
      <c r="G254" s="229">
        <v>0</v>
      </c>
      <c r="H254" s="229">
        <f t="shared" si="21"/>
        <v>500</v>
      </c>
      <c r="I254" s="229">
        <v>0</v>
      </c>
      <c r="J254" s="229">
        <f t="shared" si="22"/>
        <v>500</v>
      </c>
      <c r="K254" s="364">
        <v>1</v>
      </c>
      <c r="L254" s="229">
        <f t="shared" si="23"/>
        <v>500</v>
      </c>
      <c r="N254" s="16"/>
      <c r="O254" s="229">
        <v>0</v>
      </c>
      <c r="P254" s="229">
        <v>0</v>
      </c>
      <c r="Q254" s="229">
        <v>0</v>
      </c>
      <c r="R254" s="229">
        <f t="shared" si="24"/>
        <v>0</v>
      </c>
      <c r="S254" s="229">
        <v>0</v>
      </c>
      <c r="T254" s="229">
        <v>0</v>
      </c>
      <c r="U254" s="229">
        <f t="shared" si="25"/>
        <v>0</v>
      </c>
      <c r="V254" s="229">
        <v>0</v>
      </c>
      <c r="W254" s="229">
        <v>500</v>
      </c>
      <c r="X254" s="358">
        <f t="shared" si="26"/>
        <v>500</v>
      </c>
      <c r="Y254" s="325" t="b">
        <f t="shared" si="32"/>
        <v>1</v>
      </c>
    </row>
    <row r="255" spans="1:25">
      <c r="A255" s="16">
        <v>32</v>
      </c>
      <c r="B255" t="s">
        <v>288</v>
      </c>
      <c r="C255" t="s">
        <v>931</v>
      </c>
      <c r="E255" s="229">
        <v>500</v>
      </c>
      <c r="F255" s="229">
        <v>0</v>
      </c>
      <c r="G255" s="229">
        <v>0</v>
      </c>
      <c r="H255" s="229">
        <f t="shared" si="21"/>
        <v>500</v>
      </c>
      <c r="I255" s="229">
        <v>0</v>
      </c>
      <c r="J255" s="229">
        <f t="shared" si="22"/>
        <v>500</v>
      </c>
      <c r="K255" s="364">
        <v>1</v>
      </c>
      <c r="L255" s="229">
        <f t="shared" si="23"/>
        <v>500</v>
      </c>
      <c r="N255" s="16"/>
      <c r="O255" s="229">
        <v>0</v>
      </c>
      <c r="P255" s="229">
        <v>0</v>
      </c>
      <c r="Q255" s="229">
        <v>0</v>
      </c>
      <c r="R255" s="229">
        <f t="shared" si="24"/>
        <v>0</v>
      </c>
      <c r="S255" s="229">
        <v>0</v>
      </c>
      <c r="T255" s="229">
        <v>0</v>
      </c>
      <c r="U255" s="229">
        <f t="shared" si="25"/>
        <v>0</v>
      </c>
      <c r="V255" s="229">
        <v>0</v>
      </c>
      <c r="W255" s="229">
        <v>500</v>
      </c>
      <c r="X255" s="358">
        <f t="shared" si="26"/>
        <v>500</v>
      </c>
      <c r="Y255" s="325" t="b">
        <f t="shared" si="32"/>
        <v>1</v>
      </c>
    </row>
    <row r="256" spans="1:25">
      <c r="A256" s="16">
        <v>33</v>
      </c>
      <c r="B256" t="s">
        <v>288</v>
      </c>
      <c r="C256" t="s">
        <v>705</v>
      </c>
      <c r="E256" s="229">
        <v>1050</v>
      </c>
      <c r="F256" s="229">
        <v>0</v>
      </c>
      <c r="G256" s="229">
        <v>0</v>
      </c>
      <c r="H256" s="229">
        <f t="shared" si="21"/>
        <v>1050</v>
      </c>
      <c r="I256" s="229">
        <v>-105</v>
      </c>
      <c r="J256" s="229">
        <f t="shared" si="22"/>
        <v>945</v>
      </c>
      <c r="K256" s="364">
        <v>1</v>
      </c>
      <c r="L256" s="229">
        <f t="shared" si="23"/>
        <v>945</v>
      </c>
      <c r="N256" s="16"/>
      <c r="O256" s="229">
        <v>0</v>
      </c>
      <c r="P256" s="229">
        <v>0</v>
      </c>
      <c r="Q256" s="229">
        <v>0</v>
      </c>
      <c r="R256" s="229">
        <f t="shared" si="24"/>
        <v>0</v>
      </c>
      <c r="S256" s="229">
        <v>0</v>
      </c>
      <c r="T256" s="229">
        <v>0</v>
      </c>
      <c r="U256" s="229">
        <f t="shared" si="25"/>
        <v>0</v>
      </c>
      <c r="V256" s="229">
        <v>0</v>
      </c>
      <c r="W256" s="229">
        <f t="shared" ref="W256:W258" si="33">+L256</f>
        <v>945</v>
      </c>
      <c r="X256" s="358">
        <f t="shared" si="26"/>
        <v>945</v>
      </c>
      <c r="Y256" s="325" t="b">
        <f t="shared" si="32"/>
        <v>1</v>
      </c>
    </row>
    <row r="257" spans="1:25">
      <c r="A257" s="16">
        <v>34</v>
      </c>
      <c r="B257" t="s">
        <v>288</v>
      </c>
      <c r="C257" t="s">
        <v>932</v>
      </c>
      <c r="E257" s="229">
        <v>10440</v>
      </c>
      <c r="F257" s="229">
        <v>0</v>
      </c>
      <c r="G257" s="229">
        <v>0</v>
      </c>
      <c r="H257" s="229">
        <f t="shared" si="21"/>
        <v>10440</v>
      </c>
      <c r="I257" s="229">
        <v>-1044</v>
      </c>
      <c r="J257" s="229">
        <f t="shared" si="22"/>
        <v>9396</v>
      </c>
      <c r="K257" s="364">
        <v>1</v>
      </c>
      <c r="L257" s="229">
        <f t="shared" si="23"/>
        <v>9396</v>
      </c>
      <c r="N257" s="16"/>
      <c r="O257" s="229">
        <v>0</v>
      </c>
      <c r="P257" s="229">
        <v>0</v>
      </c>
      <c r="Q257" s="229">
        <v>0</v>
      </c>
      <c r="R257" s="229">
        <f t="shared" si="24"/>
        <v>0</v>
      </c>
      <c r="S257" s="229">
        <v>0</v>
      </c>
      <c r="T257" s="229">
        <v>0</v>
      </c>
      <c r="U257" s="229">
        <f t="shared" si="25"/>
        <v>0</v>
      </c>
      <c r="V257" s="229">
        <v>0</v>
      </c>
      <c r="W257" s="229">
        <f t="shared" si="33"/>
        <v>9396</v>
      </c>
      <c r="X257" s="358">
        <f t="shared" si="26"/>
        <v>9396</v>
      </c>
      <c r="Y257" s="325" t="b">
        <f t="shared" si="32"/>
        <v>1</v>
      </c>
    </row>
    <row r="258" spans="1:25">
      <c r="A258" s="16">
        <v>35</v>
      </c>
      <c r="B258" t="s">
        <v>288</v>
      </c>
      <c r="C258" t="s">
        <v>448</v>
      </c>
      <c r="E258" s="229">
        <v>1000</v>
      </c>
      <c r="F258" s="229">
        <v>0</v>
      </c>
      <c r="G258" s="229">
        <v>0</v>
      </c>
      <c r="H258" s="229">
        <f t="shared" si="21"/>
        <v>1000</v>
      </c>
      <c r="I258" s="229">
        <v>-100</v>
      </c>
      <c r="J258" s="229">
        <f t="shared" si="22"/>
        <v>900</v>
      </c>
      <c r="K258" s="364">
        <v>1</v>
      </c>
      <c r="L258" s="229">
        <f t="shared" si="23"/>
        <v>900</v>
      </c>
      <c r="N258" s="16"/>
      <c r="O258" s="229">
        <v>0</v>
      </c>
      <c r="P258" s="229">
        <v>0</v>
      </c>
      <c r="Q258" s="229">
        <v>0</v>
      </c>
      <c r="R258" s="229">
        <f t="shared" si="24"/>
        <v>0</v>
      </c>
      <c r="S258" s="229">
        <v>0</v>
      </c>
      <c r="T258" s="229">
        <v>0</v>
      </c>
      <c r="U258" s="229">
        <f t="shared" si="25"/>
        <v>0</v>
      </c>
      <c r="V258" s="229">
        <v>0</v>
      </c>
      <c r="W258" s="229">
        <f t="shared" si="33"/>
        <v>900</v>
      </c>
      <c r="X258" s="358">
        <f t="shared" si="26"/>
        <v>900</v>
      </c>
      <c r="Y258" s="325" t="b">
        <f t="shared" si="32"/>
        <v>1</v>
      </c>
    </row>
    <row r="259" spans="1:25">
      <c r="A259" s="16">
        <v>36</v>
      </c>
      <c r="B259" t="s">
        <v>288</v>
      </c>
      <c r="C259" t="s">
        <v>933</v>
      </c>
      <c r="E259" s="229">
        <v>250</v>
      </c>
      <c r="F259" s="229">
        <v>0</v>
      </c>
      <c r="G259" s="229">
        <v>0</v>
      </c>
      <c r="H259" s="229">
        <f t="shared" si="21"/>
        <v>250</v>
      </c>
      <c r="I259" s="229">
        <v>0</v>
      </c>
      <c r="J259" s="229">
        <f t="shared" si="22"/>
        <v>250</v>
      </c>
      <c r="K259" s="364">
        <v>1</v>
      </c>
      <c r="L259" s="229">
        <f t="shared" si="23"/>
        <v>250</v>
      </c>
      <c r="N259" s="16"/>
      <c r="O259" s="229">
        <v>0</v>
      </c>
      <c r="P259" s="229">
        <v>0</v>
      </c>
      <c r="Q259" s="229">
        <v>0</v>
      </c>
      <c r="R259" s="229">
        <f t="shared" si="24"/>
        <v>0</v>
      </c>
      <c r="S259" s="229">
        <v>0</v>
      </c>
      <c r="T259" s="229">
        <v>0</v>
      </c>
      <c r="U259" s="229">
        <f t="shared" si="25"/>
        <v>0</v>
      </c>
      <c r="V259" s="229">
        <v>0</v>
      </c>
      <c r="W259" s="229">
        <v>250</v>
      </c>
      <c r="X259" s="358">
        <f t="shared" si="26"/>
        <v>250</v>
      </c>
      <c r="Y259" s="325" t="b">
        <f t="shared" si="32"/>
        <v>1</v>
      </c>
    </row>
    <row r="260" spans="1:25">
      <c r="A260" s="16">
        <v>37</v>
      </c>
      <c r="B260" t="s">
        <v>288</v>
      </c>
      <c r="C260" t="s">
        <v>449</v>
      </c>
      <c r="E260" s="229">
        <v>1600</v>
      </c>
      <c r="F260" s="229">
        <v>0</v>
      </c>
      <c r="G260" s="229">
        <v>0</v>
      </c>
      <c r="H260" s="229">
        <f t="shared" si="21"/>
        <v>1600</v>
      </c>
      <c r="I260" s="229">
        <v>0</v>
      </c>
      <c r="J260" s="229">
        <f t="shared" si="22"/>
        <v>1600</v>
      </c>
      <c r="K260" s="364">
        <v>1</v>
      </c>
      <c r="L260" s="229">
        <f t="shared" si="23"/>
        <v>1600</v>
      </c>
      <c r="N260" s="16"/>
      <c r="O260" s="229">
        <v>0</v>
      </c>
      <c r="P260" s="229">
        <v>0</v>
      </c>
      <c r="Q260" s="229">
        <v>0</v>
      </c>
      <c r="R260" s="229">
        <f t="shared" si="24"/>
        <v>0</v>
      </c>
      <c r="S260" s="229">
        <v>0</v>
      </c>
      <c r="T260" s="229">
        <v>0</v>
      </c>
      <c r="U260" s="229">
        <f t="shared" si="25"/>
        <v>0</v>
      </c>
      <c r="V260" s="229">
        <v>0</v>
      </c>
      <c r="W260" s="229">
        <v>1600</v>
      </c>
      <c r="X260" s="358">
        <f t="shared" si="26"/>
        <v>1600</v>
      </c>
      <c r="Y260" s="325" t="b">
        <f t="shared" si="32"/>
        <v>1</v>
      </c>
    </row>
    <row r="261" spans="1:25" s="137" customFormat="1">
      <c r="A261" s="16">
        <v>38</v>
      </c>
      <c r="B261" s="137" t="s">
        <v>288</v>
      </c>
      <c r="C261" s="137" t="s">
        <v>934</v>
      </c>
      <c r="D261" s="18"/>
      <c r="E261" s="229">
        <v>6700</v>
      </c>
      <c r="F261" s="229">
        <v>0</v>
      </c>
      <c r="G261" s="229">
        <v>0</v>
      </c>
      <c r="H261" s="229">
        <f t="shared" si="21"/>
        <v>6700</v>
      </c>
      <c r="I261" s="229">
        <v>0</v>
      </c>
      <c r="J261" s="229">
        <f t="shared" si="22"/>
        <v>6700</v>
      </c>
      <c r="K261" s="364">
        <v>1</v>
      </c>
      <c r="L261" s="229">
        <f t="shared" si="23"/>
        <v>6700</v>
      </c>
      <c r="M261" s="305"/>
      <c r="N261" s="305"/>
      <c r="O261" s="229">
        <v>0</v>
      </c>
      <c r="P261" s="229">
        <v>0</v>
      </c>
      <c r="Q261" s="229">
        <v>0</v>
      </c>
      <c r="R261" s="229">
        <f t="shared" si="24"/>
        <v>0</v>
      </c>
      <c r="S261" s="229">
        <v>0</v>
      </c>
      <c r="T261" s="229">
        <v>0</v>
      </c>
      <c r="U261" s="229">
        <f t="shared" si="25"/>
        <v>0</v>
      </c>
      <c r="V261" s="229">
        <v>0</v>
      </c>
      <c r="W261" s="229">
        <v>6700</v>
      </c>
      <c r="X261" s="358">
        <f t="shared" si="26"/>
        <v>6700</v>
      </c>
      <c r="Y261" s="368" t="b">
        <f t="shared" si="32"/>
        <v>1</v>
      </c>
    </row>
    <row r="262" spans="1:25">
      <c r="A262" s="16">
        <v>39</v>
      </c>
      <c r="B262" t="s">
        <v>288</v>
      </c>
      <c r="C262" t="s">
        <v>450</v>
      </c>
      <c r="E262" s="229">
        <v>850</v>
      </c>
      <c r="F262" s="229">
        <v>0</v>
      </c>
      <c r="G262" s="229">
        <v>0</v>
      </c>
      <c r="H262" s="229">
        <f t="shared" si="21"/>
        <v>850</v>
      </c>
      <c r="I262" s="229">
        <v>0</v>
      </c>
      <c r="J262" s="229">
        <f t="shared" si="22"/>
        <v>850</v>
      </c>
      <c r="K262" s="364">
        <v>1</v>
      </c>
      <c r="L262" s="229">
        <f t="shared" si="23"/>
        <v>850</v>
      </c>
      <c r="N262" s="16"/>
      <c r="O262" s="229">
        <v>0</v>
      </c>
      <c r="P262" s="229">
        <v>0</v>
      </c>
      <c r="Q262" s="229">
        <v>0</v>
      </c>
      <c r="R262" s="229">
        <f t="shared" si="24"/>
        <v>0</v>
      </c>
      <c r="S262" s="229">
        <v>0</v>
      </c>
      <c r="T262" s="229">
        <v>0</v>
      </c>
      <c r="U262" s="229">
        <f t="shared" si="25"/>
        <v>0</v>
      </c>
      <c r="V262" s="229">
        <v>0</v>
      </c>
      <c r="W262" s="229">
        <v>850</v>
      </c>
      <c r="X262" s="358">
        <f t="shared" si="26"/>
        <v>850</v>
      </c>
      <c r="Y262" s="325" t="b">
        <f t="shared" si="32"/>
        <v>1</v>
      </c>
    </row>
    <row r="263" spans="1:25">
      <c r="A263" s="16">
        <v>40</v>
      </c>
      <c r="B263" t="s">
        <v>288</v>
      </c>
      <c r="C263" t="s">
        <v>451</v>
      </c>
      <c r="E263" s="229">
        <v>1000</v>
      </c>
      <c r="F263" s="229">
        <v>0</v>
      </c>
      <c r="G263" s="229">
        <v>0</v>
      </c>
      <c r="H263" s="229">
        <f t="shared" si="21"/>
        <v>1000</v>
      </c>
      <c r="I263" s="229">
        <v>-100</v>
      </c>
      <c r="J263" s="229">
        <f t="shared" si="22"/>
        <v>900</v>
      </c>
      <c r="K263" s="364">
        <v>1</v>
      </c>
      <c r="L263" s="229">
        <f t="shared" si="23"/>
        <v>900</v>
      </c>
      <c r="N263" s="16"/>
      <c r="O263" s="229">
        <v>0</v>
      </c>
      <c r="P263" s="229">
        <v>0</v>
      </c>
      <c r="Q263" s="229">
        <v>0</v>
      </c>
      <c r="R263" s="229">
        <f t="shared" si="24"/>
        <v>0</v>
      </c>
      <c r="S263" s="229">
        <v>0</v>
      </c>
      <c r="T263" s="229">
        <v>0</v>
      </c>
      <c r="U263" s="229">
        <f t="shared" si="25"/>
        <v>0</v>
      </c>
      <c r="V263" s="229">
        <v>0</v>
      </c>
      <c r="W263" s="229">
        <f t="shared" ref="W263:W264" si="34">+L263</f>
        <v>900</v>
      </c>
      <c r="X263" s="358">
        <f t="shared" si="26"/>
        <v>900</v>
      </c>
      <c r="Y263" s="325" t="b">
        <f t="shared" si="32"/>
        <v>1</v>
      </c>
    </row>
    <row r="264" spans="1:25">
      <c r="A264" s="16">
        <v>41</v>
      </c>
      <c r="B264" t="s">
        <v>288</v>
      </c>
      <c r="C264" t="s">
        <v>452</v>
      </c>
      <c r="E264" s="229">
        <v>2945</v>
      </c>
      <c r="F264" s="229">
        <v>0</v>
      </c>
      <c r="G264" s="229">
        <v>0</v>
      </c>
      <c r="H264" s="229">
        <f t="shared" si="21"/>
        <v>2945</v>
      </c>
      <c r="I264" s="229">
        <v>-294.5</v>
      </c>
      <c r="J264" s="229">
        <f t="shared" si="22"/>
        <v>2650.5</v>
      </c>
      <c r="K264" s="364">
        <v>1</v>
      </c>
      <c r="L264" s="229">
        <f t="shared" si="23"/>
        <v>2650.5</v>
      </c>
      <c r="N264" s="16"/>
      <c r="O264" s="229">
        <v>0</v>
      </c>
      <c r="P264" s="229">
        <v>0</v>
      </c>
      <c r="Q264" s="229">
        <v>0</v>
      </c>
      <c r="R264" s="229">
        <f t="shared" si="24"/>
        <v>0</v>
      </c>
      <c r="S264" s="229">
        <v>0</v>
      </c>
      <c r="T264" s="229">
        <v>0</v>
      </c>
      <c r="U264" s="229">
        <f t="shared" si="25"/>
        <v>0</v>
      </c>
      <c r="V264" s="229">
        <v>0</v>
      </c>
      <c r="W264" s="229">
        <f t="shared" si="34"/>
        <v>2650.5</v>
      </c>
      <c r="X264" s="358">
        <f t="shared" si="26"/>
        <v>2650.5</v>
      </c>
      <c r="Y264" s="325" t="b">
        <f t="shared" si="32"/>
        <v>1</v>
      </c>
    </row>
    <row r="265" spans="1:25">
      <c r="A265" s="16">
        <v>42</v>
      </c>
      <c r="B265" t="s">
        <v>288</v>
      </c>
      <c r="C265" t="s">
        <v>876</v>
      </c>
      <c r="E265" s="229">
        <v>58.25</v>
      </c>
      <c r="F265" s="229">
        <v>0</v>
      </c>
      <c r="G265" s="229">
        <v>0</v>
      </c>
      <c r="H265" s="229">
        <f t="shared" si="21"/>
        <v>58.25</v>
      </c>
      <c r="I265" s="229">
        <v>0</v>
      </c>
      <c r="J265" s="229">
        <f t="shared" si="22"/>
        <v>58.25</v>
      </c>
      <c r="K265" s="364">
        <v>1</v>
      </c>
      <c r="L265" s="229">
        <f t="shared" si="23"/>
        <v>58.25</v>
      </c>
      <c r="N265" s="16"/>
      <c r="O265" s="229">
        <v>13.09</v>
      </c>
      <c r="P265" s="229">
        <v>0</v>
      </c>
      <c r="Q265" s="229">
        <v>0</v>
      </c>
      <c r="R265" s="229">
        <f t="shared" si="24"/>
        <v>13.09</v>
      </c>
      <c r="S265" s="229">
        <v>34.979999999999997</v>
      </c>
      <c r="T265" s="229">
        <v>0</v>
      </c>
      <c r="U265" s="229">
        <f t="shared" si="25"/>
        <v>34.979999999999997</v>
      </c>
      <c r="V265" s="229">
        <v>9.7799999999999994</v>
      </c>
      <c r="W265" s="229">
        <v>0.4</v>
      </c>
      <c r="X265" s="358">
        <f t="shared" si="26"/>
        <v>58.249999999999993</v>
      </c>
      <c r="Y265" s="325" t="b">
        <f t="shared" si="32"/>
        <v>1</v>
      </c>
    </row>
    <row r="266" spans="1:25">
      <c r="A266" s="16">
        <v>43</v>
      </c>
      <c r="B266" t="s">
        <v>288</v>
      </c>
      <c r="C266" t="s">
        <v>935</v>
      </c>
      <c r="E266" s="229">
        <v>200</v>
      </c>
      <c r="F266" s="229">
        <v>0</v>
      </c>
      <c r="G266" s="229">
        <v>0</v>
      </c>
      <c r="H266" s="229">
        <f t="shared" si="21"/>
        <v>200</v>
      </c>
      <c r="I266" s="229">
        <v>0</v>
      </c>
      <c r="J266" s="229">
        <f t="shared" si="22"/>
        <v>200</v>
      </c>
      <c r="K266" s="364">
        <v>1</v>
      </c>
      <c r="L266" s="229">
        <f t="shared" si="23"/>
        <v>200</v>
      </c>
      <c r="N266" s="16"/>
      <c r="O266" s="229">
        <v>0</v>
      </c>
      <c r="P266" s="229">
        <v>0</v>
      </c>
      <c r="Q266" s="229">
        <v>0</v>
      </c>
      <c r="R266" s="229">
        <f t="shared" si="24"/>
        <v>0</v>
      </c>
      <c r="S266" s="229">
        <v>0</v>
      </c>
      <c r="T266" s="229">
        <v>0</v>
      </c>
      <c r="U266" s="229">
        <f t="shared" si="25"/>
        <v>0</v>
      </c>
      <c r="V266" s="229">
        <v>0</v>
      </c>
      <c r="W266" s="229">
        <v>200</v>
      </c>
      <c r="X266" s="358">
        <f t="shared" si="26"/>
        <v>200</v>
      </c>
      <c r="Y266" s="325" t="b">
        <f t="shared" si="32"/>
        <v>1</v>
      </c>
    </row>
    <row r="267" spans="1:25">
      <c r="A267" s="16">
        <v>44</v>
      </c>
      <c r="B267" t="s">
        <v>288</v>
      </c>
      <c r="C267" t="s">
        <v>936</v>
      </c>
      <c r="E267" s="229">
        <v>1000</v>
      </c>
      <c r="F267" s="229">
        <v>0</v>
      </c>
      <c r="G267" s="229">
        <v>0</v>
      </c>
      <c r="H267" s="229">
        <f t="shared" si="21"/>
        <v>1000</v>
      </c>
      <c r="I267" s="229">
        <v>0</v>
      </c>
      <c r="J267" s="229">
        <f t="shared" si="22"/>
        <v>1000</v>
      </c>
      <c r="K267" s="364">
        <v>1</v>
      </c>
      <c r="L267" s="229">
        <f t="shared" si="23"/>
        <v>1000</v>
      </c>
      <c r="N267" s="16"/>
      <c r="O267" s="229">
        <v>0</v>
      </c>
      <c r="P267" s="229">
        <v>0</v>
      </c>
      <c r="Q267" s="229">
        <v>0</v>
      </c>
      <c r="R267" s="229">
        <f t="shared" si="24"/>
        <v>0</v>
      </c>
      <c r="S267" s="229">
        <v>0</v>
      </c>
      <c r="T267" s="229">
        <v>0</v>
      </c>
      <c r="U267" s="229">
        <f t="shared" si="25"/>
        <v>0</v>
      </c>
      <c r="V267" s="229">
        <v>0</v>
      </c>
      <c r="W267" s="229">
        <v>1000</v>
      </c>
      <c r="X267" s="358">
        <f t="shared" si="26"/>
        <v>1000</v>
      </c>
      <c r="Y267" s="325" t="b">
        <f t="shared" si="32"/>
        <v>1</v>
      </c>
    </row>
    <row r="268" spans="1:25">
      <c r="A268" s="16">
        <v>45</v>
      </c>
      <c r="B268" t="s">
        <v>288</v>
      </c>
      <c r="C268" t="s">
        <v>1019</v>
      </c>
      <c r="E268" s="229">
        <v>28300</v>
      </c>
      <c r="F268" s="229">
        <v>0</v>
      </c>
      <c r="G268" s="229">
        <v>0</v>
      </c>
      <c r="H268" s="229">
        <f t="shared" si="21"/>
        <v>28300</v>
      </c>
      <c r="I268" s="229">
        <v>0</v>
      </c>
      <c r="J268" s="229">
        <f t="shared" si="22"/>
        <v>28300</v>
      </c>
      <c r="K268" s="364">
        <v>1</v>
      </c>
      <c r="L268" s="229">
        <f t="shared" si="23"/>
        <v>28300</v>
      </c>
      <c r="N268" s="16"/>
      <c r="O268" s="229">
        <v>5620</v>
      </c>
      <c r="P268" s="229">
        <v>0</v>
      </c>
      <c r="Q268" s="229">
        <v>0</v>
      </c>
      <c r="R268" s="229">
        <f t="shared" si="24"/>
        <v>5620</v>
      </c>
      <c r="S268" s="229">
        <v>15010</v>
      </c>
      <c r="T268" s="229">
        <v>0</v>
      </c>
      <c r="U268" s="229">
        <f t="shared" si="25"/>
        <v>15010</v>
      </c>
      <c r="V268" s="229">
        <v>4197.5</v>
      </c>
      <c r="W268" s="229">
        <v>3472.5</v>
      </c>
      <c r="X268" s="358">
        <f t="shared" si="26"/>
        <v>28300</v>
      </c>
      <c r="Y268" s="325" t="b">
        <f t="shared" si="32"/>
        <v>1</v>
      </c>
    </row>
    <row r="269" spans="1:25" s="137" customFormat="1">
      <c r="A269" s="16">
        <v>46</v>
      </c>
      <c r="B269" s="137" t="s">
        <v>288</v>
      </c>
      <c r="C269" s="137" t="s">
        <v>937</v>
      </c>
      <c r="D269" s="18"/>
      <c r="E269" s="229">
        <v>7000</v>
      </c>
      <c r="F269" s="229">
        <v>0</v>
      </c>
      <c r="G269" s="229">
        <v>0</v>
      </c>
      <c r="H269" s="229">
        <f t="shared" si="21"/>
        <v>7000</v>
      </c>
      <c r="I269" s="229">
        <v>0</v>
      </c>
      <c r="J269" s="229">
        <f t="shared" si="22"/>
        <v>7000</v>
      </c>
      <c r="K269" s="364">
        <v>1</v>
      </c>
      <c r="L269" s="229">
        <f t="shared" si="23"/>
        <v>7000</v>
      </c>
      <c r="M269" s="305"/>
      <c r="N269" s="305"/>
      <c r="O269" s="229">
        <v>0</v>
      </c>
      <c r="P269" s="229">
        <v>0</v>
      </c>
      <c r="Q269" s="229">
        <v>0</v>
      </c>
      <c r="R269" s="229">
        <f t="shared" si="24"/>
        <v>0</v>
      </c>
      <c r="S269" s="229">
        <v>0</v>
      </c>
      <c r="T269" s="229">
        <v>0</v>
      </c>
      <c r="U269" s="229">
        <f t="shared" si="25"/>
        <v>0</v>
      </c>
      <c r="V269" s="229">
        <v>0</v>
      </c>
      <c r="W269" s="229">
        <v>7000</v>
      </c>
      <c r="X269" s="358">
        <f t="shared" si="26"/>
        <v>7000</v>
      </c>
      <c r="Y269" s="368" t="b">
        <f t="shared" si="32"/>
        <v>1</v>
      </c>
    </row>
    <row r="270" spans="1:25">
      <c r="A270" s="16">
        <v>47</v>
      </c>
      <c r="B270" t="s">
        <v>288</v>
      </c>
      <c r="C270" t="s">
        <v>659</v>
      </c>
      <c r="E270" s="229">
        <v>1000</v>
      </c>
      <c r="F270" s="229">
        <v>0</v>
      </c>
      <c r="G270" s="229">
        <v>0</v>
      </c>
      <c r="H270" s="229">
        <f t="shared" si="21"/>
        <v>1000</v>
      </c>
      <c r="I270" s="229">
        <v>0</v>
      </c>
      <c r="J270" s="229">
        <f t="shared" si="22"/>
        <v>1000</v>
      </c>
      <c r="K270" s="364">
        <v>1</v>
      </c>
      <c r="L270" s="229">
        <f t="shared" si="23"/>
        <v>1000</v>
      </c>
      <c r="N270" s="16"/>
      <c r="O270" s="229">
        <v>0</v>
      </c>
      <c r="P270" s="229">
        <v>0</v>
      </c>
      <c r="Q270" s="229">
        <v>0</v>
      </c>
      <c r="R270" s="229">
        <f t="shared" si="24"/>
        <v>0</v>
      </c>
      <c r="S270" s="229">
        <v>0</v>
      </c>
      <c r="T270" s="229">
        <v>0</v>
      </c>
      <c r="U270" s="229">
        <f t="shared" si="25"/>
        <v>0</v>
      </c>
      <c r="V270" s="229">
        <v>0</v>
      </c>
      <c r="W270" s="229">
        <v>1000</v>
      </c>
      <c r="X270" s="358">
        <f t="shared" si="26"/>
        <v>1000</v>
      </c>
      <c r="Y270" s="325" t="b">
        <f t="shared" si="32"/>
        <v>1</v>
      </c>
    </row>
    <row r="271" spans="1:25">
      <c r="A271" s="16">
        <v>48</v>
      </c>
      <c r="B271" t="s">
        <v>288</v>
      </c>
      <c r="C271" t="s">
        <v>737</v>
      </c>
      <c r="E271" s="229">
        <v>19500</v>
      </c>
      <c r="F271" s="229">
        <v>0</v>
      </c>
      <c r="G271" s="229">
        <v>0</v>
      </c>
      <c r="H271" s="229">
        <f t="shared" si="21"/>
        <v>19500</v>
      </c>
      <c r="I271" s="229">
        <v>-15000</v>
      </c>
      <c r="J271" s="229">
        <f t="shared" si="22"/>
        <v>4500</v>
      </c>
      <c r="K271" s="364">
        <v>1</v>
      </c>
      <c r="L271" s="229">
        <f t="shared" si="23"/>
        <v>4500</v>
      </c>
      <c r="N271" s="16"/>
      <c r="O271" s="229">
        <v>1011.686682699473</v>
      </c>
      <c r="P271" s="229">
        <v>0</v>
      </c>
      <c r="Q271" s="229">
        <v>0</v>
      </c>
      <c r="R271" s="229">
        <f t="shared" si="24"/>
        <v>1011.686682699473</v>
      </c>
      <c r="S271" s="229">
        <v>2701.8383327264178</v>
      </c>
      <c r="T271" s="229">
        <v>0</v>
      </c>
      <c r="U271" s="229">
        <f t="shared" si="25"/>
        <v>2701.8383327264178</v>
      </c>
      <c r="V271" s="229">
        <v>755.50662215533214</v>
      </c>
      <c r="W271" s="229">
        <v>30.968362418777303</v>
      </c>
      <c r="X271" s="358">
        <f t="shared" si="26"/>
        <v>4500</v>
      </c>
      <c r="Y271" s="325" t="b">
        <f t="shared" si="32"/>
        <v>1</v>
      </c>
    </row>
    <row r="272" spans="1:25">
      <c r="A272" s="16">
        <v>49</v>
      </c>
      <c r="B272" t="s">
        <v>288</v>
      </c>
      <c r="C272" t="s">
        <v>454</v>
      </c>
      <c r="E272" s="229">
        <v>500</v>
      </c>
      <c r="F272" s="229">
        <v>0</v>
      </c>
      <c r="G272" s="229">
        <v>0</v>
      </c>
      <c r="H272" s="229">
        <f t="shared" si="21"/>
        <v>500</v>
      </c>
      <c r="I272" s="229">
        <v>-50</v>
      </c>
      <c r="J272" s="229">
        <f t="shared" si="22"/>
        <v>450</v>
      </c>
      <c r="K272" s="364">
        <v>1</v>
      </c>
      <c r="L272" s="229">
        <f t="shared" si="23"/>
        <v>450</v>
      </c>
      <c r="N272" s="16"/>
      <c r="O272" s="229">
        <v>0</v>
      </c>
      <c r="P272" s="229">
        <v>0</v>
      </c>
      <c r="Q272" s="229">
        <v>0</v>
      </c>
      <c r="R272" s="229">
        <f t="shared" si="24"/>
        <v>0</v>
      </c>
      <c r="S272" s="229">
        <v>0</v>
      </c>
      <c r="T272" s="229">
        <v>0</v>
      </c>
      <c r="U272" s="229">
        <f t="shared" si="25"/>
        <v>0</v>
      </c>
      <c r="V272" s="229">
        <v>0</v>
      </c>
      <c r="W272" s="229">
        <f>+L272</f>
        <v>450</v>
      </c>
      <c r="X272" s="358">
        <f t="shared" si="26"/>
        <v>450</v>
      </c>
      <c r="Y272" s="325" t="b">
        <f t="shared" si="32"/>
        <v>1</v>
      </c>
    </row>
    <row r="273" spans="1:25">
      <c r="A273" s="16">
        <v>50</v>
      </c>
      <c r="B273" t="s">
        <v>288</v>
      </c>
      <c r="C273" t="s">
        <v>455</v>
      </c>
      <c r="E273" s="229">
        <v>1000</v>
      </c>
      <c r="F273" s="229">
        <v>0</v>
      </c>
      <c r="G273" s="229">
        <v>0</v>
      </c>
      <c r="H273" s="229">
        <f t="shared" si="21"/>
        <v>1000</v>
      </c>
      <c r="I273" s="229">
        <v>0</v>
      </c>
      <c r="J273" s="229">
        <f t="shared" si="22"/>
        <v>1000</v>
      </c>
      <c r="K273" s="364">
        <v>1</v>
      </c>
      <c r="L273" s="229">
        <f t="shared" si="23"/>
        <v>1000</v>
      </c>
      <c r="N273" s="16"/>
      <c r="O273" s="229">
        <v>0</v>
      </c>
      <c r="P273" s="229">
        <v>0</v>
      </c>
      <c r="Q273" s="229">
        <v>0</v>
      </c>
      <c r="R273" s="229">
        <f t="shared" si="24"/>
        <v>0</v>
      </c>
      <c r="S273" s="229">
        <v>0</v>
      </c>
      <c r="T273" s="229">
        <v>0</v>
      </c>
      <c r="U273" s="229">
        <f t="shared" si="25"/>
        <v>0</v>
      </c>
      <c r="V273" s="229">
        <v>0</v>
      </c>
      <c r="W273" s="229">
        <v>1000</v>
      </c>
      <c r="X273" s="358">
        <f t="shared" si="26"/>
        <v>1000</v>
      </c>
      <c r="Y273" s="325" t="b">
        <f t="shared" si="32"/>
        <v>1</v>
      </c>
    </row>
    <row r="274" spans="1:25">
      <c r="A274" s="16">
        <v>51</v>
      </c>
      <c r="B274" t="s">
        <v>288</v>
      </c>
      <c r="C274" t="s">
        <v>456</v>
      </c>
      <c r="E274" s="229">
        <v>600</v>
      </c>
      <c r="F274" s="229">
        <v>0</v>
      </c>
      <c r="G274" s="229">
        <v>0</v>
      </c>
      <c r="H274" s="229">
        <f t="shared" ref="H274:H337" si="35">+E274+F274+G274</f>
        <v>600</v>
      </c>
      <c r="I274" s="229">
        <v>-60</v>
      </c>
      <c r="J274" s="229">
        <f t="shared" ref="J274:J337" si="36">+H274+I274</f>
        <v>540</v>
      </c>
      <c r="K274" s="364">
        <v>1</v>
      </c>
      <c r="L274" s="229">
        <f t="shared" ref="L274:L337" si="37">+J274*K274</f>
        <v>540</v>
      </c>
      <c r="N274" s="16"/>
      <c r="O274" s="229">
        <v>0</v>
      </c>
      <c r="P274" s="229">
        <v>0</v>
      </c>
      <c r="Q274" s="229">
        <v>0</v>
      </c>
      <c r="R274" s="229">
        <f t="shared" ref="R274:R337" si="38">SUM(O274:Q274)</f>
        <v>0</v>
      </c>
      <c r="S274" s="229">
        <v>0</v>
      </c>
      <c r="T274" s="229">
        <v>0</v>
      </c>
      <c r="U274" s="229">
        <f t="shared" ref="U274:U337" si="39">SUM(S274:T274)</f>
        <v>0</v>
      </c>
      <c r="V274" s="229">
        <v>0</v>
      </c>
      <c r="W274" s="229">
        <f>+L274</f>
        <v>540</v>
      </c>
      <c r="X274" s="358">
        <f t="shared" ref="X274:X337" si="40">+O274+P274+Q274+S274+T274+V274+W274</f>
        <v>540</v>
      </c>
      <c r="Y274" s="325" t="b">
        <f t="shared" si="32"/>
        <v>1</v>
      </c>
    </row>
    <row r="275" spans="1:25">
      <c r="A275" s="16">
        <v>52</v>
      </c>
      <c r="B275" t="s">
        <v>288</v>
      </c>
      <c r="C275" t="s">
        <v>706</v>
      </c>
      <c r="E275" s="229">
        <v>1000</v>
      </c>
      <c r="F275" s="229">
        <v>0</v>
      </c>
      <c r="G275" s="229">
        <v>0</v>
      </c>
      <c r="H275" s="229">
        <f t="shared" si="35"/>
        <v>1000</v>
      </c>
      <c r="I275" s="229">
        <v>0</v>
      </c>
      <c r="J275" s="229">
        <f t="shared" si="36"/>
        <v>1000</v>
      </c>
      <c r="K275" s="364">
        <v>1</v>
      </c>
      <c r="L275" s="229">
        <f t="shared" si="37"/>
        <v>1000</v>
      </c>
      <c r="N275" s="16"/>
      <c r="O275" s="229">
        <v>0</v>
      </c>
      <c r="P275" s="229">
        <v>0</v>
      </c>
      <c r="Q275" s="229">
        <v>0</v>
      </c>
      <c r="R275" s="229">
        <f t="shared" si="38"/>
        <v>0</v>
      </c>
      <c r="S275" s="229">
        <v>0</v>
      </c>
      <c r="T275" s="229">
        <v>0</v>
      </c>
      <c r="U275" s="229">
        <f t="shared" si="39"/>
        <v>0</v>
      </c>
      <c r="V275" s="229">
        <v>0</v>
      </c>
      <c r="W275" s="229">
        <v>1000</v>
      </c>
      <c r="X275" s="358">
        <f t="shared" si="40"/>
        <v>1000</v>
      </c>
      <c r="Y275" s="325" t="b">
        <f t="shared" si="32"/>
        <v>1</v>
      </c>
    </row>
    <row r="276" spans="1:25">
      <c r="A276" s="16">
        <v>53</v>
      </c>
      <c r="B276" t="s">
        <v>288</v>
      </c>
      <c r="C276" t="s">
        <v>457</v>
      </c>
      <c r="E276" s="229">
        <v>30000</v>
      </c>
      <c r="F276" s="229">
        <v>0</v>
      </c>
      <c r="G276" s="229">
        <v>0</v>
      </c>
      <c r="H276" s="229">
        <f t="shared" si="35"/>
        <v>30000</v>
      </c>
      <c r="I276" s="229">
        <v>0</v>
      </c>
      <c r="J276" s="229">
        <f t="shared" si="36"/>
        <v>30000</v>
      </c>
      <c r="K276" s="364">
        <v>1</v>
      </c>
      <c r="L276" s="229">
        <f t="shared" si="37"/>
        <v>30000</v>
      </c>
      <c r="N276" s="16"/>
      <c r="O276" s="229">
        <v>6744</v>
      </c>
      <c r="P276" s="229">
        <v>0</v>
      </c>
      <c r="Q276" s="229">
        <v>0</v>
      </c>
      <c r="R276" s="229">
        <f t="shared" si="38"/>
        <v>6744</v>
      </c>
      <c r="S276" s="229">
        <v>18012</v>
      </c>
      <c r="T276" s="229">
        <v>0</v>
      </c>
      <c r="U276" s="229">
        <f t="shared" si="39"/>
        <v>18012</v>
      </c>
      <c r="V276" s="229">
        <v>5037</v>
      </c>
      <c r="W276" s="229">
        <v>207</v>
      </c>
      <c r="X276" s="358">
        <f t="shared" si="40"/>
        <v>30000</v>
      </c>
      <c r="Y276" s="325" t="b">
        <f t="shared" si="32"/>
        <v>1</v>
      </c>
    </row>
    <row r="277" spans="1:25">
      <c r="A277" s="16">
        <v>54</v>
      </c>
      <c r="B277" t="s">
        <v>288</v>
      </c>
      <c r="C277" t="s">
        <v>458</v>
      </c>
      <c r="E277" s="229">
        <v>6000</v>
      </c>
      <c r="F277" s="229">
        <v>0</v>
      </c>
      <c r="G277" s="229">
        <v>0</v>
      </c>
      <c r="H277" s="229">
        <f t="shared" si="35"/>
        <v>6000</v>
      </c>
      <c r="I277" s="229">
        <v>0</v>
      </c>
      <c r="J277" s="229">
        <f t="shared" si="36"/>
        <v>6000</v>
      </c>
      <c r="K277" s="364">
        <v>1</v>
      </c>
      <c r="L277" s="229">
        <f t="shared" si="37"/>
        <v>6000</v>
      </c>
      <c r="N277" s="16"/>
      <c r="O277" s="229">
        <v>0</v>
      </c>
      <c r="P277" s="229">
        <v>0</v>
      </c>
      <c r="Q277" s="229">
        <v>0</v>
      </c>
      <c r="R277" s="229">
        <f t="shared" si="38"/>
        <v>0</v>
      </c>
      <c r="S277" s="229">
        <v>0</v>
      </c>
      <c r="T277" s="229">
        <v>0</v>
      </c>
      <c r="U277" s="229">
        <f t="shared" si="39"/>
        <v>0</v>
      </c>
      <c r="V277" s="229">
        <v>0</v>
      </c>
      <c r="W277" s="229">
        <v>6000</v>
      </c>
      <c r="X277" s="358">
        <f t="shared" si="40"/>
        <v>6000</v>
      </c>
      <c r="Y277" s="325" t="b">
        <f t="shared" si="32"/>
        <v>1</v>
      </c>
    </row>
    <row r="278" spans="1:25">
      <c r="A278" s="16">
        <v>55</v>
      </c>
      <c r="B278" t="s">
        <v>288</v>
      </c>
      <c r="C278" t="s">
        <v>938</v>
      </c>
      <c r="E278" s="229">
        <v>750</v>
      </c>
      <c r="F278" s="229">
        <v>0</v>
      </c>
      <c r="G278" s="229">
        <v>0</v>
      </c>
      <c r="H278" s="229">
        <f t="shared" si="35"/>
        <v>750</v>
      </c>
      <c r="I278" s="229">
        <v>-750</v>
      </c>
      <c r="J278" s="229">
        <f t="shared" si="36"/>
        <v>0</v>
      </c>
      <c r="K278" s="364">
        <v>1</v>
      </c>
      <c r="L278" s="229">
        <f t="shared" si="37"/>
        <v>0</v>
      </c>
      <c r="N278" s="16"/>
      <c r="O278" s="229">
        <v>0</v>
      </c>
      <c r="P278" s="229">
        <v>0</v>
      </c>
      <c r="Q278" s="229">
        <v>0</v>
      </c>
      <c r="R278" s="229">
        <f t="shared" si="38"/>
        <v>0</v>
      </c>
      <c r="S278" s="229">
        <v>0</v>
      </c>
      <c r="T278" s="229">
        <v>0</v>
      </c>
      <c r="U278" s="229">
        <f t="shared" si="39"/>
        <v>0</v>
      </c>
      <c r="V278" s="229">
        <v>0</v>
      </c>
      <c r="W278" s="229">
        <f>+L278</f>
        <v>0</v>
      </c>
      <c r="X278" s="358">
        <f t="shared" si="40"/>
        <v>0</v>
      </c>
      <c r="Y278" s="325" t="b">
        <f t="shared" si="32"/>
        <v>1</v>
      </c>
    </row>
    <row r="279" spans="1:25">
      <c r="A279" s="16">
        <v>56</v>
      </c>
      <c r="B279" t="s">
        <v>288</v>
      </c>
      <c r="C279" t="s">
        <v>939</v>
      </c>
      <c r="E279" s="229">
        <v>500</v>
      </c>
      <c r="F279" s="229">
        <v>0</v>
      </c>
      <c r="G279" s="229">
        <v>0</v>
      </c>
      <c r="H279" s="229">
        <f t="shared" si="35"/>
        <v>500</v>
      </c>
      <c r="I279" s="229">
        <v>0</v>
      </c>
      <c r="J279" s="229">
        <f t="shared" si="36"/>
        <v>500</v>
      </c>
      <c r="K279" s="364">
        <v>1</v>
      </c>
      <c r="L279" s="229">
        <f t="shared" si="37"/>
        <v>500</v>
      </c>
      <c r="N279" s="16"/>
      <c r="O279" s="229">
        <v>0</v>
      </c>
      <c r="P279" s="229">
        <v>0</v>
      </c>
      <c r="Q279" s="229">
        <v>0</v>
      </c>
      <c r="R279" s="229">
        <f t="shared" si="38"/>
        <v>0</v>
      </c>
      <c r="S279" s="229">
        <v>0</v>
      </c>
      <c r="T279" s="229">
        <v>0</v>
      </c>
      <c r="U279" s="229">
        <f t="shared" si="39"/>
        <v>0</v>
      </c>
      <c r="V279" s="229">
        <v>0</v>
      </c>
      <c r="W279" s="229">
        <v>500</v>
      </c>
      <c r="X279" s="358">
        <f t="shared" si="40"/>
        <v>500</v>
      </c>
      <c r="Y279" s="325" t="b">
        <f t="shared" si="32"/>
        <v>1</v>
      </c>
    </row>
    <row r="280" spans="1:25">
      <c r="A280" s="16">
        <v>57</v>
      </c>
      <c r="B280" t="s">
        <v>288</v>
      </c>
      <c r="C280" t="s">
        <v>940</v>
      </c>
      <c r="E280" s="229">
        <v>700</v>
      </c>
      <c r="F280" s="229">
        <v>0</v>
      </c>
      <c r="G280" s="229">
        <v>0</v>
      </c>
      <c r="H280" s="229">
        <f t="shared" si="35"/>
        <v>700</v>
      </c>
      <c r="I280" s="229">
        <v>0</v>
      </c>
      <c r="J280" s="229">
        <f t="shared" si="36"/>
        <v>700</v>
      </c>
      <c r="K280" s="364">
        <v>1</v>
      </c>
      <c r="L280" s="229">
        <f t="shared" si="37"/>
        <v>700</v>
      </c>
      <c r="N280" s="16"/>
      <c r="O280" s="229">
        <v>0</v>
      </c>
      <c r="P280" s="229">
        <v>0</v>
      </c>
      <c r="Q280" s="229">
        <v>0</v>
      </c>
      <c r="R280" s="229">
        <f t="shared" si="38"/>
        <v>0</v>
      </c>
      <c r="S280" s="229">
        <v>0</v>
      </c>
      <c r="T280" s="229">
        <v>0</v>
      </c>
      <c r="U280" s="229">
        <f t="shared" si="39"/>
        <v>0</v>
      </c>
      <c r="V280" s="229">
        <v>0</v>
      </c>
      <c r="W280" s="229">
        <v>700</v>
      </c>
      <c r="X280" s="358">
        <f t="shared" si="40"/>
        <v>700</v>
      </c>
      <c r="Y280" s="325" t="b">
        <f t="shared" si="32"/>
        <v>1</v>
      </c>
    </row>
    <row r="281" spans="1:25">
      <c r="A281" s="16">
        <v>58</v>
      </c>
      <c r="B281" t="s">
        <v>288</v>
      </c>
      <c r="C281" t="s">
        <v>707</v>
      </c>
      <c r="E281" s="229">
        <v>500</v>
      </c>
      <c r="F281" s="229">
        <v>0</v>
      </c>
      <c r="G281" s="229">
        <v>0</v>
      </c>
      <c r="H281" s="229">
        <f t="shared" si="35"/>
        <v>500</v>
      </c>
      <c r="I281" s="229">
        <v>-50</v>
      </c>
      <c r="J281" s="229">
        <f t="shared" si="36"/>
        <v>450</v>
      </c>
      <c r="K281" s="364">
        <v>1</v>
      </c>
      <c r="L281" s="229">
        <f t="shared" si="37"/>
        <v>450</v>
      </c>
      <c r="N281" s="16"/>
      <c r="O281" s="229">
        <v>0</v>
      </c>
      <c r="P281" s="229">
        <v>0</v>
      </c>
      <c r="Q281" s="229">
        <v>0</v>
      </c>
      <c r="R281" s="229">
        <f t="shared" si="38"/>
        <v>0</v>
      </c>
      <c r="S281" s="229">
        <v>0</v>
      </c>
      <c r="T281" s="229">
        <v>0</v>
      </c>
      <c r="U281" s="229">
        <f t="shared" si="39"/>
        <v>0</v>
      </c>
      <c r="V281" s="229">
        <v>0</v>
      </c>
      <c r="W281" s="229">
        <f>+L281</f>
        <v>450</v>
      </c>
      <c r="X281" s="358">
        <f t="shared" si="40"/>
        <v>450</v>
      </c>
      <c r="Y281" s="325" t="b">
        <f t="shared" si="32"/>
        <v>1</v>
      </c>
    </row>
    <row r="282" spans="1:25">
      <c r="A282" s="16">
        <v>59</v>
      </c>
      <c r="B282" t="s">
        <v>288</v>
      </c>
      <c r="C282" t="s">
        <v>941</v>
      </c>
      <c r="E282" s="229">
        <v>1000</v>
      </c>
      <c r="F282" s="229">
        <v>0</v>
      </c>
      <c r="G282" s="229">
        <v>0</v>
      </c>
      <c r="H282" s="229">
        <f t="shared" si="35"/>
        <v>1000</v>
      </c>
      <c r="I282" s="229">
        <v>0</v>
      </c>
      <c r="J282" s="229">
        <f t="shared" si="36"/>
        <v>1000</v>
      </c>
      <c r="K282" s="364">
        <v>1</v>
      </c>
      <c r="L282" s="229">
        <f t="shared" si="37"/>
        <v>1000</v>
      </c>
      <c r="N282" s="16"/>
      <c r="O282" s="229">
        <v>0</v>
      </c>
      <c r="P282" s="229">
        <v>0</v>
      </c>
      <c r="Q282" s="229">
        <v>0</v>
      </c>
      <c r="R282" s="229">
        <f t="shared" si="38"/>
        <v>0</v>
      </c>
      <c r="S282" s="229">
        <v>0</v>
      </c>
      <c r="T282" s="229">
        <v>0</v>
      </c>
      <c r="U282" s="229">
        <f t="shared" si="39"/>
        <v>0</v>
      </c>
      <c r="V282" s="229">
        <v>0</v>
      </c>
      <c r="W282" s="229">
        <v>1000</v>
      </c>
      <c r="X282" s="358">
        <f t="shared" si="40"/>
        <v>1000</v>
      </c>
      <c r="Y282" s="325" t="b">
        <f t="shared" si="32"/>
        <v>1</v>
      </c>
    </row>
    <row r="283" spans="1:25">
      <c r="A283" s="16">
        <v>60</v>
      </c>
      <c r="B283" t="s">
        <v>288</v>
      </c>
      <c r="C283" t="s">
        <v>646</v>
      </c>
      <c r="E283" s="229">
        <v>6480</v>
      </c>
      <c r="F283" s="229">
        <v>0</v>
      </c>
      <c r="G283" s="229">
        <v>0</v>
      </c>
      <c r="H283" s="229">
        <f t="shared" si="35"/>
        <v>6480</v>
      </c>
      <c r="I283" s="229">
        <v>-648</v>
      </c>
      <c r="J283" s="229">
        <f t="shared" si="36"/>
        <v>5832</v>
      </c>
      <c r="K283" s="364">
        <v>1</v>
      </c>
      <c r="L283" s="229">
        <f t="shared" si="37"/>
        <v>5832</v>
      </c>
      <c r="N283" s="16"/>
      <c r="O283" s="229">
        <v>0</v>
      </c>
      <c r="P283" s="229">
        <v>0</v>
      </c>
      <c r="Q283" s="229">
        <v>0</v>
      </c>
      <c r="R283" s="229">
        <f t="shared" si="38"/>
        <v>0</v>
      </c>
      <c r="S283" s="229">
        <v>0</v>
      </c>
      <c r="T283" s="229">
        <v>0</v>
      </c>
      <c r="U283" s="229">
        <f t="shared" si="39"/>
        <v>0</v>
      </c>
      <c r="V283" s="229">
        <v>0</v>
      </c>
      <c r="W283" s="229">
        <f t="shared" ref="W283:W284" si="41">+L283</f>
        <v>5832</v>
      </c>
      <c r="X283" s="358">
        <f t="shared" si="40"/>
        <v>5832</v>
      </c>
      <c r="Y283" s="325" t="b">
        <f t="shared" si="32"/>
        <v>1</v>
      </c>
    </row>
    <row r="284" spans="1:25">
      <c r="A284" s="16">
        <v>61</v>
      </c>
      <c r="B284" t="s">
        <v>288</v>
      </c>
      <c r="C284" t="s">
        <v>708</v>
      </c>
      <c r="E284" s="229">
        <v>795</v>
      </c>
      <c r="F284" s="229">
        <v>0</v>
      </c>
      <c r="G284" s="229">
        <v>0</v>
      </c>
      <c r="H284" s="229">
        <f t="shared" si="35"/>
        <v>795</v>
      </c>
      <c r="I284" s="229">
        <v>-79.5</v>
      </c>
      <c r="J284" s="229">
        <f t="shared" si="36"/>
        <v>715.5</v>
      </c>
      <c r="K284" s="364">
        <v>1</v>
      </c>
      <c r="L284" s="229">
        <f t="shared" si="37"/>
        <v>715.5</v>
      </c>
      <c r="N284" s="16"/>
      <c r="O284" s="229">
        <v>0</v>
      </c>
      <c r="P284" s="229">
        <v>0</v>
      </c>
      <c r="Q284" s="229">
        <v>0</v>
      </c>
      <c r="R284" s="229">
        <f t="shared" si="38"/>
        <v>0</v>
      </c>
      <c r="S284" s="229">
        <v>0</v>
      </c>
      <c r="T284" s="229">
        <v>0</v>
      </c>
      <c r="U284" s="229">
        <f t="shared" si="39"/>
        <v>0</v>
      </c>
      <c r="V284" s="229">
        <v>0</v>
      </c>
      <c r="W284" s="229">
        <f t="shared" si="41"/>
        <v>715.5</v>
      </c>
      <c r="X284" s="358">
        <f t="shared" si="40"/>
        <v>715.5</v>
      </c>
      <c r="Y284" s="325" t="b">
        <f t="shared" si="32"/>
        <v>1</v>
      </c>
    </row>
    <row r="285" spans="1:25">
      <c r="A285" s="16">
        <v>62</v>
      </c>
      <c r="B285" t="s">
        <v>288</v>
      </c>
      <c r="C285" t="s">
        <v>647</v>
      </c>
      <c r="E285" s="229">
        <v>4800</v>
      </c>
      <c r="F285" s="229">
        <v>0</v>
      </c>
      <c r="G285" s="229">
        <v>0</v>
      </c>
      <c r="H285" s="229">
        <f t="shared" si="35"/>
        <v>4800</v>
      </c>
      <c r="I285" s="229">
        <v>0</v>
      </c>
      <c r="J285" s="229">
        <f t="shared" si="36"/>
        <v>4800</v>
      </c>
      <c r="K285" s="364">
        <v>1</v>
      </c>
      <c r="L285" s="229">
        <f t="shared" si="37"/>
        <v>4800</v>
      </c>
      <c r="N285" s="16"/>
      <c r="O285" s="229">
        <v>1079.04</v>
      </c>
      <c r="P285" s="229">
        <v>0</v>
      </c>
      <c r="Q285" s="229">
        <v>0</v>
      </c>
      <c r="R285" s="229">
        <f t="shared" si="38"/>
        <v>1079.04</v>
      </c>
      <c r="S285" s="229">
        <v>2881.92</v>
      </c>
      <c r="T285" s="229">
        <v>0</v>
      </c>
      <c r="U285" s="229">
        <f t="shared" si="39"/>
        <v>2881.92</v>
      </c>
      <c r="V285" s="229">
        <v>805.92</v>
      </c>
      <c r="W285" s="229">
        <v>33.119999999999997</v>
      </c>
      <c r="X285" s="358">
        <f t="shared" si="40"/>
        <v>4800</v>
      </c>
      <c r="Y285" s="325" t="b">
        <f t="shared" si="32"/>
        <v>1</v>
      </c>
    </row>
    <row r="286" spans="1:25">
      <c r="A286" s="16">
        <v>63</v>
      </c>
      <c r="B286" t="s">
        <v>288</v>
      </c>
      <c r="C286" t="s">
        <v>1015</v>
      </c>
      <c r="E286" s="229">
        <v>305</v>
      </c>
      <c r="F286" s="229">
        <v>0</v>
      </c>
      <c r="G286" s="229">
        <v>0</v>
      </c>
      <c r="H286" s="229">
        <f t="shared" si="35"/>
        <v>305</v>
      </c>
      <c r="I286" s="229">
        <v>0</v>
      </c>
      <c r="J286" s="229">
        <f t="shared" si="36"/>
        <v>305</v>
      </c>
      <c r="K286" s="364">
        <v>1</v>
      </c>
      <c r="L286" s="229">
        <f t="shared" si="37"/>
        <v>305</v>
      </c>
      <c r="N286" s="16"/>
      <c r="O286" s="229">
        <v>68.56</v>
      </c>
      <c r="P286" s="229">
        <v>0</v>
      </c>
      <c r="Q286" s="229">
        <v>0</v>
      </c>
      <c r="R286" s="229">
        <f t="shared" si="38"/>
        <v>68.56</v>
      </c>
      <c r="S286" s="229">
        <v>183.13</v>
      </c>
      <c r="T286" s="229">
        <v>0</v>
      </c>
      <c r="U286" s="229">
        <f t="shared" si="39"/>
        <v>183.13</v>
      </c>
      <c r="V286" s="229">
        <v>51.21</v>
      </c>
      <c r="W286" s="229">
        <v>2.1</v>
      </c>
      <c r="X286" s="358">
        <f t="shared" si="40"/>
        <v>305</v>
      </c>
      <c r="Y286" s="325" t="b">
        <f t="shared" si="32"/>
        <v>1</v>
      </c>
    </row>
    <row r="287" spans="1:25">
      <c r="A287" s="16">
        <v>64</v>
      </c>
      <c r="B287" t="s">
        <v>288</v>
      </c>
      <c r="C287" t="s">
        <v>459</v>
      </c>
      <c r="E287" s="229">
        <v>2500</v>
      </c>
      <c r="F287" s="229">
        <v>0</v>
      </c>
      <c r="G287" s="229">
        <v>0</v>
      </c>
      <c r="H287" s="229">
        <f t="shared" si="35"/>
        <v>2500</v>
      </c>
      <c r="I287" s="229">
        <v>0</v>
      </c>
      <c r="J287" s="229">
        <f t="shared" si="36"/>
        <v>2500</v>
      </c>
      <c r="K287" s="364">
        <v>1</v>
      </c>
      <c r="L287" s="229">
        <f t="shared" si="37"/>
        <v>2500</v>
      </c>
      <c r="N287" s="16"/>
      <c r="O287" s="229">
        <v>0</v>
      </c>
      <c r="P287" s="229">
        <v>0</v>
      </c>
      <c r="Q287" s="229">
        <v>0</v>
      </c>
      <c r="R287" s="229">
        <f t="shared" si="38"/>
        <v>0</v>
      </c>
      <c r="S287" s="229">
        <v>0</v>
      </c>
      <c r="T287" s="229">
        <v>0</v>
      </c>
      <c r="U287" s="229">
        <f t="shared" si="39"/>
        <v>0</v>
      </c>
      <c r="V287" s="229">
        <v>0</v>
      </c>
      <c r="W287" s="229">
        <v>2500</v>
      </c>
      <c r="X287" s="358">
        <f t="shared" si="40"/>
        <v>2500</v>
      </c>
      <c r="Y287" s="325" t="b">
        <f t="shared" si="32"/>
        <v>1</v>
      </c>
    </row>
    <row r="288" spans="1:25">
      <c r="A288" s="16">
        <v>65</v>
      </c>
      <c r="B288" t="s">
        <v>288</v>
      </c>
      <c r="C288" t="s">
        <v>709</v>
      </c>
      <c r="E288" s="229">
        <v>1500</v>
      </c>
      <c r="F288" s="229">
        <v>0</v>
      </c>
      <c r="G288" s="229">
        <v>0</v>
      </c>
      <c r="H288" s="229">
        <f t="shared" si="35"/>
        <v>1500</v>
      </c>
      <c r="I288" s="229">
        <v>-150</v>
      </c>
      <c r="J288" s="229">
        <f t="shared" si="36"/>
        <v>1350</v>
      </c>
      <c r="K288" s="364">
        <v>1</v>
      </c>
      <c r="L288" s="229">
        <f t="shared" si="37"/>
        <v>1350</v>
      </c>
      <c r="N288" s="16"/>
      <c r="O288" s="229">
        <v>0</v>
      </c>
      <c r="P288" s="229">
        <v>0</v>
      </c>
      <c r="Q288" s="229">
        <v>0</v>
      </c>
      <c r="R288" s="229">
        <f t="shared" si="38"/>
        <v>0</v>
      </c>
      <c r="S288" s="229">
        <v>0</v>
      </c>
      <c r="T288" s="229">
        <v>0</v>
      </c>
      <c r="U288" s="229">
        <f t="shared" si="39"/>
        <v>0</v>
      </c>
      <c r="V288" s="229">
        <v>0</v>
      </c>
      <c r="W288" s="229">
        <f>+L288</f>
        <v>1350</v>
      </c>
      <c r="X288" s="358">
        <f t="shared" si="40"/>
        <v>1350</v>
      </c>
      <c r="Y288" s="325" t="b">
        <f t="shared" si="32"/>
        <v>1</v>
      </c>
    </row>
    <row r="289" spans="1:25">
      <c r="A289" s="16">
        <v>66</v>
      </c>
      <c r="B289" t="s">
        <v>288</v>
      </c>
      <c r="C289" t="s">
        <v>460</v>
      </c>
      <c r="E289" s="229">
        <v>1000</v>
      </c>
      <c r="F289" s="229">
        <v>0</v>
      </c>
      <c r="G289" s="229">
        <v>0</v>
      </c>
      <c r="H289" s="229">
        <f t="shared" si="35"/>
        <v>1000</v>
      </c>
      <c r="I289" s="229">
        <v>0</v>
      </c>
      <c r="J289" s="229">
        <f t="shared" si="36"/>
        <v>1000</v>
      </c>
      <c r="K289" s="364">
        <v>1</v>
      </c>
      <c r="L289" s="229">
        <f t="shared" si="37"/>
        <v>1000</v>
      </c>
      <c r="N289" s="16"/>
      <c r="O289" s="229">
        <v>0</v>
      </c>
      <c r="P289" s="229">
        <v>0</v>
      </c>
      <c r="Q289" s="229">
        <v>0</v>
      </c>
      <c r="R289" s="229">
        <f t="shared" si="38"/>
        <v>0</v>
      </c>
      <c r="S289" s="229">
        <v>0</v>
      </c>
      <c r="T289" s="229">
        <v>0</v>
      </c>
      <c r="U289" s="229">
        <f t="shared" si="39"/>
        <v>0</v>
      </c>
      <c r="V289" s="229">
        <v>0</v>
      </c>
      <c r="W289" s="229">
        <v>1000</v>
      </c>
      <c r="X289" s="358">
        <f t="shared" si="40"/>
        <v>1000</v>
      </c>
      <c r="Y289" s="325" t="b">
        <f t="shared" si="32"/>
        <v>1</v>
      </c>
    </row>
    <row r="290" spans="1:25">
      <c r="A290" s="16">
        <v>67</v>
      </c>
      <c r="B290" t="s">
        <v>288</v>
      </c>
      <c r="C290" t="s">
        <v>942</v>
      </c>
      <c r="E290" s="229">
        <v>4000</v>
      </c>
      <c r="F290" s="229">
        <v>0</v>
      </c>
      <c r="G290" s="229">
        <v>0</v>
      </c>
      <c r="H290" s="229">
        <f t="shared" si="35"/>
        <v>4000</v>
      </c>
      <c r="I290" s="229">
        <v>0</v>
      </c>
      <c r="J290" s="229">
        <f t="shared" si="36"/>
        <v>4000</v>
      </c>
      <c r="K290" s="364">
        <v>1</v>
      </c>
      <c r="L290" s="229">
        <f t="shared" si="37"/>
        <v>4000</v>
      </c>
      <c r="N290" s="16"/>
      <c r="O290" s="229">
        <v>0</v>
      </c>
      <c r="P290" s="229">
        <v>0</v>
      </c>
      <c r="Q290" s="229">
        <v>0</v>
      </c>
      <c r="R290" s="229">
        <f t="shared" si="38"/>
        <v>0</v>
      </c>
      <c r="S290" s="229">
        <v>0</v>
      </c>
      <c r="T290" s="229">
        <v>0</v>
      </c>
      <c r="U290" s="229">
        <f t="shared" si="39"/>
        <v>0</v>
      </c>
      <c r="V290" s="229">
        <v>0</v>
      </c>
      <c r="W290" s="229">
        <v>4000</v>
      </c>
      <c r="X290" s="358">
        <f t="shared" si="40"/>
        <v>4000</v>
      </c>
      <c r="Y290" s="325" t="b">
        <f t="shared" si="32"/>
        <v>1</v>
      </c>
    </row>
    <row r="291" spans="1:25">
      <c r="A291" s="16">
        <v>68</v>
      </c>
      <c r="B291" t="s">
        <v>288</v>
      </c>
      <c r="C291" t="s">
        <v>461</v>
      </c>
      <c r="E291" s="229">
        <v>700</v>
      </c>
      <c r="F291" s="229">
        <v>0</v>
      </c>
      <c r="G291" s="229">
        <v>0</v>
      </c>
      <c r="H291" s="229">
        <f t="shared" si="35"/>
        <v>700</v>
      </c>
      <c r="I291" s="229">
        <v>-70</v>
      </c>
      <c r="J291" s="229">
        <f t="shared" si="36"/>
        <v>630</v>
      </c>
      <c r="K291" s="364">
        <v>1</v>
      </c>
      <c r="L291" s="229">
        <f t="shared" si="37"/>
        <v>630</v>
      </c>
      <c r="N291" s="16"/>
      <c r="O291" s="229">
        <v>0</v>
      </c>
      <c r="P291" s="229">
        <v>0</v>
      </c>
      <c r="Q291" s="229">
        <v>0</v>
      </c>
      <c r="R291" s="229">
        <f t="shared" si="38"/>
        <v>0</v>
      </c>
      <c r="S291" s="229">
        <v>0</v>
      </c>
      <c r="T291" s="229">
        <v>0</v>
      </c>
      <c r="U291" s="229">
        <f t="shared" si="39"/>
        <v>0</v>
      </c>
      <c r="V291" s="229">
        <v>0</v>
      </c>
      <c r="W291" s="229">
        <f t="shared" ref="W291:W292" si="42">+L291</f>
        <v>630</v>
      </c>
      <c r="X291" s="358">
        <f t="shared" si="40"/>
        <v>630</v>
      </c>
      <c r="Y291" s="325" t="b">
        <f t="shared" si="32"/>
        <v>1</v>
      </c>
    </row>
    <row r="292" spans="1:25">
      <c r="A292" s="16">
        <v>69</v>
      </c>
      <c r="B292" t="s">
        <v>288</v>
      </c>
      <c r="C292" t="s">
        <v>432</v>
      </c>
      <c r="E292" s="229">
        <v>15750</v>
      </c>
      <c r="F292" s="229">
        <v>0</v>
      </c>
      <c r="G292" s="229">
        <v>0</v>
      </c>
      <c r="H292" s="229">
        <f t="shared" si="35"/>
        <v>15750</v>
      </c>
      <c r="I292" s="229">
        <v>-75</v>
      </c>
      <c r="J292" s="229">
        <f t="shared" si="36"/>
        <v>15675</v>
      </c>
      <c r="K292" s="364">
        <v>1</v>
      </c>
      <c r="L292" s="229">
        <f t="shared" si="37"/>
        <v>15675</v>
      </c>
      <c r="N292" s="16"/>
      <c r="O292" s="229">
        <v>0</v>
      </c>
      <c r="P292" s="229">
        <v>0</v>
      </c>
      <c r="Q292" s="229">
        <v>0</v>
      </c>
      <c r="R292" s="229">
        <f t="shared" si="38"/>
        <v>0</v>
      </c>
      <c r="S292" s="229">
        <v>0</v>
      </c>
      <c r="T292" s="229">
        <v>0</v>
      </c>
      <c r="U292" s="229">
        <f t="shared" si="39"/>
        <v>0</v>
      </c>
      <c r="V292" s="229">
        <v>0</v>
      </c>
      <c r="W292" s="229">
        <f t="shared" si="42"/>
        <v>15675</v>
      </c>
      <c r="X292" s="358">
        <f t="shared" si="40"/>
        <v>15675</v>
      </c>
      <c r="Y292" s="325" t="b">
        <f t="shared" si="32"/>
        <v>1</v>
      </c>
    </row>
    <row r="293" spans="1:25">
      <c r="A293" s="16">
        <v>70</v>
      </c>
      <c r="B293" t="s">
        <v>288</v>
      </c>
      <c r="C293" t="s">
        <v>661</v>
      </c>
      <c r="E293" s="229">
        <v>16525</v>
      </c>
      <c r="F293" s="229">
        <v>0</v>
      </c>
      <c r="G293" s="229">
        <v>0</v>
      </c>
      <c r="H293" s="229">
        <f t="shared" si="35"/>
        <v>16525</v>
      </c>
      <c r="I293" s="229">
        <v>0</v>
      </c>
      <c r="J293" s="229">
        <f t="shared" si="36"/>
        <v>16525</v>
      </c>
      <c r="K293" s="364">
        <v>1</v>
      </c>
      <c r="L293" s="229">
        <f t="shared" si="37"/>
        <v>16525</v>
      </c>
      <c r="N293" s="16"/>
      <c r="O293" s="229">
        <v>0</v>
      </c>
      <c r="P293" s="229">
        <v>0</v>
      </c>
      <c r="Q293" s="229">
        <v>0</v>
      </c>
      <c r="R293" s="229">
        <f t="shared" si="38"/>
        <v>0</v>
      </c>
      <c r="S293" s="229">
        <v>0</v>
      </c>
      <c r="T293" s="229">
        <v>0</v>
      </c>
      <c r="U293" s="229">
        <f t="shared" si="39"/>
        <v>0</v>
      </c>
      <c r="V293" s="229">
        <v>0</v>
      </c>
      <c r="W293" s="229">
        <v>16525</v>
      </c>
      <c r="X293" s="358">
        <f t="shared" si="40"/>
        <v>16525</v>
      </c>
      <c r="Y293" s="325" t="b">
        <f t="shared" si="32"/>
        <v>1</v>
      </c>
    </row>
    <row r="294" spans="1:25">
      <c r="A294" s="16">
        <v>71</v>
      </c>
      <c r="B294" t="s">
        <v>288</v>
      </c>
      <c r="C294" t="s">
        <v>943</v>
      </c>
      <c r="E294" s="229">
        <v>1000</v>
      </c>
      <c r="F294" s="229">
        <v>0</v>
      </c>
      <c r="G294" s="229">
        <v>0</v>
      </c>
      <c r="H294" s="229">
        <f t="shared" si="35"/>
        <v>1000</v>
      </c>
      <c r="I294" s="229">
        <v>0</v>
      </c>
      <c r="J294" s="229">
        <f t="shared" si="36"/>
        <v>1000</v>
      </c>
      <c r="K294" s="364">
        <v>1</v>
      </c>
      <c r="L294" s="229">
        <f t="shared" si="37"/>
        <v>1000</v>
      </c>
      <c r="N294" s="16"/>
      <c r="O294" s="229">
        <v>0</v>
      </c>
      <c r="P294" s="229">
        <v>0</v>
      </c>
      <c r="Q294" s="229">
        <v>0</v>
      </c>
      <c r="R294" s="229">
        <f t="shared" si="38"/>
        <v>0</v>
      </c>
      <c r="S294" s="229">
        <v>0</v>
      </c>
      <c r="T294" s="229">
        <v>0</v>
      </c>
      <c r="U294" s="229">
        <f t="shared" si="39"/>
        <v>0</v>
      </c>
      <c r="V294" s="229">
        <v>0</v>
      </c>
      <c r="W294" s="229">
        <v>1000</v>
      </c>
      <c r="X294" s="358">
        <f t="shared" si="40"/>
        <v>1000</v>
      </c>
      <c r="Y294" s="325" t="b">
        <f t="shared" si="32"/>
        <v>1</v>
      </c>
    </row>
    <row r="295" spans="1:25">
      <c r="A295" s="16">
        <v>72</v>
      </c>
      <c r="B295" t="s">
        <v>288</v>
      </c>
      <c r="C295" t="s">
        <v>710</v>
      </c>
      <c r="E295" s="229">
        <v>2400</v>
      </c>
      <c r="F295" s="229">
        <v>0</v>
      </c>
      <c r="G295" s="229">
        <v>0</v>
      </c>
      <c r="H295" s="229">
        <f t="shared" si="35"/>
        <v>2400</v>
      </c>
      <c r="I295" s="229">
        <v>0</v>
      </c>
      <c r="J295" s="229">
        <f t="shared" si="36"/>
        <v>2400</v>
      </c>
      <c r="K295" s="364">
        <v>1</v>
      </c>
      <c r="L295" s="229">
        <f t="shared" si="37"/>
        <v>2400</v>
      </c>
      <c r="N295" s="16"/>
      <c r="O295" s="229">
        <v>0</v>
      </c>
      <c r="P295" s="229">
        <v>0</v>
      </c>
      <c r="Q295" s="229">
        <v>0</v>
      </c>
      <c r="R295" s="229">
        <f t="shared" si="38"/>
        <v>0</v>
      </c>
      <c r="S295" s="229">
        <v>0</v>
      </c>
      <c r="T295" s="229">
        <v>0</v>
      </c>
      <c r="U295" s="229">
        <f t="shared" si="39"/>
        <v>0</v>
      </c>
      <c r="V295" s="229">
        <v>0</v>
      </c>
      <c r="W295" s="229">
        <v>2400</v>
      </c>
      <c r="X295" s="358">
        <f t="shared" si="40"/>
        <v>2400</v>
      </c>
      <c r="Y295" s="325" t="b">
        <f t="shared" si="32"/>
        <v>1</v>
      </c>
    </row>
    <row r="296" spans="1:25">
      <c r="A296" s="16">
        <v>73</v>
      </c>
      <c r="B296" t="s">
        <v>288</v>
      </c>
      <c r="C296" t="s">
        <v>462</v>
      </c>
      <c r="E296" s="229">
        <v>2150</v>
      </c>
      <c r="F296" s="229">
        <v>0</v>
      </c>
      <c r="G296" s="229">
        <v>0</v>
      </c>
      <c r="H296" s="229">
        <f t="shared" si="35"/>
        <v>2150</v>
      </c>
      <c r="I296" s="229">
        <v>-60</v>
      </c>
      <c r="J296" s="229">
        <f t="shared" si="36"/>
        <v>2090</v>
      </c>
      <c r="K296" s="364">
        <v>1</v>
      </c>
      <c r="L296" s="229">
        <f t="shared" si="37"/>
        <v>2090</v>
      </c>
      <c r="N296" s="16"/>
      <c r="O296" s="229">
        <v>0</v>
      </c>
      <c r="P296" s="229">
        <v>0</v>
      </c>
      <c r="Q296" s="229">
        <v>0</v>
      </c>
      <c r="R296" s="229">
        <f t="shared" si="38"/>
        <v>0</v>
      </c>
      <c r="S296" s="229">
        <v>0</v>
      </c>
      <c r="T296" s="229">
        <v>0</v>
      </c>
      <c r="U296" s="229">
        <f t="shared" si="39"/>
        <v>0</v>
      </c>
      <c r="V296" s="229">
        <v>0</v>
      </c>
      <c r="W296" s="229">
        <f t="shared" ref="W296:W297" si="43">+L296</f>
        <v>2090</v>
      </c>
      <c r="X296" s="358">
        <f t="shared" si="40"/>
        <v>2090</v>
      </c>
      <c r="Y296" s="325" t="b">
        <f t="shared" si="32"/>
        <v>1</v>
      </c>
    </row>
    <row r="297" spans="1:25">
      <c r="A297" s="16">
        <v>74</v>
      </c>
      <c r="B297" t="s">
        <v>288</v>
      </c>
      <c r="C297" t="s">
        <v>944</v>
      </c>
      <c r="E297" s="229">
        <v>300</v>
      </c>
      <c r="F297" s="229">
        <v>0</v>
      </c>
      <c r="G297" s="229">
        <v>0</v>
      </c>
      <c r="H297" s="229">
        <f t="shared" si="35"/>
        <v>300</v>
      </c>
      <c r="I297" s="229">
        <v>-30</v>
      </c>
      <c r="J297" s="229">
        <f t="shared" si="36"/>
        <v>270</v>
      </c>
      <c r="K297" s="364">
        <v>1</v>
      </c>
      <c r="L297" s="229">
        <f t="shared" si="37"/>
        <v>270</v>
      </c>
      <c r="N297" s="16"/>
      <c r="O297" s="229">
        <v>0</v>
      </c>
      <c r="P297" s="229">
        <v>0</v>
      </c>
      <c r="Q297" s="229">
        <v>0</v>
      </c>
      <c r="R297" s="229">
        <f t="shared" si="38"/>
        <v>0</v>
      </c>
      <c r="S297" s="229">
        <v>0</v>
      </c>
      <c r="T297" s="229">
        <v>0</v>
      </c>
      <c r="U297" s="229">
        <f t="shared" si="39"/>
        <v>0</v>
      </c>
      <c r="V297" s="229">
        <v>0</v>
      </c>
      <c r="W297" s="229">
        <f t="shared" si="43"/>
        <v>270</v>
      </c>
      <c r="X297" s="358">
        <f t="shared" si="40"/>
        <v>270</v>
      </c>
      <c r="Y297" s="325" t="b">
        <f t="shared" si="32"/>
        <v>1</v>
      </c>
    </row>
    <row r="298" spans="1:25">
      <c r="A298" s="16">
        <v>75</v>
      </c>
      <c r="B298" t="s">
        <v>288</v>
      </c>
      <c r="C298" t="s">
        <v>945</v>
      </c>
      <c r="E298" s="229">
        <v>866</v>
      </c>
      <c r="F298" s="229">
        <v>0</v>
      </c>
      <c r="G298" s="229">
        <v>0</v>
      </c>
      <c r="H298" s="229">
        <f t="shared" si="35"/>
        <v>866</v>
      </c>
      <c r="I298" s="229">
        <v>0</v>
      </c>
      <c r="J298" s="229">
        <f t="shared" si="36"/>
        <v>866</v>
      </c>
      <c r="K298" s="364">
        <v>1</v>
      </c>
      <c r="L298" s="229">
        <f t="shared" si="37"/>
        <v>866</v>
      </c>
      <c r="N298" s="16"/>
      <c r="O298" s="229">
        <v>0</v>
      </c>
      <c r="P298" s="229">
        <v>0</v>
      </c>
      <c r="Q298" s="229">
        <v>0</v>
      </c>
      <c r="R298" s="229">
        <f t="shared" si="38"/>
        <v>0</v>
      </c>
      <c r="S298" s="229">
        <v>866</v>
      </c>
      <c r="T298" s="229">
        <v>0</v>
      </c>
      <c r="U298" s="229">
        <f t="shared" si="39"/>
        <v>866</v>
      </c>
      <c r="V298" s="229">
        <v>0</v>
      </c>
      <c r="W298" s="229">
        <v>0</v>
      </c>
      <c r="X298" s="358">
        <f t="shared" si="40"/>
        <v>866</v>
      </c>
      <c r="Y298" s="325" t="b">
        <f t="shared" si="32"/>
        <v>1</v>
      </c>
    </row>
    <row r="299" spans="1:25">
      <c r="A299" s="16">
        <v>76</v>
      </c>
      <c r="B299" t="s">
        <v>288</v>
      </c>
      <c r="C299" t="s">
        <v>463</v>
      </c>
      <c r="E299" s="229">
        <v>350</v>
      </c>
      <c r="F299" s="229">
        <v>0</v>
      </c>
      <c r="G299" s="229">
        <v>0</v>
      </c>
      <c r="H299" s="229">
        <f t="shared" si="35"/>
        <v>350</v>
      </c>
      <c r="I299" s="229">
        <v>-35</v>
      </c>
      <c r="J299" s="229">
        <f t="shared" si="36"/>
        <v>315</v>
      </c>
      <c r="K299" s="364">
        <v>1</v>
      </c>
      <c r="L299" s="229">
        <f t="shared" si="37"/>
        <v>315</v>
      </c>
      <c r="N299" s="16"/>
      <c r="O299" s="229">
        <v>0</v>
      </c>
      <c r="P299" s="229">
        <v>0</v>
      </c>
      <c r="Q299" s="229">
        <v>0</v>
      </c>
      <c r="R299" s="229">
        <f t="shared" si="38"/>
        <v>0</v>
      </c>
      <c r="S299" s="229">
        <v>0</v>
      </c>
      <c r="T299" s="229">
        <v>0</v>
      </c>
      <c r="U299" s="229">
        <f t="shared" si="39"/>
        <v>0</v>
      </c>
      <c r="V299" s="229">
        <v>0</v>
      </c>
      <c r="W299" s="229">
        <f>+L299</f>
        <v>315</v>
      </c>
      <c r="X299" s="358">
        <f t="shared" si="40"/>
        <v>315</v>
      </c>
      <c r="Y299" s="325" t="b">
        <f t="shared" si="32"/>
        <v>1</v>
      </c>
    </row>
    <row r="300" spans="1:25">
      <c r="A300" s="16">
        <v>77</v>
      </c>
      <c r="B300" t="s">
        <v>288</v>
      </c>
      <c r="C300" t="s">
        <v>711</v>
      </c>
      <c r="E300" s="229">
        <v>8500</v>
      </c>
      <c r="F300" s="229">
        <v>0</v>
      </c>
      <c r="G300" s="229">
        <v>0</v>
      </c>
      <c r="H300" s="229">
        <f t="shared" si="35"/>
        <v>8500</v>
      </c>
      <c r="I300" s="229">
        <v>0</v>
      </c>
      <c r="J300" s="229">
        <f t="shared" si="36"/>
        <v>8500</v>
      </c>
      <c r="K300" s="364">
        <v>1</v>
      </c>
      <c r="L300" s="229">
        <f t="shared" si="37"/>
        <v>8500</v>
      </c>
      <c r="N300" s="16"/>
      <c r="O300" s="229">
        <v>0</v>
      </c>
      <c r="P300" s="229">
        <v>0</v>
      </c>
      <c r="Q300" s="229">
        <v>0</v>
      </c>
      <c r="R300" s="229">
        <f t="shared" si="38"/>
        <v>0</v>
      </c>
      <c r="S300" s="229">
        <v>0</v>
      </c>
      <c r="T300" s="229">
        <v>0</v>
      </c>
      <c r="U300" s="229">
        <f t="shared" si="39"/>
        <v>0</v>
      </c>
      <c r="V300" s="229">
        <v>0</v>
      </c>
      <c r="W300" s="229">
        <v>8500</v>
      </c>
      <c r="X300" s="358">
        <f t="shared" si="40"/>
        <v>8500</v>
      </c>
      <c r="Y300" s="325" t="b">
        <f t="shared" si="32"/>
        <v>1</v>
      </c>
    </row>
    <row r="301" spans="1:25">
      <c r="A301" s="16">
        <v>78</v>
      </c>
      <c r="B301" t="s">
        <v>288</v>
      </c>
      <c r="C301" t="s">
        <v>433</v>
      </c>
      <c r="E301" s="229">
        <v>6025</v>
      </c>
      <c r="F301" s="229">
        <v>0</v>
      </c>
      <c r="G301" s="229">
        <v>0</v>
      </c>
      <c r="H301" s="229">
        <f t="shared" si="35"/>
        <v>6025</v>
      </c>
      <c r="I301" s="229">
        <v>-25</v>
      </c>
      <c r="J301" s="229">
        <f t="shared" si="36"/>
        <v>6000</v>
      </c>
      <c r="K301" s="364">
        <v>1</v>
      </c>
      <c r="L301" s="229">
        <f t="shared" si="37"/>
        <v>6000</v>
      </c>
      <c r="N301" s="16"/>
      <c r="O301" s="229">
        <v>0</v>
      </c>
      <c r="P301" s="229">
        <v>0</v>
      </c>
      <c r="Q301" s="229">
        <v>0</v>
      </c>
      <c r="R301" s="229">
        <f t="shared" si="38"/>
        <v>0</v>
      </c>
      <c r="S301" s="229">
        <v>0</v>
      </c>
      <c r="T301" s="229">
        <v>0</v>
      </c>
      <c r="U301" s="229">
        <f t="shared" si="39"/>
        <v>0</v>
      </c>
      <c r="V301" s="229">
        <v>0</v>
      </c>
      <c r="W301" s="229">
        <f>+L301</f>
        <v>6000</v>
      </c>
      <c r="X301" s="358">
        <f t="shared" si="40"/>
        <v>6000</v>
      </c>
      <c r="Y301" s="325" t="b">
        <f t="shared" si="32"/>
        <v>1</v>
      </c>
    </row>
    <row r="302" spans="1:25">
      <c r="A302" s="16">
        <v>79</v>
      </c>
      <c r="B302" t="s">
        <v>288</v>
      </c>
      <c r="C302" t="s">
        <v>434</v>
      </c>
      <c r="E302" s="229">
        <v>750</v>
      </c>
      <c r="F302" s="229">
        <v>0</v>
      </c>
      <c r="G302" s="229">
        <v>0</v>
      </c>
      <c r="H302" s="229">
        <f t="shared" si="35"/>
        <v>750</v>
      </c>
      <c r="I302" s="229">
        <v>0</v>
      </c>
      <c r="J302" s="229">
        <f t="shared" si="36"/>
        <v>750</v>
      </c>
      <c r="K302" s="364">
        <v>1</v>
      </c>
      <c r="L302" s="229">
        <f t="shared" si="37"/>
        <v>750</v>
      </c>
      <c r="N302" s="16"/>
      <c r="O302" s="229">
        <v>0</v>
      </c>
      <c r="P302" s="229">
        <v>0</v>
      </c>
      <c r="Q302" s="229">
        <v>0</v>
      </c>
      <c r="R302" s="229">
        <f t="shared" si="38"/>
        <v>0</v>
      </c>
      <c r="S302" s="229">
        <v>0</v>
      </c>
      <c r="T302" s="229">
        <v>0</v>
      </c>
      <c r="U302" s="229">
        <f t="shared" si="39"/>
        <v>0</v>
      </c>
      <c r="V302" s="229">
        <v>0</v>
      </c>
      <c r="W302" s="229">
        <v>750</v>
      </c>
      <c r="X302" s="358">
        <f t="shared" si="40"/>
        <v>750</v>
      </c>
      <c r="Y302" s="325" t="b">
        <f t="shared" si="32"/>
        <v>1</v>
      </c>
    </row>
    <row r="303" spans="1:25">
      <c r="A303" s="16">
        <v>80</v>
      </c>
      <c r="B303" t="s">
        <v>288</v>
      </c>
      <c r="C303" t="s">
        <v>893</v>
      </c>
      <c r="E303" s="229">
        <v>3850</v>
      </c>
      <c r="F303" s="229">
        <v>0</v>
      </c>
      <c r="G303" s="229">
        <v>0</v>
      </c>
      <c r="H303" s="229">
        <f t="shared" si="35"/>
        <v>3850</v>
      </c>
      <c r="I303" s="229">
        <v>0</v>
      </c>
      <c r="J303" s="229">
        <f t="shared" si="36"/>
        <v>3850</v>
      </c>
      <c r="K303" s="364">
        <v>1</v>
      </c>
      <c r="L303" s="229">
        <f t="shared" si="37"/>
        <v>3850</v>
      </c>
      <c r="N303" s="16"/>
      <c r="O303" s="229">
        <v>0</v>
      </c>
      <c r="P303" s="229">
        <v>0</v>
      </c>
      <c r="Q303" s="229">
        <v>0</v>
      </c>
      <c r="R303" s="229">
        <f t="shared" si="38"/>
        <v>0</v>
      </c>
      <c r="S303" s="229">
        <v>0</v>
      </c>
      <c r="T303" s="229">
        <v>0</v>
      </c>
      <c r="U303" s="229">
        <f t="shared" si="39"/>
        <v>0</v>
      </c>
      <c r="V303" s="229">
        <v>0</v>
      </c>
      <c r="W303" s="229">
        <v>3850</v>
      </c>
      <c r="X303" s="358">
        <f t="shared" si="40"/>
        <v>3850</v>
      </c>
      <c r="Y303" s="325" t="b">
        <f t="shared" si="32"/>
        <v>1</v>
      </c>
    </row>
    <row r="304" spans="1:25">
      <c r="A304" s="16">
        <v>81</v>
      </c>
      <c r="B304" t="s">
        <v>288</v>
      </c>
      <c r="C304" t="s">
        <v>712</v>
      </c>
      <c r="E304" s="229">
        <v>5000</v>
      </c>
      <c r="F304" s="229">
        <v>0</v>
      </c>
      <c r="G304" s="229">
        <v>0</v>
      </c>
      <c r="H304" s="229">
        <f t="shared" si="35"/>
        <v>5000</v>
      </c>
      <c r="I304" s="229">
        <v>0</v>
      </c>
      <c r="J304" s="229">
        <f t="shared" si="36"/>
        <v>5000</v>
      </c>
      <c r="K304" s="364">
        <v>1</v>
      </c>
      <c r="L304" s="229">
        <f t="shared" si="37"/>
        <v>5000</v>
      </c>
      <c r="N304" s="16"/>
      <c r="O304" s="229">
        <v>0</v>
      </c>
      <c r="P304" s="229">
        <v>0</v>
      </c>
      <c r="Q304" s="229">
        <v>0</v>
      </c>
      <c r="R304" s="229">
        <f t="shared" si="38"/>
        <v>0</v>
      </c>
      <c r="S304" s="229">
        <v>0</v>
      </c>
      <c r="T304" s="229">
        <v>0</v>
      </c>
      <c r="U304" s="229">
        <f t="shared" si="39"/>
        <v>0</v>
      </c>
      <c r="V304" s="229">
        <v>0</v>
      </c>
      <c r="W304" s="229">
        <v>5000</v>
      </c>
      <c r="X304" s="358">
        <f t="shared" si="40"/>
        <v>5000</v>
      </c>
      <c r="Y304" s="325" t="b">
        <f t="shared" si="32"/>
        <v>1</v>
      </c>
    </row>
    <row r="305" spans="1:25">
      <c r="A305" s="16">
        <v>82</v>
      </c>
      <c r="B305" t="s">
        <v>288</v>
      </c>
      <c r="C305" t="s">
        <v>465</v>
      </c>
      <c r="E305" s="229">
        <v>576</v>
      </c>
      <c r="F305" s="229">
        <v>0</v>
      </c>
      <c r="G305" s="229">
        <v>0</v>
      </c>
      <c r="H305" s="229">
        <f t="shared" si="35"/>
        <v>576</v>
      </c>
      <c r="I305" s="229">
        <v>-57.6</v>
      </c>
      <c r="J305" s="229">
        <f t="shared" si="36"/>
        <v>518.4</v>
      </c>
      <c r="K305" s="364">
        <v>1</v>
      </c>
      <c r="L305" s="229">
        <f t="shared" si="37"/>
        <v>518.4</v>
      </c>
      <c r="N305" s="16"/>
      <c r="O305" s="229">
        <v>0</v>
      </c>
      <c r="P305" s="229">
        <v>0</v>
      </c>
      <c r="Q305" s="229">
        <v>0</v>
      </c>
      <c r="R305" s="229">
        <f t="shared" si="38"/>
        <v>0</v>
      </c>
      <c r="S305" s="229">
        <v>0</v>
      </c>
      <c r="T305" s="229">
        <v>0</v>
      </c>
      <c r="U305" s="229">
        <f t="shared" si="39"/>
        <v>0</v>
      </c>
      <c r="V305" s="229">
        <v>0</v>
      </c>
      <c r="W305" s="229">
        <f t="shared" ref="W305:W306" si="44">+L305</f>
        <v>518.4</v>
      </c>
      <c r="X305" s="358">
        <f t="shared" si="40"/>
        <v>518.4</v>
      </c>
      <c r="Y305" s="325" t="b">
        <f t="shared" si="32"/>
        <v>1</v>
      </c>
    </row>
    <row r="306" spans="1:25">
      <c r="A306" s="16">
        <v>83</v>
      </c>
      <c r="B306" t="s">
        <v>288</v>
      </c>
      <c r="C306" t="s">
        <v>649</v>
      </c>
      <c r="E306" s="229">
        <v>100</v>
      </c>
      <c r="F306" s="229">
        <v>0</v>
      </c>
      <c r="G306" s="229">
        <v>0</v>
      </c>
      <c r="H306" s="229">
        <f t="shared" si="35"/>
        <v>100</v>
      </c>
      <c r="I306" s="229">
        <v>-10</v>
      </c>
      <c r="J306" s="229">
        <f t="shared" si="36"/>
        <v>90</v>
      </c>
      <c r="K306" s="364">
        <v>1</v>
      </c>
      <c r="L306" s="229">
        <f t="shared" si="37"/>
        <v>90</v>
      </c>
      <c r="N306" s="16"/>
      <c r="O306" s="229">
        <v>0</v>
      </c>
      <c r="P306" s="229">
        <v>0</v>
      </c>
      <c r="Q306" s="229">
        <v>0</v>
      </c>
      <c r="R306" s="229">
        <f t="shared" si="38"/>
        <v>0</v>
      </c>
      <c r="S306" s="229">
        <v>0</v>
      </c>
      <c r="T306" s="229">
        <v>0</v>
      </c>
      <c r="U306" s="229">
        <f t="shared" si="39"/>
        <v>0</v>
      </c>
      <c r="V306" s="229">
        <v>0</v>
      </c>
      <c r="W306" s="229">
        <f t="shared" si="44"/>
        <v>90</v>
      </c>
      <c r="X306" s="358">
        <f t="shared" si="40"/>
        <v>90</v>
      </c>
      <c r="Y306" s="325" t="b">
        <f t="shared" si="32"/>
        <v>1</v>
      </c>
    </row>
    <row r="307" spans="1:25">
      <c r="A307" s="16">
        <v>84</v>
      </c>
      <c r="B307" t="s">
        <v>288</v>
      </c>
      <c r="C307" t="s">
        <v>466</v>
      </c>
      <c r="E307" s="229">
        <v>3000</v>
      </c>
      <c r="F307" s="229">
        <v>0</v>
      </c>
      <c r="G307" s="229">
        <v>0</v>
      </c>
      <c r="H307" s="229">
        <f t="shared" si="35"/>
        <v>3000</v>
      </c>
      <c r="I307" s="229">
        <v>0</v>
      </c>
      <c r="J307" s="229">
        <f t="shared" si="36"/>
        <v>3000</v>
      </c>
      <c r="K307" s="364">
        <v>1</v>
      </c>
      <c r="L307" s="229">
        <f t="shared" si="37"/>
        <v>3000</v>
      </c>
      <c r="N307" s="16"/>
      <c r="O307" s="229">
        <v>0</v>
      </c>
      <c r="P307" s="229">
        <v>0</v>
      </c>
      <c r="Q307" s="229">
        <v>0</v>
      </c>
      <c r="R307" s="229">
        <f t="shared" si="38"/>
        <v>0</v>
      </c>
      <c r="S307" s="229">
        <v>0</v>
      </c>
      <c r="T307" s="229">
        <v>0</v>
      </c>
      <c r="U307" s="229">
        <f t="shared" si="39"/>
        <v>0</v>
      </c>
      <c r="V307" s="229">
        <v>0</v>
      </c>
      <c r="W307" s="229">
        <v>3000</v>
      </c>
      <c r="X307" s="358">
        <f t="shared" si="40"/>
        <v>3000</v>
      </c>
      <c r="Y307" s="325" t="b">
        <f t="shared" si="32"/>
        <v>1</v>
      </c>
    </row>
    <row r="308" spans="1:25">
      <c r="A308" s="16">
        <v>85</v>
      </c>
      <c r="B308" t="s">
        <v>288</v>
      </c>
      <c r="C308" t="s">
        <v>467</v>
      </c>
      <c r="E308" s="229">
        <v>3950</v>
      </c>
      <c r="F308" s="229">
        <v>0</v>
      </c>
      <c r="G308" s="229">
        <v>0</v>
      </c>
      <c r="H308" s="229">
        <f t="shared" si="35"/>
        <v>3950</v>
      </c>
      <c r="I308" s="229">
        <v>-395</v>
      </c>
      <c r="J308" s="229">
        <f t="shared" si="36"/>
        <v>3555</v>
      </c>
      <c r="K308" s="364">
        <v>1</v>
      </c>
      <c r="L308" s="229">
        <f t="shared" si="37"/>
        <v>3555</v>
      </c>
      <c r="N308" s="16"/>
      <c r="O308" s="229">
        <v>0</v>
      </c>
      <c r="P308" s="229">
        <v>0</v>
      </c>
      <c r="Q308" s="229">
        <v>0</v>
      </c>
      <c r="R308" s="229">
        <f t="shared" si="38"/>
        <v>0</v>
      </c>
      <c r="S308" s="229">
        <v>0</v>
      </c>
      <c r="T308" s="229">
        <v>0</v>
      </c>
      <c r="U308" s="229">
        <f t="shared" si="39"/>
        <v>0</v>
      </c>
      <c r="V308" s="229">
        <v>0</v>
      </c>
      <c r="W308" s="229">
        <f t="shared" ref="W308:W312" si="45">+L308</f>
        <v>3555</v>
      </c>
      <c r="X308" s="358">
        <f t="shared" si="40"/>
        <v>3555</v>
      </c>
      <c r="Y308" s="325" t="b">
        <f t="shared" ref="Y308:Y325" si="46">+X308=L308</f>
        <v>1</v>
      </c>
    </row>
    <row r="309" spans="1:25">
      <c r="A309" s="16">
        <v>86</v>
      </c>
      <c r="B309" t="s">
        <v>288</v>
      </c>
      <c r="C309" t="s">
        <v>468</v>
      </c>
      <c r="E309" s="229">
        <v>1300</v>
      </c>
      <c r="F309" s="229">
        <v>0</v>
      </c>
      <c r="G309" s="229">
        <v>0</v>
      </c>
      <c r="H309" s="229">
        <f t="shared" si="35"/>
        <v>1300</v>
      </c>
      <c r="I309" s="229">
        <v>-130</v>
      </c>
      <c r="J309" s="229">
        <f t="shared" si="36"/>
        <v>1170</v>
      </c>
      <c r="K309" s="364">
        <v>1</v>
      </c>
      <c r="L309" s="229">
        <f t="shared" si="37"/>
        <v>1170</v>
      </c>
      <c r="N309" s="16"/>
      <c r="O309" s="229">
        <v>0</v>
      </c>
      <c r="P309" s="229">
        <v>0</v>
      </c>
      <c r="Q309" s="229">
        <v>0</v>
      </c>
      <c r="R309" s="229">
        <f t="shared" si="38"/>
        <v>0</v>
      </c>
      <c r="S309" s="229">
        <v>0</v>
      </c>
      <c r="T309" s="229">
        <v>0</v>
      </c>
      <c r="U309" s="229">
        <f t="shared" si="39"/>
        <v>0</v>
      </c>
      <c r="V309" s="229">
        <v>0</v>
      </c>
      <c r="W309" s="229">
        <f t="shared" si="45"/>
        <v>1170</v>
      </c>
      <c r="X309" s="358">
        <f t="shared" si="40"/>
        <v>1170</v>
      </c>
      <c r="Y309" s="325" t="b">
        <f t="shared" si="46"/>
        <v>1</v>
      </c>
    </row>
    <row r="310" spans="1:25">
      <c r="A310" s="16">
        <v>87</v>
      </c>
      <c r="B310" t="s">
        <v>288</v>
      </c>
      <c r="C310" t="s">
        <v>650</v>
      </c>
      <c r="E310" s="229">
        <v>1000</v>
      </c>
      <c r="F310" s="229">
        <v>0</v>
      </c>
      <c r="G310" s="229">
        <v>0</v>
      </c>
      <c r="H310" s="229">
        <f t="shared" si="35"/>
        <v>1000</v>
      </c>
      <c r="I310" s="229">
        <v>-100</v>
      </c>
      <c r="J310" s="229">
        <f t="shared" si="36"/>
        <v>900</v>
      </c>
      <c r="K310" s="364">
        <v>1</v>
      </c>
      <c r="L310" s="229">
        <f t="shared" si="37"/>
        <v>900</v>
      </c>
      <c r="N310" s="16"/>
      <c r="O310" s="229">
        <v>0</v>
      </c>
      <c r="P310" s="229">
        <v>0</v>
      </c>
      <c r="Q310" s="229">
        <v>0</v>
      </c>
      <c r="R310" s="229">
        <f t="shared" si="38"/>
        <v>0</v>
      </c>
      <c r="S310" s="229">
        <v>0</v>
      </c>
      <c r="T310" s="229">
        <v>0</v>
      </c>
      <c r="U310" s="229">
        <f t="shared" si="39"/>
        <v>0</v>
      </c>
      <c r="V310" s="229">
        <v>0</v>
      </c>
      <c r="W310" s="229">
        <f t="shared" si="45"/>
        <v>900</v>
      </c>
      <c r="X310" s="358">
        <f t="shared" si="40"/>
        <v>900</v>
      </c>
      <c r="Y310" s="325" t="b">
        <f t="shared" si="46"/>
        <v>1</v>
      </c>
    </row>
    <row r="311" spans="1:25">
      <c r="A311" s="16">
        <v>88</v>
      </c>
      <c r="B311" t="s">
        <v>288</v>
      </c>
      <c r="C311" t="s">
        <v>469</v>
      </c>
      <c r="E311" s="229">
        <v>6000</v>
      </c>
      <c r="F311" s="229">
        <v>0</v>
      </c>
      <c r="G311" s="229">
        <v>0</v>
      </c>
      <c r="H311" s="229">
        <f t="shared" si="35"/>
        <v>6000</v>
      </c>
      <c r="I311" s="229">
        <v>-400</v>
      </c>
      <c r="J311" s="229">
        <f t="shared" si="36"/>
        <v>5600</v>
      </c>
      <c r="K311" s="364">
        <v>1</v>
      </c>
      <c r="L311" s="229">
        <f t="shared" si="37"/>
        <v>5600</v>
      </c>
      <c r="N311" s="16"/>
      <c r="O311" s="229">
        <v>0</v>
      </c>
      <c r="P311" s="229">
        <v>0</v>
      </c>
      <c r="Q311" s="229">
        <v>0</v>
      </c>
      <c r="R311" s="229">
        <f t="shared" si="38"/>
        <v>0</v>
      </c>
      <c r="S311" s="229">
        <v>0</v>
      </c>
      <c r="T311" s="229">
        <v>0</v>
      </c>
      <c r="U311" s="229">
        <f t="shared" si="39"/>
        <v>0</v>
      </c>
      <c r="V311" s="229">
        <v>0</v>
      </c>
      <c r="W311" s="229">
        <f t="shared" si="45"/>
        <v>5600</v>
      </c>
      <c r="X311" s="358">
        <f t="shared" si="40"/>
        <v>5600</v>
      </c>
      <c r="Y311" s="325" t="b">
        <f t="shared" si="46"/>
        <v>1</v>
      </c>
    </row>
    <row r="312" spans="1:25">
      <c r="A312" s="16">
        <v>89</v>
      </c>
      <c r="B312" t="s">
        <v>288</v>
      </c>
      <c r="C312" t="s">
        <v>471</v>
      </c>
      <c r="E312" s="229">
        <v>1050</v>
      </c>
      <c r="F312" s="229">
        <v>0</v>
      </c>
      <c r="G312" s="229">
        <v>0</v>
      </c>
      <c r="H312" s="229">
        <f t="shared" si="35"/>
        <v>1050</v>
      </c>
      <c r="I312" s="229">
        <v>-105</v>
      </c>
      <c r="J312" s="229">
        <f t="shared" si="36"/>
        <v>945</v>
      </c>
      <c r="K312" s="364">
        <v>1</v>
      </c>
      <c r="L312" s="229">
        <f t="shared" si="37"/>
        <v>945</v>
      </c>
      <c r="N312" s="16"/>
      <c r="O312" s="229">
        <v>0</v>
      </c>
      <c r="P312" s="229">
        <v>0</v>
      </c>
      <c r="Q312" s="229">
        <v>0</v>
      </c>
      <c r="R312" s="229">
        <f t="shared" si="38"/>
        <v>0</v>
      </c>
      <c r="S312" s="229">
        <v>0</v>
      </c>
      <c r="T312" s="229">
        <v>0</v>
      </c>
      <c r="U312" s="229">
        <f t="shared" si="39"/>
        <v>0</v>
      </c>
      <c r="V312" s="229">
        <v>0</v>
      </c>
      <c r="W312" s="229">
        <f t="shared" si="45"/>
        <v>945</v>
      </c>
      <c r="X312" s="358">
        <f t="shared" si="40"/>
        <v>945</v>
      </c>
      <c r="Y312" s="325" t="b">
        <f t="shared" si="46"/>
        <v>1</v>
      </c>
    </row>
    <row r="313" spans="1:25">
      <c r="A313" s="16">
        <v>90</v>
      </c>
      <c r="B313" t="s">
        <v>288</v>
      </c>
      <c r="C313" t="s">
        <v>946</v>
      </c>
      <c r="E313" s="229">
        <v>1000</v>
      </c>
      <c r="F313" s="229">
        <v>0</v>
      </c>
      <c r="G313" s="229">
        <v>0</v>
      </c>
      <c r="H313" s="229">
        <f t="shared" si="35"/>
        <v>1000</v>
      </c>
      <c r="I313" s="229">
        <v>0</v>
      </c>
      <c r="J313" s="229">
        <f t="shared" si="36"/>
        <v>1000</v>
      </c>
      <c r="K313" s="364">
        <v>1</v>
      </c>
      <c r="L313" s="229">
        <f t="shared" si="37"/>
        <v>1000</v>
      </c>
      <c r="N313" s="16"/>
      <c r="O313" s="229">
        <v>0</v>
      </c>
      <c r="P313" s="229">
        <v>0</v>
      </c>
      <c r="Q313" s="229">
        <v>0</v>
      </c>
      <c r="R313" s="229">
        <f t="shared" si="38"/>
        <v>0</v>
      </c>
      <c r="S313" s="229">
        <v>0</v>
      </c>
      <c r="T313" s="229">
        <v>0</v>
      </c>
      <c r="U313" s="229">
        <f t="shared" si="39"/>
        <v>0</v>
      </c>
      <c r="V313" s="229">
        <v>0</v>
      </c>
      <c r="W313" s="229">
        <v>1000</v>
      </c>
      <c r="X313" s="358">
        <f t="shared" si="40"/>
        <v>1000</v>
      </c>
      <c r="Y313" s="325" t="b">
        <f t="shared" si="46"/>
        <v>1</v>
      </c>
    </row>
    <row r="314" spans="1:25">
      <c r="A314" s="16">
        <v>91</v>
      </c>
      <c r="B314" t="s">
        <v>288</v>
      </c>
      <c r="C314" t="s">
        <v>472</v>
      </c>
      <c r="E314" s="229">
        <v>1360</v>
      </c>
      <c r="F314" s="229">
        <v>0</v>
      </c>
      <c r="G314" s="229">
        <v>0</v>
      </c>
      <c r="H314" s="229">
        <f t="shared" si="35"/>
        <v>1360</v>
      </c>
      <c r="I314" s="229">
        <v>-136</v>
      </c>
      <c r="J314" s="229">
        <f t="shared" si="36"/>
        <v>1224</v>
      </c>
      <c r="K314" s="364">
        <v>1</v>
      </c>
      <c r="L314" s="229">
        <f t="shared" si="37"/>
        <v>1224</v>
      </c>
      <c r="N314" s="16"/>
      <c r="O314" s="229">
        <v>0</v>
      </c>
      <c r="P314" s="229">
        <v>0</v>
      </c>
      <c r="Q314" s="229">
        <v>0</v>
      </c>
      <c r="R314" s="229">
        <f t="shared" si="38"/>
        <v>0</v>
      </c>
      <c r="S314" s="229">
        <v>0</v>
      </c>
      <c r="T314" s="229">
        <v>0</v>
      </c>
      <c r="U314" s="229">
        <f t="shared" si="39"/>
        <v>0</v>
      </c>
      <c r="V314" s="229">
        <v>0</v>
      </c>
      <c r="W314" s="229">
        <f>+L314</f>
        <v>1224</v>
      </c>
      <c r="X314" s="358">
        <f t="shared" si="40"/>
        <v>1224</v>
      </c>
      <c r="Y314" s="325" t="b">
        <f t="shared" si="46"/>
        <v>1</v>
      </c>
    </row>
    <row r="315" spans="1:25">
      <c r="A315" s="16">
        <v>92</v>
      </c>
      <c r="B315" t="s">
        <v>288</v>
      </c>
      <c r="C315" t="s">
        <v>947</v>
      </c>
      <c r="E315" s="229">
        <v>250</v>
      </c>
      <c r="F315" s="229">
        <v>0</v>
      </c>
      <c r="G315" s="229">
        <v>0</v>
      </c>
      <c r="H315" s="229">
        <f t="shared" si="35"/>
        <v>250</v>
      </c>
      <c r="I315" s="229">
        <v>0</v>
      </c>
      <c r="J315" s="229">
        <f t="shared" si="36"/>
        <v>250</v>
      </c>
      <c r="K315" s="364">
        <v>1</v>
      </c>
      <c r="L315" s="229">
        <f t="shared" si="37"/>
        <v>250</v>
      </c>
      <c r="N315" s="16"/>
      <c r="O315" s="229">
        <v>0</v>
      </c>
      <c r="P315" s="229">
        <v>0</v>
      </c>
      <c r="Q315" s="229">
        <v>0</v>
      </c>
      <c r="R315" s="229">
        <f t="shared" si="38"/>
        <v>0</v>
      </c>
      <c r="S315" s="229">
        <v>0</v>
      </c>
      <c r="T315" s="229">
        <v>0</v>
      </c>
      <c r="U315" s="229">
        <f t="shared" si="39"/>
        <v>0</v>
      </c>
      <c r="V315" s="229">
        <v>0</v>
      </c>
      <c r="W315" s="229">
        <v>250</v>
      </c>
      <c r="X315" s="358">
        <f t="shared" si="40"/>
        <v>250</v>
      </c>
      <c r="Y315" s="325" t="b">
        <f t="shared" si="46"/>
        <v>1</v>
      </c>
    </row>
    <row r="316" spans="1:25">
      <c r="A316" s="16">
        <v>93</v>
      </c>
      <c r="B316" t="s">
        <v>288</v>
      </c>
      <c r="C316" t="s">
        <v>435</v>
      </c>
      <c r="E316" s="229">
        <v>300</v>
      </c>
      <c r="F316" s="229">
        <v>0</v>
      </c>
      <c r="G316" s="229">
        <v>0</v>
      </c>
      <c r="H316" s="229">
        <f t="shared" si="35"/>
        <v>300</v>
      </c>
      <c r="I316" s="229">
        <v>0</v>
      </c>
      <c r="J316" s="229">
        <f t="shared" si="36"/>
        <v>300</v>
      </c>
      <c r="K316" s="364">
        <v>1</v>
      </c>
      <c r="L316" s="229">
        <f t="shared" si="37"/>
        <v>300</v>
      </c>
      <c r="N316" s="16"/>
      <c r="O316" s="229">
        <v>0</v>
      </c>
      <c r="P316" s="229">
        <v>0</v>
      </c>
      <c r="Q316" s="229">
        <v>0</v>
      </c>
      <c r="R316" s="229">
        <f t="shared" si="38"/>
        <v>0</v>
      </c>
      <c r="S316" s="229">
        <v>0</v>
      </c>
      <c r="T316" s="229">
        <v>0</v>
      </c>
      <c r="U316" s="229">
        <f t="shared" si="39"/>
        <v>0</v>
      </c>
      <c r="V316" s="229">
        <v>0</v>
      </c>
      <c r="W316" s="229">
        <v>300</v>
      </c>
      <c r="X316" s="358">
        <f t="shared" si="40"/>
        <v>300</v>
      </c>
      <c r="Y316" s="325" t="b">
        <f t="shared" si="46"/>
        <v>1</v>
      </c>
    </row>
    <row r="317" spans="1:25">
      <c r="A317" s="16">
        <v>94</v>
      </c>
      <c r="B317" t="s">
        <v>288</v>
      </c>
      <c r="C317" t="s">
        <v>651</v>
      </c>
      <c r="E317" s="229">
        <v>1000</v>
      </c>
      <c r="F317" s="229">
        <v>0</v>
      </c>
      <c r="G317" s="229">
        <v>0</v>
      </c>
      <c r="H317" s="229">
        <f t="shared" si="35"/>
        <v>1000</v>
      </c>
      <c r="I317" s="229">
        <v>0</v>
      </c>
      <c r="J317" s="229">
        <f t="shared" si="36"/>
        <v>1000</v>
      </c>
      <c r="K317" s="364">
        <v>1</v>
      </c>
      <c r="L317" s="229">
        <f t="shared" si="37"/>
        <v>1000</v>
      </c>
      <c r="N317" s="16"/>
      <c r="O317" s="229">
        <v>0</v>
      </c>
      <c r="P317" s="229">
        <v>0</v>
      </c>
      <c r="Q317" s="229">
        <v>0</v>
      </c>
      <c r="R317" s="229">
        <f t="shared" si="38"/>
        <v>0</v>
      </c>
      <c r="S317" s="229">
        <v>0</v>
      </c>
      <c r="T317" s="229">
        <v>0</v>
      </c>
      <c r="U317" s="229">
        <f t="shared" si="39"/>
        <v>0</v>
      </c>
      <c r="V317" s="229">
        <v>0</v>
      </c>
      <c r="W317" s="229">
        <v>1000</v>
      </c>
      <c r="X317" s="358">
        <f t="shared" si="40"/>
        <v>1000</v>
      </c>
      <c r="Y317" s="325" t="b">
        <f t="shared" si="46"/>
        <v>1</v>
      </c>
    </row>
    <row r="318" spans="1:25">
      <c r="A318" s="16">
        <v>95</v>
      </c>
      <c r="B318" t="s">
        <v>288</v>
      </c>
      <c r="C318" t="s">
        <v>713</v>
      </c>
      <c r="E318" s="229">
        <v>2425</v>
      </c>
      <c r="F318" s="229">
        <v>0</v>
      </c>
      <c r="G318" s="229">
        <v>0</v>
      </c>
      <c r="H318" s="229">
        <f t="shared" si="35"/>
        <v>2425</v>
      </c>
      <c r="I318" s="229">
        <v>0</v>
      </c>
      <c r="J318" s="229">
        <f t="shared" si="36"/>
        <v>2425</v>
      </c>
      <c r="K318" s="364">
        <v>1</v>
      </c>
      <c r="L318" s="229">
        <f t="shared" si="37"/>
        <v>2425</v>
      </c>
      <c r="N318" s="16"/>
      <c r="O318" s="229">
        <v>0</v>
      </c>
      <c r="P318" s="229">
        <v>0</v>
      </c>
      <c r="Q318" s="229">
        <v>0</v>
      </c>
      <c r="R318" s="229">
        <f t="shared" si="38"/>
        <v>0</v>
      </c>
      <c r="S318" s="229">
        <v>0</v>
      </c>
      <c r="T318" s="229">
        <v>0</v>
      </c>
      <c r="U318" s="229">
        <f t="shared" si="39"/>
        <v>0</v>
      </c>
      <c r="V318" s="229">
        <v>0</v>
      </c>
      <c r="W318" s="229">
        <v>2425</v>
      </c>
      <c r="X318" s="358">
        <f t="shared" si="40"/>
        <v>2425</v>
      </c>
      <c r="Y318" s="325" t="b">
        <f t="shared" si="46"/>
        <v>1</v>
      </c>
    </row>
    <row r="319" spans="1:25">
      <c r="A319" s="16">
        <v>96</v>
      </c>
      <c r="B319" t="s">
        <v>288</v>
      </c>
      <c r="C319" t="s">
        <v>948</v>
      </c>
      <c r="E319" s="229">
        <v>500</v>
      </c>
      <c r="F319" s="229">
        <v>0</v>
      </c>
      <c r="G319" s="229">
        <v>0</v>
      </c>
      <c r="H319" s="229">
        <f t="shared" si="35"/>
        <v>500</v>
      </c>
      <c r="I319" s="229">
        <v>0</v>
      </c>
      <c r="J319" s="229">
        <f t="shared" si="36"/>
        <v>500</v>
      </c>
      <c r="K319" s="364">
        <v>1</v>
      </c>
      <c r="L319" s="229">
        <f t="shared" si="37"/>
        <v>500</v>
      </c>
      <c r="N319" s="16"/>
      <c r="O319" s="229">
        <v>0</v>
      </c>
      <c r="P319" s="229">
        <v>0</v>
      </c>
      <c r="Q319" s="229">
        <v>0</v>
      </c>
      <c r="R319" s="229">
        <f t="shared" si="38"/>
        <v>0</v>
      </c>
      <c r="S319" s="229">
        <v>0</v>
      </c>
      <c r="T319" s="229">
        <v>0</v>
      </c>
      <c r="U319" s="229">
        <f t="shared" si="39"/>
        <v>0</v>
      </c>
      <c r="V319" s="229">
        <v>0</v>
      </c>
      <c r="W319" s="229">
        <v>500</v>
      </c>
      <c r="X319" s="358">
        <f t="shared" si="40"/>
        <v>500</v>
      </c>
      <c r="Y319" s="325" t="b">
        <f t="shared" si="46"/>
        <v>1</v>
      </c>
    </row>
    <row r="320" spans="1:25">
      <c r="A320" s="16">
        <v>97</v>
      </c>
      <c r="B320" t="s">
        <v>288</v>
      </c>
      <c r="C320" t="s">
        <v>473</v>
      </c>
      <c r="E320" s="229">
        <v>7550</v>
      </c>
      <c r="F320" s="229">
        <v>0</v>
      </c>
      <c r="G320" s="229">
        <v>0</v>
      </c>
      <c r="H320" s="229">
        <f t="shared" si="35"/>
        <v>7550</v>
      </c>
      <c r="I320" s="229">
        <v>-80</v>
      </c>
      <c r="J320" s="229">
        <f t="shared" si="36"/>
        <v>7470</v>
      </c>
      <c r="K320" s="364">
        <v>1</v>
      </c>
      <c r="L320" s="229">
        <f t="shared" si="37"/>
        <v>7470</v>
      </c>
      <c r="N320" s="16"/>
      <c r="O320" s="229">
        <v>0</v>
      </c>
      <c r="P320" s="229">
        <v>0</v>
      </c>
      <c r="Q320" s="229">
        <v>0</v>
      </c>
      <c r="R320" s="229">
        <f t="shared" si="38"/>
        <v>0</v>
      </c>
      <c r="S320" s="229">
        <v>0</v>
      </c>
      <c r="T320" s="229">
        <v>0</v>
      </c>
      <c r="U320" s="229">
        <f t="shared" si="39"/>
        <v>0</v>
      </c>
      <c r="V320" s="229">
        <v>0</v>
      </c>
      <c r="W320" s="229">
        <f t="shared" ref="W320:W321" si="47">+L320</f>
        <v>7470</v>
      </c>
      <c r="X320" s="358">
        <f t="shared" si="40"/>
        <v>7470</v>
      </c>
      <c r="Y320" s="325" t="b">
        <f t="shared" si="46"/>
        <v>1</v>
      </c>
    </row>
    <row r="321" spans="1:25">
      <c r="A321" s="16">
        <v>98</v>
      </c>
      <c r="B321" t="s">
        <v>288</v>
      </c>
      <c r="C321" t="s">
        <v>714</v>
      </c>
      <c r="E321" s="229">
        <v>775</v>
      </c>
      <c r="F321" s="229">
        <v>0</v>
      </c>
      <c r="G321" s="229">
        <v>0</v>
      </c>
      <c r="H321" s="229">
        <f t="shared" si="35"/>
        <v>775</v>
      </c>
      <c r="I321" s="229">
        <v>-77.5</v>
      </c>
      <c r="J321" s="229">
        <f t="shared" si="36"/>
        <v>697.5</v>
      </c>
      <c r="K321" s="364">
        <v>1</v>
      </c>
      <c r="L321" s="229">
        <f t="shared" si="37"/>
        <v>697.5</v>
      </c>
      <c r="N321" s="16"/>
      <c r="O321" s="229">
        <v>0</v>
      </c>
      <c r="P321" s="229">
        <v>0</v>
      </c>
      <c r="Q321" s="229">
        <v>0</v>
      </c>
      <c r="R321" s="229">
        <f t="shared" si="38"/>
        <v>0</v>
      </c>
      <c r="S321" s="229">
        <v>0</v>
      </c>
      <c r="T321" s="229">
        <v>0</v>
      </c>
      <c r="U321" s="229">
        <f t="shared" si="39"/>
        <v>0</v>
      </c>
      <c r="V321" s="229">
        <v>0</v>
      </c>
      <c r="W321" s="229">
        <f t="shared" si="47"/>
        <v>697.5</v>
      </c>
      <c r="X321" s="358">
        <f t="shared" si="40"/>
        <v>697.5</v>
      </c>
      <c r="Y321" s="325" t="b">
        <f t="shared" si="46"/>
        <v>1</v>
      </c>
    </row>
    <row r="322" spans="1:25">
      <c r="A322" s="16">
        <v>99</v>
      </c>
      <c r="B322" t="s">
        <v>288</v>
      </c>
      <c r="C322" t="s">
        <v>1117</v>
      </c>
      <c r="E322" s="229">
        <v>3300</v>
      </c>
      <c r="F322" s="229">
        <v>0</v>
      </c>
      <c r="G322" s="229">
        <v>0</v>
      </c>
      <c r="H322" s="229">
        <f t="shared" si="35"/>
        <v>3300</v>
      </c>
      <c r="I322" s="229">
        <v>0</v>
      </c>
      <c r="J322" s="229">
        <f t="shared" si="36"/>
        <v>3300</v>
      </c>
      <c r="K322" s="364">
        <v>1</v>
      </c>
      <c r="L322" s="229">
        <f t="shared" si="37"/>
        <v>3300</v>
      </c>
      <c r="N322" s="16"/>
      <c r="O322" s="229">
        <v>0</v>
      </c>
      <c r="P322" s="229">
        <v>0</v>
      </c>
      <c r="Q322" s="229">
        <v>0</v>
      </c>
      <c r="R322" s="229">
        <f t="shared" si="38"/>
        <v>0</v>
      </c>
      <c r="S322" s="229">
        <v>0</v>
      </c>
      <c r="T322" s="229">
        <v>0</v>
      </c>
      <c r="U322" s="229">
        <f t="shared" si="39"/>
        <v>0</v>
      </c>
      <c r="V322" s="229">
        <v>0</v>
      </c>
      <c r="W322" s="229">
        <v>3300</v>
      </c>
      <c r="X322" s="358">
        <f t="shared" si="40"/>
        <v>3300</v>
      </c>
      <c r="Y322" s="325" t="b">
        <f t="shared" si="46"/>
        <v>1</v>
      </c>
    </row>
    <row r="323" spans="1:25">
      <c r="A323" s="16">
        <v>100</v>
      </c>
      <c r="B323" t="s">
        <v>288</v>
      </c>
      <c r="C323" t="s">
        <v>949</v>
      </c>
      <c r="E323" s="229">
        <v>10000</v>
      </c>
      <c r="F323" s="229">
        <v>0</v>
      </c>
      <c r="G323" s="229">
        <v>0</v>
      </c>
      <c r="H323" s="229">
        <f t="shared" si="35"/>
        <v>10000</v>
      </c>
      <c r="I323" s="229">
        <v>0</v>
      </c>
      <c r="J323" s="229">
        <f t="shared" si="36"/>
        <v>10000</v>
      </c>
      <c r="K323" s="364">
        <v>1</v>
      </c>
      <c r="L323" s="229">
        <f t="shared" si="37"/>
        <v>10000</v>
      </c>
      <c r="N323" s="16"/>
      <c r="O323" s="229">
        <v>0</v>
      </c>
      <c r="P323" s="229">
        <v>0</v>
      </c>
      <c r="Q323" s="229">
        <v>0</v>
      </c>
      <c r="R323" s="229">
        <f t="shared" si="38"/>
        <v>0</v>
      </c>
      <c r="S323" s="229">
        <v>0</v>
      </c>
      <c r="T323" s="229">
        <v>0</v>
      </c>
      <c r="U323" s="229">
        <f t="shared" si="39"/>
        <v>0</v>
      </c>
      <c r="V323" s="229">
        <v>0</v>
      </c>
      <c r="W323" s="229">
        <v>10000</v>
      </c>
      <c r="X323" s="358">
        <f t="shared" si="40"/>
        <v>10000</v>
      </c>
      <c r="Y323" s="325" t="b">
        <f t="shared" si="46"/>
        <v>1</v>
      </c>
    </row>
    <row r="324" spans="1:25">
      <c r="A324" s="16">
        <v>101</v>
      </c>
      <c r="B324" t="s">
        <v>288</v>
      </c>
      <c r="C324" t="s">
        <v>474</v>
      </c>
      <c r="E324" s="229">
        <v>135</v>
      </c>
      <c r="F324" s="229">
        <v>0</v>
      </c>
      <c r="G324" s="229">
        <v>0</v>
      </c>
      <c r="H324" s="229">
        <f t="shared" si="35"/>
        <v>135</v>
      </c>
      <c r="I324" s="229">
        <v>-13.5</v>
      </c>
      <c r="J324" s="229">
        <f t="shared" si="36"/>
        <v>121.5</v>
      </c>
      <c r="K324" s="364">
        <v>1</v>
      </c>
      <c r="L324" s="229">
        <f t="shared" si="37"/>
        <v>121.5</v>
      </c>
      <c r="N324" s="16"/>
      <c r="O324" s="229">
        <v>0</v>
      </c>
      <c r="P324" s="229">
        <v>0</v>
      </c>
      <c r="Q324" s="229">
        <v>0</v>
      </c>
      <c r="R324" s="229">
        <f t="shared" si="38"/>
        <v>0</v>
      </c>
      <c r="S324" s="229">
        <v>0</v>
      </c>
      <c r="T324" s="229">
        <v>0</v>
      </c>
      <c r="U324" s="229">
        <f t="shared" si="39"/>
        <v>0</v>
      </c>
      <c r="V324" s="229">
        <v>0</v>
      </c>
      <c r="W324" s="229">
        <f>+L324</f>
        <v>121.5</v>
      </c>
      <c r="X324" s="358">
        <f t="shared" si="40"/>
        <v>121.5</v>
      </c>
      <c r="Y324" s="325" t="b">
        <f t="shared" si="46"/>
        <v>1</v>
      </c>
    </row>
    <row r="325" spans="1:25">
      <c r="A325" s="16">
        <v>102</v>
      </c>
      <c r="B325" t="s">
        <v>288</v>
      </c>
      <c r="C325" t="s">
        <v>950</v>
      </c>
      <c r="E325" s="229">
        <v>800</v>
      </c>
      <c r="F325" s="229">
        <v>0</v>
      </c>
      <c r="G325" s="229">
        <v>0</v>
      </c>
      <c r="H325" s="229">
        <f t="shared" si="35"/>
        <v>800</v>
      </c>
      <c r="I325" s="229">
        <v>0</v>
      </c>
      <c r="J325" s="229">
        <f t="shared" si="36"/>
        <v>800</v>
      </c>
      <c r="K325" s="364">
        <v>1</v>
      </c>
      <c r="L325" s="229">
        <f t="shared" si="37"/>
        <v>800</v>
      </c>
      <c r="N325" s="16"/>
      <c r="O325" s="229">
        <v>0</v>
      </c>
      <c r="P325" s="229">
        <v>0</v>
      </c>
      <c r="Q325" s="229">
        <v>0</v>
      </c>
      <c r="R325" s="229">
        <f t="shared" si="38"/>
        <v>0</v>
      </c>
      <c r="S325" s="229">
        <v>0</v>
      </c>
      <c r="T325" s="229">
        <v>0</v>
      </c>
      <c r="U325" s="229">
        <f t="shared" si="39"/>
        <v>0</v>
      </c>
      <c r="V325" s="229">
        <v>0</v>
      </c>
      <c r="W325" s="229">
        <v>800</v>
      </c>
      <c r="X325" s="358">
        <f t="shared" si="40"/>
        <v>800</v>
      </c>
      <c r="Y325" s="325" t="b">
        <f t="shared" si="46"/>
        <v>1</v>
      </c>
    </row>
    <row r="326" spans="1:25">
      <c r="A326" s="16">
        <v>103</v>
      </c>
      <c r="B326" t="s">
        <v>288</v>
      </c>
      <c r="C326" t="s">
        <v>475</v>
      </c>
      <c r="E326" s="229">
        <v>500</v>
      </c>
      <c r="F326" s="229">
        <v>0</v>
      </c>
      <c r="G326" s="229">
        <v>0</v>
      </c>
      <c r="H326" s="229">
        <f t="shared" si="35"/>
        <v>500</v>
      </c>
      <c r="I326" s="229">
        <v>-50</v>
      </c>
      <c r="J326" s="229">
        <f t="shared" si="36"/>
        <v>450</v>
      </c>
      <c r="K326" s="364">
        <v>1</v>
      </c>
      <c r="L326" s="229">
        <f t="shared" si="37"/>
        <v>450</v>
      </c>
      <c r="N326" s="16"/>
      <c r="O326" s="229">
        <v>0</v>
      </c>
      <c r="P326" s="229">
        <v>0</v>
      </c>
      <c r="Q326" s="229">
        <v>0</v>
      </c>
      <c r="R326" s="229">
        <f t="shared" si="38"/>
        <v>0</v>
      </c>
      <c r="S326" s="229">
        <v>0</v>
      </c>
      <c r="T326" s="229">
        <v>0</v>
      </c>
      <c r="U326" s="229">
        <f t="shared" si="39"/>
        <v>0</v>
      </c>
      <c r="V326" s="229">
        <v>0</v>
      </c>
      <c r="W326" s="229">
        <f>+L326</f>
        <v>450</v>
      </c>
      <c r="X326" s="358">
        <f t="shared" si="40"/>
        <v>450</v>
      </c>
      <c r="Y326" s="325" t="b">
        <f t="shared" si="1"/>
        <v>1</v>
      </c>
    </row>
    <row r="327" spans="1:25">
      <c r="A327" s="16">
        <v>104</v>
      </c>
      <c r="B327" t="s">
        <v>288</v>
      </c>
      <c r="C327" t="s">
        <v>951</v>
      </c>
      <c r="E327" s="229">
        <v>5275</v>
      </c>
      <c r="F327" s="229">
        <v>0</v>
      </c>
      <c r="G327" s="229">
        <v>0</v>
      </c>
      <c r="H327" s="229">
        <f t="shared" si="35"/>
        <v>5275</v>
      </c>
      <c r="I327" s="229">
        <v>0</v>
      </c>
      <c r="J327" s="229">
        <f t="shared" si="36"/>
        <v>5275</v>
      </c>
      <c r="K327" s="364">
        <v>1</v>
      </c>
      <c r="L327" s="229">
        <f t="shared" si="37"/>
        <v>5275</v>
      </c>
      <c r="N327" s="16"/>
      <c r="O327" s="229">
        <v>0</v>
      </c>
      <c r="P327" s="229">
        <v>0</v>
      </c>
      <c r="Q327" s="229">
        <v>0</v>
      </c>
      <c r="R327" s="229">
        <f t="shared" si="38"/>
        <v>0</v>
      </c>
      <c r="S327" s="229">
        <v>0</v>
      </c>
      <c r="T327" s="229">
        <v>0</v>
      </c>
      <c r="U327" s="229">
        <f t="shared" si="39"/>
        <v>0</v>
      </c>
      <c r="V327" s="229">
        <v>0</v>
      </c>
      <c r="W327" s="229">
        <v>5275</v>
      </c>
      <c r="X327" s="358">
        <f t="shared" si="40"/>
        <v>5275</v>
      </c>
      <c r="Y327" s="325" t="b">
        <f t="shared" si="1"/>
        <v>1</v>
      </c>
    </row>
    <row r="328" spans="1:25">
      <c r="A328" s="16">
        <v>105</v>
      </c>
      <c r="B328" t="s">
        <v>288</v>
      </c>
      <c r="C328" t="s">
        <v>952</v>
      </c>
      <c r="E328" s="229">
        <v>540</v>
      </c>
      <c r="F328" s="229">
        <v>0</v>
      </c>
      <c r="G328" s="229">
        <v>0</v>
      </c>
      <c r="H328" s="229">
        <f t="shared" si="35"/>
        <v>540</v>
      </c>
      <c r="I328" s="229">
        <v>-540</v>
      </c>
      <c r="J328" s="229">
        <f t="shared" si="36"/>
        <v>0</v>
      </c>
      <c r="K328" s="364">
        <v>1</v>
      </c>
      <c r="L328" s="229">
        <f t="shared" si="37"/>
        <v>0</v>
      </c>
      <c r="N328" s="16"/>
      <c r="O328" s="229">
        <v>0</v>
      </c>
      <c r="P328" s="229">
        <v>0</v>
      </c>
      <c r="Q328" s="229">
        <v>0</v>
      </c>
      <c r="R328" s="229">
        <f t="shared" si="38"/>
        <v>0</v>
      </c>
      <c r="S328" s="229">
        <v>0</v>
      </c>
      <c r="T328" s="229">
        <v>0</v>
      </c>
      <c r="U328" s="229">
        <f t="shared" si="39"/>
        <v>0</v>
      </c>
      <c r="V328" s="229">
        <v>0</v>
      </c>
      <c r="W328" s="229">
        <f>+L328</f>
        <v>0</v>
      </c>
      <c r="X328" s="358">
        <f t="shared" si="40"/>
        <v>0</v>
      </c>
      <c r="Y328" s="325" t="b">
        <f t="shared" si="1"/>
        <v>1</v>
      </c>
    </row>
    <row r="329" spans="1:25">
      <c r="A329" s="16">
        <v>106</v>
      </c>
      <c r="B329" t="s">
        <v>288</v>
      </c>
      <c r="C329" t="s">
        <v>476</v>
      </c>
      <c r="E329" s="229">
        <v>2830</v>
      </c>
      <c r="F329" s="229">
        <v>0</v>
      </c>
      <c r="G329" s="229">
        <v>0</v>
      </c>
      <c r="H329" s="229">
        <f t="shared" si="35"/>
        <v>2830</v>
      </c>
      <c r="I329" s="229">
        <v>0</v>
      </c>
      <c r="J329" s="229">
        <f t="shared" si="36"/>
        <v>2830</v>
      </c>
      <c r="K329" s="364">
        <v>1</v>
      </c>
      <c r="L329" s="229">
        <f t="shared" si="37"/>
        <v>2830</v>
      </c>
      <c r="M329" s="18"/>
      <c r="N329" s="16"/>
      <c r="O329" s="229">
        <v>0</v>
      </c>
      <c r="P329" s="229">
        <v>0</v>
      </c>
      <c r="Q329" s="229">
        <v>0</v>
      </c>
      <c r="R329" s="229">
        <f t="shared" si="38"/>
        <v>0</v>
      </c>
      <c r="S329" s="229">
        <v>0</v>
      </c>
      <c r="T329" s="229">
        <v>0</v>
      </c>
      <c r="U329" s="229">
        <f t="shared" si="39"/>
        <v>0</v>
      </c>
      <c r="V329" s="229">
        <v>0</v>
      </c>
      <c r="W329" s="229">
        <v>2830</v>
      </c>
      <c r="X329" s="358">
        <f t="shared" si="40"/>
        <v>2830</v>
      </c>
      <c r="Y329" s="325" t="b">
        <f t="shared" si="1"/>
        <v>1</v>
      </c>
    </row>
    <row r="330" spans="1:25">
      <c r="A330" s="16">
        <v>107</v>
      </c>
      <c r="B330" t="s">
        <v>288</v>
      </c>
      <c r="C330" t="s">
        <v>953</v>
      </c>
      <c r="E330" s="229">
        <v>250</v>
      </c>
      <c r="F330" s="229">
        <v>0</v>
      </c>
      <c r="G330" s="229">
        <v>0</v>
      </c>
      <c r="H330" s="229">
        <f t="shared" si="35"/>
        <v>250</v>
      </c>
      <c r="I330" s="229">
        <v>0</v>
      </c>
      <c r="J330" s="229">
        <f t="shared" si="36"/>
        <v>250</v>
      </c>
      <c r="K330" s="364">
        <v>1</v>
      </c>
      <c r="L330" s="229">
        <f t="shared" si="37"/>
        <v>250</v>
      </c>
      <c r="M330" s="18"/>
      <c r="N330" s="16"/>
      <c r="O330" s="229">
        <v>0</v>
      </c>
      <c r="P330" s="229">
        <v>0</v>
      </c>
      <c r="Q330" s="229">
        <v>0</v>
      </c>
      <c r="R330" s="229">
        <f t="shared" si="38"/>
        <v>0</v>
      </c>
      <c r="S330" s="229">
        <v>0</v>
      </c>
      <c r="T330" s="229">
        <v>0</v>
      </c>
      <c r="U330" s="229">
        <f t="shared" si="39"/>
        <v>0</v>
      </c>
      <c r="V330" s="229">
        <v>0</v>
      </c>
      <c r="W330" s="229">
        <v>250</v>
      </c>
      <c r="X330" s="358">
        <f t="shared" si="40"/>
        <v>250</v>
      </c>
      <c r="Y330" s="325" t="b">
        <f t="shared" si="1"/>
        <v>1</v>
      </c>
    </row>
    <row r="331" spans="1:25">
      <c r="A331" s="16">
        <v>108</v>
      </c>
      <c r="B331" t="s">
        <v>288</v>
      </c>
      <c r="C331" t="s">
        <v>477</v>
      </c>
      <c r="E331" s="229">
        <v>2000</v>
      </c>
      <c r="F331" s="229">
        <v>0</v>
      </c>
      <c r="G331" s="229">
        <v>0</v>
      </c>
      <c r="H331" s="229">
        <f t="shared" si="35"/>
        <v>2000</v>
      </c>
      <c r="I331" s="229">
        <v>0</v>
      </c>
      <c r="J331" s="229">
        <f t="shared" si="36"/>
        <v>2000</v>
      </c>
      <c r="K331" s="364">
        <v>1</v>
      </c>
      <c r="L331" s="229">
        <f t="shared" si="37"/>
        <v>2000</v>
      </c>
      <c r="M331" s="18"/>
      <c r="N331" s="16"/>
      <c r="O331" s="229">
        <v>0</v>
      </c>
      <c r="P331" s="229">
        <v>0</v>
      </c>
      <c r="Q331" s="229">
        <v>0</v>
      </c>
      <c r="R331" s="229">
        <f t="shared" si="38"/>
        <v>0</v>
      </c>
      <c r="S331" s="229">
        <v>0</v>
      </c>
      <c r="T331" s="229">
        <v>0</v>
      </c>
      <c r="U331" s="229">
        <f t="shared" si="39"/>
        <v>0</v>
      </c>
      <c r="V331" s="229">
        <v>0</v>
      </c>
      <c r="W331" s="229">
        <v>2000</v>
      </c>
      <c r="X331" s="358">
        <f t="shared" si="40"/>
        <v>2000</v>
      </c>
      <c r="Y331" s="325" t="b">
        <f t="shared" si="1"/>
        <v>1</v>
      </c>
    </row>
    <row r="332" spans="1:25">
      <c r="A332" s="16">
        <v>109</v>
      </c>
      <c r="B332" t="s">
        <v>288</v>
      </c>
      <c r="C332" t="s">
        <v>954</v>
      </c>
      <c r="E332" s="229">
        <v>850</v>
      </c>
      <c r="F332" s="229">
        <v>0</v>
      </c>
      <c r="G332" s="229">
        <v>0</v>
      </c>
      <c r="H332" s="229">
        <f t="shared" si="35"/>
        <v>850</v>
      </c>
      <c r="I332" s="229">
        <v>-85</v>
      </c>
      <c r="J332" s="229">
        <f t="shared" si="36"/>
        <v>765</v>
      </c>
      <c r="K332" s="364">
        <v>1</v>
      </c>
      <c r="L332" s="229">
        <f t="shared" si="37"/>
        <v>765</v>
      </c>
      <c r="M332" s="18"/>
      <c r="N332" s="16"/>
      <c r="O332" s="229">
        <v>0</v>
      </c>
      <c r="P332" s="229">
        <v>0</v>
      </c>
      <c r="Q332" s="229">
        <v>0</v>
      </c>
      <c r="R332" s="229">
        <f t="shared" si="38"/>
        <v>0</v>
      </c>
      <c r="S332" s="229">
        <v>0</v>
      </c>
      <c r="T332" s="229">
        <v>0</v>
      </c>
      <c r="U332" s="229">
        <f t="shared" si="39"/>
        <v>0</v>
      </c>
      <c r="V332" s="229">
        <v>0</v>
      </c>
      <c r="W332" s="229">
        <f t="shared" ref="W332:W333" si="48">+L332</f>
        <v>765</v>
      </c>
      <c r="X332" s="358">
        <f t="shared" si="40"/>
        <v>765</v>
      </c>
      <c r="Y332" s="325" t="b">
        <f t="shared" si="1"/>
        <v>1</v>
      </c>
    </row>
    <row r="333" spans="1:25">
      <c r="A333" s="16">
        <v>110</v>
      </c>
      <c r="B333" t="s">
        <v>288</v>
      </c>
      <c r="C333" t="s">
        <v>478</v>
      </c>
      <c r="E333" s="229">
        <v>5100</v>
      </c>
      <c r="F333" s="229">
        <v>0</v>
      </c>
      <c r="G333" s="229">
        <v>0</v>
      </c>
      <c r="H333" s="229">
        <f t="shared" si="35"/>
        <v>5100</v>
      </c>
      <c r="I333" s="229">
        <v>-100</v>
      </c>
      <c r="J333" s="229">
        <f t="shared" si="36"/>
        <v>5000</v>
      </c>
      <c r="K333" s="364">
        <v>1</v>
      </c>
      <c r="L333" s="229">
        <f t="shared" si="37"/>
        <v>5000</v>
      </c>
      <c r="M333" s="18"/>
      <c r="N333" s="16"/>
      <c r="O333" s="229">
        <v>0</v>
      </c>
      <c r="P333" s="229">
        <v>0</v>
      </c>
      <c r="Q333" s="229">
        <v>0</v>
      </c>
      <c r="R333" s="229">
        <f t="shared" si="38"/>
        <v>0</v>
      </c>
      <c r="S333" s="229">
        <v>0</v>
      </c>
      <c r="T333" s="229">
        <v>0</v>
      </c>
      <c r="U333" s="229">
        <f t="shared" si="39"/>
        <v>0</v>
      </c>
      <c r="V333" s="229">
        <v>0</v>
      </c>
      <c r="W333" s="229">
        <f t="shared" si="48"/>
        <v>5000</v>
      </c>
      <c r="X333" s="358">
        <f t="shared" si="40"/>
        <v>5000</v>
      </c>
      <c r="Y333" s="325" t="b">
        <f t="shared" si="1"/>
        <v>1</v>
      </c>
    </row>
    <row r="334" spans="1:25">
      <c r="A334" s="16">
        <v>111</v>
      </c>
      <c r="B334" t="s">
        <v>288</v>
      </c>
      <c r="C334" t="s">
        <v>955</v>
      </c>
      <c r="E334" s="229">
        <v>11100</v>
      </c>
      <c r="F334" s="229">
        <v>0</v>
      </c>
      <c r="G334" s="229">
        <v>0</v>
      </c>
      <c r="H334" s="229">
        <f t="shared" si="35"/>
        <v>11100</v>
      </c>
      <c r="I334" s="229">
        <v>0</v>
      </c>
      <c r="J334" s="229">
        <f t="shared" si="36"/>
        <v>11100</v>
      </c>
      <c r="K334" s="364">
        <v>1</v>
      </c>
      <c r="L334" s="229">
        <f t="shared" si="37"/>
        <v>11100</v>
      </c>
      <c r="M334" s="18"/>
      <c r="N334" s="16"/>
      <c r="O334" s="229">
        <v>0</v>
      </c>
      <c r="P334" s="229">
        <v>0</v>
      </c>
      <c r="Q334" s="229">
        <v>0</v>
      </c>
      <c r="R334" s="229">
        <f t="shared" si="38"/>
        <v>0</v>
      </c>
      <c r="S334" s="229">
        <v>0</v>
      </c>
      <c r="T334" s="229">
        <v>0</v>
      </c>
      <c r="U334" s="229">
        <f t="shared" si="39"/>
        <v>0</v>
      </c>
      <c r="V334" s="229">
        <v>0</v>
      </c>
      <c r="W334" s="229">
        <v>11100</v>
      </c>
      <c r="X334" s="358">
        <f t="shared" si="40"/>
        <v>11100</v>
      </c>
      <c r="Y334" s="325" t="b">
        <f t="shared" si="1"/>
        <v>1</v>
      </c>
    </row>
    <row r="335" spans="1:25">
      <c r="A335" s="16">
        <v>112</v>
      </c>
      <c r="B335" t="s">
        <v>288</v>
      </c>
      <c r="C335" t="s">
        <v>640</v>
      </c>
      <c r="E335" s="229">
        <v>500</v>
      </c>
      <c r="F335" s="229">
        <v>0</v>
      </c>
      <c r="G335" s="229">
        <v>0</v>
      </c>
      <c r="H335" s="229">
        <f t="shared" si="35"/>
        <v>500</v>
      </c>
      <c r="I335" s="229">
        <v>-500</v>
      </c>
      <c r="J335" s="229">
        <f t="shared" si="36"/>
        <v>0</v>
      </c>
      <c r="K335" s="364">
        <v>1</v>
      </c>
      <c r="L335" s="229">
        <f t="shared" si="37"/>
        <v>0</v>
      </c>
      <c r="M335" s="18"/>
      <c r="N335" s="16"/>
      <c r="O335" s="229">
        <v>0</v>
      </c>
      <c r="P335" s="229">
        <v>0</v>
      </c>
      <c r="Q335" s="229">
        <v>0</v>
      </c>
      <c r="R335" s="229">
        <f t="shared" si="38"/>
        <v>0</v>
      </c>
      <c r="S335" s="229">
        <v>0</v>
      </c>
      <c r="T335" s="229">
        <v>0</v>
      </c>
      <c r="U335" s="229">
        <f t="shared" si="39"/>
        <v>0</v>
      </c>
      <c r="V335" s="229">
        <v>0</v>
      </c>
      <c r="W335" s="229">
        <f t="shared" ref="W335:W336" si="49">+L335</f>
        <v>0</v>
      </c>
      <c r="X335" s="358">
        <f t="shared" si="40"/>
        <v>0</v>
      </c>
      <c r="Y335" s="325" t="b">
        <f t="shared" si="1"/>
        <v>1</v>
      </c>
    </row>
    <row r="336" spans="1:25">
      <c r="A336" s="16">
        <v>113</v>
      </c>
      <c r="B336" t="s">
        <v>288</v>
      </c>
      <c r="C336" t="s">
        <v>479</v>
      </c>
      <c r="E336" s="229">
        <v>3000</v>
      </c>
      <c r="F336" s="229">
        <v>0</v>
      </c>
      <c r="G336" s="229">
        <v>0</v>
      </c>
      <c r="H336" s="229">
        <f t="shared" si="35"/>
        <v>3000</v>
      </c>
      <c r="I336" s="229">
        <v>-300</v>
      </c>
      <c r="J336" s="229">
        <f t="shared" si="36"/>
        <v>2700</v>
      </c>
      <c r="K336" s="364">
        <v>1</v>
      </c>
      <c r="L336" s="229">
        <f t="shared" si="37"/>
        <v>2700</v>
      </c>
      <c r="M336" s="18"/>
      <c r="N336" s="16"/>
      <c r="O336" s="229">
        <v>0</v>
      </c>
      <c r="P336" s="229">
        <v>0</v>
      </c>
      <c r="Q336" s="229">
        <v>0</v>
      </c>
      <c r="R336" s="229">
        <f t="shared" si="38"/>
        <v>0</v>
      </c>
      <c r="S336" s="229">
        <v>0</v>
      </c>
      <c r="T336" s="229">
        <v>0</v>
      </c>
      <c r="U336" s="229">
        <f t="shared" si="39"/>
        <v>0</v>
      </c>
      <c r="V336" s="229">
        <v>0</v>
      </c>
      <c r="W336" s="229">
        <f t="shared" si="49"/>
        <v>2700</v>
      </c>
      <c r="X336" s="358">
        <f t="shared" si="40"/>
        <v>2700</v>
      </c>
      <c r="Y336" s="325" t="b">
        <f t="shared" si="1"/>
        <v>1</v>
      </c>
    </row>
    <row r="337" spans="1:25">
      <c r="A337" s="16">
        <v>114</v>
      </c>
      <c r="B337" t="s">
        <v>288</v>
      </c>
      <c r="C337" t="s">
        <v>956</v>
      </c>
      <c r="E337" s="229">
        <v>5000</v>
      </c>
      <c r="F337" s="229">
        <v>0</v>
      </c>
      <c r="G337" s="229">
        <v>0</v>
      </c>
      <c r="H337" s="229">
        <f t="shared" si="35"/>
        <v>5000</v>
      </c>
      <c r="I337" s="229">
        <v>-5000</v>
      </c>
      <c r="J337" s="229">
        <f t="shared" si="36"/>
        <v>0</v>
      </c>
      <c r="K337" s="364">
        <v>1</v>
      </c>
      <c r="L337" s="229">
        <f t="shared" si="37"/>
        <v>0</v>
      </c>
      <c r="M337" s="18"/>
      <c r="N337" s="16"/>
      <c r="O337" s="229">
        <v>0</v>
      </c>
      <c r="P337" s="229">
        <v>0</v>
      </c>
      <c r="Q337" s="229">
        <v>0</v>
      </c>
      <c r="R337" s="229">
        <f t="shared" si="38"/>
        <v>0</v>
      </c>
      <c r="S337" s="229">
        <v>0</v>
      </c>
      <c r="T337" s="229">
        <v>0</v>
      </c>
      <c r="U337" s="229">
        <f t="shared" si="39"/>
        <v>0</v>
      </c>
      <c r="V337" s="229">
        <v>0</v>
      </c>
      <c r="W337" s="229">
        <v>0</v>
      </c>
      <c r="X337" s="358">
        <f t="shared" si="40"/>
        <v>0</v>
      </c>
      <c r="Y337" s="325" t="b">
        <f t="shared" si="1"/>
        <v>1</v>
      </c>
    </row>
    <row r="338" spans="1:25">
      <c r="A338" s="16">
        <v>115</v>
      </c>
      <c r="B338" t="s">
        <v>288</v>
      </c>
      <c r="C338" t="s">
        <v>957</v>
      </c>
      <c r="E338" s="229">
        <v>1641.2</v>
      </c>
      <c r="F338" s="229">
        <v>0</v>
      </c>
      <c r="G338" s="229">
        <v>0</v>
      </c>
      <c r="H338" s="229">
        <f t="shared" ref="H338:H401" si="50">+E338+F338+G338</f>
        <v>1641.2</v>
      </c>
      <c r="I338" s="229">
        <v>0</v>
      </c>
      <c r="J338" s="229">
        <f t="shared" ref="J338:J401" si="51">+H338+I338</f>
        <v>1641.2</v>
      </c>
      <c r="K338" s="364">
        <v>1</v>
      </c>
      <c r="L338" s="229">
        <f t="shared" ref="L338:L401" si="52">+J338*K338</f>
        <v>1641.2</v>
      </c>
      <c r="M338" s="18"/>
      <c r="N338" s="16"/>
      <c r="O338" s="229">
        <v>0</v>
      </c>
      <c r="P338" s="229">
        <v>0</v>
      </c>
      <c r="Q338" s="229">
        <v>0</v>
      </c>
      <c r="R338" s="229">
        <f t="shared" ref="R338:R401" si="53">SUM(O338:Q338)</f>
        <v>0</v>
      </c>
      <c r="S338" s="229">
        <v>0</v>
      </c>
      <c r="T338" s="229">
        <v>0</v>
      </c>
      <c r="U338" s="229">
        <f t="shared" ref="U338:U401" si="54">SUM(S338:T338)</f>
        <v>0</v>
      </c>
      <c r="V338" s="229">
        <v>0</v>
      </c>
      <c r="W338" s="229">
        <v>1641.2</v>
      </c>
      <c r="X338" s="358">
        <f t="shared" ref="X338:X401" si="55">+O338+P338+Q338+S338+T338+V338+W338</f>
        <v>1641.2</v>
      </c>
      <c r="Y338" s="325" t="b">
        <f t="shared" si="1"/>
        <v>1</v>
      </c>
    </row>
    <row r="339" spans="1:25">
      <c r="A339" s="16">
        <v>116</v>
      </c>
      <c r="B339" t="s">
        <v>288</v>
      </c>
      <c r="C339" t="s">
        <v>715</v>
      </c>
      <c r="E339" s="229">
        <v>500</v>
      </c>
      <c r="F339" s="229">
        <v>0</v>
      </c>
      <c r="G339" s="229">
        <v>0</v>
      </c>
      <c r="H339" s="229">
        <f t="shared" si="50"/>
        <v>500</v>
      </c>
      <c r="I339" s="229">
        <v>-50</v>
      </c>
      <c r="J339" s="229">
        <f t="shared" si="51"/>
        <v>450</v>
      </c>
      <c r="K339" s="364">
        <v>1</v>
      </c>
      <c r="L339" s="229">
        <f t="shared" si="52"/>
        <v>450</v>
      </c>
      <c r="M339" s="18"/>
      <c r="N339" s="16"/>
      <c r="O339" s="229">
        <v>0</v>
      </c>
      <c r="P339" s="229">
        <v>0</v>
      </c>
      <c r="Q339" s="229">
        <v>0</v>
      </c>
      <c r="R339" s="229">
        <f t="shared" si="53"/>
        <v>0</v>
      </c>
      <c r="S339" s="229">
        <v>0</v>
      </c>
      <c r="T339" s="229">
        <v>0</v>
      </c>
      <c r="U339" s="229">
        <f t="shared" si="54"/>
        <v>0</v>
      </c>
      <c r="V339" s="229">
        <v>0</v>
      </c>
      <c r="W339" s="229">
        <f>+L339</f>
        <v>450</v>
      </c>
      <c r="X339" s="358">
        <f t="shared" si="55"/>
        <v>450</v>
      </c>
      <c r="Y339" s="325" t="b">
        <f t="shared" si="1"/>
        <v>1</v>
      </c>
    </row>
    <row r="340" spans="1:25">
      <c r="A340" s="16">
        <v>117</v>
      </c>
      <c r="B340" t="s">
        <v>288</v>
      </c>
      <c r="C340" t="s">
        <v>480</v>
      </c>
      <c r="E340" s="229">
        <v>2000</v>
      </c>
      <c r="F340" s="229">
        <v>0</v>
      </c>
      <c r="G340" s="229">
        <v>0</v>
      </c>
      <c r="H340" s="229">
        <f t="shared" si="50"/>
        <v>2000</v>
      </c>
      <c r="I340" s="229">
        <v>0</v>
      </c>
      <c r="J340" s="229">
        <f t="shared" si="51"/>
        <v>2000</v>
      </c>
      <c r="K340" s="364">
        <v>1</v>
      </c>
      <c r="L340" s="229">
        <f t="shared" si="52"/>
        <v>2000</v>
      </c>
      <c r="M340" s="18"/>
      <c r="N340" s="16"/>
      <c r="O340" s="229">
        <v>0</v>
      </c>
      <c r="P340" s="229">
        <v>0</v>
      </c>
      <c r="Q340" s="229">
        <v>0</v>
      </c>
      <c r="R340" s="229">
        <f t="shared" si="53"/>
        <v>0</v>
      </c>
      <c r="S340" s="229">
        <v>0</v>
      </c>
      <c r="T340" s="229">
        <v>0</v>
      </c>
      <c r="U340" s="229">
        <f t="shared" si="54"/>
        <v>0</v>
      </c>
      <c r="V340" s="229">
        <v>0</v>
      </c>
      <c r="W340" s="229">
        <v>2000</v>
      </c>
      <c r="X340" s="358">
        <f t="shared" si="55"/>
        <v>2000</v>
      </c>
      <c r="Y340" s="325" t="b">
        <f t="shared" si="1"/>
        <v>1</v>
      </c>
    </row>
    <row r="341" spans="1:25">
      <c r="A341" s="16">
        <v>118</v>
      </c>
      <c r="B341" t="s">
        <v>288</v>
      </c>
      <c r="C341" t="s">
        <v>481</v>
      </c>
      <c r="E341" s="229">
        <v>1000</v>
      </c>
      <c r="F341" s="229">
        <v>0</v>
      </c>
      <c r="G341" s="229">
        <v>0</v>
      </c>
      <c r="H341" s="229">
        <f t="shared" si="50"/>
        <v>1000</v>
      </c>
      <c r="I341" s="229">
        <v>0</v>
      </c>
      <c r="J341" s="229">
        <f t="shared" si="51"/>
        <v>1000</v>
      </c>
      <c r="K341" s="364">
        <v>1</v>
      </c>
      <c r="L341" s="229">
        <f t="shared" si="52"/>
        <v>1000</v>
      </c>
      <c r="M341" s="18"/>
      <c r="N341" s="16"/>
      <c r="O341" s="229">
        <v>0</v>
      </c>
      <c r="P341" s="229">
        <v>0</v>
      </c>
      <c r="Q341" s="229">
        <v>0</v>
      </c>
      <c r="R341" s="229">
        <f t="shared" si="53"/>
        <v>0</v>
      </c>
      <c r="S341" s="229">
        <v>0</v>
      </c>
      <c r="T341" s="229">
        <v>0</v>
      </c>
      <c r="U341" s="229">
        <f t="shared" si="54"/>
        <v>0</v>
      </c>
      <c r="V341" s="229">
        <v>0</v>
      </c>
      <c r="W341" s="229">
        <v>1000</v>
      </c>
      <c r="X341" s="358">
        <f t="shared" si="55"/>
        <v>1000</v>
      </c>
      <c r="Y341" s="325" t="b">
        <f t="shared" si="1"/>
        <v>1</v>
      </c>
    </row>
    <row r="342" spans="1:25">
      <c r="A342" s="16">
        <v>119</v>
      </c>
      <c r="B342" t="s">
        <v>288</v>
      </c>
      <c r="C342" t="s">
        <v>482</v>
      </c>
      <c r="E342" s="229">
        <v>7250</v>
      </c>
      <c r="F342" s="229">
        <v>0</v>
      </c>
      <c r="G342" s="229">
        <v>0</v>
      </c>
      <c r="H342" s="229">
        <f t="shared" si="50"/>
        <v>7250</v>
      </c>
      <c r="I342" s="229">
        <v>0</v>
      </c>
      <c r="J342" s="229">
        <f t="shared" si="51"/>
        <v>7250</v>
      </c>
      <c r="K342" s="364">
        <v>1</v>
      </c>
      <c r="L342" s="229">
        <f t="shared" si="52"/>
        <v>7250</v>
      </c>
      <c r="M342" s="18"/>
      <c r="N342" s="16"/>
      <c r="O342" s="229">
        <v>0</v>
      </c>
      <c r="P342" s="229">
        <v>0</v>
      </c>
      <c r="Q342" s="229">
        <v>0</v>
      </c>
      <c r="R342" s="229">
        <f t="shared" si="53"/>
        <v>0</v>
      </c>
      <c r="S342" s="229">
        <v>0</v>
      </c>
      <c r="T342" s="229">
        <v>0</v>
      </c>
      <c r="U342" s="229">
        <f t="shared" si="54"/>
        <v>0</v>
      </c>
      <c r="V342" s="229">
        <v>0</v>
      </c>
      <c r="W342" s="229">
        <v>7250</v>
      </c>
      <c r="X342" s="358">
        <f t="shared" si="55"/>
        <v>7250</v>
      </c>
      <c r="Y342" s="325" t="b">
        <f t="shared" si="1"/>
        <v>1</v>
      </c>
    </row>
    <row r="343" spans="1:25">
      <c r="A343" s="16">
        <v>120</v>
      </c>
      <c r="B343" t="s">
        <v>288</v>
      </c>
      <c r="C343" t="s">
        <v>716</v>
      </c>
      <c r="E343" s="229">
        <v>1375</v>
      </c>
      <c r="F343" s="229">
        <v>0</v>
      </c>
      <c r="G343" s="229">
        <v>0</v>
      </c>
      <c r="H343" s="229">
        <f t="shared" si="50"/>
        <v>1375</v>
      </c>
      <c r="I343" s="229">
        <v>-137.5</v>
      </c>
      <c r="J343" s="229">
        <f t="shared" si="51"/>
        <v>1237.5</v>
      </c>
      <c r="K343" s="364">
        <v>1</v>
      </c>
      <c r="L343" s="229">
        <f t="shared" si="52"/>
        <v>1237.5</v>
      </c>
      <c r="M343" s="18"/>
      <c r="N343" s="16"/>
      <c r="O343" s="229">
        <v>0</v>
      </c>
      <c r="P343" s="229">
        <v>0</v>
      </c>
      <c r="Q343" s="229">
        <v>0</v>
      </c>
      <c r="R343" s="229">
        <f t="shared" si="53"/>
        <v>0</v>
      </c>
      <c r="S343" s="229">
        <v>0</v>
      </c>
      <c r="T343" s="229">
        <v>0</v>
      </c>
      <c r="U343" s="229">
        <f t="shared" si="54"/>
        <v>0</v>
      </c>
      <c r="V343" s="229">
        <v>0</v>
      </c>
      <c r="W343" s="229">
        <f t="shared" ref="W343:W345" si="56">+L343</f>
        <v>1237.5</v>
      </c>
      <c r="X343" s="358">
        <f t="shared" si="55"/>
        <v>1237.5</v>
      </c>
      <c r="Y343" s="325" t="b">
        <f t="shared" si="1"/>
        <v>1</v>
      </c>
    </row>
    <row r="344" spans="1:25">
      <c r="A344" s="16">
        <v>121</v>
      </c>
      <c r="B344" t="s">
        <v>288</v>
      </c>
      <c r="C344" t="s">
        <v>483</v>
      </c>
      <c r="E344" s="229">
        <v>1400</v>
      </c>
      <c r="F344" s="229">
        <v>0</v>
      </c>
      <c r="G344" s="229">
        <v>0</v>
      </c>
      <c r="H344" s="229">
        <f t="shared" si="50"/>
        <v>1400</v>
      </c>
      <c r="I344" s="229">
        <v>-140</v>
      </c>
      <c r="J344" s="229">
        <f t="shared" si="51"/>
        <v>1260</v>
      </c>
      <c r="K344" s="364">
        <v>1</v>
      </c>
      <c r="L344" s="229">
        <f t="shared" si="52"/>
        <v>1260</v>
      </c>
      <c r="M344" s="18"/>
      <c r="N344" s="16"/>
      <c r="O344" s="229">
        <v>0</v>
      </c>
      <c r="P344" s="229">
        <v>0</v>
      </c>
      <c r="Q344" s="229">
        <v>0</v>
      </c>
      <c r="R344" s="229">
        <f t="shared" si="53"/>
        <v>0</v>
      </c>
      <c r="S344" s="229">
        <v>0</v>
      </c>
      <c r="T344" s="229">
        <v>0</v>
      </c>
      <c r="U344" s="229">
        <f t="shared" si="54"/>
        <v>0</v>
      </c>
      <c r="V344" s="229">
        <v>0</v>
      </c>
      <c r="W344" s="229">
        <f t="shared" si="56"/>
        <v>1260</v>
      </c>
      <c r="X344" s="358">
        <f t="shared" si="55"/>
        <v>1260</v>
      </c>
      <c r="Y344" s="325" t="b">
        <f t="shared" si="1"/>
        <v>1</v>
      </c>
    </row>
    <row r="345" spans="1:25">
      <c r="A345" s="16">
        <v>122</v>
      </c>
      <c r="B345" t="s">
        <v>288</v>
      </c>
      <c r="C345" t="s">
        <v>958</v>
      </c>
      <c r="E345" s="229">
        <v>18400</v>
      </c>
      <c r="F345" s="229">
        <v>0</v>
      </c>
      <c r="G345" s="229">
        <v>0</v>
      </c>
      <c r="H345" s="229">
        <f t="shared" si="50"/>
        <v>18400</v>
      </c>
      <c r="I345" s="229">
        <v>-75</v>
      </c>
      <c r="J345" s="229">
        <f t="shared" si="51"/>
        <v>18325</v>
      </c>
      <c r="K345" s="364">
        <v>1</v>
      </c>
      <c r="L345" s="229">
        <f t="shared" si="52"/>
        <v>18325</v>
      </c>
      <c r="M345" s="18"/>
      <c r="N345" s="16"/>
      <c r="O345" s="229">
        <v>0</v>
      </c>
      <c r="P345" s="229">
        <v>0</v>
      </c>
      <c r="Q345" s="229">
        <v>0</v>
      </c>
      <c r="R345" s="229">
        <f t="shared" si="53"/>
        <v>0</v>
      </c>
      <c r="S345" s="229">
        <v>0</v>
      </c>
      <c r="T345" s="229">
        <v>0</v>
      </c>
      <c r="U345" s="229">
        <f t="shared" si="54"/>
        <v>0</v>
      </c>
      <c r="V345" s="229">
        <v>0</v>
      </c>
      <c r="W345" s="229">
        <f t="shared" si="56"/>
        <v>18325</v>
      </c>
      <c r="X345" s="358">
        <f t="shared" si="55"/>
        <v>18325</v>
      </c>
      <c r="Y345" s="325" t="b">
        <f t="shared" si="1"/>
        <v>1</v>
      </c>
    </row>
    <row r="346" spans="1:25">
      <c r="A346" s="16">
        <v>123</v>
      </c>
      <c r="B346" t="s">
        <v>288</v>
      </c>
      <c r="C346" t="s">
        <v>959</v>
      </c>
      <c r="E346" s="229">
        <v>1500</v>
      </c>
      <c r="F346" s="229">
        <v>0</v>
      </c>
      <c r="G346" s="229">
        <v>0</v>
      </c>
      <c r="H346" s="229">
        <f t="shared" si="50"/>
        <v>1500</v>
      </c>
      <c r="I346" s="229">
        <v>0</v>
      </c>
      <c r="J346" s="229">
        <f t="shared" si="51"/>
        <v>1500</v>
      </c>
      <c r="K346" s="364">
        <v>1</v>
      </c>
      <c r="L346" s="229">
        <f t="shared" si="52"/>
        <v>1500</v>
      </c>
      <c r="M346" s="18"/>
      <c r="N346" s="16"/>
      <c r="O346" s="229">
        <v>0</v>
      </c>
      <c r="P346" s="229">
        <v>0</v>
      </c>
      <c r="Q346" s="229">
        <v>0</v>
      </c>
      <c r="R346" s="229">
        <f t="shared" si="53"/>
        <v>0</v>
      </c>
      <c r="S346" s="229">
        <v>0</v>
      </c>
      <c r="T346" s="229">
        <v>0</v>
      </c>
      <c r="U346" s="229">
        <f t="shared" si="54"/>
        <v>0</v>
      </c>
      <c r="V346" s="229">
        <v>0</v>
      </c>
      <c r="W346" s="229">
        <v>1500</v>
      </c>
      <c r="X346" s="358">
        <f t="shared" si="55"/>
        <v>1500</v>
      </c>
      <c r="Y346" s="325" t="b">
        <f t="shared" si="1"/>
        <v>1</v>
      </c>
    </row>
    <row r="347" spans="1:25">
      <c r="A347" s="16">
        <v>124</v>
      </c>
      <c r="B347" t="s">
        <v>288</v>
      </c>
      <c r="C347" t="s">
        <v>960</v>
      </c>
      <c r="E347" s="229">
        <v>2500</v>
      </c>
      <c r="F347" s="229">
        <v>0</v>
      </c>
      <c r="G347" s="229">
        <v>0</v>
      </c>
      <c r="H347" s="229">
        <f t="shared" si="50"/>
        <v>2500</v>
      </c>
      <c r="I347" s="229">
        <v>-250</v>
      </c>
      <c r="J347" s="229">
        <f t="shared" si="51"/>
        <v>2250</v>
      </c>
      <c r="K347" s="364">
        <v>1</v>
      </c>
      <c r="L347" s="229">
        <f t="shared" si="52"/>
        <v>2250</v>
      </c>
      <c r="M347" s="18"/>
      <c r="N347" s="16"/>
      <c r="O347" s="229">
        <v>0</v>
      </c>
      <c r="P347" s="229">
        <v>0</v>
      </c>
      <c r="Q347" s="229">
        <v>0</v>
      </c>
      <c r="R347" s="229">
        <f t="shared" si="53"/>
        <v>0</v>
      </c>
      <c r="S347" s="229">
        <v>0</v>
      </c>
      <c r="T347" s="229">
        <v>0</v>
      </c>
      <c r="U347" s="229">
        <f t="shared" si="54"/>
        <v>0</v>
      </c>
      <c r="V347" s="229">
        <v>0</v>
      </c>
      <c r="W347" s="229">
        <f t="shared" ref="W347:W348" si="57">+L347</f>
        <v>2250</v>
      </c>
      <c r="X347" s="358">
        <f t="shared" si="55"/>
        <v>2250</v>
      </c>
      <c r="Y347" s="325" t="b">
        <f t="shared" si="1"/>
        <v>1</v>
      </c>
    </row>
    <row r="348" spans="1:25">
      <c r="A348" s="16">
        <v>125</v>
      </c>
      <c r="B348" t="s">
        <v>288</v>
      </c>
      <c r="C348" t="s">
        <v>961</v>
      </c>
      <c r="E348" s="229">
        <v>1400</v>
      </c>
      <c r="F348" s="229">
        <v>0</v>
      </c>
      <c r="G348" s="229">
        <v>0</v>
      </c>
      <c r="H348" s="229">
        <f t="shared" si="50"/>
        <v>1400</v>
      </c>
      <c r="I348" s="229">
        <v>-140</v>
      </c>
      <c r="J348" s="229">
        <f t="shared" si="51"/>
        <v>1260</v>
      </c>
      <c r="K348" s="364">
        <v>1</v>
      </c>
      <c r="L348" s="229">
        <f t="shared" si="52"/>
        <v>1260</v>
      </c>
      <c r="M348" s="18"/>
      <c r="N348" s="16"/>
      <c r="O348" s="229">
        <v>0</v>
      </c>
      <c r="P348" s="229">
        <v>0</v>
      </c>
      <c r="Q348" s="229">
        <v>0</v>
      </c>
      <c r="R348" s="229">
        <f t="shared" si="53"/>
        <v>0</v>
      </c>
      <c r="S348" s="229">
        <v>0</v>
      </c>
      <c r="T348" s="229">
        <v>0</v>
      </c>
      <c r="U348" s="229">
        <f t="shared" si="54"/>
        <v>0</v>
      </c>
      <c r="V348" s="229">
        <v>0</v>
      </c>
      <c r="W348" s="229">
        <f t="shared" si="57"/>
        <v>1260</v>
      </c>
      <c r="X348" s="358">
        <f t="shared" si="55"/>
        <v>1260</v>
      </c>
      <c r="Y348" s="325" t="b">
        <f t="shared" si="1"/>
        <v>1</v>
      </c>
    </row>
    <row r="349" spans="1:25">
      <c r="A349" s="16">
        <v>126</v>
      </c>
      <c r="B349" t="s">
        <v>288</v>
      </c>
      <c r="C349" t="s">
        <v>485</v>
      </c>
      <c r="E349" s="229">
        <v>550</v>
      </c>
      <c r="F349" s="229">
        <v>0</v>
      </c>
      <c r="G349" s="229">
        <v>0</v>
      </c>
      <c r="H349" s="229">
        <f t="shared" si="50"/>
        <v>550</v>
      </c>
      <c r="I349" s="229">
        <v>0</v>
      </c>
      <c r="J349" s="229">
        <f t="shared" si="51"/>
        <v>550</v>
      </c>
      <c r="K349" s="364">
        <v>1</v>
      </c>
      <c r="L349" s="229">
        <f t="shared" si="52"/>
        <v>550</v>
      </c>
      <c r="M349" s="18"/>
      <c r="N349" s="16"/>
      <c r="O349" s="229">
        <v>0</v>
      </c>
      <c r="P349" s="229">
        <v>0</v>
      </c>
      <c r="Q349" s="229">
        <v>0</v>
      </c>
      <c r="R349" s="229">
        <f t="shared" si="53"/>
        <v>0</v>
      </c>
      <c r="S349" s="229">
        <v>0</v>
      </c>
      <c r="T349" s="229">
        <v>0</v>
      </c>
      <c r="U349" s="229">
        <f t="shared" si="54"/>
        <v>0</v>
      </c>
      <c r="V349" s="229">
        <v>0</v>
      </c>
      <c r="W349" s="229">
        <v>550</v>
      </c>
      <c r="X349" s="358">
        <f t="shared" si="55"/>
        <v>550</v>
      </c>
      <c r="Y349" s="325" t="b">
        <f t="shared" si="1"/>
        <v>1</v>
      </c>
    </row>
    <row r="350" spans="1:25">
      <c r="A350" s="16">
        <v>127</v>
      </c>
      <c r="B350" t="s">
        <v>288</v>
      </c>
      <c r="C350" t="s">
        <v>962</v>
      </c>
      <c r="E350" s="229">
        <v>10250</v>
      </c>
      <c r="F350" s="229">
        <v>0</v>
      </c>
      <c r="G350" s="229">
        <v>0</v>
      </c>
      <c r="H350" s="229">
        <f t="shared" si="50"/>
        <v>10250</v>
      </c>
      <c r="I350" s="229">
        <v>0</v>
      </c>
      <c r="J350" s="229">
        <f t="shared" si="51"/>
        <v>10250</v>
      </c>
      <c r="K350" s="364">
        <v>1</v>
      </c>
      <c r="L350" s="229">
        <f t="shared" si="52"/>
        <v>10250</v>
      </c>
      <c r="M350" s="18"/>
      <c r="N350" s="16"/>
      <c r="O350" s="229">
        <v>0</v>
      </c>
      <c r="P350" s="229">
        <v>0</v>
      </c>
      <c r="Q350" s="229">
        <v>0</v>
      </c>
      <c r="R350" s="229">
        <f t="shared" si="53"/>
        <v>0</v>
      </c>
      <c r="S350" s="229">
        <v>0</v>
      </c>
      <c r="T350" s="229">
        <v>0</v>
      </c>
      <c r="U350" s="229">
        <f t="shared" si="54"/>
        <v>0</v>
      </c>
      <c r="V350" s="229">
        <v>0</v>
      </c>
      <c r="W350" s="229">
        <v>10250</v>
      </c>
      <c r="X350" s="358">
        <f t="shared" si="55"/>
        <v>10250</v>
      </c>
      <c r="Y350" s="325" t="b">
        <f t="shared" si="1"/>
        <v>1</v>
      </c>
    </row>
    <row r="351" spans="1:25">
      <c r="A351" s="16">
        <v>128</v>
      </c>
      <c r="B351" t="s">
        <v>288</v>
      </c>
      <c r="C351" t="s">
        <v>1118</v>
      </c>
      <c r="E351" s="229">
        <v>2000</v>
      </c>
      <c r="F351" s="229">
        <v>0</v>
      </c>
      <c r="G351" s="229">
        <v>0</v>
      </c>
      <c r="H351" s="229">
        <f t="shared" si="50"/>
        <v>2000</v>
      </c>
      <c r="I351" s="229">
        <v>0</v>
      </c>
      <c r="J351" s="229">
        <f t="shared" si="51"/>
        <v>2000</v>
      </c>
      <c r="K351" s="364">
        <v>1</v>
      </c>
      <c r="L351" s="229">
        <f t="shared" si="52"/>
        <v>2000</v>
      </c>
      <c r="N351" s="16"/>
      <c r="O351" s="229">
        <v>0</v>
      </c>
      <c r="P351" s="229">
        <v>0</v>
      </c>
      <c r="Q351" s="229">
        <v>0</v>
      </c>
      <c r="R351" s="229">
        <f t="shared" si="53"/>
        <v>0</v>
      </c>
      <c r="S351" s="229">
        <v>0</v>
      </c>
      <c r="T351" s="229">
        <v>0</v>
      </c>
      <c r="U351" s="229">
        <f t="shared" si="54"/>
        <v>0</v>
      </c>
      <c r="V351" s="229">
        <v>0</v>
      </c>
      <c r="W351" s="229">
        <v>2000</v>
      </c>
      <c r="X351" s="358">
        <f t="shared" si="55"/>
        <v>2000</v>
      </c>
      <c r="Y351" s="325" t="b">
        <f t="shared" si="1"/>
        <v>1</v>
      </c>
    </row>
    <row r="352" spans="1:25">
      <c r="A352" s="16">
        <v>129</v>
      </c>
      <c r="B352" t="s">
        <v>288</v>
      </c>
      <c r="C352" t="s">
        <v>963</v>
      </c>
      <c r="E352" s="229">
        <v>1000</v>
      </c>
      <c r="F352" s="229">
        <v>0</v>
      </c>
      <c r="G352" s="229">
        <v>0</v>
      </c>
      <c r="H352" s="229">
        <f t="shared" si="50"/>
        <v>1000</v>
      </c>
      <c r="I352" s="229">
        <v>-1000</v>
      </c>
      <c r="J352" s="229">
        <f t="shared" si="51"/>
        <v>0</v>
      </c>
      <c r="K352" s="364">
        <v>1</v>
      </c>
      <c r="L352" s="229">
        <f t="shared" si="52"/>
        <v>0</v>
      </c>
      <c r="N352" s="16"/>
      <c r="O352" s="229">
        <v>0</v>
      </c>
      <c r="P352" s="229">
        <v>0</v>
      </c>
      <c r="Q352" s="229">
        <v>0</v>
      </c>
      <c r="R352" s="229">
        <f t="shared" si="53"/>
        <v>0</v>
      </c>
      <c r="S352" s="229">
        <v>0</v>
      </c>
      <c r="T352" s="229">
        <v>0</v>
      </c>
      <c r="U352" s="229">
        <f t="shared" si="54"/>
        <v>0</v>
      </c>
      <c r="V352" s="229">
        <v>0</v>
      </c>
      <c r="W352" s="229">
        <f>+L352</f>
        <v>0</v>
      </c>
      <c r="X352" s="358">
        <f t="shared" si="55"/>
        <v>0</v>
      </c>
      <c r="Y352" s="325" t="b">
        <f t="shared" si="1"/>
        <v>1</v>
      </c>
    </row>
    <row r="353" spans="1:25">
      <c r="A353" s="16">
        <v>130</v>
      </c>
      <c r="B353" t="s">
        <v>288</v>
      </c>
      <c r="C353" t="s">
        <v>964</v>
      </c>
      <c r="E353" s="229">
        <v>1000</v>
      </c>
      <c r="F353" s="229">
        <v>0</v>
      </c>
      <c r="G353" s="229">
        <v>0</v>
      </c>
      <c r="H353" s="229">
        <f t="shared" si="50"/>
        <v>1000</v>
      </c>
      <c r="I353" s="229">
        <v>0</v>
      </c>
      <c r="J353" s="229">
        <f t="shared" si="51"/>
        <v>1000</v>
      </c>
      <c r="K353" s="364">
        <v>1</v>
      </c>
      <c r="L353" s="229">
        <f t="shared" si="52"/>
        <v>1000</v>
      </c>
      <c r="N353" s="16"/>
      <c r="O353" s="229">
        <v>0</v>
      </c>
      <c r="P353" s="229">
        <v>0</v>
      </c>
      <c r="Q353" s="229">
        <v>0</v>
      </c>
      <c r="R353" s="229">
        <f t="shared" si="53"/>
        <v>0</v>
      </c>
      <c r="S353" s="229">
        <v>0</v>
      </c>
      <c r="T353" s="229">
        <v>0</v>
      </c>
      <c r="U353" s="229">
        <f t="shared" si="54"/>
        <v>0</v>
      </c>
      <c r="V353" s="229">
        <v>0</v>
      </c>
      <c r="W353" s="229">
        <v>1000</v>
      </c>
      <c r="X353" s="358">
        <f t="shared" si="55"/>
        <v>1000</v>
      </c>
      <c r="Y353" s="325" t="b">
        <f t="shared" si="1"/>
        <v>1</v>
      </c>
    </row>
    <row r="354" spans="1:25">
      <c r="A354" s="16">
        <v>131</v>
      </c>
      <c r="B354" t="s">
        <v>288</v>
      </c>
      <c r="C354" t="s">
        <v>965</v>
      </c>
      <c r="E354" s="229">
        <v>15000</v>
      </c>
      <c r="F354" s="229">
        <v>0</v>
      </c>
      <c r="G354" s="229">
        <v>0</v>
      </c>
      <c r="H354" s="229">
        <f t="shared" si="50"/>
        <v>15000</v>
      </c>
      <c r="I354" s="229">
        <v>0</v>
      </c>
      <c r="J354" s="229">
        <f t="shared" si="51"/>
        <v>15000</v>
      </c>
      <c r="K354" s="364">
        <v>1</v>
      </c>
      <c r="L354" s="229">
        <f t="shared" si="52"/>
        <v>15000</v>
      </c>
      <c r="N354" s="16"/>
      <c r="O354" s="229">
        <v>3372</v>
      </c>
      <c r="P354" s="229">
        <v>0</v>
      </c>
      <c r="Q354" s="229">
        <v>0</v>
      </c>
      <c r="R354" s="229">
        <f t="shared" si="53"/>
        <v>3372</v>
      </c>
      <c r="S354" s="229">
        <v>9006</v>
      </c>
      <c r="T354" s="229">
        <v>0</v>
      </c>
      <c r="U354" s="229">
        <f t="shared" si="54"/>
        <v>9006</v>
      </c>
      <c r="V354" s="229">
        <v>2518.5</v>
      </c>
      <c r="W354" s="229">
        <v>103.5</v>
      </c>
      <c r="X354" s="358">
        <f t="shared" si="55"/>
        <v>15000</v>
      </c>
      <c r="Y354" s="325" t="b">
        <f t="shared" si="1"/>
        <v>1</v>
      </c>
    </row>
    <row r="355" spans="1:25">
      <c r="A355" s="16">
        <v>132</v>
      </c>
      <c r="B355" t="s">
        <v>288</v>
      </c>
      <c r="C355" t="s">
        <v>1119</v>
      </c>
      <c r="E355" s="229">
        <v>17500</v>
      </c>
      <c r="F355" s="229">
        <v>0</v>
      </c>
      <c r="G355" s="229">
        <v>0</v>
      </c>
      <c r="H355" s="229">
        <f t="shared" si="50"/>
        <v>17500</v>
      </c>
      <c r="I355" s="229">
        <v>0</v>
      </c>
      <c r="J355" s="229">
        <f t="shared" si="51"/>
        <v>17500</v>
      </c>
      <c r="K355" s="364">
        <v>1</v>
      </c>
      <c r="L355" s="229">
        <f t="shared" si="52"/>
        <v>17500</v>
      </c>
      <c r="N355" s="16"/>
      <c r="O355" s="229">
        <v>3934</v>
      </c>
      <c r="P355" s="229">
        <v>0</v>
      </c>
      <c r="Q355" s="229">
        <v>0</v>
      </c>
      <c r="R355" s="229">
        <f t="shared" si="53"/>
        <v>3934</v>
      </c>
      <c r="S355" s="229">
        <v>10507</v>
      </c>
      <c r="T355" s="229">
        <v>0</v>
      </c>
      <c r="U355" s="229">
        <f t="shared" si="54"/>
        <v>10507</v>
      </c>
      <c r="V355" s="229">
        <v>2938.25</v>
      </c>
      <c r="W355" s="229">
        <v>120.75</v>
      </c>
      <c r="X355" s="358">
        <f t="shared" si="55"/>
        <v>17500</v>
      </c>
      <c r="Y355" s="325" t="b">
        <f t="shared" si="1"/>
        <v>1</v>
      </c>
    </row>
    <row r="356" spans="1:25">
      <c r="A356" s="16">
        <v>133</v>
      </c>
      <c r="B356" t="s">
        <v>288</v>
      </c>
      <c r="C356" t="s">
        <v>966</v>
      </c>
      <c r="E356" s="229">
        <v>10000</v>
      </c>
      <c r="F356" s="229">
        <v>0</v>
      </c>
      <c r="G356" s="229">
        <v>0</v>
      </c>
      <c r="H356" s="229">
        <f t="shared" si="50"/>
        <v>10000</v>
      </c>
      <c r="I356" s="229">
        <v>0</v>
      </c>
      <c r="J356" s="229">
        <f t="shared" si="51"/>
        <v>10000</v>
      </c>
      <c r="K356" s="364">
        <v>1</v>
      </c>
      <c r="L356" s="229">
        <f t="shared" si="52"/>
        <v>10000</v>
      </c>
      <c r="N356" s="16"/>
      <c r="O356" s="229">
        <v>2248</v>
      </c>
      <c r="P356" s="229">
        <v>0</v>
      </c>
      <c r="Q356" s="229">
        <v>0</v>
      </c>
      <c r="R356" s="229">
        <f t="shared" si="53"/>
        <v>2248</v>
      </c>
      <c r="S356" s="229">
        <v>6004</v>
      </c>
      <c r="T356" s="229">
        <v>0</v>
      </c>
      <c r="U356" s="229">
        <f t="shared" si="54"/>
        <v>6004</v>
      </c>
      <c r="V356" s="229">
        <v>1679</v>
      </c>
      <c r="W356" s="229">
        <v>69</v>
      </c>
      <c r="X356" s="358">
        <f t="shared" si="55"/>
        <v>10000</v>
      </c>
      <c r="Y356" s="325" t="b">
        <f t="shared" si="1"/>
        <v>1</v>
      </c>
    </row>
    <row r="357" spans="1:25">
      <c r="A357" s="16">
        <v>134</v>
      </c>
      <c r="B357" t="s">
        <v>288</v>
      </c>
      <c r="C357" t="s">
        <v>894</v>
      </c>
      <c r="E357" s="229">
        <v>5000</v>
      </c>
      <c r="F357" s="229">
        <v>0</v>
      </c>
      <c r="G357" s="229">
        <v>0</v>
      </c>
      <c r="H357" s="229">
        <f t="shared" si="50"/>
        <v>5000</v>
      </c>
      <c r="I357" s="229">
        <v>0</v>
      </c>
      <c r="J357" s="229">
        <f t="shared" si="51"/>
        <v>5000</v>
      </c>
      <c r="K357" s="364">
        <v>1</v>
      </c>
      <c r="L357" s="229">
        <f t="shared" si="52"/>
        <v>5000</v>
      </c>
      <c r="N357" s="16"/>
      <c r="O357" s="229">
        <v>0</v>
      </c>
      <c r="P357" s="229">
        <v>0</v>
      </c>
      <c r="Q357" s="229">
        <v>0</v>
      </c>
      <c r="R357" s="229">
        <f t="shared" si="53"/>
        <v>0</v>
      </c>
      <c r="S357" s="229">
        <v>0</v>
      </c>
      <c r="T357" s="229">
        <v>0</v>
      </c>
      <c r="U357" s="229">
        <f t="shared" si="54"/>
        <v>0</v>
      </c>
      <c r="V357" s="229">
        <v>0</v>
      </c>
      <c r="W357" s="229">
        <v>5000</v>
      </c>
      <c r="X357" s="358">
        <f t="shared" si="55"/>
        <v>5000</v>
      </c>
      <c r="Y357" s="325" t="b">
        <f t="shared" si="1"/>
        <v>1</v>
      </c>
    </row>
    <row r="358" spans="1:25">
      <c r="A358" s="16">
        <v>135</v>
      </c>
      <c r="B358" t="s">
        <v>288</v>
      </c>
      <c r="C358" t="s">
        <v>488</v>
      </c>
      <c r="E358" s="229">
        <v>20000</v>
      </c>
      <c r="F358" s="229">
        <v>0</v>
      </c>
      <c r="G358" s="229">
        <v>0</v>
      </c>
      <c r="H358" s="229">
        <f t="shared" si="50"/>
        <v>20000</v>
      </c>
      <c r="I358" s="229">
        <v>0</v>
      </c>
      <c r="J358" s="229">
        <f t="shared" si="51"/>
        <v>20000</v>
      </c>
      <c r="K358" s="364">
        <v>1</v>
      </c>
      <c r="L358" s="229">
        <f t="shared" si="52"/>
        <v>20000</v>
      </c>
      <c r="N358" s="16"/>
      <c r="O358" s="229">
        <v>0</v>
      </c>
      <c r="P358" s="229">
        <v>0</v>
      </c>
      <c r="Q358" s="229">
        <v>0</v>
      </c>
      <c r="R358" s="229">
        <f t="shared" si="53"/>
        <v>0</v>
      </c>
      <c r="S358" s="229">
        <v>0</v>
      </c>
      <c r="T358" s="229">
        <v>0</v>
      </c>
      <c r="U358" s="229">
        <f t="shared" si="54"/>
        <v>0</v>
      </c>
      <c r="V358" s="229">
        <v>0</v>
      </c>
      <c r="W358" s="229">
        <v>20000</v>
      </c>
      <c r="X358" s="358">
        <f t="shared" si="55"/>
        <v>20000</v>
      </c>
      <c r="Y358" s="325" t="b">
        <f t="shared" si="1"/>
        <v>1</v>
      </c>
    </row>
    <row r="359" spans="1:25">
      <c r="A359" s="16">
        <v>136</v>
      </c>
      <c r="B359" t="s">
        <v>288</v>
      </c>
      <c r="C359" t="s">
        <v>489</v>
      </c>
      <c r="E359" s="229">
        <v>900</v>
      </c>
      <c r="F359" s="229">
        <v>0</v>
      </c>
      <c r="G359" s="229">
        <v>0</v>
      </c>
      <c r="H359" s="229">
        <f t="shared" si="50"/>
        <v>900</v>
      </c>
      <c r="I359" s="229">
        <v>0</v>
      </c>
      <c r="J359" s="229">
        <f t="shared" si="51"/>
        <v>900</v>
      </c>
      <c r="K359" s="364">
        <v>1</v>
      </c>
      <c r="L359" s="229">
        <f t="shared" si="52"/>
        <v>900</v>
      </c>
      <c r="N359" s="16"/>
      <c r="O359" s="229">
        <v>0</v>
      </c>
      <c r="P359" s="229">
        <v>0</v>
      </c>
      <c r="Q359" s="229">
        <v>0</v>
      </c>
      <c r="R359" s="229">
        <f t="shared" si="53"/>
        <v>0</v>
      </c>
      <c r="S359" s="229">
        <v>0</v>
      </c>
      <c r="T359" s="229">
        <v>0</v>
      </c>
      <c r="U359" s="229">
        <f t="shared" si="54"/>
        <v>0</v>
      </c>
      <c r="V359" s="229">
        <v>0</v>
      </c>
      <c r="W359" s="229">
        <v>900</v>
      </c>
      <c r="X359" s="358">
        <f t="shared" si="55"/>
        <v>900</v>
      </c>
      <c r="Y359" s="325" t="b">
        <f t="shared" si="1"/>
        <v>1</v>
      </c>
    </row>
    <row r="360" spans="1:25" s="137" customFormat="1">
      <c r="A360" s="16">
        <v>137</v>
      </c>
      <c r="B360" s="137" t="s">
        <v>288</v>
      </c>
      <c r="C360" s="137" t="s">
        <v>490</v>
      </c>
      <c r="D360" s="18"/>
      <c r="E360" s="229">
        <v>9195</v>
      </c>
      <c r="F360" s="229">
        <v>0</v>
      </c>
      <c r="G360" s="229">
        <v>0</v>
      </c>
      <c r="H360" s="229">
        <f t="shared" si="50"/>
        <v>9195</v>
      </c>
      <c r="I360" s="229">
        <v>-69.5</v>
      </c>
      <c r="J360" s="229">
        <f t="shared" si="51"/>
        <v>9125.5</v>
      </c>
      <c r="K360" s="364">
        <v>1</v>
      </c>
      <c r="L360" s="229">
        <f t="shared" si="52"/>
        <v>9125.5</v>
      </c>
      <c r="M360" s="305"/>
      <c r="N360" s="305"/>
      <c r="O360" s="229">
        <v>0</v>
      </c>
      <c r="P360" s="229">
        <v>0</v>
      </c>
      <c r="Q360" s="229">
        <v>0</v>
      </c>
      <c r="R360" s="229">
        <f t="shared" si="53"/>
        <v>0</v>
      </c>
      <c r="S360" s="229">
        <v>0</v>
      </c>
      <c r="T360" s="229">
        <v>0</v>
      </c>
      <c r="U360" s="229">
        <f t="shared" si="54"/>
        <v>0</v>
      </c>
      <c r="V360" s="229">
        <v>0</v>
      </c>
      <c r="W360" s="229">
        <f>+L360</f>
        <v>9125.5</v>
      </c>
      <c r="X360" s="358">
        <f t="shared" si="55"/>
        <v>9125.5</v>
      </c>
      <c r="Y360" s="368" t="b">
        <f t="shared" si="1"/>
        <v>1</v>
      </c>
    </row>
    <row r="361" spans="1:25">
      <c r="A361" s="16">
        <v>138</v>
      </c>
      <c r="B361" t="s">
        <v>288</v>
      </c>
      <c r="C361" t="s">
        <v>1020</v>
      </c>
      <c r="E361" s="229">
        <v>250</v>
      </c>
      <c r="F361" s="229">
        <v>0</v>
      </c>
      <c r="G361" s="229">
        <v>0</v>
      </c>
      <c r="H361" s="229">
        <f t="shared" si="50"/>
        <v>250</v>
      </c>
      <c r="I361" s="229">
        <v>0</v>
      </c>
      <c r="J361" s="229">
        <f t="shared" si="51"/>
        <v>250</v>
      </c>
      <c r="K361" s="364">
        <v>1</v>
      </c>
      <c r="L361" s="229">
        <f t="shared" si="52"/>
        <v>250</v>
      </c>
      <c r="N361" s="16"/>
      <c r="O361" s="229">
        <v>0</v>
      </c>
      <c r="P361" s="229">
        <v>0</v>
      </c>
      <c r="Q361" s="229">
        <v>0</v>
      </c>
      <c r="R361" s="229">
        <f t="shared" si="53"/>
        <v>0</v>
      </c>
      <c r="S361" s="229">
        <v>0</v>
      </c>
      <c r="T361" s="229">
        <v>0</v>
      </c>
      <c r="U361" s="229">
        <f t="shared" si="54"/>
        <v>0</v>
      </c>
      <c r="V361" s="229">
        <v>0</v>
      </c>
      <c r="W361" s="229">
        <v>250</v>
      </c>
      <c r="X361" s="358">
        <f t="shared" si="55"/>
        <v>250</v>
      </c>
      <c r="Y361" s="325" t="b">
        <f t="shared" si="1"/>
        <v>1</v>
      </c>
    </row>
    <row r="362" spans="1:25">
      <c r="A362" s="16">
        <v>139</v>
      </c>
      <c r="B362" t="s">
        <v>288</v>
      </c>
      <c r="C362" t="s">
        <v>491</v>
      </c>
      <c r="E362" s="229">
        <v>23500</v>
      </c>
      <c r="F362" s="229">
        <v>0</v>
      </c>
      <c r="G362" s="229">
        <v>0</v>
      </c>
      <c r="H362" s="229">
        <f t="shared" si="50"/>
        <v>23500</v>
      </c>
      <c r="I362" s="229">
        <v>0</v>
      </c>
      <c r="J362" s="229">
        <f t="shared" si="51"/>
        <v>23500</v>
      </c>
      <c r="K362" s="364">
        <v>1</v>
      </c>
      <c r="L362" s="229">
        <f t="shared" si="52"/>
        <v>23500</v>
      </c>
      <c r="N362" s="16"/>
      <c r="O362" s="229">
        <v>0</v>
      </c>
      <c r="P362" s="229">
        <v>0</v>
      </c>
      <c r="Q362" s="229">
        <v>0</v>
      </c>
      <c r="R362" s="229">
        <f t="shared" si="53"/>
        <v>0</v>
      </c>
      <c r="S362" s="229">
        <v>0</v>
      </c>
      <c r="T362" s="229">
        <v>0</v>
      </c>
      <c r="U362" s="229">
        <f t="shared" si="54"/>
        <v>0</v>
      </c>
      <c r="V362" s="229">
        <v>0</v>
      </c>
      <c r="W362" s="229">
        <v>23500</v>
      </c>
      <c r="X362" s="358">
        <f t="shared" si="55"/>
        <v>23500</v>
      </c>
      <c r="Y362" s="325" t="b">
        <f t="shared" si="1"/>
        <v>1</v>
      </c>
    </row>
    <row r="363" spans="1:25">
      <c r="A363" s="16">
        <v>140</v>
      </c>
      <c r="B363" t="s">
        <v>288</v>
      </c>
      <c r="C363" t="s">
        <v>492</v>
      </c>
      <c r="E363" s="229">
        <v>11500</v>
      </c>
      <c r="F363" s="229">
        <v>0</v>
      </c>
      <c r="G363" s="229">
        <v>0</v>
      </c>
      <c r="H363" s="229">
        <f t="shared" si="50"/>
        <v>11500</v>
      </c>
      <c r="I363" s="229">
        <v>0</v>
      </c>
      <c r="J363" s="229">
        <f t="shared" si="51"/>
        <v>11500</v>
      </c>
      <c r="K363" s="364">
        <v>1</v>
      </c>
      <c r="L363" s="229">
        <f t="shared" si="52"/>
        <v>11500</v>
      </c>
      <c r="N363" s="16"/>
      <c r="O363" s="229">
        <v>0</v>
      </c>
      <c r="P363" s="229">
        <v>0</v>
      </c>
      <c r="Q363" s="229">
        <v>0</v>
      </c>
      <c r="R363" s="229">
        <f t="shared" si="53"/>
        <v>0</v>
      </c>
      <c r="S363" s="229">
        <v>0</v>
      </c>
      <c r="T363" s="229">
        <v>0</v>
      </c>
      <c r="U363" s="229">
        <f t="shared" si="54"/>
        <v>0</v>
      </c>
      <c r="V363" s="229">
        <v>0</v>
      </c>
      <c r="W363" s="229">
        <v>11500</v>
      </c>
      <c r="X363" s="358">
        <f t="shared" si="55"/>
        <v>11500</v>
      </c>
      <c r="Y363" s="325" t="b">
        <f t="shared" si="1"/>
        <v>1</v>
      </c>
    </row>
    <row r="364" spans="1:25">
      <c r="A364" s="16">
        <v>141</v>
      </c>
      <c r="B364" t="s">
        <v>288</v>
      </c>
      <c r="C364" t="s">
        <v>967</v>
      </c>
      <c r="E364" s="229">
        <v>5000</v>
      </c>
      <c r="F364" s="229">
        <v>0</v>
      </c>
      <c r="G364" s="229">
        <v>0</v>
      </c>
      <c r="H364" s="229">
        <f t="shared" si="50"/>
        <v>5000</v>
      </c>
      <c r="I364" s="229">
        <v>0</v>
      </c>
      <c r="J364" s="229">
        <f t="shared" si="51"/>
        <v>5000</v>
      </c>
      <c r="K364" s="364">
        <v>1</v>
      </c>
      <c r="L364" s="229">
        <f t="shared" si="52"/>
        <v>5000</v>
      </c>
      <c r="N364" s="16"/>
      <c r="O364" s="229">
        <v>0</v>
      </c>
      <c r="P364" s="229">
        <v>0</v>
      </c>
      <c r="Q364" s="229">
        <v>0</v>
      </c>
      <c r="R364" s="229">
        <f t="shared" si="53"/>
        <v>0</v>
      </c>
      <c r="S364" s="229">
        <v>0</v>
      </c>
      <c r="T364" s="229">
        <v>0</v>
      </c>
      <c r="U364" s="229">
        <f t="shared" si="54"/>
        <v>0</v>
      </c>
      <c r="V364" s="229">
        <v>0</v>
      </c>
      <c r="W364" s="229">
        <v>5000</v>
      </c>
      <c r="X364" s="358">
        <f t="shared" si="55"/>
        <v>5000</v>
      </c>
      <c r="Y364" s="325" t="b">
        <f t="shared" si="1"/>
        <v>1</v>
      </c>
    </row>
    <row r="365" spans="1:25">
      <c r="A365" s="16">
        <v>142</v>
      </c>
      <c r="B365" t="s">
        <v>288</v>
      </c>
      <c r="C365" t="s">
        <v>968</v>
      </c>
      <c r="E365" s="229">
        <v>350</v>
      </c>
      <c r="F365" s="229">
        <v>0</v>
      </c>
      <c r="G365" s="229">
        <v>0</v>
      </c>
      <c r="H365" s="229">
        <f t="shared" si="50"/>
        <v>350</v>
      </c>
      <c r="I365" s="229">
        <v>0</v>
      </c>
      <c r="J365" s="229">
        <f t="shared" si="51"/>
        <v>350</v>
      </c>
      <c r="K365" s="364">
        <v>1</v>
      </c>
      <c r="L365" s="229">
        <f t="shared" si="52"/>
        <v>350</v>
      </c>
      <c r="N365" s="16"/>
      <c r="O365" s="229">
        <v>0</v>
      </c>
      <c r="P365" s="229">
        <v>0</v>
      </c>
      <c r="Q365" s="229">
        <v>0</v>
      </c>
      <c r="R365" s="229">
        <f t="shared" si="53"/>
        <v>0</v>
      </c>
      <c r="S365" s="229">
        <v>0</v>
      </c>
      <c r="T365" s="229">
        <v>0</v>
      </c>
      <c r="U365" s="229">
        <f t="shared" si="54"/>
        <v>0</v>
      </c>
      <c r="V365" s="229">
        <v>0</v>
      </c>
      <c r="W365" s="229">
        <v>350</v>
      </c>
      <c r="X365" s="358">
        <f t="shared" si="55"/>
        <v>350</v>
      </c>
      <c r="Y365" s="325" t="b">
        <f t="shared" si="1"/>
        <v>1</v>
      </c>
    </row>
    <row r="366" spans="1:25">
      <c r="A366" s="16">
        <v>143</v>
      </c>
      <c r="B366" t="s">
        <v>288</v>
      </c>
      <c r="C366" t="s">
        <v>493</v>
      </c>
      <c r="E366" s="229">
        <v>2450</v>
      </c>
      <c r="F366" s="229">
        <v>0</v>
      </c>
      <c r="G366" s="229">
        <v>0</v>
      </c>
      <c r="H366" s="229">
        <f t="shared" si="50"/>
        <v>2450</v>
      </c>
      <c r="I366" s="229">
        <v>0</v>
      </c>
      <c r="J366" s="229">
        <f t="shared" si="51"/>
        <v>2450</v>
      </c>
      <c r="K366" s="364">
        <v>1</v>
      </c>
      <c r="L366" s="229">
        <f t="shared" si="52"/>
        <v>2450</v>
      </c>
      <c r="N366" s="16"/>
      <c r="O366" s="229">
        <v>0</v>
      </c>
      <c r="P366" s="229">
        <v>0</v>
      </c>
      <c r="Q366" s="229">
        <v>0</v>
      </c>
      <c r="R366" s="229">
        <f t="shared" si="53"/>
        <v>0</v>
      </c>
      <c r="S366" s="229">
        <v>0</v>
      </c>
      <c r="T366" s="229">
        <v>0</v>
      </c>
      <c r="U366" s="229">
        <f t="shared" si="54"/>
        <v>0</v>
      </c>
      <c r="V366" s="229">
        <v>0</v>
      </c>
      <c r="W366" s="229">
        <v>2450</v>
      </c>
      <c r="X366" s="358">
        <f t="shared" si="55"/>
        <v>2450</v>
      </c>
      <c r="Y366" s="325" t="b">
        <f t="shared" si="1"/>
        <v>1</v>
      </c>
    </row>
    <row r="367" spans="1:25">
      <c r="A367" s="16">
        <v>144</v>
      </c>
      <c r="B367" t="s">
        <v>288</v>
      </c>
      <c r="C367" t="s">
        <v>969</v>
      </c>
      <c r="E367" s="229">
        <v>400</v>
      </c>
      <c r="F367" s="229">
        <v>0</v>
      </c>
      <c r="G367" s="229">
        <v>0</v>
      </c>
      <c r="H367" s="229">
        <f t="shared" si="50"/>
        <v>400</v>
      </c>
      <c r="I367" s="229">
        <v>0</v>
      </c>
      <c r="J367" s="229">
        <f t="shared" si="51"/>
        <v>400</v>
      </c>
      <c r="K367" s="364">
        <v>1</v>
      </c>
      <c r="L367" s="229">
        <f t="shared" si="52"/>
        <v>400</v>
      </c>
      <c r="N367" s="16"/>
      <c r="O367" s="229">
        <v>0</v>
      </c>
      <c r="P367" s="229">
        <v>0</v>
      </c>
      <c r="Q367" s="229">
        <v>0</v>
      </c>
      <c r="R367" s="229">
        <f t="shared" si="53"/>
        <v>0</v>
      </c>
      <c r="S367" s="229">
        <v>0</v>
      </c>
      <c r="T367" s="229">
        <v>0</v>
      </c>
      <c r="U367" s="229">
        <f t="shared" si="54"/>
        <v>0</v>
      </c>
      <c r="V367" s="229">
        <v>0</v>
      </c>
      <c r="W367" s="229">
        <v>400</v>
      </c>
      <c r="X367" s="358">
        <f t="shared" si="55"/>
        <v>400</v>
      </c>
      <c r="Y367" s="325" t="b">
        <f t="shared" si="1"/>
        <v>1</v>
      </c>
    </row>
    <row r="368" spans="1:25">
      <c r="A368" s="16">
        <v>145</v>
      </c>
      <c r="B368" t="s">
        <v>288</v>
      </c>
      <c r="C368" t="s">
        <v>970</v>
      </c>
      <c r="E368" s="229">
        <v>1000</v>
      </c>
      <c r="F368" s="229">
        <v>0</v>
      </c>
      <c r="G368" s="229">
        <v>0</v>
      </c>
      <c r="H368" s="229">
        <f t="shared" si="50"/>
        <v>1000</v>
      </c>
      <c r="I368" s="229">
        <v>0</v>
      </c>
      <c r="J368" s="229">
        <f t="shared" si="51"/>
        <v>1000</v>
      </c>
      <c r="K368" s="364">
        <v>1</v>
      </c>
      <c r="L368" s="229">
        <f t="shared" si="52"/>
        <v>1000</v>
      </c>
      <c r="N368" s="16"/>
      <c r="O368" s="229">
        <v>0</v>
      </c>
      <c r="P368" s="229">
        <v>0</v>
      </c>
      <c r="Q368" s="229">
        <v>0</v>
      </c>
      <c r="R368" s="229">
        <f t="shared" si="53"/>
        <v>0</v>
      </c>
      <c r="S368" s="229">
        <v>0</v>
      </c>
      <c r="T368" s="229">
        <v>0</v>
      </c>
      <c r="U368" s="229">
        <f t="shared" si="54"/>
        <v>0</v>
      </c>
      <c r="V368" s="229">
        <v>0</v>
      </c>
      <c r="W368" s="229">
        <v>1000</v>
      </c>
      <c r="X368" s="358">
        <f t="shared" si="55"/>
        <v>1000</v>
      </c>
      <c r="Y368" s="325" t="b">
        <f t="shared" ref="Y368:Y433" si="58">+X368=L368</f>
        <v>1</v>
      </c>
    </row>
    <row r="369" spans="1:25">
      <c r="A369" s="16">
        <v>146</v>
      </c>
      <c r="B369" t="s">
        <v>288</v>
      </c>
      <c r="C369" t="s">
        <v>971</v>
      </c>
      <c r="E369" s="229">
        <v>500</v>
      </c>
      <c r="F369" s="229">
        <v>0</v>
      </c>
      <c r="G369" s="229">
        <v>0</v>
      </c>
      <c r="H369" s="229">
        <f t="shared" si="50"/>
        <v>500</v>
      </c>
      <c r="I369" s="229">
        <v>0</v>
      </c>
      <c r="J369" s="229">
        <f t="shared" si="51"/>
        <v>500</v>
      </c>
      <c r="K369" s="364">
        <v>1</v>
      </c>
      <c r="L369" s="229">
        <f t="shared" si="52"/>
        <v>500</v>
      </c>
      <c r="N369" s="16"/>
      <c r="O369" s="229">
        <v>0</v>
      </c>
      <c r="P369" s="229">
        <v>0</v>
      </c>
      <c r="Q369" s="229">
        <v>0</v>
      </c>
      <c r="R369" s="229">
        <f t="shared" si="53"/>
        <v>0</v>
      </c>
      <c r="S369" s="229">
        <v>0</v>
      </c>
      <c r="T369" s="229">
        <v>0</v>
      </c>
      <c r="U369" s="229">
        <f t="shared" si="54"/>
        <v>0</v>
      </c>
      <c r="V369" s="229">
        <v>0</v>
      </c>
      <c r="W369" s="229">
        <v>500</v>
      </c>
      <c r="X369" s="358">
        <f t="shared" si="55"/>
        <v>500</v>
      </c>
      <c r="Y369" s="325" t="b">
        <f t="shared" si="58"/>
        <v>1</v>
      </c>
    </row>
    <row r="370" spans="1:25">
      <c r="A370" s="16">
        <v>147</v>
      </c>
      <c r="B370" t="s">
        <v>288</v>
      </c>
      <c r="C370" t="s">
        <v>972</v>
      </c>
      <c r="E370" s="229">
        <v>1850</v>
      </c>
      <c r="F370" s="229">
        <v>0</v>
      </c>
      <c r="G370" s="229">
        <v>0</v>
      </c>
      <c r="H370" s="229">
        <f t="shared" si="50"/>
        <v>1850</v>
      </c>
      <c r="I370" s="229">
        <v>0</v>
      </c>
      <c r="J370" s="229">
        <f t="shared" si="51"/>
        <v>1850</v>
      </c>
      <c r="K370" s="364">
        <v>1</v>
      </c>
      <c r="L370" s="229">
        <f t="shared" si="52"/>
        <v>1850</v>
      </c>
      <c r="N370" s="16"/>
      <c r="O370" s="229">
        <v>0</v>
      </c>
      <c r="P370" s="229">
        <v>0</v>
      </c>
      <c r="Q370" s="229">
        <v>0</v>
      </c>
      <c r="R370" s="229">
        <f t="shared" si="53"/>
        <v>0</v>
      </c>
      <c r="S370" s="229">
        <v>0</v>
      </c>
      <c r="T370" s="229">
        <v>0</v>
      </c>
      <c r="U370" s="229">
        <f t="shared" si="54"/>
        <v>0</v>
      </c>
      <c r="V370" s="229">
        <v>0</v>
      </c>
      <c r="W370" s="229">
        <v>1850</v>
      </c>
      <c r="X370" s="358">
        <f t="shared" si="55"/>
        <v>1850</v>
      </c>
      <c r="Y370" s="325" t="b">
        <f t="shared" si="58"/>
        <v>1</v>
      </c>
    </row>
    <row r="371" spans="1:25">
      <c r="A371" s="16">
        <v>148</v>
      </c>
      <c r="B371" t="s">
        <v>288</v>
      </c>
      <c r="C371" t="s">
        <v>973</v>
      </c>
      <c r="E371" s="229">
        <v>5000</v>
      </c>
      <c r="F371" s="229">
        <v>0</v>
      </c>
      <c r="G371" s="229">
        <v>0</v>
      </c>
      <c r="H371" s="229">
        <f t="shared" si="50"/>
        <v>5000</v>
      </c>
      <c r="I371" s="229">
        <v>0</v>
      </c>
      <c r="J371" s="229">
        <f t="shared" si="51"/>
        <v>5000</v>
      </c>
      <c r="K371" s="364">
        <v>1</v>
      </c>
      <c r="L371" s="229">
        <f t="shared" si="52"/>
        <v>5000</v>
      </c>
      <c r="N371" s="16"/>
      <c r="O371" s="229">
        <v>0</v>
      </c>
      <c r="P371" s="229">
        <v>0</v>
      </c>
      <c r="Q371" s="229">
        <v>0</v>
      </c>
      <c r="R371" s="229">
        <f t="shared" si="53"/>
        <v>0</v>
      </c>
      <c r="S371" s="229">
        <v>0</v>
      </c>
      <c r="T371" s="229">
        <v>0</v>
      </c>
      <c r="U371" s="229">
        <f t="shared" si="54"/>
        <v>0</v>
      </c>
      <c r="V371" s="229">
        <v>0</v>
      </c>
      <c r="W371" s="229">
        <v>5000</v>
      </c>
      <c r="X371" s="358">
        <f t="shared" si="55"/>
        <v>5000</v>
      </c>
      <c r="Y371" s="325" t="b">
        <f t="shared" si="58"/>
        <v>1</v>
      </c>
    </row>
    <row r="372" spans="1:25">
      <c r="A372" s="16">
        <v>149</v>
      </c>
      <c r="B372" t="s">
        <v>288</v>
      </c>
      <c r="C372" t="s">
        <v>974</v>
      </c>
      <c r="E372" s="229">
        <v>1000</v>
      </c>
      <c r="F372" s="229">
        <v>0</v>
      </c>
      <c r="G372" s="229">
        <v>0</v>
      </c>
      <c r="H372" s="229">
        <f t="shared" si="50"/>
        <v>1000</v>
      </c>
      <c r="I372" s="229">
        <v>0</v>
      </c>
      <c r="J372" s="229">
        <f t="shared" si="51"/>
        <v>1000</v>
      </c>
      <c r="K372" s="364">
        <v>1</v>
      </c>
      <c r="L372" s="229">
        <f t="shared" si="52"/>
        <v>1000</v>
      </c>
      <c r="N372" s="16"/>
      <c r="O372" s="229">
        <v>0</v>
      </c>
      <c r="P372" s="229">
        <v>0</v>
      </c>
      <c r="Q372" s="229">
        <v>0</v>
      </c>
      <c r="R372" s="229">
        <f t="shared" si="53"/>
        <v>0</v>
      </c>
      <c r="S372" s="229">
        <v>0</v>
      </c>
      <c r="T372" s="229">
        <v>0</v>
      </c>
      <c r="U372" s="229">
        <f t="shared" si="54"/>
        <v>0</v>
      </c>
      <c r="V372" s="229">
        <v>0</v>
      </c>
      <c r="W372" s="229">
        <v>1000</v>
      </c>
      <c r="X372" s="358">
        <f t="shared" si="55"/>
        <v>1000</v>
      </c>
      <c r="Y372" s="325" t="b">
        <f t="shared" si="58"/>
        <v>1</v>
      </c>
    </row>
    <row r="373" spans="1:25">
      <c r="A373" s="16">
        <v>150</v>
      </c>
      <c r="B373" t="s">
        <v>288</v>
      </c>
      <c r="C373" t="s">
        <v>494</v>
      </c>
      <c r="E373" s="229">
        <v>1325</v>
      </c>
      <c r="F373" s="229">
        <v>0</v>
      </c>
      <c r="G373" s="229">
        <v>0</v>
      </c>
      <c r="H373" s="229">
        <f t="shared" si="50"/>
        <v>1325</v>
      </c>
      <c r="I373" s="229">
        <v>-132.5</v>
      </c>
      <c r="J373" s="229">
        <f t="shared" si="51"/>
        <v>1192.5</v>
      </c>
      <c r="K373" s="364">
        <v>1</v>
      </c>
      <c r="L373" s="229">
        <f t="shared" si="52"/>
        <v>1192.5</v>
      </c>
      <c r="N373" s="16"/>
      <c r="O373" s="229">
        <v>0</v>
      </c>
      <c r="P373" s="229">
        <v>0</v>
      </c>
      <c r="Q373" s="229">
        <v>0</v>
      </c>
      <c r="R373" s="229">
        <f t="shared" si="53"/>
        <v>0</v>
      </c>
      <c r="S373" s="229">
        <v>0</v>
      </c>
      <c r="T373" s="229">
        <v>0</v>
      </c>
      <c r="U373" s="229">
        <f t="shared" si="54"/>
        <v>0</v>
      </c>
      <c r="V373" s="229">
        <v>0</v>
      </c>
      <c r="W373" s="229">
        <f>+L373</f>
        <v>1192.5</v>
      </c>
      <c r="X373" s="358">
        <f t="shared" si="55"/>
        <v>1192.5</v>
      </c>
      <c r="Y373" s="325" t="b">
        <f t="shared" si="58"/>
        <v>1</v>
      </c>
    </row>
    <row r="374" spans="1:25">
      <c r="A374" s="16">
        <v>151</v>
      </c>
      <c r="B374" t="s">
        <v>288</v>
      </c>
      <c r="C374" t="s">
        <v>653</v>
      </c>
      <c r="E374" s="229">
        <v>8500</v>
      </c>
      <c r="F374" s="229">
        <v>0</v>
      </c>
      <c r="G374" s="229">
        <v>0</v>
      </c>
      <c r="H374" s="229">
        <f t="shared" si="50"/>
        <v>8500</v>
      </c>
      <c r="I374" s="229">
        <v>0</v>
      </c>
      <c r="J374" s="229">
        <f t="shared" si="51"/>
        <v>8500</v>
      </c>
      <c r="K374" s="364">
        <v>1</v>
      </c>
      <c r="L374" s="229">
        <f t="shared" si="52"/>
        <v>8500</v>
      </c>
      <c r="N374" s="16"/>
      <c r="O374" s="229">
        <v>0</v>
      </c>
      <c r="P374" s="229">
        <v>0</v>
      </c>
      <c r="Q374" s="229">
        <v>0</v>
      </c>
      <c r="R374" s="229">
        <f t="shared" si="53"/>
        <v>0</v>
      </c>
      <c r="S374" s="229">
        <v>0</v>
      </c>
      <c r="T374" s="229">
        <v>0</v>
      </c>
      <c r="U374" s="229">
        <f t="shared" si="54"/>
        <v>0</v>
      </c>
      <c r="V374" s="229">
        <v>0</v>
      </c>
      <c r="W374" s="229">
        <v>8500</v>
      </c>
      <c r="X374" s="358">
        <f t="shared" si="55"/>
        <v>8500</v>
      </c>
      <c r="Y374" s="325" t="b">
        <f t="shared" si="58"/>
        <v>1</v>
      </c>
    </row>
    <row r="375" spans="1:25">
      <c r="A375" s="16">
        <v>152</v>
      </c>
      <c r="B375" t="s">
        <v>288</v>
      </c>
      <c r="C375" t="s">
        <v>975</v>
      </c>
      <c r="E375" s="229">
        <v>1000</v>
      </c>
      <c r="F375" s="229">
        <v>0</v>
      </c>
      <c r="G375" s="229">
        <v>0</v>
      </c>
      <c r="H375" s="229">
        <f t="shared" si="50"/>
        <v>1000</v>
      </c>
      <c r="I375" s="229">
        <v>-1000</v>
      </c>
      <c r="J375" s="229">
        <f t="shared" si="51"/>
        <v>0</v>
      </c>
      <c r="K375" s="364">
        <v>1</v>
      </c>
      <c r="L375" s="229">
        <f t="shared" si="52"/>
        <v>0</v>
      </c>
      <c r="N375" s="16"/>
      <c r="O375" s="229">
        <v>0</v>
      </c>
      <c r="P375" s="229">
        <v>0</v>
      </c>
      <c r="Q375" s="229">
        <v>0</v>
      </c>
      <c r="R375" s="229">
        <f t="shared" si="53"/>
        <v>0</v>
      </c>
      <c r="S375" s="229">
        <v>0</v>
      </c>
      <c r="T375" s="229">
        <v>0</v>
      </c>
      <c r="U375" s="229">
        <f t="shared" si="54"/>
        <v>0</v>
      </c>
      <c r="V375" s="229">
        <v>0</v>
      </c>
      <c r="W375" s="229">
        <f>+L375</f>
        <v>0</v>
      </c>
      <c r="X375" s="358">
        <f t="shared" si="55"/>
        <v>0</v>
      </c>
      <c r="Y375" s="325" t="b">
        <f t="shared" si="58"/>
        <v>1</v>
      </c>
    </row>
    <row r="376" spans="1:25">
      <c r="A376" s="16">
        <v>153</v>
      </c>
      <c r="B376" t="s">
        <v>288</v>
      </c>
      <c r="C376" t="s">
        <v>1022</v>
      </c>
      <c r="E376" s="229">
        <v>600</v>
      </c>
      <c r="F376" s="229">
        <v>0</v>
      </c>
      <c r="G376" s="229">
        <v>0</v>
      </c>
      <c r="H376" s="229">
        <f t="shared" si="50"/>
        <v>600</v>
      </c>
      <c r="I376" s="229">
        <v>0</v>
      </c>
      <c r="J376" s="229">
        <f t="shared" si="51"/>
        <v>600</v>
      </c>
      <c r="K376" s="364">
        <v>1</v>
      </c>
      <c r="L376" s="229">
        <f t="shared" si="52"/>
        <v>600</v>
      </c>
      <c r="N376" s="16"/>
      <c r="O376" s="229">
        <v>0</v>
      </c>
      <c r="P376" s="229">
        <v>0</v>
      </c>
      <c r="Q376" s="229">
        <v>0</v>
      </c>
      <c r="R376" s="229">
        <f t="shared" si="53"/>
        <v>0</v>
      </c>
      <c r="S376" s="229">
        <v>0</v>
      </c>
      <c r="T376" s="229">
        <v>0</v>
      </c>
      <c r="U376" s="229">
        <f t="shared" si="54"/>
        <v>0</v>
      </c>
      <c r="V376" s="229">
        <v>0</v>
      </c>
      <c r="W376" s="229">
        <v>600</v>
      </c>
      <c r="X376" s="358">
        <f t="shared" si="55"/>
        <v>600</v>
      </c>
      <c r="Y376" s="325" t="b">
        <f t="shared" si="58"/>
        <v>1</v>
      </c>
    </row>
    <row r="377" spans="1:25">
      <c r="A377" s="16">
        <v>154</v>
      </c>
      <c r="B377" t="s">
        <v>288</v>
      </c>
      <c r="C377" t="s">
        <v>718</v>
      </c>
      <c r="E377" s="229">
        <v>200</v>
      </c>
      <c r="F377" s="229">
        <v>0</v>
      </c>
      <c r="G377" s="229">
        <v>0</v>
      </c>
      <c r="H377" s="229">
        <f t="shared" si="50"/>
        <v>200</v>
      </c>
      <c r="I377" s="229">
        <v>0</v>
      </c>
      <c r="J377" s="229">
        <f t="shared" si="51"/>
        <v>200</v>
      </c>
      <c r="K377" s="364">
        <v>1</v>
      </c>
      <c r="L377" s="229">
        <f t="shared" si="52"/>
        <v>200</v>
      </c>
      <c r="N377" s="16"/>
      <c r="O377" s="229">
        <v>0</v>
      </c>
      <c r="P377" s="229">
        <v>0</v>
      </c>
      <c r="Q377" s="229">
        <v>0</v>
      </c>
      <c r="R377" s="229">
        <f t="shared" si="53"/>
        <v>0</v>
      </c>
      <c r="S377" s="229">
        <v>0</v>
      </c>
      <c r="T377" s="229">
        <v>0</v>
      </c>
      <c r="U377" s="229">
        <f t="shared" si="54"/>
        <v>0</v>
      </c>
      <c r="V377" s="229">
        <v>0</v>
      </c>
      <c r="W377" s="229">
        <v>200</v>
      </c>
      <c r="X377" s="358">
        <f t="shared" si="55"/>
        <v>200</v>
      </c>
      <c r="Y377" s="325" t="b">
        <f t="shared" si="58"/>
        <v>1</v>
      </c>
    </row>
    <row r="378" spans="1:25">
      <c r="A378" s="16">
        <v>155</v>
      </c>
      <c r="B378" t="s">
        <v>288</v>
      </c>
      <c r="C378" t="s">
        <v>976</v>
      </c>
      <c r="E378" s="229">
        <v>1000</v>
      </c>
      <c r="F378" s="229">
        <v>0</v>
      </c>
      <c r="G378" s="229">
        <v>0</v>
      </c>
      <c r="H378" s="229">
        <f t="shared" si="50"/>
        <v>1000</v>
      </c>
      <c r="I378" s="229">
        <v>0</v>
      </c>
      <c r="J378" s="229">
        <f t="shared" si="51"/>
        <v>1000</v>
      </c>
      <c r="K378" s="364">
        <v>1</v>
      </c>
      <c r="L378" s="229">
        <f t="shared" si="52"/>
        <v>1000</v>
      </c>
      <c r="N378" s="16"/>
      <c r="O378" s="229">
        <v>0</v>
      </c>
      <c r="P378" s="229">
        <v>0</v>
      </c>
      <c r="Q378" s="229">
        <v>0</v>
      </c>
      <c r="R378" s="229">
        <f t="shared" si="53"/>
        <v>0</v>
      </c>
      <c r="S378" s="229">
        <v>0</v>
      </c>
      <c r="T378" s="229">
        <v>0</v>
      </c>
      <c r="U378" s="229">
        <f t="shared" si="54"/>
        <v>0</v>
      </c>
      <c r="V378" s="229">
        <v>0</v>
      </c>
      <c r="W378" s="229">
        <v>1000</v>
      </c>
      <c r="X378" s="358">
        <f t="shared" si="55"/>
        <v>1000</v>
      </c>
      <c r="Y378" s="325" t="b">
        <f t="shared" si="58"/>
        <v>1</v>
      </c>
    </row>
    <row r="379" spans="1:25">
      <c r="A379" s="16">
        <v>156</v>
      </c>
      <c r="B379" t="s">
        <v>288</v>
      </c>
      <c r="C379" t="s">
        <v>977</v>
      </c>
      <c r="E379" s="229">
        <v>15000</v>
      </c>
      <c r="F379" s="229">
        <v>0</v>
      </c>
      <c r="G379" s="229">
        <v>0</v>
      </c>
      <c r="H379" s="229">
        <f t="shared" si="50"/>
        <v>15000</v>
      </c>
      <c r="I379" s="229">
        <v>0</v>
      </c>
      <c r="J379" s="229">
        <f t="shared" si="51"/>
        <v>15000</v>
      </c>
      <c r="K379" s="364">
        <v>1</v>
      </c>
      <c r="L379" s="229">
        <f t="shared" si="52"/>
        <v>15000</v>
      </c>
      <c r="N379" s="16"/>
      <c r="O379" s="229">
        <v>0</v>
      </c>
      <c r="P379" s="229">
        <v>0</v>
      </c>
      <c r="Q379" s="229">
        <v>0</v>
      </c>
      <c r="R379" s="229">
        <f t="shared" si="53"/>
        <v>0</v>
      </c>
      <c r="S379" s="229">
        <v>0</v>
      </c>
      <c r="T379" s="229">
        <v>0</v>
      </c>
      <c r="U379" s="229">
        <f t="shared" si="54"/>
        <v>0</v>
      </c>
      <c r="V379" s="229">
        <v>0</v>
      </c>
      <c r="W379" s="229">
        <v>15000</v>
      </c>
      <c r="X379" s="358">
        <f t="shared" si="55"/>
        <v>15000</v>
      </c>
      <c r="Y379" s="325" t="b">
        <f t="shared" si="58"/>
        <v>1</v>
      </c>
    </row>
    <row r="380" spans="1:25">
      <c r="A380" s="16">
        <v>157</v>
      </c>
      <c r="B380" t="s">
        <v>288</v>
      </c>
      <c r="C380" t="s">
        <v>496</v>
      </c>
      <c r="E380" s="229">
        <v>950</v>
      </c>
      <c r="F380" s="229">
        <v>0</v>
      </c>
      <c r="G380" s="229">
        <v>0</v>
      </c>
      <c r="H380" s="229">
        <f t="shared" si="50"/>
        <v>950</v>
      </c>
      <c r="I380" s="229">
        <v>0</v>
      </c>
      <c r="J380" s="229">
        <f t="shared" si="51"/>
        <v>950</v>
      </c>
      <c r="K380" s="364">
        <v>1</v>
      </c>
      <c r="L380" s="229">
        <f t="shared" si="52"/>
        <v>950</v>
      </c>
      <c r="N380" s="16"/>
      <c r="O380" s="229">
        <v>0</v>
      </c>
      <c r="P380" s="229">
        <v>0</v>
      </c>
      <c r="Q380" s="229">
        <v>0</v>
      </c>
      <c r="R380" s="229">
        <f t="shared" si="53"/>
        <v>0</v>
      </c>
      <c r="S380" s="229">
        <v>0</v>
      </c>
      <c r="T380" s="229">
        <v>0</v>
      </c>
      <c r="U380" s="229">
        <f t="shared" si="54"/>
        <v>0</v>
      </c>
      <c r="V380" s="229">
        <v>0</v>
      </c>
      <c r="W380" s="229">
        <v>950</v>
      </c>
      <c r="X380" s="358">
        <f t="shared" si="55"/>
        <v>950</v>
      </c>
      <c r="Y380" s="325" t="b">
        <f t="shared" si="58"/>
        <v>1</v>
      </c>
    </row>
    <row r="381" spans="1:25">
      <c r="A381" s="16">
        <v>158</v>
      </c>
      <c r="B381" t="s">
        <v>288</v>
      </c>
      <c r="C381" t="s">
        <v>978</v>
      </c>
      <c r="E381" s="229">
        <v>4950</v>
      </c>
      <c r="F381" s="229">
        <v>0</v>
      </c>
      <c r="G381" s="229">
        <v>0</v>
      </c>
      <c r="H381" s="229">
        <f t="shared" si="50"/>
        <v>4950</v>
      </c>
      <c r="I381" s="229">
        <v>0</v>
      </c>
      <c r="J381" s="229">
        <f t="shared" si="51"/>
        <v>4950</v>
      </c>
      <c r="K381" s="364">
        <v>1</v>
      </c>
      <c r="L381" s="229">
        <f t="shared" si="52"/>
        <v>4950</v>
      </c>
      <c r="N381" s="16"/>
      <c r="O381" s="229">
        <v>0</v>
      </c>
      <c r="P381" s="229">
        <v>0</v>
      </c>
      <c r="Q381" s="229">
        <v>0</v>
      </c>
      <c r="R381" s="229">
        <f t="shared" si="53"/>
        <v>0</v>
      </c>
      <c r="S381" s="229">
        <v>0</v>
      </c>
      <c r="T381" s="229">
        <v>0</v>
      </c>
      <c r="U381" s="229">
        <f t="shared" si="54"/>
        <v>0</v>
      </c>
      <c r="V381" s="229">
        <v>0</v>
      </c>
      <c r="W381" s="229">
        <v>4950</v>
      </c>
      <c r="X381" s="358">
        <f t="shared" si="55"/>
        <v>4950</v>
      </c>
      <c r="Y381" s="325" t="b">
        <f t="shared" si="58"/>
        <v>1</v>
      </c>
    </row>
    <row r="382" spans="1:25">
      <c r="A382" s="16">
        <v>159</v>
      </c>
      <c r="B382" t="s">
        <v>288</v>
      </c>
      <c r="C382" t="s">
        <v>979</v>
      </c>
      <c r="E382" s="229">
        <v>1000</v>
      </c>
      <c r="F382" s="229">
        <v>0</v>
      </c>
      <c r="G382" s="229">
        <v>0</v>
      </c>
      <c r="H382" s="229">
        <f t="shared" si="50"/>
        <v>1000</v>
      </c>
      <c r="I382" s="229">
        <v>0</v>
      </c>
      <c r="J382" s="229">
        <f t="shared" si="51"/>
        <v>1000</v>
      </c>
      <c r="K382" s="364">
        <v>1</v>
      </c>
      <c r="L382" s="229">
        <f t="shared" si="52"/>
        <v>1000</v>
      </c>
      <c r="N382" s="16"/>
      <c r="O382" s="229">
        <v>0</v>
      </c>
      <c r="P382" s="229">
        <v>0</v>
      </c>
      <c r="Q382" s="229">
        <v>0</v>
      </c>
      <c r="R382" s="229">
        <f t="shared" si="53"/>
        <v>0</v>
      </c>
      <c r="S382" s="229">
        <v>0</v>
      </c>
      <c r="T382" s="229">
        <v>0</v>
      </c>
      <c r="U382" s="229">
        <f t="shared" si="54"/>
        <v>0</v>
      </c>
      <c r="V382" s="229">
        <v>0</v>
      </c>
      <c r="W382" s="229">
        <v>1000</v>
      </c>
      <c r="X382" s="358">
        <f t="shared" si="55"/>
        <v>1000</v>
      </c>
      <c r="Y382" s="325" t="b">
        <f t="shared" si="58"/>
        <v>1</v>
      </c>
    </row>
    <row r="383" spans="1:25">
      <c r="A383" s="16">
        <v>160</v>
      </c>
      <c r="B383" t="s">
        <v>288</v>
      </c>
      <c r="C383" t="s">
        <v>980</v>
      </c>
      <c r="E383" s="229">
        <v>500</v>
      </c>
      <c r="F383" s="229">
        <v>0</v>
      </c>
      <c r="G383" s="229">
        <v>0</v>
      </c>
      <c r="H383" s="229">
        <f t="shared" si="50"/>
        <v>500</v>
      </c>
      <c r="I383" s="229">
        <v>-500</v>
      </c>
      <c r="J383" s="229">
        <f t="shared" si="51"/>
        <v>0</v>
      </c>
      <c r="K383" s="364">
        <v>1</v>
      </c>
      <c r="L383" s="229">
        <f t="shared" si="52"/>
        <v>0</v>
      </c>
      <c r="N383" s="16"/>
      <c r="O383" s="229">
        <v>0</v>
      </c>
      <c r="P383" s="229">
        <v>0</v>
      </c>
      <c r="Q383" s="229">
        <v>0</v>
      </c>
      <c r="R383" s="229">
        <f t="shared" si="53"/>
        <v>0</v>
      </c>
      <c r="S383" s="229">
        <v>0</v>
      </c>
      <c r="T383" s="229">
        <v>0</v>
      </c>
      <c r="U383" s="229">
        <f t="shared" si="54"/>
        <v>0</v>
      </c>
      <c r="V383" s="229">
        <v>0</v>
      </c>
      <c r="W383" s="229">
        <f>+L383</f>
        <v>0</v>
      </c>
      <c r="X383" s="358">
        <f t="shared" si="55"/>
        <v>0</v>
      </c>
      <c r="Y383" s="325" t="b">
        <f t="shared" si="58"/>
        <v>1</v>
      </c>
    </row>
    <row r="384" spans="1:25">
      <c r="A384" s="16">
        <v>161</v>
      </c>
      <c r="B384" t="s">
        <v>288</v>
      </c>
      <c r="C384" t="s">
        <v>719</v>
      </c>
      <c r="E384" s="229">
        <v>850</v>
      </c>
      <c r="F384" s="229">
        <v>0</v>
      </c>
      <c r="G384" s="229">
        <v>0</v>
      </c>
      <c r="H384" s="229">
        <f t="shared" si="50"/>
        <v>850</v>
      </c>
      <c r="I384" s="229">
        <v>0</v>
      </c>
      <c r="J384" s="229">
        <f t="shared" si="51"/>
        <v>850</v>
      </c>
      <c r="K384" s="364">
        <v>1</v>
      </c>
      <c r="L384" s="229">
        <f t="shared" si="52"/>
        <v>850</v>
      </c>
      <c r="N384" s="16"/>
      <c r="O384" s="229">
        <v>0</v>
      </c>
      <c r="P384" s="229">
        <v>0</v>
      </c>
      <c r="Q384" s="229">
        <v>0</v>
      </c>
      <c r="R384" s="229">
        <f t="shared" si="53"/>
        <v>0</v>
      </c>
      <c r="S384" s="229">
        <v>0</v>
      </c>
      <c r="T384" s="229">
        <v>0</v>
      </c>
      <c r="U384" s="229">
        <f t="shared" si="54"/>
        <v>0</v>
      </c>
      <c r="V384" s="229">
        <v>0</v>
      </c>
      <c r="W384" s="229">
        <v>850</v>
      </c>
      <c r="X384" s="358">
        <f t="shared" si="55"/>
        <v>850</v>
      </c>
      <c r="Y384" s="325" t="b">
        <f t="shared" si="58"/>
        <v>1</v>
      </c>
    </row>
    <row r="385" spans="1:25">
      <c r="A385" s="16">
        <v>162</v>
      </c>
      <c r="B385" t="s">
        <v>288</v>
      </c>
      <c r="C385" t="s">
        <v>981</v>
      </c>
      <c r="E385" s="229">
        <v>560</v>
      </c>
      <c r="F385" s="229">
        <v>0</v>
      </c>
      <c r="G385" s="229">
        <v>0</v>
      </c>
      <c r="H385" s="229">
        <f t="shared" si="50"/>
        <v>560</v>
      </c>
      <c r="I385" s="229">
        <v>0</v>
      </c>
      <c r="J385" s="229">
        <f t="shared" si="51"/>
        <v>560</v>
      </c>
      <c r="K385" s="364">
        <v>1</v>
      </c>
      <c r="L385" s="229">
        <f t="shared" si="52"/>
        <v>560</v>
      </c>
      <c r="N385" s="16"/>
      <c r="O385" s="229">
        <v>0</v>
      </c>
      <c r="P385" s="229">
        <v>0</v>
      </c>
      <c r="Q385" s="229">
        <v>0</v>
      </c>
      <c r="R385" s="229">
        <f t="shared" si="53"/>
        <v>0</v>
      </c>
      <c r="S385" s="229">
        <v>0</v>
      </c>
      <c r="T385" s="229">
        <v>0</v>
      </c>
      <c r="U385" s="229">
        <f t="shared" si="54"/>
        <v>0</v>
      </c>
      <c r="V385" s="229">
        <v>0</v>
      </c>
      <c r="W385" s="229">
        <v>560</v>
      </c>
      <c r="X385" s="358">
        <f t="shared" si="55"/>
        <v>560</v>
      </c>
      <c r="Y385" s="325" t="b">
        <f t="shared" si="58"/>
        <v>1</v>
      </c>
    </row>
    <row r="386" spans="1:25">
      <c r="A386" s="16">
        <v>163</v>
      </c>
      <c r="B386" t="s">
        <v>288</v>
      </c>
      <c r="C386" t="s">
        <v>982</v>
      </c>
      <c r="E386" s="229">
        <v>2500</v>
      </c>
      <c r="F386" s="229">
        <v>0</v>
      </c>
      <c r="G386" s="229">
        <v>0</v>
      </c>
      <c r="H386" s="229">
        <f t="shared" si="50"/>
        <v>2500</v>
      </c>
      <c r="I386" s="229">
        <v>0</v>
      </c>
      <c r="J386" s="229">
        <f t="shared" si="51"/>
        <v>2500</v>
      </c>
      <c r="K386" s="364">
        <v>1</v>
      </c>
      <c r="L386" s="229">
        <f t="shared" si="52"/>
        <v>2500</v>
      </c>
      <c r="N386" s="16"/>
      <c r="O386" s="229">
        <v>0</v>
      </c>
      <c r="P386" s="229">
        <v>0</v>
      </c>
      <c r="Q386" s="229">
        <v>0</v>
      </c>
      <c r="R386" s="229">
        <f t="shared" si="53"/>
        <v>0</v>
      </c>
      <c r="S386" s="229">
        <v>0</v>
      </c>
      <c r="T386" s="229">
        <v>0</v>
      </c>
      <c r="U386" s="229">
        <f t="shared" si="54"/>
        <v>0</v>
      </c>
      <c r="V386" s="229">
        <v>0</v>
      </c>
      <c r="W386" s="229">
        <v>2500</v>
      </c>
      <c r="X386" s="358">
        <f t="shared" si="55"/>
        <v>2500</v>
      </c>
      <c r="Y386" s="325" t="b">
        <f t="shared" si="58"/>
        <v>1</v>
      </c>
    </row>
    <row r="387" spans="1:25">
      <c r="A387" s="16">
        <v>164</v>
      </c>
      <c r="B387" t="s">
        <v>288</v>
      </c>
      <c r="C387" t="s">
        <v>895</v>
      </c>
      <c r="E387" s="229">
        <v>250</v>
      </c>
      <c r="F387" s="229">
        <v>0</v>
      </c>
      <c r="G387" s="229">
        <v>0</v>
      </c>
      <c r="H387" s="229">
        <f t="shared" si="50"/>
        <v>250</v>
      </c>
      <c r="I387" s="229">
        <v>-250</v>
      </c>
      <c r="J387" s="229">
        <f t="shared" si="51"/>
        <v>0</v>
      </c>
      <c r="K387" s="364">
        <v>1</v>
      </c>
      <c r="L387" s="229">
        <f t="shared" si="52"/>
        <v>0</v>
      </c>
      <c r="N387" s="16"/>
      <c r="O387" s="229">
        <v>0</v>
      </c>
      <c r="P387" s="229">
        <v>0</v>
      </c>
      <c r="Q387" s="229">
        <v>0</v>
      </c>
      <c r="R387" s="229">
        <f t="shared" si="53"/>
        <v>0</v>
      </c>
      <c r="S387" s="229">
        <v>0</v>
      </c>
      <c r="T387" s="229">
        <v>0</v>
      </c>
      <c r="U387" s="229">
        <f t="shared" si="54"/>
        <v>0</v>
      </c>
      <c r="V387" s="229">
        <v>0</v>
      </c>
      <c r="W387" s="229">
        <f>+L387</f>
        <v>0</v>
      </c>
      <c r="X387" s="358">
        <f t="shared" si="55"/>
        <v>0</v>
      </c>
      <c r="Y387" s="325" t="b">
        <f t="shared" si="58"/>
        <v>1</v>
      </c>
    </row>
    <row r="388" spans="1:25">
      <c r="A388" s="16">
        <v>165</v>
      </c>
      <c r="B388" t="s">
        <v>288</v>
      </c>
      <c r="C388" t="s">
        <v>983</v>
      </c>
      <c r="E388" s="229">
        <v>750</v>
      </c>
      <c r="F388" s="229">
        <v>0</v>
      </c>
      <c r="G388" s="229">
        <v>0</v>
      </c>
      <c r="H388" s="229">
        <f t="shared" si="50"/>
        <v>750</v>
      </c>
      <c r="I388" s="229">
        <v>0</v>
      </c>
      <c r="J388" s="229">
        <f t="shared" si="51"/>
        <v>750</v>
      </c>
      <c r="K388" s="364">
        <v>1</v>
      </c>
      <c r="L388" s="229">
        <f t="shared" si="52"/>
        <v>750</v>
      </c>
      <c r="N388" s="16"/>
      <c r="O388" s="229">
        <v>0</v>
      </c>
      <c r="P388" s="229">
        <v>0</v>
      </c>
      <c r="Q388" s="229">
        <v>0</v>
      </c>
      <c r="R388" s="229">
        <f t="shared" si="53"/>
        <v>0</v>
      </c>
      <c r="S388" s="229">
        <v>0</v>
      </c>
      <c r="T388" s="229">
        <v>0</v>
      </c>
      <c r="U388" s="229">
        <f t="shared" si="54"/>
        <v>0</v>
      </c>
      <c r="V388" s="229">
        <v>0</v>
      </c>
      <c r="W388" s="229">
        <v>750</v>
      </c>
      <c r="X388" s="358">
        <f t="shared" si="55"/>
        <v>750</v>
      </c>
      <c r="Y388" s="325" t="b">
        <f t="shared" si="58"/>
        <v>1</v>
      </c>
    </row>
    <row r="389" spans="1:25">
      <c r="A389" s="16">
        <v>166</v>
      </c>
      <c r="B389" t="s">
        <v>288</v>
      </c>
      <c r="C389" t="s">
        <v>498</v>
      </c>
      <c r="E389" s="229">
        <v>3000</v>
      </c>
      <c r="F389" s="229">
        <v>0</v>
      </c>
      <c r="G389" s="229">
        <v>0</v>
      </c>
      <c r="H389" s="229">
        <f t="shared" si="50"/>
        <v>3000</v>
      </c>
      <c r="I389" s="229">
        <v>-300</v>
      </c>
      <c r="J389" s="229">
        <f t="shared" si="51"/>
        <v>2700</v>
      </c>
      <c r="K389" s="364">
        <v>1</v>
      </c>
      <c r="L389" s="229">
        <f t="shared" si="52"/>
        <v>2700</v>
      </c>
      <c r="N389" s="16"/>
      <c r="O389" s="229">
        <v>0</v>
      </c>
      <c r="P389" s="229">
        <v>0</v>
      </c>
      <c r="Q389" s="229">
        <v>0</v>
      </c>
      <c r="R389" s="229">
        <f t="shared" si="53"/>
        <v>0</v>
      </c>
      <c r="S389" s="229">
        <v>0</v>
      </c>
      <c r="T389" s="229">
        <v>0</v>
      </c>
      <c r="U389" s="229">
        <f t="shared" si="54"/>
        <v>0</v>
      </c>
      <c r="V389" s="229">
        <v>0</v>
      </c>
      <c r="W389" s="229">
        <f>+L389</f>
        <v>2700</v>
      </c>
      <c r="X389" s="358">
        <f t="shared" si="55"/>
        <v>2700</v>
      </c>
      <c r="Y389" s="325" t="b">
        <f t="shared" si="58"/>
        <v>1</v>
      </c>
    </row>
    <row r="390" spans="1:25">
      <c r="A390" s="16">
        <v>167</v>
      </c>
      <c r="B390" t="s">
        <v>288</v>
      </c>
      <c r="C390" t="s">
        <v>499</v>
      </c>
      <c r="E390" s="229">
        <v>875</v>
      </c>
      <c r="F390" s="229">
        <v>0</v>
      </c>
      <c r="G390" s="229">
        <v>0</v>
      </c>
      <c r="H390" s="229">
        <f t="shared" si="50"/>
        <v>875</v>
      </c>
      <c r="I390" s="229">
        <v>0</v>
      </c>
      <c r="J390" s="229">
        <f t="shared" si="51"/>
        <v>875</v>
      </c>
      <c r="K390" s="364">
        <v>1</v>
      </c>
      <c r="L390" s="229">
        <f t="shared" si="52"/>
        <v>875</v>
      </c>
      <c r="N390" s="16"/>
      <c r="O390" s="229">
        <v>0</v>
      </c>
      <c r="P390" s="229">
        <v>0</v>
      </c>
      <c r="Q390" s="229">
        <v>0</v>
      </c>
      <c r="R390" s="229">
        <f t="shared" si="53"/>
        <v>0</v>
      </c>
      <c r="S390" s="229">
        <v>0</v>
      </c>
      <c r="T390" s="229">
        <v>0</v>
      </c>
      <c r="U390" s="229">
        <f t="shared" si="54"/>
        <v>0</v>
      </c>
      <c r="V390" s="229">
        <v>0</v>
      </c>
      <c r="W390" s="229">
        <v>875</v>
      </c>
      <c r="X390" s="358">
        <f t="shared" si="55"/>
        <v>875</v>
      </c>
      <c r="Y390" s="325" t="b">
        <f t="shared" si="58"/>
        <v>1</v>
      </c>
    </row>
    <row r="391" spans="1:25">
      <c r="A391" s="16">
        <v>168</v>
      </c>
      <c r="B391" t="s">
        <v>288</v>
      </c>
      <c r="C391" t="s">
        <v>500</v>
      </c>
      <c r="E391" s="229">
        <v>2500</v>
      </c>
      <c r="F391" s="229">
        <v>0</v>
      </c>
      <c r="G391" s="229">
        <v>0</v>
      </c>
      <c r="H391" s="229">
        <f t="shared" si="50"/>
        <v>2500</v>
      </c>
      <c r="I391" s="229">
        <v>0</v>
      </c>
      <c r="J391" s="229">
        <f t="shared" si="51"/>
        <v>2500</v>
      </c>
      <c r="K391" s="364">
        <v>1</v>
      </c>
      <c r="L391" s="229">
        <f t="shared" si="52"/>
        <v>2500</v>
      </c>
      <c r="N391" s="16"/>
      <c r="O391" s="229">
        <v>0</v>
      </c>
      <c r="P391" s="229">
        <v>0</v>
      </c>
      <c r="Q391" s="229">
        <v>0</v>
      </c>
      <c r="R391" s="229">
        <f t="shared" si="53"/>
        <v>0</v>
      </c>
      <c r="S391" s="229">
        <v>0</v>
      </c>
      <c r="T391" s="229">
        <v>0</v>
      </c>
      <c r="U391" s="229">
        <f t="shared" si="54"/>
        <v>0</v>
      </c>
      <c r="V391" s="229">
        <v>0</v>
      </c>
      <c r="W391" s="229">
        <v>2500</v>
      </c>
      <c r="X391" s="358">
        <f t="shared" si="55"/>
        <v>2500</v>
      </c>
      <c r="Y391" s="325" t="b">
        <f t="shared" si="58"/>
        <v>1</v>
      </c>
    </row>
    <row r="392" spans="1:25">
      <c r="A392" s="16">
        <v>169</v>
      </c>
      <c r="B392" t="s">
        <v>288</v>
      </c>
      <c r="C392" t="s">
        <v>501</v>
      </c>
      <c r="E392" s="229">
        <v>500</v>
      </c>
      <c r="F392" s="229">
        <v>0</v>
      </c>
      <c r="G392" s="229">
        <v>0</v>
      </c>
      <c r="H392" s="229">
        <f t="shared" si="50"/>
        <v>500</v>
      </c>
      <c r="I392" s="229">
        <v>0</v>
      </c>
      <c r="J392" s="229">
        <f t="shared" si="51"/>
        <v>500</v>
      </c>
      <c r="K392" s="364">
        <v>1</v>
      </c>
      <c r="L392" s="229">
        <f t="shared" si="52"/>
        <v>500</v>
      </c>
      <c r="N392" s="16"/>
      <c r="O392" s="229">
        <v>0</v>
      </c>
      <c r="P392" s="229">
        <v>0</v>
      </c>
      <c r="Q392" s="229">
        <v>0</v>
      </c>
      <c r="R392" s="229">
        <f t="shared" si="53"/>
        <v>0</v>
      </c>
      <c r="S392" s="229">
        <v>0</v>
      </c>
      <c r="T392" s="229">
        <v>0</v>
      </c>
      <c r="U392" s="229">
        <f t="shared" si="54"/>
        <v>0</v>
      </c>
      <c r="V392" s="229">
        <v>0</v>
      </c>
      <c r="W392" s="229">
        <v>500</v>
      </c>
      <c r="X392" s="358">
        <f t="shared" si="55"/>
        <v>500</v>
      </c>
      <c r="Y392" s="325" t="b">
        <f t="shared" si="58"/>
        <v>1</v>
      </c>
    </row>
    <row r="393" spans="1:25">
      <c r="A393" s="16">
        <v>170</v>
      </c>
      <c r="B393" t="s">
        <v>288</v>
      </c>
      <c r="C393" t="s">
        <v>984</v>
      </c>
      <c r="E393" s="229">
        <v>1000</v>
      </c>
      <c r="F393" s="229">
        <v>0</v>
      </c>
      <c r="G393" s="229">
        <v>0</v>
      </c>
      <c r="H393" s="229">
        <f t="shared" si="50"/>
        <v>1000</v>
      </c>
      <c r="I393" s="229">
        <v>0</v>
      </c>
      <c r="J393" s="229">
        <f t="shared" si="51"/>
        <v>1000</v>
      </c>
      <c r="K393" s="364">
        <v>1</v>
      </c>
      <c r="L393" s="229">
        <f t="shared" si="52"/>
        <v>1000</v>
      </c>
      <c r="N393" s="16"/>
      <c r="O393" s="229">
        <v>0</v>
      </c>
      <c r="P393" s="229">
        <v>0</v>
      </c>
      <c r="Q393" s="229">
        <v>0</v>
      </c>
      <c r="R393" s="229">
        <f t="shared" si="53"/>
        <v>0</v>
      </c>
      <c r="S393" s="229">
        <v>0</v>
      </c>
      <c r="T393" s="229">
        <v>0</v>
      </c>
      <c r="U393" s="229">
        <f t="shared" si="54"/>
        <v>0</v>
      </c>
      <c r="V393" s="229">
        <v>0</v>
      </c>
      <c r="W393" s="229">
        <v>1000</v>
      </c>
      <c r="X393" s="358">
        <f t="shared" si="55"/>
        <v>1000</v>
      </c>
      <c r="Y393" s="325" t="b">
        <f t="shared" si="58"/>
        <v>1</v>
      </c>
    </row>
    <row r="394" spans="1:25">
      <c r="A394" s="16">
        <v>171</v>
      </c>
      <c r="B394" t="s">
        <v>288</v>
      </c>
      <c r="C394" t="s">
        <v>503</v>
      </c>
      <c r="E394" s="229">
        <v>1800</v>
      </c>
      <c r="F394" s="229">
        <v>0</v>
      </c>
      <c r="G394" s="229">
        <v>0</v>
      </c>
      <c r="H394" s="229">
        <f t="shared" si="50"/>
        <v>1800</v>
      </c>
      <c r="I394" s="229">
        <v>0</v>
      </c>
      <c r="J394" s="229">
        <f t="shared" si="51"/>
        <v>1800</v>
      </c>
      <c r="K394" s="364">
        <v>1</v>
      </c>
      <c r="L394" s="229">
        <f t="shared" si="52"/>
        <v>1800</v>
      </c>
      <c r="N394" s="16"/>
      <c r="O394" s="229">
        <v>0</v>
      </c>
      <c r="P394" s="229">
        <v>0</v>
      </c>
      <c r="Q394" s="229">
        <v>0</v>
      </c>
      <c r="R394" s="229">
        <f t="shared" si="53"/>
        <v>0</v>
      </c>
      <c r="S394" s="229">
        <v>0</v>
      </c>
      <c r="T394" s="229">
        <v>0</v>
      </c>
      <c r="U394" s="229">
        <f t="shared" si="54"/>
        <v>0</v>
      </c>
      <c r="V394" s="229">
        <v>0</v>
      </c>
      <c r="W394" s="229">
        <v>1800</v>
      </c>
      <c r="X394" s="358">
        <f t="shared" si="55"/>
        <v>1800</v>
      </c>
      <c r="Y394" s="325" t="b">
        <f t="shared" si="58"/>
        <v>1</v>
      </c>
    </row>
    <row r="395" spans="1:25">
      <c r="A395" s="16">
        <v>172</v>
      </c>
      <c r="B395" t="s">
        <v>288</v>
      </c>
      <c r="C395" t="s">
        <v>985</v>
      </c>
      <c r="E395" s="229">
        <v>2345</v>
      </c>
      <c r="F395" s="229">
        <v>0</v>
      </c>
      <c r="G395" s="229">
        <v>0</v>
      </c>
      <c r="H395" s="229">
        <f t="shared" si="50"/>
        <v>2345</v>
      </c>
      <c r="I395" s="229">
        <v>0</v>
      </c>
      <c r="J395" s="229">
        <f t="shared" si="51"/>
        <v>2345</v>
      </c>
      <c r="K395" s="364">
        <v>1</v>
      </c>
      <c r="L395" s="229">
        <f t="shared" si="52"/>
        <v>2345</v>
      </c>
      <c r="N395" s="16"/>
      <c r="O395" s="229">
        <v>527.16</v>
      </c>
      <c r="P395" s="229">
        <v>0</v>
      </c>
      <c r="Q395" s="229">
        <v>0</v>
      </c>
      <c r="R395" s="229">
        <f t="shared" si="53"/>
        <v>527.16</v>
      </c>
      <c r="S395" s="229">
        <v>1407.93</v>
      </c>
      <c r="T395" s="229">
        <v>0</v>
      </c>
      <c r="U395" s="229">
        <f t="shared" si="54"/>
        <v>1407.93</v>
      </c>
      <c r="V395" s="229">
        <v>393.73</v>
      </c>
      <c r="W395" s="229">
        <v>16.18</v>
      </c>
      <c r="X395" s="358">
        <f t="shared" si="55"/>
        <v>2345</v>
      </c>
      <c r="Y395" s="325" t="b">
        <f t="shared" si="58"/>
        <v>1</v>
      </c>
    </row>
    <row r="396" spans="1:25">
      <c r="A396" s="16">
        <v>173</v>
      </c>
      <c r="B396" t="s">
        <v>288</v>
      </c>
      <c r="C396" t="s">
        <v>504</v>
      </c>
      <c r="E396" s="229">
        <v>2500</v>
      </c>
      <c r="F396" s="229">
        <v>0</v>
      </c>
      <c r="G396" s="229">
        <v>0</v>
      </c>
      <c r="H396" s="229">
        <f t="shared" si="50"/>
        <v>2500</v>
      </c>
      <c r="I396" s="229">
        <v>0</v>
      </c>
      <c r="J396" s="229">
        <f t="shared" si="51"/>
        <v>2500</v>
      </c>
      <c r="K396" s="364">
        <v>1</v>
      </c>
      <c r="L396" s="229">
        <f t="shared" si="52"/>
        <v>2500</v>
      </c>
      <c r="N396" s="16"/>
      <c r="O396" s="229">
        <v>0</v>
      </c>
      <c r="P396" s="229">
        <v>0</v>
      </c>
      <c r="Q396" s="229">
        <v>0</v>
      </c>
      <c r="R396" s="229">
        <f t="shared" si="53"/>
        <v>0</v>
      </c>
      <c r="S396" s="229">
        <v>0</v>
      </c>
      <c r="T396" s="229">
        <v>0</v>
      </c>
      <c r="U396" s="229">
        <f t="shared" si="54"/>
        <v>0</v>
      </c>
      <c r="V396" s="229">
        <v>0</v>
      </c>
      <c r="W396" s="229">
        <v>2500</v>
      </c>
      <c r="X396" s="358">
        <f t="shared" si="55"/>
        <v>2500</v>
      </c>
      <c r="Y396" s="325" t="b">
        <f t="shared" si="58"/>
        <v>1</v>
      </c>
    </row>
    <row r="397" spans="1:25">
      <c r="A397" s="16">
        <v>174</v>
      </c>
      <c r="B397" t="s">
        <v>288</v>
      </c>
      <c r="C397" t="s">
        <v>720</v>
      </c>
      <c r="E397" s="229">
        <v>2600</v>
      </c>
      <c r="F397" s="229">
        <v>0</v>
      </c>
      <c r="G397" s="229">
        <v>0</v>
      </c>
      <c r="H397" s="229">
        <f t="shared" si="50"/>
        <v>2600</v>
      </c>
      <c r="I397" s="229">
        <v>0</v>
      </c>
      <c r="J397" s="229">
        <f t="shared" si="51"/>
        <v>2600</v>
      </c>
      <c r="K397" s="364">
        <v>1</v>
      </c>
      <c r="L397" s="229">
        <f t="shared" si="52"/>
        <v>2600</v>
      </c>
      <c r="N397" s="16"/>
      <c r="O397" s="229">
        <v>0</v>
      </c>
      <c r="P397" s="229">
        <v>0</v>
      </c>
      <c r="Q397" s="229">
        <v>0</v>
      </c>
      <c r="R397" s="229">
        <f t="shared" si="53"/>
        <v>0</v>
      </c>
      <c r="S397" s="229">
        <v>0</v>
      </c>
      <c r="T397" s="229">
        <v>0</v>
      </c>
      <c r="U397" s="229">
        <f t="shared" si="54"/>
        <v>0</v>
      </c>
      <c r="V397" s="229">
        <v>0</v>
      </c>
      <c r="W397" s="229">
        <v>2600</v>
      </c>
      <c r="X397" s="358">
        <f t="shared" si="55"/>
        <v>2600</v>
      </c>
      <c r="Y397" s="325" t="b">
        <f t="shared" si="58"/>
        <v>1</v>
      </c>
    </row>
    <row r="398" spans="1:25">
      <c r="A398" s="16">
        <v>175</v>
      </c>
      <c r="B398" t="s">
        <v>288</v>
      </c>
      <c r="C398" t="s">
        <v>654</v>
      </c>
      <c r="E398" s="229">
        <v>800</v>
      </c>
      <c r="F398" s="229">
        <v>0</v>
      </c>
      <c r="G398" s="229">
        <v>0</v>
      </c>
      <c r="H398" s="229">
        <f t="shared" si="50"/>
        <v>800</v>
      </c>
      <c r="I398" s="229">
        <v>-80</v>
      </c>
      <c r="J398" s="229">
        <f t="shared" si="51"/>
        <v>720</v>
      </c>
      <c r="K398" s="364">
        <v>1</v>
      </c>
      <c r="L398" s="229">
        <f t="shared" si="52"/>
        <v>720</v>
      </c>
      <c r="N398" s="16"/>
      <c r="O398" s="229">
        <v>0</v>
      </c>
      <c r="P398" s="229">
        <v>0</v>
      </c>
      <c r="Q398" s="229">
        <v>0</v>
      </c>
      <c r="R398" s="229">
        <f t="shared" si="53"/>
        <v>0</v>
      </c>
      <c r="S398" s="229">
        <v>0</v>
      </c>
      <c r="T398" s="229">
        <v>0</v>
      </c>
      <c r="U398" s="229">
        <f t="shared" si="54"/>
        <v>0</v>
      </c>
      <c r="V398" s="229">
        <v>0</v>
      </c>
      <c r="W398" s="229">
        <f>+L398</f>
        <v>720</v>
      </c>
      <c r="X398" s="358">
        <f t="shared" si="55"/>
        <v>720</v>
      </c>
      <c r="Y398" s="325" t="b">
        <f t="shared" si="58"/>
        <v>1</v>
      </c>
    </row>
    <row r="399" spans="1:25">
      <c r="A399" s="16">
        <v>176</v>
      </c>
      <c r="B399" t="s">
        <v>288</v>
      </c>
      <c r="C399" t="s">
        <v>1106</v>
      </c>
      <c r="E399" s="229">
        <v>325</v>
      </c>
      <c r="F399" s="229">
        <v>0</v>
      </c>
      <c r="G399" s="229">
        <v>0</v>
      </c>
      <c r="H399" s="229">
        <f t="shared" si="50"/>
        <v>325</v>
      </c>
      <c r="I399" s="229">
        <v>0</v>
      </c>
      <c r="J399" s="229">
        <f t="shared" si="51"/>
        <v>325</v>
      </c>
      <c r="K399" s="364">
        <v>1</v>
      </c>
      <c r="L399" s="229">
        <f t="shared" si="52"/>
        <v>325</v>
      </c>
      <c r="N399" s="16"/>
      <c r="O399" s="229">
        <v>73.06</v>
      </c>
      <c r="P399" s="229">
        <v>0</v>
      </c>
      <c r="Q399" s="229">
        <v>0</v>
      </c>
      <c r="R399" s="229">
        <f t="shared" si="53"/>
        <v>73.06</v>
      </c>
      <c r="S399" s="229">
        <v>195.13</v>
      </c>
      <c r="T399" s="229">
        <v>0</v>
      </c>
      <c r="U399" s="229">
        <f t="shared" si="54"/>
        <v>195.13</v>
      </c>
      <c r="V399" s="229">
        <v>54.57</v>
      </c>
      <c r="W399" s="229">
        <v>2.2400000000000002</v>
      </c>
      <c r="X399" s="358">
        <f t="shared" si="55"/>
        <v>325</v>
      </c>
      <c r="Y399" s="325" t="b">
        <f t="shared" si="58"/>
        <v>1</v>
      </c>
    </row>
    <row r="400" spans="1:25">
      <c r="A400" s="16">
        <v>177</v>
      </c>
      <c r="B400" t="s">
        <v>288</v>
      </c>
      <c r="C400" t="s">
        <v>1120</v>
      </c>
      <c r="E400" s="229">
        <v>775</v>
      </c>
      <c r="F400" s="229">
        <v>0</v>
      </c>
      <c r="G400" s="229">
        <v>0</v>
      </c>
      <c r="H400" s="229">
        <f t="shared" si="50"/>
        <v>775</v>
      </c>
      <c r="I400" s="229">
        <v>0</v>
      </c>
      <c r="J400" s="229">
        <f t="shared" si="51"/>
        <v>775</v>
      </c>
      <c r="K400" s="364">
        <v>1</v>
      </c>
      <c r="L400" s="229">
        <f t="shared" si="52"/>
        <v>775</v>
      </c>
      <c r="N400" s="16"/>
      <c r="O400" s="229">
        <v>174.22</v>
      </c>
      <c r="P400" s="229">
        <v>0</v>
      </c>
      <c r="Q400" s="229">
        <v>0</v>
      </c>
      <c r="R400" s="229">
        <f t="shared" si="53"/>
        <v>174.22</v>
      </c>
      <c r="S400" s="229">
        <v>465.31</v>
      </c>
      <c r="T400" s="229">
        <v>0</v>
      </c>
      <c r="U400" s="229">
        <f t="shared" si="54"/>
        <v>465.31</v>
      </c>
      <c r="V400" s="229">
        <v>130.12</v>
      </c>
      <c r="W400" s="229">
        <v>5.35</v>
      </c>
      <c r="X400" s="358">
        <f t="shared" si="55"/>
        <v>775</v>
      </c>
      <c r="Y400" s="325" t="b">
        <f t="shared" si="58"/>
        <v>1</v>
      </c>
    </row>
    <row r="401" spans="1:25">
      <c r="A401" s="16">
        <v>178</v>
      </c>
      <c r="B401" t="s">
        <v>288</v>
      </c>
      <c r="C401" t="s">
        <v>986</v>
      </c>
      <c r="E401" s="229">
        <v>3968.75</v>
      </c>
      <c r="F401" s="229">
        <v>0</v>
      </c>
      <c r="G401" s="229">
        <v>0</v>
      </c>
      <c r="H401" s="229">
        <f t="shared" si="50"/>
        <v>3968.75</v>
      </c>
      <c r="I401" s="229">
        <v>0</v>
      </c>
      <c r="J401" s="229">
        <f t="shared" si="51"/>
        <v>3968.75</v>
      </c>
      <c r="K401" s="364">
        <v>1</v>
      </c>
      <c r="L401" s="229">
        <f t="shared" si="52"/>
        <v>3968.75</v>
      </c>
      <c r="N401" s="16"/>
      <c r="O401" s="229">
        <v>0</v>
      </c>
      <c r="P401" s="229">
        <v>0</v>
      </c>
      <c r="Q401" s="229">
        <v>0</v>
      </c>
      <c r="R401" s="229">
        <f t="shared" si="53"/>
        <v>0</v>
      </c>
      <c r="S401" s="229">
        <v>0</v>
      </c>
      <c r="T401" s="229">
        <v>0</v>
      </c>
      <c r="U401" s="229">
        <f t="shared" si="54"/>
        <v>0</v>
      </c>
      <c r="V401" s="229">
        <v>0</v>
      </c>
      <c r="W401" s="229">
        <v>3968.75</v>
      </c>
      <c r="X401" s="358">
        <f t="shared" si="55"/>
        <v>3968.75</v>
      </c>
      <c r="Y401" s="325" t="b">
        <f t="shared" si="58"/>
        <v>1</v>
      </c>
    </row>
    <row r="402" spans="1:25">
      <c r="A402" s="16">
        <v>179</v>
      </c>
      <c r="B402" t="s">
        <v>288</v>
      </c>
      <c r="C402" t="s">
        <v>505</v>
      </c>
      <c r="E402" s="229">
        <v>3000</v>
      </c>
      <c r="F402" s="229">
        <v>0</v>
      </c>
      <c r="G402" s="229">
        <v>0</v>
      </c>
      <c r="H402" s="229">
        <f t="shared" ref="H402:H456" si="59">+E402+F402+G402</f>
        <v>3000</v>
      </c>
      <c r="I402" s="229">
        <v>-300</v>
      </c>
      <c r="J402" s="229">
        <f t="shared" ref="J402:J456" si="60">+H402+I402</f>
        <v>2700</v>
      </c>
      <c r="K402" s="364">
        <v>1</v>
      </c>
      <c r="L402" s="229">
        <f t="shared" ref="L402:L456" si="61">+J402*K402</f>
        <v>2700</v>
      </c>
      <c r="N402" s="16"/>
      <c r="O402" s="229">
        <v>0</v>
      </c>
      <c r="P402" s="229">
        <v>0</v>
      </c>
      <c r="Q402" s="229">
        <v>0</v>
      </c>
      <c r="R402" s="229">
        <f t="shared" ref="R402:R456" si="62">SUM(O402:Q402)</f>
        <v>0</v>
      </c>
      <c r="S402" s="229">
        <v>0</v>
      </c>
      <c r="T402" s="229">
        <v>0</v>
      </c>
      <c r="U402" s="229">
        <f t="shared" ref="U402:U456" si="63">SUM(S402:T402)</f>
        <v>0</v>
      </c>
      <c r="V402" s="229">
        <v>0</v>
      </c>
      <c r="W402" s="229">
        <f t="shared" ref="W402:W403" si="64">+L402</f>
        <v>2700</v>
      </c>
      <c r="X402" s="358">
        <f t="shared" ref="X402:X456" si="65">+O402+P402+Q402+S402+T402+V402+W402</f>
        <v>2700</v>
      </c>
      <c r="Y402" s="325" t="b">
        <f t="shared" si="58"/>
        <v>1</v>
      </c>
    </row>
    <row r="403" spans="1:25">
      <c r="A403" s="16">
        <v>180</v>
      </c>
      <c r="B403" t="s">
        <v>288</v>
      </c>
      <c r="C403" t="s">
        <v>721</v>
      </c>
      <c r="E403" s="229">
        <v>300</v>
      </c>
      <c r="F403" s="229">
        <v>0</v>
      </c>
      <c r="G403" s="229">
        <v>0</v>
      </c>
      <c r="H403" s="229">
        <f t="shared" si="59"/>
        <v>300</v>
      </c>
      <c r="I403" s="229">
        <v>-30</v>
      </c>
      <c r="J403" s="229">
        <f t="shared" si="60"/>
        <v>270</v>
      </c>
      <c r="K403" s="364">
        <v>1</v>
      </c>
      <c r="L403" s="229">
        <f t="shared" si="61"/>
        <v>270</v>
      </c>
      <c r="N403" s="16"/>
      <c r="O403" s="229">
        <v>0</v>
      </c>
      <c r="P403" s="229">
        <v>0</v>
      </c>
      <c r="Q403" s="229">
        <v>0</v>
      </c>
      <c r="R403" s="229">
        <f t="shared" si="62"/>
        <v>0</v>
      </c>
      <c r="S403" s="229">
        <v>0</v>
      </c>
      <c r="T403" s="229">
        <v>0</v>
      </c>
      <c r="U403" s="229">
        <f t="shared" si="63"/>
        <v>0</v>
      </c>
      <c r="V403" s="229">
        <v>0</v>
      </c>
      <c r="W403" s="229">
        <f t="shared" si="64"/>
        <v>270</v>
      </c>
      <c r="X403" s="358">
        <f t="shared" si="65"/>
        <v>270</v>
      </c>
      <c r="Y403" s="325" t="b">
        <f t="shared" si="58"/>
        <v>1</v>
      </c>
    </row>
    <row r="404" spans="1:25">
      <c r="A404" s="16">
        <v>181</v>
      </c>
      <c r="B404" t="s">
        <v>288</v>
      </c>
      <c r="C404" t="s">
        <v>1121</v>
      </c>
      <c r="E404" s="229">
        <v>1000</v>
      </c>
      <c r="F404" s="229">
        <v>0</v>
      </c>
      <c r="G404" s="229">
        <v>0</v>
      </c>
      <c r="H404" s="229">
        <f t="shared" si="59"/>
        <v>1000</v>
      </c>
      <c r="I404" s="229">
        <v>0</v>
      </c>
      <c r="J404" s="229">
        <f t="shared" si="60"/>
        <v>1000</v>
      </c>
      <c r="K404" s="364">
        <v>1</v>
      </c>
      <c r="L404" s="229">
        <f t="shared" si="61"/>
        <v>1000</v>
      </c>
      <c r="N404" s="16"/>
      <c r="O404" s="229">
        <v>0</v>
      </c>
      <c r="P404" s="229">
        <v>0</v>
      </c>
      <c r="Q404" s="229">
        <v>0</v>
      </c>
      <c r="R404" s="229">
        <f t="shared" si="62"/>
        <v>0</v>
      </c>
      <c r="S404" s="229">
        <v>0</v>
      </c>
      <c r="T404" s="229">
        <v>0</v>
      </c>
      <c r="U404" s="229">
        <f t="shared" si="63"/>
        <v>0</v>
      </c>
      <c r="V404" s="229">
        <v>0</v>
      </c>
      <c r="W404" s="229">
        <v>1000</v>
      </c>
      <c r="X404" s="358">
        <f t="shared" si="65"/>
        <v>1000</v>
      </c>
      <c r="Y404" s="325" t="b">
        <f t="shared" si="58"/>
        <v>1</v>
      </c>
    </row>
    <row r="405" spans="1:25">
      <c r="A405" s="16">
        <v>182</v>
      </c>
      <c r="B405" t="s">
        <v>288</v>
      </c>
      <c r="C405" t="s">
        <v>506</v>
      </c>
      <c r="E405" s="229">
        <v>4500</v>
      </c>
      <c r="F405" s="229">
        <v>0</v>
      </c>
      <c r="G405" s="229">
        <v>0</v>
      </c>
      <c r="H405" s="229">
        <f t="shared" si="59"/>
        <v>4500</v>
      </c>
      <c r="I405" s="229">
        <v>-400</v>
      </c>
      <c r="J405" s="229">
        <f t="shared" si="60"/>
        <v>4100</v>
      </c>
      <c r="K405" s="364">
        <v>1</v>
      </c>
      <c r="L405" s="229">
        <f t="shared" si="61"/>
        <v>4100</v>
      </c>
      <c r="N405" s="16"/>
      <c r="O405" s="229">
        <v>0</v>
      </c>
      <c r="P405" s="229">
        <v>0</v>
      </c>
      <c r="Q405" s="229">
        <v>0</v>
      </c>
      <c r="R405" s="229">
        <f t="shared" si="62"/>
        <v>0</v>
      </c>
      <c r="S405" s="229">
        <v>0</v>
      </c>
      <c r="T405" s="229">
        <v>0</v>
      </c>
      <c r="U405" s="229">
        <f t="shared" si="63"/>
        <v>0</v>
      </c>
      <c r="V405" s="229">
        <v>0</v>
      </c>
      <c r="W405" s="229">
        <f>+L405</f>
        <v>4100</v>
      </c>
      <c r="X405" s="358">
        <f t="shared" si="65"/>
        <v>4100</v>
      </c>
      <c r="Y405" s="325" t="b">
        <f t="shared" si="58"/>
        <v>1</v>
      </c>
    </row>
    <row r="406" spans="1:25">
      <c r="A406" s="16">
        <v>183</v>
      </c>
      <c r="B406" t="s">
        <v>288</v>
      </c>
      <c r="C406" t="s">
        <v>507</v>
      </c>
      <c r="E406" s="229">
        <v>1650</v>
      </c>
      <c r="F406" s="229">
        <v>0</v>
      </c>
      <c r="G406" s="229">
        <v>0</v>
      </c>
      <c r="H406" s="229">
        <f t="shared" si="59"/>
        <v>1650</v>
      </c>
      <c r="I406" s="229">
        <v>0</v>
      </c>
      <c r="J406" s="229">
        <f t="shared" si="60"/>
        <v>1650</v>
      </c>
      <c r="K406" s="364">
        <v>1</v>
      </c>
      <c r="L406" s="229">
        <f t="shared" si="61"/>
        <v>1650</v>
      </c>
      <c r="N406" s="16"/>
      <c r="O406" s="229">
        <v>0</v>
      </c>
      <c r="P406" s="229">
        <v>0</v>
      </c>
      <c r="Q406" s="229">
        <v>0</v>
      </c>
      <c r="R406" s="229">
        <f t="shared" si="62"/>
        <v>0</v>
      </c>
      <c r="S406" s="229">
        <v>0</v>
      </c>
      <c r="T406" s="229">
        <v>0</v>
      </c>
      <c r="U406" s="229">
        <f t="shared" si="63"/>
        <v>0</v>
      </c>
      <c r="V406" s="229">
        <v>0</v>
      </c>
      <c r="W406" s="229">
        <v>1650</v>
      </c>
      <c r="X406" s="358">
        <f t="shared" si="65"/>
        <v>1650</v>
      </c>
      <c r="Y406" s="325" t="b">
        <f t="shared" si="58"/>
        <v>1</v>
      </c>
    </row>
    <row r="407" spans="1:25">
      <c r="A407" s="16">
        <v>184</v>
      </c>
      <c r="B407" t="s">
        <v>288</v>
      </c>
      <c r="C407" t="s">
        <v>987</v>
      </c>
      <c r="E407" s="229">
        <v>1000</v>
      </c>
      <c r="F407" s="229">
        <v>0</v>
      </c>
      <c r="G407" s="229">
        <v>0</v>
      </c>
      <c r="H407" s="229">
        <f t="shared" si="59"/>
        <v>1000</v>
      </c>
      <c r="I407" s="229">
        <v>0</v>
      </c>
      <c r="J407" s="229">
        <f t="shared" si="60"/>
        <v>1000</v>
      </c>
      <c r="K407" s="364">
        <v>1</v>
      </c>
      <c r="L407" s="229">
        <f t="shared" si="61"/>
        <v>1000</v>
      </c>
      <c r="N407" s="16"/>
      <c r="O407" s="229">
        <v>0</v>
      </c>
      <c r="P407" s="229">
        <v>0</v>
      </c>
      <c r="Q407" s="229">
        <v>0</v>
      </c>
      <c r="R407" s="229">
        <f t="shared" si="62"/>
        <v>0</v>
      </c>
      <c r="S407" s="229">
        <v>0</v>
      </c>
      <c r="T407" s="229">
        <v>0</v>
      </c>
      <c r="U407" s="229">
        <f t="shared" si="63"/>
        <v>0</v>
      </c>
      <c r="V407" s="229">
        <v>0</v>
      </c>
      <c r="W407" s="229">
        <v>1000</v>
      </c>
      <c r="X407" s="358">
        <f t="shared" si="65"/>
        <v>1000</v>
      </c>
      <c r="Y407" s="325" t="b">
        <f t="shared" si="58"/>
        <v>1</v>
      </c>
    </row>
    <row r="408" spans="1:25">
      <c r="A408" s="16">
        <v>185</v>
      </c>
      <c r="B408" t="s">
        <v>288</v>
      </c>
      <c r="C408" t="s">
        <v>988</v>
      </c>
      <c r="E408" s="229">
        <v>1000</v>
      </c>
      <c r="F408" s="229">
        <v>0</v>
      </c>
      <c r="G408" s="229">
        <v>0</v>
      </c>
      <c r="H408" s="229">
        <f t="shared" si="59"/>
        <v>1000</v>
      </c>
      <c r="I408" s="229">
        <v>0</v>
      </c>
      <c r="J408" s="229">
        <f t="shared" si="60"/>
        <v>1000</v>
      </c>
      <c r="K408" s="364">
        <v>1</v>
      </c>
      <c r="L408" s="229">
        <f t="shared" si="61"/>
        <v>1000</v>
      </c>
      <c r="N408" s="16"/>
      <c r="O408" s="229">
        <v>0</v>
      </c>
      <c r="P408" s="229">
        <v>0</v>
      </c>
      <c r="Q408" s="229">
        <v>0</v>
      </c>
      <c r="R408" s="229">
        <f t="shared" si="62"/>
        <v>0</v>
      </c>
      <c r="S408" s="229">
        <v>0</v>
      </c>
      <c r="T408" s="229">
        <v>0</v>
      </c>
      <c r="U408" s="229">
        <f t="shared" si="63"/>
        <v>0</v>
      </c>
      <c r="V408" s="229">
        <v>0</v>
      </c>
      <c r="W408" s="229">
        <v>1000</v>
      </c>
      <c r="X408" s="358">
        <f t="shared" si="65"/>
        <v>1000</v>
      </c>
      <c r="Y408" s="325" t="b">
        <f t="shared" si="58"/>
        <v>1</v>
      </c>
    </row>
    <row r="409" spans="1:25">
      <c r="A409" s="16">
        <v>186</v>
      </c>
      <c r="B409" t="s">
        <v>288</v>
      </c>
      <c r="C409" t="s">
        <v>508</v>
      </c>
      <c r="E409" s="229">
        <v>1000</v>
      </c>
      <c r="F409" s="229">
        <v>0</v>
      </c>
      <c r="G409" s="229">
        <v>0</v>
      </c>
      <c r="H409" s="229">
        <f t="shared" si="59"/>
        <v>1000</v>
      </c>
      <c r="I409" s="229">
        <v>0</v>
      </c>
      <c r="J409" s="229">
        <f t="shared" si="60"/>
        <v>1000</v>
      </c>
      <c r="K409" s="364">
        <v>1</v>
      </c>
      <c r="L409" s="229">
        <f t="shared" si="61"/>
        <v>1000</v>
      </c>
      <c r="N409" s="16"/>
      <c r="O409" s="229">
        <v>0</v>
      </c>
      <c r="P409" s="229">
        <v>0</v>
      </c>
      <c r="Q409" s="229">
        <v>0</v>
      </c>
      <c r="R409" s="229">
        <f t="shared" si="62"/>
        <v>0</v>
      </c>
      <c r="S409" s="229">
        <v>0</v>
      </c>
      <c r="T409" s="229">
        <v>0</v>
      </c>
      <c r="U409" s="229">
        <f t="shared" si="63"/>
        <v>0</v>
      </c>
      <c r="V409" s="229">
        <v>0</v>
      </c>
      <c r="W409" s="229">
        <v>1000</v>
      </c>
      <c r="X409" s="358">
        <f t="shared" si="65"/>
        <v>1000</v>
      </c>
      <c r="Y409" s="325" t="b">
        <f t="shared" si="58"/>
        <v>1</v>
      </c>
    </row>
    <row r="410" spans="1:25">
      <c r="A410" s="16">
        <v>187</v>
      </c>
      <c r="B410" t="s">
        <v>288</v>
      </c>
      <c r="C410" t="s">
        <v>722</v>
      </c>
      <c r="E410" s="229">
        <v>7350</v>
      </c>
      <c r="F410" s="229">
        <v>0</v>
      </c>
      <c r="G410" s="229">
        <v>0</v>
      </c>
      <c r="H410" s="229">
        <f t="shared" si="59"/>
        <v>7350</v>
      </c>
      <c r="I410" s="229">
        <v>0</v>
      </c>
      <c r="J410" s="229">
        <f t="shared" si="60"/>
        <v>7350</v>
      </c>
      <c r="K410" s="364">
        <v>1</v>
      </c>
      <c r="L410" s="229">
        <f t="shared" si="61"/>
        <v>7350</v>
      </c>
      <c r="N410" s="16"/>
      <c r="O410" s="229">
        <v>0</v>
      </c>
      <c r="P410" s="229">
        <v>0</v>
      </c>
      <c r="Q410" s="229">
        <v>0</v>
      </c>
      <c r="R410" s="229">
        <f t="shared" si="62"/>
        <v>0</v>
      </c>
      <c r="S410" s="229">
        <v>0</v>
      </c>
      <c r="T410" s="229">
        <v>0</v>
      </c>
      <c r="U410" s="229">
        <f t="shared" si="63"/>
        <v>0</v>
      </c>
      <c r="V410" s="229">
        <v>0</v>
      </c>
      <c r="W410" s="229">
        <v>7350</v>
      </c>
      <c r="X410" s="358">
        <f t="shared" si="65"/>
        <v>7350</v>
      </c>
      <c r="Y410" s="325" t="b">
        <f t="shared" si="58"/>
        <v>1</v>
      </c>
    </row>
    <row r="411" spans="1:25">
      <c r="A411" s="16">
        <v>188</v>
      </c>
      <c r="B411" t="s">
        <v>288</v>
      </c>
      <c r="C411" t="s">
        <v>509</v>
      </c>
      <c r="E411" s="229">
        <v>1500</v>
      </c>
      <c r="F411" s="229">
        <v>0</v>
      </c>
      <c r="G411" s="229">
        <v>0</v>
      </c>
      <c r="H411" s="229">
        <f t="shared" si="59"/>
        <v>1500</v>
      </c>
      <c r="I411" s="229">
        <v>0</v>
      </c>
      <c r="J411" s="229">
        <f t="shared" si="60"/>
        <v>1500</v>
      </c>
      <c r="K411" s="364">
        <v>1</v>
      </c>
      <c r="L411" s="229">
        <f t="shared" si="61"/>
        <v>1500</v>
      </c>
      <c r="N411" s="16"/>
      <c r="O411" s="229">
        <v>0</v>
      </c>
      <c r="P411" s="229">
        <v>0</v>
      </c>
      <c r="Q411" s="229">
        <v>0</v>
      </c>
      <c r="R411" s="229">
        <f t="shared" si="62"/>
        <v>0</v>
      </c>
      <c r="S411" s="229">
        <v>0</v>
      </c>
      <c r="T411" s="229">
        <v>0</v>
      </c>
      <c r="U411" s="229">
        <f t="shared" si="63"/>
        <v>0</v>
      </c>
      <c r="V411" s="229">
        <v>0</v>
      </c>
      <c r="W411" s="229">
        <v>1500</v>
      </c>
      <c r="X411" s="358">
        <f t="shared" si="65"/>
        <v>1500</v>
      </c>
      <c r="Y411" s="325" t="b">
        <f t="shared" si="58"/>
        <v>1</v>
      </c>
    </row>
    <row r="412" spans="1:25">
      <c r="A412" s="16">
        <v>189</v>
      </c>
      <c r="B412" t="s">
        <v>288</v>
      </c>
      <c r="C412" t="s">
        <v>989</v>
      </c>
      <c r="E412" s="229">
        <v>75</v>
      </c>
      <c r="F412" s="229">
        <v>0</v>
      </c>
      <c r="G412" s="229">
        <v>0</v>
      </c>
      <c r="H412" s="229">
        <f t="shared" si="59"/>
        <v>75</v>
      </c>
      <c r="I412" s="229">
        <v>-75</v>
      </c>
      <c r="J412" s="229">
        <f t="shared" si="60"/>
        <v>0</v>
      </c>
      <c r="K412" s="364">
        <v>1</v>
      </c>
      <c r="L412" s="229">
        <f t="shared" si="61"/>
        <v>0</v>
      </c>
      <c r="N412" s="16"/>
      <c r="O412" s="229">
        <v>0</v>
      </c>
      <c r="P412" s="229">
        <v>0</v>
      </c>
      <c r="Q412" s="229">
        <v>0</v>
      </c>
      <c r="R412" s="229">
        <f t="shared" si="62"/>
        <v>0</v>
      </c>
      <c r="S412" s="229">
        <v>0</v>
      </c>
      <c r="T412" s="229">
        <v>0</v>
      </c>
      <c r="U412" s="229">
        <f t="shared" si="63"/>
        <v>0</v>
      </c>
      <c r="V412" s="229">
        <v>0</v>
      </c>
      <c r="W412" s="229">
        <f t="shared" ref="W412:W413" si="66">+L412</f>
        <v>0</v>
      </c>
      <c r="X412" s="358">
        <f t="shared" si="65"/>
        <v>0</v>
      </c>
      <c r="Y412" s="325" t="b">
        <f t="shared" si="58"/>
        <v>1</v>
      </c>
    </row>
    <row r="413" spans="1:25">
      <c r="A413" s="16">
        <v>190</v>
      </c>
      <c r="B413" t="s">
        <v>288</v>
      </c>
      <c r="C413" t="s">
        <v>990</v>
      </c>
      <c r="E413" s="229">
        <v>250</v>
      </c>
      <c r="F413" s="229">
        <v>0</v>
      </c>
      <c r="G413" s="229">
        <v>0</v>
      </c>
      <c r="H413" s="229">
        <f t="shared" si="59"/>
        <v>250</v>
      </c>
      <c r="I413" s="229">
        <v>-250</v>
      </c>
      <c r="J413" s="229">
        <f t="shared" si="60"/>
        <v>0</v>
      </c>
      <c r="K413" s="364">
        <v>1</v>
      </c>
      <c r="L413" s="229">
        <f t="shared" si="61"/>
        <v>0</v>
      </c>
      <c r="N413" s="16"/>
      <c r="O413" s="229">
        <v>0</v>
      </c>
      <c r="P413" s="229">
        <v>0</v>
      </c>
      <c r="Q413" s="229">
        <v>0</v>
      </c>
      <c r="R413" s="229">
        <f t="shared" si="62"/>
        <v>0</v>
      </c>
      <c r="S413" s="229">
        <v>0</v>
      </c>
      <c r="T413" s="229">
        <v>0</v>
      </c>
      <c r="U413" s="229">
        <f t="shared" si="63"/>
        <v>0</v>
      </c>
      <c r="V413" s="229">
        <v>0</v>
      </c>
      <c r="W413" s="229">
        <f t="shared" si="66"/>
        <v>0</v>
      </c>
      <c r="X413" s="358">
        <f t="shared" si="65"/>
        <v>0</v>
      </c>
      <c r="Y413" s="325" t="b">
        <f t="shared" si="58"/>
        <v>1</v>
      </c>
    </row>
    <row r="414" spans="1:25">
      <c r="A414" s="16">
        <v>191</v>
      </c>
      <c r="B414" t="s">
        <v>288</v>
      </c>
      <c r="C414" t="s">
        <v>1027</v>
      </c>
      <c r="E414" s="229">
        <v>7500</v>
      </c>
      <c r="F414" s="229">
        <v>0</v>
      </c>
      <c r="G414" s="229">
        <v>0</v>
      </c>
      <c r="H414" s="229">
        <f t="shared" si="59"/>
        <v>7500</v>
      </c>
      <c r="I414" s="229">
        <v>0</v>
      </c>
      <c r="J414" s="229">
        <f t="shared" si="60"/>
        <v>7500</v>
      </c>
      <c r="K414" s="364">
        <v>1</v>
      </c>
      <c r="L414" s="229">
        <f t="shared" si="61"/>
        <v>7500</v>
      </c>
      <c r="N414" s="16"/>
      <c r="O414" s="229">
        <v>0</v>
      </c>
      <c r="P414" s="229">
        <v>0</v>
      </c>
      <c r="Q414" s="229">
        <v>0</v>
      </c>
      <c r="R414" s="229">
        <f t="shared" si="62"/>
        <v>0</v>
      </c>
      <c r="S414" s="229">
        <v>0</v>
      </c>
      <c r="T414" s="229">
        <v>0</v>
      </c>
      <c r="U414" s="229">
        <f t="shared" si="63"/>
        <v>0</v>
      </c>
      <c r="V414" s="229">
        <v>0</v>
      </c>
      <c r="W414" s="229">
        <v>7500</v>
      </c>
      <c r="X414" s="358">
        <f t="shared" si="65"/>
        <v>7500</v>
      </c>
      <c r="Y414" s="325" t="b">
        <f t="shared" si="58"/>
        <v>1</v>
      </c>
    </row>
    <row r="415" spans="1:25">
      <c r="A415" s="16">
        <v>192</v>
      </c>
      <c r="B415" t="s">
        <v>288</v>
      </c>
      <c r="C415" t="s">
        <v>1028</v>
      </c>
      <c r="E415" s="229">
        <v>10000</v>
      </c>
      <c r="F415" s="229">
        <v>0</v>
      </c>
      <c r="G415" s="229">
        <v>0</v>
      </c>
      <c r="H415" s="229">
        <f t="shared" si="59"/>
        <v>10000</v>
      </c>
      <c r="I415" s="229">
        <v>0</v>
      </c>
      <c r="J415" s="229">
        <f t="shared" si="60"/>
        <v>10000</v>
      </c>
      <c r="K415" s="364">
        <v>1</v>
      </c>
      <c r="L415" s="229">
        <f t="shared" si="61"/>
        <v>10000</v>
      </c>
      <c r="N415" s="16"/>
      <c r="O415" s="229">
        <v>0</v>
      </c>
      <c r="P415" s="229">
        <v>0</v>
      </c>
      <c r="Q415" s="229">
        <v>0</v>
      </c>
      <c r="R415" s="229">
        <f t="shared" si="62"/>
        <v>0</v>
      </c>
      <c r="S415" s="229">
        <v>0</v>
      </c>
      <c r="T415" s="229">
        <v>0</v>
      </c>
      <c r="U415" s="229">
        <f t="shared" si="63"/>
        <v>0</v>
      </c>
      <c r="V415" s="229">
        <v>0</v>
      </c>
      <c r="W415" s="229">
        <v>10000</v>
      </c>
      <c r="X415" s="358">
        <f t="shared" si="65"/>
        <v>10000</v>
      </c>
      <c r="Y415" s="325" t="b">
        <f t="shared" si="58"/>
        <v>1</v>
      </c>
    </row>
    <row r="416" spans="1:25">
      <c r="A416" s="16">
        <v>193</v>
      </c>
      <c r="B416" t="s">
        <v>288</v>
      </c>
      <c r="C416" t="s">
        <v>991</v>
      </c>
      <c r="E416" s="229">
        <v>1000</v>
      </c>
      <c r="F416" s="229">
        <v>0</v>
      </c>
      <c r="G416" s="229">
        <v>0</v>
      </c>
      <c r="H416" s="229">
        <f t="shared" si="59"/>
        <v>1000</v>
      </c>
      <c r="I416" s="229">
        <v>0</v>
      </c>
      <c r="J416" s="229">
        <f t="shared" si="60"/>
        <v>1000</v>
      </c>
      <c r="K416" s="364">
        <v>1</v>
      </c>
      <c r="L416" s="229">
        <f t="shared" si="61"/>
        <v>1000</v>
      </c>
      <c r="N416" s="16"/>
      <c r="O416" s="229">
        <v>0</v>
      </c>
      <c r="P416" s="229">
        <v>0</v>
      </c>
      <c r="Q416" s="229">
        <v>0</v>
      </c>
      <c r="R416" s="229">
        <f t="shared" si="62"/>
        <v>0</v>
      </c>
      <c r="S416" s="229">
        <v>0</v>
      </c>
      <c r="T416" s="229">
        <v>0</v>
      </c>
      <c r="U416" s="229">
        <f t="shared" si="63"/>
        <v>0</v>
      </c>
      <c r="V416" s="229">
        <v>0</v>
      </c>
      <c r="W416" s="229">
        <v>1000</v>
      </c>
      <c r="X416" s="358">
        <f t="shared" si="65"/>
        <v>1000</v>
      </c>
      <c r="Y416" s="325" t="b">
        <f t="shared" si="58"/>
        <v>1</v>
      </c>
    </row>
    <row r="417" spans="1:25">
      <c r="A417" s="16">
        <v>194</v>
      </c>
      <c r="B417" t="s">
        <v>288</v>
      </c>
      <c r="C417" t="s">
        <v>1108</v>
      </c>
      <c r="E417" s="229">
        <v>112</v>
      </c>
      <c r="F417" s="229">
        <v>0</v>
      </c>
      <c r="G417" s="229">
        <v>0</v>
      </c>
      <c r="H417" s="229">
        <f t="shared" si="59"/>
        <v>112</v>
      </c>
      <c r="I417" s="229">
        <v>0</v>
      </c>
      <c r="J417" s="229">
        <f t="shared" si="60"/>
        <v>112</v>
      </c>
      <c r="K417" s="364">
        <v>1</v>
      </c>
      <c r="L417" s="229">
        <f t="shared" si="61"/>
        <v>112</v>
      </c>
      <c r="N417" s="16"/>
      <c r="O417" s="229">
        <v>25.18</v>
      </c>
      <c r="P417" s="229">
        <v>0</v>
      </c>
      <c r="Q417" s="229">
        <v>0</v>
      </c>
      <c r="R417" s="229">
        <f t="shared" si="62"/>
        <v>25.18</v>
      </c>
      <c r="S417" s="229">
        <v>67.25</v>
      </c>
      <c r="T417" s="229">
        <v>0</v>
      </c>
      <c r="U417" s="229">
        <f t="shared" si="63"/>
        <v>67.25</v>
      </c>
      <c r="V417" s="229">
        <v>18.8</v>
      </c>
      <c r="W417" s="229">
        <v>0.77</v>
      </c>
      <c r="X417" s="358">
        <f t="shared" si="65"/>
        <v>112</v>
      </c>
      <c r="Y417" s="325" t="b">
        <f t="shared" si="58"/>
        <v>1</v>
      </c>
    </row>
    <row r="418" spans="1:25">
      <c r="A418" s="16">
        <v>195</v>
      </c>
      <c r="B418" t="s">
        <v>288</v>
      </c>
      <c r="C418" t="s">
        <v>1029</v>
      </c>
      <c r="E418" s="229">
        <v>15000</v>
      </c>
      <c r="F418" s="229">
        <v>0</v>
      </c>
      <c r="G418" s="229">
        <v>0</v>
      </c>
      <c r="H418" s="229">
        <f t="shared" si="59"/>
        <v>15000</v>
      </c>
      <c r="I418" s="229">
        <v>0</v>
      </c>
      <c r="J418" s="229">
        <f t="shared" si="60"/>
        <v>15000</v>
      </c>
      <c r="K418" s="364">
        <v>1</v>
      </c>
      <c r="L418" s="229">
        <f t="shared" si="61"/>
        <v>15000</v>
      </c>
      <c r="N418" s="16"/>
      <c r="O418" s="229">
        <v>0</v>
      </c>
      <c r="P418" s="229">
        <v>0</v>
      </c>
      <c r="Q418" s="229">
        <v>0</v>
      </c>
      <c r="R418" s="229">
        <f t="shared" si="62"/>
        <v>0</v>
      </c>
      <c r="S418" s="229">
        <v>0</v>
      </c>
      <c r="T418" s="229">
        <v>0</v>
      </c>
      <c r="U418" s="229">
        <f t="shared" si="63"/>
        <v>0</v>
      </c>
      <c r="V418" s="229">
        <v>0</v>
      </c>
      <c r="W418" s="229">
        <v>15000</v>
      </c>
      <c r="X418" s="358">
        <f t="shared" si="65"/>
        <v>15000</v>
      </c>
      <c r="Y418" s="325" t="b">
        <f t="shared" si="58"/>
        <v>1</v>
      </c>
    </row>
    <row r="419" spans="1:25">
      <c r="A419" s="16">
        <v>196</v>
      </c>
      <c r="B419" t="s">
        <v>288</v>
      </c>
      <c r="C419" t="s">
        <v>1030</v>
      </c>
      <c r="E419" s="229">
        <v>10000</v>
      </c>
      <c r="F419" s="229">
        <v>0</v>
      </c>
      <c r="G419" s="229">
        <v>0</v>
      </c>
      <c r="H419" s="229">
        <f t="shared" si="59"/>
        <v>10000</v>
      </c>
      <c r="I419" s="229">
        <v>0</v>
      </c>
      <c r="J419" s="229">
        <f t="shared" si="60"/>
        <v>10000</v>
      </c>
      <c r="K419" s="364">
        <v>1</v>
      </c>
      <c r="L419" s="229">
        <f t="shared" si="61"/>
        <v>10000</v>
      </c>
      <c r="N419" s="16"/>
      <c r="O419" s="229">
        <v>0</v>
      </c>
      <c r="P419" s="229">
        <v>0</v>
      </c>
      <c r="Q419" s="229">
        <v>0</v>
      </c>
      <c r="R419" s="229">
        <f t="shared" si="62"/>
        <v>0</v>
      </c>
      <c r="S419" s="229">
        <v>0</v>
      </c>
      <c r="T419" s="229">
        <v>0</v>
      </c>
      <c r="U419" s="229">
        <f t="shared" si="63"/>
        <v>0</v>
      </c>
      <c r="V419" s="229">
        <v>0</v>
      </c>
      <c r="W419" s="229">
        <v>10000</v>
      </c>
      <c r="X419" s="358">
        <f t="shared" si="65"/>
        <v>10000</v>
      </c>
      <c r="Y419" s="325" t="b">
        <f t="shared" si="58"/>
        <v>1</v>
      </c>
    </row>
    <row r="420" spans="1:25">
      <c r="A420" s="16">
        <v>197</v>
      </c>
      <c r="B420" t="s">
        <v>288</v>
      </c>
      <c r="C420" t="s">
        <v>1031</v>
      </c>
      <c r="E420" s="229">
        <v>13000</v>
      </c>
      <c r="F420" s="229">
        <v>0</v>
      </c>
      <c r="G420" s="229">
        <v>0</v>
      </c>
      <c r="H420" s="229">
        <f t="shared" si="59"/>
        <v>13000</v>
      </c>
      <c r="I420" s="229">
        <v>0</v>
      </c>
      <c r="J420" s="229">
        <f t="shared" si="60"/>
        <v>13000</v>
      </c>
      <c r="K420" s="364">
        <v>1</v>
      </c>
      <c r="L420" s="229">
        <f t="shared" si="61"/>
        <v>13000</v>
      </c>
      <c r="N420" s="16"/>
      <c r="O420" s="229">
        <v>0</v>
      </c>
      <c r="P420" s="229">
        <v>0</v>
      </c>
      <c r="Q420" s="229">
        <v>0</v>
      </c>
      <c r="R420" s="229">
        <f t="shared" si="62"/>
        <v>0</v>
      </c>
      <c r="S420" s="229">
        <v>0</v>
      </c>
      <c r="T420" s="229">
        <v>0</v>
      </c>
      <c r="U420" s="229">
        <f t="shared" si="63"/>
        <v>0</v>
      </c>
      <c r="V420" s="229">
        <v>0</v>
      </c>
      <c r="W420" s="229">
        <v>13000</v>
      </c>
      <c r="X420" s="358">
        <f t="shared" si="65"/>
        <v>13000</v>
      </c>
      <c r="Y420" s="325" t="b">
        <f t="shared" si="58"/>
        <v>1</v>
      </c>
    </row>
    <row r="421" spans="1:25">
      <c r="A421" s="16">
        <v>198</v>
      </c>
      <c r="B421" t="s">
        <v>288</v>
      </c>
      <c r="C421" t="s">
        <v>1072</v>
      </c>
      <c r="E421" s="229">
        <v>52.2</v>
      </c>
      <c r="F421" s="229">
        <v>0</v>
      </c>
      <c r="G421" s="229">
        <v>0</v>
      </c>
      <c r="H421" s="229">
        <f t="shared" si="59"/>
        <v>52.2</v>
      </c>
      <c r="I421" s="229">
        <v>0</v>
      </c>
      <c r="J421" s="229">
        <f t="shared" si="60"/>
        <v>52.2</v>
      </c>
      <c r="K421" s="364">
        <v>1</v>
      </c>
      <c r="L421" s="229">
        <f t="shared" si="61"/>
        <v>52.2</v>
      </c>
      <c r="N421" s="16"/>
      <c r="O421" s="229">
        <v>11.73</v>
      </c>
      <c r="P421" s="229">
        <v>0</v>
      </c>
      <c r="Q421" s="229">
        <v>0</v>
      </c>
      <c r="R421" s="229">
        <f t="shared" si="62"/>
        <v>11.73</v>
      </c>
      <c r="S421" s="229">
        <v>31.35</v>
      </c>
      <c r="T421" s="229">
        <v>0</v>
      </c>
      <c r="U421" s="229">
        <f t="shared" si="63"/>
        <v>31.35</v>
      </c>
      <c r="V421" s="229">
        <v>8.76</v>
      </c>
      <c r="W421" s="229">
        <v>0.36</v>
      </c>
      <c r="X421" s="358">
        <f t="shared" si="65"/>
        <v>52.199999999999996</v>
      </c>
      <c r="Y421" s="325" t="b">
        <f t="shared" si="58"/>
        <v>1</v>
      </c>
    </row>
    <row r="422" spans="1:25">
      <c r="A422" s="16">
        <v>199</v>
      </c>
      <c r="B422" t="s">
        <v>288</v>
      </c>
      <c r="C422" t="s">
        <v>1032</v>
      </c>
      <c r="E422" s="229">
        <v>4500</v>
      </c>
      <c r="F422" s="229">
        <v>0</v>
      </c>
      <c r="G422" s="229">
        <v>0</v>
      </c>
      <c r="H422" s="229">
        <f t="shared" si="59"/>
        <v>4500</v>
      </c>
      <c r="I422" s="229">
        <v>0</v>
      </c>
      <c r="J422" s="229">
        <f t="shared" si="60"/>
        <v>4500</v>
      </c>
      <c r="K422" s="364">
        <v>1</v>
      </c>
      <c r="L422" s="229">
        <f t="shared" si="61"/>
        <v>4500</v>
      </c>
      <c r="N422" s="16"/>
      <c r="O422" s="229">
        <v>0</v>
      </c>
      <c r="P422" s="229">
        <v>0</v>
      </c>
      <c r="Q422" s="229">
        <v>0</v>
      </c>
      <c r="R422" s="229">
        <f t="shared" si="62"/>
        <v>0</v>
      </c>
      <c r="S422" s="229">
        <v>0</v>
      </c>
      <c r="T422" s="229">
        <v>0</v>
      </c>
      <c r="U422" s="229">
        <f t="shared" si="63"/>
        <v>0</v>
      </c>
      <c r="V422" s="229">
        <v>0</v>
      </c>
      <c r="W422" s="229">
        <v>4500</v>
      </c>
      <c r="X422" s="358">
        <f t="shared" si="65"/>
        <v>4500</v>
      </c>
      <c r="Y422" s="325" t="b">
        <f t="shared" si="58"/>
        <v>1</v>
      </c>
    </row>
    <row r="423" spans="1:25">
      <c r="A423" s="16">
        <v>200</v>
      </c>
      <c r="B423" t="s">
        <v>288</v>
      </c>
      <c r="C423" t="s">
        <v>723</v>
      </c>
      <c r="E423" s="229">
        <v>250</v>
      </c>
      <c r="F423" s="229">
        <v>0</v>
      </c>
      <c r="G423" s="229">
        <v>0</v>
      </c>
      <c r="H423" s="229">
        <f t="shared" si="59"/>
        <v>250</v>
      </c>
      <c r="I423" s="229">
        <v>-25</v>
      </c>
      <c r="J423" s="229">
        <f t="shared" si="60"/>
        <v>225</v>
      </c>
      <c r="K423" s="364">
        <v>1</v>
      </c>
      <c r="L423" s="229">
        <f t="shared" si="61"/>
        <v>225</v>
      </c>
      <c r="N423" s="16"/>
      <c r="O423" s="229">
        <v>0</v>
      </c>
      <c r="P423" s="229">
        <v>0</v>
      </c>
      <c r="Q423" s="229">
        <v>0</v>
      </c>
      <c r="R423" s="229">
        <f t="shared" si="62"/>
        <v>0</v>
      </c>
      <c r="S423" s="229">
        <v>0</v>
      </c>
      <c r="T423" s="229">
        <v>0</v>
      </c>
      <c r="U423" s="229">
        <f t="shared" si="63"/>
        <v>0</v>
      </c>
      <c r="V423" s="229">
        <v>0</v>
      </c>
      <c r="W423" s="229">
        <f>+L423</f>
        <v>225</v>
      </c>
      <c r="X423" s="358">
        <f t="shared" si="65"/>
        <v>225</v>
      </c>
      <c r="Y423" s="325" t="b">
        <f t="shared" si="58"/>
        <v>1</v>
      </c>
    </row>
    <row r="424" spans="1:25">
      <c r="A424" s="16">
        <v>201</v>
      </c>
      <c r="B424" t="s">
        <v>288</v>
      </c>
      <c r="C424" t="s">
        <v>1023</v>
      </c>
      <c r="E424" s="229">
        <v>13238</v>
      </c>
      <c r="F424" s="229">
        <v>0</v>
      </c>
      <c r="G424" s="229">
        <v>0</v>
      </c>
      <c r="H424" s="229">
        <f t="shared" si="59"/>
        <v>13238</v>
      </c>
      <c r="I424" s="229">
        <v>0</v>
      </c>
      <c r="J424" s="229">
        <f t="shared" si="60"/>
        <v>13238</v>
      </c>
      <c r="K424" s="364">
        <v>1</v>
      </c>
      <c r="L424" s="229">
        <f t="shared" si="61"/>
        <v>13238</v>
      </c>
      <c r="N424" s="16"/>
      <c r="O424" s="229">
        <v>2975.9</v>
      </c>
      <c r="P424" s="229">
        <v>0</v>
      </c>
      <c r="Q424" s="229">
        <v>0</v>
      </c>
      <c r="R424" s="229">
        <f t="shared" si="62"/>
        <v>2975.9</v>
      </c>
      <c r="S424" s="229">
        <v>7948.1</v>
      </c>
      <c r="T424" s="229">
        <v>0</v>
      </c>
      <c r="U424" s="229">
        <f t="shared" si="63"/>
        <v>7948.1</v>
      </c>
      <c r="V424" s="229">
        <v>2222.66</v>
      </c>
      <c r="W424" s="229">
        <v>91.34</v>
      </c>
      <c r="X424" s="358">
        <f t="shared" si="65"/>
        <v>13238</v>
      </c>
      <c r="Y424" s="325" t="b">
        <f t="shared" si="58"/>
        <v>1</v>
      </c>
    </row>
    <row r="425" spans="1:25">
      <c r="A425" s="16">
        <v>202</v>
      </c>
      <c r="B425" t="s">
        <v>288</v>
      </c>
      <c r="C425" t="s">
        <v>655</v>
      </c>
      <c r="E425" s="229">
        <v>595.38</v>
      </c>
      <c r="F425" s="229">
        <v>0</v>
      </c>
      <c r="G425" s="229">
        <v>0</v>
      </c>
      <c r="H425" s="229">
        <f t="shared" si="59"/>
        <v>595.38</v>
      </c>
      <c r="I425" s="229">
        <v>-59.538000000000004</v>
      </c>
      <c r="J425" s="229">
        <f t="shared" si="60"/>
        <v>535.84199999999998</v>
      </c>
      <c r="K425" s="364">
        <v>1</v>
      </c>
      <c r="L425" s="229">
        <f t="shared" si="61"/>
        <v>535.84199999999998</v>
      </c>
      <c r="N425" s="16"/>
      <c r="O425" s="229">
        <v>0</v>
      </c>
      <c r="P425" s="229">
        <v>0</v>
      </c>
      <c r="Q425" s="229">
        <v>0</v>
      </c>
      <c r="R425" s="229">
        <f t="shared" si="62"/>
        <v>0</v>
      </c>
      <c r="S425" s="229">
        <v>0</v>
      </c>
      <c r="T425" s="229">
        <v>0</v>
      </c>
      <c r="U425" s="229">
        <f t="shared" si="63"/>
        <v>0</v>
      </c>
      <c r="V425" s="229">
        <v>0</v>
      </c>
      <c r="W425" s="229">
        <f>+L425</f>
        <v>535.84199999999998</v>
      </c>
      <c r="X425" s="358">
        <f t="shared" si="65"/>
        <v>535.84199999999998</v>
      </c>
      <c r="Y425" s="325" t="b">
        <f t="shared" si="58"/>
        <v>1</v>
      </c>
    </row>
    <row r="426" spans="1:25">
      <c r="A426" s="16">
        <v>203</v>
      </c>
      <c r="B426" t="s">
        <v>288</v>
      </c>
      <c r="C426" t="s">
        <v>436</v>
      </c>
      <c r="E426" s="229">
        <v>495</v>
      </c>
      <c r="F426" s="229">
        <v>0</v>
      </c>
      <c r="G426" s="229">
        <v>0</v>
      </c>
      <c r="H426" s="229">
        <f t="shared" si="59"/>
        <v>495</v>
      </c>
      <c r="I426" s="229">
        <v>0</v>
      </c>
      <c r="J426" s="229">
        <f t="shared" si="60"/>
        <v>495</v>
      </c>
      <c r="K426" s="364">
        <v>1</v>
      </c>
      <c r="L426" s="229">
        <f t="shared" si="61"/>
        <v>495</v>
      </c>
      <c r="N426" s="16"/>
      <c r="O426" s="229">
        <v>0</v>
      </c>
      <c r="P426" s="229">
        <v>0</v>
      </c>
      <c r="Q426" s="229">
        <v>0</v>
      </c>
      <c r="R426" s="229">
        <f t="shared" si="62"/>
        <v>0</v>
      </c>
      <c r="S426" s="229">
        <v>0</v>
      </c>
      <c r="T426" s="229">
        <v>0</v>
      </c>
      <c r="U426" s="229">
        <f t="shared" si="63"/>
        <v>0</v>
      </c>
      <c r="V426" s="229">
        <v>0</v>
      </c>
      <c r="W426" s="229">
        <v>495</v>
      </c>
      <c r="X426" s="358">
        <f t="shared" si="65"/>
        <v>495</v>
      </c>
      <c r="Y426" s="325" t="b">
        <f t="shared" si="58"/>
        <v>1</v>
      </c>
    </row>
    <row r="427" spans="1:25">
      <c r="A427" s="16">
        <v>204</v>
      </c>
      <c r="B427" t="s">
        <v>288</v>
      </c>
      <c r="C427" t="s">
        <v>511</v>
      </c>
      <c r="E427" s="229">
        <v>125</v>
      </c>
      <c r="F427" s="229">
        <v>0</v>
      </c>
      <c r="G427" s="229">
        <v>0</v>
      </c>
      <c r="H427" s="229">
        <f t="shared" si="59"/>
        <v>125</v>
      </c>
      <c r="I427" s="229">
        <v>-12.5</v>
      </c>
      <c r="J427" s="229">
        <f t="shared" si="60"/>
        <v>112.5</v>
      </c>
      <c r="K427" s="364">
        <v>1</v>
      </c>
      <c r="L427" s="229">
        <f t="shared" si="61"/>
        <v>112.5</v>
      </c>
      <c r="N427" s="16"/>
      <c r="O427" s="229">
        <v>0</v>
      </c>
      <c r="P427" s="229">
        <v>0</v>
      </c>
      <c r="Q427" s="229">
        <v>0</v>
      </c>
      <c r="R427" s="229">
        <f t="shared" si="62"/>
        <v>0</v>
      </c>
      <c r="S427" s="229">
        <v>0</v>
      </c>
      <c r="T427" s="229">
        <v>0</v>
      </c>
      <c r="U427" s="229">
        <f t="shared" si="63"/>
        <v>0</v>
      </c>
      <c r="V427" s="229">
        <v>0</v>
      </c>
      <c r="W427" s="229">
        <f>+L427</f>
        <v>112.5</v>
      </c>
      <c r="X427" s="358">
        <f t="shared" si="65"/>
        <v>112.5</v>
      </c>
      <c r="Y427" s="325" t="b">
        <f t="shared" si="58"/>
        <v>1</v>
      </c>
    </row>
    <row r="428" spans="1:25">
      <c r="A428" s="16">
        <v>205</v>
      </c>
      <c r="B428" t="s">
        <v>288</v>
      </c>
      <c r="C428" t="s">
        <v>992</v>
      </c>
      <c r="E428" s="229">
        <v>500</v>
      </c>
      <c r="F428" s="229">
        <v>0</v>
      </c>
      <c r="G428" s="229">
        <v>0</v>
      </c>
      <c r="H428" s="229">
        <f t="shared" si="59"/>
        <v>500</v>
      </c>
      <c r="I428" s="229">
        <v>0</v>
      </c>
      <c r="J428" s="229">
        <f t="shared" si="60"/>
        <v>500</v>
      </c>
      <c r="K428" s="364">
        <v>1</v>
      </c>
      <c r="L428" s="229">
        <f t="shared" si="61"/>
        <v>500</v>
      </c>
      <c r="N428" s="16"/>
      <c r="O428" s="229">
        <v>0</v>
      </c>
      <c r="P428" s="229">
        <v>0</v>
      </c>
      <c r="Q428" s="229">
        <v>0</v>
      </c>
      <c r="R428" s="229">
        <f t="shared" si="62"/>
        <v>0</v>
      </c>
      <c r="S428" s="229">
        <v>0</v>
      </c>
      <c r="T428" s="229">
        <v>0</v>
      </c>
      <c r="U428" s="229">
        <f t="shared" si="63"/>
        <v>0</v>
      </c>
      <c r="V428" s="229">
        <v>0</v>
      </c>
      <c r="W428" s="229">
        <v>500</v>
      </c>
      <c r="X428" s="358">
        <f t="shared" si="65"/>
        <v>500</v>
      </c>
      <c r="Y428" s="325" t="b">
        <f t="shared" ref="Y428:Y430" si="67">+X428=L428</f>
        <v>1</v>
      </c>
    </row>
    <row r="429" spans="1:25">
      <c r="A429" s="16">
        <v>206</v>
      </c>
      <c r="B429" t="s">
        <v>288</v>
      </c>
      <c r="C429" t="s">
        <v>993</v>
      </c>
      <c r="E429" s="229">
        <v>2000</v>
      </c>
      <c r="F429" s="229">
        <v>0</v>
      </c>
      <c r="G429" s="229">
        <v>0</v>
      </c>
      <c r="H429" s="229">
        <f t="shared" si="59"/>
        <v>2000</v>
      </c>
      <c r="I429" s="229">
        <v>0</v>
      </c>
      <c r="J429" s="229">
        <f t="shared" si="60"/>
        <v>2000</v>
      </c>
      <c r="K429" s="364">
        <v>1</v>
      </c>
      <c r="L429" s="229">
        <f t="shared" si="61"/>
        <v>2000</v>
      </c>
      <c r="N429" s="16"/>
      <c r="O429" s="229">
        <v>0</v>
      </c>
      <c r="P429" s="229">
        <v>0</v>
      </c>
      <c r="Q429" s="229">
        <v>0</v>
      </c>
      <c r="R429" s="229">
        <f t="shared" si="62"/>
        <v>0</v>
      </c>
      <c r="S429" s="229">
        <v>0</v>
      </c>
      <c r="T429" s="229">
        <v>0</v>
      </c>
      <c r="U429" s="229">
        <f t="shared" si="63"/>
        <v>0</v>
      </c>
      <c r="V429" s="229">
        <v>0</v>
      </c>
      <c r="W429" s="229">
        <v>2000</v>
      </c>
      <c r="X429" s="358">
        <f t="shared" si="65"/>
        <v>2000</v>
      </c>
      <c r="Y429" s="325" t="b">
        <f t="shared" si="67"/>
        <v>1</v>
      </c>
    </row>
    <row r="430" spans="1:25">
      <c r="A430" s="16">
        <v>207</v>
      </c>
      <c r="B430" t="s">
        <v>288</v>
      </c>
      <c r="C430" t="s">
        <v>994</v>
      </c>
      <c r="E430" s="229">
        <v>2000</v>
      </c>
      <c r="F430" s="229">
        <v>0</v>
      </c>
      <c r="G430" s="229">
        <v>0</v>
      </c>
      <c r="H430" s="229">
        <f t="shared" si="59"/>
        <v>2000</v>
      </c>
      <c r="I430" s="229">
        <v>-1000</v>
      </c>
      <c r="J430" s="229">
        <f t="shared" si="60"/>
        <v>1000</v>
      </c>
      <c r="K430" s="364">
        <v>1</v>
      </c>
      <c r="L430" s="229">
        <f t="shared" si="61"/>
        <v>1000</v>
      </c>
      <c r="N430" s="16"/>
      <c r="O430" s="229">
        <v>0</v>
      </c>
      <c r="P430" s="229">
        <v>0</v>
      </c>
      <c r="Q430" s="229">
        <v>0</v>
      </c>
      <c r="R430" s="229">
        <f t="shared" si="62"/>
        <v>0</v>
      </c>
      <c r="S430" s="229">
        <v>0</v>
      </c>
      <c r="T430" s="229">
        <v>0</v>
      </c>
      <c r="U430" s="229">
        <f t="shared" si="63"/>
        <v>0</v>
      </c>
      <c r="V430" s="229">
        <v>0</v>
      </c>
      <c r="W430" s="229">
        <f>+L430</f>
        <v>1000</v>
      </c>
      <c r="X430" s="358">
        <f t="shared" si="65"/>
        <v>1000</v>
      </c>
      <c r="Y430" s="325" t="b">
        <f t="shared" si="67"/>
        <v>1</v>
      </c>
    </row>
    <row r="431" spans="1:25">
      <c r="A431" s="16">
        <v>208</v>
      </c>
      <c r="B431" t="s">
        <v>288</v>
      </c>
      <c r="C431" t="s">
        <v>995</v>
      </c>
      <c r="E431" s="229">
        <v>25000</v>
      </c>
      <c r="F431" s="229">
        <v>0</v>
      </c>
      <c r="G431" s="229">
        <v>0</v>
      </c>
      <c r="H431" s="229">
        <f t="shared" si="59"/>
        <v>25000</v>
      </c>
      <c r="I431" s="229">
        <v>0</v>
      </c>
      <c r="J431" s="229">
        <f t="shared" si="60"/>
        <v>25000</v>
      </c>
      <c r="K431" s="364">
        <v>1</v>
      </c>
      <c r="L431" s="229">
        <f t="shared" si="61"/>
        <v>25000</v>
      </c>
      <c r="N431" s="16"/>
      <c r="O431" s="229">
        <v>0</v>
      </c>
      <c r="P431" s="229">
        <v>0</v>
      </c>
      <c r="Q431" s="229">
        <v>0</v>
      </c>
      <c r="R431" s="229">
        <f t="shared" si="62"/>
        <v>0</v>
      </c>
      <c r="S431" s="229">
        <v>0</v>
      </c>
      <c r="T431" s="229">
        <v>0</v>
      </c>
      <c r="U431" s="229">
        <f t="shared" si="63"/>
        <v>0</v>
      </c>
      <c r="V431" s="229">
        <v>0</v>
      </c>
      <c r="W431" s="229">
        <v>25000</v>
      </c>
      <c r="X431" s="358">
        <f t="shared" si="65"/>
        <v>25000</v>
      </c>
      <c r="Y431" s="325" t="b">
        <f t="shared" si="58"/>
        <v>1</v>
      </c>
    </row>
    <row r="432" spans="1:25">
      <c r="A432" s="16">
        <v>209</v>
      </c>
      <c r="B432" t="s">
        <v>288</v>
      </c>
      <c r="C432" t="s">
        <v>996</v>
      </c>
      <c r="E432" s="229">
        <v>7500</v>
      </c>
      <c r="F432" s="229">
        <v>0</v>
      </c>
      <c r="G432" s="229">
        <v>0</v>
      </c>
      <c r="H432" s="229">
        <f t="shared" si="59"/>
        <v>7500</v>
      </c>
      <c r="I432" s="229">
        <v>0</v>
      </c>
      <c r="J432" s="229">
        <f t="shared" si="60"/>
        <v>7500</v>
      </c>
      <c r="K432" s="364">
        <v>1</v>
      </c>
      <c r="L432" s="229">
        <f t="shared" si="61"/>
        <v>7500</v>
      </c>
      <c r="N432" s="16"/>
      <c r="O432" s="229">
        <v>0</v>
      </c>
      <c r="P432" s="229">
        <v>0</v>
      </c>
      <c r="Q432" s="229">
        <v>0</v>
      </c>
      <c r="R432" s="229">
        <f t="shared" si="62"/>
        <v>0</v>
      </c>
      <c r="S432" s="229">
        <v>7500</v>
      </c>
      <c r="T432" s="229">
        <v>0</v>
      </c>
      <c r="U432" s="229">
        <f t="shared" si="63"/>
        <v>7500</v>
      </c>
      <c r="V432" s="229">
        <v>0</v>
      </c>
      <c r="W432" s="229">
        <v>0</v>
      </c>
      <c r="X432" s="358">
        <f t="shared" si="65"/>
        <v>7500</v>
      </c>
      <c r="Y432" s="325" t="b">
        <f t="shared" si="58"/>
        <v>1</v>
      </c>
    </row>
    <row r="433" spans="1:27">
      <c r="A433" s="16">
        <v>210</v>
      </c>
      <c r="B433" t="s">
        <v>288</v>
      </c>
      <c r="C433" t="s">
        <v>997</v>
      </c>
      <c r="E433" s="229">
        <v>17000</v>
      </c>
      <c r="F433" s="229">
        <v>0</v>
      </c>
      <c r="G433" s="229">
        <v>0</v>
      </c>
      <c r="H433" s="229">
        <f t="shared" si="59"/>
        <v>17000</v>
      </c>
      <c r="I433" s="229">
        <v>0</v>
      </c>
      <c r="J433" s="229">
        <f t="shared" si="60"/>
        <v>17000</v>
      </c>
      <c r="K433" s="364">
        <v>1</v>
      </c>
      <c r="L433" s="229">
        <f t="shared" si="61"/>
        <v>17000</v>
      </c>
      <c r="N433" s="16"/>
      <c r="O433" s="229">
        <v>0</v>
      </c>
      <c r="P433" s="229">
        <v>0</v>
      </c>
      <c r="Q433" s="229">
        <v>0</v>
      </c>
      <c r="R433" s="229">
        <f t="shared" si="62"/>
        <v>0</v>
      </c>
      <c r="S433" s="229">
        <v>0</v>
      </c>
      <c r="T433" s="229">
        <v>0</v>
      </c>
      <c r="U433" s="229">
        <f t="shared" si="63"/>
        <v>0</v>
      </c>
      <c r="V433" s="229">
        <v>0</v>
      </c>
      <c r="W433" s="229">
        <v>17000</v>
      </c>
      <c r="X433" s="358">
        <f t="shared" si="65"/>
        <v>17000</v>
      </c>
      <c r="Y433" s="325" t="b">
        <f t="shared" si="58"/>
        <v>1</v>
      </c>
    </row>
    <row r="434" spans="1:27">
      <c r="A434" s="16">
        <v>211</v>
      </c>
      <c r="B434" t="s">
        <v>288</v>
      </c>
      <c r="C434" t="s">
        <v>998</v>
      </c>
      <c r="E434" s="229">
        <v>25000</v>
      </c>
      <c r="F434" s="229">
        <v>0</v>
      </c>
      <c r="G434" s="229">
        <v>0</v>
      </c>
      <c r="H434" s="229">
        <f t="shared" si="59"/>
        <v>25000</v>
      </c>
      <c r="I434" s="229">
        <v>0</v>
      </c>
      <c r="J434" s="229">
        <f t="shared" si="60"/>
        <v>25000</v>
      </c>
      <c r="K434" s="364">
        <v>1</v>
      </c>
      <c r="L434" s="229">
        <f t="shared" si="61"/>
        <v>25000</v>
      </c>
      <c r="N434" s="16"/>
      <c r="O434" s="229">
        <v>0</v>
      </c>
      <c r="P434" s="229">
        <v>0</v>
      </c>
      <c r="Q434" s="229">
        <v>0</v>
      </c>
      <c r="R434" s="229">
        <f t="shared" si="62"/>
        <v>0</v>
      </c>
      <c r="S434" s="229">
        <v>0</v>
      </c>
      <c r="T434" s="229">
        <v>0</v>
      </c>
      <c r="U434" s="229">
        <f t="shared" si="63"/>
        <v>0</v>
      </c>
      <c r="V434" s="229">
        <v>0</v>
      </c>
      <c r="W434" s="229">
        <v>25000</v>
      </c>
      <c r="X434" s="358">
        <f t="shared" si="65"/>
        <v>25000</v>
      </c>
      <c r="Y434" s="325" t="b">
        <f t="shared" ref="Y434:Y458" si="68">+X434=L434</f>
        <v>1</v>
      </c>
    </row>
    <row r="435" spans="1:27">
      <c r="A435" s="16">
        <v>212</v>
      </c>
      <c r="B435" t="s">
        <v>288</v>
      </c>
      <c r="C435" t="s">
        <v>513</v>
      </c>
      <c r="E435" s="229">
        <v>7129</v>
      </c>
      <c r="F435" s="229">
        <v>0</v>
      </c>
      <c r="G435" s="229">
        <v>0</v>
      </c>
      <c r="H435" s="229">
        <f t="shared" si="59"/>
        <v>7129</v>
      </c>
      <c r="I435" s="229">
        <v>-60</v>
      </c>
      <c r="J435" s="229">
        <f t="shared" si="60"/>
        <v>7069</v>
      </c>
      <c r="K435" s="364">
        <v>1</v>
      </c>
      <c r="L435" s="229">
        <f t="shared" si="61"/>
        <v>7069</v>
      </c>
      <c r="N435" s="16"/>
      <c r="O435" s="229">
        <v>0</v>
      </c>
      <c r="P435" s="229">
        <v>0</v>
      </c>
      <c r="Q435" s="229">
        <v>0</v>
      </c>
      <c r="R435" s="229">
        <f t="shared" si="62"/>
        <v>0</v>
      </c>
      <c r="S435" s="229">
        <v>0</v>
      </c>
      <c r="T435" s="229">
        <v>0</v>
      </c>
      <c r="U435" s="229">
        <f t="shared" si="63"/>
        <v>0</v>
      </c>
      <c r="V435" s="229">
        <v>0</v>
      </c>
      <c r="W435" s="229">
        <f>+L435</f>
        <v>7069</v>
      </c>
      <c r="X435" s="358">
        <f t="shared" si="65"/>
        <v>7069</v>
      </c>
      <c r="Y435" s="325" t="b">
        <f t="shared" si="68"/>
        <v>1</v>
      </c>
    </row>
    <row r="436" spans="1:27">
      <c r="A436" s="16">
        <v>213</v>
      </c>
      <c r="B436" t="s">
        <v>288</v>
      </c>
      <c r="C436" t="s">
        <v>999</v>
      </c>
      <c r="E436" s="229">
        <v>750</v>
      </c>
      <c r="F436" s="229">
        <v>0</v>
      </c>
      <c r="G436" s="229">
        <v>0</v>
      </c>
      <c r="H436" s="229">
        <f t="shared" si="59"/>
        <v>750</v>
      </c>
      <c r="I436" s="229">
        <v>0</v>
      </c>
      <c r="J436" s="229">
        <f t="shared" si="60"/>
        <v>750</v>
      </c>
      <c r="K436" s="364">
        <v>1</v>
      </c>
      <c r="L436" s="229">
        <f t="shared" si="61"/>
        <v>750</v>
      </c>
      <c r="N436" s="16"/>
      <c r="O436" s="229">
        <v>0</v>
      </c>
      <c r="P436" s="229">
        <v>0</v>
      </c>
      <c r="Q436" s="229">
        <v>0</v>
      </c>
      <c r="R436" s="229">
        <f t="shared" si="62"/>
        <v>0</v>
      </c>
      <c r="S436" s="229">
        <v>0</v>
      </c>
      <c r="T436" s="229">
        <v>0</v>
      </c>
      <c r="U436" s="229">
        <f t="shared" si="63"/>
        <v>0</v>
      </c>
      <c r="V436" s="229">
        <v>0</v>
      </c>
      <c r="W436" s="229">
        <v>750</v>
      </c>
      <c r="X436" s="358">
        <f t="shared" si="65"/>
        <v>750</v>
      </c>
      <c r="Y436" s="325" t="b">
        <f t="shared" si="68"/>
        <v>1</v>
      </c>
    </row>
    <row r="437" spans="1:27">
      <c r="A437" s="16">
        <v>214</v>
      </c>
      <c r="B437" t="s">
        <v>288</v>
      </c>
      <c r="C437" t="s">
        <v>1000</v>
      </c>
      <c r="E437" s="229">
        <v>150</v>
      </c>
      <c r="F437" s="229">
        <v>0</v>
      </c>
      <c r="G437" s="229">
        <v>0</v>
      </c>
      <c r="H437" s="229">
        <f t="shared" si="59"/>
        <v>150</v>
      </c>
      <c r="I437" s="229">
        <v>0</v>
      </c>
      <c r="J437" s="229">
        <f t="shared" si="60"/>
        <v>150</v>
      </c>
      <c r="K437" s="364">
        <v>1</v>
      </c>
      <c r="L437" s="229">
        <f t="shared" si="61"/>
        <v>150</v>
      </c>
      <c r="N437" s="16"/>
      <c r="O437" s="229">
        <v>0</v>
      </c>
      <c r="P437" s="229">
        <v>0</v>
      </c>
      <c r="Q437" s="229">
        <v>0</v>
      </c>
      <c r="R437" s="229">
        <f t="shared" si="62"/>
        <v>0</v>
      </c>
      <c r="S437" s="229">
        <v>0</v>
      </c>
      <c r="T437" s="229">
        <v>0</v>
      </c>
      <c r="U437" s="229">
        <f t="shared" si="63"/>
        <v>0</v>
      </c>
      <c r="V437" s="229">
        <v>0</v>
      </c>
      <c r="W437" s="229">
        <v>150</v>
      </c>
      <c r="X437" s="358">
        <f t="shared" si="65"/>
        <v>150</v>
      </c>
      <c r="Y437" s="325" t="b">
        <f t="shared" si="68"/>
        <v>1</v>
      </c>
    </row>
    <row r="438" spans="1:27">
      <c r="A438" s="16">
        <v>215</v>
      </c>
      <c r="B438" t="s">
        <v>288</v>
      </c>
      <c r="C438" t="s">
        <v>1001</v>
      </c>
      <c r="E438" s="229">
        <v>1000</v>
      </c>
      <c r="F438" s="229">
        <v>0</v>
      </c>
      <c r="G438" s="229">
        <v>0</v>
      </c>
      <c r="H438" s="229">
        <f t="shared" si="59"/>
        <v>1000</v>
      </c>
      <c r="I438" s="229">
        <v>0</v>
      </c>
      <c r="J438" s="229">
        <f t="shared" si="60"/>
        <v>1000</v>
      </c>
      <c r="K438" s="364">
        <v>1</v>
      </c>
      <c r="L438" s="229">
        <f t="shared" si="61"/>
        <v>1000</v>
      </c>
      <c r="N438" s="16"/>
      <c r="O438" s="229">
        <v>0</v>
      </c>
      <c r="P438" s="229">
        <v>0</v>
      </c>
      <c r="Q438" s="229">
        <v>0</v>
      </c>
      <c r="R438" s="229">
        <f t="shared" si="62"/>
        <v>0</v>
      </c>
      <c r="S438" s="229">
        <v>0</v>
      </c>
      <c r="T438" s="229">
        <v>0</v>
      </c>
      <c r="U438" s="229">
        <f t="shared" si="63"/>
        <v>0</v>
      </c>
      <c r="V438" s="229">
        <v>0</v>
      </c>
      <c r="W438" s="229">
        <v>1000</v>
      </c>
      <c r="X438" s="358">
        <f t="shared" si="65"/>
        <v>1000</v>
      </c>
      <c r="Y438" s="325" t="b">
        <f t="shared" si="68"/>
        <v>1</v>
      </c>
    </row>
    <row r="439" spans="1:27">
      <c r="A439" s="16">
        <v>216</v>
      </c>
      <c r="B439" s="171" t="s">
        <v>288</v>
      </c>
      <c r="C439" t="s">
        <v>1002</v>
      </c>
      <c r="D439" s="2"/>
      <c r="E439" s="229">
        <v>2500</v>
      </c>
      <c r="F439" s="229">
        <v>0</v>
      </c>
      <c r="G439" s="229">
        <v>0</v>
      </c>
      <c r="H439" s="229">
        <f t="shared" si="59"/>
        <v>2500</v>
      </c>
      <c r="I439" s="229">
        <v>0</v>
      </c>
      <c r="J439" s="229">
        <f t="shared" si="60"/>
        <v>2500</v>
      </c>
      <c r="K439" s="364">
        <v>1</v>
      </c>
      <c r="L439" s="229">
        <f t="shared" si="61"/>
        <v>2500</v>
      </c>
      <c r="M439" s="6"/>
      <c r="N439" s="16"/>
      <c r="O439" s="229">
        <v>0</v>
      </c>
      <c r="P439" s="229">
        <v>0</v>
      </c>
      <c r="Q439" s="229">
        <v>0</v>
      </c>
      <c r="R439" s="229">
        <f t="shared" si="62"/>
        <v>0</v>
      </c>
      <c r="S439" s="229">
        <v>0</v>
      </c>
      <c r="T439" s="229">
        <v>0</v>
      </c>
      <c r="U439" s="229">
        <f t="shared" si="63"/>
        <v>0</v>
      </c>
      <c r="V439" s="229">
        <v>0</v>
      </c>
      <c r="W439" s="229">
        <v>2500</v>
      </c>
      <c r="X439" s="358">
        <f t="shared" si="65"/>
        <v>2500</v>
      </c>
      <c r="Y439" s="325" t="b">
        <f t="shared" si="68"/>
        <v>1</v>
      </c>
      <c r="Z439" s="2"/>
      <c r="AA439" s="2"/>
    </row>
    <row r="440" spans="1:27">
      <c r="A440" s="16">
        <v>217</v>
      </c>
      <c r="B440" s="171" t="s">
        <v>288</v>
      </c>
      <c r="C440" t="s">
        <v>1003</v>
      </c>
      <c r="D440" s="2"/>
      <c r="E440" s="365">
        <v>1500</v>
      </c>
      <c r="F440" s="365">
        <v>0</v>
      </c>
      <c r="G440" s="365">
        <v>0</v>
      </c>
      <c r="H440" s="365">
        <f t="shared" si="59"/>
        <v>1500</v>
      </c>
      <c r="I440" s="365">
        <v>0</v>
      </c>
      <c r="J440" s="365">
        <f t="shared" si="60"/>
        <v>1500</v>
      </c>
      <c r="K440" s="364">
        <v>1</v>
      </c>
      <c r="L440" s="365">
        <f t="shared" si="61"/>
        <v>1500</v>
      </c>
      <c r="M440" s="2"/>
      <c r="N440" s="2"/>
      <c r="O440" s="365">
        <v>0</v>
      </c>
      <c r="P440" s="365">
        <v>0</v>
      </c>
      <c r="Q440" s="365">
        <v>0</v>
      </c>
      <c r="R440" s="365">
        <f t="shared" si="62"/>
        <v>0</v>
      </c>
      <c r="S440" s="365">
        <v>0</v>
      </c>
      <c r="T440" s="365">
        <v>0</v>
      </c>
      <c r="U440" s="365">
        <f t="shared" si="63"/>
        <v>0</v>
      </c>
      <c r="V440" s="365">
        <v>0</v>
      </c>
      <c r="W440" s="365">
        <v>1500</v>
      </c>
      <c r="X440" s="359">
        <f t="shared" si="65"/>
        <v>1500</v>
      </c>
      <c r="Y440" s="325" t="b">
        <f t="shared" si="68"/>
        <v>1</v>
      </c>
      <c r="Z440" s="2"/>
      <c r="AA440" s="2"/>
    </row>
    <row r="441" spans="1:27">
      <c r="A441" s="16">
        <v>218</v>
      </c>
      <c r="B441" s="171" t="s">
        <v>288</v>
      </c>
      <c r="C441" t="s">
        <v>1004</v>
      </c>
      <c r="D441" s="2"/>
      <c r="E441" s="365">
        <v>2500</v>
      </c>
      <c r="F441" s="365">
        <v>0</v>
      </c>
      <c r="G441" s="365">
        <v>0</v>
      </c>
      <c r="H441" s="365">
        <f t="shared" si="59"/>
        <v>2500</v>
      </c>
      <c r="I441" s="365">
        <v>0</v>
      </c>
      <c r="J441" s="365">
        <f t="shared" si="60"/>
        <v>2500</v>
      </c>
      <c r="K441" s="364">
        <v>1</v>
      </c>
      <c r="L441" s="365">
        <f t="shared" si="61"/>
        <v>2500</v>
      </c>
      <c r="M441" s="178"/>
      <c r="N441" s="178"/>
      <c r="O441" s="365">
        <v>0</v>
      </c>
      <c r="P441" s="365">
        <v>0</v>
      </c>
      <c r="Q441" s="365">
        <v>0</v>
      </c>
      <c r="R441" s="365">
        <f t="shared" si="62"/>
        <v>0</v>
      </c>
      <c r="S441" s="365">
        <v>0</v>
      </c>
      <c r="T441" s="365">
        <v>0</v>
      </c>
      <c r="U441" s="365">
        <f t="shared" si="63"/>
        <v>0</v>
      </c>
      <c r="V441" s="365">
        <v>0</v>
      </c>
      <c r="W441" s="365">
        <v>2500</v>
      </c>
      <c r="X441" s="359">
        <f t="shared" si="65"/>
        <v>2500</v>
      </c>
      <c r="Y441" s="325" t="b">
        <f t="shared" si="68"/>
        <v>1</v>
      </c>
      <c r="Z441" s="2"/>
      <c r="AA441" s="2"/>
    </row>
    <row r="442" spans="1:27">
      <c r="A442" s="16">
        <v>219</v>
      </c>
      <c r="B442" s="171" t="s">
        <v>288</v>
      </c>
      <c r="C442" t="s">
        <v>1005</v>
      </c>
      <c r="D442" s="2"/>
      <c r="E442" s="365">
        <v>42732.41</v>
      </c>
      <c r="F442" s="365">
        <v>0</v>
      </c>
      <c r="G442" s="365">
        <v>0</v>
      </c>
      <c r="H442" s="365">
        <f t="shared" si="59"/>
        <v>42732.41</v>
      </c>
      <c r="I442" s="365">
        <v>-2136.6205</v>
      </c>
      <c r="J442" s="365">
        <f t="shared" si="60"/>
        <v>40595.789500000006</v>
      </c>
      <c r="K442" s="364">
        <v>1</v>
      </c>
      <c r="L442" s="365">
        <f t="shared" si="61"/>
        <v>40595.789500000006</v>
      </c>
      <c r="M442" s="2"/>
      <c r="N442" s="2"/>
      <c r="O442" s="229">
        <v>9126.715469071356</v>
      </c>
      <c r="P442" s="229">
        <v>0</v>
      </c>
      <c r="Q442" s="229">
        <v>0</v>
      </c>
      <c r="R442" s="365">
        <f t="shared" si="62"/>
        <v>9126.715469071356</v>
      </c>
      <c r="S442" s="229">
        <v>24374.057826309476</v>
      </c>
      <c r="T442" s="229">
        <v>0</v>
      </c>
      <c r="U442" s="365">
        <f t="shared" si="63"/>
        <v>24374.057826309476</v>
      </c>
      <c r="V442" s="229">
        <v>6815.64173308309</v>
      </c>
      <c r="W442" s="229">
        <v>279.37447153608764</v>
      </c>
      <c r="X442" s="359">
        <f t="shared" si="65"/>
        <v>40595.789500000006</v>
      </c>
      <c r="Y442" s="325" t="b">
        <f t="shared" si="68"/>
        <v>1</v>
      </c>
      <c r="Z442" s="2"/>
      <c r="AA442" s="2"/>
    </row>
    <row r="443" spans="1:27">
      <c r="A443" s="16">
        <v>220</v>
      </c>
      <c r="B443" s="171" t="s">
        <v>288</v>
      </c>
      <c r="C443" t="s">
        <v>1006</v>
      </c>
      <c r="D443" s="2"/>
      <c r="E443" s="365">
        <v>250</v>
      </c>
      <c r="F443" s="365">
        <v>0</v>
      </c>
      <c r="G443" s="365">
        <v>0</v>
      </c>
      <c r="H443" s="365">
        <f t="shared" si="59"/>
        <v>250</v>
      </c>
      <c r="I443" s="365">
        <v>0</v>
      </c>
      <c r="J443" s="365">
        <f t="shared" si="60"/>
        <v>250</v>
      </c>
      <c r="K443" s="364">
        <v>1</v>
      </c>
      <c r="L443" s="365">
        <f t="shared" si="61"/>
        <v>250</v>
      </c>
      <c r="M443" s="2"/>
      <c r="N443" s="2"/>
      <c r="O443" s="365">
        <v>0</v>
      </c>
      <c r="P443" s="365">
        <v>0</v>
      </c>
      <c r="Q443" s="365">
        <v>0</v>
      </c>
      <c r="R443" s="365">
        <f t="shared" si="62"/>
        <v>0</v>
      </c>
      <c r="S443" s="365">
        <v>0</v>
      </c>
      <c r="T443" s="365">
        <v>0</v>
      </c>
      <c r="U443" s="365">
        <f t="shared" si="63"/>
        <v>0</v>
      </c>
      <c r="V443" s="365">
        <v>0</v>
      </c>
      <c r="W443" s="365">
        <v>250</v>
      </c>
      <c r="X443" s="359">
        <f t="shared" si="65"/>
        <v>250</v>
      </c>
      <c r="Y443" s="325" t="b">
        <f t="shared" si="68"/>
        <v>1</v>
      </c>
      <c r="Z443" s="2"/>
      <c r="AA443" s="2"/>
    </row>
    <row r="444" spans="1:27">
      <c r="A444" s="16">
        <v>221</v>
      </c>
      <c r="B444" s="171" t="s">
        <v>288</v>
      </c>
      <c r="C444" t="s">
        <v>515</v>
      </c>
      <c r="E444" s="128">
        <v>975</v>
      </c>
      <c r="F444" s="128">
        <v>0</v>
      </c>
      <c r="G444" s="128">
        <v>0</v>
      </c>
      <c r="H444" s="128">
        <f t="shared" si="59"/>
        <v>975</v>
      </c>
      <c r="I444" s="128">
        <v>0</v>
      </c>
      <c r="J444" s="128">
        <f t="shared" si="60"/>
        <v>975</v>
      </c>
      <c r="K444" s="364">
        <v>1</v>
      </c>
      <c r="L444" s="128">
        <f t="shared" si="61"/>
        <v>975</v>
      </c>
      <c r="O444" s="128">
        <v>0</v>
      </c>
      <c r="P444" s="128">
        <v>0</v>
      </c>
      <c r="Q444" s="128">
        <v>0</v>
      </c>
      <c r="R444" s="128">
        <f t="shared" si="62"/>
        <v>0</v>
      </c>
      <c r="S444" s="128">
        <v>0</v>
      </c>
      <c r="T444" s="128">
        <v>0</v>
      </c>
      <c r="U444" s="128">
        <f t="shared" si="63"/>
        <v>0</v>
      </c>
      <c r="V444" s="128">
        <v>0</v>
      </c>
      <c r="W444" s="128">
        <v>975</v>
      </c>
      <c r="X444" s="264">
        <f t="shared" si="65"/>
        <v>975</v>
      </c>
      <c r="Y444" s="325" t="b">
        <f t="shared" si="68"/>
        <v>1</v>
      </c>
    </row>
    <row r="445" spans="1:27">
      <c r="A445" s="16">
        <v>222</v>
      </c>
      <c r="B445" s="171" t="s">
        <v>288</v>
      </c>
      <c r="C445" t="s">
        <v>724</v>
      </c>
      <c r="E445" s="128">
        <v>200</v>
      </c>
      <c r="F445" s="128">
        <v>0</v>
      </c>
      <c r="G445" s="128">
        <v>0</v>
      </c>
      <c r="H445" s="128">
        <f t="shared" si="59"/>
        <v>200</v>
      </c>
      <c r="I445" s="128">
        <v>0</v>
      </c>
      <c r="J445" s="128">
        <f t="shared" si="60"/>
        <v>200</v>
      </c>
      <c r="K445" s="364">
        <v>1</v>
      </c>
      <c r="L445" s="128">
        <f t="shared" si="61"/>
        <v>200</v>
      </c>
      <c r="O445" s="128">
        <v>0</v>
      </c>
      <c r="P445" s="128">
        <v>0</v>
      </c>
      <c r="Q445" s="128">
        <v>0</v>
      </c>
      <c r="R445" s="128">
        <f t="shared" si="62"/>
        <v>0</v>
      </c>
      <c r="S445" s="128">
        <v>0</v>
      </c>
      <c r="T445" s="128">
        <v>0</v>
      </c>
      <c r="U445" s="128">
        <f t="shared" si="63"/>
        <v>0</v>
      </c>
      <c r="V445" s="128">
        <v>0</v>
      </c>
      <c r="W445" s="128">
        <v>200</v>
      </c>
      <c r="X445" s="264">
        <f t="shared" si="65"/>
        <v>200</v>
      </c>
      <c r="Y445" s="325" t="b">
        <f t="shared" si="68"/>
        <v>1</v>
      </c>
    </row>
    <row r="446" spans="1:27">
      <c r="A446" s="16">
        <v>223</v>
      </c>
      <c r="B446" t="s">
        <v>288</v>
      </c>
      <c r="C446" t="s">
        <v>517</v>
      </c>
      <c r="E446" s="128">
        <v>300</v>
      </c>
      <c r="F446" s="128">
        <v>0</v>
      </c>
      <c r="G446" s="128">
        <v>0</v>
      </c>
      <c r="H446" s="128">
        <f t="shared" si="59"/>
        <v>300</v>
      </c>
      <c r="I446" s="128">
        <v>-30</v>
      </c>
      <c r="J446" s="128">
        <f t="shared" si="60"/>
        <v>270</v>
      </c>
      <c r="K446" s="364">
        <v>1</v>
      </c>
      <c r="L446" s="128">
        <f t="shared" si="61"/>
        <v>270</v>
      </c>
      <c r="O446" s="128">
        <v>0</v>
      </c>
      <c r="P446" s="128">
        <v>0</v>
      </c>
      <c r="Q446" s="128">
        <v>0</v>
      </c>
      <c r="R446" s="128">
        <f t="shared" si="62"/>
        <v>0</v>
      </c>
      <c r="S446" s="128">
        <v>0</v>
      </c>
      <c r="T446" s="128">
        <v>0</v>
      </c>
      <c r="U446" s="128">
        <f t="shared" si="63"/>
        <v>0</v>
      </c>
      <c r="V446" s="128">
        <v>0</v>
      </c>
      <c r="W446" s="128">
        <f>+L446</f>
        <v>270</v>
      </c>
      <c r="X446" s="264">
        <f t="shared" si="65"/>
        <v>270</v>
      </c>
      <c r="Y446" s="325" t="b">
        <f t="shared" si="68"/>
        <v>1</v>
      </c>
    </row>
    <row r="447" spans="1:27">
      <c r="A447" s="16">
        <v>224</v>
      </c>
      <c r="B447" t="s">
        <v>288</v>
      </c>
      <c r="C447" t="s">
        <v>1007</v>
      </c>
      <c r="E447" s="128">
        <v>650</v>
      </c>
      <c r="F447" s="128">
        <v>0</v>
      </c>
      <c r="G447" s="128">
        <v>0</v>
      </c>
      <c r="H447" s="128">
        <f t="shared" si="59"/>
        <v>650</v>
      </c>
      <c r="I447" s="128">
        <v>0</v>
      </c>
      <c r="J447" s="128">
        <f t="shared" si="60"/>
        <v>650</v>
      </c>
      <c r="K447" s="364">
        <v>1</v>
      </c>
      <c r="L447" s="128">
        <f t="shared" si="61"/>
        <v>650</v>
      </c>
      <c r="O447" s="128">
        <v>0</v>
      </c>
      <c r="P447" s="128">
        <v>0</v>
      </c>
      <c r="Q447" s="128">
        <v>0</v>
      </c>
      <c r="R447" s="128">
        <f t="shared" si="62"/>
        <v>0</v>
      </c>
      <c r="S447" s="128">
        <v>0</v>
      </c>
      <c r="T447" s="128">
        <v>0</v>
      </c>
      <c r="U447" s="128">
        <f t="shared" si="63"/>
        <v>0</v>
      </c>
      <c r="V447" s="128">
        <v>0</v>
      </c>
      <c r="W447" s="128">
        <v>650</v>
      </c>
      <c r="X447" s="264">
        <f t="shared" si="65"/>
        <v>650</v>
      </c>
      <c r="Y447" s="325" t="b">
        <f t="shared" si="68"/>
        <v>1</v>
      </c>
    </row>
    <row r="448" spans="1:27">
      <c r="A448" s="16">
        <v>225</v>
      </c>
      <c r="B448" t="s">
        <v>288</v>
      </c>
      <c r="C448" t="s">
        <v>1008</v>
      </c>
      <c r="E448" s="128">
        <v>500</v>
      </c>
      <c r="F448" s="128">
        <v>0</v>
      </c>
      <c r="G448" s="128">
        <v>0</v>
      </c>
      <c r="H448" s="128">
        <f t="shared" si="59"/>
        <v>500</v>
      </c>
      <c r="I448" s="128">
        <v>0</v>
      </c>
      <c r="J448" s="128">
        <f t="shared" si="60"/>
        <v>500</v>
      </c>
      <c r="K448" s="364">
        <v>1</v>
      </c>
      <c r="L448" s="128">
        <f t="shared" si="61"/>
        <v>500</v>
      </c>
      <c r="O448" s="128">
        <v>0</v>
      </c>
      <c r="P448" s="128">
        <v>0</v>
      </c>
      <c r="Q448" s="128">
        <v>0</v>
      </c>
      <c r="R448" s="128">
        <f t="shared" si="62"/>
        <v>0</v>
      </c>
      <c r="S448" s="128">
        <v>0</v>
      </c>
      <c r="T448" s="128">
        <v>0</v>
      </c>
      <c r="U448" s="128">
        <f t="shared" si="63"/>
        <v>0</v>
      </c>
      <c r="V448" s="128">
        <v>0</v>
      </c>
      <c r="W448" s="128">
        <v>500</v>
      </c>
      <c r="X448" s="264">
        <f t="shared" si="65"/>
        <v>500</v>
      </c>
      <c r="Y448" s="325" t="b">
        <f t="shared" si="68"/>
        <v>1</v>
      </c>
    </row>
    <row r="449" spans="1:25">
      <c r="A449" s="16">
        <v>226</v>
      </c>
      <c r="B449" t="s">
        <v>288</v>
      </c>
      <c r="C449" t="s">
        <v>656</v>
      </c>
      <c r="E449" s="128">
        <v>2475</v>
      </c>
      <c r="F449" s="128">
        <v>0</v>
      </c>
      <c r="G449" s="128">
        <v>0</v>
      </c>
      <c r="H449" s="128">
        <f t="shared" si="59"/>
        <v>2475</v>
      </c>
      <c r="I449" s="128">
        <v>0</v>
      </c>
      <c r="J449" s="128">
        <f t="shared" si="60"/>
        <v>2475</v>
      </c>
      <c r="K449" s="364">
        <v>1</v>
      </c>
      <c r="L449" s="128">
        <f t="shared" si="61"/>
        <v>2475</v>
      </c>
      <c r="O449" s="128">
        <v>0</v>
      </c>
      <c r="P449" s="128">
        <v>0</v>
      </c>
      <c r="Q449" s="128">
        <v>0</v>
      </c>
      <c r="R449" s="128">
        <f t="shared" si="62"/>
        <v>0</v>
      </c>
      <c r="S449" s="128">
        <v>0</v>
      </c>
      <c r="T449" s="128">
        <v>0</v>
      </c>
      <c r="U449" s="128">
        <f t="shared" si="63"/>
        <v>0</v>
      </c>
      <c r="V449" s="128">
        <v>0</v>
      </c>
      <c r="W449" s="128">
        <v>2475</v>
      </c>
      <c r="X449" s="264">
        <f t="shared" si="65"/>
        <v>2475</v>
      </c>
      <c r="Y449" s="325" t="b">
        <f t="shared" si="68"/>
        <v>1</v>
      </c>
    </row>
    <row r="450" spans="1:25">
      <c r="A450" s="16">
        <v>227</v>
      </c>
      <c r="B450" t="s">
        <v>288</v>
      </c>
      <c r="C450" t="s">
        <v>1009</v>
      </c>
      <c r="E450" s="128">
        <v>500</v>
      </c>
      <c r="F450" s="128">
        <v>0</v>
      </c>
      <c r="G450" s="128">
        <v>0</v>
      </c>
      <c r="H450" s="128">
        <f t="shared" si="59"/>
        <v>500</v>
      </c>
      <c r="I450" s="128">
        <v>0</v>
      </c>
      <c r="J450" s="128">
        <f t="shared" si="60"/>
        <v>500</v>
      </c>
      <c r="K450" s="364">
        <v>1</v>
      </c>
      <c r="L450" s="128">
        <f t="shared" si="61"/>
        <v>500</v>
      </c>
      <c r="O450" s="128">
        <v>0</v>
      </c>
      <c r="P450" s="128">
        <v>0</v>
      </c>
      <c r="Q450" s="128">
        <v>0</v>
      </c>
      <c r="R450" s="128">
        <f t="shared" si="62"/>
        <v>0</v>
      </c>
      <c r="S450" s="128">
        <v>0</v>
      </c>
      <c r="T450" s="128">
        <v>0</v>
      </c>
      <c r="U450" s="128">
        <f t="shared" si="63"/>
        <v>0</v>
      </c>
      <c r="V450" s="128">
        <v>0</v>
      </c>
      <c r="W450" s="128">
        <v>500</v>
      </c>
      <c r="X450" s="264">
        <f t="shared" si="65"/>
        <v>500</v>
      </c>
      <c r="Y450" s="325" t="b">
        <f t="shared" si="68"/>
        <v>1</v>
      </c>
    </row>
    <row r="451" spans="1:25">
      <c r="A451" s="16">
        <v>228</v>
      </c>
      <c r="B451" t="s">
        <v>288</v>
      </c>
      <c r="C451" t="s">
        <v>518</v>
      </c>
      <c r="E451" s="128">
        <v>500</v>
      </c>
      <c r="F451" s="128">
        <v>0</v>
      </c>
      <c r="G451" s="128">
        <v>0</v>
      </c>
      <c r="H451" s="128">
        <f t="shared" si="59"/>
        <v>500</v>
      </c>
      <c r="I451" s="128">
        <v>0</v>
      </c>
      <c r="J451" s="128">
        <f t="shared" si="60"/>
        <v>500</v>
      </c>
      <c r="K451" s="364">
        <v>1</v>
      </c>
      <c r="L451" s="128">
        <f t="shared" si="61"/>
        <v>500</v>
      </c>
      <c r="O451" s="128">
        <v>0</v>
      </c>
      <c r="P451" s="128">
        <v>0</v>
      </c>
      <c r="Q451" s="128">
        <v>0</v>
      </c>
      <c r="R451" s="128">
        <f t="shared" si="62"/>
        <v>0</v>
      </c>
      <c r="S451" s="128">
        <v>0</v>
      </c>
      <c r="T451" s="128">
        <v>0</v>
      </c>
      <c r="U451" s="128">
        <f t="shared" si="63"/>
        <v>0</v>
      </c>
      <c r="V451" s="128">
        <v>0</v>
      </c>
      <c r="W451" s="128">
        <v>500</v>
      </c>
      <c r="X451" s="264">
        <f t="shared" si="65"/>
        <v>500</v>
      </c>
      <c r="Y451" s="325" t="b">
        <f t="shared" si="68"/>
        <v>1</v>
      </c>
    </row>
    <row r="452" spans="1:25">
      <c r="A452" s="16">
        <v>229</v>
      </c>
      <c r="B452" t="s">
        <v>288</v>
      </c>
      <c r="C452" t="s">
        <v>1010</v>
      </c>
      <c r="E452" s="128">
        <v>500</v>
      </c>
      <c r="F452" s="128">
        <v>0</v>
      </c>
      <c r="G452" s="128">
        <v>0</v>
      </c>
      <c r="H452" s="128">
        <f t="shared" si="59"/>
        <v>500</v>
      </c>
      <c r="I452" s="128">
        <v>0</v>
      </c>
      <c r="J452" s="128">
        <f t="shared" si="60"/>
        <v>500</v>
      </c>
      <c r="K452" s="364">
        <v>1</v>
      </c>
      <c r="L452" s="128">
        <f t="shared" si="61"/>
        <v>500</v>
      </c>
      <c r="O452" s="128">
        <v>0</v>
      </c>
      <c r="P452" s="128">
        <v>0</v>
      </c>
      <c r="Q452" s="128">
        <v>0</v>
      </c>
      <c r="R452" s="128">
        <f t="shared" si="62"/>
        <v>0</v>
      </c>
      <c r="S452" s="128">
        <v>0</v>
      </c>
      <c r="T452" s="128">
        <v>0</v>
      </c>
      <c r="U452" s="128">
        <f t="shared" si="63"/>
        <v>0</v>
      </c>
      <c r="V452" s="128">
        <v>0</v>
      </c>
      <c r="W452" s="128">
        <v>500</v>
      </c>
      <c r="X452" s="264">
        <f t="shared" si="65"/>
        <v>500</v>
      </c>
      <c r="Y452" s="325" t="b">
        <f t="shared" si="68"/>
        <v>1</v>
      </c>
    </row>
    <row r="453" spans="1:25">
      <c r="A453" s="16">
        <v>230</v>
      </c>
      <c r="B453" t="s">
        <v>288</v>
      </c>
      <c r="C453" t="s">
        <v>519</v>
      </c>
      <c r="E453" s="128">
        <v>850</v>
      </c>
      <c r="F453" s="128">
        <v>0</v>
      </c>
      <c r="G453" s="128">
        <v>0</v>
      </c>
      <c r="H453" s="128">
        <f t="shared" si="59"/>
        <v>850</v>
      </c>
      <c r="I453" s="128">
        <v>0</v>
      </c>
      <c r="J453" s="128">
        <f t="shared" si="60"/>
        <v>850</v>
      </c>
      <c r="K453" s="364">
        <v>1</v>
      </c>
      <c r="L453" s="128">
        <f t="shared" si="61"/>
        <v>850</v>
      </c>
      <c r="O453" s="128">
        <v>0</v>
      </c>
      <c r="P453" s="128">
        <v>0</v>
      </c>
      <c r="Q453" s="128">
        <v>0</v>
      </c>
      <c r="R453" s="128">
        <f t="shared" si="62"/>
        <v>0</v>
      </c>
      <c r="S453" s="128">
        <v>0</v>
      </c>
      <c r="T453" s="128">
        <v>0</v>
      </c>
      <c r="U453" s="128">
        <f t="shared" si="63"/>
        <v>0</v>
      </c>
      <c r="V453" s="128">
        <v>0</v>
      </c>
      <c r="W453" s="128">
        <v>850</v>
      </c>
      <c r="X453" s="264">
        <f t="shared" si="65"/>
        <v>850</v>
      </c>
      <c r="Y453" s="325" t="b">
        <f t="shared" si="68"/>
        <v>1</v>
      </c>
    </row>
    <row r="454" spans="1:25">
      <c r="A454" s="16">
        <v>231</v>
      </c>
      <c r="B454" t="s">
        <v>277</v>
      </c>
      <c r="C454" t="s">
        <v>660</v>
      </c>
      <c r="E454" s="128">
        <v>1000</v>
      </c>
      <c r="F454" s="128">
        <v>0</v>
      </c>
      <c r="G454" s="128">
        <v>0</v>
      </c>
      <c r="H454" s="128">
        <f t="shared" si="59"/>
        <v>1000</v>
      </c>
      <c r="I454" s="128">
        <v>0</v>
      </c>
      <c r="J454" s="128">
        <f t="shared" si="60"/>
        <v>1000</v>
      </c>
      <c r="K454" s="364">
        <v>1</v>
      </c>
      <c r="L454" s="128">
        <f t="shared" si="61"/>
        <v>1000</v>
      </c>
      <c r="O454" s="128">
        <v>0</v>
      </c>
      <c r="P454" s="128">
        <v>0</v>
      </c>
      <c r="Q454" s="128">
        <v>0</v>
      </c>
      <c r="R454" s="128">
        <f t="shared" si="62"/>
        <v>0</v>
      </c>
      <c r="S454" s="128">
        <v>0</v>
      </c>
      <c r="T454" s="128">
        <v>0</v>
      </c>
      <c r="U454" s="128">
        <f t="shared" si="63"/>
        <v>0</v>
      </c>
      <c r="V454" s="128">
        <v>0</v>
      </c>
      <c r="W454" s="128">
        <v>1000</v>
      </c>
      <c r="X454" s="264">
        <f t="shared" si="65"/>
        <v>1000</v>
      </c>
      <c r="Y454" s="325" t="b">
        <f t="shared" si="68"/>
        <v>1</v>
      </c>
    </row>
    <row r="455" spans="1:25">
      <c r="A455" s="16">
        <v>232</v>
      </c>
      <c r="B455" t="s">
        <v>26</v>
      </c>
      <c r="C455" t="s">
        <v>642</v>
      </c>
      <c r="E455" s="128">
        <v>4000</v>
      </c>
      <c r="F455" s="128">
        <v>0</v>
      </c>
      <c r="G455" s="128">
        <v>0</v>
      </c>
      <c r="H455" s="128">
        <f t="shared" si="59"/>
        <v>4000</v>
      </c>
      <c r="I455" s="128">
        <v>0</v>
      </c>
      <c r="J455" s="128">
        <f t="shared" si="60"/>
        <v>4000</v>
      </c>
      <c r="K455" s="364">
        <v>1</v>
      </c>
      <c r="L455" s="128">
        <f t="shared" si="61"/>
        <v>4000</v>
      </c>
      <c r="O455" s="128">
        <v>899.2</v>
      </c>
      <c r="P455" s="128">
        <v>0</v>
      </c>
      <c r="Q455" s="128">
        <v>0</v>
      </c>
      <c r="R455" s="128">
        <f t="shared" si="62"/>
        <v>899.2</v>
      </c>
      <c r="S455" s="128">
        <v>2401.6</v>
      </c>
      <c r="T455" s="128">
        <v>0</v>
      </c>
      <c r="U455" s="128">
        <f t="shared" si="63"/>
        <v>2401.6</v>
      </c>
      <c r="V455" s="128">
        <v>671.6</v>
      </c>
      <c r="W455" s="128">
        <v>27.6</v>
      </c>
      <c r="X455" s="264">
        <f t="shared" si="65"/>
        <v>4000</v>
      </c>
      <c r="Y455" s="325" t="b">
        <f t="shared" si="68"/>
        <v>1</v>
      </c>
    </row>
    <row r="456" spans="1:25">
      <c r="A456" s="16">
        <v>233</v>
      </c>
      <c r="B456" t="s">
        <v>26</v>
      </c>
      <c r="C456" t="s">
        <v>1011</v>
      </c>
      <c r="E456" s="128">
        <v>1000</v>
      </c>
      <c r="F456" s="128">
        <v>0</v>
      </c>
      <c r="G456" s="128">
        <v>0</v>
      </c>
      <c r="H456" s="128">
        <f t="shared" si="59"/>
        <v>1000</v>
      </c>
      <c r="I456" s="128">
        <v>0</v>
      </c>
      <c r="J456" s="128">
        <f t="shared" si="60"/>
        <v>1000</v>
      </c>
      <c r="K456" s="364">
        <v>1</v>
      </c>
      <c r="L456" s="128">
        <f t="shared" si="61"/>
        <v>1000</v>
      </c>
      <c r="O456" s="128">
        <v>0</v>
      </c>
      <c r="P456" s="128">
        <v>0</v>
      </c>
      <c r="Q456" s="128">
        <v>0</v>
      </c>
      <c r="R456" s="128">
        <f t="shared" si="62"/>
        <v>0</v>
      </c>
      <c r="S456" s="128">
        <v>0</v>
      </c>
      <c r="T456" s="128">
        <v>0</v>
      </c>
      <c r="U456" s="128">
        <f t="shared" si="63"/>
        <v>0</v>
      </c>
      <c r="V456" s="128">
        <v>0</v>
      </c>
      <c r="W456" s="128">
        <v>1000</v>
      </c>
      <c r="X456" s="264">
        <f t="shared" si="65"/>
        <v>1000</v>
      </c>
      <c r="Y456" s="325" t="b">
        <f t="shared" si="68"/>
        <v>1</v>
      </c>
    </row>
    <row r="457" spans="1:25">
      <c r="A457" s="16">
        <v>234</v>
      </c>
    </row>
    <row r="458" spans="1:25" ht="13.5" thickBot="1">
      <c r="A458" s="16">
        <v>235</v>
      </c>
      <c r="B458" s="5" t="str">
        <f>CONCATENATE("Total"," ",+B15)</f>
        <v>Total Business / Economic Dues</v>
      </c>
      <c r="E458" s="356">
        <f t="shared" ref="E458:J458" si="69">SUM(E17:E457)</f>
        <v>1628958.8599999999</v>
      </c>
      <c r="F458" s="356">
        <f t="shared" si="69"/>
        <v>0</v>
      </c>
      <c r="G458" s="356">
        <f t="shared" si="69"/>
        <v>0</v>
      </c>
      <c r="H458" s="356">
        <f t="shared" si="69"/>
        <v>1628958.8599999999</v>
      </c>
      <c r="I458" s="356">
        <f t="shared" si="69"/>
        <v>-45333.408799999997</v>
      </c>
      <c r="J458" s="356">
        <f t="shared" si="69"/>
        <v>1583625.4511999998</v>
      </c>
      <c r="L458" s="356">
        <f>SUM(L17:L457)</f>
        <v>1583625.4511999998</v>
      </c>
      <c r="O458" s="356">
        <f t="shared" ref="O458:X458" si="70">SUM(O17:O457)</f>
        <v>118251.32215177079</v>
      </c>
      <c r="P458" s="356">
        <f t="shared" si="70"/>
        <v>0</v>
      </c>
      <c r="Q458" s="356">
        <f t="shared" si="70"/>
        <v>0</v>
      </c>
      <c r="R458" s="356">
        <f t="shared" si="70"/>
        <v>118251.32215177079</v>
      </c>
      <c r="S458" s="356">
        <f t="shared" si="70"/>
        <v>385292.62585903582</v>
      </c>
      <c r="T458" s="356">
        <f t="shared" si="70"/>
        <v>0</v>
      </c>
      <c r="U458" s="356">
        <f t="shared" si="70"/>
        <v>385292.62585903582</v>
      </c>
      <c r="V458" s="356">
        <f t="shared" si="70"/>
        <v>123590.71835523844</v>
      </c>
      <c r="W458" s="356">
        <f t="shared" si="70"/>
        <v>956490.78483395476</v>
      </c>
      <c r="X458" s="356">
        <f t="shared" si="70"/>
        <v>1583625.4511999998</v>
      </c>
      <c r="Y458" s="325" t="b">
        <f t="shared" si="68"/>
        <v>1</v>
      </c>
    </row>
    <row r="459" spans="1:25" ht="13.5" thickTop="1"/>
  </sheetData>
  <phoneticPr fontId="5" type="noConversion"/>
  <printOptions horizontalCentered="1"/>
  <pageMargins left="0.5" right="0.5" top="3" bottom="0.5" header="1.5" footer="0.5"/>
  <pageSetup scale="61" fitToWidth="10" fitToHeight="10" pageOrder="overThenDown" orientation="landscape"/>
  <headerFooter alignWithMargins="0">
    <oddHeader>&amp;R&amp;"Arial,Bold"Schedule &amp;A 
Page &amp;P of &amp;N &amp;C&amp;B
2025 RATE CASE
ONCOR ELECTRIC DELIVERY COMPANY LLC
II-D-2.6b  SUMMARY OF BUSINESS/ECONOMIC DUES
TEST YEAR ENDING DECEMBER 31, 2024
SPONSOR: R. PRACHYL</oddHeader>
  </headerFooter>
  <colBreaks count="1" manualBreakCount="1">
    <brk id="11" min="14" max="402"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6">
    <tabColor rgb="FFFF0000"/>
  </sheetPr>
  <dimension ref="A1:Y79"/>
  <sheetViews>
    <sheetView zoomScale="85" zoomScaleNormal="85" workbookViewId="0">
      <pane ySplit="13" topLeftCell="A14" activePane="bottomLeft" state="frozen"/>
      <selection activeCell="N38" sqref="N38"/>
      <selection pane="bottomLeft" activeCell="D40" sqref="D40"/>
    </sheetView>
  </sheetViews>
  <sheetFormatPr defaultRowHeight="12.75"/>
  <cols>
    <col min="1" max="1" width="5.7109375" customWidth="1"/>
    <col min="2" max="2" width="8.7109375" customWidth="1"/>
    <col min="3" max="3" width="79" bestFit="1" customWidth="1"/>
    <col min="4" max="4" width="10.28515625" bestFit="1" customWidth="1"/>
    <col min="5" max="5" width="11.28515625" bestFit="1" customWidth="1"/>
    <col min="6" max="6" width="12.28515625" bestFit="1" customWidth="1"/>
    <col min="7" max="7" width="17.140625" bestFit="1" customWidth="1"/>
    <col min="8" max="8" width="11.28515625" bestFit="1" customWidth="1"/>
    <col min="9" max="9" width="12" bestFit="1" customWidth="1"/>
    <col min="10" max="10" width="11.28515625" bestFit="1" customWidth="1"/>
    <col min="11" max="11" width="10.28515625" customWidth="1"/>
    <col min="12" max="12" width="12.42578125" bestFit="1" customWidth="1"/>
    <col min="13" max="13" width="3.28515625" bestFit="1" customWidth="1"/>
    <col min="14" max="14" width="6.7109375" bestFit="1" customWidth="1"/>
    <col min="15" max="15" width="10.85546875" bestFit="1" customWidth="1"/>
    <col min="16" max="18" width="10.85546875" customWidth="1"/>
    <col min="19" max="19" width="10.85546875" bestFit="1" customWidth="1"/>
    <col min="20" max="21" width="10.85546875" customWidth="1"/>
    <col min="22" max="22" width="9.7109375" bestFit="1" customWidth="1"/>
    <col min="23" max="23" width="9.28515625" customWidth="1"/>
    <col min="24" max="24" width="11.28515625" bestFit="1" customWidth="1"/>
    <col min="25" max="25" width="9.28515625" bestFit="1" customWidth="1"/>
  </cols>
  <sheetData>
    <row r="1" spans="1:24">
      <c r="A1" s="5" t="str">
        <f>+'[3]Input Data'!$A$9</f>
        <v>2025 RATE CASE</v>
      </c>
    </row>
    <row r="2" spans="1:24" s="33" customFormat="1">
      <c r="A2" s="8" t="str">
        <f>+'[3]Input Data'!$A$2</f>
        <v>ONCOR ELECTRIC DELIVERY COMPANY LLC</v>
      </c>
      <c r="B2" s="31"/>
      <c r="C2" s="31"/>
      <c r="D2" s="31"/>
      <c r="E2" s="31"/>
      <c r="F2" s="31"/>
      <c r="G2" s="57"/>
      <c r="H2" s="31"/>
      <c r="I2" s="31"/>
      <c r="J2" s="31"/>
      <c r="K2" s="31"/>
      <c r="L2" s="32"/>
      <c r="M2" s="31"/>
      <c r="N2" s="32"/>
      <c r="O2" s="4"/>
      <c r="P2" s="4"/>
      <c r="Q2" s="4"/>
      <c r="R2" s="4"/>
      <c r="S2" s="31"/>
      <c r="T2" s="31"/>
      <c r="U2" s="31"/>
      <c r="V2" s="31"/>
      <c r="W2" s="31"/>
      <c r="X2" s="31"/>
    </row>
    <row r="3" spans="1:24" s="33" customFormat="1">
      <c r="A3" s="7" t="str">
        <f>CONCATENATE('[3]Schedule Sponsors'!$A$64,'[3]Schedule Sponsors'!$B$64)</f>
        <v>II-D-2.6c  SUMMARY OF PROFESSIONAL DUES</v>
      </c>
      <c r="B3" s="4"/>
      <c r="D3" s="31"/>
      <c r="E3" s="31"/>
      <c r="F3" s="31"/>
      <c r="G3" s="34"/>
      <c r="H3" s="31"/>
      <c r="I3" s="31"/>
      <c r="J3" s="31"/>
      <c r="K3" s="31"/>
      <c r="L3" s="32"/>
      <c r="M3" s="31"/>
      <c r="N3" s="32"/>
      <c r="O3" s="28"/>
      <c r="P3" s="28"/>
      <c r="Q3" s="28"/>
      <c r="R3" s="28"/>
      <c r="S3" s="31"/>
      <c r="T3" s="31"/>
      <c r="U3" s="31"/>
      <c r="V3" s="31"/>
      <c r="W3" s="31"/>
      <c r="X3" s="31"/>
    </row>
    <row r="4" spans="1:24" s="33" customFormat="1">
      <c r="A4" s="63" t="str">
        <f>+'[3]Input Data'!$A$4</f>
        <v>TEST YEAR ENDING DECEMBER 31, 2024</v>
      </c>
      <c r="B4" s="4"/>
      <c r="D4" s="31"/>
      <c r="E4" s="31"/>
      <c r="F4" s="31"/>
      <c r="G4" s="34"/>
      <c r="H4" s="31"/>
      <c r="I4" s="31"/>
      <c r="J4" s="31"/>
      <c r="K4" s="31"/>
      <c r="L4" s="32"/>
      <c r="M4" s="31"/>
      <c r="N4" s="32"/>
      <c r="O4" s="28"/>
      <c r="P4" s="28"/>
      <c r="Q4" s="28"/>
      <c r="R4" s="28"/>
      <c r="S4" s="31"/>
      <c r="T4" s="31"/>
      <c r="U4" s="31"/>
      <c r="V4" s="31"/>
      <c r="W4" s="31"/>
      <c r="X4" s="31"/>
    </row>
    <row r="5" spans="1:24" s="33" customFormat="1">
      <c r="A5" s="7" t="str">
        <f>CONCATENATE("SPONSOR: ",'[3]Schedule Sponsors'!$D$64)</f>
        <v>SPONSOR: R. PRACHYL</v>
      </c>
      <c r="B5" s="4"/>
      <c r="D5" s="31"/>
      <c r="E5" s="31"/>
      <c r="F5" s="31"/>
      <c r="G5" s="31"/>
      <c r="H5" s="31"/>
      <c r="I5" s="31"/>
      <c r="J5" s="31"/>
      <c r="K5" s="31"/>
      <c r="L5" s="32"/>
      <c r="M5" s="31"/>
      <c r="N5" s="32"/>
      <c r="O5" s="31"/>
      <c r="P5" s="31"/>
      <c r="Q5" s="31"/>
      <c r="R5" s="31"/>
      <c r="S5" s="31"/>
      <c r="T5" s="31"/>
      <c r="U5" s="31"/>
      <c r="V5" s="31"/>
      <c r="W5" s="31"/>
      <c r="X5" s="31"/>
    </row>
    <row r="6" spans="1:24" s="33" customFormat="1">
      <c r="A6" s="31"/>
      <c r="B6" s="4"/>
      <c r="D6" s="31"/>
      <c r="E6" s="31"/>
      <c r="F6" s="31"/>
      <c r="G6" s="31"/>
      <c r="H6" s="31"/>
      <c r="I6" s="31"/>
      <c r="J6" s="31"/>
      <c r="K6" s="31"/>
      <c r="L6" s="32"/>
      <c r="M6" s="31"/>
      <c r="N6" s="32"/>
      <c r="O6" s="31"/>
      <c r="P6" s="31"/>
      <c r="Q6" s="31"/>
      <c r="R6" s="31"/>
      <c r="S6" s="31"/>
      <c r="T6" s="31"/>
      <c r="U6" s="31"/>
      <c r="V6" s="31"/>
      <c r="W6" s="31"/>
      <c r="X6" s="31"/>
    </row>
    <row r="7" spans="1:24" s="33" customFormat="1">
      <c r="A7" s="31"/>
      <c r="B7" s="4"/>
      <c r="D7" s="31"/>
      <c r="E7" s="31"/>
      <c r="F7" s="31"/>
      <c r="G7" s="31"/>
      <c r="H7" s="31"/>
      <c r="I7" s="31"/>
      <c r="J7" s="31"/>
      <c r="K7" s="31"/>
      <c r="L7" s="32"/>
      <c r="M7" s="31"/>
      <c r="N7" s="32"/>
      <c r="O7" s="31"/>
      <c r="P7" s="31"/>
      <c r="Q7" s="31"/>
      <c r="R7" s="31"/>
      <c r="S7" s="31"/>
      <c r="T7" s="31"/>
      <c r="U7" s="31"/>
      <c r="V7" s="31"/>
      <c r="W7" s="31"/>
      <c r="X7" s="31"/>
    </row>
    <row r="8" spans="1:24" s="33" customFormat="1">
      <c r="A8" s="31"/>
      <c r="B8" s="35"/>
      <c r="C8" s="31"/>
      <c r="D8" s="31"/>
      <c r="E8" s="31"/>
      <c r="F8" s="31"/>
      <c r="G8" s="31"/>
      <c r="H8" s="31"/>
      <c r="I8" s="31"/>
      <c r="J8" s="31"/>
      <c r="K8" s="31"/>
      <c r="L8" s="32"/>
      <c r="M8" s="31"/>
      <c r="N8" s="32"/>
      <c r="O8" s="31"/>
      <c r="P8" s="31"/>
      <c r="Q8" s="31"/>
      <c r="R8" s="31"/>
      <c r="S8" s="31"/>
      <c r="T8" s="31"/>
      <c r="U8" s="31"/>
      <c r="V8" s="31"/>
      <c r="W8" s="31"/>
      <c r="X8" s="31"/>
    </row>
    <row r="9" spans="1:24" s="33" customFormat="1" ht="13.5" thickBot="1">
      <c r="A9" s="31"/>
      <c r="B9" s="31" t="s">
        <v>210</v>
      </c>
      <c r="C9" s="31"/>
      <c r="D9" s="31"/>
      <c r="E9" s="36"/>
      <c r="F9" s="36"/>
      <c r="G9" s="36"/>
      <c r="H9" s="36"/>
      <c r="I9" s="36"/>
      <c r="J9" s="36"/>
      <c r="K9" s="36"/>
      <c r="L9" s="36"/>
      <c r="M9" s="36"/>
      <c r="N9" s="36"/>
      <c r="O9" s="36"/>
      <c r="P9" s="36"/>
      <c r="Q9" s="36"/>
      <c r="R9" s="36"/>
      <c r="S9" s="36"/>
      <c r="T9" s="36"/>
      <c r="U9" s="36"/>
      <c r="V9" s="36"/>
      <c r="W9" s="36"/>
      <c r="X9" s="36"/>
    </row>
    <row r="10" spans="1:24" s="35"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35"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35" customFormat="1">
      <c r="A12" s="11" t="s">
        <v>89</v>
      </c>
      <c r="B12" s="11" t="s">
        <v>294</v>
      </c>
      <c r="C12" s="11" t="s">
        <v>388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31" customFormat="1" ht="12.75" customHeight="1">
      <c r="B14" s="38"/>
      <c r="C14" s="38"/>
      <c r="D14" s="38"/>
      <c r="E14" s="38"/>
      <c r="F14" s="38"/>
      <c r="G14" s="38"/>
      <c r="H14" s="38"/>
      <c r="I14" s="38"/>
      <c r="J14" s="38"/>
      <c r="K14" s="38"/>
      <c r="L14" s="39"/>
      <c r="M14" s="38"/>
      <c r="N14" s="39"/>
      <c r="O14" s="38"/>
      <c r="P14" s="38"/>
      <c r="Q14" s="38"/>
      <c r="R14" s="38"/>
      <c r="S14" s="38"/>
      <c r="T14" s="38"/>
      <c r="U14" s="38"/>
      <c r="V14" s="38"/>
      <c r="W14" s="38"/>
      <c r="X14" s="38"/>
    </row>
    <row r="15" spans="1:24" s="8" customFormat="1">
      <c r="A15" s="16">
        <v>1</v>
      </c>
      <c r="B15" s="8" t="s">
        <v>389</v>
      </c>
      <c r="D15" s="18" t="s">
        <v>12</v>
      </c>
      <c r="E15" s="19"/>
      <c r="F15" s="19"/>
      <c r="G15" s="19"/>
      <c r="H15" s="19"/>
      <c r="I15" s="19"/>
      <c r="J15" s="19"/>
      <c r="K15" s="19"/>
      <c r="L15" s="19"/>
      <c r="M15" s="18"/>
      <c r="N15" s="25"/>
      <c r="O15" s="19"/>
      <c r="P15" s="19"/>
      <c r="Q15" s="19"/>
      <c r="R15" s="19"/>
      <c r="S15" s="19"/>
      <c r="T15" s="19"/>
      <c r="U15" s="19"/>
      <c r="V15" s="19"/>
      <c r="W15" s="19"/>
    </row>
    <row r="16" spans="1:24" s="8" customFormat="1">
      <c r="A16" s="16">
        <v>2</v>
      </c>
      <c r="D16" s="18"/>
      <c r="E16" s="19"/>
      <c r="F16" s="19"/>
      <c r="G16" s="19"/>
      <c r="H16" s="19"/>
      <c r="I16" s="19"/>
      <c r="J16" s="19"/>
      <c r="K16" s="19"/>
      <c r="L16" s="19"/>
      <c r="M16" s="18"/>
      <c r="N16" s="25"/>
      <c r="O16" s="19"/>
      <c r="P16" s="19"/>
      <c r="Q16" s="19"/>
      <c r="R16" s="19"/>
      <c r="S16" s="19"/>
      <c r="T16" s="19"/>
      <c r="U16" s="19"/>
      <c r="V16" s="19"/>
      <c r="W16" s="19"/>
      <c r="X16" s="62"/>
    </row>
    <row r="17" spans="1:25" s="8" customFormat="1">
      <c r="A17" s="16">
        <v>3</v>
      </c>
      <c r="B17" t="s">
        <v>230</v>
      </c>
      <c r="C17" t="s">
        <v>1122</v>
      </c>
      <c r="D17" s="18"/>
      <c r="E17" s="150">
        <v>2.5</v>
      </c>
      <c r="F17" s="150">
        <v>0</v>
      </c>
      <c r="G17" s="150">
        <v>0</v>
      </c>
      <c r="H17" s="150">
        <f t="shared" ref="H17" si="0">+E17+F17+G17</f>
        <v>2.5</v>
      </c>
      <c r="I17" s="150">
        <v>0</v>
      </c>
      <c r="J17" s="150">
        <f t="shared" ref="J17" si="1">+H17+I17</f>
        <v>2.5</v>
      </c>
      <c r="K17" s="153">
        <v>1</v>
      </c>
      <c r="L17" s="150">
        <f t="shared" ref="L17" si="2">+J17*K17</f>
        <v>2.5</v>
      </c>
      <c r="M17" s="150"/>
      <c r="N17" s="150"/>
      <c r="O17" s="150">
        <v>2.5</v>
      </c>
      <c r="P17" s="150">
        <v>0</v>
      </c>
      <c r="Q17" s="150">
        <v>0</v>
      </c>
      <c r="R17" s="150">
        <f>SUM(O17:Q17)</f>
        <v>2.5</v>
      </c>
      <c r="S17" s="150">
        <v>0</v>
      </c>
      <c r="T17" s="150">
        <v>0</v>
      </c>
      <c r="U17" s="150">
        <f>SUM(S17:T17)</f>
        <v>0</v>
      </c>
      <c r="V17" s="150">
        <v>0</v>
      </c>
      <c r="W17" s="150">
        <v>0</v>
      </c>
      <c r="X17" s="357">
        <f>+R17+U17+V17+W17</f>
        <v>2.5</v>
      </c>
      <c r="Y17" s="4" t="b">
        <f t="shared" ref="Y17" si="3">+X17=L17</f>
        <v>1</v>
      </c>
    </row>
    <row r="18" spans="1:25" s="8" customFormat="1">
      <c r="A18" s="16">
        <v>4</v>
      </c>
      <c r="B18" t="s">
        <v>230</v>
      </c>
      <c r="C18" t="s">
        <v>1123</v>
      </c>
      <c r="D18" s="18"/>
      <c r="E18" s="13">
        <v>2.5</v>
      </c>
      <c r="F18" s="13">
        <v>0</v>
      </c>
      <c r="G18" s="13">
        <v>0</v>
      </c>
      <c r="H18" s="13">
        <f t="shared" ref="H18:H73" si="4">+E18+F18+G18</f>
        <v>2.5</v>
      </c>
      <c r="I18" s="13">
        <v>0</v>
      </c>
      <c r="J18" s="13">
        <f t="shared" ref="J18:J73" si="5">+H18+I18</f>
        <v>2.5</v>
      </c>
      <c r="K18" s="153">
        <v>1</v>
      </c>
      <c r="L18" s="13">
        <f t="shared" ref="L18:L73" si="6">+J18*K18</f>
        <v>2.5</v>
      </c>
      <c r="M18" s="13"/>
      <c r="N18" s="13"/>
      <c r="O18" s="13">
        <v>2.5</v>
      </c>
      <c r="P18" s="13">
        <v>0</v>
      </c>
      <c r="Q18" s="13">
        <v>0</v>
      </c>
      <c r="R18" s="13">
        <f t="shared" ref="R18:R73" si="7">SUM(O18:Q18)</f>
        <v>2.5</v>
      </c>
      <c r="S18" s="13">
        <v>0</v>
      </c>
      <c r="T18" s="13">
        <v>0</v>
      </c>
      <c r="U18" s="13">
        <f t="shared" ref="U18:U73" si="8">SUM(S18:T18)</f>
        <v>0</v>
      </c>
      <c r="V18" s="13">
        <v>0</v>
      </c>
      <c r="W18" s="13">
        <v>0</v>
      </c>
      <c r="X18" s="358">
        <f t="shared" ref="X18:X73" si="9">+R18+U18+V18+W18</f>
        <v>2.5</v>
      </c>
      <c r="Y18" s="233" t="b">
        <f t="shared" ref="Y18:Y73" si="10">+X18=L18</f>
        <v>1</v>
      </c>
    </row>
    <row r="19" spans="1:25" s="8" customFormat="1">
      <c r="A19" s="16">
        <v>5</v>
      </c>
      <c r="B19" t="s">
        <v>231</v>
      </c>
      <c r="C19" t="s">
        <v>1122</v>
      </c>
      <c r="D19" s="18"/>
      <c r="E19" s="13">
        <v>1187</v>
      </c>
      <c r="F19" s="13">
        <v>0</v>
      </c>
      <c r="G19" s="13">
        <v>0</v>
      </c>
      <c r="H19" s="13">
        <f t="shared" si="4"/>
        <v>1187</v>
      </c>
      <c r="I19" s="13">
        <v>0</v>
      </c>
      <c r="J19" s="13">
        <f t="shared" si="5"/>
        <v>1187</v>
      </c>
      <c r="K19" s="153">
        <v>1</v>
      </c>
      <c r="L19" s="13">
        <f t="shared" si="6"/>
        <v>1187</v>
      </c>
      <c r="M19" s="13"/>
      <c r="N19" s="13"/>
      <c r="O19" s="13">
        <v>1187</v>
      </c>
      <c r="P19" s="13">
        <v>0</v>
      </c>
      <c r="Q19" s="13">
        <v>0</v>
      </c>
      <c r="R19" s="13">
        <f t="shared" si="7"/>
        <v>1187</v>
      </c>
      <c r="S19" s="13">
        <v>0</v>
      </c>
      <c r="T19" s="13">
        <v>0</v>
      </c>
      <c r="U19" s="13">
        <f t="shared" si="8"/>
        <v>0</v>
      </c>
      <c r="V19" s="13">
        <v>0</v>
      </c>
      <c r="W19" s="13">
        <v>0</v>
      </c>
      <c r="X19" s="358">
        <f t="shared" si="9"/>
        <v>1187</v>
      </c>
      <c r="Y19" s="233" t="b">
        <f t="shared" si="10"/>
        <v>1</v>
      </c>
    </row>
    <row r="20" spans="1:25" s="8" customFormat="1">
      <c r="A20" s="16">
        <v>6</v>
      </c>
      <c r="B20" t="s">
        <v>231</v>
      </c>
      <c r="C20" t="s">
        <v>1123</v>
      </c>
      <c r="D20" s="18"/>
      <c r="E20" s="13">
        <v>250</v>
      </c>
      <c r="F20" s="13">
        <v>0</v>
      </c>
      <c r="G20" s="13">
        <v>0</v>
      </c>
      <c r="H20" s="13">
        <f t="shared" si="4"/>
        <v>250</v>
      </c>
      <c r="I20" s="13">
        <v>0</v>
      </c>
      <c r="J20" s="13">
        <f t="shared" si="5"/>
        <v>250</v>
      </c>
      <c r="K20" s="153">
        <v>1</v>
      </c>
      <c r="L20" s="13">
        <f t="shared" si="6"/>
        <v>250</v>
      </c>
      <c r="M20" s="13"/>
      <c r="N20" s="13"/>
      <c r="O20" s="13">
        <v>250</v>
      </c>
      <c r="P20" s="13">
        <v>0</v>
      </c>
      <c r="Q20" s="13">
        <v>0</v>
      </c>
      <c r="R20" s="13">
        <f t="shared" si="7"/>
        <v>250</v>
      </c>
      <c r="S20" s="13">
        <v>0</v>
      </c>
      <c r="T20" s="13">
        <v>0</v>
      </c>
      <c r="U20" s="13">
        <f t="shared" si="8"/>
        <v>0</v>
      </c>
      <c r="V20" s="13">
        <v>0</v>
      </c>
      <c r="W20" s="13">
        <v>0</v>
      </c>
      <c r="X20" s="358">
        <f t="shared" si="9"/>
        <v>250</v>
      </c>
      <c r="Y20" s="233" t="b">
        <f t="shared" si="10"/>
        <v>1</v>
      </c>
    </row>
    <row r="21" spans="1:25" s="8" customFormat="1">
      <c r="A21" s="16">
        <v>7</v>
      </c>
      <c r="B21" t="s">
        <v>235</v>
      </c>
      <c r="C21" t="s">
        <v>726</v>
      </c>
      <c r="D21" s="18"/>
      <c r="E21" s="13">
        <v>11.399999999999999</v>
      </c>
      <c r="F21" s="13">
        <v>0</v>
      </c>
      <c r="G21" s="13">
        <v>0</v>
      </c>
      <c r="H21" s="13">
        <f t="shared" si="4"/>
        <v>11.399999999999999</v>
      </c>
      <c r="I21" s="13">
        <v>0</v>
      </c>
      <c r="J21" s="13">
        <f t="shared" si="5"/>
        <v>11.399999999999999</v>
      </c>
      <c r="K21" s="153">
        <v>1</v>
      </c>
      <c r="L21" s="13">
        <f t="shared" si="6"/>
        <v>11.399999999999999</v>
      </c>
      <c r="M21" s="13"/>
      <c r="N21" s="13"/>
      <c r="O21" s="13">
        <v>11.4</v>
      </c>
      <c r="P21" s="13">
        <v>0</v>
      </c>
      <c r="Q21" s="13">
        <v>0</v>
      </c>
      <c r="R21" s="13">
        <f t="shared" si="7"/>
        <v>11.4</v>
      </c>
      <c r="S21" s="13">
        <v>0</v>
      </c>
      <c r="T21" s="13">
        <v>0</v>
      </c>
      <c r="U21" s="13">
        <f t="shared" si="8"/>
        <v>0</v>
      </c>
      <c r="V21" s="13">
        <v>0</v>
      </c>
      <c r="W21" s="13">
        <v>0</v>
      </c>
      <c r="X21" s="358">
        <f t="shared" si="9"/>
        <v>11.4</v>
      </c>
      <c r="Y21" s="233" t="b">
        <f t="shared" si="10"/>
        <v>1</v>
      </c>
    </row>
    <row r="22" spans="1:25" s="8" customFormat="1">
      <c r="A22" s="16">
        <v>8</v>
      </c>
      <c r="B22" t="s">
        <v>235</v>
      </c>
      <c r="C22" t="s">
        <v>1124</v>
      </c>
      <c r="D22" s="18"/>
      <c r="E22" s="13">
        <v>42.910000000000004</v>
      </c>
      <c r="F22" s="13">
        <v>0</v>
      </c>
      <c r="G22" s="13">
        <v>0</v>
      </c>
      <c r="H22" s="13">
        <f t="shared" si="4"/>
        <v>42.910000000000004</v>
      </c>
      <c r="I22" s="13">
        <v>0</v>
      </c>
      <c r="J22" s="13">
        <f t="shared" si="5"/>
        <v>42.910000000000004</v>
      </c>
      <c r="K22" s="153">
        <v>1</v>
      </c>
      <c r="L22" s="13">
        <f t="shared" si="6"/>
        <v>42.910000000000004</v>
      </c>
      <c r="M22" s="13"/>
      <c r="N22" s="13"/>
      <c r="O22" s="13">
        <v>42.910000000000004</v>
      </c>
      <c r="P22" s="13">
        <v>0</v>
      </c>
      <c r="Q22" s="13">
        <v>0</v>
      </c>
      <c r="R22" s="13">
        <f t="shared" si="7"/>
        <v>42.910000000000004</v>
      </c>
      <c r="S22" s="13">
        <v>0</v>
      </c>
      <c r="T22" s="13">
        <v>0</v>
      </c>
      <c r="U22" s="13">
        <f t="shared" si="8"/>
        <v>0</v>
      </c>
      <c r="V22" s="13">
        <v>0</v>
      </c>
      <c r="W22" s="13">
        <v>0</v>
      </c>
      <c r="X22" s="358">
        <f t="shared" si="9"/>
        <v>42.910000000000004</v>
      </c>
      <c r="Y22" s="233" t="b">
        <f t="shared" si="10"/>
        <v>1</v>
      </c>
    </row>
    <row r="23" spans="1:25" s="8" customFormat="1">
      <c r="A23" s="16">
        <v>9</v>
      </c>
      <c r="B23" t="s">
        <v>235</v>
      </c>
      <c r="C23" t="s">
        <v>1122</v>
      </c>
      <c r="D23" s="18"/>
      <c r="E23" s="13">
        <v>893.93000000000006</v>
      </c>
      <c r="F23" s="13">
        <v>0</v>
      </c>
      <c r="G23" s="13">
        <v>0</v>
      </c>
      <c r="H23" s="13">
        <f t="shared" si="4"/>
        <v>893.93000000000006</v>
      </c>
      <c r="I23" s="13">
        <v>0</v>
      </c>
      <c r="J23" s="13">
        <f t="shared" si="5"/>
        <v>893.93000000000006</v>
      </c>
      <c r="K23" s="153">
        <v>1</v>
      </c>
      <c r="L23" s="13">
        <f t="shared" si="6"/>
        <v>893.93000000000006</v>
      </c>
      <c r="M23" s="13"/>
      <c r="N23" s="13"/>
      <c r="O23" s="13">
        <v>893.05000000000007</v>
      </c>
      <c r="P23" s="13">
        <v>0</v>
      </c>
      <c r="Q23" s="13">
        <v>0</v>
      </c>
      <c r="R23" s="13">
        <f t="shared" si="7"/>
        <v>893.05000000000007</v>
      </c>
      <c r="S23" s="13">
        <v>0.88</v>
      </c>
      <c r="T23" s="13">
        <v>0</v>
      </c>
      <c r="U23" s="13">
        <f t="shared" si="8"/>
        <v>0.88</v>
      </c>
      <c r="V23" s="13">
        <v>0</v>
      </c>
      <c r="W23" s="13">
        <v>0</v>
      </c>
      <c r="X23" s="358">
        <f t="shared" si="9"/>
        <v>893.93000000000006</v>
      </c>
      <c r="Y23" s="233" t="b">
        <f t="shared" si="10"/>
        <v>1</v>
      </c>
    </row>
    <row r="24" spans="1:25" s="8" customFormat="1">
      <c r="A24" s="16">
        <v>10</v>
      </c>
      <c r="B24" t="s">
        <v>235</v>
      </c>
      <c r="C24" t="s">
        <v>1125</v>
      </c>
      <c r="D24" s="18"/>
      <c r="E24" s="13">
        <v>22.25</v>
      </c>
      <c r="F24" s="13">
        <v>0</v>
      </c>
      <c r="G24" s="13">
        <v>0</v>
      </c>
      <c r="H24" s="13">
        <f t="shared" si="4"/>
        <v>22.25</v>
      </c>
      <c r="I24" s="13">
        <v>0</v>
      </c>
      <c r="J24" s="13">
        <f t="shared" si="5"/>
        <v>22.25</v>
      </c>
      <c r="K24" s="153">
        <v>1</v>
      </c>
      <c r="L24" s="13">
        <f t="shared" si="6"/>
        <v>22.25</v>
      </c>
      <c r="M24" s="13"/>
      <c r="N24" s="13"/>
      <c r="O24" s="13">
        <v>22.25</v>
      </c>
      <c r="P24" s="13">
        <v>0</v>
      </c>
      <c r="Q24" s="13">
        <v>0</v>
      </c>
      <c r="R24" s="13">
        <f t="shared" si="7"/>
        <v>22.25</v>
      </c>
      <c r="S24" s="13">
        <v>0</v>
      </c>
      <c r="T24" s="13">
        <v>0</v>
      </c>
      <c r="U24" s="13">
        <f t="shared" si="8"/>
        <v>0</v>
      </c>
      <c r="V24" s="13">
        <v>0</v>
      </c>
      <c r="W24" s="13">
        <v>0</v>
      </c>
      <c r="X24" s="358">
        <f t="shared" si="9"/>
        <v>22.25</v>
      </c>
      <c r="Y24" s="233" t="b">
        <f t="shared" si="10"/>
        <v>1</v>
      </c>
    </row>
    <row r="25" spans="1:25" s="8" customFormat="1">
      <c r="A25" s="16">
        <v>11</v>
      </c>
      <c r="B25" t="s">
        <v>235</v>
      </c>
      <c r="C25" t="s">
        <v>730</v>
      </c>
      <c r="D25" s="18"/>
      <c r="E25" s="13">
        <v>137.05000000000001</v>
      </c>
      <c r="F25" s="13">
        <v>0</v>
      </c>
      <c r="G25" s="13">
        <v>0</v>
      </c>
      <c r="H25" s="13">
        <f t="shared" si="4"/>
        <v>137.05000000000001</v>
      </c>
      <c r="I25" s="13">
        <v>0</v>
      </c>
      <c r="J25" s="13">
        <f t="shared" si="5"/>
        <v>137.05000000000001</v>
      </c>
      <c r="K25" s="153">
        <v>1</v>
      </c>
      <c r="L25" s="13">
        <f t="shared" si="6"/>
        <v>137.05000000000001</v>
      </c>
      <c r="M25" s="13"/>
      <c r="N25" s="13"/>
      <c r="O25" s="13">
        <v>137.05000000000001</v>
      </c>
      <c r="P25" s="13">
        <v>0</v>
      </c>
      <c r="Q25" s="13">
        <v>0</v>
      </c>
      <c r="R25" s="13">
        <f t="shared" si="7"/>
        <v>137.05000000000001</v>
      </c>
      <c r="S25" s="13">
        <v>0</v>
      </c>
      <c r="T25" s="13">
        <v>0</v>
      </c>
      <c r="U25" s="13">
        <f t="shared" si="8"/>
        <v>0</v>
      </c>
      <c r="V25" s="13">
        <v>0</v>
      </c>
      <c r="W25" s="13">
        <v>0</v>
      </c>
      <c r="X25" s="358">
        <f t="shared" si="9"/>
        <v>137.05000000000001</v>
      </c>
      <c r="Y25" s="233" t="b">
        <f t="shared" si="10"/>
        <v>1</v>
      </c>
    </row>
    <row r="26" spans="1:25" s="8" customFormat="1">
      <c r="A26" s="16">
        <v>12</v>
      </c>
      <c r="B26" t="s">
        <v>235</v>
      </c>
      <c r="C26" t="s">
        <v>1126</v>
      </c>
      <c r="D26" s="18"/>
      <c r="E26" s="13">
        <v>300673.54000000004</v>
      </c>
      <c r="F26" s="13">
        <v>0</v>
      </c>
      <c r="G26" s="13">
        <v>0</v>
      </c>
      <c r="H26" s="13">
        <f t="shared" si="4"/>
        <v>300673.54000000004</v>
      </c>
      <c r="I26" s="13">
        <v>0</v>
      </c>
      <c r="J26" s="13">
        <f t="shared" si="5"/>
        <v>300673.54000000004</v>
      </c>
      <c r="K26" s="153">
        <v>1</v>
      </c>
      <c r="L26" s="13">
        <f t="shared" si="6"/>
        <v>300673.54000000004</v>
      </c>
      <c r="M26" s="13"/>
      <c r="N26" s="13"/>
      <c r="O26" s="13">
        <v>300673.53999999998</v>
      </c>
      <c r="P26" s="13">
        <v>0</v>
      </c>
      <c r="Q26" s="13">
        <v>0</v>
      </c>
      <c r="R26" s="13">
        <f t="shared" si="7"/>
        <v>300673.53999999998</v>
      </c>
      <c r="S26" s="13">
        <v>0</v>
      </c>
      <c r="T26" s="13">
        <v>0</v>
      </c>
      <c r="U26" s="13">
        <f t="shared" si="8"/>
        <v>0</v>
      </c>
      <c r="V26" s="13">
        <v>0</v>
      </c>
      <c r="W26" s="13">
        <v>0</v>
      </c>
      <c r="X26" s="358">
        <f t="shared" si="9"/>
        <v>300673.53999999998</v>
      </c>
      <c r="Y26" s="233" t="b">
        <f t="shared" si="10"/>
        <v>1</v>
      </c>
    </row>
    <row r="27" spans="1:25" s="8" customFormat="1">
      <c r="A27" s="16">
        <v>13</v>
      </c>
      <c r="B27" t="s">
        <v>235</v>
      </c>
      <c r="C27" t="s">
        <v>1127</v>
      </c>
      <c r="D27" s="18"/>
      <c r="E27" s="13">
        <v>7.5</v>
      </c>
      <c r="F27" s="13">
        <v>0</v>
      </c>
      <c r="G27" s="13">
        <v>0</v>
      </c>
      <c r="H27" s="13">
        <f t="shared" si="4"/>
        <v>7.5</v>
      </c>
      <c r="I27" s="13">
        <v>0</v>
      </c>
      <c r="J27" s="13">
        <f t="shared" si="5"/>
        <v>7.5</v>
      </c>
      <c r="K27" s="153">
        <v>1</v>
      </c>
      <c r="L27" s="13">
        <f t="shared" si="6"/>
        <v>7.5</v>
      </c>
      <c r="M27" s="13"/>
      <c r="N27" s="13"/>
      <c r="O27" s="13">
        <v>7.5</v>
      </c>
      <c r="P27" s="13">
        <v>0</v>
      </c>
      <c r="Q27" s="13">
        <v>0</v>
      </c>
      <c r="R27" s="13">
        <f t="shared" si="7"/>
        <v>7.5</v>
      </c>
      <c r="S27" s="13">
        <v>0</v>
      </c>
      <c r="T27" s="13">
        <v>0</v>
      </c>
      <c r="U27" s="13">
        <f t="shared" si="8"/>
        <v>0</v>
      </c>
      <c r="V27" s="13">
        <v>0</v>
      </c>
      <c r="W27" s="13">
        <v>0</v>
      </c>
      <c r="X27" s="358">
        <f t="shared" si="9"/>
        <v>7.5</v>
      </c>
      <c r="Y27" s="233" t="b">
        <f t="shared" si="10"/>
        <v>1</v>
      </c>
    </row>
    <row r="28" spans="1:25" s="8" customFormat="1">
      <c r="A28" s="16">
        <v>14</v>
      </c>
      <c r="B28" t="s">
        <v>235</v>
      </c>
      <c r="C28" t="s">
        <v>725</v>
      </c>
      <c r="D28" s="18"/>
      <c r="E28" s="13">
        <v>175</v>
      </c>
      <c r="F28" s="13">
        <v>0</v>
      </c>
      <c r="G28" s="13">
        <v>0</v>
      </c>
      <c r="H28" s="13">
        <f t="shared" si="4"/>
        <v>175</v>
      </c>
      <c r="I28" s="13">
        <v>0</v>
      </c>
      <c r="J28" s="13">
        <f t="shared" si="5"/>
        <v>175</v>
      </c>
      <c r="K28" s="153">
        <v>1</v>
      </c>
      <c r="L28" s="13">
        <f t="shared" si="6"/>
        <v>175</v>
      </c>
      <c r="M28" s="13"/>
      <c r="N28" s="13"/>
      <c r="O28" s="13">
        <v>175</v>
      </c>
      <c r="P28" s="13">
        <v>0</v>
      </c>
      <c r="Q28" s="13">
        <v>0</v>
      </c>
      <c r="R28" s="13">
        <f t="shared" si="7"/>
        <v>175</v>
      </c>
      <c r="S28" s="13">
        <v>0</v>
      </c>
      <c r="T28" s="13">
        <v>0</v>
      </c>
      <c r="U28" s="13">
        <f t="shared" si="8"/>
        <v>0</v>
      </c>
      <c r="V28" s="13">
        <v>0</v>
      </c>
      <c r="W28" s="13">
        <v>0</v>
      </c>
      <c r="X28" s="358">
        <f t="shared" si="9"/>
        <v>175</v>
      </c>
      <c r="Y28" s="233" t="b">
        <f t="shared" si="10"/>
        <v>1</v>
      </c>
    </row>
    <row r="29" spans="1:25" s="8" customFormat="1">
      <c r="A29" s="16">
        <v>15</v>
      </c>
      <c r="B29" t="s">
        <v>235</v>
      </c>
      <c r="C29" t="s">
        <v>1123</v>
      </c>
      <c r="D29" s="18"/>
      <c r="E29" s="13">
        <v>500.73</v>
      </c>
      <c r="F29" s="13">
        <v>0</v>
      </c>
      <c r="G29" s="13">
        <v>0</v>
      </c>
      <c r="H29" s="13">
        <f t="shared" si="4"/>
        <v>500.73</v>
      </c>
      <c r="I29" s="13">
        <v>0</v>
      </c>
      <c r="J29" s="13">
        <f t="shared" si="5"/>
        <v>500.73</v>
      </c>
      <c r="K29" s="153">
        <v>1</v>
      </c>
      <c r="L29" s="13">
        <f t="shared" si="6"/>
        <v>500.73</v>
      </c>
      <c r="M29" s="13"/>
      <c r="N29" s="13"/>
      <c r="O29" s="13">
        <v>500.06000000000006</v>
      </c>
      <c r="P29" s="13">
        <v>0</v>
      </c>
      <c r="Q29" s="13">
        <v>0</v>
      </c>
      <c r="R29" s="13">
        <f t="shared" si="7"/>
        <v>500.06000000000006</v>
      </c>
      <c r="S29" s="13">
        <v>0.67</v>
      </c>
      <c r="T29" s="13">
        <v>0</v>
      </c>
      <c r="U29" s="13">
        <f t="shared" si="8"/>
        <v>0.67</v>
      </c>
      <c r="V29" s="13">
        <v>0</v>
      </c>
      <c r="W29" s="13">
        <v>0</v>
      </c>
      <c r="X29" s="358">
        <f t="shared" si="9"/>
        <v>500.73000000000008</v>
      </c>
      <c r="Y29" s="233" t="b">
        <f t="shared" si="10"/>
        <v>1</v>
      </c>
    </row>
    <row r="30" spans="1:25" s="8" customFormat="1">
      <c r="A30" s="16">
        <v>16</v>
      </c>
      <c r="B30" t="s">
        <v>249</v>
      </c>
      <c r="C30" t="s">
        <v>726</v>
      </c>
      <c r="D30" s="18"/>
      <c r="E30" s="13">
        <v>76.86</v>
      </c>
      <c r="F30" s="13">
        <v>0</v>
      </c>
      <c r="G30" s="13">
        <v>0</v>
      </c>
      <c r="H30" s="13">
        <f t="shared" si="4"/>
        <v>76.86</v>
      </c>
      <c r="I30" s="13">
        <v>0</v>
      </c>
      <c r="J30" s="13">
        <f t="shared" si="5"/>
        <v>76.86</v>
      </c>
      <c r="K30" s="153">
        <v>1</v>
      </c>
      <c r="L30" s="13">
        <f t="shared" si="6"/>
        <v>76.86</v>
      </c>
      <c r="M30" s="13"/>
      <c r="N30" s="13"/>
      <c r="O30" s="13">
        <v>0</v>
      </c>
      <c r="P30" s="13">
        <v>0</v>
      </c>
      <c r="Q30" s="13">
        <v>0</v>
      </c>
      <c r="R30" s="13">
        <f t="shared" si="7"/>
        <v>0</v>
      </c>
      <c r="S30" s="13">
        <v>0</v>
      </c>
      <c r="T30" s="13">
        <v>0</v>
      </c>
      <c r="U30" s="13">
        <f t="shared" si="8"/>
        <v>0</v>
      </c>
      <c r="V30" s="13">
        <v>0</v>
      </c>
      <c r="W30" s="13">
        <v>76.86</v>
      </c>
      <c r="X30" s="358">
        <f t="shared" si="9"/>
        <v>76.86</v>
      </c>
      <c r="Y30" s="233" t="b">
        <f t="shared" si="10"/>
        <v>1</v>
      </c>
    </row>
    <row r="31" spans="1:25" s="8" customFormat="1">
      <c r="A31" s="16">
        <v>17</v>
      </c>
      <c r="B31" t="s">
        <v>249</v>
      </c>
      <c r="C31" t="s">
        <v>1128</v>
      </c>
      <c r="D31" s="18"/>
      <c r="E31" s="13">
        <v>37.5</v>
      </c>
      <c r="F31" s="13">
        <v>0</v>
      </c>
      <c r="G31" s="13">
        <v>0</v>
      </c>
      <c r="H31" s="13">
        <f t="shared" si="4"/>
        <v>37.5</v>
      </c>
      <c r="I31" s="13">
        <v>0</v>
      </c>
      <c r="J31" s="13">
        <f t="shared" si="5"/>
        <v>37.5</v>
      </c>
      <c r="K31" s="153">
        <v>1</v>
      </c>
      <c r="L31" s="13">
        <f t="shared" si="6"/>
        <v>37.5</v>
      </c>
      <c r="M31" s="13"/>
      <c r="N31" s="13"/>
      <c r="O31" s="13">
        <v>0</v>
      </c>
      <c r="P31" s="13">
        <v>0</v>
      </c>
      <c r="Q31" s="13">
        <v>0</v>
      </c>
      <c r="R31" s="13">
        <f t="shared" si="7"/>
        <v>0</v>
      </c>
      <c r="S31" s="13">
        <v>37.5</v>
      </c>
      <c r="T31" s="13">
        <v>0</v>
      </c>
      <c r="U31" s="13">
        <f t="shared" si="8"/>
        <v>37.5</v>
      </c>
      <c r="V31" s="13">
        <v>0</v>
      </c>
      <c r="W31" s="13">
        <v>0</v>
      </c>
      <c r="X31" s="358">
        <f t="shared" si="9"/>
        <v>37.5</v>
      </c>
      <c r="Y31" s="233" t="b">
        <f t="shared" si="10"/>
        <v>1</v>
      </c>
    </row>
    <row r="32" spans="1:25" s="8" customFormat="1">
      <c r="A32" s="16">
        <v>18</v>
      </c>
      <c r="B32" t="s">
        <v>249</v>
      </c>
      <c r="C32" t="s">
        <v>1122</v>
      </c>
      <c r="D32" s="18"/>
      <c r="E32" s="13">
        <v>50</v>
      </c>
      <c r="F32" s="13">
        <v>0</v>
      </c>
      <c r="G32" s="13">
        <v>0</v>
      </c>
      <c r="H32" s="13">
        <f t="shared" si="4"/>
        <v>50</v>
      </c>
      <c r="I32" s="13">
        <v>0</v>
      </c>
      <c r="J32" s="13">
        <f t="shared" si="5"/>
        <v>50</v>
      </c>
      <c r="K32" s="153">
        <v>1</v>
      </c>
      <c r="L32" s="13">
        <f t="shared" si="6"/>
        <v>50</v>
      </c>
      <c r="M32" s="13"/>
      <c r="N32" s="13"/>
      <c r="O32" s="13">
        <v>0</v>
      </c>
      <c r="P32" s="13">
        <v>0</v>
      </c>
      <c r="Q32" s="13">
        <v>0</v>
      </c>
      <c r="R32" s="13">
        <f t="shared" si="7"/>
        <v>0</v>
      </c>
      <c r="S32" s="13">
        <v>50</v>
      </c>
      <c r="T32" s="13">
        <v>0</v>
      </c>
      <c r="U32" s="13">
        <f t="shared" si="8"/>
        <v>50</v>
      </c>
      <c r="V32" s="13">
        <v>0</v>
      </c>
      <c r="W32" s="13">
        <v>0</v>
      </c>
      <c r="X32" s="358">
        <f t="shared" si="9"/>
        <v>50</v>
      </c>
      <c r="Y32" s="233" t="b">
        <f t="shared" si="10"/>
        <v>1</v>
      </c>
    </row>
    <row r="33" spans="1:25" s="8" customFormat="1">
      <c r="A33" s="16">
        <v>19</v>
      </c>
      <c r="B33" t="s">
        <v>249</v>
      </c>
      <c r="C33" t="s">
        <v>727</v>
      </c>
      <c r="D33" s="18"/>
      <c r="E33" s="13">
        <v>1.5</v>
      </c>
      <c r="F33" s="13">
        <v>0</v>
      </c>
      <c r="G33" s="13">
        <v>0</v>
      </c>
      <c r="H33" s="13">
        <f t="shared" si="4"/>
        <v>1.5</v>
      </c>
      <c r="I33" s="13">
        <v>0</v>
      </c>
      <c r="J33" s="13">
        <f t="shared" si="5"/>
        <v>1.5</v>
      </c>
      <c r="K33" s="153">
        <v>1</v>
      </c>
      <c r="L33" s="13">
        <f t="shared" si="6"/>
        <v>1.5</v>
      </c>
      <c r="M33" s="13"/>
      <c r="N33" s="13"/>
      <c r="O33" s="13">
        <v>0</v>
      </c>
      <c r="P33" s="13">
        <v>0</v>
      </c>
      <c r="Q33" s="13">
        <v>0</v>
      </c>
      <c r="R33" s="13">
        <f t="shared" si="7"/>
        <v>0</v>
      </c>
      <c r="S33" s="13">
        <v>1.5</v>
      </c>
      <c r="T33" s="13">
        <v>0</v>
      </c>
      <c r="U33" s="13">
        <f t="shared" si="8"/>
        <v>1.5</v>
      </c>
      <c r="V33" s="13">
        <v>0</v>
      </c>
      <c r="W33" s="13">
        <v>0</v>
      </c>
      <c r="X33" s="358">
        <f t="shared" si="9"/>
        <v>1.5</v>
      </c>
      <c r="Y33" s="233" t="b">
        <f t="shared" si="10"/>
        <v>1</v>
      </c>
    </row>
    <row r="34" spans="1:25" s="8" customFormat="1">
      <c r="A34" s="16">
        <v>20</v>
      </c>
      <c r="B34" t="s">
        <v>249</v>
      </c>
      <c r="C34" t="s">
        <v>730</v>
      </c>
      <c r="D34" s="18"/>
      <c r="E34" s="13">
        <v>119.6</v>
      </c>
      <c r="F34" s="13">
        <v>0</v>
      </c>
      <c r="G34" s="13">
        <v>0</v>
      </c>
      <c r="H34" s="13">
        <f t="shared" si="4"/>
        <v>119.6</v>
      </c>
      <c r="I34" s="13">
        <v>0</v>
      </c>
      <c r="J34" s="13">
        <f t="shared" si="5"/>
        <v>119.6</v>
      </c>
      <c r="K34" s="153">
        <v>1</v>
      </c>
      <c r="L34" s="13">
        <f t="shared" si="6"/>
        <v>119.6</v>
      </c>
      <c r="M34" s="13"/>
      <c r="N34" s="13"/>
      <c r="O34" s="13">
        <v>0</v>
      </c>
      <c r="P34" s="13">
        <v>0</v>
      </c>
      <c r="Q34" s="13">
        <v>0</v>
      </c>
      <c r="R34" s="13">
        <f t="shared" si="7"/>
        <v>0</v>
      </c>
      <c r="S34" s="13">
        <v>0</v>
      </c>
      <c r="T34" s="13">
        <v>0</v>
      </c>
      <c r="U34" s="13">
        <f t="shared" si="8"/>
        <v>0</v>
      </c>
      <c r="V34" s="13">
        <v>119.6</v>
      </c>
      <c r="W34" s="13">
        <v>0</v>
      </c>
      <c r="X34" s="358">
        <f t="shared" si="9"/>
        <v>119.6</v>
      </c>
      <c r="Y34" s="233" t="b">
        <f t="shared" si="10"/>
        <v>1</v>
      </c>
    </row>
    <row r="35" spans="1:25" s="8" customFormat="1">
      <c r="A35" s="16">
        <v>21</v>
      </c>
      <c r="B35" t="s">
        <v>249</v>
      </c>
      <c r="C35" t="s">
        <v>1129</v>
      </c>
      <c r="D35" s="18"/>
      <c r="E35" s="13">
        <v>190</v>
      </c>
      <c r="F35" s="13">
        <v>0</v>
      </c>
      <c r="G35" s="13">
        <v>0</v>
      </c>
      <c r="H35" s="13">
        <f t="shared" si="4"/>
        <v>190</v>
      </c>
      <c r="I35" s="13">
        <v>0</v>
      </c>
      <c r="J35" s="13">
        <f t="shared" si="5"/>
        <v>190</v>
      </c>
      <c r="K35" s="153">
        <v>1</v>
      </c>
      <c r="L35" s="13">
        <f t="shared" si="6"/>
        <v>190</v>
      </c>
      <c r="M35" s="13"/>
      <c r="N35" s="13"/>
      <c r="O35" s="13">
        <v>0</v>
      </c>
      <c r="P35" s="13">
        <v>0</v>
      </c>
      <c r="Q35" s="13">
        <v>0</v>
      </c>
      <c r="R35" s="13">
        <f t="shared" si="7"/>
        <v>0</v>
      </c>
      <c r="S35" s="13">
        <v>0</v>
      </c>
      <c r="T35" s="13">
        <v>0</v>
      </c>
      <c r="U35" s="13">
        <f t="shared" si="8"/>
        <v>0</v>
      </c>
      <c r="V35" s="13">
        <v>0</v>
      </c>
      <c r="W35" s="13">
        <v>190</v>
      </c>
      <c r="X35" s="358">
        <f t="shared" si="9"/>
        <v>190</v>
      </c>
      <c r="Y35" s="233" t="b">
        <f t="shared" si="10"/>
        <v>1</v>
      </c>
    </row>
    <row r="36" spans="1:25" s="8" customFormat="1">
      <c r="A36" s="16">
        <v>22</v>
      </c>
      <c r="B36" t="s">
        <v>249</v>
      </c>
      <c r="C36" t="s">
        <v>1130</v>
      </c>
      <c r="D36" s="18"/>
      <c r="E36" s="13">
        <v>88</v>
      </c>
      <c r="F36" s="13">
        <v>0</v>
      </c>
      <c r="G36" s="13">
        <v>0</v>
      </c>
      <c r="H36" s="13">
        <f t="shared" si="4"/>
        <v>88</v>
      </c>
      <c r="I36" s="13">
        <v>0</v>
      </c>
      <c r="J36" s="13">
        <f t="shared" si="5"/>
        <v>88</v>
      </c>
      <c r="K36" s="153">
        <v>1</v>
      </c>
      <c r="L36" s="13">
        <f t="shared" si="6"/>
        <v>88</v>
      </c>
      <c r="M36" s="13"/>
      <c r="N36" s="13"/>
      <c r="O36" s="13">
        <v>0</v>
      </c>
      <c r="P36" s="13">
        <v>0</v>
      </c>
      <c r="Q36" s="13">
        <v>0</v>
      </c>
      <c r="R36" s="13">
        <f t="shared" si="7"/>
        <v>0</v>
      </c>
      <c r="S36" s="13">
        <v>88</v>
      </c>
      <c r="T36" s="13">
        <v>0</v>
      </c>
      <c r="U36" s="13">
        <f t="shared" si="8"/>
        <v>88</v>
      </c>
      <c r="V36" s="13">
        <v>0</v>
      </c>
      <c r="W36" s="13">
        <v>0</v>
      </c>
      <c r="X36" s="358">
        <f t="shared" si="9"/>
        <v>88</v>
      </c>
      <c r="Y36" s="233" t="b">
        <f t="shared" si="10"/>
        <v>1</v>
      </c>
    </row>
    <row r="37" spans="1:25" s="8" customFormat="1">
      <c r="A37" s="16">
        <v>23</v>
      </c>
      <c r="B37" t="s">
        <v>246</v>
      </c>
      <c r="C37" t="s">
        <v>1123</v>
      </c>
      <c r="D37" s="18"/>
      <c r="E37" s="13">
        <v>25</v>
      </c>
      <c r="F37" s="13">
        <v>0</v>
      </c>
      <c r="G37" s="13">
        <v>0</v>
      </c>
      <c r="H37" s="13">
        <f t="shared" si="4"/>
        <v>25</v>
      </c>
      <c r="I37" s="13">
        <v>0</v>
      </c>
      <c r="J37" s="13">
        <f t="shared" si="5"/>
        <v>25</v>
      </c>
      <c r="K37" s="153">
        <v>1</v>
      </c>
      <c r="L37" s="13">
        <f t="shared" si="6"/>
        <v>25</v>
      </c>
      <c r="M37" s="13"/>
      <c r="N37" s="13"/>
      <c r="O37" s="13">
        <v>0</v>
      </c>
      <c r="P37" s="13">
        <v>0</v>
      </c>
      <c r="Q37" s="13">
        <v>0</v>
      </c>
      <c r="R37" s="13">
        <f t="shared" si="7"/>
        <v>0</v>
      </c>
      <c r="S37" s="13">
        <v>0</v>
      </c>
      <c r="T37" s="13">
        <v>0</v>
      </c>
      <c r="U37" s="13">
        <f t="shared" si="8"/>
        <v>0</v>
      </c>
      <c r="V37" s="13">
        <v>25</v>
      </c>
      <c r="W37" s="13">
        <v>0</v>
      </c>
      <c r="X37" s="358">
        <f t="shared" si="9"/>
        <v>25</v>
      </c>
      <c r="Y37" s="233" t="b">
        <f t="shared" si="10"/>
        <v>1</v>
      </c>
    </row>
    <row r="38" spans="1:25" s="8" customFormat="1">
      <c r="A38" s="16">
        <v>24</v>
      </c>
      <c r="B38" t="s">
        <v>250</v>
      </c>
      <c r="C38" t="s">
        <v>1128</v>
      </c>
      <c r="D38" s="18"/>
      <c r="E38" s="13">
        <v>12.64</v>
      </c>
      <c r="F38" s="13">
        <v>0</v>
      </c>
      <c r="G38" s="13">
        <v>0</v>
      </c>
      <c r="H38" s="13">
        <f t="shared" si="4"/>
        <v>12.64</v>
      </c>
      <c r="I38" s="13">
        <v>0</v>
      </c>
      <c r="J38" s="13">
        <f t="shared" si="5"/>
        <v>12.64</v>
      </c>
      <c r="K38" s="153">
        <v>1</v>
      </c>
      <c r="L38" s="13">
        <f t="shared" si="6"/>
        <v>12.64</v>
      </c>
      <c r="M38" s="13"/>
      <c r="N38" s="13"/>
      <c r="O38" s="13">
        <v>0</v>
      </c>
      <c r="P38" s="13">
        <v>0</v>
      </c>
      <c r="Q38" s="13">
        <v>0</v>
      </c>
      <c r="R38" s="13">
        <f t="shared" si="7"/>
        <v>0</v>
      </c>
      <c r="S38" s="13">
        <v>12.64</v>
      </c>
      <c r="T38" s="13">
        <v>0</v>
      </c>
      <c r="U38" s="13">
        <f t="shared" si="8"/>
        <v>12.64</v>
      </c>
      <c r="V38" s="13">
        <v>0</v>
      </c>
      <c r="W38" s="13">
        <v>0</v>
      </c>
      <c r="X38" s="358">
        <f t="shared" si="9"/>
        <v>12.64</v>
      </c>
      <c r="Y38" s="233" t="b">
        <f t="shared" si="10"/>
        <v>1</v>
      </c>
    </row>
    <row r="39" spans="1:25" s="8" customFormat="1">
      <c r="A39" s="16">
        <v>25</v>
      </c>
      <c r="B39" t="s">
        <v>250</v>
      </c>
      <c r="C39" t="s">
        <v>1131</v>
      </c>
      <c r="D39" s="18"/>
      <c r="E39" s="13">
        <v>2557.6</v>
      </c>
      <c r="F39" s="13">
        <v>0</v>
      </c>
      <c r="G39" s="13">
        <v>0</v>
      </c>
      <c r="H39" s="13">
        <f t="shared" si="4"/>
        <v>2557.6</v>
      </c>
      <c r="I39" s="13">
        <v>0</v>
      </c>
      <c r="J39" s="13">
        <f t="shared" si="5"/>
        <v>2557.6</v>
      </c>
      <c r="K39" s="153">
        <v>1</v>
      </c>
      <c r="L39" s="13">
        <f t="shared" si="6"/>
        <v>2557.6</v>
      </c>
      <c r="M39" s="13"/>
      <c r="N39" s="13"/>
      <c r="O39" s="13">
        <v>0</v>
      </c>
      <c r="P39" s="13">
        <v>0</v>
      </c>
      <c r="Q39" s="13">
        <v>0</v>
      </c>
      <c r="R39" s="13">
        <f t="shared" si="7"/>
        <v>0</v>
      </c>
      <c r="S39" s="13">
        <v>2557.6</v>
      </c>
      <c r="T39" s="13">
        <v>0</v>
      </c>
      <c r="U39" s="13">
        <f t="shared" si="8"/>
        <v>2557.6</v>
      </c>
      <c r="V39" s="13">
        <v>0</v>
      </c>
      <c r="W39" s="13">
        <v>0</v>
      </c>
      <c r="X39" s="358">
        <f t="shared" si="9"/>
        <v>2557.6</v>
      </c>
      <c r="Y39" s="233" t="b">
        <f t="shared" si="10"/>
        <v>1</v>
      </c>
    </row>
    <row r="40" spans="1:25" s="8" customFormat="1">
      <c r="A40" s="16">
        <v>26</v>
      </c>
      <c r="B40" t="s">
        <v>250</v>
      </c>
      <c r="C40" t="s">
        <v>1122</v>
      </c>
      <c r="D40" s="18"/>
      <c r="E40" s="13">
        <v>120</v>
      </c>
      <c r="F40" s="13">
        <v>0</v>
      </c>
      <c r="G40" s="13">
        <v>0</v>
      </c>
      <c r="H40" s="13">
        <f t="shared" si="4"/>
        <v>120</v>
      </c>
      <c r="I40" s="13">
        <v>0</v>
      </c>
      <c r="J40" s="13">
        <f t="shared" si="5"/>
        <v>120</v>
      </c>
      <c r="K40" s="153">
        <v>1</v>
      </c>
      <c r="L40" s="13">
        <f t="shared" si="6"/>
        <v>120</v>
      </c>
      <c r="M40" s="13"/>
      <c r="N40" s="13"/>
      <c r="O40" s="13">
        <v>0</v>
      </c>
      <c r="P40" s="13">
        <v>0</v>
      </c>
      <c r="Q40" s="13">
        <v>0</v>
      </c>
      <c r="R40" s="13">
        <f t="shared" si="7"/>
        <v>0</v>
      </c>
      <c r="S40" s="13">
        <v>120</v>
      </c>
      <c r="T40" s="13">
        <v>0</v>
      </c>
      <c r="U40" s="13">
        <f t="shared" si="8"/>
        <v>120</v>
      </c>
      <c r="V40" s="13">
        <v>0</v>
      </c>
      <c r="W40" s="13">
        <v>0</v>
      </c>
      <c r="X40" s="358">
        <f t="shared" si="9"/>
        <v>120</v>
      </c>
      <c r="Y40" s="233" t="b">
        <f t="shared" si="10"/>
        <v>1</v>
      </c>
    </row>
    <row r="41" spans="1:25" s="8" customFormat="1">
      <c r="A41" s="16">
        <v>27</v>
      </c>
      <c r="B41" t="s">
        <v>250</v>
      </c>
      <c r="C41" t="s">
        <v>1125</v>
      </c>
      <c r="D41" s="18"/>
      <c r="E41" s="13">
        <v>96.5</v>
      </c>
      <c r="F41" s="13">
        <v>0</v>
      </c>
      <c r="G41" s="13">
        <v>0</v>
      </c>
      <c r="H41" s="13">
        <f t="shared" si="4"/>
        <v>96.5</v>
      </c>
      <c r="I41" s="13">
        <v>0</v>
      </c>
      <c r="J41" s="13">
        <f t="shared" si="5"/>
        <v>96.5</v>
      </c>
      <c r="K41" s="153">
        <v>1</v>
      </c>
      <c r="L41" s="13">
        <f t="shared" si="6"/>
        <v>96.5</v>
      </c>
      <c r="M41" s="13"/>
      <c r="N41" s="13"/>
      <c r="O41" s="13">
        <v>0</v>
      </c>
      <c r="P41" s="13">
        <v>0</v>
      </c>
      <c r="Q41" s="13">
        <v>0</v>
      </c>
      <c r="R41" s="13">
        <f t="shared" si="7"/>
        <v>0</v>
      </c>
      <c r="S41" s="13">
        <v>96.5</v>
      </c>
      <c r="T41" s="13">
        <v>0</v>
      </c>
      <c r="U41" s="13">
        <f t="shared" si="8"/>
        <v>96.5</v>
      </c>
      <c r="V41" s="13">
        <v>0</v>
      </c>
      <c r="W41" s="13">
        <v>0</v>
      </c>
      <c r="X41" s="358">
        <f t="shared" si="9"/>
        <v>96.5</v>
      </c>
      <c r="Y41" s="233" t="b">
        <f t="shared" si="10"/>
        <v>1</v>
      </c>
    </row>
    <row r="42" spans="1:25" s="8" customFormat="1">
      <c r="A42" s="16">
        <v>28</v>
      </c>
      <c r="B42" t="s">
        <v>250</v>
      </c>
      <c r="C42" t="s">
        <v>731</v>
      </c>
      <c r="D42" s="18"/>
      <c r="E42" s="13">
        <v>246.35000000000002</v>
      </c>
      <c r="F42" s="13">
        <v>0</v>
      </c>
      <c r="G42" s="13">
        <v>0</v>
      </c>
      <c r="H42" s="13">
        <f t="shared" si="4"/>
        <v>246.35000000000002</v>
      </c>
      <c r="I42" s="13">
        <v>0</v>
      </c>
      <c r="J42" s="13">
        <f t="shared" si="5"/>
        <v>246.35000000000002</v>
      </c>
      <c r="K42" s="153">
        <v>1</v>
      </c>
      <c r="L42" s="13">
        <f t="shared" si="6"/>
        <v>246.35000000000002</v>
      </c>
      <c r="M42" s="13"/>
      <c r="N42" s="13"/>
      <c r="O42" s="13">
        <v>0</v>
      </c>
      <c r="P42" s="13">
        <v>0</v>
      </c>
      <c r="Q42" s="13">
        <v>0</v>
      </c>
      <c r="R42" s="13">
        <f t="shared" si="7"/>
        <v>0</v>
      </c>
      <c r="S42" s="13">
        <v>246.35000000000002</v>
      </c>
      <c r="T42" s="13">
        <v>0</v>
      </c>
      <c r="U42" s="13">
        <f t="shared" si="8"/>
        <v>246.35000000000002</v>
      </c>
      <c r="V42" s="13">
        <v>0</v>
      </c>
      <c r="W42" s="13">
        <v>0</v>
      </c>
      <c r="X42" s="358">
        <f t="shared" si="9"/>
        <v>246.35000000000002</v>
      </c>
      <c r="Y42" s="233" t="b">
        <f t="shared" si="10"/>
        <v>1</v>
      </c>
    </row>
    <row r="43" spans="1:25" s="8" customFormat="1">
      <c r="A43" s="16">
        <v>29</v>
      </c>
      <c r="B43" t="s">
        <v>250</v>
      </c>
      <c r="C43" t="s">
        <v>1127</v>
      </c>
      <c r="D43" s="18"/>
      <c r="E43" s="13">
        <v>12.66</v>
      </c>
      <c r="F43" s="13">
        <v>0</v>
      </c>
      <c r="G43" s="13">
        <v>0</v>
      </c>
      <c r="H43" s="13">
        <f t="shared" si="4"/>
        <v>12.66</v>
      </c>
      <c r="I43" s="13">
        <v>0</v>
      </c>
      <c r="J43" s="13">
        <f t="shared" si="5"/>
        <v>12.66</v>
      </c>
      <c r="K43" s="153">
        <v>1</v>
      </c>
      <c r="L43" s="13">
        <f t="shared" si="6"/>
        <v>12.66</v>
      </c>
      <c r="M43" s="13"/>
      <c r="N43" s="13"/>
      <c r="O43" s="13">
        <v>0</v>
      </c>
      <c r="P43" s="13">
        <v>0</v>
      </c>
      <c r="Q43" s="13">
        <v>0</v>
      </c>
      <c r="R43" s="13">
        <f t="shared" si="7"/>
        <v>0</v>
      </c>
      <c r="S43" s="13">
        <v>12.66</v>
      </c>
      <c r="T43" s="13">
        <v>0</v>
      </c>
      <c r="U43" s="13">
        <f t="shared" si="8"/>
        <v>12.66</v>
      </c>
      <c r="V43" s="13">
        <v>0</v>
      </c>
      <c r="W43" s="13">
        <v>0</v>
      </c>
      <c r="X43" s="358">
        <f t="shared" si="9"/>
        <v>12.66</v>
      </c>
      <c r="Y43" s="233" t="b">
        <f t="shared" si="10"/>
        <v>1</v>
      </c>
    </row>
    <row r="44" spans="1:25" s="8" customFormat="1">
      <c r="A44" s="16">
        <v>30</v>
      </c>
      <c r="B44" t="s">
        <v>250</v>
      </c>
      <c r="C44" t="s">
        <v>1132</v>
      </c>
      <c r="D44" s="18"/>
      <c r="E44" s="13">
        <v>637.5</v>
      </c>
      <c r="F44" s="13">
        <v>0</v>
      </c>
      <c r="G44" s="13">
        <v>0</v>
      </c>
      <c r="H44" s="13">
        <f t="shared" si="4"/>
        <v>637.5</v>
      </c>
      <c r="I44" s="13">
        <v>0</v>
      </c>
      <c r="J44" s="13">
        <f t="shared" si="5"/>
        <v>637.5</v>
      </c>
      <c r="K44" s="153">
        <v>1</v>
      </c>
      <c r="L44" s="13">
        <f t="shared" si="6"/>
        <v>637.5</v>
      </c>
      <c r="M44" s="13"/>
      <c r="N44" s="13"/>
      <c r="O44" s="13">
        <v>0</v>
      </c>
      <c r="P44" s="13">
        <v>0</v>
      </c>
      <c r="Q44" s="13">
        <v>0</v>
      </c>
      <c r="R44" s="13">
        <f t="shared" si="7"/>
        <v>0</v>
      </c>
      <c r="S44" s="13">
        <v>637.5</v>
      </c>
      <c r="T44" s="13">
        <v>0</v>
      </c>
      <c r="U44" s="13">
        <f t="shared" si="8"/>
        <v>637.5</v>
      </c>
      <c r="V44" s="13">
        <v>0</v>
      </c>
      <c r="W44" s="13">
        <v>0</v>
      </c>
      <c r="X44" s="358">
        <f t="shared" si="9"/>
        <v>637.5</v>
      </c>
      <c r="Y44" s="233" t="b">
        <f t="shared" si="10"/>
        <v>1</v>
      </c>
    </row>
    <row r="45" spans="1:25" s="8" customFormat="1">
      <c r="A45" s="16">
        <v>31</v>
      </c>
      <c r="B45" t="s">
        <v>250</v>
      </c>
      <c r="C45" t="s">
        <v>1123</v>
      </c>
      <c r="D45" s="18"/>
      <c r="E45" s="13">
        <v>103</v>
      </c>
      <c r="F45" s="13">
        <v>0</v>
      </c>
      <c r="G45" s="13">
        <v>0</v>
      </c>
      <c r="H45" s="13">
        <f t="shared" si="4"/>
        <v>103</v>
      </c>
      <c r="I45" s="13">
        <v>0</v>
      </c>
      <c r="J45" s="13">
        <f t="shared" si="5"/>
        <v>103</v>
      </c>
      <c r="K45" s="153">
        <v>1</v>
      </c>
      <c r="L45" s="13">
        <f t="shared" si="6"/>
        <v>103</v>
      </c>
      <c r="M45" s="13"/>
      <c r="N45" s="13"/>
      <c r="O45" s="13">
        <v>0</v>
      </c>
      <c r="P45" s="13">
        <v>0</v>
      </c>
      <c r="Q45" s="13">
        <v>0</v>
      </c>
      <c r="R45" s="13">
        <f t="shared" si="7"/>
        <v>0</v>
      </c>
      <c r="S45" s="13">
        <v>103</v>
      </c>
      <c r="T45" s="13">
        <v>0</v>
      </c>
      <c r="U45" s="13">
        <f t="shared" si="8"/>
        <v>103</v>
      </c>
      <c r="V45" s="13">
        <v>0</v>
      </c>
      <c r="W45" s="13">
        <v>0</v>
      </c>
      <c r="X45" s="358">
        <f t="shared" si="9"/>
        <v>103</v>
      </c>
      <c r="Y45" s="233" t="b">
        <f t="shared" si="10"/>
        <v>1</v>
      </c>
    </row>
    <row r="46" spans="1:25" s="8" customFormat="1">
      <c r="A46" s="16">
        <v>32</v>
      </c>
      <c r="B46" t="s">
        <v>250</v>
      </c>
      <c r="C46" t="s">
        <v>1133</v>
      </c>
      <c r="D46" s="18"/>
      <c r="E46" s="13">
        <v>82.45</v>
      </c>
      <c r="F46" s="13">
        <v>0</v>
      </c>
      <c r="G46" s="13">
        <v>0</v>
      </c>
      <c r="H46" s="13">
        <f t="shared" si="4"/>
        <v>82.45</v>
      </c>
      <c r="I46" s="13">
        <v>0</v>
      </c>
      <c r="J46" s="13">
        <f t="shared" si="5"/>
        <v>82.45</v>
      </c>
      <c r="K46" s="153">
        <v>1</v>
      </c>
      <c r="L46" s="13">
        <f t="shared" si="6"/>
        <v>82.45</v>
      </c>
      <c r="M46" s="13"/>
      <c r="N46" s="13"/>
      <c r="O46" s="13">
        <v>0</v>
      </c>
      <c r="P46" s="13">
        <v>0</v>
      </c>
      <c r="Q46" s="13">
        <v>0</v>
      </c>
      <c r="R46" s="13">
        <f t="shared" si="7"/>
        <v>0</v>
      </c>
      <c r="S46" s="13">
        <v>82.45</v>
      </c>
      <c r="T46" s="13">
        <v>0</v>
      </c>
      <c r="U46" s="13">
        <f t="shared" si="8"/>
        <v>82.45</v>
      </c>
      <c r="V46" s="13">
        <v>0</v>
      </c>
      <c r="W46" s="13">
        <v>0</v>
      </c>
      <c r="X46" s="358">
        <f t="shared" si="9"/>
        <v>82.45</v>
      </c>
      <c r="Y46" s="233" t="b">
        <f t="shared" si="10"/>
        <v>1</v>
      </c>
    </row>
    <row r="47" spans="1:25" s="8" customFormat="1">
      <c r="A47" s="16">
        <v>33</v>
      </c>
      <c r="B47" t="s">
        <v>256</v>
      </c>
      <c r="C47" t="s">
        <v>730</v>
      </c>
      <c r="D47" s="18"/>
      <c r="E47" s="13">
        <v>74.75</v>
      </c>
      <c r="F47" s="13">
        <v>0</v>
      </c>
      <c r="G47" s="13">
        <v>0</v>
      </c>
      <c r="H47" s="13">
        <f t="shared" si="4"/>
        <v>74.75</v>
      </c>
      <c r="I47" s="13">
        <v>0</v>
      </c>
      <c r="J47" s="13">
        <f t="shared" si="5"/>
        <v>74.75</v>
      </c>
      <c r="K47" s="153">
        <v>1</v>
      </c>
      <c r="L47" s="13">
        <f t="shared" si="6"/>
        <v>74.75</v>
      </c>
      <c r="M47" s="13"/>
      <c r="N47" s="13"/>
      <c r="O47" s="13">
        <v>0</v>
      </c>
      <c r="P47" s="13">
        <v>0</v>
      </c>
      <c r="Q47" s="13">
        <v>0</v>
      </c>
      <c r="R47" s="13">
        <f t="shared" si="7"/>
        <v>0</v>
      </c>
      <c r="S47" s="13">
        <v>0</v>
      </c>
      <c r="T47" s="13">
        <v>0</v>
      </c>
      <c r="U47" s="13">
        <f t="shared" si="8"/>
        <v>0</v>
      </c>
      <c r="V47" s="13">
        <v>74.75</v>
      </c>
      <c r="W47" s="13">
        <v>0</v>
      </c>
      <c r="X47" s="358">
        <f t="shared" si="9"/>
        <v>74.75</v>
      </c>
      <c r="Y47" s="233" t="b">
        <f t="shared" si="10"/>
        <v>1</v>
      </c>
    </row>
    <row r="48" spans="1:25" s="8" customFormat="1">
      <c r="A48" s="16">
        <v>34</v>
      </c>
      <c r="B48" t="s">
        <v>329</v>
      </c>
      <c r="C48" t="s">
        <v>1130</v>
      </c>
      <c r="D48" s="18"/>
      <c r="E48" s="13">
        <v>88</v>
      </c>
      <c r="F48" s="13">
        <v>0</v>
      </c>
      <c r="G48" s="13">
        <v>0</v>
      </c>
      <c r="H48" s="13">
        <f t="shared" si="4"/>
        <v>88</v>
      </c>
      <c r="I48" s="13">
        <v>0</v>
      </c>
      <c r="J48" s="13">
        <f t="shared" si="5"/>
        <v>88</v>
      </c>
      <c r="K48" s="153">
        <v>1</v>
      </c>
      <c r="L48" s="13">
        <f t="shared" si="6"/>
        <v>88</v>
      </c>
      <c r="M48" s="13"/>
      <c r="N48" s="13"/>
      <c r="O48" s="13">
        <v>0</v>
      </c>
      <c r="P48" s="13">
        <v>0</v>
      </c>
      <c r="Q48" s="13">
        <v>0</v>
      </c>
      <c r="R48" s="13">
        <f t="shared" si="7"/>
        <v>0</v>
      </c>
      <c r="S48" s="13">
        <v>0</v>
      </c>
      <c r="T48" s="13">
        <v>0</v>
      </c>
      <c r="U48" s="13">
        <f t="shared" si="8"/>
        <v>0</v>
      </c>
      <c r="V48" s="13">
        <v>0</v>
      </c>
      <c r="W48" s="13">
        <v>88</v>
      </c>
      <c r="X48" s="358">
        <f t="shared" si="9"/>
        <v>88</v>
      </c>
      <c r="Y48" s="233" t="b">
        <f t="shared" si="10"/>
        <v>1</v>
      </c>
    </row>
    <row r="49" spans="1:25" s="8" customFormat="1">
      <c r="A49" s="16">
        <v>35</v>
      </c>
      <c r="B49" t="s">
        <v>270</v>
      </c>
      <c r="C49" t="s">
        <v>726</v>
      </c>
      <c r="D49" s="18"/>
      <c r="E49" s="13">
        <v>121.36</v>
      </c>
      <c r="F49" s="13">
        <v>0</v>
      </c>
      <c r="G49" s="13">
        <v>0</v>
      </c>
      <c r="H49" s="13">
        <f t="shared" si="4"/>
        <v>121.36</v>
      </c>
      <c r="I49" s="13">
        <v>0</v>
      </c>
      <c r="J49" s="13">
        <f t="shared" si="5"/>
        <v>121.36</v>
      </c>
      <c r="K49" s="153">
        <v>1</v>
      </c>
      <c r="L49" s="13">
        <f t="shared" si="6"/>
        <v>121.36</v>
      </c>
      <c r="M49" s="13"/>
      <c r="N49" s="13"/>
      <c r="O49" s="13">
        <v>27.28</v>
      </c>
      <c r="P49" s="13">
        <v>0</v>
      </c>
      <c r="Q49" s="13">
        <v>0</v>
      </c>
      <c r="R49" s="13">
        <f t="shared" si="7"/>
        <v>27.28</v>
      </c>
      <c r="S49" s="13">
        <v>72.86</v>
      </c>
      <c r="T49" s="13">
        <v>0</v>
      </c>
      <c r="U49" s="13">
        <f t="shared" si="8"/>
        <v>72.86</v>
      </c>
      <c r="V49" s="13">
        <v>20.38</v>
      </c>
      <c r="W49" s="13">
        <v>0.84</v>
      </c>
      <c r="X49" s="358">
        <f t="shared" si="9"/>
        <v>121.36</v>
      </c>
      <c r="Y49" s="233" t="b">
        <f t="shared" si="10"/>
        <v>1</v>
      </c>
    </row>
    <row r="50" spans="1:25" s="8" customFormat="1">
      <c r="A50" s="16">
        <v>36</v>
      </c>
      <c r="B50" t="s">
        <v>270</v>
      </c>
      <c r="C50" t="s">
        <v>1128</v>
      </c>
      <c r="D50" s="18"/>
      <c r="E50" s="13">
        <v>112</v>
      </c>
      <c r="F50" s="13">
        <v>0</v>
      </c>
      <c r="G50" s="13">
        <v>0</v>
      </c>
      <c r="H50" s="13">
        <f t="shared" si="4"/>
        <v>112</v>
      </c>
      <c r="I50" s="13">
        <v>0</v>
      </c>
      <c r="J50" s="13">
        <f t="shared" si="5"/>
        <v>112</v>
      </c>
      <c r="K50" s="153">
        <v>1</v>
      </c>
      <c r="L50" s="13">
        <f t="shared" si="6"/>
        <v>112</v>
      </c>
      <c r="M50" s="13"/>
      <c r="N50" s="13"/>
      <c r="O50" s="13">
        <v>25.18</v>
      </c>
      <c r="P50" s="13">
        <v>0</v>
      </c>
      <c r="Q50" s="13">
        <v>0</v>
      </c>
      <c r="R50" s="13">
        <f t="shared" si="7"/>
        <v>25.18</v>
      </c>
      <c r="S50" s="13">
        <v>67.25</v>
      </c>
      <c r="T50" s="13">
        <v>0</v>
      </c>
      <c r="U50" s="13">
        <f t="shared" si="8"/>
        <v>67.25</v>
      </c>
      <c r="V50" s="13">
        <v>18.8</v>
      </c>
      <c r="W50" s="13">
        <v>0.77</v>
      </c>
      <c r="X50" s="358">
        <f t="shared" si="9"/>
        <v>112</v>
      </c>
      <c r="Y50" s="233" t="b">
        <f t="shared" si="10"/>
        <v>1</v>
      </c>
    </row>
    <row r="51" spans="1:25" s="8" customFormat="1">
      <c r="A51" s="16">
        <v>37</v>
      </c>
      <c r="B51" t="s">
        <v>270</v>
      </c>
      <c r="C51" t="s">
        <v>1131</v>
      </c>
      <c r="D51" s="18"/>
      <c r="E51" s="13">
        <v>270</v>
      </c>
      <c r="F51" s="13">
        <v>0</v>
      </c>
      <c r="G51" s="13">
        <v>0</v>
      </c>
      <c r="H51" s="13">
        <f t="shared" si="4"/>
        <v>270</v>
      </c>
      <c r="I51" s="13">
        <v>0</v>
      </c>
      <c r="J51" s="13">
        <f t="shared" si="5"/>
        <v>270</v>
      </c>
      <c r="K51" s="153">
        <v>1</v>
      </c>
      <c r="L51" s="13">
        <f t="shared" si="6"/>
        <v>270</v>
      </c>
      <c r="M51" s="13"/>
      <c r="N51" s="13"/>
      <c r="O51" s="13">
        <v>60.7</v>
      </c>
      <c r="P51" s="13">
        <v>0</v>
      </c>
      <c r="Q51" s="13">
        <v>0</v>
      </c>
      <c r="R51" s="13">
        <f t="shared" si="7"/>
        <v>60.7</v>
      </c>
      <c r="S51" s="13">
        <v>162.11000000000001</v>
      </c>
      <c r="T51" s="13">
        <v>0</v>
      </c>
      <c r="U51" s="13">
        <f t="shared" si="8"/>
        <v>162.11000000000001</v>
      </c>
      <c r="V51" s="13">
        <v>45.33</v>
      </c>
      <c r="W51" s="13">
        <v>1.86</v>
      </c>
      <c r="X51" s="358">
        <f t="shared" si="9"/>
        <v>270</v>
      </c>
      <c r="Y51" s="233" t="b">
        <f t="shared" si="10"/>
        <v>1</v>
      </c>
    </row>
    <row r="52" spans="1:25" s="8" customFormat="1">
      <c r="A52" s="16">
        <v>38</v>
      </c>
      <c r="B52" t="s">
        <v>270</v>
      </c>
      <c r="C52" t="s">
        <v>520</v>
      </c>
      <c r="D52" s="18"/>
      <c r="E52" s="13">
        <v>320</v>
      </c>
      <c r="F52" s="13">
        <v>0</v>
      </c>
      <c r="G52" s="13">
        <v>0</v>
      </c>
      <c r="H52" s="13">
        <f t="shared" si="4"/>
        <v>320</v>
      </c>
      <c r="I52" s="13">
        <v>0</v>
      </c>
      <c r="J52" s="13">
        <f t="shared" si="5"/>
        <v>320</v>
      </c>
      <c r="K52" s="153">
        <v>1</v>
      </c>
      <c r="L52" s="13">
        <f t="shared" si="6"/>
        <v>320</v>
      </c>
      <c r="M52" s="13"/>
      <c r="N52" s="13"/>
      <c r="O52" s="13">
        <v>60.7</v>
      </c>
      <c r="P52" s="13">
        <v>0</v>
      </c>
      <c r="Q52" s="13">
        <v>0</v>
      </c>
      <c r="R52" s="13">
        <f t="shared" si="7"/>
        <v>60.7</v>
      </c>
      <c r="S52" s="13">
        <v>162.11000000000001</v>
      </c>
      <c r="T52" s="13">
        <v>0</v>
      </c>
      <c r="U52" s="13">
        <f t="shared" si="8"/>
        <v>162.11000000000001</v>
      </c>
      <c r="V52" s="13">
        <v>45.33</v>
      </c>
      <c r="W52" s="13">
        <v>51.86</v>
      </c>
      <c r="X52" s="358">
        <f t="shared" si="9"/>
        <v>320</v>
      </c>
      <c r="Y52" s="233" t="b">
        <f t="shared" si="10"/>
        <v>1</v>
      </c>
    </row>
    <row r="53" spans="1:25" s="8" customFormat="1">
      <c r="A53" s="16">
        <v>39</v>
      </c>
      <c r="B53" t="s">
        <v>270</v>
      </c>
      <c r="C53" t="s">
        <v>1134</v>
      </c>
      <c r="D53" s="18"/>
      <c r="E53" s="13">
        <v>41.12</v>
      </c>
      <c r="F53" s="13">
        <v>0</v>
      </c>
      <c r="G53" s="13">
        <v>0</v>
      </c>
      <c r="H53" s="13">
        <f t="shared" si="4"/>
        <v>41.12</v>
      </c>
      <c r="I53" s="13">
        <v>0</v>
      </c>
      <c r="J53" s="13">
        <f t="shared" si="5"/>
        <v>41.12</v>
      </c>
      <c r="K53" s="153">
        <v>1</v>
      </c>
      <c r="L53" s="13">
        <f t="shared" si="6"/>
        <v>41.12</v>
      </c>
      <c r="M53" s="13"/>
      <c r="N53" s="13"/>
      <c r="O53" s="13">
        <v>0</v>
      </c>
      <c r="P53" s="13">
        <v>0</v>
      </c>
      <c r="Q53" s="13">
        <v>0</v>
      </c>
      <c r="R53" s="13">
        <f t="shared" si="7"/>
        <v>0</v>
      </c>
      <c r="S53" s="13">
        <v>0</v>
      </c>
      <c r="T53" s="13">
        <v>0</v>
      </c>
      <c r="U53" s="13">
        <f t="shared" si="8"/>
        <v>0</v>
      </c>
      <c r="V53" s="13">
        <v>0</v>
      </c>
      <c r="W53" s="13">
        <v>41.12</v>
      </c>
      <c r="X53" s="358">
        <f t="shared" si="9"/>
        <v>41.12</v>
      </c>
      <c r="Y53" s="233" t="b">
        <f t="shared" si="10"/>
        <v>1</v>
      </c>
    </row>
    <row r="54" spans="1:25" s="8" customFormat="1">
      <c r="A54" s="16">
        <v>40</v>
      </c>
      <c r="B54" t="s">
        <v>270</v>
      </c>
      <c r="C54" t="s">
        <v>1122</v>
      </c>
      <c r="D54" s="18"/>
      <c r="E54" s="13">
        <v>841.6</v>
      </c>
      <c r="F54" s="13">
        <v>0</v>
      </c>
      <c r="G54" s="13">
        <v>0</v>
      </c>
      <c r="H54" s="13">
        <f t="shared" si="4"/>
        <v>841.6</v>
      </c>
      <c r="I54" s="13">
        <v>0</v>
      </c>
      <c r="J54" s="13">
        <f t="shared" si="5"/>
        <v>841.6</v>
      </c>
      <c r="K54" s="153">
        <v>1</v>
      </c>
      <c r="L54" s="13">
        <f t="shared" si="6"/>
        <v>841.6</v>
      </c>
      <c r="M54" s="13"/>
      <c r="N54" s="13"/>
      <c r="O54" s="13">
        <v>76.759999999999991</v>
      </c>
      <c r="P54" s="13">
        <v>0</v>
      </c>
      <c r="Q54" s="13">
        <v>0</v>
      </c>
      <c r="R54" s="13">
        <f t="shared" si="7"/>
        <v>76.759999999999991</v>
      </c>
      <c r="S54" s="13">
        <v>147.28</v>
      </c>
      <c r="T54" s="13">
        <v>0</v>
      </c>
      <c r="U54" s="13">
        <f t="shared" si="8"/>
        <v>147.28</v>
      </c>
      <c r="V54" s="13">
        <v>40.880000000000003</v>
      </c>
      <c r="W54" s="13">
        <v>576.68000000000006</v>
      </c>
      <c r="X54" s="358">
        <f t="shared" si="9"/>
        <v>841.60000000000014</v>
      </c>
      <c r="Y54" s="233" t="b">
        <f t="shared" si="10"/>
        <v>1</v>
      </c>
    </row>
    <row r="55" spans="1:25" s="8" customFormat="1">
      <c r="A55" s="16">
        <v>41</v>
      </c>
      <c r="B55" t="s">
        <v>270</v>
      </c>
      <c r="C55" t="s">
        <v>727</v>
      </c>
      <c r="D55" s="18"/>
      <c r="E55" s="13">
        <v>50</v>
      </c>
      <c r="F55" s="13">
        <v>0</v>
      </c>
      <c r="G55" s="13">
        <v>0</v>
      </c>
      <c r="H55" s="13">
        <f t="shared" si="4"/>
        <v>50</v>
      </c>
      <c r="I55" s="13">
        <v>0</v>
      </c>
      <c r="J55" s="13">
        <f t="shared" si="5"/>
        <v>50</v>
      </c>
      <c r="K55" s="153">
        <v>1</v>
      </c>
      <c r="L55" s="13">
        <f t="shared" si="6"/>
        <v>50</v>
      </c>
      <c r="M55" s="13"/>
      <c r="N55" s="13"/>
      <c r="O55" s="13">
        <v>0</v>
      </c>
      <c r="P55" s="13">
        <v>0</v>
      </c>
      <c r="Q55" s="13">
        <v>0</v>
      </c>
      <c r="R55" s="13">
        <f t="shared" si="7"/>
        <v>0</v>
      </c>
      <c r="S55" s="13">
        <v>0</v>
      </c>
      <c r="T55" s="13">
        <v>0</v>
      </c>
      <c r="U55" s="13">
        <f t="shared" si="8"/>
        <v>0</v>
      </c>
      <c r="V55" s="13">
        <v>0</v>
      </c>
      <c r="W55" s="13">
        <v>50</v>
      </c>
      <c r="X55" s="358">
        <f t="shared" si="9"/>
        <v>50</v>
      </c>
      <c r="Y55" s="233" t="b">
        <f t="shared" si="10"/>
        <v>1</v>
      </c>
    </row>
    <row r="56" spans="1:25" s="8" customFormat="1">
      <c r="A56" s="16">
        <v>42</v>
      </c>
      <c r="B56" t="s">
        <v>270</v>
      </c>
      <c r="C56" t="s">
        <v>731</v>
      </c>
      <c r="D56" s="18"/>
      <c r="E56" s="13">
        <v>2299</v>
      </c>
      <c r="F56" s="13">
        <v>0</v>
      </c>
      <c r="G56" s="13">
        <v>0</v>
      </c>
      <c r="H56" s="13">
        <f t="shared" si="4"/>
        <v>2299</v>
      </c>
      <c r="I56" s="13">
        <v>0</v>
      </c>
      <c r="J56" s="13">
        <f t="shared" si="5"/>
        <v>2299</v>
      </c>
      <c r="K56" s="153">
        <v>1</v>
      </c>
      <c r="L56" s="13">
        <f t="shared" si="6"/>
        <v>2299</v>
      </c>
      <c r="M56" s="13"/>
      <c r="N56" s="13"/>
      <c r="O56" s="13">
        <v>119.14</v>
      </c>
      <c r="P56" s="13">
        <v>0</v>
      </c>
      <c r="Q56" s="13">
        <v>0</v>
      </c>
      <c r="R56" s="13">
        <f t="shared" si="7"/>
        <v>119.14</v>
      </c>
      <c r="S56" s="13">
        <v>318.20999999999998</v>
      </c>
      <c r="T56" s="13">
        <v>0</v>
      </c>
      <c r="U56" s="13">
        <f t="shared" si="8"/>
        <v>318.20999999999998</v>
      </c>
      <c r="V56" s="13">
        <v>88.99</v>
      </c>
      <c r="W56" s="13">
        <v>1772.66</v>
      </c>
      <c r="X56" s="358">
        <f t="shared" si="9"/>
        <v>2299</v>
      </c>
      <c r="Y56" s="233" t="b">
        <f t="shared" si="10"/>
        <v>1</v>
      </c>
    </row>
    <row r="57" spans="1:25" s="8" customFormat="1">
      <c r="A57" s="16">
        <v>43</v>
      </c>
      <c r="B57" t="s">
        <v>270</v>
      </c>
      <c r="C57" t="s">
        <v>1127</v>
      </c>
      <c r="D57" s="18"/>
      <c r="E57" s="13">
        <v>244.98999999999998</v>
      </c>
      <c r="F57" s="13">
        <v>0</v>
      </c>
      <c r="G57" s="13">
        <v>0</v>
      </c>
      <c r="H57" s="13">
        <f t="shared" si="4"/>
        <v>244.98999999999998</v>
      </c>
      <c r="I57" s="13">
        <v>0</v>
      </c>
      <c r="J57" s="13">
        <f t="shared" si="5"/>
        <v>244.98999999999998</v>
      </c>
      <c r="K57" s="153">
        <v>1</v>
      </c>
      <c r="L57" s="13">
        <f t="shared" si="6"/>
        <v>244.98999999999998</v>
      </c>
      <c r="M57" s="13"/>
      <c r="N57" s="13"/>
      <c r="O57" s="13">
        <v>15.02</v>
      </c>
      <c r="P57" s="13">
        <v>0</v>
      </c>
      <c r="Q57" s="13">
        <v>0</v>
      </c>
      <c r="R57" s="13">
        <f t="shared" si="7"/>
        <v>15.02</v>
      </c>
      <c r="S57" s="13">
        <v>40.120000000000005</v>
      </c>
      <c r="T57" s="13">
        <v>0</v>
      </c>
      <c r="U57" s="13">
        <f t="shared" si="8"/>
        <v>40.120000000000005</v>
      </c>
      <c r="V57" s="13">
        <v>11.22</v>
      </c>
      <c r="W57" s="13">
        <v>178.63</v>
      </c>
      <c r="X57" s="358">
        <f t="shared" si="9"/>
        <v>244.99</v>
      </c>
      <c r="Y57" s="233" t="b">
        <f t="shared" si="10"/>
        <v>1</v>
      </c>
    </row>
    <row r="58" spans="1:25" s="8" customFormat="1">
      <c r="A58" s="16">
        <v>44</v>
      </c>
      <c r="B58" t="s">
        <v>270</v>
      </c>
      <c r="C58" t="s">
        <v>728</v>
      </c>
      <c r="D58" s="18"/>
      <c r="E58" s="13">
        <v>528</v>
      </c>
      <c r="F58" s="13">
        <v>0</v>
      </c>
      <c r="G58" s="13">
        <v>0</v>
      </c>
      <c r="H58" s="13">
        <f t="shared" si="4"/>
        <v>528</v>
      </c>
      <c r="I58" s="13">
        <v>0</v>
      </c>
      <c r="J58" s="13">
        <f t="shared" si="5"/>
        <v>528</v>
      </c>
      <c r="K58" s="153">
        <v>1</v>
      </c>
      <c r="L58" s="13">
        <f t="shared" si="6"/>
        <v>528</v>
      </c>
      <c r="M58" s="13"/>
      <c r="N58" s="13"/>
      <c r="O58" s="13">
        <v>118.69</v>
      </c>
      <c r="P58" s="13">
        <v>0</v>
      </c>
      <c r="Q58" s="13">
        <v>0</v>
      </c>
      <c r="R58" s="13">
        <f t="shared" si="7"/>
        <v>118.69</v>
      </c>
      <c r="S58" s="13">
        <v>317.02</v>
      </c>
      <c r="T58" s="13">
        <v>0</v>
      </c>
      <c r="U58" s="13">
        <f t="shared" si="8"/>
        <v>317.02</v>
      </c>
      <c r="V58" s="13">
        <v>88.65</v>
      </c>
      <c r="W58" s="13">
        <v>3.64</v>
      </c>
      <c r="X58" s="358">
        <f t="shared" si="9"/>
        <v>528</v>
      </c>
      <c r="Y58" s="233" t="b">
        <f t="shared" si="10"/>
        <v>1</v>
      </c>
    </row>
    <row r="59" spans="1:25" s="8" customFormat="1">
      <c r="A59" s="16">
        <v>45</v>
      </c>
      <c r="B59" t="s">
        <v>270</v>
      </c>
      <c r="C59" t="s">
        <v>729</v>
      </c>
      <c r="D59" s="18"/>
      <c r="E59" s="13">
        <v>575</v>
      </c>
      <c r="F59" s="13">
        <v>0</v>
      </c>
      <c r="G59" s="13">
        <v>0</v>
      </c>
      <c r="H59" s="13">
        <f t="shared" si="4"/>
        <v>575</v>
      </c>
      <c r="I59" s="13">
        <v>0</v>
      </c>
      <c r="J59" s="13">
        <f t="shared" si="5"/>
        <v>575</v>
      </c>
      <c r="K59" s="153">
        <v>1</v>
      </c>
      <c r="L59" s="13">
        <f t="shared" si="6"/>
        <v>575</v>
      </c>
      <c r="M59" s="13"/>
      <c r="N59" s="13"/>
      <c r="O59" s="13">
        <v>129.26</v>
      </c>
      <c r="P59" s="13">
        <v>0</v>
      </c>
      <c r="Q59" s="13">
        <v>0</v>
      </c>
      <c r="R59" s="13">
        <f t="shared" si="7"/>
        <v>129.26</v>
      </c>
      <c r="S59" s="13">
        <v>345.23</v>
      </c>
      <c r="T59" s="13">
        <v>0</v>
      </c>
      <c r="U59" s="13">
        <f t="shared" si="8"/>
        <v>345.23</v>
      </c>
      <c r="V59" s="13">
        <v>96.54</v>
      </c>
      <c r="W59" s="13">
        <v>3.97</v>
      </c>
      <c r="X59" s="358">
        <f t="shared" si="9"/>
        <v>575</v>
      </c>
      <c r="Y59" s="233" t="b">
        <f t="shared" si="10"/>
        <v>1</v>
      </c>
    </row>
    <row r="60" spans="1:25" s="8" customFormat="1">
      <c r="A60" s="16">
        <v>46</v>
      </c>
      <c r="B60" t="s">
        <v>270</v>
      </c>
      <c r="C60" t="s">
        <v>1135</v>
      </c>
      <c r="D60" s="18"/>
      <c r="E60" s="13">
        <v>217</v>
      </c>
      <c r="F60" s="13">
        <v>0</v>
      </c>
      <c r="G60" s="13">
        <v>0</v>
      </c>
      <c r="H60" s="13">
        <f t="shared" si="4"/>
        <v>217</v>
      </c>
      <c r="I60" s="13">
        <v>0</v>
      </c>
      <c r="J60" s="13">
        <f t="shared" si="5"/>
        <v>217</v>
      </c>
      <c r="K60" s="153">
        <v>1</v>
      </c>
      <c r="L60" s="13">
        <f t="shared" si="6"/>
        <v>217</v>
      </c>
      <c r="M60" s="13"/>
      <c r="N60" s="13"/>
      <c r="O60" s="13">
        <v>48.79</v>
      </c>
      <c r="P60" s="13">
        <v>0</v>
      </c>
      <c r="Q60" s="13">
        <v>0</v>
      </c>
      <c r="R60" s="13">
        <f t="shared" si="7"/>
        <v>48.79</v>
      </c>
      <c r="S60" s="13">
        <v>130.27000000000001</v>
      </c>
      <c r="T60" s="13">
        <v>0</v>
      </c>
      <c r="U60" s="13">
        <f t="shared" si="8"/>
        <v>130.27000000000001</v>
      </c>
      <c r="V60" s="13">
        <v>36.44</v>
      </c>
      <c r="W60" s="13">
        <v>1.5</v>
      </c>
      <c r="X60" s="358">
        <f t="shared" si="9"/>
        <v>217</v>
      </c>
      <c r="Y60" s="233" t="b">
        <f t="shared" si="10"/>
        <v>1</v>
      </c>
    </row>
    <row r="61" spans="1:25" s="8" customFormat="1">
      <c r="A61" s="16">
        <v>47</v>
      </c>
      <c r="B61" t="s">
        <v>270</v>
      </c>
      <c r="C61" t="s">
        <v>1123</v>
      </c>
      <c r="D61" s="18"/>
      <c r="E61" s="13">
        <v>243.5</v>
      </c>
      <c r="F61" s="13">
        <v>0</v>
      </c>
      <c r="G61" s="13">
        <v>0</v>
      </c>
      <c r="H61" s="13">
        <f t="shared" si="4"/>
        <v>243.5</v>
      </c>
      <c r="I61" s="13">
        <v>0</v>
      </c>
      <c r="J61" s="13">
        <f t="shared" si="5"/>
        <v>243.5</v>
      </c>
      <c r="K61" s="153">
        <v>1</v>
      </c>
      <c r="L61" s="13">
        <f t="shared" si="6"/>
        <v>243.5</v>
      </c>
      <c r="M61" s="13"/>
      <c r="N61" s="13"/>
      <c r="O61" s="13">
        <v>21.47</v>
      </c>
      <c r="P61" s="13">
        <v>0</v>
      </c>
      <c r="Q61" s="13">
        <v>0</v>
      </c>
      <c r="R61" s="13">
        <f t="shared" si="7"/>
        <v>21.47</v>
      </c>
      <c r="S61" s="13">
        <v>57.34</v>
      </c>
      <c r="T61" s="13">
        <v>0</v>
      </c>
      <c r="U61" s="13">
        <f t="shared" si="8"/>
        <v>57.34</v>
      </c>
      <c r="V61" s="13">
        <v>16.04</v>
      </c>
      <c r="W61" s="13">
        <v>148.65</v>
      </c>
      <c r="X61" s="358">
        <f t="shared" si="9"/>
        <v>243.5</v>
      </c>
      <c r="Y61" s="233" t="b">
        <f t="shared" si="10"/>
        <v>1</v>
      </c>
    </row>
    <row r="62" spans="1:25" s="8" customFormat="1">
      <c r="A62" s="16">
        <v>48</v>
      </c>
      <c r="B62" t="s">
        <v>270</v>
      </c>
      <c r="C62" t="s">
        <v>1136</v>
      </c>
      <c r="D62" s="18"/>
      <c r="E62" s="13">
        <v>223</v>
      </c>
      <c r="F62" s="13">
        <v>0</v>
      </c>
      <c r="G62" s="13">
        <v>0</v>
      </c>
      <c r="H62" s="13">
        <f t="shared" si="4"/>
        <v>223</v>
      </c>
      <c r="I62" s="13">
        <v>0</v>
      </c>
      <c r="J62" s="13">
        <f t="shared" si="5"/>
        <v>223</v>
      </c>
      <c r="K62" s="153">
        <v>1</v>
      </c>
      <c r="L62" s="13">
        <f t="shared" si="6"/>
        <v>223</v>
      </c>
      <c r="M62" s="13"/>
      <c r="N62" s="13"/>
      <c r="O62" s="13">
        <v>50.13</v>
      </c>
      <c r="P62" s="13">
        <v>0</v>
      </c>
      <c r="Q62" s="13">
        <v>0</v>
      </c>
      <c r="R62" s="13">
        <f t="shared" si="7"/>
        <v>50.13</v>
      </c>
      <c r="S62" s="13">
        <v>133.88999999999999</v>
      </c>
      <c r="T62" s="13">
        <v>0</v>
      </c>
      <c r="U62" s="13">
        <f t="shared" si="8"/>
        <v>133.88999999999999</v>
      </c>
      <c r="V62" s="13">
        <v>37.44</v>
      </c>
      <c r="W62" s="13">
        <v>1.54</v>
      </c>
      <c r="X62" s="358">
        <f t="shared" si="9"/>
        <v>222.99999999999997</v>
      </c>
      <c r="Y62" s="233" t="b">
        <f t="shared" si="10"/>
        <v>1</v>
      </c>
    </row>
    <row r="63" spans="1:25" s="8" customFormat="1">
      <c r="A63" s="16">
        <v>49</v>
      </c>
      <c r="B63" t="s">
        <v>270</v>
      </c>
      <c r="C63" t="s">
        <v>1133</v>
      </c>
      <c r="D63" s="18"/>
      <c r="E63" s="13">
        <v>821</v>
      </c>
      <c r="F63" s="13">
        <v>0</v>
      </c>
      <c r="G63" s="13">
        <v>0</v>
      </c>
      <c r="H63" s="13">
        <f t="shared" si="4"/>
        <v>821</v>
      </c>
      <c r="I63" s="13">
        <v>0</v>
      </c>
      <c r="J63" s="13">
        <f t="shared" si="5"/>
        <v>821</v>
      </c>
      <c r="K63" s="153">
        <v>1</v>
      </c>
      <c r="L63" s="13">
        <f t="shared" si="6"/>
        <v>821</v>
      </c>
      <c r="M63" s="13"/>
      <c r="N63" s="13"/>
      <c r="O63" s="13">
        <v>184.57</v>
      </c>
      <c r="P63" s="13">
        <v>0</v>
      </c>
      <c r="Q63" s="13">
        <v>0</v>
      </c>
      <c r="R63" s="13">
        <f t="shared" si="7"/>
        <v>184.57</v>
      </c>
      <c r="S63" s="13">
        <v>492.91</v>
      </c>
      <c r="T63" s="13">
        <v>0</v>
      </c>
      <c r="U63" s="13">
        <f t="shared" si="8"/>
        <v>492.91</v>
      </c>
      <c r="V63" s="13">
        <v>137.85</v>
      </c>
      <c r="W63" s="13">
        <v>5.67</v>
      </c>
      <c r="X63" s="358">
        <f t="shared" si="9"/>
        <v>821</v>
      </c>
      <c r="Y63" s="233" t="b">
        <f t="shared" si="10"/>
        <v>1</v>
      </c>
    </row>
    <row r="64" spans="1:25" s="8" customFormat="1">
      <c r="A64" s="16">
        <v>50</v>
      </c>
      <c r="B64" t="s">
        <v>270</v>
      </c>
      <c r="C64" t="s">
        <v>1130</v>
      </c>
      <c r="D64" s="18"/>
      <c r="E64" s="13">
        <v>158.4</v>
      </c>
      <c r="F64" s="13">
        <v>0</v>
      </c>
      <c r="G64" s="13">
        <v>0</v>
      </c>
      <c r="H64" s="13">
        <f t="shared" si="4"/>
        <v>158.4</v>
      </c>
      <c r="I64" s="13">
        <v>0</v>
      </c>
      <c r="J64" s="13">
        <f t="shared" si="5"/>
        <v>158.4</v>
      </c>
      <c r="K64" s="153">
        <v>1</v>
      </c>
      <c r="L64" s="13">
        <f t="shared" si="6"/>
        <v>158.4</v>
      </c>
      <c r="M64" s="13"/>
      <c r="N64" s="13"/>
      <c r="O64" s="13">
        <v>0</v>
      </c>
      <c r="P64" s="13">
        <v>0</v>
      </c>
      <c r="Q64" s="13">
        <v>0</v>
      </c>
      <c r="R64" s="13">
        <f t="shared" si="7"/>
        <v>0</v>
      </c>
      <c r="S64" s="13">
        <v>0</v>
      </c>
      <c r="T64" s="13">
        <v>0</v>
      </c>
      <c r="U64" s="13">
        <f t="shared" si="8"/>
        <v>0</v>
      </c>
      <c r="V64" s="13">
        <v>0</v>
      </c>
      <c r="W64" s="13">
        <v>158.4</v>
      </c>
      <c r="X64" s="358">
        <f t="shared" si="9"/>
        <v>158.4</v>
      </c>
      <c r="Y64" s="233" t="b">
        <f t="shared" si="10"/>
        <v>1</v>
      </c>
    </row>
    <row r="65" spans="1:25" s="8" customFormat="1">
      <c r="A65" s="16">
        <v>51</v>
      </c>
      <c r="B65" t="s">
        <v>272</v>
      </c>
      <c r="C65" t="s">
        <v>520</v>
      </c>
      <c r="D65" s="18"/>
      <c r="E65" s="13">
        <v>365</v>
      </c>
      <c r="F65" s="13">
        <v>0</v>
      </c>
      <c r="G65" s="13">
        <v>0</v>
      </c>
      <c r="H65" s="13">
        <f t="shared" si="4"/>
        <v>365</v>
      </c>
      <c r="I65" s="13">
        <v>0</v>
      </c>
      <c r="J65" s="13">
        <f t="shared" si="5"/>
        <v>365</v>
      </c>
      <c r="K65" s="153">
        <v>1</v>
      </c>
      <c r="L65" s="13">
        <f t="shared" si="6"/>
        <v>365</v>
      </c>
      <c r="M65" s="13"/>
      <c r="N65" s="13"/>
      <c r="O65" s="13">
        <v>82.05</v>
      </c>
      <c r="P65" s="13">
        <v>0</v>
      </c>
      <c r="Q65" s="13">
        <v>0</v>
      </c>
      <c r="R65" s="13">
        <f t="shared" si="7"/>
        <v>82.05</v>
      </c>
      <c r="S65" s="13">
        <v>219.15</v>
      </c>
      <c r="T65" s="13">
        <v>0</v>
      </c>
      <c r="U65" s="13">
        <f t="shared" si="8"/>
        <v>219.15</v>
      </c>
      <c r="V65" s="13">
        <v>61.28</v>
      </c>
      <c r="W65" s="13">
        <v>2.52</v>
      </c>
      <c r="X65" s="358">
        <f t="shared" si="9"/>
        <v>365</v>
      </c>
      <c r="Y65" s="233" t="b">
        <f t="shared" si="10"/>
        <v>1</v>
      </c>
    </row>
    <row r="66" spans="1:25" s="8" customFormat="1">
      <c r="A66" s="16">
        <v>52</v>
      </c>
      <c r="B66" t="s">
        <v>272</v>
      </c>
      <c r="C66" t="s">
        <v>1137</v>
      </c>
      <c r="D66" s="18"/>
      <c r="E66" s="13">
        <v>1000</v>
      </c>
      <c r="F66" s="13">
        <v>0</v>
      </c>
      <c r="G66" s="13">
        <v>0</v>
      </c>
      <c r="H66" s="13">
        <f t="shared" si="4"/>
        <v>1000</v>
      </c>
      <c r="I66" s="13">
        <v>0</v>
      </c>
      <c r="J66" s="13">
        <f t="shared" si="5"/>
        <v>1000</v>
      </c>
      <c r="K66" s="153">
        <v>1</v>
      </c>
      <c r="L66" s="13">
        <f t="shared" si="6"/>
        <v>1000</v>
      </c>
      <c r="M66" s="13"/>
      <c r="N66" s="13"/>
      <c r="O66" s="13">
        <v>224.8</v>
      </c>
      <c r="P66" s="13">
        <v>0</v>
      </c>
      <c r="Q66" s="13">
        <v>0</v>
      </c>
      <c r="R66" s="13">
        <f t="shared" si="7"/>
        <v>224.8</v>
      </c>
      <c r="S66" s="13">
        <v>600.4</v>
      </c>
      <c r="T66" s="13">
        <v>0</v>
      </c>
      <c r="U66" s="13">
        <f t="shared" si="8"/>
        <v>600.4</v>
      </c>
      <c r="V66" s="13">
        <v>167.9</v>
      </c>
      <c r="W66" s="13">
        <v>6.9</v>
      </c>
      <c r="X66" s="358">
        <f t="shared" si="9"/>
        <v>1000</v>
      </c>
      <c r="Y66" s="233" t="b">
        <f t="shared" si="10"/>
        <v>1</v>
      </c>
    </row>
    <row r="67" spans="1:25" s="8" customFormat="1">
      <c r="A67" s="16">
        <v>53</v>
      </c>
      <c r="B67" t="s">
        <v>272</v>
      </c>
      <c r="C67" t="s">
        <v>1138</v>
      </c>
      <c r="D67" s="18"/>
      <c r="E67" s="13">
        <v>400</v>
      </c>
      <c r="F67" s="13">
        <v>0</v>
      </c>
      <c r="G67" s="13">
        <v>0</v>
      </c>
      <c r="H67" s="13">
        <f t="shared" si="4"/>
        <v>400</v>
      </c>
      <c r="I67" s="13">
        <v>0</v>
      </c>
      <c r="J67" s="13">
        <f t="shared" si="5"/>
        <v>400</v>
      </c>
      <c r="K67" s="153">
        <v>1</v>
      </c>
      <c r="L67" s="13">
        <f t="shared" si="6"/>
        <v>400</v>
      </c>
      <c r="M67" s="13"/>
      <c r="N67" s="13"/>
      <c r="O67" s="13">
        <v>89.92</v>
      </c>
      <c r="P67" s="13">
        <v>0</v>
      </c>
      <c r="Q67" s="13">
        <v>0</v>
      </c>
      <c r="R67" s="13">
        <f t="shared" si="7"/>
        <v>89.92</v>
      </c>
      <c r="S67" s="13">
        <v>240.16</v>
      </c>
      <c r="T67" s="13">
        <v>0</v>
      </c>
      <c r="U67" s="13">
        <f t="shared" si="8"/>
        <v>240.16</v>
      </c>
      <c r="V67" s="13">
        <v>67.16</v>
      </c>
      <c r="W67" s="13">
        <v>2.76</v>
      </c>
      <c r="X67" s="358">
        <f t="shared" si="9"/>
        <v>400</v>
      </c>
      <c r="Y67" s="233" t="b">
        <f t="shared" si="10"/>
        <v>1</v>
      </c>
    </row>
    <row r="68" spans="1:25" s="8" customFormat="1">
      <c r="A68" s="16">
        <v>54</v>
      </c>
      <c r="B68" t="s">
        <v>272</v>
      </c>
      <c r="C68" t="s">
        <v>1133</v>
      </c>
      <c r="D68" s="18"/>
      <c r="E68" s="13">
        <v>97</v>
      </c>
      <c r="F68" s="13">
        <v>0</v>
      </c>
      <c r="G68" s="13">
        <v>0</v>
      </c>
      <c r="H68" s="13">
        <f t="shared" si="4"/>
        <v>97</v>
      </c>
      <c r="I68" s="13">
        <v>0</v>
      </c>
      <c r="J68" s="13">
        <f t="shared" si="5"/>
        <v>97</v>
      </c>
      <c r="K68" s="153">
        <v>1</v>
      </c>
      <c r="L68" s="13">
        <f t="shared" si="6"/>
        <v>97</v>
      </c>
      <c r="M68" s="13"/>
      <c r="N68" s="13"/>
      <c r="O68" s="13">
        <v>21.81</v>
      </c>
      <c r="P68" s="13">
        <v>0</v>
      </c>
      <c r="Q68" s="13">
        <v>0</v>
      </c>
      <c r="R68" s="13">
        <f t="shared" si="7"/>
        <v>21.81</v>
      </c>
      <c r="S68" s="13">
        <v>58.23</v>
      </c>
      <c r="T68" s="13">
        <v>0</v>
      </c>
      <c r="U68" s="13">
        <f t="shared" si="8"/>
        <v>58.23</v>
      </c>
      <c r="V68" s="13">
        <v>16.29</v>
      </c>
      <c r="W68" s="13">
        <v>0.67</v>
      </c>
      <c r="X68" s="358">
        <f t="shared" si="9"/>
        <v>96.999999999999986</v>
      </c>
      <c r="Y68" s="233" t="b">
        <f t="shared" si="10"/>
        <v>1</v>
      </c>
    </row>
    <row r="69" spans="1:25" s="8" customFormat="1">
      <c r="A69" s="16">
        <v>55</v>
      </c>
      <c r="B69" t="s">
        <v>288</v>
      </c>
      <c r="C69" t="s">
        <v>520</v>
      </c>
      <c r="D69" s="18"/>
      <c r="E69" s="13">
        <v>5500</v>
      </c>
      <c r="F69" s="13">
        <v>0</v>
      </c>
      <c r="G69" s="13">
        <v>0</v>
      </c>
      <c r="H69" s="13">
        <f t="shared" si="4"/>
        <v>5500</v>
      </c>
      <c r="I69" s="13">
        <v>0</v>
      </c>
      <c r="J69" s="13">
        <f t="shared" si="5"/>
        <v>5500</v>
      </c>
      <c r="K69" s="153">
        <v>1</v>
      </c>
      <c r="L69" s="13">
        <f t="shared" si="6"/>
        <v>5500</v>
      </c>
      <c r="M69" s="13"/>
      <c r="N69" s="13"/>
      <c r="O69" s="13">
        <v>0</v>
      </c>
      <c r="P69" s="13">
        <v>0</v>
      </c>
      <c r="Q69" s="13">
        <v>0</v>
      </c>
      <c r="R69" s="13">
        <f t="shared" si="7"/>
        <v>0</v>
      </c>
      <c r="S69" s="13">
        <v>0</v>
      </c>
      <c r="T69" s="13">
        <v>0</v>
      </c>
      <c r="U69" s="13">
        <f t="shared" si="8"/>
        <v>0</v>
      </c>
      <c r="V69" s="13">
        <v>0</v>
      </c>
      <c r="W69" s="13">
        <v>5500</v>
      </c>
      <c r="X69" s="358">
        <f t="shared" si="9"/>
        <v>5500</v>
      </c>
      <c r="Y69" s="233" t="b">
        <f t="shared" si="10"/>
        <v>1</v>
      </c>
    </row>
    <row r="70" spans="1:25" s="8" customFormat="1">
      <c r="A70" s="16">
        <v>56</v>
      </c>
      <c r="B70" t="s">
        <v>288</v>
      </c>
      <c r="C70" t="s">
        <v>1026</v>
      </c>
      <c r="D70" s="18"/>
      <c r="E70" s="13">
        <v>12075</v>
      </c>
      <c r="F70" s="13">
        <v>0</v>
      </c>
      <c r="G70" s="13">
        <v>0</v>
      </c>
      <c r="H70" s="13">
        <f t="shared" si="4"/>
        <v>12075</v>
      </c>
      <c r="I70" s="13">
        <v>0</v>
      </c>
      <c r="J70" s="13">
        <f t="shared" si="5"/>
        <v>12075</v>
      </c>
      <c r="K70" s="153">
        <v>1</v>
      </c>
      <c r="L70" s="13">
        <f t="shared" si="6"/>
        <v>12075</v>
      </c>
      <c r="M70" s="13"/>
      <c r="N70" s="13"/>
      <c r="O70" s="13">
        <v>2714.46</v>
      </c>
      <c r="P70" s="13">
        <v>0</v>
      </c>
      <c r="Q70" s="13">
        <v>0</v>
      </c>
      <c r="R70" s="13">
        <f t="shared" si="7"/>
        <v>2714.46</v>
      </c>
      <c r="S70" s="13">
        <v>7249.83</v>
      </c>
      <c r="T70" s="13">
        <v>0</v>
      </c>
      <c r="U70" s="13">
        <f t="shared" si="8"/>
        <v>7249.83</v>
      </c>
      <c r="V70" s="13">
        <v>2027.39</v>
      </c>
      <c r="W70" s="13">
        <v>83.32</v>
      </c>
      <c r="X70" s="358">
        <f t="shared" si="9"/>
        <v>12075</v>
      </c>
      <c r="Y70" s="233" t="b">
        <f t="shared" si="10"/>
        <v>1</v>
      </c>
    </row>
    <row r="71" spans="1:25" s="8" customFormat="1">
      <c r="A71" s="16">
        <v>57</v>
      </c>
      <c r="B71" t="s">
        <v>288</v>
      </c>
      <c r="C71" t="s">
        <v>1139</v>
      </c>
      <c r="D71" s="18"/>
      <c r="E71" s="13">
        <v>541831.93999999994</v>
      </c>
      <c r="F71" s="13">
        <v>0</v>
      </c>
      <c r="G71" s="13">
        <v>0</v>
      </c>
      <c r="H71" s="13">
        <f t="shared" si="4"/>
        <v>541831.93999999994</v>
      </c>
      <c r="I71" s="13">
        <v>0</v>
      </c>
      <c r="J71" s="13">
        <f t="shared" si="5"/>
        <v>541831.93999999994</v>
      </c>
      <c r="K71" s="153">
        <v>1</v>
      </c>
      <c r="L71" s="13">
        <f t="shared" si="6"/>
        <v>541831.93999999994</v>
      </c>
      <c r="M71" s="13"/>
      <c r="N71" s="13"/>
      <c r="O71" s="13">
        <v>121803.82</v>
      </c>
      <c r="P71" s="13">
        <v>0</v>
      </c>
      <c r="Q71" s="13">
        <v>0</v>
      </c>
      <c r="R71" s="13">
        <f t="shared" si="7"/>
        <v>121803.82</v>
      </c>
      <c r="S71" s="13">
        <v>325315.90999999992</v>
      </c>
      <c r="T71" s="13">
        <v>0</v>
      </c>
      <c r="U71" s="13">
        <f t="shared" si="8"/>
        <v>325315.90999999992</v>
      </c>
      <c r="V71" s="13">
        <v>90973.58</v>
      </c>
      <c r="W71" s="13">
        <v>3738.63</v>
      </c>
      <c r="X71" s="358">
        <f t="shared" si="9"/>
        <v>541831.93999999994</v>
      </c>
      <c r="Y71" s="233" t="b">
        <f t="shared" si="10"/>
        <v>1</v>
      </c>
    </row>
    <row r="72" spans="1:25" s="8" customFormat="1">
      <c r="A72" s="16">
        <v>58</v>
      </c>
      <c r="B72" t="s">
        <v>288</v>
      </c>
      <c r="C72" t="s">
        <v>652</v>
      </c>
      <c r="D72" s="18"/>
      <c r="E72" s="13">
        <v>565</v>
      </c>
      <c r="F72" s="13">
        <v>0</v>
      </c>
      <c r="G72" s="13">
        <v>0</v>
      </c>
      <c r="H72" s="13">
        <f t="shared" si="4"/>
        <v>565</v>
      </c>
      <c r="I72" s="13">
        <v>0</v>
      </c>
      <c r="J72" s="13">
        <f t="shared" si="5"/>
        <v>565</v>
      </c>
      <c r="K72" s="153">
        <v>1</v>
      </c>
      <c r="L72" s="13">
        <f t="shared" si="6"/>
        <v>565</v>
      </c>
      <c r="M72" s="13"/>
      <c r="N72" s="13"/>
      <c r="O72" s="13">
        <v>0</v>
      </c>
      <c r="P72" s="13">
        <v>0</v>
      </c>
      <c r="Q72" s="13">
        <v>0</v>
      </c>
      <c r="R72" s="13">
        <f t="shared" si="7"/>
        <v>0</v>
      </c>
      <c r="S72" s="13">
        <v>0</v>
      </c>
      <c r="T72" s="13">
        <v>0</v>
      </c>
      <c r="U72" s="13">
        <f t="shared" si="8"/>
        <v>0</v>
      </c>
      <c r="V72" s="13">
        <v>0</v>
      </c>
      <c r="W72" s="13">
        <v>565</v>
      </c>
      <c r="X72" s="358">
        <f t="shared" si="9"/>
        <v>565</v>
      </c>
      <c r="Y72" s="233" t="b">
        <f t="shared" si="10"/>
        <v>1</v>
      </c>
    </row>
    <row r="73" spans="1:25" s="8" customFormat="1">
      <c r="A73" s="16">
        <v>59</v>
      </c>
      <c r="B73" t="s">
        <v>288</v>
      </c>
      <c r="C73" t="s">
        <v>1021</v>
      </c>
      <c r="D73" s="18"/>
      <c r="E73" s="13">
        <v>5000</v>
      </c>
      <c r="F73" s="13">
        <v>0</v>
      </c>
      <c r="G73" s="13">
        <v>0</v>
      </c>
      <c r="H73" s="13">
        <f t="shared" si="4"/>
        <v>5000</v>
      </c>
      <c r="I73" s="13">
        <v>0</v>
      </c>
      <c r="J73" s="13">
        <f t="shared" si="5"/>
        <v>5000</v>
      </c>
      <c r="K73" s="153">
        <v>1</v>
      </c>
      <c r="L73" s="13">
        <f t="shared" si="6"/>
        <v>5000</v>
      </c>
      <c r="M73" s="13"/>
      <c r="N73" s="13"/>
      <c r="O73" s="13">
        <v>0</v>
      </c>
      <c r="P73" s="13">
        <v>0</v>
      </c>
      <c r="Q73" s="13">
        <v>0</v>
      </c>
      <c r="R73" s="13">
        <f t="shared" si="7"/>
        <v>0</v>
      </c>
      <c r="S73" s="13">
        <v>0</v>
      </c>
      <c r="T73" s="13">
        <v>0</v>
      </c>
      <c r="U73" s="13">
        <f t="shared" si="8"/>
        <v>0</v>
      </c>
      <c r="V73" s="13">
        <v>0</v>
      </c>
      <c r="W73" s="13">
        <v>5000</v>
      </c>
      <c r="X73" s="358">
        <f t="shared" si="9"/>
        <v>5000</v>
      </c>
      <c r="Y73" s="233" t="b">
        <f t="shared" si="10"/>
        <v>1</v>
      </c>
    </row>
    <row r="74" spans="1:25" s="8" customFormat="1">
      <c r="A74" s="16">
        <v>60</v>
      </c>
      <c r="B74" s="4"/>
      <c r="C74" s="30"/>
      <c r="D74" s="4"/>
      <c r="E74" s="13"/>
      <c r="F74" s="13"/>
      <c r="G74" s="13"/>
      <c r="H74" s="13"/>
      <c r="I74" s="13"/>
      <c r="J74" s="13"/>
      <c r="K74" s="103"/>
      <c r="L74" s="13"/>
      <c r="M74" s="18"/>
      <c r="N74" s="25"/>
      <c r="O74" s="13"/>
      <c r="P74" s="13"/>
      <c r="Q74" s="13"/>
      <c r="R74" s="13"/>
      <c r="S74" s="13"/>
      <c r="T74" s="13"/>
      <c r="U74" s="13"/>
      <c r="V74" s="13"/>
      <c r="W74" s="13"/>
      <c r="X74" s="13"/>
      <c r="Y74" s="4"/>
    </row>
    <row r="75" spans="1:25">
      <c r="A75" s="16">
        <v>61</v>
      </c>
      <c r="D75" s="4"/>
      <c r="E75" s="115"/>
      <c r="F75" s="115"/>
      <c r="G75" s="115"/>
      <c r="H75" s="115"/>
      <c r="I75" s="115"/>
      <c r="J75" s="115"/>
      <c r="L75" s="115"/>
      <c r="O75" s="115"/>
      <c r="P75" s="115"/>
      <c r="Q75" s="115"/>
      <c r="R75" s="115"/>
      <c r="S75" s="115"/>
      <c r="T75" s="115"/>
      <c r="U75" s="115"/>
      <c r="V75" s="115"/>
      <c r="W75" s="115"/>
      <c r="X75" s="115"/>
    </row>
    <row r="76" spans="1:25">
      <c r="A76" s="16">
        <v>62</v>
      </c>
      <c r="B76" s="5" t="str">
        <f>CONCATENATE("Total"," ",+B15)</f>
        <v>Total Professional Dues</v>
      </c>
      <c r="D76" s="3"/>
      <c r="E76" s="141">
        <f t="shared" ref="E76:J76" si="11">SUM(E17:E74)</f>
        <v>882426.12999999989</v>
      </c>
      <c r="F76" s="141">
        <f t="shared" si="11"/>
        <v>0</v>
      </c>
      <c r="G76" s="141">
        <f t="shared" si="11"/>
        <v>0</v>
      </c>
      <c r="H76" s="141">
        <f t="shared" si="11"/>
        <v>882426.12999999989</v>
      </c>
      <c r="I76" s="141">
        <f t="shared" si="11"/>
        <v>0</v>
      </c>
      <c r="J76" s="141">
        <f t="shared" si="11"/>
        <v>882426.12999999989</v>
      </c>
      <c r="K76" s="141"/>
      <c r="L76" s="141">
        <f>SUM(L17:L74)</f>
        <v>882426.12999999989</v>
      </c>
      <c r="M76" s="141"/>
      <c r="N76" s="141"/>
      <c r="O76" s="141">
        <f t="shared" ref="O76:X76" si="12">SUM(O17:O74)</f>
        <v>429779.31</v>
      </c>
      <c r="P76" s="141">
        <f t="shared" si="12"/>
        <v>0</v>
      </c>
      <c r="Q76" s="141">
        <f t="shared" si="12"/>
        <v>0</v>
      </c>
      <c r="R76" s="141">
        <f t="shared" si="12"/>
        <v>429779.31</v>
      </c>
      <c r="S76" s="141">
        <f t="shared" si="12"/>
        <v>340177.52999999991</v>
      </c>
      <c r="T76" s="141">
        <f t="shared" si="12"/>
        <v>0</v>
      </c>
      <c r="U76" s="141">
        <f t="shared" si="12"/>
        <v>340177.52999999991</v>
      </c>
      <c r="V76" s="141">
        <f t="shared" si="12"/>
        <v>94216.84</v>
      </c>
      <c r="W76" s="141">
        <f t="shared" si="12"/>
        <v>18252.45</v>
      </c>
      <c r="X76" s="141">
        <f t="shared" si="12"/>
        <v>882426.12999999977</v>
      </c>
      <c r="Y76" s="4" t="b">
        <f>+X76=L76</f>
        <v>1</v>
      </c>
    </row>
    <row r="77" spans="1:25">
      <c r="D77" s="4"/>
    </row>
    <row r="78" spans="1:25">
      <c r="D78" s="4"/>
    </row>
    <row r="79" spans="1:25">
      <c r="D79" s="4"/>
    </row>
  </sheetData>
  <phoneticPr fontId="5" type="noConversion"/>
  <printOptions horizontalCentered="1"/>
  <pageMargins left="0.5" right="0.5" top="3" bottom="0.5" header="1.5" footer="0.5"/>
  <pageSetup scale="59" fitToWidth="2" fitToHeight="2" pageOrder="overThenDown" orientation="landscape"/>
  <headerFooter alignWithMargins="0">
    <oddHeader>&amp;R&amp;"Arial,Bold"Schedule &amp;A
Page &amp;P of &amp;N&amp;C&amp;B
2025 RATE CASE
ONCOR ELECTRIC DELIVERY COMPANY LLC
II-D-2.6c  SUMMARY OF PROFESSIONAL DUES
TEST YEAR ENDING DECEMBER 31, 2024
SPONSOR: R. PRACHYL</oddHeader>
  </headerFooter>
  <colBreaks count="1" manualBreakCount="1">
    <brk id="12" min="14" max="156"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pageSetUpPr fitToPage="1"/>
  </sheetPr>
  <dimension ref="A1:W12"/>
  <sheetViews>
    <sheetView zoomScale="85" zoomScaleNormal="85" workbookViewId="0">
      <selection activeCell="I18" sqref="I18"/>
    </sheetView>
  </sheetViews>
  <sheetFormatPr defaultRowHeight="12.75"/>
  <sheetData>
    <row r="1" spans="1:23">
      <c r="A1" s="5" t="str">
        <f>+'[3]Input Data'!$A$9</f>
        <v>2025 RATE CASE</v>
      </c>
      <c r="C1" s="95"/>
      <c r="D1" s="1"/>
      <c r="F1" s="1"/>
    </row>
    <row r="2" spans="1:23" s="33" customFormat="1">
      <c r="A2" s="8" t="str">
        <f>+'[3]Input Data'!$A$2</f>
        <v>ONCOR ELECTRIC DELIVERY COMPANY LLC</v>
      </c>
      <c r="B2" s="31"/>
      <c r="C2" s="113"/>
      <c r="D2" s="32"/>
      <c r="E2" s="31"/>
      <c r="F2" s="32"/>
      <c r="G2" s="31"/>
      <c r="H2" s="31"/>
      <c r="I2" s="32"/>
      <c r="J2" s="32"/>
      <c r="K2" s="32"/>
      <c r="L2" s="32"/>
      <c r="M2" s="32"/>
      <c r="N2" s="4"/>
      <c r="O2" s="4"/>
      <c r="P2" s="4"/>
      <c r="Q2" s="4"/>
      <c r="R2" s="31"/>
      <c r="S2" s="31"/>
      <c r="T2" s="31"/>
      <c r="U2" s="31"/>
      <c r="V2" s="31"/>
      <c r="W2" s="31"/>
    </row>
    <row r="3" spans="1:23" s="33" customFormat="1">
      <c r="A3" s="7" t="str">
        <f>CONCATENATE('[3]Schedule Sponsors'!$A$65,'[3]Schedule Sponsors'!$B$65)</f>
        <v>II-D-2.7  OUTSIDE SERVICES EMPLOYED-FERC 900 SERIES EXPENSES</v>
      </c>
      <c r="B3" s="4"/>
      <c r="C3" s="114"/>
      <c r="D3" s="32"/>
      <c r="E3" s="31"/>
      <c r="F3" s="32"/>
      <c r="G3" s="31"/>
      <c r="H3" s="31"/>
      <c r="I3" s="32"/>
      <c r="J3" s="32"/>
      <c r="K3" s="32"/>
      <c r="L3" s="32"/>
      <c r="M3" s="32"/>
      <c r="N3" s="28"/>
      <c r="O3" s="28"/>
      <c r="P3" s="28"/>
      <c r="Q3" s="28"/>
      <c r="R3" s="31"/>
      <c r="S3" s="31"/>
      <c r="T3" s="31"/>
      <c r="U3" s="31"/>
      <c r="V3" s="31"/>
      <c r="W3" s="31"/>
    </row>
    <row r="4" spans="1:23" s="33" customFormat="1">
      <c r="A4" s="63" t="str">
        <f>+'[3]Input Data'!$A$4</f>
        <v>TEST YEAR ENDING DECEMBER 31, 2024</v>
      </c>
      <c r="B4" s="4"/>
      <c r="C4" s="114"/>
      <c r="D4" s="32"/>
      <c r="E4" s="31"/>
      <c r="F4" s="32"/>
      <c r="G4" s="31"/>
      <c r="H4" s="31"/>
      <c r="I4" s="32"/>
      <c r="J4" s="32"/>
      <c r="K4" s="32"/>
      <c r="L4" s="32"/>
      <c r="M4" s="32"/>
      <c r="N4" s="28"/>
      <c r="O4" s="28"/>
      <c r="P4" s="28"/>
      <c r="Q4" s="28"/>
      <c r="R4" s="31"/>
      <c r="S4" s="31"/>
      <c r="T4" s="31"/>
      <c r="U4" s="31"/>
      <c r="V4" s="31"/>
      <c r="W4" s="31"/>
    </row>
    <row r="5" spans="1:23" s="33" customFormat="1">
      <c r="A5" s="7" t="str">
        <f>CONCATENATE("SPONSOR: ",'[3]Schedule Sponsors'!$D$65)</f>
        <v>SPONSOR: R. PRACHYL</v>
      </c>
      <c r="B5" s="4"/>
      <c r="C5" s="114"/>
      <c r="D5" s="32"/>
      <c r="E5" s="31"/>
      <c r="F5" s="32"/>
      <c r="G5" s="31"/>
      <c r="H5" s="31"/>
      <c r="I5" s="32"/>
      <c r="J5" s="32"/>
      <c r="K5" s="32"/>
      <c r="L5" s="32"/>
      <c r="M5" s="32"/>
      <c r="N5" s="31"/>
      <c r="O5" s="31"/>
      <c r="P5" s="31"/>
      <c r="Q5" s="31"/>
      <c r="R5" s="31"/>
      <c r="S5" s="31"/>
      <c r="T5" s="31"/>
      <c r="U5" s="31"/>
      <c r="V5" s="31"/>
      <c r="W5" s="31"/>
    </row>
    <row r="10" spans="1:23" ht="14.25">
      <c r="A10" s="259" t="s">
        <v>1144</v>
      </c>
    </row>
    <row r="11" spans="1:23" ht="14.25">
      <c r="A11" s="259" t="s">
        <v>613</v>
      </c>
    </row>
    <row r="12" spans="1:23" ht="14.25">
      <c r="A12" s="259" t="s">
        <v>614</v>
      </c>
    </row>
  </sheetData>
  <pageMargins left="0.5" right="0.5" top="3" bottom="0.5" header="1.25" footer="0.3"/>
  <pageSetup scale="94" fitToHeight="0" orientation="landscape"/>
  <headerFooter>
    <oddHeader>&amp;R&amp;"Arial,Bold"Schedule II-D-2.7
Page &amp;P of &amp;N&amp;C&amp;B
2025 RATE CASE
ONCOR ELECTRIC DELIVERY COMPANY LLC
II-D-2.7  OUTSIDE SERVICES EMPLOYED-FERC 900 SERIES EXPENSES
TEST YEAR ENDING DECEMBER 31, 2024
SPONSOR: R. PRACHYL</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8">
    <tabColor rgb="FFFF0000"/>
  </sheetPr>
  <dimension ref="A1:J14"/>
  <sheetViews>
    <sheetView zoomScaleNormal="100" workbookViewId="0">
      <selection activeCell="O12" sqref="O12"/>
    </sheetView>
  </sheetViews>
  <sheetFormatPr defaultRowHeight="12.75"/>
  <sheetData>
    <row r="1" spans="1:10">
      <c r="A1" s="5" t="str">
        <f>+'[3]Input Data'!$A$9</f>
        <v>2025 RATE CASE</v>
      </c>
    </row>
    <row r="2" spans="1:10">
      <c r="A2" s="8" t="str">
        <f>+'[3]Input Data'!$A$2</f>
        <v>ONCOR ELECTRIC DELIVERY COMPANY LLC</v>
      </c>
    </row>
    <row r="3" spans="1:10">
      <c r="A3" s="7" t="str">
        <f>CONCATENATE('[3]Schedule Sponsors'!$A$66,'[3]Schedule Sponsors'!$B$66)</f>
        <v>II-D-2.8  FACTORING OR SALE OF ACCOUNTS RECEIVABLE EXPENSE</v>
      </c>
    </row>
    <row r="4" spans="1:10">
      <c r="A4" s="63" t="str">
        <f>+'[3]Input Data'!$A$4</f>
        <v>TEST YEAR ENDING DECEMBER 31, 2024</v>
      </c>
    </row>
    <row r="5" spans="1:10">
      <c r="A5" s="7" t="str">
        <f>CONCATENATE("SPONSOR: ",'[3]Schedule Sponsors'!$D$66)</f>
        <v>SPONSOR: R. PRACHYL</v>
      </c>
    </row>
    <row r="10" spans="1:10" ht="15">
      <c r="A10" s="329" t="s">
        <v>606</v>
      </c>
      <c r="B10" s="137"/>
      <c r="C10" s="137"/>
      <c r="D10" s="137"/>
      <c r="E10" s="137"/>
      <c r="F10" s="137"/>
      <c r="G10" s="137"/>
      <c r="H10" s="137"/>
    </row>
    <row r="11" spans="1:10" ht="15">
      <c r="A11" s="328"/>
      <c r="B11" s="137"/>
      <c r="C11" s="137"/>
      <c r="D11" s="137"/>
      <c r="E11" s="137"/>
      <c r="F11" s="137"/>
      <c r="G11" s="137"/>
      <c r="H11" s="137"/>
    </row>
    <row r="12" spans="1:10" ht="248.25" customHeight="1">
      <c r="A12" s="378" t="s">
        <v>1052</v>
      </c>
      <c r="B12" s="378"/>
      <c r="C12" s="378"/>
      <c r="D12" s="378"/>
      <c r="E12" s="378"/>
      <c r="F12" s="378"/>
      <c r="G12" s="378"/>
      <c r="H12" s="378"/>
      <c r="I12" s="378"/>
      <c r="J12" s="378"/>
    </row>
    <row r="13" spans="1:10" ht="15">
      <c r="A13" s="327"/>
    </row>
    <row r="14" spans="1:10" ht="67.5" customHeight="1">
      <c r="A14" s="378" t="s">
        <v>1140</v>
      </c>
      <c r="B14" s="378"/>
      <c r="C14" s="378"/>
      <c r="D14" s="378"/>
      <c r="E14" s="378"/>
      <c r="F14" s="378"/>
      <c r="G14" s="378"/>
      <c r="H14" s="378"/>
      <c r="I14" s="378"/>
      <c r="J14" s="378"/>
    </row>
  </sheetData>
  <mergeCells count="2">
    <mergeCell ref="A12:J12"/>
    <mergeCell ref="A14:J14"/>
  </mergeCells>
  <phoneticPr fontId="5" type="noConversion"/>
  <printOptions horizontalCentered="1"/>
  <pageMargins left="0.5" right="0.5" top="3.5" bottom="0.5" header="1.5" footer="0.5"/>
  <pageSetup scale="89" orientation="landscape"/>
  <headerFooter alignWithMargins="0">
    <oddHeader>&amp;R&amp;"Arial,Bold"Schedule &amp;A
Page &amp;P of &amp;N&amp;C&amp;B
2025 RATE CASE
ONCOR ELECTRIC DELIVERY COMPANY LLC
II-D-2.8  FACTORING OR SALE OF ACCOUNTS RECEIVABLE EXPENSE
TEST YEAR ENDING DECEMBER 31, 2024
SPONSOR: R. PRACHYL</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9">
    <tabColor rgb="FFFF0000"/>
  </sheetPr>
  <dimension ref="A1:AC71"/>
  <sheetViews>
    <sheetView zoomScale="85" zoomScaleNormal="85" workbookViewId="0">
      <pane xSplit="3" ySplit="12" topLeftCell="D13" activePane="bottomRight" state="frozen"/>
      <selection activeCell="D50" sqref="D50"/>
      <selection pane="topRight" activeCell="D50" sqref="D50"/>
      <selection pane="bottomLeft" activeCell="D50" sqref="D50"/>
      <selection pane="bottomRight" activeCell="D13" sqref="D13"/>
    </sheetView>
  </sheetViews>
  <sheetFormatPr defaultRowHeight="12.75"/>
  <cols>
    <col min="1" max="1" width="6.28515625" customWidth="1"/>
    <col min="2" max="2" width="9.5703125" customWidth="1"/>
    <col min="3" max="3" width="42.5703125" bestFit="1" customWidth="1"/>
    <col min="4" max="4" width="11.5703125" style="66" bestFit="1" customWidth="1"/>
    <col min="5" max="5" width="15.28515625" style="66" bestFit="1" customWidth="1"/>
    <col min="6" max="6" width="14.7109375" style="66" bestFit="1" customWidth="1"/>
    <col min="7" max="7" width="13.7109375" style="66" bestFit="1" customWidth="1"/>
    <col min="8" max="8" width="13.5703125" style="66" bestFit="1" customWidth="1"/>
    <col min="9" max="9" width="14.7109375" style="66" bestFit="1" customWidth="1"/>
    <col min="10" max="14" width="14.5703125" style="66" bestFit="1" customWidth="1"/>
    <col min="15" max="15" width="14.5703125" style="14" bestFit="1" customWidth="1"/>
    <col min="16" max="16" width="15.7109375" style="66" bestFit="1" customWidth="1"/>
    <col min="17" max="17" width="2.7109375" style="66" customWidth="1"/>
    <col min="18" max="18" width="12.7109375" style="66" bestFit="1" customWidth="1"/>
    <col min="19" max="20" width="11.5703125" style="66" customWidth="1"/>
    <col min="21" max="22" width="12.7109375" style="66" bestFit="1" customWidth="1"/>
    <col min="23" max="24" width="12.5703125" style="66" customWidth="1"/>
    <col min="25" max="25" width="12.5703125" style="66" bestFit="1" customWidth="1"/>
    <col min="26" max="26" width="12.5703125" style="66" customWidth="1"/>
    <col min="27" max="27" width="12.7109375" bestFit="1" customWidth="1"/>
    <col min="28" max="28" width="10.42578125" bestFit="1" customWidth="1"/>
  </cols>
  <sheetData>
    <row r="1" spans="1:29">
      <c r="A1" s="5" t="str">
        <f>+'[3]Input Data'!$A$9</f>
        <v>2025 RATE CASE</v>
      </c>
      <c r="Q1"/>
      <c r="R1"/>
      <c r="S1"/>
      <c r="T1"/>
      <c r="U1"/>
      <c r="V1"/>
      <c r="W1"/>
      <c r="X1"/>
      <c r="Y1"/>
      <c r="Z1"/>
    </row>
    <row r="2" spans="1:29">
      <c r="A2" s="8" t="str">
        <f>+'[3]Input Data'!$A$2</f>
        <v>ONCOR ELECTRIC DELIVERY COMPANY LLC</v>
      </c>
      <c r="Q2"/>
      <c r="R2"/>
      <c r="S2"/>
      <c r="T2"/>
      <c r="U2"/>
      <c r="V2"/>
      <c r="W2"/>
      <c r="X2"/>
      <c r="Y2"/>
      <c r="Z2"/>
    </row>
    <row r="3" spans="1:29">
      <c r="A3" s="7" t="str">
        <f>CONCATENATE('[3]Schedule Sponsors'!$A$67,'[3]Schedule Sponsors'!$B$67," - MONTHLY LEASE AMOUNT AND PAYMENT - 2024")</f>
        <v>II-D-2.9  RENTS AND LEASES - MONTHLY LEASE AMOUNT AND PAYMENT - 2024</v>
      </c>
      <c r="Q3"/>
      <c r="R3"/>
      <c r="S3"/>
      <c r="T3"/>
      <c r="U3"/>
      <c r="V3"/>
      <c r="W3"/>
      <c r="X3"/>
      <c r="Y3"/>
      <c r="Z3"/>
    </row>
    <row r="4" spans="1:29">
      <c r="A4" s="63" t="str">
        <f>+'[3]Input Data'!$A$4</f>
        <v>TEST YEAR ENDING DECEMBER 31, 2024</v>
      </c>
      <c r="Q4"/>
      <c r="R4"/>
      <c r="S4"/>
      <c r="T4"/>
      <c r="U4"/>
      <c r="V4"/>
      <c r="W4"/>
      <c r="X4"/>
      <c r="Y4"/>
      <c r="Z4"/>
    </row>
    <row r="5" spans="1:29">
      <c r="A5" s="7" t="str">
        <f>CONCATENATE("SPONSOR: ",'[3]Schedule Sponsors'!$D$67)</f>
        <v>SPONSOR: R. PRACHYL</v>
      </c>
      <c r="Q5"/>
      <c r="R5"/>
      <c r="S5"/>
      <c r="T5"/>
      <c r="U5"/>
      <c r="V5"/>
      <c r="W5"/>
      <c r="X5"/>
      <c r="Y5"/>
      <c r="Z5"/>
    </row>
    <row r="6" spans="1:29">
      <c r="Q6"/>
      <c r="R6"/>
      <c r="S6"/>
      <c r="T6"/>
      <c r="U6"/>
      <c r="V6"/>
      <c r="W6"/>
      <c r="X6"/>
      <c r="Y6"/>
      <c r="Z6"/>
    </row>
    <row r="7" spans="1:29">
      <c r="Q7"/>
      <c r="R7"/>
      <c r="S7"/>
      <c r="T7"/>
      <c r="U7"/>
      <c r="V7"/>
      <c r="W7"/>
      <c r="X7"/>
      <c r="Y7"/>
      <c r="Z7"/>
    </row>
    <row r="8" spans="1:29">
      <c r="Q8"/>
      <c r="R8"/>
      <c r="S8"/>
      <c r="T8"/>
      <c r="U8"/>
      <c r="V8"/>
      <c r="W8"/>
      <c r="X8"/>
      <c r="Y8"/>
      <c r="Z8"/>
    </row>
    <row r="9" spans="1:29">
      <c r="Q9"/>
      <c r="R9"/>
      <c r="S9"/>
      <c r="T9"/>
      <c r="U9"/>
      <c r="V9"/>
      <c r="W9"/>
      <c r="X9"/>
      <c r="Y9"/>
      <c r="Z9"/>
    </row>
    <row r="10" spans="1:29" s="137" customFormat="1">
      <c r="A10" s="270" t="s">
        <v>87</v>
      </c>
      <c r="C10" s="214" t="s">
        <v>594</v>
      </c>
      <c r="D10" s="146"/>
      <c r="E10" s="146"/>
      <c r="F10" s="146"/>
      <c r="G10" s="146"/>
      <c r="H10" s="146"/>
      <c r="I10" s="146"/>
      <c r="J10" s="146"/>
      <c r="K10" s="146"/>
      <c r="L10" s="146"/>
      <c r="M10" s="146"/>
      <c r="N10" s="146"/>
      <c r="O10" s="272"/>
      <c r="P10" s="146"/>
      <c r="R10" s="214"/>
      <c r="S10" s="214" t="s">
        <v>617</v>
      </c>
      <c r="T10" s="214" t="s">
        <v>623</v>
      </c>
      <c r="U10" s="214" t="s">
        <v>618</v>
      </c>
      <c r="V10" s="214"/>
      <c r="W10" s="214" t="s">
        <v>617</v>
      </c>
      <c r="X10" s="214" t="s">
        <v>618</v>
      </c>
      <c r="Y10" s="214"/>
      <c r="Z10" s="214"/>
      <c r="AA10" s="214"/>
    </row>
    <row r="11" spans="1:29" s="270" customFormat="1">
      <c r="A11" s="270" t="s">
        <v>121</v>
      </c>
      <c r="B11" s="270" t="s">
        <v>212</v>
      </c>
      <c r="C11" s="270" t="s">
        <v>208</v>
      </c>
      <c r="D11" s="273" t="s">
        <v>99</v>
      </c>
      <c r="E11" s="273" t="s">
        <v>100</v>
      </c>
      <c r="F11" s="273" t="s">
        <v>101</v>
      </c>
      <c r="G11" s="273" t="s">
        <v>102</v>
      </c>
      <c r="H11" s="273" t="s">
        <v>20</v>
      </c>
      <c r="I11" s="273" t="s">
        <v>103</v>
      </c>
      <c r="J11" s="273" t="s">
        <v>104</v>
      </c>
      <c r="K11" s="273" t="s">
        <v>105</v>
      </c>
      <c r="L11" s="273" t="s">
        <v>106</v>
      </c>
      <c r="M11" s="273" t="s">
        <v>107</v>
      </c>
      <c r="N11" s="273" t="s">
        <v>108</v>
      </c>
      <c r="O11" s="273" t="s">
        <v>109</v>
      </c>
      <c r="P11" s="274" t="s">
        <v>326</v>
      </c>
      <c r="R11" s="142" t="s">
        <v>292</v>
      </c>
      <c r="S11" s="142" t="s">
        <v>292</v>
      </c>
      <c r="T11" s="142" t="s">
        <v>624</v>
      </c>
      <c r="U11" s="142" t="s">
        <v>292</v>
      </c>
      <c r="V11" s="142" t="s">
        <v>293</v>
      </c>
      <c r="W11" s="142" t="s">
        <v>293</v>
      </c>
      <c r="X11" s="142" t="s">
        <v>293</v>
      </c>
      <c r="Y11" s="142" t="s">
        <v>281</v>
      </c>
      <c r="Z11" s="142" t="s">
        <v>126</v>
      </c>
      <c r="AA11" s="142" t="s">
        <v>215</v>
      </c>
    </row>
    <row r="12" spans="1:29" s="270" customFormat="1">
      <c r="A12" s="275"/>
      <c r="B12" s="275" t="s">
        <v>44</v>
      </c>
      <c r="C12" s="275" t="s">
        <v>45</v>
      </c>
      <c r="D12" s="276" t="s">
        <v>74</v>
      </c>
      <c r="E12" s="276" t="s">
        <v>75</v>
      </c>
      <c r="F12" s="276" t="s">
        <v>76</v>
      </c>
      <c r="G12" s="276" t="s">
        <v>77</v>
      </c>
      <c r="H12" s="277" t="s">
        <v>78</v>
      </c>
      <c r="I12" s="277" t="s">
        <v>79</v>
      </c>
      <c r="J12" s="277" t="s">
        <v>80</v>
      </c>
      <c r="K12" s="277" t="s">
        <v>81</v>
      </c>
      <c r="L12" s="277" t="s">
        <v>82</v>
      </c>
      <c r="M12" s="277" t="s">
        <v>83</v>
      </c>
      <c r="N12" s="277" t="s">
        <v>84</v>
      </c>
      <c r="O12" s="277" t="s">
        <v>85</v>
      </c>
      <c r="P12" s="277" t="s">
        <v>86</v>
      </c>
      <c r="Q12" s="275"/>
      <c r="R12" s="278" t="s">
        <v>254</v>
      </c>
      <c r="S12" s="278" t="s">
        <v>128</v>
      </c>
      <c r="T12" s="278" t="s">
        <v>23</v>
      </c>
      <c r="U12" s="278" t="s">
        <v>24</v>
      </c>
      <c r="V12" s="278" t="s">
        <v>136</v>
      </c>
      <c r="W12" s="278" t="s">
        <v>68</v>
      </c>
      <c r="X12" s="278" t="s">
        <v>619</v>
      </c>
      <c r="Y12" s="278" t="s">
        <v>620</v>
      </c>
      <c r="Z12" s="278" t="s">
        <v>621</v>
      </c>
      <c r="AA12" s="278" t="s">
        <v>622</v>
      </c>
    </row>
    <row r="13" spans="1:29" s="270" customFormat="1">
      <c r="D13" s="274"/>
      <c r="E13" s="274"/>
      <c r="F13" s="274"/>
      <c r="G13" s="274"/>
      <c r="H13" s="274"/>
      <c r="I13" s="274"/>
      <c r="J13" s="274"/>
      <c r="K13" s="274"/>
      <c r="L13" s="274"/>
      <c r="M13" s="274"/>
      <c r="N13" s="274"/>
      <c r="O13" s="274"/>
      <c r="P13" s="274"/>
      <c r="R13" s="274"/>
      <c r="S13" s="274"/>
      <c r="T13" s="274"/>
      <c r="U13" s="274"/>
      <c r="V13" s="274"/>
      <c r="W13" s="274"/>
      <c r="X13" s="274"/>
      <c r="Y13" s="274"/>
      <c r="Z13" s="274"/>
      <c r="AA13" s="274"/>
    </row>
    <row r="14" spans="1:29" s="106" customFormat="1">
      <c r="A14" s="179">
        <v>1</v>
      </c>
      <c r="B14" t="s">
        <v>230</v>
      </c>
      <c r="C14" t="s">
        <v>697</v>
      </c>
      <c r="D14" s="234">
        <v>2907.79</v>
      </c>
      <c r="E14" s="234">
        <v>4001.56</v>
      </c>
      <c r="F14" s="234">
        <v>4557.96</v>
      </c>
      <c r="G14" s="234">
        <v>4345.51</v>
      </c>
      <c r="H14" s="234">
        <v>4354.21</v>
      </c>
      <c r="I14" s="234">
        <v>7599.94</v>
      </c>
      <c r="J14" s="234">
        <v>-2075.8700000000008</v>
      </c>
      <c r="K14" s="234">
        <v>6677.7199999999993</v>
      </c>
      <c r="L14" s="234">
        <v>1135.7999999999993</v>
      </c>
      <c r="M14" s="234">
        <v>5016.2700000000004</v>
      </c>
      <c r="N14" s="234">
        <v>16394.669999999998</v>
      </c>
      <c r="O14" s="234">
        <v>8836.0199999999986</v>
      </c>
      <c r="P14" s="236">
        <f>SUM(D14:O14)</f>
        <v>63751.579999999994</v>
      </c>
      <c r="Q14" s="234"/>
      <c r="R14" s="234">
        <v>59959.08</v>
      </c>
      <c r="S14" s="234">
        <v>0</v>
      </c>
      <c r="T14" s="234">
        <v>0</v>
      </c>
      <c r="U14" s="236">
        <f>SUM(R14:T14)</f>
        <v>59959.08</v>
      </c>
      <c r="V14" s="234">
        <v>139.00000000000003</v>
      </c>
      <c r="W14" s="234">
        <v>0</v>
      </c>
      <c r="X14" s="236">
        <f>SUM(V14:W14)</f>
        <v>139.00000000000003</v>
      </c>
      <c r="Y14" s="234">
        <v>3653.4999999999991</v>
      </c>
      <c r="Z14" s="234">
        <v>0</v>
      </c>
      <c r="AA14" s="236">
        <f>+Z14+Y14+X14+U14</f>
        <v>63751.58</v>
      </c>
      <c r="AB14" t="b">
        <f>ROUND(+P14,2)=ROUND(AA14,2)</f>
        <v>1</v>
      </c>
      <c r="AC14"/>
    </row>
    <row r="15" spans="1:29" s="106" customFormat="1">
      <c r="A15" s="179">
        <v>2</v>
      </c>
      <c r="B15" t="s">
        <v>231</v>
      </c>
      <c r="C15" t="s">
        <v>697</v>
      </c>
      <c r="D15" s="208">
        <v>1136.78</v>
      </c>
      <c r="E15" s="208">
        <v>1130.57</v>
      </c>
      <c r="F15" s="208">
        <v>1486.26</v>
      </c>
      <c r="G15" s="208">
        <v>1411.88</v>
      </c>
      <c r="H15" s="208">
        <v>1713.97</v>
      </c>
      <c r="I15" s="208">
        <v>1672.84</v>
      </c>
      <c r="J15" s="208">
        <v>1446.02</v>
      </c>
      <c r="K15" s="208">
        <v>1297.5999999999999</v>
      </c>
      <c r="L15" s="208">
        <v>824.1</v>
      </c>
      <c r="M15" s="208">
        <v>819.64</v>
      </c>
      <c r="N15" s="208">
        <v>1010.21</v>
      </c>
      <c r="O15" s="208">
        <v>707.6</v>
      </c>
      <c r="P15" s="258">
        <f>SUM(D15:O15)</f>
        <v>14657.47</v>
      </c>
      <c r="Q15" s="234"/>
      <c r="R15" s="235">
        <v>14657.470000000001</v>
      </c>
      <c r="S15" s="235">
        <v>0</v>
      </c>
      <c r="T15" s="235">
        <v>0</v>
      </c>
      <c r="U15" s="258">
        <f t="shared" ref="U15:U43" si="0">SUM(R15:T15)</f>
        <v>14657.470000000001</v>
      </c>
      <c r="V15" s="235">
        <v>0</v>
      </c>
      <c r="W15" s="235">
        <v>0</v>
      </c>
      <c r="X15" s="258">
        <f t="shared" ref="X15:X43" si="1">SUM(V15:W15)</f>
        <v>0</v>
      </c>
      <c r="Y15" s="235">
        <v>0</v>
      </c>
      <c r="Z15" s="235">
        <v>0</v>
      </c>
      <c r="AA15" s="258">
        <f t="shared" ref="AA15:AA43" si="2">+Z15+Y15+X15+U15</f>
        <v>14657.470000000001</v>
      </c>
      <c r="AB15" t="b">
        <f t="shared" ref="AB15:AB43" si="3">ROUND(+P15,2)=ROUND(AA15,2)</f>
        <v>1</v>
      </c>
      <c r="AC15"/>
    </row>
    <row r="16" spans="1:29" s="106" customFormat="1">
      <c r="A16" s="179">
        <v>3</v>
      </c>
      <c r="B16" t="s">
        <v>232</v>
      </c>
      <c r="C16" t="s">
        <v>697</v>
      </c>
      <c r="D16" s="208">
        <v>28833.839999999993</v>
      </c>
      <c r="E16" s="208">
        <v>38585.989999999991</v>
      </c>
      <c r="F16" s="208">
        <v>31802.530000000006</v>
      </c>
      <c r="G16" s="208">
        <v>20878.95</v>
      </c>
      <c r="H16" s="208">
        <v>26164.910000000003</v>
      </c>
      <c r="I16" s="208">
        <v>30845.740000000005</v>
      </c>
      <c r="J16" s="208">
        <v>24708.16</v>
      </c>
      <c r="K16" s="208">
        <v>24771.219999999998</v>
      </c>
      <c r="L16" s="208">
        <v>32412.47</v>
      </c>
      <c r="M16" s="208">
        <v>27108.48</v>
      </c>
      <c r="N16" s="208">
        <v>30178.49</v>
      </c>
      <c r="O16" s="208">
        <v>26381.63</v>
      </c>
      <c r="P16" s="258">
        <f t="shared" ref="P16:P43" si="4">SUM(D16:O16)</f>
        <v>342672.41</v>
      </c>
      <c r="Q16" s="234"/>
      <c r="R16" s="235">
        <v>323530.39999999997</v>
      </c>
      <c r="S16" s="235">
        <v>0</v>
      </c>
      <c r="T16" s="235">
        <v>0</v>
      </c>
      <c r="U16" s="258">
        <f t="shared" si="0"/>
        <v>323530.39999999997</v>
      </c>
      <c r="V16" s="235">
        <v>19142.010000000024</v>
      </c>
      <c r="W16" s="235">
        <v>0</v>
      </c>
      <c r="X16" s="258">
        <f t="shared" si="1"/>
        <v>19142.010000000024</v>
      </c>
      <c r="Y16" s="235">
        <v>0</v>
      </c>
      <c r="Z16" s="235">
        <v>0</v>
      </c>
      <c r="AA16" s="258">
        <f t="shared" si="2"/>
        <v>342672.41</v>
      </c>
      <c r="AB16" t="b">
        <f t="shared" si="3"/>
        <v>1</v>
      </c>
      <c r="AC16"/>
    </row>
    <row r="17" spans="1:29" s="106" customFormat="1">
      <c r="A17" s="179">
        <v>4</v>
      </c>
      <c r="B17" t="s">
        <v>233</v>
      </c>
      <c r="C17" t="s">
        <v>697</v>
      </c>
      <c r="D17" s="208">
        <v>6619.8899999999985</v>
      </c>
      <c r="E17" s="208">
        <v>7049.0199999999995</v>
      </c>
      <c r="F17" s="208">
        <v>11310.889999999998</v>
      </c>
      <c r="G17" s="208">
        <v>7480.4099999999989</v>
      </c>
      <c r="H17" s="208">
        <v>10967.05</v>
      </c>
      <c r="I17" s="208">
        <v>8395.2900000000009</v>
      </c>
      <c r="J17" s="208">
        <v>8081.1299999999992</v>
      </c>
      <c r="K17" s="208">
        <v>12365.3</v>
      </c>
      <c r="L17" s="208">
        <v>19461.339999999997</v>
      </c>
      <c r="M17" s="208">
        <v>22131.579999999998</v>
      </c>
      <c r="N17" s="208">
        <v>10576.330000000002</v>
      </c>
      <c r="O17" s="208">
        <v>3456.5600000000004</v>
      </c>
      <c r="P17" s="258">
        <f t="shared" si="4"/>
        <v>127894.79</v>
      </c>
      <c r="Q17" s="234"/>
      <c r="R17" s="235">
        <v>127894.79000000001</v>
      </c>
      <c r="S17" s="235">
        <v>0</v>
      </c>
      <c r="T17" s="235">
        <v>0</v>
      </c>
      <c r="U17" s="258">
        <f t="shared" si="0"/>
        <v>127894.79000000001</v>
      </c>
      <c r="V17" s="235">
        <v>0</v>
      </c>
      <c r="W17" s="235">
        <v>0</v>
      </c>
      <c r="X17" s="258">
        <f t="shared" si="1"/>
        <v>0</v>
      </c>
      <c r="Y17" s="235">
        <v>0</v>
      </c>
      <c r="Z17" s="235">
        <v>0</v>
      </c>
      <c r="AA17" s="258">
        <f t="shared" si="2"/>
        <v>127894.79000000001</v>
      </c>
      <c r="AB17" t="b">
        <f t="shared" si="3"/>
        <v>1</v>
      </c>
      <c r="AC17"/>
    </row>
    <row r="18" spans="1:29" s="106" customFormat="1">
      <c r="A18" s="179">
        <v>5</v>
      </c>
      <c r="B18" t="s">
        <v>235</v>
      </c>
      <c r="C18" t="s">
        <v>697</v>
      </c>
      <c r="D18" s="208">
        <v>334462.45999999996</v>
      </c>
      <c r="E18" s="208">
        <v>385733.82999999996</v>
      </c>
      <c r="F18" s="208">
        <v>306997.41000000009</v>
      </c>
      <c r="G18" s="208">
        <v>140067.34</v>
      </c>
      <c r="H18" s="208">
        <v>397490.99999999994</v>
      </c>
      <c r="I18" s="208">
        <v>286565.78000000003</v>
      </c>
      <c r="J18" s="208">
        <v>580529</v>
      </c>
      <c r="K18" s="208">
        <v>424071.1</v>
      </c>
      <c r="L18" s="208">
        <v>382220.9</v>
      </c>
      <c r="M18" s="208">
        <v>506181.01000000007</v>
      </c>
      <c r="N18" s="208">
        <v>346027.76</v>
      </c>
      <c r="O18" s="208">
        <v>708024.13000000012</v>
      </c>
      <c r="P18" s="258">
        <f t="shared" si="4"/>
        <v>4798371.7200000007</v>
      </c>
      <c r="Q18" s="234"/>
      <c r="R18" s="235">
        <v>4700785.5100000016</v>
      </c>
      <c r="S18" s="235">
        <v>0</v>
      </c>
      <c r="T18" s="235">
        <v>0</v>
      </c>
      <c r="U18" s="258">
        <f t="shared" si="0"/>
        <v>4700785.5100000016</v>
      </c>
      <c r="V18" s="235">
        <v>92279.9</v>
      </c>
      <c r="W18" s="235">
        <v>0</v>
      </c>
      <c r="X18" s="258">
        <f t="shared" si="1"/>
        <v>92279.9</v>
      </c>
      <c r="Y18" s="235">
        <v>5306.3099999999995</v>
      </c>
      <c r="Z18" s="235">
        <v>0</v>
      </c>
      <c r="AA18" s="258">
        <f t="shared" si="2"/>
        <v>4798371.7200000016</v>
      </c>
      <c r="AB18" t="b">
        <f t="shared" si="3"/>
        <v>1</v>
      </c>
      <c r="AC18"/>
    </row>
    <row r="19" spans="1:29" s="106" customFormat="1">
      <c r="A19" s="179">
        <v>6</v>
      </c>
      <c r="B19" t="s">
        <v>238</v>
      </c>
      <c r="C19" t="s">
        <v>697</v>
      </c>
      <c r="D19" s="208">
        <v>0</v>
      </c>
      <c r="E19" s="208">
        <v>0</v>
      </c>
      <c r="F19" s="208">
        <v>0.16</v>
      </c>
      <c r="G19" s="208">
        <v>0</v>
      </c>
      <c r="H19" s="208">
        <v>0</v>
      </c>
      <c r="I19" s="208">
        <v>0</v>
      </c>
      <c r="J19" s="208">
        <v>0</v>
      </c>
      <c r="K19" s="208">
        <v>0</v>
      </c>
      <c r="L19" s="208">
        <v>0</v>
      </c>
      <c r="M19" s="208">
        <v>0</v>
      </c>
      <c r="N19" s="208">
        <v>0</v>
      </c>
      <c r="O19" s="208">
        <v>0</v>
      </c>
      <c r="P19" s="258">
        <f t="shared" si="4"/>
        <v>0.16</v>
      </c>
      <c r="Q19" s="234"/>
      <c r="R19" s="235">
        <v>0.16</v>
      </c>
      <c r="S19" s="235">
        <v>0</v>
      </c>
      <c r="T19" s="235">
        <v>0</v>
      </c>
      <c r="U19" s="258">
        <f t="shared" si="0"/>
        <v>0.16</v>
      </c>
      <c r="V19" s="235">
        <v>0</v>
      </c>
      <c r="W19" s="235">
        <v>0</v>
      </c>
      <c r="X19" s="258">
        <f t="shared" si="1"/>
        <v>0</v>
      </c>
      <c r="Y19" s="235">
        <v>0</v>
      </c>
      <c r="Z19" s="235">
        <v>0</v>
      </c>
      <c r="AA19" s="258">
        <f t="shared" si="2"/>
        <v>0.16</v>
      </c>
      <c r="AB19" t="b">
        <f t="shared" si="3"/>
        <v>1</v>
      </c>
      <c r="AC19"/>
    </row>
    <row r="20" spans="1:29" s="106" customFormat="1">
      <c r="A20" s="179">
        <v>7</v>
      </c>
      <c r="B20" t="s">
        <v>239</v>
      </c>
      <c r="C20" t="s">
        <v>697</v>
      </c>
      <c r="D20" s="208">
        <v>26371</v>
      </c>
      <c r="E20" s="208">
        <v>34269.050000000003</v>
      </c>
      <c r="F20" s="208">
        <v>40102.69</v>
      </c>
      <c r="G20" s="208">
        <v>36014.020000000004</v>
      </c>
      <c r="H20" s="208">
        <v>36819.509999999995</v>
      </c>
      <c r="I20" s="208">
        <v>37086.87000000001</v>
      </c>
      <c r="J20" s="208">
        <v>28274.030000000006</v>
      </c>
      <c r="K20" s="208">
        <v>39855.86</v>
      </c>
      <c r="L20" s="208">
        <v>40652.239999999991</v>
      </c>
      <c r="M20" s="208">
        <v>33770.399999999994</v>
      </c>
      <c r="N20" s="208">
        <v>25963.410000000003</v>
      </c>
      <c r="O20" s="208">
        <v>26699.85</v>
      </c>
      <c r="P20" s="258">
        <f t="shared" si="4"/>
        <v>405878.93000000005</v>
      </c>
      <c r="Q20" s="234"/>
      <c r="R20" s="235">
        <v>385194.79</v>
      </c>
      <c r="S20" s="235">
        <v>0</v>
      </c>
      <c r="T20" s="235">
        <v>0</v>
      </c>
      <c r="U20" s="258">
        <f t="shared" si="0"/>
        <v>385194.79</v>
      </c>
      <c r="V20" s="235">
        <v>20684.14</v>
      </c>
      <c r="W20" s="235">
        <v>0</v>
      </c>
      <c r="X20" s="258">
        <f t="shared" si="1"/>
        <v>20684.14</v>
      </c>
      <c r="Y20" s="235">
        <v>0</v>
      </c>
      <c r="Z20" s="235">
        <v>0</v>
      </c>
      <c r="AA20" s="258">
        <f t="shared" si="2"/>
        <v>405878.93</v>
      </c>
      <c r="AB20" t="b">
        <f t="shared" si="3"/>
        <v>1</v>
      </c>
      <c r="AC20"/>
    </row>
    <row r="21" spans="1:29" s="106" customFormat="1">
      <c r="A21" s="179">
        <v>8</v>
      </c>
      <c r="B21" t="s">
        <v>240</v>
      </c>
      <c r="C21" t="s">
        <v>697</v>
      </c>
      <c r="D21" s="208">
        <v>13882.560000000001</v>
      </c>
      <c r="E21" s="208">
        <v>18415.830000000002</v>
      </c>
      <c r="F21" s="208">
        <v>15457.599999999999</v>
      </c>
      <c r="G21" s="208">
        <v>24414.94</v>
      </c>
      <c r="H21" s="208">
        <v>21348.48</v>
      </c>
      <c r="I21" s="208">
        <v>25847.119999999999</v>
      </c>
      <c r="J21" s="208">
        <v>30942.390000000003</v>
      </c>
      <c r="K21" s="208">
        <v>16995.710000000003</v>
      </c>
      <c r="L21" s="208">
        <v>25963.520000000004</v>
      </c>
      <c r="M21" s="208">
        <v>24094.689999999991</v>
      </c>
      <c r="N21" s="208">
        <v>8678.09</v>
      </c>
      <c r="O21" s="208">
        <v>14146.089999999998</v>
      </c>
      <c r="P21" s="258">
        <f t="shared" si="4"/>
        <v>240187.02000000002</v>
      </c>
      <c r="Q21" s="234"/>
      <c r="R21" s="235">
        <v>239107.27</v>
      </c>
      <c r="S21" s="235">
        <v>0</v>
      </c>
      <c r="T21" s="235">
        <v>0</v>
      </c>
      <c r="U21" s="258">
        <f t="shared" si="0"/>
        <v>239107.27</v>
      </c>
      <c r="V21" s="235">
        <v>1079.75</v>
      </c>
      <c r="W21" s="235">
        <v>0</v>
      </c>
      <c r="X21" s="258">
        <f t="shared" si="1"/>
        <v>1079.75</v>
      </c>
      <c r="Y21" s="235">
        <v>0</v>
      </c>
      <c r="Z21" s="235">
        <v>0</v>
      </c>
      <c r="AA21" s="258">
        <f t="shared" si="2"/>
        <v>240187.02</v>
      </c>
      <c r="AB21" t="b">
        <f t="shared" si="3"/>
        <v>1</v>
      </c>
      <c r="AC21"/>
    </row>
    <row r="22" spans="1:29">
      <c r="A22" s="179">
        <v>9</v>
      </c>
      <c r="B22" t="s">
        <v>242</v>
      </c>
      <c r="C22" t="s">
        <v>697</v>
      </c>
      <c r="D22" s="208">
        <v>2692.2799999999993</v>
      </c>
      <c r="E22" s="208">
        <v>4057.0699999999997</v>
      </c>
      <c r="F22" s="208">
        <v>7430.8899999999994</v>
      </c>
      <c r="G22" s="208">
        <v>5459.6699999999992</v>
      </c>
      <c r="H22" s="208">
        <v>5209.43</v>
      </c>
      <c r="I22" s="208">
        <v>5483.8399999999992</v>
      </c>
      <c r="J22" s="208">
        <v>7877.0099999999993</v>
      </c>
      <c r="K22" s="208">
        <v>6192.5099999999993</v>
      </c>
      <c r="L22" s="208">
        <v>6444.6899999999987</v>
      </c>
      <c r="M22" s="208">
        <v>4789.4000000000005</v>
      </c>
      <c r="N22" s="208">
        <v>5169.4099999999989</v>
      </c>
      <c r="O22" s="208">
        <v>2917.7899999999995</v>
      </c>
      <c r="P22" s="258">
        <f t="shared" si="4"/>
        <v>63723.99</v>
      </c>
      <c r="Q22" s="234"/>
      <c r="R22" s="235">
        <v>63484.979999999989</v>
      </c>
      <c r="S22" s="235">
        <v>0</v>
      </c>
      <c r="T22" s="235">
        <v>0</v>
      </c>
      <c r="U22" s="258">
        <f t="shared" si="0"/>
        <v>63484.979999999989</v>
      </c>
      <c r="V22" s="235">
        <v>239.01</v>
      </c>
      <c r="W22" s="235">
        <v>0</v>
      </c>
      <c r="X22" s="258">
        <f t="shared" si="1"/>
        <v>239.01</v>
      </c>
      <c r="Y22" s="235">
        <v>0</v>
      </c>
      <c r="Z22" s="235">
        <v>0</v>
      </c>
      <c r="AA22" s="258">
        <f t="shared" si="2"/>
        <v>63723.989999999991</v>
      </c>
      <c r="AB22" t="b">
        <f t="shared" si="3"/>
        <v>1</v>
      </c>
    </row>
    <row r="23" spans="1:29">
      <c r="A23" s="179">
        <v>10</v>
      </c>
      <c r="B23" t="s">
        <v>249</v>
      </c>
      <c r="C23" t="s">
        <v>697</v>
      </c>
      <c r="D23" s="208">
        <v>17362.539999999997</v>
      </c>
      <c r="E23" s="208">
        <v>13798.849999999999</v>
      </c>
      <c r="F23" s="208">
        <v>13366.069999999998</v>
      </c>
      <c r="G23" s="208">
        <v>8645.2500000000018</v>
      </c>
      <c r="H23" s="208">
        <v>15941.019999999997</v>
      </c>
      <c r="I23" s="208">
        <v>11026.71</v>
      </c>
      <c r="J23" s="208">
        <v>12425.630000000001</v>
      </c>
      <c r="K23" s="208">
        <v>12737.24</v>
      </c>
      <c r="L23" s="208">
        <v>13028.779999999999</v>
      </c>
      <c r="M23" s="208">
        <v>19231.900000000005</v>
      </c>
      <c r="N23" s="208">
        <v>7988.3100000000013</v>
      </c>
      <c r="O23" s="208">
        <v>15086.679999999997</v>
      </c>
      <c r="P23" s="258">
        <f t="shared" si="4"/>
        <v>160638.97999999998</v>
      </c>
      <c r="Q23"/>
      <c r="R23" s="235">
        <v>0</v>
      </c>
      <c r="S23" s="235">
        <v>0</v>
      </c>
      <c r="T23" s="235">
        <v>0</v>
      </c>
      <c r="U23" s="258">
        <f t="shared" si="0"/>
        <v>0</v>
      </c>
      <c r="V23" s="235">
        <v>121509.94000000016</v>
      </c>
      <c r="W23" s="235">
        <v>0</v>
      </c>
      <c r="X23" s="258">
        <f t="shared" si="1"/>
        <v>121509.94000000016</v>
      </c>
      <c r="Y23" s="235">
        <v>39129.040000000001</v>
      </c>
      <c r="Z23" s="235">
        <v>0</v>
      </c>
      <c r="AA23" s="258">
        <f t="shared" si="2"/>
        <v>160638.98000000016</v>
      </c>
      <c r="AB23" t="b">
        <f t="shared" si="3"/>
        <v>1</v>
      </c>
    </row>
    <row r="24" spans="1:29">
      <c r="A24" s="179">
        <v>11</v>
      </c>
      <c r="B24" t="s">
        <v>244</v>
      </c>
      <c r="C24" t="s">
        <v>697</v>
      </c>
      <c r="D24" s="208">
        <v>44611.200000000004</v>
      </c>
      <c r="E24" s="208">
        <v>62870.67</v>
      </c>
      <c r="F24" s="208">
        <v>53436.829999999994</v>
      </c>
      <c r="G24" s="208">
        <v>30776.419999999995</v>
      </c>
      <c r="H24" s="208">
        <v>40711.269999999997</v>
      </c>
      <c r="I24" s="208">
        <v>38751.35</v>
      </c>
      <c r="J24" s="208">
        <v>42226.67</v>
      </c>
      <c r="K24" s="208">
        <v>44963.969999999994</v>
      </c>
      <c r="L24" s="208">
        <v>46312.11</v>
      </c>
      <c r="M24" s="208">
        <v>39189.15</v>
      </c>
      <c r="N24" s="208">
        <v>36467.829999999994</v>
      </c>
      <c r="O24" s="208">
        <v>43667.450000000004</v>
      </c>
      <c r="P24" s="258">
        <f t="shared" si="4"/>
        <v>523984.91999999993</v>
      </c>
      <c r="R24" s="235">
        <v>19648.590000000011</v>
      </c>
      <c r="S24" s="235">
        <v>0</v>
      </c>
      <c r="T24" s="235">
        <v>0</v>
      </c>
      <c r="U24" s="258">
        <f t="shared" si="0"/>
        <v>19648.590000000011</v>
      </c>
      <c r="V24" s="235">
        <v>504336.33000000007</v>
      </c>
      <c r="W24" s="235">
        <v>0</v>
      </c>
      <c r="X24" s="258">
        <f t="shared" si="1"/>
        <v>504336.33000000007</v>
      </c>
      <c r="Y24" s="235">
        <v>0</v>
      </c>
      <c r="Z24" s="235">
        <v>0</v>
      </c>
      <c r="AA24" s="258">
        <f t="shared" si="2"/>
        <v>523984.9200000001</v>
      </c>
      <c r="AB24" t="b">
        <f t="shared" si="3"/>
        <v>1</v>
      </c>
    </row>
    <row r="25" spans="1:29">
      <c r="A25" s="179">
        <v>12</v>
      </c>
      <c r="B25" t="s">
        <v>155</v>
      </c>
      <c r="C25" t="s">
        <v>697</v>
      </c>
      <c r="D25" s="208">
        <v>365416.77999999997</v>
      </c>
      <c r="E25" s="208">
        <v>495728.94999999984</v>
      </c>
      <c r="F25" s="208">
        <v>539385.76</v>
      </c>
      <c r="G25" s="208">
        <v>339437.64000000007</v>
      </c>
      <c r="H25" s="208">
        <v>409941.96999999991</v>
      </c>
      <c r="I25" s="208">
        <v>312158.48999999993</v>
      </c>
      <c r="J25" s="208">
        <v>482195.52000000008</v>
      </c>
      <c r="K25" s="208">
        <v>532092.04999999993</v>
      </c>
      <c r="L25" s="208">
        <v>513757.81</v>
      </c>
      <c r="M25" s="208">
        <v>511972.07</v>
      </c>
      <c r="N25" s="208">
        <v>386968</v>
      </c>
      <c r="O25" s="208">
        <v>572750.8600000001</v>
      </c>
      <c r="P25" s="258">
        <f t="shared" si="4"/>
        <v>5461805.8999999994</v>
      </c>
      <c r="R25" s="235">
        <v>0</v>
      </c>
      <c r="S25" s="235">
        <v>0</v>
      </c>
      <c r="T25" s="235">
        <v>0</v>
      </c>
      <c r="U25" s="258">
        <f t="shared" si="0"/>
        <v>0</v>
      </c>
      <c r="V25" s="235">
        <v>5460466.9200000027</v>
      </c>
      <c r="W25" s="235">
        <v>0</v>
      </c>
      <c r="X25" s="258">
        <f t="shared" si="1"/>
        <v>5460466.9200000027</v>
      </c>
      <c r="Y25" s="235">
        <v>1338.9800000000002</v>
      </c>
      <c r="Z25" s="235">
        <v>0</v>
      </c>
      <c r="AA25" s="258">
        <f t="shared" si="2"/>
        <v>5461805.9000000032</v>
      </c>
      <c r="AB25" t="b">
        <f t="shared" si="3"/>
        <v>1</v>
      </c>
    </row>
    <row r="26" spans="1:29">
      <c r="A26" s="179">
        <v>13</v>
      </c>
      <c r="B26" t="s">
        <v>245</v>
      </c>
      <c r="C26" t="s">
        <v>697</v>
      </c>
      <c r="D26" s="208">
        <v>83636.909999999974</v>
      </c>
      <c r="E26" s="208">
        <v>79466.61000000003</v>
      </c>
      <c r="F26" s="208">
        <v>105148.65000000004</v>
      </c>
      <c r="G26" s="208">
        <v>82342.37999999999</v>
      </c>
      <c r="H26" s="208">
        <v>103406.15999999999</v>
      </c>
      <c r="I26" s="208">
        <v>79749.929999999978</v>
      </c>
      <c r="J26" s="208">
        <v>118014.90000000002</v>
      </c>
      <c r="K26" s="208">
        <v>125650.37000000004</v>
      </c>
      <c r="L26" s="208">
        <v>115035.84000000004</v>
      </c>
      <c r="M26" s="208">
        <v>91878.109999999971</v>
      </c>
      <c r="N26" s="208">
        <v>97240.15</v>
      </c>
      <c r="O26" s="208">
        <v>98421.290000000008</v>
      </c>
      <c r="P26" s="258">
        <f t="shared" si="4"/>
        <v>1179991.3</v>
      </c>
      <c r="R26" s="235">
        <v>0</v>
      </c>
      <c r="S26" s="235">
        <v>0</v>
      </c>
      <c r="T26" s="235">
        <v>0</v>
      </c>
      <c r="U26" s="258">
        <f t="shared" si="0"/>
        <v>0</v>
      </c>
      <c r="V26" s="235">
        <v>1178557.1599999999</v>
      </c>
      <c r="W26" s="235">
        <v>0</v>
      </c>
      <c r="X26" s="258">
        <f t="shared" si="1"/>
        <v>1178557.1599999999</v>
      </c>
      <c r="Y26" s="235">
        <v>1434.14</v>
      </c>
      <c r="Z26" s="235">
        <v>0</v>
      </c>
      <c r="AA26" s="258">
        <f t="shared" si="2"/>
        <v>1179991.2999999998</v>
      </c>
      <c r="AB26" t="b">
        <f t="shared" si="3"/>
        <v>1</v>
      </c>
    </row>
    <row r="27" spans="1:29">
      <c r="A27" s="179">
        <v>14</v>
      </c>
      <c r="B27" t="s">
        <v>246</v>
      </c>
      <c r="C27" t="s">
        <v>697</v>
      </c>
      <c r="D27" s="208">
        <v>301968</v>
      </c>
      <c r="E27" s="208">
        <v>321895.36000000004</v>
      </c>
      <c r="F27" s="208">
        <v>316301.21000000002</v>
      </c>
      <c r="G27" s="208">
        <v>336181.80999999994</v>
      </c>
      <c r="H27" s="208">
        <v>311501.1700000001</v>
      </c>
      <c r="I27" s="208">
        <v>339977.60000000009</v>
      </c>
      <c r="J27" s="208">
        <v>417220.76</v>
      </c>
      <c r="K27" s="208">
        <v>404624.92</v>
      </c>
      <c r="L27" s="208">
        <v>357858.17999999993</v>
      </c>
      <c r="M27" s="208">
        <v>354481.89999999991</v>
      </c>
      <c r="N27" s="208">
        <v>335315.05</v>
      </c>
      <c r="O27" s="208">
        <v>470982.45000000019</v>
      </c>
      <c r="P27" s="258">
        <f t="shared" si="4"/>
        <v>4268308.41</v>
      </c>
      <c r="R27" s="235">
        <v>0</v>
      </c>
      <c r="S27" s="235">
        <v>0</v>
      </c>
      <c r="T27" s="235">
        <v>0</v>
      </c>
      <c r="U27" s="258">
        <f t="shared" si="0"/>
        <v>0</v>
      </c>
      <c r="V27" s="235">
        <v>0</v>
      </c>
      <c r="W27" s="235">
        <v>0</v>
      </c>
      <c r="X27" s="258">
        <f t="shared" si="1"/>
        <v>0</v>
      </c>
      <c r="Y27" s="235">
        <v>4268308.4099999992</v>
      </c>
      <c r="Z27" s="235">
        <v>0</v>
      </c>
      <c r="AA27" s="258">
        <f t="shared" si="2"/>
        <v>4268308.4099999992</v>
      </c>
      <c r="AB27" t="b">
        <f t="shared" si="3"/>
        <v>1</v>
      </c>
    </row>
    <row r="28" spans="1:29">
      <c r="A28" s="179">
        <v>15</v>
      </c>
      <c r="B28" t="s">
        <v>247</v>
      </c>
      <c r="C28" t="s">
        <v>697</v>
      </c>
      <c r="D28" s="208">
        <v>45483.040000000001</v>
      </c>
      <c r="E28" s="208">
        <v>55642.470000000008</v>
      </c>
      <c r="F28" s="208">
        <v>44183.17</v>
      </c>
      <c r="G28" s="208">
        <v>38125.449999999997</v>
      </c>
      <c r="H28" s="208">
        <v>29709.489999999994</v>
      </c>
      <c r="I28" s="208">
        <v>27255.119999999992</v>
      </c>
      <c r="J28" s="208">
        <v>58981.909999999996</v>
      </c>
      <c r="K28" s="208">
        <v>71895.49000000002</v>
      </c>
      <c r="L28" s="208">
        <v>58499.519999999997</v>
      </c>
      <c r="M28" s="208">
        <v>60176.28</v>
      </c>
      <c r="N28" s="208">
        <v>42435.18</v>
      </c>
      <c r="O28" s="208">
        <v>71275.78</v>
      </c>
      <c r="P28" s="258">
        <f t="shared" si="4"/>
        <v>603662.90000000014</v>
      </c>
      <c r="R28" s="235">
        <v>0</v>
      </c>
      <c r="S28" s="235">
        <v>0</v>
      </c>
      <c r="T28" s="235">
        <v>0</v>
      </c>
      <c r="U28" s="258">
        <f t="shared" si="0"/>
        <v>0</v>
      </c>
      <c r="V28" s="235">
        <v>603662.89999999956</v>
      </c>
      <c r="W28" s="235">
        <v>0</v>
      </c>
      <c r="X28" s="258">
        <f t="shared" si="1"/>
        <v>603662.89999999956</v>
      </c>
      <c r="Y28" s="235">
        <v>0</v>
      </c>
      <c r="Z28" s="235">
        <v>0</v>
      </c>
      <c r="AA28" s="258">
        <f t="shared" si="2"/>
        <v>603662.89999999956</v>
      </c>
      <c r="AB28" t="b">
        <f t="shared" si="3"/>
        <v>1</v>
      </c>
    </row>
    <row r="29" spans="1:29">
      <c r="A29" s="179">
        <v>16</v>
      </c>
      <c r="B29" t="s">
        <v>250</v>
      </c>
      <c r="C29" t="s">
        <v>697</v>
      </c>
      <c r="D29" s="208">
        <v>459638.89</v>
      </c>
      <c r="E29" s="208">
        <v>478382.06999999989</v>
      </c>
      <c r="F29" s="208">
        <v>537116.17999999947</v>
      </c>
      <c r="G29" s="208">
        <v>471488.43000000005</v>
      </c>
      <c r="H29" s="208">
        <v>538767.52</v>
      </c>
      <c r="I29" s="208">
        <v>422056.79999999993</v>
      </c>
      <c r="J29" s="208">
        <v>484862.16000000003</v>
      </c>
      <c r="K29" s="208">
        <v>512740.68000000023</v>
      </c>
      <c r="L29" s="208">
        <v>621093.11</v>
      </c>
      <c r="M29" s="208">
        <v>513507.31999999972</v>
      </c>
      <c r="N29" s="208">
        <v>635319.77999999991</v>
      </c>
      <c r="O29" s="208">
        <v>639348.2200000002</v>
      </c>
      <c r="P29" s="258">
        <f t="shared" si="4"/>
        <v>6314321.1600000001</v>
      </c>
      <c r="R29" s="235">
        <v>30.569999999999986</v>
      </c>
      <c r="S29" s="235">
        <v>0</v>
      </c>
      <c r="T29" s="235">
        <v>0</v>
      </c>
      <c r="U29" s="258">
        <f t="shared" si="0"/>
        <v>30.569999999999986</v>
      </c>
      <c r="V29" s="235">
        <v>4944489.3100000024</v>
      </c>
      <c r="W29" s="235">
        <v>0</v>
      </c>
      <c r="X29" s="258">
        <f t="shared" si="1"/>
        <v>4944489.3100000024</v>
      </c>
      <c r="Y29" s="235">
        <v>1369801.2799999998</v>
      </c>
      <c r="Z29" s="235">
        <v>0</v>
      </c>
      <c r="AA29" s="258">
        <f t="shared" si="2"/>
        <v>6314321.160000002</v>
      </c>
      <c r="AB29" t="b">
        <f t="shared" si="3"/>
        <v>1</v>
      </c>
    </row>
    <row r="30" spans="1:29">
      <c r="A30" s="179">
        <v>17</v>
      </c>
      <c r="B30" t="s">
        <v>256</v>
      </c>
      <c r="C30" t="s">
        <v>697</v>
      </c>
      <c r="D30" s="208">
        <v>6867.71</v>
      </c>
      <c r="E30" s="208">
        <v>6659.85</v>
      </c>
      <c r="F30" s="208">
        <v>8852.6999999999971</v>
      </c>
      <c r="G30" s="208">
        <v>8734.8700000000008</v>
      </c>
      <c r="H30" s="208">
        <v>9942.23</v>
      </c>
      <c r="I30" s="208">
        <v>8232.9</v>
      </c>
      <c r="J30" s="208">
        <v>12197.95</v>
      </c>
      <c r="K30" s="208">
        <v>4890.5200000000004</v>
      </c>
      <c r="L30" s="208">
        <v>9625.11</v>
      </c>
      <c r="M30" s="208">
        <v>11508.810000000001</v>
      </c>
      <c r="N30" s="208">
        <v>5032.3900000000021</v>
      </c>
      <c r="O30" s="208">
        <v>8580.56</v>
      </c>
      <c r="P30" s="258">
        <f t="shared" si="4"/>
        <v>101125.6</v>
      </c>
      <c r="R30" s="235">
        <v>6436.98</v>
      </c>
      <c r="S30" s="235">
        <v>0</v>
      </c>
      <c r="T30" s="235">
        <v>0</v>
      </c>
      <c r="U30" s="258">
        <f t="shared" si="0"/>
        <v>6436.98</v>
      </c>
      <c r="V30" s="235">
        <v>77146.930000000022</v>
      </c>
      <c r="W30" s="235">
        <v>0</v>
      </c>
      <c r="X30" s="258">
        <f t="shared" si="1"/>
        <v>77146.930000000022</v>
      </c>
      <c r="Y30" s="235">
        <v>17541.690000000002</v>
      </c>
      <c r="Z30" s="235">
        <v>0</v>
      </c>
      <c r="AA30" s="258">
        <f t="shared" si="2"/>
        <v>101125.60000000002</v>
      </c>
      <c r="AB30" t="b">
        <f t="shared" si="3"/>
        <v>1</v>
      </c>
    </row>
    <row r="31" spans="1:29">
      <c r="A31" s="179">
        <v>18</v>
      </c>
      <c r="B31" t="s">
        <v>252</v>
      </c>
      <c r="C31" t="s">
        <v>697</v>
      </c>
      <c r="D31" s="208">
        <v>81281.959999999992</v>
      </c>
      <c r="E31" s="208">
        <v>89030.849999999991</v>
      </c>
      <c r="F31" s="208">
        <v>70555.890000000014</v>
      </c>
      <c r="G31" s="208">
        <v>71604.39</v>
      </c>
      <c r="H31" s="208">
        <v>70474.390000000014</v>
      </c>
      <c r="I31" s="208">
        <v>59974.34</v>
      </c>
      <c r="J31" s="208">
        <v>62859.340000000004</v>
      </c>
      <c r="K31" s="208">
        <v>94413.090000000011</v>
      </c>
      <c r="L31" s="208">
        <v>86730.93</v>
      </c>
      <c r="M31" s="208">
        <v>48982.96</v>
      </c>
      <c r="N31" s="208">
        <v>38465.590000000004</v>
      </c>
      <c r="O31" s="208">
        <v>49607.580000000009</v>
      </c>
      <c r="P31" s="258">
        <f t="shared" si="4"/>
        <v>823981.31</v>
      </c>
      <c r="R31" s="235">
        <v>34130.9</v>
      </c>
      <c r="S31" s="235">
        <v>0</v>
      </c>
      <c r="T31" s="235">
        <v>0</v>
      </c>
      <c r="U31" s="258">
        <f t="shared" si="0"/>
        <v>34130.9</v>
      </c>
      <c r="V31" s="235">
        <v>789850.40999999957</v>
      </c>
      <c r="W31" s="235">
        <v>0</v>
      </c>
      <c r="X31" s="258">
        <f t="shared" si="1"/>
        <v>789850.40999999957</v>
      </c>
      <c r="Y31" s="235">
        <v>0</v>
      </c>
      <c r="Z31" s="235">
        <v>0</v>
      </c>
      <c r="AA31" s="258">
        <f t="shared" si="2"/>
        <v>823981.30999999959</v>
      </c>
      <c r="AB31" t="b">
        <f t="shared" si="3"/>
        <v>1</v>
      </c>
    </row>
    <row r="32" spans="1:29">
      <c r="A32" s="179">
        <v>19</v>
      </c>
      <c r="B32" t="s">
        <v>147</v>
      </c>
      <c r="C32" t="s">
        <v>697</v>
      </c>
      <c r="D32" s="208">
        <v>982748.51</v>
      </c>
      <c r="E32" s="208">
        <v>1019677.4600000005</v>
      </c>
      <c r="F32" s="208">
        <v>1142578.6700000009</v>
      </c>
      <c r="G32" s="208">
        <v>766291.28999999969</v>
      </c>
      <c r="H32" s="208">
        <v>728662.30999999994</v>
      </c>
      <c r="I32" s="208">
        <v>672314.98</v>
      </c>
      <c r="J32" s="208">
        <v>1386028.3900000001</v>
      </c>
      <c r="K32" s="208">
        <v>1115469.3300000003</v>
      </c>
      <c r="L32" s="208">
        <v>1062223.9000000001</v>
      </c>
      <c r="M32" s="208">
        <v>1076599.4099999997</v>
      </c>
      <c r="N32" s="208">
        <v>890825.34999999974</v>
      </c>
      <c r="O32" s="208">
        <v>1608561.22</v>
      </c>
      <c r="P32" s="258">
        <f t="shared" si="4"/>
        <v>12451980.820000002</v>
      </c>
      <c r="R32" s="235">
        <v>0</v>
      </c>
      <c r="S32" s="235">
        <v>0</v>
      </c>
      <c r="T32" s="235">
        <v>0</v>
      </c>
      <c r="U32" s="258">
        <f t="shared" si="0"/>
        <v>0</v>
      </c>
      <c r="V32" s="235">
        <v>12395123.210000008</v>
      </c>
      <c r="W32" s="235">
        <v>0</v>
      </c>
      <c r="X32" s="258">
        <f t="shared" si="1"/>
        <v>12395123.210000008</v>
      </c>
      <c r="Y32" s="235">
        <v>56857.609999999993</v>
      </c>
      <c r="Z32" s="235">
        <v>0</v>
      </c>
      <c r="AA32" s="258">
        <f t="shared" si="2"/>
        <v>12451980.820000008</v>
      </c>
      <c r="AB32" t="b">
        <f t="shared" si="3"/>
        <v>1</v>
      </c>
    </row>
    <row r="33" spans="1:28">
      <c r="A33" s="179">
        <v>20</v>
      </c>
      <c r="B33" t="s">
        <v>148</v>
      </c>
      <c r="C33" t="s">
        <v>697</v>
      </c>
      <c r="D33" s="208">
        <v>315996.84999999992</v>
      </c>
      <c r="E33" s="208">
        <v>303749.35000000003</v>
      </c>
      <c r="F33" s="208">
        <v>386393.46999999991</v>
      </c>
      <c r="G33" s="208">
        <v>223051.01000000007</v>
      </c>
      <c r="H33" s="208">
        <v>262673.81999999995</v>
      </c>
      <c r="I33" s="208">
        <v>219056.97000000006</v>
      </c>
      <c r="J33" s="208">
        <v>418781.49000000005</v>
      </c>
      <c r="K33" s="208">
        <v>309397.56000000011</v>
      </c>
      <c r="L33" s="208">
        <v>303403.85999999993</v>
      </c>
      <c r="M33" s="208">
        <v>330563.76000000013</v>
      </c>
      <c r="N33" s="208">
        <v>295359.83</v>
      </c>
      <c r="O33" s="208">
        <v>466031.04000000004</v>
      </c>
      <c r="P33" s="258">
        <f t="shared" si="4"/>
        <v>3834459.0100000002</v>
      </c>
      <c r="R33" s="235">
        <v>0</v>
      </c>
      <c r="S33" s="235">
        <v>0</v>
      </c>
      <c r="T33" s="235">
        <v>0</v>
      </c>
      <c r="U33" s="258">
        <f t="shared" si="0"/>
        <v>0</v>
      </c>
      <c r="V33" s="235">
        <v>3800313.4600000037</v>
      </c>
      <c r="W33" s="235">
        <v>0</v>
      </c>
      <c r="X33" s="258">
        <f t="shared" si="1"/>
        <v>3800313.4600000037</v>
      </c>
      <c r="Y33" s="235">
        <v>34145.549999999988</v>
      </c>
      <c r="Z33" s="235">
        <v>0</v>
      </c>
      <c r="AA33" s="258">
        <f t="shared" si="2"/>
        <v>3834459.0100000035</v>
      </c>
      <c r="AB33" t="b">
        <f t="shared" si="3"/>
        <v>1</v>
      </c>
    </row>
    <row r="34" spans="1:28">
      <c r="A34" s="179">
        <v>21</v>
      </c>
      <c r="B34" t="s">
        <v>253</v>
      </c>
      <c r="C34" t="s">
        <v>697</v>
      </c>
      <c r="D34" s="208">
        <v>43064.819999999992</v>
      </c>
      <c r="E34" s="208">
        <v>71206.640000000014</v>
      </c>
      <c r="F34" s="208">
        <v>68579.219999999972</v>
      </c>
      <c r="G34" s="208">
        <v>53241.820000000007</v>
      </c>
      <c r="H34" s="208">
        <v>46137.880000000005</v>
      </c>
      <c r="I34" s="208">
        <v>37161.22</v>
      </c>
      <c r="J34" s="208">
        <v>51300.589999999982</v>
      </c>
      <c r="K34" s="208">
        <v>55609.499999999985</v>
      </c>
      <c r="L34" s="208">
        <v>50095.44</v>
      </c>
      <c r="M34" s="208">
        <v>59166.58</v>
      </c>
      <c r="N34" s="208">
        <v>47335.12999999999</v>
      </c>
      <c r="O34" s="208">
        <v>57403.659999999989</v>
      </c>
      <c r="P34" s="258">
        <f t="shared" si="4"/>
        <v>640302.5</v>
      </c>
      <c r="R34" s="235">
        <v>0</v>
      </c>
      <c r="S34" s="235">
        <v>0</v>
      </c>
      <c r="T34" s="235">
        <v>0</v>
      </c>
      <c r="U34" s="258">
        <f t="shared" si="0"/>
        <v>0</v>
      </c>
      <c r="V34" s="235">
        <v>640301.02000000037</v>
      </c>
      <c r="W34" s="235">
        <v>0</v>
      </c>
      <c r="X34" s="258">
        <f t="shared" si="1"/>
        <v>640301.02000000037</v>
      </c>
      <c r="Y34" s="235">
        <v>1.48</v>
      </c>
      <c r="Z34" s="235">
        <v>0</v>
      </c>
      <c r="AA34" s="258">
        <f t="shared" si="2"/>
        <v>640302.50000000035</v>
      </c>
      <c r="AB34" t="b">
        <f t="shared" si="3"/>
        <v>1</v>
      </c>
    </row>
    <row r="35" spans="1:28">
      <c r="A35" s="179">
        <v>22</v>
      </c>
      <c r="B35" t="s">
        <v>280</v>
      </c>
      <c r="C35" t="s">
        <v>697</v>
      </c>
      <c r="D35" s="208">
        <v>5162.57</v>
      </c>
      <c r="E35" s="208">
        <v>6162.3899999999994</v>
      </c>
      <c r="F35" s="208">
        <v>6232.5999999999995</v>
      </c>
      <c r="G35" s="208">
        <v>5836.73</v>
      </c>
      <c r="H35" s="208">
        <v>6184.4199999999992</v>
      </c>
      <c r="I35" s="208">
        <v>5732.9000000000005</v>
      </c>
      <c r="J35" s="208">
        <v>10322.6</v>
      </c>
      <c r="K35" s="208">
        <v>5910.4600000000028</v>
      </c>
      <c r="L35" s="208">
        <v>7484.5399999999981</v>
      </c>
      <c r="M35" s="208">
        <v>7786.3400000000011</v>
      </c>
      <c r="N35" s="208">
        <v>7148.09</v>
      </c>
      <c r="O35" s="208">
        <v>8017.16</v>
      </c>
      <c r="P35" s="258">
        <f t="shared" si="4"/>
        <v>81980.800000000003</v>
      </c>
      <c r="R35" s="235">
        <v>0</v>
      </c>
      <c r="S35" s="235">
        <v>0</v>
      </c>
      <c r="T35" s="235">
        <v>0</v>
      </c>
      <c r="U35" s="258">
        <f t="shared" si="0"/>
        <v>0</v>
      </c>
      <c r="V35" s="235">
        <v>60289.930000000066</v>
      </c>
      <c r="W35" s="235">
        <v>0</v>
      </c>
      <c r="X35" s="258">
        <f t="shared" si="1"/>
        <v>60289.930000000066</v>
      </c>
      <c r="Y35" s="235">
        <v>21690.87</v>
      </c>
      <c r="Z35" s="235">
        <v>0</v>
      </c>
      <c r="AA35" s="258">
        <f t="shared" si="2"/>
        <v>81980.800000000061</v>
      </c>
      <c r="AB35" t="b">
        <f t="shared" si="3"/>
        <v>1</v>
      </c>
    </row>
    <row r="36" spans="1:28">
      <c r="A36" s="179">
        <v>23</v>
      </c>
      <c r="B36" t="s">
        <v>255</v>
      </c>
      <c r="C36" t="s">
        <v>697</v>
      </c>
      <c r="D36" s="208">
        <v>52023.500000000022</v>
      </c>
      <c r="E36" s="208">
        <v>113199.51000000001</v>
      </c>
      <c r="F36" s="208">
        <v>115494.43</v>
      </c>
      <c r="G36" s="208">
        <v>101049.93999999999</v>
      </c>
      <c r="H36" s="208">
        <v>58257.97</v>
      </c>
      <c r="I36" s="208">
        <v>48281.859999999993</v>
      </c>
      <c r="J36" s="208">
        <v>136558.49</v>
      </c>
      <c r="K36" s="208">
        <v>134262.44</v>
      </c>
      <c r="L36" s="208">
        <v>98295.700000000012</v>
      </c>
      <c r="M36" s="208">
        <v>96644.12</v>
      </c>
      <c r="N36" s="208">
        <v>138684.60000000003</v>
      </c>
      <c r="O36" s="208">
        <v>146196.68000000002</v>
      </c>
      <c r="P36" s="258">
        <f t="shared" si="4"/>
        <v>1238949.24</v>
      </c>
      <c r="R36" s="235">
        <v>0</v>
      </c>
      <c r="S36" s="235">
        <v>0</v>
      </c>
      <c r="T36" s="235">
        <v>0</v>
      </c>
      <c r="U36" s="258">
        <f t="shared" si="0"/>
        <v>0</v>
      </c>
      <c r="V36" s="235">
        <v>0</v>
      </c>
      <c r="W36" s="235">
        <v>0</v>
      </c>
      <c r="X36" s="258">
        <f t="shared" si="1"/>
        <v>0</v>
      </c>
      <c r="Y36" s="235">
        <v>1238949.2400000002</v>
      </c>
      <c r="Z36" s="235">
        <v>0</v>
      </c>
      <c r="AA36" s="258">
        <f t="shared" si="2"/>
        <v>1238949.2400000002</v>
      </c>
      <c r="AB36" t="b">
        <f t="shared" si="3"/>
        <v>1</v>
      </c>
    </row>
    <row r="37" spans="1:28">
      <c r="A37" s="179">
        <v>24</v>
      </c>
      <c r="B37" t="s">
        <v>283</v>
      </c>
      <c r="C37" t="s">
        <v>697</v>
      </c>
      <c r="D37" s="208">
        <v>23891.54</v>
      </c>
      <c r="E37" s="208">
        <v>34568.67</v>
      </c>
      <c r="F37" s="208">
        <v>20236.960000000003</v>
      </c>
      <c r="G37" s="208">
        <v>23324.629999999994</v>
      </c>
      <c r="H37" s="208">
        <v>18779.640000000003</v>
      </c>
      <c r="I37" s="208">
        <v>33438.869999999995</v>
      </c>
      <c r="J37" s="208">
        <v>19283.620000000003</v>
      </c>
      <c r="K37" s="208">
        <v>24013.050000000003</v>
      </c>
      <c r="L37" s="208">
        <v>28339.500000000004</v>
      </c>
      <c r="M37" s="208">
        <v>-71.720000000001079</v>
      </c>
      <c r="N37" s="208">
        <v>17346.989999999998</v>
      </c>
      <c r="O37" s="208">
        <v>20554.60999999999</v>
      </c>
      <c r="P37" s="258">
        <f t="shared" si="4"/>
        <v>263706.36</v>
      </c>
      <c r="R37" s="235">
        <v>0</v>
      </c>
      <c r="S37" s="235">
        <v>0</v>
      </c>
      <c r="T37" s="235">
        <v>0</v>
      </c>
      <c r="U37" s="258">
        <f t="shared" si="0"/>
        <v>0</v>
      </c>
      <c r="V37" s="235">
        <v>263706.35999999993</v>
      </c>
      <c r="W37" s="235">
        <v>0</v>
      </c>
      <c r="X37" s="258">
        <f t="shared" si="1"/>
        <v>263706.35999999993</v>
      </c>
      <c r="Y37" s="235">
        <v>0</v>
      </c>
      <c r="Z37" s="235">
        <v>0</v>
      </c>
      <c r="AA37" s="258">
        <f t="shared" si="2"/>
        <v>263706.35999999993</v>
      </c>
      <c r="AB37" t="b">
        <f t="shared" si="3"/>
        <v>1</v>
      </c>
    </row>
    <row r="38" spans="1:28">
      <c r="A38" s="179">
        <v>25</v>
      </c>
      <c r="B38" t="s">
        <v>258</v>
      </c>
      <c r="C38" t="s">
        <v>697</v>
      </c>
      <c r="D38" s="208">
        <v>639.42000000000007</v>
      </c>
      <c r="E38" s="208">
        <v>159.71</v>
      </c>
      <c r="F38" s="208">
        <v>1219.08</v>
      </c>
      <c r="G38" s="208">
        <v>808.31</v>
      </c>
      <c r="H38" s="208">
        <v>325.91000000000003</v>
      </c>
      <c r="I38" s="208">
        <v>3731.91</v>
      </c>
      <c r="J38" s="208">
        <v>929.93</v>
      </c>
      <c r="K38" s="208">
        <v>1427.17</v>
      </c>
      <c r="L38" s="208">
        <v>669.43</v>
      </c>
      <c r="M38" s="208">
        <v>1116.7</v>
      </c>
      <c r="N38" s="208">
        <v>310.95</v>
      </c>
      <c r="O38" s="208">
        <v>1963.65</v>
      </c>
      <c r="P38" s="258">
        <f t="shared" si="4"/>
        <v>13302.170000000002</v>
      </c>
      <c r="R38" s="235">
        <v>0</v>
      </c>
      <c r="S38" s="235">
        <v>0</v>
      </c>
      <c r="T38" s="235">
        <v>0</v>
      </c>
      <c r="U38" s="258">
        <f t="shared" si="0"/>
        <v>0</v>
      </c>
      <c r="V38" s="235">
        <v>0</v>
      </c>
      <c r="W38" s="235">
        <v>0</v>
      </c>
      <c r="X38" s="258">
        <f t="shared" si="1"/>
        <v>0</v>
      </c>
      <c r="Y38" s="235">
        <v>13302.17</v>
      </c>
      <c r="Z38" s="235">
        <v>0</v>
      </c>
      <c r="AA38" s="258">
        <f t="shared" si="2"/>
        <v>13302.17</v>
      </c>
      <c r="AB38" t="b">
        <f t="shared" si="3"/>
        <v>1</v>
      </c>
    </row>
    <row r="39" spans="1:28">
      <c r="A39" s="179">
        <v>26</v>
      </c>
      <c r="B39" t="s">
        <v>329</v>
      </c>
      <c r="C39" t="s">
        <v>697</v>
      </c>
      <c r="D39" s="208">
        <v>-5071.6200000000008</v>
      </c>
      <c r="E39" s="208">
        <v>2472.98</v>
      </c>
      <c r="F39" s="208">
        <v>3251.9</v>
      </c>
      <c r="G39" s="208">
        <v>2271.4899999999998</v>
      </c>
      <c r="H39" s="208">
        <v>3913.85</v>
      </c>
      <c r="I39" s="208">
        <v>-3586.8799999999997</v>
      </c>
      <c r="J39" s="208">
        <v>2359.9</v>
      </c>
      <c r="K39" s="208">
        <v>3634.2</v>
      </c>
      <c r="L39" s="208">
        <v>3089.16</v>
      </c>
      <c r="M39" s="208">
        <v>2337.0500000000002</v>
      </c>
      <c r="N39" s="208">
        <v>2106.27</v>
      </c>
      <c r="O39" s="208">
        <v>3180.05</v>
      </c>
      <c r="P39" s="258">
        <f t="shared" si="4"/>
        <v>19958.349999999999</v>
      </c>
      <c r="R39" s="235">
        <v>0</v>
      </c>
      <c r="S39" s="235">
        <v>0</v>
      </c>
      <c r="T39" s="235">
        <v>0</v>
      </c>
      <c r="U39" s="258">
        <f t="shared" si="0"/>
        <v>0</v>
      </c>
      <c r="V39" s="235">
        <v>16462.989999999998</v>
      </c>
      <c r="W39" s="235">
        <v>0</v>
      </c>
      <c r="X39" s="258">
        <f t="shared" si="1"/>
        <v>16462.989999999998</v>
      </c>
      <c r="Y39" s="235">
        <v>0</v>
      </c>
      <c r="Z39" s="235">
        <v>3495.36</v>
      </c>
      <c r="AA39" s="258">
        <f t="shared" si="2"/>
        <v>19958.349999999999</v>
      </c>
      <c r="AB39" t="b">
        <f t="shared" si="3"/>
        <v>1</v>
      </c>
    </row>
    <row r="40" spans="1:28">
      <c r="A40" s="179">
        <v>27</v>
      </c>
      <c r="B40" t="s">
        <v>270</v>
      </c>
      <c r="C40" t="s">
        <v>697</v>
      </c>
      <c r="D40" s="208">
        <v>35877.639999999992</v>
      </c>
      <c r="E40" s="208">
        <v>55482.26999999999</v>
      </c>
      <c r="F40" s="208">
        <v>53213.08</v>
      </c>
      <c r="G40" s="208">
        <v>25957.389999999989</v>
      </c>
      <c r="H40" s="208">
        <v>40059.719999999994</v>
      </c>
      <c r="I40" s="208">
        <v>51262.83</v>
      </c>
      <c r="J40" s="208">
        <v>50386.82</v>
      </c>
      <c r="K40" s="208">
        <v>54122.44</v>
      </c>
      <c r="L40" s="208">
        <v>54288.55</v>
      </c>
      <c r="M40" s="208">
        <v>47008.37</v>
      </c>
      <c r="N40" s="208">
        <v>43127.02</v>
      </c>
      <c r="O40" s="208">
        <v>59261.07</v>
      </c>
      <c r="P40" s="258">
        <f t="shared" si="4"/>
        <v>570047.19999999995</v>
      </c>
      <c r="R40" s="235">
        <v>142832.13</v>
      </c>
      <c r="S40" s="235">
        <v>0</v>
      </c>
      <c r="T40" s="235">
        <v>0</v>
      </c>
      <c r="U40" s="258">
        <f t="shared" si="0"/>
        <v>142832.13</v>
      </c>
      <c r="V40" s="235">
        <v>299072.49999999988</v>
      </c>
      <c r="W40" s="235">
        <v>0</v>
      </c>
      <c r="X40" s="258">
        <f t="shared" si="1"/>
        <v>299072.49999999988</v>
      </c>
      <c r="Y40" s="235">
        <v>25587.059999999994</v>
      </c>
      <c r="Z40" s="235">
        <v>102555.5100000001</v>
      </c>
      <c r="AA40" s="258">
        <f t="shared" si="2"/>
        <v>570047.19999999995</v>
      </c>
      <c r="AB40" t="b">
        <f t="shared" si="3"/>
        <v>1</v>
      </c>
    </row>
    <row r="41" spans="1:28">
      <c r="A41" s="179">
        <v>28</v>
      </c>
      <c r="B41" t="s">
        <v>288</v>
      </c>
      <c r="C41" t="s">
        <v>697</v>
      </c>
      <c r="D41" s="208">
        <v>1824.3700000000001</v>
      </c>
      <c r="E41" s="208">
        <v>1599.79</v>
      </c>
      <c r="F41" s="208">
        <v>2747.11</v>
      </c>
      <c r="G41" s="208">
        <v>2514.96</v>
      </c>
      <c r="H41" s="208">
        <v>2583.13</v>
      </c>
      <c r="I41" s="208">
        <v>2226.29</v>
      </c>
      <c r="J41" s="208">
        <v>2431.33</v>
      </c>
      <c r="K41" s="208">
        <v>2756.33</v>
      </c>
      <c r="L41" s="208">
        <v>2720.99</v>
      </c>
      <c r="M41" s="208">
        <v>2371.33</v>
      </c>
      <c r="N41" s="208">
        <v>3005.09</v>
      </c>
      <c r="O41" s="208">
        <v>8971.74</v>
      </c>
      <c r="P41" s="258">
        <f t="shared" si="4"/>
        <v>35752.460000000006</v>
      </c>
      <c r="R41" s="235">
        <v>6746.2100000000009</v>
      </c>
      <c r="S41" s="235">
        <v>0</v>
      </c>
      <c r="T41" s="235">
        <v>0</v>
      </c>
      <c r="U41" s="258">
        <f t="shared" si="0"/>
        <v>6746.2100000000009</v>
      </c>
      <c r="V41" s="235">
        <v>23760.61</v>
      </c>
      <c r="W41" s="235">
        <v>0</v>
      </c>
      <c r="X41" s="258">
        <f t="shared" si="1"/>
        <v>23760.61</v>
      </c>
      <c r="Y41" s="235">
        <v>5038.6000000000004</v>
      </c>
      <c r="Z41" s="235">
        <v>207.03999999999996</v>
      </c>
      <c r="AA41" s="258">
        <f t="shared" si="2"/>
        <v>35752.46</v>
      </c>
      <c r="AB41" t="b">
        <f t="shared" si="3"/>
        <v>1</v>
      </c>
    </row>
    <row r="42" spans="1:28">
      <c r="A42" s="179">
        <v>29</v>
      </c>
      <c r="B42" t="s">
        <v>26</v>
      </c>
      <c r="C42" t="s">
        <v>697</v>
      </c>
      <c r="D42" s="208">
        <v>24.95</v>
      </c>
      <c r="E42" s="208">
        <v>114.57</v>
      </c>
      <c r="F42" s="208">
        <v>180.07999999999998</v>
      </c>
      <c r="G42" s="208">
        <v>0.69000000000000006</v>
      </c>
      <c r="H42" s="208">
        <v>184.7</v>
      </c>
      <c r="I42" s="208">
        <v>80.2</v>
      </c>
      <c r="J42" s="208">
        <v>2.5999999999999996</v>
      </c>
      <c r="K42" s="208">
        <v>45.760000000000005</v>
      </c>
      <c r="L42" s="208">
        <v>100.63000000000001</v>
      </c>
      <c r="M42" s="208">
        <v>138.01</v>
      </c>
      <c r="N42" s="208">
        <v>86.74</v>
      </c>
      <c r="O42" s="208">
        <v>215.82</v>
      </c>
      <c r="P42" s="258">
        <f t="shared" si="4"/>
        <v>1174.75</v>
      </c>
      <c r="R42" s="235">
        <v>0</v>
      </c>
      <c r="S42" s="235">
        <v>0</v>
      </c>
      <c r="T42" s="235">
        <v>0</v>
      </c>
      <c r="U42" s="258">
        <f t="shared" si="0"/>
        <v>0</v>
      </c>
      <c r="V42" s="235">
        <v>1174.75</v>
      </c>
      <c r="W42" s="235">
        <v>0</v>
      </c>
      <c r="X42" s="258">
        <f t="shared" si="1"/>
        <v>1174.75</v>
      </c>
      <c r="Y42" s="235">
        <v>0</v>
      </c>
      <c r="Z42" s="235">
        <v>0</v>
      </c>
      <c r="AA42" s="258">
        <f t="shared" si="2"/>
        <v>1174.75</v>
      </c>
      <c r="AB42" t="b">
        <f t="shared" si="3"/>
        <v>1</v>
      </c>
    </row>
    <row r="43" spans="1:28">
      <c r="A43" s="179">
        <v>30</v>
      </c>
      <c r="B43" t="s">
        <v>278</v>
      </c>
      <c r="C43" t="s">
        <v>697</v>
      </c>
      <c r="D43" s="208">
        <v>18284.77</v>
      </c>
      <c r="E43" s="208">
        <v>17856.75</v>
      </c>
      <c r="F43" s="208">
        <v>20823.509999999998</v>
      </c>
      <c r="G43" s="208">
        <v>14867.439999999999</v>
      </c>
      <c r="H43" s="208">
        <v>22269.71</v>
      </c>
      <c r="I43" s="208">
        <v>15509.619999999999</v>
      </c>
      <c r="J43" s="208">
        <v>31140.77</v>
      </c>
      <c r="K43" s="208">
        <v>25015.54</v>
      </c>
      <c r="L43" s="208">
        <v>16577.010000000002</v>
      </c>
      <c r="M43" s="208">
        <v>-13021.04</v>
      </c>
      <c r="N43" s="208">
        <v>18930.259999999998</v>
      </c>
      <c r="O43" s="208">
        <v>24135.02</v>
      </c>
      <c r="P43" s="258">
        <f t="shared" si="4"/>
        <v>212389.36</v>
      </c>
      <c r="R43" s="235">
        <v>60804.969999999987</v>
      </c>
      <c r="S43" s="235">
        <v>0</v>
      </c>
      <c r="T43" s="235">
        <v>0</v>
      </c>
      <c r="U43" s="258">
        <f t="shared" si="0"/>
        <v>60804.969999999987</v>
      </c>
      <c r="V43" s="235">
        <v>117403.59</v>
      </c>
      <c r="W43" s="235">
        <v>0</v>
      </c>
      <c r="X43" s="258">
        <f t="shared" si="1"/>
        <v>117403.59</v>
      </c>
      <c r="Y43" s="235">
        <v>32831.560000000005</v>
      </c>
      <c r="Z43" s="235">
        <v>1349.2399999999998</v>
      </c>
      <c r="AA43" s="258">
        <f t="shared" si="2"/>
        <v>212389.36</v>
      </c>
      <c r="AB43" t="b">
        <f t="shared" si="3"/>
        <v>1</v>
      </c>
    </row>
    <row r="44" spans="1:28" ht="13.5" thickBot="1">
      <c r="A44" s="179">
        <v>31</v>
      </c>
      <c r="C44" s="194" t="s">
        <v>758</v>
      </c>
      <c r="D44" s="298">
        <f t="shared" ref="D44:P44" si="5">SUM(D14:D43)</f>
        <v>3297640.9499999997</v>
      </c>
      <c r="E44" s="298">
        <f t="shared" si="5"/>
        <v>3722968.6900000009</v>
      </c>
      <c r="F44" s="298">
        <f t="shared" si="5"/>
        <v>3928442.96</v>
      </c>
      <c r="G44" s="298">
        <f t="shared" si="5"/>
        <v>2846625.06</v>
      </c>
      <c r="H44" s="298">
        <f t="shared" si="5"/>
        <v>3224496.8400000003</v>
      </c>
      <c r="I44" s="298">
        <f t="shared" si="5"/>
        <v>2787891.4300000006</v>
      </c>
      <c r="J44" s="298">
        <f t="shared" si="5"/>
        <v>4480293.24</v>
      </c>
      <c r="K44" s="298">
        <f t="shared" si="5"/>
        <v>4067899.1300000004</v>
      </c>
      <c r="L44" s="298">
        <f t="shared" si="5"/>
        <v>3958345.1600000006</v>
      </c>
      <c r="M44" s="298">
        <f t="shared" si="5"/>
        <v>3885478.8799999994</v>
      </c>
      <c r="N44" s="298">
        <f t="shared" si="5"/>
        <v>3493496.9699999997</v>
      </c>
      <c r="O44" s="298">
        <f t="shared" si="5"/>
        <v>5165382.2600000016</v>
      </c>
      <c r="P44" s="298">
        <f t="shared" si="5"/>
        <v>44858961.570000008</v>
      </c>
      <c r="R44" s="298">
        <f t="shared" ref="R44:AA44" si="6">SUM(R14:R43)</f>
        <v>6185244.8000000026</v>
      </c>
      <c r="S44" s="298">
        <f t="shared" si="6"/>
        <v>0</v>
      </c>
      <c r="T44" s="298">
        <f t="shared" si="6"/>
        <v>0</v>
      </c>
      <c r="U44" s="298">
        <f t="shared" si="6"/>
        <v>6185244.8000000026</v>
      </c>
      <c r="V44" s="298">
        <f t="shared" si="6"/>
        <v>31431192.130000014</v>
      </c>
      <c r="W44" s="298">
        <f t="shared" si="6"/>
        <v>0</v>
      </c>
      <c r="X44" s="298">
        <f t="shared" si="6"/>
        <v>31431192.130000014</v>
      </c>
      <c r="Y44" s="298">
        <f t="shared" si="6"/>
        <v>7134917.4899999984</v>
      </c>
      <c r="Z44" s="298">
        <f t="shared" si="6"/>
        <v>107607.1500000001</v>
      </c>
      <c r="AA44" s="298">
        <f t="shared" si="6"/>
        <v>44858961.57000003</v>
      </c>
    </row>
    <row r="45" spans="1:28" ht="13.5" thickTop="1">
      <c r="A45" s="179">
        <v>32</v>
      </c>
      <c r="AA45" s="194"/>
    </row>
    <row r="46" spans="1:28">
      <c r="A46" s="179">
        <v>33</v>
      </c>
      <c r="AA46" s="194"/>
    </row>
    <row r="47" spans="1:28">
      <c r="A47" s="179">
        <v>34</v>
      </c>
      <c r="B47" t="s">
        <v>277</v>
      </c>
      <c r="C47" t="s">
        <v>739</v>
      </c>
      <c r="D47" s="265">
        <v>4250</v>
      </c>
      <c r="E47" s="265">
        <v>4250</v>
      </c>
      <c r="F47" s="265">
        <v>6017.56</v>
      </c>
      <c r="G47" s="265">
        <v>4250</v>
      </c>
      <c r="H47" s="265">
        <v>72911.89</v>
      </c>
      <c r="I47" s="265">
        <v>30899.72</v>
      </c>
      <c r="J47" s="265">
        <v>30899.72</v>
      </c>
      <c r="K47" s="265">
        <v>31353.470000000005</v>
      </c>
      <c r="L47" s="265">
        <v>31353.470000000005</v>
      </c>
      <c r="M47" s="265">
        <v>31353.47</v>
      </c>
      <c r="N47" s="265">
        <v>31353.470000000005</v>
      </c>
      <c r="O47" s="319">
        <v>31353.47</v>
      </c>
      <c r="P47" s="320">
        <f>SUM(D47:O47)</f>
        <v>310246.24</v>
      </c>
      <c r="Q47" s="265"/>
      <c r="R47" s="265">
        <v>90668.94</v>
      </c>
      <c r="S47" s="265">
        <v>0</v>
      </c>
      <c r="T47" s="265">
        <v>0</v>
      </c>
      <c r="U47" s="320">
        <f>SUM(R47:T47)</f>
        <v>90668.94</v>
      </c>
      <c r="V47" s="265">
        <f>+P47-R47-S47-T47-W47-Y47-Z47</f>
        <v>134037.76999999999</v>
      </c>
      <c r="W47" s="265">
        <v>0</v>
      </c>
      <c r="X47" s="320">
        <f>SUM(V47:W47)</f>
        <v>134037.76999999999</v>
      </c>
      <c r="Y47" s="265">
        <v>33221.1</v>
      </c>
      <c r="Z47" s="265">
        <v>52318.43</v>
      </c>
      <c r="AA47" s="236">
        <f>+U47+X47+Y47+Z47</f>
        <v>310246.24</v>
      </c>
      <c r="AB47" t="b">
        <f t="shared" ref="AB47:AB69" si="7">ROUND(+P47,2)=ROUND(AA47,2)</f>
        <v>1</v>
      </c>
    </row>
    <row r="48" spans="1:28">
      <c r="A48" s="179">
        <v>35</v>
      </c>
      <c r="B48" t="s">
        <v>235</v>
      </c>
      <c r="C48" t="s">
        <v>740</v>
      </c>
      <c r="D48" s="235">
        <v>3923.38</v>
      </c>
      <c r="E48" s="235">
        <v>1410</v>
      </c>
      <c r="F48" s="235">
        <v>1410</v>
      </c>
      <c r="G48" s="235">
        <v>1410</v>
      </c>
      <c r="H48" s="235">
        <v>1645</v>
      </c>
      <c r="I48" s="235">
        <v>1645</v>
      </c>
      <c r="J48" s="235">
        <v>1645</v>
      </c>
      <c r="K48" s="235">
        <v>1645</v>
      </c>
      <c r="L48" s="235">
        <v>1645</v>
      </c>
      <c r="M48" s="235">
        <v>1645</v>
      </c>
      <c r="N48" s="235">
        <v>1645</v>
      </c>
      <c r="O48" s="302">
        <v>1596.32</v>
      </c>
      <c r="P48" s="237">
        <f t="shared" ref="P48:P69" si="8">SUM(D48:O48)</f>
        <v>21264.7</v>
      </c>
      <c r="Q48" s="235"/>
      <c r="R48" s="235">
        <v>21064.3</v>
      </c>
      <c r="S48" s="235">
        <v>0</v>
      </c>
      <c r="T48" s="235">
        <v>0</v>
      </c>
      <c r="U48" s="237">
        <f t="shared" ref="U48:U69" si="9">SUM(R48:T48)</f>
        <v>21064.3</v>
      </c>
      <c r="V48" s="235">
        <v>198.63</v>
      </c>
      <c r="W48" s="235">
        <v>0</v>
      </c>
      <c r="X48" s="237">
        <f t="shared" ref="X48:X69" si="10">SUM(V48:W48)</f>
        <v>198.63</v>
      </c>
      <c r="Y48" s="235">
        <v>1.77</v>
      </c>
      <c r="Z48" s="235">
        <v>0</v>
      </c>
      <c r="AA48" s="258">
        <f t="shared" ref="AA48:AA69" si="11">+U48+X48+Y48+Z48</f>
        <v>21264.7</v>
      </c>
      <c r="AB48" t="b">
        <f t="shared" si="7"/>
        <v>1</v>
      </c>
    </row>
    <row r="49" spans="1:28">
      <c r="A49" s="179">
        <v>36</v>
      </c>
      <c r="B49" t="s">
        <v>235</v>
      </c>
      <c r="C49" t="s">
        <v>742</v>
      </c>
      <c r="D49" s="235">
        <v>37276.370000000003</v>
      </c>
      <c r="E49" s="235">
        <v>7980</v>
      </c>
      <c r="F49" s="235">
        <v>9777.2000000000007</v>
      </c>
      <c r="G49" s="235">
        <v>8429.2999999999993</v>
      </c>
      <c r="H49" s="235">
        <v>8429.2999999999993</v>
      </c>
      <c r="I49" s="235">
        <v>8429.2999999999993</v>
      </c>
      <c r="J49" s="235">
        <v>8429.2999999999993</v>
      </c>
      <c r="K49" s="235">
        <v>8429.2999999999993</v>
      </c>
      <c r="L49" s="235">
        <v>8429.2999999999993</v>
      </c>
      <c r="M49" s="235">
        <v>8429.2999999999993</v>
      </c>
      <c r="N49" s="235">
        <v>8429.2999999999993</v>
      </c>
      <c r="O49" s="302">
        <v>968.54</v>
      </c>
      <c r="P49" s="237">
        <f t="shared" si="8"/>
        <v>123436.51000000002</v>
      </c>
      <c r="Q49" s="235"/>
      <c r="R49" s="235">
        <v>122273.25</v>
      </c>
      <c r="S49" s="235">
        <v>0</v>
      </c>
      <c r="T49" s="235">
        <v>0</v>
      </c>
      <c r="U49" s="237">
        <f t="shared" si="9"/>
        <v>122273.25</v>
      </c>
      <c r="V49" s="235">
        <v>1152.98</v>
      </c>
      <c r="W49" s="235">
        <v>0</v>
      </c>
      <c r="X49" s="237">
        <f t="shared" si="10"/>
        <v>1152.98</v>
      </c>
      <c r="Y49" s="235">
        <v>10.28</v>
      </c>
      <c r="Z49" s="235">
        <v>0</v>
      </c>
      <c r="AA49" s="258">
        <f t="shared" si="11"/>
        <v>123436.51</v>
      </c>
      <c r="AB49" t="b">
        <f t="shared" si="7"/>
        <v>1</v>
      </c>
    </row>
    <row r="50" spans="1:28">
      <c r="A50" s="179">
        <v>37</v>
      </c>
      <c r="B50" t="s">
        <v>235</v>
      </c>
      <c r="C50" t="s">
        <v>743</v>
      </c>
      <c r="D50" s="235">
        <v>59504.83</v>
      </c>
      <c r="E50" s="235">
        <v>59504.84</v>
      </c>
      <c r="F50" s="235">
        <v>59504.800000000003</v>
      </c>
      <c r="G50" s="235">
        <v>59504.85</v>
      </c>
      <c r="H50" s="235">
        <v>48973.73</v>
      </c>
      <c r="I50" s="235">
        <v>59567.81</v>
      </c>
      <c r="J50" s="235">
        <v>59504.83</v>
      </c>
      <c r="K50" s="235">
        <v>60456.07</v>
      </c>
      <c r="L50" s="235">
        <v>59504.84</v>
      </c>
      <c r="M50" s="235">
        <v>59504.85</v>
      </c>
      <c r="N50" s="235">
        <v>59504.85</v>
      </c>
      <c r="O50" s="302">
        <v>60338.73</v>
      </c>
      <c r="P50" s="237">
        <f t="shared" si="8"/>
        <v>705375.02999999991</v>
      </c>
      <c r="Q50" s="235"/>
      <c r="R50" s="235">
        <v>698727.63</v>
      </c>
      <c r="S50" s="235">
        <v>0</v>
      </c>
      <c r="T50" s="235">
        <v>0</v>
      </c>
      <c r="U50" s="237">
        <f t="shared" si="9"/>
        <v>698727.63</v>
      </c>
      <c r="V50" s="235">
        <f>+P50-R50-S50-T50-W50-Y50-Z50</f>
        <v>6588.6499999999069</v>
      </c>
      <c r="W50" s="235">
        <v>0</v>
      </c>
      <c r="X50" s="237">
        <f t="shared" si="10"/>
        <v>6588.6499999999069</v>
      </c>
      <c r="Y50" s="235">
        <v>58.75</v>
      </c>
      <c r="Z50" s="235">
        <v>0</v>
      </c>
      <c r="AA50" s="258">
        <f t="shared" si="11"/>
        <v>705375.02999999991</v>
      </c>
      <c r="AB50" t="b">
        <f t="shared" si="7"/>
        <v>1</v>
      </c>
    </row>
    <row r="51" spans="1:28">
      <c r="A51" s="179">
        <v>38</v>
      </c>
      <c r="B51" t="s">
        <v>250</v>
      </c>
      <c r="C51" t="s">
        <v>743</v>
      </c>
      <c r="D51" s="235">
        <v>44628.62</v>
      </c>
      <c r="E51" s="235">
        <v>44628.63</v>
      </c>
      <c r="F51" s="235">
        <v>44628.6</v>
      </c>
      <c r="G51" s="235">
        <v>44628.639999999999</v>
      </c>
      <c r="H51" s="235">
        <v>36730.300000000003</v>
      </c>
      <c r="I51" s="235">
        <v>44675.86</v>
      </c>
      <c r="J51" s="235">
        <v>44628.63</v>
      </c>
      <c r="K51" s="235">
        <v>45342.05</v>
      </c>
      <c r="L51" s="235">
        <v>44628.63</v>
      </c>
      <c r="M51" s="235">
        <v>44628.639999999999</v>
      </c>
      <c r="N51" s="235">
        <v>44628.639999999999</v>
      </c>
      <c r="O51" s="302">
        <v>45254.04</v>
      </c>
      <c r="P51" s="237">
        <f t="shared" si="8"/>
        <v>529031.28</v>
      </c>
      <c r="Q51" s="235"/>
      <c r="R51" s="235">
        <v>654.25</v>
      </c>
      <c r="S51" s="235">
        <v>0</v>
      </c>
      <c r="T51" s="235">
        <v>0</v>
      </c>
      <c r="U51" s="237">
        <f t="shared" si="9"/>
        <v>654.25</v>
      </c>
      <c r="V51" s="235">
        <f>+P51-R51-S51-T51-W51-Y51-Z51</f>
        <v>514538.81000000006</v>
      </c>
      <c r="W51" s="235">
        <v>0</v>
      </c>
      <c r="X51" s="237">
        <f t="shared" si="10"/>
        <v>514538.81000000006</v>
      </c>
      <c r="Y51" s="235">
        <v>13132.31</v>
      </c>
      <c r="Z51" s="235">
        <v>705.91</v>
      </c>
      <c r="AA51" s="258">
        <f t="shared" si="11"/>
        <v>529031.28000000014</v>
      </c>
      <c r="AB51" t="b">
        <f t="shared" si="7"/>
        <v>1</v>
      </c>
    </row>
    <row r="52" spans="1:28">
      <c r="A52" s="179">
        <v>39</v>
      </c>
      <c r="B52" t="s">
        <v>288</v>
      </c>
      <c r="C52" t="s">
        <v>743</v>
      </c>
      <c r="D52" s="235">
        <v>24793.68</v>
      </c>
      <c r="E52" s="235">
        <v>24793.68</v>
      </c>
      <c r="F52" s="235">
        <v>24793.67</v>
      </c>
      <c r="G52" s="235">
        <v>24793.69</v>
      </c>
      <c r="H52" s="235">
        <v>20405.72</v>
      </c>
      <c r="I52" s="235">
        <v>24819.919999999998</v>
      </c>
      <c r="J52" s="235">
        <v>24793.68</v>
      </c>
      <c r="K52" s="235">
        <v>25190.03</v>
      </c>
      <c r="L52" s="235">
        <v>24793.68</v>
      </c>
      <c r="M52" s="235">
        <v>24793.689999999995</v>
      </c>
      <c r="N52" s="235">
        <v>24793.689999999995</v>
      </c>
      <c r="O52" s="302">
        <v>25141.14</v>
      </c>
      <c r="P52" s="237">
        <f t="shared" si="8"/>
        <v>293906.26999999996</v>
      </c>
      <c r="Q52" s="235"/>
      <c r="R52" s="235">
        <v>12647.37</v>
      </c>
      <c r="S52" s="235">
        <v>0</v>
      </c>
      <c r="T52" s="235">
        <v>0</v>
      </c>
      <c r="U52" s="237">
        <f t="shared" si="9"/>
        <v>12647.37</v>
      </c>
      <c r="V52" s="235">
        <v>155925</v>
      </c>
      <c r="W52" s="235">
        <v>0</v>
      </c>
      <c r="X52" s="237">
        <f t="shared" si="10"/>
        <v>155925</v>
      </c>
      <c r="Y52" s="235">
        <v>10206.870000000001</v>
      </c>
      <c r="Z52" s="235">
        <v>115127.03</v>
      </c>
      <c r="AA52" s="258">
        <f t="shared" si="11"/>
        <v>293906.27</v>
      </c>
      <c r="AB52" t="b">
        <f t="shared" si="7"/>
        <v>1</v>
      </c>
    </row>
    <row r="53" spans="1:28">
      <c r="A53" s="179">
        <v>40</v>
      </c>
      <c r="B53" t="s">
        <v>246</v>
      </c>
      <c r="C53" t="s">
        <v>744</v>
      </c>
      <c r="D53" s="235">
        <v>6711.94</v>
      </c>
      <c r="E53" s="235">
        <v>2909.19</v>
      </c>
      <c r="F53" s="235">
        <v>2909.19</v>
      </c>
      <c r="G53" s="235">
        <v>2909.19</v>
      </c>
      <c r="H53" s="235">
        <v>2909.19</v>
      </c>
      <c r="I53" s="235">
        <v>2909.19</v>
      </c>
      <c r="J53" s="235">
        <v>2909.19</v>
      </c>
      <c r="K53" s="235">
        <v>2909.19</v>
      </c>
      <c r="L53" s="235">
        <v>2909.19</v>
      </c>
      <c r="M53" s="235">
        <v>2909.19</v>
      </c>
      <c r="N53" s="235">
        <v>2909.19</v>
      </c>
      <c r="O53" s="302">
        <v>2878.36</v>
      </c>
      <c r="P53" s="237">
        <f t="shared" si="8"/>
        <v>38682.199999999997</v>
      </c>
      <c r="Q53" s="235"/>
      <c r="R53" s="235">
        <v>0</v>
      </c>
      <c r="S53" s="235">
        <v>0</v>
      </c>
      <c r="T53" s="235">
        <v>0</v>
      </c>
      <c r="U53" s="237">
        <f t="shared" si="9"/>
        <v>0</v>
      </c>
      <c r="V53" s="235">
        <v>0</v>
      </c>
      <c r="W53" s="235">
        <v>0</v>
      </c>
      <c r="X53" s="237">
        <f t="shared" si="10"/>
        <v>0</v>
      </c>
      <c r="Y53" s="235">
        <v>38682.199999999997</v>
      </c>
      <c r="Z53" s="235">
        <v>0</v>
      </c>
      <c r="AA53" s="258">
        <f t="shared" si="11"/>
        <v>38682.199999999997</v>
      </c>
      <c r="AB53" t="b">
        <f t="shared" si="7"/>
        <v>1</v>
      </c>
    </row>
    <row r="54" spans="1:28">
      <c r="A54" s="179">
        <v>41</v>
      </c>
      <c r="B54" t="s">
        <v>258</v>
      </c>
      <c r="C54" t="s">
        <v>744</v>
      </c>
      <c r="D54" s="235">
        <v>15091.949999999999</v>
      </c>
      <c r="E54" s="235">
        <v>14545.96</v>
      </c>
      <c r="F54" s="235">
        <v>14545.96</v>
      </c>
      <c r="G54" s="235">
        <v>14545.96</v>
      </c>
      <c r="H54" s="235">
        <v>14545.96</v>
      </c>
      <c r="I54" s="235">
        <v>14545.96</v>
      </c>
      <c r="J54" s="235">
        <v>14545.96</v>
      </c>
      <c r="K54" s="235">
        <v>14545.96</v>
      </c>
      <c r="L54" s="235">
        <v>14545.96</v>
      </c>
      <c r="M54" s="235">
        <v>14545.96</v>
      </c>
      <c r="N54" s="235">
        <v>14545.96</v>
      </c>
      <c r="O54" s="302">
        <v>14545.96</v>
      </c>
      <c r="P54" s="237">
        <f t="shared" si="8"/>
        <v>175097.50999999995</v>
      </c>
      <c r="Q54" s="235"/>
      <c r="R54" s="235">
        <v>0</v>
      </c>
      <c r="S54" s="235">
        <v>0</v>
      </c>
      <c r="T54" s="235">
        <v>0</v>
      </c>
      <c r="U54" s="237">
        <f t="shared" si="9"/>
        <v>0</v>
      </c>
      <c r="V54" s="235">
        <v>0</v>
      </c>
      <c r="W54" s="235">
        <v>0</v>
      </c>
      <c r="X54" s="237">
        <f t="shared" si="10"/>
        <v>0</v>
      </c>
      <c r="Y54" s="235">
        <v>175097.51</v>
      </c>
      <c r="Z54" s="235">
        <v>0</v>
      </c>
      <c r="AA54" s="258">
        <f t="shared" si="11"/>
        <v>175097.51</v>
      </c>
      <c r="AB54" t="b">
        <f t="shared" si="7"/>
        <v>1</v>
      </c>
    </row>
    <row r="55" spans="1:28">
      <c r="A55" s="179">
        <v>42</v>
      </c>
      <c r="B55" t="s">
        <v>277</v>
      </c>
      <c r="C55" t="s">
        <v>744</v>
      </c>
      <c r="D55" s="235">
        <v>18467.759999999998</v>
      </c>
      <c r="E55" s="235">
        <v>0</v>
      </c>
      <c r="F55" s="235">
        <v>0</v>
      </c>
      <c r="G55" s="235">
        <v>0</v>
      </c>
      <c r="H55" s="235">
        <v>0</v>
      </c>
      <c r="I55" s="235">
        <v>0</v>
      </c>
      <c r="J55" s="235">
        <v>0</v>
      </c>
      <c r="K55" s="235">
        <v>0</v>
      </c>
      <c r="L55" s="235">
        <v>0</v>
      </c>
      <c r="M55" s="235">
        <v>0</v>
      </c>
      <c r="N55" s="235">
        <v>0</v>
      </c>
      <c r="O55" s="302">
        <v>-154.18</v>
      </c>
      <c r="P55" s="237">
        <f t="shared" si="8"/>
        <v>18313.579999999998</v>
      </c>
      <c r="Q55" s="235"/>
      <c r="R55" s="235">
        <v>5352.11</v>
      </c>
      <c r="S55" s="235">
        <v>0</v>
      </c>
      <c r="T55" s="235">
        <v>0</v>
      </c>
      <c r="U55" s="237">
        <f t="shared" si="9"/>
        <v>5352.11</v>
      </c>
      <c r="V55" s="235">
        <f>+P55-R55-S55-T55-W55-Y55-Z55</f>
        <v>7912.1499999999978</v>
      </c>
      <c r="W55" s="235">
        <v>0</v>
      </c>
      <c r="X55" s="237">
        <f t="shared" si="10"/>
        <v>7912.1499999999978</v>
      </c>
      <c r="Y55" s="235">
        <v>1961.01</v>
      </c>
      <c r="Z55" s="235">
        <v>3088.31</v>
      </c>
      <c r="AA55" s="258">
        <f t="shared" si="11"/>
        <v>18313.579999999998</v>
      </c>
      <c r="AB55" t="b">
        <f t="shared" si="7"/>
        <v>1</v>
      </c>
    </row>
    <row r="56" spans="1:28">
      <c r="A56" s="179">
        <v>43</v>
      </c>
      <c r="B56" t="s">
        <v>288</v>
      </c>
      <c r="C56" t="s">
        <v>746</v>
      </c>
      <c r="D56" s="235">
        <v>-0.02</v>
      </c>
      <c r="E56" s="235">
        <v>0</v>
      </c>
      <c r="F56" s="235">
        <v>0</v>
      </c>
      <c r="G56" s="235">
        <v>0</v>
      </c>
      <c r="H56" s="235">
        <v>0</v>
      </c>
      <c r="I56" s="235">
        <v>0</v>
      </c>
      <c r="J56" s="235">
        <v>0</v>
      </c>
      <c r="K56" s="235">
        <v>0</v>
      </c>
      <c r="L56" s="235">
        <v>0</v>
      </c>
      <c r="M56" s="235">
        <v>0</v>
      </c>
      <c r="N56" s="235">
        <v>0</v>
      </c>
      <c r="O56" s="302">
        <v>0</v>
      </c>
      <c r="P56" s="237">
        <f t="shared" si="8"/>
        <v>-0.02</v>
      </c>
      <c r="Q56" s="235"/>
      <c r="R56" s="235">
        <v>0</v>
      </c>
      <c r="S56" s="235">
        <v>0</v>
      </c>
      <c r="T56" s="235">
        <v>0</v>
      </c>
      <c r="U56" s="237">
        <f t="shared" si="9"/>
        <v>0</v>
      </c>
      <c r="V56" s="235">
        <v>-0.01</v>
      </c>
      <c r="W56" s="235">
        <v>0</v>
      </c>
      <c r="X56" s="237">
        <f t="shared" si="10"/>
        <v>-0.01</v>
      </c>
      <c r="Y56" s="235">
        <v>0</v>
      </c>
      <c r="Z56" s="235">
        <v>-0.01</v>
      </c>
      <c r="AA56" s="258">
        <f t="shared" si="11"/>
        <v>-0.02</v>
      </c>
      <c r="AB56" t="b">
        <f t="shared" si="7"/>
        <v>1</v>
      </c>
    </row>
    <row r="57" spans="1:28">
      <c r="A57" s="179">
        <v>44</v>
      </c>
      <c r="B57" t="s">
        <v>288</v>
      </c>
      <c r="C57" t="s">
        <v>1046</v>
      </c>
      <c r="D57" s="235">
        <v>0</v>
      </c>
      <c r="E57" s="235">
        <v>0</v>
      </c>
      <c r="F57" s="235">
        <v>0</v>
      </c>
      <c r="G57" s="235">
        <v>0</v>
      </c>
      <c r="H57" s="235">
        <v>0</v>
      </c>
      <c r="I57" s="235">
        <v>0</v>
      </c>
      <c r="J57" s="235">
        <v>0</v>
      </c>
      <c r="K57" s="235">
        <v>0</v>
      </c>
      <c r="L57" s="235">
        <v>0</v>
      </c>
      <c r="M57" s="235">
        <v>0</v>
      </c>
      <c r="N57" s="235">
        <v>868912.5</v>
      </c>
      <c r="O57" s="302">
        <v>445742.77</v>
      </c>
      <c r="P57" s="237">
        <f t="shared" si="8"/>
        <v>1314655.27</v>
      </c>
      <c r="Q57" s="235"/>
      <c r="R57" s="235">
        <v>56572.23</v>
      </c>
      <c r="S57" s="235">
        <v>0</v>
      </c>
      <c r="T57" s="235">
        <v>0</v>
      </c>
      <c r="U57" s="237">
        <f t="shared" si="9"/>
        <v>56572.23</v>
      </c>
      <c r="V57" s="235">
        <v>697459.16</v>
      </c>
      <c r="W57" s="235">
        <v>0</v>
      </c>
      <c r="X57" s="237">
        <f t="shared" si="10"/>
        <v>697459.16</v>
      </c>
      <c r="Y57" s="235">
        <v>45655.76</v>
      </c>
      <c r="Z57" s="235">
        <v>514968.12</v>
      </c>
      <c r="AA57" s="258">
        <f t="shared" si="11"/>
        <v>1314655.27</v>
      </c>
      <c r="AB57" t="b">
        <f t="shared" si="7"/>
        <v>1</v>
      </c>
    </row>
    <row r="58" spans="1:28">
      <c r="A58" s="179">
        <v>45</v>
      </c>
      <c r="B58" t="s">
        <v>246</v>
      </c>
      <c r="C58" t="s">
        <v>747</v>
      </c>
      <c r="D58" s="235">
        <v>8206.68</v>
      </c>
      <c r="E58" s="235">
        <v>2695.81</v>
      </c>
      <c r="F58" s="235">
        <v>2695.81</v>
      </c>
      <c r="G58" s="235">
        <v>2695.81</v>
      </c>
      <c r="H58" s="235">
        <v>2695.81</v>
      </c>
      <c r="I58" s="235">
        <v>2695.81</v>
      </c>
      <c r="J58" s="235">
        <v>2695.81</v>
      </c>
      <c r="K58" s="235">
        <v>2695.81</v>
      </c>
      <c r="L58" s="235">
        <v>2695.81</v>
      </c>
      <c r="M58" s="235">
        <v>3285</v>
      </c>
      <c r="N58" s="235">
        <v>3285</v>
      </c>
      <c r="O58" s="302">
        <v>3425.38</v>
      </c>
      <c r="P58" s="237">
        <f t="shared" si="8"/>
        <v>39768.54</v>
      </c>
      <c r="Q58" s="235"/>
      <c r="R58" s="235">
        <v>0</v>
      </c>
      <c r="S58" s="235">
        <v>0</v>
      </c>
      <c r="T58" s="235">
        <v>0</v>
      </c>
      <c r="U58" s="237">
        <f t="shared" si="9"/>
        <v>0</v>
      </c>
      <c r="V58" s="235">
        <v>0</v>
      </c>
      <c r="W58" s="235">
        <v>0</v>
      </c>
      <c r="X58" s="237">
        <f t="shared" si="10"/>
        <v>0</v>
      </c>
      <c r="Y58" s="235">
        <v>39768.54</v>
      </c>
      <c r="Z58" s="235">
        <v>0</v>
      </c>
      <c r="AA58" s="258">
        <f t="shared" si="11"/>
        <v>39768.54</v>
      </c>
      <c r="AB58" t="b">
        <f t="shared" si="7"/>
        <v>1</v>
      </c>
    </row>
    <row r="59" spans="1:28">
      <c r="A59" s="179">
        <v>46</v>
      </c>
      <c r="B59" t="s">
        <v>250</v>
      </c>
      <c r="C59" t="s">
        <v>747</v>
      </c>
      <c r="D59" s="235">
        <v>12036.46</v>
      </c>
      <c r="E59" s="235">
        <v>3953.86</v>
      </c>
      <c r="F59" s="235">
        <v>3953.86</v>
      </c>
      <c r="G59" s="235">
        <v>3953.86</v>
      </c>
      <c r="H59" s="235">
        <v>3953.86</v>
      </c>
      <c r="I59" s="235">
        <v>3953.86</v>
      </c>
      <c r="J59" s="235">
        <v>3953.86</v>
      </c>
      <c r="K59" s="235">
        <v>3953.86</v>
      </c>
      <c r="L59" s="235">
        <v>3953.86</v>
      </c>
      <c r="M59" s="235">
        <v>4818</v>
      </c>
      <c r="N59" s="235">
        <v>4818</v>
      </c>
      <c r="O59" s="302">
        <v>5023.8900000000003</v>
      </c>
      <c r="P59" s="237">
        <f t="shared" si="8"/>
        <v>58327.23</v>
      </c>
      <c r="Q59" s="235"/>
      <c r="R59" s="235">
        <v>72.13</v>
      </c>
      <c r="S59" s="235">
        <v>0</v>
      </c>
      <c r="T59" s="235">
        <v>0</v>
      </c>
      <c r="U59" s="237">
        <f t="shared" si="9"/>
        <v>72.13</v>
      </c>
      <c r="V59" s="235">
        <v>56729.39</v>
      </c>
      <c r="W59" s="235">
        <v>0</v>
      </c>
      <c r="X59" s="237">
        <f t="shared" si="10"/>
        <v>56729.39</v>
      </c>
      <c r="Y59" s="235">
        <v>1447.88</v>
      </c>
      <c r="Z59" s="235">
        <v>77.83</v>
      </c>
      <c r="AA59" s="258">
        <f t="shared" si="11"/>
        <v>58327.229999999996</v>
      </c>
      <c r="AB59" t="b">
        <f t="shared" si="7"/>
        <v>1</v>
      </c>
    </row>
    <row r="60" spans="1:28">
      <c r="A60" s="179">
        <v>47</v>
      </c>
      <c r="B60" t="s">
        <v>288</v>
      </c>
      <c r="C60" t="s">
        <v>747</v>
      </c>
      <c r="D60" s="235">
        <v>7112.45</v>
      </c>
      <c r="E60" s="235">
        <v>2336.37</v>
      </c>
      <c r="F60" s="235">
        <v>2336.37</v>
      </c>
      <c r="G60" s="235">
        <v>2336.37</v>
      </c>
      <c r="H60" s="235">
        <v>2336.37</v>
      </c>
      <c r="I60" s="235">
        <v>2336.37</v>
      </c>
      <c r="J60" s="235">
        <v>2336.37</v>
      </c>
      <c r="K60" s="235">
        <v>2336.37</v>
      </c>
      <c r="L60" s="235">
        <v>2336.37</v>
      </c>
      <c r="M60" s="235">
        <v>2847</v>
      </c>
      <c r="N60" s="235">
        <v>2847</v>
      </c>
      <c r="O60" s="302">
        <v>2968.66</v>
      </c>
      <c r="P60" s="237">
        <f t="shared" si="8"/>
        <v>34466.069999999992</v>
      </c>
      <c r="Q60" s="235"/>
      <c r="R60" s="235">
        <v>1483.14</v>
      </c>
      <c r="S60" s="235">
        <v>0</v>
      </c>
      <c r="T60" s="235">
        <v>0</v>
      </c>
      <c r="U60" s="237">
        <f t="shared" si="9"/>
        <v>1483.14</v>
      </c>
      <c r="V60" s="235">
        <v>18285.16</v>
      </c>
      <c r="W60" s="235">
        <v>0</v>
      </c>
      <c r="X60" s="237">
        <f t="shared" si="10"/>
        <v>18285.16</v>
      </c>
      <c r="Y60" s="235">
        <v>1196.95</v>
      </c>
      <c r="Z60" s="235">
        <v>13500.82</v>
      </c>
      <c r="AA60" s="258">
        <f t="shared" si="11"/>
        <v>34466.07</v>
      </c>
      <c r="AB60" t="b">
        <f t="shared" si="7"/>
        <v>1</v>
      </c>
    </row>
    <row r="61" spans="1:28">
      <c r="A61" s="179">
        <v>48</v>
      </c>
      <c r="B61" t="s">
        <v>249</v>
      </c>
      <c r="C61" t="s">
        <v>748</v>
      </c>
      <c r="D61" s="235">
        <v>600</v>
      </c>
      <c r="E61" s="235">
        <v>600</v>
      </c>
      <c r="F61" s="235">
        <v>600</v>
      </c>
      <c r="G61" s="235">
        <v>600</v>
      </c>
      <c r="H61" s="235">
        <v>600</v>
      </c>
      <c r="I61" s="235">
        <v>600</v>
      </c>
      <c r="J61" s="235">
        <v>600</v>
      </c>
      <c r="K61" s="235">
        <v>600</v>
      </c>
      <c r="L61" s="235">
        <v>600</v>
      </c>
      <c r="M61" s="235">
        <v>600</v>
      </c>
      <c r="N61" s="235">
        <v>600</v>
      </c>
      <c r="O61" s="302">
        <v>600</v>
      </c>
      <c r="P61" s="237">
        <f t="shared" si="8"/>
        <v>7200</v>
      </c>
      <c r="Q61" s="235"/>
      <c r="R61" s="235">
        <v>26.78</v>
      </c>
      <c r="S61" s="235">
        <v>0</v>
      </c>
      <c r="T61" s="235">
        <v>0</v>
      </c>
      <c r="U61" s="237">
        <f t="shared" si="9"/>
        <v>26.78</v>
      </c>
      <c r="V61" s="235">
        <v>6760</v>
      </c>
      <c r="W61" s="235">
        <v>0</v>
      </c>
      <c r="X61" s="237">
        <f t="shared" si="10"/>
        <v>6760</v>
      </c>
      <c r="Y61" s="235">
        <v>376.11</v>
      </c>
      <c r="Z61" s="235">
        <v>37.11</v>
      </c>
      <c r="AA61" s="258">
        <f t="shared" si="11"/>
        <v>7199.9999999999991</v>
      </c>
      <c r="AB61" t="b">
        <f t="shared" si="7"/>
        <v>1</v>
      </c>
    </row>
    <row r="62" spans="1:28">
      <c r="A62" s="179">
        <v>49</v>
      </c>
      <c r="B62" t="s">
        <v>235</v>
      </c>
      <c r="C62" t="s">
        <v>751</v>
      </c>
      <c r="D62" s="235">
        <v>17071.63</v>
      </c>
      <c r="E62" s="235">
        <v>4230</v>
      </c>
      <c r="F62" s="235">
        <v>4230</v>
      </c>
      <c r="G62" s="235">
        <v>4230</v>
      </c>
      <c r="H62" s="235">
        <v>4230</v>
      </c>
      <c r="I62" s="235">
        <v>4230</v>
      </c>
      <c r="J62" s="235">
        <v>4230</v>
      </c>
      <c r="K62" s="235">
        <v>4230</v>
      </c>
      <c r="L62" s="235">
        <v>4230</v>
      </c>
      <c r="M62" s="235">
        <v>4230</v>
      </c>
      <c r="N62" s="235">
        <v>4230</v>
      </c>
      <c r="O62" s="302">
        <v>3929.36</v>
      </c>
      <c r="P62" s="237">
        <f t="shared" si="8"/>
        <v>63300.990000000005</v>
      </c>
      <c r="Q62" s="235"/>
      <c r="R62" s="235">
        <v>62704.45</v>
      </c>
      <c r="S62" s="235">
        <v>0</v>
      </c>
      <c r="T62" s="235">
        <v>0</v>
      </c>
      <c r="U62" s="237">
        <f t="shared" si="9"/>
        <v>62704.45</v>
      </c>
      <c r="V62" s="235">
        <v>591.27</v>
      </c>
      <c r="W62" s="235">
        <v>0</v>
      </c>
      <c r="X62" s="237">
        <f t="shared" si="10"/>
        <v>591.27</v>
      </c>
      <c r="Y62" s="235">
        <v>5.27</v>
      </c>
      <c r="Z62" s="235">
        <v>0</v>
      </c>
      <c r="AA62" s="258">
        <f t="shared" si="11"/>
        <v>63300.989999999991</v>
      </c>
      <c r="AB62" t="b">
        <f t="shared" si="7"/>
        <v>1</v>
      </c>
    </row>
    <row r="63" spans="1:28">
      <c r="A63" s="179">
        <v>50</v>
      </c>
      <c r="B63" t="s">
        <v>246</v>
      </c>
      <c r="C63" t="s">
        <v>753</v>
      </c>
      <c r="D63" s="235">
        <v>711.45</v>
      </c>
      <c r="E63" s="235">
        <v>374.4</v>
      </c>
      <c r="F63" s="235">
        <v>374.4</v>
      </c>
      <c r="G63" s="235">
        <v>374.4</v>
      </c>
      <c r="H63" s="235">
        <v>374.4</v>
      </c>
      <c r="I63" s="235">
        <v>374.4</v>
      </c>
      <c r="J63" s="235">
        <v>374.4</v>
      </c>
      <c r="K63" s="235">
        <v>374.4</v>
      </c>
      <c r="L63" s="235">
        <v>374.4</v>
      </c>
      <c r="M63" s="235">
        <v>374.4</v>
      </c>
      <c r="N63" s="235">
        <v>374.4</v>
      </c>
      <c r="O63" s="302">
        <v>368.3</v>
      </c>
      <c r="P63" s="237">
        <f t="shared" si="8"/>
        <v>4823.7500000000009</v>
      </c>
      <c r="Q63" s="235"/>
      <c r="R63" s="235">
        <v>0</v>
      </c>
      <c r="S63" s="235">
        <v>0</v>
      </c>
      <c r="T63" s="235">
        <v>0</v>
      </c>
      <c r="U63" s="237">
        <f t="shared" si="9"/>
        <v>0</v>
      </c>
      <c r="V63" s="235">
        <v>0</v>
      </c>
      <c r="W63" s="235">
        <v>0</v>
      </c>
      <c r="X63" s="237">
        <f t="shared" si="10"/>
        <v>0</v>
      </c>
      <c r="Y63" s="235">
        <v>4823.75</v>
      </c>
      <c r="Z63" s="235">
        <v>0</v>
      </c>
      <c r="AA63" s="258">
        <f t="shared" si="11"/>
        <v>4823.75</v>
      </c>
      <c r="AB63" t="b">
        <f t="shared" si="7"/>
        <v>1</v>
      </c>
    </row>
    <row r="64" spans="1:28">
      <c r="A64" s="179">
        <v>51</v>
      </c>
      <c r="B64" t="s">
        <v>250</v>
      </c>
      <c r="C64" t="s">
        <v>753</v>
      </c>
      <c r="D64" s="235">
        <v>3735.09</v>
      </c>
      <c r="E64" s="235">
        <v>1965.6</v>
      </c>
      <c r="F64" s="235">
        <v>1965.6</v>
      </c>
      <c r="G64" s="235">
        <v>1965.6</v>
      </c>
      <c r="H64" s="235">
        <v>1965.6</v>
      </c>
      <c r="I64" s="235">
        <v>1965.6</v>
      </c>
      <c r="J64" s="235">
        <v>1965.6</v>
      </c>
      <c r="K64" s="235">
        <v>1965.6</v>
      </c>
      <c r="L64" s="235">
        <v>1965.6</v>
      </c>
      <c r="M64" s="235">
        <v>1965.6</v>
      </c>
      <c r="N64" s="235">
        <v>1965.6</v>
      </c>
      <c r="O64" s="302">
        <v>1933.58</v>
      </c>
      <c r="P64" s="237">
        <f t="shared" si="8"/>
        <v>25324.67</v>
      </c>
      <c r="Q64" s="235"/>
      <c r="R64" s="235">
        <v>31.32</v>
      </c>
      <c r="S64" s="235">
        <v>0</v>
      </c>
      <c r="T64" s="235">
        <v>0</v>
      </c>
      <c r="U64" s="237">
        <f t="shared" si="9"/>
        <v>31.32</v>
      </c>
      <c r="V64" s="235">
        <v>24630.92</v>
      </c>
      <c r="W64" s="235">
        <v>0</v>
      </c>
      <c r="X64" s="237">
        <f t="shared" si="10"/>
        <v>24630.92</v>
      </c>
      <c r="Y64" s="235">
        <v>628.64</v>
      </c>
      <c r="Z64" s="235">
        <v>33.79</v>
      </c>
      <c r="AA64" s="258">
        <f t="shared" si="11"/>
        <v>25324.67</v>
      </c>
      <c r="AB64" t="b">
        <f t="shared" si="7"/>
        <v>1</v>
      </c>
    </row>
    <row r="65" spans="1:28">
      <c r="A65" s="179">
        <v>52</v>
      </c>
      <c r="B65" t="s">
        <v>235</v>
      </c>
      <c r="C65" t="s">
        <v>760</v>
      </c>
      <c r="D65" s="235">
        <v>3510</v>
      </c>
      <c r="E65" s="235">
        <v>3510</v>
      </c>
      <c r="F65" s="235">
        <v>3510</v>
      </c>
      <c r="G65" s="235">
        <v>3510</v>
      </c>
      <c r="H65" s="235">
        <v>3510</v>
      </c>
      <c r="I65" s="235">
        <v>3510</v>
      </c>
      <c r="J65" s="235">
        <v>3510</v>
      </c>
      <c r="K65" s="235">
        <v>3510</v>
      </c>
      <c r="L65" s="235">
        <v>3510</v>
      </c>
      <c r="M65" s="235">
        <v>3510</v>
      </c>
      <c r="N65" s="235">
        <v>3510</v>
      </c>
      <c r="O65" s="302">
        <v>3510</v>
      </c>
      <c r="P65" s="237">
        <f t="shared" si="8"/>
        <v>42120</v>
      </c>
      <c r="Q65" s="235"/>
      <c r="R65" s="235">
        <v>41723.06</v>
      </c>
      <c r="S65" s="235">
        <v>0</v>
      </c>
      <c r="T65" s="235">
        <v>0</v>
      </c>
      <c r="U65" s="237">
        <f t="shared" si="9"/>
        <v>41723.06</v>
      </c>
      <c r="V65" s="235">
        <v>393.43</v>
      </c>
      <c r="W65" s="235">
        <v>0</v>
      </c>
      <c r="X65" s="237">
        <f t="shared" si="10"/>
        <v>393.43</v>
      </c>
      <c r="Y65" s="235">
        <v>3.51</v>
      </c>
      <c r="Z65" s="235">
        <v>0</v>
      </c>
      <c r="AA65" s="258">
        <f t="shared" si="11"/>
        <v>42120</v>
      </c>
      <c r="AB65" t="b">
        <f t="shared" si="7"/>
        <v>1</v>
      </c>
    </row>
    <row r="66" spans="1:28">
      <c r="A66" s="179">
        <v>53</v>
      </c>
      <c r="B66" t="s">
        <v>284</v>
      </c>
      <c r="C66" t="s">
        <v>756</v>
      </c>
      <c r="D66" s="235">
        <v>907.55</v>
      </c>
      <c r="E66" s="235">
        <v>907.55</v>
      </c>
      <c r="F66" s="235">
        <v>907.55</v>
      </c>
      <c r="G66" s="235">
        <v>907.55</v>
      </c>
      <c r="H66" s="235">
        <v>907.55</v>
      </c>
      <c r="I66" s="235">
        <v>907.55</v>
      </c>
      <c r="J66" s="235">
        <v>1815.1</v>
      </c>
      <c r="K66" s="235">
        <v>907.55</v>
      </c>
      <c r="L66" s="235">
        <v>934.78</v>
      </c>
      <c r="M66" s="235">
        <v>934.78</v>
      </c>
      <c r="N66" s="235">
        <v>934.78</v>
      </c>
      <c r="O66" s="302">
        <v>934.78</v>
      </c>
      <c r="P66" s="237">
        <f t="shared" si="8"/>
        <v>11907.070000000002</v>
      </c>
      <c r="Q66" s="235"/>
      <c r="R66" s="235">
        <v>0</v>
      </c>
      <c r="S66" s="235">
        <v>0</v>
      </c>
      <c r="T66" s="235">
        <v>0</v>
      </c>
      <c r="U66" s="237">
        <f t="shared" si="9"/>
        <v>0</v>
      </c>
      <c r="V66" s="235">
        <v>0</v>
      </c>
      <c r="W66" s="235">
        <v>0</v>
      </c>
      <c r="X66" s="237">
        <f t="shared" si="10"/>
        <v>0</v>
      </c>
      <c r="Y66" s="235">
        <v>4884.78</v>
      </c>
      <c r="Z66" s="235">
        <v>7022.29</v>
      </c>
      <c r="AA66" s="258">
        <f t="shared" si="11"/>
        <v>11907.07</v>
      </c>
      <c r="AB66" t="b">
        <f t="shared" si="7"/>
        <v>1</v>
      </c>
    </row>
    <row r="67" spans="1:28">
      <c r="A67" s="179">
        <v>54</v>
      </c>
      <c r="B67" t="s">
        <v>249</v>
      </c>
      <c r="C67" t="s">
        <v>757</v>
      </c>
      <c r="D67" s="235">
        <v>27172.12</v>
      </c>
      <c r="E67" s="235">
        <v>7310</v>
      </c>
      <c r="F67" s="235">
        <v>7310</v>
      </c>
      <c r="G67" s="235">
        <v>7310</v>
      </c>
      <c r="H67" s="235">
        <v>7310</v>
      </c>
      <c r="I67" s="235">
        <v>7310</v>
      </c>
      <c r="J67" s="235">
        <v>7310</v>
      </c>
      <c r="K67" s="235">
        <v>7310</v>
      </c>
      <c r="L67" s="235">
        <v>7310</v>
      </c>
      <c r="M67" s="235">
        <v>7310</v>
      </c>
      <c r="N67" s="235">
        <v>7310</v>
      </c>
      <c r="O67" s="302">
        <v>653.66999999999996</v>
      </c>
      <c r="P67" s="237">
        <f t="shared" si="8"/>
        <v>100925.79</v>
      </c>
      <c r="Q67" s="235"/>
      <c r="R67" s="235">
        <v>375.36</v>
      </c>
      <c r="S67" s="235">
        <v>0</v>
      </c>
      <c r="T67" s="235">
        <v>0</v>
      </c>
      <c r="U67" s="237">
        <f t="shared" si="9"/>
        <v>375.36</v>
      </c>
      <c r="V67" s="235">
        <v>94758.17</v>
      </c>
      <c r="W67" s="235">
        <v>0</v>
      </c>
      <c r="X67" s="237">
        <f t="shared" si="10"/>
        <v>94758.17</v>
      </c>
      <c r="Y67" s="235">
        <v>5272.07</v>
      </c>
      <c r="Z67" s="235">
        <v>520.19000000000005</v>
      </c>
      <c r="AA67" s="258">
        <f t="shared" si="11"/>
        <v>100925.79000000001</v>
      </c>
      <c r="AB67" t="b">
        <f t="shared" si="7"/>
        <v>1</v>
      </c>
    </row>
    <row r="68" spans="1:28">
      <c r="A68" s="179">
        <v>55</v>
      </c>
      <c r="B68" t="s">
        <v>288</v>
      </c>
      <c r="C68" t="s">
        <v>757</v>
      </c>
      <c r="D68" s="235">
        <v>3159.55</v>
      </c>
      <c r="E68" s="235">
        <v>850</v>
      </c>
      <c r="F68" s="235">
        <v>850</v>
      </c>
      <c r="G68" s="235">
        <v>850</v>
      </c>
      <c r="H68" s="235">
        <v>850</v>
      </c>
      <c r="I68" s="235">
        <v>850</v>
      </c>
      <c r="J68" s="235">
        <v>850</v>
      </c>
      <c r="K68" s="235">
        <v>850</v>
      </c>
      <c r="L68" s="235">
        <v>850</v>
      </c>
      <c r="M68" s="235">
        <v>850</v>
      </c>
      <c r="N68" s="235">
        <v>850</v>
      </c>
      <c r="O68" s="302">
        <v>76.010000000000005</v>
      </c>
      <c r="P68" s="237">
        <f t="shared" si="8"/>
        <v>11735.56</v>
      </c>
      <c r="Q68" s="235"/>
      <c r="R68" s="235">
        <v>505</v>
      </c>
      <c r="S68" s="235">
        <v>0</v>
      </c>
      <c r="T68" s="235">
        <v>0</v>
      </c>
      <c r="U68" s="237">
        <f t="shared" si="9"/>
        <v>505</v>
      </c>
      <c r="V68" s="235">
        <v>6226.02</v>
      </c>
      <c r="W68" s="235">
        <v>0</v>
      </c>
      <c r="X68" s="237">
        <f t="shared" si="10"/>
        <v>6226.02</v>
      </c>
      <c r="Y68" s="235">
        <v>407.56</v>
      </c>
      <c r="Z68" s="235">
        <v>4596.9799999999996</v>
      </c>
      <c r="AA68" s="258">
        <f t="shared" si="11"/>
        <v>11735.560000000001</v>
      </c>
      <c r="AB68" t="b">
        <f t="shared" si="7"/>
        <v>1</v>
      </c>
    </row>
    <row r="69" spans="1:28">
      <c r="A69" s="179">
        <v>56</v>
      </c>
      <c r="B69" t="s">
        <v>235</v>
      </c>
      <c r="C69" t="s">
        <v>1047</v>
      </c>
      <c r="D69" s="235">
        <v>0</v>
      </c>
      <c r="E69" s="235">
        <v>0</v>
      </c>
      <c r="F69" s="235">
        <v>0</v>
      </c>
      <c r="G69" s="235">
        <v>0</v>
      </c>
      <c r="H69" s="235">
        <v>0</v>
      </c>
      <c r="I69" s="235">
        <v>0</v>
      </c>
      <c r="J69" s="235">
        <v>0</v>
      </c>
      <c r="K69" s="235">
        <v>8258.33</v>
      </c>
      <c r="L69" s="235">
        <v>11591.67</v>
      </c>
      <c r="M69" s="235">
        <v>9925</v>
      </c>
      <c r="N69" s="235">
        <v>9925</v>
      </c>
      <c r="O69" s="302">
        <v>9925</v>
      </c>
      <c r="P69" s="237">
        <f t="shared" si="8"/>
        <v>49625</v>
      </c>
      <c r="Q69" s="235"/>
      <c r="R69" s="235">
        <v>49157.34</v>
      </c>
      <c r="S69" s="235">
        <v>0</v>
      </c>
      <c r="T69" s="235">
        <v>0</v>
      </c>
      <c r="U69" s="237">
        <f t="shared" si="9"/>
        <v>49157.34</v>
      </c>
      <c r="V69" s="235">
        <v>463.53</v>
      </c>
      <c r="W69" s="235">
        <v>0</v>
      </c>
      <c r="X69" s="237">
        <f t="shared" si="10"/>
        <v>463.53</v>
      </c>
      <c r="Y69" s="235">
        <v>4.13</v>
      </c>
      <c r="Z69" s="235">
        <v>0</v>
      </c>
      <c r="AA69" s="258">
        <f t="shared" si="11"/>
        <v>49624.999999999993</v>
      </c>
      <c r="AB69" t="b">
        <f t="shared" si="7"/>
        <v>1</v>
      </c>
    </row>
    <row r="70" spans="1:28" ht="13.5" thickBot="1">
      <c r="A70" s="179">
        <v>57</v>
      </c>
      <c r="C70" s="194" t="s">
        <v>759</v>
      </c>
      <c r="D70" s="298">
        <f t="shared" ref="D70:P70" si="12">SUM(D47:D69)</f>
        <v>298871.49000000005</v>
      </c>
      <c r="E70" s="298">
        <f t="shared" si="12"/>
        <v>188755.88999999996</v>
      </c>
      <c r="F70" s="298">
        <f t="shared" si="12"/>
        <v>192320.56999999998</v>
      </c>
      <c r="G70" s="298">
        <f t="shared" si="12"/>
        <v>189205.21999999994</v>
      </c>
      <c r="H70" s="298">
        <f t="shared" si="12"/>
        <v>235284.68</v>
      </c>
      <c r="I70" s="298">
        <f t="shared" si="12"/>
        <v>216226.34999999995</v>
      </c>
      <c r="J70" s="298">
        <f t="shared" si="12"/>
        <v>216997.44999999998</v>
      </c>
      <c r="K70" s="298">
        <f t="shared" si="12"/>
        <v>226862.98999999996</v>
      </c>
      <c r="L70" s="298">
        <f t="shared" si="12"/>
        <v>228162.55999999997</v>
      </c>
      <c r="M70" s="298">
        <f t="shared" si="12"/>
        <v>228459.88</v>
      </c>
      <c r="N70" s="298">
        <f t="shared" si="12"/>
        <v>1097372.3800000001</v>
      </c>
      <c r="O70" s="298">
        <f t="shared" si="12"/>
        <v>661013.78000000014</v>
      </c>
      <c r="P70" s="298">
        <f t="shared" si="12"/>
        <v>3979533.2399999998</v>
      </c>
      <c r="R70" s="298">
        <f t="shared" ref="R70:AA70" si="13">SUM(R47:R69)</f>
        <v>1164038.6600000004</v>
      </c>
      <c r="S70" s="298">
        <f t="shared" si="13"/>
        <v>0</v>
      </c>
      <c r="T70" s="298">
        <f t="shared" si="13"/>
        <v>0</v>
      </c>
      <c r="U70" s="298">
        <f t="shared" si="13"/>
        <v>1164038.6600000004</v>
      </c>
      <c r="V70" s="298">
        <f t="shared" si="13"/>
        <v>1726651.0299999998</v>
      </c>
      <c r="W70" s="298">
        <f t="shared" si="13"/>
        <v>0</v>
      </c>
      <c r="X70" s="298">
        <f t="shared" si="13"/>
        <v>1726651.0299999998</v>
      </c>
      <c r="Y70" s="298">
        <f t="shared" si="13"/>
        <v>376846.75000000012</v>
      </c>
      <c r="Z70" s="298">
        <f t="shared" si="13"/>
        <v>711996.79999999993</v>
      </c>
      <c r="AA70" s="298">
        <f t="shared" si="13"/>
        <v>3979533.24</v>
      </c>
    </row>
    <row r="71" spans="1:28" ht="13.5" thickTop="1"/>
  </sheetData>
  <phoneticPr fontId="5" type="noConversion"/>
  <printOptions horizontalCentered="1"/>
  <pageMargins left="0.5" right="0.5" top="2.25" bottom="0.5" header="1.5" footer="0.5"/>
  <pageSetup scale="53" fitToWidth="2" fitToHeight="0" pageOrder="overThenDown" orientation="landscape"/>
  <headerFooter alignWithMargins="0">
    <oddHeader>&amp;R&amp;"Arial,Bold"Schedule II-D-2.9
Page &amp;P of &amp;N&amp;C&amp;B
2025 RATE CASE
ONCOR ELECTRIC DELIVERY COMPANY LLC
II-D-2.9  RENTS AND LEASES - MONTHLY LEASE AMOUNT AND PAYMENT - 2024
TEST YEAR ENDING DECEMBER 31, 2024
SPONSOR: R. PRACHYL</oddHeader>
  </headerFooter>
  <rowBreaks count="1" manualBreakCount="1">
    <brk id="45" min="3" max="26" man="1"/>
  </rowBreaks>
  <colBreaks count="1" manualBreakCount="1">
    <brk id="16" min="13" max="82"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0">
    <tabColor rgb="FFFF0000"/>
  </sheetPr>
  <dimension ref="A1:AD77"/>
  <sheetViews>
    <sheetView zoomScale="85" zoomScaleNormal="85" workbookViewId="0">
      <pane xSplit="3" ySplit="12" topLeftCell="D13" activePane="bottomRight" state="frozen"/>
      <selection activeCell="D50" sqref="D50"/>
      <selection pane="topRight" activeCell="D50" sqref="D50"/>
      <selection pane="bottomLeft" activeCell="D50" sqref="D50"/>
      <selection pane="bottomRight" activeCell="J12" sqref="J12"/>
    </sheetView>
  </sheetViews>
  <sheetFormatPr defaultRowHeight="12.75"/>
  <cols>
    <col min="1" max="1" width="6.28515625" customWidth="1"/>
    <col min="2" max="2" width="9.5703125" customWidth="1"/>
    <col min="3" max="3" width="42.5703125" bestFit="1" customWidth="1"/>
    <col min="4" max="4" width="13" style="66" bestFit="1" customWidth="1"/>
    <col min="5" max="5" width="15.140625" style="66" bestFit="1" customWidth="1"/>
    <col min="6" max="6" width="14.5703125" style="66" bestFit="1" customWidth="1"/>
    <col min="7" max="7" width="13.5703125" style="66" bestFit="1" customWidth="1"/>
    <col min="8" max="8" width="13.42578125" style="66" bestFit="1" customWidth="1"/>
    <col min="9" max="9" width="14.5703125" style="66" bestFit="1" customWidth="1"/>
    <col min="10" max="14" width="14.42578125" style="66" bestFit="1" customWidth="1"/>
    <col min="15" max="15" width="14.42578125" style="14" bestFit="1" customWidth="1"/>
    <col min="16" max="16" width="15.5703125" style="66" bestFit="1" customWidth="1"/>
    <col min="17" max="17" width="2.7109375" style="66" customWidth="1"/>
    <col min="18" max="18" width="11.5703125" style="66" bestFit="1" customWidth="1"/>
    <col min="19" max="21" width="11.5703125" style="66" customWidth="1"/>
    <col min="22" max="22" width="12.5703125" style="66" bestFit="1" customWidth="1"/>
    <col min="23" max="24" width="12.5703125" style="66" customWidth="1"/>
    <col min="25" max="25" width="11.5703125" style="66" bestFit="1" customWidth="1"/>
    <col min="26" max="26" width="12.5703125" style="66" customWidth="1"/>
    <col min="27" max="27" width="12.5703125" bestFit="1" customWidth="1"/>
    <col min="28" max="28" width="10.28515625" bestFit="1" customWidth="1"/>
  </cols>
  <sheetData>
    <row r="1" spans="1:30">
      <c r="A1" s="5" t="str">
        <f>+'[3]Input Data'!$A$9</f>
        <v>2025 RATE CASE</v>
      </c>
      <c r="Q1"/>
      <c r="R1"/>
      <c r="S1"/>
      <c r="T1"/>
      <c r="U1"/>
      <c r="V1"/>
      <c r="W1"/>
      <c r="X1"/>
      <c r="Y1"/>
      <c r="Z1"/>
    </row>
    <row r="2" spans="1:30">
      <c r="A2" s="8" t="str">
        <f>+'[3]Input Data'!$A$2</f>
        <v>ONCOR ELECTRIC DELIVERY COMPANY LLC</v>
      </c>
      <c r="Q2"/>
      <c r="R2"/>
      <c r="S2"/>
      <c r="T2"/>
      <c r="U2"/>
      <c r="V2"/>
      <c r="W2"/>
      <c r="X2"/>
      <c r="Y2"/>
      <c r="Z2"/>
    </row>
    <row r="3" spans="1:30">
      <c r="A3" s="7" t="str">
        <f>CONCATENATE('[3]Schedule Sponsors'!$A$67,'[3]Schedule Sponsors'!$B$67," - MONTHLY LEASE AMOUNT AND PAYMENT - 2023")</f>
        <v>II-D-2.9  RENTS AND LEASES - MONTHLY LEASE AMOUNT AND PAYMENT - 2023</v>
      </c>
      <c r="Q3"/>
      <c r="R3"/>
      <c r="S3"/>
      <c r="T3"/>
      <c r="U3"/>
      <c r="V3"/>
      <c r="W3"/>
      <c r="X3"/>
      <c r="Y3"/>
      <c r="Z3"/>
    </row>
    <row r="4" spans="1:30">
      <c r="A4" s="63" t="str">
        <f>+'[3]Input Data'!$A$4</f>
        <v>TEST YEAR ENDING DECEMBER 31, 2024</v>
      </c>
      <c r="Q4"/>
      <c r="R4"/>
      <c r="S4"/>
      <c r="T4"/>
      <c r="U4"/>
      <c r="V4"/>
      <c r="W4"/>
      <c r="X4"/>
      <c r="Y4"/>
      <c r="Z4"/>
    </row>
    <row r="5" spans="1:30">
      <c r="A5" s="7" t="str">
        <f>CONCATENATE("SPONSOR: ",'[3]Schedule Sponsors'!$D$67)</f>
        <v>SPONSOR: R. PRACHYL</v>
      </c>
      <c r="Q5"/>
      <c r="R5"/>
      <c r="S5"/>
      <c r="T5"/>
      <c r="U5"/>
      <c r="V5"/>
      <c r="W5"/>
      <c r="X5"/>
      <c r="Y5"/>
      <c r="Z5"/>
    </row>
    <row r="6" spans="1:30">
      <c r="Q6"/>
      <c r="R6"/>
      <c r="S6"/>
      <c r="T6"/>
      <c r="U6"/>
      <c r="V6"/>
      <c r="W6"/>
      <c r="X6"/>
      <c r="Y6"/>
      <c r="Z6"/>
    </row>
    <row r="7" spans="1:30">
      <c r="Q7"/>
      <c r="R7"/>
      <c r="S7"/>
      <c r="T7"/>
      <c r="U7"/>
      <c r="V7"/>
      <c r="W7"/>
      <c r="X7"/>
      <c r="Y7"/>
      <c r="Z7"/>
    </row>
    <row r="8" spans="1:30">
      <c r="Q8"/>
      <c r="R8"/>
      <c r="S8"/>
      <c r="T8"/>
      <c r="U8"/>
      <c r="V8"/>
      <c r="W8"/>
      <c r="X8"/>
      <c r="Y8"/>
      <c r="Z8"/>
    </row>
    <row r="9" spans="1:30">
      <c r="Q9"/>
      <c r="R9"/>
      <c r="S9"/>
      <c r="T9"/>
      <c r="U9"/>
      <c r="V9"/>
      <c r="W9"/>
      <c r="X9"/>
      <c r="Y9"/>
      <c r="Z9"/>
    </row>
    <row r="10" spans="1:30" s="137" customFormat="1">
      <c r="A10" s="270" t="s">
        <v>87</v>
      </c>
      <c r="C10" s="214" t="s">
        <v>594</v>
      </c>
      <c r="D10" s="146"/>
      <c r="E10" s="146"/>
      <c r="F10" s="146"/>
      <c r="G10" s="146"/>
      <c r="H10" s="146"/>
      <c r="I10" s="146"/>
      <c r="J10" s="146"/>
      <c r="K10" s="146"/>
      <c r="L10" s="146"/>
      <c r="M10" s="146"/>
      <c r="N10" s="146"/>
      <c r="O10" s="272"/>
      <c r="P10" s="146"/>
      <c r="R10" s="214"/>
      <c r="S10" s="214" t="s">
        <v>617</v>
      </c>
      <c r="T10" s="214" t="s">
        <v>623</v>
      </c>
      <c r="U10" s="214" t="s">
        <v>618</v>
      </c>
      <c r="V10" s="214"/>
      <c r="W10" s="214" t="s">
        <v>617</v>
      </c>
      <c r="X10" s="214" t="s">
        <v>618</v>
      </c>
      <c r="Y10" s="214"/>
      <c r="Z10" s="214"/>
      <c r="AA10" s="214"/>
    </row>
    <row r="11" spans="1:30" s="270" customFormat="1">
      <c r="A11" s="270" t="s">
        <v>121</v>
      </c>
      <c r="B11" s="270" t="s">
        <v>212</v>
      </c>
      <c r="C11" s="270" t="s">
        <v>208</v>
      </c>
      <c r="D11" s="273" t="s">
        <v>99</v>
      </c>
      <c r="E11" s="273" t="s">
        <v>100</v>
      </c>
      <c r="F11" s="273" t="s">
        <v>101</v>
      </c>
      <c r="G11" s="273" t="s">
        <v>102</v>
      </c>
      <c r="H11" s="273" t="s">
        <v>20</v>
      </c>
      <c r="I11" s="273" t="s">
        <v>103</v>
      </c>
      <c r="J11" s="273" t="s">
        <v>104</v>
      </c>
      <c r="K11" s="273" t="s">
        <v>105</v>
      </c>
      <c r="L11" s="273" t="s">
        <v>106</v>
      </c>
      <c r="M11" s="273" t="s">
        <v>107</v>
      </c>
      <c r="N11" s="273" t="s">
        <v>108</v>
      </c>
      <c r="O11" s="273" t="s">
        <v>109</v>
      </c>
      <c r="P11" s="274" t="s">
        <v>326</v>
      </c>
      <c r="R11" s="142" t="s">
        <v>292</v>
      </c>
      <c r="S11" s="142" t="s">
        <v>292</v>
      </c>
      <c r="T11" s="142" t="s">
        <v>624</v>
      </c>
      <c r="U11" s="142" t="s">
        <v>292</v>
      </c>
      <c r="V11" s="142" t="s">
        <v>293</v>
      </c>
      <c r="W11" s="142" t="s">
        <v>293</v>
      </c>
      <c r="X11" s="142" t="s">
        <v>293</v>
      </c>
      <c r="Y11" s="142" t="s">
        <v>281</v>
      </c>
      <c r="Z11" s="142" t="s">
        <v>126</v>
      </c>
      <c r="AA11" s="142" t="s">
        <v>215</v>
      </c>
    </row>
    <row r="12" spans="1:30" s="270" customFormat="1">
      <c r="A12" s="275"/>
      <c r="B12" s="275" t="s">
        <v>44</v>
      </c>
      <c r="C12" s="275" t="s">
        <v>45</v>
      </c>
      <c r="D12" s="276" t="s">
        <v>74</v>
      </c>
      <c r="E12" s="276" t="s">
        <v>75</v>
      </c>
      <c r="F12" s="276" t="s">
        <v>76</v>
      </c>
      <c r="G12" s="276" t="s">
        <v>77</v>
      </c>
      <c r="H12" s="277" t="s">
        <v>78</v>
      </c>
      <c r="I12" s="277" t="s">
        <v>79</v>
      </c>
      <c r="J12" s="277" t="s">
        <v>80</v>
      </c>
      <c r="K12" s="277" t="s">
        <v>81</v>
      </c>
      <c r="L12" s="277" t="s">
        <v>82</v>
      </c>
      <c r="M12" s="277" t="s">
        <v>83</v>
      </c>
      <c r="N12" s="277" t="s">
        <v>84</v>
      </c>
      <c r="O12" s="277" t="s">
        <v>85</v>
      </c>
      <c r="P12" s="277" t="s">
        <v>86</v>
      </c>
      <c r="Q12" s="275"/>
      <c r="R12" s="278" t="s">
        <v>254</v>
      </c>
      <c r="S12" s="278" t="s">
        <v>128</v>
      </c>
      <c r="T12" s="278" t="s">
        <v>23</v>
      </c>
      <c r="U12" s="278" t="s">
        <v>24</v>
      </c>
      <c r="V12" s="278" t="s">
        <v>136</v>
      </c>
      <c r="W12" s="278" t="s">
        <v>68</v>
      </c>
      <c r="X12" s="278" t="s">
        <v>619</v>
      </c>
      <c r="Y12" s="278" t="s">
        <v>620</v>
      </c>
      <c r="Z12" s="278" t="s">
        <v>621</v>
      </c>
      <c r="AA12" s="278" t="s">
        <v>622</v>
      </c>
    </row>
    <row r="13" spans="1:30" s="270" customFormat="1">
      <c r="D13" s="274"/>
      <c r="E13" s="274"/>
      <c r="F13" s="274"/>
      <c r="G13" s="274"/>
      <c r="H13" s="274"/>
      <c r="I13" s="274"/>
      <c r="J13" s="274"/>
      <c r="K13" s="274"/>
      <c r="L13" s="274"/>
      <c r="M13" s="274"/>
      <c r="N13" s="274"/>
      <c r="O13" s="274"/>
      <c r="P13" s="274"/>
      <c r="R13" s="274"/>
      <c r="S13" s="274"/>
      <c r="T13" s="274"/>
      <c r="U13" s="274"/>
      <c r="V13" s="274"/>
      <c r="W13" s="274"/>
      <c r="X13" s="274"/>
      <c r="Y13" s="274"/>
      <c r="Z13" s="274"/>
      <c r="AA13" s="274"/>
    </row>
    <row r="14" spans="1:30" s="106" customFormat="1">
      <c r="A14" s="179">
        <v>1</v>
      </c>
      <c r="B14" t="s">
        <v>230</v>
      </c>
      <c r="C14" t="s">
        <v>697</v>
      </c>
      <c r="D14" s="234">
        <v>4263.2699999999995</v>
      </c>
      <c r="E14" s="234">
        <v>5723.57</v>
      </c>
      <c r="F14" s="234">
        <v>4011.25</v>
      </c>
      <c r="G14" s="234">
        <v>-14207.350000000002</v>
      </c>
      <c r="H14" s="234">
        <v>4750.46</v>
      </c>
      <c r="I14" s="234">
        <v>5665.09</v>
      </c>
      <c r="J14" s="234">
        <v>5434.7</v>
      </c>
      <c r="K14" s="234">
        <v>7596.3099999999995</v>
      </c>
      <c r="L14" s="234">
        <v>4083.6800000000007</v>
      </c>
      <c r="M14" s="234">
        <v>4657.0700000000006</v>
      </c>
      <c r="N14" s="234">
        <v>4577.13</v>
      </c>
      <c r="O14" s="234">
        <v>7332.4</v>
      </c>
      <c r="P14" s="236">
        <f>SUM(D14:O14)</f>
        <v>43887.579999999994</v>
      </c>
      <c r="Q14" s="234"/>
      <c r="R14" s="234">
        <v>37831.01999999999</v>
      </c>
      <c r="S14" s="234">
        <v>0</v>
      </c>
      <c r="T14" s="234">
        <v>0</v>
      </c>
      <c r="U14" s="236">
        <f>SUM(R14:T14)</f>
        <v>37831.01999999999</v>
      </c>
      <c r="V14" s="234">
        <v>139</v>
      </c>
      <c r="W14" s="234">
        <v>0</v>
      </c>
      <c r="X14" s="236">
        <f>SUM(V14:W14)</f>
        <v>139</v>
      </c>
      <c r="Y14" s="234">
        <v>5917.5599999999995</v>
      </c>
      <c r="Z14" s="234">
        <v>0</v>
      </c>
      <c r="AA14" s="236">
        <f>+Z14+Y14+X14+U14</f>
        <v>43887.579999999987</v>
      </c>
      <c r="AB14" s="106" t="b">
        <f>ROUND(+AA14,2)=ROUND(P14,2)</f>
        <v>1</v>
      </c>
      <c r="AC14"/>
      <c r="AD14"/>
    </row>
    <row r="15" spans="1:30" s="106" customFormat="1">
      <c r="A15" s="179">
        <v>2</v>
      </c>
      <c r="B15" t="s">
        <v>231</v>
      </c>
      <c r="C15" t="s">
        <v>697</v>
      </c>
      <c r="D15" s="208">
        <v>1630.07</v>
      </c>
      <c r="E15" s="208">
        <v>1428.0300000000002</v>
      </c>
      <c r="F15" s="208">
        <v>1405.42</v>
      </c>
      <c r="G15" s="208">
        <v>1448.03</v>
      </c>
      <c r="H15" s="208">
        <v>1594.34</v>
      </c>
      <c r="I15" s="208">
        <v>1391.48</v>
      </c>
      <c r="J15" s="208">
        <v>3650.68</v>
      </c>
      <c r="K15" s="208">
        <v>1438.16</v>
      </c>
      <c r="L15" s="208">
        <v>1183.3599999999999</v>
      </c>
      <c r="M15" s="208">
        <v>1272.1600000000001</v>
      </c>
      <c r="N15" s="208">
        <v>-5394.0199999999995</v>
      </c>
      <c r="O15" s="208">
        <v>1151.6400000000001</v>
      </c>
      <c r="P15" s="258">
        <f t="shared" ref="P15:P46" si="0">SUM(D15:O15)</f>
        <v>12199.350000000002</v>
      </c>
      <c r="Q15" s="234"/>
      <c r="R15" s="208">
        <v>12199.350000000002</v>
      </c>
      <c r="S15" s="208">
        <v>0</v>
      </c>
      <c r="T15" s="208">
        <v>0</v>
      </c>
      <c r="U15" s="258">
        <f t="shared" ref="U15:U46" si="1">SUM(R15:T15)</f>
        <v>12199.350000000002</v>
      </c>
      <c r="V15" s="208">
        <v>0</v>
      </c>
      <c r="W15" s="208">
        <v>0</v>
      </c>
      <c r="X15" s="258">
        <f t="shared" ref="X15:X46" si="2">SUM(V15:W15)</f>
        <v>0</v>
      </c>
      <c r="Y15" s="208">
        <v>0</v>
      </c>
      <c r="Z15" s="208">
        <v>0</v>
      </c>
      <c r="AA15" s="258">
        <f t="shared" ref="AA15:AA46" si="3">+Z15+Y15+X15+U15</f>
        <v>12199.350000000002</v>
      </c>
      <c r="AB15" s="106" t="b">
        <f t="shared" ref="AB15:AB46" si="4">ROUND(+AA15,2)=ROUND(P15,2)</f>
        <v>1</v>
      </c>
      <c r="AC15"/>
      <c r="AD15"/>
    </row>
    <row r="16" spans="1:30" s="106" customFormat="1">
      <c r="A16" s="179">
        <v>3</v>
      </c>
      <c r="B16" t="s">
        <v>232</v>
      </c>
      <c r="C16" t="s">
        <v>697</v>
      </c>
      <c r="D16" s="208">
        <v>25770.610000000008</v>
      </c>
      <c r="E16" s="208">
        <v>29166.570000000003</v>
      </c>
      <c r="F16" s="208">
        <v>31902.799999999999</v>
      </c>
      <c r="G16" s="208">
        <v>19071.23</v>
      </c>
      <c r="H16" s="208">
        <v>23025.74</v>
      </c>
      <c r="I16" s="208">
        <v>36288.629999999997</v>
      </c>
      <c r="J16" s="208">
        <v>36453.399999999987</v>
      </c>
      <c r="K16" s="208">
        <v>36153.43</v>
      </c>
      <c r="L16" s="208">
        <v>30367.149999999998</v>
      </c>
      <c r="M16" s="208">
        <v>27521.829999999994</v>
      </c>
      <c r="N16" s="208">
        <v>23755.890000000003</v>
      </c>
      <c r="O16" s="208">
        <v>31670.48</v>
      </c>
      <c r="P16" s="258">
        <f t="shared" si="0"/>
        <v>351147.76</v>
      </c>
      <c r="Q16" s="234"/>
      <c r="R16" s="208">
        <v>330802.36000000016</v>
      </c>
      <c r="S16" s="208">
        <v>0</v>
      </c>
      <c r="T16" s="208">
        <v>0</v>
      </c>
      <c r="U16" s="258">
        <f t="shared" si="1"/>
        <v>330802.36000000016</v>
      </c>
      <c r="V16" s="208">
        <v>20345.400000000009</v>
      </c>
      <c r="W16" s="208">
        <v>0</v>
      </c>
      <c r="X16" s="258">
        <f t="shared" si="2"/>
        <v>20345.400000000009</v>
      </c>
      <c r="Y16" s="208">
        <v>0</v>
      </c>
      <c r="Z16" s="208">
        <v>0</v>
      </c>
      <c r="AA16" s="258">
        <f t="shared" si="3"/>
        <v>351147.76000000018</v>
      </c>
      <c r="AB16" s="106" t="b">
        <f t="shared" si="4"/>
        <v>1</v>
      </c>
      <c r="AC16"/>
      <c r="AD16"/>
    </row>
    <row r="17" spans="1:30" s="106" customFormat="1">
      <c r="A17" s="179">
        <v>4</v>
      </c>
      <c r="B17" t="s">
        <v>233</v>
      </c>
      <c r="C17" t="s">
        <v>697</v>
      </c>
      <c r="D17" s="208">
        <v>8865.8600000000024</v>
      </c>
      <c r="E17" s="208">
        <v>8803.2099999999991</v>
      </c>
      <c r="F17" s="208">
        <v>8056.33</v>
      </c>
      <c r="G17" s="208">
        <v>7136.1500000000005</v>
      </c>
      <c r="H17" s="208">
        <v>8644.2000000000007</v>
      </c>
      <c r="I17" s="208">
        <v>9119.92</v>
      </c>
      <c r="J17" s="208">
        <v>14439.83</v>
      </c>
      <c r="K17" s="208">
        <v>23050.149999999998</v>
      </c>
      <c r="L17" s="208">
        <v>13849.670000000002</v>
      </c>
      <c r="M17" s="208">
        <v>6378.98</v>
      </c>
      <c r="N17" s="208">
        <v>8360.8700000000008</v>
      </c>
      <c r="O17" s="208">
        <v>2367.8999999999996</v>
      </c>
      <c r="P17" s="258">
        <f t="shared" si="0"/>
        <v>119073.06999999998</v>
      </c>
      <c r="Q17" s="234"/>
      <c r="R17" s="208">
        <v>119073.06999999995</v>
      </c>
      <c r="S17" s="208">
        <v>0</v>
      </c>
      <c r="T17" s="208">
        <v>0</v>
      </c>
      <c r="U17" s="258">
        <f t="shared" si="1"/>
        <v>119073.06999999995</v>
      </c>
      <c r="V17" s="208">
        <v>0</v>
      </c>
      <c r="W17" s="208">
        <v>0</v>
      </c>
      <c r="X17" s="258">
        <f t="shared" si="2"/>
        <v>0</v>
      </c>
      <c r="Y17" s="208">
        <v>0</v>
      </c>
      <c r="Z17" s="208">
        <v>0</v>
      </c>
      <c r="AA17" s="258">
        <f t="shared" si="3"/>
        <v>119073.06999999995</v>
      </c>
      <c r="AB17" s="106" t="b">
        <f t="shared" si="4"/>
        <v>1</v>
      </c>
      <c r="AC17"/>
      <c r="AD17"/>
    </row>
    <row r="18" spans="1:30" s="106" customFormat="1">
      <c r="A18" s="179">
        <v>5</v>
      </c>
      <c r="B18" t="s">
        <v>235</v>
      </c>
      <c r="C18" t="s">
        <v>697</v>
      </c>
      <c r="D18" s="208">
        <v>469404.14</v>
      </c>
      <c r="E18" s="208">
        <v>452659.75000000006</v>
      </c>
      <c r="F18" s="208">
        <v>284660.87</v>
      </c>
      <c r="G18" s="208">
        <v>314942.48000000004</v>
      </c>
      <c r="H18" s="208">
        <v>254015.64999999994</v>
      </c>
      <c r="I18" s="208">
        <v>367280.14</v>
      </c>
      <c r="J18" s="208">
        <v>274598.55</v>
      </c>
      <c r="K18" s="208">
        <v>372014.13</v>
      </c>
      <c r="L18" s="208">
        <v>381881.56000000006</v>
      </c>
      <c r="M18" s="208">
        <v>296139.54000000004</v>
      </c>
      <c r="N18" s="208">
        <v>295468.92</v>
      </c>
      <c r="O18" s="208">
        <v>416276.17000000004</v>
      </c>
      <c r="P18" s="258">
        <f t="shared" si="0"/>
        <v>4179341.9</v>
      </c>
      <c r="Q18" s="234"/>
      <c r="R18" s="208">
        <v>4099351.1700000004</v>
      </c>
      <c r="S18" s="208">
        <v>0</v>
      </c>
      <c r="T18" s="208">
        <v>0</v>
      </c>
      <c r="U18" s="258">
        <f t="shared" si="1"/>
        <v>4099351.1700000004</v>
      </c>
      <c r="V18" s="208">
        <v>79990.73</v>
      </c>
      <c r="W18" s="208">
        <v>0</v>
      </c>
      <c r="X18" s="258">
        <f t="shared" si="2"/>
        <v>79990.73</v>
      </c>
      <c r="Y18" s="208">
        <v>0</v>
      </c>
      <c r="Z18" s="208">
        <v>0</v>
      </c>
      <c r="AA18" s="258">
        <f t="shared" si="3"/>
        <v>4179341.9000000004</v>
      </c>
      <c r="AB18" s="106" t="b">
        <f t="shared" si="4"/>
        <v>1</v>
      </c>
      <c r="AC18"/>
      <c r="AD18"/>
    </row>
    <row r="19" spans="1:30" s="106" customFormat="1">
      <c r="A19" s="179">
        <v>6</v>
      </c>
      <c r="B19" t="s">
        <v>237</v>
      </c>
      <c r="C19" t="s">
        <v>697</v>
      </c>
      <c r="D19" s="208">
        <v>-4.7</v>
      </c>
      <c r="E19" s="208">
        <v>0</v>
      </c>
      <c r="F19" s="208">
        <v>0</v>
      </c>
      <c r="G19" s="208">
        <v>0</v>
      </c>
      <c r="H19" s="208">
        <v>1.2</v>
      </c>
      <c r="I19" s="208">
        <v>0</v>
      </c>
      <c r="J19" s="208">
        <v>0</v>
      </c>
      <c r="K19" s="208">
        <v>0</v>
      </c>
      <c r="L19" s="208">
        <v>0</v>
      </c>
      <c r="M19" s="208">
        <v>0</v>
      </c>
      <c r="N19" s="208">
        <v>0</v>
      </c>
      <c r="O19" s="208">
        <v>0</v>
      </c>
      <c r="P19" s="258">
        <f t="shared" si="0"/>
        <v>-3.5</v>
      </c>
      <c r="Q19" s="208"/>
      <c r="R19" s="208">
        <v>0.92</v>
      </c>
      <c r="S19" s="208">
        <v>0</v>
      </c>
      <c r="T19" s="208">
        <v>0</v>
      </c>
      <c r="U19" s="258">
        <f t="shared" si="1"/>
        <v>0.92</v>
      </c>
      <c r="V19" s="208">
        <v>-4.42</v>
      </c>
      <c r="W19" s="208">
        <v>0</v>
      </c>
      <c r="X19" s="258">
        <f t="shared" si="2"/>
        <v>-4.42</v>
      </c>
      <c r="Y19" s="208">
        <v>0</v>
      </c>
      <c r="Z19" s="208">
        <v>0</v>
      </c>
      <c r="AA19" s="258">
        <f t="shared" si="3"/>
        <v>-3.5</v>
      </c>
      <c r="AB19" s="106" t="b">
        <f t="shared" si="4"/>
        <v>1</v>
      </c>
      <c r="AC19"/>
      <c r="AD19"/>
    </row>
    <row r="20" spans="1:30" s="106" customFormat="1">
      <c r="A20" s="179">
        <v>7</v>
      </c>
      <c r="B20" t="s">
        <v>238</v>
      </c>
      <c r="C20" t="s">
        <v>697</v>
      </c>
      <c r="D20" s="208">
        <v>2.02</v>
      </c>
      <c r="E20" s="208">
        <v>0.04</v>
      </c>
      <c r="F20" s="208">
        <v>0</v>
      </c>
      <c r="G20" s="208">
        <v>0</v>
      </c>
      <c r="H20" s="208">
        <v>0</v>
      </c>
      <c r="I20" s="208">
        <v>0</v>
      </c>
      <c r="J20" s="208">
        <v>0</v>
      </c>
      <c r="K20" s="208">
        <v>0.06</v>
      </c>
      <c r="L20" s="208">
        <v>0</v>
      </c>
      <c r="M20" s="208">
        <v>0</v>
      </c>
      <c r="N20" s="208">
        <v>0.32</v>
      </c>
      <c r="O20" s="208">
        <v>0</v>
      </c>
      <c r="P20" s="258">
        <f t="shared" si="0"/>
        <v>2.44</v>
      </c>
      <c r="Q20" s="208"/>
      <c r="R20" s="208">
        <v>2.44</v>
      </c>
      <c r="S20" s="208">
        <v>0</v>
      </c>
      <c r="T20" s="208">
        <v>0</v>
      </c>
      <c r="U20" s="258">
        <f t="shared" si="1"/>
        <v>2.44</v>
      </c>
      <c r="V20" s="208">
        <v>0</v>
      </c>
      <c r="W20" s="208">
        <v>0</v>
      </c>
      <c r="X20" s="258">
        <f t="shared" si="2"/>
        <v>0</v>
      </c>
      <c r="Y20" s="208">
        <v>0</v>
      </c>
      <c r="Z20" s="208">
        <v>0</v>
      </c>
      <c r="AA20" s="258">
        <f t="shared" si="3"/>
        <v>2.44</v>
      </c>
      <c r="AB20" s="106" t="b">
        <f t="shared" si="4"/>
        <v>1</v>
      </c>
      <c r="AC20"/>
      <c r="AD20"/>
    </row>
    <row r="21" spans="1:30">
      <c r="A21" s="179">
        <v>8</v>
      </c>
      <c r="B21" t="s">
        <v>239</v>
      </c>
      <c r="C21" t="s">
        <v>697</v>
      </c>
      <c r="D21" s="208">
        <v>35913.349999999991</v>
      </c>
      <c r="E21" s="208">
        <v>40967.050000000003</v>
      </c>
      <c r="F21" s="208">
        <v>38221.539999999994</v>
      </c>
      <c r="G21" s="208">
        <v>46834.62</v>
      </c>
      <c r="H21" s="208">
        <v>43241.72</v>
      </c>
      <c r="I21" s="208">
        <v>25440.41</v>
      </c>
      <c r="J21" s="208">
        <v>55826.549999999996</v>
      </c>
      <c r="K21" s="208">
        <v>49911.46</v>
      </c>
      <c r="L21" s="208">
        <v>42902.750000000015</v>
      </c>
      <c r="M21" s="208">
        <v>40838.179999999993</v>
      </c>
      <c r="N21" s="208">
        <v>33869.360000000008</v>
      </c>
      <c r="O21" s="208">
        <v>25373.52</v>
      </c>
      <c r="P21" s="258">
        <f t="shared" si="0"/>
        <v>479340.51</v>
      </c>
      <c r="Q21" s="234"/>
      <c r="R21" s="208">
        <v>459250.88999999961</v>
      </c>
      <c r="S21" s="208">
        <v>0</v>
      </c>
      <c r="T21" s="208">
        <v>0</v>
      </c>
      <c r="U21" s="258">
        <f t="shared" si="1"/>
        <v>459250.88999999961</v>
      </c>
      <c r="V21" s="208">
        <v>20089.620000000006</v>
      </c>
      <c r="W21" s="208">
        <v>0</v>
      </c>
      <c r="X21" s="258">
        <f t="shared" si="2"/>
        <v>20089.620000000006</v>
      </c>
      <c r="Y21" s="208">
        <v>0</v>
      </c>
      <c r="Z21" s="208">
        <v>0</v>
      </c>
      <c r="AA21" s="258">
        <f t="shared" si="3"/>
        <v>479340.5099999996</v>
      </c>
      <c r="AB21" s="106" t="b">
        <f t="shared" si="4"/>
        <v>1</v>
      </c>
    </row>
    <row r="22" spans="1:30">
      <c r="A22" s="179">
        <v>9</v>
      </c>
      <c r="B22" t="s">
        <v>240</v>
      </c>
      <c r="C22" t="s">
        <v>697</v>
      </c>
      <c r="D22" s="208">
        <v>19003.050000000003</v>
      </c>
      <c r="E22" s="208">
        <v>28566.470000000005</v>
      </c>
      <c r="F22" s="208">
        <v>19613.23</v>
      </c>
      <c r="G22" s="208">
        <v>29596.020000000004</v>
      </c>
      <c r="H22" s="208">
        <v>20887.409999999996</v>
      </c>
      <c r="I22" s="208">
        <v>17213.34</v>
      </c>
      <c r="J22" s="208">
        <v>13423.970000000001</v>
      </c>
      <c r="K22" s="208">
        <v>22380.95</v>
      </c>
      <c r="L22" s="208">
        <v>15202.1</v>
      </c>
      <c r="M22" s="208">
        <v>20524.660000000003</v>
      </c>
      <c r="N22" s="208">
        <v>17565.620000000003</v>
      </c>
      <c r="O22" s="208">
        <v>21401.269999999997</v>
      </c>
      <c r="P22" s="258">
        <f t="shared" si="0"/>
        <v>245378.09</v>
      </c>
      <c r="Q22" s="234"/>
      <c r="R22" s="208">
        <v>244593.56000000003</v>
      </c>
      <c r="S22" s="208">
        <v>0</v>
      </c>
      <c r="T22" s="208">
        <v>0</v>
      </c>
      <c r="U22" s="258">
        <f t="shared" si="1"/>
        <v>244593.56000000003</v>
      </c>
      <c r="V22" s="208">
        <v>784.52999999999975</v>
      </c>
      <c r="W22" s="208">
        <v>0</v>
      </c>
      <c r="X22" s="258">
        <f t="shared" si="2"/>
        <v>784.52999999999975</v>
      </c>
      <c r="Y22" s="208">
        <v>0</v>
      </c>
      <c r="Z22" s="208">
        <v>0</v>
      </c>
      <c r="AA22" s="258">
        <f t="shared" si="3"/>
        <v>245378.09000000003</v>
      </c>
      <c r="AB22" s="106" t="b">
        <f t="shared" si="4"/>
        <v>1</v>
      </c>
    </row>
    <row r="23" spans="1:30">
      <c r="A23" s="179">
        <v>10</v>
      </c>
      <c r="B23" t="s">
        <v>242</v>
      </c>
      <c r="C23" t="s">
        <v>697</v>
      </c>
      <c r="D23" s="235">
        <v>927.30000000000007</v>
      </c>
      <c r="E23" s="235">
        <v>701.84</v>
      </c>
      <c r="F23" s="235">
        <v>406.28999999999996</v>
      </c>
      <c r="G23" s="235">
        <v>1239.9000000000001</v>
      </c>
      <c r="H23" s="235">
        <v>4095.24</v>
      </c>
      <c r="I23" s="235">
        <v>1042.82</v>
      </c>
      <c r="J23" s="235">
        <v>1233.21</v>
      </c>
      <c r="K23" s="235">
        <v>751.87999999999988</v>
      </c>
      <c r="L23" s="235">
        <v>887.1500000000002</v>
      </c>
      <c r="M23" s="235">
        <v>1883.11</v>
      </c>
      <c r="N23" s="235">
        <v>2466.4299999999998</v>
      </c>
      <c r="O23" s="242">
        <v>2759.7599999999993</v>
      </c>
      <c r="P23" s="258">
        <f t="shared" si="0"/>
        <v>18394.929999999997</v>
      </c>
      <c r="R23" s="235">
        <v>18289.000000000015</v>
      </c>
      <c r="S23" s="235">
        <v>0</v>
      </c>
      <c r="T23" s="235">
        <v>0</v>
      </c>
      <c r="U23" s="258">
        <f t="shared" si="1"/>
        <v>18289.000000000015</v>
      </c>
      <c r="V23" s="235">
        <v>105.92999999999999</v>
      </c>
      <c r="W23" s="235">
        <v>0</v>
      </c>
      <c r="X23" s="258">
        <f t="shared" si="2"/>
        <v>105.92999999999999</v>
      </c>
      <c r="Y23" s="235">
        <v>0</v>
      </c>
      <c r="Z23" s="235">
        <v>0</v>
      </c>
      <c r="AA23" s="258">
        <f t="shared" si="3"/>
        <v>18394.930000000015</v>
      </c>
      <c r="AB23" s="106" t="b">
        <f t="shared" si="4"/>
        <v>1</v>
      </c>
    </row>
    <row r="24" spans="1:30">
      <c r="A24" s="179">
        <v>11</v>
      </c>
      <c r="B24" t="s">
        <v>249</v>
      </c>
      <c r="C24" t="s">
        <v>697</v>
      </c>
      <c r="D24" s="235">
        <v>14724.800000000001</v>
      </c>
      <c r="E24" s="235">
        <v>16927.939999999999</v>
      </c>
      <c r="F24" s="235">
        <v>16390.11</v>
      </c>
      <c r="G24" s="235">
        <v>15788.260000000002</v>
      </c>
      <c r="H24" s="235">
        <v>16356.66</v>
      </c>
      <c r="I24" s="235">
        <v>18411.850000000006</v>
      </c>
      <c r="J24" s="235">
        <v>16684.279999999992</v>
      </c>
      <c r="K24" s="235">
        <v>16405.39</v>
      </c>
      <c r="L24" s="235">
        <v>17180.98</v>
      </c>
      <c r="M24" s="235">
        <v>12610.96</v>
      </c>
      <c r="N24" s="235">
        <v>12114.720000000003</v>
      </c>
      <c r="O24" s="242">
        <v>20160.240000000005</v>
      </c>
      <c r="P24" s="258">
        <f t="shared" si="0"/>
        <v>193756.19</v>
      </c>
      <c r="R24" s="235">
        <v>1.84</v>
      </c>
      <c r="S24" s="235">
        <v>0</v>
      </c>
      <c r="T24" s="235">
        <v>0</v>
      </c>
      <c r="U24" s="258">
        <f t="shared" si="1"/>
        <v>1.84</v>
      </c>
      <c r="V24" s="235">
        <v>155878.53999999992</v>
      </c>
      <c r="W24" s="235">
        <v>0</v>
      </c>
      <c r="X24" s="258">
        <f t="shared" si="2"/>
        <v>155878.53999999992</v>
      </c>
      <c r="Y24" s="235">
        <v>37875.81</v>
      </c>
      <c r="Z24" s="235">
        <v>0</v>
      </c>
      <c r="AA24" s="258">
        <f t="shared" si="3"/>
        <v>193756.18999999992</v>
      </c>
      <c r="AB24" s="106" t="b">
        <f t="shared" si="4"/>
        <v>1</v>
      </c>
    </row>
    <row r="25" spans="1:30">
      <c r="A25" s="179">
        <v>12</v>
      </c>
      <c r="B25" t="s">
        <v>243</v>
      </c>
      <c r="C25" t="s">
        <v>697</v>
      </c>
      <c r="D25" s="235">
        <v>0</v>
      </c>
      <c r="E25" s="235">
        <v>0</v>
      </c>
      <c r="F25" s="235">
        <v>0</v>
      </c>
      <c r="G25" s="235">
        <v>0</v>
      </c>
      <c r="H25" s="235">
        <v>0</v>
      </c>
      <c r="I25" s="235">
        <v>0</v>
      </c>
      <c r="J25" s="235">
        <v>0</v>
      </c>
      <c r="K25" s="235">
        <v>154.94999999999999</v>
      </c>
      <c r="L25" s="235">
        <v>0</v>
      </c>
      <c r="M25" s="235">
        <v>0</v>
      </c>
      <c r="N25" s="235">
        <v>0</v>
      </c>
      <c r="O25" s="242">
        <v>0</v>
      </c>
      <c r="P25" s="258">
        <f t="shared" si="0"/>
        <v>154.94999999999999</v>
      </c>
      <c r="R25" s="235">
        <v>0</v>
      </c>
      <c r="S25" s="235">
        <v>0</v>
      </c>
      <c r="T25" s="235">
        <v>0</v>
      </c>
      <c r="U25" s="258">
        <f t="shared" si="1"/>
        <v>0</v>
      </c>
      <c r="V25" s="235">
        <v>154.94</v>
      </c>
      <c r="W25" s="235">
        <v>0</v>
      </c>
      <c r="X25" s="258">
        <f t="shared" si="2"/>
        <v>154.94</v>
      </c>
      <c r="Y25" s="235">
        <v>0.01</v>
      </c>
      <c r="Z25" s="235">
        <v>0</v>
      </c>
      <c r="AA25" s="258">
        <f t="shared" si="3"/>
        <v>154.94999999999999</v>
      </c>
      <c r="AB25" s="106" t="b">
        <f t="shared" si="4"/>
        <v>1</v>
      </c>
    </row>
    <row r="26" spans="1:30">
      <c r="A26" s="179">
        <v>13</v>
      </c>
      <c r="B26" t="s">
        <v>244</v>
      </c>
      <c r="C26" t="s">
        <v>697</v>
      </c>
      <c r="D26" s="235">
        <v>40962.089999999989</v>
      </c>
      <c r="E26" s="235">
        <v>46403.889999999992</v>
      </c>
      <c r="F26" s="235">
        <v>45738.119999999995</v>
      </c>
      <c r="G26" s="235">
        <v>41717.319999999992</v>
      </c>
      <c r="H26" s="235">
        <v>39086.560000000012</v>
      </c>
      <c r="I26" s="235">
        <v>55867.940000000017</v>
      </c>
      <c r="J26" s="235">
        <v>46498.92</v>
      </c>
      <c r="K26" s="235">
        <v>63684.689999999988</v>
      </c>
      <c r="L26" s="235">
        <v>44590.840000000011</v>
      </c>
      <c r="M26" s="235">
        <v>41415.599999999999</v>
      </c>
      <c r="N26" s="235">
        <v>35005.03</v>
      </c>
      <c r="O26" s="242">
        <v>49355.170000000006</v>
      </c>
      <c r="P26" s="258">
        <f t="shared" si="0"/>
        <v>550326.17000000004</v>
      </c>
      <c r="R26" s="235">
        <v>21019.090000000007</v>
      </c>
      <c r="S26" s="235">
        <v>0</v>
      </c>
      <c r="T26" s="235">
        <v>0</v>
      </c>
      <c r="U26" s="258">
        <f t="shared" si="1"/>
        <v>21019.090000000007</v>
      </c>
      <c r="V26" s="235">
        <v>529307.07999999996</v>
      </c>
      <c r="W26" s="235">
        <v>0</v>
      </c>
      <c r="X26" s="258">
        <f t="shared" si="2"/>
        <v>529307.07999999996</v>
      </c>
      <c r="Y26" s="235">
        <v>0</v>
      </c>
      <c r="Z26" s="235">
        <v>0</v>
      </c>
      <c r="AA26" s="258">
        <f t="shared" si="3"/>
        <v>550326.16999999993</v>
      </c>
      <c r="AB26" s="106" t="b">
        <f t="shared" si="4"/>
        <v>1</v>
      </c>
    </row>
    <row r="27" spans="1:30">
      <c r="A27" s="179">
        <v>14</v>
      </c>
      <c r="B27" t="s">
        <v>155</v>
      </c>
      <c r="C27" t="s">
        <v>697</v>
      </c>
      <c r="D27" s="235">
        <v>484782.22</v>
      </c>
      <c r="E27" s="235">
        <v>337454.48</v>
      </c>
      <c r="F27" s="235">
        <v>467750.5</v>
      </c>
      <c r="G27" s="235">
        <v>441189.53999999992</v>
      </c>
      <c r="H27" s="235">
        <v>459965.83</v>
      </c>
      <c r="I27" s="235">
        <v>383496.14</v>
      </c>
      <c r="J27" s="235">
        <v>537266.72</v>
      </c>
      <c r="K27" s="235">
        <v>380369.17999999993</v>
      </c>
      <c r="L27" s="235">
        <v>396610.57</v>
      </c>
      <c r="M27" s="235">
        <v>397559.07000000007</v>
      </c>
      <c r="N27" s="235">
        <v>478739.9</v>
      </c>
      <c r="O27" s="242">
        <v>560350.71999999997</v>
      </c>
      <c r="P27" s="258">
        <f t="shared" si="0"/>
        <v>5325534.8699999992</v>
      </c>
      <c r="R27" s="235">
        <v>0</v>
      </c>
      <c r="S27" s="235">
        <v>0</v>
      </c>
      <c r="T27" s="235">
        <v>0</v>
      </c>
      <c r="U27" s="258">
        <f t="shared" si="1"/>
        <v>0</v>
      </c>
      <c r="V27" s="235">
        <v>5325154.4100000085</v>
      </c>
      <c r="W27" s="235">
        <v>0</v>
      </c>
      <c r="X27" s="258">
        <f t="shared" si="2"/>
        <v>5325154.4100000085</v>
      </c>
      <c r="Y27" s="235">
        <v>380.46</v>
      </c>
      <c r="Z27" s="235">
        <v>0</v>
      </c>
      <c r="AA27" s="258">
        <f t="shared" si="3"/>
        <v>5325534.8700000085</v>
      </c>
      <c r="AB27" s="106" t="b">
        <f t="shared" si="4"/>
        <v>1</v>
      </c>
    </row>
    <row r="28" spans="1:30">
      <c r="A28" s="179">
        <v>15</v>
      </c>
      <c r="B28" t="s">
        <v>245</v>
      </c>
      <c r="C28" t="s">
        <v>697</v>
      </c>
      <c r="D28" s="235">
        <v>92262.960000000021</v>
      </c>
      <c r="E28" s="235">
        <v>71630.600000000006</v>
      </c>
      <c r="F28" s="235">
        <v>61752.679999999986</v>
      </c>
      <c r="G28" s="235">
        <v>116015.34999999998</v>
      </c>
      <c r="H28" s="235">
        <v>92650.75999999998</v>
      </c>
      <c r="I28" s="235">
        <v>92986.06</v>
      </c>
      <c r="J28" s="235">
        <v>133398.53</v>
      </c>
      <c r="K28" s="235">
        <v>82635.609999999986</v>
      </c>
      <c r="L28" s="235">
        <v>70046.329999999958</v>
      </c>
      <c r="M28" s="235">
        <v>75176.050000000017</v>
      </c>
      <c r="N28" s="235">
        <v>74160.340000000026</v>
      </c>
      <c r="O28" s="242">
        <v>105092.41999999998</v>
      </c>
      <c r="P28" s="258">
        <f t="shared" si="0"/>
        <v>1067807.69</v>
      </c>
      <c r="R28" s="235">
        <v>0</v>
      </c>
      <c r="S28" s="235">
        <v>0</v>
      </c>
      <c r="T28" s="235">
        <v>0</v>
      </c>
      <c r="U28" s="258">
        <f t="shared" si="1"/>
        <v>0</v>
      </c>
      <c r="V28" s="235">
        <v>1067230.29</v>
      </c>
      <c r="W28" s="235">
        <v>0</v>
      </c>
      <c r="X28" s="258">
        <f t="shared" si="2"/>
        <v>1067230.29</v>
      </c>
      <c r="Y28" s="235">
        <v>577.4</v>
      </c>
      <c r="Z28" s="235">
        <v>0</v>
      </c>
      <c r="AA28" s="258">
        <f t="shared" si="3"/>
        <v>1067807.69</v>
      </c>
      <c r="AB28" s="106" t="b">
        <f t="shared" si="4"/>
        <v>1</v>
      </c>
    </row>
    <row r="29" spans="1:30">
      <c r="A29" s="179">
        <v>16</v>
      </c>
      <c r="B29" t="s">
        <v>246</v>
      </c>
      <c r="C29" t="s">
        <v>697</v>
      </c>
      <c r="D29" s="235">
        <v>309926.50999999995</v>
      </c>
      <c r="E29" s="235">
        <v>313268.72000000003</v>
      </c>
      <c r="F29" s="235">
        <v>326382.24999999994</v>
      </c>
      <c r="G29" s="235">
        <v>329669.39</v>
      </c>
      <c r="H29" s="235">
        <v>339930.48999999987</v>
      </c>
      <c r="I29" s="235">
        <v>371684.81999999995</v>
      </c>
      <c r="J29" s="235">
        <v>355642.08999999979</v>
      </c>
      <c r="K29" s="235">
        <v>389043.3299999999</v>
      </c>
      <c r="L29" s="235">
        <v>338633.15</v>
      </c>
      <c r="M29" s="235">
        <v>309422.23</v>
      </c>
      <c r="N29" s="235">
        <v>311644.75</v>
      </c>
      <c r="O29" s="242">
        <v>433439.77999999991</v>
      </c>
      <c r="P29" s="258">
        <f t="shared" si="0"/>
        <v>4128687.5099999993</v>
      </c>
      <c r="R29" s="235">
        <v>0</v>
      </c>
      <c r="S29" s="235">
        <v>0</v>
      </c>
      <c r="T29" s="235">
        <v>0</v>
      </c>
      <c r="U29" s="258">
        <f t="shared" si="1"/>
        <v>0</v>
      </c>
      <c r="V29" s="235">
        <v>1293.24</v>
      </c>
      <c r="W29" s="235">
        <v>0</v>
      </c>
      <c r="X29" s="258">
        <f t="shared" si="2"/>
        <v>1293.24</v>
      </c>
      <c r="Y29" s="235">
        <v>4127394.2699999991</v>
      </c>
      <c r="Z29" s="235">
        <v>0</v>
      </c>
      <c r="AA29" s="258">
        <f t="shared" si="3"/>
        <v>4128687.5099999993</v>
      </c>
      <c r="AB29" s="106" t="b">
        <f t="shared" si="4"/>
        <v>1</v>
      </c>
    </row>
    <row r="30" spans="1:30">
      <c r="A30" s="179">
        <v>17</v>
      </c>
      <c r="B30" t="s">
        <v>247</v>
      </c>
      <c r="C30" t="s">
        <v>697</v>
      </c>
      <c r="D30" s="235">
        <v>45620.7</v>
      </c>
      <c r="E30" s="235">
        <v>26193.78</v>
      </c>
      <c r="F30" s="235">
        <v>33129.83</v>
      </c>
      <c r="G30" s="235">
        <v>29080.340000000004</v>
      </c>
      <c r="H30" s="235">
        <v>32796.509999999995</v>
      </c>
      <c r="I30" s="235">
        <v>20614.440000000002</v>
      </c>
      <c r="J30" s="235">
        <v>45420.55000000001</v>
      </c>
      <c r="K30" s="235">
        <v>44186.979999999989</v>
      </c>
      <c r="L30" s="235">
        <v>39572.330000000009</v>
      </c>
      <c r="M30" s="235">
        <v>38329.12000000001</v>
      </c>
      <c r="N30" s="235">
        <v>31181.279999999999</v>
      </c>
      <c r="O30" s="242">
        <v>41301.599999999991</v>
      </c>
      <c r="P30" s="258">
        <f t="shared" si="0"/>
        <v>427427.45999999996</v>
      </c>
      <c r="R30" s="235">
        <v>0</v>
      </c>
      <c r="S30" s="235">
        <v>0</v>
      </c>
      <c r="T30" s="235">
        <v>0</v>
      </c>
      <c r="U30" s="258">
        <f t="shared" si="1"/>
        <v>0</v>
      </c>
      <c r="V30" s="235">
        <v>427381.39999999997</v>
      </c>
      <c r="W30" s="235">
        <v>0</v>
      </c>
      <c r="X30" s="258">
        <f t="shared" si="2"/>
        <v>427381.39999999997</v>
      </c>
      <c r="Y30" s="235">
        <v>46.06</v>
      </c>
      <c r="Z30" s="235">
        <v>0</v>
      </c>
      <c r="AA30" s="258">
        <f t="shared" si="3"/>
        <v>427427.45999999996</v>
      </c>
      <c r="AB30" s="106" t="b">
        <f t="shared" si="4"/>
        <v>1</v>
      </c>
    </row>
    <row r="31" spans="1:30">
      <c r="A31" s="179">
        <v>18</v>
      </c>
      <c r="B31" t="s">
        <v>250</v>
      </c>
      <c r="C31" t="s">
        <v>697</v>
      </c>
      <c r="D31" s="235">
        <v>443550.92000000004</v>
      </c>
      <c r="E31" s="235">
        <v>442176.0900000002</v>
      </c>
      <c r="F31" s="235">
        <v>452198.79000000021</v>
      </c>
      <c r="G31" s="235">
        <v>492300.35000000015</v>
      </c>
      <c r="H31" s="235">
        <v>334093.41999999987</v>
      </c>
      <c r="I31" s="235">
        <v>434704.33000000013</v>
      </c>
      <c r="J31" s="235">
        <v>484972.24999999983</v>
      </c>
      <c r="K31" s="235">
        <v>456535.34000000008</v>
      </c>
      <c r="L31" s="235">
        <v>430272.50000000029</v>
      </c>
      <c r="M31" s="235">
        <v>421154.56999999977</v>
      </c>
      <c r="N31" s="235">
        <v>503833.83000000013</v>
      </c>
      <c r="O31" s="242">
        <v>605005.30999999994</v>
      </c>
      <c r="P31" s="258">
        <f t="shared" si="0"/>
        <v>5500797.7000000002</v>
      </c>
      <c r="R31" s="235">
        <v>3323.9200000000014</v>
      </c>
      <c r="S31" s="235">
        <v>0</v>
      </c>
      <c r="T31" s="235">
        <v>0</v>
      </c>
      <c r="U31" s="258">
        <f t="shared" si="1"/>
        <v>3323.9200000000014</v>
      </c>
      <c r="V31" s="235">
        <v>4272145.2399999974</v>
      </c>
      <c r="W31" s="235">
        <v>0</v>
      </c>
      <c r="X31" s="258">
        <f t="shared" si="2"/>
        <v>4272145.2399999974</v>
      </c>
      <c r="Y31" s="235">
        <v>1225328.5399999986</v>
      </c>
      <c r="Z31" s="235">
        <v>0</v>
      </c>
      <c r="AA31" s="258">
        <f t="shared" si="3"/>
        <v>5500797.6999999955</v>
      </c>
      <c r="AB31" s="106" t="b">
        <f t="shared" si="4"/>
        <v>1</v>
      </c>
    </row>
    <row r="32" spans="1:30">
      <c r="A32" s="179">
        <v>19</v>
      </c>
      <c r="B32" t="s">
        <v>256</v>
      </c>
      <c r="C32" t="s">
        <v>697</v>
      </c>
      <c r="D32" s="235">
        <v>5715.2199999999993</v>
      </c>
      <c r="E32" s="235">
        <v>7588.1499999999987</v>
      </c>
      <c r="F32" s="235">
        <v>6005.4400000000005</v>
      </c>
      <c r="G32" s="235">
        <v>7768.4400000000005</v>
      </c>
      <c r="H32" s="235">
        <v>7305.6400000000012</v>
      </c>
      <c r="I32" s="235">
        <v>8285.61</v>
      </c>
      <c r="J32" s="235">
        <v>7771.7499999999973</v>
      </c>
      <c r="K32" s="235">
        <v>4985.7699999999995</v>
      </c>
      <c r="L32" s="235">
        <v>7955.4</v>
      </c>
      <c r="M32" s="235">
        <v>6982.4900000000007</v>
      </c>
      <c r="N32" s="235">
        <v>6356.08</v>
      </c>
      <c r="O32" s="242">
        <v>9275.16</v>
      </c>
      <c r="P32" s="258">
        <f t="shared" si="0"/>
        <v>85995.150000000009</v>
      </c>
      <c r="R32" s="235">
        <v>6980.1000000000013</v>
      </c>
      <c r="S32" s="235">
        <v>0</v>
      </c>
      <c r="T32" s="235">
        <v>0</v>
      </c>
      <c r="U32" s="258">
        <f t="shared" si="1"/>
        <v>6980.1000000000013</v>
      </c>
      <c r="V32" s="235">
        <v>61258.159999999982</v>
      </c>
      <c r="W32" s="235">
        <v>0</v>
      </c>
      <c r="X32" s="258">
        <f t="shared" si="2"/>
        <v>61258.159999999982</v>
      </c>
      <c r="Y32" s="235">
        <v>17756.889999999996</v>
      </c>
      <c r="Z32" s="235">
        <v>0</v>
      </c>
      <c r="AA32" s="258">
        <f t="shared" si="3"/>
        <v>85995.14999999998</v>
      </c>
      <c r="AB32" s="106" t="b">
        <f t="shared" si="4"/>
        <v>1</v>
      </c>
    </row>
    <row r="33" spans="1:28">
      <c r="A33" s="179">
        <v>20</v>
      </c>
      <c r="B33" t="s">
        <v>251</v>
      </c>
      <c r="C33" t="s">
        <v>697</v>
      </c>
      <c r="D33" s="235">
        <v>11.13</v>
      </c>
      <c r="E33" s="235">
        <v>0.1</v>
      </c>
      <c r="F33" s="235">
        <v>0</v>
      </c>
      <c r="G33" s="235">
        <v>0</v>
      </c>
      <c r="H33" s="235">
        <v>0</v>
      </c>
      <c r="I33" s="235">
        <v>0</v>
      </c>
      <c r="J33" s="235">
        <v>0</v>
      </c>
      <c r="K33" s="235">
        <v>0</v>
      </c>
      <c r="L33" s="235">
        <v>0</v>
      </c>
      <c r="M33" s="235">
        <v>0</v>
      </c>
      <c r="N33" s="235">
        <v>0</v>
      </c>
      <c r="O33" s="242">
        <v>0</v>
      </c>
      <c r="P33" s="258">
        <f t="shared" si="0"/>
        <v>11.23</v>
      </c>
      <c r="R33" s="235">
        <v>1</v>
      </c>
      <c r="S33" s="235">
        <v>0</v>
      </c>
      <c r="T33" s="235">
        <v>0</v>
      </c>
      <c r="U33" s="258">
        <f t="shared" si="1"/>
        <v>1</v>
      </c>
      <c r="V33" s="235">
        <v>10.23</v>
      </c>
      <c r="W33" s="235">
        <v>0</v>
      </c>
      <c r="X33" s="258">
        <f t="shared" si="2"/>
        <v>10.23</v>
      </c>
      <c r="Y33" s="235">
        <v>0</v>
      </c>
      <c r="Z33" s="235">
        <v>0</v>
      </c>
      <c r="AA33" s="258">
        <f t="shared" si="3"/>
        <v>11.23</v>
      </c>
      <c r="AB33" s="106" t="b">
        <f t="shared" si="4"/>
        <v>1</v>
      </c>
    </row>
    <row r="34" spans="1:28">
      <c r="A34" s="179">
        <v>21</v>
      </c>
      <c r="B34" t="s">
        <v>252</v>
      </c>
      <c r="C34" t="s">
        <v>697</v>
      </c>
      <c r="D34" s="235">
        <v>57330.19999999999</v>
      </c>
      <c r="E34" s="235">
        <v>74702.480000000025</v>
      </c>
      <c r="F34" s="235">
        <v>84340.959999999992</v>
      </c>
      <c r="G34" s="235">
        <v>66484.740000000005</v>
      </c>
      <c r="H34" s="235">
        <v>64380.119999999995</v>
      </c>
      <c r="I34" s="235">
        <v>63325.220000000008</v>
      </c>
      <c r="J34" s="235">
        <v>66916.539999999994</v>
      </c>
      <c r="K34" s="235">
        <v>86115.700000000026</v>
      </c>
      <c r="L34" s="235">
        <v>65202.35</v>
      </c>
      <c r="M34" s="235">
        <v>56614.710000000006</v>
      </c>
      <c r="N34" s="235">
        <v>73946.059999999983</v>
      </c>
      <c r="O34" s="242">
        <v>52265.32999999998</v>
      </c>
      <c r="P34" s="258">
        <f t="shared" si="0"/>
        <v>811624.40999999992</v>
      </c>
      <c r="R34" s="235">
        <v>28415.95</v>
      </c>
      <c r="S34" s="235">
        <v>0</v>
      </c>
      <c r="T34" s="235">
        <v>0</v>
      </c>
      <c r="U34" s="258">
        <f t="shared" si="1"/>
        <v>28415.95</v>
      </c>
      <c r="V34" s="235">
        <v>783208.45999999985</v>
      </c>
      <c r="W34" s="235">
        <v>0</v>
      </c>
      <c r="X34" s="258">
        <f t="shared" si="2"/>
        <v>783208.45999999985</v>
      </c>
      <c r="Y34" s="235">
        <v>0</v>
      </c>
      <c r="Z34" s="235">
        <v>0</v>
      </c>
      <c r="AA34" s="258">
        <f t="shared" si="3"/>
        <v>811624.4099999998</v>
      </c>
      <c r="AB34" s="106" t="b">
        <f t="shared" si="4"/>
        <v>1</v>
      </c>
    </row>
    <row r="35" spans="1:28">
      <c r="A35" s="179">
        <v>22</v>
      </c>
      <c r="B35" t="s">
        <v>147</v>
      </c>
      <c r="C35" t="s">
        <v>697</v>
      </c>
      <c r="D35" s="235">
        <v>1145011.2899999996</v>
      </c>
      <c r="E35" s="235">
        <v>907283.15</v>
      </c>
      <c r="F35" s="235">
        <v>1179838.3899999997</v>
      </c>
      <c r="G35" s="235">
        <v>1036143.71</v>
      </c>
      <c r="H35" s="235">
        <v>1001896.6699999999</v>
      </c>
      <c r="I35" s="235">
        <v>655692.75000000012</v>
      </c>
      <c r="J35" s="235">
        <v>1296537.4799999997</v>
      </c>
      <c r="K35" s="235">
        <v>774994.88</v>
      </c>
      <c r="L35" s="235">
        <v>702230.33</v>
      </c>
      <c r="M35" s="235">
        <v>1106067.4899999998</v>
      </c>
      <c r="N35" s="235">
        <v>1187456.3199999998</v>
      </c>
      <c r="O35" s="242">
        <v>1076126.4099999999</v>
      </c>
      <c r="P35" s="258">
        <f t="shared" si="0"/>
        <v>12069278.869999999</v>
      </c>
      <c r="R35" s="235">
        <v>0</v>
      </c>
      <c r="S35" s="235">
        <v>0</v>
      </c>
      <c r="T35" s="235">
        <v>0</v>
      </c>
      <c r="U35" s="258">
        <f t="shared" si="1"/>
        <v>0</v>
      </c>
      <c r="V35" s="235">
        <v>12023924.430000011</v>
      </c>
      <c r="W35" s="235">
        <v>0</v>
      </c>
      <c r="X35" s="258">
        <f t="shared" si="2"/>
        <v>12023924.430000011</v>
      </c>
      <c r="Y35" s="235">
        <v>45354.439999999995</v>
      </c>
      <c r="Z35" s="235">
        <v>0</v>
      </c>
      <c r="AA35" s="258">
        <f t="shared" si="3"/>
        <v>12069278.87000001</v>
      </c>
      <c r="AB35" s="106" t="b">
        <f t="shared" si="4"/>
        <v>1</v>
      </c>
    </row>
    <row r="36" spans="1:28">
      <c r="A36" s="179">
        <v>23</v>
      </c>
      <c r="B36" t="s">
        <v>148</v>
      </c>
      <c r="C36" t="s">
        <v>697</v>
      </c>
      <c r="D36" s="235">
        <v>343515.84</v>
      </c>
      <c r="E36" s="235">
        <v>243906.82999999996</v>
      </c>
      <c r="F36" s="235">
        <v>279490.31999999995</v>
      </c>
      <c r="G36" s="235">
        <v>322618.66000000009</v>
      </c>
      <c r="H36" s="235">
        <v>322009.56999999983</v>
      </c>
      <c r="I36" s="235">
        <v>250204.84999999998</v>
      </c>
      <c r="J36" s="235">
        <v>314744.89</v>
      </c>
      <c r="K36" s="235">
        <v>254490.29</v>
      </c>
      <c r="L36" s="235">
        <v>278111.87999999995</v>
      </c>
      <c r="M36" s="235">
        <v>341086.21</v>
      </c>
      <c r="N36" s="235">
        <v>300275.77999999997</v>
      </c>
      <c r="O36" s="242">
        <v>411202.85999999987</v>
      </c>
      <c r="P36" s="258">
        <f t="shared" si="0"/>
        <v>3661657.9799999995</v>
      </c>
      <c r="R36" s="235">
        <v>0</v>
      </c>
      <c r="S36" s="235">
        <v>0</v>
      </c>
      <c r="T36" s="235">
        <v>0</v>
      </c>
      <c r="U36" s="258">
        <f t="shared" si="1"/>
        <v>0</v>
      </c>
      <c r="V36" s="235">
        <v>3633934.0199999982</v>
      </c>
      <c r="W36" s="235">
        <v>0</v>
      </c>
      <c r="X36" s="258">
        <f t="shared" si="2"/>
        <v>3633934.0199999982</v>
      </c>
      <c r="Y36" s="235">
        <v>27723.960000000003</v>
      </c>
      <c r="Z36" s="235">
        <v>0</v>
      </c>
      <c r="AA36" s="258">
        <f t="shared" si="3"/>
        <v>3661657.9799999981</v>
      </c>
      <c r="AB36" s="106" t="b">
        <f t="shared" si="4"/>
        <v>1</v>
      </c>
    </row>
    <row r="37" spans="1:28">
      <c r="A37" s="179">
        <v>24</v>
      </c>
      <c r="B37" t="s">
        <v>253</v>
      </c>
      <c r="C37" t="s">
        <v>697</v>
      </c>
      <c r="D37" s="235">
        <v>71429.86</v>
      </c>
      <c r="E37" s="235">
        <v>64363.25</v>
      </c>
      <c r="F37" s="235">
        <v>71297.630000000019</v>
      </c>
      <c r="G37" s="235">
        <v>66716.58</v>
      </c>
      <c r="H37" s="235">
        <v>60232.15</v>
      </c>
      <c r="I37" s="235">
        <v>56377.179999999993</v>
      </c>
      <c r="J37" s="235">
        <v>69277.51999999999</v>
      </c>
      <c r="K37" s="235">
        <v>73024.59</v>
      </c>
      <c r="L37" s="235">
        <v>59114.780000000006</v>
      </c>
      <c r="M37" s="235">
        <v>58663.48</v>
      </c>
      <c r="N37" s="235">
        <v>48494.53</v>
      </c>
      <c r="O37" s="242">
        <v>57510.200000000004</v>
      </c>
      <c r="P37" s="258">
        <f t="shared" si="0"/>
        <v>756501.75</v>
      </c>
      <c r="R37" s="235">
        <v>0</v>
      </c>
      <c r="S37" s="235">
        <v>0</v>
      </c>
      <c r="T37" s="235">
        <v>0</v>
      </c>
      <c r="U37" s="258">
        <f t="shared" si="1"/>
        <v>0</v>
      </c>
      <c r="V37" s="235">
        <v>756146.02</v>
      </c>
      <c r="W37" s="235">
        <v>0</v>
      </c>
      <c r="X37" s="258">
        <f t="shared" si="2"/>
        <v>756146.02</v>
      </c>
      <c r="Y37" s="235">
        <v>355.73000000000008</v>
      </c>
      <c r="Z37" s="235">
        <v>0</v>
      </c>
      <c r="AA37" s="258">
        <f t="shared" si="3"/>
        <v>756501.75</v>
      </c>
      <c r="AB37" s="106" t="b">
        <f t="shared" si="4"/>
        <v>1</v>
      </c>
    </row>
    <row r="38" spans="1:28">
      <c r="A38" s="179">
        <v>25</v>
      </c>
      <c r="B38" t="s">
        <v>280</v>
      </c>
      <c r="C38" t="s">
        <v>697</v>
      </c>
      <c r="D38" s="235">
        <v>-327.97000000000054</v>
      </c>
      <c r="E38" s="235">
        <v>4843.9699999999993</v>
      </c>
      <c r="F38" s="235">
        <v>4903.7900000000009</v>
      </c>
      <c r="G38" s="235">
        <v>6865.56</v>
      </c>
      <c r="H38" s="235">
        <v>5481.2800000000016</v>
      </c>
      <c r="I38" s="235">
        <v>4268.21</v>
      </c>
      <c r="J38" s="235">
        <v>7726.6500000000024</v>
      </c>
      <c r="K38" s="235">
        <v>5813.7400000000016</v>
      </c>
      <c r="L38" s="235">
        <v>6183.2300000000005</v>
      </c>
      <c r="M38" s="235">
        <v>6693.880000000001</v>
      </c>
      <c r="N38" s="235">
        <v>3107.7399999999989</v>
      </c>
      <c r="O38" s="242">
        <v>6869.4700000000012</v>
      </c>
      <c r="P38" s="258">
        <f t="shared" si="0"/>
        <v>62429.55000000001</v>
      </c>
      <c r="R38" s="235">
        <v>0</v>
      </c>
      <c r="S38" s="235">
        <v>0</v>
      </c>
      <c r="T38" s="235">
        <v>0</v>
      </c>
      <c r="U38" s="258">
        <f t="shared" si="1"/>
        <v>0</v>
      </c>
      <c r="V38" s="235">
        <v>44807.810000000005</v>
      </c>
      <c r="W38" s="235">
        <v>0</v>
      </c>
      <c r="X38" s="258">
        <f t="shared" si="2"/>
        <v>44807.810000000005</v>
      </c>
      <c r="Y38" s="235">
        <v>17621.740000000002</v>
      </c>
      <c r="Z38" s="235">
        <v>0</v>
      </c>
      <c r="AA38" s="258">
        <f t="shared" si="3"/>
        <v>62429.55</v>
      </c>
      <c r="AB38" s="106" t="b">
        <f t="shared" si="4"/>
        <v>1</v>
      </c>
    </row>
    <row r="39" spans="1:28">
      <c r="A39" s="179">
        <v>26</v>
      </c>
      <c r="B39" t="s">
        <v>255</v>
      </c>
      <c r="C39" t="s">
        <v>697</v>
      </c>
      <c r="D39" s="235">
        <v>70000.62</v>
      </c>
      <c r="E39" s="235">
        <v>107237.27</v>
      </c>
      <c r="F39" s="235">
        <v>28469.53</v>
      </c>
      <c r="G39" s="235">
        <v>96464.65</v>
      </c>
      <c r="H39" s="235">
        <v>110112.58000000002</v>
      </c>
      <c r="I39" s="235">
        <v>116454.87999999998</v>
      </c>
      <c r="J39" s="235">
        <v>111324.89</v>
      </c>
      <c r="K39" s="235">
        <v>122089.90000000001</v>
      </c>
      <c r="L39" s="235">
        <v>107847.13999999997</v>
      </c>
      <c r="M39" s="235">
        <v>98625.55</v>
      </c>
      <c r="N39" s="235">
        <v>104922.66</v>
      </c>
      <c r="O39" s="242">
        <v>109291.72</v>
      </c>
      <c r="P39" s="258">
        <f t="shared" si="0"/>
        <v>1182841.3900000001</v>
      </c>
      <c r="R39" s="235">
        <v>0</v>
      </c>
      <c r="S39" s="235">
        <v>0</v>
      </c>
      <c r="T39" s="235">
        <v>0</v>
      </c>
      <c r="U39" s="258">
        <f t="shared" si="1"/>
        <v>0</v>
      </c>
      <c r="V39" s="235">
        <v>0</v>
      </c>
      <c r="W39" s="235">
        <v>0</v>
      </c>
      <c r="X39" s="258">
        <f t="shared" si="2"/>
        <v>0</v>
      </c>
      <c r="Y39" s="235">
        <v>1182841.3900000008</v>
      </c>
      <c r="Z39" s="235">
        <v>0</v>
      </c>
      <c r="AA39" s="258">
        <f t="shared" si="3"/>
        <v>1182841.3900000008</v>
      </c>
      <c r="AB39" s="106" t="b">
        <f t="shared" si="4"/>
        <v>1</v>
      </c>
    </row>
    <row r="40" spans="1:28">
      <c r="A40" s="179">
        <v>27</v>
      </c>
      <c r="B40" t="s">
        <v>283</v>
      </c>
      <c r="C40" t="s">
        <v>697</v>
      </c>
      <c r="D40" s="235">
        <v>27326.49</v>
      </c>
      <c r="E40" s="235">
        <v>16184.659999999998</v>
      </c>
      <c r="F40" s="235">
        <v>26413.429999999997</v>
      </c>
      <c r="G40" s="235">
        <v>30479.07</v>
      </c>
      <c r="H40" s="235">
        <v>29651.82</v>
      </c>
      <c r="I40" s="235">
        <v>17219.29</v>
      </c>
      <c r="J40" s="235">
        <v>26370.260000000006</v>
      </c>
      <c r="K40" s="235">
        <v>25935.140000000003</v>
      </c>
      <c r="L40" s="235">
        <v>19499.53</v>
      </c>
      <c r="M40" s="235">
        <v>22892.689999999995</v>
      </c>
      <c r="N40" s="235">
        <v>35022.250000000007</v>
      </c>
      <c r="O40" s="242">
        <v>36885.26</v>
      </c>
      <c r="P40" s="258">
        <f t="shared" si="0"/>
        <v>313879.89000000007</v>
      </c>
      <c r="R40" s="235">
        <v>25.77</v>
      </c>
      <c r="S40" s="235">
        <v>0</v>
      </c>
      <c r="T40" s="235">
        <v>0</v>
      </c>
      <c r="U40" s="258">
        <f t="shared" si="1"/>
        <v>25.77</v>
      </c>
      <c r="V40" s="235">
        <v>313854.12</v>
      </c>
      <c r="W40" s="235">
        <v>0</v>
      </c>
      <c r="X40" s="258">
        <f t="shared" si="2"/>
        <v>313854.12</v>
      </c>
      <c r="Y40" s="235">
        <v>0</v>
      </c>
      <c r="Z40" s="235">
        <v>0</v>
      </c>
      <c r="AA40" s="258">
        <f t="shared" si="3"/>
        <v>313879.89</v>
      </c>
      <c r="AB40" s="106" t="b">
        <f t="shared" si="4"/>
        <v>1</v>
      </c>
    </row>
    <row r="41" spans="1:28">
      <c r="A41" s="179">
        <v>28</v>
      </c>
      <c r="B41" t="s">
        <v>258</v>
      </c>
      <c r="C41" t="s">
        <v>697</v>
      </c>
      <c r="D41" s="235">
        <v>5946.7800000000007</v>
      </c>
      <c r="E41" s="235">
        <v>2787.23</v>
      </c>
      <c r="F41" s="235">
        <v>6305.87</v>
      </c>
      <c r="G41" s="235">
        <v>3937.25</v>
      </c>
      <c r="H41" s="235">
        <v>3418.3</v>
      </c>
      <c r="I41" s="235">
        <v>2943.56</v>
      </c>
      <c r="J41" s="235">
        <v>-3552.46</v>
      </c>
      <c r="K41" s="235">
        <v>-16100.45</v>
      </c>
      <c r="L41" s="235">
        <v>1947.35</v>
      </c>
      <c r="M41" s="235">
        <v>934.35</v>
      </c>
      <c r="N41" s="235">
        <v>811.82999999999993</v>
      </c>
      <c r="O41" s="242">
        <v>1418.28</v>
      </c>
      <c r="P41" s="258">
        <f t="shared" si="0"/>
        <v>10797.890000000003</v>
      </c>
      <c r="R41" s="235">
        <v>0</v>
      </c>
      <c r="S41" s="235">
        <v>0</v>
      </c>
      <c r="T41" s="235">
        <v>0</v>
      </c>
      <c r="U41" s="258">
        <f t="shared" si="1"/>
        <v>0</v>
      </c>
      <c r="V41" s="235">
        <v>0</v>
      </c>
      <c r="W41" s="235">
        <v>0</v>
      </c>
      <c r="X41" s="258">
        <f t="shared" si="2"/>
        <v>0</v>
      </c>
      <c r="Y41" s="235">
        <v>10797.89</v>
      </c>
      <c r="Z41" s="235">
        <v>0</v>
      </c>
      <c r="AA41" s="258">
        <f t="shared" si="3"/>
        <v>10797.89</v>
      </c>
      <c r="AB41" s="106" t="b">
        <f t="shared" si="4"/>
        <v>1</v>
      </c>
    </row>
    <row r="42" spans="1:28">
      <c r="A42" s="179">
        <v>29</v>
      </c>
      <c r="B42" t="s">
        <v>329</v>
      </c>
      <c r="C42" t="s">
        <v>697</v>
      </c>
      <c r="D42" s="235">
        <v>909.73</v>
      </c>
      <c r="E42" s="235">
        <v>1201.8699999999999</v>
      </c>
      <c r="F42" s="235">
        <v>1236.23</v>
      </c>
      <c r="G42" s="235">
        <v>1449.8600000000001</v>
      </c>
      <c r="H42" s="235">
        <v>1393.11</v>
      </c>
      <c r="I42" s="235">
        <v>1694.8</v>
      </c>
      <c r="J42" s="235">
        <v>1385.1</v>
      </c>
      <c r="K42" s="235">
        <v>2138.11</v>
      </c>
      <c r="L42" s="235">
        <v>933.62</v>
      </c>
      <c r="M42" s="235">
        <v>2310.9</v>
      </c>
      <c r="N42" s="235">
        <v>1877.19</v>
      </c>
      <c r="O42" s="242">
        <v>3289.37</v>
      </c>
      <c r="P42" s="258">
        <f t="shared" si="0"/>
        <v>19819.89</v>
      </c>
      <c r="R42" s="235">
        <v>0</v>
      </c>
      <c r="S42" s="235">
        <v>0</v>
      </c>
      <c r="T42" s="235">
        <v>0</v>
      </c>
      <c r="U42" s="258">
        <f t="shared" si="1"/>
        <v>0</v>
      </c>
      <c r="V42" s="235">
        <v>16405.29</v>
      </c>
      <c r="W42" s="235">
        <v>0</v>
      </c>
      <c r="X42" s="258">
        <f t="shared" si="2"/>
        <v>16405.29</v>
      </c>
      <c r="Y42" s="235">
        <v>0</v>
      </c>
      <c r="Z42" s="235">
        <v>3414.6000000000004</v>
      </c>
      <c r="AA42" s="258">
        <f t="shared" si="3"/>
        <v>19819.89</v>
      </c>
      <c r="AB42" s="106" t="b">
        <f t="shared" si="4"/>
        <v>1</v>
      </c>
    </row>
    <row r="43" spans="1:28">
      <c r="A43" s="179">
        <v>30</v>
      </c>
      <c r="B43" t="s">
        <v>270</v>
      </c>
      <c r="C43" t="s">
        <v>697</v>
      </c>
      <c r="D43" s="235">
        <v>37063.060000000005</v>
      </c>
      <c r="E43" s="235">
        <v>46363.920000000006</v>
      </c>
      <c r="F43" s="235">
        <v>48742.879999999997</v>
      </c>
      <c r="G43" s="235">
        <v>46001.15</v>
      </c>
      <c r="H43" s="235">
        <v>39495.93</v>
      </c>
      <c r="I43" s="235">
        <v>48397.61</v>
      </c>
      <c r="J43" s="235">
        <v>56156.610000000008</v>
      </c>
      <c r="K43" s="235">
        <v>43974.060000000005</v>
      </c>
      <c r="L43" s="235">
        <v>57594.47</v>
      </c>
      <c r="M43" s="235">
        <v>13490.82</v>
      </c>
      <c r="N43" s="235">
        <v>30561.37</v>
      </c>
      <c r="O43" s="242">
        <v>35399.61</v>
      </c>
      <c r="P43" s="258">
        <f t="shared" si="0"/>
        <v>503241.48999999993</v>
      </c>
      <c r="R43" s="235">
        <v>122782.84999999999</v>
      </c>
      <c r="S43" s="235">
        <v>0</v>
      </c>
      <c r="T43" s="235">
        <v>0</v>
      </c>
      <c r="U43" s="258">
        <f t="shared" si="1"/>
        <v>122782.84999999999</v>
      </c>
      <c r="V43" s="235">
        <v>272214.96999999997</v>
      </c>
      <c r="W43" s="235">
        <v>0</v>
      </c>
      <c r="X43" s="258">
        <f t="shared" si="2"/>
        <v>272214.96999999997</v>
      </c>
      <c r="Y43" s="235">
        <v>18299.400000000005</v>
      </c>
      <c r="Z43" s="235">
        <v>89944.27</v>
      </c>
      <c r="AA43" s="258">
        <f t="shared" si="3"/>
        <v>503241.49</v>
      </c>
      <c r="AB43" s="106" t="b">
        <f t="shared" si="4"/>
        <v>1</v>
      </c>
    </row>
    <row r="44" spans="1:28">
      <c r="A44" s="179">
        <v>31</v>
      </c>
      <c r="B44" t="s">
        <v>288</v>
      </c>
      <c r="C44" t="s">
        <v>697</v>
      </c>
      <c r="D44" s="235">
        <v>1567.7</v>
      </c>
      <c r="E44" s="235">
        <v>1926.17</v>
      </c>
      <c r="F44" s="235">
        <v>2576.14</v>
      </c>
      <c r="G44" s="235">
        <v>1568.5700000000002</v>
      </c>
      <c r="H44" s="235">
        <v>2032.8</v>
      </c>
      <c r="I44" s="235">
        <v>1508.6499999999999</v>
      </c>
      <c r="J44" s="235">
        <v>1911.46</v>
      </c>
      <c r="K44" s="235">
        <v>1390.67</v>
      </c>
      <c r="L44" s="235">
        <v>1349.1699999999998</v>
      </c>
      <c r="M44" s="235">
        <v>1699.31</v>
      </c>
      <c r="N44" s="235">
        <v>1504.06</v>
      </c>
      <c r="O44" s="242">
        <v>1834.1399999999999</v>
      </c>
      <c r="P44" s="258">
        <f t="shared" si="0"/>
        <v>20868.84</v>
      </c>
      <c r="R44" s="235">
        <v>3979.8800000000006</v>
      </c>
      <c r="S44" s="235">
        <v>0</v>
      </c>
      <c r="T44" s="235">
        <v>0</v>
      </c>
      <c r="U44" s="258">
        <f t="shared" si="1"/>
        <v>3979.8800000000006</v>
      </c>
      <c r="V44" s="235">
        <v>13794.300000000003</v>
      </c>
      <c r="W44" s="235">
        <v>0</v>
      </c>
      <c r="X44" s="258">
        <f t="shared" si="2"/>
        <v>13794.300000000003</v>
      </c>
      <c r="Y44" s="235">
        <v>2972.5</v>
      </c>
      <c r="Z44" s="235">
        <v>122.16</v>
      </c>
      <c r="AA44" s="258">
        <f t="shared" si="3"/>
        <v>20868.840000000004</v>
      </c>
      <c r="AB44" s="106" t="b">
        <f t="shared" si="4"/>
        <v>1</v>
      </c>
    </row>
    <row r="45" spans="1:28">
      <c r="A45" s="179">
        <v>32</v>
      </c>
      <c r="B45" t="s">
        <v>26</v>
      </c>
      <c r="C45" t="s">
        <v>697</v>
      </c>
      <c r="D45" s="235">
        <v>135.81</v>
      </c>
      <c r="E45" s="235">
        <v>59.879999999999995</v>
      </c>
      <c r="F45" s="235">
        <v>188.26</v>
      </c>
      <c r="G45" s="235">
        <v>172.26</v>
      </c>
      <c r="H45" s="235">
        <v>384.96000000000004</v>
      </c>
      <c r="I45" s="235">
        <v>10.91</v>
      </c>
      <c r="J45" s="235">
        <v>33.369999999999997</v>
      </c>
      <c r="K45" s="235">
        <v>60.769999999999989</v>
      </c>
      <c r="L45" s="235">
        <v>75.290000000000006</v>
      </c>
      <c r="M45" s="235">
        <v>158.43</v>
      </c>
      <c r="N45" s="235">
        <v>0.15000000000000002</v>
      </c>
      <c r="O45" s="242">
        <v>238.69</v>
      </c>
      <c r="P45" s="258">
        <f t="shared" si="0"/>
        <v>1518.7800000000002</v>
      </c>
      <c r="R45" s="235">
        <v>0</v>
      </c>
      <c r="S45" s="235">
        <v>0</v>
      </c>
      <c r="T45" s="235">
        <v>0</v>
      </c>
      <c r="U45" s="258">
        <f t="shared" si="1"/>
        <v>0</v>
      </c>
      <c r="V45" s="235">
        <v>1518.0499999999995</v>
      </c>
      <c r="W45" s="235">
        <v>0</v>
      </c>
      <c r="X45" s="258">
        <f t="shared" si="2"/>
        <v>1518.0499999999995</v>
      </c>
      <c r="Y45" s="235">
        <v>0.73</v>
      </c>
      <c r="Z45" s="235">
        <v>0</v>
      </c>
      <c r="AA45" s="258">
        <f t="shared" si="3"/>
        <v>1518.7799999999995</v>
      </c>
      <c r="AB45" s="106" t="b">
        <f t="shared" si="4"/>
        <v>1</v>
      </c>
    </row>
    <row r="46" spans="1:28">
      <c r="A46" s="179">
        <v>33</v>
      </c>
      <c r="B46" t="s">
        <v>278</v>
      </c>
      <c r="C46" t="s">
        <v>697</v>
      </c>
      <c r="D46" s="235">
        <v>19413.759999999998</v>
      </c>
      <c r="E46" s="235">
        <v>19175.2</v>
      </c>
      <c r="F46" s="235">
        <v>10737.88</v>
      </c>
      <c r="G46" s="235">
        <v>16129.93</v>
      </c>
      <c r="H46" s="235">
        <v>16988.599999999999</v>
      </c>
      <c r="I46" s="235">
        <v>17039.66</v>
      </c>
      <c r="J46" s="235">
        <v>20186.580000000002</v>
      </c>
      <c r="K46" s="235">
        <v>17784.78</v>
      </c>
      <c r="L46" s="235">
        <v>22217.14</v>
      </c>
      <c r="M46" s="235">
        <v>16698</v>
      </c>
      <c r="N46" s="235">
        <v>16923.849999999999</v>
      </c>
      <c r="O46" s="242">
        <v>22431.91</v>
      </c>
      <c r="P46" s="258">
        <f t="shared" si="0"/>
        <v>215727.29000000004</v>
      </c>
      <c r="R46" s="235">
        <v>48495.49</v>
      </c>
      <c r="S46" s="235">
        <v>0</v>
      </c>
      <c r="T46" s="235">
        <v>0</v>
      </c>
      <c r="U46" s="258">
        <f t="shared" si="1"/>
        <v>48495.49</v>
      </c>
      <c r="V46" s="235">
        <v>129522.65000000001</v>
      </c>
      <c r="W46" s="235">
        <v>0</v>
      </c>
      <c r="X46" s="258">
        <f t="shared" si="2"/>
        <v>129522.65000000001</v>
      </c>
      <c r="Y46" s="235">
        <v>36220.620000000003</v>
      </c>
      <c r="Z46" s="235">
        <v>1488.53</v>
      </c>
      <c r="AA46" s="258">
        <f t="shared" si="3"/>
        <v>215727.29</v>
      </c>
      <c r="AB46" s="106" t="b">
        <f t="shared" si="4"/>
        <v>1</v>
      </c>
    </row>
    <row r="47" spans="1:28" ht="13.5" thickBot="1">
      <c r="A47" s="179">
        <v>34</v>
      </c>
      <c r="C47" s="194" t="s">
        <v>758</v>
      </c>
      <c r="D47" s="298">
        <f t="shared" ref="D47:P47" si="5">SUM(D14:D46)</f>
        <v>3782654.689999999</v>
      </c>
      <c r="E47" s="298">
        <f t="shared" si="5"/>
        <v>3319696.1600000006</v>
      </c>
      <c r="F47" s="298">
        <f t="shared" si="5"/>
        <v>3542166.7599999993</v>
      </c>
      <c r="G47" s="298">
        <f t="shared" si="5"/>
        <v>3574622.0599999996</v>
      </c>
      <c r="H47" s="298">
        <f t="shared" si="5"/>
        <v>3339919.7199999988</v>
      </c>
      <c r="I47" s="298">
        <f t="shared" si="5"/>
        <v>3084630.5900000003</v>
      </c>
      <c r="J47" s="298">
        <f t="shared" si="5"/>
        <v>4001734.8699999992</v>
      </c>
      <c r="K47" s="298">
        <f t="shared" si="5"/>
        <v>3343009.9499999993</v>
      </c>
      <c r="L47" s="298">
        <f t="shared" si="5"/>
        <v>3157525.8000000003</v>
      </c>
      <c r="M47" s="298">
        <f t="shared" si="5"/>
        <v>3427801.4399999995</v>
      </c>
      <c r="N47" s="298">
        <f t="shared" si="5"/>
        <v>3638610.24</v>
      </c>
      <c r="O47" s="298">
        <f t="shared" si="5"/>
        <v>4147076.7900000005</v>
      </c>
      <c r="P47" s="298">
        <f t="shared" si="5"/>
        <v>42359449.07</v>
      </c>
      <c r="R47" s="298">
        <f t="shared" ref="R47:AA47" si="6">SUM(R14:R46)</f>
        <v>5556419.669999999</v>
      </c>
      <c r="S47" s="298">
        <f t="shared" si="6"/>
        <v>0</v>
      </c>
      <c r="T47" s="298">
        <f t="shared" si="6"/>
        <v>0</v>
      </c>
      <c r="U47" s="298">
        <f t="shared" si="6"/>
        <v>5556419.669999999</v>
      </c>
      <c r="V47" s="298">
        <f t="shared" si="6"/>
        <v>29950594.440000013</v>
      </c>
      <c r="W47" s="298">
        <f t="shared" si="6"/>
        <v>0</v>
      </c>
      <c r="X47" s="298">
        <f t="shared" si="6"/>
        <v>29950594.440000013</v>
      </c>
      <c r="Y47" s="298">
        <f t="shared" si="6"/>
        <v>6757465.3999999994</v>
      </c>
      <c r="Z47" s="298">
        <f t="shared" si="6"/>
        <v>94969.560000000012</v>
      </c>
      <c r="AA47" s="298">
        <f t="shared" si="6"/>
        <v>42359449.070000015</v>
      </c>
    </row>
    <row r="48" spans="1:28" ht="13.5" thickTop="1">
      <c r="A48" s="179">
        <v>35</v>
      </c>
    </row>
    <row r="49" spans="1:28">
      <c r="A49" s="179">
        <v>36</v>
      </c>
    </row>
    <row r="50" spans="1:28">
      <c r="A50" s="179">
        <v>37</v>
      </c>
      <c r="B50" t="s">
        <v>277</v>
      </c>
      <c r="C50" t="s">
        <v>739</v>
      </c>
      <c r="D50" s="265">
        <v>51370.8</v>
      </c>
      <c r="E50" s="265">
        <v>29568.85</v>
      </c>
      <c r="F50" s="265">
        <v>29568.85</v>
      </c>
      <c r="G50" s="265">
        <v>29568.85</v>
      </c>
      <c r="H50" s="265">
        <v>29568.85</v>
      </c>
      <c r="I50" s="265">
        <v>29568.85</v>
      </c>
      <c r="J50" s="265">
        <v>29568.85</v>
      </c>
      <c r="K50" s="265">
        <v>29568.85</v>
      </c>
      <c r="L50" s="265">
        <v>29568.85</v>
      </c>
      <c r="M50" s="265">
        <v>29568.85</v>
      </c>
      <c r="N50" s="265">
        <v>29568.850000000002</v>
      </c>
      <c r="O50" s="319">
        <v>29568.85</v>
      </c>
      <c r="P50" s="320">
        <f>SUM(D50:O50)</f>
        <v>376628.14999999997</v>
      </c>
      <c r="Q50" s="265"/>
      <c r="R50" s="265">
        <v>110068.94</v>
      </c>
      <c r="S50" s="265">
        <v>0</v>
      </c>
      <c r="T50" s="265">
        <v>0</v>
      </c>
      <c r="U50" s="320">
        <f>SUM(R50:T50)</f>
        <v>110068.94</v>
      </c>
      <c r="V50" s="265">
        <v>162717.19</v>
      </c>
      <c r="W50" s="265">
        <v>0</v>
      </c>
      <c r="X50" s="320">
        <f>SUM(V50:W50)</f>
        <v>162717.19</v>
      </c>
      <c r="Y50" s="265">
        <v>40329.26</v>
      </c>
      <c r="Z50" s="265">
        <v>63512.76</v>
      </c>
      <c r="AA50" s="236">
        <f>+U50+X50+Y50+Z50</f>
        <v>376628.15</v>
      </c>
      <c r="AB50" s="106" t="b">
        <f t="shared" ref="AB50" si="7">ROUND(+AA50,2)=ROUND(P50,2)</f>
        <v>1</v>
      </c>
    </row>
    <row r="51" spans="1:28">
      <c r="A51" s="179">
        <v>38</v>
      </c>
      <c r="B51" t="s">
        <v>235</v>
      </c>
      <c r="C51" t="s">
        <v>740</v>
      </c>
      <c r="D51" s="235">
        <v>5727.66</v>
      </c>
      <c r="E51" s="235">
        <v>1770</v>
      </c>
      <c r="F51" s="235">
        <v>1770</v>
      </c>
      <c r="G51" s="235">
        <v>1770</v>
      </c>
      <c r="H51" s="235">
        <v>1770</v>
      </c>
      <c r="I51" s="235">
        <v>1770</v>
      </c>
      <c r="J51" s="235">
        <v>1770</v>
      </c>
      <c r="K51" s="235">
        <v>1770</v>
      </c>
      <c r="L51" s="235">
        <v>1770</v>
      </c>
      <c r="M51" s="235">
        <v>1770</v>
      </c>
      <c r="N51" s="235">
        <v>1770</v>
      </c>
      <c r="O51" s="302">
        <v>967.44</v>
      </c>
      <c r="P51" s="237">
        <f t="shared" ref="P51:P75" si="8">SUM(D51:O51)</f>
        <v>24395.1</v>
      </c>
      <c r="Q51" s="235"/>
      <c r="R51" s="235">
        <v>24165.200000000001</v>
      </c>
      <c r="S51" s="235">
        <v>0</v>
      </c>
      <c r="T51" s="235">
        <v>0</v>
      </c>
      <c r="U51" s="237">
        <f t="shared" ref="U51:U75" si="9">SUM(R51:T51)</f>
        <v>24165.200000000001</v>
      </c>
      <c r="V51" s="235">
        <v>227.87</v>
      </c>
      <c r="W51" s="235">
        <v>0</v>
      </c>
      <c r="X51" s="237">
        <f t="shared" ref="X51:X75" si="10">SUM(V51:W51)</f>
        <v>227.87</v>
      </c>
      <c r="Y51" s="235">
        <v>2.0299999999999998</v>
      </c>
      <c r="Z51" s="235">
        <v>0</v>
      </c>
      <c r="AA51" s="258">
        <f t="shared" ref="AA51:AA75" si="11">+U51+X51+Y51+Z51</f>
        <v>24395.1</v>
      </c>
      <c r="AB51" s="106" t="b">
        <f t="shared" ref="AB51:AB76" si="12">ROUND(+AA51,2)=ROUND(P51,2)</f>
        <v>1</v>
      </c>
    </row>
    <row r="52" spans="1:28">
      <c r="A52" s="179">
        <v>39</v>
      </c>
      <c r="B52" t="s">
        <v>235</v>
      </c>
      <c r="C52" t="s">
        <v>742</v>
      </c>
      <c r="D52" s="235">
        <v>27065.94</v>
      </c>
      <c r="E52" s="235">
        <v>9775.5</v>
      </c>
      <c r="F52" s="235">
        <v>9775.5</v>
      </c>
      <c r="G52" s="235">
        <v>9775.5</v>
      </c>
      <c r="H52" s="235">
        <v>9775.5</v>
      </c>
      <c r="I52" s="235">
        <v>9775.5</v>
      </c>
      <c r="J52" s="235">
        <v>9775.5</v>
      </c>
      <c r="K52" s="235">
        <v>9775.5</v>
      </c>
      <c r="L52" s="235">
        <v>9775.5</v>
      </c>
      <c r="M52" s="235">
        <v>9775.5</v>
      </c>
      <c r="N52" s="235">
        <v>9775.5</v>
      </c>
      <c r="O52" s="302">
        <v>9775.5</v>
      </c>
      <c r="P52" s="237">
        <f t="shared" si="8"/>
        <v>134596.44</v>
      </c>
      <c r="Q52" s="235"/>
      <c r="R52" s="235">
        <v>133328.01</v>
      </c>
      <c r="S52" s="235">
        <v>0</v>
      </c>
      <c r="T52" s="235">
        <v>0</v>
      </c>
      <c r="U52" s="237">
        <f t="shared" si="9"/>
        <v>133328.01</v>
      </c>
      <c r="V52" s="235">
        <v>1257.22</v>
      </c>
      <c r="W52" s="235">
        <v>0</v>
      </c>
      <c r="X52" s="237">
        <f t="shared" si="10"/>
        <v>1257.22</v>
      </c>
      <c r="Y52" s="235">
        <v>11.21</v>
      </c>
      <c r="Z52" s="235">
        <v>0</v>
      </c>
      <c r="AA52" s="258">
        <f t="shared" si="11"/>
        <v>134596.44</v>
      </c>
      <c r="AB52" s="106" t="b">
        <f t="shared" si="12"/>
        <v>1</v>
      </c>
    </row>
    <row r="53" spans="1:28">
      <c r="A53" s="179">
        <v>40</v>
      </c>
      <c r="B53" t="s">
        <v>235</v>
      </c>
      <c r="C53" t="s">
        <v>743</v>
      </c>
      <c r="D53" s="235">
        <v>58101.82</v>
      </c>
      <c r="E53" s="235">
        <v>58101.75</v>
      </c>
      <c r="F53" s="235">
        <v>58101.67</v>
      </c>
      <c r="G53" s="235">
        <v>59242.239999999998</v>
      </c>
      <c r="H53" s="235">
        <v>58101.7</v>
      </c>
      <c r="I53" s="235">
        <v>58101.73</v>
      </c>
      <c r="J53" s="235">
        <v>58101.69</v>
      </c>
      <c r="K53" s="235">
        <v>58101.74</v>
      </c>
      <c r="L53" s="235">
        <v>58101.68</v>
      </c>
      <c r="M53" s="235">
        <v>58101.73</v>
      </c>
      <c r="N53" s="235">
        <v>58101.67</v>
      </c>
      <c r="O53" s="302">
        <v>59504.86</v>
      </c>
      <c r="P53" s="237">
        <f t="shared" si="8"/>
        <v>699764.28</v>
      </c>
      <c r="Q53" s="235"/>
      <c r="R53" s="235">
        <v>693169.75</v>
      </c>
      <c r="S53" s="235">
        <v>0</v>
      </c>
      <c r="T53" s="235">
        <v>0</v>
      </c>
      <c r="U53" s="237">
        <f t="shared" si="9"/>
        <v>693169.75</v>
      </c>
      <c r="V53" s="235">
        <v>6536.25</v>
      </c>
      <c r="W53" s="235">
        <v>0</v>
      </c>
      <c r="X53" s="237">
        <f t="shared" si="10"/>
        <v>6536.25</v>
      </c>
      <c r="Y53" s="235">
        <v>58.28</v>
      </c>
      <c r="Z53" s="235">
        <v>0</v>
      </c>
      <c r="AA53" s="258">
        <f t="shared" si="11"/>
        <v>699764.28</v>
      </c>
      <c r="AB53" s="106" t="b">
        <f t="shared" si="12"/>
        <v>1</v>
      </c>
    </row>
    <row r="54" spans="1:28">
      <c r="A54" s="179">
        <v>41</v>
      </c>
      <c r="B54" t="s">
        <v>250</v>
      </c>
      <c r="C54" t="s">
        <v>743</v>
      </c>
      <c r="D54" s="235">
        <v>43576.37</v>
      </c>
      <c r="E54" s="235">
        <v>43576.31</v>
      </c>
      <c r="F54" s="235">
        <v>43576.25</v>
      </c>
      <c r="G54" s="235">
        <v>44431.68</v>
      </c>
      <c r="H54" s="235">
        <v>43576.27</v>
      </c>
      <c r="I54" s="235">
        <v>43576.3</v>
      </c>
      <c r="J54" s="235">
        <v>43576.27</v>
      </c>
      <c r="K54" s="235">
        <v>43576.31</v>
      </c>
      <c r="L54" s="235">
        <v>43576.26</v>
      </c>
      <c r="M54" s="235">
        <v>43576.29</v>
      </c>
      <c r="N54" s="235">
        <v>43576.26</v>
      </c>
      <c r="O54" s="302">
        <v>44628.65</v>
      </c>
      <c r="P54" s="237">
        <f t="shared" si="8"/>
        <v>524823.22</v>
      </c>
      <c r="Q54" s="235"/>
      <c r="R54" s="235">
        <v>649.04</v>
      </c>
      <c r="S54" s="235">
        <v>0</v>
      </c>
      <c r="T54" s="235">
        <v>0</v>
      </c>
      <c r="U54" s="237">
        <f t="shared" si="9"/>
        <v>649.04</v>
      </c>
      <c r="V54" s="235">
        <v>510446.04</v>
      </c>
      <c r="W54" s="235">
        <v>0</v>
      </c>
      <c r="X54" s="237">
        <f t="shared" si="10"/>
        <v>510446.04</v>
      </c>
      <c r="Y54" s="235">
        <v>13027.85</v>
      </c>
      <c r="Z54" s="235">
        <v>700.29</v>
      </c>
      <c r="AA54" s="258">
        <f t="shared" si="11"/>
        <v>524823.22</v>
      </c>
      <c r="AB54" s="106" t="b">
        <f t="shared" si="12"/>
        <v>1</v>
      </c>
    </row>
    <row r="55" spans="1:28">
      <c r="A55" s="179">
        <v>42</v>
      </c>
      <c r="B55" t="s">
        <v>288</v>
      </c>
      <c r="C55" t="s">
        <v>743</v>
      </c>
      <c r="D55" s="235">
        <v>24209.09</v>
      </c>
      <c r="E55" s="235">
        <v>24209.06</v>
      </c>
      <c r="F55" s="235">
        <v>24209.03</v>
      </c>
      <c r="G55" s="235">
        <v>24684.27</v>
      </c>
      <c r="H55" s="235">
        <v>24209.040000000001</v>
      </c>
      <c r="I55" s="235">
        <v>24209.06</v>
      </c>
      <c r="J55" s="235">
        <v>24209.040000000001</v>
      </c>
      <c r="K55" s="235">
        <v>24209.06</v>
      </c>
      <c r="L55" s="235">
        <v>24209.040000000001</v>
      </c>
      <c r="M55" s="235">
        <v>24209.05</v>
      </c>
      <c r="N55" s="235">
        <v>24209.03</v>
      </c>
      <c r="O55" s="302">
        <v>24793.689999999995</v>
      </c>
      <c r="P55" s="237">
        <f t="shared" si="8"/>
        <v>291568.46000000002</v>
      </c>
      <c r="Q55" s="235"/>
      <c r="R55" s="235">
        <v>12546.77</v>
      </c>
      <c r="S55" s="235">
        <v>0</v>
      </c>
      <c r="T55" s="235">
        <v>0</v>
      </c>
      <c r="U55" s="237">
        <f t="shared" si="9"/>
        <v>12546.77</v>
      </c>
      <c r="V55" s="235">
        <v>154684.73000000001</v>
      </c>
      <c r="W55" s="235">
        <v>0</v>
      </c>
      <c r="X55" s="237">
        <f t="shared" si="10"/>
        <v>154684.73000000001</v>
      </c>
      <c r="Y55" s="235">
        <v>10125.68</v>
      </c>
      <c r="Z55" s="235">
        <v>114211.28</v>
      </c>
      <c r="AA55" s="258">
        <f t="shared" si="11"/>
        <v>291568.45999999996</v>
      </c>
      <c r="AB55" s="106" t="b">
        <f t="shared" si="12"/>
        <v>1</v>
      </c>
    </row>
    <row r="56" spans="1:28">
      <c r="A56" s="179">
        <v>43</v>
      </c>
      <c r="B56" t="s">
        <v>246</v>
      </c>
      <c r="C56" t="s">
        <v>744</v>
      </c>
      <c r="D56" s="235">
        <v>4879.87</v>
      </c>
      <c r="E56" s="235">
        <v>9659.98</v>
      </c>
      <c r="F56" s="235">
        <v>3219.99</v>
      </c>
      <c r="G56" s="235">
        <v>3219.99</v>
      </c>
      <c r="H56" s="235">
        <v>3219.99</v>
      </c>
      <c r="I56" s="235">
        <v>3219.99</v>
      </c>
      <c r="J56" s="235">
        <v>3219.99</v>
      </c>
      <c r="K56" s="235">
        <v>3219.99</v>
      </c>
      <c r="L56" s="235">
        <v>3219.99</v>
      </c>
      <c r="M56" s="235">
        <v>3219.99</v>
      </c>
      <c r="N56" s="235">
        <v>3219.99</v>
      </c>
      <c r="O56" s="302">
        <v>2587.71</v>
      </c>
      <c r="P56" s="237">
        <f t="shared" si="8"/>
        <v>46107.469999999979</v>
      </c>
      <c r="Q56" s="235"/>
      <c r="R56" s="235">
        <v>0</v>
      </c>
      <c r="S56" s="235">
        <v>0</v>
      </c>
      <c r="T56" s="235">
        <v>0</v>
      </c>
      <c r="U56" s="237">
        <f t="shared" si="9"/>
        <v>0</v>
      </c>
      <c r="V56" s="235">
        <v>0</v>
      </c>
      <c r="W56" s="235">
        <v>0</v>
      </c>
      <c r="X56" s="237">
        <f t="shared" si="10"/>
        <v>0</v>
      </c>
      <c r="Y56" s="235">
        <v>46107.47</v>
      </c>
      <c r="Z56" s="235">
        <v>0</v>
      </c>
      <c r="AA56" s="258">
        <f t="shared" si="11"/>
        <v>46107.47</v>
      </c>
      <c r="AB56" s="106" t="b">
        <f t="shared" si="12"/>
        <v>1</v>
      </c>
    </row>
    <row r="57" spans="1:28">
      <c r="A57" s="179">
        <v>44</v>
      </c>
      <c r="B57" t="s">
        <v>258</v>
      </c>
      <c r="C57" t="s">
        <v>744</v>
      </c>
      <c r="D57" s="235">
        <v>0</v>
      </c>
      <c r="E57" s="235">
        <v>41999.909999999996</v>
      </c>
      <c r="F57" s="235">
        <v>13999.97</v>
      </c>
      <c r="G57" s="235">
        <v>13999.97</v>
      </c>
      <c r="H57" s="235">
        <v>13999.97</v>
      </c>
      <c r="I57" s="235">
        <v>13999.97</v>
      </c>
      <c r="J57" s="235">
        <v>13999.97</v>
      </c>
      <c r="K57" s="235">
        <v>13999.97</v>
      </c>
      <c r="L57" s="235">
        <v>13999.97</v>
      </c>
      <c r="M57" s="235">
        <v>13999.97</v>
      </c>
      <c r="N57" s="235">
        <v>13999.97</v>
      </c>
      <c r="O57" s="302">
        <v>13999.97</v>
      </c>
      <c r="P57" s="237">
        <f t="shared" si="8"/>
        <v>181999.61</v>
      </c>
      <c r="Q57" s="235"/>
      <c r="R57" s="235">
        <v>0</v>
      </c>
      <c r="S57" s="235">
        <v>0</v>
      </c>
      <c r="T57" s="235">
        <v>0</v>
      </c>
      <c r="U57" s="237">
        <f t="shared" si="9"/>
        <v>0</v>
      </c>
      <c r="V57" s="235">
        <v>0</v>
      </c>
      <c r="W57" s="235">
        <v>0</v>
      </c>
      <c r="X57" s="237">
        <f t="shared" si="10"/>
        <v>0</v>
      </c>
      <c r="Y57" s="235">
        <v>181999.61</v>
      </c>
      <c r="Z57" s="235">
        <v>0</v>
      </c>
      <c r="AA57" s="258">
        <f t="shared" si="11"/>
        <v>181999.61</v>
      </c>
      <c r="AB57" s="106" t="b">
        <f t="shared" si="12"/>
        <v>1</v>
      </c>
    </row>
    <row r="58" spans="1:28">
      <c r="A58" s="179">
        <v>45</v>
      </c>
      <c r="B58" t="s">
        <v>277</v>
      </c>
      <c r="C58" t="s">
        <v>744</v>
      </c>
      <c r="D58" s="235">
        <v>21216.81</v>
      </c>
      <c r="E58" s="235">
        <v>0</v>
      </c>
      <c r="F58" s="235">
        <v>0</v>
      </c>
      <c r="G58" s="235">
        <v>0</v>
      </c>
      <c r="H58" s="235">
        <v>0</v>
      </c>
      <c r="I58" s="235">
        <v>0</v>
      </c>
      <c r="J58" s="235">
        <v>0</v>
      </c>
      <c r="K58" s="235">
        <v>0</v>
      </c>
      <c r="L58" s="235">
        <v>0</v>
      </c>
      <c r="M58" s="235">
        <v>0</v>
      </c>
      <c r="N58" s="235">
        <v>0</v>
      </c>
      <c r="O58" s="302">
        <v>-2749.05</v>
      </c>
      <c r="P58" s="237">
        <f t="shared" si="8"/>
        <v>18467.760000000002</v>
      </c>
      <c r="Q58" s="235"/>
      <c r="R58" s="235">
        <v>5397.17</v>
      </c>
      <c r="S58" s="235">
        <v>0</v>
      </c>
      <c r="T58" s="235">
        <v>0</v>
      </c>
      <c r="U58" s="237">
        <f t="shared" si="9"/>
        <v>5397.17</v>
      </c>
      <c r="V58" s="235">
        <f>+P58-R58-S58-T58-W58-Y58-Z58</f>
        <v>7978.760000000002</v>
      </c>
      <c r="W58" s="235">
        <v>0</v>
      </c>
      <c r="X58" s="237">
        <f t="shared" si="10"/>
        <v>7978.760000000002</v>
      </c>
      <c r="Y58" s="235">
        <v>1977.52</v>
      </c>
      <c r="Z58" s="235">
        <v>3114.31</v>
      </c>
      <c r="AA58" s="258">
        <f t="shared" si="11"/>
        <v>18467.760000000002</v>
      </c>
      <c r="AB58" s="106" t="b">
        <f t="shared" si="12"/>
        <v>1</v>
      </c>
    </row>
    <row r="59" spans="1:28">
      <c r="A59" s="179">
        <v>46</v>
      </c>
      <c r="B59" t="s">
        <v>288</v>
      </c>
      <c r="C59" t="s">
        <v>746</v>
      </c>
      <c r="D59" s="235">
        <v>-0.02</v>
      </c>
      <c r="E59" s="235">
        <v>0.02</v>
      </c>
      <c r="F59" s="235">
        <v>-0.02</v>
      </c>
      <c r="G59" s="235">
        <v>0.02</v>
      </c>
      <c r="H59" s="235">
        <v>-0.02</v>
      </c>
      <c r="I59" s="235">
        <v>0.02</v>
      </c>
      <c r="J59" s="235">
        <v>-0.02</v>
      </c>
      <c r="K59" s="235">
        <v>0.02</v>
      </c>
      <c r="L59" s="235">
        <v>-0.02</v>
      </c>
      <c r="M59" s="235">
        <v>0.02</v>
      </c>
      <c r="N59" s="235">
        <v>-0.02</v>
      </c>
      <c r="O59" s="302">
        <v>0.02</v>
      </c>
      <c r="P59" s="237">
        <f t="shared" si="8"/>
        <v>0</v>
      </c>
      <c r="Q59" s="235"/>
      <c r="R59" s="235">
        <v>0</v>
      </c>
      <c r="S59" s="235">
        <v>0</v>
      </c>
      <c r="T59" s="235">
        <v>0</v>
      </c>
      <c r="U59" s="237">
        <f t="shared" si="9"/>
        <v>0</v>
      </c>
      <c r="V59" s="235">
        <v>0</v>
      </c>
      <c r="W59" s="235">
        <v>0</v>
      </c>
      <c r="X59" s="237">
        <f t="shared" si="10"/>
        <v>0</v>
      </c>
      <c r="Y59" s="235">
        <v>0</v>
      </c>
      <c r="Z59" s="235">
        <v>0</v>
      </c>
      <c r="AA59" s="258">
        <f t="shared" si="11"/>
        <v>0</v>
      </c>
      <c r="AB59" s="106" t="b">
        <f t="shared" si="12"/>
        <v>1</v>
      </c>
    </row>
    <row r="60" spans="1:28">
      <c r="A60" s="179">
        <v>47</v>
      </c>
      <c r="B60" t="s">
        <v>277</v>
      </c>
      <c r="C60" t="s">
        <v>761</v>
      </c>
      <c r="D60" s="235">
        <v>0</v>
      </c>
      <c r="E60" s="235">
        <v>0</v>
      </c>
      <c r="F60" s="235">
        <v>0</v>
      </c>
      <c r="G60" s="235">
        <v>0</v>
      </c>
      <c r="H60" s="235">
        <v>-700</v>
      </c>
      <c r="I60" s="235">
        <v>0</v>
      </c>
      <c r="J60" s="235">
        <v>0</v>
      </c>
      <c r="K60" s="235">
        <v>0</v>
      </c>
      <c r="L60" s="235">
        <v>0</v>
      </c>
      <c r="M60" s="235">
        <v>0</v>
      </c>
      <c r="N60" s="235">
        <v>0</v>
      </c>
      <c r="O60" s="302">
        <v>0</v>
      </c>
      <c r="P60" s="237">
        <f t="shared" si="8"/>
        <v>-700</v>
      </c>
      <c r="Q60" s="235"/>
      <c r="R60" s="235">
        <v>-204.57</v>
      </c>
      <c r="S60" s="235">
        <v>0</v>
      </c>
      <c r="T60" s="235">
        <v>0</v>
      </c>
      <c r="U60" s="237">
        <f t="shared" si="9"/>
        <v>-204.57</v>
      </c>
      <c r="V60" s="235">
        <v>-302.43</v>
      </c>
      <c r="W60" s="235">
        <v>0</v>
      </c>
      <c r="X60" s="237">
        <f t="shared" si="10"/>
        <v>-302.43</v>
      </c>
      <c r="Y60" s="235">
        <v>-74.959999999999994</v>
      </c>
      <c r="Z60" s="235">
        <v>-118.04</v>
      </c>
      <c r="AA60" s="258">
        <f t="shared" si="11"/>
        <v>-700</v>
      </c>
      <c r="AB60" s="106" t="b">
        <f t="shared" si="12"/>
        <v>1</v>
      </c>
    </row>
    <row r="61" spans="1:28">
      <c r="A61" s="179">
        <v>48</v>
      </c>
      <c r="B61" t="s">
        <v>246</v>
      </c>
      <c r="C61" t="s">
        <v>747</v>
      </c>
      <c r="D61" s="235">
        <v>8560.98</v>
      </c>
      <c r="E61" s="235">
        <v>2695.81</v>
      </c>
      <c r="F61" s="235">
        <v>2695.81</v>
      </c>
      <c r="G61" s="235">
        <v>2695.81</v>
      </c>
      <c r="H61" s="235">
        <v>2695.81</v>
      </c>
      <c r="I61" s="235">
        <v>2695.81</v>
      </c>
      <c r="J61" s="235">
        <v>2695.81</v>
      </c>
      <c r="K61" s="235">
        <v>2695.81</v>
      </c>
      <c r="L61" s="235">
        <v>2695.81</v>
      </c>
      <c r="M61" s="235">
        <v>0</v>
      </c>
      <c r="N61" s="235">
        <v>5391.62</v>
      </c>
      <c r="O61" s="302">
        <v>2884.83</v>
      </c>
      <c r="P61" s="237">
        <f t="shared" si="8"/>
        <v>38403.910000000011</v>
      </c>
      <c r="Q61" s="235"/>
      <c r="R61" s="235">
        <v>0</v>
      </c>
      <c r="S61" s="235">
        <v>0</v>
      </c>
      <c r="T61" s="235">
        <v>0</v>
      </c>
      <c r="U61" s="237">
        <f t="shared" si="9"/>
        <v>0</v>
      </c>
      <c r="V61" s="235">
        <v>0</v>
      </c>
      <c r="W61" s="235">
        <v>0</v>
      </c>
      <c r="X61" s="237">
        <f t="shared" si="10"/>
        <v>0</v>
      </c>
      <c r="Y61" s="235">
        <v>38403.910000000003</v>
      </c>
      <c r="Z61" s="235">
        <v>0</v>
      </c>
      <c r="AA61" s="258">
        <f t="shared" si="11"/>
        <v>38403.910000000003</v>
      </c>
      <c r="AB61" s="106" t="b">
        <f t="shared" si="12"/>
        <v>1</v>
      </c>
    </row>
    <row r="62" spans="1:28">
      <c r="A62" s="179">
        <v>49</v>
      </c>
      <c r="B62" t="s">
        <v>250</v>
      </c>
      <c r="C62" t="s">
        <v>747</v>
      </c>
      <c r="D62" s="235">
        <v>12556.11</v>
      </c>
      <c r="E62" s="235">
        <v>3953.86</v>
      </c>
      <c r="F62" s="235">
        <v>3953.86</v>
      </c>
      <c r="G62" s="235">
        <v>3953.86</v>
      </c>
      <c r="H62" s="235">
        <v>3953.86</v>
      </c>
      <c r="I62" s="235">
        <v>3953.86</v>
      </c>
      <c r="J62" s="235">
        <v>3953.86</v>
      </c>
      <c r="K62" s="235">
        <v>3953.86</v>
      </c>
      <c r="L62" s="235">
        <v>3953.86</v>
      </c>
      <c r="M62" s="235">
        <v>0</v>
      </c>
      <c r="N62" s="235">
        <v>7907.72</v>
      </c>
      <c r="O62" s="302">
        <v>4231.09</v>
      </c>
      <c r="P62" s="237">
        <f t="shared" si="8"/>
        <v>56325.8</v>
      </c>
      <c r="Q62" s="235"/>
      <c r="R62" s="235">
        <v>69.66</v>
      </c>
      <c r="S62" s="235">
        <v>0</v>
      </c>
      <c r="T62" s="235">
        <v>0</v>
      </c>
      <c r="U62" s="237">
        <f t="shared" si="9"/>
        <v>69.66</v>
      </c>
      <c r="V62" s="235">
        <v>54782.79</v>
      </c>
      <c r="W62" s="235">
        <v>0</v>
      </c>
      <c r="X62" s="237">
        <f t="shared" si="10"/>
        <v>54782.79</v>
      </c>
      <c r="Y62" s="235">
        <v>1398.19</v>
      </c>
      <c r="Z62" s="235">
        <v>75.16</v>
      </c>
      <c r="AA62" s="258">
        <f t="shared" si="11"/>
        <v>56325.80000000001</v>
      </c>
      <c r="AB62" s="106" t="b">
        <f t="shared" si="12"/>
        <v>1</v>
      </c>
    </row>
    <row r="63" spans="1:28">
      <c r="A63" s="179">
        <v>50</v>
      </c>
      <c r="B63" t="s">
        <v>288</v>
      </c>
      <c r="C63" t="s">
        <v>747</v>
      </c>
      <c r="D63" s="235">
        <v>7419.52</v>
      </c>
      <c r="E63" s="235">
        <v>2336.37</v>
      </c>
      <c r="F63" s="235">
        <v>2336.37</v>
      </c>
      <c r="G63" s="235">
        <v>2336.37</v>
      </c>
      <c r="H63" s="235">
        <v>2336.37</v>
      </c>
      <c r="I63" s="235">
        <v>2336.37</v>
      </c>
      <c r="J63" s="235">
        <v>2336.37</v>
      </c>
      <c r="K63" s="235">
        <v>2336.37</v>
      </c>
      <c r="L63" s="235">
        <v>2336.37</v>
      </c>
      <c r="M63" s="235">
        <v>0</v>
      </c>
      <c r="N63" s="235">
        <v>4672.74</v>
      </c>
      <c r="O63" s="302">
        <v>2500.19</v>
      </c>
      <c r="P63" s="237">
        <f t="shared" si="8"/>
        <v>33283.409999999996</v>
      </c>
      <c r="Q63" s="235"/>
      <c r="R63" s="235">
        <v>1432.25</v>
      </c>
      <c r="S63" s="235">
        <v>0</v>
      </c>
      <c r="T63" s="235">
        <v>0</v>
      </c>
      <c r="U63" s="237">
        <f t="shared" si="9"/>
        <v>1432.25</v>
      </c>
      <c r="V63" s="235">
        <v>17657.72</v>
      </c>
      <c r="W63" s="235">
        <v>0</v>
      </c>
      <c r="X63" s="237">
        <f t="shared" si="10"/>
        <v>17657.72</v>
      </c>
      <c r="Y63" s="235">
        <v>1155.8800000000001</v>
      </c>
      <c r="Z63" s="235">
        <v>13037.56</v>
      </c>
      <c r="AA63" s="258">
        <f t="shared" si="11"/>
        <v>33283.410000000003</v>
      </c>
      <c r="AB63" s="106" t="b">
        <f t="shared" si="12"/>
        <v>1</v>
      </c>
    </row>
    <row r="64" spans="1:28">
      <c r="A64" s="179">
        <v>51</v>
      </c>
      <c r="B64" t="s">
        <v>249</v>
      </c>
      <c r="C64" t="s">
        <v>748</v>
      </c>
      <c r="D64" s="235">
        <v>894.72</v>
      </c>
      <c r="E64" s="235">
        <v>600</v>
      </c>
      <c r="F64" s="235">
        <v>600</v>
      </c>
      <c r="G64" s="235">
        <v>600</v>
      </c>
      <c r="H64" s="235">
        <v>600</v>
      </c>
      <c r="I64" s="235">
        <v>600</v>
      </c>
      <c r="J64" s="235">
        <v>600</v>
      </c>
      <c r="K64" s="235">
        <v>600</v>
      </c>
      <c r="L64" s="235">
        <v>600</v>
      </c>
      <c r="M64" s="235">
        <v>600</v>
      </c>
      <c r="N64" s="235">
        <v>600</v>
      </c>
      <c r="O64" s="302">
        <v>600</v>
      </c>
      <c r="P64" s="237">
        <f t="shared" si="8"/>
        <v>7494.72</v>
      </c>
      <c r="Q64" s="235"/>
      <c r="R64" s="235">
        <v>27.87</v>
      </c>
      <c r="S64" s="235">
        <v>0</v>
      </c>
      <c r="T64" s="235">
        <v>0</v>
      </c>
      <c r="U64" s="237">
        <f t="shared" si="9"/>
        <v>27.87</v>
      </c>
      <c r="V64" s="235">
        <f>+P64-R64-S64-T64-W64-Y64-Z64</f>
        <v>7036.72</v>
      </c>
      <c r="W64" s="235">
        <v>0</v>
      </c>
      <c r="X64" s="237">
        <f t="shared" si="10"/>
        <v>7036.72</v>
      </c>
      <c r="Y64" s="235">
        <v>391.5</v>
      </c>
      <c r="Z64" s="235">
        <v>38.630000000000003</v>
      </c>
      <c r="AA64" s="258">
        <f t="shared" si="11"/>
        <v>7494.72</v>
      </c>
      <c r="AB64" s="106" t="b">
        <f t="shared" si="12"/>
        <v>1</v>
      </c>
    </row>
    <row r="65" spans="1:28">
      <c r="A65" s="179">
        <v>52</v>
      </c>
      <c r="B65" t="s">
        <v>250</v>
      </c>
      <c r="C65" t="s">
        <v>750</v>
      </c>
      <c r="D65" s="235">
        <v>14026.12</v>
      </c>
      <c r="E65" s="235">
        <v>14026.12</v>
      </c>
      <c r="F65" s="235">
        <v>5775</v>
      </c>
      <c r="G65" s="235">
        <v>5775</v>
      </c>
      <c r="H65" s="235">
        <v>0</v>
      </c>
      <c r="I65" s="235">
        <v>3413.47</v>
      </c>
      <c r="J65" s="235">
        <v>-8251.1200000000008</v>
      </c>
      <c r="K65" s="235">
        <v>0</v>
      </c>
      <c r="L65" s="235">
        <v>0</v>
      </c>
      <c r="M65" s="235">
        <v>0</v>
      </c>
      <c r="N65" s="235">
        <v>0</v>
      </c>
      <c r="O65" s="302">
        <v>0</v>
      </c>
      <c r="P65" s="237">
        <f t="shared" si="8"/>
        <v>34764.590000000004</v>
      </c>
      <c r="Q65" s="235"/>
      <c r="R65" s="235">
        <v>42.99</v>
      </c>
      <c r="S65" s="235">
        <v>0</v>
      </c>
      <c r="T65" s="235">
        <v>0</v>
      </c>
      <c r="U65" s="237">
        <f t="shared" si="9"/>
        <v>42.99</v>
      </c>
      <c r="V65" s="235">
        <v>33812.239999999998</v>
      </c>
      <c r="W65" s="235">
        <v>0</v>
      </c>
      <c r="X65" s="237">
        <f t="shared" si="10"/>
        <v>33812.239999999998</v>
      </c>
      <c r="Y65" s="235">
        <v>862.97</v>
      </c>
      <c r="Z65" s="235">
        <v>46.39</v>
      </c>
      <c r="AA65" s="258">
        <f t="shared" si="11"/>
        <v>34764.589999999997</v>
      </c>
      <c r="AB65" s="106" t="b">
        <f t="shared" si="12"/>
        <v>1</v>
      </c>
    </row>
    <row r="66" spans="1:28">
      <c r="A66" s="179">
        <v>53</v>
      </c>
      <c r="B66" t="s">
        <v>288</v>
      </c>
      <c r="C66" t="s">
        <v>750</v>
      </c>
      <c r="D66" s="235">
        <v>1602.99</v>
      </c>
      <c r="E66" s="235">
        <v>1602.99</v>
      </c>
      <c r="F66" s="235">
        <v>660</v>
      </c>
      <c r="G66" s="235">
        <v>660</v>
      </c>
      <c r="H66" s="235">
        <v>0</v>
      </c>
      <c r="I66" s="235">
        <v>390.11</v>
      </c>
      <c r="J66" s="235">
        <v>-942.99</v>
      </c>
      <c r="K66" s="235">
        <v>0</v>
      </c>
      <c r="L66" s="235">
        <v>0</v>
      </c>
      <c r="M66" s="235">
        <v>0</v>
      </c>
      <c r="N66" s="235">
        <v>0</v>
      </c>
      <c r="O66" s="302">
        <v>0</v>
      </c>
      <c r="P66" s="237">
        <f t="shared" si="8"/>
        <v>3973.0999999999995</v>
      </c>
      <c r="Q66" s="235"/>
      <c r="R66" s="235">
        <v>170.97</v>
      </c>
      <c r="S66" s="235">
        <v>0</v>
      </c>
      <c r="T66" s="235">
        <v>0</v>
      </c>
      <c r="U66" s="237">
        <f t="shared" si="9"/>
        <v>170.97</v>
      </c>
      <c r="V66" s="235">
        <v>2107.83</v>
      </c>
      <c r="W66" s="235">
        <v>0</v>
      </c>
      <c r="X66" s="237">
        <f t="shared" si="10"/>
        <v>2107.83</v>
      </c>
      <c r="Y66" s="235">
        <v>137.97999999999999</v>
      </c>
      <c r="Z66" s="235">
        <v>1556.32</v>
      </c>
      <c r="AA66" s="258">
        <f t="shared" si="11"/>
        <v>3973.0999999999995</v>
      </c>
      <c r="AB66" s="106" t="b">
        <f t="shared" si="12"/>
        <v>1</v>
      </c>
    </row>
    <row r="67" spans="1:28">
      <c r="A67" s="179">
        <v>54</v>
      </c>
      <c r="B67" t="s">
        <v>235</v>
      </c>
      <c r="C67" t="s">
        <v>751</v>
      </c>
      <c r="D67" s="235">
        <v>11414.63</v>
      </c>
      <c r="E67" s="235">
        <v>0</v>
      </c>
      <c r="F67" s="235">
        <v>0</v>
      </c>
      <c r="G67" s="235">
        <v>41360</v>
      </c>
      <c r="H67" s="235">
        <v>5170</v>
      </c>
      <c r="I67" s="235">
        <v>5170</v>
      </c>
      <c r="J67" s="235">
        <v>5170</v>
      </c>
      <c r="K67" s="235">
        <v>5170</v>
      </c>
      <c r="L67" s="235">
        <v>5170</v>
      </c>
      <c r="M67" s="235">
        <v>0</v>
      </c>
      <c r="N67" s="235">
        <v>10340</v>
      </c>
      <c r="O67" s="302">
        <v>4280.6899999999996</v>
      </c>
      <c r="P67" s="237">
        <f t="shared" si="8"/>
        <v>93245.32</v>
      </c>
      <c r="Q67" s="235"/>
      <c r="R67" s="235">
        <v>92366.58</v>
      </c>
      <c r="S67" s="235">
        <v>0</v>
      </c>
      <c r="T67" s="235">
        <v>0</v>
      </c>
      <c r="U67" s="237">
        <f t="shared" si="9"/>
        <v>92366.58</v>
      </c>
      <c r="V67" s="235">
        <v>870.97</v>
      </c>
      <c r="W67" s="235">
        <v>0</v>
      </c>
      <c r="X67" s="237">
        <f t="shared" si="10"/>
        <v>870.97</v>
      </c>
      <c r="Y67" s="235">
        <v>7.77</v>
      </c>
      <c r="Z67" s="235">
        <v>0</v>
      </c>
      <c r="AA67" s="258">
        <f t="shared" si="11"/>
        <v>93245.32</v>
      </c>
      <c r="AB67" s="106" t="b">
        <f t="shared" si="12"/>
        <v>1</v>
      </c>
    </row>
    <row r="68" spans="1:28">
      <c r="A68" s="179">
        <v>55</v>
      </c>
      <c r="B68" t="s">
        <v>250</v>
      </c>
      <c r="C68" t="s">
        <v>752</v>
      </c>
      <c r="D68" s="235">
        <v>21810.37</v>
      </c>
      <c r="E68" s="235">
        <v>0</v>
      </c>
      <c r="F68" s="235">
        <v>0</v>
      </c>
      <c r="G68" s="235">
        <v>0</v>
      </c>
      <c r="H68" s="235">
        <v>0</v>
      </c>
      <c r="I68" s="235">
        <v>3560.06</v>
      </c>
      <c r="J68" s="235">
        <v>0</v>
      </c>
      <c r="K68" s="235">
        <v>0</v>
      </c>
      <c r="L68" s="235">
        <v>-17460.37</v>
      </c>
      <c r="M68" s="235">
        <v>0</v>
      </c>
      <c r="N68" s="235">
        <v>0</v>
      </c>
      <c r="O68" s="302">
        <v>0</v>
      </c>
      <c r="P68" s="237">
        <f t="shared" si="8"/>
        <v>7910.0600000000013</v>
      </c>
      <c r="Q68" s="235"/>
      <c r="R68" s="235">
        <v>9.7799999999999994</v>
      </c>
      <c r="S68" s="235">
        <v>0</v>
      </c>
      <c r="T68" s="235">
        <v>0</v>
      </c>
      <c r="U68" s="237">
        <f t="shared" si="9"/>
        <v>9.7799999999999994</v>
      </c>
      <c r="V68" s="235">
        <f>+P68-R68-S68-T68-W68-Y68-Z68</f>
        <v>7693.380000000001</v>
      </c>
      <c r="W68" s="235">
        <v>0</v>
      </c>
      <c r="X68" s="237">
        <f t="shared" si="10"/>
        <v>7693.380000000001</v>
      </c>
      <c r="Y68" s="235">
        <v>196.35</v>
      </c>
      <c r="Z68" s="235">
        <v>10.55</v>
      </c>
      <c r="AA68" s="258">
        <f t="shared" si="11"/>
        <v>7910.0600000000013</v>
      </c>
      <c r="AB68" s="106" t="b">
        <f t="shared" si="12"/>
        <v>1</v>
      </c>
    </row>
    <row r="69" spans="1:28">
      <c r="A69" s="179">
        <v>56</v>
      </c>
      <c r="B69" t="s">
        <v>288</v>
      </c>
      <c r="C69" t="s">
        <v>752</v>
      </c>
      <c r="D69" s="235">
        <v>2617.2399999999998</v>
      </c>
      <c r="E69" s="235">
        <v>0</v>
      </c>
      <c r="F69" s="235">
        <v>0</v>
      </c>
      <c r="G69" s="235">
        <v>0</v>
      </c>
      <c r="H69" s="235">
        <v>0</v>
      </c>
      <c r="I69" s="235">
        <v>427.21</v>
      </c>
      <c r="J69" s="235">
        <v>0</v>
      </c>
      <c r="K69" s="235">
        <v>0</v>
      </c>
      <c r="L69" s="235">
        <v>-2095.2399999999998</v>
      </c>
      <c r="M69" s="235">
        <v>0</v>
      </c>
      <c r="N69" s="235">
        <v>0</v>
      </c>
      <c r="O69" s="302">
        <v>0</v>
      </c>
      <c r="P69" s="237">
        <f t="shared" si="8"/>
        <v>949.21</v>
      </c>
      <c r="Q69" s="235"/>
      <c r="R69" s="235">
        <v>40.85</v>
      </c>
      <c r="S69" s="235">
        <v>0</v>
      </c>
      <c r="T69" s="235">
        <v>0</v>
      </c>
      <c r="U69" s="237">
        <f t="shared" si="9"/>
        <v>40.85</v>
      </c>
      <c r="V69" s="235">
        <v>503.58</v>
      </c>
      <c r="W69" s="235">
        <v>0</v>
      </c>
      <c r="X69" s="237">
        <f t="shared" si="10"/>
        <v>503.58</v>
      </c>
      <c r="Y69" s="235">
        <v>32.96</v>
      </c>
      <c r="Z69" s="235">
        <v>371.82</v>
      </c>
      <c r="AA69" s="258">
        <f t="shared" si="11"/>
        <v>949.21</v>
      </c>
      <c r="AB69" s="106" t="b">
        <f t="shared" si="12"/>
        <v>1</v>
      </c>
    </row>
    <row r="70" spans="1:28">
      <c r="A70" s="179">
        <v>57</v>
      </c>
      <c r="B70" t="s">
        <v>246</v>
      </c>
      <c r="C70" t="s">
        <v>753</v>
      </c>
      <c r="D70" s="235">
        <v>1613.66</v>
      </c>
      <c r="E70" s="235">
        <v>810</v>
      </c>
      <c r="F70" s="235">
        <v>810</v>
      </c>
      <c r="G70" s="235">
        <v>810</v>
      </c>
      <c r="H70" s="235">
        <v>810</v>
      </c>
      <c r="I70" s="235">
        <v>810</v>
      </c>
      <c r="J70" s="235">
        <v>810</v>
      </c>
      <c r="K70" s="235">
        <v>810</v>
      </c>
      <c r="L70" s="235">
        <v>810</v>
      </c>
      <c r="M70" s="235">
        <v>2494.8000000000002</v>
      </c>
      <c r="N70" s="235">
        <v>1652.4</v>
      </c>
      <c r="O70" s="302">
        <v>797.1</v>
      </c>
      <c r="P70" s="237">
        <f t="shared" si="8"/>
        <v>13037.96</v>
      </c>
      <c r="Q70" s="235"/>
      <c r="R70" s="235">
        <v>0</v>
      </c>
      <c r="S70" s="235">
        <v>0</v>
      </c>
      <c r="T70" s="235">
        <v>0</v>
      </c>
      <c r="U70" s="237">
        <f t="shared" si="9"/>
        <v>0</v>
      </c>
      <c r="V70" s="235">
        <v>0</v>
      </c>
      <c r="W70" s="235">
        <v>0</v>
      </c>
      <c r="X70" s="237">
        <f t="shared" si="10"/>
        <v>0</v>
      </c>
      <c r="Y70" s="235">
        <v>13037.96</v>
      </c>
      <c r="Z70" s="235">
        <v>0</v>
      </c>
      <c r="AA70" s="258">
        <f t="shared" si="11"/>
        <v>13037.96</v>
      </c>
      <c r="AB70" s="106" t="b">
        <f t="shared" si="12"/>
        <v>1</v>
      </c>
    </row>
    <row r="71" spans="1:28">
      <c r="A71" s="179">
        <v>58</v>
      </c>
      <c r="B71" t="s">
        <v>250</v>
      </c>
      <c r="C71" t="s">
        <v>753</v>
      </c>
      <c r="D71" s="235">
        <v>5558.15</v>
      </c>
      <c r="E71" s="235">
        <v>2790</v>
      </c>
      <c r="F71" s="235">
        <v>2790</v>
      </c>
      <c r="G71" s="235">
        <v>2790</v>
      </c>
      <c r="H71" s="235">
        <v>2790</v>
      </c>
      <c r="I71" s="235">
        <v>2790</v>
      </c>
      <c r="J71" s="235">
        <v>2790</v>
      </c>
      <c r="K71" s="235">
        <v>2790</v>
      </c>
      <c r="L71" s="235">
        <v>2790</v>
      </c>
      <c r="M71" s="235">
        <v>8593.2000000000007</v>
      </c>
      <c r="N71" s="235">
        <v>5691.6</v>
      </c>
      <c r="O71" s="302">
        <v>2745.56</v>
      </c>
      <c r="P71" s="237">
        <f t="shared" si="8"/>
        <v>44908.51</v>
      </c>
      <c r="Q71" s="235"/>
      <c r="R71" s="235">
        <v>55.54</v>
      </c>
      <c r="S71" s="235">
        <v>0</v>
      </c>
      <c r="T71" s="235">
        <v>0</v>
      </c>
      <c r="U71" s="237">
        <f t="shared" si="9"/>
        <v>55.54</v>
      </c>
      <c r="V71" s="235">
        <v>43678.27</v>
      </c>
      <c r="W71" s="235">
        <v>0</v>
      </c>
      <c r="X71" s="237">
        <f t="shared" si="10"/>
        <v>43678.27</v>
      </c>
      <c r="Y71" s="235">
        <v>1114.78</v>
      </c>
      <c r="Z71" s="235">
        <v>59.92</v>
      </c>
      <c r="AA71" s="258">
        <f t="shared" si="11"/>
        <v>44908.509999999995</v>
      </c>
      <c r="AB71" s="106" t="b">
        <f t="shared" si="12"/>
        <v>1</v>
      </c>
    </row>
    <row r="72" spans="1:28">
      <c r="A72" s="179">
        <v>59</v>
      </c>
      <c r="B72" t="s">
        <v>236</v>
      </c>
      <c r="C72" t="s">
        <v>760</v>
      </c>
      <c r="D72" s="235">
        <v>4410</v>
      </c>
      <c r="E72" s="235">
        <v>4410</v>
      </c>
      <c r="F72" s="235">
        <v>4410</v>
      </c>
      <c r="G72" s="235">
        <v>4410</v>
      </c>
      <c r="H72" s="235">
        <v>4410</v>
      </c>
      <c r="I72" s="235">
        <v>4410</v>
      </c>
      <c r="J72" s="235">
        <v>4410</v>
      </c>
      <c r="K72" s="235">
        <v>4410</v>
      </c>
      <c r="L72" s="235">
        <v>4410</v>
      </c>
      <c r="M72" s="235">
        <v>4410</v>
      </c>
      <c r="N72" s="235">
        <v>4410</v>
      </c>
      <c r="O72" s="302">
        <v>4410</v>
      </c>
      <c r="P72" s="237">
        <f t="shared" si="8"/>
        <v>52920</v>
      </c>
      <c r="Q72" s="235"/>
      <c r="R72" s="235">
        <v>52920</v>
      </c>
      <c r="S72" s="235">
        <v>0</v>
      </c>
      <c r="T72" s="235">
        <v>0</v>
      </c>
      <c r="U72" s="237">
        <f t="shared" si="9"/>
        <v>52920</v>
      </c>
      <c r="V72" s="235">
        <v>0</v>
      </c>
      <c r="W72" s="235">
        <v>0</v>
      </c>
      <c r="X72" s="237">
        <f t="shared" si="10"/>
        <v>0</v>
      </c>
      <c r="Y72" s="235">
        <v>0</v>
      </c>
      <c r="Z72" s="235">
        <v>0</v>
      </c>
      <c r="AA72" s="258">
        <f t="shared" si="11"/>
        <v>52920</v>
      </c>
      <c r="AB72" s="106" t="b">
        <f t="shared" si="12"/>
        <v>1</v>
      </c>
    </row>
    <row r="73" spans="1:28">
      <c r="A73" s="179">
        <v>60</v>
      </c>
      <c r="B73" t="s">
        <v>284</v>
      </c>
      <c r="C73" t="s">
        <v>756</v>
      </c>
      <c r="D73" s="235">
        <v>881.12</v>
      </c>
      <c r="E73" s="235">
        <v>881.12</v>
      </c>
      <c r="F73" s="235">
        <v>881.12</v>
      </c>
      <c r="G73" s="235">
        <v>881.12</v>
      </c>
      <c r="H73" s="235">
        <v>881.12</v>
      </c>
      <c r="I73" s="235">
        <v>881.12</v>
      </c>
      <c r="J73" s="235">
        <v>881.12</v>
      </c>
      <c r="K73" s="235">
        <v>881.12</v>
      </c>
      <c r="L73" s="235">
        <v>907.55</v>
      </c>
      <c r="M73" s="235">
        <v>907.55</v>
      </c>
      <c r="N73" s="235">
        <v>907.55</v>
      </c>
      <c r="O73" s="302">
        <v>907.55</v>
      </c>
      <c r="P73" s="237">
        <f t="shared" si="8"/>
        <v>10679.159999999998</v>
      </c>
      <c r="Q73" s="235"/>
      <c r="R73" s="235">
        <v>0</v>
      </c>
      <c r="S73" s="235">
        <v>0</v>
      </c>
      <c r="T73" s="235">
        <v>0</v>
      </c>
      <c r="U73" s="237">
        <f t="shared" si="9"/>
        <v>0</v>
      </c>
      <c r="V73" s="235">
        <v>0</v>
      </c>
      <c r="W73" s="235">
        <v>0</v>
      </c>
      <c r="X73" s="237">
        <f t="shared" si="10"/>
        <v>0</v>
      </c>
      <c r="Y73" s="235">
        <v>4381.04</v>
      </c>
      <c r="Z73" s="235">
        <v>6298.12</v>
      </c>
      <c r="AA73" s="258">
        <f t="shared" si="11"/>
        <v>10679.16</v>
      </c>
      <c r="AB73" s="106" t="b">
        <f t="shared" si="12"/>
        <v>1</v>
      </c>
    </row>
    <row r="74" spans="1:28">
      <c r="A74" s="179">
        <v>61</v>
      </c>
      <c r="B74" t="s">
        <v>249</v>
      </c>
      <c r="C74" t="s">
        <v>757</v>
      </c>
      <c r="D74" s="235">
        <v>35347.58</v>
      </c>
      <c r="E74" s="235">
        <v>6630</v>
      </c>
      <c r="F74" s="235">
        <v>6630</v>
      </c>
      <c r="G74" s="235">
        <v>6630</v>
      </c>
      <c r="H74" s="235">
        <v>6630</v>
      </c>
      <c r="I74" s="235">
        <v>6630</v>
      </c>
      <c r="J74" s="235">
        <v>13260</v>
      </c>
      <c r="K74" s="235">
        <v>6630</v>
      </c>
      <c r="L74" s="235">
        <v>6630</v>
      </c>
      <c r="M74" s="235">
        <v>6630</v>
      </c>
      <c r="N74" s="235">
        <v>6630</v>
      </c>
      <c r="O74" s="302">
        <v>2556.91</v>
      </c>
      <c r="P74" s="237">
        <f t="shared" si="8"/>
        <v>110834.49</v>
      </c>
      <c r="Q74" s="235"/>
      <c r="R74" s="235">
        <v>412.21</v>
      </c>
      <c r="S74" s="235">
        <v>0</v>
      </c>
      <c r="T74" s="235">
        <v>0</v>
      </c>
      <c r="U74" s="237">
        <f t="shared" si="9"/>
        <v>412.21</v>
      </c>
      <c r="V74" s="235">
        <v>104061.35</v>
      </c>
      <c r="W74" s="235">
        <v>0</v>
      </c>
      <c r="X74" s="237">
        <f t="shared" si="10"/>
        <v>104061.35</v>
      </c>
      <c r="Y74" s="235">
        <v>5789.67</v>
      </c>
      <c r="Z74" s="235">
        <v>571.26</v>
      </c>
      <c r="AA74" s="258">
        <f t="shared" si="11"/>
        <v>110834.49</v>
      </c>
      <c r="AB74" s="106" t="b">
        <f t="shared" si="12"/>
        <v>1</v>
      </c>
    </row>
    <row r="75" spans="1:28">
      <c r="A75" s="179">
        <v>62</v>
      </c>
      <c r="B75" t="s">
        <v>288</v>
      </c>
      <c r="C75" t="s">
        <v>757</v>
      </c>
      <c r="D75" s="235">
        <v>4531.74</v>
      </c>
      <c r="E75" s="235">
        <v>850</v>
      </c>
      <c r="F75" s="235">
        <v>850</v>
      </c>
      <c r="G75" s="235">
        <v>850</v>
      </c>
      <c r="H75" s="235">
        <v>850</v>
      </c>
      <c r="I75" s="235">
        <v>850</v>
      </c>
      <c r="J75" s="235">
        <v>1700</v>
      </c>
      <c r="K75" s="235">
        <v>850</v>
      </c>
      <c r="L75" s="235">
        <v>850</v>
      </c>
      <c r="M75" s="235">
        <v>850</v>
      </c>
      <c r="N75" s="235">
        <v>850</v>
      </c>
      <c r="O75" s="302">
        <v>327.81</v>
      </c>
      <c r="P75" s="237">
        <f t="shared" si="8"/>
        <v>14209.55</v>
      </c>
      <c r="Q75" s="235"/>
      <c r="R75" s="235">
        <v>611.47</v>
      </c>
      <c r="S75" s="235">
        <v>0</v>
      </c>
      <c r="T75" s="235">
        <v>0</v>
      </c>
      <c r="U75" s="237">
        <f t="shared" si="9"/>
        <v>611.47</v>
      </c>
      <c r="V75" s="235">
        <v>7538.54</v>
      </c>
      <c r="W75" s="235">
        <v>0</v>
      </c>
      <c r="X75" s="237">
        <f t="shared" si="10"/>
        <v>7538.54</v>
      </c>
      <c r="Y75" s="235">
        <v>493.47</v>
      </c>
      <c r="Z75" s="235">
        <v>5566.07</v>
      </c>
      <c r="AA75" s="258">
        <f t="shared" si="11"/>
        <v>14209.55</v>
      </c>
      <c r="AB75" s="106" t="b">
        <f t="shared" si="12"/>
        <v>1</v>
      </c>
    </row>
    <row r="76" spans="1:28" ht="13.5" thickBot="1">
      <c r="A76" s="179">
        <v>63</v>
      </c>
      <c r="C76" s="194" t="s">
        <v>759</v>
      </c>
      <c r="D76" s="298">
        <f t="shared" ref="D76:P76" si="13">SUM(D50:D75)</f>
        <v>369393.26999999996</v>
      </c>
      <c r="E76" s="298">
        <f t="shared" si="13"/>
        <v>260247.64999999997</v>
      </c>
      <c r="F76" s="298">
        <f t="shared" si="13"/>
        <v>216613.39999999997</v>
      </c>
      <c r="G76" s="298">
        <f t="shared" si="13"/>
        <v>260444.67999999993</v>
      </c>
      <c r="H76" s="298">
        <f t="shared" si="13"/>
        <v>214648.45999999996</v>
      </c>
      <c r="I76" s="298">
        <f t="shared" si="13"/>
        <v>223139.42999999993</v>
      </c>
      <c r="J76" s="298">
        <f t="shared" si="13"/>
        <v>213634.34</v>
      </c>
      <c r="K76" s="298">
        <f t="shared" si="13"/>
        <v>215348.59999999995</v>
      </c>
      <c r="L76" s="298">
        <f t="shared" si="13"/>
        <v>195819.25</v>
      </c>
      <c r="M76" s="298">
        <f t="shared" si="13"/>
        <v>208706.94999999995</v>
      </c>
      <c r="N76" s="298">
        <f t="shared" si="13"/>
        <v>233274.87999999998</v>
      </c>
      <c r="O76" s="298">
        <f t="shared" si="13"/>
        <v>209319.36999999997</v>
      </c>
      <c r="P76" s="298">
        <f t="shared" si="13"/>
        <v>2820590.28</v>
      </c>
      <c r="R76" s="298">
        <f t="shared" ref="R76:AA76" si="14">SUM(R50:R75)</f>
        <v>1127280.4800000002</v>
      </c>
      <c r="S76" s="298">
        <f t="shared" si="14"/>
        <v>0</v>
      </c>
      <c r="T76" s="298">
        <f t="shared" si="14"/>
        <v>0</v>
      </c>
      <c r="U76" s="298">
        <f t="shared" si="14"/>
        <v>1127280.4800000002</v>
      </c>
      <c r="V76" s="298">
        <f t="shared" si="14"/>
        <v>1123289.0199999998</v>
      </c>
      <c r="W76" s="298">
        <f t="shared" si="14"/>
        <v>0</v>
      </c>
      <c r="X76" s="298">
        <f t="shared" si="14"/>
        <v>1123289.0199999998</v>
      </c>
      <c r="Y76" s="298">
        <f t="shared" si="14"/>
        <v>360968.37999999995</v>
      </c>
      <c r="Z76" s="298">
        <f t="shared" si="14"/>
        <v>209052.40000000005</v>
      </c>
      <c r="AA76" s="298">
        <f t="shared" si="14"/>
        <v>2820590.28</v>
      </c>
      <c r="AB76" s="106" t="b">
        <f t="shared" si="12"/>
        <v>1</v>
      </c>
    </row>
    <row r="77" spans="1:28" ht="13.5" thickTop="1">
      <c r="A77" s="179"/>
    </row>
  </sheetData>
  <printOptions horizontalCentered="1"/>
  <pageMargins left="0.5" right="0.5" top="2.25" bottom="0.5" header="1.5" footer="0.5"/>
  <pageSetup scale="53" fitToWidth="2" fitToHeight="0" pageOrder="overThenDown" orientation="landscape"/>
  <headerFooter alignWithMargins="0">
    <oddHeader>&amp;R&amp;"Arial,Bold"Schedule &amp;A
Page &amp;P of &amp;N&amp;C&amp;B
2025 RATE CASE
ONCOR ELECTRIC DELIVERY COMPANY LLC
II-D-2.9  RENTS AND LEASES - MONTHLY LEASE AMOUNT AND PAYMENT - 2023
TEST YEAR ENDING DECEMBER 31, 2024
SPONSOR: R. PRACHYL</oddHeader>
  </headerFooter>
  <rowBreaks count="1" manualBreakCount="1">
    <brk id="48" min="3" max="26" man="1"/>
  </rowBreaks>
  <colBreaks count="1" manualBreakCount="1">
    <brk id="16" min="13" max="8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1">
    <tabColor rgb="FFFF0000"/>
  </sheetPr>
  <dimension ref="A1:AC84"/>
  <sheetViews>
    <sheetView zoomScale="85" zoomScaleNormal="85" workbookViewId="0">
      <pane xSplit="3" ySplit="12" topLeftCell="D13" activePane="bottomRight" state="frozen"/>
      <selection activeCell="D50" sqref="D50"/>
      <selection pane="topRight" activeCell="D50" sqref="D50"/>
      <selection pane="bottomLeft" activeCell="D50" sqref="D50"/>
      <selection pane="bottomRight" activeCell="J12" sqref="J12"/>
    </sheetView>
  </sheetViews>
  <sheetFormatPr defaultRowHeight="12.75"/>
  <cols>
    <col min="1" max="1" width="6.28515625" customWidth="1"/>
    <col min="2" max="2" width="9.5703125" customWidth="1"/>
    <col min="3" max="3" width="40.28515625" bestFit="1" customWidth="1"/>
    <col min="4" max="4" width="13" style="66" bestFit="1" customWidth="1"/>
    <col min="5" max="5" width="15.140625" style="66" bestFit="1" customWidth="1"/>
    <col min="6" max="6" width="14.5703125" style="66" bestFit="1" customWidth="1"/>
    <col min="7" max="7" width="13.5703125" style="66" bestFit="1" customWidth="1"/>
    <col min="8" max="8" width="13.42578125" style="66" bestFit="1" customWidth="1"/>
    <col min="9" max="9" width="14.5703125" style="66" bestFit="1" customWidth="1"/>
    <col min="10" max="14" width="14.42578125" style="66" bestFit="1" customWidth="1"/>
    <col min="15" max="15" width="14.42578125" style="14" bestFit="1" customWidth="1"/>
    <col min="16" max="16" width="15.5703125" style="66" bestFit="1" customWidth="1"/>
    <col min="17" max="17" width="2.7109375" style="66" customWidth="1"/>
    <col min="18" max="18" width="11.5703125" style="66" bestFit="1" customWidth="1"/>
    <col min="19" max="21" width="11.5703125" style="66" customWidth="1"/>
    <col min="22" max="22" width="12.5703125" style="66" bestFit="1" customWidth="1"/>
    <col min="23" max="24" width="12.5703125" style="66" customWidth="1"/>
    <col min="25" max="25" width="11.5703125" style="66" bestFit="1" customWidth="1"/>
    <col min="26" max="26" width="12.5703125" style="66" customWidth="1"/>
    <col min="27" max="27" width="12.5703125" bestFit="1" customWidth="1"/>
    <col min="28" max="28" width="10.28515625" bestFit="1" customWidth="1"/>
  </cols>
  <sheetData>
    <row r="1" spans="1:29">
      <c r="A1" s="5" t="str">
        <f>+'[3]Input Data'!$A$9</f>
        <v>2025 RATE CASE</v>
      </c>
      <c r="Q1"/>
      <c r="R1"/>
      <c r="S1"/>
      <c r="T1"/>
      <c r="U1"/>
      <c r="V1"/>
      <c r="W1"/>
      <c r="X1"/>
      <c r="Y1"/>
      <c r="Z1"/>
    </row>
    <row r="2" spans="1:29">
      <c r="A2" s="8" t="str">
        <f>+'[3]Input Data'!$A$2</f>
        <v>ONCOR ELECTRIC DELIVERY COMPANY LLC</v>
      </c>
      <c r="Q2"/>
      <c r="R2"/>
      <c r="S2"/>
      <c r="T2"/>
      <c r="U2"/>
      <c r="V2"/>
      <c r="W2"/>
      <c r="X2"/>
      <c r="Y2"/>
      <c r="Z2"/>
    </row>
    <row r="3" spans="1:29">
      <c r="A3" s="7" t="str">
        <f>CONCATENATE('[3]Schedule Sponsors'!$A$67,'[3]Schedule Sponsors'!$B$67," - MONTHLY LEASE AMOUNT AND PAYMENT - 2022")</f>
        <v>II-D-2.9  RENTS AND LEASES - MONTHLY LEASE AMOUNT AND PAYMENT - 2022</v>
      </c>
      <c r="Q3"/>
      <c r="R3"/>
      <c r="S3"/>
      <c r="T3"/>
      <c r="U3"/>
      <c r="V3"/>
      <c r="W3"/>
      <c r="X3"/>
      <c r="Y3"/>
      <c r="Z3"/>
    </row>
    <row r="4" spans="1:29">
      <c r="A4" s="63" t="str">
        <f>+'[3]Input Data'!$A$4</f>
        <v>TEST YEAR ENDING DECEMBER 31, 2024</v>
      </c>
      <c r="Q4"/>
      <c r="R4"/>
      <c r="S4"/>
      <c r="T4"/>
      <c r="U4"/>
      <c r="V4"/>
      <c r="W4"/>
      <c r="X4"/>
      <c r="Y4"/>
      <c r="Z4"/>
    </row>
    <row r="5" spans="1:29">
      <c r="A5" s="7" t="str">
        <f>CONCATENATE("SPONSOR: ",'[3]Schedule Sponsors'!$D$67)</f>
        <v>SPONSOR: R. PRACHYL</v>
      </c>
      <c r="Q5"/>
      <c r="R5"/>
      <c r="S5"/>
      <c r="T5"/>
      <c r="U5"/>
      <c r="V5"/>
      <c r="W5"/>
      <c r="X5"/>
      <c r="Y5"/>
      <c r="Z5"/>
    </row>
    <row r="6" spans="1:29">
      <c r="Q6"/>
      <c r="R6"/>
      <c r="S6"/>
      <c r="T6"/>
      <c r="U6"/>
      <c r="V6"/>
      <c r="W6"/>
      <c r="X6"/>
      <c r="Y6"/>
      <c r="Z6"/>
    </row>
    <row r="7" spans="1:29">
      <c r="Q7"/>
      <c r="R7"/>
      <c r="S7"/>
      <c r="T7"/>
      <c r="U7"/>
      <c r="V7"/>
      <c r="W7"/>
      <c r="X7"/>
      <c r="Y7"/>
      <c r="Z7"/>
    </row>
    <row r="8" spans="1:29">
      <c r="Q8"/>
      <c r="R8"/>
      <c r="S8"/>
      <c r="T8"/>
      <c r="U8"/>
      <c r="V8"/>
      <c r="W8"/>
      <c r="X8"/>
      <c r="Y8"/>
      <c r="Z8"/>
    </row>
    <row r="9" spans="1:29">
      <c r="Q9"/>
      <c r="R9"/>
      <c r="S9"/>
      <c r="T9"/>
      <c r="U9"/>
      <c r="V9"/>
      <c r="W9"/>
      <c r="X9"/>
      <c r="Y9"/>
      <c r="Z9"/>
    </row>
    <row r="10" spans="1:29" s="137" customFormat="1">
      <c r="A10" s="270" t="s">
        <v>87</v>
      </c>
      <c r="C10" s="214" t="s">
        <v>594</v>
      </c>
      <c r="D10" s="146"/>
      <c r="E10" s="146"/>
      <c r="F10" s="146"/>
      <c r="G10" s="146"/>
      <c r="H10" s="146"/>
      <c r="I10" s="146"/>
      <c r="J10" s="146"/>
      <c r="K10" s="146"/>
      <c r="L10" s="146"/>
      <c r="M10" s="146"/>
      <c r="N10" s="146"/>
      <c r="O10" s="272"/>
      <c r="P10" s="146"/>
      <c r="R10" s="214"/>
      <c r="S10" s="214" t="s">
        <v>617</v>
      </c>
      <c r="T10" s="214" t="s">
        <v>623</v>
      </c>
      <c r="U10" s="214" t="s">
        <v>618</v>
      </c>
      <c r="V10" s="214"/>
      <c r="W10" s="214" t="s">
        <v>617</v>
      </c>
      <c r="X10" s="214" t="s">
        <v>618</v>
      </c>
      <c r="Y10" s="214"/>
      <c r="Z10" s="214"/>
      <c r="AA10" s="214"/>
    </row>
    <row r="11" spans="1:29" s="270" customFormat="1">
      <c r="A11" s="270" t="s">
        <v>121</v>
      </c>
      <c r="B11" s="270" t="s">
        <v>212</v>
      </c>
      <c r="C11" s="270" t="s">
        <v>208</v>
      </c>
      <c r="D11" s="273" t="s">
        <v>99</v>
      </c>
      <c r="E11" s="273" t="s">
        <v>100</v>
      </c>
      <c r="F11" s="273" t="s">
        <v>101</v>
      </c>
      <c r="G11" s="273" t="s">
        <v>102</v>
      </c>
      <c r="H11" s="273" t="s">
        <v>20</v>
      </c>
      <c r="I11" s="273" t="s">
        <v>103</v>
      </c>
      <c r="J11" s="273" t="s">
        <v>104</v>
      </c>
      <c r="K11" s="273" t="s">
        <v>105</v>
      </c>
      <c r="L11" s="273" t="s">
        <v>106</v>
      </c>
      <c r="M11" s="273" t="s">
        <v>107</v>
      </c>
      <c r="N11" s="273" t="s">
        <v>108</v>
      </c>
      <c r="O11" s="273" t="s">
        <v>109</v>
      </c>
      <c r="P11" s="274" t="s">
        <v>326</v>
      </c>
      <c r="R11" s="142" t="s">
        <v>292</v>
      </c>
      <c r="S11" s="142" t="s">
        <v>292</v>
      </c>
      <c r="T11" s="142" t="s">
        <v>624</v>
      </c>
      <c r="U11" s="142" t="s">
        <v>292</v>
      </c>
      <c r="V11" s="142" t="s">
        <v>293</v>
      </c>
      <c r="W11" s="142" t="s">
        <v>293</v>
      </c>
      <c r="X11" s="142" t="s">
        <v>293</v>
      </c>
      <c r="Y11" s="142" t="s">
        <v>281</v>
      </c>
      <c r="Z11" s="142" t="s">
        <v>126</v>
      </c>
      <c r="AA11" s="142" t="s">
        <v>215</v>
      </c>
    </row>
    <row r="12" spans="1:29" s="270" customFormat="1">
      <c r="A12" s="275"/>
      <c r="B12" s="275" t="s">
        <v>44</v>
      </c>
      <c r="C12" s="275" t="s">
        <v>45</v>
      </c>
      <c r="D12" s="276" t="s">
        <v>74</v>
      </c>
      <c r="E12" s="276" t="s">
        <v>75</v>
      </c>
      <c r="F12" s="276" t="s">
        <v>76</v>
      </c>
      <c r="G12" s="276" t="s">
        <v>77</v>
      </c>
      <c r="H12" s="277" t="s">
        <v>78</v>
      </c>
      <c r="I12" s="277" t="s">
        <v>79</v>
      </c>
      <c r="J12" s="277" t="s">
        <v>80</v>
      </c>
      <c r="K12" s="277" t="s">
        <v>81</v>
      </c>
      <c r="L12" s="277" t="s">
        <v>82</v>
      </c>
      <c r="M12" s="277" t="s">
        <v>83</v>
      </c>
      <c r="N12" s="277" t="s">
        <v>84</v>
      </c>
      <c r="O12" s="277" t="s">
        <v>85</v>
      </c>
      <c r="P12" s="277" t="s">
        <v>86</v>
      </c>
      <c r="Q12" s="275"/>
      <c r="R12" s="278" t="s">
        <v>254</v>
      </c>
      <c r="S12" s="278" t="s">
        <v>128</v>
      </c>
      <c r="T12" s="278" t="s">
        <v>23</v>
      </c>
      <c r="U12" s="278" t="s">
        <v>24</v>
      </c>
      <c r="V12" s="278" t="s">
        <v>136</v>
      </c>
      <c r="W12" s="278" t="s">
        <v>68</v>
      </c>
      <c r="X12" s="278" t="s">
        <v>619</v>
      </c>
      <c r="Y12" s="278" t="s">
        <v>620</v>
      </c>
      <c r="Z12" s="278" t="s">
        <v>621</v>
      </c>
      <c r="AA12" s="278" t="s">
        <v>622</v>
      </c>
    </row>
    <row r="13" spans="1:29" s="270" customFormat="1">
      <c r="D13" s="274"/>
      <c r="E13" s="274"/>
      <c r="F13" s="274"/>
      <c r="G13" s="274"/>
      <c r="H13" s="274"/>
      <c r="I13" s="274"/>
      <c r="J13" s="274"/>
      <c r="K13" s="274"/>
      <c r="L13" s="274"/>
      <c r="M13" s="274"/>
      <c r="N13" s="274"/>
      <c r="O13" s="274"/>
      <c r="P13" s="274"/>
      <c r="R13" s="274"/>
      <c r="S13" s="274"/>
      <c r="T13" s="274"/>
      <c r="U13" s="274"/>
      <c r="V13" s="274"/>
      <c r="W13" s="274"/>
      <c r="X13" s="274"/>
      <c r="Y13" s="274"/>
      <c r="Z13" s="274"/>
      <c r="AA13" s="274"/>
    </row>
    <row r="14" spans="1:29" s="106" customFormat="1" ht="15">
      <c r="A14" s="179">
        <v>1</v>
      </c>
      <c r="B14" t="s">
        <v>230</v>
      </c>
      <c r="C14" s="171" t="s">
        <v>697</v>
      </c>
      <c r="D14" s="287">
        <v>4610.33</v>
      </c>
      <c r="E14" s="287">
        <v>4198.83</v>
      </c>
      <c r="F14" s="287">
        <v>4908.1099999999997</v>
      </c>
      <c r="G14" s="287">
        <v>3876.56</v>
      </c>
      <c r="H14" s="287">
        <v>4358.1099999999997</v>
      </c>
      <c r="I14" s="287">
        <v>5634.51</v>
      </c>
      <c r="J14" s="287">
        <v>5074.4199999999992</v>
      </c>
      <c r="K14" s="287">
        <v>6124.07</v>
      </c>
      <c r="L14" s="287">
        <v>7388.54</v>
      </c>
      <c r="M14" s="287">
        <v>6796.6799999999994</v>
      </c>
      <c r="N14" s="287">
        <v>4998.92</v>
      </c>
      <c r="O14" s="287">
        <v>9027.1200000000008</v>
      </c>
      <c r="P14" s="288">
        <f>SUM(D14:O14)</f>
        <v>66996.2</v>
      </c>
      <c r="Q14" s="234"/>
      <c r="R14" s="234">
        <v>63236.660000000011</v>
      </c>
      <c r="S14" s="234">
        <v>0</v>
      </c>
      <c r="T14" s="234">
        <v>0</v>
      </c>
      <c r="U14" s="236">
        <f>SUM(R14:T14)</f>
        <v>63236.660000000011</v>
      </c>
      <c r="V14" s="234">
        <v>146.78</v>
      </c>
      <c r="W14" s="234">
        <v>0</v>
      </c>
      <c r="X14" s="236">
        <f>SUM(V14:W14)</f>
        <v>146.78</v>
      </c>
      <c r="Y14" s="234">
        <v>3612.7600000000007</v>
      </c>
      <c r="Z14" s="234">
        <v>0</v>
      </c>
      <c r="AA14" s="288">
        <f>+Z14+Y14+X14+U14</f>
        <v>66996.200000000012</v>
      </c>
      <c r="AB14" t="b">
        <f>ROUND(+P14,2)=ROUND(AA14,2)</f>
        <v>1</v>
      </c>
      <c r="AC14"/>
    </row>
    <row r="15" spans="1:29" s="106" customFormat="1" ht="15">
      <c r="A15" s="179">
        <v>2</v>
      </c>
      <c r="B15" t="s">
        <v>231</v>
      </c>
      <c r="C15" s="171" t="s">
        <v>697</v>
      </c>
      <c r="D15" s="299">
        <v>1930.6</v>
      </c>
      <c r="E15" s="208">
        <v>1970.1200000000001</v>
      </c>
      <c r="F15" s="208">
        <v>2091.1099999999997</v>
      </c>
      <c r="G15" s="208">
        <v>1835.55</v>
      </c>
      <c r="H15" s="208">
        <v>1834.9899999999998</v>
      </c>
      <c r="I15" s="208">
        <v>1877.56</v>
      </c>
      <c r="J15" s="208">
        <v>2518.2199999999998</v>
      </c>
      <c r="K15" s="208">
        <v>3844.5699999999997</v>
      </c>
      <c r="L15" s="208">
        <v>3123.9399999999996</v>
      </c>
      <c r="M15" s="208">
        <v>-3427.67</v>
      </c>
      <c r="N15" s="208">
        <v>1442.41</v>
      </c>
      <c r="O15" s="301">
        <v>1356.02</v>
      </c>
      <c r="P15" s="300">
        <f t="shared" ref="P15:P47" si="0">SUM(D15:O15)</f>
        <v>20397.419999999998</v>
      </c>
      <c r="Q15" s="208"/>
      <c r="R15" s="208">
        <v>20397.419999999998</v>
      </c>
      <c r="S15" s="208">
        <v>0</v>
      </c>
      <c r="T15" s="208">
        <v>0</v>
      </c>
      <c r="U15" s="258">
        <f t="shared" ref="U15:U47" si="1">SUM(R15:T15)</f>
        <v>20397.419999999998</v>
      </c>
      <c r="V15" s="208">
        <v>0</v>
      </c>
      <c r="W15" s="208">
        <v>0</v>
      </c>
      <c r="X15" s="258">
        <f t="shared" ref="X15:X47" si="2">SUM(V15:W15)</f>
        <v>0</v>
      </c>
      <c r="Y15" s="208">
        <v>0</v>
      </c>
      <c r="Z15" s="208">
        <v>0</v>
      </c>
      <c r="AA15" s="300">
        <f t="shared" ref="AA15:AA47" si="3">+Z15+Y15+X15+U15</f>
        <v>20397.419999999998</v>
      </c>
      <c r="AB15" t="b">
        <f t="shared" ref="AB15:AB47" si="4">ROUND(+P15,2)=ROUND(AA15,2)</f>
        <v>1</v>
      </c>
      <c r="AC15"/>
    </row>
    <row r="16" spans="1:29">
      <c r="A16" s="179">
        <v>3</v>
      </c>
      <c r="B16" t="s">
        <v>232</v>
      </c>
      <c r="C16" s="171" t="s">
        <v>697</v>
      </c>
      <c r="D16" s="235">
        <v>46869.36</v>
      </c>
      <c r="E16" s="235">
        <v>43807.010000000009</v>
      </c>
      <c r="F16" s="235">
        <v>41985.020000000004</v>
      </c>
      <c r="G16" s="235">
        <v>37204.299999999996</v>
      </c>
      <c r="H16" s="235">
        <v>37275.769999999997</v>
      </c>
      <c r="I16" s="235">
        <v>40809.860000000008</v>
      </c>
      <c r="J16" s="235">
        <v>45191.77</v>
      </c>
      <c r="K16" s="235">
        <v>45572.28</v>
      </c>
      <c r="L16" s="235">
        <v>36762.700000000004</v>
      </c>
      <c r="M16" s="235">
        <v>34385.799999999988</v>
      </c>
      <c r="N16" s="235">
        <v>37146.67</v>
      </c>
      <c r="O16" s="302">
        <v>36059.78</v>
      </c>
      <c r="P16" s="237">
        <f t="shared" si="0"/>
        <v>483070.31999999995</v>
      </c>
      <c r="Q16" s="235"/>
      <c r="R16" s="235">
        <v>455436.67999999982</v>
      </c>
      <c r="S16" s="235">
        <v>0</v>
      </c>
      <c r="T16" s="235">
        <v>0</v>
      </c>
      <c r="U16" s="237">
        <f t="shared" si="1"/>
        <v>455436.67999999982</v>
      </c>
      <c r="V16" s="235">
        <v>27633.64</v>
      </c>
      <c r="W16" s="235">
        <v>0</v>
      </c>
      <c r="X16" s="237">
        <f t="shared" si="2"/>
        <v>27633.64</v>
      </c>
      <c r="Y16" s="235">
        <v>0</v>
      </c>
      <c r="Z16" s="235">
        <v>0</v>
      </c>
      <c r="AA16" s="258">
        <f t="shared" si="3"/>
        <v>483070.31999999983</v>
      </c>
      <c r="AB16" t="b">
        <f t="shared" si="4"/>
        <v>1</v>
      </c>
    </row>
    <row r="17" spans="1:28">
      <c r="A17" s="179">
        <v>4</v>
      </c>
      <c r="B17" t="s">
        <v>233</v>
      </c>
      <c r="C17" s="171" t="s">
        <v>697</v>
      </c>
      <c r="D17" s="235">
        <v>16040.319999999998</v>
      </c>
      <c r="E17" s="235">
        <v>14557.710000000001</v>
      </c>
      <c r="F17" s="235">
        <v>23156.690000000002</v>
      </c>
      <c r="G17" s="235">
        <v>14368.869999999999</v>
      </c>
      <c r="H17" s="235">
        <v>16168.219999999998</v>
      </c>
      <c r="I17" s="235">
        <v>26282.5</v>
      </c>
      <c r="J17" s="235">
        <v>19810.36</v>
      </c>
      <c r="K17" s="235">
        <v>24031.919999999998</v>
      </c>
      <c r="L17" s="235">
        <v>13711.600000000002</v>
      </c>
      <c r="M17" s="235">
        <v>4230.920000000001</v>
      </c>
      <c r="N17" s="235">
        <v>6493.46</v>
      </c>
      <c r="O17" s="302">
        <v>5935.64</v>
      </c>
      <c r="P17" s="237">
        <f t="shared" si="0"/>
        <v>184788.21000000002</v>
      </c>
      <c r="Q17" s="235"/>
      <c r="R17" s="235">
        <v>184756.14000000013</v>
      </c>
      <c r="S17" s="235">
        <v>0</v>
      </c>
      <c r="T17" s="235">
        <v>0</v>
      </c>
      <c r="U17" s="237">
        <f t="shared" si="1"/>
        <v>184756.14000000013</v>
      </c>
      <c r="V17" s="235">
        <v>32.07</v>
      </c>
      <c r="W17" s="235">
        <v>0</v>
      </c>
      <c r="X17" s="237">
        <f t="shared" si="2"/>
        <v>32.07</v>
      </c>
      <c r="Y17" s="235">
        <v>0</v>
      </c>
      <c r="Z17" s="235">
        <v>0</v>
      </c>
      <c r="AA17" s="258">
        <f t="shared" si="3"/>
        <v>184788.21000000014</v>
      </c>
      <c r="AB17" t="b">
        <f t="shared" si="4"/>
        <v>1</v>
      </c>
    </row>
    <row r="18" spans="1:28">
      <c r="A18" s="179">
        <v>5</v>
      </c>
      <c r="B18" t="s">
        <v>235</v>
      </c>
      <c r="C18" s="171" t="s">
        <v>697</v>
      </c>
      <c r="D18" s="235">
        <v>189135.56999999998</v>
      </c>
      <c r="E18" s="235">
        <v>193997.75</v>
      </c>
      <c r="F18" s="235">
        <v>191904.35000000003</v>
      </c>
      <c r="G18" s="235">
        <v>177695.90000000002</v>
      </c>
      <c r="H18" s="235">
        <v>204129.90999999997</v>
      </c>
      <c r="I18" s="235">
        <v>211077.63</v>
      </c>
      <c r="J18" s="235">
        <v>239202.96000000002</v>
      </c>
      <c r="K18" s="235">
        <v>251987.01</v>
      </c>
      <c r="L18" s="235">
        <v>204067.28000000003</v>
      </c>
      <c r="M18" s="235">
        <v>210681.61000000002</v>
      </c>
      <c r="N18" s="235">
        <v>170882.11999999994</v>
      </c>
      <c r="O18" s="302">
        <v>224402.15</v>
      </c>
      <c r="P18" s="237">
        <f t="shared" si="0"/>
        <v>2469164.2399999998</v>
      </c>
      <c r="Q18" s="235"/>
      <c r="R18" s="235">
        <v>2407890.41</v>
      </c>
      <c r="S18" s="235">
        <v>0</v>
      </c>
      <c r="T18" s="235">
        <v>0</v>
      </c>
      <c r="U18" s="237">
        <f t="shared" si="1"/>
        <v>2407890.41</v>
      </c>
      <c r="V18" s="235">
        <v>61270.819999999992</v>
      </c>
      <c r="W18" s="235">
        <v>0</v>
      </c>
      <c r="X18" s="237">
        <f t="shared" si="2"/>
        <v>61270.819999999992</v>
      </c>
      <c r="Y18" s="235">
        <v>3.01</v>
      </c>
      <c r="Z18" s="235">
        <v>0</v>
      </c>
      <c r="AA18" s="258">
        <f t="shared" si="3"/>
        <v>2469164.2400000002</v>
      </c>
      <c r="AB18" t="b">
        <f t="shared" si="4"/>
        <v>1</v>
      </c>
    </row>
    <row r="19" spans="1:28">
      <c r="A19" s="179">
        <v>6</v>
      </c>
      <c r="B19" t="s">
        <v>237</v>
      </c>
      <c r="C19" s="171" t="s">
        <v>697</v>
      </c>
      <c r="D19" s="235">
        <v>2840.13</v>
      </c>
      <c r="E19" s="235">
        <v>2765.62</v>
      </c>
      <c r="F19" s="235">
        <v>2871.2599999999998</v>
      </c>
      <c r="G19" s="235">
        <v>2515</v>
      </c>
      <c r="H19" s="235">
        <v>1449.04</v>
      </c>
      <c r="I19" s="235">
        <v>2392.02</v>
      </c>
      <c r="J19" s="235">
        <v>1609.71</v>
      </c>
      <c r="K19" s="235">
        <v>1801.19</v>
      </c>
      <c r="L19" s="235">
        <v>1893.56</v>
      </c>
      <c r="M19" s="235">
        <v>1510.85</v>
      </c>
      <c r="N19" s="235">
        <v>-7759.93</v>
      </c>
      <c r="O19" s="302">
        <v>724.91000000000008</v>
      </c>
      <c r="P19" s="237">
        <f t="shared" si="0"/>
        <v>14613.359999999997</v>
      </c>
      <c r="Q19" s="235"/>
      <c r="R19" s="235">
        <v>9107.16</v>
      </c>
      <c r="S19" s="235">
        <v>0</v>
      </c>
      <c r="T19" s="235">
        <v>0</v>
      </c>
      <c r="U19" s="237">
        <f t="shared" si="1"/>
        <v>9107.16</v>
      </c>
      <c r="V19" s="235">
        <v>5506.2000000000007</v>
      </c>
      <c r="W19" s="235">
        <v>0</v>
      </c>
      <c r="X19" s="237">
        <f t="shared" si="2"/>
        <v>5506.2000000000007</v>
      </c>
      <c r="Y19" s="235">
        <v>0</v>
      </c>
      <c r="Z19" s="235">
        <v>0</v>
      </c>
      <c r="AA19" s="258">
        <f t="shared" si="3"/>
        <v>14613.36</v>
      </c>
      <c r="AB19" t="b">
        <f t="shared" si="4"/>
        <v>1</v>
      </c>
    </row>
    <row r="20" spans="1:28">
      <c r="A20" s="179">
        <v>7</v>
      </c>
      <c r="B20" t="s">
        <v>238</v>
      </c>
      <c r="C20" s="171" t="s">
        <v>697</v>
      </c>
      <c r="D20" s="235">
        <v>673.1099999999999</v>
      </c>
      <c r="E20" s="235">
        <v>255.44</v>
      </c>
      <c r="F20" s="235">
        <v>84.58</v>
      </c>
      <c r="G20" s="235">
        <v>132.72</v>
      </c>
      <c r="H20" s="235">
        <v>13.25</v>
      </c>
      <c r="I20" s="235">
        <v>296.10000000000002</v>
      </c>
      <c r="J20" s="235">
        <v>270.64</v>
      </c>
      <c r="K20" s="235">
        <v>-378.65000000000003</v>
      </c>
      <c r="L20" s="235">
        <v>205.82999999999998</v>
      </c>
      <c r="M20" s="235">
        <v>-1314.1000000000001</v>
      </c>
      <c r="N20" s="235">
        <v>473.05</v>
      </c>
      <c r="O20" s="302">
        <v>1221.3599999999999</v>
      </c>
      <c r="P20" s="237">
        <f t="shared" si="0"/>
        <v>1933.3299999999992</v>
      </c>
      <c r="Q20" s="235"/>
      <c r="R20" s="235">
        <v>1929.7800000000002</v>
      </c>
      <c r="S20" s="235">
        <v>0</v>
      </c>
      <c r="T20" s="235">
        <v>0</v>
      </c>
      <c r="U20" s="237">
        <f t="shared" si="1"/>
        <v>1929.7800000000002</v>
      </c>
      <c r="V20" s="235">
        <v>3.5499999999999989</v>
      </c>
      <c r="W20" s="235">
        <v>0</v>
      </c>
      <c r="X20" s="237">
        <f t="shared" si="2"/>
        <v>3.5499999999999989</v>
      </c>
      <c r="Y20" s="235">
        <v>0</v>
      </c>
      <c r="Z20" s="235">
        <v>0</v>
      </c>
      <c r="AA20" s="258">
        <f t="shared" si="3"/>
        <v>1933.3300000000002</v>
      </c>
      <c r="AB20" t="b">
        <f t="shared" si="4"/>
        <v>1</v>
      </c>
    </row>
    <row r="21" spans="1:28">
      <c r="A21" s="179">
        <v>8</v>
      </c>
      <c r="B21" t="s">
        <v>239</v>
      </c>
      <c r="C21" s="171" t="s">
        <v>697</v>
      </c>
      <c r="D21" s="235">
        <v>90719.209999999992</v>
      </c>
      <c r="E21" s="235">
        <v>93447.45</v>
      </c>
      <c r="F21" s="235">
        <v>93217.939999999988</v>
      </c>
      <c r="G21" s="235">
        <v>89209.29</v>
      </c>
      <c r="H21" s="235">
        <v>47215.369999999995</v>
      </c>
      <c r="I21" s="235">
        <v>83262.940000000031</v>
      </c>
      <c r="J21" s="235">
        <v>73784.739999999991</v>
      </c>
      <c r="K21" s="235">
        <v>111855.95999999999</v>
      </c>
      <c r="L21" s="235">
        <v>81790.180000000008</v>
      </c>
      <c r="M21" s="235">
        <v>87180.010000000024</v>
      </c>
      <c r="N21" s="235">
        <v>83400.98</v>
      </c>
      <c r="O21" s="302">
        <v>69626.350000000006</v>
      </c>
      <c r="P21" s="237">
        <f t="shared" si="0"/>
        <v>1004710.4199999999</v>
      </c>
      <c r="Q21" s="235"/>
      <c r="R21" s="235">
        <v>963730.09000000043</v>
      </c>
      <c r="S21" s="235">
        <v>0</v>
      </c>
      <c r="T21" s="235">
        <v>0</v>
      </c>
      <c r="U21" s="237">
        <f t="shared" si="1"/>
        <v>963730.09000000043</v>
      </c>
      <c r="V21" s="235">
        <v>40980.329999999958</v>
      </c>
      <c r="W21" s="235">
        <v>0</v>
      </c>
      <c r="X21" s="237">
        <f t="shared" si="2"/>
        <v>40980.329999999958</v>
      </c>
      <c r="Y21" s="235">
        <v>0</v>
      </c>
      <c r="Z21" s="235">
        <v>0</v>
      </c>
      <c r="AA21" s="258">
        <f t="shared" si="3"/>
        <v>1004710.4200000004</v>
      </c>
      <c r="AB21" t="b">
        <f t="shared" si="4"/>
        <v>1</v>
      </c>
    </row>
    <row r="22" spans="1:28">
      <c r="A22" s="179">
        <v>9</v>
      </c>
      <c r="B22" t="s">
        <v>240</v>
      </c>
      <c r="C22" s="171" t="s">
        <v>697</v>
      </c>
      <c r="D22" s="235">
        <v>53320.140000000007</v>
      </c>
      <c r="E22" s="235">
        <v>107723.17000000001</v>
      </c>
      <c r="F22" s="235">
        <v>90454.840000000011</v>
      </c>
      <c r="G22" s="235">
        <v>88272.609999999986</v>
      </c>
      <c r="H22" s="235">
        <v>83806.820000000022</v>
      </c>
      <c r="I22" s="235">
        <v>79239.080000000031</v>
      </c>
      <c r="J22" s="235">
        <v>80140.199999999983</v>
      </c>
      <c r="K22" s="235">
        <v>85618.280000000013</v>
      </c>
      <c r="L22" s="235">
        <v>71764.23000000001</v>
      </c>
      <c r="M22" s="235">
        <v>78377.320000000007</v>
      </c>
      <c r="N22" s="235">
        <v>72017.680000000008</v>
      </c>
      <c r="O22" s="302">
        <v>74092.23</v>
      </c>
      <c r="P22" s="237">
        <f t="shared" si="0"/>
        <v>964826.6</v>
      </c>
      <c r="Q22" s="235"/>
      <c r="R22" s="235">
        <v>964427.42</v>
      </c>
      <c r="S22" s="235">
        <v>0</v>
      </c>
      <c r="T22" s="235">
        <v>0</v>
      </c>
      <c r="U22" s="237">
        <f t="shared" si="1"/>
        <v>964427.42</v>
      </c>
      <c r="V22" s="235">
        <v>399.17999999999989</v>
      </c>
      <c r="W22" s="235">
        <v>0</v>
      </c>
      <c r="X22" s="237">
        <f t="shared" si="2"/>
        <v>399.17999999999989</v>
      </c>
      <c r="Y22" s="235">
        <v>0</v>
      </c>
      <c r="Z22" s="235">
        <v>0</v>
      </c>
      <c r="AA22" s="258">
        <f t="shared" si="3"/>
        <v>964826.60000000009</v>
      </c>
      <c r="AB22" t="b">
        <f t="shared" si="4"/>
        <v>1</v>
      </c>
    </row>
    <row r="23" spans="1:28">
      <c r="A23" s="179">
        <v>10</v>
      </c>
      <c r="B23" t="s">
        <v>242</v>
      </c>
      <c r="C23" s="171" t="s">
        <v>697</v>
      </c>
      <c r="D23" s="235">
        <v>45496.54</v>
      </c>
      <c r="E23" s="235">
        <v>36749.340000000011</v>
      </c>
      <c r="F23" s="235">
        <v>27679.339999999997</v>
      </c>
      <c r="G23" s="235">
        <v>23512.260000000002</v>
      </c>
      <c r="H23" s="235">
        <v>17714.05</v>
      </c>
      <c r="I23" s="235">
        <v>27135.730000000003</v>
      </c>
      <c r="J23" s="235">
        <v>26306.779999999995</v>
      </c>
      <c r="K23" s="235">
        <v>18018.810000000001</v>
      </c>
      <c r="L23" s="235">
        <v>14746.430000000002</v>
      </c>
      <c r="M23" s="235">
        <v>15142.52</v>
      </c>
      <c r="N23" s="235">
        <v>16373.489999999998</v>
      </c>
      <c r="O23" s="302">
        <v>22742.57</v>
      </c>
      <c r="P23" s="237">
        <f t="shared" si="0"/>
        <v>291617.86</v>
      </c>
      <c r="Q23" s="235"/>
      <c r="R23" s="235">
        <v>288319.09000000008</v>
      </c>
      <c r="S23" s="235">
        <v>0</v>
      </c>
      <c r="T23" s="235">
        <v>0</v>
      </c>
      <c r="U23" s="237">
        <f t="shared" si="1"/>
        <v>288319.09000000008</v>
      </c>
      <c r="V23" s="235">
        <v>3298.7699999999995</v>
      </c>
      <c r="W23" s="235">
        <v>0</v>
      </c>
      <c r="X23" s="237">
        <f t="shared" si="2"/>
        <v>3298.7699999999995</v>
      </c>
      <c r="Y23" s="235">
        <v>0</v>
      </c>
      <c r="Z23" s="235">
        <v>0</v>
      </c>
      <c r="AA23" s="258">
        <f t="shared" si="3"/>
        <v>291617.8600000001</v>
      </c>
      <c r="AB23" t="b">
        <f t="shared" si="4"/>
        <v>1</v>
      </c>
    </row>
    <row r="24" spans="1:28">
      <c r="A24" s="179">
        <v>11</v>
      </c>
      <c r="B24" t="s">
        <v>249</v>
      </c>
      <c r="C24" s="171" t="s">
        <v>697</v>
      </c>
      <c r="D24" s="235">
        <v>12823.729999999996</v>
      </c>
      <c r="E24" s="235">
        <v>1907.5999999999995</v>
      </c>
      <c r="F24" s="235">
        <v>17906.860000000004</v>
      </c>
      <c r="G24" s="235">
        <v>18262.090000000007</v>
      </c>
      <c r="H24" s="235">
        <v>17236.820000000003</v>
      </c>
      <c r="I24" s="235">
        <v>19228.009999999998</v>
      </c>
      <c r="J24" s="235">
        <v>16397.219999999998</v>
      </c>
      <c r="K24" s="235">
        <v>17671.150000000001</v>
      </c>
      <c r="L24" s="235">
        <v>18668.829999999994</v>
      </c>
      <c r="M24" s="235">
        <v>18421.789999999997</v>
      </c>
      <c r="N24" s="235">
        <v>15953.92</v>
      </c>
      <c r="O24" s="302">
        <v>19881.150000000009</v>
      </c>
      <c r="P24" s="237">
        <f t="shared" si="0"/>
        <v>194359.17000000004</v>
      </c>
      <c r="Q24" s="235"/>
      <c r="R24" s="235">
        <v>370.86999999999978</v>
      </c>
      <c r="S24" s="235">
        <v>0</v>
      </c>
      <c r="T24" s="235">
        <v>0</v>
      </c>
      <c r="U24" s="237">
        <f t="shared" si="1"/>
        <v>370.86999999999978</v>
      </c>
      <c r="V24" s="235">
        <v>143319.60000000003</v>
      </c>
      <c r="W24" s="235">
        <v>0</v>
      </c>
      <c r="X24" s="237">
        <f t="shared" si="2"/>
        <v>143319.60000000003</v>
      </c>
      <c r="Y24" s="235">
        <v>50662.509999999973</v>
      </c>
      <c r="Z24" s="235">
        <v>6.1899999999999995</v>
      </c>
      <c r="AA24" s="258">
        <f t="shared" si="3"/>
        <v>194359.17</v>
      </c>
      <c r="AB24" t="b">
        <f t="shared" si="4"/>
        <v>1</v>
      </c>
    </row>
    <row r="25" spans="1:28">
      <c r="A25" s="179">
        <v>12</v>
      </c>
      <c r="B25" t="s">
        <v>243</v>
      </c>
      <c r="C25" s="171" t="s">
        <v>697</v>
      </c>
      <c r="D25" s="235">
        <v>0</v>
      </c>
      <c r="E25" s="235">
        <v>0</v>
      </c>
      <c r="F25" s="235">
        <v>0</v>
      </c>
      <c r="G25" s="235">
        <v>280.64</v>
      </c>
      <c r="H25" s="235">
        <v>0</v>
      </c>
      <c r="I25" s="235">
        <v>0</v>
      </c>
      <c r="J25" s="235">
        <v>0</v>
      </c>
      <c r="K25" s="235">
        <v>0</v>
      </c>
      <c r="L25" s="235">
        <v>0</v>
      </c>
      <c r="M25" s="235">
        <v>0</v>
      </c>
      <c r="N25" s="235">
        <v>0</v>
      </c>
      <c r="O25" s="302">
        <v>0</v>
      </c>
      <c r="P25" s="237">
        <f t="shared" si="0"/>
        <v>280.64</v>
      </c>
      <c r="Q25" s="235"/>
      <c r="R25" s="235">
        <v>0</v>
      </c>
      <c r="S25" s="235">
        <v>0</v>
      </c>
      <c r="T25" s="235">
        <v>0</v>
      </c>
      <c r="U25" s="237">
        <f t="shared" si="1"/>
        <v>0</v>
      </c>
      <c r="V25" s="235">
        <v>280.52</v>
      </c>
      <c r="W25" s="235">
        <v>0</v>
      </c>
      <c r="X25" s="237">
        <f t="shared" si="2"/>
        <v>280.52</v>
      </c>
      <c r="Y25" s="235">
        <v>0.12</v>
      </c>
      <c r="Z25" s="235">
        <v>0</v>
      </c>
      <c r="AA25" s="258">
        <f t="shared" si="3"/>
        <v>280.64</v>
      </c>
      <c r="AB25" t="b">
        <f t="shared" si="4"/>
        <v>1</v>
      </c>
    </row>
    <row r="26" spans="1:28">
      <c r="A26" s="179">
        <v>13</v>
      </c>
      <c r="B26" t="s">
        <v>244</v>
      </c>
      <c r="C26" s="171" t="s">
        <v>697</v>
      </c>
      <c r="D26" s="235">
        <v>68883.199999999997</v>
      </c>
      <c r="E26" s="235">
        <v>76773.520000000033</v>
      </c>
      <c r="F26" s="235">
        <v>72298.36</v>
      </c>
      <c r="G26" s="235">
        <v>66779.349999999991</v>
      </c>
      <c r="H26" s="235">
        <v>59947.01</v>
      </c>
      <c r="I26" s="235">
        <v>75817.649999999994</v>
      </c>
      <c r="J26" s="235">
        <v>69630.289999999994</v>
      </c>
      <c r="K26" s="235">
        <v>72900.509999999995</v>
      </c>
      <c r="L26" s="235">
        <v>66894.87</v>
      </c>
      <c r="M26" s="235">
        <v>52493.93</v>
      </c>
      <c r="N26" s="235">
        <v>50210.859999999993</v>
      </c>
      <c r="O26" s="302">
        <v>50031.61</v>
      </c>
      <c r="P26" s="237">
        <f t="shared" si="0"/>
        <v>782661.15999999992</v>
      </c>
      <c r="Q26" s="235"/>
      <c r="R26" s="235">
        <v>34366.83</v>
      </c>
      <c r="S26" s="235">
        <v>0</v>
      </c>
      <c r="T26" s="235">
        <v>0</v>
      </c>
      <c r="U26" s="237">
        <f t="shared" si="1"/>
        <v>34366.83</v>
      </c>
      <c r="V26" s="235">
        <v>748294.32999999984</v>
      </c>
      <c r="W26" s="235">
        <v>0</v>
      </c>
      <c r="X26" s="237">
        <f t="shared" si="2"/>
        <v>748294.32999999984</v>
      </c>
      <c r="Y26" s="235">
        <v>0</v>
      </c>
      <c r="Z26" s="235">
        <v>0</v>
      </c>
      <c r="AA26" s="258">
        <f t="shared" si="3"/>
        <v>782661.1599999998</v>
      </c>
      <c r="AB26" t="b">
        <f t="shared" si="4"/>
        <v>1</v>
      </c>
    </row>
    <row r="27" spans="1:28">
      <c r="A27" s="179">
        <v>14</v>
      </c>
      <c r="B27" t="s">
        <v>155</v>
      </c>
      <c r="C27" s="171" t="s">
        <v>697</v>
      </c>
      <c r="D27" s="235">
        <v>294773.21999999997</v>
      </c>
      <c r="E27" s="235">
        <v>275664.09999999998</v>
      </c>
      <c r="F27" s="235">
        <v>342097.36</v>
      </c>
      <c r="G27" s="235">
        <v>363211.34000000008</v>
      </c>
      <c r="H27" s="235">
        <v>324678.09999999998</v>
      </c>
      <c r="I27" s="235">
        <v>390982.6399999999</v>
      </c>
      <c r="J27" s="235">
        <v>307970.09999999992</v>
      </c>
      <c r="K27" s="235">
        <v>412083.54999999987</v>
      </c>
      <c r="L27" s="235">
        <v>376104.85</v>
      </c>
      <c r="M27" s="235">
        <v>335380.35000000003</v>
      </c>
      <c r="N27" s="235">
        <v>397838.06000000011</v>
      </c>
      <c r="O27" s="302">
        <v>424210.57</v>
      </c>
      <c r="P27" s="237">
        <f t="shared" si="0"/>
        <v>4244994.24</v>
      </c>
      <c r="Q27" s="235"/>
      <c r="R27" s="235">
        <v>0</v>
      </c>
      <c r="S27" s="235">
        <v>0</v>
      </c>
      <c r="T27" s="235">
        <v>0</v>
      </c>
      <c r="U27" s="237">
        <f t="shared" si="1"/>
        <v>0</v>
      </c>
      <c r="V27" s="235">
        <v>4244551.5899999971</v>
      </c>
      <c r="W27" s="235">
        <v>0</v>
      </c>
      <c r="X27" s="237">
        <f t="shared" si="2"/>
        <v>4244551.5899999971</v>
      </c>
      <c r="Y27" s="235">
        <v>442.65</v>
      </c>
      <c r="Z27" s="235">
        <v>0</v>
      </c>
      <c r="AA27" s="258">
        <f t="shared" si="3"/>
        <v>4244994.2399999974</v>
      </c>
      <c r="AB27" t="b">
        <f t="shared" si="4"/>
        <v>1</v>
      </c>
    </row>
    <row r="28" spans="1:28">
      <c r="A28" s="179">
        <v>15</v>
      </c>
      <c r="B28" t="s">
        <v>245</v>
      </c>
      <c r="C28" s="171" t="s">
        <v>697</v>
      </c>
      <c r="D28" s="235">
        <v>44263.810000000027</v>
      </c>
      <c r="E28" s="235">
        <v>66449.310000000012</v>
      </c>
      <c r="F28" s="235">
        <v>80878.449999999983</v>
      </c>
      <c r="G28" s="235">
        <v>87181.090000000011</v>
      </c>
      <c r="H28" s="235">
        <v>56669.599999999984</v>
      </c>
      <c r="I28" s="235">
        <v>85064.349999999991</v>
      </c>
      <c r="J28" s="235">
        <v>75298.570000000007</v>
      </c>
      <c r="K28" s="235">
        <v>73408.459999999992</v>
      </c>
      <c r="L28" s="235">
        <v>55303.969999999994</v>
      </c>
      <c r="M28" s="235">
        <v>67260.279999999984</v>
      </c>
      <c r="N28" s="235">
        <v>87481.389999999985</v>
      </c>
      <c r="O28" s="302">
        <v>97074.01</v>
      </c>
      <c r="P28" s="237">
        <f t="shared" si="0"/>
        <v>876333.29</v>
      </c>
      <c r="Q28" s="235"/>
      <c r="R28" s="235">
        <v>6.74</v>
      </c>
      <c r="S28" s="235">
        <v>0</v>
      </c>
      <c r="T28" s="235">
        <v>0</v>
      </c>
      <c r="U28" s="237">
        <f t="shared" si="1"/>
        <v>6.74</v>
      </c>
      <c r="V28" s="235">
        <v>876121.06999999878</v>
      </c>
      <c r="W28" s="235">
        <v>0</v>
      </c>
      <c r="X28" s="237">
        <f t="shared" si="2"/>
        <v>876121.06999999878</v>
      </c>
      <c r="Y28" s="235">
        <v>203.83</v>
      </c>
      <c r="Z28" s="235">
        <v>1.6500000000000001</v>
      </c>
      <c r="AA28" s="258">
        <f t="shared" si="3"/>
        <v>876333.28999999876</v>
      </c>
      <c r="AB28" t="b">
        <f t="shared" si="4"/>
        <v>1</v>
      </c>
    </row>
    <row r="29" spans="1:28">
      <c r="A29" s="179">
        <v>16</v>
      </c>
      <c r="B29" t="s">
        <v>246</v>
      </c>
      <c r="C29" s="171" t="s">
        <v>697</v>
      </c>
      <c r="D29" s="235">
        <v>291630.99000000011</v>
      </c>
      <c r="E29" s="235">
        <v>294799.24000000011</v>
      </c>
      <c r="F29" s="235">
        <v>272097.68000000005</v>
      </c>
      <c r="G29" s="235">
        <v>396212.05000000005</v>
      </c>
      <c r="H29" s="235">
        <v>229634.99999999994</v>
      </c>
      <c r="I29" s="235">
        <v>345274.72</v>
      </c>
      <c r="J29" s="235">
        <v>330270.01999999996</v>
      </c>
      <c r="K29" s="235">
        <v>308859.60000000009</v>
      </c>
      <c r="L29" s="235">
        <v>266157.92000000004</v>
      </c>
      <c r="M29" s="235">
        <v>360586.82999999996</v>
      </c>
      <c r="N29" s="235">
        <v>360672.33</v>
      </c>
      <c r="O29" s="302">
        <v>363000.94</v>
      </c>
      <c r="P29" s="237">
        <f t="shared" si="0"/>
        <v>3819197.3200000003</v>
      </c>
      <c r="Q29" s="235"/>
      <c r="R29" s="235">
        <v>0</v>
      </c>
      <c r="S29" s="235">
        <v>0</v>
      </c>
      <c r="T29" s="235">
        <v>0</v>
      </c>
      <c r="U29" s="237">
        <f t="shared" si="1"/>
        <v>0</v>
      </c>
      <c r="V29" s="235">
        <v>4788.0099999999993</v>
      </c>
      <c r="W29" s="235">
        <v>0</v>
      </c>
      <c r="X29" s="237">
        <f t="shared" si="2"/>
        <v>4788.0099999999993</v>
      </c>
      <c r="Y29" s="235">
        <v>3814409.3099999973</v>
      </c>
      <c r="Z29" s="235">
        <v>0</v>
      </c>
      <c r="AA29" s="258">
        <f t="shared" si="3"/>
        <v>3819197.319999997</v>
      </c>
      <c r="AB29" t="b">
        <f t="shared" si="4"/>
        <v>1</v>
      </c>
    </row>
    <row r="30" spans="1:28">
      <c r="A30" s="179">
        <v>17</v>
      </c>
      <c r="B30" t="s">
        <v>247</v>
      </c>
      <c r="C30" s="171" t="s">
        <v>697</v>
      </c>
      <c r="D30" s="235">
        <v>33840.750000000007</v>
      </c>
      <c r="E30" s="235">
        <v>23502.51</v>
      </c>
      <c r="F30" s="235">
        <v>43160.99</v>
      </c>
      <c r="G30" s="235">
        <v>37689.22</v>
      </c>
      <c r="H30" s="235">
        <v>50449</v>
      </c>
      <c r="I30" s="235">
        <v>53491.62</v>
      </c>
      <c r="J30" s="235">
        <v>33400.600000000006</v>
      </c>
      <c r="K30" s="235">
        <v>39424.5</v>
      </c>
      <c r="L30" s="235">
        <v>34571.379999999997</v>
      </c>
      <c r="M30" s="235">
        <v>36267.9</v>
      </c>
      <c r="N30" s="235">
        <v>32120.36</v>
      </c>
      <c r="O30" s="302">
        <v>34340.339999999997</v>
      </c>
      <c r="P30" s="237">
        <f t="shared" si="0"/>
        <v>452259.17000000004</v>
      </c>
      <c r="Q30" s="235"/>
      <c r="R30" s="235">
        <v>0</v>
      </c>
      <c r="S30" s="235">
        <v>0</v>
      </c>
      <c r="T30" s="235">
        <v>0</v>
      </c>
      <c r="U30" s="237">
        <f t="shared" si="1"/>
        <v>0</v>
      </c>
      <c r="V30" s="235">
        <v>451713.93999999977</v>
      </c>
      <c r="W30" s="235">
        <v>0</v>
      </c>
      <c r="X30" s="237">
        <f t="shared" si="2"/>
        <v>451713.93999999977</v>
      </c>
      <c r="Y30" s="235">
        <v>545.23</v>
      </c>
      <c r="Z30" s="235">
        <v>0</v>
      </c>
      <c r="AA30" s="258">
        <f t="shared" si="3"/>
        <v>452259.16999999975</v>
      </c>
      <c r="AB30" t="b">
        <f t="shared" si="4"/>
        <v>1</v>
      </c>
    </row>
    <row r="31" spans="1:28">
      <c r="A31" s="179">
        <v>18</v>
      </c>
      <c r="B31" t="s">
        <v>250</v>
      </c>
      <c r="C31" s="171" t="s">
        <v>697</v>
      </c>
      <c r="D31" s="235">
        <v>368094.0400000001</v>
      </c>
      <c r="E31" s="235">
        <v>431129.29000000004</v>
      </c>
      <c r="F31" s="235">
        <v>495971.33000000013</v>
      </c>
      <c r="G31" s="235">
        <v>490192.58999999997</v>
      </c>
      <c r="H31" s="235">
        <v>433791.84000000008</v>
      </c>
      <c r="I31" s="235">
        <v>499703.84999999992</v>
      </c>
      <c r="J31" s="235">
        <v>490947.85999999987</v>
      </c>
      <c r="K31" s="235">
        <v>601303.38999999966</v>
      </c>
      <c r="L31" s="235">
        <v>504397.10000000003</v>
      </c>
      <c r="M31" s="235">
        <v>642166.02000000014</v>
      </c>
      <c r="N31" s="235">
        <v>334011.41999999987</v>
      </c>
      <c r="O31" s="302">
        <v>428273.77999999997</v>
      </c>
      <c r="P31" s="237">
        <f t="shared" si="0"/>
        <v>5719982.5099999998</v>
      </c>
      <c r="Q31" s="235"/>
      <c r="R31" s="235">
        <v>16343.679999999995</v>
      </c>
      <c r="S31" s="235">
        <v>0</v>
      </c>
      <c r="T31" s="235">
        <v>0</v>
      </c>
      <c r="U31" s="237">
        <f t="shared" si="1"/>
        <v>16343.679999999995</v>
      </c>
      <c r="V31" s="235">
        <v>4503248.629999998</v>
      </c>
      <c r="W31" s="235">
        <v>0</v>
      </c>
      <c r="X31" s="237">
        <f t="shared" si="2"/>
        <v>4503248.629999998</v>
      </c>
      <c r="Y31" s="235">
        <v>1200390.2000000004</v>
      </c>
      <c r="Z31" s="235">
        <v>0</v>
      </c>
      <c r="AA31" s="258">
        <f t="shared" si="3"/>
        <v>5719982.5099999979</v>
      </c>
      <c r="AB31" t="b">
        <f t="shared" si="4"/>
        <v>1</v>
      </c>
    </row>
    <row r="32" spans="1:28">
      <c r="A32" s="179">
        <v>19</v>
      </c>
      <c r="B32" t="s">
        <v>256</v>
      </c>
      <c r="C32" s="171" t="s">
        <v>697</v>
      </c>
      <c r="D32" s="235">
        <v>4690.0800000000008</v>
      </c>
      <c r="E32" s="235">
        <v>6937.31</v>
      </c>
      <c r="F32" s="235">
        <v>7542.0800000000008</v>
      </c>
      <c r="G32" s="235">
        <v>8156.49</v>
      </c>
      <c r="H32" s="235">
        <v>6251.33</v>
      </c>
      <c r="I32" s="235">
        <v>7618.5400000000009</v>
      </c>
      <c r="J32" s="235">
        <v>-3304.2800000000007</v>
      </c>
      <c r="K32" s="235">
        <v>3669.4700000000003</v>
      </c>
      <c r="L32" s="235">
        <v>6819.9</v>
      </c>
      <c r="M32" s="235">
        <v>5077.4399999999996</v>
      </c>
      <c r="N32" s="235">
        <v>6314.2800000000016</v>
      </c>
      <c r="O32" s="302">
        <v>7513.4799999999987</v>
      </c>
      <c r="P32" s="237">
        <f t="shared" si="0"/>
        <v>67286.12000000001</v>
      </c>
      <c r="Q32" s="235"/>
      <c r="R32" s="235">
        <v>-4627.75</v>
      </c>
      <c r="S32" s="235">
        <v>0</v>
      </c>
      <c r="T32" s="235">
        <v>0</v>
      </c>
      <c r="U32" s="237">
        <f t="shared" si="1"/>
        <v>-4627.75</v>
      </c>
      <c r="V32" s="235">
        <v>46377.479999999981</v>
      </c>
      <c r="W32" s="235">
        <v>0</v>
      </c>
      <c r="X32" s="237">
        <f t="shared" si="2"/>
        <v>46377.479999999981</v>
      </c>
      <c r="Y32" s="235">
        <v>25536.390000000003</v>
      </c>
      <c r="Z32" s="235">
        <v>0</v>
      </c>
      <c r="AA32" s="258">
        <f t="shared" si="3"/>
        <v>67286.119999999981</v>
      </c>
      <c r="AB32" t="b">
        <f t="shared" si="4"/>
        <v>1</v>
      </c>
    </row>
    <row r="33" spans="1:28">
      <c r="A33" s="179">
        <v>20</v>
      </c>
      <c r="B33" t="s">
        <v>251</v>
      </c>
      <c r="C33" s="171" t="s">
        <v>697</v>
      </c>
      <c r="D33" s="235">
        <v>64.239999999999995</v>
      </c>
      <c r="E33" s="235">
        <v>61.08</v>
      </c>
      <c r="F33" s="235">
        <v>50.57</v>
      </c>
      <c r="G33" s="235">
        <v>119.16999999999999</v>
      </c>
      <c r="H33" s="235">
        <v>3.08</v>
      </c>
      <c r="I33" s="235">
        <v>3.1</v>
      </c>
      <c r="J33" s="235">
        <v>2.8</v>
      </c>
      <c r="K33" s="235">
        <v>62.96</v>
      </c>
      <c r="L33" s="235">
        <v>7.95</v>
      </c>
      <c r="M33" s="235">
        <v>8.65</v>
      </c>
      <c r="N33" s="235">
        <v>6.04</v>
      </c>
      <c r="O33" s="302">
        <v>5.0999999999999996</v>
      </c>
      <c r="P33" s="237">
        <f t="shared" si="0"/>
        <v>394.73999999999995</v>
      </c>
      <c r="Q33" s="235"/>
      <c r="R33" s="235">
        <v>225.34000000000003</v>
      </c>
      <c r="S33" s="235">
        <v>0</v>
      </c>
      <c r="T33" s="235">
        <v>0</v>
      </c>
      <c r="U33" s="237">
        <f t="shared" si="1"/>
        <v>225.34000000000003</v>
      </c>
      <c r="V33" s="235">
        <v>169.40000000000003</v>
      </c>
      <c r="W33" s="235">
        <v>0</v>
      </c>
      <c r="X33" s="237">
        <f t="shared" si="2"/>
        <v>169.40000000000003</v>
      </c>
      <c r="Y33" s="235">
        <v>0</v>
      </c>
      <c r="Z33" s="235">
        <v>0</v>
      </c>
      <c r="AA33" s="258">
        <f t="shared" si="3"/>
        <v>394.74000000000007</v>
      </c>
      <c r="AB33" t="b">
        <f t="shared" si="4"/>
        <v>1</v>
      </c>
    </row>
    <row r="34" spans="1:28">
      <c r="A34" s="179">
        <v>21</v>
      </c>
      <c r="B34" t="s">
        <v>252</v>
      </c>
      <c r="C34" s="171" t="s">
        <v>697</v>
      </c>
      <c r="D34" s="235">
        <v>114959.17000000001</v>
      </c>
      <c r="E34" s="235">
        <v>125021.68</v>
      </c>
      <c r="F34" s="235">
        <v>119964.39</v>
      </c>
      <c r="G34" s="235">
        <v>111830.74000000002</v>
      </c>
      <c r="H34" s="235">
        <v>99932.869999999981</v>
      </c>
      <c r="I34" s="235">
        <v>139794.81000000003</v>
      </c>
      <c r="J34" s="235">
        <v>122814.71</v>
      </c>
      <c r="K34" s="235">
        <v>138233.61000000002</v>
      </c>
      <c r="L34" s="235">
        <v>108272.76000000002</v>
      </c>
      <c r="M34" s="235">
        <v>88614.64</v>
      </c>
      <c r="N34" s="235">
        <v>107795.28</v>
      </c>
      <c r="O34" s="302">
        <v>98692.55</v>
      </c>
      <c r="P34" s="237">
        <f t="shared" si="0"/>
        <v>1375927.21</v>
      </c>
      <c r="Q34" s="235"/>
      <c r="R34" s="235">
        <v>47447.210000000028</v>
      </c>
      <c r="S34" s="235">
        <v>0</v>
      </c>
      <c r="T34" s="235">
        <v>0</v>
      </c>
      <c r="U34" s="237">
        <f t="shared" si="1"/>
        <v>47447.210000000028</v>
      </c>
      <c r="V34" s="235">
        <v>1328480.0000000002</v>
      </c>
      <c r="W34" s="235">
        <v>0</v>
      </c>
      <c r="X34" s="237">
        <f t="shared" si="2"/>
        <v>1328480.0000000002</v>
      </c>
      <c r="Y34" s="235">
        <v>0</v>
      </c>
      <c r="Z34" s="235">
        <v>0</v>
      </c>
      <c r="AA34" s="258">
        <f t="shared" si="3"/>
        <v>1375927.2100000002</v>
      </c>
      <c r="AB34" t="b">
        <f t="shared" si="4"/>
        <v>1</v>
      </c>
    </row>
    <row r="35" spans="1:28">
      <c r="A35" s="179">
        <v>22</v>
      </c>
      <c r="B35" t="s">
        <v>147</v>
      </c>
      <c r="C35" s="171" t="s">
        <v>697</v>
      </c>
      <c r="D35" s="235">
        <v>973352.96999999986</v>
      </c>
      <c r="E35" s="235">
        <v>831902.99000000034</v>
      </c>
      <c r="F35" s="235">
        <v>981531.2300000001</v>
      </c>
      <c r="G35" s="235">
        <v>1188082.6499999997</v>
      </c>
      <c r="H35" s="235">
        <v>1001313.7499999999</v>
      </c>
      <c r="I35" s="235">
        <v>1177248.2100000004</v>
      </c>
      <c r="J35" s="235">
        <v>826683.26999999979</v>
      </c>
      <c r="K35" s="235">
        <v>1196062.5300000003</v>
      </c>
      <c r="L35" s="235">
        <v>1090566.8700000001</v>
      </c>
      <c r="M35" s="235">
        <v>1126859.5900000003</v>
      </c>
      <c r="N35" s="235">
        <v>1319609.8100000003</v>
      </c>
      <c r="O35" s="302">
        <v>1070668.6500000001</v>
      </c>
      <c r="P35" s="237">
        <f t="shared" si="0"/>
        <v>12783882.520000001</v>
      </c>
      <c r="Q35" s="235"/>
      <c r="R35" s="235">
        <v>0</v>
      </c>
      <c r="S35" s="235">
        <v>0</v>
      </c>
      <c r="T35" s="235">
        <v>0</v>
      </c>
      <c r="U35" s="237">
        <f t="shared" si="1"/>
        <v>0</v>
      </c>
      <c r="V35" s="235">
        <v>12729310.76</v>
      </c>
      <c r="W35" s="235">
        <v>0</v>
      </c>
      <c r="X35" s="237">
        <f t="shared" si="2"/>
        <v>12729310.76</v>
      </c>
      <c r="Y35" s="235">
        <v>54571.759999999995</v>
      </c>
      <c r="Z35" s="235">
        <v>0</v>
      </c>
      <c r="AA35" s="258">
        <f t="shared" si="3"/>
        <v>12783882.52</v>
      </c>
      <c r="AB35" t="b">
        <f t="shared" si="4"/>
        <v>1</v>
      </c>
    </row>
    <row r="36" spans="1:28">
      <c r="A36" s="179">
        <v>23</v>
      </c>
      <c r="B36" t="s">
        <v>148</v>
      </c>
      <c r="C36" s="171" t="s">
        <v>697</v>
      </c>
      <c r="D36" s="235">
        <v>271451.71000000002</v>
      </c>
      <c r="E36" s="235">
        <v>272071.71000000002</v>
      </c>
      <c r="F36" s="235">
        <v>315577.7099999999</v>
      </c>
      <c r="G36" s="235">
        <v>276867.14999999997</v>
      </c>
      <c r="H36" s="235">
        <v>293847.12999999995</v>
      </c>
      <c r="I36" s="235">
        <v>275779.32999999996</v>
      </c>
      <c r="J36" s="235">
        <v>310243.77000000008</v>
      </c>
      <c r="K36" s="235">
        <v>347775.33999999991</v>
      </c>
      <c r="L36" s="235">
        <v>331117.85000000003</v>
      </c>
      <c r="M36" s="235">
        <v>334585.8299999999</v>
      </c>
      <c r="N36" s="235">
        <v>360178.31000000006</v>
      </c>
      <c r="O36" s="302">
        <v>369605.73</v>
      </c>
      <c r="P36" s="237">
        <f t="shared" si="0"/>
        <v>3759101.57</v>
      </c>
      <c r="Q36" s="235"/>
      <c r="R36" s="235">
        <v>0</v>
      </c>
      <c r="S36" s="235">
        <v>0</v>
      </c>
      <c r="T36" s="235">
        <v>0</v>
      </c>
      <c r="U36" s="237">
        <f t="shared" si="1"/>
        <v>0</v>
      </c>
      <c r="V36" s="235">
        <v>3729702.5199999972</v>
      </c>
      <c r="W36" s="235">
        <v>0</v>
      </c>
      <c r="X36" s="237">
        <f t="shared" si="2"/>
        <v>3729702.5199999972</v>
      </c>
      <c r="Y36" s="235">
        <v>29399.049999999992</v>
      </c>
      <c r="Z36" s="235">
        <v>0</v>
      </c>
      <c r="AA36" s="258">
        <f t="shared" si="3"/>
        <v>3759101.569999997</v>
      </c>
      <c r="AB36" t="b">
        <f t="shared" si="4"/>
        <v>1</v>
      </c>
    </row>
    <row r="37" spans="1:28">
      <c r="A37" s="179">
        <v>24</v>
      </c>
      <c r="B37" t="s">
        <v>253</v>
      </c>
      <c r="C37" s="171" t="s">
        <v>697</v>
      </c>
      <c r="D37" s="235">
        <v>70147.569999999992</v>
      </c>
      <c r="E37" s="235">
        <v>60963.159999999982</v>
      </c>
      <c r="F37" s="235">
        <v>77658.489999999976</v>
      </c>
      <c r="G37" s="235">
        <v>65204.250000000007</v>
      </c>
      <c r="H37" s="235">
        <v>88134.01</v>
      </c>
      <c r="I37" s="235">
        <v>119762.96</v>
      </c>
      <c r="J37" s="235">
        <v>72202.210000000021</v>
      </c>
      <c r="K37" s="235">
        <v>95923.13</v>
      </c>
      <c r="L37" s="235">
        <v>64358.379999999983</v>
      </c>
      <c r="M37" s="235">
        <v>54915.140000000007</v>
      </c>
      <c r="N37" s="235">
        <v>68608.300000000017</v>
      </c>
      <c r="O37" s="302">
        <v>82593.260000000024</v>
      </c>
      <c r="P37" s="237">
        <f t="shared" si="0"/>
        <v>920470.8600000001</v>
      </c>
      <c r="Q37" s="235"/>
      <c r="R37" s="235">
        <v>0</v>
      </c>
      <c r="S37" s="235">
        <v>0</v>
      </c>
      <c r="T37" s="235">
        <v>0</v>
      </c>
      <c r="U37" s="237">
        <f t="shared" si="1"/>
        <v>0</v>
      </c>
      <c r="V37" s="235">
        <v>919409.37999999907</v>
      </c>
      <c r="W37" s="235">
        <v>0</v>
      </c>
      <c r="X37" s="237">
        <f t="shared" si="2"/>
        <v>919409.37999999907</v>
      </c>
      <c r="Y37" s="235">
        <v>1061.48</v>
      </c>
      <c r="Z37" s="235">
        <v>0</v>
      </c>
      <c r="AA37" s="258">
        <f t="shared" si="3"/>
        <v>920470.85999999905</v>
      </c>
      <c r="AB37" t="b">
        <f t="shared" si="4"/>
        <v>1</v>
      </c>
    </row>
    <row r="38" spans="1:28">
      <c r="A38" s="179">
        <v>25</v>
      </c>
      <c r="B38" t="s">
        <v>280</v>
      </c>
      <c r="C38" s="171" t="s">
        <v>697</v>
      </c>
      <c r="D38" s="235">
        <v>4366.79</v>
      </c>
      <c r="E38" s="235">
        <v>5380.23</v>
      </c>
      <c r="F38" s="235">
        <v>5055.1799999999994</v>
      </c>
      <c r="G38" s="235">
        <v>5938.0199999999995</v>
      </c>
      <c r="H38" s="235">
        <v>4868.5599999999995</v>
      </c>
      <c r="I38" s="235">
        <v>4142.5000000000009</v>
      </c>
      <c r="J38" s="235">
        <v>4934.45</v>
      </c>
      <c r="K38" s="235">
        <v>7863.5499999999993</v>
      </c>
      <c r="L38" s="235">
        <v>5971.4799999999987</v>
      </c>
      <c r="M38" s="235">
        <v>5999.18</v>
      </c>
      <c r="N38" s="235">
        <v>5820.9</v>
      </c>
      <c r="O38" s="302">
        <v>5431.43</v>
      </c>
      <c r="P38" s="237">
        <f t="shared" si="0"/>
        <v>65772.26999999999</v>
      </c>
      <c r="Q38" s="235"/>
      <c r="R38" s="235">
        <v>0</v>
      </c>
      <c r="S38" s="235">
        <v>0</v>
      </c>
      <c r="T38" s="235">
        <v>0</v>
      </c>
      <c r="U38" s="237">
        <f t="shared" si="1"/>
        <v>0</v>
      </c>
      <c r="V38" s="235">
        <v>46577.350000000049</v>
      </c>
      <c r="W38" s="235">
        <v>0</v>
      </c>
      <c r="X38" s="237">
        <f t="shared" si="2"/>
        <v>46577.350000000049</v>
      </c>
      <c r="Y38" s="235">
        <v>19194.920000000002</v>
      </c>
      <c r="Z38" s="235">
        <v>0</v>
      </c>
      <c r="AA38" s="258">
        <f t="shared" si="3"/>
        <v>65772.270000000048</v>
      </c>
      <c r="AB38" t="b">
        <f t="shared" si="4"/>
        <v>1</v>
      </c>
    </row>
    <row r="39" spans="1:28">
      <c r="A39" s="179">
        <v>26</v>
      </c>
      <c r="B39" t="s">
        <v>255</v>
      </c>
      <c r="C39" s="171" t="s">
        <v>697</v>
      </c>
      <c r="D39" s="235">
        <v>86804.37</v>
      </c>
      <c r="E39" s="235">
        <v>91412.439999999988</v>
      </c>
      <c r="F39" s="235">
        <v>94538.2</v>
      </c>
      <c r="G39" s="235">
        <v>128247.16</v>
      </c>
      <c r="H39" s="235">
        <v>73586.860000000015</v>
      </c>
      <c r="I39" s="235">
        <v>150588.18</v>
      </c>
      <c r="J39" s="235">
        <v>108551.53</v>
      </c>
      <c r="K39" s="235">
        <v>109172.68</v>
      </c>
      <c r="L39" s="235">
        <v>99478.180000000008</v>
      </c>
      <c r="M39" s="235">
        <v>131184.38999999998</v>
      </c>
      <c r="N39" s="235">
        <v>96175.63</v>
      </c>
      <c r="O39" s="302">
        <v>69501.7</v>
      </c>
      <c r="P39" s="237">
        <f t="shared" si="0"/>
        <v>1239241.32</v>
      </c>
      <c r="Q39" s="235"/>
      <c r="R39" s="235">
        <v>1.87</v>
      </c>
      <c r="S39" s="235">
        <v>0</v>
      </c>
      <c r="T39" s="235">
        <v>0</v>
      </c>
      <c r="U39" s="237">
        <f t="shared" si="1"/>
        <v>1.87</v>
      </c>
      <c r="V39" s="235">
        <v>1.22</v>
      </c>
      <c r="W39" s="235">
        <v>0</v>
      </c>
      <c r="X39" s="237">
        <f t="shared" si="2"/>
        <v>1.22</v>
      </c>
      <c r="Y39" s="235">
        <v>1239238.2300000002</v>
      </c>
      <c r="Z39" s="235">
        <v>0</v>
      </c>
      <c r="AA39" s="258">
        <f t="shared" si="3"/>
        <v>1239241.3200000003</v>
      </c>
      <c r="AB39" t="b">
        <f t="shared" si="4"/>
        <v>1</v>
      </c>
    </row>
    <row r="40" spans="1:28">
      <c r="A40" s="179">
        <v>27</v>
      </c>
      <c r="B40" t="s">
        <v>283</v>
      </c>
      <c r="C40" s="171" t="s">
        <v>697</v>
      </c>
      <c r="D40" s="235">
        <v>26896.65</v>
      </c>
      <c r="E40" s="235">
        <v>25166.15</v>
      </c>
      <c r="F40" s="235">
        <v>22509.340000000004</v>
      </c>
      <c r="G40" s="235">
        <v>27930.799999999996</v>
      </c>
      <c r="H40" s="235">
        <v>24468.73</v>
      </c>
      <c r="I40" s="235">
        <v>23653.370000000006</v>
      </c>
      <c r="J40" s="235">
        <v>27224.360000000011</v>
      </c>
      <c r="K40" s="235">
        <v>23342.5</v>
      </c>
      <c r="L40" s="235">
        <v>18658.920000000002</v>
      </c>
      <c r="M40" s="235">
        <v>27270.959999999995</v>
      </c>
      <c r="N40" s="235">
        <v>26706.51</v>
      </c>
      <c r="O40" s="302">
        <v>20906.709999999995</v>
      </c>
      <c r="P40" s="237">
        <f t="shared" si="0"/>
        <v>294735.00000000006</v>
      </c>
      <c r="Q40" s="235"/>
      <c r="R40" s="235">
        <v>17.220000000000027</v>
      </c>
      <c r="S40" s="235">
        <v>0</v>
      </c>
      <c r="T40" s="235">
        <v>0</v>
      </c>
      <c r="U40" s="237">
        <f t="shared" si="1"/>
        <v>17.220000000000027</v>
      </c>
      <c r="V40" s="235">
        <v>294670.32000000012</v>
      </c>
      <c r="W40" s="235">
        <v>0</v>
      </c>
      <c r="X40" s="237">
        <f t="shared" si="2"/>
        <v>294670.32000000012</v>
      </c>
      <c r="Y40" s="235">
        <v>47.46</v>
      </c>
      <c r="Z40" s="235">
        <v>0</v>
      </c>
      <c r="AA40" s="258">
        <f t="shared" si="3"/>
        <v>294735.00000000012</v>
      </c>
      <c r="AB40" t="b">
        <f t="shared" si="4"/>
        <v>1</v>
      </c>
    </row>
    <row r="41" spans="1:28">
      <c r="A41" s="179">
        <v>28</v>
      </c>
      <c r="B41" t="s">
        <v>258</v>
      </c>
      <c r="C41" s="171" t="s">
        <v>697</v>
      </c>
      <c r="D41" s="235">
        <v>4494.76</v>
      </c>
      <c r="E41" s="235">
        <v>3115.8</v>
      </c>
      <c r="F41" s="235">
        <v>2423.9699999999998</v>
      </c>
      <c r="G41" s="235">
        <v>4795.51</v>
      </c>
      <c r="H41" s="235">
        <v>3335.65</v>
      </c>
      <c r="I41" s="235">
        <v>4671.33</v>
      </c>
      <c r="J41" s="235">
        <v>4783.09</v>
      </c>
      <c r="K41" s="235">
        <v>-5708.34</v>
      </c>
      <c r="L41" s="235">
        <v>-2582.04</v>
      </c>
      <c r="M41" s="235">
        <v>4267.2</v>
      </c>
      <c r="N41" s="235">
        <v>5496.76</v>
      </c>
      <c r="O41" s="302">
        <v>4060.6699999999996</v>
      </c>
      <c r="P41" s="237">
        <f t="shared" si="0"/>
        <v>33154.36</v>
      </c>
      <c r="Q41" s="235"/>
      <c r="R41" s="235">
        <v>0</v>
      </c>
      <c r="S41" s="235">
        <v>0</v>
      </c>
      <c r="T41" s="235">
        <v>0</v>
      </c>
      <c r="U41" s="237">
        <f t="shared" si="1"/>
        <v>0</v>
      </c>
      <c r="V41" s="235">
        <v>0</v>
      </c>
      <c r="W41" s="235">
        <v>0</v>
      </c>
      <c r="X41" s="237">
        <f t="shared" si="2"/>
        <v>0</v>
      </c>
      <c r="Y41" s="235">
        <v>33154.36</v>
      </c>
      <c r="Z41" s="235">
        <v>0</v>
      </c>
      <c r="AA41" s="258">
        <f t="shared" si="3"/>
        <v>33154.36</v>
      </c>
      <c r="AB41" t="b">
        <f t="shared" si="4"/>
        <v>1</v>
      </c>
    </row>
    <row r="42" spans="1:28">
      <c r="A42" s="179">
        <v>29</v>
      </c>
      <c r="B42" t="s">
        <v>284</v>
      </c>
      <c r="C42" s="171" t="s">
        <v>697</v>
      </c>
      <c r="D42" s="235">
        <v>0</v>
      </c>
      <c r="E42" s="235">
        <v>16.940000000000001</v>
      </c>
      <c r="F42" s="235">
        <v>0</v>
      </c>
      <c r="G42" s="235">
        <v>0</v>
      </c>
      <c r="H42" s="235">
        <v>0</v>
      </c>
      <c r="I42" s="235">
        <v>0</v>
      </c>
      <c r="J42" s="235">
        <v>0</v>
      </c>
      <c r="K42" s="235">
        <v>0</v>
      </c>
      <c r="L42" s="235">
        <v>0</v>
      </c>
      <c r="M42" s="235">
        <v>0</v>
      </c>
      <c r="N42" s="235">
        <v>0</v>
      </c>
      <c r="O42" s="302">
        <v>0</v>
      </c>
      <c r="P42" s="237">
        <f t="shared" si="0"/>
        <v>16.940000000000001</v>
      </c>
      <c r="Q42" s="235"/>
      <c r="R42" s="235">
        <v>0</v>
      </c>
      <c r="S42" s="235">
        <v>0</v>
      </c>
      <c r="T42" s="235">
        <v>0</v>
      </c>
      <c r="U42" s="237">
        <f t="shared" si="1"/>
        <v>0</v>
      </c>
      <c r="V42" s="235">
        <v>0</v>
      </c>
      <c r="W42" s="235">
        <v>0</v>
      </c>
      <c r="X42" s="237">
        <f t="shared" si="2"/>
        <v>0</v>
      </c>
      <c r="Y42" s="235">
        <v>16.940000000000001</v>
      </c>
      <c r="Z42" s="235">
        <v>0</v>
      </c>
      <c r="AA42" s="258">
        <f t="shared" si="3"/>
        <v>16.940000000000001</v>
      </c>
      <c r="AB42" t="b">
        <f t="shared" si="4"/>
        <v>1</v>
      </c>
    </row>
    <row r="43" spans="1:28">
      <c r="A43" s="179">
        <v>30</v>
      </c>
      <c r="B43" t="s">
        <v>329</v>
      </c>
      <c r="C43" s="171" t="s">
        <v>697</v>
      </c>
      <c r="D43" s="235">
        <v>1095.9100000000001</v>
      </c>
      <c r="E43" s="235">
        <v>1108.1099999999999</v>
      </c>
      <c r="F43" s="235">
        <v>1093.43</v>
      </c>
      <c r="G43" s="235">
        <v>1275.29</v>
      </c>
      <c r="H43" s="235">
        <v>2284.31</v>
      </c>
      <c r="I43" s="235">
        <v>1258.94</v>
      </c>
      <c r="J43" s="235">
        <v>1296.67</v>
      </c>
      <c r="K43" s="235">
        <v>1121.74</v>
      </c>
      <c r="L43" s="235">
        <v>-3493.87</v>
      </c>
      <c r="M43" s="235">
        <v>1310.46</v>
      </c>
      <c r="N43" s="235">
        <v>1167.3499999999999</v>
      </c>
      <c r="O43" s="302">
        <v>1260.03</v>
      </c>
      <c r="P43" s="237">
        <f t="shared" si="0"/>
        <v>10778.37</v>
      </c>
      <c r="Q43" s="235"/>
      <c r="R43" s="235">
        <v>0</v>
      </c>
      <c r="S43" s="235">
        <v>0</v>
      </c>
      <c r="T43" s="235">
        <v>0</v>
      </c>
      <c r="U43" s="237">
        <f t="shared" si="1"/>
        <v>0</v>
      </c>
      <c r="V43" s="235">
        <v>10548.32</v>
      </c>
      <c r="W43" s="235">
        <v>0</v>
      </c>
      <c r="X43" s="237">
        <f t="shared" si="2"/>
        <v>10548.32</v>
      </c>
      <c r="Y43" s="235">
        <v>0</v>
      </c>
      <c r="Z43" s="235">
        <v>230.05</v>
      </c>
      <c r="AA43" s="258">
        <f t="shared" si="3"/>
        <v>10778.369999999999</v>
      </c>
      <c r="AB43" t="b">
        <f t="shared" si="4"/>
        <v>1</v>
      </c>
    </row>
    <row r="44" spans="1:28">
      <c r="A44" s="179">
        <v>31</v>
      </c>
      <c r="B44" t="s">
        <v>270</v>
      </c>
      <c r="C44" s="171" t="s">
        <v>697</v>
      </c>
      <c r="D44" s="235">
        <v>24681.079999999998</v>
      </c>
      <c r="E44" s="235">
        <v>45228.79</v>
      </c>
      <c r="F44" s="235">
        <v>43420.95</v>
      </c>
      <c r="G44" s="235">
        <v>58715.360000000008</v>
      </c>
      <c r="H44" s="235">
        <v>36961.499999999993</v>
      </c>
      <c r="I44" s="235">
        <v>45084.13</v>
      </c>
      <c r="J44" s="235">
        <v>39310.730000000003</v>
      </c>
      <c r="K44" s="235">
        <v>21373.829999999998</v>
      </c>
      <c r="L44" s="235">
        <v>50579.91</v>
      </c>
      <c r="M44" s="235">
        <v>35090.630000000005</v>
      </c>
      <c r="N44" s="235">
        <v>21694.54</v>
      </c>
      <c r="O44" s="302">
        <v>43438.460000000006</v>
      </c>
      <c r="P44" s="237">
        <f t="shared" si="0"/>
        <v>465579.91000000003</v>
      </c>
      <c r="Q44" s="235"/>
      <c r="R44" s="235">
        <v>126360.09000000003</v>
      </c>
      <c r="S44" s="235">
        <v>0</v>
      </c>
      <c r="T44" s="235">
        <v>0</v>
      </c>
      <c r="U44" s="237">
        <f t="shared" si="1"/>
        <v>126360.09000000003</v>
      </c>
      <c r="V44" s="235">
        <v>283498.34999999992</v>
      </c>
      <c r="W44" s="235">
        <v>0</v>
      </c>
      <c r="X44" s="237">
        <f t="shared" si="2"/>
        <v>283498.34999999992</v>
      </c>
      <c r="Y44" s="235">
        <v>19656.399999999994</v>
      </c>
      <c r="Z44" s="235">
        <v>36065.069999999992</v>
      </c>
      <c r="AA44" s="258">
        <f t="shared" si="3"/>
        <v>465579.90999999992</v>
      </c>
      <c r="AB44" t="b">
        <f t="shared" si="4"/>
        <v>1</v>
      </c>
    </row>
    <row r="45" spans="1:28">
      <c r="A45" s="179">
        <v>32</v>
      </c>
      <c r="B45" t="s">
        <v>288</v>
      </c>
      <c r="C45" s="171" t="s">
        <v>697</v>
      </c>
      <c r="D45" s="235">
        <v>161.12</v>
      </c>
      <c r="E45" s="235">
        <v>338.42</v>
      </c>
      <c r="F45" s="235">
        <v>911.99</v>
      </c>
      <c r="G45" s="235">
        <v>343.73</v>
      </c>
      <c r="H45" s="235">
        <v>249.83999999999997</v>
      </c>
      <c r="I45" s="235">
        <v>567.21</v>
      </c>
      <c r="J45" s="235">
        <v>5956.5300000000007</v>
      </c>
      <c r="K45" s="235">
        <v>1008.38</v>
      </c>
      <c r="L45" s="235">
        <v>1068.25</v>
      </c>
      <c r="M45" s="235">
        <v>1100.98</v>
      </c>
      <c r="N45" s="235">
        <v>1309.17</v>
      </c>
      <c r="O45" s="302">
        <v>1393.35</v>
      </c>
      <c r="P45" s="237">
        <f t="shared" si="0"/>
        <v>14408.97</v>
      </c>
      <c r="Q45" s="235"/>
      <c r="R45" s="235">
        <v>2747.95</v>
      </c>
      <c r="S45" s="235">
        <v>0</v>
      </c>
      <c r="T45" s="235">
        <v>0</v>
      </c>
      <c r="U45" s="237">
        <f t="shared" si="1"/>
        <v>2747.95</v>
      </c>
      <c r="V45" s="235">
        <v>9524.32</v>
      </c>
      <c r="W45" s="235">
        <v>0</v>
      </c>
      <c r="X45" s="237">
        <f t="shared" si="2"/>
        <v>9524.32</v>
      </c>
      <c r="Y45" s="235">
        <v>2052.3700000000003</v>
      </c>
      <c r="Z45" s="235">
        <v>84.329999999999984</v>
      </c>
      <c r="AA45" s="258">
        <f t="shared" si="3"/>
        <v>14408.970000000001</v>
      </c>
      <c r="AB45" t="b">
        <f t="shared" si="4"/>
        <v>1</v>
      </c>
    </row>
    <row r="46" spans="1:28">
      <c r="A46" s="179">
        <v>33</v>
      </c>
      <c r="B46" t="s">
        <v>26</v>
      </c>
      <c r="C46" s="171" t="s">
        <v>697</v>
      </c>
      <c r="D46" s="235">
        <v>221.19</v>
      </c>
      <c r="E46" s="235">
        <v>25.77</v>
      </c>
      <c r="F46" s="235">
        <v>4.68</v>
      </c>
      <c r="G46" s="235">
        <v>158.6</v>
      </c>
      <c r="H46" s="235">
        <v>97.36</v>
      </c>
      <c r="I46" s="235">
        <v>2.23</v>
      </c>
      <c r="J46" s="235">
        <v>149.08000000000001</v>
      </c>
      <c r="K46" s="235">
        <v>4.6399999999999997</v>
      </c>
      <c r="L46" s="235">
        <v>160.34</v>
      </c>
      <c r="M46" s="235">
        <v>36.17</v>
      </c>
      <c r="N46" s="235">
        <v>108.66</v>
      </c>
      <c r="O46" s="302">
        <v>0.03</v>
      </c>
      <c r="P46" s="237">
        <f t="shared" si="0"/>
        <v>968.75</v>
      </c>
      <c r="Q46" s="235"/>
      <c r="R46" s="235">
        <v>0</v>
      </c>
      <c r="S46" s="235">
        <v>0</v>
      </c>
      <c r="T46" s="235">
        <v>0</v>
      </c>
      <c r="U46" s="237">
        <f t="shared" si="1"/>
        <v>0</v>
      </c>
      <c r="V46" s="235">
        <v>968.64999999999986</v>
      </c>
      <c r="W46" s="235">
        <v>0</v>
      </c>
      <c r="X46" s="237">
        <f t="shared" si="2"/>
        <v>968.64999999999986</v>
      </c>
      <c r="Y46" s="235">
        <v>0.1</v>
      </c>
      <c r="Z46" s="235">
        <v>0</v>
      </c>
      <c r="AA46" s="258">
        <f t="shared" si="3"/>
        <v>968.74999999999989</v>
      </c>
      <c r="AB46" t="b">
        <f t="shared" si="4"/>
        <v>1</v>
      </c>
    </row>
    <row r="47" spans="1:28">
      <c r="A47" s="179">
        <v>34</v>
      </c>
      <c r="B47" t="s">
        <v>278</v>
      </c>
      <c r="C47" s="171" t="s">
        <v>697</v>
      </c>
      <c r="D47" s="235">
        <v>14456.87</v>
      </c>
      <c r="E47" s="235">
        <v>23429.200000000001</v>
      </c>
      <c r="F47" s="235">
        <v>2928.28</v>
      </c>
      <c r="G47" s="235">
        <v>15540.95</v>
      </c>
      <c r="H47" s="235">
        <v>2872.03</v>
      </c>
      <c r="I47" s="235">
        <v>14134.5</v>
      </c>
      <c r="J47" s="235">
        <v>13334.87</v>
      </c>
      <c r="K47" s="235">
        <v>13880</v>
      </c>
      <c r="L47" s="235">
        <v>14951.09</v>
      </c>
      <c r="M47" s="235">
        <v>12721.06</v>
      </c>
      <c r="N47" s="235">
        <v>16319.46</v>
      </c>
      <c r="O47" s="302">
        <v>14268.7</v>
      </c>
      <c r="P47" s="237">
        <f t="shared" si="0"/>
        <v>158837.01</v>
      </c>
      <c r="Q47" s="235"/>
      <c r="R47" s="235">
        <v>35706.550000000003</v>
      </c>
      <c r="S47" s="235">
        <v>0</v>
      </c>
      <c r="T47" s="235">
        <v>0</v>
      </c>
      <c r="U47" s="237">
        <f t="shared" si="1"/>
        <v>35706.550000000003</v>
      </c>
      <c r="V47" s="235">
        <v>95365.760000000009</v>
      </c>
      <c r="W47" s="235">
        <v>0</v>
      </c>
      <c r="X47" s="237">
        <f t="shared" si="2"/>
        <v>95365.760000000009</v>
      </c>
      <c r="Y47" s="235">
        <v>26668.730000000003</v>
      </c>
      <c r="Z47" s="235">
        <v>1095.97</v>
      </c>
      <c r="AA47" s="258">
        <f t="shared" si="3"/>
        <v>158837.01</v>
      </c>
      <c r="AB47" t="b">
        <f t="shared" si="4"/>
        <v>1</v>
      </c>
    </row>
    <row r="48" spans="1:28" ht="13.5" thickBot="1">
      <c r="A48" s="179">
        <v>35</v>
      </c>
      <c r="C48" s="194" t="s">
        <v>758</v>
      </c>
      <c r="D48" s="298">
        <f t="shared" ref="D48:P48" si="5">SUM(D14:D47)</f>
        <v>3163789.5300000003</v>
      </c>
      <c r="E48" s="298">
        <f t="shared" si="5"/>
        <v>3161877.7900000005</v>
      </c>
      <c r="F48" s="298">
        <f t="shared" si="5"/>
        <v>3477974.7600000012</v>
      </c>
      <c r="G48" s="298">
        <f t="shared" si="5"/>
        <v>3791637.2999999993</v>
      </c>
      <c r="H48" s="298">
        <f t="shared" si="5"/>
        <v>3224579.9099999988</v>
      </c>
      <c r="I48" s="298">
        <f t="shared" si="5"/>
        <v>3911880.1100000008</v>
      </c>
      <c r="J48" s="298">
        <f t="shared" si="5"/>
        <v>3352008.2499999995</v>
      </c>
      <c r="K48" s="298">
        <f t="shared" si="5"/>
        <v>4027912.62</v>
      </c>
      <c r="L48" s="298">
        <f t="shared" si="5"/>
        <v>3543489.1799999997</v>
      </c>
      <c r="M48" s="298">
        <f t="shared" si="5"/>
        <v>3775183.3600000008</v>
      </c>
      <c r="N48" s="298">
        <f t="shared" si="5"/>
        <v>3701068.19</v>
      </c>
      <c r="O48" s="298">
        <f t="shared" si="5"/>
        <v>3651340.3800000008</v>
      </c>
      <c r="P48" s="298">
        <f t="shared" si="5"/>
        <v>42782741.379999995</v>
      </c>
      <c r="R48" s="298">
        <f t="shared" ref="R48:AA48" si="6">SUM(R14:R47)</f>
        <v>5618197.4500000002</v>
      </c>
      <c r="S48" s="298">
        <f t="shared" si="6"/>
        <v>0</v>
      </c>
      <c r="T48" s="298">
        <f t="shared" si="6"/>
        <v>0</v>
      </c>
      <c r="U48" s="298">
        <f t="shared" si="6"/>
        <v>5618197.4500000002</v>
      </c>
      <c r="V48" s="298">
        <f t="shared" si="6"/>
        <v>30606192.859999992</v>
      </c>
      <c r="W48" s="298">
        <f t="shared" si="6"/>
        <v>0</v>
      </c>
      <c r="X48" s="298">
        <f t="shared" si="6"/>
        <v>30606192.859999992</v>
      </c>
      <c r="Y48" s="298">
        <f t="shared" si="6"/>
        <v>6520867.8099999987</v>
      </c>
      <c r="Z48" s="298">
        <f t="shared" si="6"/>
        <v>37483.259999999995</v>
      </c>
      <c r="AA48" s="298">
        <f t="shared" si="6"/>
        <v>42782741.379999988</v>
      </c>
    </row>
    <row r="49" spans="1:28" ht="13.5" thickTop="1">
      <c r="A49" s="179">
        <v>36</v>
      </c>
    </row>
    <row r="50" spans="1:28">
      <c r="A50" s="179">
        <v>37</v>
      </c>
    </row>
    <row r="51" spans="1:28">
      <c r="A51" s="179">
        <v>38</v>
      </c>
      <c r="B51" t="s">
        <v>231</v>
      </c>
      <c r="C51" t="s">
        <v>738</v>
      </c>
      <c r="D51" s="265">
        <v>2611.19</v>
      </c>
      <c r="E51" s="265">
        <v>2611.19</v>
      </c>
      <c r="F51" s="265">
        <v>2611.19</v>
      </c>
      <c r="G51" s="265">
        <v>2611.19</v>
      </c>
      <c r="H51" s="265">
        <v>0</v>
      </c>
      <c r="I51" s="265">
        <v>0</v>
      </c>
      <c r="J51" s="265">
        <v>0</v>
      </c>
      <c r="K51" s="265">
        <v>0</v>
      </c>
      <c r="L51" s="265">
        <v>0</v>
      </c>
      <c r="M51" s="265">
        <v>0</v>
      </c>
      <c r="N51" s="265">
        <v>0</v>
      </c>
      <c r="O51" s="319">
        <v>0</v>
      </c>
      <c r="P51" s="320">
        <f>SUM(D51:O51)</f>
        <v>10444.76</v>
      </c>
      <c r="Q51" s="265"/>
      <c r="R51" s="265">
        <v>10444.76</v>
      </c>
      <c r="S51" s="265">
        <v>0</v>
      </c>
      <c r="T51" s="265">
        <v>0</v>
      </c>
      <c r="U51" s="320">
        <f>SUM(R51:T51)</f>
        <v>10444.76</v>
      </c>
      <c r="V51" s="265">
        <v>0</v>
      </c>
      <c r="W51" s="265">
        <v>0</v>
      </c>
      <c r="X51" s="320">
        <f>SUM(V51:W51)</f>
        <v>0</v>
      </c>
      <c r="Y51" s="265">
        <v>0</v>
      </c>
      <c r="Z51" s="265">
        <v>0</v>
      </c>
      <c r="AA51" s="236">
        <f>+U51+X51+Y51+Z51</f>
        <v>10444.76</v>
      </c>
      <c r="AB51" t="b">
        <f t="shared" ref="AB51" si="7">ROUND(+P51,2)=ROUND(AA51,2)</f>
        <v>1</v>
      </c>
    </row>
    <row r="52" spans="1:28">
      <c r="A52" s="179">
        <v>39</v>
      </c>
      <c r="B52" t="s">
        <v>277</v>
      </c>
      <c r="C52" t="s">
        <v>739</v>
      </c>
      <c r="D52" s="235">
        <v>29568.850000000002</v>
      </c>
      <c r="E52" s="235">
        <v>29568.85</v>
      </c>
      <c r="F52" s="235">
        <v>29568.85</v>
      </c>
      <c r="G52" s="235">
        <v>31727</v>
      </c>
      <c r="H52" s="235">
        <v>29568.850000000002</v>
      </c>
      <c r="I52" s="235">
        <v>29568.85</v>
      </c>
      <c r="J52" s="235">
        <v>29568.85</v>
      </c>
      <c r="K52" s="235">
        <v>4250</v>
      </c>
      <c r="L52" s="235">
        <v>4250</v>
      </c>
      <c r="M52" s="235">
        <v>56722.020000000004</v>
      </c>
      <c r="N52" s="235">
        <v>4250</v>
      </c>
      <c r="O52" s="302">
        <v>4250</v>
      </c>
      <c r="P52" s="237">
        <f t="shared" ref="P52:P82" si="8">SUM(D52:O52)</f>
        <v>282862.12</v>
      </c>
      <c r="Q52" s="235"/>
      <c r="R52" s="235">
        <v>82665.98</v>
      </c>
      <c r="S52" s="235">
        <v>0</v>
      </c>
      <c r="T52" s="235">
        <v>0</v>
      </c>
      <c r="U52" s="237">
        <f t="shared" ref="U52:U82" si="9">SUM(R52:T52)</f>
        <v>82665.98</v>
      </c>
      <c r="V52" s="235">
        <f>+P52-R52-S52-T52-W52-Y52-Z52</f>
        <v>122206.81</v>
      </c>
      <c r="W52" s="235">
        <v>0</v>
      </c>
      <c r="X52" s="237">
        <f t="shared" ref="X52:X82" si="10">SUM(V52:W52)</f>
        <v>122206.81</v>
      </c>
      <c r="Y52" s="235">
        <v>30288.82</v>
      </c>
      <c r="Z52" s="235">
        <v>47700.51</v>
      </c>
      <c r="AA52" s="258">
        <f t="shared" ref="AA52:AA82" si="11">+U52+X52+Y52+Z52</f>
        <v>282862.12</v>
      </c>
      <c r="AB52" t="b">
        <f t="shared" ref="AB52:AB83" si="12">ROUND(+P52,2)=ROUND(AA52,2)</f>
        <v>1</v>
      </c>
    </row>
    <row r="53" spans="1:28">
      <c r="A53" s="179">
        <v>40</v>
      </c>
      <c r="B53" t="s">
        <v>235</v>
      </c>
      <c r="C53" t="s">
        <v>740</v>
      </c>
      <c r="D53" s="235">
        <v>9046.66</v>
      </c>
      <c r="E53" s="235">
        <v>1770</v>
      </c>
      <c r="F53" s="235">
        <v>1770</v>
      </c>
      <c r="G53" s="235">
        <v>1770</v>
      </c>
      <c r="H53" s="235">
        <v>1770</v>
      </c>
      <c r="I53" s="235">
        <v>1770</v>
      </c>
      <c r="J53" s="235">
        <v>1770</v>
      </c>
      <c r="K53" s="235">
        <v>1770</v>
      </c>
      <c r="L53" s="235">
        <v>668.67</v>
      </c>
      <c r="M53" s="235">
        <v>1770</v>
      </c>
      <c r="N53" s="235">
        <v>1770</v>
      </c>
      <c r="O53" s="302">
        <v>1322.33</v>
      </c>
      <c r="P53" s="237">
        <f t="shared" si="8"/>
        <v>26967.659999999996</v>
      </c>
      <c r="Q53" s="235"/>
      <c r="R53" s="235">
        <v>26713.52</v>
      </c>
      <c r="S53" s="235">
        <v>0</v>
      </c>
      <c r="T53" s="235">
        <v>0</v>
      </c>
      <c r="U53" s="237">
        <f t="shared" si="9"/>
        <v>26713.52</v>
      </c>
      <c r="V53" s="235">
        <f>+P53-R53-S53-T53-W53-Y53-Z53</f>
        <v>251.88999999999578</v>
      </c>
      <c r="W53" s="235">
        <v>0</v>
      </c>
      <c r="X53" s="237">
        <f t="shared" si="10"/>
        <v>251.88999999999578</v>
      </c>
      <c r="Y53" s="235">
        <v>2.25</v>
      </c>
      <c r="Z53" s="235">
        <v>0</v>
      </c>
      <c r="AA53" s="258">
        <f t="shared" si="11"/>
        <v>26967.659999999996</v>
      </c>
      <c r="AB53" t="b">
        <f t="shared" si="12"/>
        <v>1</v>
      </c>
    </row>
    <row r="54" spans="1:28">
      <c r="A54" s="179">
        <v>41</v>
      </c>
      <c r="B54" t="s">
        <v>277</v>
      </c>
      <c r="C54" t="s">
        <v>741</v>
      </c>
      <c r="D54" s="235">
        <v>12293.3</v>
      </c>
      <c r="E54" s="235">
        <v>12293.3</v>
      </c>
      <c r="F54" s="235">
        <v>12293.3</v>
      </c>
      <c r="G54" s="235">
        <v>12293.3</v>
      </c>
      <c r="H54" s="235">
        <v>12293.3</v>
      </c>
      <c r="I54" s="235">
        <v>0</v>
      </c>
      <c r="J54" s="235">
        <v>0</v>
      </c>
      <c r="K54" s="235">
        <v>24919.99</v>
      </c>
      <c r="L54" s="235">
        <v>0</v>
      </c>
      <c r="M54" s="235">
        <v>0</v>
      </c>
      <c r="N54" s="235">
        <v>0</v>
      </c>
      <c r="O54" s="302">
        <v>0</v>
      </c>
      <c r="P54" s="237">
        <f t="shared" si="8"/>
        <v>86386.49</v>
      </c>
      <c r="Q54" s="235"/>
      <c r="R54" s="235">
        <v>25246.31</v>
      </c>
      <c r="S54" s="235">
        <v>0</v>
      </c>
      <c r="T54" s="235">
        <v>0</v>
      </c>
      <c r="U54" s="237">
        <f t="shared" si="9"/>
        <v>25246.31</v>
      </c>
      <c r="V54" s="235">
        <v>37322.129999999997</v>
      </c>
      <c r="W54" s="235">
        <v>0</v>
      </c>
      <c r="X54" s="237">
        <f t="shared" si="10"/>
        <v>37322.129999999997</v>
      </c>
      <c r="Y54" s="235">
        <v>9250.25</v>
      </c>
      <c r="Z54" s="235">
        <v>14567.8</v>
      </c>
      <c r="AA54" s="258">
        <f t="shared" si="11"/>
        <v>86386.49</v>
      </c>
      <c r="AB54" t="b">
        <f t="shared" si="12"/>
        <v>1</v>
      </c>
    </row>
    <row r="55" spans="1:28">
      <c r="A55" s="179">
        <v>42</v>
      </c>
      <c r="B55" t="s">
        <v>235</v>
      </c>
      <c r="C55" t="s">
        <v>742</v>
      </c>
      <c r="D55" s="235">
        <v>10300.82</v>
      </c>
      <c r="E55" s="235">
        <v>0</v>
      </c>
      <c r="F55" s="235">
        <v>0</v>
      </c>
      <c r="G55" s="235">
        <v>26151.79</v>
      </c>
      <c r="H55" s="235">
        <v>0</v>
      </c>
      <c r="I55" s="235">
        <v>10460.719999999999</v>
      </c>
      <c r="J55" s="235">
        <v>5230.3599999999997</v>
      </c>
      <c r="K55" s="235">
        <v>5230.3599999999997</v>
      </c>
      <c r="L55" s="235">
        <v>8295.68</v>
      </c>
      <c r="M55" s="235">
        <v>5230.3599999999997</v>
      </c>
      <c r="N55" s="235">
        <v>5230.3599999999997</v>
      </c>
      <c r="O55" s="302">
        <v>8765.5</v>
      </c>
      <c r="P55" s="237">
        <f t="shared" si="8"/>
        <v>84895.950000000012</v>
      </c>
      <c r="Q55" s="235"/>
      <c r="R55" s="235">
        <v>84095.9</v>
      </c>
      <c r="S55" s="235">
        <v>0</v>
      </c>
      <c r="T55" s="235">
        <v>0</v>
      </c>
      <c r="U55" s="237">
        <f t="shared" si="9"/>
        <v>84095.9</v>
      </c>
      <c r="V55" s="235">
        <v>792.98</v>
      </c>
      <c r="W55" s="235">
        <v>0</v>
      </c>
      <c r="X55" s="237">
        <f t="shared" si="10"/>
        <v>792.98</v>
      </c>
      <c r="Y55" s="235">
        <v>7.07</v>
      </c>
      <c r="Z55" s="235">
        <v>0</v>
      </c>
      <c r="AA55" s="258">
        <f t="shared" si="11"/>
        <v>84895.95</v>
      </c>
      <c r="AB55" t="b">
        <f t="shared" si="12"/>
        <v>1</v>
      </c>
    </row>
    <row r="56" spans="1:28">
      <c r="A56" s="179">
        <v>43</v>
      </c>
      <c r="B56" t="s">
        <v>239</v>
      </c>
      <c r="C56" t="s">
        <v>743</v>
      </c>
      <c r="D56" s="235">
        <v>50076.02</v>
      </c>
      <c r="E56" s="235">
        <v>52954.840000000004</v>
      </c>
      <c r="F56" s="235">
        <v>52954.81</v>
      </c>
      <c r="G56" s="235">
        <v>52954.94</v>
      </c>
      <c r="H56" s="235">
        <v>52954.79</v>
      </c>
      <c r="I56" s="235">
        <v>52954.84</v>
      </c>
      <c r="J56" s="235">
        <v>52954.79</v>
      </c>
      <c r="K56" s="235">
        <v>52963.9</v>
      </c>
      <c r="L56" s="235">
        <v>52954.8</v>
      </c>
      <c r="M56" s="235">
        <v>52954.85</v>
      </c>
      <c r="N56" s="235">
        <v>52954.83</v>
      </c>
      <c r="O56" s="302">
        <v>58101.73</v>
      </c>
      <c r="P56" s="237">
        <f t="shared" si="8"/>
        <v>637735.1399999999</v>
      </c>
      <c r="Q56" s="235"/>
      <c r="R56" s="235">
        <v>621460.15</v>
      </c>
      <c r="S56" s="235">
        <v>0</v>
      </c>
      <c r="T56" s="235">
        <v>0</v>
      </c>
      <c r="U56" s="237">
        <f t="shared" si="9"/>
        <v>621460.15</v>
      </c>
      <c r="V56" s="235">
        <v>16274.99</v>
      </c>
      <c r="W56" s="235">
        <v>0</v>
      </c>
      <c r="X56" s="237">
        <f t="shared" si="10"/>
        <v>16274.99</v>
      </c>
      <c r="Y56" s="235">
        <v>0</v>
      </c>
      <c r="Z56" s="235">
        <v>0</v>
      </c>
      <c r="AA56" s="258">
        <f t="shared" si="11"/>
        <v>637735.14</v>
      </c>
      <c r="AB56" t="b">
        <f t="shared" si="12"/>
        <v>1</v>
      </c>
    </row>
    <row r="57" spans="1:28">
      <c r="A57" s="179">
        <v>44</v>
      </c>
      <c r="B57" t="s">
        <v>235</v>
      </c>
      <c r="C57" t="s">
        <v>743</v>
      </c>
      <c r="D57" s="235">
        <v>40971.29</v>
      </c>
      <c r="E57" s="235">
        <v>43326.689999999995</v>
      </c>
      <c r="F57" s="235">
        <v>43326.66</v>
      </c>
      <c r="G57" s="235">
        <v>43326.77</v>
      </c>
      <c r="H57" s="235">
        <v>43326.65</v>
      </c>
      <c r="I57" s="235">
        <v>43326.69</v>
      </c>
      <c r="J57" s="235">
        <v>43326.64</v>
      </c>
      <c r="K57" s="235">
        <v>43334.1</v>
      </c>
      <c r="L57" s="235">
        <v>43326.65</v>
      </c>
      <c r="M57" s="235">
        <v>43326.7</v>
      </c>
      <c r="N57" s="235">
        <v>43326.68</v>
      </c>
      <c r="O57" s="302">
        <v>43576.3</v>
      </c>
      <c r="P57" s="237">
        <f t="shared" si="8"/>
        <v>517821.82</v>
      </c>
      <c r="Q57" s="235"/>
      <c r="R57" s="235">
        <v>512941.9</v>
      </c>
      <c r="S57" s="235">
        <v>0</v>
      </c>
      <c r="T57" s="235">
        <v>0</v>
      </c>
      <c r="U57" s="237">
        <f t="shared" si="9"/>
        <v>512941.9</v>
      </c>
      <c r="V57" s="235">
        <v>4836.79</v>
      </c>
      <c r="W57" s="235">
        <v>0</v>
      </c>
      <c r="X57" s="237">
        <f t="shared" si="10"/>
        <v>4836.79</v>
      </c>
      <c r="Y57" s="235">
        <v>43.13</v>
      </c>
      <c r="Z57" s="235">
        <v>0</v>
      </c>
      <c r="AA57" s="258">
        <f t="shared" si="11"/>
        <v>517821.82</v>
      </c>
      <c r="AB57" t="b">
        <f t="shared" si="12"/>
        <v>1</v>
      </c>
    </row>
    <row r="58" spans="1:28">
      <c r="A58" s="179">
        <v>45</v>
      </c>
      <c r="B58" t="s">
        <v>258</v>
      </c>
      <c r="C58" t="s">
        <v>743</v>
      </c>
      <c r="D58" s="235">
        <v>22761.83</v>
      </c>
      <c r="E58" s="235">
        <v>24070.38</v>
      </c>
      <c r="F58" s="235">
        <v>24070.37</v>
      </c>
      <c r="G58" s="235">
        <v>24070.43</v>
      </c>
      <c r="H58" s="235">
        <v>24070.36</v>
      </c>
      <c r="I58" s="235">
        <v>24070.38</v>
      </c>
      <c r="J58" s="235">
        <v>24070.36</v>
      </c>
      <c r="K58" s="235">
        <v>24074.5</v>
      </c>
      <c r="L58" s="235">
        <v>24070.36</v>
      </c>
      <c r="M58" s="235">
        <v>24070.39</v>
      </c>
      <c r="N58" s="235">
        <v>24070.38</v>
      </c>
      <c r="O58" s="302">
        <v>24209.06</v>
      </c>
      <c r="P58" s="237">
        <f t="shared" si="8"/>
        <v>287678.8</v>
      </c>
      <c r="Q58" s="235"/>
      <c r="R58" s="235">
        <v>0</v>
      </c>
      <c r="S58" s="235">
        <v>0</v>
      </c>
      <c r="T58" s="235">
        <v>0</v>
      </c>
      <c r="U58" s="237">
        <f t="shared" si="9"/>
        <v>0</v>
      </c>
      <c r="V58" s="235">
        <v>0</v>
      </c>
      <c r="W58" s="235">
        <v>0</v>
      </c>
      <c r="X58" s="237">
        <f t="shared" si="10"/>
        <v>0</v>
      </c>
      <c r="Y58" s="235">
        <v>287678.8</v>
      </c>
      <c r="Z58" s="235">
        <v>0</v>
      </c>
      <c r="AA58" s="258">
        <f t="shared" si="11"/>
        <v>287678.8</v>
      </c>
      <c r="AB58" t="b">
        <f t="shared" si="12"/>
        <v>1</v>
      </c>
    </row>
    <row r="59" spans="1:28">
      <c r="A59" s="179">
        <v>46</v>
      </c>
      <c r="B59" t="s">
        <v>277</v>
      </c>
      <c r="C59" t="s">
        <v>743</v>
      </c>
      <c r="D59" s="235">
        <v>5.8207660913467407E-11</v>
      </c>
      <c r="E59" s="235">
        <v>5.0058658607188278E-11</v>
      </c>
      <c r="F59" s="235">
        <v>5.8207660913467407E-11</v>
      </c>
      <c r="G59" s="235">
        <v>3.6088909638465339E-11</v>
      </c>
      <c r="H59" s="235">
        <v>2.3283033487309091E-11</v>
      </c>
      <c r="I59" s="235">
        <v>1.3969797540980267E-11</v>
      </c>
      <c r="J59" s="235">
        <v>-1.6298185023799761E-11</v>
      </c>
      <c r="K59" s="235">
        <v>-1.1641437813736388E-11</v>
      </c>
      <c r="L59" s="235">
        <v>5.8207660913467407E-11</v>
      </c>
      <c r="M59" s="235">
        <v>-3.7252943785315296E-11</v>
      </c>
      <c r="N59" s="235">
        <v>5.8207660913467407E-11</v>
      </c>
      <c r="O59" s="302">
        <v>2.9103830456733704E-11</v>
      </c>
      <c r="P59" s="237">
        <f t="shared" si="8"/>
        <v>3.2014230676169486E-10</v>
      </c>
      <c r="Q59" s="235"/>
      <c r="R59" s="235">
        <v>0</v>
      </c>
      <c r="S59" s="235">
        <v>0</v>
      </c>
      <c r="T59" s="235">
        <v>0</v>
      </c>
      <c r="U59" s="237">
        <f t="shared" si="9"/>
        <v>0</v>
      </c>
      <c r="V59" s="235">
        <v>0</v>
      </c>
      <c r="W59" s="235">
        <v>0</v>
      </c>
      <c r="X59" s="237">
        <f t="shared" si="10"/>
        <v>0</v>
      </c>
      <c r="Y59" s="235">
        <v>0</v>
      </c>
      <c r="Z59" s="235">
        <v>0</v>
      </c>
      <c r="AA59" s="258">
        <f t="shared" si="11"/>
        <v>0</v>
      </c>
      <c r="AB59" t="b">
        <f t="shared" si="12"/>
        <v>1</v>
      </c>
    </row>
    <row r="60" spans="1:28">
      <c r="A60" s="179">
        <v>47</v>
      </c>
      <c r="B60" t="s">
        <v>250</v>
      </c>
      <c r="C60" t="s">
        <v>744</v>
      </c>
      <c r="D60" s="235">
        <v>3389.2</v>
      </c>
      <c r="E60" s="235">
        <v>3708.6</v>
      </c>
      <c r="F60" s="235">
        <v>1854.3</v>
      </c>
      <c r="G60" s="235">
        <v>1854.3</v>
      </c>
      <c r="H60" s="235">
        <v>1854.3</v>
      </c>
      <c r="I60" s="235">
        <v>1854.3</v>
      </c>
      <c r="J60" s="235">
        <v>1854.3</v>
      </c>
      <c r="K60" s="235">
        <v>1854.3</v>
      </c>
      <c r="L60" s="235">
        <v>1917.37</v>
      </c>
      <c r="M60" s="235">
        <v>1854.3</v>
      </c>
      <c r="N60" s="235">
        <v>1854.3</v>
      </c>
      <c r="O60" s="302">
        <v>-269.56</v>
      </c>
      <c r="P60" s="237">
        <f t="shared" si="8"/>
        <v>23580.009999999991</v>
      </c>
      <c r="Q60" s="235"/>
      <c r="R60" s="235">
        <v>29.16</v>
      </c>
      <c r="S60" s="235">
        <v>0</v>
      </c>
      <c r="T60" s="235">
        <v>0</v>
      </c>
      <c r="U60" s="237">
        <f t="shared" si="9"/>
        <v>29.16</v>
      </c>
      <c r="V60" s="235">
        <f>+P60-R60-S60-T60-W60-Y60-Z60</f>
        <v>22934.05999999999</v>
      </c>
      <c r="W60" s="235">
        <v>0</v>
      </c>
      <c r="X60" s="237">
        <f t="shared" si="10"/>
        <v>22934.05999999999</v>
      </c>
      <c r="Y60" s="235">
        <v>585.33000000000004</v>
      </c>
      <c r="Z60" s="235">
        <v>31.46</v>
      </c>
      <c r="AA60" s="258">
        <f t="shared" si="11"/>
        <v>23580.009999999991</v>
      </c>
      <c r="AB60" t="b">
        <f t="shared" si="12"/>
        <v>1</v>
      </c>
    </row>
    <row r="61" spans="1:28">
      <c r="A61" s="179">
        <v>48</v>
      </c>
      <c r="B61" t="s">
        <v>255</v>
      </c>
      <c r="C61" t="s">
        <v>744</v>
      </c>
      <c r="D61" s="235">
        <v>13245</v>
      </c>
      <c r="E61" s="235">
        <v>26490</v>
      </c>
      <c r="F61" s="235">
        <v>13245</v>
      </c>
      <c r="G61" s="235">
        <v>13245</v>
      </c>
      <c r="H61" s="235">
        <v>13245</v>
      </c>
      <c r="I61" s="235">
        <v>13245</v>
      </c>
      <c r="J61" s="235">
        <v>13245</v>
      </c>
      <c r="K61" s="235">
        <v>13245</v>
      </c>
      <c r="L61" s="235">
        <v>13245</v>
      </c>
      <c r="M61" s="235">
        <v>13245</v>
      </c>
      <c r="N61" s="235">
        <v>13245</v>
      </c>
      <c r="O61" s="302">
        <v>0</v>
      </c>
      <c r="P61" s="237">
        <f t="shared" si="8"/>
        <v>158940</v>
      </c>
      <c r="Q61" s="235"/>
      <c r="R61" s="235">
        <v>0</v>
      </c>
      <c r="S61" s="235">
        <v>0</v>
      </c>
      <c r="T61" s="235">
        <v>0</v>
      </c>
      <c r="U61" s="237">
        <f t="shared" si="9"/>
        <v>0</v>
      </c>
      <c r="V61" s="235">
        <v>0</v>
      </c>
      <c r="W61" s="235">
        <v>0</v>
      </c>
      <c r="X61" s="237">
        <f t="shared" si="10"/>
        <v>0</v>
      </c>
      <c r="Y61" s="235">
        <v>158940</v>
      </c>
      <c r="Z61" s="235">
        <v>0</v>
      </c>
      <c r="AA61" s="258">
        <f t="shared" si="11"/>
        <v>158940</v>
      </c>
      <c r="AB61" t="b">
        <f t="shared" si="12"/>
        <v>1</v>
      </c>
    </row>
    <row r="62" spans="1:28">
      <c r="A62" s="179">
        <v>49</v>
      </c>
      <c r="B62" t="s">
        <v>235</v>
      </c>
      <c r="C62" t="s">
        <v>744</v>
      </c>
      <c r="D62" s="235">
        <v>21938.29</v>
      </c>
      <c r="E62" s="235">
        <v>0</v>
      </c>
      <c r="F62" s="235">
        <v>0</v>
      </c>
      <c r="G62" s="235">
        <v>0</v>
      </c>
      <c r="H62" s="235">
        <v>0</v>
      </c>
      <c r="I62" s="235">
        <v>0</v>
      </c>
      <c r="J62" s="235">
        <v>0</v>
      </c>
      <c r="K62" s="235">
        <v>0</v>
      </c>
      <c r="L62" s="235">
        <v>450.53</v>
      </c>
      <c r="M62" s="235">
        <v>0</v>
      </c>
      <c r="N62" s="235">
        <v>0</v>
      </c>
      <c r="O62" s="302">
        <v>-1172.01</v>
      </c>
      <c r="P62" s="237">
        <f t="shared" si="8"/>
        <v>21216.81</v>
      </c>
      <c r="Q62" s="235"/>
      <c r="R62" s="235">
        <v>21016.86</v>
      </c>
      <c r="S62" s="235">
        <v>0</v>
      </c>
      <c r="T62" s="235">
        <v>0</v>
      </c>
      <c r="U62" s="237">
        <f t="shared" si="9"/>
        <v>21016.86</v>
      </c>
      <c r="V62" s="235">
        <v>198.18</v>
      </c>
      <c r="W62" s="235">
        <v>0</v>
      </c>
      <c r="X62" s="237">
        <f t="shared" si="10"/>
        <v>198.18</v>
      </c>
      <c r="Y62" s="235">
        <v>1.77</v>
      </c>
      <c r="Z62" s="235">
        <v>0</v>
      </c>
      <c r="AA62" s="258">
        <f t="shared" si="11"/>
        <v>21216.81</v>
      </c>
      <c r="AB62" t="b">
        <f t="shared" si="12"/>
        <v>1</v>
      </c>
    </row>
    <row r="63" spans="1:28">
      <c r="A63" s="179">
        <v>50</v>
      </c>
      <c r="B63" t="s">
        <v>250</v>
      </c>
      <c r="C63" t="s">
        <v>746</v>
      </c>
      <c r="D63" s="235">
        <v>62109.299999999996</v>
      </c>
      <c r="E63" s="235">
        <v>3003.15</v>
      </c>
      <c r="F63" s="235">
        <v>182619.32</v>
      </c>
      <c r="G63" s="235">
        <v>62904.160000000003</v>
      </c>
      <c r="H63" s="235">
        <v>62904.37</v>
      </c>
      <c r="I63" s="235">
        <v>62904.36</v>
      </c>
      <c r="J63" s="235">
        <v>62904.37</v>
      </c>
      <c r="K63" s="235">
        <v>0</v>
      </c>
      <c r="L63" s="235">
        <v>0</v>
      </c>
      <c r="M63" s="235">
        <v>0</v>
      </c>
      <c r="N63" s="235">
        <v>0</v>
      </c>
      <c r="O63" s="302">
        <v>0</v>
      </c>
      <c r="P63" s="237">
        <f t="shared" si="8"/>
        <v>499349.03</v>
      </c>
      <c r="Q63" s="235"/>
      <c r="R63" s="235">
        <v>617.54</v>
      </c>
      <c r="S63" s="235">
        <v>0</v>
      </c>
      <c r="T63" s="235">
        <v>0</v>
      </c>
      <c r="U63" s="237">
        <f t="shared" si="9"/>
        <v>617.54</v>
      </c>
      <c r="V63" s="235">
        <v>485669.69</v>
      </c>
      <c r="W63" s="235">
        <v>0</v>
      </c>
      <c r="X63" s="237">
        <f t="shared" si="10"/>
        <v>485669.69</v>
      </c>
      <c r="Y63" s="235">
        <v>12395.5</v>
      </c>
      <c r="Z63" s="235">
        <v>666.3</v>
      </c>
      <c r="AA63" s="258">
        <f t="shared" si="11"/>
        <v>499349.02999999997</v>
      </c>
      <c r="AB63" t="b">
        <f t="shared" si="12"/>
        <v>1</v>
      </c>
    </row>
    <row r="64" spans="1:28">
      <c r="A64" s="179">
        <v>51</v>
      </c>
      <c r="B64" t="s">
        <v>288</v>
      </c>
      <c r="C64" t="s">
        <v>746</v>
      </c>
      <c r="D64" s="235">
        <v>27149.729999999996</v>
      </c>
      <c r="E64" s="235">
        <v>1312.76</v>
      </c>
      <c r="F64" s="235">
        <v>79828.11</v>
      </c>
      <c r="G64" s="235">
        <v>27497.200000000001</v>
      </c>
      <c r="H64" s="235">
        <v>27497.29</v>
      </c>
      <c r="I64" s="235">
        <v>27497.29</v>
      </c>
      <c r="J64" s="235">
        <v>27497.29</v>
      </c>
      <c r="K64" s="235">
        <v>0</v>
      </c>
      <c r="L64" s="235">
        <v>0</v>
      </c>
      <c r="M64" s="235">
        <v>0</v>
      </c>
      <c r="N64" s="235">
        <v>0</v>
      </c>
      <c r="O64" s="302">
        <v>0</v>
      </c>
      <c r="P64" s="237">
        <f t="shared" si="8"/>
        <v>218279.67</v>
      </c>
      <c r="Q64" s="235"/>
      <c r="R64" s="235">
        <v>9393.01</v>
      </c>
      <c r="S64" s="235">
        <v>0</v>
      </c>
      <c r="T64" s="235">
        <v>0</v>
      </c>
      <c r="U64" s="237">
        <f t="shared" si="9"/>
        <v>9393.01</v>
      </c>
      <c r="V64" s="235">
        <v>115803.1</v>
      </c>
      <c r="W64" s="235">
        <v>0</v>
      </c>
      <c r="X64" s="237">
        <f t="shared" si="10"/>
        <v>115803.1</v>
      </c>
      <c r="Y64" s="235">
        <v>7580.48</v>
      </c>
      <c r="Z64" s="235">
        <v>85503.08</v>
      </c>
      <c r="AA64" s="258">
        <f t="shared" si="11"/>
        <v>218279.66999999998</v>
      </c>
      <c r="AB64" t="b">
        <f t="shared" si="12"/>
        <v>1</v>
      </c>
    </row>
    <row r="65" spans="1:28">
      <c r="A65" s="179">
        <v>52</v>
      </c>
      <c r="B65" t="s">
        <v>277</v>
      </c>
      <c r="C65" t="s">
        <v>746</v>
      </c>
      <c r="D65" s="235">
        <v>37146.269999999997</v>
      </c>
      <c r="E65" s="235">
        <v>1796.1399999999999</v>
      </c>
      <c r="F65" s="235">
        <v>109220.86</v>
      </c>
      <c r="G65" s="235">
        <v>37621.71</v>
      </c>
      <c r="H65" s="235">
        <v>37621.800000000003</v>
      </c>
      <c r="I65" s="235">
        <v>37621.829999999994</v>
      </c>
      <c r="J65" s="235">
        <v>37621.800000000003</v>
      </c>
      <c r="K65" s="235">
        <v>0.02</v>
      </c>
      <c r="L65" s="235">
        <v>-0.02</v>
      </c>
      <c r="M65" s="235">
        <v>0.02</v>
      </c>
      <c r="N65" s="235">
        <v>-0.02</v>
      </c>
      <c r="O65" s="302">
        <v>0.02</v>
      </c>
      <c r="P65" s="237">
        <f t="shared" si="8"/>
        <v>298650.43</v>
      </c>
      <c r="Q65" s="235"/>
      <c r="R65" s="235">
        <v>87280.09</v>
      </c>
      <c r="S65" s="235">
        <v>0</v>
      </c>
      <c r="T65" s="235">
        <v>0</v>
      </c>
      <c r="U65" s="237">
        <f t="shared" si="9"/>
        <v>87280.09</v>
      </c>
      <c r="V65" s="235">
        <f>+P65-R65-S65-T65-W65-Y65-Z65</f>
        <v>129027.94</v>
      </c>
      <c r="W65" s="235">
        <v>0</v>
      </c>
      <c r="X65" s="237">
        <f t="shared" si="10"/>
        <v>129027.94</v>
      </c>
      <c r="Y65" s="235">
        <v>31979.43</v>
      </c>
      <c r="Z65" s="235">
        <v>50362.97</v>
      </c>
      <c r="AA65" s="258">
        <f t="shared" si="11"/>
        <v>298650.43</v>
      </c>
      <c r="AB65" t="b">
        <f t="shared" si="12"/>
        <v>1</v>
      </c>
    </row>
    <row r="66" spans="1:28">
      <c r="A66" s="179">
        <v>53</v>
      </c>
      <c r="B66" t="s">
        <v>246</v>
      </c>
      <c r="C66" t="s">
        <v>746</v>
      </c>
      <c r="D66" s="235">
        <v>2.9103830456733704E-11</v>
      </c>
      <c r="E66" s="235">
        <v>0</v>
      </c>
      <c r="F66" s="235">
        <v>-0.9300000001094304</v>
      </c>
      <c r="G66" s="235">
        <v>0.92999999999301508</v>
      </c>
      <c r="H66" s="235">
        <v>-2.9103830456733704E-11</v>
      </c>
      <c r="I66" s="235">
        <v>-2.9103830456733704E-11</v>
      </c>
      <c r="J66" s="235">
        <v>-2.9103830456733704E-11</v>
      </c>
      <c r="K66" s="235">
        <v>0</v>
      </c>
      <c r="L66" s="235">
        <v>0</v>
      </c>
      <c r="M66" s="235">
        <v>0</v>
      </c>
      <c r="N66" s="235">
        <v>0</v>
      </c>
      <c r="O66" s="302">
        <v>0</v>
      </c>
      <c r="P66" s="237">
        <f t="shared" si="8"/>
        <v>-1.7462298274040222E-10</v>
      </c>
      <c r="Q66" s="235"/>
      <c r="R66" s="235">
        <v>0</v>
      </c>
      <c r="S66" s="235">
        <v>0</v>
      </c>
      <c r="T66" s="235">
        <v>0</v>
      </c>
      <c r="U66" s="237">
        <f t="shared" si="9"/>
        <v>0</v>
      </c>
      <c r="V66" s="235">
        <v>0</v>
      </c>
      <c r="W66" s="235">
        <v>0</v>
      </c>
      <c r="X66" s="237">
        <f t="shared" si="10"/>
        <v>0</v>
      </c>
      <c r="Y66" s="235">
        <v>0</v>
      </c>
      <c r="Z66" s="235">
        <v>0</v>
      </c>
      <c r="AA66" s="258">
        <f t="shared" si="11"/>
        <v>0</v>
      </c>
      <c r="AB66" t="b">
        <f t="shared" si="12"/>
        <v>1</v>
      </c>
    </row>
    <row r="67" spans="1:28">
      <c r="A67" s="179">
        <v>54</v>
      </c>
      <c r="B67" t="s">
        <v>250</v>
      </c>
      <c r="C67" t="s">
        <v>747</v>
      </c>
      <c r="D67" s="235">
        <v>8575.2000000000007</v>
      </c>
      <c r="E67" s="235">
        <v>2630.06</v>
      </c>
      <c r="F67" s="235">
        <v>2630.06</v>
      </c>
      <c r="G67" s="235">
        <v>2630.06</v>
      </c>
      <c r="H67" s="235">
        <v>2630.06</v>
      </c>
      <c r="I67" s="235">
        <v>2630.06</v>
      </c>
      <c r="J67" s="235">
        <v>2630.06</v>
      </c>
      <c r="K67" s="235">
        <v>2630.06</v>
      </c>
      <c r="L67" s="235">
        <v>2816.53</v>
      </c>
      <c r="M67" s="235">
        <v>0</v>
      </c>
      <c r="N67" s="235">
        <v>5391.62</v>
      </c>
      <c r="O67" s="302">
        <v>2429.38</v>
      </c>
      <c r="P67" s="237">
        <f t="shared" si="8"/>
        <v>37623.15</v>
      </c>
      <c r="Q67" s="235"/>
      <c r="R67" s="235">
        <v>46.53</v>
      </c>
      <c r="S67" s="235">
        <v>0</v>
      </c>
      <c r="T67" s="235">
        <v>0</v>
      </c>
      <c r="U67" s="237">
        <f t="shared" si="9"/>
        <v>46.53</v>
      </c>
      <c r="V67" s="235">
        <v>36592.49</v>
      </c>
      <c r="W67" s="235">
        <v>0</v>
      </c>
      <c r="X67" s="237">
        <f t="shared" si="10"/>
        <v>36592.49</v>
      </c>
      <c r="Y67" s="235">
        <v>933.93</v>
      </c>
      <c r="Z67" s="235">
        <v>50.2</v>
      </c>
      <c r="AA67" s="258">
        <f t="shared" si="11"/>
        <v>37623.149999999994</v>
      </c>
      <c r="AB67" t="b">
        <f t="shared" si="12"/>
        <v>1</v>
      </c>
    </row>
    <row r="68" spans="1:28">
      <c r="A68" s="179">
        <v>55</v>
      </c>
      <c r="B68" t="s">
        <v>288</v>
      </c>
      <c r="C68" t="s">
        <v>747</v>
      </c>
      <c r="D68" s="235">
        <v>12576.96</v>
      </c>
      <c r="E68" s="235">
        <v>3857.42</v>
      </c>
      <c r="F68" s="235">
        <v>3857.42</v>
      </c>
      <c r="G68" s="235">
        <v>3857.42</v>
      </c>
      <c r="H68" s="235">
        <v>3857.42</v>
      </c>
      <c r="I68" s="235">
        <v>3857.42</v>
      </c>
      <c r="J68" s="235">
        <v>3857.42</v>
      </c>
      <c r="K68" s="235">
        <v>3857.42</v>
      </c>
      <c r="L68" s="235">
        <v>4130.8999999999996</v>
      </c>
      <c r="M68" s="235">
        <v>0</v>
      </c>
      <c r="N68" s="235">
        <v>7907.72</v>
      </c>
      <c r="O68" s="302">
        <v>3563.09</v>
      </c>
      <c r="P68" s="237">
        <f t="shared" si="8"/>
        <v>55180.609999999986</v>
      </c>
      <c r="Q68" s="235"/>
      <c r="R68" s="235">
        <v>2374.5300000000002</v>
      </c>
      <c r="S68" s="235">
        <v>0</v>
      </c>
      <c r="T68" s="235">
        <v>0</v>
      </c>
      <c r="U68" s="237">
        <f t="shared" si="9"/>
        <v>2374.5300000000002</v>
      </c>
      <c r="V68" s="235">
        <v>29274.76</v>
      </c>
      <c r="W68" s="235">
        <v>0</v>
      </c>
      <c r="X68" s="237">
        <f t="shared" si="10"/>
        <v>29274.76</v>
      </c>
      <c r="Y68" s="235">
        <v>1916.33</v>
      </c>
      <c r="Z68" s="235">
        <v>21614.99</v>
      </c>
      <c r="AA68" s="258">
        <f t="shared" si="11"/>
        <v>55180.61</v>
      </c>
      <c r="AB68" t="b">
        <f t="shared" si="12"/>
        <v>1</v>
      </c>
    </row>
    <row r="69" spans="1:28">
      <c r="A69" s="179">
        <v>56</v>
      </c>
      <c r="B69" t="s">
        <v>235</v>
      </c>
      <c r="C69" t="s">
        <v>747</v>
      </c>
      <c r="D69" s="235">
        <v>7431.84</v>
      </c>
      <c r="E69" s="235">
        <v>2279.39</v>
      </c>
      <c r="F69" s="235">
        <v>2279.39</v>
      </c>
      <c r="G69" s="235">
        <v>2279.39</v>
      </c>
      <c r="H69" s="235">
        <v>2279.39</v>
      </c>
      <c r="I69" s="235">
        <v>2279.39</v>
      </c>
      <c r="J69" s="235">
        <v>2279.39</v>
      </c>
      <c r="K69" s="235">
        <v>2279.39</v>
      </c>
      <c r="L69" s="235">
        <v>2440.9899999999998</v>
      </c>
      <c r="M69" s="235">
        <v>0</v>
      </c>
      <c r="N69" s="235">
        <v>4672.74</v>
      </c>
      <c r="O69" s="302">
        <v>2105.46</v>
      </c>
      <c r="P69" s="237">
        <f t="shared" si="8"/>
        <v>32606.759999999995</v>
      </c>
      <c r="Q69" s="235"/>
      <c r="R69" s="235">
        <v>32299.48</v>
      </c>
      <c r="S69" s="235">
        <v>0</v>
      </c>
      <c r="T69" s="235">
        <v>0</v>
      </c>
      <c r="U69" s="237">
        <f t="shared" si="9"/>
        <v>32299.48</v>
      </c>
      <c r="V69" s="235">
        <f>+P69-R69-S69-T69-W69-Y69-Z69</f>
        <v>304.55999999999517</v>
      </c>
      <c r="W69" s="235">
        <v>0</v>
      </c>
      <c r="X69" s="237">
        <f t="shared" si="10"/>
        <v>304.55999999999517</v>
      </c>
      <c r="Y69" s="235">
        <v>2.72</v>
      </c>
      <c r="Z69" s="235">
        <v>0</v>
      </c>
      <c r="AA69" s="258">
        <f t="shared" si="11"/>
        <v>32606.759999999995</v>
      </c>
      <c r="AB69" t="b">
        <f t="shared" si="12"/>
        <v>1</v>
      </c>
    </row>
    <row r="70" spans="1:28">
      <c r="A70" s="179">
        <v>57</v>
      </c>
      <c r="B70" t="s">
        <v>250</v>
      </c>
      <c r="C70" t="s">
        <v>748</v>
      </c>
      <c r="D70" s="235">
        <v>0</v>
      </c>
      <c r="E70" s="235">
        <v>1200</v>
      </c>
      <c r="F70" s="235">
        <v>600</v>
      </c>
      <c r="G70" s="235">
        <v>735</v>
      </c>
      <c r="H70" s="235">
        <v>600</v>
      </c>
      <c r="I70" s="235">
        <v>600</v>
      </c>
      <c r="J70" s="235">
        <v>600</v>
      </c>
      <c r="K70" s="235">
        <v>600</v>
      </c>
      <c r="L70" s="235">
        <v>600</v>
      </c>
      <c r="M70" s="235">
        <v>600</v>
      </c>
      <c r="N70" s="235">
        <v>600</v>
      </c>
      <c r="O70" s="302">
        <v>600</v>
      </c>
      <c r="P70" s="237">
        <f t="shared" si="8"/>
        <v>7335</v>
      </c>
      <c r="Q70" s="235"/>
      <c r="R70" s="235">
        <v>9.07</v>
      </c>
      <c r="S70" s="235">
        <v>0</v>
      </c>
      <c r="T70" s="235">
        <v>0</v>
      </c>
      <c r="U70" s="237">
        <f t="shared" si="9"/>
        <v>9.07</v>
      </c>
      <c r="V70" s="235">
        <v>7134.06</v>
      </c>
      <c r="W70" s="235">
        <v>0</v>
      </c>
      <c r="X70" s="237">
        <f t="shared" si="10"/>
        <v>7134.06</v>
      </c>
      <c r="Y70" s="235">
        <v>182.08</v>
      </c>
      <c r="Z70" s="235">
        <v>9.7899999999999991</v>
      </c>
      <c r="AA70" s="258">
        <f t="shared" si="11"/>
        <v>7335</v>
      </c>
      <c r="AB70" t="b">
        <f t="shared" si="12"/>
        <v>1</v>
      </c>
    </row>
    <row r="71" spans="1:28">
      <c r="A71" s="179">
        <v>58</v>
      </c>
      <c r="B71" t="s">
        <v>250</v>
      </c>
      <c r="C71" t="s">
        <v>749</v>
      </c>
      <c r="D71" s="235">
        <v>1129.95</v>
      </c>
      <c r="E71" s="235">
        <v>0</v>
      </c>
      <c r="F71" s="235">
        <v>-292.61</v>
      </c>
      <c r="G71" s="235">
        <v>0</v>
      </c>
      <c r="H71" s="235">
        <v>0</v>
      </c>
      <c r="I71" s="235">
        <v>0</v>
      </c>
      <c r="J71" s="235">
        <v>0</v>
      </c>
      <c r="K71" s="235">
        <v>0</v>
      </c>
      <c r="L71" s="235">
        <v>0</v>
      </c>
      <c r="M71" s="235">
        <v>0</v>
      </c>
      <c r="N71" s="235">
        <v>0</v>
      </c>
      <c r="O71" s="302">
        <v>0</v>
      </c>
      <c r="P71" s="237">
        <f t="shared" si="8"/>
        <v>837.34</v>
      </c>
      <c r="Q71" s="235"/>
      <c r="R71" s="235">
        <v>1.04</v>
      </c>
      <c r="S71" s="235">
        <v>0</v>
      </c>
      <c r="T71" s="235">
        <v>0</v>
      </c>
      <c r="U71" s="237">
        <f t="shared" si="9"/>
        <v>1.04</v>
      </c>
      <c r="V71" s="235">
        <f>+P71-R71-S71-T71-W71-Y71-Z71</f>
        <v>814.3900000000001</v>
      </c>
      <c r="W71" s="235">
        <v>0</v>
      </c>
      <c r="X71" s="237">
        <f t="shared" si="10"/>
        <v>814.3900000000001</v>
      </c>
      <c r="Y71" s="235">
        <v>20.79</v>
      </c>
      <c r="Z71" s="235">
        <v>1.1200000000000001</v>
      </c>
      <c r="AA71" s="258">
        <f t="shared" si="11"/>
        <v>837.34</v>
      </c>
      <c r="AB71" t="b">
        <f t="shared" si="12"/>
        <v>1</v>
      </c>
    </row>
    <row r="72" spans="1:28">
      <c r="A72" s="179">
        <v>59</v>
      </c>
      <c r="B72" t="s">
        <v>288</v>
      </c>
      <c r="C72" t="s">
        <v>750</v>
      </c>
      <c r="D72" s="235">
        <v>18829.95</v>
      </c>
      <c r="E72" s="235">
        <v>5775</v>
      </c>
      <c r="F72" s="235">
        <v>5775</v>
      </c>
      <c r="G72" s="235">
        <v>7279.95</v>
      </c>
      <c r="H72" s="235">
        <v>11550</v>
      </c>
      <c r="I72" s="235">
        <v>5775</v>
      </c>
      <c r="J72" s="235">
        <v>-7279.95</v>
      </c>
      <c r="K72" s="235">
        <v>11550</v>
      </c>
      <c r="L72" s="235">
        <v>6965.67</v>
      </c>
      <c r="M72" s="235">
        <v>0</v>
      </c>
      <c r="N72" s="235">
        <v>5775</v>
      </c>
      <c r="O72" s="302">
        <v>5555.5</v>
      </c>
      <c r="P72" s="237">
        <f t="shared" si="8"/>
        <v>77551.12000000001</v>
      </c>
      <c r="Q72" s="235"/>
      <c r="R72" s="235">
        <v>3337.18</v>
      </c>
      <c r="S72" s="235">
        <v>0</v>
      </c>
      <c r="T72" s="235">
        <v>0</v>
      </c>
      <c r="U72" s="237">
        <f t="shared" si="9"/>
        <v>3337.18</v>
      </c>
      <c r="V72" s="235">
        <f>+P72-R72-S72-T72-W72-Y72-Z72</f>
        <v>41142.900000000016</v>
      </c>
      <c r="W72" s="235">
        <v>0</v>
      </c>
      <c r="X72" s="237">
        <f t="shared" si="10"/>
        <v>41142.900000000016</v>
      </c>
      <c r="Y72" s="235">
        <v>2693.22</v>
      </c>
      <c r="Z72" s="235">
        <v>30377.82</v>
      </c>
      <c r="AA72" s="258">
        <f t="shared" si="11"/>
        <v>77551.120000000024</v>
      </c>
      <c r="AB72" t="b">
        <f t="shared" si="12"/>
        <v>1</v>
      </c>
    </row>
    <row r="73" spans="1:28">
      <c r="A73" s="179">
        <v>60</v>
      </c>
      <c r="B73" t="s">
        <v>235</v>
      </c>
      <c r="C73" t="s">
        <v>750</v>
      </c>
      <c r="D73" s="235">
        <v>2151.9899999999998</v>
      </c>
      <c r="E73" s="235">
        <v>660</v>
      </c>
      <c r="F73" s="235">
        <v>660</v>
      </c>
      <c r="G73" s="235">
        <v>831.99</v>
      </c>
      <c r="H73" s="235">
        <v>1320</v>
      </c>
      <c r="I73" s="235">
        <v>660</v>
      </c>
      <c r="J73" s="235">
        <v>-831.99</v>
      </c>
      <c r="K73" s="235">
        <v>1320</v>
      </c>
      <c r="L73" s="235">
        <v>796.08</v>
      </c>
      <c r="M73" s="235">
        <v>0</v>
      </c>
      <c r="N73" s="235">
        <v>660</v>
      </c>
      <c r="O73" s="302">
        <v>634.91</v>
      </c>
      <c r="P73" s="237">
        <f t="shared" si="8"/>
        <v>8862.98</v>
      </c>
      <c r="Q73" s="235"/>
      <c r="R73" s="235">
        <v>8779.4599999999991</v>
      </c>
      <c r="S73" s="235">
        <v>0</v>
      </c>
      <c r="T73" s="235">
        <v>0</v>
      </c>
      <c r="U73" s="237">
        <f t="shared" si="9"/>
        <v>8779.4599999999991</v>
      </c>
      <c r="V73" s="235">
        <f>+P73-R73-S73-T73-W73-Y73-Z73</f>
        <v>82.780000000000442</v>
      </c>
      <c r="W73" s="235">
        <v>0</v>
      </c>
      <c r="X73" s="237">
        <f t="shared" si="10"/>
        <v>82.780000000000442</v>
      </c>
      <c r="Y73" s="235">
        <v>0.74</v>
      </c>
      <c r="Z73" s="235">
        <v>0</v>
      </c>
      <c r="AA73" s="258">
        <f t="shared" si="11"/>
        <v>8862.98</v>
      </c>
      <c r="AB73" t="b">
        <f t="shared" si="12"/>
        <v>1</v>
      </c>
    </row>
    <row r="74" spans="1:28">
      <c r="A74" s="179">
        <v>61</v>
      </c>
      <c r="B74" t="s">
        <v>250</v>
      </c>
      <c r="C74" t="s">
        <v>751</v>
      </c>
      <c r="D74" s="235">
        <v>11383.61</v>
      </c>
      <c r="E74" s="235">
        <v>5640</v>
      </c>
      <c r="F74" s="235">
        <v>5640</v>
      </c>
      <c r="G74" s="235">
        <v>5640</v>
      </c>
      <c r="H74" s="235">
        <v>5640</v>
      </c>
      <c r="I74" s="235">
        <v>5640</v>
      </c>
      <c r="J74" s="235">
        <v>5640</v>
      </c>
      <c r="K74" s="235">
        <v>5640</v>
      </c>
      <c r="L74" s="235">
        <v>5640.02</v>
      </c>
      <c r="M74" s="235">
        <v>5640</v>
      </c>
      <c r="N74" s="235">
        <v>0</v>
      </c>
      <c r="O74" s="302">
        <v>979.64</v>
      </c>
      <c r="P74" s="237">
        <f t="shared" si="8"/>
        <v>63123.270000000004</v>
      </c>
      <c r="Q74" s="235"/>
      <c r="R74" s="235">
        <v>78.06</v>
      </c>
      <c r="S74" s="235">
        <v>0</v>
      </c>
      <c r="T74" s="235">
        <v>0</v>
      </c>
      <c r="U74" s="237">
        <f t="shared" si="9"/>
        <v>78.06</v>
      </c>
      <c r="V74" s="235">
        <v>61394.05</v>
      </c>
      <c r="W74" s="235">
        <v>0</v>
      </c>
      <c r="X74" s="237">
        <f t="shared" si="10"/>
        <v>61394.05</v>
      </c>
      <c r="Y74" s="235">
        <v>1566.93</v>
      </c>
      <c r="Z74" s="235">
        <v>84.23</v>
      </c>
      <c r="AA74" s="258">
        <f t="shared" si="11"/>
        <v>63123.270000000004</v>
      </c>
      <c r="AB74" t="b">
        <f t="shared" si="12"/>
        <v>1</v>
      </c>
    </row>
    <row r="75" spans="1:28">
      <c r="A75" s="179">
        <v>62</v>
      </c>
      <c r="B75" t="s">
        <v>255</v>
      </c>
      <c r="C75" t="s">
        <v>752</v>
      </c>
      <c r="D75" s="235">
        <v>28641.57</v>
      </c>
      <c r="E75" s="235">
        <v>3068.05</v>
      </c>
      <c r="F75" s="235">
        <v>2750</v>
      </c>
      <c r="G75" s="235">
        <v>2750</v>
      </c>
      <c r="H75" s="235">
        <v>2750</v>
      </c>
      <c r="I75" s="235">
        <v>2750</v>
      </c>
      <c r="J75" s="235">
        <v>2750</v>
      </c>
      <c r="K75" s="235">
        <v>2750</v>
      </c>
      <c r="L75" s="235">
        <v>7135.28</v>
      </c>
      <c r="M75" s="235">
        <v>2750</v>
      </c>
      <c r="N75" s="235">
        <v>2750</v>
      </c>
      <c r="O75" s="302">
        <v>-1816.48</v>
      </c>
      <c r="P75" s="237">
        <f t="shared" si="8"/>
        <v>59028.419999999991</v>
      </c>
      <c r="Q75" s="235"/>
      <c r="R75" s="235">
        <v>0</v>
      </c>
      <c r="S75" s="235">
        <v>0</v>
      </c>
      <c r="T75" s="235">
        <v>0</v>
      </c>
      <c r="U75" s="237">
        <f t="shared" si="9"/>
        <v>0</v>
      </c>
      <c r="V75" s="235">
        <v>0</v>
      </c>
      <c r="W75" s="235">
        <v>0</v>
      </c>
      <c r="X75" s="237">
        <f t="shared" si="10"/>
        <v>0</v>
      </c>
      <c r="Y75" s="235">
        <v>59028.42</v>
      </c>
      <c r="Z75" s="235">
        <v>0</v>
      </c>
      <c r="AA75" s="258">
        <f t="shared" si="11"/>
        <v>59028.42</v>
      </c>
      <c r="AB75" t="b">
        <f t="shared" si="12"/>
        <v>1</v>
      </c>
    </row>
    <row r="76" spans="1:28">
      <c r="A76" s="179">
        <v>63</v>
      </c>
      <c r="B76" t="s">
        <v>288</v>
      </c>
      <c r="C76" t="s">
        <v>752</v>
      </c>
      <c r="D76" s="235">
        <v>3436.99</v>
      </c>
      <c r="E76" s="235">
        <v>368.17</v>
      </c>
      <c r="F76" s="235">
        <v>330</v>
      </c>
      <c r="G76" s="235">
        <v>330</v>
      </c>
      <c r="H76" s="235">
        <v>330</v>
      </c>
      <c r="I76" s="235">
        <v>330</v>
      </c>
      <c r="J76" s="235">
        <v>330</v>
      </c>
      <c r="K76" s="235">
        <v>330</v>
      </c>
      <c r="L76" s="235">
        <v>856.23</v>
      </c>
      <c r="M76" s="235">
        <v>330</v>
      </c>
      <c r="N76" s="235">
        <v>330</v>
      </c>
      <c r="O76" s="302">
        <v>-217.98</v>
      </c>
      <c r="P76" s="237">
        <f t="shared" si="8"/>
        <v>7083.41</v>
      </c>
      <c r="Q76" s="235"/>
      <c r="R76" s="235">
        <v>304.81</v>
      </c>
      <c r="S76" s="235">
        <v>0</v>
      </c>
      <c r="T76" s="235">
        <v>0</v>
      </c>
      <c r="U76" s="237">
        <f t="shared" si="9"/>
        <v>304.81</v>
      </c>
      <c r="V76" s="235">
        <v>3757.94</v>
      </c>
      <c r="W76" s="235">
        <v>0</v>
      </c>
      <c r="X76" s="237">
        <f t="shared" si="10"/>
        <v>3757.94</v>
      </c>
      <c r="Y76" s="235">
        <v>245.99</v>
      </c>
      <c r="Z76" s="235">
        <v>2774.67</v>
      </c>
      <c r="AA76" s="258">
        <f t="shared" si="11"/>
        <v>7083.41</v>
      </c>
      <c r="AB76" t="b">
        <f t="shared" si="12"/>
        <v>1</v>
      </c>
    </row>
    <row r="77" spans="1:28">
      <c r="A77" s="179">
        <v>64</v>
      </c>
      <c r="B77" t="s">
        <v>235</v>
      </c>
      <c r="C77" t="s">
        <v>753</v>
      </c>
      <c r="D77" s="235">
        <v>1373.51</v>
      </c>
      <c r="E77" s="235">
        <v>522</v>
      </c>
      <c r="F77" s="235">
        <v>522</v>
      </c>
      <c r="G77" s="235">
        <v>522</v>
      </c>
      <c r="H77" s="235">
        <v>522</v>
      </c>
      <c r="I77" s="235">
        <v>522</v>
      </c>
      <c r="J77" s="235">
        <v>522</v>
      </c>
      <c r="K77" s="235">
        <v>522</v>
      </c>
      <c r="L77" s="235">
        <v>521.94000000000005</v>
      </c>
      <c r="M77" s="235">
        <v>522</v>
      </c>
      <c r="N77" s="235">
        <v>522</v>
      </c>
      <c r="O77" s="302">
        <v>474.21</v>
      </c>
      <c r="P77" s="237">
        <f t="shared" si="8"/>
        <v>7067.6600000000008</v>
      </c>
      <c r="Q77" s="235"/>
      <c r="R77" s="235">
        <v>7001.05</v>
      </c>
      <c r="S77" s="235">
        <v>0</v>
      </c>
      <c r="T77" s="235">
        <v>0</v>
      </c>
      <c r="U77" s="237">
        <f t="shared" si="9"/>
        <v>7001.05</v>
      </c>
      <c r="V77" s="235">
        <v>66.02</v>
      </c>
      <c r="W77" s="235">
        <v>0</v>
      </c>
      <c r="X77" s="237">
        <f t="shared" si="10"/>
        <v>66.02</v>
      </c>
      <c r="Y77" s="235">
        <v>0.59</v>
      </c>
      <c r="Z77" s="235">
        <v>0</v>
      </c>
      <c r="AA77" s="258">
        <f t="shared" si="11"/>
        <v>7067.6600000000008</v>
      </c>
      <c r="AB77" t="b">
        <f t="shared" si="12"/>
        <v>1</v>
      </c>
    </row>
    <row r="78" spans="1:28">
      <c r="A78" s="179">
        <v>65</v>
      </c>
      <c r="B78" t="s">
        <v>246</v>
      </c>
      <c r="C78" t="s">
        <v>753</v>
      </c>
      <c r="D78" s="235">
        <v>4425.75</v>
      </c>
      <c r="E78" s="235">
        <v>1682</v>
      </c>
      <c r="F78" s="235">
        <v>1682</v>
      </c>
      <c r="G78" s="235">
        <v>1682</v>
      </c>
      <c r="H78" s="235">
        <v>1682</v>
      </c>
      <c r="I78" s="235">
        <v>1682</v>
      </c>
      <c r="J78" s="235">
        <v>1682</v>
      </c>
      <c r="K78" s="235">
        <v>1682</v>
      </c>
      <c r="L78" s="235">
        <v>1681.8</v>
      </c>
      <c r="M78" s="235">
        <v>1682</v>
      </c>
      <c r="N78" s="235">
        <v>1682</v>
      </c>
      <c r="O78" s="302">
        <v>1633.38</v>
      </c>
      <c r="P78" s="237">
        <f t="shared" si="8"/>
        <v>22878.93</v>
      </c>
      <c r="Q78" s="235"/>
      <c r="R78" s="235">
        <v>0</v>
      </c>
      <c r="S78" s="235">
        <v>0</v>
      </c>
      <c r="T78" s="235">
        <v>0</v>
      </c>
      <c r="U78" s="237">
        <f t="shared" si="9"/>
        <v>0</v>
      </c>
      <c r="V78" s="235">
        <v>0</v>
      </c>
      <c r="W78" s="235">
        <v>0</v>
      </c>
      <c r="X78" s="237">
        <f t="shared" si="10"/>
        <v>0</v>
      </c>
      <c r="Y78" s="235">
        <v>22878.93</v>
      </c>
      <c r="Z78" s="235">
        <v>0</v>
      </c>
      <c r="AA78" s="258">
        <f t="shared" si="11"/>
        <v>22878.93</v>
      </c>
      <c r="AB78" t="b">
        <f t="shared" si="12"/>
        <v>1</v>
      </c>
    </row>
    <row r="79" spans="1:28">
      <c r="A79" s="179">
        <v>66</v>
      </c>
      <c r="B79" t="s">
        <v>250</v>
      </c>
      <c r="C79" t="s">
        <v>760</v>
      </c>
      <c r="D79" s="235">
        <v>4410</v>
      </c>
      <c r="E79" s="235">
        <v>4410</v>
      </c>
      <c r="F79" s="235">
        <v>4410</v>
      </c>
      <c r="G79" s="235">
        <v>4410</v>
      </c>
      <c r="H79" s="235">
        <v>4410</v>
      </c>
      <c r="I79" s="235">
        <v>4410</v>
      </c>
      <c r="J79" s="235">
        <v>4410</v>
      </c>
      <c r="K79" s="235">
        <v>4410</v>
      </c>
      <c r="L79" s="235">
        <v>4410</v>
      </c>
      <c r="M79" s="235">
        <v>4410</v>
      </c>
      <c r="N79" s="235">
        <v>4410</v>
      </c>
      <c r="O79" s="302">
        <v>4410</v>
      </c>
      <c r="P79" s="237">
        <f t="shared" si="8"/>
        <v>52920</v>
      </c>
      <c r="Q79" s="235"/>
      <c r="R79" s="235">
        <v>65.45</v>
      </c>
      <c r="S79" s="235">
        <v>0</v>
      </c>
      <c r="T79" s="235">
        <v>0</v>
      </c>
      <c r="U79" s="237">
        <f t="shared" si="9"/>
        <v>65.45</v>
      </c>
      <c r="V79" s="235">
        <v>51470.29</v>
      </c>
      <c r="W79" s="235">
        <v>0</v>
      </c>
      <c r="X79" s="237">
        <f t="shared" si="10"/>
        <v>51470.29</v>
      </c>
      <c r="Y79" s="235">
        <v>1313.65</v>
      </c>
      <c r="Z79" s="235">
        <v>70.61</v>
      </c>
      <c r="AA79" s="258">
        <f t="shared" si="11"/>
        <v>52920</v>
      </c>
      <c r="AB79" t="b">
        <f t="shared" si="12"/>
        <v>1</v>
      </c>
    </row>
    <row r="80" spans="1:28">
      <c r="A80" s="179">
        <v>67</v>
      </c>
      <c r="B80" t="s">
        <v>246</v>
      </c>
      <c r="C80" t="s">
        <v>756</v>
      </c>
      <c r="D80" s="235">
        <v>855.46</v>
      </c>
      <c r="E80" s="235">
        <v>2566.38</v>
      </c>
      <c r="F80" s="235">
        <v>1710.92</v>
      </c>
      <c r="G80" s="235">
        <v>855.46</v>
      </c>
      <c r="H80" s="235">
        <v>855.46</v>
      </c>
      <c r="I80" s="235">
        <v>855.46</v>
      </c>
      <c r="J80" s="235">
        <v>855.46</v>
      </c>
      <c r="K80" s="235">
        <v>855.46</v>
      </c>
      <c r="L80" s="235">
        <v>881.12</v>
      </c>
      <c r="M80" s="235">
        <v>881.12</v>
      </c>
      <c r="N80" s="235">
        <v>881.12</v>
      </c>
      <c r="O80" s="302">
        <v>881.12</v>
      </c>
      <c r="P80" s="237">
        <f t="shared" si="8"/>
        <v>12934.540000000005</v>
      </c>
      <c r="Q80" s="235"/>
      <c r="R80" s="235">
        <v>0</v>
      </c>
      <c r="S80" s="235">
        <v>0</v>
      </c>
      <c r="T80" s="235">
        <v>0</v>
      </c>
      <c r="U80" s="237">
        <f t="shared" si="9"/>
        <v>0</v>
      </c>
      <c r="V80" s="235">
        <v>0</v>
      </c>
      <c r="W80" s="235">
        <v>0</v>
      </c>
      <c r="X80" s="237">
        <f t="shared" si="10"/>
        <v>0</v>
      </c>
      <c r="Y80" s="235">
        <v>12934.54</v>
      </c>
      <c r="Z80" s="235">
        <v>0</v>
      </c>
      <c r="AA80" s="258">
        <f t="shared" si="11"/>
        <v>12934.54</v>
      </c>
      <c r="AB80" t="b">
        <f t="shared" si="12"/>
        <v>1</v>
      </c>
    </row>
    <row r="81" spans="1:28">
      <c r="A81" s="179">
        <v>68</v>
      </c>
      <c r="B81" t="s">
        <v>250</v>
      </c>
      <c r="C81" t="s">
        <v>757</v>
      </c>
      <c r="D81" s="235">
        <v>17927.18</v>
      </c>
      <c r="E81" s="235">
        <v>5120</v>
      </c>
      <c r="F81" s="235">
        <v>5120</v>
      </c>
      <c r="G81" s="235">
        <v>0</v>
      </c>
      <c r="H81" s="235">
        <v>10240</v>
      </c>
      <c r="I81" s="235">
        <v>5120</v>
      </c>
      <c r="J81" s="235">
        <v>0</v>
      </c>
      <c r="K81" s="235">
        <v>10240</v>
      </c>
      <c r="L81" s="235">
        <v>16286.73</v>
      </c>
      <c r="M81" s="235">
        <v>5120</v>
      </c>
      <c r="N81" s="235">
        <v>0</v>
      </c>
      <c r="O81" s="302">
        <v>-890.63</v>
      </c>
      <c r="P81" s="237">
        <f t="shared" si="8"/>
        <v>74283.28</v>
      </c>
      <c r="Q81" s="235"/>
      <c r="R81" s="235">
        <v>91.87</v>
      </c>
      <c r="S81" s="235">
        <v>0</v>
      </c>
      <c r="T81" s="235">
        <v>0</v>
      </c>
      <c r="U81" s="237">
        <f t="shared" si="9"/>
        <v>91.87</v>
      </c>
      <c r="V81" s="235">
        <f>+P81-R81-S81-T81-W81-Y81-Z81</f>
        <v>72248.33</v>
      </c>
      <c r="W81" s="235">
        <v>0</v>
      </c>
      <c r="X81" s="237">
        <f t="shared" si="10"/>
        <v>72248.33</v>
      </c>
      <c r="Y81" s="235">
        <v>1843.96</v>
      </c>
      <c r="Z81" s="235">
        <v>99.12</v>
      </c>
      <c r="AA81" s="258">
        <f t="shared" si="11"/>
        <v>74283.28</v>
      </c>
      <c r="AB81" t="b">
        <f t="shared" si="12"/>
        <v>1</v>
      </c>
    </row>
    <row r="82" spans="1:28">
      <c r="A82" s="179">
        <v>69</v>
      </c>
      <c r="B82" t="s">
        <v>236</v>
      </c>
      <c r="C82" t="s">
        <v>757</v>
      </c>
      <c r="D82" s="235">
        <v>2801.12</v>
      </c>
      <c r="E82" s="235">
        <v>800</v>
      </c>
      <c r="F82" s="235">
        <v>800</v>
      </c>
      <c r="G82" s="235">
        <v>0</v>
      </c>
      <c r="H82" s="235">
        <v>1600</v>
      </c>
      <c r="I82" s="235">
        <v>800</v>
      </c>
      <c r="J82" s="235">
        <v>0</v>
      </c>
      <c r="K82" s="235">
        <v>1600</v>
      </c>
      <c r="L82" s="235">
        <v>2544.8000000000002</v>
      </c>
      <c r="M82" s="235">
        <v>800</v>
      </c>
      <c r="N82" s="235">
        <v>0</v>
      </c>
      <c r="O82" s="302">
        <v>-114.18</v>
      </c>
      <c r="P82" s="237">
        <f t="shared" si="8"/>
        <v>11631.739999999998</v>
      </c>
      <c r="Q82" s="235"/>
      <c r="R82" s="235">
        <v>11631.74</v>
      </c>
      <c r="S82" s="235">
        <v>0</v>
      </c>
      <c r="T82" s="235">
        <v>0</v>
      </c>
      <c r="U82" s="237">
        <f t="shared" si="9"/>
        <v>11631.74</v>
      </c>
      <c r="V82" s="235">
        <v>0</v>
      </c>
      <c r="W82" s="235">
        <v>0</v>
      </c>
      <c r="X82" s="237">
        <f t="shared" si="10"/>
        <v>0</v>
      </c>
      <c r="Y82" s="235">
        <v>0</v>
      </c>
      <c r="Z82" s="235">
        <v>0</v>
      </c>
      <c r="AA82" s="258">
        <f t="shared" si="11"/>
        <v>11631.74</v>
      </c>
      <c r="AB82" t="b">
        <f t="shared" si="12"/>
        <v>1</v>
      </c>
    </row>
    <row r="83" spans="1:28" ht="13.5" thickBot="1">
      <c r="A83" s="179">
        <v>70</v>
      </c>
      <c r="C83" s="194" t="s">
        <v>759</v>
      </c>
      <c r="D83" s="298">
        <f t="shared" ref="D83:P83" si="13">SUM(D51:D82)</f>
        <v>468558.83000000019</v>
      </c>
      <c r="E83" s="298">
        <f t="shared" si="13"/>
        <v>243484.37000000011</v>
      </c>
      <c r="F83" s="298">
        <f t="shared" si="13"/>
        <v>591836.02</v>
      </c>
      <c r="G83" s="298">
        <f t="shared" si="13"/>
        <v>371831.99000000005</v>
      </c>
      <c r="H83" s="298">
        <f t="shared" si="13"/>
        <v>357373.04</v>
      </c>
      <c r="I83" s="298">
        <f t="shared" si="13"/>
        <v>343185.59</v>
      </c>
      <c r="J83" s="298">
        <f t="shared" si="13"/>
        <v>317488.14999999991</v>
      </c>
      <c r="K83" s="298">
        <f t="shared" si="13"/>
        <v>221908.5</v>
      </c>
      <c r="L83" s="298">
        <f t="shared" si="13"/>
        <v>206887.13000000006</v>
      </c>
      <c r="M83" s="298">
        <f t="shared" si="13"/>
        <v>221908.75999999995</v>
      </c>
      <c r="N83" s="298">
        <f t="shared" si="13"/>
        <v>182283.73000000004</v>
      </c>
      <c r="O83" s="298">
        <f t="shared" si="13"/>
        <v>159010.79</v>
      </c>
      <c r="P83" s="298">
        <f t="shared" si="13"/>
        <v>3685756.9</v>
      </c>
      <c r="R83" s="298">
        <f t="shared" ref="R83:AA83" si="14">SUM(R51:R82)</f>
        <v>1547925.4500000004</v>
      </c>
      <c r="S83" s="298">
        <f t="shared" si="14"/>
        <v>0</v>
      </c>
      <c r="T83" s="298">
        <f t="shared" si="14"/>
        <v>0</v>
      </c>
      <c r="U83" s="298">
        <f t="shared" si="14"/>
        <v>1547925.4500000004</v>
      </c>
      <c r="V83" s="298">
        <f t="shared" si="14"/>
        <v>1239601.1300000001</v>
      </c>
      <c r="W83" s="298">
        <f t="shared" si="14"/>
        <v>0</v>
      </c>
      <c r="X83" s="298">
        <f t="shared" si="14"/>
        <v>1239601.1300000001</v>
      </c>
      <c r="Y83" s="298">
        <f t="shared" si="14"/>
        <v>644315.65000000014</v>
      </c>
      <c r="Z83" s="298">
        <f t="shared" si="14"/>
        <v>253914.67</v>
      </c>
      <c r="AA83" s="298">
        <f t="shared" si="14"/>
        <v>3685756.9</v>
      </c>
      <c r="AB83" t="b">
        <f t="shared" si="12"/>
        <v>1</v>
      </c>
    </row>
    <row r="84" spans="1:28" ht="13.5" thickTop="1">
      <c r="A84" s="179"/>
    </row>
  </sheetData>
  <printOptions horizontalCentered="1"/>
  <pageMargins left="0.5" right="0.5" top="2.25" bottom="0.5" header="1.5" footer="0.5"/>
  <pageSetup scale="53" fitToWidth="2" fitToHeight="0" pageOrder="overThenDown" orientation="landscape"/>
  <headerFooter alignWithMargins="0">
    <oddHeader>&amp;R&amp;"Arial,Bold"Schedule &amp;A
Page &amp;P of &amp;N&amp;C&amp;B
2025 RATE CASE
ONCOR ELECTRIC DELIVERY COMPANY LLC
II-D-2.9  RENTS AND LEASES - MONTHLY LEASE AMOUNT AND PAYMENT - 2022
TEST YEAR ENDING DECEMBER 31, 2024
SPONSOR: R. PRACHYL</oddHeader>
  </headerFooter>
  <rowBreaks count="1" manualBreakCount="1">
    <brk id="49" min="3" max="26" man="1"/>
  </rowBreaks>
  <colBreaks count="1" manualBreakCount="1">
    <brk id="16" min="13" max="90"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2">
    <tabColor rgb="FFFF0000"/>
  </sheetPr>
  <dimension ref="A1:AC84"/>
  <sheetViews>
    <sheetView zoomScale="85" zoomScaleNormal="85" workbookViewId="0">
      <pane xSplit="3" ySplit="12" topLeftCell="D13" activePane="bottomRight" state="frozen"/>
      <selection activeCell="C33" sqref="C33"/>
      <selection pane="topRight" activeCell="C33" sqref="C33"/>
      <selection pane="bottomLeft" activeCell="C33" sqref="C33"/>
      <selection pane="bottomRight" activeCell="J12" sqref="J12"/>
    </sheetView>
  </sheetViews>
  <sheetFormatPr defaultRowHeight="12.75"/>
  <cols>
    <col min="1" max="1" width="6.28515625" customWidth="1"/>
    <col min="2" max="2" width="9.5703125" customWidth="1"/>
    <col min="3" max="3" width="45.5703125" bestFit="1" customWidth="1"/>
    <col min="4" max="14" width="14.7109375" style="66" customWidth="1"/>
    <col min="15" max="15" width="14.7109375" style="14" customWidth="1"/>
    <col min="16" max="16" width="14.7109375" style="66" customWidth="1"/>
    <col min="17" max="17" width="2.7109375" style="66" customWidth="1"/>
    <col min="18" max="18" width="11.5703125" style="66" bestFit="1" customWidth="1"/>
    <col min="19" max="21" width="11.5703125" style="66" customWidth="1"/>
    <col min="22" max="22" width="12.5703125" style="66" bestFit="1" customWidth="1"/>
    <col min="23" max="24" width="12.5703125" style="66" customWidth="1"/>
    <col min="25" max="25" width="11.5703125" style="66" bestFit="1" customWidth="1"/>
    <col min="26" max="26" width="12.5703125" style="66" customWidth="1"/>
    <col min="27" max="27" width="12.5703125" bestFit="1" customWidth="1"/>
    <col min="28" max="28" width="10.28515625" style="194" bestFit="1" customWidth="1"/>
  </cols>
  <sheetData>
    <row r="1" spans="1:29">
      <c r="A1" s="5" t="str">
        <f>+'[3]Input Data'!$A$9</f>
        <v>2025 RATE CASE</v>
      </c>
      <c r="Q1"/>
      <c r="R1"/>
      <c r="S1"/>
      <c r="T1"/>
      <c r="U1"/>
      <c r="V1"/>
      <c r="W1"/>
      <c r="X1"/>
      <c r="Y1"/>
      <c r="Z1"/>
    </row>
    <row r="2" spans="1:29">
      <c r="A2" s="8" t="str">
        <f>+'[3]Input Data'!$A$2</f>
        <v>ONCOR ELECTRIC DELIVERY COMPANY LLC</v>
      </c>
      <c r="Q2"/>
      <c r="R2"/>
      <c r="S2"/>
      <c r="T2"/>
      <c r="U2"/>
      <c r="V2"/>
      <c r="W2"/>
      <c r="X2"/>
      <c r="Y2"/>
      <c r="Z2"/>
    </row>
    <row r="3" spans="1:29">
      <c r="A3" s="7" t="str">
        <f>CONCATENATE('[3]Schedule Sponsors'!$A$67,'[3]Schedule Sponsors'!$B$67," - MONTHLY LEASE AMOUNT AND PAYMENT - 2021")</f>
        <v>II-D-2.9  RENTS AND LEASES - MONTHLY LEASE AMOUNT AND PAYMENT - 2021</v>
      </c>
      <c r="Q3"/>
      <c r="R3"/>
      <c r="S3"/>
      <c r="T3"/>
      <c r="U3"/>
      <c r="V3"/>
      <c r="W3"/>
      <c r="X3"/>
      <c r="Y3"/>
      <c r="Z3"/>
    </row>
    <row r="4" spans="1:29">
      <c r="A4" s="63" t="str">
        <f>+'[3]Input Data'!$A$4</f>
        <v>TEST YEAR ENDING DECEMBER 31, 2024</v>
      </c>
      <c r="Q4"/>
      <c r="R4"/>
      <c r="S4"/>
      <c r="T4"/>
      <c r="U4"/>
      <c r="V4"/>
      <c r="W4"/>
      <c r="X4"/>
      <c r="Y4"/>
      <c r="Z4"/>
    </row>
    <row r="5" spans="1:29">
      <c r="A5" s="7" t="str">
        <f>CONCATENATE("SPONSOR: ",'[3]Schedule Sponsors'!$D$67)</f>
        <v>SPONSOR: R. PRACHYL</v>
      </c>
      <c r="Q5"/>
      <c r="R5"/>
      <c r="S5"/>
      <c r="T5"/>
      <c r="U5"/>
      <c r="V5"/>
      <c r="W5"/>
      <c r="X5"/>
      <c r="Y5"/>
      <c r="Z5"/>
    </row>
    <row r="6" spans="1:29">
      <c r="Q6"/>
      <c r="R6"/>
      <c r="S6"/>
      <c r="T6"/>
      <c r="U6"/>
      <c r="V6"/>
      <c r="W6"/>
      <c r="X6"/>
      <c r="Y6"/>
      <c r="Z6"/>
    </row>
    <row r="7" spans="1:29">
      <c r="Q7"/>
      <c r="R7"/>
      <c r="S7"/>
      <c r="T7"/>
      <c r="U7"/>
      <c r="V7"/>
      <c r="W7"/>
      <c r="X7"/>
      <c r="Y7"/>
      <c r="Z7"/>
    </row>
    <row r="8" spans="1:29">
      <c r="Q8"/>
      <c r="R8"/>
      <c r="S8"/>
      <c r="T8"/>
      <c r="U8"/>
      <c r="V8"/>
      <c r="W8"/>
      <c r="X8"/>
      <c r="Y8"/>
      <c r="Z8"/>
    </row>
    <row r="9" spans="1:29">
      <c r="Q9"/>
      <c r="R9"/>
      <c r="S9"/>
      <c r="T9"/>
      <c r="U9"/>
      <c r="V9"/>
      <c r="W9"/>
      <c r="X9"/>
      <c r="Y9"/>
      <c r="Z9"/>
    </row>
    <row r="10" spans="1:29" s="137" customFormat="1">
      <c r="A10" s="270" t="s">
        <v>87</v>
      </c>
      <c r="C10" s="214" t="s">
        <v>594</v>
      </c>
      <c r="D10" s="146"/>
      <c r="E10" s="146"/>
      <c r="F10" s="146"/>
      <c r="G10" s="146"/>
      <c r="H10" s="146"/>
      <c r="I10" s="146"/>
      <c r="J10" s="146"/>
      <c r="K10" s="146"/>
      <c r="L10" s="146"/>
      <c r="M10" s="146"/>
      <c r="N10" s="146"/>
      <c r="O10" s="272"/>
      <c r="P10" s="146"/>
      <c r="R10" s="214"/>
      <c r="S10" s="214" t="s">
        <v>617</v>
      </c>
      <c r="T10" s="214" t="s">
        <v>623</v>
      </c>
      <c r="U10" s="214" t="s">
        <v>618</v>
      </c>
      <c r="V10" s="214"/>
      <c r="W10" s="214" t="s">
        <v>617</v>
      </c>
      <c r="X10" s="214" t="s">
        <v>618</v>
      </c>
      <c r="Y10" s="214"/>
      <c r="Z10" s="214"/>
      <c r="AA10" s="214"/>
      <c r="AB10" s="198"/>
    </row>
    <row r="11" spans="1:29" s="270" customFormat="1">
      <c r="A11" s="270" t="s">
        <v>121</v>
      </c>
      <c r="B11" s="270" t="s">
        <v>212</v>
      </c>
      <c r="C11" s="270" t="s">
        <v>208</v>
      </c>
      <c r="D11" s="273" t="s">
        <v>99</v>
      </c>
      <c r="E11" s="273" t="s">
        <v>100</v>
      </c>
      <c r="F11" s="273" t="s">
        <v>101</v>
      </c>
      <c r="G11" s="273" t="s">
        <v>102</v>
      </c>
      <c r="H11" s="273" t="s">
        <v>20</v>
      </c>
      <c r="I11" s="273" t="s">
        <v>103</v>
      </c>
      <c r="J11" s="273" t="s">
        <v>104</v>
      </c>
      <c r="K11" s="273" t="s">
        <v>105</v>
      </c>
      <c r="L11" s="273" t="s">
        <v>106</v>
      </c>
      <c r="M11" s="273" t="s">
        <v>107</v>
      </c>
      <c r="N11" s="273" t="s">
        <v>108</v>
      </c>
      <c r="O11" s="273" t="s">
        <v>109</v>
      </c>
      <c r="P11" s="274" t="s">
        <v>326</v>
      </c>
      <c r="R11" s="142" t="s">
        <v>292</v>
      </c>
      <c r="S11" s="142" t="s">
        <v>292</v>
      </c>
      <c r="T11" s="142" t="s">
        <v>624</v>
      </c>
      <c r="U11" s="142" t="s">
        <v>292</v>
      </c>
      <c r="V11" s="142" t="s">
        <v>293</v>
      </c>
      <c r="W11" s="142" t="s">
        <v>293</v>
      </c>
      <c r="X11" s="142" t="s">
        <v>293</v>
      </c>
      <c r="Y11" s="142" t="s">
        <v>281</v>
      </c>
      <c r="Z11" s="142" t="s">
        <v>126</v>
      </c>
      <c r="AA11" s="142" t="s">
        <v>215</v>
      </c>
      <c r="AB11" s="214"/>
    </row>
    <row r="12" spans="1:29" s="270" customFormat="1">
      <c r="A12" s="275"/>
      <c r="B12" s="275" t="s">
        <v>44</v>
      </c>
      <c r="C12" s="275" t="s">
        <v>45</v>
      </c>
      <c r="D12" s="276" t="s">
        <v>74</v>
      </c>
      <c r="E12" s="276" t="s">
        <v>75</v>
      </c>
      <c r="F12" s="276" t="s">
        <v>76</v>
      </c>
      <c r="G12" s="276" t="s">
        <v>77</v>
      </c>
      <c r="H12" s="277" t="s">
        <v>78</v>
      </c>
      <c r="I12" s="277" t="s">
        <v>79</v>
      </c>
      <c r="J12" s="277" t="s">
        <v>80</v>
      </c>
      <c r="K12" s="277" t="s">
        <v>81</v>
      </c>
      <c r="L12" s="277" t="s">
        <v>82</v>
      </c>
      <c r="M12" s="277" t="s">
        <v>83</v>
      </c>
      <c r="N12" s="277" t="s">
        <v>84</v>
      </c>
      <c r="O12" s="277" t="s">
        <v>85</v>
      </c>
      <c r="P12" s="277" t="s">
        <v>86</v>
      </c>
      <c r="Q12" s="275"/>
      <c r="R12" s="278" t="s">
        <v>254</v>
      </c>
      <c r="S12" s="278" t="s">
        <v>128</v>
      </c>
      <c r="T12" s="278" t="s">
        <v>23</v>
      </c>
      <c r="U12" s="278" t="s">
        <v>24</v>
      </c>
      <c r="V12" s="278" t="s">
        <v>136</v>
      </c>
      <c r="W12" s="278" t="s">
        <v>68</v>
      </c>
      <c r="X12" s="278" t="s">
        <v>619</v>
      </c>
      <c r="Y12" s="278" t="s">
        <v>620</v>
      </c>
      <c r="Z12" s="278" t="s">
        <v>621</v>
      </c>
      <c r="AA12" s="278" t="s">
        <v>622</v>
      </c>
      <c r="AB12" s="214"/>
    </row>
    <row r="13" spans="1:29" s="270" customFormat="1">
      <c r="D13" s="274"/>
      <c r="E13" s="274"/>
      <c r="F13" s="274"/>
      <c r="G13" s="274"/>
      <c r="H13" s="274"/>
      <c r="I13" s="274"/>
      <c r="J13" s="274"/>
      <c r="K13" s="274"/>
      <c r="L13" s="274"/>
      <c r="M13" s="274"/>
      <c r="N13" s="274"/>
      <c r="O13" s="274"/>
      <c r="P13" s="274"/>
      <c r="R13" s="274"/>
      <c r="S13" s="274"/>
      <c r="T13" s="274"/>
      <c r="U13" s="274"/>
      <c r="V13" s="274"/>
      <c r="W13" s="274"/>
      <c r="X13" s="274"/>
      <c r="Y13" s="274"/>
      <c r="Z13" s="274"/>
      <c r="AA13" s="274"/>
      <c r="AB13" s="214"/>
    </row>
    <row r="14" spans="1:29" s="106" customFormat="1">
      <c r="A14" s="179">
        <v>1</v>
      </c>
      <c r="B14" t="s">
        <v>230</v>
      </c>
      <c r="C14" s="171" t="s">
        <v>697</v>
      </c>
      <c r="D14" s="234">
        <v>6185.3700000000008</v>
      </c>
      <c r="E14" s="234">
        <v>4764.8099999999995</v>
      </c>
      <c r="F14" s="234">
        <v>3942.9900000000002</v>
      </c>
      <c r="G14" s="234">
        <v>4833.68</v>
      </c>
      <c r="H14" s="234">
        <v>4439.3899999999994</v>
      </c>
      <c r="I14" s="234">
        <v>4439.1399999999994</v>
      </c>
      <c r="J14" s="234">
        <v>4270.4699999999993</v>
      </c>
      <c r="K14" s="234">
        <v>4276.74</v>
      </c>
      <c r="L14" s="234">
        <v>4550.2999999999993</v>
      </c>
      <c r="M14" s="234">
        <v>3692.1600000000003</v>
      </c>
      <c r="N14" s="234">
        <v>2762.16</v>
      </c>
      <c r="O14" s="234">
        <v>6360.7800000000007</v>
      </c>
      <c r="P14" s="236">
        <f>SUM(D14:O14)</f>
        <v>54517.990000000005</v>
      </c>
      <c r="Q14" s="234"/>
      <c r="R14" s="234">
        <v>52521.62</v>
      </c>
      <c r="S14" s="234">
        <v>0</v>
      </c>
      <c r="T14" s="234">
        <v>0</v>
      </c>
      <c r="U14" s="236">
        <f>SUM(R14:T14)</f>
        <v>52521.62</v>
      </c>
      <c r="V14" s="234">
        <v>66.88000000000001</v>
      </c>
      <c r="W14" s="234">
        <v>0</v>
      </c>
      <c r="X14" s="236">
        <f>SUM(V14:W14)</f>
        <v>66.88000000000001</v>
      </c>
      <c r="Y14" s="234">
        <v>1929.4899999999998</v>
      </c>
      <c r="Z14" s="234">
        <v>0</v>
      </c>
      <c r="AA14" s="236">
        <f>+Z14+Y14+X14+U14</f>
        <v>54517.990000000005</v>
      </c>
      <c r="AB14" s="194" t="b">
        <f>ROUND(+P14,2)=ROUND(AA14,2)</f>
        <v>1</v>
      </c>
      <c r="AC14"/>
    </row>
    <row r="15" spans="1:29" s="106" customFormat="1">
      <c r="A15" s="179">
        <v>2</v>
      </c>
      <c r="B15" t="s">
        <v>231</v>
      </c>
      <c r="C15" s="171" t="s">
        <v>697</v>
      </c>
      <c r="D15" s="208">
        <v>2194.5</v>
      </c>
      <c r="E15" s="208">
        <v>1828.63</v>
      </c>
      <c r="F15" s="208">
        <v>1914.83</v>
      </c>
      <c r="G15" s="208">
        <v>2446.73</v>
      </c>
      <c r="H15" s="208">
        <v>2155.4499999999998</v>
      </c>
      <c r="I15" s="208">
        <v>1879.83</v>
      </c>
      <c r="J15" s="208">
        <v>1978.1599999999999</v>
      </c>
      <c r="K15" s="208">
        <v>2373.2800000000002</v>
      </c>
      <c r="L15" s="208">
        <v>1867.48</v>
      </c>
      <c r="M15" s="208">
        <v>2019.73</v>
      </c>
      <c r="N15" s="208">
        <v>1820.6399999999999</v>
      </c>
      <c r="O15" s="301">
        <v>1902.73</v>
      </c>
      <c r="P15" s="258">
        <f t="shared" ref="P15:P46" si="0">SUM(D15:O15)</f>
        <v>24381.989999999998</v>
      </c>
      <c r="Q15" s="208"/>
      <c r="R15" s="208">
        <v>24381.99</v>
      </c>
      <c r="S15" s="208">
        <v>0</v>
      </c>
      <c r="T15" s="208">
        <v>0</v>
      </c>
      <c r="U15" s="258">
        <f t="shared" ref="U15:U46" si="1">SUM(R15:T15)</f>
        <v>24381.99</v>
      </c>
      <c r="V15" s="208">
        <v>0</v>
      </c>
      <c r="W15" s="208">
        <v>0</v>
      </c>
      <c r="X15" s="258">
        <f t="shared" ref="X15:X46" si="2">SUM(V15:W15)</f>
        <v>0</v>
      </c>
      <c r="Y15" s="208">
        <v>0</v>
      </c>
      <c r="Z15" s="208">
        <v>0</v>
      </c>
      <c r="AA15" s="258">
        <f t="shared" ref="AA15:AA46" si="3">+Z15+Y15+X15+U15</f>
        <v>24381.99</v>
      </c>
      <c r="AB15" t="b">
        <f t="shared" ref="AB15:AB46" si="4">ROUND(+P15,2)=ROUND(AA15,2)</f>
        <v>1</v>
      </c>
      <c r="AC15"/>
    </row>
    <row r="16" spans="1:29">
      <c r="A16" s="179">
        <v>3</v>
      </c>
      <c r="B16" t="s">
        <v>232</v>
      </c>
      <c r="C16" s="171" t="s">
        <v>697</v>
      </c>
      <c r="D16" s="235">
        <v>25757.010000000002</v>
      </c>
      <c r="E16" s="235">
        <v>27953.56</v>
      </c>
      <c r="F16" s="235">
        <v>32299.919999999995</v>
      </c>
      <c r="G16" s="235">
        <v>37456.9</v>
      </c>
      <c r="H16" s="235">
        <v>30896.77</v>
      </c>
      <c r="I16" s="235">
        <v>37839.21</v>
      </c>
      <c r="J16" s="235">
        <v>27339.880000000005</v>
      </c>
      <c r="K16" s="235">
        <v>38269.159999999996</v>
      </c>
      <c r="L16" s="235">
        <v>34457.620000000003</v>
      </c>
      <c r="M16" s="235">
        <v>50727.020000000004</v>
      </c>
      <c r="N16" s="235">
        <v>30807.109999999993</v>
      </c>
      <c r="O16" s="302">
        <v>50937.33</v>
      </c>
      <c r="P16" s="258">
        <f t="shared" si="0"/>
        <v>424741.49000000005</v>
      </c>
      <c r="Q16" s="235"/>
      <c r="R16" s="235">
        <v>400503.57999999973</v>
      </c>
      <c r="S16" s="235">
        <v>0</v>
      </c>
      <c r="T16" s="235">
        <v>0</v>
      </c>
      <c r="U16" s="237">
        <f t="shared" si="1"/>
        <v>400503.57999999973</v>
      </c>
      <c r="V16" s="235">
        <v>24237.909999999989</v>
      </c>
      <c r="W16" s="235">
        <v>0</v>
      </c>
      <c r="X16" s="237">
        <f t="shared" si="2"/>
        <v>24237.909999999989</v>
      </c>
      <c r="Y16" s="235">
        <v>0</v>
      </c>
      <c r="Z16" s="235">
        <v>0</v>
      </c>
      <c r="AA16" s="258">
        <f t="shared" si="3"/>
        <v>424741.4899999997</v>
      </c>
      <c r="AB16" s="194" t="b">
        <f t="shared" si="4"/>
        <v>1</v>
      </c>
    </row>
    <row r="17" spans="1:28">
      <c r="A17" s="179">
        <v>4</v>
      </c>
      <c r="B17" t="s">
        <v>233</v>
      </c>
      <c r="C17" s="171" t="s">
        <v>697</v>
      </c>
      <c r="D17" s="235">
        <v>8325.2200000000012</v>
      </c>
      <c r="E17" s="235">
        <v>14437.750000000004</v>
      </c>
      <c r="F17" s="235">
        <v>14890.490000000003</v>
      </c>
      <c r="G17" s="235">
        <v>14084.569999999998</v>
      </c>
      <c r="H17" s="235">
        <v>15017.57</v>
      </c>
      <c r="I17" s="235">
        <v>20848.2</v>
      </c>
      <c r="J17" s="235">
        <v>17346.64</v>
      </c>
      <c r="K17" s="235">
        <v>34246.879999999997</v>
      </c>
      <c r="L17" s="235">
        <v>23792.11</v>
      </c>
      <c r="M17" s="235">
        <v>12009.199999999999</v>
      </c>
      <c r="N17" s="235">
        <v>5892.12</v>
      </c>
      <c r="O17" s="302">
        <v>16969.75</v>
      </c>
      <c r="P17" s="258">
        <f t="shared" si="0"/>
        <v>197860.5</v>
      </c>
      <c r="Q17" s="235"/>
      <c r="R17" s="235">
        <v>197755.30999999997</v>
      </c>
      <c r="S17" s="235">
        <v>0</v>
      </c>
      <c r="T17" s="235">
        <v>0</v>
      </c>
      <c r="U17" s="237">
        <f t="shared" si="1"/>
        <v>197755.30999999997</v>
      </c>
      <c r="V17" s="235">
        <v>105.19</v>
      </c>
      <c r="W17" s="235">
        <v>0</v>
      </c>
      <c r="X17" s="237">
        <f t="shared" si="2"/>
        <v>105.19</v>
      </c>
      <c r="Y17" s="235">
        <v>0</v>
      </c>
      <c r="Z17" s="235">
        <v>0</v>
      </c>
      <c r="AA17" s="258">
        <f t="shared" si="3"/>
        <v>197860.49999999997</v>
      </c>
      <c r="AB17" s="194" t="b">
        <f t="shared" si="4"/>
        <v>1</v>
      </c>
    </row>
    <row r="18" spans="1:28">
      <c r="A18" s="179">
        <v>5</v>
      </c>
      <c r="B18" t="s">
        <v>235</v>
      </c>
      <c r="C18" s="171" t="s">
        <v>697</v>
      </c>
      <c r="D18" s="235">
        <v>174657.29</v>
      </c>
      <c r="E18" s="235">
        <v>147733.57999999993</v>
      </c>
      <c r="F18" s="235">
        <v>134379.65999999995</v>
      </c>
      <c r="G18" s="235">
        <v>182692.93999999997</v>
      </c>
      <c r="H18" s="235">
        <v>152683.41999999998</v>
      </c>
      <c r="I18" s="235">
        <v>214839.68999999997</v>
      </c>
      <c r="J18" s="235">
        <v>187700.99999999997</v>
      </c>
      <c r="K18" s="235">
        <v>173457.89000000004</v>
      </c>
      <c r="L18" s="235">
        <v>177917.12</v>
      </c>
      <c r="M18" s="235">
        <v>226491.19</v>
      </c>
      <c r="N18" s="235">
        <v>141059.71999999997</v>
      </c>
      <c r="O18" s="302">
        <v>214671.56999999995</v>
      </c>
      <c r="P18" s="258">
        <f t="shared" si="0"/>
        <v>2128285.0699999998</v>
      </c>
      <c r="Q18" s="235"/>
      <c r="R18" s="235">
        <v>2057664.3800000001</v>
      </c>
      <c r="S18" s="235">
        <v>0</v>
      </c>
      <c r="T18" s="235">
        <v>0</v>
      </c>
      <c r="U18" s="237">
        <f t="shared" si="1"/>
        <v>2057664.3800000001</v>
      </c>
      <c r="V18" s="235">
        <v>70602.129999999961</v>
      </c>
      <c r="W18" s="235">
        <v>0</v>
      </c>
      <c r="X18" s="237">
        <f t="shared" si="2"/>
        <v>70602.129999999961</v>
      </c>
      <c r="Y18" s="235">
        <v>18.559999999999999</v>
      </c>
      <c r="Z18" s="235">
        <v>0</v>
      </c>
      <c r="AA18" s="258">
        <f t="shared" si="3"/>
        <v>2128285.0700000003</v>
      </c>
      <c r="AB18" s="194" t="b">
        <f t="shared" si="4"/>
        <v>1</v>
      </c>
    </row>
    <row r="19" spans="1:28">
      <c r="A19" s="179">
        <v>6</v>
      </c>
      <c r="B19" t="s">
        <v>237</v>
      </c>
      <c r="C19" s="171" t="s">
        <v>697</v>
      </c>
      <c r="D19" s="235">
        <v>1942.15</v>
      </c>
      <c r="E19" s="235">
        <v>2109.64</v>
      </c>
      <c r="F19" s="235">
        <v>2248.4299999999998</v>
      </c>
      <c r="G19" s="235">
        <v>2318.06</v>
      </c>
      <c r="H19" s="235">
        <v>2398.2200000000003</v>
      </c>
      <c r="I19" s="235">
        <v>2115.71</v>
      </c>
      <c r="J19" s="235">
        <v>2612.19</v>
      </c>
      <c r="K19" s="235">
        <v>2891.2599999999998</v>
      </c>
      <c r="L19" s="235">
        <v>3130.88</v>
      </c>
      <c r="M19" s="235">
        <v>2716.22</v>
      </c>
      <c r="N19" s="235">
        <v>737.08999999999992</v>
      </c>
      <c r="O19" s="302">
        <v>2991.32</v>
      </c>
      <c r="P19" s="258">
        <f t="shared" si="0"/>
        <v>28211.170000000002</v>
      </c>
      <c r="Q19" s="235"/>
      <c r="R19" s="235">
        <v>18447.439999999999</v>
      </c>
      <c r="S19" s="235">
        <v>0</v>
      </c>
      <c r="T19" s="235">
        <v>0</v>
      </c>
      <c r="U19" s="237">
        <f t="shared" si="1"/>
        <v>18447.439999999999</v>
      </c>
      <c r="V19" s="235">
        <v>9763.73</v>
      </c>
      <c r="W19" s="235">
        <v>0</v>
      </c>
      <c r="X19" s="237">
        <f t="shared" si="2"/>
        <v>9763.73</v>
      </c>
      <c r="Y19" s="235">
        <v>0</v>
      </c>
      <c r="Z19" s="235">
        <v>0</v>
      </c>
      <c r="AA19" s="258">
        <f t="shared" si="3"/>
        <v>28211.17</v>
      </c>
      <c r="AB19" s="194" t="b">
        <f t="shared" si="4"/>
        <v>1</v>
      </c>
    </row>
    <row r="20" spans="1:28">
      <c r="A20" s="179">
        <v>7</v>
      </c>
      <c r="B20" t="s">
        <v>238</v>
      </c>
      <c r="C20" s="171" t="s">
        <v>697</v>
      </c>
      <c r="D20" s="235">
        <v>445.32</v>
      </c>
      <c r="E20" s="235">
        <v>386.06</v>
      </c>
      <c r="F20" s="235">
        <v>292.06</v>
      </c>
      <c r="G20" s="235">
        <v>362.13</v>
      </c>
      <c r="H20" s="235">
        <v>327.05</v>
      </c>
      <c r="I20" s="235">
        <v>507.24</v>
      </c>
      <c r="J20" s="235">
        <v>496.16999999999996</v>
      </c>
      <c r="K20" s="235">
        <v>340.79</v>
      </c>
      <c r="L20" s="235">
        <v>267</v>
      </c>
      <c r="M20" s="235">
        <v>322.98</v>
      </c>
      <c r="N20" s="235">
        <v>366.03000000000003</v>
      </c>
      <c r="O20" s="302">
        <v>439.28000000000003</v>
      </c>
      <c r="P20" s="258">
        <f t="shared" si="0"/>
        <v>4552.1099999999997</v>
      </c>
      <c r="Q20" s="235"/>
      <c r="R20" s="235">
        <v>4547.3500000000013</v>
      </c>
      <c r="S20" s="235">
        <v>0</v>
      </c>
      <c r="T20" s="235">
        <v>0</v>
      </c>
      <c r="U20" s="237">
        <f t="shared" si="1"/>
        <v>4547.3500000000013</v>
      </c>
      <c r="V20" s="235">
        <v>4.7600000000000007</v>
      </c>
      <c r="W20" s="235">
        <v>0</v>
      </c>
      <c r="X20" s="237">
        <f t="shared" si="2"/>
        <v>4.7600000000000007</v>
      </c>
      <c r="Y20" s="235">
        <v>0</v>
      </c>
      <c r="Z20" s="235">
        <v>0</v>
      </c>
      <c r="AA20" s="258">
        <f t="shared" si="3"/>
        <v>4552.1100000000015</v>
      </c>
      <c r="AB20" s="194" t="b">
        <f t="shared" si="4"/>
        <v>1</v>
      </c>
    </row>
    <row r="21" spans="1:28">
      <c r="A21" s="179">
        <v>8</v>
      </c>
      <c r="B21" t="s">
        <v>239</v>
      </c>
      <c r="C21" s="171" t="s">
        <v>697</v>
      </c>
      <c r="D21" s="235">
        <v>65555</v>
      </c>
      <c r="E21" s="235">
        <v>76967.990000000005</v>
      </c>
      <c r="F21" s="235">
        <v>77019.209999999992</v>
      </c>
      <c r="G21" s="235">
        <v>12323.849999999999</v>
      </c>
      <c r="H21" s="235">
        <v>84493.02</v>
      </c>
      <c r="I21" s="235">
        <v>86808.61</v>
      </c>
      <c r="J21" s="235">
        <v>85863.380000000034</v>
      </c>
      <c r="K21" s="235">
        <v>100014.39000000001</v>
      </c>
      <c r="L21" s="235">
        <v>84469.070000000022</v>
      </c>
      <c r="M21" s="235">
        <v>97099.439999999988</v>
      </c>
      <c r="N21" s="235">
        <v>76530.179999999993</v>
      </c>
      <c r="O21" s="302">
        <v>108604.71999999997</v>
      </c>
      <c r="P21" s="258">
        <f t="shared" si="0"/>
        <v>955748.8600000001</v>
      </c>
      <c r="Q21" s="235"/>
      <c r="R21" s="235">
        <v>925196.33999999985</v>
      </c>
      <c r="S21" s="235">
        <v>0</v>
      </c>
      <c r="T21" s="235">
        <v>0</v>
      </c>
      <c r="U21" s="237">
        <f t="shared" si="1"/>
        <v>925196.33999999985</v>
      </c>
      <c r="V21" s="235">
        <v>30552.519999999986</v>
      </c>
      <c r="W21" s="235">
        <v>0</v>
      </c>
      <c r="X21" s="237">
        <f t="shared" si="2"/>
        <v>30552.519999999986</v>
      </c>
      <c r="Y21" s="235">
        <v>0</v>
      </c>
      <c r="Z21" s="235">
        <v>0</v>
      </c>
      <c r="AA21" s="258">
        <f t="shared" si="3"/>
        <v>955748.85999999987</v>
      </c>
      <c r="AB21" s="194" t="b">
        <f t="shared" si="4"/>
        <v>1</v>
      </c>
    </row>
    <row r="22" spans="1:28">
      <c r="A22" s="179">
        <v>9</v>
      </c>
      <c r="B22" t="s">
        <v>240</v>
      </c>
      <c r="C22" s="171" t="s">
        <v>697</v>
      </c>
      <c r="D22" s="235">
        <v>115698.24000000003</v>
      </c>
      <c r="E22" s="235">
        <v>82047.320000000022</v>
      </c>
      <c r="F22" s="235">
        <v>74696.25</v>
      </c>
      <c r="G22" s="235">
        <v>107546.86000000002</v>
      </c>
      <c r="H22" s="235">
        <v>91285.1</v>
      </c>
      <c r="I22" s="235">
        <v>85374.340000000011</v>
      </c>
      <c r="J22" s="235">
        <v>106974.97000000003</v>
      </c>
      <c r="K22" s="235">
        <v>134862.42000000001</v>
      </c>
      <c r="L22" s="235">
        <v>88713.169999999984</v>
      </c>
      <c r="M22" s="235">
        <v>122021.03</v>
      </c>
      <c r="N22" s="235">
        <v>75594.469999999987</v>
      </c>
      <c r="O22" s="302">
        <v>127482.66999999998</v>
      </c>
      <c r="P22" s="258">
        <f t="shared" si="0"/>
        <v>1212296.8400000001</v>
      </c>
      <c r="Q22" s="235"/>
      <c r="R22" s="235">
        <v>1212259.5699999998</v>
      </c>
      <c r="S22" s="235">
        <v>0</v>
      </c>
      <c r="T22" s="235">
        <v>0</v>
      </c>
      <c r="U22" s="237">
        <f t="shared" si="1"/>
        <v>1212259.5699999998</v>
      </c>
      <c r="V22" s="235">
        <v>37.270000000000003</v>
      </c>
      <c r="W22" s="235">
        <v>0</v>
      </c>
      <c r="X22" s="237">
        <f t="shared" si="2"/>
        <v>37.270000000000003</v>
      </c>
      <c r="Y22" s="235">
        <v>0</v>
      </c>
      <c r="Z22" s="235">
        <v>0</v>
      </c>
      <c r="AA22" s="258">
        <f t="shared" si="3"/>
        <v>1212296.8399999999</v>
      </c>
      <c r="AB22" s="194" t="b">
        <f t="shared" si="4"/>
        <v>1</v>
      </c>
    </row>
    <row r="23" spans="1:28">
      <c r="A23" s="179">
        <v>10</v>
      </c>
      <c r="B23" t="s">
        <v>242</v>
      </c>
      <c r="C23" s="171" t="s">
        <v>697</v>
      </c>
      <c r="D23" s="235">
        <v>47700.340000000011</v>
      </c>
      <c r="E23" s="235">
        <v>33655.569999999992</v>
      </c>
      <c r="F23" s="235">
        <v>32439.769999999997</v>
      </c>
      <c r="G23" s="235">
        <v>44944.560000000012</v>
      </c>
      <c r="H23" s="235">
        <v>67399</v>
      </c>
      <c r="I23" s="235">
        <v>34940.439999999995</v>
      </c>
      <c r="J23" s="235">
        <v>45543.659999999989</v>
      </c>
      <c r="K23" s="235">
        <v>54664.450000000012</v>
      </c>
      <c r="L23" s="235">
        <v>48103.810000000005</v>
      </c>
      <c r="M23" s="235">
        <v>33545.149999999994</v>
      </c>
      <c r="N23" s="235">
        <v>41806.470000000008</v>
      </c>
      <c r="O23" s="302">
        <v>42289.35</v>
      </c>
      <c r="P23" s="258">
        <f t="shared" si="0"/>
        <v>527032.57000000007</v>
      </c>
      <c r="Q23" s="235"/>
      <c r="R23" s="235">
        <v>522018.82000000012</v>
      </c>
      <c r="S23" s="235">
        <v>0</v>
      </c>
      <c r="T23" s="235">
        <v>0</v>
      </c>
      <c r="U23" s="237">
        <f t="shared" si="1"/>
        <v>522018.82000000012</v>
      </c>
      <c r="V23" s="235">
        <v>5013.7500000000018</v>
      </c>
      <c r="W23" s="235">
        <v>0</v>
      </c>
      <c r="X23" s="237">
        <f t="shared" si="2"/>
        <v>5013.7500000000018</v>
      </c>
      <c r="Y23" s="235">
        <v>0</v>
      </c>
      <c r="Z23" s="235">
        <v>0</v>
      </c>
      <c r="AA23" s="258">
        <f t="shared" si="3"/>
        <v>527032.57000000018</v>
      </c>
      <c r="AB23" s="194" t="b">
        <f t="shared" si="4"/>
        <v>1</v>
      </c>
    </row>
    <row r="24" spans="1:28">
      <c r="A24" s="179">
        <v>11</v>
      </c>
      <c r="B24" t="s">
        <v>249</v>
      </c>
      <c r="C24" s="171" t="s">
        <v>697</v>
      </c>
      <c r="D24" s="235">
        <v>9266.130000000001</v>
      </c>
      <c r="E24" s="235">
        <v>11891.36</v>
      </c>
      <c r="F24" s="235">
        <v>12705.710000000003</v>
      </c>
      <c r="G24" s="235">
        <v>10596.689999999999</v>
      </c>
      <c r="H24" s="235">
        <v>14350.520000000004</v>
      </c>
      <c r="I24" s="235">
        <v>12972.429999999998</v>
      </c>
      <c r="J24" s="235">
        <v>2871.2099999999973</v>
      </c>
      <c r="K24" s="235">
        <v>12198.099999999997</v>
      </c>
      <c r="L24" s="235">
        <v>15904.060000000001</v>
      </c>
      <c r="M24" s="235">
        <v>11102.47</v>
      </c>
      <c r="N24" s="235">
        <v>18698.349999999999</v>
      </c>
      <c r="O24" s="302">
        <v>18064.669999999995</v>
      </c>
      <c r="P24" s="258">
        <f t="shared" si="0"/>
        <v>150621.69999999995</v>
      </c>
      <c r="Q24" s="235"/>
      <c r="R24" s="235">
        <v>2738.96</v>
      </c>
      <c r="S24" s="235">
        <v>0</v>
      </c>
      <c r="T24" s="235">
        <v>0</v>
      </c>
      <c r="U24" s="237">
        <f t="shared" si="1"/>
        <v>2738.96</v>
      </c>
      <c r="V24" s="235">
        <v>132065.91000000012</v>
      </c>
      <c r="W24" s="235">
        <v>0</v>
      </c>
      <c r="X24" s="237">
        <f t="shared" si="2"/>
        <v>132065.91000000012</v>
      </c>
      <c r="Y24" s="235">
        <v>15807.369999999999</v>
      </c>
      <c r="Z24" s="235">
        <v>9.4599999999999973</v>
      </c>
      <c r="AA24" s="258">
        <f t="shared" si="3"/>
        <v>150621.7000000001</v>
      </c>
      <c r="AB24" s="194" t="b">
        <f t="shared" si="4"/>
        <v>1</v>
      </c>
    </row>
    <row r="25" spans="1:28">
      <c r="A25" s="179">
        <v>12</v>
      </c>
      <c r="B25" t="s">
        <v>243</v>
      </c>
      <c r="C25" s="171" t="s">
        <v>697</v>
      </c>
      <c r="D25" s="235">
        <v>233.8</v>
      </c>
      <c r="E25" s="235">
        <v>0</v>
      </c>
      <c r="F25" s="235">
        <v>2025.25</v>
      </c>
      <c r="G25" s="235">
        <v>0</v>
      </c>
      <c r="H25" s="235">
        <v>546.71</v>
      </c>
      <c r="I25" s="235">
        <v>0</v>
      </c>
      <c r="J25" s="235">
        <v>1443.47</v>
      </c>
      <c r="K25" s="235">
        <v>408.31</v>
      </c>
      <c r="L25" s="235">
        <v>0</v>
      </c>
      <c r="M25" s="235">
        <v>0</v>
      </c>
      <c r="N25" s="235">
        <v>277.24</v>
      </c>
      <c r="O25" s="302">
        <v>0</v>
      </c>
      <c r="P25" s="258">
        <f t="shared" si="0"/>
        <v>4934.7800000000007</v>
      </c>
      <c r="Q25" s="235"/>
      <c r="R25" s="235">
        <v>6.9999999999999993E-2</v>
      </c>
      <c r="S25" s="235">
        <v>0</v>
      </c>
      <c r="T25" s="235">
        <v>0</v>
      </c>
      <c r="U25" s="237">
        <f t="shared" si="1"/>
        <v>6.9999999999999993E-2</v>
      </c>
      <c r="V25" s="235">
        <v>4925.2299999999996</v>
      </c>
      <c r="W25" s="235">
        <v>0</v>
      </c>
      <c r="X25" s="237">
        <f t="shared" si="2"/>
        <v>4925.2299999999996</v>
      </c>
      <c r="Y25" s="235">
        <v>9.48</v>
      </c>
      <c r="Z25" s="235">
        <v>0</v>
      </c>
      <c r="AA25" s="258">
        <f t="shared" si="3"/>
        <v>4934.7799999999988</v>
      </c>
      <c r="AB25" s="194" t="b">
        <f t="shared" si="4"/>
        <v>1</v>
      </c>
    </row>
    <row r="26" spans="1:28">
      <c r="A26" s="179">
        <v>13</v>
      </c>
      <c r="B26" t="s">
        <v>244</v>
      </c>
      <c r="C26" s="171" t="s">
        <v>697</v>
      </c>
      <c r="D26" s="235">
        <v>48923.19999999999</v>
      </c>
      <c r="E26" s="235">
        <v>51845.590000000004</v>
      </c>
      <c r="F26" s="235">
        <v>61864.639999999999</v>
      </c>
      <c r="G26" s="235">
        <v>67407.140000000014</v>
      </c>
      <c r="H26" s="235">
        <v>52629.44000000001</v>
      </c>
      <c r="I26" s="235">
        <v>78495.08</v>
      </c>
      <c r="J26" s="235">
        <v>65509.870000000017</v>
      </c>
      <c r="K26" s="235">
        <v>50700.700000000004</v>
      </c>
      <c r="L26" s="235">
        <v>55906.61</v>
      </c>
      <c r="M26" s="235">
        <v>84290.469999999987</v>
      </c>
      <c r="N26" s="235">
        <v>44455.279999999992</v>
      </c>
      <c r="O26" s="302">
        <v>78088.160000000018</v>
      </c>
      <c r="P26" s="258">
        <f t="shared" si="0"/>
        <v>740116.18</v>
      </c>
      <c r="Q26" s="235"/>
      <c r="R26" s="235">
        <v>39317.05999999999</v>
      </c>
      <c r="S26" s="235">
        <v>0</v>
      </c>
      <c r="T26" s="235">
        <v>0</v>
      </c>
      <c r="U26" s="237">
        <f t="shared" si="1"/>
        <v>39317.05999999999</v>
      </c>
      <c r="V26" s="235">
        <v>700799.11999999976</v>
      </c>
      <c r="W26" s="235">
        <v>0</v>
      </c>
      <c r="X26" s="237">
        <f t="shared" si="2"/>
        <v>700799.11999999976</v>
      </c>
      <c r="Y26" s="235">
        <v>0</v>
      </c>
      <c r="Z26" s="235">
        <v>0</v>
      </c>
      <c r="AA26" s="258">
        <f t="shared" si="3"/>
        <v>740116.1799999997</v>
      </c>
      <c r="AB26" s="194" t="b">
        <f t="shared" si="4"/>
        <v>1</v>
      </c>
    </row>
    <row r="27" spans="1:28">
      <c r="A27" s="179">
        <v>14</v>
      </c>
      <c r="B27" t="s">
        <v>155</v>
      </c>
      <c r="C27" s="171" t="s">
        <v>697</v>
      </c>
      <c r="D27" s="235">
        <v>458363.90000000014</v>
      </c>
      <c r="E27" s="235">
        <v>182157.45</v>
      </c>
      <c r="F27" s="235">
        <v>235839.67</v>
      </c>
      <c r="G27" s="235">
        <v>271391.56000000011</v>
      </c>
      <c r="H27" s="235">
        <v>246809.28999999998</v>
      </c>
      <c r="I27" s="235">
        <v>216456.25000000006</v>
      </c>
      <c r="J27" s="235">
        <v>272992.51999999996</v>
      </c>
      <c r="K27" s="235">
        <v>271398.90999999997</v>
      </c>
      <c r="L27" s="235">
        <v>323626.12</v>
      </c>
      <c r="M27" s="235">
        <v>292937.44999999995</v>
      </c>
      <c r="N27" s="235">
        <v>295119.27000000008</v>
      </c>
      <c r="O27" s="302">
        <v>447170.84999999992</v>
      </c>
      <c r="P27" s="258">
        <f t="shared" si="0"/>
        <v>3514263.24</v>
      </c>
      <c r="Q27" s="235"/>
      <c r="R27" s="235">
        <v>199.32</v>
      </c>
      <c r="S27" s="235">
        <v>0</v>
      </c>
      <c r="T27" s="235">
        <v>0</v>
      </c>
      <c r="U27" s="237">
        <f t="shared" si="1"/>
        <v>199.32</v>
      </c>
      <c r="V27" s="235">
        <v>3513315.0300000021</v>
      </c>
      <c r="W27" s="235">
        <v>0</v>
      </c>
      <c r="X27" s="237">
        <f t="shared" si="2"/>
        <v>3513315.0300000021</v>
      </c>
      <c r="Y27" s="235">
        <v>748.89</v>
      </c>
      <c r="Z27" s="235">
        <v>0</v>
      </c>
      <c r="AA27" s="258">
        <f t="shared" si="3"/>
        <v>3514263.2400000021</v>
      </c>
      <c r="AB27" s="194" t="b">
        <f t="shared" si="4"/>
        <v>1</v>
      </c>
    </row>
    <row r="28" spans="1:28">
      <c r="A28" s="179">
        <v>15</v>
      </c>
      <c r="B28" t="s">
        <v>245</v>
      </c>
      <c r="C28" s="171" t="s">
        <v>697</v>
      </c>
      <c r="D28" s="235">
        <v>58865.019999999975</v>
      </c>
      <c r="E28" s="235">
        <v>54624.409999999989</v>
      </c>
      <c r="F28" s="235">
        <v>88385.580000000016</v>
      </c>
      <c r="G28" s="235">
        <v>69685.11</v>
      </c>
      <c r="H28" s="235">
        <v>31657.139999999996</v>
      </c>
      <c r="I28" s="235">
        <v>64700.060000000049</v>
      </c>
      <c r="J28" s="235">
        <v>61555.260000000017</v>
      </c>
      <c r="K28" s="235">
        <v>71656.429999999993</v>
      </c>
      <c r="L28" s="235">
        <v>80138.209999999992</v>
      </c>
      <c r="M28" s="235">
        <v>72861.97</v>
      </c>
      <c r="N28" s="235">
        <v>54967.700000000019</v>
      </c>
      <c r="O28" s="302">
        <v>125755.97</v>
      </c>
      <c r="P28" s="258">
        <f t="shared" si="0"/>
        <v>834852.8600000001</v>
      </c>
      <c r="Q28" s="235"/>
      <c r="R28" s="235">
        <v>0.56000000000000005</v>
      </c>
      <c r="S28" s="235">
        <v>0</v>
      </c>
      <c r="T28" s="235">
        <v>0</v>
      </c>
      <c r="U28" s="237">
        <f t="shared" si="1"/>
        <v>0.56000000000000005</v>
      </c>
      <c r="V28" s="235">
        <v>834416.35</v>
      </c>
      <c r="W28" s="235">
        <v>0</v>
      </c>
      <c r="X28" s="237">
        <f t="shared" si="2"/>
        <v>834416.35</v>
      </c>
      <c r="Y28" s="235">
        <v>435.87000000000006</v>
      </c>
      <c r="Z28" s="235">
        <v>0.08</v>
      </c>
      <c r="AA28" s="258">
        <f t="shared" si="3"/>
        <v>834852.86</v>
      </c>
      <c r="AB28" s="194" t="b">
        <f t="shared" si="4"/>
        <v>1</v>
      </c>
    </row>
    <row r="29" spans="1:28">
      <c r="A29" s="179">
        <v>16</v>
      </c>
      <c r="B29" t="s">
        <v>246</v>
      </c>
      <c r="C29" s="171" t="s">
        <v>697</v>
      </c>
      <c r="D29" s="235">
        <v>215553.18000000005</v>
      </c>
      <c r="E29" s="235">
        <v>213037.81</v>
      </c>
      <c r="F29" s="235">
        <v>216116.1</v>
      </c>
      <c r="G29" s="235">
        <v>246311.52999999997</v>
      </c>
      <c r="H29" s="235">
        <v>274641.01000000013</v>
      </c>
      <c r="I29" s="235">
        <v>183419.04999999993</v>
      </c>
      <c r="J29" s="235">
        <v>276988.13999999996</v>
      </c>
      <c r="K29" s="235">
        <v>252781.84999999998</v>
      </c>
      <c r="L29" s="235">
        <v>308168.64999999991</v>
      </c>
      <c r="M29" s="235">
        <v>275202.51999999996</v>
      </c>
      <c r="N29" s="235">
        <v>290167.08</v>
      </c>
      <c r="O29" s="302">
        <v>311001.22000000003</v>
      </c>
      <c r="P29" s="258">
        <f t="shared" si="0"/>
        <v>3063388.14</v>
      </c>
      <c r="Q29" s="235"/>
      <c r="R29" s="235">
        <v>-1401.5000000000002</v>
      </c>
      <c r="S29" s="235">
        <v>0</v>
      </c>
      <c r="T29" s="235">
        <v>0</v>
      </c>
      <c r="U29" s="237">
        <f t="shared" si="1"/>
        <v>-1401.5000000000002</v>
      </c>
      <c r="V29" s="235">
        <v>-1685.3799999999997</v>
      </c>
      <c r="W29" s="235">
        <v>0</v>
      </c>
      <c r="X29" s="237">
        <f t="shared" si="2"/>
        <v>-1685.3799999999997</v>
      </c>
      <c r="Y29" s="235">
        <v>3066518.0299999989</v>
      </c>
      <c r="Z29" s="235">
        <v>-43.010000000000005</v>
      </c>
      <c r="AA29" s="258">
        <f t="shared" si="3"/>
        <v>3063388.1399999992</v>
      </c>
      <c r="AB29" s="194" t="b">
        <f t="shared" si="4"/>
        <v>1</v>
      </c>
    </row>
    <row r="30" spans="1:28">
      <c r="A30" s="179">
        <v>17</v>
      </c>
      <c r="B30" t="s">
        <v>247</v>
      </c>
      <c r="C30" s="171" t="s">
        <v>697</v>
      </c>
      <c r="D30" s="235">
        <v>19461.939999999995</v>
      </c>
      <c r="E30" s="235">
        <v>10776.949999999999</v>
      </c>
      <c r="F30" s="235">
        <v>25195.940000000002</v>
      </c>
      <c r="G30" s="235">
        <v>26926.909999999996</v>
      </c>
      <c r="H30" s="235">
        <v>25012.539999999997</v>
      </c>
      <c r="I30" s="235">
        <v>38930.880000000005</v>
      </c>
      <c r="J30" s="235">
        <v>35518.5</v>
      </c>
      <c r="K30" s="235">
        <v>35244.370000000003</v>
      </c>
      <c r="L30" s="235">
        <v>48745.869999999988</v>
      </c>
      <c r="M30" s="235">
        <v>30876.399999999998</v>
      </c>
      <c r="N30" s="235">
        <v>35967.449999999997</v>
      </c>
      <c r="O30" s="302">
        <v>37636</v>
      </c>
      <c r="P30" s="258">
        <f t="shared" si="0"/>
        <v>370293.75</v>
      </c>
      <c r="Q30" s="235"/>
      <c r="R30" s="235">
        <v>0</v>
      </c>
      <c r="S30" s="235">
        <v>0</v>
      </c>
      <c r="T30" s="235">
        <v>0</v>
      </c>
      <c r="U30" s="237">
        <f t="shared" si="1"/>
        <v>0</v>
      </c>
      <c r="V30" s="235">
        <v>369868.12</v>
      </c>
      <c r="W30" s="235">
        <v>0</v>
      </c>
      <c r="X30" s="237">
        <f t="shared" si="2"/>
        <v>369868.12</v>
      </c>
      <c r="Y30" s="235">
        <v>425.63</v>
      </c>
      <c r="Z30" s="235">
        <v>0</v>
      </c>
      <c r="AA30" s="258">
        <f t="shared" si="3"/>
        <v>370293.75</v>
      </c>
      <c r="AB30" s="194" t="b">
        <f t="shared" si="4"/>
        <v>1</v>
      </c>
    </row>
    <row r="31" spans="1:28">
      <c r="A31" s="179">
        <v>18</v>
      </c>
      <c r="B31" t="s">
        <v>250</v>
      </c>
      <c r="C31" s="171" t="s">
        <v>697</v>
      </c>
      <c r="D31" s="235">
        <v>277908.52999999997</v>
      </c>
      <c r="E31" s="235">
        <v>260063.16000000003</v>
      </c>
      <c r="F31" s="235">
        <v>331326.34999999992</v>
      </c>
      <c r="G31" s="235">
        <v>365131.57</v>
      </c>
      <c r="H31" s="235">
        <v>319343.09000000008</v>
      </c>
      <c r="I31" s="235">
        <v>286882.42000000016</v>
      </c>
      <c r="J31" s="235">
        <v>349959.48</v>
      </c>
      <c r="K31" s="235">
        <v>397958.8000000001</v>
      </c>
      <c r="L31" s="235">
        <v>428713.64</v>
      </c>
      <c r="M31" s="235">
        <v>394147.06000000017</v>
      </c>
      <c r="N31" s="235">
        <v>374976.57999999973</v>
      </c>
      <c r="O31" s="302">
        <v>532475</v>
      </c>
      <c r="P31" s="258">
        <f t="shared" si="0"/>
        <v>4318885.68</v>
      </c>
      <c r="Q31" s="235"/>
      <c r="R31" s="235">
        <v>15590.759999999995</v>
      </c>
      <c r="S31" s="235">
        <v>0</v>
      </c>
      <c r="T31" s="235">
        <v>0</v>
      </c>
      <c r="U31" s="237">
        <f t="shared" si="1"/>
        <v>15590.759999999995</v>
      </c>
      <c r="V31" s="235">
        <v>3284898.0500000003</v>
      </c>
      <c r="W31" s="235">
        <v>0</v>
      </c>
      <c r="X31" s="237">
        <f t="shared" si="2"/>
        <v>3284898.0500000003</v>
      </c>
      <c r="Y31" s="235">
        <v>1018396.8700000005</v>
      </c>
      <c r="Z31" s="235">
        <v>0</v>
      </c>
      <c r="AA31" s="258">
        <f t="shared" si="3"/>
        <v>4318885.6800000006</v>
      </c>
      <c r="AB31" s="194" t="b">
        <f t="shared" si="4"/>
        <v>1</v>
      </c>
    </row>
    <row r="32" spans="1:28">
      <c r="A32" s="179">
        <v>19</v>
      </c>
      <c r="B32" t="s">
        <v>256</v>
      </c>
      <c r="C32" s="171" t="s">
        <v>697</v>
      </c>
      <c r="D32" s="235">
        <v>2012.3500000000004</v>
      </c>
      <c r="E32" s="235">
        <v>3321.29</v>
      </c>
      <c r="F32" s="235">
        <v>2599.0299999999997</v>
      </c>
      <c r="G32" s="235">
        <v>5482.99</v>
      </c>
      <c r="H32" s="235">
        <v>3730.15</v>
      </c>
      <c r="I32" s="235">
        <v>4076.1000000000004</v>
      </c>
      <c r="J32" s="235">
        <v>6027.88</v>
      </c>
      <c r="K32" s="235">
        <v>4236.3500000000013</v>
      </c>
      <c r="L32" s="235">
        <v>2353.6299999999997</v>
      </c>
      <c r="M32" s="235">
        <v>3808.1900000000005</v>
      </c>
      <c r="N32" s="235">
        <v>4860.21</v>
      </c>
      <c r="O32" s="302">
        <v>12250.5</v>
      </c>
      <c r="P32" s="258">
        <f t="shared" si="0"/>
        <v>54758.670000000006</v>
      </c>
      <c r="Q32" s="235"/>
      <c r="R32" s="235">
        <v>13097.399999999998</v>
      </c>
      <c r="S32" s="235">
        <v>0</v>
      </c>
      <c r="T32" s="235">
        <v>0</v>
      </c>
      <c r="U32" s="237">
        <f t="shared" si="1"/>
        <v>13097.399999999998</v>
      </c>
      <c r="V32" s="235">
        <v>30227.409999999978</v>
      </c>
      <c r="W32" s="235">
        <v>0</v>
      </c>
      <c r="X32" s="237">
        <f t="shared" si="2"/>
        <v>30227.409999999978</v>
      </c>
      <c r="Y32" s="235">
        <v>11433.859999999999</v>
      </c>
      <c r="Z32" s="235">
        <v>0</v>
      </c>
      <c r="AA32" s="258">
        <f t="shared" si="3"/>
        <v>54758.669999999969</v>
      </c>
      <c r="AB32" s="194" t="b">
        <f t="shared" si="4"/>
        <v>1</v>
      </c>
    </row>
    <row r="33" spans="1:28">
      <c r="A33" s="179">
        <v>20</v>
      </c>
      <c r="B33" t="s">
        <v>251</v>
      </c>
      <c r="C33" s="171" t="s">
        <v>697</v>
      </c>
      <c r="D33" s="235">
        <v>43.28</v>
      </c>
      <c r="E33" s="235">
        <v>41.93</v>
      </c>
      <c r="F33" s="235">
        <v>39.64</v>
      </c>
      <c r="G33" s="235">
        <v>65.94</v>
      </c>
      <c r="H33" s="235">
        <v>49.61</v>
      </c>
      <c r="I33" s="235">
        <v>44.18</v>
      </c>
      <c r="J33" s="235">
        <v>76.84</v>
      </c>
      <c r="K33" s="235">
        <v>42.62</v>
      </c>
      <c r="L33" s="235">
        <v>41.44</v>
      </c>
      <c r="M33" s="235">
        <v>45.269999999999996</v>
      </c>
      <c r="N33" s="235">
        <v>50.17</v>
      </c>
      <c r="O33" s="302">
        <v>69.61</v>
      </c>
      <c r="P33" s="258">
        <f t="shared" si="0"/>
        <v>610.53000000000009</v>
      </c>
      <c r="Q33" s="235"/>
      <c r="R33" s="235">
        <v>511.42999999999995</v>
      </c>
      <c r="S33" s="235">
        <v>0</v>
      </c>
      <c r="T33" s="235">
        <v>0</v>
      </c>
      <c r="U33" s="237">
        <f t="shared" si="1"/>
        <v>511.42999999999995</v>
      </c>
      <c r="V33" s="235">
        <v>99.100000000000009</v>
      </c>
      <c r="W33" s="235">
        <v>0</v>
      </c>
      <c r="X33" s="237">
        <f t="shared" si="2"/>
        <v>99.100000000000009</v>
      </c>
      <c r="Y33" s="235">
        <v>0</v>
      </c>
      <c r="Z33" s="235">
        <v>0</v>
      </c>
      <c r="AA33" s="258">
        <f t="shared" si="3"/>
        <v>610.53</v>
      </c>
      <c r="AB33" s="194" t="b">
        <f t="shared" si="4"/>
        <v>1</v>
      </c>
    </row>
    <row r="34" spans="1:28">
      <c r="A34" s="179">
        <v>21</v>
      </c>
      <c r="B34" t="s">
        <v>252</v>
      </c>
      <c r="C34" s="171" t="s">
        <v>697</v>
      </c>
      <c r="D34" s="235">
        <v>88190.68</v>
      </c>
      <c r="E34" s="235">
        <v>87236.47</v>
      </c>
      <c r="F34" s="235">
        <v>62519.229999999996</v>
      </c>
      <c r="G34" s="235">
        <v>51682.55</v>
      </c>
      <c r="H34" s="235">
        <v>97998.299999999988</v>
      </c>
      <c r="I34" s="235">
        <v>133275.03000000003</v>
      </c>
      <c r="J34" s="235">
        <v>123131.29000000001</v>
      </c>
      <c r="K34" s="235">
        <v>99877.100000000035</v>
      </c>
      <c r="L34" s="235">
        <v>77028.88</v>
      </c>
      <c r="M34" s="235">
        <v>113432.38</v>
      </c>
      <c r="N34" s="235">
        <v>87967.86</v>
      </c>
      <c r="O34" s="302">
        <v>108164.94000000002</v>
      </c>
      <c r="P34" s="258">
        <f t="shared" si="0"/>
        <v>1130504.7100000002</v>
      </c>
      <c r="Q34" s="235"/>
      <c r="R34" s="235">
        <v>36281.040000000001</v>
      </c>
      <c r="S34" s="235">
        <v>0</v>
      </c>
      <c r="T34" s="235">
        <v>0</v>
      </c>
      <c r="U34" s="237">
        <f t="shared" si="1"/>
        <v>36281.040000000001</v>
      </c>
      <c r="V34" s="235">
        <v>1094223.6699999997</v>
      </c>
      <c r="W34" s="235">
        <v>0</v>
      </c>
      <c r="X34" s="237">
        <f t="shared" si="2"/>
        <v>1094223.6699999997</v>
      </c>
      <c r="Y34" s="235">
        <v>0</v>
      </c>
      <c r="Z34" s="235">
        <v>0</v>
      </c>
      <c r="AA34" s="258">
        <f t="shared" si="3"/>
        <v>1130504.7099999997</v>
      </c>
      <c r="AB34" s="194" t="b">
        <f t="shared" si="4"/>
        <v>1</v>
      </c>
    </row>
    <row r="35" spans="1:28">
      <c r="A35" s="179">
        <v>22</v>
      </c>
      <c r="B35" t="s">
        <v>147</v>
      </c>
      <c r="C35" s="171" t="s">
        <v>697</v>
      </c>
      <c r="D35" s="235">
        <v>554276.06000000017</v>
      </c>
      <c r="E35" s="235">
        <v>450485.80000000005</v>
      </c>
      <c r="F35" s="235">
        <v>825705.76</v>
      </c>
      <c r="G35" s="235">
        <v>1024643.0200000003</v>
      </c>
      <c r="H35" s="235">
        <v>801877.47999999986</v>
      </c>
      <c r="I35" s="235">
        <v>908102.07000000018</v>
      </c>
      <c r="J35" s="235">
        <v>978497.41000000027</v>
      </c>
      <c r="K35" s="235">
        <v>1060762.4500000002</v>
      </c>
      <c r="L35" s="235">
        <v>1138029.0199999998</v>
      </c>
      <c r="M35" s="235">
        <v>974728.44999999984</v>
      </c>
      <c r="N35" s="235">
        <v>998111.62999999966</v>
      </c>
      <c r="O35" s="302">
        <v>1234481.5000000002</v>
      </c>
      <c r="P35" s="258">
        <f t="shared" si="0"/>
        <v>10949700.649999999</v>
      </c>
      <c r="Q35" s="235"/>
      <c r="R35" s="235">
        <v>3.450000000000216</v>
      </c>
      <c r="S35" s="235">
        <v>0</v>
      </c>
      <c r="T35" s="235">
        <v>0</v>
      </c>
      <c r="U35" s="237">
        <f t="shared" si="1"/>
        <v>3.450000000000216</v>
      </c>
      <c r="V35" s="235">
        <v>10896034.739999991</v>
      </c>
      <c r="W35" s="235">
        <v>0</v>
      </c>
      <c r="X35" s="237">
        <f t="shared" si="2"/>
        <v>10896034.739999991</v>
      </c>
      <c r="Y35" s="235">
        <v>53662.340000000018</v>
      </c>
      <c r="Z35" s="235">
        <v>0.11999999999997613</v>
      </c>
      <c r="AA35" s="258">
        <f t="shared" si="3"/>
        <v>10949700.649999991</v>
      </c>
      <c r="AB35" s="194" t="b">
        <f t="shared" si="4"/>
        <v>1</v>
      </c>
    </row>
    <row r="36" spans="1:28">
      <c r="A36" s="179">
        <v>23</v>
      </c>
      <c r="B36" t="s">
        <v>148</v>
      </c>
      <c r="C36" s="171" t="s">
        <v>697</v>
      </c>
      <c r="D36" s="235">
        <v>179825.50999999998</v>
      </c>
      <c r="E36" s="235">
        <v>142004.47000000003</v>
      </c>
      <c r="F36" s="235">
        <v>195536.75999999992</v>
      </c>
      <c r="G36" s="235">
        <v>259260.28999999998</v>
      </c>
      <c r="H36" s="235">
        <v>201987.75000000009</v>
      </c>
      <c r="I36" s="235">
        <v>229715.93999999989</v>
      </c>
      <c r="J36" s="235">
        <v>231352.06000000003</v>
      </c>
      <c r="K36" s="235">
        <v>225448.44</v>
      </c>
      <c r="L36" s="235">
        <v>259490.53</v>
      </c>
      <c r="M36" s="235">
        <v>251262.3599999999</v>
      </c>
      <c r="N36" s="235">
        <v>273453.49999999988</v>
      </c>
      <c r="O36" s="302">
        <v>340047.07000000007</v>
      </c>
      <c r="P36" s="258">
        <f t="shared" si="0"/>
        <v>2789384.6799999997</v>
      </c>
      <c r="Q36" s="235"/>
      <c r="R36" s="235">
        <v>0</v>
      </c>
      <c r="S36" s="235">
        <v>0</v>
      </c>
      <c r="T36" s="235">
        <v>0</v>
      </c>
      <c r="U36" s="237">
        <f t="shared" si="1"/>
        <v>0</v>
      </c>
      <c r="V36" s="235">
        <v>2765273.2799999984</v>
      </c>
      <c r="W36" s="235">
        <v>0</v>
      </c>
      <c r="X36" s="237">
        <f t="shared" si="2"/>
        <v>2765273.2799999984</v>
      </c>
      <c r="Y36" s="235">
        <v>24111.399999999998</v>
      </c>
      <c r="Z36" s="235">
        <v>0</v>
      </c>
      <c r="AA36" s="258">
        <f t="shared" si="3"/>
        <v>2789384.6799999983</v>
      </c>
      <c r="AB36" s="194" t="b">
        <f t="shared" si="4"/>
        <v>1</v>
      </c>
    </row>
    <row r="37" spans="1:28">
      <c r="A37" s="179">
        <v>24</v>
      </c>
      <c r="B37" t="s">
        <v>253</v>
      </c>
      <c r="C37" s="171" t="s">
        <v>697</v>
      </c>
      <c r="D37" s="235">
        <v>44097.210000000006</v>
      </c>
      <c r="E37" s="235">
        <v>44546.32</v>
      </c>
      <c r="F37" s="235">
        <v>69430.640000000014</v>
      </c>
      <c r="G37" s="235">
        <v>85117.49</v>
      </c>
      <c r="H37" s="235">
        <v>65648.760000000009</v>
      </c>
      <c r="I37" s="235">
        <v>88016.260000000024</v>
      </c>
      <c r="J37" s="235">
        <v>83698.839999999982</v>
      </c>
      <c r="K37" s="235">
        <v>81848.919999999984</v>
      </c>
      <c r="L37" s="235">
        <v>74662.840000000026</v>
      </c>
      <c r="M37" s="235">
        <v>59006.520000000011</v>
      </c>
      <c r="N37" s="235">
        <v>69183.26999999999</v>
      </c>
      <c r="O37" s="302">
        <v>71165.679999999964</v>
      </c>
      <c r="P37" s="258">
        <f t="shared" si="0"/>
        <v>836422.75</v>
      </c>
      <c r="Q37" s="235"/>
      <c r="R37" s="235">
        <v>0</v>
      </c>
      <c r="S37" s="235">
        <v>0</v>
      </c>
      <c r="T37" s="235">
        <v>0</v>
      </c>
      <c r="U37" s="237">
        <f t="shared" si="1"/>
        <v>0</v>
      </c>
      <c r="V37" s="235">
        <v>835389.37999999954</v>
      </c>
      <c r="W37" s="235">
        <v>0</v>
      </c>
      <c r="X37" s="237">
        <f t="shared" si="2"/>
        <v>835389.37999999954</v>
      </c>
      <c r="Y37" s="235">
        <v>1033.3699999999997</v>
      </c>
      <c r="Z37" s="235">
        <v>0</v>
      </c>
      <c r="AA37" s="258">
        <f t="shared" si="3"/>
        <v>836422.74999999953</v>
      </c>
      <c r="AB37" s="194" t="b">
        <f t="shared" si="4"/>
        <v>1</v>
      </c>
    </row>
    <row r="38" spans="1:28">
      <c r="A38" s="179">
        <v>25</v>
      </c>
      <c r="B38" t="s">
        <v>280</v>
      </c>
      <c r="C38" s="171" t="s">
        <v>697</v>
      </c>
      <c r="D38" s="235">
        <v>4344.4800000000005</v>
      </c>
      <c r="E38" s="235">
        <v>3623.23</v>
      </c>
      <c r="F38" s="235">
        <v>5861.869999999999</v>
      </c>
      <c r="G38" s="235">
        <v>5431.7200000000021</v>
      </c>
      <c r="H38" s="235">
        <v>5128.7800000000016</v>
      </c>
      <c r="I38" s="235">
        <v>5187.4800000000023</v>
      </c>
      <c r="J38" s="235">
        <v>5554.77</v>
      </c>
      <c r="K38" s="235">
        <v>4685.7100000000009</v>
      </c>
      <c r="L38" s="235">
        <v>6359.92</v>
      </c>
      <c r="M38" s="235">
        <v>4611.5199999999995</v>
      </c>
      <c r="N38" s="235">
        <v>4855.8999999999996</v>
      </c>
      <c r="O38" s="302">
        <v>6921.7499999999991</v>
      </c>
      <c r="P38" s="258">
        <f t="shared" si="0"/>
        <v>62567.130000000005</v>
      </c>
      <c r="Q38" s="235"/>
      <c r="R38" s="235">
        <v>0</v>
      </c>
      <c r="S38" s="235">
        <v>0</v>
      </c>
      <c r="T38" s="235">
        <v>0</v>
      </c>
      <c r="U38" s="237">
        <f t="shared" si="1"/>
        <v>0</v>
      </c>
      <c r="V38" s="235">
        <v>46944.930000000037</v>
      </c>
      <c r="W38" s="235">
        <v>0</v>
      </c>
      <c r="X38" s="237">
        <f t="shared" si="2"/>
        <v>46944.930000000037</v>
      </c>
      <c r="Y38" s="235">
        <v>15622.200000000003</v>
      </c>
      <c r="Z38" s="235">
        <v>0</v>
      </c>
      <c r="AA38" s="258">
        <f t="shared" si="3"/>
        <v>62567.130000000041</v>
      </c>
      <c r="AB38" s="194" t="b">
        <f t="shared" si="4"/>
        <v>1</v>
      </c>
    </row>
    <row r="39" spans="1:28">
      <c r="A39" s="179">
        <v>26</v>
      </c>
      <c r="B39" t="s">
        <v>255</v>
      </c>
      <c r="C39" s="171" t="s">
        <v>697</v>
      </c>
      <c r="D39" s="235">
        <v>81945.639999999985</v>
      </c>
      <c r="E39" s="235">
        <v>82274.179999999993</v>
      </c>
      <c r="F39" s="235">
        <v>89511.25</v>
      </c>
      <c r="G39" s="235">
        <v>93686.399999999994</v>
      </c>
      <c r="H39" s="235">
        <v>95442.959999999992</v>
      </c>
      <c r="I39" s="235">
        <v>93634.069999999992</v>
      </c>
      <c r="J39" s="235">
        <v>91018.900000000009</v>
      </c>
      <c r="K39" s="235">
        <v>92157.689999999988</v>
      </c>
      <c r="L39" s="235">
        <v>97260.859999999986</v>
      </c>
      <c r="M39" s="235">
        <v>86906.21</v>
      </c>
      <c r="N39" s="235">
        <v>104787.04</v>
      </c>
      <c r="O39" s="302">
        <v>99883.31</v>
      </c>
      <c r="P39" s="258">
        <f t="shared" si="0"/>
        <v>1108508.5099999998</v>
      </c>
      <c r="Q39" s="235"/>
      <c r="R39" s="235">
        <v>0</v>
      </c>
      <c r="S39" s="235">
        <v>0</v>
      </c>
      <c r="T39" s="235">
        <v>0</v>
      </c>
      <c r="U39" s="237">
        <f t="shared" si="1"/>
        <v>0</v>
      </c>
      <c r="V39" s="235">
        <v>-10524.79</v>
      </c>
      <c r="W39" s="235">
        <v>0</v>
      </c>
      <c r="X39" s="237">
        <f t="shared" si="2"/>
        <v>-10524.79</v>
      </c>
      <c r="Y39" s="235">
        <v>1119033.3000000003</v>
      </c>
      <c r="Z39" s="235">
        <v>0</v>
      </c>
      <c r="AA39" s="258">
        <f t="shared" si="3"/>
        <v>1108508.5100000002</v>
      </c>
      <c r="AB39" s="194" t="b">
        <f t="shared" si="4"/>
        <v>1</v>
      </c>
    </row>
    <row r="40" spans="1:28">
      <c r="A40" s="179">
        <v>27</v>
      </c>
      <c r="B40" t="s">
        <v>283</v>
      </c>
      <c r="C40" s="171" t="s">
        <v>697</v>
      </c>
      <c r="D40" s="235">
        <v>17428.43</v>
      </c>
      <c r="E40" s="235">
        <v>10869.16</v>
      </c>
      <c r="F40" s="235">
        <v>476.26000000000147</v>
      </c>
      <c r="G40" s="235">
        <v>21378.379999999994</v>
      </c>
      <c r="H40" s="235">
        <v>16020.110000000002</v>
      </c>
      <c r="I40" s="235">
        <v>5901.5300000000007</v>
      </c>
      <c r="J40" s="235">
        <v>14100.559999999998</v>
      </c>
      <c r="K40" s="235">
        <v>15174.86</v>
      </c>
      <c r="L40" s="235">
        <v>36307.65</v>
      </c>
      <c r="M40" s="235">
        <v>7171.91</v>
      </c>
      <c r="N40" s="235">
        <v>19050.219999999998</v>
      </c>
      <c r="O40" s="302">
        <v>29622.29</v>
      </c>
      <c r="P40" s="258">
        <f t="shared" si="0"/>
        <v>193501.36000000002</v>
      </c>
      <c r="Q40" s="235"/>
      <c r="R40" s="235">
        <v>803.37</v>
      </c>
      <c r="S40" s="235">
        <v>0</v>
      </c>
      <c r="T40" s="235">
        <v>0</v>
      </c>
      <c r="U40" s="237">
        <f t="shared" si="1"/>
        <v>803.37</v>
      </c>
      <c r="V40" s="235">
        <v>192697.81000000014</v>
      </c>
      <c r="W40" s="235">
        <v>0</v>
      </c>
      <c r="X40" s="237">
        <f t="shared" si="2"/>
        <v>192697.81000000014</v>
      </c>
      <c r="Y40" s="235">
        <v>0.18</v>
      </c>
      <c r="Z40" s="235">
        <v>0</v>
      </c>
      <c r="AA40" s="258">
        <f t="shared" si="3"/>
        <v>193501.36000000013</v>
      </c>
      <c r="AB40" s="194" t="b">
        <f t="shared" si="4"/>
        <v>1</v>
      </c>
    </row>
    <row r="41" spans="1:28">
      <c r="A41" s="179">
        <v>28</v>
      </c>
      <c r="B41" t="s">
        <v>258</v>
      </c>
      <c r="C41" s="171" t="s">
        <v>697</v>
      </c>
      <c r="D41" s="235">
        <v>3353.21</v>
      </c>
      <c r="E41" s="235">
        <v>6461.42</v>
      </c>
      <c r="F41" s="235">
        <v>3396.62</v>
      </c>
      <c r="G41" s="235">
        <v>2838.1499999999996</v>
      </c>
      <c r="H41" s="235">
        <v>4412.7700000000004</v>
      </c>
      <c r="I41" s="235">
        <v>4733.95</v>
      </c>
      <c r="J41" s="235">
        <v>3238.4300000000003</v>
      </c>
      <c r="K41" s="235">
        <v>7068.82</v>
      </c>
      <c r="L41" s="235">
        <v>3616.5299999999997</v>
      </c>
      <c r="M41" s="235">
        <v>3065.3500000000004</v>
      </c>
      <c r="N41" s="235">
        <v>3049.85</v>
      </c>
      <c r="O41" s="302">
        <v>6601.28</v>
      </c>
      <c r="P41" s="258">
        <f t="shared" si="0"/>
        <v>51836.37999999999</v>
      </c>
      <c r="Q41" s="235"/>
      <c r="R41" s="235">
        <v>0</v>
      </c>
      <c r="S41" s="235">
        <v>0</v>
      </c>
      <c r="T41" s="235">
        <v>0</v>
      </c>
      <c r="U41" s="237">
        <f t="shared" si="1"/>
        <v>0</v>
      </c>
      <c r="V41" s="235">
        <v>0</v>
      </c>
      <c r="W41" s="235">
        <v>0</v>
      </c>
      <c r="X41" s="237">
        <f t="shared" si="2"/>
        <v>0</v>
      </c>
      <c r="Y41" s="235">
        <v>51836.38</v>
      </c>
      <c r="Z41" s="235">
        <v>0</v>
      </c>
      <c r="AA41" s="258">
        <f t="shared" si="3"/>
        <v>51836.38</v>
      </c>
      <c r="AB41" s="194" t="b">
        <f t="shared" si="4"/>
        <v>1</v>
      </c>
    </row>
    <row r="42" spans="1:28">
      <c r="A42" s="179">
        <v>29</v>
      </c>
      <c r="B42" t="s">
        <v>329</v>
      </c>
      <c r="C42" s="171" t="s">
        <v>697</v>
      </c>
      <c r="D42" s="235">
        <v>959.14</v>
      </c>
      <c r="E42" s="235">
        <v>1396.0500000000002</v>
      </c>
      <c r="F42" s="235">
        <v>850</v>
      </c>
      <c r="G42" s="235">
        <v>849.09</v>
      </c>
      <c r="H42" s="235">
        <v>1400.9</v>
      </c>
      <c r="I42" s="235">
        <v>885.63</v>
      </c>
      <c r="J42" s="235">
        <v>1010.6</v>
      </c>
      <c r="K42" s="235">
        <v>-8637.51</v>
      </c>
      <c r="L42" s="235">
        <v>2324</v>
      </c>
      <c r="M42" s="235">
        <v>678.84</v>
      </c>
      <c r="N42" s="235">
        <v>1038.33</v>
      </c>
      <c r="O42" s="302">
        <v>1050.8499999999999</v>
      </c>
      <c r="P42" s="258">
        <f t="shared" si="0"/>
        <v>3805.9200000000005</v>
      </c>
      <c r="Q42" s="235"/>
      <c r="R42" s="235">
        <v>0</v>
      </c>
      <c r="S42" s="235">
        <v>0</v>
      </c>
      <c r="T42" s="235">
        <v>0</v>
      </c>
      <c r="U42" s="237">
        <f t="shared" si="1"/>
        <v>0</v>
      </c>
      <c r="V42" s="235">
        <v>12636.33</v>
      </c>
      <c r="W42" s="235">
        <v>0</v>
      </c>
      <c r="X42" s="237">
        <f t="shared" si="2"/>
        <v>12636.33</v>
      </c>
      <c r="Y42" s="235">
        <v>0</v>
      </c>
      <c r="Z42" s="235">
        <v>-8830.41</v>
      </c>
      <c r="AA42" s="258">
        <f t="shared" si="3"/>
        <v>3805.92</v>
      </c>
      <c r="AB42" s="194" t="b">
        <f t="shared" si="4"/>
        <v>1</v>
      </c>
    </row>
    <row r="43" spans="1:28">
      <c r="A43" s="179">
        <v>30</v>
      </c>
      <c r="B43" t="s">
        <v>270</v>
      </c>
      <c r="C43" s="171" t="s">
        <v>697</v>
      </c>
      <c r="D43" s="235">
        <v>41074.389999999992</v>
      </c>
      <c r="E43" s="235">
        <v>39173.33</v>
      </c>
      <c r="F43" s="235">
        <v>46249.239999999991</v>
      </c>
      <c r="G43" s="235">
        <v>44729.359999999993</v>
      </c>
      <c r="H43" s="235">
        <v>84331.82</v>
      </c>
      <c r="I43" s="235">
        <v>9760.4900000000016</v>
      </c>
      <c r="J43" s="235">
        <v>52124.15</v>
      </c>
      <c r="K43" s="235">
        <v>43414.200000000004</v>
      </c>
      <c r="L43" s="235">
        <v>33041.81</v>
      </c>
      <c r="M43" s="235">
        <v>14342.819999999994</v>
      </c>
      <c r="N43" s="235">
        <v>37586.01999999999</v>
      </c>
      <c r="O43" s="302">
        <v>29843.280000000002</v>
      </c>
      <c r="P43" s="258">
        <f t="shared" si="0"/>
        <v>475670.91000000003</v>
      </c>
      <c r="Q43" s="235"/>
      <c r="R43" s="235">
        <v>136074.60999999999</v>
      </c>
      <c r="S43" s="235">
        <v>0</v>
      </c>
      <c r="T43" s="235">
        <v>0</v>
      </c>
      <c r="U43" s="237">
        <f t="shared" si="1"/>
        <v>136074.60999999999</v>
      </c>
      <c r="V43" s="235">
        <v>298694.24999999977</v>
      </c>
      <c r="W43" s="235">
        <v>0</v>
      </c>
      <c r="X43" s="237">
        <f t="shared" si="2"/>
        <v>298694.24999999977</v>
      </c>
      <c r="Y43" s="235">
        <v>14875.46</v>
      </c>
      <c r="Z43" s="235">
        <v>26026.589999999986</v>
      </c>
      <c r="AA43" s="258">
        <f t="shared" si="3"/>
        <v>475670.90999999974</v>
      </c>
      <c r="AB43" s="194" t="b">
        <f t="shared" si="4"/>
        <v>1</v>
      </c>
    </row>
    <row r="44" spans="1:28">
      <c r="A44" s="179">
        <v>31</v>
      </c>
      <c r="B44" t="s">
        <v>288</v>
      </c>
      <c r="C44" s="171" t="s">
        <v>697</v>
      </c>
      <c r="D44" s="235">
        <v>470.31</v>
      </c>
      <c r="E44" s="235">
        <v>536.85</v>
      </c>
      <c r="F44" s="235">
        <v>940.77</v>
      </c>
      <c r="G44" s="235">
        <v>527.63</v>
      </c>
      <c r="H44" s="235">
        <v>818.82</v>
      </c>
      <c r="I44" s="235">
        <v>424.71999999999997</v>
      </c>
      <c r="J44" s="235">
        <v>541.24</v>
      </c>
      <c r="K44" s="235">
        <v>645.96</v>
      </c>
      <c r="L44" s="235">
        <v>4180.21</v>
      </c>
      <c r="M44" s="235">
        <v>249.2</v>
      </c>
      <c r="N44" s="235">
        <v>455.31</v>
      </c>
      <c r="O44" s="302">
        <v>144.72</v>
      </c>
      <c r="P44" s="258">
        <f t="shared" si="0"/>
        <v>9935.74</v>
      </c>
      <c r="Q44" s="235"/>
      <c r="R44" s="235">
        <v>1902.71</v>
      </c>
      <c r="S44" s="235">
        <v>0</v>
      </c>
      <c r="T44" s="235">
        <v>0</v>
      </c>
      <c r="U44" s="237">
        <f t="shared" si="1"/>
        <v>1902.71</v>
      </c>
      <c r="V44" s="235">
        <v>6553.4700000000012</v>
      </c>
      <c r="W44" s="235">
        <v>0</v>
      </c>
      <c r="X44" s="237">
        <f t="shared" si="2"/>
        <v>6553.4700000000012</v>
      </c>
      <c r="Y44" s="235">
        <v>1421.1499999999999</v>
      </c>
      <c r="Z44" s="235">
        <v>58.41</v>
      </c>
      <c r="AA44" s="258">
        <f t="shared" si="3"/>
        <v>9935.7400000000016</v>
      </c>
      <c r="AB44" s="194" t="b">
        <f t="shared" si="4"/>
        <v>1</v>
      </c>
    </row>
    <row r="45" spans="1:28">
      <c r="A45" s="179">
        <v>32</v>
      </c>
      <c r="B45" t="s">
        <v>26</v>
      </c>
      <c r="C45" s="171" t="s">
        <v>697</v>
      </c>
      <c r="D45" s="235">
        <v>4.9800000000000004</v>
      </c>
      <c r="E45" s="235">
        <v>200.47</v>
      </c>
      <c r="F45" s="235">
        <v>199.52</v>
      </c>
      <c r="G45" s="235">
        <v>169.87</v>
      </c>
      <c r="H45" s="235">
        <v>0.02</v>
      </c>
      <c r="I45" s="235">
        <v>123.77</v>
      </c>
      <c r="J45" s="235">
        <v>2.3800000000000003</v>
      </c>
      <c r="K45" s="235">
        <v>1.21</v>
      </c>
      <c r="L45" s="235">
        <v>8.89</v>
      </c>
      <c r="M45" s="235">
        <v>120.83000000000001</v>
      </c>
      <c r="N45" s="235">
        <v>75.539999999999992</v>
      </c>
      <c r="O45" s="302">
        <v>270.53000000000003</v>
      </c>
      <c r="P45" s="258">
        <f t="shared" si="0"/>
        <v>1178.01</v>
      </c>
      <c r="Q45" s="235"/>
      <c r="R45" s="235">
        <v>0</v>
      </c>
      <c r="S45" s="235">
        <v>0</v>
      </c>
      <c r="T45" s="235">
        <v>0</v>
      </c>
      <c r="U45" s="237">
        <f t="shared" si="1"/>
        <v>0</v>
      </c>
      <c r="V45" s="235">
        <v>1177.8</v>
      </c>
      <c r="W45" s="235">
        <v>0</v>
      </c>
      <c r="X45" s="237">
        <f t="shared" si="2"/>
        <v>1177.8</v>
      </c>
      <c r="Y45" s="235">
        <v>0.21000000000000002</v>
      </c>
      <c r="Z45" s="235">
        <v>0</v>
      </c>
      <c r="AA45" s="258">
        <f t="shared" si="3"/>
        <v>1178.01</v>
      </c>
      <c r="AB45" s="194" t="b">
        <f t="shared" si="4"/>
        <v>1</v>
      </c>
    </row>
    <row r="46" spans="1:28">
      <c r="A46" s="179">
        <v>33</v>
      </c>
      <c r="B46" t="s">
        <v>278</v>
      </c>
      <c r="C46" s="171" t="s">
        <v>697</v>
      </c>
      <c r="D46" s="235">
        <v>11133.5</v>
      </c>
      <c r="E46" s="235">
        <v>8583.5399999999991</v>
      </c>
      <c r="F46" s="235">
        <v>6481.63</v>
      </c>
      <c r="G46" s="235">
        <v>-2836.33</v>
      </c>
      <c r="H46" s="235">
        <v>14570.22</v>
      </c>
      <c r="I46" s="235">
        <v>4033.2</v>
      </c>
      <c r="J46" s="235">
        <v>12081.66</v>
      </c>
      <c r="K46" s="235">
        <v>9582.51</v>
      </c>
      <c r="L46" s="235">
        <v>16496.95</v>
      </c>
      <c r="M46" s="235">
        <v>25903.03</v>
      </c>
      <c r="N46" s="235">
        <v>15760.49</v>
      </c>
      <c r="O46" s="302">
        <v>18444.009999999998</v>
      </c>
      <c r="P46" s="258">
        <f t="shared" si="0"/>
        <v>140234.41</v>
      </c>
      <c r="Q46" s="235"/>
      <c r="R46" s="235">
        <v>31526.82</v>
      </c>
      <c r="S46" s="235">
        <v>0</v>
      </c>
      <c r="T46" s="235">
        <v>0</v>
      </c>
      <c r="U46" s="237">
        <f t="shared" si="1"/>
        <v>31526.82</v>
      </c>
      <c r="V46" s="235">
        <v>84296.499999999985</v>
      </c>
      <c r="W46" s="235">
        <v>0</v>
      </c>
      <c r="X46" s="237">
        <f t="shared" si="2"/>
        <v>84296.499999999985</v>
      </c>
      <c r="Y46" s="235">
        <v>23447.509999999995</v>
      </c>
      <c r="Z46" s="235">
        <v>963.58</v>
      </c>
      <c r="AA46" s="258">
        <f t="shared" si="3"/>
        <v>140234.40999999997</v>
      </c>
      <c r="AB46" s="194" t="b">
        <f t="shared" si="4"/>
        <v>1</v>
      </c>
    </row>
    <row r="47" spans="1:28" ht="13.5" thickBot="1">
      <c r="A47" s="179">
        <v>34</v>
      </c>
      <c r="D47" s="298">
        <f>SUM(D14:D46)</f>
        <v>2566195.310000001</v>
      </c>
      <c r="E47" s="298">
        <f t="shared" ref="E47:P47" si="5">SUM(E14:E46)</f>
        <v>2057036.1500000001</v>
      </c>
      <c r="F47" s="298">
        <f t="shared" si="5"/>
        <v>2657381.0699999994</v>
      </c>
      <c r="G47" s="298">
        <f t="shared" si="5"/>
        <v>3059487.34</v>
      </c>
      <c r="H47" s="298">
        <f t="shared" si="5"/>
        <v>2809503.1799999997</v>
      </c>
      <c r="I47" s="298">
        <f t="shared" si="5"/>
        <v>2859363.0000000009</v>
      </c>
      <c r="J47" s="298">
        <f t="shared" si="5"/>
        <v>3149421.9800000004</v>
      </c>
      <c r="K47" s="298">
        <f t="shared" si="5"/>
        <v>3274054.0600000005</v>
      </c>
      <c r="L47" s="298">
        <f t="shared" si="5"/>
        <v>3479674.879999999</v>
      </c>
      <c r="M47" s="298">
        <f t="shared" si="5"/>
        <v>3257395.3399999994</v>
      </c>
      <c r="N47" s="298">
        <f t="shared" si="5"/>
        <v>3112290.2800000003</v>
      </c>
      <c r="O47" s="298">
        <f t="shared" si="5"/>
        <v>4081802.69</v>
      </c>
      <c r="P47" s="298">
        <f t="shared" si="5"/>
        <v>36363605.280000001</v>
      </c>
      <c r="R47" s="298">
        <f t="shared" ref="R47" si="6">SUM(R14:R46)</f>
        <v>5691942.4600000009</v>
      </c>
      <c r="S47" s="298">
        <f t="shared" ref="S47" si="7">SUM(S14:S46)</f>
        <v>0</v>
      </c>
      <c r="T47" s="298">
        <f t="shared" ref="T47" si="8">SUM(T14:T46)</f>
        <v>0</v>
      </c>
      <c r="U47" s="298">
        <f t="shared" ref="U47" si="9">SUM(U14:U46)</f>
        <v>5691942.4600000009</v>
      </c>
      <c r="V47" s="298">
        <f t="shared" ref="V47" si="10">SUM(V14:V46)</f>
        <v>25232710.449999988</v>
      </c>
      <c r="W47" s="298">
        <f t="shared" ref="W47" si="11">SUM(W14:W46)</f>
        <v>0</v>
      </c>
      <c r="X47" s="298">
        <f t="shared" ref="X47" si="12">SUM(X14:X46)</f>
        <v>25232710.449999988</v>
      </c>
      <c r="Y47" s="298">
        <f t="shared" ref="Y47" si="13">SUM(Y14:Y46)</f>
        <v>5420767.5499999998</v>
      </c>
      <c r="Z47" s="298">
        <f t="shared" ref="Z47" si="14">SUM(Z14:Z46)</f>
        <v>18184.819999999989</v>
      </c>
      <c r="AA47" s="298">
        <f t="shared" ref="AA47" si="15">SUM(AA14:AA46)</f>
        <v>36363605.279999994</v>
      </c>
    </row>
    <row r="48" spans="1:28" ht="13.5" thickTop="1">
      <c r="A48" s="179">
        <v>35</v>
      </c>
    </row>
    <row r="49" spans="1:28">
      <c r="A49" s="179">
        <v>36</v>
      </c>
    </row>
    <row r="50" spans="1:28">
      <c r="A50" s="179">
        <v>37</v>
      </c>
      <c r="B50" t="s">
        <v>231</v>
      </c>
      <c r="C50" t="s">
        <v>738</v>
      </c>
      <c r="D50" s="265">
        <v>2547.5</v>
      </c>
      <c r="E50" s="265">
        <v>2547.5</v>
      </c>
      <c r="F50" s="265">
        <v>2547.5</v>
      </c>
      <c r="G50" s="265">
        <v>2547.5</v>
      </c>
      <c r="H50" s="265">
        <v>2674.88</v>
      </c>
      <c r="I50" s="265">
        <v>3959.38</v>
      </c>
      <c r="J50" s="265">
        <v>2611.19</v>
      </c>
      <c r="K50" s="265">
        <v>2611.19</v>
      </c>
      <c r="L50" s="265">
        <v>2611.19</v>
      </c>
      <c r="M50" s="265">
        <v>3874.19</v>
      </c>
      <c r="N50" s="265">
        <v>2611.19</v>
      </c>
      <c r="O50" s="319">
        <v>2611.19</v>
      </c>
      <c r="P50" s="320">
        <f>SUM(D50:O50)</f>
        <v>33754.399999999994</v>
      </c>
      <c r="Q50" s="265"/>
      <c r="R50" s="265">
        <v>33754.400000000001</v>
      </c>
      <c r="S50" s="265">
        <v>0</v>
      </c>
      <c r="T50" s="265">
        <v>0</v>
      </c>
      <c r="U50" s="320">
        <f>SUM(R50:T50)</f>
        <v>33754.400000000001</v>
      </c>
      <c r="V50" s="265">
        <v>0</v>
      </c>
      <c r="W50" s="265">
        <v>0</v>
      </c>
      <c r="X50" s="320">
        <f>SUM(V50:W50)</f>
        <v>0</v>
      </c>
      <c r="Y50" s="265">
        <v>0</v>
      </c>
      <c r="Z50" s="265">
        <v>0</v>
      </c>
      <c r="AA50" s="236">
        <f>+U50+X50+Y50+Z50</f>
        <v>33754.400000000001</v>
      </c>
      <c r="AB50" s="194" t="b">
        <f t="shared" ref="AB50:AB83" si="16">ROUND(+P50,2)=ROUND(AA50,2)</f>
        <v>1</v>
      </c>
    </row>
    <row r="51" spans="1:28">
      <c r="A51" s="179">
        <v>38</v>
      </c>
      <c r="B51" t="s">
        <v>277</v>
      </c>
      <c r="C51" t="s">
        <v>739</v>
      </c>
      <c r="D51" s="66">
        <v>21996.29</v>
      </c>
      <c r="E51" s="66">
        <v>28024.669999999995</v>
      </c>
      <c r="F51" s="66">
        <v>26246.29</v>
      </c>
      <c r="G51" s="66">
        <v>28791.149999999998</v>
      </c>
      <c r="H51" s="66">
        <v>30013.23</v>
      </c>
      <c r="I51" s="66">
        <v>29153.61</v>
      </c>
      <c r="J51" s="66">
        <v>29153.609999999997</v>
      </c>
      <c r="K51" s="66">
        <v>24155.75</v>
      </c>
      <c r="L51" s="66">
        <v>29568.850000000002</v>
      </c>
      <c r="M51" s="66">
        <v>29568.85</v>
      </c>
      <c r="N51" s="66">
        <v>29568.85</v>
      </c>
      <c r="O51" s="128">
        <v>29568.85</v>
      </c>
      <c r="P51" s="264">
        <f t="shared" ref="P51:P82" si="17">SUM(D51:O51)</f>
        <v>335809.99999999994</v>
      </c>
      <c r="R51" s="235">
        <v>98139.91</v>
      </c>
      <c r="S51" s="235">
        <v>0</v>
      </c>
      <c r="T51" s="235">
        <v>0</v>
      </c>
      <c r="U51" s="237">
        <f t="shared" ref="U51:U82" si="18">SUM(R51:T51)</f>
        <v>98139.91</v>
      </c>
      <c r="V51" s="235">
        <v>145082.25</v>
      </c>
      <c r="W51" s="235">
        <v>0</v>
      </c>
      <c r="X51" s="237">
        <f t="shared" ref="X51:X82" si="19">SUM(V51:W51)</f>
        <v>145082.25</v>
      </c>
      <c r="Y51" s="235">
        <v>35958.46</v>
      </c>
      <c r="Z51" s="235">
        <v>56629.38</v>
      </c>
      <c r="AA51" s="258">
        <f t="shared" ref="AA51:AA82" si="20">+U51+X51+Y51+Z51</f>
        <v>335810</v>
      </c>
      <c r="AB51" s="194" t="b">
        <f t="shared" si="16"/>
        <v>1</v>
      </c>
    </row>
    <row r="52" spans="1:28">
      <c r="A52" s="179">
        <v>39</v>
      </c>
      <c r="B52" t="s">
        <v>235</v>
      </c>
      <c r="C52" t="s">
        <v>740</v>
      </c>
      <c r="D52" s="66">
        <v>5462.2</v>
      </c>
      <c r="E52" s="66">
        <v>1320</v>
      </c>
      <c r="F52" s="66">
        <v>1320</v>
      </c>
      <c r="G52" s="66">
        <v>2640</v>
      </c>
      <c r="H52" s="66">
        <v>1320</v>
      </c>
      <c r="I52" s="66">
        <v>1320</v>
      </c>
      <c r="J52" s="66">
        <v>1320</v>
      </c>
      <c r="K52" s="66">
        <v>0</v>
      </c>
      <c r="L52" s="66">
        <v>1320</v>
      </c>
      <c r="M52" s="66">
        <v>1320</v>
      </c>
      <c r="N52" s="66">
        <v>1320</v>
      </c>
      <c r="O52" s="128">
        <v>1722.35</v>
      </c>
      <c r="P52" s="264">
        <f t="shared" si="17"/>
        <v>20384.55</v>
      </c>
      <c r="R52" s="235">
        <v>20192.45</v>
      </c>
      <c r="S52" s="235">
        <v>0</v>
      </c>
      <c r="T52" s="235">
        <v>0</v>
      </c>
      <c r="U52" s="237">
        <f t="shared" si="18"/>
        <v>20192.45</v>
      </c>
      <c r="V52" s="235">
        <v>190.4</v>
      </c>
      <c r="W52" s="235">
        <v>0</v>
      </c>
      <c r="X52" s="237">
        <f t="shared" si="19"/>
        <v>190.4</v>
      </c>
      <c r="Y52" s="235">
        <v>1.7</v>
      </c>
      <c r="Z52" s="235">
        <v>0</v>
      </c>
      <c r="AA52" s="258">
        <f t="shared" si="20"/>
        <v>20384.550000000003</v>
      </c>
      <c r="AB52" s="194" t="b">
        <f t="shared" si="16"/>
        <v>1</v>
      </c>
    </row>
    <row r="53" spans="1:28">
      <c r="A53" s="179">
        <v>40</v>
      </c>
      <c r="B53" t="s">
        <v>235</v>
      </c>
      <c r="C53" t="s">
        <v>741</v>
      </c>
      <c r="D53" s="66">
        <v>22279.13</v>
      </c>
      <c r="E53" s="66">
        <v>11139.56</v>
      </c>
      <c r="F53" s="66">
        <v>11139.56</v>
      </c>
      <c r="G53" s="66">
        <v>11139.56</v>
      </c>
      <c r="H53" s="66">
        <v>11139.56</v>
      </c>
      <c r="I53" s="66">
        <v>11139.56</v>
      </c>
      <c r="J53" s="66">
        <v>12810.49</v>
      </c>
      <c r="K53" s="66">
        <v>11807.94</v>
      </c>
      <c r="L53" s="66">
        <v>11473.75</v>
      </c>
      <c r="M53" s="66">
        <v>11473.75</v>
      </c>
      <c r="N53" s="66">
        <v>11473.75</v>
      </c>
      <c r="O53" s="128">
        <v>12293.3</v>
      </c>
      <c r="P53" s="264">
        <f t="shared" si="17"/>
        <v>149309.90999999997</v>
      </c>
      <c r="R53" s="235">
        <v>147902.82</v>
      </c>
      <c r="S53" s="235">
        <v>0</v>
      </c>
      <c r="T53" s="235">
        <v>0</v>
      </c>
      <c r="U53" s="237">
        <f t="shared" si="18"/>
        <v>147902.82</v>
      </c>
      <c r="V53" s="235">
        <v>1394.65</v>
      </c>
      <c r="W53" s="235">
        <v>0</v>
      </c>
      <c r="X53" s="237">
        <f t="shared" si="19"/>
        <v>1394.65</v>
      </c>
      <c r="Y53" s="235">
        <v>12.44</v>
      </c>
      <c r="Z53" s="235">
        <v>0</v>
      </c>
      <c r="AA53" s="258">
        <f t="shared" si="20"/>
        <v>149309.91</v>
      </c>
      <c r="AB53" s="194" t="b">
        <f t="shared" si="16"/>
        <v>1</v>
      </c>
    </row>
    <row r="54" spans="1:28">
      <c r="A54" s="179">
        <v>41</v>
      </c>
      <c r="B54" t="s">
        <v>235</v>
      </c>
      <c r="C54" t="s">
        <v>742</v>
      </c>
      <c r="D54" s="66">
        <v>16490.23</v>
      </c>
      <c r="E54" s="66">
        <v>3927.3</v>
      </c>
      <c r="F54" s="66">
        <v>3927.3</v>
      </c>
      <c r="G54" s="66">
        <v>3927.3</v>
      </c>
      <c r="H54" s="66">
        <v>3927.3</v>
      </c>
      <c r="I54" s="66">
        <v>3927.3</v>
      </c>
      <c r="J54" s="66">
        <v>3927.3</v>
      </c>
      <c r="K54" s="66">
        <v>3927.3</v>
      </c>
      <c r="L54" s="66">
        <v>3927.52</v>
      </c>
      <c r="M54" s="66">
        <v>3927.3</v>
      </c>
      <c r="N54" s="66">
        <v>3927.3</v>
      </c>
      <c r="O54" s="128">
        <v>4384.9400000000005</v>
      </c>
      <c r="P54" s="264">
        <f t="shared" si="17"/>
        <v>60148.390000000007</v>
      </c>
      <c r="R54" s="235">
        <v>59581.56</v>
      </c>
      <c r="S54" s="235">
        <v>0</v>
      </c>
      <c r="T54" s="235">
        <v>0</v>
      </c>
      <c r="U54" s="237">
        <f t="shared" si="18"/>
        <v>59581.56</v>
      </c>
      <c r="V54" s="235">
        <v>561.82000000000005</v>
      </c>
      <c r="W54" s="235">
        <v>0</v>
      </c>
      <c r="X54" s="237">
        <f t="shared" si="19"/>
        <v>561.82000000000005</v>
      </c>
      <c r="Y54" s="235">
        <v>5.01</v>
      </c>
      <c r="Z54" s="235">
        <v>0</v>
      </c>
      <c r="AA54" s="258">
        <f t="shared" si="20"/>
        <v>60148.39</v>
      </c>
      <c r="AB54" s="194" t="b">
        <f t="shared" si="16"/>
        <v>1</v>
      </c>
    </row>
    <row r="55" spans="1:28">
      <c r="A55" s="179">
        <v>42</v>
      </c>
      <c r="B55" t="s">
        <v>235</v>
      </c>
      <c r="C55" t="s">
        <v>743</v>
      </c>
      <c r="D55" s="66">
        <v>52802.28</v>
      </c>
      <c r="E55" s="66">
        <v>61831.42</v>
      </c>
      <c r="F55" s="66">
        <v>57407.69</v>
      </c>
      <c r="G55" s="66">
        <v>54108.76</v>
      </c>
      <c r="H55" s="66">
        <v>55674.07</v>
      </c>
      <c r="I55" s="66">
        <v>55150.02</v>
      </c>
      <c r="J55" s="66">
        <v>55242.009999999995</v>
      </c>
      <c r="K55" s="66">
        <v>52533.7</v>
      </c>
      <c r="L55" s="66">
        <v>59394.420000000006</v>
      </c>
      <c r="M55" s="66">
        <v>55297.880000000005</v>
      </c>
      <c r="N55" s="66">
        <v>106537.13</v>
      </c>
      <c r="O55" s="128">
        <v>721.7100000000064</v>
      </c>
      <c r="P55" s="264">
        <f t="shared" si="17"/>
        <v>666701.09</v>
      </c>
      <c r="R55" s="235">
        <v>660418.15</v>
      </c>
      <c r="S55" s="235">
        <v>0</v>
      </c>
      <c r="T55" s="235">
        <v>0</v>
      </c>
      <c r="U55" s="237">
        <f t="shared" si="18"/>
        <v>660418.15</v>
      </c>
      <c r="V55" s="235">
        <f>+P55-R55-S55-T55-W55-Y55-Z55</f>
        <v>6227.4099999999444</v>
      </c>
      <c r="W55" s="235">
        <v>0</v>
      </c>
      <c r="X55" s="237">
        <f t="shared" si="19"/>
        <v>6227.4099999999444</v>
      </c>
      <c r="Y55" s="235">
        <v>55.53</v>
      </c>
      <c r="Z55" s="235">
        <v>0</v>
      </c>
      <c r="AA55" s="258">
        <f t="shared" si="20"/>
        <v>666701.09</v>
      </c>
      <c r="AB55" s="194" t="b">
        <f t="shared" si="16"/>
        <v>1</v>
      </c>
    </row>
    <row r="56" spans="1:28">
      <c r="A56" s="179">
        <v>43</v>
      </c>
      <c r="B56" t="s">
        <v>250</v>
      </c>
      <c r="C56" t="s">
        <v>743</v>
      </c>
      <c r="D56" s="66">
        <v>43201.87</v>
      </c>
      <c r="E56" s="66">
        <v>50589.35</v>
      </c>
      <c r="F56" s="66">
        <v>46969.919999999998</v>
      </c>
      <c r="G56" s="66">
        <v>44270.8</v>
      </c>
      <c r="H56" s="66">
        <v>45551.519999999997</v>
      </c>
      <c r="I56" s="66">
        <v>45122.73</v>
      </c>
      <c r="J56" s="66">
        <v>45198</v>
      </c>
      <c r="K56" s="66">
        <v>42982.12</v>
      </c>
      <c r="L56" s="66">
        <v>48595.439999999995</v>
      </c>
      <c r="M56" s="66">
        <v>45243.72</v>
      </c>
      <c r="N56" s="66">
        <v>87166.739999999991</v>
      </c>
      <c r="O56" s="128">
        <v>590.48999999999967</v>
      </c>
      <c r="P56" s="264">
        <f t="shared" si="17"/>
        <v>545482.69999999995</v>
      </c>
      <c r="R56" s="235">
        <v>674.59</v>
      </c>
      <c r="S56" s="235">
        <v>0</v>
      </c>
      <c r="T56" s="235">
        <v>0</v>
      </c>
      <c r="U56" s="237">
        <f t="shared" si="18"/>
        <v>674.59</v>
      </c>
      <c r="V56" s="235">
        <v>530539.56000000006</v>
      </c>
      <c r="W56" s="235">
        <v>0</v>
      </c>
      <c r="X56" s="237">
        <f t="shared" si="19"/>
        <v>530539.56000000006</v>
      </c>
      <c r="Y56" s="235">
        <v>13540.69</v>
      </c>
      <c r="Z56" s="235">
        <v>727.86</v>
      </c>
      <c r="AA56" s="258">
        <f t="shared" si="20"/>
        <v>545482.69999999995</v>
      </c>
      <c r="AB56" s="194" t="b">
        <f t="shared" si="16"/>
        <v>1</v>
      </c>
    </row>
    <row r="57" spans="1:28">
      <c r="A57" s="179">
        <v>44</v>
      </c>
      <c r="B57" t="s">
        <v>288</v>
      </c>
      <c r="C57" t="s">
        <v>743</v>
      </c>
      <c r="D57" s="66">
        <v>24001.040000000001</v>
      </c>
      <c r="E57" s="66">
        <v>28105.200000000001</v>
      </c>
      <c r="F57" s="66">
        <v>26094.41</v>
      </c>
      <c r="G57" s="66">
        <v>24594.89</v>
      </c>
      <c r="H57" s="66">
        <v>25306.400000000001</v>
      </c>
      <c r="I57" s="66">
        <v>25068.19</v>
      </c>
      <c r="J57" s="66">
        <v>25110</v>
      </c>
      <c r="K57" s="66">
        <v>23878.959999999999</v>
      </c>
      <c r="L57" s="66">
        <v>26997.47</v>
      </c>
      <c r="M57" s="66">
        <v>25135.4</v>
      </c>
      <c r="N57" s="66">
        <v>48425.97</v>
      </c>
      <c r="O57" s="128">
        <v>328.04000000000087</v>
      </c>
      <c r="P57" s="264">
        <f t="shared" si="17"/>
        <v>303045.96999999997</v>
      </c>
      <c r="R57" s="235">
        <v>13040.67</v>
      </c>
      <c r="S57" s="235">
        <v>0</v>
      </c>
      <c r="T57" s="235">
        <v>0</v>
      </c>
      <c r="U57" s="237">
        <f t="shared" si="18"/>
        <v>13040.67</v>
      </c>
      <c r="V57" s="235">
        <v>160773.85</v>
      </c>
      <c r="W57" s="235">
        <v>0</v>
      </c>
      <c r="X57" s="237">
        <f t="shared" si="19"/>
        <v>160773.85</v>
      </c>
      <c r="Y57" s="235">
        <v>10524.27</v>
      </c>
      <c r="Z57" s="235">
        <v>118707.18</v>
      </c>
      <c r="AA57" s="258">
        <f t="shared" si="20"/>
        <v>303045.96999999997</v>
      </c>
      <c r="AB57" s="194" t="b">
        <f t="shared" si="16"/>
        <v>1</v>
      </c>
    </row>
    <row r="58" spans="1:28">
      <c r="A58" s="179">
        <v>45</v>
      </c>
      <c r="B58" t="s">
        <v>246</v>
      </c>
      <c r="C58" t="s">
        <v>744</v>
      </c>
      <c r="D58" s="66">
        <v>0</v>
      </c>
      <c r="E58" s="66">
        <v>0</v>
      </c>
      <c r="F58" s="66">
        <v>0</v>
      </c>
      <c r="G58" s="66">
        <v>0</v>
      </c>
      <c r="H58" s="66">
        <v>0</v>
      </c>
      <c r="I58" s="66">
        <v>0</v>
      </c>
      <c r="J58" s="66">
        <v>0</v>
      </c>
      <c r="K58" s="66">
        <v>0</v>
      </c>
      <c r="L58" s="66">
        <v>0</v>
      </c>
      <c r="M58" s="66">
        <v>0</v>
      </c>
      <c r="N58" s="66">
        <v>1536.46</v>
      </c>
      <c r="O58" s="128">
        <v>1536.46</v>
      </c>
      <c r="P58" s="264">
        <f t="shared" si="17"/>
        <v>3072.92</v>
      </c>
      <c r="R58" s="235">
        <v>0</v>
      </c>
      <c r="S58" s="235">
        <v>0</v>
      </c>
      <c r="T58" s="235">
        <v>0</v>
      </c>
      <c r="U58" s="237">
        <f t="shared" si="18"/>
        <v>0</v>
      </c>
      <c r="V58" s="235">
        <v>0</v>
      </c>
      <c r="W58" s="235">
        <v>0</v>
      </c>
      <c r="X58" s="237">
        <f t="shared" si="19"/>
        <v>0</v>
      </c>
      <c r="Y58" s="235">
        <v>3072.92</v>
      </c>
      <c r="Z58" s="235">
        <v>0</v>
      </c>
      <c r="AA58" s="258">
        <f t="shared" si="20"/>
        <v>3072.92</v>
      </c>
      <c r="AB58" s="194" t="b">
        <f t="shared" si="16"/>
        <v>1</v>
      </c>
    </row>
    <row r="59" spans="1:28">
      <c r="A59" s="179">
        <v>46</v>
      </c>
      <c r="B59" t="s">
        <v>258</v>
      </c>
      <c r="C59" t="s">
        <v>744</v>
      </c>
      <c r="D59" s="66">
        <v>0</v>
      </c>
      <c r="E59" s="66">
        <v>10974.7</v>
      </c>
      <c r="F59" s="66">
        <v>21949.4</v>
      </c>
      <c r="G59" s="66">
        <v>10974.7</v>
      </c>
      <c r="H59" s="66">
        <v>10974.7</v>
      </c>
      <c r="I59" s="66">
        <v>10974.7</v>
      </c>
      <c r="J59" s="66">
        <v>10974.7</v>
      </c>
      <c r="K59" s="66">
        <v>10974.7</v>
      </c>
      <c r="L59" s="66">
        <v>10974.7</v>
      </c>
      <c r="M59" s="66">
        <v>10974.7</v>
      </c>
      <c r="N59" s="66">
        <v>10974.7</v>
      </c>
      <c r="O59" s="128">
        <v>0</v>
      </c>
      <c r="P59" s="264">
        <f t="shared" si="17"/>
        <v>120721.69999999998</v>
      </c>
      <c r="R59" s="235">
        <v>0</v>
      </c>
      <c r="S59" s="235">
        <v>0</v>
      </c>
      <c r="T59" s="235">
        <v>0</v>
      </c>
      <c r="U59" s="237">
        <f t="shared" si="18"/>
        <v>0</v>
      </c>
      <c r="V59" s="235">
        <v>0</v>
      </c>
      <c r="W59" s="235">
        <v>0</v>
      </c>
      <c r="X59" s="237">
        <f t="shared" si="19"/>
        <v>0</v>
      </c>
      <c r="Y59" s="235">
        <v>120721.7</v>
      </c>
      <c r="Z59" s="235">
        <v>0</v>
      </c>
      <c r="AA59" s="258">
        <f t="shared" si="20"/>
        <v>120721.7</v>
      </c>
      <c r="AB59" s="194" t="b">
        <f t="shared" si="16"/>
        <v>1</v>
      </c>
    </row>
    <row r="60" spans="1:28">
      <c r="A60" s="179">
        <v>47</v>
      </c>
      <c r="B60" t="s">
        <v>277</v>
      </c>
      <c r="C60" t="s">
        <v>744</v>
      </c>
      <c r="D60" s="66">
        <v>22388.81</v>
      </c>
      <c r="E60" s="66">
        <v>0</v>
      </c>
      <c r="F60" s="66">
        <v>0</v>
      </c>
      <c r="G60" s="66">
        <v>0</v>
      </c>
      <c r="H60" s="66">
        <v>0</v>
      </c>
      <c r="I60" s="66">
        <v>0</v>
      </c>
      <c r="J60" s="66">
        <v>0</v>
      </c>
      <c r="K60" s="66">
        <v>0</v>
      </c>
      <c r="L60" s="66">
        <v>0.01</v>
      </c>
      <c r="M60" s="66">
        <v>0</v>
      </c>
      <c r="N60" s="66">
        <v>0</v>
      </c>
      <c r="O60" s="128">
        <v>-450.53</v>
      </c>
      <c r="P60" s="264">
        <f t="shared" si="17"/>
        <v>21938.29</v>
      </c>
      <c r="R60" s="235">
        <v>6411.43</v>
      </c>
      <c r="S60" s="235">
        <v>0</v>
      </c>
      <c r="T60" s="235">
        <v>0</v>
      </c>
      <c r="U60" s="237">
        <f t="shared" si="18"/>
        <v>6411.43</v>
      </c>
      <c r="V60" s="235">
        <f>+P60-R60-S60-T60-W60-Y60-Z60</f>
        <v>9478.1400000000012</v>
      </c>
      <c r="W60" s="235">
        <v>0</v>
      </c>
      <c r="X60" s="237">
        <f t="shared" si="19"/>
        <v>9478.1400000000012</v>
      </c>
      <c r="Y60" s="235">
        <v>2349.15</v>
      </c>
      <c r="Z60" s="235">
        <v>3699.57</v>
      </c>
      <c r="AA60" s="258">
        <f t="shared" si="20"/>
        <v>21938.29</v>
      </c>
      <c r="AB60" s="194" t="b">
        <f t="shared" si="16"/>
        <v>1</v>
      </c>
    </row>
    <row r="61" spans="1:28">
      <c r="A61" s="179">
        <v>48</v>
      </c>
      <c r="B61" t="s">
        <v>250</v>
      </c>
      <c r="C61" t="s">
        <v>745</v>
      </c>
      <c r="D61" s="66">
        <v>8345.9</v>
      </c>
      <c r="E61" s="66">
        <v>2510.41</v>
      </c>
      <c r="F61" s="66">
        <v>2510.41</v>
      </c>
      <c r="G61" s="66">
        <v>2510.41</v>
      </c>
      <c r="H61" s="66">
        <v>2510.41</v>
      </c>
      <c r="I61" s="66">
        <v>2510.41</v>
      </c>
      <c r="J61" s="66">
        <v>2510.41</v>
      </c>
      <c r="K61" s="66">
        <v>2510.41</v>
      </c>
      <c r="L61" s="66">
        <v>2510.41</v>
      </c>
      <c r="M61" s="66">
        <v>0</v>
      </c>
      <c r="N61" s="66">
        <v>6049.5</v>
      </c>
      <c r="O61" s="128">
        <v>-101.16</v>
      </c>
      <c r="P61" s="264">
        <f t="shared" si="17"/>
        <v>34377.519999999997</v>
      </c>
      <c r="R61" s="235">
        <v>42.51</v>
      </c>
      <c r="S61" s="235">
        <v>0</v>
      </c>
      <c r="T61" s="235">
        <v>0</v>
      </c>
      <c r="U61" s="237">
        <f t="shared" si="18"/>
        <v>42.51</v>
      </c>
      <c r="V61" s="235">
        <f>+P61-R61-S61-T61-W61-Y61-Z61</f>
        <v>33435.779999999992</v>
      </c>
      <c r="W61" s="235">
        <v>0</v>
      </c>
      <c r="X61" s="237">
        <f t="shared" si="19"/>
        <v>33435.779999999992</v>
      </c>
      <c r="Y61" s="235">
        <v>853.36</v>
      </c>
      <c r="Z61" s="235">
        <v>45.87</v>
      </c>
      <c r="AA61" s="258">
        <f t="shared" si="20"/>
        <v>34377.519999999997</v>
      </c>
      <c r="AB61" s="194" t="b">
        <f t="shared" si="16"/>
        <v>1</v>
      </c>
    </row>
    <row r="62" spans="1:28">
      <c r="A62" s="179">
        <v>49</v>
      </c>
      <c r="B62" t="s">
        <v>255</v>
      </c>
      <c r="C62" t="s">
        <v>745</v>
      </c>
      <c r="D62" s="66">
        <v>3074.81</v>
      </c>
      <c r="E62" s="66">
        <v>924.89</v>
      </c>
      <c r="F62" s="66">
        <v>924.89</v>
      </c>
      <c r="G62" s="66">
        <v>924.89</v>
      </c>
      <c r="H62" s="66">
        <v>924.89</v>
      </c>
      <c r="I62" s="66">
        <v>924.89</v>
      </c>
      <c r="J62" s="66">
        <v>924.89</v>
      </c>
      <c r="K62" s="66">
        <v>924.89</v>
      </c>
      <c r="L62" s="66">
        <v>924.89</v>
      </c>
      <c r="M62" s="66">
        <v>0</v>
      </c>
      <c r="N62" s="66">
        <v>2646.66</v>
      </c>
      <c r="O62" s="128">
        <v>-44.26</v>
      </c>
      <c r="P62" s="264">
        <f t="shared" si="17"/>
        <v>13076.33</v>
      </c>
      <c r="R62" s="235">
        <v>0</v>
      </c>
      <c r="S62" s="235">
        <v>0</v>
      </c>
      <c r="T62" s="235">
        <v>0</v>
      </c>
      <c r="U62" s="237">
        <f t="shared" si="18"/>
        <v>0</v>
      </c>
      <c r="V62" s="235">
        <v>0</v>
      </c>
      <c r="W62" s="235">
        <v>0</v>
      </c>
      <c r="X62" s="237">
        <f t="shared" si="19"/>
        <v>0</v>
      </c>
      <c r="Y62" s="235">
        <v>13076.33</v>
      </c>
      <c r="Z62" s="235">
        <v>0</v>
      </c>
      <c r="AA62" s="258">
        <f t="shared" si="20"/>
        <v>13076.33</v>
      </c>
      <c r="AB62" s="194" t="b">
        <f t="shared" si="16"/>
        <v>1</v>
      </c>
    </row>
    <row r="63" spans="1:28">
      <c r="A63" s="179">
        <v>50</v>
      </c>
      <c r="B63" t="s">
        <v>235</v>
      </c>
      <c r="C63" t="s">
        <v>746</v>
      </c>
      <c r="D63" s="66">
        <v>67354.22</v>
      </c>
      <c r="E63" s="66">
        <v>67354.22</v>
      </c>
      <c r="F63" s="66">
        <v>67354.22</v>
      </c>
      <c r="G63" s="66">
        <v>67354.22</v>
      </c>
      <c r="H63" s="66">
        <v>67354.22</v>
      </c>
      <c r="I63" s="66">
        <v>67354.22</v>
      </c>
      <c r="J63" s="66">
        <v>67397.960000000006</v>
      </c>
      <c r="K63" s="66">
        <v>67354.22</v>
      </c>
      <c r="L63" s="66">
        <v>67354.22</v>
      </c>
      <c r="M63" s="66">
        <v>67354.22</v>
      </c>
      <c r="N63" s="66">
        <v>3090.63</v>
      </c>
      <c r="O63" s="128">
        <v>35483.03</v>
      </c>
      <c r="P63" s="264">
        <f t="shared" si="17"/>
        <v>712159.6</v>
      </c>
      <c r="R63" s="235">
        <v>705448.26</v>
      </c>
      <c r="S63" s="235">
        <v>0</v>
      </c>
      <c r="T63" s="235">
        <v>0</v>
      </c>
      <c r="U63" s="237">
        <f t="shared" si="18"/>
        <v>705448.26</v>
      </c>
      <c r="V63" s="235">
        <v>6652.03</v>
      </c>
      <c r="W63" s="235">
        <v>0</v>
      </c>
      <c r="X63" s="237">
        <f t="shared" si="19"/>
        <v>6652.03</v>
      </c>
      <c r="Y63" s="235">
        <v>59.31</v>
      </c>
      <c r="Z63" s="235">
        <v>0</v>
      </c>
      <c r="AA63" s="258">
        <f t="shared" si="20"/>
        <v>712159.60000000009</v>
      </c>
      <c r="AB63" s="194" t="b">
        <f t="shared" si="16"/>
        <v>1</v>
      </c>
    </row>
    <row r="64" spans="1:28">
      <c r="A64" s="179">
        <v>51</v>
      </c>
      <c r="B64" t="s">
        <v>250</v>
      </c>
      <c r="C64" t="s">
        <v>746</v>
      </c>
      <c r="D64" s="66">
        <v>29442.45</v>
      </c>
      <c r="E64" s="66">
        <v>29442.45</v>
      </c>
      <c r="F64" s="66">
        <v>29442.45</v>
      </c>
      <c r="G64" s="66">
        <v>29442.45</v>
      </c>
      <c r="H64" s="66">
        <v>29442.45</v>
      </c>
      <c r="I64" s="66">
        <v>29442.45</v>
      </c>
      <c r="J64" s="66">
        <v>29461.57</v>
      </c>
      <c r="K64" s="66">
        <v>29442.45</v>
      </c>
      <c r="L64" s="66">
        <v>29442.45</v>
      </c>
      <c r="M64" s="66">
        <v>29442.45</v>
      </c>
      <c r="N64" s="66">
        <v>1351</v>
      </c>
      <c r="O64" s="128">
        <v>15510.65</v>
      </c>
      <c r="P64" s="264">
        <f t="shared" si="17"/>
        <v>311305.27000000008</v>
      </c>
      <c r="R64" s="235">
        <v>384.99</v>
      </c>
      <c r="S64" s="235">
        <v>0</v>
      </c>
      <c r="T64" s="235">
        <v>0</v>
      </c>
      <c r="U64" s="237">
        <f t="shared" si="18"/>
        <v>384.99</v>
      </c>
      <c r="V64" s="235">
        <f>+P64-R64-S64-T64-W64-Y64-Z64</f>
        <v>302777.26000000007</v>
      </c>
      <c r="W64" s="235">
        <v>0</v>
      </c>
      <c r="X64" s="237">
        <f t="shared" si="19"/>
        <v>302777.26000000007</v>
      </c>
      <c r="Y64" s="235">
        <v>7727.63</v>
      </c>
      <c r="Z64" s="235">
        <v>415.39</v>
      </c>
      <c r="AA64" s="258">
        <f t="shared" si="20"/>
        <v>311305.27000000008</v>
      </c>
      <c r="AB64" s="194" t="b">
        <f t="shared" si="16"/>
        <v>1</v>
      </c>
    </row>
    <row r="65" spans="1:28">
      <c r="A65" s="179">
        <v>52</v>
      </c>
      <c r="B65" t="s">
        <v>288</v>
      </c>
      <c r="C65" t="s">
        <v>746</v>
      </c>
      <c r="D65" s="66">
        <v>40283.18</v>
      </c>
      <c r="E65" s="66">
        <v>40283.18</v>
      </c>
      <c r="F65" s="66">
        <v>40283.18</v>
      </c>
      <c r="G65" s="66">
        <v>40283.18</v>
      </c>
      <c r="H65" s="66">
        <v>40283.18</v>
      </c>
      <c r="I65" s="66">
        <v>40283.18</v>
      </c>
      <c r="J65" s="66">
        <v>40309.339999999997</v>
      </c>
      <c r="K65" s="66">
        <v>40283.18</v>
      </c>
      <c r="L65" s="66">
        <v>40283.18</v>
      </c>
      <c r="M65" s="66">
        <v>40283.18</v>
      </c>
      <c r="N65" s="66">
        <v>1848.44</v>
      </c>
      <c r="O65" s="128">
        <v>21221.68</v>
      </c>
      <c r="P65" s="264">
        <f t="shared" si="17"/>
        <v>425928.07999999996</v>
      </c>
      <c r="R65" s="235">
        <v>18328.53</v>
      </c>
      <c r="S65" s="235">
        <v>0</v>
      </c>
      <c r="T65" s="235">
        <v>0</v>
      </c>
      <c r="U65" s="237">
        <f t="shared" si="18"/>
        <v>18328.53</v>
      </c>
      <c r="V65" s="235">
        <v>225966.04</v>
      </c>
      <c r="W65" s="235">
        <v>0</v>
      </c>
      <c r="X65" s="237">
        <f t="shared" si="19"/>
        <v>225966.04</v>
      </c>
      <c r="Y65" s="235">
        <v>14791.76</v>
      </c>
      <c r="Z65" s="235">
        <v>166841.75</v>
      </c>
      <c r="AA65" s="258">
        <f t="shared" si="20"/>
        <v>425928.08</v>
      </c>
      <c r="AB65" s="194" t="b">
        <f t="shared" si="16"/>
        <v>1</v>
      </c>
    </row>
    <row r="66" spans="1:28">
      <c r="A66" s="179">
        <v>53</v>
      </c>
      <c r="B66" t="s">
        <v>246</v>
      </c>
      <c r="C66" t="s">
        <v>747</v>
      </c>
      <c r="D66" s="66">
        <v>10442.52</v>
      </c>
      <c r="E66" s="66">
        <v>2394.85</v>
      </c>
      <c r="F66" s="66">
        <v>2394.85</v>
      </c>
      <c r="G66" s="66">
        <v>2394.85</v>
      </c>
      <c r="H66" s="66">
        <v>2394.85</v>
      </c>
      <c r="I66" s="66">
        <v>2394.85</v>
      </c>
      <c r="J66" s="66">
        <v>2394.85</v>
      </c>
      <c r="K66" s="66">
        <v>2394.85</v>
      </c>
      <c r="L66" s="66">
        <v>2418.85</v>
      </c>
      <c r="M66" s="66">
        <v>2454.7199999999998</v>
      </c>
      <c r="N66" s="66">
        <v>2630.06</v>
      </c>
      <c r="O66" s="128">
        <v>2492.89</v>
      </c>
      <c r="P66" s="264">
        <f t="shared" si="17"/>
        <v>37202.989999999991</v>
      </c>
      <c r="R66" s="235">
        <v>0</v>
      </c>
      <c r="S66" s="235">
        <v>0</v>
      </c>
      <c r="T66" s="235">
        <v>0</v>
      </c>
      <c r="U66" s="237">
        <f t="shared" si="18"/>
        <v>0</v>
      </c>
      <c r="V66" s="235">
        <v>0</v>
      </c>
      <c r="W66" s="235">
        <v>0</v>
      </c>
      <c r="X66" s="237">
        <f t="shared" si="19"/>
        <v>0</v>
      </c>
      <c r="Y66" s="235">
        <v>37202.99</v>
      </c>
      <c r="Z66" s="235">
        <v>0</v>
      </c>
      <c r="AA66" s="258">
        <f t="shared" si="20"/>
        <v>37202.99</v>
      </c>
      <c r="AB66" s="194" t="b">
        <f t="shared" si="16"/>
        <v>1</v>
      </c>
    </row>
    <row r="67" spans="1:28">
      <c r="A67" s="179">
        <v>54</v>
      </c>
      <c r="B67" t="s">
        <v>250</v>
      </c>
      <c r="C67" t="s">
        <v>747</v>
      </c>
      <c r="D67" s="66">
        <v>14172</v>
      </c>
      <c r="E67" s="66">
        <v>3250.16</v>
      </c>
      <c r="F67" s="66">
        <v>3250.16</v>
      </c>
      <c r="G67" s="66">
        <v>3250.16</v>
      </c>
      <c r="H67" s="66">
        <v>3250.16</v>
      </c>
      <c r="I67" s="66">
        <v>3250.16</v>
      </c>
      <c r="J67" s="66">
        <v>3250.16</v>
      </c>
      <c r="K67" s="66">
        <v>3250.16</v>
      </c>
      <c r="L67" s="66">
        <v>3282.73</v>
      </c>
      <c r="M67" s="66">
        <v>3331.41</v>
      </c>
      <c r="N67" s="66">
        <v>3857.42</v>
      </c>
      <c r="O67" s="128">
        <v>3656.24</v>
      </c>
      <c r="P67" s="264">
        <f t="shared" si="17"/>
        <v>51050.919999999991</v>
      </c>
      <c r="R67" s="235">
        <v>63.13</v>
      </c>
      <c r="S67" s="235">
        <v>0</v>
      </c>
      <c r="T67" s="235">
        <v>0</v>
      </c>
      <c r="U67" s="237">
        <f t="shared" si="18"/>
        <v>63.13</v>
      </c>
      <c r="V67" s="235">
        <f>+P67-R67-S67-T67-W67-Y67-Z67</f>
        <v>49652.419999999991</v>
      </c>
      <c r="W67" s="235">
        <v>0</v>
      </c>
      <c r="X67" s="237">
        <f t="shared" si="19"/>
        <v>49652.419999999991</v>
      </c>
      <c r="Y67" s="235">
        <v>1267.25</v>
      </c>
      <c r="Z67" s="235">
        <v>68.12</v>
      </c>
      <c r="AA67" s="258">
        <f t="shared" si="20"/>
        <v>51050.919999999991</v>
      </c>
      <c r="AB67" s="194" t="b">
        <f t="shared" si="16"/>
        <v>1</v>
      </c>
    </row>
    <row r="68" spans="1:28">
      <c r="A68" s="179">
        <v>55</v>
      </c>
      <c r="B68" t="s">
        <v>288</v>
      </c>
      <c r="C68" t="s">
        <v>747</v>
      </c>
      <c r="D68" s="66">
        <v>9696.6299999999992</v>
      </c>
      <c r="E68" s="66">
        <v>2223.79</v>
      </c>
      <c r="F68" s="66">
        <v>2223.79</v>
      </c>
      <c r="G68" s="66">
        <v>2223.79</v>
      </c>
      <c r="H68" s="66">
        <v>2223.79</v>
      </c>
      <c r="I68" s="66">
        <v>2223.79</v>
      </c>
      <c r="J68" s="66">
        <v>2223.79</v>
      </c>
      <c r="K68" s="66">
        <v>2223.79</v>
      </c>
      <c r="L68" s="66">
        <v>2246.08</v>
      </c>
      <c r="M68" s="66">
        <v>2279.39</v>
      </c>
      <c r="N68" s="66">
        <v>2279.39</v>
      </c>
      <c r="O68" s="128">
        <v>2160.5100000000002</v>
      </c>
      <c r="P68" s="264">
        <f t="shared" si="17"/>
        <v>34228.530000000006</v>
      </c>
      <c r="R68" s="235">
        <v>1472.92</v>
      </c>
      <c r="S68" s="235">
        <v>0</v>
      </c>
      <c r="T68" s="235">
        <v>0</v>
      </c>
      <c r="U68" s="237">
        <f t="shared" si="18"/>
        <v>1472.92</v>
      </c>
      <c r="V68" s="235">
        <f>+P68-R68-S68-T68-W68-Y68-Z68</f>
        <v>18159.140000000007</v>
      </c>
      <c r="W68" s="235">
        <v>0</v>
      </c>
      <c r="X68" s="237">
        <f t="shared" si="19"/>
        <v>18159.140000000007</v>
      </c>
      <c r="Y68" s="235">
        <v>1188.7</v>
      </c>
      <c r="Z68" s="235">
        <v>13407.77</v>
      </c>
      <c r="AA68" s="258">
        <f t="shared" si="20"/>
        <v>34228.530000000006</v>
      </c>
      <c r="AB68" s="194" t="b">
        <f t="shared" si="16"/>
        <v>1</v>
      </c>
    </row>
    <row r="69" spans="1:28">
      <c r="A69" s="179">
        <v>56</v>
      </c>
      <c r="B69" t="s">
        <v>249</v>
      </c>
      <c r="C69" t="s">
        <v>748</v>
      </c>
      <c r="D69" s="66">
        <v>0</v>
      </c>
      <c r="E69" s="66">
        <v>0</v>
      </c>
      <c r="F69" s="66">
        <v>0</v>
      </c>
      <c r="G69" s="66">
        <v>0</v>
      </c>
      <c r="H69" s="66">
        <v>0</v>
      </c>
      <c r="I69" s="66">
        <v>0</v>
      </c>
      <c r="J69" s="66">
        <v>0</v>
      </c>
      <c r="K69" s="66">
        <v>0</v>
      </c>
      <c r="L69" s="66">
        <v>0</v>
      </c>
      <c r="M69" s="66">
        <v>0</v>
      </c>
      <c r="N69" s="66">
        <v>0</v>
      </c>
      <c r="O69" s="128">
        <v>1200</v>
      </c>
      <c r="P69" s="264">
        <f t="shared" si="17"/>
        <v>1200</v>
      </c>
      <c r="R69" s="235">
        <v>4.46</v>
      </c>
      <c r="S69" s="235">
        <v>0</v>
      </c>
      <c r="T69" s="235">
        <v>0</v>
      </c>
      <c r="U69" s="237">
        <f t="shared" si="18"/>
        <v>4.46</v>
      </c>
      <c r="V69" s="235">
        <f>+P69-R69-S69-T69-W69-Y69-Z69</f>
        <v>1126.6799999999998</v>
      </c>
      <c r="W69" s="235">
        <v>0</v>
      </c>
      <c r="X69" s="237">
        <f t="shared" si="19"/>
        <v>1126.6799999999998</v>
      </c>
      <c r="Y69" s="235">
        <v>62.68</v>
      </c>
      <c r="Z69" s="235">
        <v>6.18</v>
      </c>
      <c r="AA69" s="258">
        <f t="shared" si="20"/>
        <v>1200</v>
      </c>
      <c r="AB69" s="194" t="b">
        <f t="shared" si="16"/>
        <v>1</v>
      </c>
    </row>
    <row r="70" spans="1:28">
      <c r="A70" s="179">
        <v>57</v>
      </c>
      <c r="B70" t="s">
        <v>250</v>
      </c>
      <c r="C70" t="s">
        <v>749</v>
      </c>
      <c r="D70" s="66">
        <v>1129.95</v>
      </c>
      <c r="E70" s="66">
        <v>1129.95</v>
      </c>
      <c r="F70" s="66">
        <v>1129.95</v>
      </c>
      <c r="G70" s="66">
        <v>1129.95</v>
      </c>
      <c r="H70" s="66">
        <v>1210.83</v>
      </c>
      <c r="I70" s="66">
        <v>1129.95</v>
      </c>
      <c r="J70" s="66">
        <v>1350</v>
      </c>
      <c r="K70" s="66">
        <v>0</v>
      </c>
      <c r="L70" s="66">
        <v>3367.98</v>
      </c>
      <c r="M70" s="66">
        <v>1603.8</v>
      </c>
      <c r="N70" s="66">
        <v>1603.8</v>
      </c>
      <c r="O70" s="128">
        <v>0</v>
      </c>
      <c r="P70" s="264">
        <f t="shared" si="17"/>
        <v>14786.159999999998</v>
      </c>
      <c r="R70" s="235">
        <v>18.29</v>
      </c>
      <c r="S70" s="235">
        <v>0</v>
      </c>
      <c r="T70" s="235">
        <v>0</v>
      </c>
      <c r="U70" s="237">
        <f t="shared" si="18"/>
        <v>18.29</v>
      </c>
      <c r="V70" s="235">
        <v>14381.1</v>
      </c>
      <c r="W70" s="235">
        <v>0</v>
      </c>
      <c r="X70" s="237">
        <f t="shared" si="19"/>
        <v>14381.1</v>
      </c>
      <c r="Y70" s="235">
        <v>367.04</v>
      </c>
      <c r="Z70" s="235">
        <v>19.73</v>
      </c>
      <c r="AA70" s="258">
        <f t="shared" si="20"/>
        <v>14786.160000000002</v>
      </c>
      <c r="AB70" s="194" t="b">
        <f t="shared" si="16"/>
        <v>1</v>
      </c>
    </row>
    <row r="71" spans="1:28">
      <c r="A71" s="179">
        <v>58</v>
      </c>
      <c r="B71" t="s">
        <v>250</v>
      </c>
      <c r="C71" t="s">
        <v>750</v>
      </c>
      <c r="D71" s="66">
        <v>6936.38</v>
      </c>
      <c r="E71" s="66">
        <v>5610</v>
      </c>
      <c r="F71" s="66">
        <v>11220</v>
      </c>
      <c r="G71" s="66">
        <v>5610</v>
      </c>
      <c r="H71" s="66">
        <v>0</v>
      </c>
      <c r="I71" s="66">
        <v>11220</v>
      </c>
      <c r="J71" s="66">
        <v>0</v>
      </c>
      <c r="K71" s="66">
        <v>11220</v>
      </c>
      <c r="L71" s="66">
        <v>5707.53</v>
      </c>
      <c r="M71" s="66">
        <v>0</v>
      </c>
      <c r="N71" s="66">
        <v>11550</v>
      </c>
      <c r="O71" s="128">
        <v>39.159999999999997</v>
      </c>
      <c r="P71" s="264">
        <f t="shared" si="17"/>
        <v>69113.070000000007</v>
      </c>
      <c r="R71" s="235">
        <v>85.47</v>
      </c>
      <c r="S71" s="235">
        <v>0</v>
      </c>
      <c r="T71" s="235">
        <v>0</v>
      </c>
      <c r="U71" s="237">
        <f t="shared" si="18"/>
        <v>85.47</v>
      </c>
      <c r="V71" s="235">
        <v>67219.759999999995</v>
      </c>
      <c r="W71" s="235">
        <v>0</v>
      </c>
      <c r="X71" s="237">
        <f t="shared" si="19"/>
        <v>67219.759999999995</v>
      </c>
      <c r="Y71" s="235">
        <v>1715.62</v>
      </c>
      <c r="Z71" s="235">
        <v>92.22</v>
      </c>
      <c r="AA71" s="258">
        <f t="shared" si="20"/>
        <v>69113.069999999992</v>
      </c>
      <c r="AB71" s="194" t="b">
        <f t="shared" si="16"/>
        <v>1</v>
      </c>
    </row>
    <row r="72" spans="1:28">
      <c r="A72" s="179">
        <v>59</v>
      </c>
      <c r="B72" t="s">
        <v>288</v>
      </c>
      <c r="C72" t="s">
        <v>750</v>
      </c>
      <c r="D72" s="66">
        <v>816.05</v>
      </c>
      <c r="E72" s="66">
        <v>660</v>
      </c>
      <c r="F72" s="66">
        <v>1320</v>
      </c>
      <c r="G72" s="66">
        <v>660</v>
      </c>
      <c r="H72" s="66">
        <v>0</v>
      </c>
      <c r="I72" s="66">
        <v>1320</v>
      </c>
      <c r="J72" s="66">
        <v>0</v>
      </c>
      <c r="K72" s="66">
        <v>1320</v>
      </c>
      <c r="L72" s="66">
        <v>671.47</v>
      </c>
      <c r="M72" s="66">
        <v>0</v>
      </c>
      <c r="N72" s="66">
        <v>1320</v>
      </c>
      <c r="O72" s="128">
        <v>4.4800000000000004</v>
      </c>
      <c r="P72" s="264">
        <f t="shared" si="17"/>
        <v>8092</v>
      </c>
      <c r="R72" s="235">
        <v>348.21</v>
      </c>
      <c r="S72" s="235">
        <v>0</v>
      </c>
      <c r="T72" s="235">
        <v>0</v>
      </c>
      <c r="U72" s="237">
        <f t="shared" si="18"/>
        <v>348.21</v>
      </c>
      <c r="V72" s="235">
        <v>4293.0200000000004</v>
      </c>
      <c r="W72" s="235">
        <v>0</v>
      </c>
      <c r="X72" s="237">
        <f t="shared" si="19"/>
        <v>4293.0200000000004</v>
      </c>
      <c r="Y72" s="235">
        <v>281.02</v>
      </c>
      <c r="Z72" s="235">
        <v>3169.75</v>
      </c>
      <c r="AA72" s="258">
        <f t="shared" si="20"/>
        <v>8092</v>
      </c>
      <c r="AB72" s="194" t="b">
        <f t="shared" si="16"/>
        <v>1</v>
      </c>
    </row>
    <row r="73" spans="1:28">
      <c r="A73" s="179">
        <v>60</v>
      </c>
      <c r="B73" t="s">
        <v>235</v>
      </c>
      <c r="C73" t="s">
        <v>751</v>
      </c>
      <c r="D73" s="66">
        <v>13625.96</v>
      </c>
      <c r="E73" s="66">
        <v>3327.03</v>
      </c>
      <c r="F73" s="66">
        <v>3327.03</v>
      </c>
      <c r="G73" s="66">
        <v>3327.03</v>
      </c>
      <c r="H73" s="66">
        <v>3327.03</v>
      </c>
      <c r="I73" s="66">
        <v>3327.03</v>
      </c>
      <c r="J73" s="66">
        <v>3327.03</v>
      </c>
      <c r="K73" s="66">
        <v>3327.03</v>
      </c>
      <c r="L73" s="66">
        <v>-2563.7600000000002</v>
      </c>
      <c r="M73" s="66">
        <v>8750.7999999999993</v>
      </c>
      <c r="N73" s="66">
        <v>0</v>
      </c>
      <c r="O73" s="128">
        <v>11060.85</v>
      </c>
      <c r="P73" s="264">
        <f t="shared" si="17"/>
        <v>54163.05999999999</v>
      </c>
      <c r="R73" s="235">
        <v>53652.63</v>
      </c>
      <c r="S73" s="235">
        <v>0</v>
      </c>
      <c r="T73" s="235">
        <v>0</v>
      </c>
      <c r="U73" s="237">
        <f t="shared" si="18"/>
        <v>53652.63</v>
      </c>
      <c r="V73" s="235">
        <v>505.92</v>
      </c>
      <c r="W73" s="235">
        <v>0</v>
      </c>
      <c r="X73" s="237">
        <f t="shared" si="19"/>
        <v>505.92</v>
      </c>
      <c r="Y73" s="235">
        <v>4.51</v>
      </c>
      <c r="Z73" s="235">
        <v>0</v>
      </c>
      <c r="AA73" s="258">
        <f t="shared" si="20"/>
        <v>54163.06</v>
      </c>
      <c r="AB73" s="194" t="b">
        <f t="shared" si="16"/>
        <v>1</v>
      </c>
    </row>
    <row r="74" spans="1:28">
      <c r="A74" s="179">
        <v>61</v>
      </c>
      <c r="B74" t="s">
        <v>250</v>
      </c>
      <c r="C74" t="s">
        <v>752</v>
      </c>
      <c r="D74" s="66">
        <v>19186.41</v>
      </c>
      <c r="E74" s="66">
        <v>2310</v>
      </c>
      <c r="F74" s="66">
        <v>2310</v>
      </c>
      <c r="G74" s="66">
        <v>2392.4499999999998</v>
      </c>
      <c r="H74" s="66">
        <v>2310</v>
      </c>
      <c r="I74" s="66">
        <v>2310</v>
      </c>
      <c r="J74" s="66">
        <v>2310</v>
      </c>
      <c r="K74" s="66">
        <v>2310</v>
      </c>
      <c r="L74" s="66">
        <v>4180.43</v>
      </c>
      <c r="M74" s="66">
        <v>2310</v>
      </c>
      <c r="N74" s="66">
        <v>0</v>
      </c>
      <c r="O74" s="128">
        <v>-7426.09</v>
      </c>
      <c r="P74" s="264">
        <f t="shared" si="17"/>
        <v>34503.199999999997</v>
      </c>
      <c r="R74" s="235">
        <v>42.67</v>
      </c>
      <c r="S74" s="235">
        <v>0</v>
      </c>
      <c r="T74" s="235">
        <v>0</v>
      </c>
      <c r="U74" s="237">
        <f t="shared" si="18"/>
        <v>42.67</v>
      </c>
      <c r="V74" s="235">
        <v>33558.01</v>
      </c>
      <c r="W74" s="235">
        <v>0</v>
      </c>
      <c r="X74" s="237">
        <f t="shared" si="19"/>
        <v>33558.01</v>
      </c>
      <c r="Y74" s="235">
        <v>856.48</v>
      </c>
      <c r="Z74" s="235">
        <v>46.04</v>
      </c>
      <c r="AA74" s="258">
        <f t="shared" si="20"/>
        <v>34503.200000000004</v>
      </c>
      <c r="AB74" s="194" t="b">
        <f t="shared" si="16"/>
        <v>1</v>
      </c>
    </row>
    <row r="75" spans="1:28">
      <c r="A75" s="179">
        <v>62</v>
      </c>
      <c r="B75" t="s">
        <v>288</v>
      </c>
      <c r="C75" t="s">
        <v>752</v>
      </c>
      <c r="D75" s="66">
        <v>2740.92</v>
      </c>
      <c r="E75" s="66">
        <v>330</v>
      </c>
      <c r="F75" s="66">
        <v>330</v>
      </c>
      <c r="G75" s="66">
        <v>341.78</v>
      </c>
      <c r="H75" s="66">
        <v>330</v>
      </c>
      <c r="I75" s="66">
        <v>330</v>
      </c>
      <c r="J75" s="66">
        <v>330</v>
      </c>
      <c r="K75" s="66">
        <v>330</v>
      </c>
      <c r="L75" s="66">
        <v>597.20000000000005</v>
      </c>
      <c r="M75" s="66">
        <v>330</v>
      </c>
      <c r="N75" s="66">
        <v>0</v>
      </c>
      <c r="O75" s="128">
        <v>-891.13</v>
      </c>
      <c r="P75" s="264">
        <f t="shared" si="17"/>
        <v>5098.7699999999995</v>
      </c>
      <c r="R75" s="235">
        <v>219.41</v>
      </c>
      <c r="S75" s="235">
        <v>0</v>
      </c>
      <c r="T75" s="235">
        <v>0</v>
      </c>
      <c r="U75" s="237">
        <f t="shared" si="18"/>
        <v>219.41</v>
      </c>
      <c r="V75" s="235">
        <v>2705.03</v>
      </c>
      <c r="W75" s="235">
        <v>0</v>
      </c>
      <c r="X75" s="237">
        <f t="shared" si="19"/>
        <v>2705.03</v>
      </c>
      <c r="Y75" s="235">
        <v>177.07</v>
      </c>
      <c r="Z75" s="235">
        <v>1997.26</v>
      </c>
      <c r="AA75" s="258">
        <f t="shared" si="20"/>
        <v>5098.7700000000004</v>
      </c>
      <c r="AB75" s="194" t="b">
        <f t="shared" si="16"/>
        <v>1</v>
      </c>
    </row>
    <row r="76" spans="1:28">
      <c r="A76" s="179">
        <v>63</v>
      </c>
      <c r="B76" t="s">
        <v>246</v>
      </c>
      <c r="C76" t="s">
        <v>753</v>
      </c>
      <c r="D76" s="66">
        <v>1395.02</v>
      </c>
      <c r="E76" s="66">
        <v>522</v>
      </c>
      <c r="F76" s="66">
        <v>522</v>
      </c>
      <c r="G76" s="66">
        <v>522</v>
      </c>
      <c r="H76" s="66">
        <v>522</v>
      </c>
      <c r="I76" s="66">
        <v>522</v>
      </c>
      <c r="J76" s="66">
        <v>522</v>
      </c>
      <c r="K76" s="66">
        <v>522</v>
      </c>
      <c r="L76" s="66">
        <v>522.08000000000004</v>
      </c>
      <c r="M76" s="66">
        <v>522</v>
      </c>
      <c r="N76" s="66">
        <v>522</v>
      </c>
      <c r="O76" s="128">
        <v>500.41</v>
      </c>
      <c r="P76" s="264">
        <f t="shared" si="17"/>
        <v>7115.51</v>
      </c>
      <c r="R76" s="235">
        <v>0</v>
      </c>
      <c r="S76" s="235">
        <v>0</v>
      </c>
      <c r="T76" s="235">
        <v>0</v>
      </c>
      <c r="U76" s="237">
        <f t="shared" si="18"/>
        <v>0</v>
      </c>
      <c r="V76" s="235">
        <v>0</v>
      </c>
      <c r="W76" s="235">
        <v>0</v>
      </c>
      <c r="X76" s="237">
        <f t="shared" si="19"/>
        <v>0</v>
      </c>
      <c r="Y76" s="235">
        <v>7115.51</v>
      </c>
      <c r="Z76" s="235">
        <v>0</v>
      </c>
      <c r="AA76" s="258">
        <f t="shared" si="20"/>
        <v>7115.51</v>
      </c>
      <c r="AB76" s="194" t="b">
        <f t="shared" si="16"/>
        <v>1</v>
      </c>
    </row>
    <row r="77" spans="1:28">
      <c r="A77" s="179">
        <v>64</v>
      </c>
      <c r="B77" t="s">
        <v>250</v>
      </c>
      <c r="C77" t="s">
        <v>753</v>
      </c>
      <c r="D77" s="66">
        <v>5115.07</v>
      </c>
      <c r="E77" s="66">
        <v>1914</v>
      </c>
      <c r="F77" s="66">
        <v>1914</v>
      </c>
      <c r="G77" s="66">
        <v>1914</v>
      </c>
      <c r="H77" s="66">
        <v>1914</v>
      </c>
      <c r="I77" s="66">
        <v>1914</v>
      </c>
      <c r="J77" s="66">
        <v>1914</v>
      </c>
      <c r="K77" s="66">
        <v>1914</v>
      </c>
      <c r="L77" s="66">
        <v>1914.31</v>
      </c>
      <c r="M77" s="66">
        <v>1914</v>
      </c>
      <c r="N77" s="66">
        <v>1682</v>
      </c>
      <c r="O77" s="128">
        <v>1612.42</v>
      </c>
      <c r="P77" s="264">
        <f t="shared" si="17"/>
        <v>25635.800000000003</v>
      </c>
      <c r="R77" s="235">
        <v>31.7</v>
      </c>
      <c r="S77" s="235">
        <v>0</v>
      </c>
      <c r="T77" s="235">
        <v>0</v>
      </c>
      <c r="U77" s="237">
        <f t="shared" si="18"/>
        <v>31.7</v>
      </c>
      <c r="V77" s="235">
        <v>24933.52</v>
      </c>
      <c r="W77" s="235">
        <v>0</v>
      </c>
      <c r="X77" s="237">
        <f t="shared" si="19"/>
        <v>24933.52</v>
      </c>
      <c r="Y77" s="235">
        <v>636.37</v>
      </c>
      <c r="Z77" s="235">
        <v>34.21</v>
      </c>
      <c r="AA77" s="258">
        <f t="shared" si="20"/>
        <v>25635.8</v>
      </c>
      <c r="AB77" s="194" t="b">
        <f t="shared" si="16"/>
        <v>1</v>
      </c>
    </row>
    <row r="78" spans="1:28">
      <c r="A78" s="179">
        <v>65</v>
      </c>
      <c r="B78" t="s">
        <v>236</v>
      </c>
      <c r="C78" t="s">
        <v>754</v>
      </c>
      <c r="D78" s="66">
        <v>4500</v>
      </c>
      <c r="E78" s="66">
        <v>4500</v>
      </c>
      <c r="F78" s="66">
        <v>4500</v>
      </c>
      <c r="G78" s="66">
        <v>4500</v>
      </c>
      <c r="H78" s="66">
        <v>4500</v>
      </c>
      <c r="I78" s="66">
        <v>4500</v>
      </c>
      <c r="J78" s="66">
        <v>4500</v>
      </c>
      <c r="K78" s="66">
        <v>4500</v>
      </c>
      <c r="L78" s="66">
        <v>4500</v>
      </c>
      <c r="M78" s="66">
        <v>4500</v>
      </c>
      <c r="N78" s="66">
        <v>4500</v>
      </c>
      <c r="O78" s="128">
        <v>4410</v>
      </c>
      <c r="P78" s="264">
        <f t="shared" si="17"/>
        <v>53910</v>
      </c>
      <c r="R78" s="235">
        <v>53910</v>
      </c>
      <c r="S78" s="235">
        <v>0</v>
      </c>
      <c r="T78" s="235">
        <v>0</v>
      </c>
      <c r="U78" s="237">
        <f t="shared" si="18"/>
        <v>53910</v>
      </c>
      <c r="V78" s="235">
        <v>0</v>
      </c>
      <c r="W78" s="235">
        <v>0</v>
      </c>
      <c r="X78" s="237">
        <f t="shared" si="19"/>
        <v>0</v>
      </c>
      <c r="Y78" s="235">
        <v>0</v>
      </c>
      <c r="Z78" s="235">
        <v>0</v>
      </c>
      <c r="AA78" s="258">
        <f t="shared" si="20"/>
        <v>53910</v>
      </c>
      <c r="AB78" s="194" t="b">
        <f t="shared" si="16"/>
        <v>1</v>
      </c>
    </row>
    <row r="79" spans="1:28">
      <c r="A79" s="179">
        <v>66</v>
      </c>
      <c r="B79" t="s">
        <v>235</v>
      </c>
      <c r="C79" t="s">
        <v>755</v>
      </c>
      <c r="D79" s="66">
        <v>8392.7999999999993</v>
      </c>
      <c r="E79" s="66">
        <v>2678.05</v>
      </c>
      <c r="F79" s="66">
        <v>2678.05</v>
      </c>
      <c r="G79" s="66">
        <v>2678.05</v>
      </c>
      <c r="H79" s="66">
        <v>2678.05</v>
      </c>
      <c r="I79" s="66">
        <v>2678.05</v>
      </c>
      <c r="J79" s="66">
        <v>2678.05</v>
      </c>
      <c r="K79" s="66">
        <v>2678.05</v>
      </c>
      <c r="L79" s="66">
        <v>2439.94</v>
      </c>
      <c r="M79" s="66">
        <v>2678.05</v>
      </c>
      <c r="N79" s="66">
        <v>2678.05</v>
      </c>
      <c r="O79" s="128">
        <v>2987.36</v>
      </c>
      <c r="P79" s="264">
        <f t="shared" si="17"/>
        <v>37922.549999999996</v>
      </c>
      <c r="R79" s="235">
        <v>37565.17</v>
      </c>
      <c r="S79" s="235">
        <v>0</v>
      </c>
      <c r="T79" s="235">
        <v>0</v>
      </c>
      <c r="U79" s="237">
        <f t="shared" si="18"/>
        <v>37565.17</v>
      </c>
      <c r="V79" s="235">
        <v>354.22</v>
      </c>
      <c r="W79" s="235">
        <v>0</v>
      </c>
      <c r="X79" s="237">
        <f t="shared" si="19"/>
        <v>354.22</v>
      </c>
      <c r="Y79" s="235">
        <v>3.16</v>
      </c>
      <c r="Z79" s="235">
        <v>0</v>
      </c>
      <c r="AA79" s="258">
        <f t="shared" si="20"/>
        <v>37922.550000000003</v>
      </c>
      <c r="AB79" s="194" t="b">
        <f t="shared" si="16"/>
        <v>1</v>
      </c>
    </row>
    <row r="80" spans="1:28">
      <c r="A80" s="179">
        <v>67</v>
      </c>
      <c r="B80" t="s">
        <v>284</v>
      </c>
      <c r="C80" t="s">
        <v>756</v>
      </c>
      <c r="D80" s="66">
        <v>903.11</v>
      </c>
      <c r="E80" s="66">
        <v>830.54</v>
      </c>
      <c r="F80" s="66">
        <v>830.54</v>
      </c>
      <c r="G80" s="66">
        <v>830.54</v>
      </c>
      <c r="H80" s="66">
        <v>830.54</v>
      </c>
      <c r="I80" s="66">
        <v>830.54</v>
      </c>
      <c r="J80" s="66">
        <v>830.54</v>
      </c>
      <c r="K80" s="66">
        <v>830.54</v>
      </c>
      <c r="L80" s="66">
        <v>855.46</v>
      </c>
      <c r="M80" s="66">
        <v>855.46</v>
      </c>
      <c r="N80" s="66">
        <v>855.46</v>
      </c>
      <c r="O80" s="128">
        <v>0</v>
      </c>
      <c r="P80" s="264">
        <f t="shared" si="17"/>
        <v>9283.27</v>
      </c>
      <c r="R80" s="235">
        <v>0</v>
      </c>
      <c r="S80" s="235">
        <v>0</v>
      </c>
      <c r="T80" s="235">
        <v>0</v>
      </c>
      <c r="U80" s="237">
        <f t="shared" si="18"/>
        <v>0</v>
      </c>
      <c r="V80" s="235">
        <v>0</v>
      </c>
      <c r="W80" s="235">
        <v>0</v>
      </c>
      <c r="X80" s="237">
        <f t="shared" si="19"/>
        <v>0</v>
      </c>
      <c r="Y80" s="235">
        <v>3808.39</v>
      </c>
      <c r="Z80" s="235">
        <v>5474.88</v>
      </c>
      <c r="AA80" s="258">
        <f t="shared" si="20"/>
        <v>9283.27</v>
      </c>
      <c r="AB80" s="194" t="b">
        <f t="shared" si="16"/>
        <v>1</v>
      </c>
    </row>
    <row r="81" spans="1:28">
      <c r="A81" s="179">
        <v>68</v>
      </c>
      <c r="B81" t="s">
        <v>249</v>
      </c>
      <c r="C81" t="s">
        <v>757</v>
      </c>
      <c r="D81" s="66">
        <v>16544.27</v>
      </c>
      <c r="E81" s="66">
        <v>6560</v>
      </c>
      <c r="F81" s="66">
        <v>6560</v>
      </c>
      <c r="G81" s="66">
        <v>6560</v>
      </c>
      <c r="H81" s="66">
        <v>6560</v>
      </c>
      <c r="I81" s="66">
        <v>6560</v>
      </c>
      <c r="J81" s="66">
        <v>6560</v>
      </c>
      <c r="K81" s="66">
        <v>6560</v>
      </c>
      <c r="L81" s="66">
        <v>7051.82</v>
      </c>
      <c r="M81" s="66">
        <v>6560</v>
      </c>
      <c r="N81" s="66">
        <v>10240</v>
      </c>
      <c r="O81" s="128">
        <v>-489.28</v>
      </c>
      <c r="P81" s="264">
        <f t="shared" si="17"/>
        <v>85826.81</v>
      </c>
      <c r="R81" s="235">
        <v>319.2</v>
      </c>
      <c r="S81" s="235">
        <v>0</v>
      </c>
      <c r="T81" s="235">
        <v>0</v>
      </c>
      <c r="U81" s="237">
        <f t="shared" si="18"/>
        <v>319.2</v>
      </c>
      <c r="V81" s="235">
        <f>+P81-R81-S81-T81-W81-Y81-Z81</f>
        <v>80581.91</v>
      </c>
      <c r="W81" s="235">
        <v>0</v>
      </c>
      <c r="X81" s="237">
        <f t="shared" si="19"/>
        <v>80581.91</v>
      </c>
      <c r="Y81" s="235">
        <v>4483.34</v>
      </c>
      <c r="Z81" s="235">
        <v>442.36</v>
      </c>
      <c r="AA81" s="258">
        <f t="shared" si="20"/>
        <v>85826.81</v>
      </c>
      <c r="AB81" s="194" t="b">
        <f t="shared" si="16"/>
        <v>1</v>
      </c>
    </row>
    <row r="82" spans="1:28">
      <c r="A82" s="179">
        <v>69</v>
      </c>
      <c r="B82" t="s">
        <v>288</v>
      </c>
      <c r="C82" t="s">
        <v>757</v>
      </c>
      <c r="D82" s="66">
        <v>2017.59</v>
      </c>
      <c r="E82" s="66">
        <v>800</v>
      </c>
      <c r="F82" s="66">
        <v>800</v>
      </c>
      <c r="G82" s="66">
        <v>800</v>
      </c>
      <c r="H82" s="66">
        <v>800</v>
      </c>
      <c r="I82" s="66">
        <v>800</v>
      </c>
      <c r="J82" s="66">
        <v>800</v>
      </c>
      <c r="K82" s="66">
        <v>800</v>
      </c>
      <c r="L82" s="66">
        <v>859.98</v>
      </c>
      <c r="M82" s="66">
        <v>800</v>
      </c>
      <c r="N82" s="66">
        <v>1600</v>
      </c>
      <c r="O82" s="128">
        <v>-76.45</v>
      </c>
      <c r="P82" s="264">
        <f t="shared" si="17"/>
        <v>10801.119999999999</v>
      </c>
      <c r="R82" s="235">
        <v>464.79</v>
      </c>
      <c r="S82" s="235">
        <v>0</v>
      </c>
      <c r="T82" s="235">
        <v>0</v>
      </c>
      <c r="U82" s="237">
        <f t="shared" si="18"/>
        <v>464.79</v>
      </c>
      <c r="V82" s="235">
        <f>+P82-R82-S82-T82-W82-Y82-Z82</f>
        <v>5730.2899999999981</v>
      </c>
      <c r="W82" s="235">
        <v>0</v>
      </c>
      <c r="X82" s="237">
        <f t="shared" si="19"/>
        <v>5730.2899999999981</v>
      </c>
      <c r="Y82" s="235">
        <v>375.1</v>
      </c>
      <c r="Z82" s="235">
        <v>4230.9399999999996</v>
      </c>
      <c r="AA82" s="258">
        <f t="shared" si="20"/>
        <v>10801.119999999999</v>
      </c>
      <c r="AB82" s="194" t="b">
        <f t="shared" si="16"/>
        <v>1</v>
      </c>
    </row>
    <row r="83" spans="1:28" ht="13.5" thickBot="1">
      <c r="A83" s="179">
        <v>70</v>
      </c>
      <c r="D83" s="298">
        <f t="shared" ref="D83:P83" si="21">SUM(D50:D82)</f>
        <v>477284.59000000008</v>
      </c>
      <c r="E83" s="298">
        <f t="shared" si="21"/>
        <v>378015.22</v>
      </c>
      <c r="F83" s="298">
        <f t="shared" si="21"/>
        <v>383427.58999999997</v>
      </c>
      <c r="G83" s="298">
        <f t="shared" si="21"/>
        <v>362644.41000000003</v>
      </c>
      <c r="H83" s="298">
        <f t="shared" si="21"/>
        <v>359948.05999999994</v>
      </c>
      <c r="I83" s="298">
        <f t="shared" si="21"/>
        <v>371641.00999999995</v>
      </c>
      <c r="J83" s="298">
        <f t="shared" si="21"/>
        <v>359941.8899999999</v>
      </c>
      <c r="K83" s="298">
        <f t="shared" si="21"/>
        <v>357567.22999999992</v>
      </c>
      <c r="L83" s="298">
        <f t="shared" si="21"/>
        <v>373430.60000000003</v>
      </c>
      <c r="M83" s="298">
        <f t="shared" si="21"/>
        <v>362785.26999999996</v>
      </c>
      <c r="N83" s="298">
        <f t="shared" si="21"/>
        <v>363846.5</v>
      </c>
      <c r="O83" s="298">
        <f t="shared" si="21"/>
        <v>146618.11000000002</v>
      </c>
      <c r="P83" s="298">
        <f t="shared" si="21"/>
        <v>4297150.4799999986</v>
      </c>
      <c r="R83" s="298">
        <f t="shared" ref="R83:AA83" si="22">SUM(R50:R82)</f>
        <v>1912518.3199999994</v>
      </c>
      <c r="S83" s="298">
        <f t="shared" si="22"/>
        <v>0</v>
      </c>
      <c r="T83" s="298">
        <f t="shared" si="22"/>
        <v>0</v>
      </c>
      <c r="U83" s="298">
        <f t="shared" si="22"/>
        <v>1912518.3199999994</v>
      </c>
      <c r="V83" s="298">
        <f t="shared" si="22"/>
        <v>1726280.21</v>
      </c>
      <c r="W83" s="298">
        <f t="shared" si="22"/>
        <v>0</v>
      </c>
      <c r="X83" s="298">
        <f t="shared" si="22"/>
        <v>1726280.21</v>
      </c>
      <c r="Y83" s="298">
        <f t="shared" si="22"/>
        <v>282295.48999999993</v>
      </c>
      <c r="Z83" s="298">
        <f t="shared" si="22"/>
        <v>376056.45999999996</v>
      </c>
      <c r="AA83" s="298">
        <f t="shared" si="22"/>
        <v>4297150.4799999995</v>
      </c>
      <c r="AB83" s="194" t="b">
        <f t="shared" si="16"/>
        <v>1</v>
      </c>
    </row>
    <row r="84" spans="1:28" ht="13.5" thickTop="1">
      <c r="A84" s="179">
        <v>71</v>
      </c>
    </row>
  </sheetData>
  <printOptions horizontalCentered="1"/>
  <pageMargins left="0.5" right="0.5" top="2.25" bottom="0.5" header="1.5" footer="0.5"/>
  <pageSetup scale="51" fitToWidth="2" fitToHeight="0" pageOrder="overThenDown" orientation="landscape"/>
  <headerFooter alignWithMargins="0">
    <oddHeader>&amp;R&amp;"Arial,Bold"Schedule &amp;A
Page &amp;P of &amp;N&amp;C&amp;B
2025 RATE CASE
ONCOR ELECTRIC DELIVERY COMPANY LLC
II-D-2.9  RENTS AND LEASES - MONTHLY LEASE AMOUNT AND PAYMENT - 2021
TEST YEAR ENDING DECEMBER 31, 2024
SPONSOR: R. PRACHYL</oddHeader>
  </headerFooter>
  <rowBreaks count="1" manualBreakCount="1">
    <brk id="48" min="3" max="26" man="1"/>
  </rowBreaks>
  <colBreaks count="1" manualBreakCount="1">
    <brk id="16" min="13" max="86"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A18"/>
  <sheetViews>
    <sheetView zoomScaleNormal="100" workbookViewId="0">
      <pane ySplit="6" topLeftCell="A7" activePane="bottomLeft" state="frozen"/>
      <selection activeCell="N38" sqref="N38"/>
      <selection pane="bottomLeft" activeCell="N38" sqref="N38"/>
    </sheetView>
  </sheetViews>
  <sheetFormatPr defaultRowHeight="12.75"/>
  <sheetData>
    <row r="1" spans="1:1">
      <c r="A1" s="5" t="str">
        <f>+'[3]Input Data'!$A$9</f>
        <v>2025 RATE CASE</v>
      </c>
    </row>
    <row r="2" spans="1:1">
      <c r="A2" s="8" t="str">
        <f>+'[3]Input Data'!$A$2</f>
        <v>ONCOR ELECTRIC DELIVERY COMPANY LLC</v>
      </c>
    </row>
    <row r="3" spans="1:1">
      <c r="A3" s="7" t="str">
        <f>CONCATENATE('[3]Schedule Sponsors'!$A$67,'[3]Schedule Sponsors'!$B$67)</f>
        <v>II-D-2.9  RENTS AND LEASES</v>
      </c>
    </row>
    <row r="4" spans="1:1">
      <c r="A4" s="63" t="str">
        <f>+'[3]Input Data'!$A$4</f>
        <v>TEST YEAR ENDING DECEMBER 31, 2024</v>
      </c>
    </row>
    <row r="5" spans="1:1">
      <c r="A5" s="7" t="str">
        <f>CONCATENATE("SPONSOR: ",'[3]Schedule Sponsors'!$D$67)</f>
        <v>SPONSOR: R. PRACHYL</v>
      </c>
    </row>
    <row r="10" spans="1:1" ht="15">
      <c r="A10" s="260" t="s">
        <v>322</v>
      </c>
    </row>
    <row r="11" spans="1:1" ht="15">
      <c r="A11" s="260" t="s">
        <v>323</v>
      </c>
    </row>
    <row r="12" spans="1:1" ht="15">
      <c r="A12" s="260" t="s">
        <v>611</v>
      </c>
    </row>
    <row r="13" spans="1:1" ht="15">
      <c r="A13" s="260" t="s">
        <v>605</v>
      </c>
    </row>
    <row r="14" spans="1:1" ht="15">
      <c r="A14" s="260"/>
    </row>
    <row r="15" spans="1:1" ht="15">
      <c r="A15" s="260"/>
    </row>
    <row r="16" spans="1:1" ht="14.25">
      <c r="A16" s="259" t="s">
        <v>612</v>
      </c>
    </row>
    <row r="17" spans="1:1" ht="14.25">
      <c r="A17" s="259" t="s">
        <v>613</v>
      </c>
    </row>
    <row r="18" spans="1:1" ht="14.25">
      <c r="A18" s="259" t="s">
        <v>614</v>
      </c>
    </row>
  </sheetData>
  <phoneticPr fontId="5" type="noConversion"/>
  <printOptions horizontalCentered="1"/>
  <pageMargins left="0.5" right="0.5" top="2.5" bottom="0.2" header="1.25" footer="0.5"/>
  <pageSetup scale="94" fitToHeight="0" orientation="landscape"/>
  <headerFooter alignWithMargins="0">
    <oddHeader>&amp;R&amp;"Arial,Bold"Schedule &amp;A
Page &amp;P of &amp;N&amp;C&amp;B
2025 RATE CASE
ONCOR ELECTRIC DELIVERY COMPANY LLC
II-D-2.9  RENTS AND LEASES
TEST YEAR ENDING DECEMBER 31, 2024
SPONSOR: R. PRACHYL</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
    <tabColor rgb="FFFF0000"/>
  </sheetPr>
  <dimension ref="A1:AA155"/>
  <sheetViews>
    <sheetView zoomScale="85" zoomScaleNormal="85" workbookViewId="0">
      <pane xSplit="4" ySplit="13" topLeftCell="E14" activePane="bottomRight" state="frozen"/>
      <selection activeCell="N38" sqref="N38"/>
      <selection pane="topRight" activeCell="N38" sqref="N38"/>
      <selection pane="bottomLeft" activeCell="N38" sqref="N38"/>
      <selection pane="bottomRight" activeCell="J13" sqref="J13"/>
    </sheetView>
  </sheetViews>
  <sheetFormatPr defaultColWidth="9.140625" defaultRowHeight="12.75"/>
  <cols>
    <col min="1" max="1" width="5.7109375" style="4" customWidth="1"/>
    <col min="2" max="2" width="8.7109375" style="6" customWidth="1"/>
    <col min="3" max="3" width="52.85546875" style="6" bestFit="1" customWidth="1"/>
    <col min="4" max="4" width="10.42578125" style="90" customWidth="1"/>
    <col min="5" max="5" width="17.5703125" style="6" bestFit="1" customWidth="1"/>
    <col min="6" max="6" width="12.7109375" style="6" customWidth="1"/>
    <col min="7" max="7" width="17.5703125" style="6" bestFit="1" customWidth="1"/>
    <col min="8" max="8" width="13.7109375" style="6" bestFit="1" customWidth="1"/>
    <col min="9" max="9" width="12.7109375" style="6" customWidth="1"/>
    <col min="10" max="10" width="13.7109375" style="6" bestFit="1" customWidth="1"/>
    <col min="11" max="11" width="10.28515625" style="6" bestFit="1" customWidth="1"/>
    <col min="12" max="12" width="13.7109375" style="90" bestFit="1" customWidth="1"/>
    <col min="13" max="13" width="4.7109375" style="6" customWidth="1"/>
    <col min="14" max="14" width="6.85546875" style="90" bestFit="1" customWidth="1"/>
    <col min="15" max="15" width="13.7109375" style="6" bestFit="1" customWidth="1"/>
    <col min="16" max="18" width="13.7109375" style="6" customWidth="1"/>
    <col min="19" max="19" width="15.28515625" style="6" bestFit="1" customWidth="1"/>
    <col min="20" max="21" width="15.28515625" style="6" customWidth="1"/>
    <col min="22" max="22" width="12.5703125" style="6" bestFit="1" customWidth="1"/>
    <col min="23" max="23" width="12.5703125" style="6" customWidth="1"/>
    <col min="24" max="24" width="15.28515625" style="6" bestFit="1" customWidth="1"/>
    <col min="25" max="25" width="9.140625" style="6"/>
    <col min="26" max="26" width="16.140625" style="6" bestFit="1" customWidth="1"/>
    <col min="27" max="27" width="20.85546875" style="6" bestFit="1" customWidth="1"/>
    <col min="28" max="16384" width="9.140625" style="6"/>
  </cols>
  <sheetData>
    <row r="1" spans="1:24">
      <c r="A1" s="8" t="str">
        <f>+'[3]Input Data'!$A$9</f>
        <v>2025 RATE CASE</v>
      </c>
    </row>
    <row r="2" spans="1:24">
      <c r="A2" s="8" t="str">
        <f>+'[3]Input Data'!$A$2</f>
        <v>ONCOR ELECTRIC DELIVERY COMPANY LLC</v>
      </c>
      <c r="B2" s="4"/>
      <c r="C2" s="4"/>
      <c r="D2" s="16"/>
      <c r="E2" s="4"/>
      <c r="F2" s="4"/>
      <c r="G2" s="83"/>
      <c r="H2" s="4"/>
      <c r="I2" s="4"/>
      <c r="J2" s="4"/>
      <c r="K2" s="4"/>
      <c r="L2" s="16"/>
      <c r="M2" s="4"/>
      <c r="N2" s="16"/>
      <c r="O2" s="4"/>
      <c r="P2" s="4"/>
      <c r="Q2" s="4"/>
      <c r="R2" s="4"/>
      <c r="S2" s="4"/>
      <c r="T2" s="4"/>
      <c r="U2" s="4"/>
      <c r="V2" s="4"/>
      <c r="W2" s="4"/>
      <c r="X2" s="4"/>
    </row>
    <row r="3" spans="1:24">
      <c r="A3" s="7" t="str">
        <f>CONCATENATE('[3]Schedule Sponsors'!$A$68,'[3]Schedule Sponsors'!$B$68)</f>
        <v>II-D-3   PAYROLL EXPENSE DISTRIBUTION</v>
      </c>
      <c r="B3" s="4"/>
      <c r="D3" s="16"/>
      <c r="E3" s="4"/>
      <c r="F3" s="4"/>
      <c r="G3" s="84"/>
      <c r="H3" s="4"/>
      <c r="I3" s="4"/>
      <c r="J3" s="4"/>
      <c r="K3" s="4"/>
      <c r="L3" s="16"/>
      <c r="M3" s="4"/>
      <c r="N3" s="16"/>
      <c r="O3" s="28"/>
      <c r="P3" s="28"/>
      <c r="Q3" s="28"/>
      <c r="R3" s="28"/>
      <c r="S3" s="4"/>
      <c r="T3" s="4"/>
      <c r="U3" s="4"/>
      <c r="V3" s="4"/>
      <c r="W3" s="4"/>
      <c r="X3" s="4"/>
    </row>
    <row r="4" spans="1:24">
      <c r="A4" s="63" t="str">
        <f>+'[3]Input Data'!$A$4</f>
        <v>TEST YEAR ENDING DECEMBER 31, 2024</v>
      </c>
      <c r="B4" s="4"/>
      <c r="D4" s="16"/>
      <c r="E4" s="4"/>
      <c r="F4" s="4"/>
      <c r="G4" s="84"/>
      <c r="H4" s="4"/>
      <c r="I4" s="4"/>
      <c r="J4" s="4"/>
      <c r="K4" s="4"/>
      <c r="L4" s="16"/>
      <c r="M4" s="4"/>
      <c r="N4" s="16"/>
      <c r="O4" s="28"/>
      <c r="P4" s="28"/>
      <c r="Q4" s="28"/>
      <c r="R4" s="28"/>
      <c r="S4" s="4"/>
      <c r="T4" s="4"/>
      <c r="U4" s="4"/>
      <c r="V4" s="4"/>
      <c r="W4" s="4"/>
      <c r="X4" s="4"/>
    </row>
    <row r="5" spans="1:24">
      <c r="A5" s="7" t="str">
        <f>CONCATENATE("SPONSOR: ",'[3]Schedule Sponsors'!$D$68)</f>
        <v>SPONSOR: R. PRACHYL</v>
      </c>
      <c r="B5" s="4"/>
      <c r="D5" s="16"/>
      <c r="E5" s="4"/>
      <c r="F5" s="4"/>
      <c r="G5" s="4"/>
      <c r="H5" s="4"/>
      <c r="I5" s="4"/>
      <c r="J5" s="4"/>
      <c r="K5" s="4"/>
      <c r="L5" s="16"/>
      <c r="M5" s="4"/>
      <c r="N5" s="16"/>
      <c r="O5" s="4"/>
      <c r="P5" s="4"/>
      <c r="Q5" s="4"/>
      <c r="R5" s="4"/>
      <c r="S5" s="4"/>
      <c r="T5" s="4"/>
      <c r="U5" s="4"/>
      <c r="V5" s="4"/>
      <c r="W5" s="4"/>
      <c r="X5" s="4"/>
    </row>
    <row r="6" spans="1:24">
      <c r="B6" s="4"/>
      <c r="D6" s="16"/>
      <c r="E6" s="4"/>
      <c r="F6" s="4"/>
      <c r="G6" s="4"/>
      <c r="H6" s="4"/>
      <c r="I6" s="4"/>
      <c r="J6" s="4"/>
      <c r="K6" s="4"/>
      <c r="L6" s="16"/>
      <c r="M6" s="4"/>
      <c r="N6" s="16"/>
      <c r="O6" s="4"/>
      <c r="P6" s="4"/>
      <c r="Q6" s="4"/>
      <c r="R6" s="4"/>
      <c r="S6" s="4"/>
      <c r="T6" s="4"/>
      <c r="U6" s="4"/>
      <c r="V6" s="4"/>
      <c r="W6" s="4"/>
      <c r="X6" s="4"/>
    </row>
    <row r="7" spans="1:24">
      <c r="B7" s="4"/>
      <c r="D7" s="16"/>
      <c r="E7" s="4"/>
      <c r="F7" s="4"/>
      <c r="G7" s="4"/>
      <c r="H7" s="4"/>
      <c r="I7" s="4"/>
      <c r="J7" s="4"/>
      <c r="K7" s="4"/>
      <c r="L7" s="16"/>
      <c r="M7" s="4"/>
      <c r="N7" s="16"/>
      <c r="O7" s="4"/>
      <c r="P7" s="4"/>
      <c r="Q7" s="4"/>
      <c r="R7" s="4"/>
      <c r="S7" s="4"/>
      <c r="T7" s="4"/>
      <c r="U7" s="4"/>
      <c r="V7" s="4"/>
      <c r="W7" s="4"/>
      <c r="X7" s="4"/>
    </row>
    <row r="8" spans="1:24">
      <c r="B8" s="8"/>
      <c r="C8" s="4"/>
      <c r="D8" s="16"/>
      <c r="E8" s="4"/>
      <c r="F8" s="4"/>
      <c r="G8" s="4"/>
      <c r="H8" s="4"/>
      <c r="I8" s="4"/>
      <c r="J8" s="4"/>
      <c r="K8" s="4"/>
      <c r="L8" s="16"/>
      <c r="M8" s="4"/>
      <c r="N8" s="16"/>
      <c r="O8" s="4"/>
      <c r="P8" s="4"/>
      <c r="Q8" s="4"/>
      <c r="R8" s="4"/>
      <c r="S8" s="4"/>
      <c r="T8" s="4"/>
      <c r="U8" s="4"/>
      <c r="V8" s="4"/>
      <c r="W8" s="4"/>
      <c r="X8" s="4"/>
    </row>
    <row r="9" spans="1:24" ht="13.5" thickBot="1">
      <c r="B9" s="4" t="s">
        <v>210</v>
      </c>
      <c r="C9" s="4"/>
      <c r="D9" s="16"/>
      <c r="E9" s="24"/>
      <c r="F9" s="24"/>
      <c r="G9" s="24"/>
      <c r="H9" s="24"/>
      <c r="I9" s="24"/>
      <c r="J9" s="24"/>
      <c r="K9" s="24"/>
      <c r="L9" s="24"/>
      <c r="M9" s="24"/>
      <c r="N9" s="24"/>
      <c r="O9" s="24"/>
      <c r="P9" s="24"/>
      <c r="Q9" s="24"/>
      <c r="R9" s="24"/>
      <c r="S9" s="24"/>
      <c r="T9" s="24"/>
      <c r="U9" s="24"/>
      <c r="V9" s="24"/>
      <c r="W9" s="24"/>
      <c r="X9" s="24"/>
    </row>
    <row r="10" spans="1:24" s="8" customFormat="1">
      <c r="A10" s="9"/>
      <c r="B10" s="9"/>
      <c r="C10" s="9"/>
      <c r="D10" s="9"/>
      <c r="E10" s="9"/>
      <c r="F10" s="9"/>
      <c r="G10" s="9"/>
      <c r="H10" s="10" t="s">
        <v>319</v>
      </c>
      <c r="I10" s="10" t="s">
        <v>184</v>
      </c>
      <c r="J10" s="10" t="s">
        <v>320</v>
      </c>
      <c r="K10" s="10" t="s">
        <v>223</v>
      </c>
      <c r="L10" s="10" t="s">
        <v>53</v>
      </c>
      <c r="M10" s="9"/>
      <c r="N10" s="10" t="s">
        <v>219</v>
      </c>
      <c r="O10" s="184"/>
      <c r="P10" s="184"/>
      <c r="Q10" s="184"/>
      <c r="R10" s="184"/>
      <c r="S10" s="184"/>
      <c r="T10" s="184"/>
      <c r="U10" s="184"/>
      <c r="V10" s="184"/>
      <c r="W10" s="184"/>
      <c r="X10" s="184"/>
    </row>
    <row r="11" spans="1:24" s="8" customFormat="1">
      <c r="A11" s="11" t="s">
        <v>87</v>
      </c>
      <c r="B11" s="11" t="s">
        <v>212</v>
      </c>
      <c r="C11" s="11"/>
      <c r="D11" s="11" t="s">
        <v>209</v>
      </c>
      <c r="E11" s="27" t="s">
        <v>213</v>
      </c>
      <c r="F11" s="11"/>
      <c r="G11" s="11" t="s">
        <v>214</v>
      </c>
      <c r="H11" s="11" t="s">
        <v>321</v>
      </c>
      <c r="I11" s="11" t="s">
        <v>185</v>
      </c>
      <c r="J11" s="11" t="s">
        <v>319</v>
      </c>
      <c r="K11" s="11" t="s">
        <v>53</v>
      </c>
      <c r="L11" s="11" t="s">
        <v>220</v>
      </c>
      <c r="M11" s="11" t="s">
        <v>216</v>
      </c>
      <c r="N11" s="11" t="s">
        <v>217</v>
      </c>
      <c r="O11" s="183"/>
      <c r="P11" s="183" t="s">
        <v>617</v>
      </c>
      <c r="Q11" s="183" t="s">
        <v>623</v>
      </c>
      <c r="R11" s="183" t="s">
        <v>618</v>
      </c>
      <c r="S11" s="183"/>
      <c r="T11" s="183" t="s">
        <v>617</v>
      </c>
      <c r="U11" s="183" t="s">
        <v>618</v>
      </c>
      <c r="V11" s="183"/>
      <c r="W11" s="183"/>
      <c r="X11" s="183"/>
    </row>
    <row r="12" spans="1:24" s="8" customFormat="1">
      <c r="A12" s="11" t="s">
        <v>89</v>
      </c>
      <c r="B12" s="11" t="s">
        <v>294</v>
      </c>
      <c r="C12" s="11" t="s">
        <v>208</v>
      </c>
      <c r="D12" s="11" t="s">
        <v>211</v>
      </c>
      <c r="E12" s="27" t="s">
        <v>218</v>
      </c>
      <c r="F12" s="11" t="s">
        <v>318</v>
      </c>
      <c r="G12" s="11" t="s">
        <v>221</v>
      </c>
      <c r="H12" s="11" t="s">
        <v>222</v>
      </c>
      <c r="I12" s="11" t="s">
        <v>61</v>
      </c>
      <c r="J12" s="11" t="s">
        <v>321</v>
      </c>
      <c r="K12" s="11" t="s">
        <v>217</v>
      </c>
      <c r="L12" s="11" t="s">
        <v>223</v>
      </c>
      <c r="M12" s="11" t="s">
        <v>224</v>
      </c>
      <c r="N12" s="11" t="s">
        <v>225</v>
      </c>
      <c r="O12" s="183" t="s">
        <v>292</v>
      </c>
      <c r="P12" s="183" t="s">
        <v>292</v>
      </c>
      <c r="Q12" s="183" t="s">
        <v>624</v>
      </c>
      <c r="R12" s="183" t="s">
        <v>292</v>
      </c>
      <c r="S12" s="183" t="s">
        <v>293</v>
      </c>
      <c r="T12" s="183" t="s">
        <v>293</v>
      </c>
      <c r="U12" s="183" t="s">
        <v>293</v>
      </c>
      <c r="V12" s="183" t="s">
        <v>281</v>
      </c>
      <c r="W12" s="183" t="s">
        <v>126</v>
      </c>
      <c r="X12" s="183" t="s">
        <v>215</v>
      </c>
    </row>
    <row r="13" spans="1:24" s="8"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c r="X13" s="213" t="s">
        <v>620</v>
      </c>
    </row>
    <row r="14" spans="1:24" s="4" customFormat="1">
      <c r="A14" s="86"/>
      <c r="B14" s="86"/>
      <c r="C14" s="86"/>
      <c r="D14" s="87"/>
      <c r="E14" s="88"/>
      <c r="F14" s="88"/>
      <c r="G14" s="88"/>
      <c r="H14" s="88"/>
      <c r="I14" s="88"/>
      <c r="J14" s="88"/>
      <c r="K14" s="88"/>
      <c r="L14" s="87"/>
      <c r="M14" s="88"/>
      <c r="N14" s="87"/>
      <c r="O14" s="88"/>
      <c r="P14" s="88"/>
      <c r="Q14" s="88"/>
      <c r="R14" s="88"/>
      <c r="S14" s="88"/>
      <c r="T14" s="88"/>
      <c r="U14" s="88"/>
      <c r="V14" s="88"/>
      <c r="W14" s="88"/>
      <c r="X14" s="89"/>
    </row>
    <row r="15" spans="1:24" s="4" customFormat="1" ht="15" customHeight="1">
      <c r="A15" s="16">
        <v>1</v>
      </c>
      <c r="B15" s="8" t="s">
        <v>229</v>
      </c>
      <c r="C15" s="8"/>
      <c r="D15" s="18"/>
      <c r="E15" s="13"/>
      <c r="F15" s="13"/>
      <c r="G15" s="13"/>
      <c r="H15" s="13"/>
      <c r="I15" s="13"/>
      <c r="J15" s="13"/>
      <c r="K15" s="13"/>
      <c r="L15" s="16"/>
      <c r="M15" s="13"/>
      <c r="N15" s="16"/>
      <c r="O15" s="13"/>
      <c r="P15" s="13"/>
      <c r="Q15" s="13"/>
      <c r="R15" s="13"/>
      <c r="S15" s="13"/>
      <c r="T15" s="13"/>
      <c r="U15" s="13"/>
      <c r="V15" s="13"/>
      <c r="W15" s="13"/>
    </row>
    <row r="16" spans="1:24" s="4" customFormat="1" ht="15" customHeight="1">
      <c r="A16" s="16">
        <v>2</v>
      </c>
      <c r="B16" s="8"/>
      <c r="C16" s="15" t="s">
        <v>226</v>
      </c>
      <c r="D16" s="18" t="s">
        <v>305</v>
      </c>
      <c r="E16" s="13"/>
      <c r="F16" s="13"/>
      <c r="G16" s="13"/>
      <c r="H16" s="13"/>
      <c r="I16" s="13"/>
      <c r="J16" s="13"/>
      <c r="K16" s="13"/>
      <c r="L16" s="16"/>
      <c r="M16" s="13"/>
      <c r="N16" s="16"/>
      <c r="O16" s="13"/>
      <c r="P16" s="13"/>
      <c r="Q16" s="13"/>
      <c r="R16" s="13"/>
      <c r="S16" s="20"/>
      <c r="T16" s="20"/>
      <c r="U16" s="20"/>
      <c r="V16" s="20"/>
      <c r="W16" s="20"/>
      <c r="X16" s="20"/>
    </row>
    <row r="17" spans="1:26" s="4" customFormat="1" ht="15" customHeight="1">
      <c r="A17" s="16">
        <v>3</v>
      </c>
      <c r="B17" s="4" t="s">
        <v>230</v>
      </c>
      <c r="C17" s="4" t="s">
        <v>369</v>
      </c>
      <c r="D17" s="16"/>
      <c r="E17" s="150">
        <v>5138440.4700000007</v>
      </c>
      <c r="F17" s="150">
        <v>0</v>
      </c>
      <c r="G17" s="150">
        <v>0</v>
      </c>
      <c r="H17" s="150">
        <f>+E17-F17+G17</f>
        <v>5138440.4700000007</v>
      </c>
      <c r="I17" s="150">
        <f>+'[2]Labor Summary'!N3</f>
        <v>0</v>
      </c>
      <c r="J17" s="150">
        <f>+H17+I17</f>
        <v>5138440.4700000007</v>
      </c>
      <c r="K17" s="153">
        <v>1</v>
      </c>
      <c r="L17" s="150">
        <f>+J17*K17</f>
        <v>5138440.4700000007</v>
      </c>
      <c r="M17" s="13"/>
      <c r="N17" s="16"/>
      <c r="O17" s="150">
        <f>ROUND(+'[1]Total Labor Summary'!C2+'[2]Labor Summary'!D3,2)</f>
        <v>5121359.07</v>
      </c>
      <c r="P17" s="150">
        <f>ROUND(+'[1]Total Labor Summary'!D2+'[2]Labor Summary'!E3,2)</f>
        <v>0</v>
      </c>
      <c r="Q17" s="150">
        <f>ROUND(+'[1]Total Labor Summary'!E2+'[2]Labor Summary'!F3,2)</f>
        <v>0</v>
      </c>
      <c r="R17" s="150">
        <f>SUM(O17:Q17)</f>
        <v>5121359.07</v>
      </c>
      <c r="S17" s="150">
        <f>ROUND(+'[1]Total Labor Summary'!G2+'[2]Labor Summary'!H3,2)</f>
        <v>17081.400000000001</v>
      </c>
      <c r="T17" s="150">
        <f>ROUND(+'[1]Total Labor Summary'!H2+'[2]Labor Summary'!I3,2)</f>
        <v>0</v>
      </c>
      <c r="U17" s="150">
        <f>SUM(S17:T17)</f>
        <v>17081.400000000001</v>
      </c>
      <c r="V17" s="150">
        <f>ROUND(+'[1]Total Labor Summary'!J2+'[2]Labor Summary'!K3,2)</f>
        <v>0</v>
      </c>
      <c r="W17" s="150">
        <f>ROUND(+'[1]Total Labor Summary'!K2+'[2]Labor Summary'!L3,2)</f>
        <v>0</v>
      </c>
      <c r="X17" s="150">
        <f>+R17+U17+V17+W17</f>
        <v>5138440.4700000007</v>
      </c>
      <c r="Y17" s="4" t="b">
        <f>ROUND(X17,2)=ROUND(L17,2)</f>
        <v>1</v>
      </c>
      <c r="Z17" s="169">
        <f>+L17-X17</f>
        <v>0</v>
      </c>
    </row>
    <row r="18" spans="1:26" s="4" customFormat="1" ht="15" customHeight="1">
      <c r="A18" s="16">
        <v>4</v>
      </c>
      <c r="B18" s="4" t="s">
        <v>231</v>
      </c>
      <c r="C18" s="4" t="s">
        <v>290</v>
      </c>
      <c r="D18" s="16"/>
      <c r="E18" s="13">
        <v>15965253.789999999</v>
      </c>
      <c r="F18" s="13">
        <v>0</v>
      </c>
      <c r="G18" s="13">
        <v>0</v>
      </c>
      <c r="H18" s="13">
        <f t="shared" ref="H18:H24" si="0">+E18-F18+G18</f>
        <v>15965253.789999999</v>
      </c>
      <c r="I18" s="13">
        <f>+'[2]Labor Summary'!N4</f>
        <v>0</v>
      </c>
      <c r="J18" s="13">
        <f t="shared" ref="J18:J24" si="1">+H18+I18</f>
        <v>15965253.789999999</v>
      </c>
      <c r="K18" s="153">
        <v>1</v>
      </c>
      <c r="L18" s="104">
        <f t="shared" ref="L18:L24" si="2">+J18*K18</f>
        <v>15965253.789999999</v>
      </c>
      <c r="M18" s="13"/>
      <c r="N18" s="16"/>
      <c r="O18" s="13">
        <f>ROUND(+'[1]Total Labor Summary'!C3+'[2]Labor Summary'!D4,2)</f>
        <v>15965253.789999999</v>
      </c>
      <c r="P18" s="13">
        <f>ROUND(+'[1]Total Labor Summary'!D3+'[2]Labor Summary'!E4,2)</f>
        <v>0</v>
      </c>
      <c r="Q18" s="13">
        <f>ROUND(+'[1]Total Labor Summary'!E3+'[2]Labor Summary'!F4,2)</f>
        <v>0</v>
      </c>
      <c r="R18" s="13">
        <f t="shared" ref="R18:R24" si="3">SUM(O18:Q18)</f>
        <v>15965253.789999999</v>
      </c>
      <c r="S18" s="13">
        <f>ROUND(+'[1]Total Labor Summary'!G3+'[2]Labor Summary'!H4,2)</f>
        <v>0</v>
      </c>
      <c r="T18" s="13">
        <f>ROUND(+'[1]Total Labor Summary'!H3+'[2]Labor Summary'!I4,2)</f>
        <v>0</v>
      </c>
      <c r="U18" s="13">
        <f t="shared" ref="U18:U24" si="4">SUM(S18:T18)</f>
        <v>0</v>
      </c>
      <c r="V18" s="13">
        <f>ROUND(+'[1]Total Labor Summary'!J3+'[2]Labor Summary'!K4,2)</f>
        <v>0</v>
      </c>
      <c r="W18" s="13">
        <f>ROUND(+'[1]Total Labor Summary'!K3+'[2]Labor Summary'!L4,2)</f>
        <v>0</v>
      </c>
      <c r="X18" s="20">
        <f t="shared" ref="X18:X24" si="5">+R18+U18+V18+W18</f>
        <v>15965253.789999999</v>
      </c>
      <c r="Y18" s="4" t="b">
        <f t="shared" ref="Y18:Y24" si="6">ROUND(X18,2)=ROUND(L18,2)</f>
        <v>1</v>
      </c>
      <c r="Z18" s="169">
        <f t="shared" ref="Z18:Z24" si="7">+L18-X18</f>
        <v>0</v>
      </c>
    </row>
    <row r="19" spans="1:26" s="4" customFormat="1" ht="15" customHeight="1">
      <c r="A19" s="16">
        <v>5</v>
      </c>
      <c r="B19" s="4" t="s">
        <v>232</v>
      </c>
      <c r="C19" s="4" t="s">
        <v>370</v>
      </c>
      <c r="D19" s="16"/>
      <c r="E19" s="13">
        <v>2293585.9799999991</v>
      </c>
      <c r="F19" s="13">
        <v>0</v>
      </c>
      <c r="G19" s="13">
        <v>0</v>
      </c>
      <c r="H19" s="13">
        <f t="shared" si="0"/>
        <v>2293585.9799999991</v>
      </c>
      <c r="I19" s="13">
        <f>+'[2]Labor Summary'!N5</f>
        <v>0</v>
      </c>
      <c r="J19" s="13">
        <f t="shared" si="1"/>
        <v>2293585.9799999991</v>
      </c>
      <c r="K19" s="153">
        <v>1</v>
      </c>
      <c r="L19" s="104">
        <f t="shared" si="2"/>
        <v>2293585.9799999991</v>
      </c>
      <c r="M19" s="13"/>
      <c r="N19" s="16"/>
      <c r="O19" s="13">
        <f>ROUND(+'[1]Total Labor Summary'!C4+'[2]Labor Summary'!D5,2)</f>
        <v>2150826.56</v>
      </c>
      <c r="P19" s="13">
        <f>ROUND(+'[1]Total Labor Summary'!D4+'[2]Labor Summary'!E5,2)</f>
        <v>0</v>
      </c>
      <c r="Q19" s="13">
        <f>ROUND(+'[1]Total Labor Summary'!E4+'[2]Labor Summary'!F5,2)</f>
        <v>0</v>
      </c>
      <c r="R19" s="13">
        <f t="shared" si="3"/>
        <v>2150826.56</v>
      </c>
      <c r="S19" s="13">
        <f>ROUND(+'[1]Total Labor Summary'!G4+'[2]Labor Summary'!H5,2)</f>
        <v>142759.42000000001</v>
      </c>
      <c r="T19" s="13">
        <f>ROUND(+'[1]Total Labor Summary'!H4+'[2]Labor Summary'!I5,2)</f>
        <v>0</v>
      </c>
      <c r="U19" s="13">
        <f t="shared" si="4"/>
        <v>142759.42000000001</v>
      </c>
      <c r="V19" s="13">
        <f>ROUND(+'[1]Total Labor Summary'!J4+'[2]Labor Summary'!K5,2)</f>
        <v>0</v>
      </c>
      <c r="W19" s="13">
        <f>ROUND(+'[1]Total Labor Summary'!K4+'[2]Labor Summary'!L5,2)</f>
        <v>0</v>
      </c>
      <c r="X19" s="20">
        <f t="shared" si="5"/>
        <v>2293585.98</v>
      </c>
      <c r="Y19" s="4" t="b">
        <f t="shared" si="6"/>
        <v>1</v>
      </c>
      <c r="Z19" s="169">
        <f t="shared" si="7"/>
        <v>0</v>
      </c>
    </row>
    <row r="20" spans="1:26" s="4" customFormat="1" ht="15" customHeight="1">
      <c r="A20" s="16">
        <v>6</v>
      </c>
      <c r="B20" s="4" t="s">
        <v>233</v>
      </c>
      <c r="C20" s="4" t="s">
        <v>371</v>
      </c>
      <c r="D20" s="16"/>
      <c r="E20" s="13">
        <v>630353.6999999996</v>
      </c>
      <c r="F20" s="13">
        <v>0</v>
      </c>
      <c r="G20" s="13">
        <v>0</v>
      </c>
      <c r="H20" s="13">
        <f t="shared" si="0"/>
        <v>630353.6999999996</v>
      </c>
      <c r="I20" s="13">
        <f>+'[2]Labor Summary'!N6</f>
        <v>0</v>
      </c>
      <c r="J20" s="13">
        <f t="shared" si="1"/>
        <v>630353.6999999996</v>
      </c>
      <c r="K20" s="153">
        <v>1</v>
      </c>
      <c r="L20" s="104">
        <f t="shared" si="2"/>
        <v>630353.6999999996</v>
      </c>
      <c r="M20" s="13"/>
      <c r="N20" s="16"/>
      <c r="O20" s="13">
        <f>ROUND(+'[1]Total Labor Summary'!C5+'[2]Labor Summary'!D6,2)</f>
        <v>630353.69999999995</v>
      </c>
      <c r="P20" s="13">
        <f>ROUND(+'[1]Total Labor Summary'!D5+'[2]Labor Summary'!E6,2)</f>
        <v>0</v>
      </c>
      <c r="Q20" s="13">
        <f>ROUND(+'[1]Total Labor Summary'!E5+'[2]Labor Summary'!F6,2)</f>
        <v>0</v>
      </c>
      <c r="R20" s="13">
        <f t="shared" si="3"/>
        <v>630353.69999999995</v>
      </c>
      <c r="S20" s="13">
        <f>ROUND(+'[1]Total Labor Summary'!G5+'[2]Labor Summary'!H6,2)</f>
        <v>0</v>
      </c>
      <c r="T20" s="13">
        <f>ROUND(+'[1]Total Labor Summary'!H5+'[2]Labor Summary'!I6,2)</f>
        <v>0</v>
      </c>
      <c r="U20" s="13">
        <f t="shared" si="4"/>
        <v>0</v>
      </c>
      <c r="V20" s="13">
        <f>ROUND(+'[1]Total Labor Summary'!J5+'[2]Labor Summary'!K6,2)</f>
        <v>0</v>
      </c>
      <c r="W20" s="13">
        <f>ROUND(+'[1]Total Labor Summary'!K5+'[2]Labor Summary'!L6,2)</f>
        <v>0</v>
      </c>
      <c r="X20" s="20">
        <f t="shared" si="5"/>
        <v>630353.69999999995</v>
      </c>
      <c r="Y20" s="4" t="b">
        <f t="shared" si="6"/>
        <v>1</v>
      </c>
      <c r="Z20" s="169">
        <f t="shared" si="7"/>
        <v>0</v>
      </c>
    </row>
    <row r="21" spans="1:26" s="4" customFormat="1" ht="15" customHeight="1">
      <c r="A21" s="16">
        <v>7</v>
      </c>
      <c r="B21" s="4" t="s">
        <v>234</v>
      </c>
      <c r="C21" s="4" t="s">
        <v>372</v>
      </c>
      <c r="D21" s="16"/>
      <c r="E21" s="13">
        <v>0</v>
      </c>
      <c r="F21" s="13">
        <v>0</v>
      </c>
      <c r="G21" s="13">
        <v>0</v>
      </c>
      <c r="H21" s="13">
        <f t="shared" si="0"/>
        <v>0</v>
      </c>
      <c r="I21" s="13">
        <f>+'[2]Labor Summary'!N7</f>
        <v>0</v>
      </c>
      <c r="J21" s="13">
        <f t="shared" si="1"/>
        <v>0</v>
      </c>
      <c r="K21" s="153">
        <v>1</v>
      </c>
      <c r="L21" s="104">
        <f t="shared" si="2"/>
        <v>0</v>
      </c>
      <c r="M21" s="13"/>
      <c r="N21" s="16"/>
      <c r="O21" s="13">
        <f>ROUND(+'[1]Total Labor Summary'!C6+'[2]Labor Summary'!D7,2)</f>
        <v>0</v>
      </c>
      <c r="P21" s="13">
        <f>ROUND(+'[1]Total Labor Summary'!D6+'[2]Labor Summary'!E7,2)</f>
        <v>0</v>
      </c>
      <c r="Q21" s="13">
        <f>ROUND(+'[1]Total Labor Summary'!E6+'[2]Labor Summary'!F7,2)</f>
        <v>0</v>
      </c>
      <c r="R21" s="13">
        <f t="shared" si="3"/>
        <v>0</v>
      </c>
      <c r="S21" s="13">
        <f>ROUND(+'[1]Total Labor Summary'!G6+'[2]Labor Summary'!H7,2)</f>
        <v>0</v>
      </c>
      <c r="T21" s="13">
        <f>ROUND(+'[1]Total Labor Summary'!H6+'[2]Labor Summary'!I7,2)</f>
        <v>0</v>
      </c>
      <c r="U21" s="13">
        <f t="shared" si="4"/>
        <v>0</v>
      </c>
      <c r="V21" s="13">
        <f>ROUND(+'[1]Total Labor Summary'!J6+'[2]Labor Summary'!K7,2)</f>
        <v>0</v>
      </c>
      <c r="W21" s="13">
        <f>ROUND(+'[1]Total Labor Summary'!K6+'[2]Labor Summary'!L7,2)</f>
        <v>0</v>
      </c>
      <c r="X21" s="20">
        <f t="shared" si="5"/>
        <v>0</v>
      </c>
      <c r="Y21" s="4" t="b">
        <f t="shared" si="6"/>
        <v>1</v>
      </c>
      <c r="Z21" s="169">
        <f t="shared" si="7"/>
        <v>0</v>
      </c>
    </row>
    <row r="22" spans="1:26" s="4" customFormat="1" ht="15" customHeight="1">
      <c r="A22" s="16">
        <v>8</v>
      </c>
      <c r="B22" s="4" t="s">
        <v>282</v>
      </c>
      <c r="C22" s="4" t="s">
        <v>373</v>
      </c>
      <c r="D22" s="16"/>
      <c r="E22" s="13">
        <v>0</v>
      </c>
      <c r="F22" s="13">
        <v>0</v>
      </c>
      <c r="G22" s="13">
        <v>0</v>
      </c>
      <c r="H22" s="13">
        <f t="shared" si="0"/>
        <v>0</v>
      </c>
      <c r="I22" s="13">
        <f>+'[2]Labor Summary'!N8</f>
        <v>0</v>
      </c>
      <c r="J22" s="13">
        <f t="shared" si="1"/>
        <v>0</v>
      </c>
      <c r="K22" s="153">
        <v>1</v>
      </c>
      <c r="L22" s="104">
        <f t="shared" si="2"/>
        <v>0</v>
      </c>
      <c r="M22" s="13"/>
      <c r="N22" s="16"/>
      <c r="O22" s="13">
        <f>ROUND(+'[1]Total Labor Summary'!C7+'[2]Labor Summary'!D8,2)</f>
        <v>0</v>
      </c>
      <c r="P22" s="13">
        <f>ROUND(+'[1]Total Labor Summary'!D7+'[2]Labor Summary'!E8,2)</f>
        <v>0</v>
      </c>
      <c r="Q22" s="13">
        <f>ROUND(+'[1]Total Labor Summary'!E7+'[2]Labor Summary'!F8,2)</f>
        <v>0</v>
      </c>
      <c r="R22" s="13">
        <f t="shared" si="3"/>
        <v>0</v>
      </c>
      <c r="S22" s="13">
        <f>ROUND(+'[1]Total Labor Summary'!G7+'[2]Labor Summary'!H8,2)</f>
        <v>0</v>
      </c>
      <c r="T22" s="13">
        <f>ROUND(+'[1]Total Labor Summary'!H7+'[2]Labor Summary'!I8,2)</f>
        <v>0</v>
      </c>
      <c r="U22" s="13">
        <f t="shared" si="4"/>
        <v>0</v>
      </c>
      <c r="V22" s="13">
        <f>ROUND(+'[1]Total Labor Summary'!J7+'[2]Labor Summary'!K8,2)</f>
        <v>0</v>
      </c>
      <c r="W22" s="13">
        <f>ROUND(+'[1]Total Labor Summary'!K7+'[2]Labor Summary'!L8,2)</f>
        <v>0</v>
      </c>
      <c r="X22" s="20">
        <f t="shared" si="5"/>
        <v>0</v>
      </c>
      <c r="Y22" s="4" t="b">
        <f t="shared" si="6"/>
        <v>1</v>
      </c>
      <c r="Z22" s="169">
        <f t="shared" si="7"/>
        <v>0</v>
      </c>
    </row>
    <row r="23" spans="1:26" s="4" customFormat="1" ht="15" customHeight="1">
      <c r="A23" s="16">
        <v>9</v>
      </c>
      <c r="B23" s="4" t="s">
        <v>235</v>
      </c>
      <c r="C23" s="4" t="s">
        <v>138</v>
      </c>
      <c r="D23" s="16"/>
      <c r="E23" s="13">
        <v>22891397.719999988</v>
      </c>
      <c r="F23" s="13">
        <v>0</v>
      </c>
      <c r="G23" s="13">
        <v>0</v>
      </c>
      <c r="H23" s="13">
        <f t="shared" si="0"/>
        <v>22891397.719999988</v>
      </c>
      <c r="I23" s="13">
        <f>+'[2]Labor Summary'!N9</f>
        <v>5755084.3099999996</v>
      </c>
      <c r="J23" s="13">
        <f t="shared" si="1"/>
        <v>28646482.029999986</v>
      </c>
      <c r="K23" s="153">
        <v>1</v>
      </c>
      <c r="L23" s="104">
        <f t="shared" si="2"/>
        <v>28646482.029999986</v>
      </c>
      <c r="M23" s="13"/>
      <c r="N23" s="16"/>
      <c r="O23" s="13">
        <f>ROUND(+'[1]Total Labor Summary'!C8+'[2]Labor Summary'!D9,2)</f>
        <v>28317939</v>
      </c>
      <c r="P23" s="13">
        <f>ROUND(+'[1]Total Labor Summary'!D8+'[2]Labor Summary'!E9,2)</f>
        <v>0</v>
      </c>
      <c r="Q23" s="13">
        <f>ROUND(+'[1]Total Labor Summary'!E8+'[2]Labor Summary'!F9,2)</f>
        <v>0</v>
      </c>
      <c r="R23" s="13">
        <f t="shared" si="3"/>
        <v>28317939</v>
      </c>
      <c r="S23" s="13">
        <f>ROUND(+'[1]Total Labor Summary'!G8+'[2]Labor Summary'!H9,2)</f>
        <v>328543.03000000003</v>
      </c>
      <c r="T23" s="13">
        <f>ROUND(+'[1]Total Labor Summary'!H8+'[2]Labor Summary'!I9,2)</f>
        <v>0</v>
      </c>
      <c r="U23" s="13">
        <f t="shared" si="4"/>
        <v>328543.03000000003</v>
      </c>
      <c r="V23" s="13">
        <f>ROUND(+'[1]Total Labor Summary'!J8+'[2]Labor Summary'!K9,2)</f>
        <v>0</v>
      </c>
      <c r="W23" s="13">
        <f>ROUND(+'[1]Total Labor Summary'!K8+'[2]Labor Summary'!L9,2)</f>
        <v>0</v>
      </c>
      <c r="X23" s="20">
        <f t="shared" si="5"/>
        <v>28646482.030000001</v>
      </c>
      <c r="Y23" s="4" t="b">
        <f t="shared" si="6"/>
        <v>1</v>
      </c>
      <c r="Z23" s="169">
        <f t="shared" si="7"/>
        <v>0</v>
      </c>
    </row>
    <row r="24" spans="1:26" s="4" customFormat="1" ht="15" customHeight="1">
      <c r="A24" s="16">
        <v>10</v>
      </c>
      <c r="B24" s="4" t="s">
        <v>236</v>
      </c>
      <c r="C24" s="4" t="s">
        <v>291</v>
      </c>
      <c r="D24" s="16"/>
      <c r="E24" s="13">
        <v>0</v>
      </c>
      <c r="F24" s="13">
        <v>0</v>
      </c>
      <c r="G24" s="13">
        <v>0</v>
      </c>
      <c r="H24" s="13">
        <f t="shared" si="0"/>
        <v>0</v>
      </c>
      <c r="I24" s="13">
        <f>+'[2]Labor Summary'!N10</f>
        <v>0</v>
      </c>
      <c r="J24" s="13">
        <f t="shared" si="1"/>
        <v>0</v>
      </c>
      <c r="K24" s="153">
        <v>1</v>
      </c>
      <c r="L24" s="104">
        <f t="shared" si="2"/>
        <v>0</v>
      </c>
      <c r="M24" s="13"/>
      <c r="N24" s="16"/>
      <c r="O24" s="13">
        <f>ROUND(+'[1]Total Labor Summary'!C9+'[2]Labor Summary'!D10,2)</f>
        <v>0</v>
      </c>
      <c r="P24" s="13">
        <f>ROUND(+'[1]Total Labor Summary'!D9+'[2]Labor Summary'!E10,2)</f>
        <v>0</v>
      </c>
      <c r="Q24" s="13">
        <f>ROUND(+'[1]Total Labor Summary'!E9+'[2]Labor Summary'!F10,2)</f>
        <v>0</v>
      </c>
      <c r="R24" s="13">
        <f t="shared" si="3"/>
        <v>0</v>
      </c>
      <c r="S24" s="13">
        <f>ROUND(+'[1]Total Labor Summary'!G9+'[2]Labor Summary'!H10,2)</f>
        <v>0</v>
      </c>
      <c r="T24" s="13">
        <f>ROUND(+'[1]Total Labor Summary'!H9+'[2]Labor Summary'!I10,2)</f>
        <v>0</v>
      </c>
      <c r="U24" s="13">
        <f t="shared" si="4"/>
        <v>0</v>
      </c>
      <c r="V24" s="13">
        <f>ROUND(+'[1]Total Labor Summary'!J9+'[2]Labor Summary'!K10,2)</f>
        <v>0</v>
      </c>
      <c r="W24" s="13">
        <f>ROUND(+'[1]Total Labor Summary'!K9+'[2]Labor Summary'!L10,2)</f>
        <v>0</v>
      </c>
      <c r="X24" s="20">
        <f t="shared" si="5"/>
        <v>0</v>
      </c>
      <c r="Y24" s="4" t="b">
        <f t="shared" si="6"/>
        <v>1</v>
      </c>
      <c r="Z24" s="169">
        <f t="shared" si="7"/>
        <v>0</v>
      </c>
    </row>
    <row r="25" spans="1:26" s="4" customFormat="1" ht="15" customHeight="1">
      <c r="A25" s="16">
        <v>11</v>
      </c>
      <c r="B25" s="8"/>
      <c r="C25" s="8"/>
      <c r="D25" s="18"/>
      <c r="E25" s="123"/>
      <c r="F25" s="123"/>
      <c r="G25" s="123"/>
      <c r="H25" s="123"/>
      <c r="I25" s="123"/>
      <c r="J25" s="123"/>
      <c r="K25" s="153"/>
      <c r="L25" s="123"/>
      <c r="M25" s="13"/>
      <c r="N25" s="16"/>
      <c r="O25" s="123"/>
      <c r="P25" s="123"/>
      <c r="Q25" s="123"/>
      <c r="R25" s="123"/>
      <c r="S25" s="125"/>
      <c r="T25" s="125"/>
      <c r="U25" s="125"/>
      <c r="V25" s="125"/>
      <c r="W25" s="125">
        <v>0</v>
      </c>
      <c r="X25" s="125"/>
    </row>
    <row r="26" spans="1:26" s="8" customFormat="1" ht="15" customHeight="1">
      <c r="A26" s="16">
        <v>12</v>
      </c>
      <c r="B26" s="4"/>
      <c r="C26" s="22" t="s">
        <v>54</v>
      </c>
      <c r="D26" s="16"/>
      <c r="E26" s="176">
        <f t="shared" ref="E26:J26" si="8">SUM(E17:E24)</f>
        <v>46919031.659999982</v>
      </c>
      <c r="F26" s="176">
        <f t="shared" si="8"/>
        <v>0</v>
      </c>
      <c r="G26" s="176">
        <f t="shared" si="8"/>
        <v>0</v>
      </c>
      <c r="H26" s="176">
        <f t="shared" si="8"/>
        <v>46919031.659999982</v>
      </c>
      <c r="I26" s="176">
        <f>SUM(I17:I24)</f>
        <v>5755084.3099999996</v>
      </c>
      <c r="J26" s="176">
        <f t="shared" si="8"/>
        <v>52674115.969999984</v>
      </c>
      <c r="K26" s="176"/>
      <c r="L26" s="176">
        <f>SUM(L17:L24)</f>
        <v>52674115.969999984</v>
      </c>
      <c r="M26" s="176"/>
      <c r="N26" s="176"/>
      <c r="O26" s="176">
        <f t="shared" ref="O26:X26" si="9">SUM(O17:O24)</f>
        <v>52185732.119999997</v>
      </c>
      <c r="P26" s="176">
        <f t="shared" si="9"/>
        <v>0</v>
      </c>
      <c r="Q26" s="176">
        <f t="shared" si="9"/>
        <v>0</v>
      </c>
      <c r="R26" s="176">
        <f t="shared" si="9"/>
        <v>52185732.119999997</v>
      </c>
      <c r="S26" s="176">
        <f t="shared" si="9"/>
        <v>488383.85000000003</v>
      </c>
      <c r="T26" s="176">
        <f t="shared" si="9"/>
        <v>0</v>
      </c>
      <c r="U26" s="176">
        <f t="shared" si="9"/>
        <v>488383.85000000003</v>
      </c>
      <c r="V26" s="176">
        <f t="shared" si="9"/>
        <v>0</v>
      </c>
      <c r="W26" s="176">
        <f t="shared" si="9"/>
        <v>0</v>
      </c>
      <c r="X26" s="176">
        <f t="shared" si="9"/>
        <v>52674115.969999999</v>
      </c>
      <c r="Y26" s="4" t="b">
        <f>ROUND(X26,2)=ROUND(L26,2)</f>
        <v>1</v>
      </c>
      <c r="Z26" s="169">
        <f>+L26-X26</f>
        <v>0</v>
      </c>
    </row>
    <row r="27" spans="1:26" s="4" customFormat="1" ht="15" customHeight="1">
      <c r="A27" s="16">
        <v>13</v>
      </c>
      <c r="B27" s="8"/>
      <c r="C27" s="18"/>
      <c r="D27" s="18"/>
      <c r="E27" s="13"/>
      <c r="F27" s="13"/>
      <c r="G27" s="13"/>
      <c r="H27" s="13"/>
      <c r="I27" s="13"/>
      <c r="J27" s="13"/>
      <c r="K27" s="153"/>
      <c r="L27" s="16"/>
      <c r="M27" s="13"/>
      <c r="N27" s="16"/>
      <c r="O27" s="13"/>
      <c r="P27" s="13"/>
      <c r="Q27" s="13"/>
      <c r="R27" s="13"/>
      <c r="S27" s="13"/>
      <c r="T27" s="13"/>
      <c r="U27" s="13"/>
      <c r="V27" s="13"/>
      <c r="W27" s="13">
        <v>0</v>
      </c>
    </row>
    <row r="28" spans="1:26" s="8" customFormat="1" ht="15" customHeight="1">
      <c r="A28" s="16">
        <v>14</v>
      </c>
      <c r="C28" s="15" t="s">
        <v>228</v>
      </c>
      <c r="D28" s="18" t="s">
        <v>305</v>
      </c>
      <c r="E28" s="19"/>
      <c r="F28" s="19"/>
      <c r="G28" s="19"/>
      <c r="H28" s="19"/>
      <c r="I28" s="19"/>
      <c r="J28" s="19"/>
      <c r="K28" s="154"/>
      <c r="L28" s="18"/>
      <c r="M28" s="19"/>
      <c r="N28" s="58"/>
      <c r="O28" s="19"/>
      <c r="P28" s="19"/>
      <c r="Q28" s="19"/>
      <c r="R28" s="19"/>
      <c r="S28" s="19"/>
      <c r="T28" s="19"/>
      <c r="U28" s="19"/>
      <c r="V28" s="19"/>
      <c r="W28" s="19">
        <v>0</v>
      </c>
    </row>
    <row r="29" spans="1:26" s="4" customFormat="1" ht="15" customHeight="1">
      <c r="A29" s="16">
        <v>15</v>
      </c>
      <c r="B29" s="4" t="s">
        <v>237</v>
      </c>
      <c r="C29" s="4" t="s">
        <v>139</v>
      </c>
      <c r="D29" s="16"/>
      <c r="E29" s="150">
        <v>201086.33999999997</v>
      </c>
      <c r="F29" s="150">
        <v>0</v>
      </c>
      <c r="G29" s="150">
        <v>0</v>
      </c>
      <c r="H29" s="150">
        <f t="shared" ref="H29:H34" si="10">+E29-F29+G29</f>
        <v>201086.33999999997</v>
      </c>
      <c r="I29" s="150">
        <f>+'[2]Labor Summary'!N13</f>
        <v>0</v>
      </c>
      <c r="J29" s="150">
        <f t="shared" ref="J29:J34" si="11">+H29+I29</f>
        <v>201086.33999999997</v>
      </c>
      <c r="K29" s="153">
        <v>1</v>
      </c>
      <c r="L29" s="150">
        <f t="shared" ref="L29:L34" si="12">+J29*K29</f>
        <v>201086.33999999997</v>
      </c>
      <c r="M29" s="13"/>
      <c r="N29" s="16"/>
      <c r="O29" s="150">
        <f>ROUND(+'[1]Total Labor Summary'!C12+'[2]Labor Summary'!D13,2)</f>
        <v>157666.67000000001</v>
      </c>
      <c r="P29" s="150">
        <f>ROUND(+'[1]Total Labor Summary'!D12+'[2]Labor Summary'!E13,2)</f>
        <v>0</v>
      </c>
      <c r="Q29" s="150">
        <f>ROUND(+'[1]Total Labor Summary'!E12+'[2]Labor Summary'!F13,2)</f>
        <v>0</v>
      </c>
      <c r="R29" s="150">
        <f t="shared" ref="R29" si="13">SUM(O29:Q29)</f>
        <v>157666.67000000001</v>
      </c>
      <c r="S29" s="150">
        <f>ROUND(+'[1]Total Labor Summary'!G12+'[2]Labor Summary'!H13,2)</f>
        <v>43419.67</v>
      </c>
      <c r="T29" s="150">
        <f>ROUND(+'[1]Total Labor Summary'!H12+'[2]Labor Summary'!I13,2)</f>
        <v>0</v>
      </c>
      <c r="U29" s="150">
        <f t="shared" ref="U29" si="14">SUM(S29:T29)</f>
        <v>43419.67</v>
      </c>
      <c r="V29" s="150">
        <f>ROUND(+'[1]Total Labor Summary'!J12+'[2]Labor Summary'!K13,2)</f>
        <v>0</v>
      </c>
      <c r="W29" s="150">
        <f>ROUND(+'[1]Total Labor Summary'!K12+'[2]Labor Summary'!L13,2)</f>
        <v>0</v>
      </c>
      <c r="X29" s="150">
        <f t="shared" ref="X29:X34" si="15">+R29+U29+V29+W29</f>
        <v>201086.34000000003</v>
      </c>
      <c r="Y29" s="4" t="b">
        <f t="shared" ref="Y29:Y34" si="16">ROUND(X29,2)=ROUND(L29,2)</f>
        <v>1</v>
      </c>
      <c r="Z29" s="169">
        <f t="shared" ref="Z29:Z34" si="17">+L29-X29</f>
        <v>0</v>
      </c>
    </row>
    <row r="30" spans="1:26" s="4" customFormat="1" ht="15" customHeight="1">
      <c r="A30" s="16">
        <v>16</v>
      </c>
      <c r="B30" s="4" t="s">
        <v>238</v>
      </c>
      <c r="C30" s="4" t="s">
        <v>140</v>
      </c>
      <c r="D30" s="16"/>
      <c r="E30" s="13">
        <v>0</v>
      </c>
      <c r="F30" s="13">
        <v>0</v>
      </c>
      <c r="G30" s="13">
        <v>0</v>
      </c>
      <c r="H30" s="13">
        <f t="shared" si="10"/>
        <v>0</v>
      </c>
      <c r="I30" s="13">
        <f>+'[2]Labor Summary'!N14</f>
        <v>0</v>
      </c>
      <c r="J30" s="13">
        <f t="shared" si="11"/>
        <v>0</v>
      </c>
      <c r="K30" s="153">
        <v>1</v>
      </c>
      <c r="L30" s="104">
        <f t="shared" si="12"/>
        <v>0</v>
      </c>
      <c r="M30" s="13"/>
      <c r="N30" s="16"/>
      <c r="O30" s="13">
        <f>ROUND(+'[1]Total Labor Summary'!C13+'[2]Labor Summary'!D14,2)</f>
        <v>0</v>
      </c>
      <c r="P30" s="13">
        <f>ROUND(+'[1]Total Labor Summary'!D13+'[2]Labor Summary'!E14,2)</f>
        <v>0</v>
      </c>
      <c r="Q30" s="13">
        <f>ROUND(+'[1]Total Labor Summary'!E13+'[2]Labor Summary'!F14,2)</f>
        <v>0</v>
      </c>
      <c r="R30" s="13">
        <f t="shared" ref="R30:R34" si="18">SUM(O30:Q30)</f>
        <v>0</v>
      </c>
      <c r="S30" s="13">
        <f>ROUND(+'[1]Total Labor Summary'!G13+'[2]Labor Summary'!H14,2)</f>
        <v>0</v>
      </c>
      <c r="T30" s="13">
        <f>ROUND(+'[1]Total Labor Summary'!H13+'[2]Labor Summary'!I14,2)</f>
        <v>0</v>
      </c>
      <c r="U30" s="13">
        <f t="shared" ref="U30:U34" si="19">SUM(S30:T30)</f>
        <v>0</v>
      </c>
      <c r="V30" s="13">
        <f>ROUND(+'[1]Total Labor Summary'!J13+'[2]Labor Summary'!K14,2)</f>
        <v>0</v>
      </c>
      <c r="W30" s="13">
        <f>ROUND(+'[1]Total Labor Summary'!K13+'[2]Labor Summary'!L14,2)</f>
        <v>0</v>
      </c>
      <c r="X30" s="20">
        <f t="shared" si="15"/>
        <v>0</v>
      </c>
      <c r="Y30" s="4" t="b">
        <f t="shared" si="16"/>
        <v>1</v>
      </c>
      <c r="Z30" s="169">
        <f t="shared" si="17"/>
        <v>0</v>
      </c>
    </row>
    <row r="31" spans="1:26" s="4" customFormat="1" ht="15" customHeight="1">
      <c r="A31" s="16">
        <v>17</v>
      </c>
      <c r="B31" s="4" t="s">
        <v>239</v>
      </c>
      <c r="C31" s="4" t="s">
        <v>375</v>
      </c>
      <c r="D31" s="16"/>
      <c r="E31" s="13">
        <v>3387440.8300000005</v>
      </c>
      <c r="F31" s="13">
        <v>0</v>
      </c>
      <c r="G31" s="13">
        <v>0</v>
      </c>
      <c r="H31" s="13">
        <f t="shared" si="10"/>
        <v>3387440.8300000005</v>
      </c>
      <c r="I31" s="13">
        <f>+'[2]Labor Summary'!N15</f>
        <v>0</v>
      </c>
      <c r="J31" s="13">
        <f t="shared" si="11"/>
        <v>3387440.8300000005</v>
      </c>
      <c r="K31" s="153">
        <v>1</v>
      </c>
      <c r="L31" s="104">
        <f t="shared" si="12"/>
        <v>3387440.8300000005</v>
      </c>
      <c r="M31" s="13"/>
      <c r="N31" s="16"/>
      <c r="O31" s="13">
        <f>ROUND(+'[1]Total Labor Summary'!C14+'[2]Labor Summary'!D15,2)</f>
        <v>3336258.79</v>
      </c>
      <c r="P31" s="13">
        <f>ROUND(+'[1]Total Labor Summary'!D14+'[2]Labor Summary'!E15,2)</f>
        <v>0</v>
      </c>
      <c r="Q31" s="13">
        <f>ROUND(+'[1]Total Labor Summary'!E14+'[2]Labor Summary'!F15,2)</f>
        <v>0</v>
      </c>
      <c r="R31" s="13">
        <f t="shared" si="18"/>
        <v>3336258.79</v>
      </c>
      <c r="S31" s="13">
        <f>ROUND(+'[1]Total Labor Summary'!G14+'[2]Labor Summary'!H15,2)</f>
        <v>51182.04</v>
      </c>
      <c r="T31" s="13">
        <f>ROUND(+'[1]Total Labor Summary'!H14+'[2]Labor Summary'!I15,2)</f>
        <v>0</v>
      </c>
      <c r="U31" s="13">
        <f t="shared" si="19"/>
        <v>51182.04</v>
      </c>
      <c r="V31" s="13">
        <f>ROUND(+'[1]Total Labor Summary'!J14+'[2]Labor Summary'!K15,2)</f>
        <v>0</v>
      </c>
      <c r="W31" s="13">
        <f>ROUND(+'[1]Total Labor Summary'!K14+'[2]Labor Summary'!L15,2)</f>
        <v>0</v>
      </c>
      <c r="X31" s="20">
        <f t="shared" si="15"/>
        <v>3387440.83</v>
      </c>
      <c r="Y31" s="4" t="b">
        <f t="shared" si="16"/>
        <v>1</v>
      </c>
      <c r="Z31" s="169">
        <f t="shared" si="17"/>
        <v>0</v>
      </c>
    </row>
    <row r="32" spans="1:26" s="4" customFormat="1" ht="15" customHeight="1">
      <c r="A32" s="16">
        <v>18</v>
      </c>
      <c r="B32" s="4" t="s">
        <v>240</v>
      </c>
      <c r="C32" s="4" t="s">
        <v>376</v>
      </c>
      <c r="D32" s="16"/>
      <c r="E32" s="13">
        <v>1606563.3499999994</v>
      </c>
      <c r="F32" s="13">
        <v>0</v>
      </c>
      <c r="G32" s="13">
        <v>0</v>
      </c>
      <c r="H32" s="13">
        <f t="shared" si="10"/>
        <v>1606563.3499999994</v>
      </c>
      <c r="I32" s="13">
        <f>+'[2]Labor Summary'!N16</f>
        <v>0</v>
      </c>
      <c r="J32" s="13">
        <f t="shared" si="11"/>
        <v>1606563.3499999994</v>
      </c>
      <c r="K32" s="153">
        <v>1</v>
      </c>
      <c r="L32" s="104">
        <f t="shared" si="12"/>
        <v>1606563.3499999994</v>
      </c>
      <c r="M32" s="13"/>
      <c r="N32" s="16"/>
      <c r="O32" s="13">
        <f>ROUND(+'[1]Total Labor Summary'!C15+'[2]Labor Summary'!D16,2)</f>
        <v>1595458.63</v>
      </c>
      <c r="P32" s="13">
        <f>ROUND(+'[1]Total Labor Summary'!D15+'[2]Labor Summary'!E16,2)</f>
        <v>0</v>
      </c>
      <c r="Q32" s="13">
        <f>ROUND(+'[1]Total Labor Summary'!E15+'[2]Labor Summary'!F16,2)</f>
        <v>0</v>
      </c>
      <c r="R32" s="13">
        <f t="shared" si="18"/>
        <v>1595458.63</v>
      </c>
      <c r="S32" s="13">
        <f>ROUND(+'[1]Total Labor Summary'!G15+'[2]Labor Summary'!H16,2)</f>
        <v>11104.72</v>
      </c>
      <c r="T32" s="13">
        <f>ROUND(+'[1]Total Labor Summary'!H15+'[2]Labor Summary'!I16,2)</f>
        <v>0</v>
      </c>
      <c r="U32" s="13">
        <f t="shared" si="19"/>
        <v>11104.72</v>
      </c>
      <c r="V32" s="13">
        <f>ROUND(+'[1]Total Labor Summary'!J15+'[2]Labor Summary'!K16,2)</f>
        <v>0</v>
      </c>
      <c r="W32" s="13">
        <f>ROUND(+'[1]Total Labor Summary'!K15+'[2]Labor Summary'!L16,2)</f>
        <v>0</v>
      </c>
      <c r="X32" s="20">
        <f t="shared" si="15"/>
        <v>1606563.3499999999</v>
      </c>
      <c r="Y32" s="4" t="b">
        <f t="shared" si="16"/>
        <v>1</v>
      </c>
      <c r="Z32" s="169">
        <f t="shared" si="17"/>
        <v>0</v>
      </c>
    </row>
    <row r="33" spans="1:27" s="4" customFormat="1" ht="15" customHeight="1">
      <c r="A33" s="16">
        <v>19</v>
      </c>
      <c r="B33" s="4" t="s">
        <v>241</v>
      </c>
      <c r="C33" s="4" t="s">
        <v>377</v>
      </c>
      <c r="D33" s="16"/>
      <c r="E33" s="13">
        <v>0</v>
      </c>
      <c r="F33" s="13">
        <v>0</v>
      </c>
      <c r="G33" s="13">
        <v>0</v>
      </c>
      <c r="H33" s="13">
        <f t="shared" si="10"/>
        <v>0</v>
      </c>
      <c r="I33" s="13">
        <f>+'[2]Labor Summary'!N17</f>
        <v>0</v>
      </c>
      <c r="J33" s="13">
        <f t="shared" si="11"/>
        <v>0</v>
      </c>
      <c r="K33" s="153">
        <v>1</v>
      </c>
      <c r="L33" s="104">
        <f t="shared" si="12"/>
        <v>0</v>
      </c>
      <c r="M33" s="13"/>
      <c r="N33" s="16"/>
      <c r="O33" s="13">
        <f>ROUND(+'[1]Total Labor Summary'!C16+'[2]Labor Summary'!D17,2)</f>
        <v>0</v>
      </c>
      <c r="P33" s="13">
        <f>ROUND(+'[1]Total Labor Summary'!D16+'[2]Labor Summary'!E17,2)</f>
        <v>0</v>
      </c>
      <c r="Q33" s="13">
        <f>ROUND(+'[1]Total Labor Summary'!E16+'[2]Labor Summary'!F17,2)</f>
        <v>0</v>
      </c>
      <c r="R33" s="13">
        <f t="shared" si="18"/>
        <v>0</v>
      </c>
      <c r="S33" s="13">
        <f>ROUND(+'[1]Total Labor Summary'!G16+'[2]Labor Summary'!H17,2)</f>
        <v>0</v>
      </c>
      <c r="T33" s="13">
        <f>ROUND(+'[1]Total Labor Summary'!H16+'[2]Labor Summary'!I17,2)</f>
        <v>0</v>
      </c>
      <c r="U33" s="13">
        <f t="shared" si="19"/>
        <v>0</v>
      </c>
      <c r="V33" s="13">
        <f>ROUND(+'[1]Total Labor Summary'!J16+'[2]Labor Summary'!K17,2)</f>
        <v>0</v>
      </c>
      <c r="W33" s="13">
        <f>ROUND(+'[1]Total Labor Summary'!K16+'[2]Labor Summary'!L17,2)</f>
        <v>0</v>
      </c>
      <c r="X33" s="20">
        <f t="shared" si="15"/>
        <v>0</v>
      </c>
      <c r="Y33" s="4" t="b">
        <f t="shared" si="16"/>
        <v>1</v>
      </c>
      <c r="Z33" s="169">
        <f t="shared" si="17"/>
        <v>0</v>
      </c>
    </row>
    <row r="34" spans="1:27" s="4" customFormat="1" ht="15" customHeight="1">
      <c r="A34" s="16">
        <v>20</v>
      </c>
      <c r="B34" s="4" t="s">
        <v>242</v>
      </c>
      <c r="C34" s="4" t="s">
        <v>141</v>
      </c>
      <c r="D34" s="16"/>
      <c r="E34" s="13">
        <v>145872.81999999998</v>
      </c>
      <c r="F34" s="13">
        <v>0</v>
      </c>
      <c r="G34" s="13">
        <v>0</v>
      </c>
      <c r="H34" s="13">
        <f t="shared" si="10"/>
        <v>145872.81999999998</v>
      </c>
      <c r="I34" s="13">
        <f>+'[2]Labor Summary'!N18</f>
        <v>0</v>
      </c>
      <c r="J34" s="13">
        <f t="shared" si="11"/>
        <v>145872.81999999998</v>
      </c>
      <c r="K34" s="153">
        <v>1</v>
      </c>
      <c r="L34" s="104">
        <f t="shared" si="12"/>
        <v>145872.81999999998</v>
      </c>
      <c r="M34" s="13"/>
      <c r="N34" s="16"/>
      <c r="O34" s="13">
        <f>ROUND(+'[1]Total Labor Summary'!C17+'[2]Labor Summary'!D18,2)</f>
        <v>145872.82</v>
      </c>
      <c r="P34" s="13">
        <f>ROUND(+'[1]Total Labor Summary'!D17+'[2]Labor Summary'!E18,2)</f>
        <v>0</v>
      </c>
      <c r="Q34" s="13">
        <f>ROUND(+'[1]Total Labor Summary'!E17+'[2]Labor Summary'!F18,2)</f>
        <v>0</v>
      </c>
      <c r="R34" s="13">
        <f t="shared" si="18"/>
        <v>145872.82</v>
      </c>
      <c r="S34" s="13">
        <f>ROUND(+'[1]Total Labor Summary'!G17+'[2]Labor Summary'!H18,2)</f>
        <v>0</v>
      </c>
      <c r="T34" s="13">
        <f>ROUND(+'[1]Total Labor Summary'!H17+'[2]Labor Summary'!I18,2)</f>
        <v>0</v>
      </c>
      <c r="U34" s="13">
        <f t="shared" si="19"/>
        <v>0</v>
      </c>
      <c r="V34" s="13">
        <f>ROUND(+'[1]Total Labor Summary'!J17+'[2]Labor Summary'!K18,2)</f>
        <v>0</v>
      </c>
      <c r="W34" s="13">
        <f>ROUND(+'[1]Total Labor Summary'!K17+'[2]Labor Summary'!L18,2)</f>
        <v>0</v>
      </c>
      <c r="X34" s="20">
        <f t="shared" si="15"/>
        <v>145872.82</v>
      </c>
      <c r="Y34" s="4" t="b">
        <f t="shared" si="16"/>
        <v>1</v>
      </c>
      <c r="Z34" s="169">
        <f t="shared" si="17"/>
        <v>0</v>
      </c>
    </row>
    <row r="35" spans="1:27" s="4" customFormat="1" ht="15" customHeight="1">
      <c r="A35" s="16">
        <v>21</v>
      </c>
      <c r="D35" s="16"/>
      <c r="E35" s="123"/>
      <c r="F35" s="123"/>
      <c r="G35" s="123"/>
      <c r="H35" s="123"/>
      <c r="I35" s="123"/>
      <c r="J35" s="123"/>
      <c r="K35" s="153"/>
      <c r="L35" s="123"/>
      <c r="M35" s="13"/>
      <c r="N35" s="16"/>
      <c r="O35" s="123"/>
      <c r="P35" s="123"/>
      <c r="Q35" s="123"/>
      <c r="R35" s="123"/>
      <c r="S35" s="125"/>
      <c r="T35" s="125"/>
      <c r="U35" s="125"/>
      <c r="V35" s="125"/>
      <c r="W35" s="125">
        <v>0</v>
      </c>
      <c r="X35" s="125"/>
    </row>
    <row r="36" spans="1:27" s="8" customFormat="1" ht="15" customHeight="1">
      <c r="A36" s="16">
        <v>22</v>
      </c>
      <c r="B36" s="4"/>
      <c r="C36" s="22" t="s">
        <v>55</v>
      </c>
      <c r="D36" s="16"/>
      <c r="E36" s="176">
        <f t="shared" ref="E36:J36" si="20">SUM(E29:E34)</f>
        <v>5340963.34</v>
      </c>
      <c r="F36" s="176">
        <f t="shared" si="20"/>
        <v>0</v>
      </c>
      <c r="G36" s="176">
        <f t="shared" si="20"/>
        <v>0</v>
      </c>
      <c r="H36" s="176">
        <f t="shared" si="20"/>
        <v>5340963.34</v>
      </c>
      <c r="I36" s="176">
        <f t="shared" si="20"/>
        <v>0</v>
      </c>
      <c r="J36" s="176">
        <f t="shared" si="20"/>
        <v>5340963.34</v>
      </c>
      <c r="K36" s="176"/>
      <c r="L36" s="176">
        <f>SUM(L29:L34)</f>
        <v>5340963.34</v>
      </c>
      <c r="M36" s="176"/>
      <c r="N36" s="176"/>
      <c r="O36" s="176">
        <f t="shared" ref="O36" si="21">SUM(O29:O34)</f>
        <v>5235256.91</v>
      </c>
      <c r="P36" s="176">
        <f t="shared" ref="P36:X36" si="22">SUM(P29:P34)</f>
        <v>0</v>
      </c>
      <c r="Q36" s="176">
        <f t="shared" si="22"/>
        <v>0</v>
      </c>
      <c r="R36" s="176">
        <f t="shared" si="22"/>
        <v>5235256.91</v>
      </c>
      <c r="S36" s="176">
        <f t="shared" si="22"/>
        <v>105706.43</v>
      </c>
      <c r="T36" s="176">
        <f t="shared" si="22"/>
        <v>0</v>
      </c>
      <c r="U36" s="176">
        <f t="shared" si="22"/>
        <v>105706.43</v>
      </c>
      <c r="V36" s="176">
        <f t="shared" si="22"/>
        <v>0</v>
      </c>
      <c r="W36" s="176">
        <f t="shared" si="22"/>
        <v>0</v>
      </c>
      <c r="X36" s="176">
        <f t="shared" si="22"/>
        <v>5340963.34</v>
      </c>
      <c r="Y36" s="4" t="b">
        <f>ROUND(X36,2)=ROUND(L36,2)</f>
        <v>1</v>
      </c>
      <c r="Z36" s="169">
        <f>+L36-X36</f>
        <v>0</v>
      </c>
    </row>
    <row r="37" spans="1:27" s="4" customFormat="1" ht="15" customHeight="1">
      <c r="A37" s="16">
        <v>23</v>
      </c>
      <c r="B37" s="8"/>
      <c r="C37" s="22"/>
      <c r="D37" s="18"/>
      <c r="E37" s="13"/>
      <c r="F37" s="13"/>
      <c r="G37" s="13"/>
      <c r="H37" s="13"/>
      <c r="I37" s="13"/>
      <c r="J37" s="13"/>
      <c r="K37" s="153"/>
      <c r="L37" s="16"/>
      <c r="M37" s="13"/>
      <c r="N37" s="16"/>
      <c r="O37" s="13"/>
      <c r="P37" s="13"/>
      <c r="Q37" s="13"/>
      <c r="R37" s="13"/>
      <c r="S37" s="13"/>
      <c r="T37" s="13"/>
      <c r="U37" s="13"/>
      <c r="V37" s="13"/>
      <c r="W37" s="13"/>
      <c r="X37" s="13"/>
    </row>
    <row r="38" spans="1:27" s="8" customFormat="1" ht="15" customHeight="1">
      <c r="A38" s="16">
        <v>24</v>
      </c>
      <c r="B38" s="8" t="s">
        <v>123</v>
      </c>
      <c r="D38" s="18" t="s">
        <v>305</v>
      </c>
      <c r="E38" s="176">
        <f t="shared" ref="E38:J38" si="23">+E26+E36</f>
        <v>52259994.999999985</v>
      </c>
      <c r="F38" s="176">
        <f t="shared" si="23"/>
        <v>0</v>
      </c>
      <c r="G38" s="176">
        <f t="shared" si="23"/>
        <v>0</v>
      </c>
      <c r="H38" s="176">
        <f t="shared" si="23"/>
        <v>52259994.999999985</v>
      </c>
      <c r="I38" s="176">
        <f t="shared" si="23"/>
        <v>5755084.3099999996</v>
      </c>
      <c r="J38" s="176">
        <f t="shared" si="23"/>
        <v>58015079.309999987</v>
      </c>
      <c r="K38" s="176"/>
      <c r="L38" s="176">
        <f>+L26+L36</f>
        <v>58015079.309999987</v>
      </c>
      <c r="M38" s="176"/>
      <c r="N38" s="176"/>
      <c r="O38" s="176">
        <f t="shared" ref="O38" si="24">+O26+O36</f>
        <v>57420989.030000001</v>
      </c>
      <c r="P38" s="176">
        <f t="shared" ref="P38:X38" si="25">+P26+P36</f>
        <v>0</v>
      </c>
      <c r="Q38" s="176">
        <f t="shared" si="25"/>
        <v>0</v>
      </c>
      <c r="R38" s="176">
        <f t="shared" si="25"/>
        <v>57420989.030000001</v>
      </c>
      <c r="S38" s="176">
        <f t="shared" si="25"/>
        <v>594090.28</v>
      </c>
      <c r="T38" s="176">
        <f t="shared" si="25"/>
        <v>0</v>
      </c>
      <c r="U38" s="176">
        <f t="shared" si="25"/>
        <v>594090.28</v>
      </c>
      <c r="V38" s="176">
        <f t="shared" si="25"/>
        <v>0</v>
      </c>
      <c r="W38" s="176">
        <f t="shared" si="25"/>
        <v>0</v>
      </c>
      <c r="X38" s="176">
        <f t="shared" si="25"/>
        <v>58015079.310000002</v>
      </c>
      <c r="Y38" s="4" t="b">
        <f>ROUND(X38,2)=ROUND(L38,2)</f>
        <v>1</v>
      </c>
      <c r="Z38" s="169">
        <f>+L38-X38</f>
        <v>0</v>
      </c>
      <c r="AA38" s="303">
        <v>0.14909926157742481</v>
      </c>
    </row>
    <row r="39" spans="1:27" s="4" customFormat="1" ht="15" customHeight="1">
      <c r="A39" s="16">
        <v>25</v>
      </c>
      <c r="B39" s="8"/>
      <c r="C39" s="8"/>
      <c r="D39" s="18"/>
      <c r="E39" s="13"/>
      <c r="F39" s="13"/>
      <c r="G39" s="13"/>
      <c r="H39" s="13"/>
      <c r="I39" s="13"/>
      <c r="J39" s="13"/>
      <c r="K39" s="153"/>
      <c r="L39" s="16"/>
      <c r="M39" s="13"/>
      <c r="N39" s="16"/>
      <c r="O39" s="13"/>
      <c r="P39" s="13"/>
      <c r="Q39" s="13"/>
      <c r="R39" s="13"/>
      <c r="S39" s="13"/>
      <c r="T39" s="13"/>
      <c r="U39" s="13"/>
      <c r="V39" s="13"/>
      <c r="W39" s="13">
        <v>0</v>
      </c>
    </row>
    <row r="40" spans="1:27" s="8" customFormat="1" ht="15" customHeight="1">
      <c r="A40" s="16">
        <v>26</v>
      </c>
      <c r="D40" s="18"/>
      <c r="E40" s="19"/>
      <c r="F40" s="19"/>
      <c r="G40" s="19"/>
      <c r="H40" s="19"/>
      <c r="I40" s="19"/>
      <c r="J40" s="19"/>
      <c r="K40" s="154"/>
      <c r="L40" s="25"/>
      <c r="M40" s="19"/>
      <c r="N40" s="18"/>
      <c r="O40" s="19"/>
      <c r="P40" s="19"/>
      <c r="Q40" s="19"/>
      <c r="R40" s="19"/>
      <c r="S40" s="19"/>
      <c r="T40" s="19"/>
      <c r="U40" s="19"/>
      <c r="V40" s="19"/>
      <c r="W40" s="19">
        <v>0</v>
      </c>
    </row>
    <row r="41" spans="1:27" s="8" customFormat="1" ht="15" customHeight="1">
      <c r="A41" s="16">
        <v>27</v>
      </c>
      <c r="B41" s="8" t="s">
        <v>35</v>
      </c>
      <c r="D41" s="18"/>
      <c r="E41" s="19"/>
      <c r="F41" s="19"/>
      <c r="G41" s="19"/>
      <c r="H41" s="19"/>
      <c r="I41" s="19"/>
      <c r="J41" s="19"/>
      <c r="K41" s="154"/>
      <c r="L41" s="25"/>
      <c r="M41" s="19"/>
      <c r="N41" s="58"/>
      <c r="O41" s="19"/>
      <c r="P41" s="19"/>
      <c r="Q41" s="19"/>
      <c r="R41" s="19"/>
      <c r="S41" s="19"/>
      <c r="T41" s="19"/>
      <c r="U41" s="19"/>
      <c r="V41" s="19"/>
      <c r="W41" s="19">
        <v>0</v>
      </c>
    </row>
    <row r="42" spans="1:27" s="4" customFormat="1" ht="15" customHeight="1">
      <c r="A42" s="16">
        <v>28</v>
      </c>
      <c r="B42" s="8"/>
      <c r="C42" s="15" t="s">
        <v>226</v>
      </c>
      <c r="D42" s="18" t="s">
        <v>305</v>
      </c>
      <c r="E42" s="13"/>
      <c r="F42" s="13"/>
      <c r="G42" s="13"/>
      <c r="H42" s="13"/>
      <c r="I42" s="13"/>
      <c r="J42" s="13"/>
      <c r="K42" s="153"/>
      <c r="L42" s="16"/>
      <c r="M42" s="13"/>
      <c r="N42" s="24"/>
      <c r="O42" s="13"/>
      <c r="P42" s="13"/>
      <c r="Q42" s="13"/>
      <c r="R42" s="13"/>
      <c r="S42" s="20"/>
      <c r="T42" s="20"/>
      <c r="U42" s="20"/>
      <c r="V42" s="20"/>
      <c r="W42" s="20">
        <v>0</v>
      </c>
      <c r="X42" s="20"/>
    </row>
    <row r="43" spans="1:27" s="4" customFormat="1" ht="15" customHeight="1">
      <c r="A43" s="16">
        <v>29</v>
      </c>
      <c r="B43" s="4" t="s">
        <v>249</v>
      </c>
      <c r="C43" s="4" t="s">
        <v>369</v>
      </c>
      <c r="D43" s="16"/>
      <c r="E43" s="150">
        <v>9067234.5899999999</v>
      </c>
      <c r="F43" s="150">
        <v>0</v>
      </c>
      <c r="G43" s="150">
        <v>0</v>
      </c>
      <c r="H43" s="150">
        <f t="shared" ref="H43:H52" si="26">+E43-F43+G43</f>
        <v>9067234.5899999999</v>
      </c>
      <c r="I43" s="150">
        <f>+'[2]Labor Summary'!N21</f>
        <v>0</v>
      </c>
      <c r="J43" s="150">
        <f t="shared" ref="J43:J52" si="27">+H43+I43</f>
        <v>9067234.5899999999</v>
      </c>
      <c r="K43" s="153">
        <v>1</v>
      </c>
      <c r="L43" s="150">
        <f t="shared" ref="L43:L52" si="28">+J43*K43</f>
        <v>9067234.5899999999</v>
      </c>
      <c r="M43" s="13"/>
      <c r="N43" s="16"/>
      <c r="O43" s="150">
        <f>+'[1]Total Labor Summary'!C20+'[2]Labor Summary'!D21</f>
        <v>46359.29</v>
      </c>
      <c r="P43" s="150">
        <f>+'[1]Total Labor Summary'!D20+'[2]Labor Summary'!E21</f>
        <v>0</v>
      </c>
      <c r="Q43" s="150">
        <f>+'[1]Total Labor Summary'!E20+'[2]Labor Summary'!F21</f>
        <v>0</v>
      </c>
      <c r="R43" s="150">
        <f t="shared" ref="R43" si="29">SUM(O43:Q43)</f>
        <v>46359.29</v>
      </c>
      <c r="S43" s="150">
        <f>+'[1]Total Labor Summary'!G20+'[2]Labor Summary'!H21</f>
        <v>8430729.4500000011</v>
      </c>
      <c r="T43" s="150">
        <f>+'[1]Total Labor Summary'!H20+'[2]Labor Summary'!I21</f>
        <v>0</v>
      </c>
      <c r="U43" s="150">
        <f t="shared" ref="U43" si="30">SUM(S43:T43)</f>
        <v>8430729.4500000011</v>
      </c>
      <c r="V43" s="150">
        <f>+'[1]Total Labor Summary'!J20+'[2]Labor Summary'!K21</f>
        <v>550312.69999999995</v>
      </c>
      <c r="W43" s="150">
        <f>+'[1]Total Labor Summary'!K20+'[2]Labor Summary'!L21</f>
        <v>39833.15</v>
      </c>
      <c r="X43" s="150">
        <f t="shared" ref="X43:X52" si="31">+R43+U43+V43+W43</f>
        <v>9067234.5899999999</v>
      </c>
      <c r="Y43" s="4" t="b">
        <f t="shared" ref="Y43:Y52" si="32">ROUND(X43,2)=ROUND(L43,2)</f>
        <v>1</v>
      </c>
      <c r="Z43" s="169">
        <f t="shared" ref="Z43:Z52" si="33">+L43-X43</f>
        <v>0</v>
      </c>
    </row>
    <row r="44" spans="1:27" s="4" customFormat="1" ht="15" customHeight="1">
      <c r="A44" s="16">
        <v>30</v>
      </c>
      <c r="B44" s="4" t="s">
        <v>243</v>
      </c>
      <c r="C44" s="4" t="s">
        <v>145</v>
      </c>
      <c r="D44" s="16"/>
      <c r="E44" s="13">
        <v>12872276.280000001</v>
      </c>
      <c r="F44" s="13">
        <v>0</v>
      </c>
      <c r="G44" s="13">
        <v>0</v>
      </c>
      <c r="H44" s="13">
        <f t="shared" si="26"/>
        <v>12872276.280000001</v>
      </c>
      <c r="I44" s="13">
        <f>+'[2]Labor Summary'!N22</f>
        <v>0</v>
      </c>
      <c r="J44" s="13">
        <f t="shared" si="27"/>
        <v>12872276.280000001</v>
      </c>
      <c r="K44" s="153">
        <v>1</v>
      </c>
      <c r="L44" s="104">
        <f t="shared" si="28"/>
        <v>12872276.280000001</v>
      </c>
      <c r="M44" s="13"/>
      <c r="N44" s="16"/>
      <c r="O44" s="13">
        <f>+'[1]Total Labor Summary'!C21+'[2]Labor Summary'!D22</f>
        <v>0</v>
      </c>
      <c r="P44" s="13">
        <f>+'[1]Total Labor Summary'!D21+'[2]Labor Summary'!E22</f>
        <v>0</v>
      </c>
      <c r="Q44" s="13">
        <f>+'[1]Total Labor Summary'!E21+'[2]Labor Summary'!F22</f>
        <v>0</v>
      </c>
      <c r="R44" s="13">
        <f t="shared" ref="R44:R52" si="34">SUM(O44:Q44)</f>
        <v>0</v>
      </c>
      <c r="S44" s="13">
        <f>+'[1]Total Labor Summary'!G21+'[2]Labor Summary'!H22</f>
        <v>12872276.280000001</v>
      </c>
      <c r="T44" s="13">
        <f>+'[1]Total Labor Summary'!H21+'[2]Labor Summary'!I22</f>
        <v>0</v>
      </c>
      <c r="U44" s="13">
        <f t="shared" ref="U44:U52" si="35">SUM(S44:T44)</f>
        <v>12872276.280000001</v>
      </c>
      <c r="V44" s="13">
        <f>+'[1]Total Labor Summary'!J21+'[2]Labor Summary'!K22</f>
        <v>0</v>
      </c>
      <c r="W44" s="13">
        <f>+'[1]Total Labor Summary'!K21+'[2]Labor Summary'!L22</f>
        <v>0</v>
      </c>
      <c r="X44" s="20">
        <f t="shared" si="31"/>
        <v>12872276.280000001</v>
      </c>
      <c r="Y44" s="4" t="b">
        <f t="shared" si="32"/>
        <v>1</v>
      </c>
      <c r="Z44" s="169">
        <f t="shared" si="33"/>
        <v>0</v>
      </c>
    </row>
    <row r="45" spans="1:27" s="4" customFormat="1" ht="15" customHeight="1">
      <c r="A45" s="16">
        <v>31</v>
      </c>
      <c r="B45" s="4" t="s">
        <v>244</v>
      </c>
      <c r="C45" s="4" t="s">
        <v>370</v>
      </c>
      <c r="D45" s="16"/>
      <c r="E45" s="13">
        <v>3146584.1</v>
      </c>
      <c r="F45" s="13">
        <v>0</v>
      </c>
      <c r="G45" s="13">
        <v>0</v>
      </c>
      <c r="H45" s="13">
        <f t="shared" si="26"/>
        <v>3146584.1</v>
      </c>
      <c r="I45" s="13">
        <f>+'[2]Labor Summary'!N23</f>
        <v>0</v>
      </c>
      <c r="J45" s="13">
        <f t="shared" si="27"/>
        <v>3146584.1</v>
      </c>
      <c r="K45" s="153">
        <v>1</v>
      </c>
      <c r="L45" s="104">
        <f t="shared" si="28"/>
        <v>3146584.1</v>
      </c>
      <c r="M45" s="13"/>
      <c r="N45" s="16"/>
      <c r="O45" s="13">
        <f>+'[1]Total Labor Summary'!C22+'[2]Labor Summary'!D23</f>
        <v>33258.869999999988</v>
      </c>
      <c r="P45" s="13">
        <f>+'[1]Total Labor Summary'!D22+'[2]Labor Summary'!E23</f>
        <v>0</v>
      </c>
      <c r="Q45" s="13">
        <f>+'[1]Total Labor Summary'!E22+'[2]Labor Summary'!F23</f>
        <v>0</v>
      </c>
      <c r="R45" s="13">
        <f t="shared" si="34"/>
        <v>33258.869999999988</v>
      </c>
      <c r="S45" s="13">
        <f>+'[1]Total Labor Summary'!G22+'[2]Labor Summary'!H23</f>
        <v>3113325.23</v>
      </c>
      <c r="T45" s="13">
        <f>+'[1]Total Labor Summary'!H22+'[2]Labor Summary'!I23</f>
        <v>0</v>
      </c>
      <c r="U45" s="13">
        <f t="shared" si="35"/>
        <v>3113325.23</v>
      </c>
      <c r="V45" s="13">
        <f>+'[1]Total Labor Summary'!J22+'[2]Labor Summary'!K23</f>
        <v>0</v>
      </c>
      <c r="W45" s="13">
        <f>+'[1]Total Labor Summary'!K22+'[2]Labor Summary'!L23</f>
        <v>0</v>
      </c>
      <c r="X45" s="20">
        <f t="shared" si="31"/>
        <v>3146584.1</v>
      </c>
      <c r="Y45" s="4" t="b">
        <f t="shared" si="32"/>
        <v>1</v>
      </c>
      <c r="Z45" s="169">
        <f t="shared" si="33"/>
        <v>0</v>
      </c>
    </row>
    <row r="46" spans="1:27" s="4" customFormat="1" ht="15" customHeight="1">
      <c r="A46" s="16">
        <v>32</v>
      </c>
      <c r="B46" s="4" t="s">
        <v>155</v>
      </c>
      <c r="C46" s="4" t="s">
        <v>371</v>
      </c>
      <c r="D46" s="16"/>
      <c r="E46" s="13">
        <v>4023091.5499999519</v>
      </c>
      <c r="F46" s="13">
        <v>0</v>
      </c>
      <c r="G46" s="13">
        <v>0</v>
      </c>
      <c r="H46" s="13">
        <f t="shared" si="26"/>
        <v>4023091.5499999519</v>
      </c>
      <c r="I46" s="13">
        <f>+'[2]Labor Summary'!N24</f>
        <v>0</v>
      </c>
      <c r="J46" s="13">
        <f t="shared" si="27"/>
        <v>4023091.5499999519</v>
      </c>
      <c r="K46" s="153">
        <v>1</v>
      </c>
      <c r="L46" s="104">
        <f t="shared" si="28"/>
        <v>4023091.5499999519</v>
      </c>
      <c r="M46" s="13"/>
      <c r="N46" s="16"/>
      <c r="O46" s="13">
        <f>+'[1]Total Labor Summary'!C23+'[2]Labor Summary'!D24</f>
        <v>0</v>
      </c>
      <c r="P46" s="13">
        <f>+'[1]Total Labor Summary'!D23+'[2]Labor Summary'!E24</f>
        <v>0</v>
      </c>
      <c r="Q46" s="13">
        <f>+'[1]Total Labor Summary'!E23+'[2]Labor Summary'!F24</f>
        <v>0</v>
      </c>
      <c r="R46" s="13">
        <f t="shared" si="34"/>
        <v>0</v>
      </c>
      <c r="S46" s="13">
        <f>+'[1]Total Labor Summary'!G23+'[2]Labor Summary'!H24</f>
        <v>4010911.3399999519</v>
      </c>
      <c r="T46" s="13">
        <f>+'[1]Total Labor Summary'!H23+'[2]Labor Summary'!I24</f>
        <v>0</v>
      </c>
      <c r="U46" s="13">
        <f t="shared" si="35"/>
        <v>4010911.3399999519</v>
      </c>
      <c r="V46" s="13">
        <f>+'[1]Total Labor Summary'!J23+'[2]Labor Summary'!K24</f>
        <v>12180.209999999995</v>
      </c>
      <c r="W46" s="13">
        <f>+'[1]Total Labor Summary'!K23+'[2]Labor Summary'!L24</f>
        <v>0</v>
      </c>
      <c r="X46" s="20">
        <f t="shared" si="31"/>
        <v>4023091.5499999519</v>
      </c>
      <c r="Y46" s="4" t="b">
        <f t="shared" si="32"/>
        <v>1</v>
      </c>
      <c r="Z46" s="169">
        <f t="shared" si="33"/>
        <v>0</v>
      </c>
    </row>
    <row r="47" spans="1:27" s="4" customFormat="1" ht="15" customHeight="1">
      <c r="A47" s="16">
        <v>33</v>
      </c>
      <c r="B47" s="4" t="s">
        <v>245</v>
      </c>
      <c r="C47" s="4" t="s">
        <v>372</v>
      </c>
      <c r="D47" s="16"/>
      <c r="E47" s="13">
        <v>4523584.7799999909</v>
      </c>
      <c r="F47" s="13">
        <v>0</v>
      </c>
      <c r="G47" s="13">
        <v>0</v>
      </c>
      <c r="H47" s="13">
        <f t="shared" si="26"/>
        <v>4523584.7799999909</v>
      </c>
      <c r="I47" s="13">
        <f>+'[2]Labor Summary'!N25</f>
        <v>0</v>
      </c>
      <c r="J47" s="13">
        <f t="shared" si="27"/>
        <v>4523584.7799999909</v>
      </c>
      <c r="K47" s="153">
        <v>1</v>
      </c>
      <c r="L47" s="104">
        <f t="shared" si="28"/>
        <v>4523584.7799999909</v>
      </c>
      <c r="M47" s="13"/>
      <c r="N47" s="16"/>
      <c r="O47" s="13">
        <f>+'[1]Total Labor Summary'!C24+'[2]Labor Summary'!D25</f>
        <v>0</v>
      </c>
      <c r="P47" s="13">
        <f>+'[1]Total Labor Summary'!D24+'[2]Labor Summary'!E25</f>
        <v>0</v>
      </c>
      <c r="Q47" s="13">
        <f>+'[1]Total Labor Summary'!E24+'[2]Labor Summary'!F25</f>
        <v>0</v>
      </c>
      <c r="R47" s="13">
        <f t="shared" si="34"/>
        <v>0</v>
      </c>
      <c r="S47" s="13">
        <f>+'[1]Total Labor Summary'!G24+'[2]Labor Summary'!H25</f>
        <v>4506617.859999991</v>
      </c>
      <c r="T47" s="13">
        <f>+'[1]Total Labor Summary'!H24+'[2]Labor Summary'!I25</f>
        <v>0</v>
      </c>
      <c r="U47" s="13">
        <f t="shared" si="35"/>
        <v>4506617.859999991</v>
      </c>
      <c r="V47" s="13">
        <f>+'[1]Total Labor Summary'!J24+'[2]Labor Summary'!K25</f>
        <v>16966.920000000002</v>
      </c>
      <c r="W47" s="13">
        <f>+'[1]Total Labor Summary'!K24+'[2]Labor Summary'!L25</f>
        <v>0</v>
      </c>
      <c r="X47" s="20">
        <f t="shared" si="31"/>
        <v>4523584.7799999909</v>
      </c>
      <c r="Y47" s="4" t="b">
        <f t="shared" si="32"/>
        <v>1</v>
      </c>
      <c r="Z47" s="169">
        <f t="shared" si="33"/>
        <v>0</v>
      </c>
    </row>
    <row r="48" spans="1:27" s="4" customFormat="1" ht="15" customHeight="1">
      <c r="A48" s="16">
        <v>34</v>
      </c>
      <c r="B48" s="4" t="s">
        <v>279</v>
      </c>
      <c r="C48" s="4" t="s">
        <v>142</v>
      </c>
      <c r="D48" s="16"/>
      <c r="E48" s="13">
        <v>0</v>
      </c>
      <c r="F48" s="13">
        <v>0</v>
      </c>
      <c r="G48" s="13">
        <v>0</v>
      </c>
      <c r="H48" s="13">
        <f t="shared" si="26"/>
        <v>0</v>
      </c>
      <c r="I48" s="13">
        <f>+'[2]Labor Summary'!N26</f>
        <v>0</v>
      </c>
      <c r="J48" s="13">
        <f t="shared" si="27"/>
        <v>0</v>
      </c>
      <c r="K48" s="153">
        <v>1</v>
      </c>
      <c r="L48" s="104">
        <f t="shared" si="28"/>
        <v>0</v>
      </c>
      <c r="M48" s="13"/>
      <c r="N48" s="16"/>
      <c r="O48" s="13">
        <f>+'[1]Total Labor Summary'!C25+'[2]Labor Summary'!D26</f>
        <v>0</v>
      </c>
      <c r="P48" s="13">
        <f>+'[1]Total Labor Summary'!D25+'[2]Labor Summary'!E26</f>
        <v>0</v>
      </c>
      <c r="Q48" s="13">
        <f>+'[1]Total Labor Summary'!E25+'[2]Labor Summary'!F26</f>
        <v>0</v>
      </c>
      <c r="R48" s="13">
        <f t="shared" si="34"/>
        <v>0</v>
      </c>
      <c r="S48" s="13">
        <f>+'[1]Total Labor Summary'!G25+'[2]Labor Summary'!H26</f>
        <v>0</v>
      </c>
      <c r="T48" s="13">
        <f>+'[1]Total Labor Summary'!H25+'[2]Labor Summary'!I26</f>
        <v>0</v>
      </c>
      <c r="U48" s="13">
        <f t="shared" si="35"/>
        <v>0</v>
      </c>
      <c r="V48" s="13">
        <f>+'[1]Total Labor Summary'!J25+'[2]Labor Summary'!K26</f>
        <v>0</v>
      </c>
      <c r="W48" s="13">
        <f>+'[1]Total Labor Summary'!K25+'[2]Labor Summary'!L26</f>
        <v>0</v>
      </c>
      <c r="X48" s="20">
        <f t="shared" si="31"/>
        <v>0</v>
      </c>
      <c r="Y48" s="4" t="b">
        <f t="shared" si="32"/>
        <v>1</v>
      </c>
      <c r="Z48" s="169">
        <f t="shared" si="33"/>
        <v>0</v>
      </c>
    </row>
    <row r="49" spans="1:26" s="4" customFormat="1" ht="15" customHeight="1">
      <c r="A49" s="16">
        <v>35</v>
      </c>
      <c r="B49" s="4" t="s">
        <v>246</v>
      </c>
      <c r="C49" s="4" t="s">
        <v>144</v>
      </c>
      <c r="D49" s="16"/>
      <c r="E49" s="13">
        <v>12456801.770000009</v>
      </c>
      <c r="F49" s="13">
        <v>0</v>
      </c>
      <c r="G49" s="13">
        <v>0</v>
      </c>
      <c r="H49" s="13">
        <f t="shared" si="26"/>
        <v>12456801.770000009</v>
      </c>
      <c r="I49" s="13">
        <f>+'[2]Labor Summary'!N27</f>
        <v>0</v>
      </c>
      <c r="J49" s="13">
        <f t="shared" si="27"/>
        <v>12456801.770000009</v>
      </c>
      <c r="K49" s="153">
        <v>1</v>
      </c>
      <c r="L49" s="104">
        <f t="shared" si="28"/>
        <v>12456801.770000009</v>
      </c>
      <c r="M49" s="13"/>
      <c r="N49" s="16"/>
      <c r="O49" s="13">
        <f>+'[1]Total Labor Summary'!C26+'[2]Labor Summary'!D27</f>
        <v>0</v>
      </c>
      <c r="P49" s="13">
        <f>+'[1]Total Labor Summary'!D26+'[2]Labor Summary'!E27</f>
        <v>0</v>
      </c>
      <c r="Q49" s="13">
        <f>+'[1]Total Labor Summary'!E26+'[2]Labor Summary'!F27</f>
        <v>0</v>
      </c>
      <c r="R49" s="13">
        <f t="shared" si="34"/>
        <v>0</v>
      </c>
      <c r="S49" s="13">
        <f>+'[1]Total Labor Summary'!G26+'[2]Labor Summary'!H27</f>
        <v>0</v>
      </c>
      <c r="T49" s="13">
        <f>+'[1]Total Labor Summary'!H26+'[2]Labor Summary'!I27</f>
        <v>0</v>
      </c>
      <c r="U49" s="13">
        <f t="shared" si="35"/>
        <v>0</v>
      </c>
      <c r="V49" s="13">
        <f>+'[1]Total Labor Summary'!J26+'[2]Labor Summary'!K27</f>
        <v>12456801.770000009</v>
      </c>
      <c r="W49" s="13">
        <f>+'[1]Total Labor Summary'!K26+'[2]Labor Summary'!L27</f>
        <v>0</v>
      </c>
      <c r="X49" s="20">
        <f t="shared" si="31"/>
        <v>12456801.770000009</v>
      </c>
      <c r="Y49" s="4" t="b">
        <f t="shared" si="32"/>
        <v>1</v>
      </c>
      <c r="Z49" s="169">
        <f t="shared" si="33"/>
        <v>0</v>
      </c>
    </row>
    <row r="50" spans="1:26" s="4" customFormat="1" ht="15" customHeight="1">
      <c r="A50" s="16">
        <v>36</v>
      </c>
      <c r="B50" s="4" t="s">
        <v>247</v>
      </c>
      <c r="C50" s="4" t="s">
        <v>143</v>
      </c>
      <c r="D50" s="16"/>
      <c r="E50" s="13">
        <v>2034184.280000001</v>
      </c>
      <c r="F50" s="13">
        <v>0</v>
      </c>
      <c r="G50" s="13">
        <v>0</v>
      </c>
      <c r="H50" s="13">
        <f t="shared" si="26"/>
        <v>2034184.280000001</v>
      </c>
      <c r="I50" s="13">
        <f>+'[2]Labor Summary'!N28</f>
        <v>0</v>
      </c>
      <c r="J50" s="13">
        <f t="shared" si="27"/>
        <v>2034184.280000001</v>
      </c>
      <c r="K50" s="153">
        <v>1</v>
      </c>
      <c r="L50" s="104">
        <f t="shared" si="28"/>
        <v>2034184.280000001</v>
      </c>
      <c r="M50" s="13"/>
      <c r="N50" s="16"/>
      <c r="O50" s="13">
        <f>+'[1]Total Labor Summary'!C27+'[2]Labor Summary'!D28</f>
        <v>0</v>
      </c>
      <c r="P50" s="13">
        <f>+'[1]Total Labor Summary'!D27+'[2]Labor Summary'!E28</f>
        <v>0</v>
      </c>
      <c r="Q50" s="13">
        <f>+'[1]Total Labor Summary'!E27+'[2]Labor Summary'!F28</f>
        <v>0</v>
      </c>
      <c r="R50" s="13">
        <f t="shared" si="34"/>
        <v>0</v>
      </c>
      <c r="S50" s="13">
        <f>+'[1]Total Labor Summary'!G27+'[2]Labor Summary'!H28</f>
        <v>2034184.280000001</v>
      </c>
      <c r="T50" s="13">
        <f>+'[1]Total Labor Summary'!H27+'[2]Labor Summary'!I28</f>
        <v>0</v>
      </c>
      <c r="U50" s="13">
        <f t="shared" si="35"/>
        <v>2034184.280000001</v>
      </c>
      <c r="V50" s="13">
        <f>+'[1]Total Labor Summary'!J27+'[2]Labor Summary'!K28</f>
        <v>0</v>
      </c>
      <c r="W50" s="13">
        <f>+'[1]Total Labor Summary'!K27+'[2]Labor Summary'!L28</f>
        <v>0</v>
      </c>
      <c r="X50" s="20">
        <f t="shared" si="31"/>
        <v>2034184.280000001</v>
      </c>
      <c r="Y50" s="4" t="b">
        <f t="shared" si="32"/>
        <v>1</v>
      </c>
      <c r="Z50" s="169">
        <f t="shared" si="33"/>
        <v>0</v>
      </c>
    </row>
    <row r="51" spans="1:26" s="8" customFormat="1" ht="15" customHeight="1">
      <c r="A51" s="16">
        <v>37</v>
      </c>
      <c r="B51" s="4" t="s">
        <v>250</v>
      </c>
      <c r="C51" s="4" t="s">
        <v>146</v>
      </c>
      <c r="D51" s="16"/>
      <c r="E51" s="13">
        <v>43836049.040000029</v>
      </c>
      <c r="F51" s="13">
        <v>0</v>
      </c>
      <c r="G51" s="13">
        <v>0</v>
      </c>
      <c r="H51" s="13">
        <f t="shared" si="26"/>
        <v>43836049.040000029</v>
      </c>
      <c r="I51" s="13">
        <f>+'[2]Labor Summary'!N29</f>
        <v>15530655.01</v>
      </c>
      <c r="J51" s="13">
        <f t="shared" si="27"/>
        <v>59366704.050000027</v>
      </c>
      <c r="K51" s="153">
        <v>1</v>
      </c>
      <c r="L51" s="104">
        <f t="shared" si="28"/>
        <v>59366704.050000027</v>
      </c>
      <c r="M51" s="19"/>
      <c r="N51" s="16"/>
      <c r="O51" s="13">
        <f>+'[1]Total Labor Summary'!C28+'[2]Labor Summary'!D29</f>
        <v>12557.48</v>
      </c>
      <c r="P51" s="13">
        <f>+'[1]Total Labor Summary'!D28+'[2]Labor Summary'!E29</f>
        <v>0</v>
      </c>
      <c r="Q51" s="13">
        <f>+'[1]Total Labor Summary'!E28+'[2]Labor Summary'!F29</f>
        <v>0</v>
      </c>
      <c r="R51" s="13">
        <f t="shared" si="34"/>
        <v>12557.48</v>
      </c>
      <c r="S51" s="13">
        <f>+'[1]Total Labor Summary'!G28+'[2]Labor Summary'!H29</f>
        <v>59212445.600000031</v>
      </c>
      <c r="T51" s="13">
        <f>+'[1]Total Labor Summary'!H28+'[2]Labor Summary'!I29</f>
        <v>0</v>
      </c>
      <c r="U51" s="13">
        <f t="shared" si="35"/>
        <v>59212445.600000031</v>
      </c>
      <c r="V51" s="13">
        <f>+'[1]Total Labor Summary'!J28+'[2]Labor Summary'!K29</f>
        <v>85300.749999999985</v>
      </c>
      <c r="W51" s="13">
        <f>+'[1]Total Labor Summary'!K28+'[2]Labor Summary'!L29</f>
        <v>56400.22</v>
      </c>
      <c r="X51" s="20">
        <f t="shared" si="31"/>
        <v>59366704.050000027</v>
      </c>
      <c r="Y51" s="4" t="b">
        <f t="shared" si="32"/>
        <v>1</v>
      </c>
      <c r="Z51" s="169">
        <f t="shared" si="33"/>
        <v>0</v>
      </c>
    </row>
    <row r="52" spans="1:26" s="4" customFormat="1" ht="15" customHeight="1">
      <c r="A52" s="16">
        <v>38</v>
      </c>
      <c r="B52" s="4" t="s">
        <v>248</v>
      </c>
      <c r="C52" s="4" t="s">
        <v>227</v>
      </c>
      <c r="D52" s="16"/>
      <c r="E52" s="13">
        <v>0</v>
      </c>
      <c r="F52" s="13">
        <v>0</v>
      </c>
      <c r="G52" s="13">
        <v>0</v>
      </c>
      <c r="H52" s="13">
        <f t="shared" si="26"/>
        <v>0</v>
      </c>
      <c r="I52" s="13">
        <f>+'[2]Labor Summary'!N30</f>
        <v>0</v>
      </c>
      <c r="J52" s="13">
        <f t="shared" si="27"/>
        <v>0</v>
      </c>
      <c r="K52" s="153">
        <v>1</v>
      </c>
      <c r="L52" s="104">
        <f t="shared" si="28"/>
        <v>0</v>
      </c>
      <c r="M52" s="13"/>
      <c r="N52" s="16"/>
      <c r="O52" s="13">
        <f>+'[1]Total Labor Summary'!C29+'[2]Labor Summary'!D30</f>
        <v>0</v>
      </c>
      <c r="P52" s="13">
        <f>+'[1]Total Labor Summary'!D29+'[2]Labor Summary'!E30</f>
        <v>0</v>
      </c>
      <c r="Q52" s="13">
        <f>+'[1]Total Labor Summary'!E29+'[2]Labor Summary'!F30</f>
        <v>0</v>
      </c>
      <c r="R52" s="13">
        <f t="shared" si="34"/>
        <v>0</v>
      </c>
      <c r="S52" s="13">
        <f>+'[1]Total Labor Summary'!G29+'[2]Labor Summary'!H30</f>
        <v>0</v>
      </c>
      <c r="T52" s="13">
        <f>+'[1]Total Labor Summary'!H29+'[2]Labor Summary'!I30</f>
        <v>0</v>
      </c>
      <c r="U52" s="13">
        <f t="shared" si="35"/>
        <v>0</v>
      </c>
      <c r="V52" s="13">
        <f>+'[1]Total Labor Summary'!J29+'[2]Labor Summary'!K30</f>
        <v>0</v>
      </c>
      <c r="W52" s="13">
        <f>+'[1]Total Labor Summary'!K29+'[2]Labor Summary'!L30</f>
        <v>0</v>
      </c>
      <c r="X52" s="20">
        <f t="shared" si="31"/>
        <v>0</v>
      </c>
      <c r="Y52" s="4" t="b">
        <f t="shared" si="32"/>
        <v>1</v>
      </c>
      <c r="Z52" s="169">
        <f t="shared" si="33"/>
        <v>0</v>
      </c>
    </row>
    <row r="53" spans="1:26" s="4" customFormat="1" ht="15" customHeight="1">
      <c r="A53" s="16">
        <v>39</v>
      </c>
      <c r="D53" s="13"/>
      <c r="E53" s="123"/>
      <c r="F53" s="123"/>
      <c r="G53" s="123"/>
      <c r="H53" s="123"/>
      <c r="I53" s="123"/>
      <c r="J53" s="123"/>
      <c r="K53" s="153"/>
      <c r="L53" s="123"/>
      <c r="M53" s="13"/>
      <c r="N53" s="24"/>
      <c r="O53" s="123"/>
      <c r="P53" s="123"/>
      <c r="Q53" s="123"/>
      <c r="R53" s="123"/>
      <c r="S53" s="123"/>
      <c r="T53" s="123"/>
      <c r="U53" s="123"/>
      <c r="V53" s="123"/>
      <c r="W53" s="123">
        <v>0</v>
      </c>
      <c r="X53" s="123"/>
    </row>
    <row r="54" spans="1:26" s="8" customFormat="1" ht="15" customHeight="1">
      <c r="A54" s="16">
        <v>40</v>
      </c>
      <c r="B54" s="4"/>
      <c r="C54" s="22" t="s">
        <v>56</v>
      </c>
      <c r="D54" s="16"/>
      <c r="E54" s="176">
        <f t="shared" ref="E54:J54" si="36">SUM(E43:E52)</f>
        <v>91959806.389999986</v>
      </c>
      <c r="F54" s="176">
        <f t="shared" si="36"/>
        <v>0</v>
      </c>
      <c r="G54" s="176">
        <f t="shared" si="36"/>
        <v>0</v>
      </c>
      <c r="H54" s="176">
        <f t="shared" si="36"/>
        <v>91959806.389999986</v>
      </c>
      <c r="I54" s="176">
        <f>SUM(I43:I52)</f>
        <v>15530655.01</v>
      </c>
      <c r="J54" s="176">
        <f t="shared" si="36"/>
        <v>107490461.39999998</v>
      </c>
      <c r="K54" s="176"/>
      <c r="L54" s="176">
        <f>SUM(L43:L52)</f>
        <v>107490461.39999998</v>
      </c>
      <c r="M54" s="176"/>
      <c r="N54" s="176"/>
      <c r="O54" s="176">
        <f t="shared" ref="O54:X54" si="37">SUM(O43:O52)</f>
        <v>92175.639999999985</v>
      </c>
      <c r="P54" s="176">
        <f t="shared" si="37"/>
        <v>0</v>
      </c>
      <c r="Q54" s="176">
        <f t="shared" si="37"/>
        <v>0</v>
      </c>
      <c r="R54" s="176">
        <f t="shared" si="37"/>
        <v>92175.639999999985</v>
      </c>
      <c r="S54" s="176">
        <f t="shared" si="37"/>
        <v>94180490.039999977</v>
      </c>
      <c r="T54" s="176">
        <f t="shared" si="37"/>
        <v>0</v>
      </c>
      <c r="U54" s="176">
        <f t="shared" si="37"/>
        <v>94180490.039999977</v>
      </c>
      <c r="V54" s="176">
        <f t="shared" si="37"/>
        <v>13121562.350000009</v>
      </c>
      <c r="W54" s="176">
        <f t="shared" si="37"/>
        <v>96233.37</v>
      </c>
      <c r="X54" s="176">
        <f t="shared" si="37"/>
        <v>107490461.39999998</v>
      </c>
      <c r="Y54" s="4" t="b">
        <f>ROUND(X54,2)=ROUND(L54,2)</f>
        <v>1</v>
      </c>
      <c r="Z54" s="169">
        <f>+L54-X54</f>
        <v>0</v>
      </c>
    </row>
    <row r="55" spans="1:26" s="4" customFormat="1" ht="15" customHeight="1">
      <c r="A55" s="16">
        <v>41</v>
      </c>
      <c r="B55" s="15"/>
      <c r="C55" s="8"/>
      <c r="D55" s="18"/>
      <c r="E55" s="13"/>
      <c r="F55" s="13"/>
      <c r="G55" s="13"/>
      <c r="H55" s="13"/>
      <c r="I55" s="13"/>
      <c r="J55" s="13"/>
      <c r="K55" s="153"/>
      <c r="L55" s="13"/>
      <c r="M55" s="13"/>
      <c r="N55" s="24"/>
      <c r="O55" s="13"/>
      <c r="P55" s="13"/>
      <c r="Q55" s="13"/>
      <c r="R55" s="13"/>
      <c r="S55" s="13"/>
      <c r="T55" s="13"/>
      <c r="U55" s="13"/>
      <c r="V55" s="13"/>
      <c r="W55" s="13">
        <v>0</v>
      </c>
      <c r="X55" s="13"/>
    </row>
    <row r="56" spans="1:26" s="8" customFormat="1" ht="15" customHeight="1">
      <c r="A56" s="16">
        <v>42</v>
      </c>
      <c r="C56" s="15" t="s">
        <v>228</v>
      </c>
      <c r="D56" s="18" t="s">
        <v>305</v>
      </c>
      <c r="E56" s="19"/>
      <c r="F56" s="19"/>
      <c r="G56" s="19"/>
      <c r="H56" s="19"/>
      <c r="I56" s="19"/>
      <c r="J56" s="19"/>
      <c r="K56" s="154"/>
      <c r="L56" s="19"/>
      <c r="M56" s="19"/>
      <c r="N56" s="25"/>
      <c r="O56" s="19"/>
      <c r="P56" s="19"/>
      <c r="Q56" s="19"/>
      <c r="R56" s="19"/>
      <c r="S56" s="19"/>
      <c r="T56" s="19"/>
      <c r="U56" s="19"/>
      <c r="V56" s="19"/>
      <c r="W56" s="19">
        <v>0</v>
      </c>
      <c r="X56" s="19"/>
    </row>
    <row r="57" spans="1:26" s="4" customFormat="1" ht="15" customHeight="1">
      <c r="A57" s="16">
        <v>43</v>
      </c>
      <c r="B57" s="4" t="s">
        <v>256</v>
      </c>
      <c r="C57" s="4" t="s">
        <v>139</v>
      </c>
      <c r="D57" s="16"/>
      <c r="E57" s="150">
        <v>3087195.1700000009</v>
      </c>
      <c r="F57" s="150">
        <v>0</v>
      </c>
      <c r="G57" s="150">
        <v>0</v>
      </c>
      <c r="H57" s="150">
        <f t="shared" ref="H57:H65" si="38">+E57-F57+G57</f>
        <v>3087195.1700000009</v>
      </c>
      <c r="I57" s="150">
        <f>+'[2]Labor Summary'!N33</f>
        <v>0</v>
      </c>
      <c r="J57" s="150">
        <f t="shared" ref="J57:J65" si="39">+H57+I57</f>
        <v>3087195.1700000009</v>
      </c>
      <c r="K57" s="153">
        <v>1</v>
      </c>
      <c r="L57" s="150">
        <f t="shared" ref="L57:L65" si="40">+J57*K57</f>
        <v>3087195.1700000009</v>
      </c>
      <c r="M57" s="13"/>
      <c r="N57" s="16"/>
      <c r="O57" s="150">
        <f>ROUND(+'[1]Total Labor Summary'!C32+'[2]Labor Summary'!D33,2)</f>
        <v>27874.75</v>
      </c>
      <c r="P57" s="150">
        <f>ROUND(+'[1]Total Labor Summary'!D32+'[2]Labor Summary'!E33,2)</f>
        <v>0</v>
      </c>
      <c r="Q57" s="150">
        <f>ROUND(+'[1]Total Labor Summary'!E32+'[2]Labor Summary'!F33,2)</f>
        <v>0</v>
      </c>
      <c r="R57" s="150">
        <f t="shared" ref="R57" si="41">SUM(O57:Q57)</f>
        <v>27874.75</v>
      </c>
      <c r="S57" s="150">
        <f>ROUND(+'[1]Total Labor Summary'!G32+'[2]Labor Summary'!H33,2)</f>
        <v>2417660.5</v>
      </c>
      <c r="T57" s="150">
        <f>ROUND(+'[1]Total Labor Summary'!H32+'[2]Labor Summary'!I33,2)</f>
        <v>0</v>
      </c>
      <c r="U57" s="150">
        <f t="shared" ref="U57" si="42">SUM(S57:T57)</f>
        <v>2417660.5</v>
      </c>
      <c r="V57" s="150">
        <f>ROUND(+'[1]Total Labor Summary'!J32+'[2]Labor Summary'!K33,2)</f>
        <v>641659.92000000004</v>
      </c>
      <c r="W57" s="150">
        <f>ROUND(+'[1]Total Labor Summary'!K32+'[2]Labor Summary'!L33,2)</f>
        <v>0</v>
      </c>
      <c r="X57" s="150">
        <f t="shared" ref="X57:X65" si="43">+R57+U57+V57+W57</f>
        <v>3087195.17</v>
      </c>
      <c r="Y57" s="4" t="b">
        <f t="shared" ref="Y57:Y65" si="44">ROUND(X57,2)=ROUND(L57,2)</f>
        <v>1</v>
      </c>
      <c r="Z57" s="169">
        <f t="shared" ref="Z57:Z65" si="45">+L57-X57</f>
        <v>0</v>
      </c>
    </row>
    <row r="58" spans="1:26" s="8" customFormat="1" ht="15" customHeight="1">
      <c r="A58" s="16">
        <v>44</v>
      </c>
      <c r="B58" s="4" t="s">
        <v>251</v>
      </c>
      <c r="C58" s="4" t="s">
        <v>140</v>
      </c>
      <c r="D58" s="16"/>
      <c r="E58" s="13">
        <v>0</v>
      </c>
      <c r="F58" s="13">
        <v>0</v>
      </c>
      <c r="G58" s="13">
        <v>0</v>
      </c>
      <c r="H58" s="13">
        <f t="shared" si="38"/>
        <v>0</v>
      </c>
      <c r="I58" s="13">
        <f>+'[2]Labor Summary'!N34</f>
        <v>0</v>
      </c>
      <c r="J58" s="13">
        <f t="shared" si="39"/>
        <v>0</v>
      </c>
      <c r="K58" s="153">
        <v>1</v>
      </c>
      <c r="L58" s="104">
        <f t="shared" si="40"/>
        <v>0</v>
      </c>
      <c r="M58" s="19"/>
      <c r="N58" s="16"/>
      <c r="O58" s="13">
        <f>ROUND(+'[1]Total Labor Summary'!C33+'[2]Labor Summary'!D34,2)</f>
        <v>0</v>
      </c>
      <c r="P58" s="13">
        <f>ROUND(+'[1]Total Labor Summary'!D33+'[2]Labor Summary'!E34,2)</f>
        <v>0</v>
      </c>
      <c r="Q58" s="13">
        <f>ROUND(+'[1]Total Labor Summary'!E33+'[2]Labor Summary'!F34,2)</f>
        <v>0</v>
      </c>
      <c r="R58" s="13">
        <f t="shared" ref="R58:R65" si="46">SUM(O58:Q58)</f>
        <v>0</v>
      </c>
      <c r="S58" s="13">
        <f>ROUND(+'[1]Total Labor Summary'!G33+'[2]Labor Summary'!H34,2)</f>
        <v>0</v>
      </c>
      <c r="T58" s="13">
        <f>ROUND(+'[1]Total Labor Summary'!H33+'[2]Labor Summary'!I34,2)</f>
        <v>0</v>
      </c>
      <c r="U58" s="13">
        <f t="shared" ref="U58:U65" si="47">SUM(S58:T58)</f>
        <v>0</v>
      </c>
      <c r="V58" s="13">
        <f>ROUND(+'[1]Total Labor Summary'!J33+'[2]Labor Summary'!K34,2)</f>
        <v>0</v>
      </c>
      <c r="W58" s="13">
        <f>ROUND(+'[1]Total Labor Summary'!K33+'[2]Labor Summary'!L34,2)</f>
        <v>0</v>
      </c>
      <c r="X58" s="20">
        <f t="shared" si="43"/>
        <v>0</v>
      </c>
      <c r="Y58" s="4" t="b">
        <f t="shared" si="44"/>
        <v>1</v>
      </c>
      <c r="Z58" s="169">
        <f t="shared" si="45"/>
        <v>0</v>
      </c>
    </row>
    <row r="59" spans="1:26" s="4" customFormat="1" ht="15" customHeight="1">
      <c r="A59" s="16">
        <v>45</v>
      </c>
      <c r="B59" s="4" t="s">
        <v>252</v>
      </c>
      <c r="C59" s="4" t="s">
        <v>375</v>
      </c>
      <c r="D59" s="16"/>
      <c r="E59" s="13">
        <v>6266873.2599999988</v>
      </c>
      <c r="F59" s="13">
        <v>0</v>
      </c>
      <c r="G59" s="13">
        <v>0</v>
      </c>
      <c r="H59" s="13">
        <f t="shared" si="38"/>
        <v>6266873.2599999988</v>
      </c>
      <c r="I59" s="13">
        <f>+'[2]Labor Summary'!N35</f>
        <v>0</v>
      </c>
      <c r="J59" s="13">
        <f t="shared" si="39"/>
        <v>6266873.2599999988</v>
      </c>
      <c r="K59" s="153">
        <v>1</v>
      </c>
      <c r="L59" s="104">
        <f t="shared" si="40"/>
        <v>6266873.2599999988</v>
      </c>
      <c r="M59" s="13"/>
      <c r="N59" s="16"/>
      <c r="O59" s="13">
        <f>ROUND(+'[1]Total Labor Summary'!C34+'[2]Labor Summary'!D35,2)</f>
        <v>78613.179999999993</v>
      </c>
      <c r="P59" s="13">
        <f>ROUND(+'[1]Total Labor Summary'!D34+'[2]Labor Summary'!E35,2)</f>
        <v>0</v>
      </c>
      <c r="Q59" s="13">
        <f>ROUND(+'[1]Total Labor Summary'!E34+'[2]Labor Summary'!F35,2)</f>
        <v>0</v>
      </c>
      <c r="R59" s="13">
        <f t="shared" si="46"/>
        <v>78613.179999999993</v>
      </c>
      <c r="S59" s="13">
        <f>ROUND(+'[1]Total Labor Summary'!G34+'[2]Labor Summary'!H35,2)</f>
        <v>6188260.0800000001</v>
      </c>
      <c r="T59" s="13">
        <f>ROUND(+'[1]Total Labor Summary'!H34+'[2]Labor Summary'!I35,2)</f>
        <v>0</v>
      </c>
      <c r="U59" s="13">
        <f t="shared" si="47"/>
        <v>6188260.0800000001</v>
      </c>
      <c r="V59" s="13">
        <f>ROUND(+'[1]Total Labor Summary'!J34+'[2]Labor Summary'!K35,2)</f>
        <v>0</v>
      </c>
      <c r="W59" s="13">
        <f>ROUND(+'[1]Total Labor Summary'!K34+'[2]Labor Summary'!L35,2)</f>
        <v>0</v>
      </c>
      <c r="X59" s="20">
        <f t="shared" si="43"/>
        <v>6266873.2599999998</v>
      </c>
      <c r="Y59" s="4" t="b">
        <f t="shared" si="44"/>
        <v>1</v>
      </c>
      <c r="Z59" s="169">
        <f t="shared" si="45"/>
        <v>0</v>
      </c>
    </row>
    <row r="60" spans="1:26" s="8" customFormat="1" ht="15" customHeight="1">
      <c r="A60" s="16">
        <v>46</v>
      </c>
      <c r="B60" s="4" t="s">
        <v>147</v>
      </c>
      <c r="C60" s="4" t="s">
        <v>376</v>
      </c>
      <c r="D60" s="16"/>
      <c r="E60" s="13">
        <v>38811095.579999991</v>
      </c>
      <c r="F60" s="13">
        <v>0</v>
      </c>
      <c r="G60" s="13">
        <v>0</v>
      </c>
      <c r="H60" s="13">
        <f t="shared" si="38"/>
        <v>38811095.579999991</v>
      </c>
      <c r="I60" s="13">
        <f>+'[2]Labor Summary'!N36</f>
        <v>0</v>
      </c>
      <c r="J60" s="13">
        <f t="shared" si="39"/>
        <v>38811095.579999991</v>
      </c>
      <c r="K60" s="153">
        <v>1</v>
      </c>
      <c r="L60" s="104">
        <f t="shared" si="40"/>
        <v>38811095.579999991</v>
      </c>
      <c r="M60" s="19"/>
      <c r="N60" s="16"/>
      <c r="O60" s="13">
        <f>ROUND(+'[1]Total Labor Summary'!C35+'[2]Labor Summary'!D36,2)</f>
        <v>3994.38</v>
      </c>
      <c r="P60" s="13">
        <f>ROUND(+'[1]Total Labor Summary'!D35+'[2]Labor Summary'!E36,2)</f>
        <v>0</v>
      </c>
      <c r="Q60" s="13">
        <f>ROUND(+'[1]Total Labor Summary'!E35+'[2]Labor Summary'!F36,2)</f>
        <v>0</v>
      </c>
      <c r="R60" s="13">
        <f t="shared" si="46"/>
        <v>3994.38</v>
      </c>
      <c r="S60" s="13">
        <f>ROUND(+'[1]Total Labor Summary'!G35+'[2]Labor Summary'!H36,2)</f>
        <v>38786429.539999999</v>
      </c>
      <c r="T60" s="13">
        <f>ROUND(+'[1]Total Labor Summary'!H35+'[2]Labor Summary'!I36,2)</f>
        <v>0</v>
      </c>
      <c r="U60" s="13">
        <f t="shared" si="47"/>
        <v>38786429.539999999</v>
      </c>
      <c r="V60" s="13">
        <f>ROUND(+'[1]Total Labor Summary'!J35+'[2]Labor Summary'!K36,2)</f>
        <v>20671.66</v>
      </c>
      <c r="W60" s="13">
        <f>ROUND(+'[1]Total Labor Summary'!K35+'[2]Labor Summary'!L36,2)</f>
        <v>0</v>
      </c>
      <c r="X60" s="20">
        <f t="shared" si="43"/>
        <v>38811095.579999998</v>
      </c>
      <c r="Y60" s="4" t="b">
        <f t="shared" si="44"/>
        <v>1</v>
      </c>
      <c r="Z60" s="169">
        <f t="shared" si="45"/>
        <v>0</v>
      </c>
    </row>
    <row r="61" spans="1:26" s="4" customFormat="1" ht="15" customHeight="1">
      <c r="A61" s="16">
        <v>47</v>
      </c>
      <c r="B61" s="4" t="s">
        <v>148</v>
      </c>
      <c r="C61" s="4" t="s">
        <v>377</v>
      </c>
      <c r="D61" s="16"/>
      <c r="E61" s="13">
        <v>9760779.9200000092</v>
      </c>
      <c r="F61" s="13">
        <v>0</v>
      </c>
      <c r="G61" s="13">
        <v>0</v>
      </c>
      <c r="H61" s="13">
        <f t="shared" si="38"/>
        <v>9760779.9200000092</v>
      </c>
      <c r="I61" s="13">
        <f>+'[2]Labor Summary'!N37</f>
        <v>0</v>
      </c>
      <c r="J61" s="13">
        <f t="shared" si="39"/>
        <v>9760779.9200000092</v>
      </c>
      <c r="K61" s="153">
        <v>1</v>
      </c>
      <c r="L61" s="104">
        <f t="shared" si="40"/>
        <v>9760779.9200000092</v>
      </c>
      <c r="M61" s="13"/>
      <c r="N61" s="16"/>
      <c r="O61" s="13">
        <f>ROUND(+'[1]Total Labor Summary'!C36+'[2]Labor Summary'!D37,2)</f>
        <v>0</v>
      </c>
      <c r="P61" s="13">
        <f>ROUND(+'[1]Total Labor Summary'!D36+'[2]Labor Summary'!E37,2)</f>
        <v>0</v>
      </c>
      <c r="Q61" s="13">
        <f>ROUND(+'[1]Total Labor Summary'!E36+'[2]Labor Summary'!F37,2)</f>
        <v>0</v>
      </c>
      <c r="R61" s="13">
        <f t="shared" si="46"/>
        <v>0</v>
      </c>
      <c r="S61" s="13">
        <f>ROUND(+'[1]Total Labor Summary'!G36+'[2]Labor Summary'!H37,2)</f>
        <v>9743951.3100000005</v>
      </c>
      <c r="T61" s="13">
        <f>ROUND(+'[1]Total Labor Summary'!H36+'[2]Labor Summary'!I37,2)</f>
        <v>0</v>
      </c>
      <c r="U61" s="13">
        <f t="shared" si="47"/>
        <v>9743951.3100000005</v>
      </c>
      <c r="V61" s="13">
        <f>ROUND(+'[1]Total Labor Summary'!J36+'[2]Labor Summary'!K37,2)</f>
        <v>16828.61</v>
      </c>
      <c r="W61" s="13">
        <f>ROUND(+'[1]Total Labor Summary'!K36+'[2]Labor Summary'!L37,2)</f>
        <v>0</v>
      </c>
      <c r="X61" s="20">
        <f t="shared" si="43"/>
        <v>9760779.9199999999</v>
      </c>
      <c r="Y61" s="4" t="b">
        <f t="shared" si="44"/>
        <v>1</v>
      </c>
      <c r="Z61" s="169">
        <f t="shared" si="45"/>
        <v>0</v>
      </c>
    </row>
    <row r="62" spans="1:26" s="4" customFormat="1" ht="15" customHeight="1">
      <c r="A62" s="16">
        <v>48</v>
      </c>
      <c r="B62" s="4" t="s">
        <v>253</v>
      </c>
      <c r="C62" s="4" t="s">
        <v>149</v>
      </c>
      <c r="D62" s="16"/>
      <c r="E62" s="13">
        <v>1406931.9799999995</v>
      </c>
      <c r="F62" s="13">
        <v>0</v>
      </c>
      <c r="G62" s="13">
        <v>0</v>
      </c>
      <c r="H62" s="13">
        <f t="shared" si="38"/>
        <v>1406931.9799999995</v>
      </c>
      <c r="I62" s="13">
        <f>+'[2]Labor Summary'!N38</f>
        <v>0</v>
      </c>
      <c r="J62" s="13">
        <f t="shared" si="39"/>
        <v>1406931.9799999995</v>
      </c>
      <c r="K62" s="153">
        <v>1</v>
      </c>
      <c r="L62" s="104">
        <f t="shared" si="40"/>
        <v>1406931.9799999995</v>
      </c>
      <c r="M62" s="13"/>
      <c r="N62" s="16"/>
      <c r="O62" s="13">
        <f>ROUND(+'[1]Total Labor Summary'!C37+'[2]Labor Summary'!D38,2)</f>
        <v>0</v>
      </c>
      <c r="P62" s="13">
        <f>ROUND(+'[1]Total Labor Summary'!D37+'[2]Labor Summary'!E38,2)</f>
        <v>0</v>
      </c>
      <c r="Q62" s="13">
        <f>ROUND(+'[1]Total Labor Summary'!E37+'[2]Labor Summary'!F38,2)</f>
        <v>0</v>
      </c>
      <c r="R62" s="13">
        <f t="shared" si="46"/>
        <v>0</v>
      </c>
      <c r="S62" s="13">
        <f>ROUND(+'[1]Total Labor Summary'!G37+'[2]Labor Summary'!H38,2)</f>
        <v>1406918.11</v>
      </c>
      <c r="T62" s="13">
        <f>ROUND(+'[1]Total Labor Summary'!H37+'[2]Labor Summary'!I38,2)</f>
        <v>0</v>
      </c>
      <c r="U62" s="13">
        <f t="shared" si="47"/>
        <v>1406918.11</v>
      </c>
      <c r="V62" s="13">
        <f>ROUND(+'[1]Total Labor Summary'!J37+'[2]Labor Summary'!K38,2)</f>
        <v>13.87</v>
      </c>
      <c r="W62" s="13">
        <f>ROUND(+'[1]Total Labor Summary'!K37+'[2]Labor Summary'!L38,2)</f>
        <v>0</v>
      </c>
      <c r="X62" s="20">
        <f t="shared" si="43"/>
        <v>1406931.9800000002</v>
      </c>
      <c r="Y62" s="4" t="b">
        <f t="shared" si="44"/>
        <v>1</v>
      </c>
      <c r="Z62" s="169">
        <f t="shared" si="45"/>
        <v>0</v>
      </c>
    </row>
    <row r="63" spans="1:26" s="4" customFormat="1" ht="15" customHeight="1">
      <c r="A63" s="16">
        <v>49</v>
      </c>
      <c r="B63" s="4" t="s">
        <v>280</v>
      </c>
      <c r="C63" s="4" t="s">
        <v>150</v>
      </c>
      <c r="D63" s="16"/>
      <c r="E63" s="13">
        <v>335977.91</v>
      </c>
      <c r="F63" s="13">
        <v>0</v>
      </c>
      <c r="G63" s="13">
        <v>0</v>
      </c>
      <c r="H63" s="13">
        <f t="shared" si="38"/>
        <v>335977.91</v>
      </c>
      <c r="I63" s="13">
        <f>+'[2]Labor Summary'!N39</f>
        <v>0</v>
      </c>
      <c r="J63" s="13">
        <f t="shared" si="39"/>
        <v>335977.91</v>
      </c>
      <c r="K63" s="153">
        <v>1</v>
      </c>
      <c r="L63" s="104">
        <f t="shared" si="40"/>
        <v>335977.91</v>
      </c>
      <c r="M63" s="13"/>
      <c r="N63" s="16"/>
      <c r="O63" s="13">
        <f>ROUND(+'[1]Total Labor Summary'!C38+'[2]Labor Summary'!D39,2)</f>
        <v>0</v>
      </c>
      <c r="P63" s="13">
        <f>ROUND(+'[1]Total Labor Summary'!D38+'[2]Labor Summary'!E39,2)</f>
        <v>0</v>
      </c>
      <c r="Q63" s="13">
        <f>ROUND(+'[1]Total Labor Summary'!E38+'[2]Labor Summary'!F39,2)</f>
        <v>0</v>
      </c>
      <c r="R63" s="13">
        <f t="shared" si="46"/>
        <v>0</v>
      </c>
      <c r="S63" s="13">
        <f>ROUND(+'[1]Total Labor Summary'!G38+'[2]Labor Summary'!H39,2)</f>
        <v>335973.77</v>
      </c>
      <c r="T63" s="13">
        <f>ROUND(+'[1]Total Labor Summary'!H38+'[2]Labor Summary'!I39,2)</f>
        <v>0</v>
      </c>
      <c r="U63" s="13">
        <f t="shared" si="47"/>
        <v>335973.77</v>
      </c>
      <c r="V63" s="13">
        <f>ROUND(+'[1]Total Labor Summary'!J38+'[2]Labor Summary'!K39,2)</f>
        <v>4.1399999999999997</v>
      </c>
      <c r="W63" s="13">
        <f>ROUND(+'[1]Total Labor Summary'!K38+'[2]Labor Summary'!L39,2)</f>
        <v>0</v>
      </c>
      <c r="X63" s="20">
        <f t="shared" si="43"/>
        <v>335977.91000000003</v>
      </c>
      <c r="Y63" s="4" t="b">
        <f t="shared" si="44"/>
        <v>1</v>
      </c>
      <c r="Z63" s="169">
        <f t="shared" si="45"/>
        <v>0</v>
      </c>
    </row>
    <row r="64" spans="1:26" s="4" customFormat="1" ht="15" customHeight="1">
      <c r="A64" s="16">
        <v>50</v>
      </c>
      <c r="B64" s="4" t="s">
        <v>255</v>
      </c>
      <c r="C64" s="4" t="s">
        <v>151</v>
      </c>
      <c r="D64" s="16"/>
      <c r="E64" s="13">
        <v>15622947.980000004</v>
      </c>
      <c r="F64" s="13">
        <v>0</v>
      </c>
      <c r="G64" s="13">
        <v>0</v>
      </c>
      <c r="H64" s="13">
        <f t="shared" si="38"/>
        <v>15622947.980000004</v>
      </c>
      <c r="I64" s="13">
        <f>+'[2]Labor Summary'!N40</f>
        <v>0</v>
      </c>
      <c r="J64" s="13">
        <f t="shared" si="39"/>
        <v>15622947.980000004</v>
      </c>
      <c r="K64" s="153">
        <v>1</v>
      </c>
      <c r="L64" s="104">
        <f t="shared" si="40"/>
        <v>15622947.980000004</v>
      </c>
      <c r="M64" s="13"/>
      <c r="N64" s="16"/>
      <c r="O64" s="13">
        <f>ROUND(+'[1]Total Labor Summary'!C39+'[2]Labor Summary'!D40,2)</f>
        <v>0</v>
      </c>
      <c r="P64" s="13">
        <f>ROUND(+'[1]Total Labor Summary'!D39+'[2]Labor Summary'!E40,2)</f>
        <v>0</v>
      </c>
      <c r="Q64" s="13">
        <f>ROUND(+'[1]Total Labor Summary'!E39+'[2]Labor Summary'!F40,2)</f>
        <v>0</v>
      </c>
      <c r="R64" s="13">
        <f t="shared" si="46"/>
        <v>0</v>
      </c>
      <c r="S64" s="13">
        <f>ROUND(+'[1]Total Labor Summary'!G39+'[2]Labor Summary'!H40,2)</f>
        <v>0</v>
      </c>
      <c r="T64" s="13">
        <f>ROUND(+'[1]Total Labor Summary'!H39+'[2]Labor Summary'!I40,2)</f>
        <v>0</v>
      </c>
      <c r="U64" s="13">
        <f t="shared" si="47"/>
        <v>0</v>
      </c>
      <c r="V64" s="13">
        <f>ROUND(+'[1]Total Labor Summary'!J39+'[2]Labor Summary'!K40,2)</f>
        <v>15622947.98</v>
      </c>
      <c r="W64" s="13">
        <f>ROUND(+'[1]Total Labor Summary'!K39+'[2]Labor Summary'!L40,2)</f>
        <v>0</v>
      </c>
      <c r="X64" s="20">
        <f t="shared" si="43"/>
        <v>15622947.98</v>
      </c>
      <c r="Y64" s="4" t="b">
        <f t="shared" si="44"/>
        <v>1</v>
      </c>
      <c r="Z64" s="169">
        <f t="shared" si="45"/>
        <v>0</v>
      </c>
    </row>
    <row r="65" spans="1:27" s="4" customFormat="1" ht="15" customHeight="1">
      <c r="A65" s="16">
        <v>51</v>
      </c>
      <c r="B65" s="4" t="s">
        <v>283</v>
      </c>
      <c r="C65" s="4" t="s">
        <v>152</v>
      </c>
      <c r="D65" s="16"/>
      <c r="E65" s="13">
        <v>290636.12999999995</v>
      </c>
      <c r="F65" s="13">
        <v>0</v>
      </c>
      <c r="G65" s="13">
        <v>0</v>
      </c>
      <c r="H65" s="13">
        <f t="shared" si="38"/>
        <v>290636.12999999995</v>
      </c>
      <c r="I65" s="13">
        <f>+'[2]Labor Summary'!N41</f>
        <v>0</v>
      </c>
      <c r="J65" s="13">
        <f t="shared" si="39"/>
        <v>290636.12999999995</v>
      </c>
      <c r="K65" s="153">
        <v>1</v>
      </c>
      <c r="L65" s="104">
        <f t="shared" si="40"/>
        <v>290636.12999999995</v>
      </c>
      <c r="M65" s="13"/>
      <c r="N65" s="16"/>
      <c r="O65" s="13">
        <f>ROUND(+'[1]Total Labor Summary'!C40+'[2]Labor Summary'!D41,2)</f>
        <v>0</v>
      </c>
      <c r="P65" s="13">
        <f>ROUND(+'[1]Total Labor Summary'!D40+'[2]Labor Summary'!E41,2)</f>
        <v>0</v>
      </c>
      <c r="Q65" s="13">
        <f>ROUND(+'[1]Total Labor Summary'!E40+'[2]Labor Summary'!F41,2)</f>
        <v>0</v>
      </c>
      <c r="R65" s="13">
        <f t="shared" si="46"/>
        <v>0</v>
      </c>
      <c r="S65" s="13">
        <f>ROUND(+'[1]Total Labor Summary'!G40+'[2]Labor Summary'!H41,2)</f>
        <v>290636.13</v>
      </c>
      <c r="T65" s="13">
        <f>ROUND(+'[1]Total Labor Summary'!H40+'[2]Labor Summary'!I41,2)</f>
        <v>0</v>
      </c>
      <c r="U65" s="13">
        <f t="shared" si="47"/>
        <v>290636.13</v>
      </c>
      <c r="V65" s="13">
        <f>ROUND(+'[1]Total Labor Summary'!J40+'[2]Labor Summary'!K41,2)</f>
        <v>0</v>
      </c>
      <c r="W65" s="13">
        <f>ROUND(+'[1]Total Labor Summary'!K40+'[2]Labor Summary'!L41,2)</f>
        <v>0</v>
      </c>
      <c r="X65" s="20">
        <f t="shared" si="43"/>
        <v>290636.13</v>
      </c>
      <c r="Y65" s="4" t="b">
        <f t="shared" si="44"/>
        <v>1</v>
      </c>
      <c r="Z65" s="169">
        <f t="shared" si="45"/>
        <v>0</v>
      </c>
    </row>
    <row r="66" spans="1:27" s="4" customFormat="1" ht="15" customHeight="1">
      <c r="A66" s="16">
        <v>52</v>
      </c>
      <c r="D66" s="16"/>
      <c r="E66" s="123"/>
      <c r="F66" s="123"/>
      <c r="G66" s="123"/>
      <c r="H66" s="123"/>
      <c r="I66" s="123"/>
      <c r="J66" s="123"/>
      <c r="K66" s="153"/>
      <c r="L66" s="123"/>
      <c r="M66" s="13"/>
      <c r="N66" s="16"/>
      <c r="O66" s="123"/>
      <c r="P66" s="123"/>
      <c r="Q66" s="123"/>
      <c r="R66" s="123"/>
      <c r="S66" s="123"/>
      <c r="T66" s="123"/>
      <c r="U66" s="123"/>
      <c r="V66" s="123"/>
      <c r="W66" s="123">
        <v>0</v>
      </c>
      <c r="X66" s="123"/>
    </row>
    <row r="67" spans="1:27" s="8" customFormat="1" ht="15" customHeight="1">
      <c r="A67" s="16">
        <v>53</v>
      </c>
      <c r="B67" s="4"/>
      <c r="C67" s="22" t="s">
        <v>57</v>
      </c>
      <c r="D67" s="16"/>
      <c r="E67" s="176">
        <f t="shared" ref="E67:J67" si="48">SUM(E57:E65)</f>
        <v>75582437.929999992</v>
      </c>
      <c r="F67" s="176">
        <f t="shared" si="48"/>
        <v>0</v>
      </c>
      <c r="G67" s="176">
        <f t="shared" si="48"/>
        <v>0</v>
      </c>
      <c r="H67" s="176">
        <f t="shared" si="48"/>
        <v>75582437.929999992</v>
      </c>
      <c r="I67" s="176">
        <f t="shared" si="48"/>
        <v>0</v>
      </c>
      <c r="J67" s="176">
        <f t="shared" si="48"/>
        <v>75582437.929999992</v>
      </c>
      <c r="K67" s="176"/>
      <c r="L67" s="176">
        <f>SUM(L57:L65)</f>
        <v>75582437.929999992</v>
      </c>
      <c r="M67" s="176"/>
      <c r="N67" s="176"/>
      <c r="O67" s="176">
        <f t="shared" ref="O67" si="49">SUM(O57:O65)</f>
        <v>110482.31</v>
      </c>
      <c r="P67" s="176">
        <f t="shared" ref="P67:X67" si="50">SUM(P57:P65)</f>
        <v>0</v>
      </c>
      <c r="Q67" s="176">
        <f t="shared" si="50"/>
        <v>0</v>
      </c>
      <c r="R67" s="176">
        <f t="shared" si="50"/>
        <v>110482.31</v>
      </c>
      <c r="S67" s="176">
        <f t="shared" si="50"/>
        <v>59169829.440000005</v>
      </c>
      <c r="T67" s="176">
        <f t="shared" si="50"/>
        <v>0</v>
      </c>
      <c r="U67" s="176">
        <f t="shared" si="50"/>
        <v>59169829.440000005</v>
      </c>
      <c r="V67" s="176">
        <f t="shared" si="50"/>
        <v>16302126.18</v>
      </c>
      <c r="W67" s="176">
        <f t="shared" si="50"/>
        <v>0</v>
      </c>
      <c r="X67" s="176">
        <f t="shared" si="50"/>
        <v>75582437.929999992</v>
      </c>
      <c r="Y67" s="4" t="b">
        <f>ROUND(X67,2)=ROUND(L67,2)</f>
        <v>1</v>
      </c>
      <c r="Z67" s="169">
        <f>+L67-X67</f>
        <v>0</v>
      </c>
    </row>
    <row r="68" spans="1:27" s="8" customFormat="1" ht="15" customHeight="1">
      <c r="A68" s="16">
        <v>54</v>
      </c>
      <c r="B68" s="4"/>
      <c r="C68" s="4"/>
      <c r="D68" s="16"/>
      <c r="E68" s="19"/>
      <c r="F68" s="19"/>
      <c r="G68" s="19"/>
      <c r="H68" s="19"/>
      <c r="I68" s="19"/>
      <c r="J68" s="19"/>
      <c r="K68" s="154"/>
      <c r="L68" s="19"/>
      <c r="M68" s="19"/>
      <c r="N68" s="25"/>
      <c r="O68" s="19"/>
      <c r="P68" s="19"/>
      <c r="Q68" s="19"/>
      <c r="R68" s="19"/>
      <c r="S68" s="19"/>
      <c r="T68" s="19"/>
      <c r="U68" s="19"/>
      <c r="V68" s="19"/>
      <c r="W68" s="19"/>
      <c r="X68" s="19"/>
    </row>
    <row r="69" spans="1:27" s="8" customFormat="1" ht="15" customHeight="1">
      <c r="A69" s="16">
        <v>55</v>
      </c>
      <c r="B69" s="8" t="s">
        <v>124</v>
      </c>
      <c r="D69" s="18" t="s">
        <v>305</v>
      </c>
      <c r="E69" s="176">
        <f t="shared" ref="E69:J69" si="51">+E54+E67</f>
        <v>167542244.31999999</v>
      </c>
      <c r="F69" s="176">
        <f t="shared" si="51"/>
        <v>0</v>
      </c>
      <c r="G69" s="176">
        <f t="shared" si="51"/>
        <v>0</v>
      </c>
      <c r="H69" s="176">
        <f t="shared" si="51"/>
        <v>167542244.31999999</v>
      </c>
      <c r="I69" s="176">
        <f t="shared" si="51"/>
        <v>15530655.01</v>
      </c>
      <c r="J69" s="176">
        <f t="shared" si="51"/>
        <v>183072899.32999998</v>
      </c>
      <c r="K69" s="176"/>
      <c r="L69" s="176">
        <f>+L54+L67</f>
        <v>183072899.32999998</v>
      </c>
      <c r="M69" s="176"/>
      <c r="N69" s="176"/>
      <c r="O69" s="176">
        <f t="shared" ref="O69" si="52">+O54+O67</f>
        <v>202657.94999999998</v>
      </c>
      <c r="P69" s="176">
        <f t="shared" ref="P69:X69" si="53">+P54+P67</f>
        <v>0</v>
      </c>
      <c r="Q69" s="176">
        <f t="shared" si="53"/>
        <v>0</v>
      </c>
      <c r="R69" s="176">
        <f t="shared" si="53"/>
        <v>202657.94999999998</v>
      </c>
      <c r="S69" s="176">
        <f t="shared" si="53"/>
        <v>153350319.47999999</v>
      </c>
      <c r="T69" s="176">
        <f t="shared" si="53"/>
        <v>0</v>
      </c>
      <c r="U69" s="176">
        <f t="shared" si="53"/>
        <v>153350319.47999999</v>
      </c>
      <c r="V69" s="176">
        <f t="shared" si="53"/>
        <v>29423688.530000009</v>
      </c>
      <c r="W69" s="176">
        <f t="shared" si="53"/>
        <v>96233.37</v>
      </c>
      <c r="X69" s="176">
        <f t="shared" si="53"/>
        <v>183072899.32999998</v>
      </c>
      <c r="Y69" s="4" t="b">
        <f>ROUND(X69,2)=ROUND(L69,2)</f>
        <v>1</v>
      </c>
      <c r="Z69" s="169">
        <f>+L69-X69</f>
        <v>0</v>
      </c>
      <c r="AA69" s="303">
        <v>0.48536209166334454</v>
      </c>
    </row>
    <row r="70" spans="1:27" s="4" customFormat="1" ht="15" customHeight="1">
      <c r="A70" s="16">
        <v>56</v>
      </c>
      <c r="B70" s="8"/>
      <c r="C70" s="8"/>
      <c r="D70" s="18"/>
      <c r="E70" s="13"/>
      <c r="F70" s="13"/>
      <c r="G70" s="13"/>
      <c r="H70" s="13"/>
      <c r="I70" s="13"/>
      <c r="J70" s="13"/>
      <c r="K70" s="153"/>
      <c r="L70" s="16"/>
      <c r="M70" s="13"/>
      <c r="N70" s="16"/>
      <c r="O70" s="13"/>
      <c r="P70" s="13"/>
      <c r="Q70" s="13"/>
      <c r="R70" s="13"/>
      <c r="S70" s="20"/>
      <c r="T70" s="20"/>
      <c r="U70" s="20"/>
      <c r="V70" s="20"/>
      <c r="W70" s="20">
        <v>0</v>
      </c>
      <c r="X70" s="20"/>
    </row>
    <row r="71" spans="1:27" s="8" customFormat="1" ht="15" customHeight="1">
      <c r="A71" s="16">
        <v>57</v>
      </c>
      <c r="B71" s="4"/>
      <c r="D71" s="18"/>
      <c r="E71" s="19"/>
      <c r="F71" s="19"/>
      <c r="G71" s="19"/>
      <c r="H71" s="19"/>
      <c r="I71" s="19"/>
      <c r="J71" s="19"/>
      <c r="K71" s="154"/>
      <c r="L71" s="25"/>
      <c r="M71" s="19"/>
      <c r="N71" s="25"/>
      <c r="O71" s="19"/>
      <c r="P71" s="19"/>
      <c r="Q71" s="19"/>
      <c r="R71" s="19"/>
      <c r="S71" s="19"/>
      <c r="T71" s="19"/>
      <c r="U71" s="19"/>
      <c r="V71" s="19"/>
      <c r="W71" s="19">
        <v>0</v>
      </c>
      <c r="X71" s="19"/>
    </row>
    <row r="72" spans="1:27" s="4" customFormat="1" ht="15" customHeight="1">
      <c r="A72" s="16">
        <v>58</v>
      </c>
      <c r="B72" s="8"/>
      <c r="C72" s="15" t="s">
        <v>118</v>
      </c>
      <c r="D72" s="18" t="s">
        <v>305</v>
      </c>
      <c r="E72" s="13"/>
      <c r="F72" s="13"/>
      <c r="G72" s="13"/>
      <c r="H72" s="13"/>
      <c r="I72" s="13"/>
      <c r="J72" s="13"/>
      <c r="K72" s="153"/>
      <c r="L72" s="24"/>
      <c r="M72" s="13"/>
      <c r="N72" s="25"/>
      <c r="O72" s="13"/>
      <c r="P72" s="13"/>
      <c r="Q72" s="13"/>
      <c r="R72" s="13"/>
      <c r="S72" s="13"/>
      <c r="T72" s="13"/>
      <c r="U72" s="13"/>
      <c r="V72" s="13"/>
      <c r="W72" s="13">
        <v>0</v>
      </c>
      <c r="X72" s="13"/>
    </row>
    <row r="73" spans="1:27" s="4" customFormat="1" ht="15" customHeight="1">
      <c r="A73" s="16">
        <v>59</v>
      </c>
      <c r="B73" s="4" t="s">
        <v>259</v>
      </c>
      <c r="C73" s="4" t="s">
        <v>260</v>
      </c>
      <c r="D73" s="16"/>
      <c r="E73" s="150">
        <v>107858</v>
      </c>
      <c r="F73" s="150">
        <v>0</v>
      </c>
      <c r="G73" s="150">
        <v>0</v>
      </c>
      <c r="H73" s="150">
        <f>+E73-F73+G73</f>
        <v>107858</v>
      </c>
      <c r="I73" s="150">
        <f>+'[2]Labor Summary'!N44</f>
        <v>0</v>
      </c>
      <c r="J73" s="150">
        <f>+H73+I73</f>
        <v>107858</v>
      </c>
      <c r="K73" s="153">
        <v>1</v>
      </c>
      <c r="L73" s="150">
        <f>+J73*K73</f>
        <v>107858</v>
      </c>
      <c r="M73" s="13"/>
      <c r="N73" s="16"/>
      <c r="O73" s="150">
        <f>+'[1]Total Labor Summary'!C43+'[2]Labor Summary'!D44</f>
        <v>0</v>
      </c>
      <c r="P73" s="150">
        <f>+'[1]Total Labor Summary'!D43+'[2]Labor Summary'!E44</f>
        <v>0</v>
      </c>
      <c r="Q73" s="150">
        <f>+'[1]Total Labor Summary'!E43+'[2]Labor Summary'!F44</f>
        <v>0</v>
      </c>
      <c r="R73" s="150">
        <f t="shared" ref="R73" si="54">SUM(O73:Q73)</f>
        <v>0</v>
      </c>
      <c r="S73" s="150">
        <f>+'[1]Total Labor Summary'!G43+'[2]Labor Summary'!H44</f>
        <v>107858</v>
      </c>
      <c r="T73" s="150">
        <f>+'[1]Total Labor Summary'!H43+'[2]Labor Summary'!I44</f>
        <v>0</v>
      </c>
      <c r="U73" s="150">
        <f t="shared" ref="U73" si="55">SUM(S73:T73)</f>
        <v>107858</v>
      </c>
      <c r="V73" s="150">
        <f>+'[1]Total Labor Summary'!J43+'[2]Labor Summary'!K44</f>
        <v>0</v>
      </c>
      <c r="W73" s="150">
        <f>+'[1]Total Labor Summary'!K43+'[2]Labor Summary'!L44</f>
        <v>0</v>
      </c>
      <c r="X73" s="150">
        <f t="shared" ref="X73:X77" si="56">+R73+U73+V73+W73</f>
        <v>107858</v>
      </c>
      <c r="Y73" s="4" t="b">
        <f>ROUND(X73,2)=ROUND(L73,2)</f>
        <v>1</v>
      </c>
      <c r="Z73" s="169">
        <f>+L73-X73</f>
        <v>0</v>
      </c>
    </row>
    <row r="74" spans="1:27" s="4" customFormat="1" ht="15" customHeight="1">
      <c r="A74" s="16">
        <v>60</v>
      </c>
      <c r="B74" s="4" t="s">
        <v>258</v>
      </c>
      <c r="C74" s="4" t="s">
        <v>166</v>
      </c>
      <c r="D74" s="16"/>
      <c r="E74" s="13">
        <v>0</v>
      </c>
      <c r="F74" s="13">
        <v>0</v>
      </c>
      <c r="G74" s="13">
        <v>0</v>
      </c>
      <c r="H74" s="13">
        <f>+E74-F74+G74</f>
        <v>0</v>
      </c>
      <c r="I74" s="13">
        <f>+'[2]Labor Summary'!N45</f>
        <v>0</v>
      </c>
      <c r="J74" s="13">
        <f>+H74+I74</f>
        <v>0</v>
      </c>
      <c r="K74" s="153">
        <v>1</v>
      </c>
      <c r="L74" s="104">
        <f>+J74*K74</f>
        <v>0</v>
      </c>
      <c r="M74" s="13"/>
      <c r="N74" s="16"/>
      <c r="O74" s="13">
        <f>+'[1]Total Labor Summary'!C44+'[2]Labor Summary'!D45</f>
        <v>0</v>
      </c>
      <c r="P74" s="13">
        <f>+'[1]Total Labor Summary'!D44+'[2]Labor Summary'!E45</f>
        <v>0</v>
      </c>
      <c r="Q74" s="13">
        <f>+'[1]Total Labor Summary'!E44+'[2]Labor Summary'!F45</f>
        <v>0</v>
      </c>
      <c r="R74" s="13">
        <f t="shared" ref="R74:R77" si="57">SUM(O74:Q74)</f>
        <v>0</v>
      </c>
      <c r="S74" s="13">
        <f>+'[1]Total Labor Summary'!G44+'[2]Labor Summary'!H45</f>
        <v>0</v>
      </c>
      <c r="T74" s="13">
        <f>+'[1]Total Labor Summary'!H44+'[2]Labor Summary'!I45</f>
        <v>0</v>
      </c>
      <c r="U74" s="13">
        <f t="shared" ref="U74:U77" si="58">SUM(S74:T74)</f>
        <v>0</v>
      </c>
      <c r="V74" s="13">
        <f>+'[1]Total Labor Summary'!J44+'[2]Labor Summary'!K45</f>
        <v>0</v>
      </c>
      <c r="W74" s="13">
        <f>+'[1]Total Labor Summary'!K44+'[2]Labor Summary'!L45</f>
        <v>0</v>
      </c>
      <c r="X74" s="20">
        <f t="shared" si="56"/>
        <v>0</v>
      </c>
      <c r="Y74" s="4" t="b">
        <f>ROUND(X74,2)=ROUND(L74,2)</f>
        <v>1</v>
      </c>
      <c r="Z74" s="169">
        <f>+L74-X74</f>
        <v>0</v>
      </c>
    </row>
    <row r="75" spans="1:27" s="8" customFormat="1" ht="15" customHeight="1">
      <c r="A75" s="16">
        <v>61</v>
      </c>
      <c r="B75" s="4" t="s">
        <v>284</v>
      </c>
      <c r="C75" s="4" t="s">
        <v>390</v>
      </c>
      <c r="D75" s="16"/>
      <c r="E75" s="13">
        <v>10790173.59</v>
      </c>
      <c r="F75" s="13">
        <v>0</v>
      </c>
      <c r="G75" s="13">
        <v>0</v>
      </c>
      <c r="H75" s="13">
        <f>+E75-F75+G75</f>
        <v>10790173.59</v>
      </c>
      <c r="I75" s="13">
        <f>+'[2]Labor Summary'!N46</f>
        <v>0</v>
      </c>
      <c r="J75" s="13">
        <f>+H75+I75</f>
        <v>10790173.59</v>
      </c>
      <c r="K75" s="153">
        <v>1</v>
      </c>
      <c r="L75" s="104">
        <f>+J75*K75</f>
        <v>10790173.59</v>
      </c>
      <c r="M75" s="19"/>
      <c r="N75" s="16"/>
      <c r="O75" s="13">
        <f>+'[1]Total Labor Summary'!C45+'[2]Labor Summary'!D46</f>
        <v>0</v>
      </c>
      <c r="P75" s="13">
        <f>+'[1]Total Labor Summary'!D45+'[2]Labor Summary'!E46</f>
        <v>0</v>
      </c>
      <c r="Q75" s="13">
        <f>+'[1]Total Labor Summary'!E45+'[2]Labor Summary'!F46</f>
        <v>0</v>
      </c>
      <c r="R75" s="13">
        <f t="shared" si="57"/>
        <v>0</v>
      </c>
      <c r="S75" s="13">
        <f>+'[1]Total Labor Summary'!G45+'[2]Labor Summary'!H46</f>
        <v>0</v>
      </c>
      <c r="T75" s="13">
        <f>+'[1]Total Labor Summary'!H45+'[2]Labor Summary'!I46</f>
        <v>0</v>
      </c>
      <c r="U75" s="13">
        <f t="shared" si="58"/>
        <v>0</v>
      </c>
      <c r="V75" s="13">
        <f>+'[1]Total Labor Summary'!J45+'[2]Labor Summary'!K46</f>
        <v>9310677.7999999989</v>
      </c>
      <c r="W75" s="13">
        <f>+'[1]Total Labor Summary'!K45+'[2]Labor Summary'!L46</f>
        <v>1479495.79</v>
      </c>
      <c r="X75" s="20">
        <f t="shared" si="56"/>
        <v>10790173.59</v>
      </c>
      <c r="Y75" s="4" t="b">
        <f>ROUND(X75,2)=ROUND(L75,2)</f>
        <v>1</v>
      </c>
      <c r="Z75" s="169">
        <f>+L75-X75</f>
        <v>0</v>
      </c>
    </row>
    <row r="76" spans="1:27" s="8" customFormat="1" ht="15" customHeight="1">
      <c r="A76" s="16">
        <v>62</v>
      </c>
      <c r="B76" s="4" t="s">
        <v>261</v>
      </c>
      <c r="C76" s="4" t="s">
        <v>262</v>
      </c>
      <c r="D76" s="16"/>
      <c r="E76" s="13">
        <v>0</v>
      </c>
      <c r="F76" s="13">
        <v>0</v>
      </c>
      <c r="G76" s="13">
        <v>0</v>
      </c>
      <c r="H76" s="13">
        <f>+E76-F76+G76</f>
        <v>0</v>
      </c>
      <c r="I76" s="13">
        <f>+'[2]Labor Summary'!N47</f>
        <v>0</v>
      </c>
      <c r="J76" s="13">
        <f>+H76+I76</f>
        <v>0</v>
      </c>
      <c r="K76" s="153">
        <v>1</v>
      </c>
      <c r="L76" s="104">
        <f>+J76*K76</f>
        <v>0</v>
      </c>
      <c r="M76" s="19"/>
      <c r="N76" s="16"/>
      <c r="O76" s="13">
        <f>+'[1]Total Labor Summary'!C46+'[2]Labor Summary'!D47</f>
        <v>0</v>
      </c>
      <c r="P76" s="13">
        <f>+'[1]Total Labor Summary'!D46+'[2]Labor Summary'!E47</f>
        <v>0</v>
      </c>
      <c r="Q76" s="13">
        <f>+'[1]Total Labor Summary'!E46+'[2]Labor Summary'!F47</f>
        <v>0</v>
      </c>
      <c r="R76" s="13">
        <f t="shared" si="57"/>
        <v>0</v>
      </c>
      <c r="S76" s="13">
        <f>+'[1]Total Labor Summary'!G46+'[2]Labor Summary'!H47</f>
        <v>0</v>
      </c>
      <c r="T76" s="13">
        <f>+'[1]Total Labor Summary'!H46+'[2]Labor Summary'!I47</f>
        <v>0</v>
      </c>
      <c r="U76" s="13">
        <f t="shared" si="58"/>
        <v>0</v>
      </c>
      <c r="V76" s="13">
        <f>+'[1]Total Labor Summary'!J46+'[2]Labor Summary'!K47</f>
        <v>0</v>
      </c>
      <c r="W76" s="13">
        <f>+'[1]Total Labor Summary'!K46+'[2]Labor Summary'!L47</f>
        <v>0</v>
      </c>
      <c r="X76" s="20">
        <f t="shared" si="56"/>
        <v>0</v>
      </c>
      <c r="Y76" s="4" t="b">
        <f>ROUND(X76,2)=ROUND(L76,2)</f>
        <v>1</v>
      </c>
      <c r="Z76" s="169">
        <f>+L76-X76</f>
        <v>0</v>
      </c>
    </row>
    <row r="77" spans="1:27" s="4" customFormat="1" ht="15" customHeight="1">
      <c r="A77" s="16">
        <v>63</v>
      </c>
      <c r="B77" s="4" t="s">
        <v>263</v>
      </c>
      <c r="C77" s="4" t="s">
        <v>391</v>
      </c>
      <c r="D77" s="16"/>
      <c r="E77" s="13">
        <v>0</v>
      </c>
      <c r="F77" s="13">
        <v>0</v>
      </c>
      <c r="G77" s="13">
        <v>0</v>
      </c>
      <c r="H77" s="13">
        <f>+E77-F77+G77</f>
        <v>0</v>
      </c>
      <c r="I77" s="13">
        <f>+'[2]Labor Summary'!N48</f>
        <v>0</v>
      </c>
      <c r="J77" s="13">
        <f>+H77+I77</f>
        <v>0</v>
      </c>
      <c r="K77" s="153">
        <v>1</v>
      </c>
      <c r="L77" s="104">
        <f>+J77*K77</f>
        <v>0</v>
      </c>
      <c r="M77" s="13"/>
      <c r="N77" s="16"/>
      <c r="O77" s="13">
        <f>+'[1]Total Labor Summary'!C47+'[2]Labor Summary'!D48</f>
        <v>0</v>
      </c>
      <c r="P77" s="13">
        <f>+'[1]Total Labor Summary'!D47+'[2]Labor Summary'!E48</f>
        <v>0</v>
      </c>
      <c r="Q77" s="13">
        <f>+'[1]Total Labor Summary'!E47+'[2]Labor Summary'!F48</f>
        <v>0</v>
      </c>
      <c r="R77" s="13">
        <f t="shared" si="57"/>
        <v>0</v>
      </c>
      <c r="S77" s="13">
        <f>+'[1]Total Labor Summary'!G47+'[2]Labor Summary'!H48</f>
        <v>0</v>
      </c>
      <c r="T77" s="13">
        <f>+'[1]Total Labor Summary'!H47+'[2]Labor Summary'!I48</f>
        <v>0</v>
      </c>
      <c r="U77" s="13">
        <f t="shared" si="58"/>
        <v>0</v>
      </c>
      <c r="V77" s="13">
        <f>+'[1]Total Labor Summary'!J47+'[2]Labor Summary'!K48</f>
        <v>0</v>
      </c>
      <c r="W77" s="13">
        <f>+'[1]Total Labor Summary'!K47+'[2]Labor Summary'!L48</f>
        <v>0</v>
      </c>
      <c r="X77" s="20">
        <f t="shared" si="56"/>
        <v>0</v>
      </c>
      <c r="Y77" s="4" t="b">
        <f>ROUND(X77,2)=ROUND(L77,2)</f>
        <v>1</v>
      </c>
      <c r="Z77" s="169">
        <f>+L77-X77</f>
        <v>0</v>
      </c>
    </row>
    <row r="78" spans="1:27" s="8" customFormat="1" ht="15" customHeight="1">
      <c r="A78" s="16">
        <v>64</v>
      </c>
      <c r="B78" s="4"/>
      <c r="C78" s="4"/>
      <c r="D78" s="16"/>
      <c r="E78" s="124"/>
      <c r="F78" s="124"/>
      <c r="G78" s="124"/>
      <c r="H78" s="124"/>
      <c r="I78" s="124"/>
      <c r="J78" s="124"/>
      <c r="K78" s="154"/>
      <c r="L78" s="124"/>
      <c r="M78" s="19"/>
      <c r="N78" s="58"/>
      <c r="O78" s="124"/>
      <c r="P78" s="124"/>
      <c r="Q78" s="124"/>
      <c r="R78" s="124"/>
      <c r="S78" s="124"/>
      <c r="T78" s="124"/>
      <c r="U78" s="124"/>
      <c r="V78" s="124"/>
      <c r="W78" s="124">
        <v>0</v>
      </c>
      <c r="X78" s="127"/>
    </row>
    <row r="79" spans="1:27" s="8" customFormat="1" ht="15" customHeight="1">
      <c r="A79" s="16">
        <v>65</v>
      </c>
      <c r="B79" s="8" t="s">
        <v>94</v>
      </c>
      <c r="D79" s="18" t="s">
        <v>305</v>
      </c>
      <c r="E79" s="176">
        <f t="shared" ref="E79:J79" si="59">SUM(E73:E77)</f>
        <v>10898031.59</v>
      </c>
      <c r="F79" s="176">
        <f t="shared" si="59"/>
        <v>0</v>
      </c>
      <c r="G79" s="176">
        <f t="shared" si="59"/>
        <v>0</v>
      </c>
      <c r="H79" s="176">
        <f t="shared" si="59"/>
        <v>10898031.59</v>
      </c>
      <c r="I79" s="176">
        <f>SUM(I73:I77)</f>
        <v>0</v>
      </c>
      <c r="J79" s="176">
        <f t="shared" si="59"/>
        <v>10898031.59</v>
      </c>
      <c r="K79" s="176"/>
      <c r="L79" s="176">
        <f>SUM(L73:L77)</f>
        <v>10898031.59</v>
      </c>
      <c r="M79" s="176"/>
      <c r="N79" s="176"/>
      <c r="O79" s="176">
        <f t="shared" ref="O79:X79" si="60">SUM(O73:O77)</f>
        <v>0</v>
      </c>
      <c r="P79" s="176">
        <f t="shared" si="60"/>
        <v>0</v>
      </c>
      <c r="Q79" s="176">
        <f t="shared" si="60"/>
        <v>0</v>
      </c>
      <c r="R79" s="176">
        <f t="shared" si="60"/>
        <v>0</v>
      </c>
      <c r="S79" s="176">
        <f t="shared" si="60"/>
        <v>107858</v>
      </c>
      <c r="T79" s="176">
        <f t="shared" si="60"/>
        <v>0</v>
      </c>
      <c r="U79" s="176">
        <f t="shared" si="60"/>
        <v>107858</v>
      </c>
      <c r="V79" s="176">
        <f t="shared" si="60"/>
        <v>9310677.7999999989</v>
      </c>
      <c r="W79" s="176">
        <f t="shared" si="60"/>
        <v>1479495.79</v>
      </c>
      <c r="X79" s="176">
        <f t="shared" si="60"/>
        <v>10898031.59</v>
      </c>
      <c r="Y79" s="4" t="b">
        <f>ROUND(X79,2)=ROUND(L79,2)</f>
        <v>1</v>
      </c>
      <c r="Z79" s="169">
        <f>+L79-X79</f>
        <v>0</v>
      </c>
    </row>
    <row r="80" spans="1:27" s="4" customFormat="1" ht="15" customHeight="1">
      <c r="A80" s="16">
        <v>66</v>
      </c>
      <c r="B80" s="8"/>
      <c r="C80" s="8"/>
      <c r="D80" s="18"/>
      <c r="E80" s="13"/>
      <c r="F80" s="13"/>
      <c r="G80" s="13"/>
      <c r="H80" s="13"/>
      <c r="I80" s="13"/>
      <c r="J80" s="13"/>
      <c r="K80" s="153"/>
      <c r="L80" s="16"/>
      <c r="M80" s="13"/>
      <c r="N80" s="16"/>
      <c r="O80" s="13"/>
      <c r="P80" s="13"/>
      <c r="Q80" s="13"/>
      <c r="R80" s="13"/>
      <c r="S80" s="20"/>
      <c r="T80" s="20"/>
      <c r="U80" s="20"/>
      <c r="V80" s="20"/>
      <c r="W80" s="20">
        <v>0</v>
      </c>
      <c r="X80" s="20"/>
    </row>
    <row r="81" spans="1:26" s="8" customFormat="1" ht="15" customHeight="1">
      <c r="A81" s="16">
        <v>67</v>
      </c>
      <c r="B81" s="4"/>
      <c r="C81" s="4"/>
      <c r="D81" s="16"/>
      <c r="E81" s="19"/>
      <c r="F81" s="19"/>
      <c r="G81" s="19"/>
      <c r="H81" s="19"/>
      <c r="I81" s="19"/>
      <c r="J81" s="19"/>
      <c r="K81" s="154"/>
      <c r="L81" s="18"/>
      <c r="M81" s="19"/>
      <c r="N81" s="18"/>
      <c r="O81" s="19"/>
      <c r="P81" s="19"/>
      <c r="Q81" s="19"/>
      <c r="R81" s="19"/>
      <c r="S81" s="19"/>
      <c r="T81" s="19"/>
      <c r="U81" s="19"/>
      <c r="V81" s="19"/>
      <c r="W81" s="19">
        <v>0</v>
      </c>
      <c r="X81" s="19"/>
    </row>
    <row r="82" spans="1:26" s="4" customFormat="1" ht="15" customHeight="1">
      <c r="A82" s="16">
        <v>68</v>
      </c>
      <c r="B82" s="8"/>
      <c r="C82" s="15" t="s">
        <v>60</v>
      </c>
      <c r="D82" s="18" t="s">
        <v>305</v>
      </c>
      <c r="E82" s="13"/>
      <c r="F82" s="13"/>
      <c r="G82" s="13"/>
      <c r="H82" s="13"/>
      <c r="I82" s="13"/>
      <c r="J82" s="13"/>
      <c r="K82" s="153"/>
      <c r="L82" s="16"/>
      <c r="M82" s="13"/>
      <c r="N82" s="16"/>
      <c r="O82" s="13"/>
      <c r="P82" s="13"/>
      <c r="Q82" s="13"/>
      <c r="R82" s="13"/>
      <c r="S82" s="13"/>
      <c r="T82" s="13"/>
      <c r="U82" s="13"/>
      <c r="V82" s="13"/>
      <c r="W82" s="13">
        <v>0</v>
      </c>
    </row>
    <row r="83" spans="1:26" s="4" customFormat="1" ht="15" customHeight="1">
      <c r="A83" s="16">
        <v>69</v>
      </c>
      <c r="B83" s="4" t="s">
        <v>167</v>
      </c>
      <c r="C83" s="4" t="s">
        <v>327</v>
      </c>
      <c r="D83" s="16"/>
      <c r="E83" s="150">
        <v>0</v>
      </c>
      <c r="F83" s="150">
        <v>0</v>
      </c>
      <c r="G83" s="150">
        <v>0</v>
      </c>
      <c r="H83" s="150">
        <f>+E83-F83+G83</f>
        <v>0</v>
      </c>
      <c r="I83" s="150">
        <f>+'[2]Labor Summary'!N51</f>
        <v>0</v>
      </c>
      <c r="J83" s="150">
        <f>+H83+I83</f>
        <v>0</v>
      </c>
      <c r="K83" s="153">
        <v>1</v>
      </c>
      <c r="L83" s="150">
        <f>+J83*K83</f>
        <v>0</v>
      </c>
      <c r="M83" s="13"/>
      <c r="N83" s="16"/>
      <c r="O83" s="150">
        <f>ROUND(+'[1]Total Labor Summary'!C50+'[2]Labor Summary'!D51,2)</f>
        <v>0</v>
      </c>
      <c r="P83" s="150">
        <f>ROUND(+'[1]Total Labor Summary'!D50+'[2]Labor Summary'!E51,2)</f>
        <v>0</v>
      </c>
      <c r="Q83" s="150">
        <f>ROUND(+'[1]Total Labor Summary'!E50+'[2]Labor Summary'!F51,2)</f>
        <v>0</v>
      </c>
      <c r="R83" s="150">
        <f t="shared" ref="R83" si="61">SUM(O83:Q83)</f>
        <v>0</v>
      </c>
      <c r="S83" s="150">
        <f>ROUND(+'[1]Total Labor Summary'!G50+'[2]Labor Summary'!H51,2)</f>
        <v>0</v>
      </c>
      <c r="T83" s="150">
        <f>ROUND(+'[1]Total Labor Summary'!H50+'[2]Labor Summary'!I51,2)</f>
        <v>0</v>
      </c>
      <c r="U83" s="150">
        <f t="shared" ref="U83" si="62">SUM(S83:T83)</f>
        <v>0</v>
      </c>
      <c r="V83" s="150">
        <f>ROUND(+'[1]Total Labor Summary'!J50+'[2]Labor Summary'!K51,2)</f>
        <v>0</v>
      </c>
      <c r="W83" s="150">
        <f>ROUND(+'[1]Total Labor Summary'!K50+'[2]Labor Summary'!L51,2)</f>
        <v>0</v>
      </c>
      <c r="X83" s="150">
        <f t="shared" ref="X83:X87" si="63">+R83+U83+V83+W83</f>
        <v>0</v>
      </c>
      <c r="Y83" s="4" t="b">
        <f>ROUND(X83,2)=ROUND(L83,2)</f>
        <v>1</v>
      </c>
      <c r="Z83" s="169">
        <f>+L83-X83</f>
        <v>0</v>
      </c>
    </row>
    <row r="84" spans="1:26" s="4" customFormat="1" ht="15" customHeight="1">
      <c r="A84" s="16">
        <v>70</v>
      </c>
      <c r="B84" s="4" t="s">
        <v>264</v>
      </c>
      <c r="C84" s="4" t="s">
        <v>260</v>
      </c>
      <c r="D84" s="16"/>
      <c r="E84" s="13">
        <v>0</v>
      </c>
      <c r="F84" s="13">
        <v>0</v>
      </c>
      <c r="G84" s="13">
        <v>0</v>
      </c>
      <c r="H84" s="13">
        <f>+E84-F84+G84</f>
        <v>0</v>
      </c>
      <c r="I84" s="13">
        <f>+'[2]Labor Summary'!N52</f>
        <v>0</v>
      </c>
      <c r="J84" s="13">
        <f>+H84+I84</f>
        <v>0</v>
      </c>
      <c r="K84" s="153">
        <v>1</v>
      </c>
      <c r="L84" s="104">
        <f>+J84*K84</f>
        <v>0</v>
      </c>
      <c r="M84" s="13"/>
      <c r="N84" s="16"/>
      <c r="O84" s="13">
        <f>ROUND(+'[1]Total Labor Summary'!C51+'[2]Labor Summary'!D52,2)</f>
        <v>0</v>
      </c>
      <c r="P84" s="13">
        <f>ROUND(+'[1]Total Labor Summary'!D51+'[2]Labor Summary'!E52,2)</f>
        <v>0</v>
      </c>
      <c r="Q84" s="13">
        <f>ROUND(+'[1]Total Labor Summary'!E51+'[2]Labor Summary'!F52,2)</f>
        <v>0</v>
      </c>
      <c r="R84" s="13">
        <f t="shared" ref="R84:R87" si="64">SUM(O84:Q84)</f>
        <v>0</v>
      </c>
      <c r="S84" s="13">
        <f>ROUND(+'[1]Total Labor Summary'!G51+'[2]Labor Summary'!H52,2)</f>
        <v>0</v>
      </c>
      <c r="T84" s="13">
        <f>ROUND(+'[1]Total Labor Summary'!H51+'[2]Labor Summary'!I52,2)</f>
        <v>0</v>
      </c>
      <c r="U84" s="13">
        <f t="shared" ref="U84:U87" si="65">SUM(S84:T84)</f>
        <v>0</v>
      </c>
      <c r="V84" s="13">
        <f>ROUND(+'[1]Total Labor Summary'!J51+'[2]Labor Summary'!K52,2)</f>
        <v>0</v>
      </c>
      <c r="W84" s="13">
        <f>ROUND(+'[1]Total Labor Summary'!K51+'[2]Labor Summary'!L52,2)</f>
        <v>0</v>
      </c>
      <c r="X84" s="20">
        <f t="shared" si="63"/>
        <v>0</v>
      </c>
      <c r="Y84" s="4" t="b">
        <f>ROUND(X84,2)=ROUND(L84,2)</f>
        <v>1</v>
      </c>
      <c r="Z84" s="169">
        <f>+L84-X84</f>
        <v>0</v>
      </c>
    </row>
    <row r="85" spans="1:26" s="4" customFormat="1" ht="15" customHeight="1">
      <c r="A85" s="16">
        <v>71</v>
      </c>
      <c r="B85" s="4" t="s">
        <v>329</v>
      </c>
      <c r="C85" s="4" t="s">
        <v>328</v>
      </c>
      <c r="D85" s="16"/>
      <c r="E85" s="13">
        <v>12000</v>
      </c>
      <c r="F85" s="13">
        <v>0</v>
      </c>
      <c r="G85" s="13">
        <v>0</v>
      </c>
      <c r="H85" s="13">
        <f>+E85-F85+G85</f>
        <v>12000</v>
      </c>
      <c r="I85" s="13">
        <f>+'[2]Labor Summary'!N53</f>
        <v>0</v>
      </c>
      <c r="J85" s="13">
        <f>+H85+I85</f>
        <v>12000</v>
      </c>
      <c r="K85" s="153">
        <v>1</v>
      </c>
      <c r="L85" s="104">
        <f>+J85*K85</f>
        <v>12000</v>
      </c>
      <c r="M85" s="13"/>
      <c r="N85" s="16"/>
      <c r="O85" s="13">
        <f>ROUND(+'[1]Total Labor Summary'!C52+'[2]Labor Summary'!D53,2)</f>
        <v>0</v>
      </c>
      <c r="P85" s="13">
        <f>ROUND(+'[1]Total Labor Summary'!D52+'[2]Labor Summary'!E53,2)</f>
        <v>0</v>
      </c>
      <c r="Q85" s="13">
        <f>ROUND(+'[1]Total Labor Summary'!E52+'[2]Labor Summary'!F53,2)</f>
        <v>0</v>
      </c>
      <c r="R85" s="13">
        <f t="shared" si="64"/>
        <v>0</v>
      </c>
      <c r="S85" s="13">
        <f>ROUND(+'[1]Total Labor Summary'!G52+'[2]Labor Summary'!H53,2)</f>
        <v>0</v>
      </c>
      <c r="T85" s="13">
        <f>ROUND(+'[1]Total Labor Summary'!H52+'[2]Labor Summary'!I53,2)</f>
        <v>0</v>
      </c>
      <c r="U85" s="13">
        <f t="shared" si="65"/>
        <v>0</v>
      </c>
      <c r="V85" s="13">
        <f>ROUND(+'[1]Total Labor Summary'!J52+'[2]Labor Summary'!K53,2)</f>
        <v>0</v>
      </c>
      <c r="W85" s="13">
        <f>ROUND(+'[1]Total Labor Summary'!K52+'[2]Labor Summary'!L53,2)</f>
        <v>12000</v>
      </c>
      <c r="X85" s="20">
        <f t="shared" si="63"/>
        <v>12000</v>
      </c>
      <c r="Y85" s="4" t="b">
        <f>ROUND(X85,2)=ROUND(L85,2)</f>
        <v>1</v>
      </c>
      <c r="Z85" s="169">
        <f>+L85-X85</f>
        <v>0</v>
      </c>
    </row>
    <row r="86" spans="1:26" s="8" customFormat="1" ht="15" customHeight="1">
      <c r="A86" s="16">
        <v>72</v>
      </c>
      <c r="B86" s="4" t="s">
        <v>330</v>
      </c>
      <c r="C86" s="4" t="s">
        <v>331</v>
      </c>
      <c r="D86" s="16"/>
      <c r="E86" s="13">
        <v>0</v>
      </c>
      <c r="F86" s="13">
        <v>0</v>
      </c>
      <c r="G86" s="13">
        <v>0</v>
      </c>
      <c r="H86" s="13">
        <f>+E86-F86+G86</f>
        <v>0</v>
      </c>
      <c r="I86" s="13">
        <f>+'[2]Labor Summary'!N54</f>
        <v>0</v>
      </c>
      <c r="J86" s="13">
        <f>+H86+I86</f>
        <v>0</v>
      </c>
      <c r="K86" s="153">
        <v>1</v>
      </c>
      <c r="L86" s="104">
        <f>+J86*K86</f>
        <v>0</v>
      </c>
      <c r="M86" s="19"/>
      <c r="N86" s="16"/>
      <c r="O86" s="13">
        <f>ROUND(+'[1]Total Labor Summary'!C53+'[2]Labor Summary'!D54,2)</f>
        <v>0</v>
      </c>
      <c r="P86" s="13">
        <f>ROUND(+'[1]Total Labor Summary'!D53+'[2]Labor Summary'!E54,2)</f>
        <v>0</v>
      </c>
      <c r="Q86" s="13">
        <f>ROUND(+'[1]Total Labor Summary'!E53+'[2]Labor Summary'!F54,2)</f>
        <v>0</v>
      </c>
      <c r="R86" s="13">
        <f t="shared" si="64"/>
        <v>0</v>
      </c>
      <c r="S86" s="13">
        <f>ROUND(+'[1]Total Labor Summary'!G53+'[2]Labor Summary'!H54,2)</f>
        <v>0</v>
      </c>
      <c r="T86" s="13">
        <f>ROUND(+'[1]Total Labor Summary'!H53+'[2]Labor Summary'!I54,2)</f>
        <v>0</v>
      </c>
      <c r="U86" s="13">
        <f t="shared" si="65"/>
        <v>0</v>
      </c>
      <c r="V86" s="13">
        <f>ROUND(+'[1]Total Labor Summary'!J53+'[2]Labor Summary'!K54,2)</f>
        <v>0</v>
      </c>
      <c r="W86" s="13">
        <f>ROUND(+'[1]Total Labor Summary'!K53+'[2]Labor Summary'!L54,2)</f>
        <v>0</v>
      </c>
      <c r="X86" s="20">
        <f t="shared" si="63"/>
        <v>0</v>
      </c>
      <c r="Y86" s="4" t="b">
        <f>ROUND(X86,2)=ROUND(L86,2)</f>
        <v>1</v>
      </c>
      <c r="Z86" s="169">
        <f>+L86-X86</f>
        <v>0</v>
      </c>
    </row>
    <row r="87" spans="1:26" s="4" customFormat="1" ht="15" customHeight="1">
      <c r="A87" s="16">
        <v>73</v>
      </c>
      <c r="B87" s="4" t="s">
        <v>265</v>
      </c>
      <c r="C87" s="4" t="s">
        <v>332</v>
      </c>
      <c r="D87" s="16"/>
      <c r="E87" s="13">
        <v>0</v>
      </c>
      <c r="F87" s="13">
        <v>0</v>
      </c>
      <c r="G87" s="13">
        <v>0</v>
      </c>
      <c r="H87" s="13">
        <f>+E87-F87+G87</f>
        <v>0</v>
      </c>
      <c r="I87" s="13">
        <f>+'[2]Labor Summary'!N55</f>
        <v>0</v>
      </c>
      <c r="J87" s="13">
        <f>+H87+I87</f>
        <v>0</v>
      </c>
      <c r="K87" s="153">
        <v>1</v>
      </c>
      <c r="L87" s="104">
        <f>+J87*K87</f>
        <v>0</v>
      </c>
      <c r="M87" s="13"/>
      <c r="N87" s="16"/>
      <c r="O87" s="13">
        <f>ROUND(+'[1]Total Labor Summary'!C54+'[2]Labor Summary'!D55,2)</f>
        <v>0</v>
      </c>
      <c r="P87" s="13">
        <f>ROUND(+'[1]Total Labor Summary'!D54+'[2]Labor Summary'!E55,2)</f>
        <v>0</v>
      </c>
      <c r="Q87" s="13">
        <f>ROUND(+'[1]Total Labor Summary'!E54+'[2]Labor Summary'!F55,2)</f>
        <v>0</v>
      </c>
      <c r="R87" s="13">
        <f t="shared" si="64"/>
        <v>0</v>
      </c>
      <c r="S87" s="13">
        <f>ROUND(+'[1]Total Labor Summary'!G54+'[2]Labor Summary'!H55,2)</f>
        <v>0</v>
      </c>
      <c r="T87" s="13">
        <f>ROUND(+'[1]Total Labor Summary'!H54+'[2]Labor Summary'!I55,2)</f>
        <v>0</v>
      </c>
      <c r="U87" s="13">
        <f t="shared" si="65"/>
        <v>0</v>
      </c>
      <c r="V87" s="13">
        <f>ROUND(+'[1]Total Labor Summary'!J54+'[2]Labor Summary'!K55,2)</f>
        <v>0</v>
      </c>
      <c r="W87" s="13">
        <f>ROUND(+'[1]Total Labor Summary'!K54+'[2]Labor Summary'!L55,2)</f>
        <v>0</v>
      </c>
      <c r="X87" s="20">
        <f t="shared" si="63"/>
        <v>0</v>
      </c>
      <c r="Y87" s="4" t="b">
        <f>ROUND(X87,2)=ROUND(L87,2)</f>
        <v>1</v>
      </c>
      <c r="Z87" s="169">
        <f>+L87-X87</f>
        <v>0</v>
      </c>
    </row>
    <row r="88" spans="1:26" s="8" customFormat="1" ht="15" customHeight="1">
      <c r="A88" s="16">
        <v>74</v>
      </c>
      <c r="B88" s="4"/>
      <c r="C88" s="4"/>
      <c r="D88" s="16"/>
      <c r="E88" s="124"/>
      <c r="F88" s="124"/>
      <c r="G88" s="124"/>
      <c r="H88" s="124"/>
      <c r="I88" s="124"/>
      <c r="J88" s="124"/>
      <c r="K88" s="154"/>
      <c r="L88" s="124"/>
      <c r="M88" s="19"/>
      <c r="N88" s="58"/>
      <c r="O88" s="124"/>
      <c r="P88" s="124"/>
      <c r="Q88" s="124"/>
      <c r="R88" s="124"/>
      <c r="S88" s="124"/>
      <c r="T88" s="124"/>
      <c r="U88" s="124"/>
      <c r="V88" s="124"/>
      <c r="W88" s="124">
        <v>0</v>
      </c>
      <c r="X88" s="127"/>
    </row>
    <row r="89" spans="1:26" s="8" customFormat="1" ht="15" customHeight="1">
      <c r="A89" s="16">
        <v>75</v>
      </c>
      <c r="B89" s="8" t="s">
        <v>59</v>
      </c>
      <c r="D89" s="18" t="s">
        <v>305</v>
      </c>
      <c r="E89" s="176">
        <f t="shared" ref="E89:J89" si="66">SUM(E83:E87)</f>
        <v>12000</v>
      </c>
      <c r="F89" s="176">
        <f t="shared" si="66"/>
        <v>0</v>
      </c>
      <c r="G89" s="176">
        <f t="shared" si="66"/>
        <v>0</v>
      </c>
      <c r="H89" s="176">
        <f t="shared" si="66"/>
        <v>12000</v>
      </c>
      <c r="I89" s="176">
        <f t="shared" si="66"/>
        <v>0</v>
      </c>
      <c r="J89" s="176">
        <f t="shared" si="66"/>
        <v>12000</v>
      </c>
      <c r="K89" s="176"/>
      <c r="L89" s="176">
        <f>SUM(L83:L87)</f>
        <v>12000</v>
      </c>
      <c r="M89" s="176"/>
      <c r="N89" s="176"/>
      <c r="O89" s="176">
        <f t="shared" ref="O89:X89" si="67">SUM(O83:O87)</f>
        <v>0</v>
      </c>
      <c r="P89" s="176">
        <f t="shared" si="67"/>
        <v>0</v>
      </c>
      <c r="Q89" s="176">
        <f t="shared" si="67"/>
        <v>0</v>
      </c>
      <c r="R89" s="176">
        <f t="shared" si="67"/>
        <v>0</v>
      </c>
      <c r="S89" s="176">
        <f t="shared" si="67"/>
        <v>0</v>
      </c>
      <c r="T89" s="176">
        <f t="shared" si="67"/>
        <v>0</v>
      </c>
      <c r="U89" s="176">
        <f t="shared" si="67"/>
        <v>0</v>
      </c>
      <c r="V89" s="176">
        <f t="shared" si="67"/>
        <v>0</v>
      </c>
      <c r="W89" s="176">
        <f t="shared" si="67"/>
        <v>12000</v>
      </c>
      <c r="X89" s="176">
        <f t="shared" si="67"/>
        <v>12000</v>
      </c>
      <c r="Y89" s="4" t="b">
        <f>ROUND(X89,2)=ROUND(L89,2)</f>
        <v>1</v>
      </c>
      <c r="Z89" s="169">
        <f>+L89-X89</f>
        <v>0</v>
      </c>
    </row>
    <row r="90" spans="1:26" s="4" customFormat="1" ht="15" customHeight="1">
      <c r="A90" s="16">
        <v>76</v>
      </c>
      <c r="B90" s="8"/>
      <c r="C90" s="22"/>
      <c r="D90" s="18"/>
      <c r="E90" s="13"/>
      <c r="F90" s="13"/>
      <c r="G90" s="13"/>
      <c r="H90" s="13"/>
      <c r="I90" s="13"/>
      <c r="J90" s="13"/>
      <c r="K90" s="153"/>
      <c r="L90" s="16"/>
      <c r="M90" s="13"/>
      <c r="N90" s="16"/>
      <c r="O90" s="13"/>
      <c r="P90" s="13"/>
      <c r="Q90" s="13"/>
      <c r="R90" s="13"/>
      <c r="S90" s="20"/>
      <c r="T90" s="20"/>
      <c r="U90" s="20"/>
      <c r="V90" s="20"/>
      <c r="W90" s="20">
        <v>0</v>
      </c>
      <c r="X90" s="20"/>
    </row>
    <row r="91" spans="1:26" s="4" customFormat="1" ht="15" customHeight="1">
      <c r="A91" s="16">
        <v>77</v>
      </c>
      <c r="D91" s="16"/>
      <c r="E91" s="13"/>
      <c r="F91" s="13"/>
      <c r="G91" s="13"/>
      <c r="H91" s="13"/>
      <c r="I91" s="13"/>
      <c r="J91" s="13"/>
      <c r="K91" s="153"/>
      <c r="L91" s="16"/>
      <c r="M91" s="13"/>
      <c r="N91" s="24"/>
      <c r="O91" s="13"/>
      <c r="P91" s="13"/>
      <c r="Q91" s="13"/>
      <c r="R91" s="13"/>
      <c r="S91" s="20"/>
      <c r="T91" s="20"/>
      <c r="U91" s="20"/>
      <c r="V91" s="20"/>
      <c r="W91" s="20">
        <v>0</v>
      </c>
      <c r="X91" s="20"/>
    </row>
    <row r="92" spans="1:26" s="4" customFormat="1" ht="15" customHeight="1">
      <c r="A92" s="16">
        <v>78</v>
      </c>
      <c r="B92" s="8"/>
      <c r="C92" s="59" t="s">
        <v>266</v>
      </c>
      <c r="D92" s="18" t="s">
        <v>305</v>
      </c>
      <c r="E92" s="13"/>
      <c r="F92" s="13"/>
      <c r="G92" s="13"/>
      <c r="H92" s="13"/>
      <c r="I92" s="13"/>
      <c r="J92" s="13"/>
      <c r="K92" s="153"/>
      <c r="L92" s="16"/>
      <c r="M92" s="13"/>
      <c r="N92" s="16"/>
      <c r="O92" s="13"/>
      <c r="P92" s="13"/>
      <c r="Q92" s="13"/>
      <c r="R92" s="13"/>
      <c r="S92" s="20"/>
      <c r="T92" s="20"/>
      <c r="U92" s="20"/>
      <c r="V92" s="20"/>
      <c r="W92" s="20">
        <v>0</v>
      </c>
      <c r="X92" s="20"/>
    </row>
    <row r="93" spans="1:26" s="4" customFormat="1" ht="15" customHeight="1">
      <c r="A93" s="16">
        <v>79</v>
      </c>
      <c r="B93" s="4" t="s">
        <v>267</v>
      </c>
      <c r="C93" s="4" t="s">
        <v>260</v>
      </c>
      <c r="D93" s="16"/>
      <c r="E93" s="150">
        <v>0</v>
      </c>
      <c r="F93" s="150">
        <v>0</v>
      </c>
      <c r="G93" s="150">
        <v>0</v>
      </c>
      <c r="H93" s="150">
        <f>+E93-F93+G93</f>
        <v>0</v>
      </c>
      <c r="I93" s="150">
        <f>+'[2]Labor Summary'!N58</f>
        <v>0</v>
      </c>
      <c r="J93" s="150">
        <f>+H93+I93</f>
        <v>0</v>
      </c>
      <c r="K93" s="153">
        <v>1</v>
      </c>
      <c r="L93" s="150">
        <f>+J93*K93</f>
        <v>0</v>
      </c>
      <c r="M93" s="13"/>
      <c r="N93" s="16"/>
      <c r="O93" s="150">
        <f>ROUND(+'[1]Total Labor Summary'!C57+'[2]Labor Summary'!D58,2)</f>
        <v>0</v>
      </c>
      <c r="P93" s="150">
        <f>ROUND(+'[1]Total Labor Summary'!D57+'[2]Labor Summary'!E58,2)</f>
        <v>0</v>
      </c>
      <c r="Q93" s="150">
        <f>ROUND(+'[1]Total Labor Summary'!E57+'[2]Labor Summary'!F58,2)</f>
        <v>0</v>
      </c>
      <c r="R93" s="150">
        <f t="shared" ref="R93" si="68">SUM(O93:Q93)</f>
        <v>0</v>
      </c>
      <c r="S93" s="150">
        <f>ROUND(+'[1]Total Labor Summary'!G57+'[2]Labor Summary'!H58,2)</f>
        <v>0</v>
      </c>
      <c r="T93" s="150">
        <f>ROUND(+'[1]Total Labor Summary'!H57+'[2]Labor Summary'!I58,2)</f>
        <v>0</v>
      </c>
      <c r="U93" s="150">
        <f t="shared" ref="U93" si="69">SUM(S93:T93)</f>
        <v>0</v>
      </c>
      <c r="V93" s="150">
        <f>ROUND(+'[1]Total Labor Summary'!J57+'[2]Labor Summary'!K58,2)</f>
        <v>0</v>
      </c>
      <c r="W93" s="150">
        <f>ROUND(+'[1]Total Labor Summary'!K57+'[2]Labor Summary'!L58,2)</f>
        <v>0</v>
      </c>
      <c r="X93" s="150">
        <f t="shared" ref="X93:X97" si="70">+R93+U93+V93+W93</f>
        <v>0</v>
      </c>
      <c r="Y93" s="4" t="b">
        <f>ROUND(X93,2)=ROUND(L93,2)</f>
        <v>1</v>
      </c>
      <c r="Z93" s="169">
        <f>+L93-X93</f>
        <v>0</v>
      </c>
    </row>
    <row r="94" spans="1:26" s="4" customFormat="1" ht="15" customHeight="1">
      <c r="A94" s="16">
        <v>80</v>
      </c>
      <c r="B94" s="4" t="s">
        <v>285</v>
      </c>
      <c r="C94" s="4" t="s">
        <v>333</v>
      </c>
      <c r="D94" s="16"/>
      <c r="E94" s="13">
        <v>0</v>
      </c>
      <c r="F94" s="13">
        <v>0</v>
      </c>
      <c r="G94" s="13">
        <v>0</v>
      </c>
      <c r="H94" s="13">
        <f>+E94-F94+G94</f>
        <v>0</v>
      </c>
      <c r="I94" s="13">
        <f>+'[2]Labor Summary'!N59</f>
        <v>0</v>
      </c>
      <c r="J94" s="13">
        <f>+H94+I94</f>
        <v>0</v>
      </c>
      <c r="K94" s="153">
        <v>1</v>
      </c>
      <c r="L94" s="104">
        <f>+J94*K94</f>
        <v>0</v>
      </c>
      <c r="M94" s="13"/>
      <c r="N94" s="16"/>
      <c r="O94" s="13">
        <f>ROUND(+'[1]Total Labor Summary'!C58+'[2]Labor Summary'!D59,2)</f>
        <v>0</v>
      </c>
      <c r="P94" s="13">
        <f>ROUND(+'[1]Total Labor Summary'!D58+'[2]Labor Summary'!E59,2)</f>
        <v>0</v>
      </c>
      <c r="Q94" s="13">
        <f>ROUND(+'[1]Total Labor Summary'!E58+'[2]Labor Summary'!F59,2)</f>
        <v>0</v>
      </c>
      <c r="R94" s="13">
        <f t="shared" ref="R94:R97" si="71">SUM(O94:Q94)</f>
        <v>0</v>
      </c>
      <c r="S94" s="13">
        <f>ROUND(+'[1]Total Labor Summary'!G58+'[2]Labor Summary'!H59,2)</f>
        <v>0</v>
      </c>
      <c r="T94" s="13">
        <f>ROUND(+'[1]Total Labor Summary'!H58+'[2]Labor Summary'!I59,2)</f>
        <v>0</v>
      </c>
      <c r="U94" s="13">
        <f t="shared" ref="U94:U97" si="72">SUM(S94:T94)</f>
        <v>0</v>
      </c>
      <c r="V94" s="13">
        <f>ROUND(+'[1]Total Labor Summary'!J58+'[2]Labor Summary'!K59,2)</f>
        <v>0</v>
      </c>
      <c r="W94" s="13">
        <f>ROUND(+'[1]Total Labor Summary'!K58+'[2]Labor Summary'!L59,2)</f>
        <v>0</v>
      </c>
      <c r="X94" s="20">
        <f t="shared" si="70"/>
        <v>0</v>
      </c>
      <c r="Y94" s="4" t="b">
        <f>ROUND(X94,2)=ROUND(L94,2)</f>
        <v>1</v>
      </c>
      <c r="Z94" s="169">
        <f>+L94-X94</f>
        <v>0</v>
      </c>
    </row>
    <row r="95" spans="1:26" s="4" customFormat="1" ht="15" customHeight="1">
      <c r="A95" s="16">
        <v>81</v>
      </c>
      <c r="B95" s="4" t="s">
        <v>286</v>
      </c>
      <c r="C95" s="4" t="s">
        <v>334</v>
      </c>
      <c r="D95" s="16"/>
      <c r="E95" s="13">
        <v>0</v>
      </c>
      <c r="F95" s="13">
        <v>0</v>
      </c>
      <c r="G95" s="13">
        <v>0</v>
      </c>
      <c r="H95" s="13">
        <f>+E95-F95+G95</f>
        <v>0</v>
      </c>
      <c r="I95" s="13">
        <f>+'[2]Labor Summary'!N60</f>
        <v>0</v>
      </c>
      <c r="J95" s="13">
        <f>+H95+I95</f>
        <v>0</v>
      </c>
      <c r="K95" s="153">
        <v>1</v>
      </c>
      <c r="L95" s="104">
        <f>+J95*K95</f>
        <v>0</v>
      </c>
      <c r="M95" s="13"/>
      <c r="N95" s="16"/>
      <c r="O95" s="13">
        <f>ROUND(+'[1]Total Labor Summary'!C59+'[2]Labor Summary'!D60,2)</f>
        <v>0</v>
      </c>
      <c r="P95" s="13">
        <f>ROUND(+'[1]Total Labor Summary'!D59+'[2]Labor Summary'!E60,2)</f>
        <v>0</v>
      </c>
      <c r="Q95" s="13">
        <f>ROUND(+'[1]Total Labor Summary'!E59+'[2]Labor Summary'!F60,2)</f>
        <v>0</v>
      </c>
      <c r="R95" s="13">
        <f t="shared" si="71"/>
        <v>0</v>
      </c>
      <c r="S95" s="13">
        <f>ROUND(+'[1]Total Labor Summary'!G59+'[2]Labor Summary'!H60,2)</f>
        <v>0</v>
      </c>
      <c r="T95" s="13">
        <f>ROUND(+'[1]Total Labor Summary'!H59+'[2]Labor Summary'!I60,2)</f>
        <v>0</v>
      </c>
      <c r="U95" s="13">
        <f t="shared" si="72"/>
        <v>0</v>
      </c>
      <c r="V95" s="13">
        <f>ROUND(+'[1]Total Labor Summary'!J59+'[2]Labor Summary'!K60,2)</f>
        <v>0</v>
      </c>
      <c r="W95" s="13">
        <f>ROUND(+'[1]Total Labor Summary'!K59+'[2]Labor Summary'!L60,2)</f>
        <v>0</v>
      </c>
      <c r="X95" s="20">
        <f t="shared" si="70"/>
        <v>0</v>
      </c>
      <c r="Y95" s="4" t="b">
        <f>ROUND(X95,2)=ROUND(L95,2)</f>
        <v>1</v>
      </c>
      <c r="Z95" s="169">
        <f>+L95-X95</f>
        <v>0</v>
      </c>
    </row>
    <row r="96" spans="1:26" s="4" customFormat="1" ht="15" customHeight="1">
      <c r="A96" s="16">
        <v>82</v>
      </c>
      <c r="B96" s="4" t="s">
        <v>268</v>
      </c>
      <c r="C96" s="4" t="s">
        <v>335</v>
      </c>
      <c r="D96" s="16"/>
      <c r="E96" s="13">
        <v>0</v>
      </c>
      <c r="F96" s="13">
        <v>0</v>
      </c>
      <c r="G96" s="13">
        <v>0</v>
      </c>
      <c r="H96" s="13">
        <f>+E96-F96+G96</f>
        <v>0</v>
      </c>
      <c r="I96" s="13">
        <f>+'[2]Labor Summary'!N61</f>
        <v>0</v>
      </c>
      <c r="J96" s="13">
        <f>+H96+I96</f>
        <v>0</v>
      </c>
      <c r="K96" s="153">
        <v>1</v>
      </c>
      <c r="L96" s="104">
        <f>+J96*K96</f>
        <v>0</v>
      </c>
      <c r="M96" s="13"/>
      <c r="N96" s="16"/>
      <c r="O96" s="13">
        <f>ROUND(+'[1]Total Labor Summary'!C60+'[2]Labor Summary'!D61,2)</f>
        <v>0</v>
      </c>
      <c r="P96" s="13">
        <f>ROUND(+'[1]Total Labor Summary'!D60+'[2]Labor Summary'!E61,2)</f>
        <v>0</v>
      </c>
      <c r="Q96" s="13">
        <f>ROUND(+'[1]Total Labor Summary'!E60+'[2]Labor Summary'!F61,2)</f>
        <v>0</v>
      </c>
      <c r="R96" s="13">
        <f t="shared" si="71"/>
        <v>0</v>
      </c>
      <c r="S96" s="13">
        <f>ROUND(+'[1]Total Labor Summary'!G60+'[2]Labor Summary'!H61,2)</f>
        <v>0</v>
      </c>
      <c r="T96" s="13">
        <f>ROUND(+'[1]Total Labor Summary'!H60+'[2]Labor Summary'!I61,2)</f>
        <v>0</v>
      </c>
      <c r="U96" s="13">
        <f t="shared" si="72"/>
        <v>0</v>
      </c>
      <c r="V96" s="13">
        <f>ROUND(+'[1]Total Labor Summary'!J60+'[2]Labor Summary'!K61,2)</f>
        <v>0</v>
      </c>
      <c r="W96" s="13">
        <f>ROUND(+'[1]Total Labor Summary'!K60+'[2]Labor Summary'!L61,2)</f>
        <v>0</v>
      </c>
      <c r="X96" s="20">
        <f t="shared" si="70"/>
        <v>0</v>
      </c>
      <c r="Y96" s="4" t="b">
        <f>ROUND(X96,2)=ROUND(L96,2)</f>
        <v>1</v>
      </c>
      <c r="Z96" s="169">
        <f>+L96-X96</f>
        <v>0</v>
      </c>
    </row>
    <row r="97" spans="1:27" s="8" customFormat="1" ht="15" customHeight="1">
      <c r="A97" s="16">
        <v>83</v>
      </c>
      <c r="B97" s="4" t="s">
        <v>287</v>
      </c>
      <c r="C97" s="4" t="s">
        <v>336</v>
      </c>
      <c r="D97" s="16"/>
      <c r="E97" s="13">
        <v>0</v>
      </c>
      <c r="F97" s="13">
        <v>0</v>
      </c>
      <c r="G97" s="13">
        <v>0</v>
      </c>
      <c r="H97" s="13">
        <f>+E97-F97+G97</f>
        <v>0</v>
      </c>
      <c r="I97" s="13">
        <f>+'[2]Labor Summary'!N62</f>
        <v>0</v>
      </c>
      <c r="J97" s="13">
        <f>+H97+I97</f>
        <v>0</v>
      </c>
      <c r="K97" s="153">
        <v>1</v>
      </c>
      <c r="L97" s="104">
        <f>+J97*K97</f>
        <v>0</v>
      </c>
      <c r="M97" s="19"/>
      <c r="N97" s="16"/>
      <c r="O97" s="13">
        <f>ROUND(+'[1]Total Labor Summary'!C61+'[2]Labor Summary'!D62,2)</f>
        <v>0</v>
      </c>
      <c r="P97" s="13">
        <f>ROUND(+'[1]Total Labor Summary'!D61+'[2]Labor Summary'!E62,2)</f>
        <v>0</v>
      </c>
      <c r="Q97" s="13">
        <f>ROUND(+'[1]Total Labor Summary'!E61+'[2]Labor Summary'!F62,2)</f>
        <v>0</v>
      </c>
      <c r="R97" s="13">
        <f t="shared" si="71"/>
        <v>0</v>
      </c>
      <c r="S97" s="13">
        <f>ROUND(+'[1]Total Labor Summary'!G61+'[2]Labor Summary'!H62,2)</f>
        <v>0</v>
      </c>
      <c r="T97" s="13">
        <f>ROUND(+'[1]Total Labor Summary'!H61+'[2]Labor Summary'!I62,2)</f>
        <v>0</v>
      </c>
      <c r="U97" s="13">
        <f t="shared" si="72"/>
        <v>0</v>
      </c>
      <c r="V97" s="13">
        <f>ROUND(+'[1]Total Labor Summary'!J61+'[2]Labor Summary'!K62,2)</f>
        <v>0</v>
      </c>
      <c r="W97" s="13">
        <f>ROUND(+'[1]Total Labor Summary'!K61+'[2]Labor Summary'!L62,2)</f>
        <v>0</v>
      </c>
      <c r="X97" s="20">
        <f t="shared" si="70"/>
        <v>0</v>
      </c>
      <c r="Y97" s="4" t="b">
        <f>ROUND(X97,2)=ROUND(L97,2)</f>
        <v>1</v>
      </c>
      <c r="Z97" s="169">
        <f>+L97-X97</f>
        <v>0</v>
      </c>
    </row>
    <row r="98" spans="1:27" s="4" customFormat="1" ht="15" customHeight="1">
      <c r="A98" s="16">
        <v>84</v>
      </c>
      <c r="C98" s="22"/>
      <c r="D98" s="16"/>
      <c r="E98" s="123"/>
      <c r="F98" s="123"/>
      <c r="G98" s="123"/>
      <c r="H98" s="123"/>
      <c r="I98" s="123"/>
      <c r="J98" s="123"/>
      <c r="K98" s="153"/>
      <c r="L98" s="123"/>
      <c r="M98" s="13"/>
      <c r="N98" s="18"/>
      <c r="O98" s="123"/>
      <c r="P98" s="123"/>
      <c r="Q98" s="123"/>
      <c r="R98" s="123"/>
      <c r="S98" s="123"/>
      <c r="T98" s="123"/>
      <c r="U98" s="123"/>
      <c r="V98" s="123"/>
      <c r="W98" s="123">
        <v>0</v>
      </c>
      <c r="X98" s="123"/>
    </row>
    <row r="99" spans="1:27" s="8" customFormat="1" ht="15" customHeight="1">
      <c r="A99" s="16">
        <v>85</v>
      </c>
      <c r="B99" s="8" t="s">
        <v>36</v>
      </c>
      <c r="D99" s="18" t="s">
        <v>305</v>
      </c>
      <c r="E99" s="176">
        <f t="shared" ref="E99:J99" si="73">SUM(E93:E97)</f>
        <v>0</v>
      </c>
      <c r="F99" s="176">
        <f t="shared" si="73"/>
        <v>0</v>
      </c>
      <c r="G99" s="176">
        <f t="shared" si="73"/>
        <v>0</v>
      </c>
      <c r="H99" s="176">
        <f t="shared" si="73"/>
        <v>0</v>
      </c>
      <c r="I99" s="176">
        <f>SUM(I93:I97)</f>
        <v>0</v>
      </c>
      <c r="J99" s="176">
        <f t="shared" si="73"/>
        <v>0</v>
      </c>
      <c r="K99" s="176"/>
      <c r="L99" s="176">
        <f>SUM(L93:L97)</f>
        <v>0</v>
      </c>
      <c r="M99" s="176"/>
      <c r="N99" s="176"/>
      <c r="O99" s="176">
        <f t="shared" ref="O99" si="74">SUM(O93:O97)</f>
        <v>0</v>
      </c>
      <c r="P99" s="176">
        <f t="shared" ref="P99:X99" si="75">SUM(P93:P97)</f>
        <v>0</v>
      </c>
      <c r="Q99" s="176">
        <f t="shared" si="75"/>
        <v>0</v>
      </c>
      <c r="R99" s="176">
        <f t="shared" si="75"/>
        <v>0</v>
      </c>
      <c r="S99" s="176">
        <f t="shared" si="75"/>
        <v>0</v>
      </c>
      <c r="T99" s="176">
        <f t="shared" si="75"/>
        <v>0</v>
      </c>
      <c r="U99" s="176">
        <f t="shared" si="75"/>
        <v>0</v>
      </c>
      <c r="V99" s="176">
        <f t="shared" si="75"/>
        <v>0</v>
      </c>
      <c r="W99" s="176">
        <f t="shared" si="75"/>
        <v>0</v>
      </c>
      <c r="X99" s="176">
        <f t="shared" si="75"/>
        <v>0</v>
      </c>
      <c r="Y99" s="4" t="b">
        <f>ROUND(X99,2)=ROUND(L99,2)</f>
        <v>1</v>
      </c>
      <c r="Z99" s="169">
        <f>+L99-X99</f>
        <v>0</v>
      </c>
    </row>
    <row r="100" spans="1:27" s="4" customFormat="1" ht="15" customHeight="1">
      <c r="A100" s="16">
        <v>86</v>
      </c>
      <c r="C100" s="60"/>
      <c r="D100" s="16"/>
      <c r="E100" s="13"/>
      <c r="F100" s="13"/>
      <c r="G100" s="13"/>
      <c r="H100" s="13"/>
      <c r="I100" s="13"/>
      <c r="J100" s="13"/>
      <c r="K100" s="153"/>
      <c r="L100" s="24"/>
      <c r="M100" s="13"/>
      <c r="N100" s="16"/>
      <c r="O100" s="13"/>
      <c r="P100" s="13"/>
      <c r="Q100" s="13"/>
      <c r="R100" s="13"/>
      <c r="S100" s="13"/>
      <c r="T100" s="13"/>
      <c r="U100" s="13"/>
      <c r="V100" s="13"/>
      <c r="W100" s="13"/>
      <c r="X100" s="13"/>
    </row>
    <row r="101" spans="1:27" s="8" customFormat="1" ht="15" customHeight="1">
      <c r="A101" s="16">
        <v>87</v>
      </c>
      <c r="C101" s="61"/>
      <c r="D101" s="18"/>
      <c r="E101" s="19"/>
      <c r="F101" s="19"/>
      <c r="G101" s="19"/>
      <c r="H101" s="19"/>
      <c r="I101" s="19"/>
      <c r="J101" s="19"/>
      <c r="K101" s="154"/>
      <c r="L101" s="25"/>
      <c r="M101" s="19"/>
      <c r="N101" s="58"/>
      <c r="O101" s="19"/>
      <c r="P101" s="19"/>
      <c r="Q101" s="19"/>
      <c r="R101" s="19"/>
      <c r="S101" s="19"/>
      <c r="T101" s="19"/>
      <c r="U101" s="19"/>
      <c r="V101" s="19"/>
      <c r="W101" s="19"/>
      <c r="X101" s="19"/>
    </row>
    <row r="102" spans="1:27" s="8" customFormat="1" ht="15" customHeight="1">
      <c r="A102" s="16">
        <v>88</v>
      </c>
      <c r="B102" s="8" t="s">
        <v>125</v>
      </c>
      <c r="D102" s="18" t="s">
        <v>305</v>
      </c>
      <c r="E102" s="176">
        <f t="shared" ref="E102:J102" si="76">+E99+E89+E79+E69+E38</f>
        <v>230712270.90999997</v>
      </c>
      <c r="F102" s="176">
        <f t="shared" si="76"/>
        <v>0</v>
      </c>
      <c r="G102" s="176">
        <f t="shared" si="76"/>
        <v>0</v>
      </c>
      <c r="H102" s="176">
        <f t="shared" si="76"/>
        <v>230712270.90999997</v>
      </c>
      <c r="I102" s="176">
        <f>+I99+I89+I79+I69+I38</f>
        <v>21285739.32</v>
      </c>
      <c r="J102" s="176">
        <f t="shared" si="76"/>
        <v>251998010.22999996</v>
      </c>
      <c r="K102" s="176"/>
      <c r="L102" s="176">
        <f>+L99+L89+L79+L69+L38</f>
        <v>251998010.22999996</v>
      </c>
      <c r="M102" s="176"/>
      <c r="N102" s="176"/>
      <c r="O102" s="176">
        <f t="shared" ref="O102" si="77">+O99+O89+O79+O69+O38</f>
        <v>57623646.980000004</v>
      </c>
      <c r="P102" s="176">
        <f t="shared" ref="P102:X102" si="78">+P99+P89+P79+P69+P38</f>
        <v>0</v>
      </c>
      <c r="Q102" s="176">
        <f t="shared" si="78"/>
        <v>0</v>
      </c>
      <c r="R102" s="176">
        <f t="shared" si="78"/>
        <v>57623646.980000004</v>
      </c>
      <c r="S102" s="176">
        <f t="shared" si="78"/>
        <v>154052267.75999999</v>
      </c>
      <c r="T102" s="176">
        <f t="shared" si="78"/>
        <v>0</v>
      </c>
      <c r="U102" s="176">
        <f t="shared" si="78"/>
        <v>154052267.75999999</v>
      </c>
      <c r="V102" s="176">
        <f t="shared" si="78"/>
        <v>38734366.330000006</v>
      </c>
      <c r="W102" s="176">
        <f t="shared" si="78"/>
        <v>1587729.1600000001</v>
      </c>
      <c r="X102" s="176">
        <f t="shared" si="78"/>
        <v>251998010.22999999</v>
      </c>
      <c r="Y102" s="4" t="b">
        <f>ROUND(X102,2)=ROUND(L102,2)</f>
        <v>1</v>
      </c>
      <c r="Z102" s="169">
        <f>+L102-X102</f>
        <v>0</v>
      </c>
    </row>
    <row r="103" spans="1:27" s="4" customFormat="1" ht="15" customHeight="1">
      <c r="A103" s="16">
        <v>89</v>
      </c>
      <c r="C103" s="8"/>
      <c r="D103" s="13"/>
      <c r="E103" s="13"/>
      <c r="F103" s="13"/>
      <c r="G103" s="13"/>
      <c r="H103" s="13"/>
      <c r="I103" s="13"/>
      <c r="J103" s="13"/>
      <c r="K103" s="153"/>
      <c r="L103" s="24"/>
      <c r="M103" s="13"/>
      <c r="N103" s="18"/>
      <c r="O103" s="13"/>
      <c r="P103" s="13"/>
      <c r="Q103" s="13"/>
      <c r="R103" s="13"/>
      <c r="S103" s="13"/>
      <c r="T103" s="13"/>
      <c r="U103" s="13"/>
      <c r="V103" s="13"/>
      <c r="W103" s="13">
        <v>0</v>
      </c>
    </row>
    <row r="104" spans="1:27" s="4" customFormat="1" ht="15" customHeight="1">
      <c r="A104" s="16">
        <v>90</v>
      </c>
      <c r="B104" s="8" t="s">
        <v>187</v>
      </c>
      <c r="C104" s="8"/>
      <c r="D104" s="18" t="s">
        <v>305</v>
      </c>
      <c r="E104" s="13"/>
      <c r="F104" s="13"/>
      <c r="G104" s="13"/>
      <c r="H104" s="13"/>
      <c r="I104" s="13"/>
      <c r="J104" s="13"/>
      <c r="K104" s="153"/>
      <c r="L104" s="24"/>
      <c r="M104" s="13"/>
      <c r="N104" s="18"/>
      <c r="O104" s="13"/>
      <c r="P104" s="13"/>
      <c r="Q104" s="13"/>
      <c r="R104" s="13"/>
      <c r="S104" s="13"/>
      <c r="T104" s="13"/>
      <c r="U104" s="13"/>
      <c r="V104" s="13"/>
      <c r="W104" s="13"/>
    </row>
    <row r="105" spans="1:27" s="4" customFormat="1" ht="15" customHeight="1">
      <c r="A105" s="16">
        <v>91</v>
      </c>
      <c r="B105" s="4" t="s">
        <v>269</v>
      </c>
      <c r="C105" s="4" t="s">
        <v>337</v>
      </c>
      <c r="D105" s="16"/>
      <c r="E105" s="150">
        <v>133792686.03999996</v>
      </c>
      <c r="F105" s="150">
        <v>0</v>
      </c>
      <c r="G105" s="150">
        <v>0</v>
      </c>
      <c r="H105" s="150">
        <f t="shared" ref="H105:H117" si="79">+E105-F105+G105</f>
        <v>133792686.03999996</v>
      </c>
      <c r="I105" s="150">
        <f>+'[2]Labor Summary'!N65</f>
        <v>1395352.1700000002</v>
      </c>
      <c r="J105" s="150">
        <f t="shared" ref="J105:J117" si="80">+H105+I105</f>
        <v>135188038.20999995</v>
      </c>
      <c r="K105" s="153">
        <v>1</v>
      </c>
      <c r="L105" s="150">
        <f t="shared" ref="L105:L117" si="81">+J105*K105</f>
        <v>135188038.20999995</v>
      </c>
      <c r="M105" s="13"/>
      <c r="N105" s="16"/>
      <c r="O105" s="150">
        <f>+'[1]Total Labor Summary'!C64+'[2]Labor Summary'!D65</f>
        <v>28160796.329999994</v>
      </c>
      <c r="P105" s="150">
        <f>+'[1]Total Labor Summary'!D64+'[2]Labor Summary'!E65</f>
        <v>0</v>
      </c>
      <c r="Q105" s="150">
        <f>+'[1]Total Labor Summary'!E64+'[2]Labor Summary'!F65</f>
        <v>0</v>
      </c>
      <c r="R105" s="150">
        <f t="shared" ref="R105" si="82">SUM(O105:Q105)</f>
        <v>28160796.329999994</v>
      </c>
      <c r="S105" s="150">
        <f>+'[1]Total Labor Summary'!G64+'[2]Labor Summary'!H65</f>
        <v>67365447.639999986</v>
      </c>
      <c r="T105" s="150">
        <f>+'[1]Total Labor Summary'!H64+'[2]Labor Summary'!I65</f>
        <v>0</v>
      </c>
      <c r="U105" s="150">
        <f t="shared" ref="U105" si="83">SUM(S105:T105)</f>
        <v>67365447.639999986</v>
      </c>
      <c r="V105" s="150">
        <f>+'[1]Total Labor Summary'!J64+'[2]Labor Summary'!K65</f>
        <v>18757079.369999997</v>
      </c>
      <c r="W105" s="150">
        <f>+'[1]Total Labor Summary'!K64+'[2]Labor Summary'!L65</f>
        <v>20904714.86999999</v>
      </c>
      <c r="X105" s="150">
        <f t="shared" ref="X105:X117" si="84">+R105+U105+V105+W105</f>
        <v>135188038.20999998</v>
      </c>
      <c r="Y105" s="4" t="b">
        <f t="shared" ref="Y105:Y117" si="85">ROUND(X105,2)=ROUND(L105,2)</f>
        <v>1</v>
      </c>
      <c r="Z105" s="169">
        <f t="shared" ref="Z105:Z117" si="86">+L105-X105</f>
        <v>0</v>
      </c>
      <c r="AA105" s="304"/>
    </row>
    <row r="106" spans="1:27" s="4" customFormat="1" ht="15" customHeight="1">
      <c r="A106" s="16">
        <v>92</v>
      </c>
      <c r="B106" s="4" t="s">
        <v>270</v>
      </c>
      <c r="C106" s="4" t="s">
        <v>338</v>
      </c>
      <c r="D106" s="16"/>
      <c r="E106" s="13">
        <v>0</v>
      </c>
      <c r="F106" s="13">
        <v>0</v>
      </c>
      <c r="G106" s="13">
        <v>0</v>
      </c>
      <c r="H106" s="13">
        <f t="shared" si="79"/>
        <v>0</v>
      </c>
      <c r="I106" s="13">
        <f>+'[2]Labor Summary'!N66</f>
        <v>0</v>
      </c>
      <c r="J106" s="13">
        <f t="shared" si="80"/>
        <v>0</v>
      </c>
      <c r="K106" s="153">
        <v>1</v>
      </c>
      <c r="L106" s="104">
        <f t="shared" si="81"/>
        <v>0</v>
      </c>
      <c r="M106" s="13"/>
      <c r="N106" s="16"/>
      <c r="O106" s="13">
        <f>+'[1]Total Labor Summary'!C65+'[2]Labor Summary'!D66</f>
        <v>0</v>
      </c>
      <c r="P106" s="13">
        <f>+'[1]Total Labor Summary'!D65+'[2]Labor Summary'!E66</f>
        <v>0</v>
      </c>
      <c r="Q106" s="13">
        <f>+'[1]Total Labor Summary'!E65+'[2]Labor Summary'!F66</f>
        <v>0</v>
      </c>
      <c r="R106" s="13">
        <f t="shared" ref="R106:R117" si="87">SUM(O106:Q106)</f>
        <v>0</v>
      </c>
      <c r="S106" s="13">
        <f>+'[1]Total Labor Summary'!G65+'[2]Labor Summary'!H66</f>
        <v>0</v>
      </c>
      <c r="T106" s="13">
        <f>+'[1]Total Labor Summary'!H65+'[2]Labor Summary'!I66</f>
        <v>0</v>
      </c>
      <c r="U106" s="13">
        <f t="shared" ref="U106:U117" si="88">SUM(S106:T106)</f>
        <v>0</v>
      </c>
      <c r="V106" s="13">
        <f>+'[1]Total Labor Summary'!J65+'[2]Labor Summary'!K66</f>
        <v>0</v>
      </c>
      <c r="W106" s="13">
        <f>+'[1]Total Labor Summary'!K65+'[2]Labor Summary'!L66</f>
        <v>0</v>
      </c>
      <c r="X106" s="20">
        <f t="shared" si="84"/>
        <v>0</v>
      </c>
      <c r="Y106" s="4" t="b">
        <f t="shared" si="85"/>
        <v>1</v>
      </c>
      <c r="Z106" s="169">
        <f t="shared" si="86"/>
        <v>0</v>
      </c>
    </row>
    <row r="107" spans="1:27" s="4" customFormat="1" ht="15" customHeight="1">
      <c r="A107" s="16">
        <v>93</v>
      </c>
      <c r="B107" s="4" t="s">
        <v>271</v>
      </c>
      <c r="C107" s="4" t="s">
        <v>339</v>
      </c>
      <c r="D107" s="16"/>
      <c r="E107" s="13">
        <v>0</v>
      </c>
      <c r="F107" s="13">
        <v>0</v>
      </c>
      <c r="G107" s="13">
        <v>0</v>
      </c>
      <c r="H107" s="13">
        <f t="shared" si="79"/>
        <v>0</v>
      </c>
      <c r="I107" s="13">
        <f>+'[2]Labor Summary'!N67</f>
        <v>0</v>
      </c>
      <c r="J107" s="13">
        <f t="shared" si="80"/>
        <v>0</v>
      </c>
      <c r="K107" s="153">
        <v>1</v>
      </c>
      <c r="L107" s="104">
        <f t="shared" si="81"/>
        <v>0</v>
      </c>
      <c r="M107" s="13"/>
      <c r="N107" s="16"/>
      <c r="O107" s="13">
        <f>+'[1]Total Labor Summary'!C66+'[2]Labor Summary'!D67</f>
        <v>0</v>
      </c>
      <c r="P107" s="13">
        <f>+'[1]Total Labor Summary'!D66+'[2]Labor Summary'!E67</f>
        <v>0</v>
      </c>
      <c r="Q107" s="13">
        <f>+'[1]Total Labor Summary'!E66+'[2]Labor Summary'!F67</f>
        <v>0</v>
      </c>
      <c r="R107" s="13">
        <f t="shared" si="87"/>
        <v>0</v>
      </c>
      <c r="S107" s="13">
        <f>+'[1]Total Labor Summary'!G66+'[2]Labor Summary'!H67</f>
        <v>0</v>
      </c>
      <c r="T107" s="13">
        <f>+'[1]Total Labor Summary'!H66+'[2]Labor Summary'!I67</f>
        <v>0</v>
      </c>
      <c r="U107" s="13">
        <f t="shared" si="88"/>
        <v>0</v>
      </c>
      <c r="V107" s="13">
        <f>+'[1]Total Labor Summary'!J66+'[2]Labor Summary'!K67</f>
        <v>0</v>
      </c>
      <c r="W107" s="13">
        <f>+'[1]Total Labor Summary'!K66+'[2]Labor Summary'!L67</f>
        <v>0</v>
      </c>
      <c r="X107" s="20">
        <f t="shared" si="84"/>
        <v>0</v>
      </c>
      <c r="Y107" s="4" t="b">
        <f t="shared" si="85"/>
        <v>1</v>
      </c>
      <c r="Z107" s="169">
        <f t="shared" si="86"/>
        <v>0</v>
      </c>
    </row>
    <row r="108" spans="1:27" s="4" customFormat="1" ht="15" customHeight="1">
      <c r="A108" s="16">
        <v>94</v>
      </c>
      <c r="B108" s="4" t="s">
        <v>272</v>
      </c>
      <c r="C108" s="4" t="s">
        <v>340</v>
      </c>
      <c r="D108" s="16"/>
      <c r="E108" s="13">
        <v>0</v>
      </c>
      <c r="F108" s="13">
        <v>0</v>
      </c>
      <c r="G108" s="13">
        <v>0</v>
      </c>
      <c r="H108" s="13">
        <f t="shared" si="79"/>
        <v>0</v>
      </c>
      <c r="I108" s="13">
        <f>+'[2]Labor Summary'!N68</f>
        <v>0</v>
      </c>
      <c r="J108" s="13">
        <f t="shared" si="80"/>
        <v>0</v>
      </c>
      <c r="K108" s="153">
        <v>1</v>
      </c>
      <c r="L108" s="104">
        <f t="shared" si="81"/>
        <v>0</v>
      </c>
      <c r="M108" s="13"/>
      <c r="N108" s="16"/>
      <c r="O108" s="13">
        <f>+'[1]Total Labor Summary'!C67+'[2]Labor Summary'!D68</f>
        <v>0</v>
      </c>
      <c r="P108" s="13">
        <f>+'[1]Total Labor Summary'!D67+'[2]Labor Summary'!E68</f>
        <v>0</v>
      </c>
      <c r="Q108" s="13">
        <f>+'[1]Total Labor Summary'!E67+'[2]Labor Summary'!F68</f>
        <v>0</v>
      </c>
      <c r="R108" s="13">
        <f t="shared" si="87"/>
        <v>0</v>
      </c>
      <c r="S108" s="13">
        <f>+'[1]Total Labor Summary'!G67+'[2]Labor Summary'!H68</f>
        <v>0</v>
      </c>
      <c r="T108" s="13">
        <f>+'[1]Total Labor Summary'!H67+'[2]Labor Summary'!I68</f>
        <v>0</v>
      </c>
      <c r="U108" s="13">
        <f t="shared" si="88"/>
        <v>0</v>
      </c>
      <c r="V108" s="13">
        <f>+'[1]Total Labor Summary'!J67+'[2]Labor Summary'!K68</f>
        <v>0</v>
      </c>
      <c r="W108" s="13">
        <f>+'[1]Total Labor Summary'!K67+'[2]Labor Summary'!L68</f>
        <v>0</v>
      </c>
      <c r="X108" s="20">
        <f t="shared" si="84"/>
        <v>0</v>
      </c>
      <c r="Y108" s="4" t="b">
        <f t="shared" si="85"/>
        <v>1</v>
      </c>
      <c r="Z108" s="169">
        <f t="shared" si="86"/>
        <v>0</v>
      </c>
    </row>
    <row r="109" spans="1:27" s="4" customFormat="1" ht="15" customHeight="1">
      <c r="A109" s="16">
        <v>95</v>
      </c>
      <c r="B109" s="4" t="s">
        <v>273</v>
      </c>
      <c r="C109" s="4" t="s">
        <v>341</v>
      </c>
      <c r="D109" s="16"/>
      <c r="E109" s="13">
        <v>0</v>
      </c>
      <c r="F109" s="13">
        <v>0</v>
      </c>
      <c r="G109" s="13">
        <v>0</v>
      </c>
      <c r="H109" s="13">
        <f t="shared" si="79"/>
        <v>0</v>
      </c>
      <c r="I109" s="13">
        <f>+'[2]Labor Summary'!N69</f>
        <v>0</v>
      </c>
      <c r="J109" s="13">
        <f t="shared" si="80"/>
        <v>0</v>
      </c>
      <c r="K109" s="153">
        <v>1</v>
      </c>
      <c r="L109" s="104">
        <f t="shared" si="81"/>
        <v>0</v>
      </c>
      <c r="M109" s="13"/>
      <c r="N109" s="16"/>
      <c r="O109" s="13">
        <f>+'[1]Total Labor Summary'!C68+'[2]Labor Summary'!D69</f>
        <v>0</v>
      </c>
      <c r="P109" s="13">
        <f>+'[1]Total Labor Summary'!D68+'[2]Labor Summary'!E69</f>
        <v>0</v>
      </c>
      <c r="Q109" s="13">
        <f>+'[1]Total Labor Summary'!E68+'[2]Labor Summary'!F69</f>
        <v>0</v>
      </c>
      <c r="R109" s="13">
        <f t="shared" si="87"/>
        <v>0</v>
      </c>
      <c r="S109" s="13">
        <f>+'[1]Total Labor Summary'!G68+'[2]Labor Summary'!H69</f>
        <v>0</v>
      </c>
      <c r="T109" s="13">
        <f>+'[1]Total Labor Summary'!H68+'[2]Labor Summary'!I69</f>
        <v>0</v>
      </c>
      <c r="U109" s="13">
        <f t="shared" si="88"/>
        <v>0</v>
      </c>
      <c r="V109" s="13">
        <f>+'[1]Total Labor Summary'!J68+'[2]Labor Summary'!K69</f>
        <v>0</v>
      </c>
      <c r="W109" s="13">
        <f>+'[1]Total Labor Summary'!K68+'[2]Labor Summary'!L69</f>
        <v>0</v>
      </c>
      <c r="X109" s="20">
        <f t="shared" si="84"/>
        <v>0</v>
      </c>
      <c r="Y109" s="4" t="b">
        <f t="shared" si="85"/>
        <v>1</v>
      </c>
      <c r="Z109" s="169">
        <f t="shared" si="86"/>
        <v>0</v>
      </c>
    </row>
    <row r="110" spans="1:27" s="4" customFormat="1" ht="15" customHeight="1">
      <c r="A110" s="16">
        <v>96</v>
      </c>
      <c r="B110" s="4" t="s">
        <v>274</v>
      </c>
      <c r="C110" s="4" t="s">
        <v>160</v>
      </c>
      <c r="D110" s="16"/>
      <c r="E110" s="13">
        <v>0</v>
      </c>
      <c r="F110" s="13">
        <v>0</v>
      </c>
      <c r="G110" s="13">
        <v>0</v>
      </c>
      <c r="H110" s="13">
        <f t="shared" si="79"/>
        <v>0</v>
      </c>
      <c r="I110" s="13">
        <f>+'[2]Labor Summary'!N70</f>
        <v>0</v>
      </c>
      <c r="J110" s="13">
        <f t="shared" si="80"/>
        <v>0</v>
      </c>
      <c r="K110" s="153">
        <v>1</v>
      </c>
      <c r="L110" s="104">
        <f t="shared" si="81"/>
        <v>0</v>
      </c>
      <c r="M110" s="13"/>
      <c r="N110" s="16"/>
      <c r="O110" s="13">
        <f>+'[1]Total Labor Summary'!C69+'[2]Labor Summary'!D70</f>
        <v>0</v>
      </c>
      <c r="P110" s="13">
        <f>+'[1]Total Labor Summary'!D69+'[2]Labor Summary'!E70</f>
        <v>0</v>
      </c>
      <c r="Q110" s="13">
        <f>+'[1]Total Labor Summary'!E69+'[2]Labor Summary'!F70</f>
        <v>0</v>
      </c>
      <c r="R110" s="13">
        <f t="shared" si="87"/>
        <v>0</v>
      </c>
      <c r="S110" s="13">
        <f>+'[1]Total Labor Summary'!G69+'[2]Labor Summary'!H70</f>
        <v>0</v>
      </c>
      <c r="T110" s="13">
        <f>+'[1]Total Labor Summary'!H69+'[2]Labor Summary'!I70</f>
        <v>0</v>
      </c>
      <c r="U110" s="13">
        <f t="shared" si="88"/>
        <v>0</v>
      </c>
      <c r="V110" s="13">
        <f>+'[1]Total Labor Summary'!J69+'[2]Labor Summary'!K70</f>
        <v>0</v>
      </c>
      <c r="W110" s="13">
        <f>+'[1]Total Labor Summary'!K69+'[2]Labor Summary'!L70</f>
        <v>0</v>
      </c>
      <c r="X110" s="20">
        <f t="shared" si="84"/>
        <v>0</v>
      </c>
      <c r="Y110" s="4" t="b">
        <f t="shared" si="85"/>
        <v>1</v>
      </c>
      <c r="Z110" s="169">
        <f t="shared" si="86"/>
        <v>0</v>
      </c>
    </row>
    <row r="111" spans="1:27" s="4" customFormat="1" ht="15" customHeight="1">
      <c r="A111" s="16">
        <v>97</v>
      </c>
      <c r="B111" s="4" t="s">
        <v>275</v>
      </c>
      <c r="C111" s="4" t="s">
        <v>28</v>
      </c>
      <c r="D111" s="16"/>
      <c r="E111" s="13">
        <v>0</v>
      </c>
      <c r="F111" s="13">
        <v>0</v>
      </c>
      <c r="G111" s="13">
        <v>0</v>
      </c>
      <c r="H111" s="13">
        <f t="shared" si="79"/>
        <v>0</v>
      </c>
      <c r="I111" s="13">
        <f>+'[2]Labor Summary'!N71</f>
        <v>0</v>
      </c>
      <c r="J111" s="13">
        <f t="shared" si="80"/>
        <v>0</v>
      </c>
      <c r="K111" s="153">
        <v>1</v>
      </c>
      <c r="L111" s="104">
        <f t="shared" si="81"/>
        <v>0</v>
      </c>
      <c r="M111" s="13"/>
      <c r="N111" s="16"/>
      <c r="O111" s="13">
        <f>+'[1]Total Labor Summary'!C70+'[2]Labor Summary'!D71</f>
        <v>0</v>
      </c>
      <c r="P111" s="13">
        <f>+'[1]Total Labor Summary'!D70+'[2]Labor Summary'!E71</f>
        <v>0</v>
      </c>
      <c r="Q111" s="13">
        <f>+'[1]Total Labor Summary'!E70+'[2]Labor Summary'!F71</f>
        <v>0</v>
      </c>
      <c r="R111" s="13">
        <f t="shared" si="87"/>
        <v>0</v>
      </c>
      <c r="S111" s="13">
        <f>+'[1]Total Labor Summary'!G70+'[2]Labor Summary'!H71</f>
        <v>0</v>
      </c>
      <c r="T111" s="13">
        <f>+'[1]Total Labor Summary'!H70+'[2]Labor Summary'!I71</f>
        <v>0</v>
      </c>
      <c r="U111" s="13">
        <f t="shared" si="88"/>
        <v>0</v>
      </c>
      <c r="V111" s="13">
        <f>+'[1]Total Labor Summary'!J70+'[2]Labor Summary'!K71</f>
        <v>0</v>
      </c>
      <c r="W111" s="13">
        <f>+'[1]Total Labor Summary'!K70+'[2]Labor Summary'!L71</f>
        <v>0</v>
      </c>
      <c r="X111" s="20">
        <f t="shared" si="84"/>
        <v>0</v>
      </c>
      <c r="Y111" s="4" t="b">
        <f t="shared" si="85"/>
        <v>1</v>
      </c>
      <c r="Z111" s="169">
        <f t="shared" si="86"/>
        <v>0</v>
      </c>
    </row>
    <row r="112" spans="1:27" s="4" customFormat="1" ht="15" customHeight="1">
      <c r="A112" s="16">
        <v>98</v>
      </c>
      <c r="B112" s="4" t="s">
        <v>276</v>
      </c>
      <c r="C112" s="4" t="s">
        <v>127</v>
      </c>
      <c r="D112" s="16"/>
      <c r="E112" s="13">
        <v>0</v>
      </c>
      <c r="F112" s="13">
        <v>0</v>
      </c>
      <c r="G112" s="13">
        <v>0</v>
      </c>
      <c r="H112" s="13">
        <f t="shared" si="79"/>
        <v>0</v>
      </c>
      <c r="I112" s="13">
        <f>+'[2]Labor Summary'!N72</f>
        <v>0</v>
      </c>
      <c r="J112" s="13">
        <f t="shared" si="80"/>
        <v>0</v>
      </c>
      <c r="K112" s="153">
        <v>1</v>
      </c>
      <c r="L112" s="104">
        <f t="shared" si="81"/>
        <v>0</v>
      </c>
      <c r="M112" s="13"/>
      <c r="N112" s="16"/>
      <c r="O112" s="13">
        <f>+'[1]Total Labor Summary'!C71+'[2]Labor Summary'!D72</f>
        <v>0</v>
      </c>
      <c r="P112" s="13">
        <f>+'[1]Total Labor Summary'!D71+'[2]Labor Summary'!E72</f>
        <v>0</v>
      </c>
      <c r="Q112" s="13">
        <f>+'[1]Total Labor Summary'!E71+'[2]Labor Summary'!F72</f>
        <v>0</v>
      </c>
      <c r="R112" s="13">
        <f t="shared" si="87"/>
        <v>0</v>
      </c>
      <c r="S112" s="13">
        <f>+'[1]Total Labor Summary'!G71+'[2]Labor Summary'!H72</f>
        <v>0</v>
      </c>
      <c r="T112" s="13">
        <f>+'[1]Total Labor Summary'!H71+'[2]Labor Summary'!I72</f>
        <v>0</v>
      </c>
      <c r="U112" s="13">
        <f t="shared" si="88"/>
        <v>0</v>
      </c>
      <c r="V112" s="13">
        <f>+'[1]Total Labor Summary'!J71+'[2]Labor Summary'!K72</f>
        <v>0</v>
      </c>
      <c r="W112" s="13">
        <f>+'[1]Total Labor Summary'!K71+'[2]Labor Summary'!L72</f>
        <v>0</v>
      </c>
      <c r="X112" s="20">
        <f t="shared" si="84"/>
        <v>0</v>
      </c>
      <c r="Y112" s="4" t="b">
        <f t="shared" si="85"/>
        <v>1</v>
      </c>
      <c r="Z112" s="169">
        <f t="shared" si="86"/>
        <v>0</v>
      </c>
    </row>
    <row r="113" spans="1:27" s="4" customFormat="1" ht="15" customHeight="1">
      <c r="A113" s="16">
        <v>99</v>
      </c>
      <c r="B113" s="30" t="s">
        <v>289</v>
      </c>
      <c r="C113" s="4" t="s">
        <v>29</v>
      </c>
      <c r="D113" s="16"/>
      <c r="E113" s="13">
        <v>0</v>
      </c>
      <c r="F113" s="13">
        <v>0</v>
      </c>
      <c r="G113" s="13">
        <v>0</v>
      </c>
      <c r="H113" s="13">
        <f t="shared" si="79"/>
        <v>0</v>
      </c>
      <c r="I113" s="13">
        <f>+'[2]Labor Summary'!N73</f>
        <v>0</v>
      </c>
      <c r="J113" s="13">
        <f t="shared" si="80"/>
        <v>0</v>
      </c>
      <c r="K113" s="153">
        <v>1</v>
      </c>
      <c r="L113" s="104">
        <f t="shared" si="81"/>
        <v>0</v>
      </c>
      <c r="M113" s="13"/>
      <c r="N113" s="16"/>
      <c r="O113" s="13">
        <f>+'[1]Total Labor Summary'!C72+'[2]Labor Summary'!D73</f>
        <v>0</v>
      </c>
      <c r="P113" s="13">
        <f>+'[1]Total Labor Summary'!D72+'[2]Labor Summary'!E73</f>
        <v>0</v>
      </c>
      <c r="Q113" s="13">
        <f>+'[1]Total Labor Summary'!E72+'[2]Labor Summary'!F73</f>
        <v>0</v>
      </c>
      <c r="R113" s="13">
        <f t="shared" si="87"/>
        <v>0</v>
      </c>
      <c r="S113" s="13">
        <f>+'[1]Total Labor Summary'!G72+'[2]Labor Summary'!H73</f>
        <v>0</v>
      </c>
      <c r="T113" s="13">
        <f>+'[1]Total Labor Summary'!H72+'[2]Labor Summary'!I73</f>
        <v>0</v>
      </c>
      <c r="U113" s="13">
        <f t="shared" si="88"/>
        <v>0</v>
      </c>
      <c r="V113" s="13">
        <f>+'[1]Total Labor Summary'!J72+'[2]Labor Summary'!K73</f>
        <v>0</v>
      </c>
      <c r="W113" s="13">
        <f>+'[1]Total Labor Summary'!K72+'[2]Labor Summary'!L73</f>
        <v>0</v>
      </c>
      <c r="X113" s="20">
        <f t="shared" si="84"/>
        <v>0</v>
      </c>
      <c r="Y113" s="4" t="b">
        <f t="shared" si="85"/>
        <v>1</v>
      </c>
      <c r="Z113" s="169">
        <f t="shared" si="86"/>
        <v>0</v>
      </c>
    </row>
    <row r="114" spans="1:27" s="8" customFormat="1" ht="15" customHeight="1">
      <c r="A114" s="16">
        <v>100</v>
      </c>
      <c r="B114" s="30" t="s">
        <v>288</v>
      </c>
      <c r="C114" s="4" t="s">
        <v>153</v>
      </c>
      <c r="D114" s="16"/>
      <c r="E114" s="13">
        <v>3925.19</v>
      </c>
      <c r="F114" s="13">
        <v>0</v>
      </c>
      <c r="G114" s="13">
        <v>0</v>
      </c>
      <c r="H114" s="13">
        <f t="shared" si="79"/>
        <v>3925.19</v>
      </c>
      <c r="I114" s="13">
        <f>+'[2]Labor Summary'!N74</f>
        <v>0</v>
      </c>
      <c r="J114" s="13">
        <f t="shared" si="80"/>
        <v>3925.19</v>
      </c>
      <c r="K114" s="153">
        <v>1</v>
      </c>
      <c r="L114" s="104">
        <f t="shared" si="81"/>
        <v>3925.19</v>
      </c>
      <c r="M114" s="19"/>
      <c r="N114" s="16"/>
      <c r="O114" s="13">
        <f>+'[1]Total Labor Summary'!C73+'[2]Labor Summary'!D74</f>
        <v>882.38</v>
      </c>
      <c r="P114" s="13">
        <f>+'[1]Total Labor Summary'!D73+'[2]Labor Summary'!E74</f>
        <v>0</v>
      </c>
      <c r="Q114" s="13">
        <f>+'[1]Total Labor Summary'!E73+'[2]Labor Summary'!F74</f>
        <v>0</v>
      </c>
      <c r="R114" s="13">
        <f t="shared" si="87"/>
        <v>882.38</v>
      </c>
      <c r="S114" s="13">
        <f>+'[1]Total Labor Summary'!G73+'[2]Labor Summary'!H74</f>
        <v>2356.6799999999998</v>
      </c>
      <c r="T114" s="13">
        <f>+'[1]Total Labor Summary'!H73+'[2]Labor Summary'!I74</f>
        <v>0</v>
      </c>
      <c r="U114" s="13">
        <f t="shared" si="88"/>
        <v>2356.6799999999998</v>
      </c>
      <c r="V114" s="13">
        <f>+'[1]Total Labor Summary'!J73+'[2]Labor Summary'!K74</f>
        <v>659.04</v>
      </c>
      <c r="W114" s="13">
        <f>+'[1]Total Labor Summary'!K73+'[2]Labor Summary'!L74</f>
        <v>27.090000000000146</v>
      </c>
      <c r="X114" s="20">
        <f t="shared" si="84"/>
        <v>3925.19</v>
      </c>
      <c r="Y114" s="4" t="b">
        <f t="shared" si="85"/>
        <v>1</v>
      </c>
      <c r="Z114" s="169">
        <f t="shared" si="86"/>
        <v>0</v>
      </c>
    </row>
    <row r="115" spans="1:27" s="4" customFormat="1" ht="15" customHeight="1">
      <c r="A115" s="16">
        <v>101</v>
      </c>
      <c r="B115" s="4" t="s">
        <v>277</v>
      </c>
      <c r="C115" s="4" t="s">
        <v>227</v>
      </c>
      <c r="D115" s="16"/>
      <c r="E115" s="13">
        <v>0</v>
      </c>
      <c r="F115" s="13">
        <v>0</v>
      </c>
      <c r="G115" s="13">
        <v>0</v>
      </c>
      <c r="H115" s="13">
        <f t="shared" si="79"/>
        <v>0</v>
      </c>
      <c r="I115" s="13">
        <f>+'[2]Labor Summary'!N75</f>
        <v>0</v>
      </c>
      <c r="J115" s="13">
        <f t="shared" si="80"/>
        <v>0</v>
      </c>
      <c r="K115" s="153">
        <v>1</v>
      </c>
      <c r="L115" s="104">
        <f t="shared" si="81"/>
        <v>0</v>
      </c>
      <c r="M115" s="13"/>
      <c r="N115" s="16"/>
      <c r="O115" s="13">
        <f>+'[1]Total Labor Summary'!C74+'[2]Labor Summary'!D75</f>
        <v>0</v>
      </c>
      <c r="P115" s="13">
        <f>+'[1]Total Labor Summary'!D74+'[2]Labor Summary'!E75</f>
        <v>0</v>
      </c>
      <c r="Q115" s="13">
        <f>+'[1]Total Labor Summary'!E74+'[2]Labor Summary'!F75</f>
        <v>0</v>
      </c>
      <c r="R115" s="13">
        <f t="shared" si="87"/>
        <v>0</v>
      </c>
      <c r="S115" s="13">
        <f>+'[1]Total Labor Summary'!G74+'[2]Labor Summary'!H75</f>
        <v>0</v>
      </c>
      <c r="T115" s="13">
        <f>+'[1]Total Labor Summary'!H74+'[2]Labor Summary'!I75</f>
        <v>0</v>
      </c>
      <c r="U115" s="13">
        <f t="shared" si="88"/>
        <v>0</v>
      </c>
      <c r="V115" s="13">
        <f>+'[1]Total Labor Summary'!J74+'[2]Labor Summary'!K75</f>
        <v>0</v>
      </c>
      <c r="W115" s="13">
        <f>+'[1]Total Labor Summary'!K74+'[2]Labor Summary'!L75</f>
        <v>0</v>
      </c>
      <c r="X115" s="20">
        <f t="shared" si="84"/>
        <v>0</v>
      </c>
      <c r="Y115" s="4" t="b">
        <f t="shared" si="85"/>
        <v>1</v>
      </c>
      <c r="Z115" s="169">
        <f t="shared" si="86"/>
        <v>0</v>
      </c>
    </row>
    <row r="116" spans="1:27" s="4" customFormat="1" ht="15" customHeight="1">
      <c r="A116" s="16">
        <v>102</v>
      </c>
      <c r="B116" s="4" t="s">
        <v>26</v>
      </c>
      <c r="C116" s="4" t="s">
        <v>154</v>
      </c>
      <c r="D116" s="16"/>
      <c r="E116" s="13">
        <v>4100.4599999999991</v>
      </c>
      <c r="F116" s="13">
        <v>0</v>
      </c>
      <c r="G116" s="13">
        <v>0</v>
      </c>
      <c r="H116" s="13">
        <f>+E116-F116+G116</f>
        <v>4100.4599999999991</v>
      </c>
      <c r="I116" s="13">
        <f>+'[2]Labor Summary'!N76</f>
        <v>0</v>
      </c>
      <c r="J116" s="13">
        <f>+H116+I116</f>
        <v>4100.4599999999991</v>
      </c>
      <c r="K116" s="153">
        <v>1</v>
      </c>
      <c r="L116" s="104">
        <f>+J116*K116</f>
        <v>4100.4599999999991</v>
      </c>
      <c r="M116" s="13"/>
      <c r="N116" s="16"/>
      <c r="O116" s="13">
        <f>+'[1]Total Labor Summary'!C75+'[2]Labor Summary'!D76</f>
        <v>0</v>
      </c>
      <c r="P116" s="13">
        <f>+'[1]Total Labor Summary'!D75+'[2]Labor Summary'!E76</f>
        <v>0</v>
      </c>
      <c r="Q116" s="13">
        <f>+'[1]Total Labor Summary'!E75+'[2]Labor Summary'!F76</f>
        <v>0</v>
      </c>
      <c r="R116" s="13">
        <f t="shared" si="87"/>
        <v>0</v>
      </c>
      <c r="S116" s="13">
        <f>+'[1]Total Labor Summary'!G75+'[2]Labor Summary'!H76</f>
        <v>4100.4599999999991</v>
      </c>
      <c r="T116" s="13">
        <f>+'[1]Total Labor Summary'!H75+'[2]Labor Summary'!I76</f>
        <v>0</v>
      </c>
      <c r="U116" s="13">
        <f t="shared" si="88"/>
        <v>4100.4599999999991</v>
      </c>
      <c r="V116" s="13">
        <f>+'[1]Total Labor Summary'!J75+'[2]Labor Summary'!K76</f>
        <v>0</v>
      </c>
      <c r="W116" s="13">
        <f>+'[1]Total Labor Summary'!K75+'[2]Labor Summary'!L76</f>
        <v>0</v>
      </c>
      <c r="X116" s="20">
        <f t="shared" si="84"/>
        <v>4100.4599999999991</v>
      </c>
      <c r="Y116" s="4" t="b">
        <f t="shared" si="85"/>
        <v>1</v>
      </c>
      <c r="Z116" s="111">
        <f t="shared" si="86"/>
        <v>0</v>
      </c>
    </row>
    <row r="117" spans="1:27" s="4" customFormat="1" ht="15" customHeight="1">
      <c r="A117" s="16">
        <v>103</v>
      </c>
      <c r="B117" s="4" t="s">
        <v>278</v>
      </c>
      <c r="C117" s="4" t="s">
        <v>154</v>
      </c>
      <c r="D117" s="16"/>
      <c r="E117" s="13">
        <v>2749146.8700000006</v>
      </c>
      <c r="F117" s="13">
        <v>0</v>
      </c>
      <c r="G117" s="13">
        <v>0</v>
      </c>
      <c r="H117" s="13">
        <f t="shared" si="79"/>
        <v>2749146.8700000006</v>
      </c>
      <c r="I117" s="13">
        <f>+'[2]Labor Summary'!N77</f>
        <v>0</v>
      </c>
      <c r="J117" s="13">
        <f t="shared" si="80"/>
        <v>2749146.8700000006</v>
      </c>
      <c r="K117" s="153">
        <v>1</v>
      </c>
      <c r="L117" s="104">
        <f t="shared" si="81"/>
        <v>2749146.8700000006</v>
      </c>
      <c r="M117" s="13"/>
      <c r="N117" s="16"/>
      <c r="O117" s="13">
        <f>+'[1]Total Labor Summary'!C76+'[2]Labor Summary'!D77</f>
        <v>1400532.33</v>
      </c>
      <c r="P117" s="13">
        <f>+'[1]Total Labor Summary'!D76+'[2]Labor Summary'!E77</f>
        <v>0</v>
      </c>
      <c r="Q117" s="13">
        <f>+'[1]Total Labor Summary'!E76+'[2]Labor Summary'!F77</f>
        <v>0</v>
      </c>
      <c r="R117" s="13">
        <f t="shared" si="87"/>
        <v>1400532.33</v>
      </c>
      <c r="S117" s="13">
        <f>+'[1]Total Labor Summary'!G76+'[2]Labor Summary'!H77</f>
        <v>1044798.28</v>
      </c>
      <c r="T117" s="13">
        <f>+'[1]Total Labor Summary'!H76+'[2]Labor Summary'!I77</f>
        <v>0</v>
      </c>
      <c r="U117" s="13">
        <f t="shared" si="88"/>
        <v>1044798.28</v>
      </c>
      <c r="V117" s="13">
        <f>+'[1]Total Labor Summary'!J76+'[2]Labor Summary'!K77</f>
        <v>291823.53000000003</v>
      </c>
      <c r="W117" s="13">
        <f>+'[1]Total Labor Summary'!K76+'[2]Labor Summary'!L77</f>
        <v>11992.730000000074</v>
      </c>
      <c r="X117" s="20">
        <f t="shared" si="84"/>
        <v>2749146.8700000006</v>
      </c>
      <c r="Y117" s="4" t="b">
        <f t="shared" si="85"/>
        <v>1</v>
      </c>
      <c r="Z117" s="169">
        <f t="shared" si="86"/>
        <v>0</v>
      </c>
    </row>
    <row r="118" spans="1:27" s="4" customFormat="1" ht="15" customHeight="1">
      <c r="A118" s="16">
        <v>104</v>
      </c>
      <c r="B118" s="23"/>
      <c r="D118" s="13"/>
      <c r="E118" s="123"/>
      <c r="F118" s="123"/>
      <c r="G118" s="123"/>
      <c r="H118" s="123"/>
      <c r="I118" s="123"/>
      <c r="J118" s="123"/>
      <c r="K118" s="153"/>
      <c r="L118" s="123"/>
      <c r="M118" s="13"/>
      <c r="N118" s="16"/>
      <c r="O118" s="123"/>
      <c r="P118" s="123"/>
      <c r="Q118" s="123"/>
      <c r="R118" s="123"/>
      <c r="S118" s="125"/>
      <c r="T118" s="125"/>
      <c r="U118" s="125"/>
      <c r="V118" s="125"/>
      <c r="W118" s="125"/>
      <c r="X118" s="125"/>
    </row>
    <row r="119" spans="1:27" s="8" customFormat="1" ht="15" customHeight="1">
      <c r="A119" s="16">
        <v>105</v>
      </c>
      <c r="B119" s="8" t="s">
        <v>71</v>
      </c>
      <c r="D119" s="18"/>
      <c r="E119" s="176">
        <f t="shared" ref="E119:J119" si="89">SUM(E105:E117)</f>
        <v>136549858.55999994</v>
      </c>
      <c r="F119" s="176">
        <f t="shared" si="89"/>
        <v>0</v>
      </c>
      <c r="G119" s="176">
        <f t="shared" si="89"/>
        <v>0</v>
      </c>
      <c r="H119" s="176">
        <f t="shared" si="89"/>
        <v>136549858.55999994</v>
      </c>
      <c r="I119" s="176">
        <f t="shared" si="89"/>
        <v>1395352.1700000002</v>
      </c>
      <c r="J119" s="176">
        <f t="shared" si="89"/>
        <v>137945210.72999996</v>
      </c>
      <c r="K119" s="176"/>
      <c r="L119" s="176">
        <f>SUM(L105:L117)</f>
        <v>137945210.72999996</v>
      </c>
      <c r="M119" s="176"/>
      <c r="N119" s="176"/>
      <c r="O119" s="176">
        <f t="shared" ref="O119" si="90">SUM(O105:O117)</f>
        <v>29562211.039999992</v>
      </c>
      <c r="P119" s="176">
        <f t="shared" ref="P119:X119" si="91">SUM(P105:P117)</f>
        <v>0</v>
      </c>
      <c r="Q119" s="176">
        <f t="shared" si="91"/>
        <v>0</v>
      </c>
      <c r="R119" s="176">
        <f t="shared" si="91"/>
        <v>29562211.039999992</v>
      </c>
      <c r="S119" s="176">
        <f t="shared" si="91"/>
        <v>68416703.059999987</v>
      </c>
      <c r="T119" s="176">
        <f t="shared" si="91"/>
        <v>0</v>
      </c>
      <c r="U119" s="176">
        <f t="shared" si="91"/>
        <v>68416703.059999987</v>
      </c>
      <c r="V119" s="176">
        <f t="shared" si="91"/>
        <v>19049561.939999998</v>
      </c>
      <c r="W119" s="176">
        <f t="shared" si="91"/>
        <v>20916734.68999999</v>
      </c>
      <c r="X119" s="176">
        <f t="shared" si="91"/>
        <v>137945210.72999999</v>
      </c>
      <c r="Y119" s="4" t="b">
        <f>ROUND(X119,2)=ROUND(L119,2)</f>
        <v>1</v>
      </c>
      <c r="Z119" s="169">
        <f>+L119-X119</f>
        <v>0</v>
      </c>
      <c r="AA119" s="303">
        <v>0.36553864675923053</v>
      </c>
    </row>
    <row r="120" spans="1:27" s="4" customFormat="1" ht="15" customHeight="1">
      <c r="A120" s="16">
        <v>106</v>
      </c>
      <c r="D120" s="13"/>
      <c r="E120" s="13"/>
      <c r="F120" s="13"/>
      <c r="G120" s="13"/>
      <c r="H120" s="13"/>
      <c r="I120" s="13"/>
      <c r="J120" s="13"/>
      <c r="K120" s="153"/>
      <c r="L120" s="13"/>
      <c r="M120" s="13"/>
      <c r="N120" s="16"/>
      <c r="O120" s="13"/>
      <c r="P120" s="13"/>
      <c r="Q120" s="13"/>
      <c r="R120" s="13"/>
      <c r="S120" s="13"/>
      <c r="T120" s="13"/>
      <c r="U120" s="13"/>
      <c r="V120" s="13"/>
      <c r="W120" s="13"/>
      <c r="X120" s="13"/>
    </row>
    <row r="121" spans="1:27" s="8" customFormat="1" ht="15" customHeight="1">
      <c r="A121" s="16">
        <v>107</v>
      </c>
      <c r="B121" s="325" t="s">
        <v>770</v>
      </c>
      <c r="D121" s="18" t="s">
        <v>305</v>
      </c>
      <c r="E121" s="176">
        <f t="shared" ref="E121:J121" si="92">+E119+E102</f>
        <v>367262129.46999991</v>
      </c>
      <c r="F121" s="176">
        <f t="shared" si="92"/>
        <v>0</v>
      </c>
      <c r="G121" s="176">
        <f t="shared" si="92"/>
        <v>0</v>
      </c>
      <c r="H121" s="176">
        <f t="shared" si="92"/>
        <v>367262129.46999991</v>
      </c>
      <c r="I121" s="176">
        <f t="shared" si="92"/>
        <v>22681091.490000002</v>
      </c>
      <c r="J121" s="176">
        <f t="shared" si="92"/>
        <v>389943220.95999992</v>
      </c>
      <c r="K121" s="176"/>
      <c r="L121" s="176">
        <f>+L119+L102</f>
        <v>389943220.95999992</v>
      </c>
      <c r="M121" s="176"/>
      <c r="N121" s="176"/>
      <c r="O121" s="176">
        <f t="shared" ref="O121" si="93">+O119+O102</f>
        <v>87185858.019999996</v>
      </c>
      <c r="P121" s="176">
        <f t="shared" ref="P121:X121" si="94">+P119+P102</f>
        <v>0</v>
      </c>
      <c r="Q121" s="176">
        <f t="shared" si="94"/>
        <v>0</v>
      </c>
      <c r="R121" s="176">
        <f t="shared" si="94"/>
        <v>87185858.019999996</v>
      </c>
      <c r="S121" s="176">
        <f t="shared" si="94"/>
        <v>222468970.81999999</v>
      </c>
      <c r="T121" s="176">
        <f t="shared" si="94"/>
        <v>0</v>
      </c>
      <c r="U121" s="176">
        <f t="shared" si="94"/>
        <v>222468970.81999999</v>
      </c>
      <c r="V121" s="176">
        <f t="shared" si="94"/>
        <v>57783928.270000003</v>
      </c>
      <c r="W121" s="176">
        <f t="shared" si="94"/>
        <v>22504463.84999999</v>
      </c>
      <c r="X121" s="176">
        <f t="shared" si="94"/>
        <v>389943220.95999998</v>
      </c>
      <c r="Y121" s="4" t="b">
        <f>ROUND(X121,2)=ROUND(L121,2)</f>
        <v>1</v>
      </c>
      <c r="Z121" s="169">
        <f>+L121-X121</f>
        <v>0</v>
      </c>
    </row>
    <row r="122" spans="1:27" s="4" customFormat="1">
      <c r="D122" s="13"/>
      <c r="E122" s="13"/>
      <c r="F122" s="13"/>
      <c r="G122" s="13"/>
      <c r="H122" s="13"/>
      <c r="I122" s="13"/>
      <c r="J122" s="13"/>
      <c r="K122" s="153"/>
      <c r="L122" s="24"/>
      <c r="M122" s="13"/>
      <c r="N122" s="16"/>
      <c r="O122" s="13"/>
      <c r="P122" s="13"/>
      <c r="Q122" s="13"/>
      <c r="R122" s="13"/>
      <c r="S122" s="13"/>
      <c r="T122" s="13"/>
      <c r="U122" s="13"/>
      <c r="V122" s="13"/>
      <c r="W122" s="13"/>
    </row>
    <row r="123" spans="1:27" s="8" customFormat="1">
      <c r="D123" s="18"/>
      <c r="E123" s="19"/>
      <c r="F123" s="19"/>
      <c r="G123" s="19"/>
      <c r="H123" s="19"/>
      <c r="I123" s="19"/>
      <c r="J123" s="19"/>
      <c r="K123" s="154"/>
      <c r="L123" s="18"/>
      <c r="M123" s="19"/>
      <c r="N123" s="18"/>
      <c r="O123" s="19"/>
      <c r="P123" s="19"/>
      <c r="Q123" s="19"/>
      <c r="R123" s="19"/>
      <c r="S123" s="19"/>
      <c r="T123" s="19"/>
      <c r="U123" s="19"/>
      <c r="V123" s="19"/>
      <c r="W123" s="19"/>
      <c r="X123" s="19"/>
    </row>
    <row r="124" spans="1:27" s="4" customFormat="1">
      <c r="D124" s="16"/>
      <c r="K124" s="153"/>
      <c r="L124" s="24"/>
      <c r="N124" s="16"/>
    </row>
    <row r="125" spans="1:27" s="4" customFormat="1">
      <c r="D125" s="16"/>
      <c r="K125" s="153"/>
      <c r="L125" s="24"/>
      <c r="N125" s="16"/>
    </row>
    <row r="126" spans="1:27" s="4" customFormat="1">
      <c r="D126" s="16"/>
      <c r="K126" s="153"/>
      <c r="L126" s="24"/>
      <c r="N126" s="16"/>
    </row>
    <row r="127" spans="1:27" s="4" customFormat="1">
      <c r="D127" s="16"/>
      <c r="K127" s="153"/>
      <c r="L127" s="24"/>
      <c r="N127" s="16"/>
    </row>
    <row r="128" spans="1:27" s="4" customFormat="1">
      <c r="D128" s="16"/>
      <c r="K128" s="153"/>
      <c r="L128" s="24"/>
      <c r="N128" s="16"/>
    </row>
    <row r="129" spans="4:14" s="4" customFormat="1">
      <c r="D129" s="16"/>
      <c r="L129" s="24"/>
      <c r="N129" s="16"/>
    </row>
    <row r="130" spans="4:14" s="4" customFormat="1">
      <c r="D130" s="16"/>
      <c r="L130" s="24"/>
      <c r="N130" s="16"/>
    </row>
    <row r="131" spans="4:14" s="4" customFormat="1">
      <c r="D131" s="16"/>
      <c r="L131" s="24"/>
      <c r="N131" s="16"/>
    </row>
    <row r="132" spans="4:14" s="4" customFormat="1">
      <c r="D132" s="16"/>
      <c r="L132" s="24"/>
      <c r="N132" s="16"/>
    </row>
    <row r="133" spans="4:14" s="4" customFormat="1">
      <c r="D133" s="16"/>
      <c r="L133" s="24"/>
      <c r="N133" s="16"/>
    </row>
    <row r="134" spans="4:14" s="4" customFormat="1">
      <c r="D134" s="16"/>
      <c r="L134" s="24"/>
      <c r="N134" s="16"/>
    </row>
    <row r="135" spans="4:14" s="4" customFormat="1">
      <c r="D135" s="16"/>
      <c r="L135" s="24"/>
      <c r="N135" s="16"/>
    </row>
    <row r="136" spans="4:14" s="4" customFormat="1">
      <c r="D136" s="16"/>
      <c r="L136" s="24"/>
      <c r="N136" s="16"/>
    </row>
    <row r="137" spans="4:14" s="4" customFormat="1">
      <c r="D137" s="16"/>
      <c r="L137" s="24"/>
      <c r="N137" s="16"/>
    </row>
    <row r="138" spans="4:14" s="4" customFormat="1">
      <c r="D138" s="16"/>
      <c r="L138" s="24"/>
      <c r="N138" s="16"/>
    </row>
    <row r="139" spans="4:14" s="4" customFormat="1">
      <c r="D139" s="16"/>
      <c r="L139" s="24"/>
      <c r="N139" s="16"/>
    </row>
    <row r="140" spans="4:14" s="4" customFormat="1">
      <c r="D140" s="16"/>
      <c r="L140" s="16"/>
      <c r="N140" s="16"/>
    </row>
    <row r="141" spans="4:14" s="4" customFormat="1">
      <c r="D141" s="16"/>
      <c r="L141" s="16"/>
      <c r="N141" s="16"/>
    </row>
    <row r="142" spans="4:14" s="4" customFormat="1">
      <c r="D142" s="16"/>
      <c r="L142" s="16"/>
      <c r="N142" s="16"/>
    </row>
    <row r="143" spans="4:14" s="4" customFormat="1">
      <c r="D143" s="16"/>
      <c r="L143" s="16"/>
      <c r="N143" s="16"/>
    </row>
    <row r="144" spans="4:14" s="4" customFormat="1">
      <c r="D144" s="16"/>
      <c r="L144" s="16"/>
      <c r="N144" s="16"/>
    </row>
    <row r="145" spans="2:24" s="4" customFormat="1">
      <c r="D145" s="16"/>
      <c r="L145" s="16"/>
      <c r="N145" s="16"/>
    </row>
    <row r="146" spans="2:24" s="4" customFormat="1">
      <c r="D146" s="16"/>
      <c r="L146" s="16"/>
      <c r="N146" s="16"/>
    </row>
    <row r="147" spans="2:24">
      <c r="B147" s="4"/>
      <c r="C147" s="4"/>
      <c r="D147" s="16"/>
      <c r="E147" s="4"/>
      <c r="F147" s="4"/>
      <c r="G147" s="4"/>
      <c r="H147" s="4"/>
      <c r="I147" s="4"/>
      <c r="J147" s="4"/>
      <c r="K147" s="4"/>
      <c r="L147" s="16"/>
      <c r="M147" s="4"/>
      <c r="N147" s="16"/>
      <c r="O147" s="4"/>
      <c r="P147" s="4"/>
      <c r="Q147" s="4"/>
      <c r="R147" s="4"/>
      <c r="S147" s="4"/>
      <c r="T147" s="4"/>
      <c r="U147" s="4"/>
      <c r="V147" s="4"/>
      <c r="W147" s="4"/>
      <c r="X147" s="4"/>
    </row>
    <row r="148" spans="2:24">
      <c r="B148" s="4"/>
      <c r="C148" s="4"/>
      <c r="D148" s="16"/>
      <c r="E148" s="4"/>
      <c r="F148" s="4"/>
      <c r="G148" s="4"/>
      <c r="H148" s="4"/>
      <c r="I148" s="4"/>
      <c r="J148" s="4"/>
      <c r="K148" s="4"/>
      <c r="L148" s="16"/>
      <c r="M148" s="4"/>
      <c r="N148" s="16"/>
      <c r="O148" s="4"/>
      <c r="P148" s="4"/>
      <c r="Q148" s="4"/>
      <c r="R148" s="4"/>
      <c r="S148" s="4"/>
      <c r="T148" s="4"/>
      <c r="U148" s="4"/>
      <c r="V148" s="4"/>
      <c r="W148" s="4"/>
      <c r="X148" s="4"/>
    </row>
    <row r="149" spans="2:24">
      <c r="B149" s="4"/>
      <c r="C149" s="4"/>
      <c r="D149" s="16"/>
      <c r="E149" s="4"/>
      <c r="F149" s="4"/>
      <c r="G149" s="4"/>
      <c r="H149" s="4"/>
      <c r="I149" s="4"/>
      <c r="J149" s="4"/>
      <c r="K149" s="4"/>
      <c r="L149" s="16"/>
      <c r="M149" s="4"/>
      <c r="N149" s="16"/>
      <c r="O149" s="4"/>
      <c r="P149" s="4"/>
      <c r="Q149" s="4"/>
      <c r="R149" s="4"/>
      <c r="S149" s="4"/>
      <c r="T149" s="4"/>
      <c r="U149" s="4"/>
      <c r="V149" s="4"/>
      <c r="W149" s="4"/>
      <c r="X149" s="4"/>
    </row>
    <row r="150" spans="2:24">
      <c r="B150" s="4"/>
      <c r="C150" s="4"/>
      <c r="D150" s="16"/>
      <c r="E150" s="4"/>
      <c r="F150" s="4"/>
      <c r="G150" s="4"/>
      <c r="H150" s="4"/>
      <c r="I150" s="4"/>
      <c r="J150" s="4"/>
      <c r="K150" s="4"/>
      <c r="L150" s="16"/>
      <c r="M150" s="4"/>
      <c r="N150" s="16"/>
      <c r="O150" s="4"/>
      <c r="P150" s="4"/>
      <c r="Q150" s="4"/>
      <c r="R150" s="4"/>
      <c r="S150" s="4"/>
      <c r="T150" s="4"/>
      <c r="U150" s="4"/>
      <c r="V150" s="4"/>
      <c r="W150" s="4"/>
      <c r="X150" s="4"/>
    </row>
    <row r="151" spans="2:24">
      <c r="B151" s="4"/>
      <c r="C151" s="4"/>
      <c r="D151" s="16"/>
      <c r="E151" s="4"/>
      <c r="F151" s="4"/>
      <c r="G151" s="4"/>
      <c r="H151" s="4"/>
      <c r="I151" s="4"/>
      <c r="J151" s="4"/>
      <c r="K151" s="4"/>
      <c r="L151" s="16"/>
      <c r="M151" s="4"/>
      <c r="N151" s="16"/>
      <c r="O151" s="4"/>
      <c r="P151" s="4"/>
      <c r="Q151" s="4"/>
      <c r="R151" s="4"/>
      <c r="S151" s="4"/>
      <c r="T151" s="4"/>
      <c r="U151" s="4"/>
      <c r="V151" s="4"/>
      <c r="W151" s="4"/>
      <c r="X151" s="4"/>
    </row>
    <row r="152" spans="2:24">
      <c r="B152" s="4"/>
      <c r="C152" s="4"/>
      <c r="D152" s="16"/>
      <c r="E152" s="4"/>
      <c r="F152" s="4"/>
      <c r="G152" s="4"/>
      <c r="H152" s="4"/>
      <c r="I152" s="4"/>
      <c r="J152" s="4"/>
      <c r="K152" s="4"/>
      <c r="L152" s="16"/>
      <c r="M152" s="4"/>
      <c r="N152" s="16"/>
      <c r="O152" s="4"/>
      <c r="P152" s="4"/>
      <c r="Q152" s="4"/>
      <c r="R152" s="4"/>
      <c r="S152" s="4"/>
      <c r="T152" s="4"/>
      <c r="U152" s="4"/>
      <c r="V152" s="4"/>
      <c r="W152" s="4"/>
      <c r="X152" s="4"/>
    </row>
    <row r="153" spans="2:24">
      <c r="B153" s="4"/>
      <c r="C153" s="4"/>
      <c r="D153" s="16"/>
      <c r="E153" s="4"/>
      <c r="F153" s="4"/>
      <c r="G153" s="4"/>
      <c r="H153" s="4"/>
      <c r="I153" s="4"/>
      <c r="J153" s="4"/>
      <c r="K153" s="4"/>
      <c r="L153" s="16"/>
      <c r="M153" s="4"/>
      <c r="N153" s="16"/>
      <c r="O153" s="4"/>
      <c r="P153" s="4"/>
      <c r="Q153" s="4"/>
      <c r="R153" s="4"/>
      <c r="S153" s="4"/>
      <c r="T153" s="4"/>
      <c r="U153" s="4"/>
      <c r="V153" s="4"/>
      <c r="W153" s="4"/>
      <c r="X153" s="4"/>
    </row>
    <row r="154" spans="2:24">
      <c r="B154" s="4"/>
      <c r="C154" s="4"/>
      <c r="D154" s="16"/>
      <c r="E154" s="4"/>
      <c r="F154" s="4"/>
      <c r="G154" s="4"/>
      <c r="H154" s="4"/>
      <c r="I154" s="4"/>
      <c r="J154" s="4"/>
      <c r="K154" s="4"/>
      <c r="L154" s="16"/>
      <c r="M154" s="4"/>
      <c r="N154" s="16"/>
      <c r="O154" s="4"/>
      <c r="P154" s="4"/>
      <c r="Q154" s="4"/>
      <c r="R154" s="4"/>
      <c r="S154" s="4"/>
      <c r="T154" s="4"/>
      <c r="U154" s="4"/>
      <c r="V154" s="4"/>
      <c r="W154" s="4"/>
      <c r="X154" s="4"/>
    </row>
    <row r="155" spans="2:24">
      <c r="B155" s="4"/>
      <c r="C155" s="4"/>
      <c r="D155" s="16"/>
      <c r="E155" s="4"/>
      <c r="F155" s="4"/>
      <c r="G155" s="4"/>
      <c r="H155" s="4"/>
      <c r="I155" s="4"/>
      <c r="J155" s="4"/>
      <c r="K155" s="4"/>
      <c r="L155" s="16"/>
      <c r="M155" s="4"/>
      <c r="N155" s="16"/>
      <c r="O155" s="4"/>
      <c r="P155" s="4"/>
      <c r="Q155" s="4"/>
      <c r="R155" s="4"/>
      <c r="S155" s="4"/>
      <c r="T155" s="4"/>
      <c r="U155" s="4"/>
      <c r="V155" s="4"/>
      <c r="W155" s="4"/>
      <c r="X155" s="4"/>
    </row>
  </sheetData>
  <phoneticPr fontId="5" type="noConversion"/>
  <printOptions horizontalCentered="1"/>
  <pageMargins left="0.5" right="0.5" top="3" bottom="0.5" header="1.5" footer="0.25"/>
  <pageSetup scale="53" fitToWidth="2" fitToHeight="0" pageOrder="overThenDown" orientation="landscape"/>
  <headerFooter alignWithMargins="0">
    <oddHeader>&amp;R&amp;"Arial,Bold"Schedule &amp;A
Page &amp;P of &amp;N&amp;C&amp;B
2025 RATE CASE
ONCOR ELECTRIC DELIVERY COMPANY LLC
II-D-3   PAYROLL EXPENSE DISTRIBUTION
TEST YEAR ENDING DECEMBER 31, 2024
SPONSOR: R. PRACHYL</oddHeader>
  </headerFooter>
  <rowBreaks count="3" manualBreakCount="3">
    <brk id="39" max="20" man="1"/>
    <brk id="70" max="20" man="1"/>
    <brk id="103" max="23" man="1"/>
  </rowBreaks>
  <colBreaks count="1" manualBreakCount="1">
    <brk id="11" min="14" max="120"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0">
    <tabColor rgb="FFFF0000"/>
    <pageSetUpPr fitToPage="1"/>
  </sheetPr>
  <dimension ref="A1:A43"/>
  <sheetViews>
    <sheetView zoomScaleNormal="100" workbookViewId="0">
      <pane ySplit="6" topLeftCell="A7" activePane="bottomLeft" state="frozen"/>
      <selection activeCell="N38" sqref="N38"/>
      <selection pane="bottomLeft" activeCell="I14" sqref="I14"/>
    </sheetView>
  </sheetViews>
  <sheetFormatPr defaultRowHeight="12.75"/>
  <sheetData>
    <row r="1" spans="1:1">
      <c r="A1" s="5" t="str">
        <f>+'[3]Input Data'!$A$9</f>
        <v>2025 RATE CASE</v>
      </c>
    </row>
    <row r="2" spans="1:1">
      <c r="A2" s="8" t="str">
        <f>+'[3]Input Data'!$A$2</f>
        <v>ONCOR ELECTRIC DELIVERY COMPANY LLC</v>
      </c>
    </row>
    <row r="3" spans="1:1">
      <c r="A3" s="7" t="str">
        <f>CONCATENATE('[3]Schedule Sponsors'!$A$69,'[3]Schedule Sponsors'!$B$69)</f>
        <v>II-D-3.1  PAYROLL INFORMATION</v>
      </c>
    </row>
    <row r="4" spans="1:1">
      <c r="A4" s="63" t="str">
        <f>+'[3]Input Data'!$A$4</f>
        <v>TEST YEAR ENDING DECEMBER 31, 2024</v>
      </c>
    </row>
    <row r="5" spans="1:1">
      <c r="A5" s="7" t="str">
        <f>CONCATENATE("SPONSOR: ",'[3]Schedule Sponsors'!$D$69)</f>
        <v>SPONSOR: A. GUILLORY</v>
      </c>
    </row>
    <row r="10" spans="1:1" ht="15.75">
      <c r="A10" s="117" t="s">
        <v>97</v>
      </c>
    </row>
    <row r="12" spans="1:1">
      <c r="A12" t="s">
        <v>789</v>
      </c>
    </row>
    <row r="13" spans="1:1">
      <c r="A13" t="s">
        <v>790</v>
      </c>
    </row>
    <row r="16" spans="1:1" ht="15.75">
      <c r="A16" s="117" t="s">
        <v>112</v>
      </c>
    </row>
    <row r="18" spans="1:1">
      <c r="A18" t="s">
        <v>165</v>
      </c>
    </row>
    <row r="19" spans="1:1">
      <c r="A19" t="s">
        <v>297</v>
      </c>
    </row>
    <row r="20" spans="1:1">
      <c r="A20" t="s">
        <v>762</v>
      </c>
    </row>
    <row r="23" spans="1:1" ht="15.75">
      <c r="A23" s="117" t="s">
        <v>113</v>
      </c>
    </row>
    <row r="25" spans="1:1">
      <c r="A25" s="171" t="s">
        <v>595</v>
      </c>
    </row>
    <row r="26" spans="1:1">
      <c r="A26" t="s">
        <v>186</v>
      </c>
    </row>
    <row r="29" spans="1:1" ht="15.75">
      <c r="A29" s="117" t="s">
        <v>114</v>
      </c>
    </row>
    <row r="31" spans="1:1">
      <c r="A31" t="s">
        <v>98</v>
      </c>
    </row>
    <row r="32" spans="1:1">
      <c r="A32" t="s">
        <v>188</v>
      </c>
    </row>
    <row r="35" spans="1:1" ht="15.75">
      <c r="A35" s="117" t="s">
        <v>115</v>
      </c>
    </row>
    <row r="37" spans="1:1">
      <c r="A37" s="171" t="s">
        <v>695</v>
      </c>
    </row>
    <row r="38" spans="1:1">
      <c r="A38" s="171" t="s">
        <v>696</v>
      </c>
    </row>
    <row r="39" spans="1:1">
      <c r="A39" s="171"/>
    </row>
    <row r="41" spans="1:1" ht="15.75">
      <c r="A41" s="117" t="s">
        <v>116</v>
      </c>
    </row>
    <row r="43" spans="1:1">
      <c r="A43" s="171" t="s">
        <v>596</v>
      </c>
    </row>
  </sheetData>
  <phoneticPr fontId="5" type="noConversion"/>
  <printOptions horizontalCentered="1"/>
  <pageMargins left="0.5" right="0.5" top="3" bottom="0.75" header="1.5" footer="0.5"/>
  <pageSetup scale="85" orientation="landscape"/>
  <headerFooter alignWithMargins="0">
    <oddHeader>&amp;R&amp;"Arial,Bold"Schedule &amp;A
Page &amp;P of &amp;N&amp;C&amp;B
2025 RATE CASE
ONCOR ELECTRIC DELIVERY COMPANY LLC
II-D-3.1  PAYROLL INFORMATION
TEST YEAR ENDING DECEMBER 31, 2024
SPONSOR: A. GUILLORY</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1">
    <tabColor rgb="FFFF0000"/>
    <pageSetUpPr fitToPage="1"/>
  </sheetPr>
  <dimension ref="A1:Z162"/>
  <sheetViews>
    <sheetView zoomScaleNormal="100" workbookViewId="0">
      <pane xSplit="2" ySplit="14" topLeftCell="C15" activePane="bottomRight" state="frozen"/>
      <selection activeCell="D28" sqref="D28"/>
      <selection pane="topRight" activeCell="D28" sqref="D28"/>
      <selection pane="bottomLeft" activeCell="D28" sqref="D28"/>
      <selection pane="bottomRight" activeCell="G28" sqref="G28"/>
    </sheetView>
  </sheetViews>
  <sheetFormatPr defaultRowHeight="12.75"/>
  <cols>
    <col min="1" max="1" width="6.140625" bestFit="1" customWidth="1"/>
    <col min="2" max="2" width="20.42578125" bestFit="1" customWidth="1"/>
    <col min="3" max="3" width="2.7109375" customWidth="1"/>
    <col min="4" max="4" width="17" bestFit="1" customWidth="1"/>
    <col min="5" max="5" width="15.28515625" bestFit="1" customWidth="1"/>
    <col min="6" max="6" width="10.7109375" customWidth="1"/>
    <col min="7" max="7" width="15.7109375" bestFit="1" customWidth="1"/>
    <col min="8" max="8" width="17.42578125" bestFit="1" customWidth="1"/>
    <col min="9" max="9" width="2.7109375" customWidth="1"/>
    <col min="10" max="10" width="8.140625" bestFit="1" customWidth="1"/>
    <col min="11" max="11" width="9.28515625" bestFit="1" customWidth="1"/>
    <col min="12" max="12" width="9.7109375" customWidth="1"/>
    <col min="13" max="13" width="11.7109375" customWidth="1"/>
    <col min="14" max="14" width="12.7109375" customWidth="1"/>
    <col min="15" max="15" width="2.7109375" customWidth="1"/>
    <col min="16" max="17" width="13.7109375" customWidth="1"/>
    <col min="18" max="18" width="8.5703125" bestFit="1" customWidth="1"/>
    <col min="19" max="20" width="13.7109375" customWidth="1"/>
    <col min="21" max="21" width="2.7109375" customWidth="1"/>
    <col min="22" max="23" width="13.7109375" customWidth="1"/>
    <col min="24" max="24" width="9.7109375" customWidth="1"/>
    <col min="25" max="26" width="13.7109375" customWidth="1"/>
  </cols>
  <sheetData>
    <row r="1" spans="1:13">
      <c r="A1" s="5" t="str">
        <f>+'[3]Input Data'!$A$9</f>
        <v>2025 RATE CASE</v>
      </c>
    </row>
    <row r="2" spans="1:13">
      <c r="A2" s="8" t="str">
        <f>+'[3]Input Data'!$A$2</f>
        <v>ONCOR ELECTRIC DELIVERY COMPANY LLC</v>
      </c>
    </row>
    <row r="3" spans="1:13">
      <c r="A3" s="7" t="str">
        <f>CONCATENATE('[3]Schedule Sponsors'!$A$70,'[3]Schedule Sponsors'!$B$70)</f>
        <v>II-D-3.2  REGULAR AND OVERTIME PAYROLL BY FUNCTION</v>
      </c>
    </row>
    <row r="4" spans="1:13">
      <c r="A4" s="63" t="str">
        <f>+'[3]Input Data'!$A$4</f>
        <v>TEST YEAR ENDING DECEMBER 31, 2024</v>
      </c>
    </row>
    <row r="5" spans="1:13">
      <c r="A5" s="7" t="str">
        <f>CONCATENATE("SPONSOR: ",'[3]Schedule Sponsors'!$D$70)</f>
        <v>SPONSOR: R. PRACHYL</v>
      </c>
    </row>
    <row r="10" spans="1:13" s="2" customFormat="1" ht="13.5" thickBot="1">
      <c r="A10" s="8"/>
      <c r="B10" s="18"/>
      <c r="C10" s="8"/>
      <c r="D10" s="379" t="s">
        <v>215</v>
      </c>
      <c r="E10" s="379"/>
      <c r="F10" s="379"/>
      <c r="G10" s="379"/>
      <c r="H10" s="379"/>
    </row>
    <row r="11" spans="1:13" s="2" customFormat="1">
      <c r="A11" s="18" t="s">
        <v>87</v>
      </c>
      <c r="B11" s="18"/>
      <c r="C11" s="18"/>
      <c r="D11" s="18"/>
      <c r="E11" s="25"/>
      <c r="F11" s="189" t="s">
        <v>396</v>
      </c>
      <c r="G11" s="18"/>
      <c r="H11" s="91"/>
    </row>
    <row r="12" spans="1:13" s="2" customFormat="1">
      <c r="A12" s="92" t="s">
        <v>89</v>
      </c>
      <c r="B12" s="92" t="s">
        <v>64</v>
      </c>
      <c r="C12" s="18"/>
      <c r="D12" s="92" t="s">
        <v>65</v>
      </c>
      <c r="E12" s="92" t="s">
        <v>66</v>
      </c>
      <c r="F12" s="190" t="s">
        <v>397</v>
      </c>
      <c r="G12" s="92" t="s">
        <v>63</v>
      </c>
      <c r="H12" s="92" t="s">
        <v>215</v>
      </c>
    </row>
    <row r="13" spans="1:13" s="2" customFormat="1">
      <c r="A13" s="18"/>
      <c r="B13" s="16" t="s">
        <v>44</v>
      </c>
      <c r="C13" s="16"/>
      <c r="D13" s="16" t="s">
        <v>45</v>
      </c>
      <c r="E13" s="16" t="s">
        <v>74</v>
      </c>
      <c r="F13" s="16" t="s">
        <v>75</v>
      </c>
      <c r="G13" s="16" t="s">
        <v>76</v>
      </c>
      <c r="H13" s="16" t="s">
        <v>77</v>
      </c>
    </row>
    <row r="15" spans="1:13">
      <c r="A15" s="1">
        <v>1</v>
      </c>
      <c r="B15" s="187" t="s">
        <v>771</v>
      </c>
      <c r="D15" s="139">
        <f>+V46+P77+D108+D139</f>
        <v>49191207.800000057</v>
      </c>
      <c r="E15" s="139">
        <f t="shared" ref="E15:G15" si="0">+W46+Q77+E108+E139</f>
        <v>13315302.240000002</v>
      </c>
      <c r="F15" s="139">
        <f t="shared" si="0"/>
        <v>0</v>
      </c>
      <c r="G15" s="139">
        <f t="shared" si="0"/>
        <v>9384548.379999999</v>
      </c>
      <c r="H15" s="139">
        <f t="shared" ref="H15:H26" si="1">SUM(D15:G15)</f>
        <v>71891058.420000061</v>
      </c>
      <c r="I15" s="149"/>
      <c r="J15" s="149"/>
      <c r="K15" s="149"/>
      <c r="L15" s="149"/>
      <c r="M15" s="149"/>
    </row>
    <row r="16" spans="1:13">
      <c r="A16" s="1">
        <v>2</v>
      </c>
      <c r="B16" s="188" t="s">
        <v>772</v>
      </c>
      <c r="D16" s="66">
        <f t="shared" ref="D16:G16" si="2">+V47+P78+D109+D140</f>
        <v>43421773.609999895</v>
      </c>
      <c r="E16" s="66">
        <f t="shared" si="2"/>
        <v>4244377.400000006</v>
      </c>
      <c r="F16" s="66">
        <f t="shared" si="2"/>
        <v>0</v>
      </c>
      <c r="G16" s="66">
        <f t="shared" si="2"/>
        <v>8539891.5199999996</v>
      </c>
      <c r="H16" s="93">
        <f t="shared" si="1"/>
        <v>56206042.529999897</v>
      </c>
    </row>
    <row r="17" spans="1:13">
      <c r="A17" s="1">
        <v>3</v>
      </c>
      <c r="B17" s="188" t="s">
        <v>773</v>
      </c>
      <c r="D17" s="66">
        <f t="shared" ref="D17:G17" si="3">+V48+P79+D110+D141</f>
        <v>47252761.99999997</v>
      </c>
      <c r="E17" s="66">
        <f t="shared" si="3"/>
        <v>9232798.3700000122</v>
      </c>
      <c r="F17" s="66">
        <f t="shared" si="3"/>
        <v>0</v>
      </c>
      <c r="G17" s="66">
        <f t="shared" si="3"/>
        <v>15196999.729999997</v>
      </c>
      <c r="H17" s="93">
        <f t="shared" si="1"/>
        <v>71682560.099999979</v>
      </c>
    </row>
    <row r="18" spans="1:13">
      <c r="A18" s="1">
        <v>4</v>
      </c>
      <c r="B18" s="188" t="s">
        <v>774</v>
      </c>
      <c r="D18" s="66">
        <f t="shared" ref="D18:G18" si="4">+V49+P80+D111+D142</f>
        <v>46505030.219999984</v>
      </c>
      <c r="E18" s="66">
        <f t="shared" si="4"/>
        <v>11684364.379999962</v>
      </c>
      <c r="F18" s="66">
        <f t="shared" si="4"/>
        <v>0</v>
      </c>
      <c r="G18" s="66">
        <f t="shared" si="4"/>
        <v>10515482.119999999</v>
      </c>
      <c r="H18" s="93">
        <f t="shared" si="1"/>
        <v>68704876.719999954</v>
      </c>
    </row>
    <row r="19" spans="1:13">
      <c r="A19" s="1">
        <v>5</v>
      </c>
      <c r="B19" s="188" t="s">
        <v>775</v>
      </c>
      <c r="D19" s="66">
        <f t="shared" ref="D19:G19" si="5">+V50+P81+D112+D143</f>
        <v>48272144.959999956</v>
      </c>
      <c r="E19" s="66">
        <f t="shared" si="5"/>
        <v>16249030.240000052</v>
      </c>
      <c r="F19" s="66">
        <f t="shared" si="5"/>
        <v>0</v>
      </c>
      <c r="G19" s="66">
        <f t="shared" si="5"/>
        <v>7590132.8700000029</v>
      </c>
      <c r="H19" s="93">
        <f t="shared" si="1"/>
        <v>72111308.070000008</v>
      </c>
    </row>
    <row r="20" spans="1:13">
      <c r="A20" s="1">
        <v>6</v>
      </c>
      <c r="B20" s="188" t="s">
        <v>776</v>
      </c>
      <c r="D20" s="66">
        <f t="shared" ref="D20:G20" si="6">+V51+P82+D113+D144</f>
        <v>47354266.359999985</v>
      </c>
      <c r="E20" s="66">
        <f t="shared" si="6"/>
        <v>18052323.049999978</v>
      </c>
      <c r="F20" s="66">
        <f t="shared" si="6"/>
        <v>0</v>
      </c>
      <c r="G20" s="66">
        <f t="shared" si="6"/>
        <v>16096671.150000006</v>
      </c>
      <c r="H20" s="93">
        <f t="shared" si="1"/>
        <v>81503260.559999973</v>
      </c>
    </row>
    <row r="21" spans="1:13">
      <c r="A21" s="1">
        <v>7</v>
      </c>
      <c r="B21" s="187" t="s">
        <v>777</v>
      </c>
      <c r="D21" s="66">
        <f t="shared" ref="D21:G21" si="7">+V52+P83+D114+D145</f>
        <v>49267997.330000073</v>
      </c>
      <c r="E21" s="66">
        <f t="shared" si="7"/>
        <v>12082472.980000021</v>
      </c>
      <c r="F21" s="66">
        <f t="shared" si="7"/>
        <v>0</v>
      </c>
      <c r="G21" s="66">
        <f t="shared" si="7"/>
        <v>11071397.380000001</v>
      </c>
      <c r="H21" s="93">
        <f t="shared" si="1"/>
        <v>72421867.690000087</v>
      </c>
    </row>
    <row r="22" spans="1:13">
      <c r="A22" s="1">
        <v>8</v>
      </c>
      <c r="B22" s="188" t="s">
        <v>778</v>
      </c>
      <c r="D22" s="66">
        <f t="shared" ref="D22:G22" si="8">+V53+P84+D115+D146</f>
        <v>49049315.909999967</v>
      </c>
      <c r="E22" s="66">
        <f t="shared" si="8"/>
        <v>8219164.1100000087</v>
      </c>
      <c r="F22" s="66">
        <f t="shared" si="8"/>
        <v>0</v>
      </c>
      <c r="G22" s="66">
        <f t="shared" si="8"/>
        <v>16076887.460000006</v>
      </c>
      <c r="H22" s="93">
        <f t="shared" si="1"/>
        <v>73345367.479999974</v>
      </c>
    </row>
    <row r="23" spans="1:13">
      <c r="A23" s="1">
        <v>9</v>
      </c>
      <c r="B23" s="188" t="s">
        <v>779</v>
      </c>
      <c r="D23" s="66">
        <f t="shared" ref="D23:G23" si="9">+V54+P85+D116+D147</f>
        <v>47333763.029999956</v>
      </c>
      <c r="E23" s="66">
        <f t="shared" si="9"/>
        <v>9491535.8499999885</v>
      </c>
      <c r="F23" s="66">
        <f t="shared" si="9"/>
        <v>0</v>
      </c>
      <c r="G23" s="66">
        <f t="shared" si="9"/>
        <v>13660660.300000003</v>
      </c>
      <c r="H23" s="93">
        <f t="shared" si="1"/>
        <v>70485959.179999948</v>
      </c>
    </row>
    <row r="24" spans="1:13">
      <c r="A24" s="1">
        <v>10</v>
      </c>
      <c r="B24" s="188" t="s">
        <v>780</v>
      </c>
      <c r="D24" s="66">
        <f t="shared" ref="D24:G24" si="10">+V55+P86+D117+D148</f>
        <v>49554285.480000041</v>
      </c>
      <c r="E24" s="66">
        <f t="shared" si="10"/>
        <v>8952196.1800000053</v>
      </c>
      <c r="F24" s="66">
        <f t="shared" si="10"/>
        <v>0</v>
      </c>
      <c r="G24" s="66">
        <f t="shared" si="10"/>
        <v>11458143.039999999</v>
      </c>
      <c r="H24" s="93">
        <f t="shared" si="1"/>
        <v>69964624.700000048</v>
      </c>
    </row>
    <row r="25" spans="1:13">
      <c r="A25" s="1">
        <v>11</v>
      </c>
      <c r="B25" s="188" t="s">
        <v>781</v>
      </c>
      <c r="D25" s="66">
        <f t="shared" ref="D25:G25" si="11">+V56+P87+D118+D149</f>
        <v>49217948.369999938</v>
      </c>
      <c r="E25" s="66">
        <f t="shared" si="11"/>
        <v>11399736.040000012</v>
      </c>
      <c r="F25" s="66">
        <f t="shared" si="11"/>
        <v>0</v>
      </c>
      <c r="G25" s="66">
        <f t="shared" si="11"/>
        <v>7866636.0900000008</v>
      </c>
      <c r="H25" s="93">
        <f t="shared" si="1"/>
        <v>68484320.499999955</v>
      </c>
    </row>
    <row r="26" spans="1:13">
      <c r="A26" s="1">
        <v>12</v>
      </c>
      <c r="B26" s="188" t="s">
        <v>782</v>
      </c>
      <c r="D26" s="66">
        <f t="shared" ref="D26:G26" si="12">+V57+P88+D119+D150</f>
        <v>50868091.259999901</v>
      </c>
      <c r="E26" s="66">
        <f t="shared" si="12"/>
        <v>9119967.3899999894</v>
      </c>
      <c r="F26" s="66">
        <f t="shared" si="12"/>
        <v>1</v>
      </c>
      <c r="G26" s="66">
        <f t="shared" si="12"/>
        <v>18657981.120000005</v>
      </c>
      <c r="H26" s="93">
        <f t="shared" si="1"/>
        <v>78646040.769999892</v>
      </c>
    </row>
    <row r="27" spans="1:13">
      <c r="A27" s="1">
        <v>13</v>
      </c>
      <c r="D27" s="115"/>
      <c r="E27" s="115"/>
      <c r="F27" s="115"/>
      <c r="G27" s="115"/>
      <c r="H27" s="115"/>
    </row>
    <row r="28" spans="1:13">
      <c r="A28" s="1">
        <v>14</v>
      </c>
      <c r="B28" s="94" t="s">
        <v>69</v>
      </c>
      <c r="D28" s="141">
        <f>SUM(D15:D26)</f>
        <v>577288586.32999969</v>
      </c>
      <c r="E28" s="141">
        <f t="shared" ref="E28:H28" si="13">SUM(E15:E26)</f>
        <v>132043268.23000005</v>
      </c>
      <c r="F28" s="141">
        <f t="shared" ref="F28" si="14">SUM(F15:F26)</f>
        <v>1</v>
      </c>
      <c r="G28" s="141">
        <f t="shared" si="13"/>
        <v>146115431.16000003</v>
      </c>
      <c r="H28" s="141">
        <f t="shared" si="13"/>
        <v>855447286.71999979</v>
      </c>
    </row>
    <row r="29" spans="1:13">
      <c r="A29" s="1">
        <v>15</v>
      </c>
    </row>
    <row r="30" spans="1:13">
      <c r="A30" s="1">
        <v>16</v>
      </c>
    </row>
    <row r="31" spans="1:13">
      <c r="A31" s="1">
        <v>17</v>
      </c>
      <c r="B31" t="s">
        <v>158</v>
      </c>
      <c r="D31" s="139">
        <f t="shared" ref="D31:G31" si="15">+V62+P93+D124+D155</f>
        <v>51696271.26000005</v>
      </c>
      <c r="E31" s="139">
        <f t="shared" si="15"/>
        <v>9361691.1599999927</v>
      </c>
      <c r="F31" s="139">
        <f t="shared" si="15"/>
        <v>0</v>
      </c>
      <c r="G31" s="139">
        <f t="shared" si="15"/>
        <v>7657207.3499999996</v>
      </c>
      <c r="H31" s="139">
        <f>SUM(D31:G31)</f>
        <v>68715169.770000041</v>
      </c>
      <c r="I31" s="149"/>
      <c r="J31" s="149"/>
      <c r="K31" s="149"/>
      <c r="L31" s="149"/>
      <c r="M31" s="149"/>
    </row>
    <row r="32" spans="1:13">
      <c r="A32" s="1">
        <v>18</v>
      </c>
      <c r="B32" t="s">
        <v>159</v>
      </c>
      <c r="D32" s="66">
        <f t="shared" ref="D32:G32" si="16">+V63+P94+D125+D156</f>
        <v>46785559.889999948</v>
      </c>
      <c r="E32" s="66">
        <f t="shared" si="16"/>
        <v>7545678.9699999914</v>
      </c>
      <c r="F32" s="66">
        <f t="shared" si="16"/>
        <v>0</v>
      </c>
      <c r="G32" s="66">
        <f t="shared" si="16"/>
        <v>11940629.550000001</v>
      </c>
      <c r="H32" s="93">
        <f>SUM(D32:G32)</f>
        <v>66271868.409999937</v>
      </c>
    </row>
    <row r="33" spans="1:26">
      <c r="A33" s="1">
        <v>19</v>
      </c>
      <c r="B33" t="s">
        <v>46</v>
      </c>
      <c r="D33" s="66">
        <f t="shared" ref="D33:G33" si="17">+V64+P95+D126+D157</f>
        <v>53993025.569999859</v>
      </c>
      <c r="E33" s="66">
        <f t="shared" si="17"/>
        <v>18610924.619999971</v>
      </c>
      <c r="F33" s="66">
        <f t="shared" si="17"/>
        <v>0</v>
      </c>
      <c r="G33" s="66">
        <f t="shared" si="17"/>
        <v>16415913.299999995</v>
      </c>
      <c r="H33" s="93">
        <f>SUM(D33:G33)</f>
        <v>89019863.489999831</v>
      </c>
    </row>
    <row r="34" spans="1:26">
      <c r="A34" s="1">
        <v>20</v>
      </c>
      <c r="D34" s="66"/>
      <c r="E34" s="66"/>
      <c r="F34" s="66"/>
      <c r="G34" s="66"/>
    </row>
    <row r="35" spans="1:26">
      <c r="A35" s="1">
        <v>21</v>
      </c>
      <c r="D35" s="66"/>
      <c r="E35" s="66"/>
      <c r="F35" s="66"/>
      <c r="G35" s="66"/>
    </row>
    <row r="36" spans="1:26">
      <c r="A36" s="1">
        <v>22</v>
      </c>
      <c r="B36" s="170" t="s">
        <v>785</v>
      </c>
      <c r="D36" s="139">
        <f t="shared" ref="D36:G36" si="18">+V67+P98+D129+D160</f>
        <v>437672859.16000104</v>
      </c>
      <c r="E36" s="139">
        <f t="shared" si="18"/>
        <v>89606298.770000339</v>
      </c>
      <c r="F36" s="139">
        <f t="shared" si="18"/>
        <v>0</v>
      </c>
      <c r="G36" s="139">
        <f t="shared" si="18"/>
        <v>75831352.879999965</v>
      </c>
      <c r="H36" s="139">
        <f>SUM(D36:G36)</f>
        <v>603110510.81000137</v>
      </c>
      <c r="I36" s="149"/>
      <c r="J36" s="149"/>
      <c r="K36" s="149"/>
      <c r="L36" s="149"/>
      <c r="M36" s="149"/>
    </row>
    <row r="37" spans="1:26">
      <c r="A37" s="1">
        <v>23</v>
      </c>
      <c r="B37" s="170" t="s">
        <v>784</v>
      </c>
      <c r="D37" s="66">
        <f t="shared" ref="D37:G37" si="19">+V68+P99+D130+D161</f>
        <v>468197042.79999948</v>
      </c>
      <c r="E37" s="66">
        <f t="shared" si="19"/>
        <v>105048400.32000025</v>
      </c>
      <c r="F37" s="66">
        <f t="shared" si="19"/>
        <v>0</v>
      </c>
      <c r="G37" s="66">
        <f t="shared" si="19"/>
        <v>99691480.299999967</v>
      </c>
      <c r="H37" s="66">
        <f>SUM(D37:G37)</f>
        <v>672936923.41999972</v>
      </c>
    </row>
    <row r="38" spans="1:26">
      <c r="A38" s="1">
        <v>24</v>
      </c>
      <c r="B38" s="170" t="s">
        <v>783</v>
      </c>
      <c r="D38" s="66">
        <f t="shared" ref="D38:G38" si="20">+V69+P100+D131+D162</f>
        <v>522945313.00999963</v>
      </c>
      <c r="E38" s="66">
        <f t="shared" si="20"/>
        <v>110142022.42000027</v>
      </c>
      <c r="F38" s="66">
        <f t="shared" si="20"/>
        <v>0</v>
      </c>
      <c r="G38" s="66">
        <f t="shared" si="20"/>
        <v>120183444.5299999</v>
      </c>
      <c r="H38" s="66">
        <f>SUM(D38:G38)</f>
        <v>753270779.9599998</v>
      </c>
    </row>
    <row r="39" spans="1:26">
      <c r="A39" s="2"/>
      <c r="D39" s="66"/>
      <c r="E39" s="66"/>
      <c r="F39" s="66"/>
    </row>
    <row r="40" spans="1:26">
      <c r="D40" s="66"/>
    </row>
    <row r="41" spans="1:26" ht="13.5" thickBot="1">
      <c r="D41" s="379" t="s">
        <v>292</v>
      </c>
      <c r="E41" s="379"/>
      <c r="F41" s="379"/>
      <c r="G41" s="379"/>
      <c r="H41" s="379"/>
      <c r="J41" s="380" t="s">
        <v>625</v>
      </c>
      <c r="K41" s="379"/>
      <c r="L41" s="379"/>
      <c r="M41" s="379"/>
      <c r="N41" s="379"/>
      <c r="P41" s="380" t="s">
        <v>626</v>
      </c>
      <c r="Q41" s="379"/>
      <c r="R41" s="379"/>
      <c r="S41" s="379"/>
      <c r="T41" s="379"/>
      <c r="V41" s="380" t="s">
        <v>627</v>
      </c>
      <c r="W41" s="379"/>
      <c r="X41" s="379"/>
      <c r="Y41" s="379"/>
      <c r="Z41" s="379"/>
    </row>
    <row r="42" spans="1:26">
      <c r="A42" s="18" t="s">
        <v>87</v>
      </c>
      <c r="B42" s="18"/>
      <c r="D42" s="18"/>
      <c r="E42" s="25"/>
      <c r="F42" s="189" t="s">
        <v>396</v>
      </c>
      <c r="G42" s="18"/>
      <c r="H42" s="2"/>
      <c r="J42" s="18"/>
      <c r="K42" s="25"/>
      <c r="L42" s="189" t="s">
        <v>396</v>
      </c>
      <c r="M42" s="18"/>
      <c r="N42" s="2"/>
      <c r="P42" s="18"/>
      <c r="Q42" s="25"/>
      <c r="R42" s="189" t="s">
        <v>396</v>
      </c>
      <c r="S42" s="18"/>
      <c r="T42" s="2"/>
      <c r="V42" s="18"/>
      <c r="W42" s="25"/>
      <c r="X42" s="189" t="s">
        <v>396</v>
      </c>
      <c r="Y42" s="18"/>
      <c r="Z42" s="2"/>
    </row>
    <row r="43" spans="1:26">
      <c r="A43" s="196" t="s">
        <v>89</v>
      </c>
      <c r="B43" s="196" t="s">
        <v>64</v>
      </c>
      <c r="D43" s="196" t="s">
        <v>65</v>
      </c>
      <c r="E43" s="196" t="s">
        <v>66</v>
      </c>
      <c r="F43" s="190" t="s">
        <v>397</v>
      </c>
      <c r="G43" s="196" t="s">
        <v>63</v>
      </c>
      <c r="H43" s="196" t="s">
        <v>215</v>
      </c>
      <c r="J43" s="196" t="s">
        <v>65</v>
      </c>
      <c r="K43" s="196" t="s">
        <v>66</v>
      </c>
      <c r="L43" s="190" t="s">
        <v>397</v>
      </c>
      <c r="M43" s="196" t="s">
        <v>63</v>
      </c>
      <c r="N43" s="196" t="s">
        <v>215</v>
      </c>
      <c r="P43" s="196" t="s">
        <v>65</v>
      </c>
      <c r="Q43" s="196" t="s">
        <v>66</v>
      </c>
      <c r="R43" s="190" t="s">
        <v>397</v>
      </c>
      <c r="S43" s="196" t="s">
        <v>63</v>
      </c>
      <c r="T43" s="196" t="s">
        <v>215</v>
      </c>
      <c r="V43" s="196" t="s">
        <v>65</v>
      </c>
      <c r="W43" s="196" t="s">
        <v>66</v>
      </c>
      <c r="X43" s="190" t="s">
        <v>397</v>
      </c>
      <c r="Y43" s="196" t="s">
        <v>63</v>
      </c>
      <c r="Z43" s="196" t="s">
        <v>215</v>
      </c>
    </row>
    <row r="44" spans="1:26">
      <c r="A44" s="18"/>
      <c r="B44" s="16" t="s">
        <v>44</v>
      </c>
      <c r="D44" s="16" t="s">
        <v>45</v>
      </c>
      <c r="E44" s="16" t="s">
        <v>74</v>
      </c>
      <c r="F44" s="16" t="s">
        <v>75</v>
      </c>
      <c r="G44" s="16" t="s">
        <v>76</v>
      </c>
      <c r="H44" s="16" t="s">
        <v>77</v>
      </c>
      <c r="J44" s="191" t="s">
        <v>78</v>
      </c>
      <c r="K44" s="191" t="s">
        <v>79</v>
      </c>
      <c r="L44" s="191" t="s">
        <v>80</v>
      </c>
      <c r="M44" s="191" t="s">
        <v>81</v>
      </c>
      <c r="N44" s="191" t="s">
        <v>82</v>
      </c>
      <c r="P44" s="191" t="s">
        <v>83</v>
      </c>
      <c r="Q44" s="191" t="s">
        <v>84</v>
      </c>
      <c r="R44" s="191" t="s">
        <v>85</v>
      </c>
      <c r="S44" s="191" t="s">
        <v>86</v>
      </c>
      <c r="T44" s="191" t="s">
        <v>254</v>
      </c>
      <c r="V44" s="191" t="s">
        <v>128</v>
      </c>
      <c r="W44" s="191" t="s">
        <v>23</v>
      </c>
      <c r="X44" s="191" t="s">
        <v>24</v>
      </c>
      <c r="Y44" s="191" t="s">
        <v>136</v>
      </c>
      <c r="Z44" s="191" t="s">
        <v>68</v>
      </c>
    </row>
    <row r="46" spans="1:26">
      <c r="A46" s="1">
        <v>25</v>
      </c>
      <c r="B46" s="187" t="str">
        <f>+B15</f>
        <v>January 2024</v>
      </c>
      <c r="D46" s="139">
        <v>13240901.230000019</v>
      </c>
      <c r="E46" s="139">
        <v>575118.79000000027</v>
      </c>
      <c r="F46" s="139">
        <v>0</v>
      </c>
      <c r="G46" s="139">
        <v>3091037.8400000017</v>
      </c>
      <c r="H46" s="139">
        <f t="shared" ref="H46:H57" si="21">SUM(D46:G46)</f>
        <v>16907057.860000022</v>
      </c>
      <c r="J46" s="139">
        <v>0</v>
      </c>
      <c r="K46" s="139">
        <v>0</v>
      </c>
      <c r="L46" s="139">
        <v>0</v>
      </c>
      <c r="M46" s="139">
        <v>0</v>
      </c>
      <c r="N46" s="139">
        <f t="shared" ref="N46:N57" si="22">SUM(J46:M46)</f>
        <v>0</v>
      </c>
      <c r="P46" s="139">
        <v>0</v>
      </c>
      <c r="Q46" s="139">
        <v>0</v>
      </c>
      <c r="R46" s="139">
        <v>0</v>
      </c>
      <c r="S46" s="139">
        <v>0</v>
      </c>
      <c r="T46" s="139">
        <f t="shared" ref="T46:T57" si="23">SUM(P46:S46)</f>
        <v>0</v>
      </c>
      <c r="V46" s="139">
        <f>+D46+J46+P46</f>
        <v>13240901.230000019</v>
      </c>
      <c r="W46" s="139">
        <f t="shared" ref="W46:W57" si="24">+E46+K46+Q46</f>
        <v>575118.79000000027</v>
      </c>
      <c r="X46" s="139">
        <f t="shared" ref="X46:X57" si="25">+F46+L46+R46</f>
        <v>0</v>
      </c>
      <c r="Y46" s="139">
        <f t="shared" ref="Y46:Y57" si="26">+G46+M46+S46</f>
        <v>3091037.8400000017</v>
      </c>
      <c r="Z46" s="139">
        <f t="shared" ref="Z46:Z57" si="27">SUM(V46:Y46)</f>
        <v>16907057.860000022</v>
      </c>
    </row>
    <row r="47" spans="1:26">
      <c r="A47" s="1">
        <v>26</v>
      </c>
      <c r="B47" s="187" t="str">
        <f t="shared" ref="B47:B57" si="28">+B16</f>
        <v>February 2024</v>
      </c>
      <c r="D47" s="66">
        <v>11056798.579999968</v>
      </c>
      <c r="E47" s="66">
        <v>1401568.1099999992</v>
      </c>
      <c r="F47" s="66">
        <v>0</v>
      </c>
      <c r="G47" s="66">
        <v>2540905.89</v>
      </c>
      <c r="H47" s="93">
        <f t="shared" si="21"/>
        <v>14999272.579999968</v>
      </c>
      <c r="J47" s="66">
        <v>0</v>
      </c>
      <c r="K47" s="66">
        <v>0</v>
      </c>
      <c r="L47" s="66">
        <v>0</v>
      </c>
      <c r="M47" s="66">
        <v>0</v>
      </c>
      <c r="N47" s="93">
        <f t="shared" si="22"/>
        <v>0</v>
      </c>
      <c r="P47" s="66">
        <v>0</v>
      </c>
      <c r="Q47" s="66">
        <v>0</v>
      </c>
      <c r="R47" s="66">
        <v>0</v>
      </c>
      <c r="S47" s="66">
        <v>0</v>
      </c>
      <c r="T47" s="93">
        <f t="shared" si="23"/>
        <v>0</v>
      </c>
      <c r="V47" s="66">
        <f t="shared" ref="V47:V57" si="29">+D47+J47+P47</f>
        <v>11056798.579999968</v>
      </c>
      <c r="W47" s="66">
        <f t="shared" si="24"/>
        <v>1401568.1099999992</v>
      </c>
      <c r="X47" s="66">
        <f t="shared" si="25"/>
        <v>0</v>
      </c>
      <c r="Y47" s="66">
        <f t="shared" si="26"/>
        <v>2540905.89</v>
      </c>
      <c r="Z47" s="93">
        <f t="shared" si="27"/>
        <v>14999272.579999968</v>
      </c>
    </row>
    <row r="48" spans="1:26">
      <c r="A48" s="1">
        <v>27</v>
      </c>
      <c r="B48" s="187" t="str">
        <f t="shared" si="28"/>
        <v>March 2024</v>
      </c>
      <c r="D48" s="66">
        <v>11677748.059999974</v>
      </c>
      <c r="E48" s="66">
        <v>2784289.1900000046</v>
      </c>
      <c r="F48" s="66">
        <v>0</v>
      </c>
      <c r="G48" s="66">
        <v>3557949.81</v>
      </c>
      <c r="H48" s="93">
        <f t="shared" si="21"/>
        <v>18019987.05999998</v>
      </c>
      <c r="J48" s="66">
        <v>0</v>
      </c>
      <c r="K48" s="66">
        <v>0</v>
      </c>
      <c r="L48" s="66">
        <v>0</v>
      </c>
      <c r="M48" s="66">
        <v>0</v>
      </c>
      <c r="N48" s="93">
        <f t="shared" si="22"/>
        <v>0</v>
      </c>
      <c r="P48" s="66">
        <v>0</v>
      </c>
      <c r="Q48" s="66">
        <v>0</v>
      </c>
      <c r="R48" s="66">
        <v>0</v>
      </c>
      <c r="S48" s="66">
        <v>0</v>
      </c>
      <c r="T48" s="93">
        <f t="shared" si="23"/>
        <v>0</v>
      </c>
      <c r="V48" s="66">
        <f t="shared" si="29"/>
        <v>11677748.059999974</v>
      </c>
      <c r="W48" s="66">
        <f t="shared" si="24"/>
        <v>2784289.1900000046</v>
      </c>
      <c r="X48" s="66">
        <f t="shared" si="25"/>
        <v>0</v>
      </c>
      <c r="Y48" s="66">
        <f t="shared" si="26"/>
        <v>3557949.81</v>
      </c>
      <c r="Z48" s="93">
        <f t="shared" si="27"/>
        <v>18019987.05999998</v>
      </c>
    </row>
    <row r="49" spans="1:26">
      <c r="A49" s="1">
        <v>28</v>
      </c>
      <c r="B49" s="187" t="str">
        <f t="shared" si="28"/>
        <v>April 2024</v>
      </c>
      <c r="D49" s="66">
        <v>12037665.28999998</v>
      </c>
      <c r="E49" s="66">
        <v>2161951.0499999993</v>
      </c>
      <c r="F49" s="66">
        <v>0</v>
      </c>
      <c r="G49" s="66">
        <v>3124750.3199999989</v>
      </c>
      <c r="H49" s="93">
        <f t="shared" si="21"/>
        <v>17324366.659999978</v>
      </c>
      <c r="J49" s="66">
        <v>0</v>
      </c>
      <c r="K49" s="66">
        <v>0</v>
      </c>
      <c r="L49" s="66">
        <v>0</v>
      </c>
      <c r="M49" s="66">
        <v>0</v>
      </c>
      <c r="N49" s="93">
        <f t="shared" si="22"/>
        <v>0</v>
      </c>
      <c r="P49" s="66">
        <v>0</v>
      </c>
      <c r="Q49" s="66">
        <v>0</v>
      </c>
      <c r="R49" s="66">
        <v>0</v>
      </c>
      <c r="S49" s="66">
        <v>0</v>
      </c>
      <c r="T49" s="93">
        <f t="shared" si="23"/>
        <v>0</v>
      </c>
      <c r="V49" s="66">
        <f t="shared" si="29"/>
        <v>12037665.28999998</v>
      </c>
      <c r="W49" s="66">
        <f t="shared" si="24"/>
        <v>2161951.0499999993</v>
      </c>
      <c r="X49" s="66">
        <f t="shared" si="25"/>
        <v>0</v>
      </c>
      <c r="Y49" s="66">
        <f t="shared" si="26"/>
        <v>3124750.3199999989</v>
      </c>
      <c r="Z49" s="93">
        <f t="shared" si="27"/>
        <v>17324366.659999978</v>
      </c>
    </row>
    <row r="50" spans="1:26">
      <c r="A50" s="1">
        <v>29</v>
      </c>
      <c r="B50" s="187" t="str">
        <f t="shared" si="28"/>
        <v>May 2024</v>
      </c>
      <c r="D50" s="66">
        <v>11486549.510000005</v>
      </c>
      <c r="E50" s="66">
        <v>1932893.6099999992</v>
      </c>
      <c r="F50" s="66">
        <v>0</v>
      </c>
      <c r="G50" s="66">
        <v>2294719.5799999996</v>
      </c>
      <c r="H50" s="93">
        <f t="shared" si="21"/>
        <v>15714162.700000005</v>
      </c>
      <c r="J50" s="66">
        <v>0</v>
      </c>
      <c r="K50" s="66">
        <v>0</v>
      </c>
      <c r="L50" s="66">
        <v>0</v>
      </c>
      <c r="M50" s="66">
        <v>0</v>
      </c>
      <c r="N50" s="93">
        <f t="shared" si="22"/>
        <v>0</v>
      </c>
      <c r="P50" s="66">
        <v>0</v>
      </c>
      <c r="Q50" s="66">
        <v>0</v>
      </c>
      <c r="R50" s="66">
        <v>0</v>
      </c>
      <c r="S50" s="66">
        <v>0</v>
      </c>
      <c r="T50" s="93">
        <f t="shared" si="23"/>
        <v>0</v>
      </c>
      <c r="V50" s="66">
        <f t="shared" si="29"/>
        <v>11486549.510000005</v>
      </c>
      <c r="W50" s="66">
        <f t="shared" si="24"/>
        <v>1932893.6099999992</v>
      </c>
      <c r="X50" s="66">
        <f t="shared" si="25"/>
        <v>0</v>
      </c>
      <c r="Y50" s="66">
        <f t="shared" si="26"/>
        <v>2294719.5799999996</v>
      </c>
      <c r="Z50" s="93">
        <f t="shared" si="27"/>
        <v>15714162.700000005</v>
      </c>
    </row>
    <row r="51" spans="1:26">
      <c r="A51" s="1">
        <v>30</v>
      </c>
      <c r="B51" s="187" t="str">
        <f t="shared" si="28"/>
        <v>June 2024</v>
      </c>
      <c r="D51" s="66">
        <v>12619417.430000024</v>
      </c>
      <c r="E51" s="66">
        <v>1600963.080000001</v>
      </c>
      <c r="F51" s="66">
        <v>0</v>
      </c>
      <c r="G51" s="66">
        <v>5190242.7900000019</v>
      </c>
      <c r="H51" s="93">
        <f t="shared" si="21"/>
        <v>19410623.300000027</v>
      </c>
      <c r="J51" s="66">
        <v>0</v>
      </c>
      <c r="K51" s="66">
        <v>0</v>
      </c>
      <c r="L51" s="66">
        <v>0</v>
      </c>
      <c r="M51" s="66">
        <v>0</v>
      </c>
      <c r="N51" s="93">
        <f t="shared" si="22"/>
        <v>0</v>
      </c>
      <c r="P51" s="66">
        <v>0</v>
      </c>
      <c r="Q51" s="66">
        <v>0</v>
      </c>
      <c r="R51" s="66">
        <v>0</v>
      </c>
      <c r="S51" s="66">
        <v>0</v>
      </c>
      <c r="T51" s="93">
        <f t="shared" si="23"/>
        <v>0</v>
      </c>
      <c r="V51" s="66">
        <f t="shared" si="29"/>
        <v>12619417.430000024</v>
      </c>
      <c r="W51" s="66">
        <f t="shared" si="24"/>
        <v>1600963.080000001</v>
      </c>
      <c r="X51" s="66">
        <f t="shared" si="25"/>
        <v>0</v>
      </c>
      <c r="Y51" s="66">
        <f t="shared" si="26"/>
        <v>5190242.7900000019</v>
      </c>
      <c r="Z51" s="93">
        <f t="shared" si="27"/>
        <v>19410623.300000027</v>
      </c>
    </row>
    <row r="52" spans="1:26">
      <c r="A52" s="1">
        <v>31</v>
      </c>
      <c r="B52" s="187" t="str">
        <f t="shared" si="28"/>
        <v>July 2024</v>
      </c>
      <c r="D52" s="66">
        <v>13404902.120000042</v>
      </c>
      <c r="E52" s="66">
        <v>1383161.57</v>
      </c>
      <c r="F52" s="66">
        <v>0</v>
      </c>
      <c r="G52" s="66">
        <v>3367005.5300000003</v>
      </c>
      <c r="H52" s="93">
        <f t="shared" si="21"/>
        <v>18155069.220000044</v>
      </c>
      <c r="J52" s="66">
        <v>0</v>
      </c>
      <c r="K52" s="66">
        <v>0</v>
      </c>
      <c r="L52" s="66">
        <v>0</v>
      </c>
      <c r="M52" s="66">
        <v>0</v>
      </c>
      <c r="N52" s="93">
        <f t="shared" si="22"/>
        <v>0</v>
      </c>
      <c r="P52" s="66">
        <v>0</v>
      </c>
      <c r="Q52" s="66">
        <v>0</v>
      </c>
      <c r="R52" s="66">
        <v>0</v>
      </c>
      <c r="S52" s="66">
        <v>0</v>
      </c>
      <c r="T52" s="93">
        <f t="shared" si="23"/>
        <v>0</v>
      </c>
      <c r="V52" s="66">
        <f t="shared" si="29"/>
        <v>13404902.120000042</v>
      </c>
      <c r="W52" s="66">
        <f t="shared" si="24"/>
        <v>1383161.57</v>
      </c>
      <c r="X52" s="66">
        <f t="shared" si="25"/>
        <v>0</v>
      </c>
      <c r="Y52" s="66">
        <f t="shared" si="26"/>
        <v>3367005.5300000003</v>
      </c>
      <c r="Z52" s="93">
        <f t="shared" si="27"/>
        <v>18155069.220000044</v>
      </c>
    </row>
    <row r="53" spans="1:26">
      <c r="A53" s="1">
        <v>32</v>
      </c>
      <c r="B53" s="187" t="str">
        <f t="shared" si="28"/>
        <v>August 2024</v>
      </c>
      <c r="D53" s="66">
        <v>13164300.99</v>
      </c>
      <c r="E53" s="66">
        <v>1667819.1500000006</v>
      </c>
      <c r="F53" s="66">
        <v>0</v>
      </c>
      <c r="G53" s="66">
        <v>3709240.4200000013</v>
      </c>
      <c r="H53" s="93">
        <f t="shared" si="21"/>
        <v>18541360.560000002</v>
      </c>
      <c r="J53" s="66">
        <v>0</v>
      </c>
      <c r="K53" s="66">
        <v>0</v>
      </c>
      <c r="L53" s="66">
        <v>0</v>
      </c>
      <c r="M53" s="66">
        <v>0</v>
      </c>
      <c r="N53" s="93">
        <f t="shared" si="22"/>
        <v>0</v>
      </c>
      <c r="P53" s="66">
        <v>0</v>
      </c>
      <c r="Q53" s="66">
        <v>0</v>
      </c>
      <c r="R53" s="66">
        <v>0</v>
      </c>
      <c r="S53" s="66">
        <v>0</v>
      </c>
      <c r="T53" s="93">
        <f t="shared" si="23"/>
        <v>0</v>
      </c>
      <c r="V53" s="66">
        <f t="shared" si="29"/>
        <v>13164300.99</v>
      </c>
      <c r="W53" s="66">
        <f t="shared" si="24"/>
        <v>1667819.1500000006</v>
      </c>
      <c r="X53" s="66">
        <f t="shared" si="25"/>
        <v>0</v>
      </c>
      <c r="Y53" s="66">
        <f t="shared" si="26"/>
        <v>3709240.4200000013</v>
      </c>
      <c r="Z53" s="93">
        <f t="shared" si="27"/>
        <v>18541360.560000002</v>
      </c>
    </row>
    <row r="54" spans="1:26">
      <c r="A54" s="1">
        <v>33</v>
      </c>
      <c r="B54" s="187" t="str">
        <f t="shared" si="28"/>
        <v>September 2024</v>
      </c>
      <c r="D54" s="66">
        <v>12413879.250000017</v>
      </c>
      <c r="E54" s="66">
        <v>1599139.6500000011</v>
      </c>
      <c r="F54" s="66">
        <v>0</v>
      </c>
      <c r="G54" s="66">
        <v>4305340.8900000015</v>
      </c>
      <c r="H54" s="93">
        <f t="shared" si="21"/>
        <v>18318359.790000018</v>
      </c>
      <c r="J54" s="66">
        <v>0</v>
      </c>
      <c r="K54" s="66">
        <v>0</v>
      </c>
      <c r="L54" s="66">
        <v>0</v>
      </c>
      <c r="M54" s="66">
        <v>0</v>
      </c>
      <c r="N54" s="93">
        <f t="shared" si="22"/>
        <v>0</v>
      </c>
      <c r="P54" s="66">
        <v>0</v>
      </c>
      <c r="Q54" s="66">
        <v>0</v>
      </c>
      <c r="R54" s="66">
        <v>0</v>
      </c>
      <c r="S54" s="66">
        <v>0</v>
      </c>
      <c r="T54" s="93">
        <f t="shared" si="23"/>
        <v>0</v>
      </c>
      <c r="V54" s="66">
        <f t="shared" si="29"/>
        <v>12413879.250000017</v>
      </c>
      <c r="W54" s="66">
        <f t="shared" si="24"/>
        <v>1599139.6500000011</v>
      </c>
      <c r="X54" s="66">
        <f t="shared" si="25"/>
        <v>0</v>
      </c>
      <c r="Y54" s="66">
        <f t="shared" si="26"/>
        <v>4305340.8900000015</v>
      </c>
      <c r="Z54" s="93">
        <f t="shared" si="27"/>
        <v>18318359.790000018</v>
      </c>
    </row>
    <row r="55" spans="1:26">
      <c r="A55" s="1">
        <v>34</v>
      </c>
      <c r="B55" s="187" t="str">
        <f t="shared" si="28"/>
        <v>October 2024</v>
      </c>
      <c r="D55" s="66">
        <v>13233533.650000023</v>
      </c>
      <c r="E55" s="66">
        <v>2914177.9100000043</v>
      </c>
      <c r="F55" s="66">
        <v>0</v>
      </c>
      <c r="G55" s="66">
        <v>3560149.6700000004</v>
      </c>
      <c r="H55" s="93">
        <f t="shared" si="21"/>
        <v>19707861.230000027</v>
      </c>
      <c r="J55" s="66">
        <v>0</v>
      </c>
      <c r="K55" s="66">
        <v>0</v>
      </c>
      <c r="L55" s="66">
        <v>0</v>
      </c>
      <c r="M55" s="66">
        <v>0</v>
      </c>
      <c r="N55" s="93">
        <f t="shared" si="22"/>
        <v>0</v>
      </c>
      <c r="P55" s="66">
        <v>0</v>
      </c>
      <c r="Q55" s="66">
        <v>0</v>
      </c>
      <c r="R55" s="66">
        <v>0</v>
      </c>
      <c r="S55" s="66">
        <v>0</v>
      </c>
      <c r="T55" s="93">
        <f t="shared" si="23"/>
        <v>0</v>
      </c>
      <c r="V55" s="66">
        <f t="shared" si="29"/>
        <v>13233533.650000023</v>
      </c>
      <c r="W55" s="66">
        <f t="shared" si="24"/>
        <v>2914177.9100000043</v>
      </c>
      <c r="X55" s="66">
        <f t="shared" si="25"/>
        <v>0</v>
      </c>
      <c r="Y55" s="66">
        <f t="shared" si="26"/>
        <v>3560149.6700000004</v>
      </c>
      <c r="Z55" s="93">
        <f t="shared" si="27"/>
        <v>19707861.230000027</v>
      </c>
    </row>
    <row r="56" spans="1:26">
      <c r="A56" s="1">
        <v>35</v>
      </c>
      <c r="B56" s="187" t="str">
        <f t="shared" si="28"/>
        <v>November 2024</v>
      </c>
      <c r="D56" s="66">
        <v>11905152.279999968</v>
      </c>
      <c r="E56" s="66">
        <v>2491298.5900000008</v>
      </c>
      <c r="F56" s="66">
        <v>0</v>
      </c>
      <c r="G56" s="66">
        <v>2424845.9300000011</v>
      </c>
      <c r="H56" s="93">
        <f t="shared" si="21"/>
        <v>16821296.799999967</v>
      </c>
      <c r="J56" s="66">
        <v>0</v>
      </c>
      <c r="K56" s="66">
        <v>0</v>
      </c>
      <c r="L56" s="66">
        <v>0</v>
      </c>
      <c r="M56" s="66">
        <v>0</v>
      </c>
      <c r="N56" s="93">
        <f t="shared" si="22"/>
        <v>0</v>
      </c>
      <c r="P56" s="66">
        <v>0</v>
      </c>
      <c r="Q56" s="66">
        <v>0</v>
      </c>
      <c r="R56" s="66">
        <v>0</v>
      </c>
      <c r="S56" s="66">
        <v>0</v>
      </c>
      <c r="T56" s="93">
        <f t="shared" si="23"/>
        <v>0</v>
      </c>
      <c r="V56" s="66">
        <f t="shared" si="29"/>
        <v>11905152.279999968</v>
      </c>
      <c r="W56" s="66">
        <f t="shared" si="24"/>
        <v>2491298.5900000008</v>
      </c>
      <c r="X56" s="66">
        <f t="shared" si="25"/>
        <v>0</v>
      </c>
      <c r="Y56" s="66">
        <f t="shared" si="26"/>
        <v>2424845.9300000011</v>
      </c>
      <c r="Z56" s="93">
        <f t="shared" si="27"/>
        <v>16821296.799999967</v>
      </c>
    </row>
    <row r="57" spans="1:26">
      <c r="A57" s="1">
        <v>36</v>
      </c>
      <c r="B57" s="187" t="str">
        <f t="shared" si="28"/>
        <v>December 2024</v>
      </c>
      <c r="D57" s="66">
        <v>13912966.689999988</v>
      </c>
      <c r="E57" s="66">
        <v>2528275.9100000006</v>
      </c>
      <c r="F57" s="66">
        <v>0</v>
      </c>
      <c r="G57" s="66">
        <v>5908047.5199999996</v>
      </c>
      <c r="H57" s="93">
        <f t="shared" si="21"/>
        <v>22349290.11999999</v>
      </c>
      <c r="J57" s="66">
        <v>0</v>
      </c>
      <c r="K57" s="66">
        <v>0</v>
      </c>
      <c r="L57" s="66">
        <v>0</v>
      </c>
      <c r="M57" s="66">
        <v>0</v>
      </c>
      <c r="N57" s="93">
        <f t="shared" si="22"/>
        <v>0</v>
      </c>
      <c r="P57" s="66">
        <v>0</v>
      </c>
      <c r="Q57" s="66">
        <v>0</v>
      </c>
      <c r="R57" s="66">
        <v>0</v>
      </c>
      <c r="S57" s="66">
        <v>0</v>
      </c>
      <c r="T57" s="93">
        <f t="shared" si="23"/>
        <v>0</v>
      </c>
      <c r="V57" s="66">
        <f t="shared" si="29"/>
        <v>13912966.689999988</v>
      </c>
      <c r="W57" s="66">
        <f t="shared" si="24"/>
        <v>2528275.9100000006</v>
      </c>
      <c r="X57" s="66">
        <f t="shared" si="25"/>
        <v>0</v>
      </c>
      <c r="Y57" s="66">
        <f t="shared" si="26"/>
        <v>5908047.5199999996</v>
      </c>
      <c r="Z57" s="93">
        <f t="shared" si="27"/>
        <v>22349290.11999999</v>
      </c>
    </row>
    <row r="58" spans="1:26">
      <c r="A58" s="1">
        <v>37</v>
      </c>
      <c r="D58" s="115"/>
      <c r="E58" s="115"/>
      <c r="F58" s="115"/>
      <c r="G58" s="115"/>
      <c r="H58" s="115"/>
      <c r="J58" s="115"/>
      <c r="K58" s="115"/>
      <c r="L58" s="115"/>
      <c r="M58" s="115"/>
      <c r="N58" s="115"/>
      <c r="P58" s="115"/>
      <c r="Q58" s="115"/>
      <c r="R58" s="115"/>
      <c r="S58" s="115"/>
      <c r="T58" s="115"/>
      <c r="V58" s="115"/>
      <c r="W58" s="115"/>
      <c r="X58" s="115"/>
      <c r="Y58" s="115"/>
      <c r="Z58" s="115"/>
    </row>
    <row r="59" spans="1:26">
      <c r="A59" s="1">
        <v>38</v>
      </c>
      <c r="B59" s="94" t="s">
        <v>69</v>
      </c>
      <c r="D59" s="141">
        <f t="shared" ref="D59:H59" si="30">SUM(D46:D57)</f>
        <v>150153815.07999998</v>
      </c>
      <c r="E59" s="141">
        <f t="shared" si="30"/>
        <v>23040656.610000007</v>
      </c>
      <c r="F59" s="141">
        <f t="shared" si="30"/>
        <v>0</v>
      </c>
      <c r="G59" s="141">
        <f t="shared" si="30"/>
        <v>43074236.190000013</v>
      </c>
      <c r="H59" s="141">
        <f t="shared" si="30"/>
        <v>216268707.88000005</v>
      </c>
      <c r="J59" s="141">
        <f t="shared" ref="J59:N59" si="31">SUM(J46:J57)</f>
        <v>0</v>
      </c>
      <c r="K59" s="141">
        <f t="shared" si="31"/>
        <v>0</v>
      </c>
      <c r="L59" s="141">
        <f t="shared" si="31"/>
        <v>0</v>
      </c>
      <c r="M59" s="141">
        <f t="shared" si="31"/>
        <v>0</v>
      </c>
      <c r="N59" s="141">
        <f t="shared" si="31"/>
        <v>0</v>
      </c>
      <c r="P59" s="141">
        <f t="shared" ref="P59:T59" si="32">SUM(P46:P57)</f>
        <v>0</v>
      </c>
      <c r="Q59" s="141">
        <f t="shared" si="32"/>
        <v>0</v>
      </c>
      <c r="R59" s="141">
        <f t="shared" si="32"/>
        <v>0</v>
      </c>
      <c r="S59" s="141">
        <f t="shared" si="32"/>
        <v>0</v>
      </c>
      <c r="T59" s="141">
        <f t="shared" si="32"/>
        <v>0</v>
      </c>
      <c r="V59" s="141">
        <f t="shared" ref="V59:Z59" si="33">SUM(V46:V57)</f>
        <v>150153815.07999998</v>
      </c>
      <c r="W59" s="141">
        <f t="shared" si="33"/>
        <v>23040656.610000007</v>
      </c>
      <c r="X59" s="141">
        <f t="shared" si="33"/>
        <v>0</v>
      </c>
      <c r="Y59" s="141">
        <f t="shared" si="33"/>
        <v>43074236.190000013</v>
      </c>
      <c r="Z59" s="141">
        <f t="shared" si="33"/>
        <v>216268707.88000005</v>
      </c>
    </row>
    <row r="60" spans="1:26">
      <c r="A60" s="1">
        <v>39</v>
      </c>
    </row>
    <row r="61" spans="1:26">
      <c r="A61" s="1">
        <v>40</v>
      </c>
    </row>
    <row r="62" spans="1:26">
      <c r="A62" s="1">
        <v>41</v>
      </c>
      <c r="B62" t="s">
        <v>158</v>
      </c>
      <c r="D62" s="139">
        <v>13867513.779999997</v>
      </c>
      <c r="E62" s="139">
        <v>522959.11000000039</v>
      </c>
      <c r="F62" s="139">
        <v>0</v>
      </c>
      <c r="G62" s="139">
        <v>2517437.0799999991</v>
      </c>
      <c r="H62" s="139">
        <f>SUM(D62:G62)</f>
        <v>16907909.969999999</v>
      </c>
      <c r="J62" s="139">
        <v>0</v>
      </c>
      <c r="K62" s="139">
        <v>0</v>
      </c>
      <c r="L62" s="139">
        <v>0</v>
      </c>
      <c r="M62" s="139">
        <v>0</v>
      </c>
      <c r="N62" s="139">
        <f>SUM(J62:M62)</f>
        <v>0</v>
      </c>
      <c r="P62" s="139">
        <v>0</v>
      </c>
      <c r="Q62" s="139">
        <v>0</v>
      </c>
      <c r="R62" s="139">
        <v>0</v>
      </c>
      <c r="S62" s="139">
        <v>0</v>
      </c>
      <c r="T62" s="139">
        <f>SUM(P62:S62)</f>
        <v>0</v>
      </c>
      <c r="V62" s="139">
        <f t="shared" ref="V62:V64" si="34">+D62+J62+P62</f>
        <v>13867513.779999997</v>
      </c>
      <c r="W62" s="139">
        <f t="shared" ref="W62:W64" si="35">+E62+K62+Q62</f>
        <v>522959.11000000039</v>
      </c>
      <c r="X62" s="139">
        <f t="shared" ref="X62:X64" si="36">+F62+L62+R62</f>
        <v>0</v>
      </c>
      <c r="Y62" s="139">
        <f t="shared" ref="Y62:Y64" si="37">+G62+M62+S62</f>
        <v>2517437.0799999991</v>
      </c>
      <c r="Z62" s="139">
        <f>SUM(V62:Y62)</f>
        <v>16907909.969999999</v>
      </c>
    </row>
    <row r="63" spans="1:26">
      <c r="A63" s="1">
        <v>42</v>
      </c>
      <c r="B63" t="s">
        <v>159</v>
      </c>
      <c r="D63" s="66">
        <v>12306679.510000015</v>
      </c>
      <c r="E63" s="66">
        <v>1957719.6000000013</v>
      </c>
      <c r="F63" s="66">
        <v>0</v>
      </c>
      <c r="G63" s="66">
        <v>3734896.8899999992</v>
      </c>
      <c r="H63" s="93">
        <f>SUM(D63:G63)</f>
        <v>17999296.000000015</v>
      </c>
      <c r="J63" s="66">
        <v>0</v>
      </c>
      <c r="K63" s="66">
        <v>0</v>
      </c>
      <c r="L63" s="66">
        <v>0</v>
      </c>
      <c r="M63" s="66">
        <v>0</v>
      </c>
      <c r="N63" s="93">
        <f>SUM(J63:M63)</f>
        <v>0</v>
      </c>
      <c r="P63" s="66">
        <v>0</v>
      </c>
      <c r="Q63" s="66">
        <v>0</v>
      </c>
      <c r="R63" s="66">
        <v>0</v>
      </c>
      <c r="S63" s="66">
        <v>0</v>
      </c>
      <c r="T63" s="93">
        <f>SUM(P63:S63)</f>
        <v>0</v>
      </c>
      <c r="V63" s="66">
        <f t="shared" si="34"/>
        <v>12306679.510000015</v>
      </c>
      <c r="W63" s="66">
        <f t="shared" si="35"/>
        <v>1957719.6000000013</v>
      </c>
      <c r="X63" s="66">
        <f t="shared" si="36"/>
        <v>0</v>
      </c>
      <c r="Y63" s="66">
        <f t="shared" si="37"/>
        <v>3734896.8899999992</v>
      </c>
      <c r="Z63" s="93">
        <f>SUM(V63:Y63)</f>
        <v>17999296.000000015</v>
      </c>
    </row>
    <row r="64" spans="1:26">
      <c r="A64" s="1">
        <v>43</v>
      </c>
      <c r="B64" t="s">
        <v>46</v>
      </c>
      <c r="D64" s="66">
        <v>14436335.98</v>
      </c>
      <c r="E64" s="66">
        <v>2511262.239999996</v>
      </c>
      <c r="F64" s="66">
        <v>0</v>
      </c>
      <c r="G64" s="66">
        <v>4975057.09</v>
      </c>
      <c r="H64" s="93">
        <f>SUM(D64:G64)</f>
        <v>21922655.309999995</v>
      </c>
      <c r="J64" s="66">
        <v>0</v>
      </c>
      <c r="K64" s="66">
        <v>0</v>
      </c>
      <c r="L64" s="66">
        <v>0</v>
      </c>
      <c r="M64" s="66">
        <v>0</v>
      </c>
      <c r="N64" s="93">
        <f>SUM(J64:M64)</f>
        <v>0</v>
      </c>
      <c r="P64" s="66">
        <v>0</v>
      </c>
      <c r="Q64" s="66">
        <v>0</v>
      </c>
      <c r="R64" s="66">
        <v>0</v>
      </c>
      <c r="S64" s="66">
        <v>0</v>
      </c>
      <c r="T64" s="93">
        <f>SUM(P64:S64)</f>
        <v>0</v>
      </c>
      <c r="V64" s="66">
        <f t="shared" si="34"/>
        <v>14436335.98</v>
      </c>
      <c r="W64" s="66">
        <f t="shared" si="35"/>
        <v>2511262.239999996</v>
      </c>
      <c r="X64" s="66">
        <f t="shared" si="36"/>
        <v>0</v>
      </c>
      <c r="Y64" s="66">
        <f t="shared" si="37"/>
        <v>4975057.09</v>
      </c>
      <c r="Z64" s="93">
        <f>SUM(V64:Y64)</f>
        <v>21922655.309999995</v>
      </c>
    </row>
    <row r="65" spans="1:26">
      <c r="A65" s="1">
        <v>44</v>
      </c>
    </row>
    <row r="66" spans="1:26">
      <c r="A66" s="1">
        <v>45</v>
      </c>
    </row>
    <row r="67" spans="1:26">
      <c r="A67" s="1">
        <v>46</v>
      </c>
      <c r="B67" s="170" t="str">
        <f>+B36</f>
        <v>TME 2021</v>
      </c>
      <c r="D67" s="139">
        <v>106546364.56999914</v>
      </c>
      <c r="E67" s="139">
        <v>15238474.509999979</v>
      </c>
      <c r="F67" s="139">
        <v>0</v>
      </c>
      <c r="G67" s="139">
        <v>17111951.290000003</v>
      </c>
      <c r="H67" s="139">
        <f>SUM(D67:G67)</f>
        <v>138896790.36999911</v>
      </c>
      <c r="J67" s="139">
        <v>0</v>
      </c>
      <c r="K67" s="139">
        <v>0</v>
      </c>
      <c r="L67" s="139">
        <v>0</v>
      </c>
      <c r="M67" s="139">
        <v>0</v>
      </c>
      <c r="N67" s="139">
        <f>SUM(J67:M67)</f>
        <v>0</v>
      </c>
      <c r="P67" s="139">
        <v>0</v>
      </c>
      <c r="Q67" s="139">
        <v>0</v>
      </c>
      <c r="R67" s="139">
        <v>0</v>
      </c>
      <c r="S67" s="139">
        <v>0</v>
      </c>
      <c r="T67" s="139">
        <f>SUM(P67:S67)</f>
        <v>0</v>
      </c>
      <c r="V67" s="139">
        <f t="shared" ref="V67:V69" si="38">+D67+J67+P67</f>
        <v>106546364.56999914</v>
      </c>
      <c r="W67" s="139">
        <f t="shared" ref="W67:W69" si="39">+E67+K67+Q67</f>
        <v>15238474.509999979</v>
      </c>
      <c r="X67" s="139">
        <f t="shared" ref="X67:X69" si="40">+F67+L67+R67</f>
        <v>0</v>
      </c>
      <c r="Y67" s="139">
        <f t="shared" ref="Y67:Y69" si="41">+G67+M67+S67</f>
        <v>17111951.290000003</v>
      </c>
      <c r="Z67" s="139">
        <f>SUM(V67:Y67)</f>
        <v>138896790.36999911</v>
      </c>
    </row>
    <row r="68" spans="1:26">
      <c r="A68" s="1">
        <v>47</v>
      </c>
      <c r="B68" s="170" t="str">
        <f t="shared" ref="B68:B69" si="42">+B37</f>
        <v>TME 2022</v>
      </c>
      <c r="D68" s="66">
        <v>115166258.11999901</v>
      </c>
      <c r="E68" s="66">
        <v>15993165.950000089</v>
      </c>
      <c r="F68" s="66">
        <v>0</v>
      </c>
      <c r="G68" s="66">
        <v>22825206.200000007</v>
      </c>
      <c r="H68" s="66">
        <f>SUM(D68:G68)</f>
        <v>153984630.26999912</v>
      </c>
      <c r="J68" s="66">
        <v>0</v>
      </c>
      <c r="K68" s="66">
        <v>0</v>
      </c>
      <c r="L68" s="66">
        <v>0</v>
      </c>
      <c r="M68" s="66">
        <v>0</v>
      </c>
      <c r="N68" s="66">
        <f>SUM(J68:M68)</f>
        <v>0</v>
      </c>
      <c r="P68" s="66">
        <v>0</v>
      </c>
      <c r="Q68" s="66">
        <v>0</v>
      </c>
      <c r="R68" s="66">
        <v>0</v>
      </c>
      <c r="S68" s="66">
        <v>0</v>
      </c>
      <c r="T68" s="66">
        <f>SUM(P68:S68)</f>
        <v>0</v>
      </c>
      <c r="V68" s="66">
        <f t="shared" si="38"/>
        <v>115166258.11999901</v>
      </c>
      <c r="W68" s="66">
        <f t="shared" si="39"/>
        <v>15993165.950000089</v>
      </c>
      <c r="X68" s="66">
        <f t="shared" si="40"/>
        <v>0</v>
      </c>
      <c r="Y68" s="66">
        <f t="shared" si="41"/>
        <v>22825206.200000007</v>
      </c>
      <c r="Z68" s="66">
        <f>SUM(V68:Y68)</f>
        <v>153984630.26999912</v>
      </c>
    </row>
    <row r="69" spans="1:26">
      <c r="A69" s="1">
        <v>48</v>
      </c>
      <c r="B69" s="170" t="str">
        <f t="shared" si="42"/>
        <v>TME 2023</v>
      </c>
      <c r="D69" s="66">
        <v>131116950.30999866</v>
      </c>
      <c r="E69" s="66">
        <v>17959167.360000033</v>
      </c>
      <c r="F69" s="66">
        <v>0</v>
      </c>
      <c r="G69" s="66">
        <v>29397876.930000007</v>
      </c>
      <c r="H69" s="66">
        <f>SUM(D69:G69)</f>
        <v>178473994.59999871</v>
      </c>
      <c r="J69" s="66">
        <v>0</v>
      </c>
      <c r="K69" s="66">
        <v>0</v>
      </c>
      <c r="L69" s="66">
        <v>0</v>
      </c>
      <c r="M69" s="66">
        <v>0</v>
      </c>
      <c r="N69" s="66">
        <f>SUM(J69:M69)</f>
        <v>0</v>
      </c>
      <c r="P69" s="66">
        <v>0</v>
      </c>
      <c r="Q69" s="66">
        <v>0</v>
      </c>
      <c r="R69" s="66">
        <v>0</v>
      </c>
      <c r="S69" s="66">
        <v>0</v>
      </c>
      <c r="T69" s="66">
        <f>SUM(P69:S69)</f>
        <v>0</v>
      </c>
      <c r="V69" s="66">
        <f t="shared" si="38"/>
        <v>131116950.30999866</v>
      </c>
      <c r="W69" s="66">
        <f t="shared" si="39"/>
        <v>17959167.360000033</v>
      </c>
      <c r="X69" s="66">
        <f t="shared" si="40"/>
        <v>0</v>
      </c>
      <c r="Y69" s="66">
        <f t="shared" si="41"/>
        <v>29397876.930000007</v>
      </c>
      <c r="Z69" s="66">
        <f>SUM(V69:Y69)</f>
        <v>178473994.59999871</v>
      </c>
    </row>
    <row r="72" spans="1:26" ht="13.5" thickBot="1">
      <c r="D72" s="379" t="s">
        <v>293</v>
      </c>
      <c r="E72" s="379"/>
      <c r="F72" s="379"/>
      <c r="G72" s="379"/>
      <c r="H72" s="379"/>
      <c r="J72" s="380" t="s">
        <v>628</v>
      </c>
      <c r="K72" s="379"/>
      <c r="L72" s="379"/>
      <c r="M72" s="379"/>
      <c r="N72" s="379"/>
      <c r="P72" s="380" t="s">
        <v>629</v>
      </c>
      <c r="Q72" s="379"/>
      <c r="R72" s="379"/>
      <c r="S72" s="379"/>
      <c r="T72" s="379"/>
    </row>
    <row r="73" spans="1:26">
      <c r="A73" s="18" t="s">
        <v>87</v>
      </c>
      <c r="B73" s="18"/>
      <c r="D73" s="18"/>
      <c r="E73" s="25"/>
      <c r="F73" s="189" t="s">
        <v>396</v>
      </c>
      <c r="G73" s="18"/>
      <c r="H73" s="2"/>
      <c r="J73" s="18"/>
      <c r="K73" s="25"/>
      <c r="L73" s="189" t="s">
        <v>396</v>
      </c>
      <c r="M73" s="18"/>
      <c r="N73" s="2"/>
      <c r="P73" s="18"/>
      <c r="Q73" s="25"/>
      <c r="R73" s="189" t="s">
        <v>396</v>
      </c>
      <c r="S73" s="18"/>
      <c r="T73" s="2"/>
    </row>
    <row r="74" spans="1:26">
      <c r="A74" s="196" t="s">
        <v>89</v>
      </c>
      <c r="B74" s="196" t="s">
        <v>64</v>
      </c>
      <c r="D74" s="196" t="s">
        <v>65</v>
      </c>
      <c r="E74" s="196" t="s">
        <v>66</v>
      </c>
      <c r="F74" s="190" t="s">
        <v>397</v>
      </c>
      <c r="G74" s="196" t="s">
        <v>63</v>
      </c>
      <c r="H74" s="196" t="s">
        <v>215</v>
      </c>
      <c r="J74" s="196" t="s">
        <v>65</v>
      </c>
      <c r="K74" s="196" t="s">
        <v>66</v>
      </c>
      <c r="L74" s="190" t="s">
        <v>397</v>
      </c>
      <c r="M74" s="196" t="s">
        <v>63</v>
      </c>
      <c r="N74" s="196" t="s">
        <v>215</v>
      </c>
      <c r="P74" s="196" t="s">
        <v>65</v>
      </c>
      <c r="Q74" s="196" t="s">
        <v>66</v>
      </c>
      <c r="R74" s="190" t="s">
        <v>397</v>
      </c>
      <c r="S74" s="196" t="s">
        <v>63</v>
      </c>
      <c r="T74" s="196" t="s">
        <v>215</v>
      </c>
    </row>
    <row r="75" spans="1:26">
      <c r="A75" s="18"/>
      <c r="B75" s="16" t="s">
        <v>44</v>
      </c>
      <c r="D75" s="16" t="s">
        <v>45</v>
      </c>
      <c r="E75" s="16" t="s">
        <v>74</v>
      </c>
      <c r="F75" s="16" t="s">
        <v>75</v>
      </c>
      <c r="G75" s="16" t="s">
        <v>76</v>
      </c>
      <c r="H75" s="16" t="s">
        <v>77</v>
      </c>
      <c r="J75" s="191" t="s">
        <v>78</v>
      </c>
      <c r="K75" s="191" t="s">
        <v>79</v>
      </c>
      <c r="L75" s="191" t="s">
        <v>80</v>
      </c>
      <c r="M75" s="191" t="s">
        <v>81</v>
      </c>
      <c r="N75" s="191" t="s">
        <v>82</v>
      </c>
      <c r="P75" s="191" t="s">
        <v>83</v>
      </c>
      <c r="Q75" s="191" t="s">
        <v>84</v>
      </c>
      <c r="R75" s="191" t="s">
        <v>85</v>
      </c>
      <c r="S75" s="191" t="s">
        <v>86</v>
      </c>
      <c r="T75" s="191" t="s">
        <v>254</v>
      </c>
    </row>
    <row r="77" spans="1:26">
      <c r="A77" s="1">
        <v>49</v>
      </c>
      <c r="B77" s="187" t="str">
        <f>+B46</f>
        <v>January 2024</v>
      </c>
      <c r="D77" s="139">
        <v>29509362.660000023</v>
      </c>
      <c r="E77" s="139">
        <v>12473316.720000001</v>
      </c>
      <c r="F77" s="139">
        <v>0</v>
      </c>
      <c r="G77" s="139">
        <v>5494026.0699999975</v>
      </c>
      <c r="H77" s="139">
        <f t="shared" ref="H77:H88" si="43">SUM(D77:G77)</f>
        <v>47476705.450000025</v>
      </c>
      <c r="J77" s="139">
        <v>0</v>
      </c>
      <c r="K77" s="139">
        <v>0</v>
      </c>
      <c r="L77" s="139">
        <v>0</v>
      </c>
      <c r="M77" s="139">
        <v>0</v>
      </c>
      <c r="N77" s="139">
        <f t="shared" ref="N77:N88" si="44">SUM(J77:M77)</f>
        <v>0</v>
      </c>
      <c r="P77" s="139">
        <f>+D77+J77</f>
        <v>29509362.660000023</v>
      </c>
      <c r="Q77" s="139">
        <f t="shared" ref="Q77:Q88" si="45">+E77+K77</f>
        <v>12473316.720000001</v>
      </c>
      <c r="R77" s="139">
        <f t="shared" ref="R77:R88" si="46">+F77+L77</f>
        <v>0</v>
      </c>
      <c r="S77" s="139">
        <f t="shared" ref="S77:S88" si="47">+G77+M77</f>
        <v>5494026.0699999975</v>
      </c>
      <c r="T77" s="139">
        <f t="shared" ref="T77:T88" si="48">SUM(P77:S77)</f>
        <v>47476705.450000025</v>
      </c>
    </row>
    <row r="78" spans="1:26">
      <c r="A78" s="1">
        <v>50</v>
      </c>
      <c r="B78" s="187" t="str">
        <f t="shared" ref="B78:B88" si="49">+B47</f>
        <v>February 2024</v>
      </c>
      <c r="D78" s="66">
        <v>26094358.779999927</v>
      </c>
      <c r="E78" s="66">
        <v>2616299.9700000072</v>
      </c>
      <c r="F78" s="66">
        <v>0</v>
      </c>
      <c r="G78" s="66">
        <v>5264656.8</v>
      </c>
      <c r="H78" s="93">
        <f t="shared" si="43"/>
        <v>33975315.54999993</v>
      </c>
      <c r="J78" s="66">
        <v>0</v>
      </c>
      <c r="K78" s="66">
        <v>0</v>
      </c>
      <c r="L78" s="66">
        <v>0</v>
      </c>
      <c r="M78" s="66">
        <v>0</v>
      </c>
      <c r="N78" s="93">
        <f t="shared" si="44"/>
        <v>0</v>
      </c>
      <c r="P78" s="66">
        <f t="shared" ref="P78:P88" si="50">+D78+J78</f>
        <v>26094358.779999927</v>
      </c>
      <c r="Q78" s="66">
        <f t="shared" si="45"/>
        <v>2616299.9700000072</v>
      </c>
      <c r="R78" s="66">
        <f t="shared" si="46"/>
        <v>0</v>
      </c>
      <c r="S78" s="66">
        <f t="shared" si="47"/>
        <v>5264656.8</v>
      </c>
      <c r="T78" s="93">
        <f t="shared" si="48"/>
        <v>33975315.54999993</v>
      </c>
    </row>
    <row r="79" spans="1:26">
      <c r="A79" s="1">
        <v>51</v>
      </c>
      <c r="B79" s="187" t="str">
        <f t="shared" si="49"/>
        <v>March 2024</v>
      </c>
      <c r="D79" s="66">
        <v>28980723.839999977</v>
      </c>
      <c r="E79" s="66">
        <v>6252696.0700000059</v>
      </c>
      <c r="F79" s="66">
        <v>0</v>
      </c>
      <c r="G79" s="66">
        <v>10123138.069999997</v>
      </c>
      <c r="H79" s="93">
        <f t="shared" si="43"/>
        <v>45356557.979999974</v>
      </c>
      <c r="J79" s="66">
        <v>0</v>
      </c>
      <c r="K79" s="66">
        <v>0</v>
      </c>
      <c r="L79" s="66">
        <v>0</v>
      </c>
      <c r="M79" s="66">
        <v>0</v>
      </c>
      <c r="N79" s="93">
        <f t="shared" si="44"/>
        <v>0</v>
      </c>
      <c r="P79" s="66">
        <f t="shared" si="50"/>
        <v>28980723.839999977</v>
      </c>
      <c r="Q79" s="66">
        <f t="shared" si="45"/>
        <v>6252696.0700000059</v>
      </c>
      <c r="R79" s="66">
        <f t="shared" si="46"/>
        <v>0</v>
      </c>
      <c r="S79" s="66">
        <f t="shared" si="47"/>
        <v>10123138.069999997</v>
      </c>
      <c r="T79" s="93">
        <f t="shared" si="48"/>
        <v>45356557.979999974</v>
      </c>
    </row>
    <row r="80" spans="1:26">
      <c r="A80" s="1">
        <v>52</v>
      </c>
      <c r="B80" s="187" t="str">
        <f t="shared" si="49"/>
        <v>April 2024</v>
      </c>
      <c r="D80" s="66">
        <v>27926996.879999992</v>
      </c>
      <c r="E80" s="66">
        <v>9288050.6799999624</v>
      </c>
      <c r="F80" s="66">
        <v>0</v>
      </c>
      <c r="G80" s="66">
        <v>6472004.6699999999</v>
      </c>
      <c r="H80" s="93">
        <f t="shared" si="43"/>
        <v>43687052.229999959</v>
      </c>
      <c r="J80" s="66">
        <v>0</v>
      </c>
      <c r="K80" s="66">
        <v>0</v>
      </c>
      <c r="L80" s="66">
        <v>0</v>
      </c>
      <c r="M80" s="66">
        <v>0</v>
      </c>
      <c r="N80" s="93">
        <f t="shared" si="44"/>
        <v>0</v>
      </c>
      <c r="P80" s="66">
        <f t="shared" si="50"/>
        <v>27926996.879999992</v>
      </c>
      <c r="Q80" s="66">
        <f t="shared" si="45"/>
        <v>9288050.6799999624</v>
      </c>
      <c r="R80" s="66">
        <f t="shared" si="46"/>
        <v>0</v>
      </c>
      <c r="S80" s="66">
        <f t="shared" si="47"/>
        <v>6472004.6699999999</v>
      </c>
      <c r="T80" s="93">
        <f t="shared" si="48"/>
        <v>43687052.229999959</v>
      </c>
    </row>
    <row r="81" spans="1:20">
      <c r="A81" s="1">
        <v>53</v>
      </c>
      <c r="B81" s="187" t="str">
        <f t="shared" si="49"/>
        <v>May 2024</v>
      </c>
      <c r="D81" s="66">
        <v>27896517.769999932</v>
      </c>
      <c r="E81" s="66">
        <v>13802520.690000053</v>
      </c>
      <c r="F81" s="66">
        <v>0</v>
      </c>
      <c r="G81" s="66">
        <v>4724892.5600000033</v>
      </c>
      <c r="H81" s="93">
        <f t="shared" si="43"/>
        <v>46423931.019999988</v>
      </c>
      <c r="J81" s="66">
        <v>0</v>
      </c>
      <c r="K81" s="66">
        <v>0</v>
      </c>
      <c r="L81" s="66">
        <v>0</v>
      </c>
      <c r="M81" s="66">
        <v>0</v>
      </c>
      <c r="N81" s="93">
        <f t="shared" si="44"/>
        <v>0</v>
      </c>
      <c r="P81" s="66">
        <f t="shared" si="50"/>
        <v>27896517.769999932</v>
      </c>
      <c r="Q81" s="66">
        <f t="shared" si="45"/>
        <v>13802520.690000053</v>
      </c>
      <c r="R81" s="66">
        <f t="shared" si="46"/>
        <v>0</v>
      </c>
      <c r="S81" s="66">
        <f t="shared" si="47"/>
        <v>4724892.5600000033</v>
      </c>
      <c r="T81" s="93">
        <f t="shared" si="48"/>
        <v>46423931.019999988</v>
      </c>
    </row>
    <row r="82" spans="1:20">
      <c r="A82" s="1">
        <v>54</v>
      </c>
      <c r="B82" s="187" t="str">
        <f t="shared" si="49"/>
        <v>June 2024</v>
      </c>
      <c r="D82" s="66">
        <v>28229258.289999951</v>
      </c>
      <c r="E82" s="66">
        <v>15456571.759999979</v>
      </c>
      <c r="F82" s="66">
        <v>0</v>
      </c>
      <c r="G82" s="66">
        <v>9575653.8400000054</v>
      </c>
      <c r="H82" s="93">
        <f t="shared" si="43"/>
        <v>53261483.889999934</v>
      </c>
      <c r="J82" s="66">
        <v>0</v>
      </c>
      <c r="K82" s="66">
        <v>0</v>
      </c>
      <c r="L82" s="66">
        <v>0</v>
      </c>
      <c r="M82" s="66">
        <v>0</v>
      </c>
      <c r="N82" s="93">
        <f t="shared" si="44"/>
        <v>0</v>
      </c>
      <c r="P82" s="66">
        <f t="shared" si="50"/>
        <v>28229258.289999951</v>
      </c>
      <c r="Q82" s="66">
        <f t="shared" si="45"/>
        <v>15456571.759999979</v>
      </c>
      <c r="R82" s="66">
        <f t="shared" si="46"/>
        <v>0</v>
      </c>
      <c r="S82" s="66">
        <f t="shared" si="47"/>
        <v>9575653.8400000054</v>
      </c>
      <c r="T82" s="93">
        <f t="shared" si="48"/>
        <v>53261483.889999934</v>
      </c>
    </row>
    <row r="83" spans="1:20">
      <c r="A83" s="1">
        <v>55</v>
      </c>
      <c r="B83" s="187" t="str">
        <f t="shared" si="49"/>
        <v>July 2024</v>
      </c>
      <c r="D83" s="66">
        <v>29253162.250000026</v>
      </c>
      <c r="E83" s="66">
        <v>10424455.660000021</v>
      </c>
      <c r="F83" s="66">
        <v>0</v>
      </c>
      <c r="G83" s="66">
        <v>6736702.620000001</v>
      </c>
      <c r="H83" s="93">
        <f t="shared" si="43"/>
        <v>46414320.530000046</v>
      </c>
      <c r="J83" s="66">
        <v>0</v>
      </c>
      <c r="K83" s="66">
        <v>0</v>
      </c>
      <c r="L83" s="66">
        <v>0</v>
      </c>
      <c r="M83" s="66">
        <v>0</v>
      </c>
      <c r="N83" s="93">
        <f t="shared" si="44"/>
        <v>0</v>
      </c>
      <c r="P83" s="66">
        <f t="shared" si="50"/>
        <v>29253162.250000026</v>
      </c>
      <c r="Q83" s="66">
        <f t="shared" si="45"/>
        <v>10424455.660000021</v>
      </c>
      <c r="R83" s="66">
        <f t="shared" si="46"/>
        <v>0</v>
      </c>
      <c r="S83" s="66">
        <f t="shared" si="47"/>
        <v>6736702.620000001</v>
      </c>
      <c r="T83" s="93">
        <f t="shared" si="48"/>
        <v>46414320.530000046</v>
      </c>
    </row>
    <row r="84" spans="1:20">
      <c r="A84" s="1">
        <v>56</v>
      </c>
      <c r="B84" s="187" t="str">
        <f t="shared" si="49"/>
        <v>August 2024</v>
      </c>
      <c r="D84" s="66">
        <v>29327475.839999955</v>
      </c>
      <c r="E84" s="66">
        <v>6344302.5800000085</v>
      </c>
      <c r="F84" s="66">
        <v>0</v>
      </c>
      <c r="G84" s="66">
        <v>10864978.200000003</v>
      </c>
      <c r="H84" s="93">
        <f t="shared" si="43"/>
        <v>46536756.619999968</v>
      </c>
      <c r="J84" s="66">
        <v>0</v>
      </c>
      <c r="K84" s="66">
        <v>0</v>
      </c>
      <c r="L84" s="66">
        <v>0</v>
      </c>
      <c r="M84" s="66">
        <v>0</v>
      </c>
      <c r="N84" s="93">
        <f t="shared" si="44"/>
        <v>0</v>
      </c>
      <c r="P84" s="66">
        <f t="shared" si="50"/>
        <v>29327475.839999955</v>
      </c>
      <c r="Q84" s="66">
        <f t="shared" si="45"/>
        <v>6344302.5800000085</v>
      </c>
      <c r="R84" s="66">
        <f t="shared" si="46"/>
        <v>0</v>
      </c>
      <c r="S84" s="66">
        <f t="shared" si="47"/>
        <v>10864978.200000003</v>
      </c>
      <c r="T84" s="93">
        <f t="shared" si="48"/>
        <v>46536756.619999968</v>
      </c>
    </row>
    <row r="85" spans="1:20">
      <c r="A85" s="1">
        <v>57</v>
      </c>
      <c r="B85" s="187" t="str">
        <f t="shared" si="49"/>
        <v>September 2024</v>
      </c>
      <c r="D85" s="66">
        <v>28421550.749999918</v>
      </c>
      <c r="E85" s="66">
        <v>7651482.8799999868</v>
      </c>
      <c r="F85" s="66">
        <v>0</v>
      </c>
      <c r="G85" s="66">
        <v>8103032.1900000013</v>
      </c>
      <c r="H85" s="93">
        <f t="shared" si="43"/>
        <v>44176065.819999903</v>
      </c>
      <c r="J85" s="66">
        <v>0</v>
      </c>
      <c r="K85" s="66">
        <v>0</v>
      </c>
      <c r="L85" s="66">
        <v>0</v>
      </c>
      <c r="M85" s="66">
        <v>0</v>
      </c>
      <c r="N85" s="93">
        <f t="shared" si="44"/>
        <v>0</v>
      </c>
      <c r="P85" s="66">
        <f t="shared" si="50"/>
        <v>28421550.749999918</v>
      </c>
      <c r="Q85" s="66">
        <f t="shared" si="45"/>
        <v>7651482.8799999868</v>
      </c>
      <c r="R85" s="66">
        <f t="shared" si="46"/>
        <v>0</v>
      </c>
      <c r="S85" s="66">
        <f t="shared" si="47"/>
        <v>8103032.1900000013</v>
      </c>
      <c r="T85" s="93">
        <f t="shared" si="48"/>
        <v>44176065.819999903</v>
      </c>
    </row>
    <row r="86" spans="1:20">
      <c r="A86" s="1">
        <v>58</v>
      </c>
      <c r="B86" s="187" t="str">
        <f t="shared" si="49"/>
        <v>October 2024</v>
      </c>
      <c r="D86" s="66">
        <v>29675139.820000011</v>
      </c>
      <c r="E86" s="66">
        <v>5788518.8600000013</v>
      </c>
      <c r="F86" s="66">
        <v>0</v>
      </c>
      <c r="G86" s="66">
        <v>6951372.4100000001</v>
      </c>
      <c r="H86" s="93">
        <f t="shared" si="43"/>
        <v>42415031.090000018</v>
      </c>
      <c r="J86" s="66">
        <v>0</v>
      </c>
      <c r="K86" s="66">
        <v>0</v>
      </c>
      <c r="L86" s="66">
        <v>0</v>
      </c>
      <c r="M86" s="66">
        <v>0</v>
      </c>
      <c r="N86" s="93">
        <f t="shared" si="44"/>
        <v>0</v>
      </c>
      <c r="P86" s="66">
        <f t="shared" si="50"/>
        <v>29675139.820000011</v>
      </c>
      <c r="Q86" s="66">
        <f t="shared" si="45"/>
        <v>5788518.8600000013</v>
      </c>
      <c r="R86" s="66">
        <f t="shared" si="46"/>
        <v>0</v>
      </c>
      <c r="S86" s="66">
        <f t="shared" si="47"/>
        <v>6951372.4100000001</v>
      </c>
      <c r="T86" s="93">
        <f t="shared" si="48"/>
        <v>42415031.090000018</v>
      </c>
    </row>
    <row r="87" spans="1:20">
      <c r="A87" s="1">
        <v>59</v>
      </c>
      <c r="B87" s="187" t="str">
        <f t="shared" si="49"/>
        <v>November 2024</v>
      </c>
      <c r="D87" s="66">
        <v>28222244.079999954</v>
      </c>
      <c r="E87" s="66">
        <v>8570304.8700000104</v>
      </c>
      <c r="F87" s="66">
        <v>0</v>
      </c>
      <c r="G87" s="66">
        <v>4708087.8599999994</v>
      </c>
      <c r="H87" s="93">
        <f t="shared" si="43"/>
        <v>41500636.809999965</v>
      </c>
      <c r="J87" s="66">
        <v>0</v>
      </c>
      <c r="K87" s="66">
        <v>0</v>
      </c>
      <c r="L87" s="66">
        <v>0</v>
      </c>
      <c r="M87" s="66">
        <v>0</v>
      </c>
      <c r="N87" s="93">
        <f t="shared" si="44"/>
        <v>0</v>
      </c>
      <c r="P87" s="66">
        <f t="shared" si="50"/>
        <v>28222244.079999954</v>
      </c>
      <c r="Q87" s="66">
        <f t="shared" si="45"/>
        <v>8570304.8700000104</v>
      </c>
      <c r="R87" s="66">
        <f t="shared" si="46"/>
        <v>0</v>
      </c>
      <c r="S87" s="66">
        <f t="shared" si="47"/>
        <v>4708087.8599999994</v>
      </c>
      <c r="T87" s="93">
        <f t="shared" si="48"/>
        <v>41500636.809999965</v>
      </c>
    </row>
    <row r="88" spans="1:20">
      <c r="A88" s="1">
        <v>60</v>
      </c>
      <c r="B88" s="187" t="str">
        <f t="shared" si="49"/>
        <v>December 2024</v>
      </c>
      <c r="D88" s="66">
        <v>29990204.549999908</v>
      </c>
      <c r="E88" s="66">
        <v>6352582.8999999883</v>
      </c>
      <c r="F88" s="66">
        <v>1</v>
      </c>
      <c r="G88" s="66">
        <v>11029274.030000007</v>
      </c>
      <c r="H88" s="93">
        <f t="shared" si="43"/>
        <v>47372062.479999907</v>
      </c>
      <c r="J88" s="66">
        <v>0</v>
      </c>
      <c r="K88" s="66">
        <v>0</v>
      </c>
      <c r="L88" s="66">
        <v>0</v>
      </c>
      <c r="M88" s="66">
        <v>0</v>
      </c>
      <c r="N88" s="93">
        <f t="shared" si="44"/>
        <v>0</v>
      </c>
      <c r="P88" s="66">
        <f t="shared" si="50"/>
        <v>29990204.549999908</v>
      </c>
      <c r="Q88" s="66">
        <f t="shared" si="45"/>
        <v>6352582.8999999883</v>
      </c>
      <c r="R88" s="66">
        <f t="shared" si="46"/>
        <v>1</v>
      </c>
      <c r="S88" s="66">
        <f t="shared" si="47"/>
        <v>11029274.030000007</v>
      </c>
      <c r="T88" s="93">
        <f t="shared" si="48"/>
        <v>47372062.479999907</v>
      </c>
    </row>
    <row r="89" spans="1:20">
      <c r="A89" s="1">
        <v>61</v>
      </c>
      <c r="D89" s="115"/>
      <c r="E89" s="115"/>
      <c r="F89" s="115"/>
      <c r="G89" s="115"/>
      <c r="H89" s="115"/>
      <c r="J89" s="115"/>
      <c r="K89" s="115"/>
      <c r="L89" s="115"/>
      <c r="M89" s="115"/>
      <c r="N89" s="115"/>
      <c r="P89" s="115"/>
      <c r="Q89" s="115"/>
      <c r="R89" s="115"/>
      <c r="S89" s="115"/>
      <c r="T89" s="115"/>
    </row>
    <row r="90" spans="1:20">
      <c r="A90" s="1">
        <v>62</v>
      </c>
      <c r="B90" s="94" t="s">
        <v>69</v>
      </c>
      <c r="D90" s="141">
        <f t="shared" ref="D90:E90" si="51">SUM(D77:D88)</f>
        <v>343526995.50999957</v>
      </c>
      <c r="E90" s="141">
        <f t="shared" si="51"/>
        <v>105021103.64000002</v>
      </c>
      <c r="F90" s="141"/>
      <c r="G90" s="141">
        <f t="shared" ref="G90:H90" si="52">SUM(G77:G88)</f>
        <v>90047819.319999993</v>
      </c>
      <c r="H90" s="141">
        <f t="shared" si="52"/>
        <v>538595919.46999955</v>
      </c>
      <c r="J90" s="141">
        <f t="shared" ref="J90:K90" si="53">SUM(J77:J88)</f>
        <v>0</v>
      </c>
      <c r="K90" s="141">
        <f t="shared" si="53"/>
        <v>0</v>
      </c>
      <c r="L90" s="141"/>
      <c r="M90" s="141">
        <f t="shared" ref="M90:N90" si="54">SUM(M77:M88)</f>
        <v>0</v>
      </c>
      <c r="N90" s="141">
        <f t="shared" si="54"/>
        <v>0</v>
      </c>
      <c r="P90" s="141">
        <f t="shared" ref="P90:Q90" si="55">SUM(P77:P88)</f>
        <v>343526995.50999957</v>
      </c>
      <c r="Q90" s="141">
        <f t="shared" si="55"/>
        <v>105021103.64000002</v>
      </c>
      <c r="R90" s="141"/>
      <c r="S90" s="141">
        <f t="shared" ref="S90:T90" si="56">SUM(S77:S88)</f>
        <v>90047819.319999993</v>
      </c>
      <c r="T90" s="141">
        <f t="shared" si="56"/>
        <v>538595919.46999955</v>
      </c>
    </row>
    <row r="91" spans="1:20">
      <c r="A91" s="1">
        <v>63</v>
      </c>
    </row>
    <row r="92" spans="1:20">
      <c r="A92" s="1">
        <v>64</v>
      </c>
    </row>
    <row r="93" spans="1:20">
      <c r="A93" s="1">
        <v>65</v>
      </c>
      <c r="B93" t="s">
        <v>158</v>
      </c>
      <c r="D93" s="139">
        <v>30984281.560000043</v>
      </c>
      <c r="E93" s="139">
        <v>8623446.1399999913</v>
      </c>
      <c r="F93" s="139">
        <v>0</v>
      </c>
      <c r="G93" s="139">
        <v>4608355.3000000007</v>
      </c>
      <c r="H93" s="139">
        <f>SUM(D93:G93)</f>
        <v>44216083.00000003</v>
      </c>
      <c r="J93" s="139">
        <v>0</v>
      </c>
      <c r="K93" s="139">
        <v>0</v>
      </c>
      <c r="L93" s="139">
        <v>0</v>
      </c>
      <c r="M93" s="139">
        <v>0</v>
      </c>
      <c r="N93" s="139">
        <f>SUM(J93:M93)</f>
        <v>0</v>
      </c>
      <c r="P93" s="139">
        <f t="shared" ref="P93:P95" si="57">+D93+J93</f>
        <v>30984281.560000043</v>
      </c>
      <c r="Q93" s="139">
        <f t="shared" ref="Q93:Q95" si="58">+E93+K93</f>
        <v>8623446.1399999913</v>
      </c>
      <c r="R93" s="139">
        <f t="shared" ref="R93:R95" si="59">+F93+L93</f>
        <v>0</v>
      </c>
      <c r="S93" s="139">
        <f t="shared" ref="S93:S95" si="60">+G93+M93</f>
        <v>4608355.3000000007</v>
      </c>
      <c r="T93" s="139">
        <f>SUM(P93:S93)</f>
        <v>44216083.00000003</v>
      </c>
    </row>
    <row r="94" spans="1:20">
      <c r="A94" s="1">
        <v>66</v>
      </c>
      <c r="B94" t="s">
        <v>159</v>
      </c>
      <c r="D94" s="66">
        <v>27856637.169999924</v>
      </c>
      <c r="E94" s="66">
        <v>5331985.0599999903</v>
      </c>
      <c r="F94" s="66">
        <v>0</v>
      </c>
      <c r="G94" s="66">
        <v>7267486.6399999997</v>
      </c>
      <c r="H94" s="93">
        <f>SUM(D94:G94)</f>
        <v>40456108.869999915</v>
      </c>
      <c r="J94" s="66">
        <v>0</v>
      </c>
      <c r="K94" s="66">
        <v>0</v>
      </c>
      <c r="L94" s="66">
        <v>0</v>
      </c>
      <c r="M94" s="66">
        <v>0</v>
      </c>
      <c r="N94" s="93">
        <f>SUM(J94:M94)</f>
        <v>0</v>
      </c>
      <c r="P94" s="66">
        <f t="shared" si="57"/>
        <v>27856637.169999924</v>
      </c>
      <c r="Q94" s="66">
        <f t="shared" si="58"/>
        <v>5331985.0599999903</v>
      </c>
      <c r="R94" s="66">
        <f t="shared" si="59"/>
        <v>0</v>
      </c>
      <c r="S94" s="66">
        <f t="shared" si="60"/>
        <v>7267486.6399999997</v>
      </c>
      <c r="T94" s="93">
        <f>SUM(P94:S94)</f>
        <v>40456108.869999915</v>
      </c>
    </row>
    <row r="95" spans="1:20">
      <c r="A95" s="1">
        <v>67</v>
      </c>
      <c r="B95" t="s">
        <v>46</v>
      </c>
      <c r="D95" s="66">
        <v>32693475.41999986</v>
      </c>
      <c r="E95" s="66">
        <v>15689336.529999975</v>
      </c>
      <c r="F95" s="66">
        <v>0</v>
      </c>
      <c r="G95" s="66">
        <v>10161185.799999995</v>
      </c>
      <c r="H95" s="93">
        <f>SUM(D95:G95)</f>
        <v>58543997.749999836</v>
      </c>
      <c r="J95" s="66">
        <v>0</v>
      </c>
      <c r="K95" s="66">
        <v>0</v>
      </c>
      <c r="L95" s="66">
        <v>0</v>
      </c>
      <c r="M95" s="66">
        <v>0</v>
      </c>
      <c r="N95" s="93">
        <f>SUM(J95:M95)</f>
        <v>0</v>
      </c>
      <c r="P95" s="66">
        <f t="shared" si="57"/>
        <v>32693475.41999986</v>
      </c>
      <c r="Q95" s="66">
        <f t="shared" si="58"/>
        <v>15689336.529999975</v>
      </c>
      <c r="R95" s="66">
        <f t="shared" si="59"/>
        <v>0</v>
      </c>
      <c r="S95" s="66">
        <f t="shared" si="60"/>
        <v>10161185.799999995</v>
      </c>
      <c r="T95" s="93">
        <f>SUM(P95:S95)</f>
        <v>58543997.749999836</v>
      </c>
    </row>
    <row r="96" spans="1:20">
      <c r="A96" s="1">
        <v>68</v>
      </c>
    </row>
    <row r="97" spans="1:20">
      <c r="A97" s="1">
        <v>69</v>
      </c>
    </row>
    <row r="98" spans="1:20">
      <c r="A98" s="1">
        <v>70</v>
      </c>
      <c r="B98" s="170" t="str">
        <f>+B67</f>
        <v>TME 2021</v>
      </c>
      <c r="D98" s="139">
        <v>262932994.53000164</v>
      </c>
      <c r="E98" s="139">
        <v>71130529.830000415</v>
      </c>
      <c r="F98" s="139">
        <v>0</v>
      </c>
      <c r="G98" s="139">
        <v>55355295.649999969</v>
      </c>
      <c r="H98" s="139">
        <f>SUM(D98:G98)</f>
        <v>389418820.01000202</v>
      </c>
      <c r="J98" s="139">
        <v>0</v>
      </c>
      <c r="K98" s="139">
        <v>0</v>
      </c>
      <c r="L98" s="139">
        <v>0</v>
      </c>
      <c r="M98" s="139">
        <v>0</v>
      </c>
      <c r="N98" s="139">
        <f>SUM(J98:M98)</f>
        <v>0</v>
      </c>
      <c r="P98" s="139">
        <f t="shared" ref="P98:P100" si="61">+D98+J98</f>
        <v>262932994.53000164</v>
      </c>
      <c r="Q98" s="139">
        <f t="shared" ref="Q98:Q100" si="62">+E98+K98</f>
        <v>71130529.830000415</v>
      </c>
      <c r="R98" s="139">
        <f t="shared" ref="R98:R100" si="63">+F98+L98</f>
        <v>0</v>
      </c>
      <c r="S98" s="139">
        <f t="shared" ref="S98:S100" si="64">+G98+M98</f>
        <v>55355295.649999969</v>
      </c>
      <c r="T98" s="139">
        <f>SUM(P98:S98)</f>
        <v>389418820.01000202</v>
      </c>
    </row>
    <row r="99" spans="1:20">
      <c r="A99" s="1">
        <v>71</v>
      </c>
      <c r="B99" s="170" t="str">
        <f t="shared" ref="B99:B100" si="65">+B68</f>
        <v>TME 2022</v>
      </c>
      <c r="D99" s="66">
        <v>282221378.86000031</v>
      </c>
      <c r="E99" s="66">
        <v>85750377.820000201</v>
      </c>
      <c r="F99" s="66">
        <v>0</v>
      </c>
      <c r="G99" s="66">
        <v>72053370.929999962</v>
      </c>
      <c r="H99" s="66">
        <f>SUM(D99:G99)</f>
        <v>440025127.61000049</v>
      </c>
      <c r="J99" s="66">
        <v>0</v>
      </c>
      <c r="K99" s="66">
        <v>0</v>
      </c>
      <c r="L99" s="66">
        <v>0</v>
      </c>
      <c r="M99" s="66">
        <v>0</v>
      </c>
      <c r="N99" s="66">
        <f>SUM(J99:M99)</f>
        <v>0</v>
      </c>
      <c r="P99" s="66">
        <f t="shared" si="61"/>
        <v>282221378.86000031</v>
      </c>
      <c r="Q99" s="66">
        <f t="shared" si="62"/>
        <v>85750377.820000201</v>
      </c>
      <c r="R99" s="66">
        <f t="shared" si="63"/>
        <v>0</v>
      </c>
      <c r="S99" s="66">
        <f t="shared" si="64"/>
        <v>72053370.929999962</v>
      </c>
      <c r="T99" s="66">
        <f>SUM(P99:S99)</f>
        <v>440025127.61000049</v>
      </c>
    </row>
    <row r="100" spans="1:20">
      <c r="A100" s="1">
        <v>72</v>
      </c>
      <c r="B100" s="170" t="str">
        <f t="shared" si="65"/>
        <v>TME 2023</v>
      </c>
      <c r="D100" s="66">
        <v>311950225.12000096</v>
      </c>
      <c r="E100" s="66">
        <v>88781977.280000284</v>
      </c>
      <c r="F100" s="66">
        <v>0</v>
      </c>
      <c r="G100" s="66">
        <v>85837126.129999891</v>
      </c>
      <c r="H100" s="66">
        <f>SUM(D100:G100)</f>
        <v>486569328.5300011</v>
      </c>
      <c r="J100" s="66">
        <v>0</v>
      </c>
      <c r="K100" s="66">
        <v>0</v>
      </c>
      <c r="L100" s="66">
        <v>0</v>
      </c>
      <c r="M100" s="66">
        <v>0</v>
      </c>
      <c r="N100" s="66">
        <f>SUM(J100:M100)</f>
        <v>0</v>
      </c>
      <c r="P100" s="66">
        <f t="shared" si="61"/>
        <v>311950225.12000096</v>
      </c>
      <c r="Q100" s="66">
        <f t="shared" si="62"/>
        <v>88781977.280000284</v>
      </c>
      <c r="R100" s="66">
        <f t="shared" si="63"/>
        <v>0</v>
      </c>
      <c r="S100" s="66">
        <f t="shared" si="64"/>
        <v>85837126.129999891</v>
      </c>
      <c r="T100" s="66">
        <f>SUM(P100:S100)</f>
        <v>486569328.5300011</v>
      </c>
    </row>
    <row r="103" spans="1:20" ht="13.5" thickBot="1">
      <c r="D103" s="379" t="s">
        <v>281</v>
      </c>
      <c r="E103" s="379"/>
      <c r="F103" s="379"/>
      <c r="G103" s="379"/>
      <c r="H103" s="379"/>
    </row>
    <row r="104" spans="1:20">
      <c r="A104" s="18" t="s">
        <v>87</v>
      </c>
      <c r="B104" s="18"/>
      <c r="D104" s="18"/>
      <c r="E104" s="25"/>
      <c r="F104" s="189" t="s">
        <v>396</v>
      </c>
      <c r="G104" s="18"/>
      <c r="H104" s="2"/>
    </row>
    <row r="105" spans="1:20">
      <c r="A105" s="196" t="s">
        <v>89</v>
      </c>
      <c r="B105" s="196" t="s">
        <v>64</v>
      </c>
      <c r="D105" s="196" t="s">
        <v>65</v>
      </c>
      <c r="E105" s="196" t="s">
        <v>66</v>
      </c>
      <c r="F105" s="190" t="s">
        <v>397</v>
      </c>
      <c r="G105" s="196" t="s">
        <v>63</v>
      </c>
      <c r="H105" s="196" t="s">
        <v>215</v>
      </c>
    </row>
    <row r="106" spans="1:20">
      <c r="A106" s="18"/>
      <c r="B106" s="16" t="s">
        <v>44</v>
      </c>
      <c r="D106" s="16" t="s">
        <v>45</v>
      </c>
      <c r="E106" s="16" t="s">
        <v>74</v>
      </c>
      <c r="F106" s="16" t="s">
        <v>75</v>
      </c>
      <c r="G106" s="16" t="s">
        <v>76</v>
      </c>
      <c r="H106" s="16" t="s">
        <v>77</v>
      </c>
    </row>
    <row r="108" spans="1:20">
      <c r="A108" s="1">
        <v>73</v>
      </c>
      <c r="B108" s="187" t="str">
        <f>+B77</f>
        <v>January 2024</v>
      </c>
      <c r="D108" s="139">
        <v>4559816.2000000104</v>
      </c>
      <c r="E108" s="139">
        <v>265746.75</v>
      </c>
      <c r="F108" s="139">
        <v>0</v>
      </c>
      <c r="G108" s="139">
        <v>755058.10000000009</v>
      </c>
      <c r="H108" s="139">
        <f t="shared" ref="H108:H119" si="66">SUM(D108:G108)</f>
        <v>5580621.0500000101</v>
      </c>
    </row>
    <row r="109" spans="1:20">
      <c r="A109" s="1">
        <v>74</v>
      </c>
      <c r="B109" s="187" t="str">
        <f t="shared" ref="B109:B119" si="67">+B78</f>
        <v>February 2024</v>
      </c>
      <c r="D109" s="66">
        <v>4392812.3100000052</v>
      </c>
      <c r="E109" s="66">
        <v>224192.30999999991</v>
      </c>
      <c r="F109" s="66">
        <v>0</v>
      </c>
      <c r="G109" s="66">
        <v>613864.74000000022</v>
      </c>
      <c r="H109" s="93">
        <f t="shared" si="66"/>
        <v>5230869.360000005</v>
      </c>
    </row>
    <row r="110" spans="1:20">
      <c r="A110" s="1">
        <v>75</v>
      </c>
      <c r="B110" s="187" t="str">
        <f t="shared" si="67"/>
        <v>March 2024</v>
      </c>
      <c r="D110" s="66">
        <v>4628325.6900000097</v>
      </c>
      <c r="E110" s="66">
        <v>193919.14000000007</v>
      </c>
      <c r="F110" s="66">
        <v>0</v>
      </c>
      <c r="G110" s="66">
        <v>1416680.4699999995</v>
      </c>
      <c r="H110" s="93">
        <f t="shared" si="66"/>
        <v>6238925.3000000091</v>
      </c>
    </row>
    <row r="111" spans="1:20">
      <c r="A111" s="1">
        <v>76</v>
      </c>
      <c r="B111" s="187" t="str">
        <f t="shared" si="67"/>
        <v>April 2024</v>
      </c>
      <c r="D111" s="66">
        <v>4559389.8700000094</v>
      </c>
      <c r="E111" s="66">
        <v>232875.71999999983</v>
      </c>
      <c r="F111" s="66">
        <v>0</v>
      </c>
      <c r="G111" s="66">
        <v>862744.74999999988</v>
      </c>
      <c r="H111" s="93">
        <f t="shared" si="66"/>
        <v>5655010.3400000092</v>
      </c>
    </row>
    <row r="112" spans="1:20">
      <c r="A112" s="1">
        <v>77</v>
      </c>
      <c r="B112" s="187" t="str">
        <f t="shared" si="67"/>
        <v>May 2024</v>
      </c>
      <c r="D112" s="66">
        <v>6060481.780000018</v>
      </c>
      <c r="E112" s="66">
        <v>517715.74</v>
      </c>
      <c r="F112" s="66">
        <v>0</v>
      </c>
      <c r="G112" s="66">
        <v>518110.57000000007</v>
      </c>
      <c r="H112" s="93">
        <f t="shared" si="66"/>
        <v>7096308.0900000185</v>
      </c>
    </row>
    <row r="113" spans="1:8">
      <c r="A113" s="1">
        <v>78</v>
      </c>
      <c r="B113" s="187" t="str">
        <f t="shared" si="67"/>
        <v>June 2024</v>
      </c>
      <c r="D113" s="66">
        <v>4549443.3800000111</v>
      </c>
      <c r="E113" s="66">
        <v>988266.24</v>
      </c>
      <c r="F113" s="66">
        <v>0</v>
      </c>
      <c r="G113" s="66">
        <v>1194344.78</v>
      </c>
      <c r="H113" s="93">
        <f t="shared" si="66"/>
        <v>6732054.4000000115</v>
      </c>
    </row>
    <row r="114" spans="1:8">
      <c r="A114" s="1">
        <v>79</v>
      </c>
      <c r="B114" s="187" t="str">
        <f t="shared" si="67"/>
        <v>July 2024</v>
      </c>
      <c r="D114" s="66">
        <v>4654387.4900000058</v>
      </c>
      <c r="E114" s="66">
        <v>268547.74000000005</v>
      </c>
      <c r="F114" s="66">
        <v>0</v>
      </c>
      <c r="G114" s="66">
        <v>910435.86</v>
      </c>
      <c r="H114" s="93">
        <f t="shared" si="66"/>
        <v>5833371.0900000064</v>
      </c>
    </row>
    <row r="115" spans="1:8">
      <c r="A115" s="1">
        <v>80</v>
      </c>
      <c r="B115" s="187" t="str">
        <f t="shared" si="67"/>
        <v>August 2024</v>
      </c>
      <c r="D115" s="66">
        <v>4635638.0400000159</v>
      </c>
      <c r="E115" s="66">
        <v>207395.10999999996</v>
      </c>
      <c r="F115" s="66">
        <v>0</v>
      </c>
      <c r="G115" s="66">
        <v>1057897.55</v>
      </c>
      <c r="H115" s="93">
        <f t="shared" si="66"/>
        <v>5900930.700000016</v>
      </c>
    </row>
    <row r="116" spans="1:8">
      <c r="A116" s="1">
        <v>81</v>
      </c>
      <c r="B116" s="187" t="str">
        <f t="shared" si="67"/>
        <v>September 2024</v>
      </c>
      <c r="D116" s="66">
        <v>4584990.3000000194</v>
      </c>
      <c r="E116" s="66">
        <v>239637.7399999999</v>
      </c>
      <c r="F116" s="66">
        <v>0</v>
      </c>
      <c r="G116" s="66">
        <v>1010619.3000000002</v>
      </c>
      <c r="H116" s="93">
        <f t="shared" si="66"/>
        <v>5835247.3400000194</v>
      </c>
    </row>
    <row r="117" spans="1:8">
      <c r="A117" s="1">
        <v>82</v>
      </c>
      <c r="B117" s="187" t="str">
        <f t="shared" si="67"/>
        <v>October 2024</v>
      </c>
      <c r="D117" s="66">
        <v>4702248.1800000072</v>
      </c>
      <c r="E117" s="66">
        <v>246152.14999999991</v>
      </c>
      <c r="F117" s="66">
        <v>0</v>
      </c>
      <c r="G117" s="66">
        <v>888041.02</v>
      </c>
      <c r="H117" s="93">
        <f t="shared" si="66"/>
        <v>5836441.3500000071</v>
      </c>
    </row>
    <row r="118" spans="1:8">
      <c r="A118" s="1">
        <v>83</v>
      </c>
      <c r="B118" s="187" t="str">
        <f t="shared" si="67"/>
        <v>November 2024</v>
      </c>
      <c r="D118" s="66">
        <v>6190333.6500000115</v>
      </c>
      <c r="E118" s="66">
        <v>344311.34000000008</v>
      </c>
      <c r="F118" s="66">
        <v>0</v>
      </c>
      <c r="G118" s="66">
        <v>673097.87999999989</v>
      </c>
      <c r="H118" s="93">
        <f t="shared" si="66"/>
        <v>7207742.8700000113</v>
      </c>
    </row>
    <row r="119" spans="1:8">
      <c r="A119" s="1">
        <v>84</v>
      </c>
      <c r="B119" s="187" t="str">
        <f t="shared" si="67"/>
        <v>December 2024</v>
      </c>
      <c r="D119" s="66">
        <v>4937071.9400000088</v>
      </c>
      <c r="E119" s="66">
        <v>236135.9199999999</v>
      </c>
      <c r="F119" s="66">
        <v>0</v>
      </c>
      <c r="G119" s="66">
        <v>1501138.6099999999</v>
      </c>
      <c r="H119" s="93">
        <f t="shared" si="66"/>
        <v>6674346.4700000081</v>
      </c>
    </row>
    <row r="120" spans="1:8">
      <c r="A120" s="1">
        <v>85</v>
      </c>
      <c r="D120" s="115"/>
      <c r="E120" s="115"/>
      <c r="F120" s="115"/>
      <c r="G120" s="115"/>
      <c r="H120" s="115"/>
    </row>
    <row r="121" spans="1:8">
      <c r="A121" s="1">
        <v>86</v>
      </c>
      <c r="B121" s="94" t="s">
        <v>69</v>
      </c>
      <c r="D121" s="141">
        <f t="shared" ref="D121:E121" si="68">SUM(D108:D119)</f>
        <v>58454938.830000132</v>
      </c>
      <c r="E121" s="141">
        <f t="shared" si="68"/>
        <v>3964895.8999999994</v>
      </c>
      <c r="F121" s="141"/>
      <c r="G121" s="141">
        <f t="shared" ref="G121:H121" si="69">SUM(G108:G119)</f>
        <v>11402033.629999999</v>
      </c>
      <c r="H121" s="141">
        <f t="shared" si="69"/>
        <v>73821868.360000134</v>
      </c>
    </row>
    <row r="122" spans="1:8">
      <c r="A122" s="1">
        <v>87</v>
      </c>
    </row>
    <row r="123" spans="1:8">
      <c r="A123" s="1">
        <v>88</v>
      </c>
    </row>
    <row r="124" spans="1:8">
      <c r="A124" s="1">
        <v>89</v>
      </c>
      <c r="B124" t="s">
        <v>158</v>
      </c>
      <c r="D124" s="139">
        <v>4783357.0100000091</v>
      </c>
      <c r="E124" s="139">
        <v>215182.2900000001</v>
      </c>
      <c r="F124" s="139">
        <v>0</v>
      </c>
      <c r="G124" s="139">
        <v>498025.72</v>
      </c>
      <c r="H124" s="139">
        <f>SUM(D124:G124)</f>
        <v>5496565.0200000089</v>
      </c>
    </row>
    <row r="125" spans="1:8">
      <c r="A125" s="1">
        <v>90</v>
      </c>
      <c r="B125" t="s">
        <v>159</v>
      </c>
      <c r="D125" s="66">
        <v>4586740.6000000108</v>
      </c>
      <c r="E125" s="66">
        <v>252221.68</v>
      </c>
      <c r="F125" s="66">
        <v>0</v>
      </c>
      <c r="G125" s="66">
        <v>855237.3899999999</v>
      </c>
      <c r="H125" s="93">
        <f>SUM(D125:G125)</f>
        <v>5694199.6700000102</v>
      </c>
    </row>
    <row r="126" spans="1:8">
      <c r="A126" s="1">
        <v>91</v>
      </c>
      <c r="B126" t="s">
        <v>46</v>
      </c>
      <c r="D126" s="66">
        <v>4749375.9100000067</v>
      </c>
      <c r="E126" s="66">
        <v>407994.98000000004</v>
      </c>
      <c r="F126" s="66">
        <v>0</v>
      </c>
      <c r="G126" s="66">
        <v>1151561.94</v>
      </c>
      <c r="H126" s="93">
        <f>SUM(D126:G126)</f>
        <v>6308932.8300000075</v>
      </c>
    </row>
    <row r="127" spans="1:8">
      <c r="A127" s="1">
        <v>92</v>
      </c>
      <c r="D127" s="66"/>
      <c r="E127" s="66"/>
      <c r="F127" s="66"/>
      <c r="G127" s="66"/>
      <c r="H127" s="66"/>
    </row>
    <row r="128" spans="1:8">
      <c r="A128" s="1">
        <v>93</v>
      </c>
      <c r="D128" s="66"/>
      <c r="E128" s="66"/>
      <c r="F128" s="66"/>
      <c r="G128" s="66"/>
      <c r="H128" s="66"/>
    </row>
    <row r="129" spans="1:13">
      <c r="A129" s="1">
        <v>94</v>
      </c>
      <c r="B129" s="170" t="str">
        <f>+B98</f>
        <v>TME 2021</v>
      </c>
      <c r="D129" s="139">
        <v>47451988.620000243</v>
      </c>
      <c r="E129" s="139">
        <v>3208123.3999999529</v>
      </c>
      <c r="F129" s="139">
        <v>0</v>
      </c>
      <c r="G129" s="139">
        <v>2551049.6</v>
      </c>
      <c r="H129" s="139">
        <f>SUM(D129:G129)</f>
        <v>53211161.620000198</v>
      </c>
    </row>
    <row r="130" spans="1:13">
      <c r="A130" s="1">
        <v>95</v>
      </c>
      <c r="B130" s="170" t="str">
        <f t="shared" ref="B130:B131" si="70">+B99</f>
        <v>TME 2022</v>
      </c>
      <c r="D130" s="66">
        <v>48769867.190000206</v>
      </c>
      <c r="E130" s="66">
        <v>3266725.4999999567</v>
      </c>
      <c r="F130" s="66">
        <v>0</v>
      </c>
      <c r="G130" s="66">
        <v>3656310.7799999984</v>
      </c>
      <c r="H130" s="93">
        <f>SUM(D130:G130)</f>
        <v>55692903.470000163</v>
      </c>
    </row>
    <row r="131" spans="1:13">
      <c r="A131" s="1">
        <v>96</v>
      </c>
      <c r="B131" s="170" t="str">
        <f t="shared" si="70"/>
        <v>TME 2023</v>
      </c>
      <c r="D131" s="66">
        <v>56118196.150000036</v>
      </c>
      <c r="E131" s="66">
        <v>3376087.3999999543</v>
      </c>
      <c r="F131" s="66">
        <v>0</v>
      </c>
      <c r="G131" s="66">
        <v>3722909.060000001</v>
      </c>
      <c r="H131" s="93">
        <f>SUM(D131:G131)</f>
        <v>63217192.609999992</v>
      </c>
    </row>
    <row r="132" spans="1:13">
      <c r="B132" s="94"/>
    </row>
    <row r="134" spans="1:13" ht="13.5" thickBot="1">
      <c r="D134" s="379" t="s">
        <v>126</v>
      </c>
      <c r="E134" s="379"/>
      <c r="F134" s="379"/>
      <c r="G134" s="379"/>
      <c r="H134" s="379"/>
    </row>
    <row r="135" spans="1:13">
      <c r="A135" s="18" t="s">
        <v>87</v>
      </c>
      <c r="B135" s="18"/>
      <c r="D135" s="18"/>
      <c r="E135" s="25"/>
      <c r="F135" s="189" t="s">
        <v>396</v>
      </c>
      <c r="G135" s="18"/>
      <c r="H135" s="2"/>
    </row>
    <row r="136" spans="1:13">
      <c r="A136" s="196" t="s">
        <v>89</v>
      </c>
      <c r="B136" s="196" t="s">
        <v>64</v>
      </c>
      <c r="D136" s="196" t="s">
        <v>65</v>
      </c>
      <c r="E136" s="196" t="s">
        <v>66</v>
      </c>
      <c r="F136" s="190" t="s">
        <v>397</v>
      </c>
      <c r="G136" s="196" t="s">
        <v>63</v>
      </c>
      <c r="H136" s="196" t="s">
        <v>215</v>
      </c>
    </row>
    <row r="137" spans="1:13">
      <c r="A137" s="18"/>
      <c r="B137" s="16" t="s">
        <v>44</v>
      </c>
      <c r="D137" s="16" t="s">
        <v>45</v>
      </c>
      <c r="E137" s="16" t="s">
        <v>74</v>
      </c>
      <c r="F137" s="16" t="s">
        <v>75</v>
      </c>
      <c r="G137" s="16" t="s">
        <v>76</v>
      </c>
      <c r="H137" s="16" t="s">
        <v>77</v>
      </c>
    </row>
    <row r="139" spans="1:13">
      <c r="A139" s="1">
        <v>97</v>
      </c>
      <c r="B139" s="187" t="str">
        <f>+B108</f>
        <v>January 2024</v>
      </c>
      <c r="D139" s="139">
        <v>1881127.7100000002</v>
      </c>
      <c r="E139" s="139">
        <v>1119.98</v>
      </c>
      <c r="F139" s="139">
        <v>0</v>
      </c>
      <c r="G139" s="139">
        <v>44426.370000000017</v>
      </c>
      <c r="H139" s="139">
        <f t="shared" ref="H139:H150" si="71">SUM(D139:G139)</f>
        <v>1926674.0600000003</v>
      </c>
      <c r="J139" s="205"/>
      <c r="K139" s="205"/>
      <c r="L139" s="205"/>
      <c r="M139" s="205"/>
    </row>
    <row r="140" spans="1:13">
      <c r="A140" s="1">
        <v>98</v>
      </c>
      <c r="B140" s="187" t="str">
        <f t="shared" ref="B140:B150" si="72">+B109</f>
        <v>February 2024</v>
      </c>
      <c r="D140" s="66">
        <v>1877803.94</v>
      </c>
      <c r="E140" s="66">
        <v>2317.0100000000002</v>
      </c>
      <c r="F140" s="66">
        <v>0</v>
      </c>
      <c r="G140" s="66">
        <v>120464.09</v>
      </c>
      <c r="H140" s="93">
        <f t="shared" si="71"/>
        <v>2000585.04</v>
      </c>
      <c r="J140" s="205"/>
      <c r="K140" s="205"/>
      <c r="L140" s="205"/>
      <c r="M140" s="205"/>
    </row>
    <row r="141" spans="1:13">
      <c r="A141" s="1">
        <v>99</v>
      </c>
      <c r="B141" s="187" t="str">
        <f t="shared" si="72"/>
        <v>March 2024</v>
      </c>
      <c r="D141" s="66">
        <v>1965964.4100000006</v>
      </c>
      <c r="E141" s="66">
        <v>1893.9699999999993</v>
      </c>
      <c r="F141" s="66">
        <v>0</v>
      </c>
      <c r="G141" s="66">
        <v>99231.379999999961</v>
      </c>
      <c r="H141" s="93">
        <f t="shared" si="71"/>
        <v>2067089.7600000005</v>
      </c>
      <c r="J141" s="205"/>
      <c r="K141" s="205"/>
      <c r="L141" s="205"/>
      <c r="M141" s="205"/>
    </row>
    <row r="142" spans="1:13">
      <c r="A142" s="1">
        <v>100</v>
      </c>
      <c r="B142" s="187" t="str">
        <f t="shared" si="72"/>
        <v>April 2024</v>
      </c>
      <c r="D142" s="66">
        <v>1980978.18</v>
      </c>
      <c r="E142" s="66">
        <v>1486.9299999999996</v>
      </c>
      <c r="F142" s="66">
        <v>0</v>
      </c>
      <c r="G142" s="66">
        <v>55982.380000000012</v>
      </c>
      <c r="H142" s="93">
        <f t="shared" si="71"/>
        <v>2038447.49</v>
      </c>
      <c r="J142" s="205"/>
      <c r="K142" s="205"/>
      <c r="L142" s="205"/>
      <c r="M142" s="205"/>
    </row>
    <row r="143" spans="1:13">
      <c r="A143" s="1">
        <v>101</v>
      </c>
      <c r="B143" s="187" t="str">
        <f t="shared" si="72"/>
        <v>May 2024</v>
      </c>
      <c r="D143" s="66">
        <v>2828595.9</v>
      </c>
      <c r="E143" s="66">
        <v>-4099.8</v>
      </c>
      <c r="F143" s="66">
        <v>0</v>
      </c>
      <c r="G143" s="66">
        <v>52410.159999999996</v>
      </c>
      <c r="H143" s="93">
        <f t="shared" si="71"/>
        <v>2876906.2600000002</v>
      </c>
      <c r="J143" s="205"/>
      <c r="K143" s="205"/>
      <c r="L143" s="205"/>
      <c r="M143" s="205"/>
    </row>
    <row r="144" spans="1:13">
      <c r="A144" s="1">
        <v>102</v>
      </c>
      <c r="B144" s="187" t="str">
        <f t="shared" si="72"/>
        <v>June 2024</v>
      </c>
      <c r="D144" s="66">
        <v>1956147.2600000007</v>
      </c>
      <c r="E144" s="66">
        <v>6521.9699999999993</v>
      </c>
      <c r="F144" s="66">
        <v>0</v>
      </c>
      <c r="G144" s="66">
        <v>136429.73999999993</v>
      </c>
      <c r="H144" s="93">
        <f t="shared" si="71"/>
        <v>2099098.9700000007</v>
      </c>
      <c r="J144" s="205"/>
      <c r="K144" s="205"/>
      <c r="L144" s="205"/>
      <c r="M144" s="205"/>
    </row>
    <row r="145" spans="1:13">
      <c r="A145" s="1">
        <v>103</v>
      </c>
      <c r="B145" s="187" t="str">
        <f t="shared" si="72"/>
        <v>July 2024</v>
      </c>
      <c r="D145" s="66">
        <v>1955545.4700000002</v>
      </c>
      <c r="E145" s="66">
        <v>6308.0100000000011</v>
      </c>
      <c r="F145" s="66">
        <v>0</v>
      </c>
      <c r="G145" s="66">
        <v>57253.369999999988</v>
      </c>
      <c r="H145" s="93">
        <f t="shared" si="71"/>
        <v>2019106.85</v>
      </c>
      <c r="J145" s="205"/>
      <c r="K145" s="205"/>
      <c r="L145" s="205"/>
      <c r="M145" s="205"/>
    </row>
    <row r="146" spans="1:13">
      <c r="A146" s="1">
        <v>104</v>
      </c>
      <c r="B146" s="187" t="str">
        <f t="shared" si="72"/>
        <v>August 2024</v>
      </c>
      <c r="D146" s="66">
        <v>1921901.0400000003</v>
      </c>
      <c r="E146" s="66">
        <v>-352.72999999999962</v>
      </c>
      <c r="F146" s="66">
        <v>0</v>
      </c>
      <c r="G146" s="66">
        <v>444771.29000000015</v>
      </c>
      <c r="H146" s="93">
        <f t="shared" si="71"/>
        <v>2366319.6000000006</v>
      </c>
      <c r="J146" s="205"/>
      <c r="K146" s="205"/>
      <c r="L146" s="205"/>
      <c r="M146" s="205"/>
    </row>
    <row r="147" spans="1:13">
      <c r="A147" s="1">
        <v>105</v>
      </c>
      <c r="B147" s="187" t="str">
        <f t="shared" si="72"/>
        <v>September 2024</v>
      </c>
      <c r="D147" s="66">
        <v>1913342.7300000007</v>
      </c>
      <c r="E147" s="66">
        <v>1275.58</v>
      </c>
      <c r="F147" s="66">
        <v>0</v>
      </c>
      <c r="G147" s="66">
        <v>241667.91999999995</v>
      </c>
      <c r="H147" s="93">
        <f t="shared" si="71"/>
        <v>2156286.2300000009</v>
      </c>
      <c r="J147" s="205"/>
      <c r="K147" s="205"/>
      <c r="L147" s="205"/>
      <c r="M147" s="205"/>
    </row>
    <row r="148" spans="1:13">
      <c r="A148" s="1">
        <v>106</v>
      </c>
      <c r="B148" s="187" t="str">
        <f t="shared" si="72"/>
        <v>October 2024</v>
      </c>
      <c r="D148" s="66">
        <v>1943363.830000001</v>
      </c>
      <c r="E148" s="66">
        <v>3347.2599999999998</v>
      </c>
      <c r="F148" s="66">
        <v>0</v>
      </c>
      <c r="G148" s="66">
        <v>58579.94</v>
      </c>
      <c r="H148" s="93">
        <f t="shared" si="71"/>
        <v>2005291.030000001</v>
      </c>
      <c r="J148" s="205"/>
      <c r="K148" s="205"/>
      <c r="L148" s="205"/>
      <c r="M148" s="205"/>
    </row>
    <row r="149" spans="1:13">
      <c r="A149" s="1">
        <v>107</v>
      </c>
      <c r="B149" s="187" t="str">
        <f t="shared" si="72"/>
        <v>November 2024</v>
      </c>
      <c r="D149" s="66">
        <v>2900218.3600000017</v>
      </c>
      <c r="E149" s="66">
        <v>-6178.76</v>
      </c>
      <c r="F149" s="66">
        <v>0</v>
      </c>
      <c r="G149" s="66">
        <v>60604.420000000006</v>
      </c>
      <c r="H149" s="93">
        <f t="shared" si="71"/>
        <v>2954644.0200000019</v>
      </c>
      <c r="J149" s="205"/>
      <c r="K149" s="205"/>
      <c r="L149" s="205"/>
      <c r="M149" s="205"/>
    </row>
    <row r="150" spans="1:13">
      <c r="A150" s="1">
        <v>108</v>
      </c>
      <c r="B150" s="187" t="str">
        <f t="shared" si="72"/>
        <v>December 2024</v>
      </c>
      <c r="D150" s="66">
        <v>2027848.0799999994</v>
      </c>
      <c r="E150" s="66">
        <v>2972.6600000000008</v>
      </c>
      <c r="F150" s="66">
        <v>0</v>
      </c>
      <c r="G150" s="66">
        <v>219520.96000000002</v>
      </c>
      <c r="H150" s="93">
        <f t="shared" si="71"/>
        <v>2250341.6999999993</v>
      </c>
      <c r="J150" s="205"/>
      <c r="K150" s="205"/>
      <c r="L150" s="205"/>
      <c r="M150" s="205"/>
    </row>
    <row r="151" spans="1:13">
      <c r="A151" s="1">
        <v>109</v>
      </c>
      <c r="D151" s="115"/>
      <c r="E151" s="115"/>
      <c r="F151" s="115"/>
      <c r="G151" s="115"/>
      <c r="H151" s="115"/>
    </row>
    <row r="152" spans="1:13">
      <c r="A152" s="1">
        <v>110</v>
      </c>
      <c r="B152" s="94" t="s">
        <v>69</v>
      </c>
      <c r="D152" s="141">
        <f t="shared" ref="D152:E152" si="73">SUM(D139:D150)</f>
        <v>25152836.910000008</v>
      </c>
      <c r="E152" s="141">
        <f t="shared" si="73"/>
        <v>16612.079999999998</v>
      </c>
      <c r="F152" s="141"/>
      <c r="G152" s="141">
        <f t="shared" ref="G152:H152" si="74">SUM(G139:G150)</f>
        <v>1591342.0199999998</v>
      </c>
      <c r="H152" s="141">
        <f t="shared" si="74"/>
        <v>26760791.010000005</v>
      </c>
    </row>
    <row r="153" spans="1:13">
      <c r="A153" s="1">
        <v>111</v>
      </c>
    </row>
    <row r="154" spans="1:13">
      <c r="A154" s="1">
        <v>112</v>
      </c>
      <c r="D154" s="66"/>
    </row>
    <row r="155" spans="1:13">
      <c r="A155" s="1">
        <v>113</v>
      </c>
      <c r="B155" t="s">
        <v>158</v>
      </c>
      <c r="D155" s="139">
        <v>2061118.91</v>
      </c>
      <c r="E155" s="139">
        <v>103.62</v>
      </c>
      <c r="F155" s="139">
        <v>0</v>
      </c>
      <c r="G155" s="139">
        <v>33389.250000000015</v>
      </c>
      <c r="H155" s="139">
        <f>SUM(D155:G155)</f>
        <v>2094611.78</v>
      </c>
      <c r="J155" s="205"/>
      <c r="K155" s="205"/>
      <c r="L155" s="205"/>
      <c r="M155" s="205"/>
    </row>
    <row r="156" spans="1:13">
      <c r="A156" s="1">
        <v>114</v>
      </c>
      <c r="B156" t="s">
        <v>159</v>
      </c>
      <c r="D156" s="66">
        <v>2035502.610000001</v>
      </c>
      <c r="E156" s="66">
        <v>3752.630000000001</v>
      </c>
      <c r="F156" s="66">
        <v>0</v>
      </c>
      <c r="G156" s="66">
        <v>83008.629999999976</v>
      </c>
      <c r="H156" s="93">
        <f>SUM(D156:G156)</f>
        <v>2122263.870000001</v>
      </c>
      <c r="J156" s="205"/>
      <c r="K156" s="205"/>
      <c r="L156" s="205"/>
      <c r="M156" s="205"/>
    </row>
    <row r="157" spans="1:13">
      <c r="A157" s="1">
        <v>115</v>
      </c>
      <c r="B157" t="s">
        <v>46</v>
      </c>
      <c r="D157" s="66">
        <v>2113838.2599999998</v>
      </c>
      <c r="E157" s="66">
        <v>2330.8699999999994</v>
      </c>
      <c r="F157" s="66">
        <v>0</v>
      </c>
      <c r="G157" s="66">
        <v>128108.47</v>
      </c>
      <c r="H157" s="93">
        <f>SUM(D157:G157)</f>
        <v>2244277.6</v>
      </c>
      <c r="J157" s="205"/>
      <c r="K157" s="205"/>
      <c r="L157" s="205"/>
      <c r="M157" s="205"/>
    </row>
    <row r="158" spans="1:13">
      <c r="A158" s="1">
        <v>116</v>
      </c>
      <c r="J158" s="205"/>
      <c r="K158" s="205"/>
      <c r="L158" s="205"/>
      <c r="M158" s="205"/>
    </row>
    <row r="159" spans="1:13">
      <c r="A159" s="1">
        <v>117</v>
      </c>
      <c r="G159" s="66"/>
    </row>
    <row r="160" spans="1:13">
      <c r="A160" s="1">
        <v>118</v>
      </c>
      <c r="B160" s="170" t="str">
        <f>+B129</f>
        <v>TME 2021</v>
      </c>
      <c r="D160" s="139">
        <v>20741511.440000005</v>
      </c>
      <c r="E160" s="139">
        <v>29171.030000000006</v>
      </c>
      <c r="F160" s="139">
        <v>0</v>
      </c>
      <c r="G160" s="139">
        <v>813056.3400000002</v>
      </c>
      <c r="H160" s="139">
        <f>SUM(D160:G160)</f>
        <v>21583738.810000006</v>
      </c>
      <c r="J160" s="205"/>
      <c r="K160" s="205"/>
      <c r="L160" s="205"/>
      <c r="M160" s="205"/>
    </row>
    <row r="161" spans="1:13">
      <c r="A161" s="1">
        <v>119</v>
      </c>
      <c r="B161" s="170" t="str">
        <f t="shared" ref="B161:B162" si="75">+B130</f>
        <v>TME 2022</v>
      </c>
      <c r="D161" s="66">
        <v>22039538.630000006</v>
      </c>
      <c r="E161" s="66">
        <v>38131.049999999974</v>
      </c>
      <c r="F161" s="66">
        <v>0</v>
      </c>
      <c r="G161" s="66">
        <v>1156592.3899999997</v>
      </c>
      <c r="H161" s="66">
        <f>SUM(D161:G161)</f>
        <v>23234262.070000008</v>
      </c>
      <c r="J161" s="205"/>
      <c r="K161" s="205"/>
      <c r="L161" s="205"/>
      <c r="M161" s="205"/>
    </row>
    <row r="162" spans="1:13">
      <c r="A162" s="1">
        <v>120</v>
      </c>
      <c r="B162" s="170" t="str">
        <f t="shared" si="75"/>
        <v>TME 2023</v>
      </c>
      <c r="D162" s="66">
        <v>23759941.429999989</v>
      </c>
      <c r="E162" s="66">
        <v>24790.380000000005</v>
      </c>
      <c r="F162" s="66">
        <v>0</v>
      </c>
      <c r="G162" s="66">
        <v>1225532.4100000001</v>
      </c>
      <c r="H162" s="66">
        <f>SUM(D162:G162)</f>
        <v>25010264.219999988</v>
      </c>
      <c r="J162" s="205"/>
      <c r="K162" s="205"/>
      <c r="L162" s="205"/>
      <c r="M162" s="205"/>
    </row>
  </sheetData>
  <mergeCells count="10">
    <mergeCell ref="J41:N41"/>
    <mergeCell ref="P41:T41"/>
    <mergeCell ref="V41:Z41"/>
    <mergeCell ref="J72:N72"/>
    <mergeCell ref="P72:T72"/>
    <mergeCell ref="D134:H134"/>
    <mergeCell ref="D10:H10"/>
    <mergeCell ref="D41:H41"/>
    <mergeCell ref="D72:H72"/>
    <mergeCell ref="D103:H103"/>
  </mergeCells>
  <phoneticPr fontId="5" type="noConversion"/>
  <printOptions horizontalCentered="1"/>
  <pageMargins left="0.5" right="0.5" top="3" bottom="0.5" header="1.5" footer="0.5"/>
  <pageSetup scale="44" fitToHeight="0" orientation="landscape"/>
  <headerFooter alignWithMargins="0">
    <oddHeader>&amp;R&amp;"Arial,Bold"Schedule &amp;A
Page &amp;P of &amp;N&amp;C&amp;B
2025 RATE CASE
ONCOR ELECTRIC DELIVERY COMPANY LLC
II-D-3.2  REGULAR AND OVERTIME PAYROLL BY FUNCTION
TEST YEAR ENDING DECEMBER 31, 2024
SPONSOR: R. PRACHYL</oddHeader>
  </headerFooter>
  <rowBreaks count="4" manualBreakCount="4">
    <brk id="39" max="7" man="1"/>
    <brk id="70" max="7" man="1"/>
    <brk id="101" max="7" man="1"/>
    <brk id="132" max="7"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2">
    <tabColor rgb="FFFF0000"/>
    <pageSetUpPr fitToPage="1"/>
  </sheetPr>
  <dimension ref="A1:W162"/>
  <sheetViews>
    <sheetView zoomScaleNormal="100" workbookViewId="0">
      <pane xSplit="2" ySplit="14" topLeftCell="C30" activePane="bottomRight" state="frozen"/>
      <selection activeCell="D28" sqref="D28"/>
      <selection pane="topRight" activeCell="D28" sqref="D28"/>
      <selection pane="bottomLeft" activeCell="D28" sqref="D28"/>
      <selection pane="bottomRight" activeCell="M44" sqref="M44"/>
    </sheetView>
  </sheetViews>
  <sheetFormatPr defaultRowHeight="12.75"/>
  <cols>
    <col min="1" max="1" width="5.7109375" customWidth="1"/>
    <col min="2" max="2" width="20.42578125" bestFit="1" customWidth="1"/>
    <col min="3" max="3" width="2.7109375" customWidth="1"/>
    <col min="4" max="4" width="13.7109375" customWidth="1"/>
    <col min="5" max="6" width="16" bestFit="1" customWidth="1"/>
    <col min="7" max="7" width="2.7109375" customWidth="1"/>
    <col min="8" max="8" width="6.28515625" bestFit="1" customWidth="1"/>
    <col min="9" max="9" width="10.42578125" bestFit="1" customWidth="1"/>
    <col min="10" max="10" width="5.7109375" bestFit="1" customWidth="1"/>
    <col min="11" max="11" width="2.7109375" customWidth="1"/>
    <col min="12" max="12" width="12.28515625" bestFit="1" customWidth="1"/>
    <col min="13" max="14" width="13.42578125" bestFit="1" customWidth="1"/>
    <col min="15" max="15" width="2.7109375" customWidth="1"/>
    <col min="16" max="16" width="11.28515625" bestFit="1" customWidth="1"/>
    <col min="17" max="18" width="13.42578125" bestFit="1" customWidth="1"/>
    <col min="19" max="19" width="2.7109375" customWidth="1"/>
    <col min="20" max="20" width="7.7109375" bestFit="1" customWidth="1"/>
    <col min="21" max="21" width="14.42578125" bestFit="1" customWidth="1"/>
    <col min="22" max="22" width="14.7109375" bestFit="1" customWidth="1"/>
    <col min="23" max="23" width="2.7109375" customWidth="1"/>
    <col min="24" max="24" width="10.28515625" bestFit="1" customWidth="1"/>
    <col min="25" max="26" width="12.28515625" bestFit="1" customWidth="1"/>
  </cols>
  <sheetData>
    <row r="1" spans="1:23">
      <c r="A1" s="5" t="str">
        <f>+'[3]Input Data'!$A$9</f>
        <v>2025 RATE CASE</v>
      </c>
    </row>
    <row r="2" spans="1:23">
      <c r="A2" s="8" t="str">
        <f>+'[3]Input Data'!$A$2</f>
        <v>ONCOR ELECTRIC DELIVERY COMPANY LLC</v>
      </c>
    </row>
    <row r="3" spans="1:23">
      <c r="A3" s="7" t="str">
        <f>CONCATENATE('[3]Schedule Sponsors'!$A$71,'[3]Schedule Sponsors'!$B$71)</f>
        <v>II-D-3.3  FUNCTIONALIZED REGULAR PAYROLL BY CATEGORY</v>
      </c>
    </row>
    <row r="4" spans="1:23">
      <c r="A4" s="63" t="str">
        <f>+'[3]Input Data'!$A$4</f>
        <v>TEST YEAR ENDING DECEMBER 31, 2024</v>
      </c>
    </row>
    <row r="5" spans="1:23">
      <c r="A5" s="7" t="str">
        <f>CONCATENATE("SPONSOR: ",'[3]Schedule Sponsors'!$D$71)</f>
        <v>SPONSOR: R. PRACHYL</v>
      </c>
    </row>
    <row r="10" spans="1:23" s="2" customFormat="1" ht="13.5" thickBot="1">
      <c r="A10" s="8"/>
      <c r="B10" s="18"/>
      <c r="C10" s="8"/>
      <c r="D10" s="379" t="s">
        <v>215</v>
      </c>
      <c r="E10" s="379"/>
      <c r="F10" s="379"/>
    </row>
    <row r="11" spans="1:23" s="2" customFormat="1">
      <c r="A11" s="18" t="s">
        <v>87</v>
      </c>
      <c r="B11" s="18"/>
      <c r="C11" s="18"/>
      <c r="D11" s="18"/>
      <c r="E11" s="25"/>
      <c r="F11" s="91"/>
    </row>
    <row r="12" spans="1:23" s="2" customFormat="1">
      <c r="A12" s="92" t="s">
        <v>89</v>
      </c>
      <c r="B12" s="92" t="s">
        <v>64</v>
      </c>
      <c r="C12" s="18"/>
      <c r="D12" s="92" t="s">
        <v>70</v>
      </c>
      <c r="E12" s="92" t="s">
        <v>168</v>
      </c>
      <c r="F12" s="92" t="s">
        <v>215</v>
      </c>
    </row>
    <row r="13" spans="1:23" s="2" customFormat="1">
      <c r="A13" s="18"/>
      <c r="B13" s="16" t="s">
        <v>44</v>
      </c>
      <c r="C13" s="16"/>
      <c r="D13" s="16" t="s">
        <v>45</v>
      </c>
      <c r="E13" s="16" t="s">
        <v>74</v>
      </c>
      <c r="F13" s="16" t="s">
        <v>75</v>
      </c>
    </row>
    <row r="15" spans="1:23">
      <c r="A15" s="1">
        <f>+'II-D-3.2'!A15</f>
        <v>1</v>
      </c>
      <c r="B15" s="132" t="str">
        <f>+'II-D-3.2'!B15</f>
        <v>January 2024</v>
      </c>
      <c r="D15" s="180">
        <f>+P46+L77+D108+D139</f>
        <v>5818364.1399999494</v>
      </c>
      <c r="E15" s="180">
        <f>+F15-D15</f>
        <v>43372843.660000108</v>
      </c>
      <c r="F15" s="180">
        <f>+'II-D-3.2'!D15</f>
        <v>49191207.800000057</v>
      </c>
      <c r="G15" s="180"/>
      <c r="K15" s="180"/>
      <c r="O15" s="180"/>
      <c r="S15" s="180"/>
      <c r="W15" s="180"/>
    </row>
    <row r="16" spans="1:23">
      <c r="A16" s="1">
        <f>+'II-D-3.2'!A16</f>
        <v>2</v>
      </c>
      <c r="B16" s="132" t="str">
        <f>+'II-D-3.2'!B16</f>
        <v>February 2024</v>
      </c>
      <c r="D16" s="66">
        <f t="shared" ref="D16:D26" si="0">+P47+L78+D109+D140</f>
        <v>5739274.0899999617</v>
      </c>
      <c r="E16" s="66">
        <f t="shared" ref="E16:E26" si="1">+F16-D16</f>
        <v>37682499.519999936</v>
      </c>
      <c r="F16" s="93">
        <f>+'II-D-3.2'!D16</f>
        <v>43421773.609999895</v>
      </c>
      <c r="S16" s="66"/>
    </row>
    <row r="17" spans="1:23">
      <c r="A17" s="1">
        <f>+'II-D-3.2'!A17</f>
        <v>3</v>
      </c>
      <c r="B17" s="132" t="str">
        <f>+'II-D-3.2'!B17</f>
        <v>March 2024</v>
      </c>
      <c r="D17" s="66">
        <f t="shared" si="0"/>
        <v>5745539.6799999624</v>
      </c>
      <c r="E17" s="66">
        <f t="shared" si="1"/>
        <v>41507222.320000008</v>
      </c>
      <c r="F17" s="93">
        <f>+'II-D-3.2'!D17</f>
        <v>47252761.99999997</v>
      </c>
      <c r="S17" s="66"/>
    </row>
    <row r="18" spans="1:23">
      <c r="A18" s="1">
        <f>+'II-D-3.2'!A18</f>
        <v>4</v>
      </c>
      <c r="B18" s="132" t="str">
        <f>+'II-D-3.2'!B18</f>
        <v>April 2024</v>
      </c>
      <c r="D18" s="66">
        <f t="shared" si="0"/>
        <v>5767263.609999991</v>
      </c>
      <c r="E18" s="66">
        <f t="shared" si="1"/>
        <v>40737766.609999992</v>
      </c>
      <c r="F18" s="93">
        <f>+'II-D-3.2'!D18</f>
        <v>46505030.219999984</v>
      </c>
      <c r="S18" s="66"/>
    </row>
    <row r="19" spans="1:23">
      <c r="A19" s="1">
        <f>+'II-D-3.2'!A19</f>
        <v>5</v>
      </c>
      <c r="B19" s="132" t="str">
        <f>+'II-D-3.2'!B19</f>
        <v>May 2024</v>
      </c>
      <c r="D19" s="66">
        <f t="shared" si="0"/>
        <v>8659003.7399999462</v>
      </c>
      <c r="E19" s="66">
        <f t="shared" si="1"/>
        <v>39613141.220000014</v>
      </c>
      <c r="F19" s="93">
        <f>+'II-D-3.2'!D19</f>
        <v>48272144.959999956</v>
      </c>
      <c r="S19" s="66"/>
    </row>
    <row r="20" spans="1:23">
      <c r="A20" s="1">
        <f>+'II-D-3.2'!A20</f>
        <v>6</v>
      </c>
      <c r="B20" s="132" t="str">
        <f>+'II-D-3.2'!B20</f>
        <v>June 2024</v>
      </c>
      <c r="D20" s="66">
        <f t="shared" si="0"/>
        <v>5796465.7400000114</v>
      </c>
      <c r="E20" s="66">
        <f t="shared" si="1"/>
        <v>41557800.619999975</v>
      </c>
      <c r="F20" s="93">
        <f>+'II-D-3.2'!D20</f>
        <v>47354266.359999985</v>
      </c>
      <c r="S20" s="66"/>
    </row>
    <row r="21" spans="1:23">
      <c r="A21" s="1">
        <f>+'II-D-3.2'!A21</f>
        <v>7</v>
      </c>
      <c r="B21" s="132" t="str">
        <f>+'II-D-3.2'!B21</f>
        <v>July 2024</v>
      </c>
      <c r="D21" s="66">
        <f t="shared" si="0"/>
        <v>5812795.5799999731</v>
      </c>
      <c r="E21" s="66">
        <f t="shared" si="1"/>
        <v>43455201.750000097</v>
      </c>
      <c r="F21" s="93">
        <f>+'II-D-3.2'!D21</f>
        <v>49267997.330000073</v>
      </c>
      <c r="S21" s="66"/>
    </row>
    <row r="22" spans="1:23">
      <c r="A22" s="1">
        <f>+'II-D-3.2'!A22</f>
        <v>8</v>
      </c>
      <c r="B22" s="132" t="str">
        <f>+'II-D-3.2'!B22</f>
        <v>August 2024</v>
      </c>
      <c r="D22" s="66">
        <f t="shared" si="0"/>
        <v>5817894.3299999814</v>
      </c>
      <c r="E22" s="66">
        <f t="shared" si="1"/>
        <v>43231421.579999983</v>
      </c>
      <c r="F22" s="93">
        <f>+'II-D-3.2'!D22</f>
        <v>49049315.909999967</v>
      </c>
      <c r="S22" s="66"/>
    </row>
    <row r="23" spans="1:23">
      <c r="A23" s="1">
        <f>+'II-D-3.2'!A23</f>
        <v>9</v>
      </c>
      <c r="B23" s="132" t="str">
        <f>+'II-D-3.2'!B23</f>
        <v>September 2024</v>
      </c>
      <c r="D23" s="66">
        <f t="shared" si="0"/>
        <v>5887683.5899999505</v>
      </c>
      <c r="E23" s="66">
        <f t="shared" si="1"/>
        <v>41446079.440000005</v>
      </c>
      <c r="F23" s="93">
        <f>+'II-D-3.2'!D23</f>
        <v>47333763.029999956</v>
      </c>
      <c r="S23" s="66"/>
    </row>
    <row r="24" spans="1:23">
      <c r="A24" s="1">
        <f>+'II-D-3.2'!A24</f>
        <v>10</v>
      </c>
      <c r="B24" s="132" t="str">
        <f>+'II-D-3.2'!B24</f>
        <v>October 2024</v>
      </c>
      <c r="D24" s="66">
        <f t="shared" si="0"/>
        <v>5851174.8399999756</v>
      </c>
      <c r="E24" s="66">
        <f t="shared" si="1"/>
        <v>43703110.640000068</v>
      </c>
      <c r="F24" s="93">
        <f>+'II-D-3.2'!D24</f>
        <v>49554285.480000041</v>
      </c>
      <c r="S24" s="66"/>
    </row>
    <row r="25" spans="1:23">
      <c r="A25" s="1">
        <f>+'II-D-3.2'!A25</f>
        <v>11</v>
      </c>
      <c r="B25" s="132" t="str">
        <f>+'II-D-3.2'!B25</f>
        <v>November 2024</v>
      </c>
      <c r="D25" s="66">
        <f t="shared" si="0"/>
        <v>9067031.5100000128</v>
      </c>
      <c r="E25" s="66">
        <f t="shared" si="1"/>
        <v>40150916.859999925</v>
      </c>
      <c r="F25" s="93">
        <f>+'II-D-3.2'!D25</f>
        <v>49217948.369999938</v>
      </c>
      <c r="S25" s="66"/>
    </row>
    <row r="26" spans="1:23">
      <c r="A26" s="1">
        <f>+'II-D-3.2'!A26</f>
        <v>12</v>
      </c>
      <c r="B26" s="132" t="str">
        <f>+'II-D-3.2'!B26</f>
        <v>December 2024</v>
      </c>
      <c r="D26" s="66">
        <f t="shared" si="0"/>
        <v>6150548.800000025</v>
      </c>
      <c r="E26" s="66">
        <f t="shared" si="1"/>
        <v>44717542.459999874</v>
      </c>
      <c r="F26" s="93">
        <f>+'II-D-3.2'!D26</f>
        <v>50868091.259999901</v>
      </c>
      <c r="S26" s="66"/>
    </row>
    <row r="27" spans="1:23">
      <c r="A27" s="1">
        <f>+'II-D-3.2'!A27</f>
        <v>13</v>
      </c>
      <c r="D27" s="115"/>
      <c r="E27" s="115"/>
      <c r="F27" s="115"/>
      <c r="S27" s="66"/>
    </row>
    <row r="28" spans="1:23">
      <c r="A28" s="1">
        <f>+'II-D-3.2'!A28</f>
        <v>14</v>
      </c>
      <c r="B28" s="94" t="s">
        <v>69</v>
      </c>
      <c r="D28" s="141">
        <f>SUM(D15:D26)</f>
        <v>76113039.649999753</v>
      </c>
      <c r="E28" s="141">
        <f>SUM(E15:E26)</f>
        <v>501175546.67999989</v>
      </c>
      <c r="F28" s="141">
        <f t="shared" ref="F28" si="2">SUM(F15:F26)</f>
        <v>577288586.32999969</v>
      </c>
      <c r="G28" s="141"/>
      <c r="K28" s="141"/>
      <c r="O28" s="141"/>
      <c r="S28" s="141"/>
      <c r="W28" s="141"/>
    </row>
    <row r="29" spans="1:23">
      <c r="A29" s="1">
        <f>+'II-D-3.2'!A29</f>
        <v>15</v>
      </c>
      <c r="S29" s="66"/>
    </row>
    <row r="30" spans="1:23">
      <c r="A30" s="1">
        <f>+'II-D-3.2'!A30</f>
        <v>16</v>
      </c>
      <c r="S30" s="66"/>
    </row>
    <row r="31" spans="1:23">
      <c r="A31" s="1">
        <f>+'II-D-3.2'!A31</f>
        <v>17</v>
      </c>
      <c r="B31" t="s">
        <v>158</v>
      </c>
      <c r="D31" s="180">
        <f t="shared" ref="D31:D33" si="3">+P62+L93+D124+D155</f>
        <v>6355865.9499999844</v>
      </c>
      <c r="E31" s="180">
        <f t="shared" ref="E31:E33" si="4">+F31-D31</f>
        <v>45340405.310000062</v>
      </c>
      <c r="F31" s="180">
        <f>+'II-D-3.2'!D31</f>
        <v>51696271.26000005</v>
      </c>
      <c r="G31" s="180"/>
      <c r="K31" s="180"/>
      <c r="O31" s="180"/>
      <c r="S31" s="180"/>
      <c r="W31" s="180"/>
    </row>
    <row r="32" spans="1:23">
      <c r="A32" s="1">
        <f>+'II-D-3.2'!A32</f>
        <v>18</v>
      </c>
      <c r="B32" t="s">
        <v>159</v>
      </c>
      <c r="D32" s="66">
        <f t="shared" si="3"/>
        <v>6330977.769999993</v>
      </c>
      <c r="E32" s="66">
        <f t="shared" si="4"/>
        <v>40454582.119999953</v>
      </c>
      <c r="F32" s="66">
        <f>+'II-D-3.2'!D32</f>
        <v>46785559.889999948</v>
      </c>
      <c r="G32" s="66"/>
      <c r="K32" s="66"/>
      <c r="O32" s="66"/>
      <c r="S32" s="66"/>
      <c r="W32" s="66"/>
    </row>
    <row r="33" spans="1:23">
      <c r="A33" s="1">
        <f>+'II-D-3.2'!A33</f>
        <v>19</v>
      </c>
      <c r="B33" t="s">
        <v>46</v>
      </c>
      <c r="D33" s="66">
        <f t="shared" si="3"/>
        <v>6338465.3600000069</v>
      </c>
      <c r="E33" s="66">
        <f t="shared" si="4"/>
        <v>47654560.209999852</v>
      </c>
      <c r="F33" s="66">
        <f>+'II-D-3.2'!D33</f>
        <v>53993025.569999859</v>
      </c>
      <c r="G33" s="66"/>
      <c r="K33" s="66"/>
      <c r="O33" s="66"/>
      <c r="S33" s="66"/>
      <c r="W33" s="66"/>
    </row>
    <row r="34" spans="1:23">
      <c r="A34" s="1">
        <f>+'II-D-3.2'!A34</f>
        <v>20</v>
      </c>
      <c r="S34" s="66"/>
    </row>
    <row r="35" spans="1:23">
      <c r="A35" s="1">
        <f>+'II-D-3.2'!A35</f>
        <v>21</v>
      </c>
      <c r="D35" s="95"/>
      <c r="E35" s="95"/>
      <c r="F35" s="95"/>
      <c r="G35" s="95"/>
      <c r="S35" s="66"/>
    </row>
    <row r="36" spans="1:23">
      <c r="A36" s="1">
        <f>+'II-D-3.2'!A36</f>
        <v>22</v>
      </c>
      <c r="B36" s="94" t="str">
        <f>+'II-D-3.2'!B36</f>
        <v>TME 2021</v>
      </c>
      <c r="D36" s="180">
        <f t="shared" ref="D36:D38" si="5">+P67+L98+D129+D160</f>
        <v>60888641.490000002</v>
      </c>
      <c r="E36" s="180">
        <f t="shared" ref="E36:E38" si="6">+F36-D36</f>
        <v>376784217.67000103</v>
      </c>
      <c r="F36" s="180">
        <f>+'II-D-3.2'!D36</f>
        <v>437672859.16000104</v>
      </c>
      <c r="G36" s="180"/>
      <c r="K36" s="180"/>
      <c r="O36" s="180"/>
      <c r="S36" s="180"/>
      <c r="W36" s="180"/>
    </row>
    <row r="37" spans="1:23">
      <c r="A37" s="1">
        <f>+'II-D-3.2'!A37</f>
        <v>23</v>
      </c>
      <c r="B37" s="94" t="str">
        <f>+'II-D-3.2'!B37</f>
        <v>TME 2022</v>
      </c>
      <c r="D37" s="66">
        <f t="shared" si="5"/>
        <v>58880531.050000086</v>
      </c>
      <c r="E37" s="66">
        <f t="shared" si="6"/>
        <v>409316511.7499994</v>
      </c>
      <c r="F37" s="108">
        <f>+'II-D-3.2'!D37</f>
        <v>468197042.79999948</v>
      </c>
      <c r="G37" s="108"/>
      <c r="K37" s="108"/>
      <c r="S37" s="66"/>
    </row>
    <row r="38" spans="1:23">
      <c r="A38" s="1">
        <f>+'II-D-3.2'!A38</f>
        <v>24</v>
      </c>
      <c r="B38" s="94" t="str">
        <f>+'II-D-3.2'!B38</f>
        <v>TME 2023</v>
      </c>
      <c r="D38" s="66">
        <f t="shared" si="5"/>
        <v>65871007.80999998</v>
      </c>
      <c r="E38" s="66">
        <f t="shared" si="6"/>
        <v>457074305.19999963</v>
      </c>
      <c r="F38" s="108">
        <f>+'II-D-3.2'!D38</f>
        <v>522945313.00999963</v>
      </c>
      <c r="S38" s="66"/>
    </row>
    <row r="41" spans="1:23" ht="13.5" thickBot="1">
      <c r="D41" s="379" t="s">
        <v>292</v>
      </c>
      <c r="E41" s="379"/>
      <c r="F41" s="379"/>
      <c r="H41" s="380" t="s">
        <v>625</v>
      </c>
      <c r="I41" s="379"/>
      <c r="J41" s="379"/>
      <c r="L41" s="380" t="s">
        <v>626</v>
      </c>
      <c r="M41" s="379"/>
      <c r="N41" s="379"/>
      <c r="P41" s="380" t="s">
        <v>627</v>
      </c>
      <c r="Q41" s="379"/>
      <c r="R41" s="379"/>
    </row>
    <row r="42" spans="1:23">
      <c r="A42" s="18" t="s">
        <v>87</v>
      </c>
      <c r="B42" s="18"/>
      <c r="C42" s="95"/>
      <c r="D42" s="18"/>
      <c r="E42" s="25"/>
      <c r="F42" s="2"/>
      <c r="H42" s="18"/>
      <c r="I42" s="25"/>
      <c r="J42" s="2"/>
      <c r="L42" s="18"/>
      <c r="M42" s="25"/>
      <c r="N42" s="2"/>
      <c r="P42" s="18"/>
      <c r="Q42" s="25"/>
      <c r="R42" s="2"/>
    </row>
    <row r="43" spans="1:23">
      <c r="A43" s="196" t="s">
        <v>89</v>
      </c>
      <c r="B43" s="196" t="s">
        <v>64</v>
      </c>
      <c r="D43" s="92" t="s">
        <v>70</v>
      </c>
      <c r="E43" s="92" t="s">
        <v>168</v>
      </c>
      <c r="F43" s="92" t="s">
        <v>215</v>
      </c>
      <c r="H43" s="196" t="s">
        <v>70</v>
      </c>
      <c r="I43" s="196" t="s">
        <v>168</v>
      </c>
      <c r="J43" s="196" t="s">
        <v>215</v>
      </c>
      <c r="L43" s="196" t="s">
        <v>70</v>
      </c>
      <c r="M43" s="196" t="s">
        <v>168</v>
      </c>
      <c r="N43" s="196" t="s">
        <v>215</v>
      </c>
      <c r="P43" s="196" t="s">
        <v>70</v>
      </c>
      <c r="Q43" s="196" t="s">
        <v>168</v>
      </c>
      <c r="R43" s="196" t="s">
        <v>215</v>
      </c>
    </row>
    <row r="44" spans="1:23">
      <c r="A44" s="18"/>
      <c r="B44" s="16" t="s">
        <v>44</v>
      </c>
      <c r="D44" s="16" t="s">
        <v>45</v>
      </c>
      <c r="E44" s="16" t="s">
        <v>74</v>
      </c>
      <c r="F44" s="16" t="s">
        <v>75</v>
      </c>
      <c r="H44" s="191" t="s">
        <v>76</v>
      </c>
      <c r="I44" s="191" t="s">
        <v>77</v>
      </c>
      <c r="J44" s="191" t="s">
        <v>78</v>
      </c>
      <c r="L44" s="191" t="s">
        <v>79</v>
      </c>
      <c r="M44" s="191" t="s">
        <v>80</v>
      </c>
      <c r="N44" s="191" t="s">
        <v>81</v>
      </c>
      <c r="P44" s="191" t="s">
        <v>82</v>
      </c>
      <c r="Q44" s="191" t="s">
        <v>83</v>
      </c>
      <c r="R44" s="191" t="s">
        <v>84</v>
      </c>
    </row>
    <row r="46" spans="1:23">
      <c r="A46" s="1">
        <f>+'II-D-3.2'!A46</f>
        <v>25</v>
      </c>
      <c r="B46" s="132" t="str">
        <f t="shared" ref="B46:B57" si="7">+B15</f>
        <v>January 2024</v>
      </c>
      <c r="D46" s="180">
        <v>0</v>
      </c>
      <c r="E46" s="180">
        <f>+F46-D46</f>
        <v>13240901.230000019</v>
      </c>
      <c r="F46" s="180">
        <f>+'II-D-3.2'!D46</f>
        <v>13240901.230000019</v>
      </c>
      <c r="H46" s="180">
        <v>0</v>
      </c>
      <c r="I46" s="180">
        <f t="shared" ref="I46:I57" si="8">+J46-H46</f>
        <v>0</v>
      </c>
      <c r="J46" s="180">
        <f>+'II-D-3.2'!J46</f>
        <v>0</v>
      </c>
      <c r="L46" s="180">
        <v>0</v>
      </c>
      <c r="M46" s="180">
        <f t="shared" ref="M46:M57" si="9">+N46-L46</f>
        <v>0</v>
      </c>
      <c r="N46" s="180">
        <f>+'II-D-3.2'!P46</f>
        <v>0</v>
      </c>
      <c r="P46" s="180">
        <f>+D46+H46+L46</f>
        <v>0</v>
      </c>
      <c r="Q46" s="180">
        <f t="shared" ref="Q46:Q57" si="10">+E46+I46+M46</f>
        <v>13240901.230000019</v>
      </c>
      <c r="R46" s="180">
        <f t="shared" ref="R46:R57" si="11">+F46+J46+N46</f>
        <v>13240901.230000019</v>
      </c>
    </row>
    <row r="47" spans="1:23">
      <c r="A47" s="1">
        <f>+'II-D-3.2'!A47</f>
        <v>26</v>
      </c>
      <c r="B47" s="132" t="str">
        <f t="shared" si="7"/>
        <v>February 2024</v>
      </c>
      <c r="D47" s="66">
        <v>0</v>
      </c>
      <c r="E47" s="66">
        <f t="shared" ref="E47:E57" si="12">+F47-D47</f>
        <v>11056798.579999968</v>
      </c>
      <c r="F47" s="93">
        <f>+'II-D-3.2'!D47</f>
        <v>11056798.579999968</v>
      </c>
      <c r="H47" s="66">
        <v>0</v>
      </c>
      <c r="I47" s="66">
        <f t="shared" si="8"/>
        <v>0</v>
      </c>
      <c r="J47" s="93">
        <f>+'II-D-3.2'!J47</f>
        <v>0</v>
      </c>
      <c r="L47" s="66">
        <v>0</v>
      </c>
      <c r="M47" s="66">
        <f t="shared" si="9"/>
        <v>0</v>
      </c>
      <c r="N47" s="93">
        <f>+'II-D-3.2'!P47</f>
        <v>0</v>
      </c>
      <c r="P47" s="66">
        <f t="shared" ref="P47:P57" si="13">+D47+H47+L47</f>
        <v>0</v>
      </c>
      <c r="Q47" s="66">
        <f t="shared" si="10"/>
        <v>11056798.579999968</v>
      </c>
      <c r="R47" s="93">
        <f t="shared" si="11"/>
        <v>11056798.579999968</v>
      </c>
    </row>
    <row r="48" spans="1:23">
      <c r="A48" s="1">
        <f>+'II-D-3.2'!A48</f>
        <v>27</v>
      </c>
      <c r="B48" s="132" t="str">
        <f t="shared" si="7"/>
        <v>March 2024</v>
      </c>
      <c r="D48" s="66">
        <v>0</v>
      </c>
      <c r="E48" s="66">
        <f t="shared" si="12"/>
        <v>11677748.059999974</v>
      </c>
      <c r="F48" s="93">
        <f>+'II-D-3.2'!D48</f>
        <v>11677748.059999974</v>
      </c>
      <c r="H48" s="66">
        <v>0</v>
      </c>
      <c r="I48" s="66">
        <f t="shared" si="8"/>
        <v>0</v>
      </c>
      <c r="J48" s="93">
        <f>+'II-D-3.2'!J48</f>
        <v>0</v>
      </c>
      <c r="L48" s="66">
        <v>0</v>
      </c>
      <c r="M48" s="66">
        <f t="shared" si="9"/>
        <v>0</v>
      </c>
      <c r="N48" s="93">
        <f>+'II-D-3.2'!P48</f>
        <v>0</v>
      </c>
      <c r="P48" s="66">
        <f t="shared" si="13"/>
        <v>0</v>
      </c>
      <c r="Q48" s="66">
        <f t="shared" si="10"/>
        <v>11677748.059999974</v>
      </c>
      <c r="R48" s="93">
        <f t="shared" si="11"/>
        <v>11677748.059999974</v>
      </c>
    </row>
    <row r="49" spans="1:18">
      <c r="A49" s="1">
        <f>+'II-D-3.2'!A49</f>
        <v>28</v>
      </c>
      <c r="B49" s="132" t="str">
        <f t="shared" si="7"/>
        <v>April 2024</v>
      </c>
      <c r="D49" s="66">
        <v>0</v>
      </c>
      <c r="E49" s="66">
        <f t="shared" si="12"/>
        <v>12037665.28999998</v>
      </c>
      <c r="F49" s="93">
        <f>+'II-D-3.2'!D49</f>
        <v>12037665.28999998</v>
      </c>
      <c r="H49" s="66">
        <v>0</v>
      </c>
      <c r="I49" s="66">
        <f t="shared" si="8"/>
        <v>0</v>
      </c>
      <c r="J49" s="93">
        <f>+'II-D-3.2'!J49</f>
        <v>0</v>
      </c>
      <c r="L49" s="66">
        <v>0</v>
      </c>
      <c r="M49" s="66">
        <f t="shared" si="9"/>
        <v>0</v>
      </c>
      <c r="N49" s="93">
        <f>+'II-D-3.2'!P49</f>
        <v>0</v>
      </c>
      <c r="P49" s="66">
        <f t="shared" si="13"/>
        <v>0</v>
      </c>
      <c r="Q49" s="66">
        <f t="shared" si="10"/>
        <v>12037665.28999998</v>
      </c>
      <c r="R49" s="93">
        <f t="shared" si="11"/>
        <v>12037665.28999998</v>
      </c>
    </row>
    <row r="50" spans="1:18">
      <c r="A50" s="1">
        <f>+'II-D-3.2'!A50</f>
        <v>29</v>
      </c>
      <c r="B50" s="132" t="str">
        <f t="shared" si="7"/>
        <v>May 2024</v>
      </c>
      <c r="D50" s="66">
        <v>0</v>
      </c>
      <c r="E50" s="66">
        <f t="shared" si="12"/>
        <v>11486549.510000005</v>
      </c>
      <c r="F50" s="93">
        <f>+'II-D-3.2'!D50</f>
        <v>11486549.510000005</v>
      </c>
      <c r="H50" s="66">
        <v>0</v>
      </c>
      <c r="I50" s="66">
        <f t="shared" si="8"/>
        <v>0</v>
      </c>
      <c r="J50" s="93">
        <f>+'II-D-3.2'!J50</f>
        <v>0</v>
      </c>
      <c r="L50" s="66">
        <v>0</v>
      </c>
      <c r="M50" s="66">
        <f t="shared" si="9"/>
        <v>0</v>
      </c>
      <c r="N50" s="93">
        <f>+'II-D-3.2'!P50</f>
        <v>0</v>
      </c>
      <c r="P50" s="66">
        <f t="shared" si="13"/>
        <v>0</v>
      </c>
      <c r="Q50" s="66">
        <f t="shared" si="10"/>
        <v>11486549.510000005</v>
      </c>
      <c r="R50" s="93">
        <f t="shared" si="11"/>
        <v>11486549.510000005</v>
      </c>
    </row>
    <row r="51" spans="1:18">
      <c r="A51" s="1">
        <f>+'II-D-3.2'!A51</f>
        <v>30</v>
      </c>
      <c r="B51" s="132" t="str">
        <f t="shared" si="7"/>
        <v>June 2024</v>
      </c>
      <c r="D51" s="66">
        <v>0</v>
      </c>
      <c r="E51" s="66">
        <f t="shared" si="12"/>
        <v>12619417.430000024</v>
      </c>
      <c r="F51" s="93">
        <f>+'II-D-3.2'!D51</f>
        <v>12619417.430000024</v>
      </c>
      <c r="H51" s="66">
        <v>0</v>
      </c>
      <c r="I51" s="66">
        <f t="shared" si="8"/>
        <v>0</v>
      </c>
      <c r="J51" s="93">
        <f>+'II-D-3.2'!J51</f>
        <v>0</v>
      </c>
      <c r="L51" s="66">
        <v>0</v>
      </c>
      <c r="M51" s="66">
        <f t="shared" si="9"/>
        <v>0</v>
      </c>
      <c r="N51" s="93">
        <f>+'II-D-3.2'!P51</f>
        <v>0</v>
      </c>
      <c r="P51" s="66">
        <f t="shared" si="13"/>
        <v>0</v>
      </c>
      <c r="Q51" s="66">
        <f t="shared" si="10"/>
        <v>12619417.430000024</v>
      </c>
      <c r="R51" s="93">
        <f t="shared" si="11"/>
        <v>12619417.430000024</v>
      </c>
    </row>
    <row r="52" spans="1:18">
      <c r="A52" s="1">
        <f>+'II-D-3.2'!A52</f>
        <v>31</v>
      </c>
      <c r="B52" s="132" t="str">
        <f t="shared" si="7"/>
        <v>July 2024</v>
      </c>
      <c r="D52" s="66">
        <v>0</v>
      </c>
      <c r="E52" s="66">
        <f t="shared" si="12"/>
        <v>13404902.120000042</v>
      </c>
      <c r="F52" s="93">
        <f>+'II-D-3.2'!D52</f>
        <v>13404902.120000042</v>
      </c>
      <c r="H52" s="66">
        <v>0</v>
      </c>
      <c r="I52" s="66">
        <f t="shared" si="8"/>
        <v>0</v>
      </c>
      <c r="J52" s="93">
        <f>+'II-D-3.2'!J52</f>
        <v>0</v>
      </c>
      <c r="L52" s="66">
        <v>0</v>
      </c>
      <c r="M52" s="66">
        <f t="shared" si="9"/>
        <v>0</v>
      </c>
      <c r="N52" s="93">
        <f>+'II-D-3.2'!P52</f>
        <v>0</v>
      </c>
      <c r="P52" s="66">
        <f t="shared" si="13"/>
        <v>0</v>
      </c>
      <c r="Q52" s="66">
        <f t="shared" si="10"/>
        <v>13404902.120000042</v>
      </c>
      <c r="R52" s="93">
        <f t="shared" si="11"/>
        <v>13404902.120000042</v>
      </c>
    </row>
    <row r="53" spans="1:18">
      <c r="A53" s="1">
        <f>+'II-D-3.2'!A53</f>
        <v>32</v>
      </c>
      <c r="B53" s="132" t="str">
        <f t="shared" si="7"/>
        <v>August 2024</v>
      </c>
      <c r="D53" s="66">
        <v>0</v>
      </c>
      <c r="E53" s="66">
        <f t="shared" si="12"/>
        <v>13164300.99</v>
      </c>
      <c r="F53" s="93">
        <f>+'II-D-3.2'!D53</f>
        <v>13164300.99</v>
      </c>
      <c r="H53" s="66">
        <v>0</v>
      </c>
      <c r="I53" s="66">
        <f t="shared" si="8"/>
        <v>0</v>
      </c>
      <c r="J53" s="93">
        <f>+'II-D-3.2'!J53</f>
        <v>0</v>
      </c>
      <c r="L53" s="66">
        <v>0</v>
      </c>
      <c r="M53" s="66">
        <f t="shared" si="9"/>
        <v>0</v>
      </c>
      <c r="N53" s="93">
        <f>+'II-D-3.2'!P53</f>
        <v>0</v>
      </c>
      <c r="P53" s="66">
        <f t="shared" si="13"/>
        <v>0</v>
      </c>
      <c r="Q53" s="66">
        <f t="shared" si="10"/>
        <v>13164300.99</v>
      </c>
      <c r="R53" s="93">
        <f t="shared" si="11"/>
        <v>13164300.99</v>
      </c>
    </row>
    <row r="54" spans="1:18">
      <c r="A54" s="1">
        <f>+'II-D-3.2'!A54</f>
        <v>33</v>
      </c>
      <c r="B54" s="132" t="str">
        <f t="shared" si="7"/>
        <v>September 2024</v>
      </c>
      <c r="D54" s="66">
        <v>0</v>
      </c>
      <c r="E54" s="66">
        <f t="shared" si="12"/>
        <v>12413879.250000017</v>
      </c>
      <c r="F54" s="93">
        <f>+'II-D-3.2'!D54</f>
        <v>12413879.250000017</v>
      </c>
      <c r="H54" s="66">
        <v>0</v>
      </c>
      <c r="I54" s="66">
        <f t="shared" si="8"/>
        <v>0</v>
      </c>
      <c r="J54" s="93">
        <f>+'II-D-3.2'!J54</f>
        <v>0</v>
      </c>
      <c r="L54" s="66">
        <v>0</v>
      </c>
      <c r="M54" s="66">
        <f t="shared" si="9"/>
        <v>0</v>
      </c>
      <c r="N54" s="93">
        <f>+'II-D-3.2'!P54</f>
        <v>0</v>
      </c>
      <c r="P54" s="66">
        <f t="shared" si="13"/>
        <v>0</v>
      </c>
      <c r="Q54" s="66">
        <f t="shared" si="10"/>
        <v>12413879.250000017</v>
      </c>
      <c r="R54" s="93">
        <f t="shared" si="11"/>
        <v>12413879.250000017</v>
      </c>
    </row>
    <row r="55" spans="1:18">
      <c r="A55" s="1">
        <f>+'II-D-3.2'!A55</f>
        <v>34</v>
      </c>
      <c r="B55" s="132" t="str">
        <f t="shared" si="7"/>
        <v>October 2024</v>
      </c>
      <c r="D55" s="66">
        <v>0</v>
      </c>
      <c r="E55" s="66">
        <f t="shared" si="12"/>
        <v>13233533.650000023</v>
      </c>
      <c r="F55" s="93">
        <f>+'II-D-3.2'!D55</f>
        <v>13233533.650000023</v>
      </c>
      <c r="H55" s="66">
        <v>0</v>
      </c>
      <c r="I55" s="66">
        <f t="shared" si="8"/>
        <v>0</v>
      </c>
      <c r="J55" s="93">
        <f>+'II-D-3.2'!J55</f>
        <v>0</v>
      </c>
      <c r="L55" s="66">
        <v>0</v>
      </c>
      <c r="M55" s="66">
        <f t="shared" si="9"/>
        <v>0</v>
      </c>
      <c r="N55" s="93">
        <f>+'II-D-3.2'!P55</f>
        <v>0</v>
      </c>
      <c r="P55" s="66">
        <f t="shared" si="13"/>
        <v>0</v>
      </c>
      <c r="Q55" s="66">
        <f t="shared" si="10"/>
        <v>13233533.650000023</v>
      </c>
      <c r="R55" s="93">
        <f t="shared" si="11"/>
        <v>13233533.650000023</v>
      </c>
    </row>
    <row r="56" spans="1:18">
      <c r="A56" s="1">
        <f>+'II-D-3.2'!A56</f>
        <v>35</v>
      </c>
      <c r="B56" s="132" t="str">
        <f t="shared" si="7"/>
        <v>November 2024</v>
      </c>
      <c r="D56" s="66">
        <v>0</v>
      </c>
      <c r="E56" s="66">
        <f t="shared" si="12"/>
        <v>11905152.279999968</v>
      </c>
      <c r="F56" s="93">
        <f>+'II-D-3.2'!D56</f>
        <v>11905152.279999968</v>
      </c>
      <c r="H56" s="66">
        <v>0</v>
      </c>
      <c r="I56" s="66">
        <f t="shared" si="8"/>
        <v>0</v>
      </c>
      <c r="J56" s="93">
        <f>+'II-D-3.2'!J56</f>
        <v>0</v>
      </c>
      <c r="L56" s="66">
        <v>0</v>
      </c>
      <c r="M56" s="66">
        <f t="shared" si="9"/>
        <v>0</v>
      </c>
      <c r="N56" s="93">
        <f>+'II-D-3.2'!P56</f>
        <v>0</v>
      </c>
      <c r="P56" s="66">
        <f t="shared" si="13"/>
        <v>0</v>
      </c>
      <c r="Q56" s="66">
        <f t="shared" si="10"/>
        <v>11905152.279999968</v>
      </c>
      <c r="R56" s="93">
        <f t="shared" si="11"/>
        <v>11905152.279999968</v>
      </c>
    </row>
    <row r="57" spans="1:18">
      <c r="A57" s="1">
        <f>+'II-D-3.2'!A57</f>
        <v>36</v>
      </c>
      <c r="B57" s="132" t="str">
        <f t="shared" si="7"/>
        <v>December 2024</v>
      </c>
      <c r="D57" s="66">
        <v>0</v>
      </c>
      <c r="E57" s="66">
        <f t="shared" si="12"/>
        <v>13912966.689999988</v>
      </c>
      <c r="F57" s="93">
        <f>+'II-D-3.2'!D57</f>
        <v>13912966.689999988</v>
      </c>
      <c r="H57" s="66">
        <v>0</v>
      </c>
      <c r="I57" s="66">
        <f t="shared" si="8"/>
        <v>0</v>
      </c>
      <c r="J57" s="93">
        <f>+'II-D-3.2'!J57</f>
        <v>0</v>
      </c>
      <c r="L57" s="66">
        <v>0</v>
      </c>
      <c r="M57" s="66">
        <f t="shared" si="9"/>
        <v>0</v>
      </c>
      <c r="N57" s="93">
        <f>+'II-D-3.2'!P57</f>
        <v>0</v>
      </c>
      <c r="P57" s="66">
        <f t="shared" si="13"/>
        <v>0</v>
      </c>
      <c r="Q57" s="66">
        <f t="shared" si="10"/>
        <v>13912966.689999988</v>
      </c>
      <c r="R57" s="93">
        <f t="shared" si="11"/>
        <v>13912966.689999988</v>
      </c>
    </row>
    <row r="58" spans="1:18">
      <c r="A58" s="1">
        <f>+'II-D-3.2'!A58</f>
        <v>37</v>
      </c>
      <c r="D58" s="115"/>
      <c r="E58" s="115"/>
      <c r="F58" s="115"/>
      <c r="H58" s="115"/>
      <c r="I58" s="115"/>
      <c r="J58" s="115"/>
      <c r="L58" s="115"/>
      <c r="M58" s="115"/>
      <c r="N58" s="115"/>
      <c r="P58" s="115"/>
      <c r="Q58" s="115"/>
      <c r="R58" s="115"/>
    </row>
    <row r="59" spans="1:18">
      <c r="A59" s="1">
        <f>+'II-D-3.2'!A59</f>
        <v>38</v>
      </c>
      <c r="B59" s="94" t="s">
        <v>69</v>
      </c>
      <c r="D59" s="141">
        <f>SUM(D46:D57)</f>
        <v>0</v>
      </c>
      <c r="E59" s="141">
        <f>SUM(E46:E57)</f>
        <v>150153815.07999998</v>
      </c>
      <c r="F59" s="141">
        <f>SUM(F46:F57)</f>
        <v>150153815.07999998</v>
      </c>
      <c r="H59" s="141">
        <f>SUM(H46:H57)</f>
        <v>0</v>
      </c>
      <c r="I59" s="141">
        <f>SUM(I46:I57)</f>
        <v>0</v>
      </c>
      <c r="J59" s="141">
        <f>SUM(J46:J57)</f>
        <v>0</v>
      </c>
      <c r="L59" s="141">
        <f>SUM(L46:L57)</f>
        <v>0</v>
      </c>
      <c r="M59" s="141">
        <f>SUM(M46:M57)</f>
        <v>0</v>
      </c>
      <c r="N59" s="141">
        <f>SUM(N46:N57)</f>
        <v>0</v>
      </c>
      <c r="P59" s="141">
        <f>SUM(P46:P57)</f>
        <v>0</v>
      </c>
      <c r="Q59" s="141">
        <f>SUM(Q46:Q57)</f>
        <v>150153815.07999998</v>
      </c>
      <c r="R59" s="141">
        <f>SUM(R46:R57)</f>
        <v>150153815.07999998</v>
      </c>
    </row>
    <row r="60" spans="1:18">
      <c r="A60" s="1">
        <f>+'II-D-3.2'!A60</f>
        <v>39</v>
      </c>
    </row>
    <row r="61" spans="1:18">
      <c r="A61" s="1">
        <f>+'II-D-3.2'!A61</f>
        <v>40</v>
      </c>
    </row>
    <row r="62" spans="1:18">
      <c r="A62" s="1">
        <f>+'II-D-3.2'!A62</f>
        <v>41</v>
      </c>
      <c r="B62" t="s">
        <v>158</v>
      </c>
      <c r="D62" s="180">
        <v>0</v>
      </c>
      <c r="E62" s="180">
        <f t="shared" ref="E62:E64" si="14">+F62-D62</f>
        <v>13867513.779999997</v>
      </c>
      <c r="F62" s="180">
        <f>+'II-D-3.2'!D62</f>
        <v>13867513.779999997</v>
      </c>
      <c r="H62" s="180">
        <v>0</v>
      </c>
      <c r="I62" s="180">
        <v>0</v>
      </c>
      <c r="J62" s="180">
        <f>+'II-D-3.2'!J62</f>
        <v>0</v>
      </c>
      <c r="L62" s="180">
        <v>0</v>
      </c>
      <c r="M62" s="180">
        <v>0</v>
      </c>
      <c r="N62" s="180">
        <f>+'II-D-3.2'!P62</f>
        <v>0</v>
      </c>
      <c r="P62" s="180">
        <f t="shared" ref="P62:P64" si="15">+D62+H62+L62</f>
        <v>0</v>
      </c>
      <c r="Q62" s="180">
        <f t="shared" ref="Q62:Q64" si="16">+E62+I62+M62</f>
        <v>13867513.779999997</v>
      </c>
      <c r="R62" s="180">
        <f t="shared" ref="R62:R64" si="17">+F62+J62+N62</f>
        <v>13867513.779999997</v>
      </c>
    </row>
    <row r="63" spans="1:18">
      <c r="A63" s="1">
        <f>+'II-D-3.2'!A63</f>
        <v>42</v>
      </c>
      <c r="B63" t="s">
        <v>159</v>
      </c>
      <c r="D63" s="66">
        <v>0</v>
      </c>
      <c r="E63" s="66">
        <f t="shared" si="14"/>
        <v>12306679.510000015</v>
      </c>
      <c r="F63" s="93">
        <f>+'II-D-3.2'!D63</f>
        <v>12306679.510000015</v>
      </c>
      <c r="H63" s="66">
        <v>0</v>
      </c>
      <c r="I63" s="66">
        <v>0</v>
      </c>
      <c r="J63" s="93">
        <f>+'II-D-3.2'!J63</f>
        <v>0</v>
      </c>
      <c r="L63" s="66">
        <v>0</v>
      </c>
      <c r="M63" s="66">
        <v>0</v>
      </c>
      <c r="N63" s="93">
        <f>+'II-D-3.2'!P63</f>
        <v>0</v>
      </c>
      <c r="P63" s="66">
        <f t="shared" si="15"/>
        <v>0</v>
      </c>
      <c r="Q63" s="66">
        <f t="shared" si="16"/>
        <v>12306679.510000015</v>
      </c>
      <c r="R63" s="93">
        <f t="shared" si="17"/>
        <v>12306679.510000015</v>
      </c>
    </row>
    <row r="64" spans="1:18">
      <c r="A64" s="1">
        <f>+'II-D-3.2'!A64</f>
        <v>43</v>
      </c>
      <c r="B64" t="s">
        <v>46</v>
      </c>
      <c r="D64" s="66">
        <v>0</v>
      </c>
      <c r="E64" s="66">
        <f t="shared" si="14"/>
        <v>14436335.98</v>
      </c>
      <c r="F64" s="93">
        <f>+'II-D-3.2'!D64</f>
        <v>14436335.98</v>
      </c>
      <c r="H64" s="66">
        <v>0</v>
      </c>
      <c r="I64" s="66">
        <v>0</v>
      </c>
      <c r="J64" s="93">
        <f>+'II-D-3.2'!J64</f>
        <v>0</v>
      </c>
      <c r="L64" s="66">
        <v>0</v>
      </c>
      <c r="M64" s="66">
        <v>0</v>
      </c>
      <c r="N64" s="93">
        <f>+'II-D-3.2'!P64</f>
        <v>0</v>
      </c>
      <c r="P64" s="66">
        <f t="shared" si="15"/>
        <v>0</v>
      </c>
      <c r="Q64" s="66">
        <f t="shared" si="16"/>
        <v>14436335.98</v>
      </c>
      <c r="R64" s="93">
        <f t="shared" si="17"/>
        <v>14436335.98</v>
      </c>
    </row>
    <row r="65" spans="1:18">
      <c r="A65" s="1">
        <f>+'II-D-3.2'!A65</f>
        <v>44</v>
      </c>
    </row>
    <row r="66" spans="1:18">
      <c r="A66" s="1">
        <f>+'II-D-3.2'!A66</f>
        <v>45</v>
      </c>
      <c r="D66" s="135"/>
      <c r="E66" s="95"/>
      <c r="H66" s="135"/>
      <c r="I66" s="95"/>
      <c r="L66" s="135"/>
      <c r="M66" s="95"/>
      <c r="P66" s="135"/>
      <c r="Q66" s="95"/>
    </row>
    <row r="67" spans="1:18">
      <c r="A67" s="1">
        <f>+'II-D-3.2'!A67</f>
        <v>46</v>
      </c>
      <c r="B67" s="94" t="str">
        <f>+B36</f>
        <v>TME 2021</v>
      </c>
      <c r="D67" s="180">
        <v>0</v>
      </c>
      <c r="E67" s="180">
        <f>+F67-D67</f>
        <v>106546364.56999914</v>
      </c>
      <c r="F67" s="180">
        <f>+'II-D-3.2'!D67</f>
        <v>106546364.56999914</v>
      </c>
      <c r="H67" s="180">
        <v>0</v>
      </c>
      <c r="I67" s="180">
        <f>+J67-H67</f>
        <v>0</v>
      </c>
      <c r="J67" s="180">
        <f>+'II-D-3.2'!J67</f>
        <v>0</v>
      </c>
      <c r="L67" s="180">
        <v>0</v>
      </c>
      <c r="M67" s="180">
        <f>+N67-L67</f>
        <v>0</v>
      </c>
      <c r="N67" s="180">
        <f>+'II-D-3.2'!P67</f>
        <v>0</v>
      </c>
      <c r="P67" s="180">
        <f t="shared" ref="P67:P69" si="18">+D67+H67+L67</f>
        <v>0</v>
      </c>
      <c r="Q67" s="180">
        <f t="shared" ref="Q67:Q69" si="19">+E67+I67+M67</f>
        <v>106546364.56999914</v>
      </c>
      <c r="R67" s="180">
        <f t="shared" ref="R67:R69" si="20">+F67+J67+N67</f>
        <v>106546364.56999914</v>
      </c>
    </row>
    <row r="68" spans="1:18">
      <c r="A68" s="1">
        <f>+'II-D-3.2'!A68</f>
        <v>47</v>
      </c>
      <c r="B68" s="94" t="str">
        <f>+B37</f>
        <v>TME 2022</v>
      </c>
      <c r="D68" s="66">
        <v>0</v>
      </c>
      <c r="E68" s="66">
        <f t="shared" ref="E68:E69" si="21">+F68-D68</f>
        <v>115166258.11999901</v>
      </c>
      <c r="F68" s="108">
        <f>+'II-D-3.2'!D68</f>
        <v>115166258.11999901</v>
      </c>
      <c r="H68" s="66">
        <v>0</v>
      </c>
      <c r="I68" s="66">
        <f t="shared" ref="I68:I69" si="22">+J68-H68</f>
        <v>0</v>
      </c>
      <c r="J68" s="108">
        <f>+'II-D-3.2'!J68</f>
        <v>0</v>
      </c>
      <c r="L68" s="66">
        <v>0</v>
      </c>
      <c r="M68" s="66">
        <f t="shared" ref="M68:M69" si="23">+N68-L68</f>
        <v>0</v>
      </c>
      <c r="N68" s="108">
        <f>+'II-D-3.2'!P68</f>
        <v>0</v>
      </c>
      <c r="P68" s="66">
        <f t="shared" si="18"/>
        <v>0</v>
      </c>
      <c r="Q68" s="66">
        <f t="shared" si="19"/>
        <v>115166258.11999901</v>
      </c>
      <c r="R68" s="108">
        <f t="shared" si="20"/>
        <v>115166258.11999901</v>
      </c>
    </row>
    <row r="69" spans="1:18">
      <c r="A69" s="1">
        <f>+'II-D-3.2'!A69</f>
        <v>48</v>
      </c>
      <c r="B69" s="94" t="str">
        <f>+B38</f>
        <v>TME 2023</v>
      </c>
      <c r="D69" s="66">
        <v>0</v>
      </c>
      <c r="E69" s="66">
        <f t="shared" si="21"/>
        <v>131116950.30999866</v>
      </c>
      <c r="F69" s="108">
        <f>+'II-D-3.2'!D69</f>
        <v>131116950.30999866</v>
      </c>
      <c r="H69" s="66">
        <v>0</v>
      </c>
      <c r="I69" s="66">
        <f t="shared" si="22"/>
        <v>0</v>
      </c>
      <c r="J69" s="108">
        <f>+'II-D-3.2'!J69</f>
        <v>0</v>
      </c>
      <c r="L69" s="66">
        <v>0</v>
      </c>
      <c r="M69" s="66">
        <f t="shared" si="23"/>
        <v>0</v>
      </c>
      <c r="N69" s="108">
        <f>+'II-D-3.2'!P69</f>
        <v>0</v>
      </c>
      <c r="P69" s="66">
        <f t="shared" si="18"/>
        <v>0</v>
      </c>
      <c r="Q69" s="66">
        <f t="shared" si="19"/>
        <v>131116950.30999866</v>
      </c>
      <c r="R69" s="108">
        <f t="shared" si="20"/>
        <v>131116950.30999866</v>
      </c>
    </row>
    <row r="72" spans="1:18" ht="13.5" thickBot="1">
      <c r="D72" s="379" t="s">
        <v>293</v>
      </c>
      <c r="E72" s="379"/>
      <c r="F72" s="379"/>
      <c r="H72" s="380" t="s">
        <v>628</v>
      </c>
      <c r="I72" s="379"/>
      <c r="J72" s="379"/>
      <c r="L72" s="380" t="s">
        <v>629</v>
      </c>
      <c r="M72" s="379"/>
      <c r="N72" s="379"/>
    </row>
    <row r="73" spans="1:18">
      <c r="A73" s="18" t="s">
        <v>87</v>
      </c>
      <c r="B73" s="18"/>
      <c r="D73" s="18"/>
      <c r="E73" s="25"/>
      <c r="F73" s="2"/>
      <c r="H73" s="18"/>
      <c r="I73" s="25"/>
      <c r="J73" s="2"/>
      <c r="L73" s="18"/>
      <c r="M73" s="25"/>
      <c r="N73" s="2"/>
    </row>
    <row r="74" spans="1:18">
      <c r="A74" s="196" t="s">
        <v>89</v>
      </c>
      <c r="B74" s="196" t="s">
        <v>64</v>
      </c>
      <c r="D74" s="92" t="s">
        <v>70</v>
      </c>
      <c r="E74" s="92" t="s">
        <v>168</v>
      </c>
      <c r="F74" s="92" t="s">
        <v>215</v>
      </c>
      <c r="H74" s="196" t="s">
        <v>70</v>
      </c>
      <c r="I74" s="196" t="s">
        <v>168</v>
      </c>
      <c r="J74" s="196" t="s">
        <v>215</v>
      </c>
      <c r="L74" s="196" t="s">
        <v>70</v>
      </c>
      <c r="M74" s="196" t="s">
        <v>168</v>
      </c>
      <c r="N74" s="196" t="s">
        <v>215</v>
      </c>
    </row>
    <row r="75" spans="1:18">
      <c r="A75" s="18"/>
      <c r="B75" s="16" t="s">
        <v>44</v>
      </c>
      <c r="D75" s="16" t="s">
        <v>45</v>
      </c>
      <c r="E75" s="16" t="s">
        <v>74</v>
      </c>
      <c r="F75" s="16" t="s">
        <v>75</v>
      </c>
      <c r="H75" s="191" t="s">
        <v>76</v>
      </c>
      <c r="I75" s="191" t="s">
        <v>77</v>
      </c>
      <c r="J75" s="191" t="s">
        <v>78</v>
      </c>
      <c r="L75" s="191" t="s">
        <v>79</v>
      </c>
      <c r="M75" s="191" t="s">
        <v>80</v>
      </c>
      <c r="N75" s="191" t="s">
        <v>81</v>
      </c>
    </row>
    <row r="77" spans="1:18">
      <c r="A77" s="1">
        <f>+'II-D-3.2'!A77</f>
        <v>49</v>
      </c>
      <c r="B77" s="132" t="str">
        <f t="shared" ref="B77:B88" si="24">+B46</f>
        <v>January 2024</v>
      </c>
      <c r="D77" s="180">
        <v>5413995.119999947</v>
      </c>
      <c r="E77" s="180">
        <f>+F77-D77</f>
        <v>24095367.540000074</v>
      </c>
      <c r="F77" s="180">
        <f>+'II-D-3.2'!D77</f>
        <v>29509362.660000023</v>
      </c>
      <c r="H77" s="180">
        <v>0</v>
      </c>
      <c r="I77" s="180">
        <f>+J77-H77</f>
        <v>0</v>
      </c>
      <c r="J77" s="180">
        <f>+'II-D-3.2'!J77</f>
        <v>0</v>
      </c>
      <c r="L77" s="180">
        <f>+D77+H77</f>
        <v>5413995.119999947</v>
      </c>
      <c r="M77" s="180">
        <f t="shared" ref="M77:M88" si="25">+E77+I77</f>
        <v>24095367.540000074</v>
      </c>
      <c r="N77" s="180">
        <f t="shared" ref="N77:N88" si="26">+F77+J77</f>
        <v>29509362.660000023</v>
      </c>
    </row>
    <row r="78" spans="1:18">
      <c r="A78" s="1">
        <f>+'II-D-3.2'!A78</f>
        <v>50</v>
      </c>
      <c r="B78" s="132" t="str">
        <f t="shared" si="24"/>
        <v>February 2024</v>
      </c>
      <c r="D78" s="66">
        <v>5343990.2799999593</v>
      </c>
      <c r="E78" s="66">
        <f t="shared" ref="E78:E88" si="27">+F78-D78</f>
        <v>20750368.499999966</v>
      </c>
      <c r="F78" s="93">
        <f>+'II-D-3.2'!D78</f>
        <v>26094358.779999927</v>
      </c>
      <c r="H78" s="66">
        <v>0</v>
      </c>
      <c r="I78" s="66">
        <f t="shared" ref="I78:I88" si="28">+J78-H78</f>
        <v>0</v>
      </c>
      <c r="J78" s="93">
        <f>+'II-D-3.2'!J78</f>
        <v>0</v>
      </c>
      <c r="L78" s="66">
        <f t="shared" ref="L78:L88" si="29">+D78+H78</f>
        <v>5343990.2799999593</v>
      </c>
      <c r="M78" s="66">
        <f t="shared" si="25"/>
        <v>20750368.499999966</v>
      </c>
      <c r="N78" s="93">
        <f t="shared" si="26"/>
        <v>26094358.779999927</v>
      </c>
    </row>
    <row r="79" spans="1:18">
      <c r="A79" s="1">
        <f>+'II-D-3.2'!A79</f>
        <v>51</v>
      </c>
      <c r="B79" s="132" t="str">
        <f t="shared" si="24"/>
        <v>March 2024</v>
      </c>
      <c r="D79" s="66">
        <v>5356982.2199999606</v>
      </c>
      <c r="E79" s="66">
        <f t="shared" si="27"/>
        <v>23623741.620000016</v>
      </c>
      <c r="F79" s="93">
        <f>+'II-D-3.2'!D79</f>
        <v>28980723.839999977</v>
      </c>
      <c r="H79" s="66">
        <v>0</v>
      </c>
      <c r="I79" s="66">
        <f t="shared" si="28"/>
        <v>0</v>
      </c>
      <c r="J79" s="93">
        <f>+'II-D-3.2'!J79</f>
        <v>0</v>
      </c>
      <c r="L79" s="66">
        <f t="shared" si="29"/>
        <v>5356982.2199999606</v>
      </c>
      <c r="M79" s="66">
        <f t="shared" si="25"/>
        <v>23623741.620000016</v>
      </c>
      <c r="N79" s="93">
        <f t="shared" si="26"/>
        <v>28980723.839999977</v>
      </c>
    </row>
    <row r="80" spans="1:18">
      <c r="A80" s="1">
        <f>+'II-D-3.2'!A80</f>
        <v>52</v>
      </c>
      <c r="B80" s="132" t="str">
        <f t="shared" si="24"/>
        <v>April 2024</v>
      </c>
      <c r="D80" s="66">
        <v>5378660.2499999879</v>
      </c>
      <c r="E80" s="66">
        <f t="shared" si="27"/>
        <v>22548336.630000003</v>
      </c>
      <c r="F80" s="93">
        <f>+'II-D-3.2'!D80</f>
        <v>27926996.879999992</v>
      </c>
      <c r="H80" s="66">
        <v>0</v>
      </c>
      <c r="I80" s="66">
        <f t="shared" si="28"/>
        <v>0</v>
      </c>
      <c r="J80" s="93">
        <f>+'II-D-3.2'!J80</f>
        <v>0</v>
      </c>
      <c r="L80" s="66">
        <f t="shared" si="29"/>
        <v>5378660.2499999879</v>
      </c>
      <c r="M80" s="66">
        <f t="shared" si="25"/>
        <v>22548336.630000003</v>
      </c>
      <c r="N80" s="93">
        <f t="shared" si="26"/>
        <v>27926996.879999992</v>
      </c>
    </row>
    <row r="81" spans="1:14">
      <c r="A81" s="1">
        <f>+'II-D-3.2'!A81</f>
        <v>53</v>
      </c>
      <c r="B81" s="132" t="str">
        <f t="shared" si="24"/>
        <v>May 2024</v>
      </c>
      <c r="D81" s="66">
        <v>8069031.679999941</v>
      </c>
      <c r="E81" s="66">
        <f t="shared" si="27"/>
        <v>19827486.089999992</v>
      </c>
      <c r="F81" s="93">
        <f>+'II-D-3.2'!D81</f>
        <v>27896517.769999932</v>
      </c>
      <c r="H81" s="66">
        <v>0</v>
      </c>
      <c r="I81" s="66">
        <f t="shared" si="28"/>
        <v>0</v>
      </c>
      <c r="J81" s="93">
        <f>+'II-D-3.2'!J81</f>
        <v>0</v>
      </c>
      <c r="L81" s="66">
        <f t="shared" si="29"/>
        <v>8069031.679999941</v>
      </c>
      <c r="M81" s="66">
        <f t="shared" si="25"/>
        <v>19827486.089999992</v>
      </c>
      <c r="N81" s="93">
        <f t="shared" si="26"/>
        <v>27896517.769999932</v>
      </c>
    </row>
    <row r="82" spans="1:14">
      <c r="A82" s="1">
        <f>+'II-D-3.2'!A82</f>
        <v>54</v>
      </c>
      <c r="B82" s="132" t="str">
        <f t="shared" si="24"/>
        <v>June 2024</v>
      </c>
      <c r="D82" s="66">
        <v>5400289.0000000102</v>
      </c>
      <c r="E82" s="66">
        <f t="shared" si="27"/>
        <v>22828969.28999994</v>
      </c>
      <c r="F82" s="93">
        <f>+'II-D-3.2'!D82</f>
        <v>28229258.289999951</v>
      </c>
      <c r="H82" s="66">
        <v>0</v>
      </c>
      <c r="I82" s="66">
        <f t="shared" si="28"/>
        <v>0</v>
      </c>
      <c r="J82" s="93">
        <f>+'II-D-3.2'!J82</f>
        <v>0</v>
      </c>
      <c r="L82" s="66">
        <f t="shared" si="29"/>
        <v>5400289.0000000102</v>
      </c>
      <c r="M82" s="66">
        <f t="shared" si="25"/>
        <v>22828969.28999994</v>
      </c>
      <c r="N82" s="93">
        <f t="shared" si="26"/>
        <v>28229258.289999951</v>
      </c>
    </row>
    <row r="83" spans="1:14">
      <c r="A83" s="1">
        <f>+'II-D-3.2'!A83</f>
        <v>55</v>
      </c>
      <c r="B83" s="132" t="str">
        <f t="shared" si="24"/>
        <v>July 2024</v>
      </c>
      <c r="D83" s="66">
        <v>5423149.7399999704</v>
      </c>
      <c r="E83" s="66">
        <f t="shared" si="27"/>
        <v>23830012.510000058</v>
      </c>
      <c r="F83" s="93">
        <f>+'II-D-3.2'!D83</f>
        <v>29253162.250000026</v>
      </c>
      <c r="H83" s="66">
        <v>0</v>
      </c>
      <c r="I83" s="66">
        <f t="shared" si="28"/>
        <v>0</v>
      </c>
      <c r="J83" s="93">
        <f>+'II-D-3.2'!J83</f>
        <v>0</v>
      </c>
      <c r="L83" s="66">
        <f t="shared" si="29"/>
        <v>5423149.7399999704</v>
      </c>
      <c r="M83" s="66">
        <f t="shared" si="25"/>
        <v>23830012.510000058</v>
      </c>
      <c r="N83" s="93">
        <f t="shared" si="26"/>
        <v>29253162.250000026</v>
      </c>
    </row>
    <row r="84" spans="1:14">
      <c r="A84" s="1">
        <f>+'II-D-3.2'!A84</f>
        <v>56</v>
      </c>
      <c r="B84" s="132" t="str">
        <f t="shared" si="24"/>
        <v>August 2024</v>
      </c>
      <c r="D84" s="66">
        <v>5434425.1599999787</v>
      </c>
      <c r="E84" s="66">
        <f t="shared" si="27"/>
        <v>23893050.679999977</v>
      </c>
      <c r="F84" s="93">
        <f>+'II-D-3.2'!D84</f>
        <v>29327475.839999955</v>
      </c>
      <c r="H84" s="66">
        <v>0</v>
      </c>
      <c r="I84" s="66">
        <f t="shared" si="28"/>
        <v>0</v>
      </c>
      <c r="J84" s="93">
        <f>+'II-D-3.2'!J84</f>
        <v>0</v>
      </c>
      <c r="L84" s="66">
        <f t="shared" si="29"/>
        <v>5434425.1599999787</v>
      </c>
      <c r="M84" s="66">
        <f t="shared" si="25"/>
        <v>23893050.679999977</v>
      </c>
      <c r="N84" s="93">
        <f t="shared" si="26"/>
        <v>29327475.839999955</v>
      </c>
    </row>
    <row r="85" spans="1:14">
      <c r="A85" s="1">
        <f>+'II-D-3.2'!A85</f>
        <v>57</v>
      </c>
      <c r="B85" s="132" t="str">
        <f t="shared" si="24"/>
        <v>September 2024</v>
      </c>
      <c r="D85" s="66">
        <v>5505913.1099999482</v>
      </c>
      <c r="E85" s="66">
        <f t="shared" si="27"/>
        <v>22915637.639999971</v>
      </c>
      <c r="F85" s="93">
        <f>+'II-D-3.2'!D85</f>
        <v>28421550.749999918</v>
      </c>
      <c r="H85" s="66">
        <v>0</v>
      </c>
      <c r="I85" s="66">
        <f t="shared" si="28"/>
        <v>0</v>
      </c>
      <c r="J85" s="93">
        <f>+'II-D-3.2'!J85</f>
        <v>0</v>
      </c>
      <c r="L85" s="66">
        <f t="shared" si="29"/>
        <v>5505913.1099999482</v>
      </c>
      <c r="M85" s="66">
        <f t="shared" si="25"/>
        <v>22915637.639999971</v>
      </c>
      <c r="N85" s="93">
        <f t="shared" si="26"/>
        <v>28421550.749999918</v>
      </c>
    </row>
    <row r="86" spans="1:14">
      <c r="A86" s="1">
        <f>+'II-D-3.2'!A86</f>
        <v>58</v>
      </c>
      <c r="B86" s="132" t="str">
        <f t="shared" si="24"/>
        <v>October 2024</v>
      </c>
      <c r="D86" s="66">
        <v>5461545.0299999733</v>
      </c>
      <c r="E86" s="66">
        <f t="shared" si="27"/>
        <v>24213594.790000036</v>
      </c>
      <c r="F86" s="93">
        <f>+'II-D-3.2'!D86</f>
        <v>29675139.820000011</v>
      </c>
      <c r="H86" s="66">
        <v>0</v>
      </c>
      <c r="I86" s="66">
        <f t="shared" si="28"/>
        <v>0</v>
      </c>
      <c r="J86" s="93">
        <f>+'II-D-3.2'!J86</f>
        <v>0</v>
      </c>
      <c r="L86" s="66">
        <f t="shared" si="29"/>
        <v>5461545.0299999733</v>
      </c>
      <c r="M86" s="66">
        <f t="shared" si="25"/>
        <v>24213594.790000036</v>
      </c>
      <c r="N86" s="93">
        <f t="shared" si="26"/>
        <v>29675139.820000011</v>
      </c>
    </row>
    <row r="87" spans="1:14">
      <c r="A87" s="1">
        <f>+'II-D-3.2'!A87</f>
        <v>59</v>
      </c>
      <c r="B87" s="132" t="str">
        <f t="shared" si="24"/>
        <v>November 2024</v>
      </c>
      <c r="D87" s="66">
        <v>8466282.1500000078</v>
      </c>
      <c r="E87" s="66">
        <f t="shared" si="27"/>
        <v>19755961.929999948</v>
      </c>
      <c r="F87" s="93">
        <f>+'II-D-3.2'!D87</f>
        <v>28222244.079999954</v>
      </c>
      <c r="H87" s="66">
        <v>0</v>
      </c>
      <c r="I87" s="66">
        <f t="shared" si="28"/>
        <v>0</v>
      </c>
      <c r="J87" s="93">
        <f>+'II-D-3.2'!J87</f>
        <v>0</v>
      </c>
      <c r="L87" s="66">
        <f t="shared" si="29"/>
        <v>8466282.1500000078</v>
      </c>
      <c r="M87" s="66">
        <f t="shared" si="25"/>
        <v>19755961.929999948</v>
      </c>
      <c r="N87" s="93">
        <f t="shared" si="26"/>
        <v>28222244.079999954</v>
      </c>
    </row>
    <row r="88" spans="1:14">
      <c r="A88" s="1">
        <f>+'II-D-3.2'!A88</f>
        <v>60</v>
      </c>
      <c r="B88" s="132" t="str">
        <f t="shared" si="24"/>
        <v>December 2024</v>
      </c>
      <c r="D88" s="66">
        <v>5754664.9600000242</v>
      </c>
      <c r="E88" s="66">
        <f t="shared" si="27"/>
        <v>24235539.589999884</v>
      </c>
      <c r="F88" s="93">
        <f>+'II-D-3.2'!D88</f>
        <v>29990204.549999908</v>
      </c>
      <c r="H88" s="66">
        <v>0</v>
      </c>
      <c r="I88" s="66">
        <f t="shared" si="28"/>
        <v>0</v>
      </c>
      <c r="J88" s="93">
        <f>+'II-D-3.2'!J88</f>
        <v>0</v>
      </c>
      <c r="L88" s="66">
        <f t="shared" si="29"/>
        <v>5754664.9600000242</v>
      </c>
      <c r="M88" s="66">
        <f t="shared" si="25"/>
        <v>24235539.589999884</v>
      </c>
      <c r="N88" s="93">
        <f t="shared" si="26"/>
        <v>29990204.549999908</v>
      </c>
    </row>
    <row r="89" spans="1:14">
      <c r="A89" s="1">
        <f>+'II-D-3.2'!A89</f>
        <v>61</v>
      </c>
      <c r="D89" s="115"/>
      <c r="E89" s="115"/>
      <c r="F89" s="115"/>
      <c r="H89" s="115"/>
      <c r="I89" s="115"/>
      <c r="J89" s="115"/>
      <c r="L89" s="115"/>
      <c r="M89" s="115"/>
      <c r="N89" s="115"/>
    </row>
    <row r="90" spans="1:14">
      <c r="A90" s="1">
        <f>+'II-D-3.2'!A90</f>
        <v>62</v>
      </c>
      <c r="B90" s="94" t="s">
        <v>69</v>
      </c>
      <c r="D90" s="141">
        <f>SUM(D77:D88)</f>
        <v>71008928.699999705</v>
      </c>
      <c r="E90" s="141">
        <f>SUM(E77:E88)</f>
        <v>272518066.80999982</v>
      </c>
      <c r="F90" s="141">
        <f>SUM(F77:F88)</f>
        <v>343526995.50999957</v>
      </c>
      <c r="H90" s="141">
        <f>SUM(H77:H88)</f>
        <v>0</v>
      </c>
      <c r="I90" s="141">
        <f>SUM(I77:I88)</f>
        <v>0</v>
      </c>
      <c r="J90" s="141">
        <f>SUM(J77:J88)</f>
        <v>0</v>
      </c>
      <c r="L90" s="141">
        <f>SUM(L77:L88)</f>
        <v>71008928.699999705</v>
      </c>
      <c r="M90" s="141">
        <f>SUM(M77:M88)</f>
        <v>272518066.80999982</v>
      </c>
      <c r="N90" s="141">
        <f>SUM(N77:N88)</f>
        <v>343526995.50999957</v>
      </c>
    </row>
    <row r="91" spans="1:14">
      <c r="A91" s="1">
        <f>+'II-D-3.2'!A91</f>
        <v>63</v>
      </c>
    </row>
    <row r="92" spans="1:14">
      <c r="A92" s="1">
        <f>+'II-D-3.2'!A92</f>
        <v>64</v>
      </c>
    </row>
    <row r="93" spans="1:14">
      <c r="A93" s="1">
        <f>+'II-D-3.2'!A93</f>
        <v>65</v>
      </c>
      <c r="B93" t="s">
        <v>158</v>
      </c>
      <c r="D93" s="180">
        <v>5933838.4799999855</v>
      </c>
      <c r="E93" s="180">
        <f t="shared" ref="E93:E95" si="30">+F93-D93</f>
        <v>25050443.080000058</v>
      </c>
      <c r="F93" s="180">
        <f>+'II-D-3.2'!D93</f>
        <v>30984281.560000043</v>
      </c>
      <c r="H93" s="180">
        <v>0</v>
      </c>
      <c r="I93" s="180">
        <v>0</v>
      </c>
      <c r="J93" s="180">
        <f>+'II-D-3.2'!J93</f>
        <v>0</v>
      </c>
      <c r="L93" s="180">
        <f t="shared" ref="L93:L95" si="31">+D93+H93</f>
        <v>5933838.4799999855</v>
      </c>
      <c r="M93" s="180">
        <f t="shared" ref="M93:M95" si="32">+E93+I93</f>
        <v>25050443.080000058</v>
      </c>
      <c r="N93" s="180">
        <f t="shared" ref="N93:N95" si="33">+F93+J93</f>
        <v>30984281.560000043</v>
      </c>
    </row>
    <row r="94" spans="1:14">
      <c r="A94" s="1">
        <f>+'II-D-3.2'!A94</f>
        <v>66</v>
      </c>
      <c r="B94" t="s">
        <v>159</v>
      </c>
      <c r="D94" s="66">
        <v>5909835.4599999962</v>
      </c>
      <c r="E94" s="66">
        <f t="shared" si="30"/>
        <v>21946801.709999926</v>
      </c>
      <c r="F94" s="66">
        <f>+'II-D-3.2'!D94</f>
        <v>27856637.169999924</v>
      </c>
      <c r="H94" s="66">
        <v>0</v>
      </c>
      <c r="I94" s="66">
        <v>0</v>
      </c>
      <c r="J94" s="66">
        <f>+'II-D-3.2'!J94</f>
        <v>0</v>
      </c>
      <c r="L94" s="66">
        <f t="shared" si="31"/>
        <v>5909835.4599999962</v>
      </c>
      <c r="M94" s="66">
        <f t="shared" si="32"/>
        <v>21946801.709999926</v>
      </c>
      <c r="N94" s="66">
        <f t="shared" si="33"/>
        <v>27856637.169999924</v>
      </c>
    </row>
    <row r="95" spans="1:14">
      <c r="A95" s="1">
        <f>+'II-D-3.2'!A95</f>
        <v>67</v>
      </c>
      <c r="B95" t="s">
        <v>46</v>
      </c>
      <c r="D95" s="66">
        <v>5889493.0900000082</v>
      </c>
      <c r="E95" s="66">
        <f t="shared" si="30"/>
        <v>26803982.329999853</v>
      </c>
      <c r="F95" s="66">
        <f>+'II-D-3.2'!D95</f>
        <v>32693475.41999986</v>
      </c>
      <c r="H95" s="66">
        <v>0</v>
      </c>
      <c r="I95" s="66">
        <v>0</v>
      </c>
      <c r="J95" s="66">
        <f>+'II-D-3.2'!J95</f>
        <v>0</v>
      </c>
      <c r="L95" s="66">
        <f t="shared" si="31"/>
        <v>5889493.0900000082</v>
      </c>
      <c r="M95" s="66">
        <f t="shared" si="32"/>
        <v>26803982.329999853</v>
      </c>
      <c r="N95" s="66">
        <f t="shared" si="33"/>
        <v>32693475.41999986</v>
      </c>
    </row>
    <row r="96" spans="1:14">
      <c r="A96" s="1">
        <f>+'II-D-3.2'!A96</f>
        <v>68</v>
      </c>
    </row>
    <row r="97" spans="1:14">
      <c r="A97" s="1">
        <f>+'II-D-3.2'!A97</f>
        <v>69</v>
      </c>
    </row>
    <row r="98" spans="1:14">
      <c r="A98" s="1">
        <f>+'II-D-3.2'!A98</f>
        <v>70</v>
      </c>
      <c r="B98" s="94" t="str">
        <f>+B67</f>
        <v>TME 2021</v>
      </c>
      <c r="D98" s="180">
        <v>56323408.390000015</v>
      </c>
      <c r="E98" s="180">
        <f t="shared" ref="E98:E100" si="34">+F98-D98</f>
        <v>206609586.14000162</v>
      </c>
      <c r="F98" s="180">
        <f>+'II-D-3.2'!D98</f>
        <v>262932994.53000164</v>
      </c>
      <c r="H98" s="180">
        <v>0</v>
      </c>
      <c r="I98" s="180">
        <f t="shared" ref="I98:I100" si="35">+J98-H98</f>
        <v>0</v>
      </c>
      <c r="J98" s="180">
        <f>+'II-D-3.2'!J98</f>
        <v>0</v>
      </c>
      <c r="L98" s="180">
        <f t="shared" ref="L98:L100" si="36">+D98+H98</f>
        <v>56323408.390000015</v>
      </c>
      <c r="M98" s="180">
        <f t="shared" ref="M98:M100" si="37">+E98+I98</f>
        <v>206609586.14000162</v>
      </c>
      <c r="N98" s="180">
        <f t="shared" ref="N98:N100" si="38">+F98+J98</f>
        <v>262932994.53000164</v>
      </c>
    </row>
    <row r="99" spans="1:14">
      <c r="A99" s="1">
        <f>+'II-D-3.2'!A99</f>
        <v>71</v>
      </c>
      <c r="B99" s="94" t="str">
        <f>+B68</f>
        <v>TME 2022</v>
      </c>
      <c r="D99" s="66">
        <v>58880531.050000086</v>
      </c>
      <c r="E99" s="66">
        <f t="shared" si="34"/>
        <v>223340847.81000024</v>
      </c>
      <c r="F99" s="108">
        <f>+'II-D-3.2'!D99</f>
        <v>282221378.86000031</v>
      </c>
      <c r="H99" s="66">
        <v>0</v>
      </c>
      <c r="I99" s="66">
        <f t="shared" si="35"/>
        <v>0</v>
      </c>
      <c r="J99" s="108">
        <f>+'II-D-3.2'!J99</f>
        <v>0</v>
      </c>
      <c r="L99" s="66">
        <f t="shared" si="36"/>
        <v>58880531.050000086</v>
      </c>
      <c r="M99" s="66">
        <f t="shared" si="37"/>
        <v>223340847.81000024</v>
      </c>
      <c r="N99" s="108">
        <f t="shared" si="38"/>
        <v>282221378.86000031</v>
      </c>
    </row>
    <row r="100" spans="1:14">
      <c r="A100" s="1">
        <f>+'II-D-3.2'!A100</f>
        <v>72</v>
      </c>
      <c r="B100" s="94" t="str">
        <f>+B69</f>
        <v>TME 2023</v>
      </c>
      <c r="D100" s="66">
        <v>65871007.80999998</v>
      </c>
      <c r="E100" s="66">
        <f t="shared" si="34"/>
        <v>246079217.31000099</v>
      </c>
      <c r="F100" s="108">
        <f>+'II-D-3.2'!D100</f>
        <v>311950225.12000096</v>
      </c>
      <c r="H100" s="66">
        <v>0</v>
      </c>
      <c r="I100" s="66">
        <f t="shared" si="35"/>
        <v>0</v>
      </c>
      <c r="J100" s="108">
        <f>+'II-D-3.2'!J100</f>
        <v>0</v>
      </c>
      <c r="L100" s="66">
        <f t="shared" si="36"/>
        <v>65871007.80999998</v>
      </c>
      <c r="M100" s="66">
        <f t="shared" si="37"/>
        <v>246079217.31000099</v>
      </c>
      <c r="N100" s="108">
        <f t="shared" si="38"/>
        <v>311950225.12000096</v>
      </c>
    </row>
    <row r="103" spans="1:14" ht="13.5" thickBot="1">
      <c r="D103" s="379" t="s">
        <v>281</v>
      </c>
      <c r="E103" s="379"/>
      <c r="F103" s="379"/>
    </row>
    <row r="104" spans="1:14">
      <c r="A104" s="18" t="s">
        <v>87</v>
      </c>
      <c r="B104" s="18"/>
      <c r="D104" s="18"/>
      <c r="E104" s="25"/>
      <c r="F104" s="2"/>
    </row>
    <row r="105" spans="1:14">
      <c r="A105" s="196" t="s">
        <v>89</v>
      </c>
      <c r="B105" s="196" t="s">
        <v>64</v>
      </c>
      <c r="D105" s="92" t="s">
        <v>70</v>
      </c>
      <c r="E105" s="92" t="s">
        <v>168</v>
      </c>
      <c r="F105" s="92" t="s">
        <v>215</v>
      </c>
    </row>
    <row r="106" spans="1:14">
      <c r="A106" s="18"/>
      <c r="B106" s="16" t="s">
        <v>44</v>
      </c>
      <c r="D106" s="16" t="s">
        <v>45</v>
      </c>
      <c r="E106" s="16" t="s">
        <v>74</v>
      </c>
      <c r="F106" s="16" t="s">
        <v>75</v>
      </c>
    </row>
    <row r="108" spans="1:14">
      <c r="A108" s="1">
        <f>+'II-D-3.2'!A108</f>
        <v>73</v>
      </c>
      <c r="B108" s="132" t="str">
        <f t="shared" ref="B108:B119" si="39">+B77</f>
        <v>January 2024</v>
      </c>
      <c r="D108" s="180">
        <v>404369.02000000211</v>
      </c>
      <c r="E108" s="180">
        <f t="shared" ref="E108:E119" si="40">+F108-D108</f>
        <v>4155447.1800000081</v>
      </c>
      <c r="F108" s="180">
        <f>+'II-D-3.2'!D108</f>
        <v>4559816.2000000104</v>
      </c>
    </row>
    <row r="109" spans="1:14">
      <c r="A109" s="1">
        <f>+'II-D-3.2'!A109</f>
        <v>74</v>
      </c>
      <c r="B109" s="132" t="str">
        <f t="shared" si="39"/>
        <v>February 2024</v>
      </c>
      <c r="D109" s="66">
        <v>395283.81000000233</v>
      </c>
      <c r="E109" s="66">
        <f t="shared" si="40"/>
        <v>3997528.5000000028</v>
      </c>
      <c r="F109" s="93">
        <f>+'II-D-3.2'!D109</f>
        <v>4392812.3100000052</v>
      </c>
    </row>
    <row r="110" spans="1:14">
      <c r="A110" s="1">
        <f>+'II-D-3.2'!A110</f>
        <v>75</v>
      </c>
      <c r="B110" s="132" t="str">
        <f t="shared" si="39"/>
        <v>March 2024</v>
      </c>
      <c r="D110" s="66">
        <v>388557.460000002</v>
      </c>
      <c r="E110" s="66">
        <f t="shared" si="40"/>
        <v>4239768.2300000079</v>
      </c>
      <c r="F110" s="93">
        <f>+'II-D-3.2'!D110</f>
        <v>4628325.6900000097</v>
      </c>
    </row>
    <row r="111" spans="1:14">
      <c r="A111" s="1">
        <f>+'II-D-3.2'!A111</f>
        <v>76</v>
      </c>
      <c r="B111" s="132" t="str">
        <f t="shared" si="39"/>
        <v>April 2024</v>
      </c>
      <c r="D111" s="66">
        <v>388603.36000000278</v>
      </c>
      <c r="E111" s="66">
        <f t="shared" si="40"/>
        <v>4170786.5100000068</v>
      </c>
      <c r="F111" s="93">
        <f>+'II-D-3.2'!D111</f>
        <v>4559389.8700000094</v>
      </c>
    </row>
    <row r="112" spans="1:14">
      <c r="A112" s="1">
        <f>+'II-D-3.2'!A112</f>
        <v>77</v>
      </c>
      <c r="B112" s="132" t="str">
        <f t="shared" si="39"/>
        <v>May 2024</v>
      </c>
      <c r="D112" s="66">
        <v>589972.06000000529</v>
      </c>
      <c r="E112" s="66">
        <f t="shared" si="40"/>
        <v>5470509.7200000128</v>
      </c>
      <c r="F112" s="93">
        <f>+'II-D-3.2'!D112</f>
        <v>6060481.780000018</v>
      </c>
    </row>
    <row r="113" spans="1:6">
      <c r="A113" s="1">
        <f>+'II-D-3.2'!A113</f>
        <v>78</v>
      </c>
      <c r="B113" s="132" t="str">
        <f t="shared" si="39"/>
        <v>June 2024</v>
      </c>
      <c r="D113" s="66">
        <v>396176.74000000133</v>
      </c>
      <c r="E113" s="66">
        <f t="shared" si="40"/>
        <v>4153266.6400000099</v>
      </c>
      <c r="F113" s="93">
        <f>+'II-D-3.2'!D113</f>
        <v>4549443.3800000111</v>
      </c>
    </row>
    <row r="114" spans="1:6">
      <c r="A114" s="1">
        <f>+'II-D-3.2'!A114</f>
        <v>79</v>
      </c>
      <c r="B114" s="132" t="str">
        <f t="shared" si="39"/>
        <v>July 2024</v>
      </c>
      <c r="D114" s="66">
        <v>389645.84000000276</v>
      </c>
      <c r="E114" s="66">
        <f t="shared" si="40"/>
        <v>4264741.6500000032</v>
      </c>
      <c r="F114" s="93">
        <f>+'II-D-3.2'!D114</f>
        <v>4654387.4900000058</v>
      </c>
    </row>
    <row r="115" spans="1:6">
      <c r="A115" s="1">
        <f>+'II-D-3.2'!A115</f>
        <v>80</v>
      </c>
      <c r="B115" s="132" t="str">
        <f t="shared" si="39"/>
        <v>August 2024</v>
      </c>
      <c r="D115" s="66">
        <v>383469.17000000254</v>
      </c>
      <c r="E115" s="66">
        <f t="shared" si="40"/>
        <v>4252168.8700000132</v>
      </c>
      <c r="F115" s="93">
        <f>+'II-D-3.2'!D115</f>
        <v>4635638.0400000159</v>
      </c>
    </row>
    <row r="116" spans="1:6">
      <c r="A116" s="1">
        <f>+'II-D-3.2'!A116</f>
        <v>81</v>
      </c>
      <c r="B116" s="132" t="str">
        <f t="shared" si="39"/>
        <v>September 2024</v>
      </c>
      <c r="D116" s="66">
        <v>381770.4800000019</v>
      </c>
      <c r="E116" s="66">
        <f t="shared" si="40"/>
        <v>4203219.8200000171</v>
      </c>
      <c r="F116" s="93">
        <f>+'II-D-3.2'!D116</f>
        <v>4584990.3000000194</v>
      </c>
    </row>
    <row r="117" spans="1:6">
      <c r="A117" s="1">
        <f>+'II-D-3.2'!A117</f>
        <v>82</v>
      </c>
      <c r="B117" s="132" t="str">
        <f t="shared" si="39"/>
        <v>October 2024</v>
      </c>
      <c r="D117" s="66">
        <v>389629.81000000215</v>
      </c>
      <c r="E117" s="66">
        <f t="shared" si="40"/>
        <v>4312618.3700000048</v>
      </c>
      <c r="F117" s="93">
        <f>+'II-D-3.2'!D117</f>
        <v>4702248.1800000072</v>
      </c>
    </row>
    <row r="118" spans="1:6">
      <c r="A118" s="1">
        <f>+'II-D-3.2'!A118</f>
        <v>83</v>
      </c>
      <c r="B118" s="132" t="str">
        <f t="shared" si="39"/>
        <v>November 2024</v>
      </c>
      <c r="D118" s="66">
        <v>600749.36000000429</v>
      </c>
      <c r="E118" s="66">
        <f t="shared" si="40"/>
        <v>5589584.2900000075</v>
      </c>
      <c r="F118" s="93">
        <f>+'II-D-3.2'!D118</f>
        <v>6190333.6500000115</v>
      </c>
    </row>
    <row r="119" spans="1:6">
      <c r="A119" s="1">
        <f>+'II-D-3.2'!A119</f>
        <v>84</v>
      </c>
      <c r="B119" s="132" t="str">
        <f t="shared" si="39"/>
        <v>December 2024</v>
      </c>
      <c r="D119" s="66">
        <v>395883.84000000096</v>
      </c>
      <c r="E119" s="66">
        <f t="shared" si="40"/>
        <v>4541188.100000008</v>
      </c>
      <c r="F119" s="93">
        <f>+'II-D-3.2'!D119</f>
        <v>4937071.9400000088</v>
      </c>
    </row>
    <row r="120" spans="1:6">
      <c r="A120" s="1">
        <f>+'II-D-3.2'!A120</f>
        <v>85</v>
      </c>
      <c r="D120" s="136"/>
      <c r="E120" s="136"/>
      <c r="F120" s="136"/>
    </row>
    <row r="121" spans="1:6">
      <c r="A121" s="1">
        <f>+'II-D-3.2'!A121</f>
        <v>86</v>
      </c>
      <c r="B121" s="94" t="s">
        <v>69</v>
      </c>
      <c r="D121" s="141">
        <f>SUM(D108:D119)</f>
        <v>5104110.95000003</v>
      </c>
      <c r="E121" s="141">
        <f>SUM(E108:E119)</f>
        <v>53350827.8800001</v>
      </c>
      <c r="F121" s="141">
        <f>SUM(F108:F119)</f>
        <v>58454938.830000132</v>
      </c>
    </row>
    <row r="122" spans="1:6">
      <c r="A122" s="1">
        <f>+'II-D-3.2'!A122</f>
        <v>87</v>
      </c>
      <c r="D122" s="66"/>
      <c r="E122" s="66"/>
      <c r="F122" s="66"/>
    </row>
    <row r="123" spans="1:6">
      <c r="A123" s="1">
        <f>+'II-D-3.2'!A123</f>
        <v>88</v>
      </c>
      <c r="D123" s="66"/>
      <c r="E123" s="66"/>
      <c r="F123" s="66"/>
    </row>
    <row r="124" spans="1:6">
      <c r="A124" s="1">
        <f>+'II-D-3.2'!A124</f>
        <v>89</v>
      </c>
      <c r="B124" t="s">
        <v>158</v>
      </c>
      <c r="D124" s="180">
        <v>422027.46999999852</v>
      </c>
      <c r="E124" s="180">
        <f t="shared" ref="E124:E126" si="41">+F124-D124</f>
        <v>4361329.5400000103</v>
      </c>
      <c r="F124" s="180">
        <f>+'II-D-3.2'!D124</f>
        <v>4783357.0100000091</v>
      </c>
    </row>
    <row r="125" spans="1:6">
      <c r="A125" s="1">
        <f>+'II-D-3.2'!A125</f>
        <v>90</v>
      </c>
      <c r="B125" t="s">
        <v>159</v>
      </c>
      <c r="D125" s="66">
        <v>421142.30999999691</v>
      </c>
      <c r="E125" s="66">
        <f t="shared" si="41"/>
        <v>4165598.290000014</v>
      </c>
      <c r="F125" s="66">
        <f>+'II-D-3.2'!D125</f>
        <v>4586740.6000000108</v>
      </c>
    </row>
    <row r="126" spans="1:6">
      <c r="A126" s="1">
        <f>+'II-D-3.2'!A126</f>
        <v>91</v>
      </c>
      <c r="B126" t="s">
        <v>46</v>
      </c>
      <c r="D126" s="66">
        <v>448972.26999999862</v>
      </c>
      <c r="E126" s="66">
        <f t="shared" si="41"/>
        <v>4300403.640000008</v>
      </c>
      <c r="F126" s="66">
        <f>+'II-D-3.2'!D126</f>
        <v>4749375.9100000067</v>
      </c>
    </row>
    <row r="127" spans="1:6">
      <c r="A127" s="1">
        <f>+'II-D-3.2'!A127</f>
        <v>92</v>
      </c>
      <c r="D127" s="66"/>
      <c r="E127" s="66"/>
      <c r="F127" s="66"/>
    </row>
    <row r="128" spans="1:6">
      <c r="A128" s="1">
        <f>+'II-D-3.2'!A128</f>
        <v>93</v>
      </c>
      <c r="D128" s="66"/>
      <c r="E128" s="66"/>
      <c r="F128" s="66"/>
    </row>
    <row r="129" spans="1:6">
      <c r="A129" s="1">
        <f>+'II-D-3.2'!A129</f>
        <v>94</v>
      </c>
      <c r="B129" s="94" t="str">
        <f>+B98</f>
        <v>TME 2021</v>
      </c>
      <c r="D129" s="180">
        <v>4565233.0999999875</v>
      </c>
      <c r="E129" s="180">
        <f t="shared" ref="E129:E131" si="42">+F129-D129</f>
        <v>42886755.520000257</v>
      </c>
      <c r="F129" s="180">
        <f>+'II-D-3.2'!D129</f>
        <v>47451988.620000243</v>
      </c>
    </row>
    <row r="130" spans="1:6">
      <c r="A130" s="1">
        <f>+'II-D-3.2'!A130</f>
        <v>95</v>
      </c>
      <c r="B130" s="94" t="str">
        <f>+B99</f>
        <v>TME 2022</v>
      </c>
      <c r="D130" s="66">
        <v>0</v>
      </c>
      <c r="E130" s="66">
        <f t="shared" si="42"/>
        <v>48769867.190000206</v>
      </c>
      <c r="F130" s="66">
        <f>+'II-D-3.2'!D130</f>
        <v>48769867.190000206</v>
      </c>
    </row>
    <row r="131" spans="1:6">
      <c r="A131" s="1">
        <f>+'II-D-3.2'!A131</f>
        <v>96</v>
      </c>
      <c r="B131" s="94" t="str">
        <f>+B100</f>
        <v>TME 2023</v>
      </c>
      <c r="D131" s="66">
        <v>0</v>
      </c>
      <c r="E131" s="66">
        <f t="shared" si="42"/>
        <v>56118196.150000036</v>
      </c>
      <c r="F131" s="66">
        <f>+'II-D-3.2'!D131</f>
        <v>56118196.150000036</v>
      </c>
    </row>
    <row r="134" spans="1:6" ht="13.5" thickBot="1">
      <c r="D134" s="379" t="s">
        <v>126</v>
      </c>
      <c r="E134" s="379"/>
      <c r="F134" s="379"/>
    </row>
    <row r="135" spans="1:6">
      <c r="A135" s="18" t="s">
        <v>87</v>
      </c>
      <c r="B135" s="18"/>
      <c r="D135" s="18"/>
      <c r="E135" s="25"/>
      <c r="F135" s="2"/>
    </row>
    <row r="136" spans="1:6">
      <c r="A136" s="196" t="s">
        <v>89</v>
      </c>
      <c r="B136" s="196" t="s">
        <v>64</v>
      </c>
      <c r="D136" s="92" t="s">
        <v>70</v>
      </c>
      <c r="E136" s="92" t="s">
        <v>168</v>
      </c>
      <c r="F136" s="92" t="s">
        <v>215</v>
      </c>
    </row>
    <row r="137" spans="1:6">
      <c r="A137" s="18"/>
      <c r="B137" s="16" t="s">
        <v>44</v>
      </c>
      <c r="D137" s="16" t="s">
        <v>45</v>
      </c>
      <c r="E137" s="16" t="s">
        <v>74</v>
      </c>
      <c r="F137" s="16" t="s">
        <v>75</v>
      </c>
    </row>
    <row r="139" spans="1:6">
      <c r="A139" s="1">
        <f>+'II-D-3.2'!A139</f>
        <v>97</v>
      </c>
      <c r="B139" s="132" t="str">
        <f t="shared" ref="B139:B150" si="43">+B108</f>
        <v>January 2024</v>
      </c>
      <c r="D139" s="180">
        <v>0</v>
      </c>
      <c r="E139" s="180">
        <f>+F139-D139</f>
        <v>1881127.7100000002</v>
      </c>
      <c r="F139" s="180">
        <f>+'II-D-3.2'!D139</f>
        <v>1881127.7100000002</v>
      </c>
    </row>
    <row r="140" spans="1:6">
      <c r="A140" s="1">
        <f>+'II-D-3.2'!A140</f>
        <v>98</v>
      </c>
      <c r="B140" s="132" t="str">
        <f t="shared" si="43"/>
        <v>February 2024</v>
      </c>
      <c r="D140" s="66">
        <v>0</v>
      </c>
      <c r="E140" s="66">
        <f t="shared" ref="E140:E150" si="44">+F140-D140</f>
        <v>1877803.94</v>
      </c>
      <c r="F140" s="93">
        <f>+'II-D-3.2'!D140</f>
        <v>1877803.94</v>
      </c>
    </row>
    <row r="141" spans="1:6">
      <c r="A141" s="1">
        <f>+'II-D-3.2'!A141</f>
        <v>99</v>
      </c>
      <c r="B141" s="132" t="str">
        <f t="shared" si="43"/>
        <v>March 2024</v>
      </c>
      <c r="D141" s="66">
        <v>0</v>
      </c>
      <c r="E141" s="66">
        <f t="shared" si="44"/>
        <v>1965964.4100000006</v>
      </c>
      <c r="F141" s="93">
        <f>+'II-D-3.2'!D141</f>
        <v>1965964.4100000006</v>
      </c>
    </row>
    <row r="142" spans="1:6">
      <c r="A142" s="1">
        <f>+'II-D-3.2'!A142</f>
        <v>100</v>
      </c>
      <c r="B142" s="132" t="str">
        <f t="shared" si="43"/>
        <v>April 2024</v>
      </c>
      <c r="D142" s="66">
        <v>0</v>
      </c>
      <c r="E142" s="66">
        <f t="shared" si="44"/>
        <v>1980978.18</v>
      </c>
      <c r="F142" s="93">
        <f>+'II-D-3.2'!D142</f>
        <v>1980978.18</v>
      </c>
    </row>
    <row r="143" spans="1:6">
      <c r="A143" s="1">
        <f>+'II-D-3.2'!A143</f>
        <v>101</v>
      </c>
      <c r="B143" s="132" t="str">
        <f t="shared" si="43"/>
        <v>May 2024</v>
      </c>
      <c r="D143" s="66">
        <v>0</v>
      </c>
      <c r="E143" s="66">
        <f t="shared" si="44"/>
        <v>2828595.9</v>
      </c>
      <c r="F143" s="93">
        <f>+'II-D-3.2'!D143</f>
        <v>2828595.9</v>
      </c>
    </row>
    <row r="144" spans="1:6">
      <c r="A144" s="1">
        <f>+'II-D-3.2'!A144</f>
        <v>102</v>
      </c>
      <c r="B144" s="132" t="str">
        <f t="shared" si="43"/>
        <v>June 2024</v>
      </c>
      <c r="D144" s="66">
        <v>0</v>
      </c>
      <c r="E144" s="66">
        <f t="shared" si="44"/>
        <v>1956147.2600000007</v>
      </c>
      <c r="F144" s="93">
        <f>+'II-D-3.2'!D144</f>
        <v>1956147.2600000007</v>
      </c>
    </row>
    <row r="145" spans="1:6">
      <c r="A145" s="1">
        <f>+'II-D-3.2'!A145</f>
        <v>103</v>
      </c>
      <c r="B145" s="132" t="str">
        <f t="shared" si="43"/>
        <v>July 2024</v>
      </c>
      <c r="D145" s="66">
        <v>0</v>
      </c>
      <c r="E145" s="66">
        <f t="shared" si="44"/>
        <v>1955545.4700000002</v>
      </c>
      <c r="F145" s="93">
        <f>+'II-D-3.2'!D145</f>
        <v>1955545.4700000002</v>
      </c>
    </row>
    <row r="146" spans="1:6">
      <c r="A146" s="1">
        <f>+'II-D-3.2'!A146</f>
        <v>104</v>
      </c>
      <c r="B146" s="132" t="str">
        <f t="shared" si="43"/>
        <v>August 2024</v>
      </c>
      <c r="D146" s="66">
        <v>0</v>
      </c>
      <c r="E146" s="66">
        <f t="shared" si="44"/>
        <v>1921901.0400000003</v>
      </c>
      <c r="F146" s="93">
        <f>+'II-D-3.2'!D146</f>
        <v>1921901.0400000003</v>
      </c>
    </row>
    <row r="147" spans="1:6">
      <c r="A147" s="1">
        <f>+'II-D-3.2'!A147</f>
        <v>105</v>
      </c>
      <c r="B147" s="132" t="str">
        <f t="shared" si="43"/>
        <v>September 2024</v>
      </c>
      <c r="D147" s="66">
        <v>0</v>
      </c>
      <c r="E147" s="66">
        <f t="shared" si="44"/>
        <v>1913342.7300000007</v>
      </c>
      <c r="F147" s="93">
        <f>+'II-D-3.2'!D147</f>
        <v>1913342.7300000007</v>
      </c>
    </row>
    <row r="148" spans="1:6">
      <c r="A148" s="1">
        <f>+'II-D-3.2'!A148</f>
        <v>106</v>
      </c>
      <c r="B148" s="132" t="str">
        <f t="shared" si="43"/>
        <v>October 2024</v>
      </c>
      <c r="D148" s="66">
        <v>0</v>
      </c>
      <c r="E148" s="66">
        <f t="shared" si="44"/>
        <v>1943363.830000001</v>
      </c>
      <c r="F148" s="93">
        <f>+'II-D-3.2'!D148</f>
        <v>1943363.830000001</v>
      </c>
    </row>
    <row r="149" spans="1:6">
      <c r="A149" s="1">
        <f>+'II-D-3.2'!A149</f>
        <v>107</v>
      </c>
      <c r="B149" s="132" t="str">
        <f t="shared" si="43"/>
        <v>November 2024</v>
      </c>
      <c r="D149" s="66">
        <v>0</v>
      </c>
      <c r="E149" s="66">
        <f t="shared" si="44"/>
        <v>2900218.3600000017</v>
      </c>
      <c r="F149" s="93">
        <f>+'II-D-3.2'!D149</f>
        <v>2900218.3600000017</v>
      </c>
    </row>
    <row r="150" spans="1:6">
      <c r="A150" s="1">
        <f>+'II-D-3.2'!A150</f>
        <v>108</v>
      </c>
      <c r="B150" s="132" t="str">
        <f t="shared" si="43"/>
        <v>December 2024</v>
      </c>
      <c r="D150" s="66">
        <v>0</v>
      </c>
      <c r="E150" s="66">
        <f t="shared" si="44"/>
        <v>2027848.0799999994</v>
      </c>
      <c r="F150" s="93">
        <f>+'II-D-3.2'!D150</f>
        <v>2027848.0799999994</v>
      </c>
    </row>
    <row r="151" spans="1:6">
      <c r="A151" s="1">
        <f>+'II-D-3.2'!A151</f>
        <v>109</v>
      </c>
      <c r="D151" s="115"/>
      <c r="E151" s="115"/>
      <c r="F151" s="115"/>
    </row>
    <row r="152" spans="1:6">
      <c r="A152" s="1">
        <f>+'II-D-3.2'!A152</f>
        <v>110</v>
      </c>
      <c r="B152" s="94" t="s">
        <v>69</v>
      </c>
      <c r="D152" s="141">
        <f>SUM(D139:D150)</f>
        <v>0</v>
      </c>
      <c r="E152" s="141">
        <f>SUM(E139:E150)</f>
        <v>25152836.910000008</v>
      </c>
      <c r="F152" s="141">
        <f>SUM(F139:F150)</f>
        <v>25152836.910000008</v>
      </c>
    </row>
    <row r="153" spans="1:6">
      <c r="A153" s="1">
        <f>+'II-D-3.2'!A153</f>
        <v>111</v>
      </c>
    </row>
    <row r="154" spans="1:6">
      <c r="A154" s="1">
        <f>+'II-D-3.2'!A154</f>
        <v>112</v>
      </c>
    </row>
    <row r="155" spans="1:6">
      <c r="A155" s="1">
        <f>+'II-D-3.2'!A155</f>
        <v>113</v>
      </c>
      <c r="B155" t="s">
        <v>158</v>
      </c>
      <c r="D155" s="180">
        <v>0</v>
      </c>
      <c r="E155" s="180">
        <f t="shared" ref="E155:E157" si="45">+F155-D155</f>
        <v>2061118.91</v>
      </c>
      <c r="F155" s="180">
        <f>+'II-D-3.2'!D155</f>
        <v>2061118.91</v>
      </c>
    </row>
    <row r="156" spans="1:6">
      <c r="A156" s="1">
        <f>+'II-D-3.2'!A156</f>
        <v>114</v>
      </c>
      <c r="B156" t="s">
        <v>159</v>
      </c>
      <c r="D156" s="66">
        <v>0</v>
      </c>
      <c r="E156" s="66">
        <f t="shared" si="45"/>
        <v>2035502.610000001</v>
      </c>
      <c r="F156" s="93">
        <f>+'II-D-3.2'!D156</f>
        <v>2035502.610000001</v>
      </c>
    </row>
    <row r="157" spans="1:6">
      <c r="A157" s="1">
        <f>+'II-D-3.2'!A157</f>
        <v>115</v>
      </c>
      <c r="B157" t="s">
        <v>46</v>
      </c>
      <c r="D157" s="66">
        <v>0</v>
      </c>
      <c r="E157" s="66">
        <f t="shared" si="45"/>
        <v>2113838.2599999998</v>
      </c>
      <c r="F157" s="93">
        <f>+'II-D-3.2'!D157</f>
        <v>2113838.2599999998</v>
      </c>
    </row>
    <row r="158" spans="1:6">
      <c r="A158" s="1">
        <f>+'II-D-3.2'!A158</f>
        <v>116</v>
      </c>
    </row>
    <row r="159" spans="1:6">
      <c r="A159" s="1">
        <f>+'II-D-3.2'!A159</f>
        <v>117</v>
      </c>
    </row>
    <row r="160" spans="1:6">
      <c r="A160" s="1">
        <f>+'II-D-3.2'!A160</f>
        <v>118</v>
      </c>
      <c r="B160" s="132" t="str">
        <f t="shared" ref="B160:B162" si="46">+B129</f>
        <v>TME 2021</v>
      </c>
      <c r="D160" s="180">
        <v>0</v>
      </c>
      <c r="E160" s="180">
        <f t="shared" ref="E160:E162" si="47">+F160-D160</f>
        <v>20741511.440000005</v>
      </c>
      <c r="F160" s="180">
        <f>+'II-D-3.2'!D160</f>
        <v>20741511.440000005</v>
      </c>
    </row>
    <row r="161" spans="1:6">
      <c r="A161" s="1">
        <f>+'II-D-3.2'!A161</f>
        <v>119</v>
      </c>
      <c r="B161" s="132" t="str">
        <f t="shared" si="46"/>
        <v>TME 2022</v>
      </c>
      <c r="D161" s="66">
        <v>0</v>
      </c>
      <c r="E161" s="66">
        <f t="shared" si="47"/>
        <v>22039538.630000006</v>
      </c>
      <c r="F161" s="93">
        <f>+'II-D-3.2'!D161</f>
        <v>22039538.630000006</v>
      </c>
    </row>
    <row r="162" spans="1:6">
      <c r="A162" s="1">
        <f>+'II-D-3.2'!A162</f>
        <v>120</v>
      </c>
      <c r="B162" s="132" t="str">
        <f t="shared" si="46"/>
        <v>TME 2023</v>
      </c>
      <c r="D162" s="66">
        <v>0</v>
      </c>
      <c r="E162" s="66">
        <f t="shared" si="47"/>
        <v>23759941.429999989</v>
      </c>
      <c r="F162" s="93">
        <f>+'II-D-3.2'!D162</f>
        <v>23759941.429999989</v>
      </c>
    </row>
  </sheetData>
  <mergeCells count="10">
    <mergeCell ref="H41:J41"/>
    <mergeCell ref="L41:N41"/>
    <mergeCell ref="P41:R41"/>
    <mergeCell ref="H72:J72"/>
    <mergeCell ref="L72:N72"/>
    <mergeCell ref="D134:F134"/>
    <mergeCell ref="D10:F10"/>
    <mergeCell ref="D41:F41"/>
    <mergeCell ref="D72:F72"/>
    <mergeCell ref="D103:F103"/>
  </mergeCells>
  <phoneticPr fontId="5" type="noConversion"/>
  <printOptions horizontalCentered="1"/>
  <pageMargins left="0.5" right="0.5" top="3" bottom="0.5" header="1.5" footer="0.5"/>
  <pageSetup scale="71" fitToHeight="0" orientation="landscape"/>
  <headerFooter alignWithMargins="0">
    <oddHeader>&amp;R&amp;"Arial,Bold"Schedule &amp;A
Page &amp;P of &amp;N&amp;C&amp;B
2025 RATE CASE
ONCOR ELECTRIC DELIVERY COMPANY LLC
II-D-3.3  FUNCTIONALIZED REGULAR PAYROLL BY CATEGORY
TEST YEAR ENDING DECEMBER 31, 2024
SPONSOR: R. PRACHYL</oddHeader>
  </headerFooter>
  <rowBreaks count="3" manualBreakCount="3">
    <brk id="39" max="5" man="1"/>
    <brk id="101" max="5" man="1"/>
    <brk id="132" max="5" man="1"/>
  </rowBreaks>
  <colBreaks count="3" manualBreakCount="3">
    <brk id="10" min="14" max="37" man="1"/>
    <brk id="18" min="14" max="38" man="1"/>
    <brk id="22" min="14" max="37" man="1"/>
  </col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3">
    <tabColor rgb="FFFF0000"/>
    <pageSetUpPr fitToPage="1"/>
  </sheetPr>
  <dimension ref="A1:V162"/>
  <sheetViews>
    <sheetView zoomScaleNormal="100" workbookViewId="0">
      <pane xSplit="2" ySplit="14" topLeftCell="C30" activePane="bottomRight" state="frozen"/>
      <selection activeCell="D28" sqref="D28"/>
      <selection pane="topRight" activeCell="D28" sqref="D28"/>
      <selection pane="bottomLeft" activeCell="D28" sqref="D28"/>
      <selection pane="bottomRight" activeCell="L44" sqref="L44"/>
    </sheetView>
  </sheetViews>
  <sheetFormatPr defaultRowHeight="12.75"/>
  <cols>
    <col min="1" max="1" width="5.7109375" customWidth="1"/>
    <col min="2" max="2" width="20.42578125" customWidth="1"/>
    <col min="3" max="3" width="2.7109375" customWidth="1"/>
    <col min="4" max="7" width="13.42578125" bestFit="1" customWidth="1"/>
    <col min="8" max="8" width="2.7109375" customWidth="1"/>
    <col min="9" max="9" width="9.85546875" bestFit="1" customWidth="1"/>
    <col min="10" max="10" width="11.28515625" bestFit="1" customWidth="1"/>
    <col min="11" max="11" width="6" bestFit="1" customWidth="1"/>
    <col min="12" max="12" width="5.7109375" bestFit="1" customWidth="1"/>
    <col min="13" max="13" width="2.7109375" customWidth="1"/>
    <col min="14" max="15" width="13.42578125" bestFit="1" customWidth="1"/>
    <col min="16" max="16" width="12.28515625" bestFit="1" customWidth="1"/>
    <col min="17" max="17" width="13.42578125" bestFit="1" customWidth="1"/>
    <col min="18" max="18" width="2.7109375" customWidth="1"/>
    <col min="19" max="20" width="12.28515625" bestFit="1" customWidth="1"/>
    <col min="21" max="21" width="11.85546875" bestFit="1" customWidth="1"/>
    <col min="22" max="22" width="13.42578125" bestFit="1" customWidth="1"/>
  </cols>
  <sheetData>
    <row r="1" spans="1:7" s="192" customFormat="1" ht="15">
      <c r="A1" s="8" t="str">
        <f>+'[3]Input Data'!$A$9</f>
        <v>2025 RATE CASE</v>
      </c>
    </row>
    <row r="2" spans="1:7">
      <c r="A2" s="8" t="str">
        <f>+'[3]Input Data'!$A$2</f>
        <v>ONCOR ELECTRIC DELIVERY COMPANY LLC</v>
      </c>
    </row>
    <row r="3" spans="1:7">
      <c r="A3" s="7" t="str">
        <f>CONCATENATE('[3]Schedule Sponsors'!$A$72,'[3]Schedule Sponsors'!$B$72)</f>
        <v>II-D-3.4  PAYROLL CAPITALIZED VS. EXPENSED BY FUNCTION</v>
      </c>
    </row>
    <row r="4" spans="1:7">
      <c r="A4" s="63" t="str">
        <f>+'[3]Input Data'!$A$4</f>
        <v>TEST YEAR ENDING DECEMBER 31, 2024</v>
      </c>
    </row>
    <row r="5" spans="1:7">
      <c r="A5" s="7" t="str">
        <f>CONCATENATE("SPONSOR: ",'[3]Schedule Sponsors'!$D$72)</f>
        <v>SPONSOR: R. PRACHYL</v>
      </c>
    </row>
    <row r="10" spans="1:7" s="2" customFormat="1" ht="13.5" thickBot="1">
      <c r="A10" s="8"/>
      <c r="B10" s="18"/>
      <c r="C10" s="8"/>
      <c r="D10" s="379" t="s">
        <v>215</v>
      </c>
      <c r="E10" s="379"/>
      <c r="F10" s="379"/>
      <c r="G10" s="379"/>
    </row>
    <row r="11" spans="1:7" s="2" customFormat="1">
      <c r="A11" s="18" t="s">
        <v>87</v>
      </c>
      <c r="B11" s="18"/>
      <c r="C11" s="18"/>
      <c r="D11" s="18"/>
      <c r="E11" s="25"/>
      <c r="F11" s="18"/>
      <c r="G11" s="91"/>
    </row>
    <row r="12" spans="1:7" s="2" customFormat="1">
      <c r="A12" s="92" t="s">
        <v>89</v>
      </c>
      <c r="B12" s="92" t="s">
        <v>64</v>
      </c>
      <c r="C12" s="18"/>
      <c r="D12" s="92" t="s">
        <v>169</v>
      </c>
      <c r="E12" s="92" t="s">
        <v>170</v>
      </c>
      <c r="F12" s="92" t="s">
        <v>63</v>
      </c>
      <c r="G12" s="92" t="s">
        <v>215</v>
      </c>
    </row>
    <row r="13" spans="1:7" s="2" customFormat="1">
      <c r="A13" s="18"/>
      <c r="B13" s="16" t="s">
        <v>44</v>
      </c>
      <c r="C13" s="16"/>
      <c r="D13" s="16" t="s">
        <v>45</v>
      </c>
      <c r="E13" s="16" t="s">
        <v>74</v>
      </c>
      <c r="F13" s="16" t="s">
        <v>75</v>
      </c>
      <c r="G13" s="16" t="s">
        <v>76</v>
      </c>
    </row>
    <row r="15" spans="1:7">
      <c r="A15" s="1">
        <f>+'II-D-3.2'!A15</f>
        <v>1</v>
      </c>
      <c r="B15" s="132" t="str">
        <f>+'II-D-3.2'!B15</f>
        <v>January 2024</v>
      </c>
      <c r="D15" s="139">
        <f>+S46+N77+D108+D139</f>
        <v>31449367.899999924</v>
      </c>
      <c r="E15" s="139">
        <f t="shared" ref="E15:F26" si="0">+T46+O77+E108+E139</f>
        <v>30057843.729999967</v>
      </c>
      <c r="F15" s="139">
        <f t="shared" si="0"/>
        <v>10383846.790000025</v>
      </c>
      <c r="G15" s="139">
        <f t="shared" ref="G15:G26" si="1">SUM(D15:F15)</f>
        <v>71891058.419999912</v>
      </c>
    </row>
    <row r="16" spans="1:7">
      <c r="A16" s="1">
        <f>+'II-D-3.2'!A16</f>
        <v>2</v>
      </c>
      <c r="B16" s="132" t="str">
        <f>+'II-D-3.2'!B16</f>
        <v>February 2024</v>
      </c>
      <c r="D16" s="66">
        <f t="shared" ref="D16:D26" si="2">+S47+N78+D109+D140</f>
        <v>22392881.75999999</v>
      </c>
      <c r="E16" s="66">
        <f t="shared" si="0"/>
        <v>31049937.100000016</v>
      </c>
      <c r="F16" s="66">
        <f t="shared" si="0"/>
        <v>2763223.6700000106</v>
      </c>
      <c r="G16" s="93">
        <f t="shared" si="1"/>
        <v>56206042.530000016</v>
      </c>
    </row>
    <row r="17" spans="1:7">
      <c r="A17" s="1">
        <f>+'II-D-3.2'!A17</f>
        <v>3</v>
      </c>
      <c r="B17" s="132" t="str">
        <f>+'II-D-3.2'!B17</f>
        <v>March 2024</v>
      </c>
      <c r="D17" s="66">
        <f t="shared" si="2"/>
        <v>33181303.290000048</v>
      </c>
      <c r="E17" s="66">
        <f t="shared" si="0"/>
        <v>35049737.100000046</v>
      </c>
      <c r="F17" s="66">
        <f t="shared" si="0"/>
        <v>3451519.7100000088</v>
      </c>
      <c r="G17" s="93">
        <f t="shared" si="1"/>
        <v>71682560.100000098</v>
      </c>
    </row>
    <row r="18" spans="1:7">
      <c r="A18" s="1">
        <f>+'II-D-3.2'!A18</f>
        <v>4</v>
      </c>
      <c r="B18" s="132" t="str">
        <f>+'II-D-3.2'!B18</f>
        <v>April 2024</v>
      </c>
      <c r="D18" s="66">
        <f t="shared" si="2"/>
        <v>31169980.999999993</v>
      </c>
      <c r="E18" s="66">
        <f t="shared" si="0"/>
        <v>32240811.499999914</v>
      </c>
      <c r="F18" s="66">
        <f t="shared" si="0"/>
        <v>5294084.2199999802</v>
      </c>
      <c r="G18" s="93">
        <f t="shared" si="1"/>
        <v>68704876.719999894</v>
      </c>
    </row>
    <row r="19" spans="1:7">
      <c r="A19" s="1">
        <f>+'II-D-3.2'!A19</f>
        <v>5</v>
      </c>
      <c r="B19" s="132" t="str">
        <f>+'II-D-3.2'!B19</f>
        <v>May 2024</v>
      </c>
      <c r="D19" s="66">
        <f t="shared" si="2"/>
        <v>25591972.599999994</v>
      </c>
      <c r="E19" s="66">
        <f t="shared" si="0"/>
        <v>33185257.199999988</v>
      </c>
      <c r="F19" s="66">
        <f t="shared" si="0"/>
        <v>13334078.270000018</v>
      </c>
      <c r="G19" s="93">
        <f t="shared" si="1"/>
        <v>72111308.069999993</v>
      </c>
    </row>
    <row r="20" spans="1:7">
      <c r="A20" s="1">
        <f>+'II-D-3.2'!A20</f>
        <v>6</v>
      </c>
      <c r="B20" s="132" t="str">
        <f>+'II-D-3.2'!B20</f>
        <v>June 2024</v>
      </c>
      <c r="D20" s="66">
        <f t="shared" si="2"/>
        <v>28016587.749999993</v>
      </c>
      <c r="E20" s="66">
        <f t="shared" si="0"/>
        <v>32648424.500000026</v>
      </c>
      <c r="F20" s="66">
        <f t="shared" si="0"/>
        <v>20838248.309999943</v>
      </c>
      <c r="G20" s="93">
        <f t="shared" si="1"/>
        <v>81503260.559999958</v>
      </c>
    </row>
    <row r="21" spans="1:7">
      <c r="A21" s="1">
        <f>+'II-D-3.2'!A21</f>
        <v>7</v>
      </c>
      <c r="B21" s="132" t="str">
        <f>+'II-D-3.2'!B21</f>
        <v>July 2024</v>
      </c>
      <c r="D21" s="66">
        <f t="shared" si="2"/>
        <v>34848501.830000028</v>
      </c>
      <c r="E21" s="66">
        <f t="shared" si="0"/>
        <v>31325001.600000046</v>
      </c>
      <c r="F21" s="66">
        <f t="shared" si="0"/>
        <v>6248364.2599999905</v>
      </c>
      <c r="G21" s="93">
        <f t="shared" si="1"/>
        <v>72421867.690000057</v>
      </c>
    </row>
    <row r="22" spans="1:7">
      <c r="A22" s="1">
        <f>+'II-D-3.2'!A22</f>
        <v>8</v>
      </c>
      <c r="B22" s="132" t="str">
        <f>+'II-D-3.2'!B22</f>
        <v>August 2024</v>
      </c>
      <c r="D22" s="66">
        <f t="shared" si="2"/>
        <v>31611652.029999968</v>
      </c>
      <c r="E22" s="66">
        <f t="shared" si="0"/>
        <v>34317170.449999958</v>
      </c>
      <c r="F22" s="66">
        <f t="shared" si="0"/>
        <v>7416544.9999999991</v>
      </c>
      <c r="G22" s="93">
        <f t="shared" si="1"/>
        <v>73345367.47999993</v>
      </c>
    </row>
    <row r="23" spans="1:7">
      <c r="A23" s="1">
        <f>+'II-D-3.2'!A23</f>
        <v>9</v>
      </c>
      <c r="B23" s="132" t="str">
        <f>+'II-D-3.2'!B23</f>
        <v>September 2024</v>
      </c>
      <c r="D23" s="66">
        <f t="shared" si="2"/>
        <v>31390074.500000015</v>
      </c>
      <c r="E23" s="66">
        <f t="shared" si="0"/>
        <v>33367294.96000006</v>
      </c>
      <c r="F23" s="66">
        <f t="shared" si="0"/>
        <v>5728589.7199999914</v>
      </c>
      <c r="G23" s="93">
        <f t="shared" si="1"/>
        <v>70485959.180000067</v>
      </c>
    </row>
    <row r="24" spans="1:7">
      <c r="A24" s="1">
        <f>+'II-D-3.2'!A24</f>
        <v>10</v>
      </c>
      <c r="B24" s="132" t="str">
        <f>+'II-D-3.2'!B24</f>
        <v>October 2024</v>
      </c>
      <c r="D24" s="66">
        <f t="shared" si="2"/>
        <v>30984721.029999979</v>
      </c>
      <c r="E24" s="66">
        <f t="shared" si="0"/>
        <v>36886646.200000048</v>
      </c>
      <c r="F24" s="66">
        <f t="shared" si="0"/>
        <v>2093257.4700000072</v>
      </c>
      <c r="G24" s="93">
        <f t="shared" si="1"/>
        <v>69964624.700000033</v>
      </c>
    </row>
    <row r="25" spans="1:7">
      <c r="A25" s="1">
        <f>+'II-D-3.2'!A25</f>
        <v>11</v>
      </c>
      <c r="B25" s="132" t="str">
        <f>+'II-D-3.2'!B25</f>
        <v>November 2024</v>
      </c>
      <c r="D25" s="66">
        <f t="shared" si="2"/>
        <v>29622073.090000007</v>
      </c>
      <c r="E25" s="66">
        <f t="shared" si="0"/>
        <v>34536369.300000012</v>
      </c>
      <c r="F25" s="66">
        <f t="shared" si="0"/>
        <v>4325878.1099999947</v>
      </c>
      <c r="G25" s="93">
        <f t="shared" si="1"/>
        <v>68484320.500000015</v>
      </c>
    </row>
    <row r="26" spans="1:7">
      <c r="A26" s="1">
        <f>+'II-D-3.2'!A26</f>
        <v>12</v>
      </c>
      <c r="B26" s="132" t="str">
        <f>+'II-D-3.2'!B26</f>
        <v>December 2024</v>
      </c>
      <c r="D26" s="66">
        <f t="shared" si="2"/>
        <v>37003012.689999968</v>
      </c>
      <c r="E26" s="66">
        <f t="shared" si="0"/>
        <v>37333507.879999943</v>
      </c>
      <c r="F26" s="66">
        <f t="shared" si="0"/>
        <v>4309519.2000000039</v>
      </c>
      <c r="G26" s="93">
        <f t="shared" si="1"/>
        <v>78646039.769999906</v>
      </c>
    </row>
    <row r="27" spans="1:7">
      <c r="A27" s="1">
        <f>+'II-D-3.2'!A27</f>
        <v>13</v>
      </c>
      <c r="D27" s="115"/>
      <c r="E27" s="115"/>
      <c r="F27" s="115"/>
      <c r="G27" s="115"/>
    </row>
    <row r="28" spans="1:7">
      <c r="A28" s="1">
        <f>+'II-D-3.2'!A28</f>
        <v>14</v>
      </c>
      <c r="B28" s="94" t="s">
        <v>69</v>
      </c>
      <c r="D28" s="141">
        <f>SUM(D15:D26)</f>
        <v>367262129.46999991</v>
      </c>
      <c r="E28" s="141">
        <f t="shared" ref="E28:G28" si="3">SUM(E15:E26)</f>
        <v>401998001.52000004</v>
      </c>
      <c r="F28" s="141">
        <f t="shared" si="3"/>
        <v>86187154.729999974</v>
      </c>
      <c r="G28" s="141">
        <f t="shared" si="3"/>
        <v>855447285.71999979</v>
      </c>
    </row>
    <row r="29" spans="1:7">
      <c r="A29" s="1">
        <f>+'II-D-3.2'!A29</f>
        <v>15</v>
      </c>
      <c r="D29" s="110">
        <f>IF(ISERROR(+D28/$G$28),0,+D28/$G$28)</f>
        <v>0.42932175436255937</v>
      </c>
      <c r="E29" s="110">
        <f t="shared" ref="E29:F29" si="4">IF(ISERROR(+E28/$G$28),0,+E28/$G$28)</f>
        <v>0.46992726288406245</v>
      </c>
      <c r="F29" s="110">
        <f t="shared" si="4"/>
        <v>0.10075098275337829</v>
      </c>
      <c r="G29" s="152"/>
    </row>
    <row r="30" spans="1:7">
      <c r="A30" s="1">
        <f>+'II-D-3.2'!A30</f>
        <v>16</v>
      </c>
    </row>
    <row r="31" spans="1:7">
      <c r="A31" s="1">
        <f>+'II-D-3.2'!A31</f>
        <v>17</v>
      </c>
      <c r="B31" s="94" t="s">
        <v>158</v>
      </c>
      <c r="D31" s="139">
        <f t="shared" ref="D31:D33" si="5">+S62+N93+D124+D155</f>
        <v>30168249.709999952</v>
      </c>
      <c r="E31" s="139">
        <f t="shared" ref="E31:E33" si="6">+T62+O93+E124+E155</f>
        <v>29398097.550000019</v>
      </c>
      <c r="F31" s="139">
        <f t="shared" ref="F31:F33" si="7">+U62+P93+F124+F155</f>
        <v>9148822.5099999979</v>
      </c>
      <c r="G31" s="139">
        <f>SUM(D31:F31)</f>
        <v>68715169.769999981</v>
      </c>
    </row>
    <row r="32" spans="1:7">
      <c r="A32" s="1">
        <f>+'II-D-3.2'!A32</f>
        <v>18</v>
      </c>
      <c r="B32" s="94" t="s">
        <v>159</v>
      </c>
      <c r="D32" s="66">
        <f t="shared" si="5"/>
        <v>28337029.300000012</v>
      </c>
      <c r="E32" s="66">
        <f t="shared" si="6"/>
        <v>32765734.019999936</v>
      </c>
      <c r="F32" s="66">
        <f t="shared" si="7"/>
        <v>5169105.0900000036</v>
      </c>
      <c r="G32" s="93">
        <f>SUM(D32:F32)</f>
        <v>66271868.409999952</v>
      </c>
    </row>
    <row r="33" spans="1:22">
      <c r="A33" s="1">
        <f>+'II-D-3.2'!A33</f>
        <v>19</v>
      </c>
      <c r="B33" s="94" t="s">
        <v>46</v>
      </c>
      <c r="D33" s="66">
        <f t="shared" si="5"/>
        <v>36452501.840000026</v>
      </c>
      <c r="E33" s="66">
        <f t="shared" si="6"/>
        <v>39764326.849999949</v>
      </c>
      <c r="F33" s="66">
        <f t="shared" si="7"/>
        <v>12803034.799999993</v>
      </c>
      <c r="G33" s="93">
        <f>SUM(D33:F33)</f>
        <v>89019863.489999965</v>
      </c>
    </row>
    <row r="34" spans="1:22">
      <c r="A34" s="1">
        <f>+'II-D-3.2'!A34</f>
        <v>20</v>
      </c>
    </row>
    <row r="35" spans="1:22">
      <c r="A35" s="1">
        <f>+'II-D-3.2'!A35</f>
        <v>21</v>
      </c>
    </row>
    <row r="36" spans="1:22">
      <c r="A36" s="1">
        <f>+'II-D-3.2'!A36</f>
        <v>22</v>
      </c>
      <c r="B36" s="94" t="str">
        <f>+'II-D-3.2'!B36</f>
        <v>TME 2021</v>
      </c>
      <c r="D36" s="139">
        <f t="shared" ref="D36:D38" si="8">+S67+N98+D129+D160</f>
        <v>280856647.51999974</v>
      </c>
      <c r="E36" s="139">
        <f t="shared" ref="E36:E38" si="9">+T67+O98+E129+E160</f>
        <v>264412499.78999949</v>
      </c>
      <c r="F36" s="139">
        <f t="shared" ref="F36:F38" si="10">+U67+P98+F129+F160</f>
        <v>57841363.500000075</v>
      </c>
      <c r="G36" s="139">
        <f>SUM(D36:F36)</f>
        <v>603110510.80999935</v>
      </c>
    </row>
    <row r="37" spans="1:22">
      <c r="A37" s="1">
        <f>+'II-D-3.2'!A37</f>
        <v>23</v>
      </c>
      <c r="B37" s="94" t="str">
        <f>+'II-D-3.2'!B37</f>
        <v>TME 2022</v>
      </c>
      <c r="D37" s="66">
        <f t="shared" si="8"/>
        <v>309418406.84000051</v>
      </c>
      <c r="E37" s="66">
        <f t="shared" si="9"/>
        <v>297753219.51999879</v>
      </c>
      <c r="F37" s="66">
        <f t="shared" si="10"/>
        <v>65765297.060000166</v>
      </c>
      <c r="G37" s="93">
        <f>SUM(D37:F37)</f>
        <v>672936923.41999948</v>
      </c>
    </row>
    <row r="38" spans="1:22">
      <c r="A38" s="1">
        <f>+'II-D-3.2'!A38</f>
        <v>24</v>
      </c>
      <c r="B38" s="94" t="str">
        <f>+'II-D-3.2'!B38</f>
        <v>TME 2023</v>
      </c>
      <c r="D38" s="66">
        <f t="shared" si="8"/>
        <v>381795954.98999929</v>
      </c>
      <c r="E38" s="66">
        <f t="shared" si="9"/>
        <v>344496541.01000077</v>
      </c>
      <c r="F38" s="66">
        <f t="shared" si="10"/>
        <v>26978283.960000075</v>
      </c>
      <c r="G38" s="93">
        <f>SUM(D38:F38)</f>
        <v>753270779.96000004</v>
      </c>
    </row>
    <row r="41" spans="1:22" ht="13.5" thickBot="1">
      <c r="D41" s="379" t="s">
        <v>292</v>
      </c>
      <c r="E41" s="379"/>
      <c r="F41" s="379"/>
      <c r="G41" s="379"/>
      <c r="I41" s="380" t="s">
        <v>625</v>
      </c>
      <c r="J41" s="379"/>
      <c r="K41" s="379"/>
      <c r="L41" s="379"/>
      <c r="N41" s="380" t="s">
        <v>626</v>
      </c>
      <c r="O41" s="379"/>
      <c r="P41" s="379"/>
      <c r="Q41" s="379"/>
      <c r="S41" s="380" t="s">
        <v>627</v>
      </c>
      <c r="T41" s="379"/>
      <c r="U41" s="379"/>
      <c r="V41" s="379"/>
    </row>
    <row r="42" spans="1:22">
      <c r="A42" s="18" t="s">
        <v>87</v>
      </c>
      <c r="B42" s="18"/>
      <c r="D42" s="18"/>
      <c r="E42" s="25"/>
      <c r="F42" s="18"/>
      <c r="G42" s="91"/>
      <c r="I42" s="18"/>
      <c r="J42" s="25"/>
      <c r="K42" s="18"/>
      <c r="L42" s="91"/>
      <c r="N42" s="18"/>
      <c r="O42" s="25"/>
      <c r="P42" s="18"/>
      <c r="Q42" s="91"/>
      <c r="S42" s="18"/>
      <c r="T42" s="25"/>
      <c r="U42" s="18"/>
      <c r="V42" s="91"/>
    </row>
    <row r="43" spans="1:22">
      <c r="A43" s="196" t="s">
        <v>89</v>
      </c>
      <c r="B43" s="196" t="s">
        <v>64</v>
      </c>
      <c r="D43" s="92" t="s">
        <v>169</v>
      </c>
      <c r="E43" s="92" t="s">
        <v>170</v>
      </c>
      <c r="F43" s="92" t="s">
        <v>63</v>
      </c>
      <c r="G43" s="92" t="s">
        <v>215</v>
      </c>
      <c r="I43" s="196" t="s">
        <v>169</v>
      </c>
      <c r="J43" s="196" t="s">
        <v>170</v>
      </c>
      <c r="K43" s="196" t="s">
        <v>63</v>
      </c>
      <c r="L43" s="196" t="s">
        <v>215</v>
      </c>
      <c r="N43" s="196" t="s">
        <v>169</v>
      </c>
      <c r="O43" s="196" t="s">
        <v>170</v>
      </c>
      <c r="P43" s="196" t="s">
        <v>63</v>
      </c>
      <c r="Q43" s="196" t="s">
        <v>215</v>
      </c>
      <c r="S43" s="196" t="s">
        <v>169</v>
      </c>
      <c r="T43" s="196" t="s">
        <v>170</v>
      </c>
      <c r="U43" s="196" t="s">
        <v>63</v>
      </c>
      <c r="V43" s="196" t="s">
        <v>215</v>
      </c>
    </row>
    <row r="44" spans="1:22">
      <c r="A44" s="18"/>
      <c r="B44" s="16" t="s">
        <v>44</v>
      </c>
      <c r="D44" s="16" t="s">
        <v>45</v>
      </c>
      <c r="E44" s="16" t="s">
        <v>74</v>
      </c>
      <c r="F44" s="16" t="s">
        <v>75</v>
      </c>
      <c r="G44" s="16" t="s">
        <v>76</v>
      </c>
      <c r="I44" s="191" t="s">
        <v>77</v>
      </c>
      <c r="J44" s="191" t="s">
        <v>78</v>
      </c>
      <c r="K44" s="191" t="s">
        <v>79</v>
      </c>
      <c r="L44" s="191" t="s">
        <v>80</v>
      </c>
      <c r="N44" s="191" t="s">
        <v>81</v>
      </c>
      <c r="O44" s="191" t="s">
        <v>82</v>
      </c>
      <c r="P44" s="191" t="s">
        <v>83</v>
      </c>
      <c r="Q44" s="191" t="s">
        <v>84</v>
      </c>
      <c r="S44" s="191" t="s">
        <v>85</v>
      </c>
      <c r="T44" s="191" t="s">
        <v>86</v>
      </c>
      <c r="U44" s="191" t="s">
        <v>254</v>
      </c>
      <c r="V44" s="191" t="s">
        <v>128</v>
      </c>
    </row>
    <row r="46" spans="1:22">
      <c r="A46" s="1">
        <f>+'II-D-3.2'!A46</f>
        <v>25</v>
      </c>
      <c r="B46" s="132" t="str">
        <f t="shared" ref="B46:B57" si="11">+B15</f>
        <v>January 2024</v>
      </c>
      <c r="D46" s="139">
        <v>6405689.5799999917</v>
      </c>
      <c r="E46" s="139">
        <v>9831589.4899999928</v>
      </c>
      <c r="F46" s="139">
        <v>669778.78999999887</v>
      </c>
      <c r="G46" s="139">
        <f t="shared" ref="G46:G57" si="12">SUM(D46:F46)</f>
        <v>16907057.859999985</v>
      </c>
      <c r="I46" s="139">
        <v>0</v>
      </c>
      <c r="J46" s="139">
        <v>0</v>
      </c>
      <c r="K46" s="139">
        <v>0</v>
      </c>
      <c r="L46" s="139">
        <f t="shared" ref="L46:L57" si="13">SUM(I46:K46)</f>
        <v>0</v>
      </c>
      <c r="N46" s="139">
        <v>0</v>
      </c>
      <c r="O46" s="139">
        <v>0</v>
      </c>
      <c r="P46" s="139">
        <v>0</v>
      </c>
      <c r="Q46" s="139">
        <f t="shared" ref="Q46:Q57" si="14">SUM(N46:P46)</f>
        <v>0</v>
      </c>
      <c r="S46" s="139">
        <f>+D46+I46+N46</f>
        <v>6405689.5799999917</v>
      </c>
      <c r="T46" s="139">
        <f t="shared" ref="T46:T57" si="15">+E46+J46+O46</f>
        <v>9831589.4899999928</v>
      </c>
      <c r="U46" s="139">
        <f t="shared" ref="U46:U57" si="16">+F46+K46+P46</f>
        <v>669778.78999999887</v>
      </c>
      <c r="V46" s="139">
        <f t="shared" ref="V46:V57" si="17">+G46+L46+Q46</f>
        <v>16907057.859999985</v>
      </c>
    </row>
    <row r="47" spans="1:22">
      <c r="A47" s="1">
        <f>+'II-D-3.2'!A47</f>
        <v>26</v>
      </c>
      <c r="B47" s="132" t="str">
        <f t="shared" si="11"/>
        <v>February 2024</v>
      </c>
      <c r="D47" s="66">
        <v>5671534.9600000028</v>
      </c>
      <c r="E47" s="66">
        <v>9539229.7300000004</v>
      </c>
      <c r="F47" s="66">
        <v>-211492.109999999</v>
      </c>
      <c r="G47" s="93">
        <f t="shared" si="12"/>
        <v>14999272.580000004</v>
      </c>
      <c r="I47" s="66">
        <v>0</v>
      </c>
      <c r="J47" s="66">
        <v>0</v>
      </c>
      <c r="K47" s="66">
        <v>0</v>
      </c>
      <c r="L47" s="93">
        <f t="shared" si="13"/>
        <v>0</v>
      </c>
      <c r="N47" s="66">
        <v>0</v>
      </c>
      <c r="O47" s="66">
        <v>0</v>
      </c>
      <c r="P47" s="66">
        <v>0</v>
      </c>
      <c r="Q47" s="93">
        <f t="shared" si="14"/>
        <v>0</v>
      </c>
      <c r="S47" s="66">
        <f t="shared" ref="S47:S57" si="18">+D47+I47+N47</f>
        <v>5671534.9600000028</v>
      </c>
      <c r="T47" s="66">
        <f t="shared" si="15"/>
        <v>9539229.7300000004</v>
      </c>
      <c r="U47" s="66">
        <f t="shared" si="16"/>
        <v>-211492.109999999</v>
      </c>
      <c r="V47" s="93">
        <f t="shared" si="17"/>
        <v>14999272.580000004</v>
      </c>
    </row>
    <row r="48" spans="1:22">
      <c r="A48" s="1">
        <f>+'II-D-3.2'!A48</f>
        <v>27</v>
      </c>
      <c r="B48" s="132" t="str">
        <f t="shared" si="11"/>
        <v>March 2024</v>
      </c>
      <c r="D48" s="66">
        <v>6984272.8800000064</v>
      </c>
      <c r="E48" s="66">
        <v>11007836.439999973</v>
      </c>
      <c r="F48" s="66">
        <v>27877.7399999999</v>
      </c>
      <c r="G48" s="93">
        <f t="shared" si="12"/>
        <v>18019987.059999976</v>
      </c>
      <c r="I48" s="66">
        <v>0</v>
      </c>
      <c r="J48" s="66">
        <v>0</v>
      </c>
      <c r="K48" s="66">
        <v>0</v>
      </c>
      <c r="L48" s="93">
        <f t="shared" si="13"/>
        <v>0</v>
      </c>
      <c r="N48" s="66">
        <v>0</v>
      </c>
      <c r="O48" s="66">
        <v>0</v>
      </c>
      <c r="P48" s="66">
        <v>0</v>
      </c>
      <c r="Q48" s="93">
        <f t="shared" si="14"/>
        <v>0</v>
      </c>
      <c r="S48" s="66">
        <f t="shared" si="18"/>
        <v>6984272.8800000064</v>
      </c>
      <c r="T48" s="66">
        <f t="shared" si="15"/>
        <v>11007836.439999973</v>
      </c>
      <c r="U48" s="66">
        <f t="shared" si="16"/>
        <v>27877.7399999999</v>
      </c>
      <c r="V48" s="93">
        <f t="shared" si="17"/>
        <v>18019987.059999976</v>
      </c>
    </row>
    <row r="49" spans="1:22">
      <c r="A49" s="1">
        <f>+'II-D-3.2'!A49</f>
        <v>28</v>
      </c>
      <c r="B49" s="132" t="str">
        <f t="shared" si="11"/>
        <v>April 2024</v>
      </c>
      <c r="D49" s="66">
        <v>6620664.3200000077</v>
      </c>
      <c r="E49" s="66">
        <v>10766739.42</v>
      </c>
      <c r="F49" s="66">
        <v>-63037.079999999936</v>
      </c>
      <c r="G49" s="93">
        <f t="shared" si="12"/>
        <v>17324366.660000011</v>
      </c>
      <c r="I49" s="66">
        <v>0</v>
      </c>
      <c r="J49" s="66">
        <v>0</v>
      </c>
      <c r="K49" s="66">
        <v>0</v>
      </c>
      <c r="L49" s="93">
        <f t="shared" si="13"/>
        <v>0</v>
      </c>
      <c r="N49" s="66">
        <v>0</v>
      </c>
      <c r="O49" s="66">
        <v>0</v>
      </c>
      <c r="P49" s="66">
        <v>0</v>
      </c>
      <c r="Q49" s="93">
        <f t="shared" si="14"/>
        <v>0</v>
      </c>
      <c r="S49" s="66">
        <f t="shared" si="18"/>
        <v>6620664.3200000077</v>
      </c>
      <c r="T49" s="66">
        <f t="shared" si="15"/>
        <v>10766739.42</v>
      </c>
      <c r="U49" s="66">
        <f t="shared" si="16"/>
        <v>-63037.079999999936</v>
      </c>
      <c r="V49" s="93">
        <f t="shared" si="17"/>
        <v>17324366.660000011</v>
      </c>
    </row>
    <row r="50" spans="1:22">
      <c r="A50" s="1">
        <f>+'II-D-3.2'!A50</f>
        <v>29</v>
      </c>
      <c r="B50" s="132" t="str">
        <f t="shared" si="11"/>
        <v>May 2024</v>
      </c>
      <c r="D50" s="66">
        <v>5787321.4099999927</v>
      </c>
      <c r="E50" s="66">
        <v>10490002.589999991</v>
      </c>
      <c r="F50" s="66">
        <v>-563161.30000000051</v>
      </c>
      <c r="G50" s="93">
        <f t="shared" si="12"/>
        <v>15714162.699999982</v>
      </c>
      <c r="I50" s="66">
        <v>0</v>
      </c>
      <c r="J50" s="66">
        <v>0</v>
      </c>
      <c r="K50" s="66">
        <v>0</v>
      </c>
      <c r="L50" s="93">
        <f t="shared" si="13"/>
        <v>0</v>
      </c>
      <c r="N50" s="66">
        <v>0</v>
      </c>
      <c r="O50" s="66">
        <v>0</v>
      </c>
      <c r="P50" s="66">
        <v>0</v>
      </c>
      <c r="Q50" s="93">
        <f t="shared" si="14"/>
        <v>0</v>
      </c>
      <c r="S50" s="66">
        <f t="shared" si="18"/>
        <v>5787321.4099999927</v>
      </c>
      <c r="T50" s="66">
        <f t="shared" si="15"/>
        <v>10490002.589999991</v>
      </c>
      <c r="U50" s="66">
        <f t="shared" si="16"/>
        <v>-563161.30000000051</v>
      </c>
      <c r="V50" s="93">
        <f t="shared" si="17"/>
        <v>15714162.699999982</v>
      </c>
    </row>
    <row r="51" spans="1:22">
      <c r="A51" s="1">
        <f>+'II-D-3.2'!A51</f>
        <v>30</v>
      </c>
      <c r="B51" s="132" t="str">
        <f t="shared" si="11"/>
        <v>June 2024</v>
      </c>
      <c r="D51" s="66">
        <v>7475831.8799999924</v>
      </c>
      <c r="E51" s="66">
        <v>11181774.850000013</v>
      </c>
      <c r="F51" s="66">
        <v>753016.5699999989</v>
      </c>
      <c r="G51" s="93">
        <f t="shared" si="12"/>
        <v>19410623.300000004</v>
      </c>
      <c r="I51" s="66">
        <v>0</v>
      </c>
      <c r="J51" s="66">
        <v>0</v>
      </c>
      <c r="K51" s="66">
        <v>0</v>
      </c>
      <c r="L51" s="93">
        <f t="shared" si="13"/>
        <v>0</v>
      </c>
      <c r="N51" s="66">
        <v>0</v>
      </c>
      <c r="O51" s="66">
        <v>0</v>
      </c>
      <c r="P51" s="66">
        <v>0</v>
      </c>
      <c r="Q51" s="93">
        <f t="shared" si="14"/>
        <v>0</v>
      </c>
      <c r="S51" s="66">
        <f t="shared" si="18"/>
        <v>7475831.8799999924</v>
      </c>
      <c r="T51" s="66">
        <f t="shared" si="15"/>
        <v>11181774.850000013</v>
      </c>
      <c r="U51" s="66">
        <f t="shared" si="16"/>
        <v>753016.5699999989</v>
      </c>
      <c r="V51" s="93">
        <f t="shared" si="17"/>
        <v>19410623.300000004</v>
      </c>
    </row>
    <row r="52" spans="1:22">
      <c r="A52" s="1">
        <f>+'II-D-3.2'!A52</f>
        <v>31</v>
      </c>
      <c r="B52" s="132" t="str">
        <f t="shared" si="11"/>
        <v>July 2024</v>
      </c>
      <c r="D52" s="66">
        <v>7412619.8199999984</v>
      </c>
      <c r="E52" s="66">
        <v>10179601.950000023</v>
      </c>
      <c r="F52" s="66">
        <v>562847.4499999996</v>
      </c>
      <c r="G52" s="93">
        <f t="shared" si="12"/>
        <v>18155069.220000021</v>
      </c>
      <c r="I52" s="66">
        <v>0</v>
      </c>
      <c r="J52" s="66">
        <v>0</v>
      </c>
      <c r="K52" s="66">
        <v>0</v>
      </c>
      <c r="L52" s="93">
        <f t="shared" si="13"/>
        <v>0</v>
      </c>
      <c r="N52" s="66">
        <v>0</v>
      </c>
      <c r="O52" s="66">
        <v>0</v>
      </c>
      <c r="P52" s="66">
        <v>0</v>
      </c>
      <c r="Q52" s="93">
        <f t="shared" si="14"/>
        <v>0</v>
      </c>
      <c r="S52" s="66">
        <f t="shared" si="18"/>
        <v>7412619.8199999984</v>
      </c>
      <c r="T52" s="66">
        <f t="shared" si="15"/>
        <v>10179601.950000023</v>
      </c>
      <c r="U52" s="66">
        <f t="shared" si="16"/>
        <v>562847.4499999996</v>
      </c>
      <c r="V52" s="93">
        <f t="shared" si="17"/>
        <v>18155069.220000021</v>
      </c>
    </row>
    <row r="53" spans="1:22">
      <c r="A53" s="1">
        <f>+'II-D-3.2'!A53</f>
        <v>32</v>
      </c>
      <c r="B53" s="132" t="str">
        <f t="shared" si="11"/>
        <v>August 2024</v>
      </c>
      <c r="D53" s="66">
        <v>7163457.519999993</v>
      </c>
      <c r="E53" s="66">
        <v>11194169.579999983</v>
      </c>
      <c r="F53" s="66">
        <v>183733.45999999993</v>
      </c>
      <c r="G53" s="93">
        <f t="shared" si="12"/>
        <v>18541360.559999976</v>
      </c>
      <c r="I53" s="66">
        <v>0</v>
      </c>
      <c r="J53" s="66">
        <v>0</v>
      </c>
      <c r="K53" s="66">
        <v>0</v>
      </c>
      <c r="L53" s="93">
        <f t="shared" si="13"/>
        <v>0</v>
      </c>
      <c r="N53" s="66">
        <v>0</v>
      </c>
      <c r="O53" s="66">
        <v>0</v>
      </c>
      <c r="P53" s="66">
        <v>0</v>
      </c>
      <c r="Q53" s="93">
        <f t="shared" si="14"/>
        <v>0</v>
      </c>
      <c r="S53" s="66">
        <f t="shared" si="18"/>
        <v>7163457.519999993</v>
      </c>
      <c r="T53" s="66">
        <f t="shared" si="15"/>
        <v>11194169.579999983</v>
      </c>
      <c r="U53" s="66">
        <f t="shared" si="16"/>
        <v>183733.45999999993</v>
      </c>
      <c r="V53" s="93">
        <f t="shared" si="17"/>
        <v>18541360.559999976</v>
      </c>
    </row>
    <row r="54" spans="1:22">
      <c r="A54" s="1">
        <f>+'II-D-3.2'!A54</f>
        <v>33</v>
      </c>
      <c r="B54" s="132" t="str">
        <f t="shared" si="11"/>
        <v>September 2024</v>
      </c>
      <c r="D54" s="66">
        <v>6896604.2699999977</v>
      </c>
      <c r="E54" s="66">
        <v>10938232.009999996</v>
      </c>
      <c r="F54" s="66">
        <v>483523.50999999989</v>
      </c>
      <c r="G54" s="93">
        <f t="shared" si="12"/>
        <v>18318359.789999995</v>
      </c>
      <c r="I54" s="66">
        <v>0</v>
      </c>
      <c r="J54" s="66">
        <v>0</v>
      </c>
      <c r="K54" s="66">
        <v>0</v>
      </c>
      <c r="L54" s="93">
        <f t="shared" si="13"/>
        <v>0</v>
      </c>
      <c r="N54" s="66">
        <v>0</v>
      </c>
      <c r="O54" s="66">
        <v>0</v>
      </c>
      <c r="P54" s="66">
        <v>0</v>
      </c>
      <c r="Q54" s="93">
        <f t="shared" si="14"/>
        <v>0</v>
      </c>
      <c r="S54" s="66">
        <f t="shared" si="18"/>
        <v>6896604.2699999977</v>
      </c>
      <c r="T54" s="66">
        <f t="shared" si="15"/>
        <v>10938232.009999996</v>
      </c>
      <c r="U54" s="66">
        <f t="shared" si="16"/>
        <v>483523.50999999989</v>
      </c>
      <c r="V54" s="93">
        <f t="shared" si="17"/>
        <v>18318359.789999995</v>
      </c>
    </row>
    <row r="55" spans="1:22">
      <c r="A55" s="1">
        <f>+'II-D-3.2'!A55</f>
        <v>34</v>
      </c>
      <c r="B55" s="132" t="str">
        <f t="shared" si="11"/>
        <v>October 2024</v>
      </c>
      <c r="D55" s="66">
        <v>7205191.8500000127</v>
      </c>
      <c r="E55" s="66">
        <v>13040608.030000007</v>
      </c>
      <c r="F55" s="66">
        <v>-537938.64999999979</v>
      </c>
      <c r="G55" s="93">
        <f t="shared" si="12"/>
        <v>19707861.230000019</v>
      </c>
      <c r="I55" s="66">
        <v>0</v>
      </c>
      <c r="J55" s="66">
        <v>0</v>
      </c>
      <c r="K55" s="66">
        <v>0</v>
      </c>
      <c r="L55" s="93">
        <f t="shared" si="13"/>
        <v>0</v>
      </c>
      <c r="N55" s="66">
        <v>0</v>
      </c>
      <c r="O55" s="66">
        <v>0</v>
      </c>
      <c r="P55" s="66">
        <v>0</v>
      </c>
      <c r="Q55" s="93">
        <f t="shared" si="14"/>
        <v>0</v>
      </c>
      <c r="S55" s="66">
        <f t="shared" si="18"/>
        <v>7205191.8500000127</v>
      </c>
      <c r="T55" s="66">
        <f t="shared" si="15"/>
        <v>13040608.030000007</v>
      </c>
      <c r="U55" s="66">
        <f t="shared" si="16"/>
        <v>-537938.64999999979</v>
      </c>
      <c r="V55" s="93">
        <f t="shared" si="17"/>
        <v>19707861.230000019</v>
      </c>
    </row>
    <row r="56" spans="1:22">
      <c r="A56" s="1">
        <f>+'II-D-3.2'!A56</f>
        <v>35</v>
      </c>
      <c r="B56" s="132" t="str">
        <f t="shared" si="11"/>
        <v>November 2024</v>
      </c>
      <c r="D56" s="66">
        <v>5691441.9000000032</v>
      </c>
      <c r="E56" s="66">
        <v>11845178.199999986</v>
      </c>
      <c r="F56" s="66">
        <v>-715323.30000000063</v>
      </c>
      <c r="G56" s="93">
        <f t="shared" si="12"/>
        <v>16821296.79999999</v>
      </c>
      <c r="I56" s="66">
        <v>0</v>
      </c>
      <c r="J56" s="66">
        <v>0</v>
      </c>
      <c r="K56" s="66">
        <v>0</v>
      </c>
      <c r="L56" s="93">
        <f t="shared" si="13"/>
        <v>0</v>
      </c>
      <c r="N56" s="66">
        <v>0</v>
      </c>
      <c r="O56" s="66">
        <v>0</v>
      </c>
      <c r="P56" s="66">
        <v>0</v>
      </c>
      <c r="Q56" s="93">
        <f t="shared" si="14"/>
        <v>0</v>
      </c>
      <c r="S56" s="66">
        <f t="shared" si="18"/>
        <v>5691441.9000000032</v>
      </c>
      <c r="T56" s="66">
        <f t="shared" si="15"/>
        <v>11845178.199999986</v>
      </c>
      <c r="U56" s="66">
        <f t="shared" si="16"/>
        <v>-715323.30000000063</v>
      </c>
      <c r="V56" s="93">
        <f t="shared" si="17"/>
        <v>16821296.79999999</v>
      </c>
    </row>
    <row r="57" spans="1:22">
      <c r="A57" s="1">
        <f>+'II-D-3.2'!A57</f>
        <v>36</v>
      </c>
      <c r="B57" s="132" t="str">
        <f t="shared" si="11"/>
        <v>December 2024</v>
      </c>
      <c r="D57" s="66">
        <v>8129604.5700000022</v>
      </c>
      <c r="E57" s="66">
        <v>13563664.679999983</v>
      </c>
      <c r="F57" s="66">
        <v>656020.86999999918</v>
      </c>
      <c r="G57" s="93">
        <f t="shared" si="12"/>
        <v>22349290.119999982</v>
      </c>
      <c r="I57" s="66">
        <v>0</v>
      </c>
      <c r="J57" s="66">
        <v>0</v>
      </c>
      <c r="K57" s="66">
        <v>0</v>
      </c>
      <c r="L57" s="93">
        <f t="shared" si="13"/>
        <v>0</v>
      </c>
      <c r="N57" s="66">
        <v>0</v>
      </c>
      <c r="O57" s="66">
        <v>0</v>
      </c>
      <c r="P57" s="66">
        <v>0</v>
      </c>
      <c r="Q57" s="93">
        <f t="shared" si="14"/>
        <v>0</v>
      </c>
      <c r="S57" s="66">
        <f t="shared" si="18"/>
        <v>8129604.5700000022</v>
      </c>
      <c r="T57" s="66">
        <f t="shared" si="15"/>
        <v>13563664.679999983</v>
      </c>
      <c r="U57" s="66">
        <f t="shared" si="16"/>
        <v>656020.86999999918</v>
      </c>
      <c r="V57" s="93">
        <f t="shared" si="17"/>
        <v>22349290.119999982</v>
      </c>
    </row>
    <row r="58" spans="1:22">
      <c r="A58" s="1">
        <f>+'II-D-3.2'!A58</f>
        <v>37</v>
      </c>
      <c r="D58" s="115"/>
      <c r="E58" s="115"/>
      <c r="F58" s="115"/>
      <c r="G58" s="115"/>
      <c r="I58" s="115"/>
      <c r="J58" s="115"/>
      <c r="K58" s="115"/>
      <c r="L58" s="115"/>
      <c r="N58" s="115"/>
      <c r="O58" s="115"/>
      <c r="P58" s="115"/>
      <c r="Q58" s="115"/>
      <c r="S58" s="115"/>
      <c r="T58" s="115"/>
      <c r="U58" s="115"/>
      <c r="V58" s="115"/>
    </row>
    <row r="59" spans="1:22">
      <c r="A59" s="1">
        <f>+'II-D-3.2'!A59</f>
        <v>38</v>
      </c>
      <c r="B59" s="94" t="s">
        <v>69</v>
      </c>
      <c r="D59" s="141">
        <f>SUM(D46:D57)</f>
        <v>81444234.960000008</v>
      </c>
      <c r="E59" s="141">
        <f>SUM(E46:E57)</f>
        <v>133578626.96999992</v>
      </c>
      <c r="F59" s="141">
        <f>SUM(F46:F57)</f>
        <v>1245845.949999996</v>
      </c>
      <c r="G59" s="141">
        <f>SUM(G46:G57)</f>
        <v>216268707.87999994</v>
      </c>
      <c r="I59" s="141">
        <f>SUM(I46:I57)</f>
        <v>0</v>
      </c>
      <c r="J59" s="141">
        <f>SUM(J46:J57)</f>
        <v>0</v>
      </c>
      <c r="K59" s="141">
        <f>SUM(K46:K57)</f>
        <v>0</v>
      </c>
      <c r="L59" s="141">
        <f>SUM(L46:L57)</f>
        <v>0</v>
      </c>
      <c r="N59" s="141">
        <f>SUM(N46:N57)</f>
        <v>0</v>
      </c>
      <c r="O59" s="141">
        <f>SUM(O46:O57)</f>
        <v>0</v>
      </c>
      <c r="P59" s="141">
        <f>SUM(P46:P57)</f>
        <v>0</v>
      </c>
      <c r="Q59" s="141">
        <f>SUM(Q46:Q57)</f>
        <v>0</v>
      </c>
      <c r="S59" s="141">
        <f>SUM(S46:S57)</f>
        <v>81444234.960000008</v>
      </c>
      <c r="T59" s="141">
        <f>SUM(T46:T57)</f>
        <v>133578626.96999992</v>
      </c>
      <c r="U59" s="141">
        <f>SUM(U46:U57)</f>
        <v>1245845.949999996</v>
      </c>
      <c r="V59" s="141">
        <f>SUM(V46:V57)</f>
        <v>216268707.87999994</v>
      </c>
    </row>
    <row r="60" spans="1:22">
      <c r="A60" s="1">
        <f>+'II-D-3.2'!A60</f>
        <v>39</v>
      </c>
    </row>
    <row r="61" spans="1:22">
      <c r="A61" s="1">
        <f>+'II-D-3.2'!A61</f>
        <v>40</v>
      </c>
    </row>
    <row r="62" spans="1:22">
      <c r="A62" s="1">
        <f>+'II-D-3.2'!A62</f>
        <v>41</v>
      </c>
      <c r="B62" s="94" t="s">
        <v>158</v>
      </c>
      <c r="D62" s="139">
        <v>6888366.169999986</v>
      </c>
      <c r="E62" s="139">
        <v>9205893.8000000026</v>
      </c>
      <c r="F62" s="139">
        <v>813649.99999999942</v>
      </c>
      <c r="G62" s="139">
        <f>SUM(D62:F62)</f>
        <v>16907909.969999988</v>
      </c>
      <c r="I62" s="139">
        <v>0</v>
      </c>
      <c r="J62" s="139">
        <v>0</v>
      </c>
      <c r="K62" s="139">
        <v>0</v>
      </c>
      <c r="L62" s="139">
        <f>SUM(I62:K62)</f>
        <v>0</v>
      </c>
      <c r="N62" s="139">
        <v>0</v>
      </c>
      <c r="O62" s="139">
        <v>0</v>
      </c>
      <c r="P62" s="139">
        <v>0</v>
      </c>
      <c r="Q62" s="139">
        <f>SUM(N62:P62)</f>
        <v>0</v>
      </c>
      <c r="S62" s="139">
        <f t="shared" ref="S62:S64" si="19">+D62+I62+N62</f>
        <v>6888366.169999986</v>
      </c>
      <c r="T62" s="139">
        <f t="shared" ref="T62:T64" si="20">+E62+J62+O62</f>
        <v>9205893.8000000026</v>
      </c>
      <c r="U62" s="139">
        <f t="shared" ref="U62:U64" si="21">+F62+K62+P62</f>
        <v>813649.99999999942</v>
      </c>
      <c r="V62" s="139">
        <f t="shared" ref="V62:V64" si="22">+G62+L62+Q62</f>
        <v>16907909.969999988</v>
      </c>
    </row>
    <row r="63" spans="1:22">
      <c r="A63" s="1">
        <f>+'II-D-3.2'!A63</f>
        <v>42</v>
      </c>
      <c r="B63" s="94" t="s">
        <v>159</v>
      </c>
      <c r="D63" s="66">
        <v>6831602.4099999908</v>
      </c>
      <c r="E63" s="66">
        <v>10979858.209999982</v>
      </c>
      <c r="F63" s="66">
        <v>187835.38000000009</v>
      </c>
      <c r="G63" s="93">
        <f>SUM(D63:F63)</f>
        <v>17999295.999999974</v>
      </c>
      <c r="I63" s="66">
        <v>0</v>
      </c>
      <c r="J63" s="66">
        <v>0</v>
      </c>
      <c r="K63" s="66">
        <v>0</v>
      </c>
      <c r="L63" s="93">
        <f>SUM(I63:K63)</f>
        <v>0</v>
      </c>
      <c r="N63" s="66">
        <v>0</v>
      </c>
      <c r="O63" s="66">
        <v>0</v>
      </c>
      <c r="P63" s="66">
        <v>0</v>
      </c>
      <c r="Q63" s="93">
        <f>SUM(N63:P63)</f>
        <v>0</v>
      </c>
      <c r="S63" s="66">
        <f t="shared" si="19"/>
        <v>6831602.4099999908</v>
      </c>
      <c r="T63" s="66">
        <f t="shared" si="20"/>
        <v>10979858.209999982</v>
      </c>
      <c r="U63" s="66">
        <f t="shared" si="21"/>
        <v>187835.38000000009</v>
      </c>
      <c r="V63" s="93">
        <f t="shared" si="22"/>
        <v>17999295.999999974</v>
      </c>
    </row>
    <row r="64" spans="1:22">
      <c r="A64" s="1">
        <f>+'II-D-3.2'!A64</f>
        <v>43</v>
      </c>
      <c r="B64" s="94" t="s">
        <v>46</v>
      </c>
      <c r="D64" s="66">
        <v>8253341.6800000053</v>
      </c>
      <c r="E64" s="66">
        <v>13329491.039999999</v>
      </c>
      <c r="F64" s="66">
        <v>339822.5900000002</v>
      </c>
      <c r="G64" s="93">
        <f>SUM(D64:F64)</f>
        <v>21922655.310000006</v>
      </c>
      <c r="I64" s="66">
        <v>0</v>
      </c>
      <c r="J64" s="66">
        <v>0</v>
      </c>
      <c r="K64" s="66">
        <v>0</v>
      </c>
      <c r="L64" s="93">
        <f>SUM(I64:K64)</f>
        <v>0</v>
      </c>
      <c r="N64" s="66">
        <v>0</v>
      </c>
      <c r="O64" s="66">
        <v>0</v>
      </c>
      <c r="P64" s="66">
        <v>0</v>
      </c>
      <c r="Q64" s="93">
        <f>SUM(N64:P64)</f>
        <v>0</v>
      </c>
      <c r="S64" s="66">
        <f t="shared" si="19"/>
        <v>8253341.6800000053</v>
      </c>
      <c r="T64" s="66">
        <f t="shared" si="20"/>
        <v>13329491.039999999</v>
      </c>
      <c r="U64" s="66">
        <f t="shared" si="21"/>
        <v>339822.5900000002</v>
      </c>
      <c r="V64" s="93">
        <f t="shared" si="22"/>
        <v>21922655.310000006</v>
      </c>
    </row>
    <row r="65" spans="1:22">
      <c r="A65" s="1">
        <f>+'II-D-3.2'!A65</f>
        <v>44</v>
      </c>
    </row>
    <row r="66" spans="1:22">
      <c r="A66" s="1">
        <f>+'II-D-3.2'!A66</f>
        <v>45</v>
      </c>
    </row>
    <row r="67" spans="1:22">
      <c r="A67" s="1">
        <f>+'II-D-3.2'!A67</f>
        <v>46</v>
      </c>
      <c r="B67" s="94" t="str">
        <f>+B36</f>
        <v>TME 2021</v>
      </c>
      <c r="D67" s="139">
        <v>57516485.649999894</v>
      </c>
      <c r="E67" s="139">
        <v>80186118.199999899</v>
      </c>
      <c r="F67" s="139">
        <v>1194186.5199999961</v>
      </c>
      <c r="G67" s="139">
        <f>SUM(D67:F67)</f>
        <v>138896790.3699998</v>
      </c>
      <c r="I67" s="139">
        <v>0</v>
      </c>
      <c r="J67" s="139">
        <v>0</v>
      </c>
      <c r="K67" s="139">
        <v>0</v>
      </c>
      <c r="L67" s="139">
        <f>SUM(I67:K67)</f>
        <v>0</v>
      </c>
      <c r="N67" s="139">
        <v>0</v>
      </c>
      <c r="O67" s="139">
        <v>0</v>
      </c>
      <c r="P67" s="139">
        <v>0</v>
      </c>
      <c r="Q67" s="139">
        <f>SUM(N67:P67)</f>
        <v>0</v>
      </c>
      <c r="S67" s="139">
        <f t="shared" ref="S67:S69" si="23">+D67+I67+N67</f>
        <v>57516485.649999894</v>
      </c>
      <c r="T67" s="139">
        <f t="shared" ref="T67:T69" si="24">+E67+J67+O67</f>
        <v>80186118.199999899</v>
      </c>
      <c r="U67" s="139">
        <f t="shared" ref="U67:U69" si="25">+F67+K67+P67</f>
        <v>1194186.5199999961</v>
      </c>
      <c r="V67" s="139">
        <f t="shared" ref="V67:V69" si="26">+G67+L67+Q67</f>
        <v>138896790.3699998</v>
      </c>
    </row>
    <row r="68" spans="1:22">
      <c r="A68" s="1">
        <f>+'II-D-3.2'!A68</f>
        <v>47</v>
      </c>
      <c r="B68" s="94" t="str">
        <f>+B37</f>
        <v>TME 2022</v>
      </c>
      <c r="D68" s="66">
        <v>62726970.570000075</v>
      </c>
      <c r="E68" s="66">
        <v>90001062.069999918</v>
      </c>
      <c r="F68" s="66">
        <v>1256597.6299999957</v>
      </c>
      <c r="G68" s="93">
        <f>SUM(D68:F68)</f>
        <v>153984630.26999998</v>
      </c>
      <c r="I68" s="66">
        <v>0</v>
      </c>
      <c r="J68" s="66">
        <v>0</v>
      </c>
      <c r="K68" s="66">
        <v>0</v>
      </c>
      <c r="L68" s="93">
        <f>SUM(I68:K68)</f>
        <v>0</v>
      </c>
      <c r="N68" s="66">
        <v>0</v>
      </c>
      <c r="O68" s="66">
        <v>0</v>
      </c>
      <c r="P68" s="66">
        <v>0</v>
      </c>
      <c r="Q68" s="93">
        <f>SUM(N68:P68)</f>
        <v>0</v>
      </c>
      <c r="S68" s="66">
        <f t="shared" si="23"/>
        <v>62726970.570000075</v>
      </c>
      <c r="T68" s="66">
        <f t="shared" si="24"/>
        <v>90001062.069999918</v>
      </c>
      <c r="U68" s="66">
        <f t="shared" si="25"/>
        <v>1256597.6299999957</v>
      </c>
      <c r="V68" s="93">
        <f t="shared" si="26"/>
        <v>153984630.26999998</v>
      </c>
    </row>
    <row r="69" spans="1:22">
      <c r="A69" s="1">
        <f>+'II-D-3.2'!A69</f>
        <v>48</v>
      </c>
      <c r="B69" s="94" t="str">
        <f>+B38</f>
        <v>TME 2023</v>
      </c>
      <c r="D69" s="66">
        <v>93116475.269999936</v>
      </c>
      <c r="E69" s="66">
        <v>109314166.22999993</v>
      </c>
      <c r="F69" s="66">
        <v>-23956646.899999786</v>
      </c>
      <c r="G69" s="93">
        <f>SUM(D69:F69)</f>
        <v>178473994.60000008</v>
      </c>
      <c r="I69" s="66">
        <v>0</v>
      </c>
      <c r="J69" s="66">
        <v>0</v>
      </c>
      <c r="K69" s="66">
        <v>0</v>
      </c>
      <c r="L69" s="93">
        <f>SUM(I69:K69)</f>
        <v>0</v>
      </c>
      <c r="N69" s="66">
        <v>0</v>
      </c>
      <c r="O69" s="66">
        <v>0</v>
      </c>
      <c r="P69" s="66">
        <v>0</v>
      </c>
      <c r="Q69" s="93">
        <f>SUM(N69:P69)</f>
        <v>0</v>
      </c>
      <c r="S69" s="66">
        <f t="shared" si="23"/>
        <v>93116475.269999936</v>
      </c>
      <c r="T69" s="66">
        <f t="shared" si="24"/>
        <v>109314166.22999993</v>
      </c>
      <c r="U69" s="66">
        <f t="shared" si="25"/>
        <v>-23956646.899999786</v>
      </c>
      <c r="V69" s="93">
        <f t="shared" si="26"/>
        <v>178473994.60000008</v>
      </c>
    </row>
    <row r="72" spans="1:22" ht="13.5" thickBot="1">
      <c r="D72" s="379" t="s">
        <v>293</v>
      </c>
      <c r="E72" s="379"/>
      <c r="F72" s="379"/>
      <c r="G72" s="379"/>
      <c r="I72" s="380" t="s">
        <v>628</v>
      </c>
      <c r="J72" s="379"/>
      <c r="K72" s="379"/>
      <c r="L72" s="379"/>
      <c r="N72" s="380" t="s">
        <v>629</v>
      </c>
      <c r="O72" s="379"/>
      <c r="P72" s="379"/>
      <c r="Q72" s="379"/>
    </row>
    <row r="73" spans="1:22">
      <c r="A73" s="18" t="s">
        <v>87</v>
      </c>
      <c r="B73" s="18"/>
      <c r="D73" s="18"/>
      <c r="E73" s="25"/>
      <c r="F73" s="18"/>
      <c r="G73" s="91"/>
      <c r="I73" s="18"/>
      <c r="J73" s="25"/>
      <c r="K73" s="18"/>
      <c r="L73" s="91"/>
      <c r="N73" s="18"/>
      <c r="O73" s="25"/>
      <c r="P73" s="18"/>
      <c r="Q73" s="91"/>
    </row>
    <row r="74" spans="1:22">
      <c r="A74" s="196" t="s">
        <v>89</v>
      </c>
      <c r="B74" s="196" t="s">
        <v>64</v>
      </c>
      <c r="D74" s="92" t="s">
        <v>169</v>
      </c>
      <c r="E74" s="92" t="s">
        <v>170</v>
      </c>
      <c r="F74" s="92" t="s">
        <v>63</v>
      </c>
      <c r="G74" s="92" t="s">
        <v>215</v>
      </c>
      <c r="I74" s="196" t="s">
        <v>169</v>
      </c>
      <c r="J74" s="196" t="s">
        <v>170</v>
      </c>
      <c r="K74" s="196" t="s">
        <v>63</v>
      </c>
      <c r="L74" s="196" t="s">
        <v>215</v>
      </c>
      <c r="N74" s="196" t="s">
        <v>169</v>
      </c>
      <c r="O74" s="196" t="s">
        <v>170</v>
      </c>
      <c r="P74" s="196" t="s">
        <v>63</v>
      </c>
      <c r="Q74" s="196" t="s">
        <v>215</v>
      </c>
    </row>
    <row r="75" spans="1:22">
      <c r="A75" s="18"/>
      <c r="B75" s="16" t="s">
        <v>44</v>
      </c>
      <c r="D75" s="16" t="s">
        <v>45</v>
      </c>
      <c r="E75" s="16" t="s">
        <v>74</v>
      </c>
      <c r="F75" s="16" t="s">
        <v>75</v>
      </c>
      <c r="G75" s="16" t="s">
        <v>76</v>
      </c>
      <c r="I75" s="191" t="s">
        <v>77</v>
      </c>
      <c r="J75" s="191" t="s">
        <v>78</v>
      </c>
      <c r="K75" s="191" t="s">
        <v>79</v>
      </c>
      <c r="L75" s="191" t="s">
        <v>80</v>
      </c>
      <c r="N75" s="191" t="s">
        <v>81</v>
      </c>
      <c r="O75" s="191" t="s">
        <v>82</v>
      </c>
      <c r="P75" s="191" t="s">
        <v>83</v>
      </c>
      <c r="Q75" s="191" t="s">
        <v>84</v>
      </c>
    </row>
    <row r="77" spans="1:22">
      <c r="A77" s="1">
        <f>+'II-D-3.2'!A77</f>
        <v>49</v>
      </c>
      <c r="B77" s="132" t="str">
        <f t="shared" ref="B77:B88" si="27">+B46</f>
        <v>January 2024</v>
      </c>
      <c r="D77" s="139">
        <v>18990534.829999935</v>
      </c>
      <c r="E77" s="139">
        <v>19064172.859999962</v>
      </c>
      <c r="F77" s="139">
        <v>9421997.7600000259</v>
      </c>
      <c r="G77" s="139">
        <f t="shared" ref="G77:G88" si="28">SUM(D77:F77)</f>
        <v>47476705.449999921</v>
      </c>
      <c r="I77" s="139">
        <v>0</v>
      </c>
      <c r="J77" s="139">
        <v>0</v>
      </c>
      <c r="K77" s="139">
        <v>0</v>
      </c>
      <c r="L77" s="139">
        <f t="shared" ref="L77:L88" si="29">SUM(I77:K77)</f>
        <v>0</v>
      </c>
      <c r="N77" s="139">
        <f>+D77+I77</f>
        <v>18990534.829999935</v>
      </c>
      <c r="O77" s="139">
        <f t="shared" ref="O77:O88" si="30">+E77+J77</f>
        <v>19064172.859999962</v>
      </c>
      <c r="P77" s="139">
        <f t="shared" ref="P77:P88" si="31">+F77+K77</f>
        <v>9421997.7600000259</v>
      </c>
      <c r="Q77" s="139">
        <f t="shared" ref="Q77:Q88" si="32">+G77+L77</f>
        <v>47476705.449999921</v>
      </c>
    </row>
    <row r="78" spans="1:22">
      <c r="A78" s="1">
        <f>+'II-D-3.2'!A78</f>
        <v>50</v>
      </c>
      <c r="B78" s="132" t="str">
        <f t="shared" si="27"/>
        <v>February 2024</v>
      </c>
      <c r="D78" s="66">
        <v>11143155.319999991</v>
      </c>
      <c r="E78" s="66">
        <v>20213201.500000004</v>
      </c>
      <c r="F78" s="66">
        <v>2618958.7300000098</v>
      </c>
      <c r="G78" s="93">
        <f t="shared" si="28"/>
        <v>33975315.550000004</v>
      </c>
      <c r="I78" s="66">
        <v>0</v>
      </c>
      <c r="J78" s="66">
        <v>0</v>
      </c>
      <c r="K78" s="66">
        <v>0</v>
      </c>
      <c r="L78" s="93">
        <f t="shared" si="29"/>
        <v>0</v>
      </c>
      <c r="N78" s="66">
        <f t="shared" ref="N78:N88" si="33">+D78+I78</f>
        <v>11143155.319999991</v>
      </c>
      <c r="O78" s="66">
        <f t="shared" si="30"/>
        <v>20213201.500000004</v>
      </c>
      <c r="P78" s="66">
        <f t="shared" si="31"/>
        <v>2618958.7300000098</v>
      </c>
      <c r="Q78" s="93">
        <f t="shared" si="32"/>
        <v>33975315.550000004</v>
      </c>
    </row>
    <row r="79" spans="1:22">
      <c r="A79" s="1">
        <f>+'II-D-3.2'!A79</f>
        <v>51</v>
      </c>
      <c r="B79" s="132" t="str">
        <f t="shared" si="27"/>
        <v>March 2024</v>
      </c>
      <c r="D79" s="66">
        <v>19513590.270000037</v>
      </c>
      <c r="E79" s="66">
        <v>22719614.130000062</v>
      </c>
      <c r="F79" s="66">
        <v>3123353.5800000094</v>
      </c>
      <c r="G79" s="93">
        <f t="shared" si="28"/>
        <v>45356557.980000108</v>
      </c>
      <c r="I79" s="66">
        <v>0</v>
      </c>
      <c r="J79" s="66">
        <v>0</v>
      </c>
      <c r="K79" s="66">
        <v>0</v>
      </c>
      <c r="L79" s="93">
        <f t="shared" si="29"/>
        <v>0</v>
      </c>
      <c r="N79" s="66">
        <f t="shared" si="33"/>
        <v>19513590.270000037</v>
      </c>
      <c r="O79" s="66">
        <f t="shared" si="30"/>
        <v>22719614.130000062</v>
      </c>
      <c r="P79" s="66">
        <f t="shared" si="31"/>
        <v>3123353.5800000094</v>
      </c>
      <c r="Q79" s="93">
        <f t="shared" si="32"/>
        <v>45356557.980000108</v>
      </c>
    </row>
    <row r="80" spans="1:22">
      <c r="A80" s="1">
        <f>+'II-D-3.2'!A80</f>
        <v>52</v>
      </c>
      <c r="B80" s="132" t="str">
        <f t="shared" si="27"/>
        <v>April 2024</v>
      </c>
      <c r="D80" s="66">
        <v>18294972.89999998</v>
      </c>
      <c r="E80" s="66">
        <v>20346179.509999901</v>
      </c>
      <c r="F80" s="66">
        <v>5045899.8199999798</v>
      </c>
      <c r="G80" s="93">
        <f t="shared" si="28"/>
        <v>43687052.229999855</v>
      </c>
      <c r="I80" s="66">
        <v>0</v>
      </c>
      <c r="J80" s="66">
        <v>0</v>
      </c>
      <c r="K80" s="66">
        <v>0</v>
      </c>
      <c r="L80" s="93">
        <f t="shared" si="29"/>
        <v>0</v>
      </c>
      <c r="N80" s="66">
        <f t="shared" si="33"/>
        <v>18294972.89999998</v>
      </c>
      <c r="O80" s="66">
        <f t="shared" si="30"/>
        <v>20346179.509999901</v>
      </c>
      <c r="P80" s="66">
        <f t="shared" si="31"/>
        <v>5045899.8199999798</v>
      </c>
      <c r="Q80" s="93">
        <f t="shared" si="32"/>
        <v>43687052.229999855</v>
      </c>
    </row>
    <row r="81" spans="1:17">
      <c r="A81" s="1">
        <f>+'II-D-3.2'!A81</f>
        <v>53</v>
      </c>
      <c r="B81" s="132" t="str">
        <f t="shared" si="27"/>
        <v>May 2024</v>
      </c>
      <c r="D81" s="66">
        <v>11494061.329999993</v>
      </c>
      <c r="E81" s="66">
        <v>21572168.969999984</v>
      </c>
      <c r="F81" s="66">
        <v>13357700.720000019</v>
      </c>
      <c r="G81" s="93">
        <f t="shared" si="28"/>
        <v>46423931.019999996</v>
      </c>
      <c r="I81" s="66">
        <v>0</v>
      </c>
      <c r="J81" s="66">
        <v>0</v>
      </c>
      <c r="K81" s="66">
        <v>0</v>
      </c>
      <c r="L81" s="93">
        <f t="shared" si="29"/>
        <v>0</v>
      </c>
      <c r="N81" s="66">
        <f t="shared" si="33"/>
        <v>11494061.329999993</v>
      </c>
      <c r="O81" s="66">
        <f t="shared" si="30"/>
        <v>21572168.969999984</v>
      </c>
      <c r="P81" s="66">
        <f t="shared" si="31"/>
        <v>13357700.720000019</v>
      </c>
      <c r="Q81" s="93">
        <f t="shared" si="32"/>
        <v>46423931.019999996</v>
      </c>
    </row>
    <row r="82" spans="1:17">
      <c r="A82" s="1">
        <f>+'II-D-3.2'!A82</f>
        <v>54</v>
      </c>
      <c r="B82" s="132" t="str">
        <f t="shared" si="27"/>
        <v>June 2024</v>
      </c>
      <c r="D82" s="66">
        <v>14414300.609999998</v>
      </c>
      <c r="E82" s="66">
        <v>19864077.550000001</v>
      </c>
      <c r="F82" s="66">
        <v>18983105.729999941</v>
      </c>
      <c r="G82" s="93">
        <f t="shared" si="28"/>
        <v>53261483.889999941</v>
      </c>
      <c r="I82" s="66">
        <v>0</v>
      </c>
      <c r="J82" s="66">
        <v>0</v>
      </c>
      <c r="K82" s="66">
        <v>0</v>
      </c>
      <c r="L82" s="93">
        <f t="shared" si="29"/>
        <v>0</v>
      </c>
      <c r="N82" s="66">
        <f t="shared" si="33"/>
        <v>14414300.609999998</v>
      </c>
      <c r="O82" s="66">
        <f t="shared" si="30"/>
        <v>19864077.550000001</v>
      </c>
      <c r="P82" s="66">
        <f t="shared" si="31"/>
        <v>18983105.729999941</v>
      </c>
      <c r="Q82" s="93">
        <f t="shared" si="32"/>
        <v>53261483.889999941</v>
      </c>
    </row>
    <row r="83" spans="1:17">
      <c r="A83" s="1">
        <f>+'II-D-3.2'!A83</f>
        <v>55</v>
      </c>
      <c r="B83" s="132" t="str">
        <f t="shared" si="27"/>
        <v>July 2024</v>
      </c>
      <c r="D83" s="66">
        <v>20979080.350000031</v>
      </c>
      <c r="E83" s="66">
        <v>20074381.250000015</v>
      </c>
      <c r="F83" s="66">
        <v>5360858.9299999913</v>
      </c>
      <c r="G83" s="93">
        <f t="shared" si="28"/>
        <v>46414320.530000038</v>
      </c>
      <c r="I83" s="66">
        <v>0</v>
      </c>
      <c r="J83" s="66">
        <v>0</v>
      </c>
      <c r="K83" s="66">
        <v>0</v>
      </c>
      <c r="L83" s="93">
        <f t="shared" si="29"/>
        <v>0</v>
      </c>
      <c r="N83" s="66">
        <f t="shared" si="33"/>
        <v>20979080.350000031</v>
      </c>
      <c r="O83" s="66">
        <f t="shared" si="30"/>
        <v>20074381.250000015</v>
      </c>
      <c r="P83" s="66">
        <f t="shared" si="31"/>
        <v>5360858.9299999913</v>
      </c>
      <c r="Q83" s="93">
        <f t="shared" si="32"/>
        <v>46414320.530000038</v>
      </c>
    </row>
    <row r="84" spans="1:17">
      <c r="A84" s="1">
        <f>+'II-D-3.2'!A84</f>
        <v>56</v>
      </c>
      <c r="B84" s="132" t="str">
        <f t="shared" si="27"/>
        <v>August 2024</v>
      </c>
      <c r="D84" s="66">
        <v>18412577.229999974</v>
      </c>
      <c r="E84" s="66">
        <v>21716718.299999956</v>
      </c>
      <c r="F84" s="66">
        <v>6407461.0899999989</v>
      </c>
      <c r="G84" s="93">
        <f t="shared" si="28"/>
        <v>46536756.619999923</v>
      </c>
      <c r="I84" s="66">
        <v>0</v>
      </c>
      <c r="J84" s="66">
        <v>0</v>
      </c>
      <c r="K84" s="66">
        <v>0</v>
      </c>
      <c r="L84" s="93">
        <f t="shared" si="29"/>
        <v>0</v>
      </c>
      <c r="N84" s="66">
        <f t="shared" si="33"/>
        <v>18412577.229999974</v>
      </c>
      <c r="O84" s="66">
        <f t="shared" si="30"/>
        <v>21716718.299999956</v>
      </c>
      <c r="P84" s="66">
        <f t="shared" si="31"/>
        <v>6407461.0899999989</v>
      </c>
      <c r="Q84" s="93">
        <f t="shared" si="32"/>
        <v>46536756.619999923</v>
      </c>
    </row>
    <row r="85" spans="1:17">
      <c r="A85" s="1">
        <f>+'II-D-3.2'!A85</f>
        <v>57</v>
      </c>
      <c r="B85" s="132" t="str">
        <f t="shared" si="27"/>
        <v>September 2024</v>
      </c>
      <c r="D85" s="66">
        <v>18646569.90000001</v>
      </c>
      <c r="E85" s="66">
        <v>20601539.000000037</v>
      </c>
      <c r="F85" s="66">
        <v>4927956.9199999915</v>
      </c>
      <c r="G85" s="93">
        <f t="shared" si="28"/>
        <v>44176065.820000045</v>
      </c>
      <c r="I85" s="66">
        <v>0</v>
      </c>
      <c r="J85" s="66">
        <v>0</v>
      </c>
      <c r="K85" s="66">
        <v>0</v>
      </c>
      <c r="L85" s="93">
        <f t="shared" si="29"/>
        <v>0</v>
      </c>
      <c r="N85" s="66">
        <f t="shared" si="33"/>
        <v>18646569.90000001</v>
      </c>
      <c r="O85" s="66">
        <f t="shared" si="30"/>
        <v>20601539.000000037</v>
      </c>
      <c r="P85" s="66">
        <f t="shared" si="31"/>
        <v>4927956.9199999915</v>
      </c>
      <c r="Q85" s="93">
        <f t="shared" si="32"/>
        <v>44176065.820000045</v>
      </c>
    </row>
    <row r="86" spans="1:17">
      <c r="A86" s="1">
        <f>+'II-D-3.2'!A86</f>
        <v>58</v>
      </c>
      <c r="B86" s="132" t="str">
        <f t="shared" si="27"/>
        <v>October 2024</v>
      </c>
      <c r="D86" s="66">
        <v>17451813.17999997</v>
      </c>
      <c r="E86" s="66">
        <v>22596408.990000032</v>
      </c>
      <c r="F86" s="66">
        <v>2366808.9200000069</v>
      </c>
      <c r="G86" s="93">
        <f t="shared" si="28"/>
        <v>42415031.090000011</v>
      </c>
      <c r="I86" s="66">
        <v>0</v>
      </c>
      <c r="J86" s="66">
        <v>0</v>
      </c>
      <c r="K86" s="66">
        <v>0</v>
      </c>
      <c r="L86" s="93">
        <f t="shared" si="29"/>
        <v>0</v>
      </c>
      <c r="N86" s="66">
        <f t="shared" si="33"/>
        <v>17451813.17999997</v>
      </c>
      <c r="O86" s="66">
        <f t="shared" si="30"/>
        <v>22596408.990000032</v>
      </c>
      <c r="P86" s="66">
        <f t="shared" si="31"/>
        <v>2366808.9200000069</v>
      </c>
      <c r="Q86" s="93">
        <f t="shared" si="32"/>
        <v>42415031.090000011</v>
      </c>
    </row>
    <row r="87" spans="1:17">
      <c r="A87" s="1">
        <f>+'II-D-3.2'!A87</f>
        <v>59</v>
      </c>
      <c r="B87" s="132" t="str">
        <f t="shared" si="27"/>
        <v>November 2024</v>
      </c>
      <c r="D87" s="66">
        <v>15179417.51</v>
      </c>
      <c r="E87" s="66">
        <v>21643355.490000013</v>
      </c>
      <c r="F87" s="66">
        <v>4677863.8099999959</v>
      </c>
      <c r="G87" s="93">
        <f t="shared" si="28"/>
        <v>41500636.81000001</v>
      </c>
      <c r="I87" s="66">
        <v>0</v>
      </c>
      <c r="J87" s="66">
        <v>0</v>
      </c>
      <c r="K87" s="66">
        <v>0</v>
      </c>
      <c r="L87" s="93">
        <f t="shared" si="29"/>
        <v>0</v>
      </c>
      <c r="N87" s="66">
        <f t="shared" si="33"/>
        <v>15179417.51</v>
      </c>
      <c r="O87" s="66">
        <f t="shared" si="30"/>
        <v>21643355.490000013</v>
      </c>
      <c r="P87" s="66">
        <f t="shared" si="31"/>
        <v>4677863.8099999959</v>
      </c>
      <c r="Q87" s="93">
        <f t="shared" si="32"/>
        <v>41500636.81000001</v>
      </c>
    </row>
    <row r="88" spans="1:17">
      <c r="A88" s="1">
        <f>+'II-D-3.2'!A88</f>
        <v>60</v>
      </c>
      <c r="B88" s="132" t="str">
        <f t="shared" si="27"/>
        <v>December 2024</v>
      </c>
      <c r="D88" s="66">
        <v>21344568.569999967</v>
      </c>
      <c r="E88" s="66">
        <v>22689528.139999952</v>
      </c>
      <c r="F88" s="66">
        <v>3337964.7700000047</v>
      </c>
      <c r="G88" s="93">
        <f t="shared" si="28"/>
        <v>47372061.479999922</v>
      </c>
      <c r="I88" s="66">
        <v>0</v>
      </c>
      <c r="J88" s="66">
        <v>0</v>
      </c>
      <c r="K88" s="66">
        <v>0</v>
      </c>
      <c r="L88" s="93">
        <f t="shared" si="29"/>
        <v>0</v>
      </c>
      <c r="N88" s="66">
        <f t="shared" si="33"/>
        <v>21344568.569999967</v>
      </c>
      <c r="O88" s="66">
        <f t="shared" si="30"/>
        <v>22689528.139999952</v>
      </c>
      <c r="P88" s="66">
        <f t="shared" si="31"/>
        <v>3337964.7700000047</v>
      </c>
      <c r="Q88" s="93">
        <f t="shared" si="32"/>
        <v>47372061.479999922</v>
      </c>
    </row>
    <row r="89" spans="1:17">
      <c r="A89" s="1">
        <f>+'II-D-3.2'!A89</f>
        <v>61</v>
      </c>
      <c r="D89" s="115"/>
      <c r="E89" s="115"/>
      <c r="F89" s="115"/>
      <c r="G89" s="115"/>
      <c r="I89" s="115"/>
      <c r="J89" s="115"/>
      <c r="K89" s="115"/>
      <c r="L89" s="115"/>
      <c r="N89" s="115"/>
      <c r="O89" s="115"/>
      <c r="P89" s="115"/>
      <c r="Q89" s="115"/>
    </row>
    <row r="90" spans="1:17">
      <c r="A90" s="1">
        <f>+'II-D-3.2'!A90</f>
        <v>62</v>
      </c>
      <c r="B90" s="94" t="s">
        <v>69</v>
      </c>
      <c r="D90" s="141">
        <f>SUM(D77:D88)</f>
        <v>205864641.99999988</v>
      </c>
      <c r="E90" s="141">
        <f>SUM(E77:E88)</f>
        <v>253101345.68999991</v>
      </c>
      <c r="F90" s="141">
        <f>SUM(F77:F88)</f>
        <v>79629930.779999986</v>
      </c>
      <c r="G90" s="141">
        <f>SUM(G77:G88)</f>
        <v>538595918.46999979</v>
      </c>
      <c r="I90" s="141">
        <f>SUM(I77:I88)</f>
        <v>0</v>
      </c>
      <c r="J90" s="141">
        <f>SUM(J77:J88)</f>
        <v>0</v>
      </c>
      <c r="K90" s="141">
        <f>SUM(K77:K88)</f>
        <v>0</v>
      </c>
      <c r="L90" s="141">
        <f>SUM(L77:L88)</f>
        <v>0</v>
      </c>
      <c r="N90" s="141">
        <f>SUM(N77:N88)</f>
        <v>205864641.99999988</v>
      </c>
      <c r="O90" s="141">
        <f>SUM(O77:O88)</f>
        <v>253101345.68999991</v>
      </c>
      <c r="P90" s="141">
        <f>SUM(P77:P88)</f>
        <v>79629930.779999986</v>
      </c>
      <c r="Q90" s="141">
        <f>SUM(Q77:Q88)</f>
        <v>538595918.46999979</v>
      </c>
    </row>
    <row r="91" spans="1:17">
      <c r="A91" s="1">
        <f>+'II-D-3.2'!A91</f>
        <v>63</v>
      </c>
    </row>
    <row r="92" spans="1:17">
      <c r="A92" s="1">
        <f>+'II-D-3.2'!A92</f>
        <v>64</v>
      </c>
    </row>
    <row r="93" spans="1:17">
      <c r="A93" s="1">
        <f>+'II-D-3.2'!A93</f>
        <v>65</v>
      </c>
      <c r="B93" s="94" t="s">
        <v>158</v>
      </c>
      <c r="D93" s="139">
        <v>17372849.789999966</v>
      </c>
      <c r="E93" s="139">
        <v>18785323.850000001</v>
      </c>
      <c r="F93" s="139">
        <v>8057909.3599999994</v>
      </c>
      <c r="G93" s="139">
        <f>SUM(D93:F93)</f>
        <v>44216082.99999997</v>
      </c>
      <c r="I93" s="139">
        <v>0</v>
      </c>
      <c r="J93" s="139">
        <v>0</v>
      </c>
      <c r="K93" s="139">
        <v>0</v>
      </c>
      <c r="L93" s="139">
        <f>SUM(I93:K93)</f>
        <v>0</v>
      </c>
      <c r="N93" s="139">
        <f>+D93+I93</f>
        <v>17372849.789999966</v>
      </c>
      <c r="O93" s="139">
        <f t="shared" ref="O93:O95" si="34">+E93+J93</f>
        <v>18785323.850000001</v>
      </c>
      <c r="P93" s="139">
        <f t="shared" ref="P93:P95" si="35">+F93+K93</f>
        <v>8057909.3599999994</v>
      </c>
      <c r="Q93" s="139">
        <f t="shared" ref="Q93:Q95" si="36">+G93+L93</f>
        <v>44216082.99999997</v>
      </c>
    </row>
    <row r="94" spans="1:17">
      <c r="A94" s="1">
        <f>+'II-D-3.2'!A94</f>
        <v>66</v>
      </c>
      <c r="B94" s="94" t="s">
        <v>159</v>
      </c>
      <c r="D94" s="66">
        <v>15475436.140000023</v>
      </c>
      <c r="E94" s="66">
        <v>20299873.53999994</v>
      </c>
      <c r="F94" s="66">
        <v>4680799.1900000032</v>
      </c>
      <c r="G94" s="93">
        <f>SUM(D94:F94)</f>
        <v>40456108.869999968</v>
      </c>
      <c r="I94" s="66">
        <v>0</v>
      </c>
      <c r="J94" s="66">
        <v>0</v>
      </c>
      <c r="K94" s="66">
        <v>0</v>
      </c>
      <c r="L94" s="93">
        <f>SUM(I94:K94)</f>
        <v>0</v>
      </c>
      <c r="N94" s="66">
        <f t="shared" ref="N94:N95" si="37">+D94+I94</f>
        <v>15475436.140000023</v>
      </c>
      <c r="O94" s="66">
        <f t="shared" si="34"/>
        <v>20299873.53999994</v>
      </c>
      <c r="P94" s="66">
        <f t="shared" si="35"/>
        <v>4680799.1900000032</v>
      </c>
      <c r="Q94" s="93">
        <f t="shared" si="36"/>
        <v>40456108.869999968</v>
      </c>
    </row>
    <row r="95" spans="1:17">
      <c r="A95" s="1">
        <f>+'II-D-3.2'!A95</f>
        <v>67</v>
      </c>
      <c r="B95" s="94" t="s">
        <v>46</v>
      </c>
      <c r="D95" s="66">
        <v>21998403.340000015</v>
      </c>
      <c r="E95" s="66">
        <v>24576547.439999927</v>
      </c>
      <c r="F95" s="66">
        <v>11969046.969999993</v>
      </c>
      <c r="G95" s="93">
        <f>SUM(D95:F95)</f>
        <v>58543997.749999933</v>
      </c>
      <c r="I95" s="66">
        <v>0</v>
      </c>
      <c r="J95" s="66">
        <v>0</v>
      </c>
      <c r="K95" s="66">
        <v>0</v>
      </c>
      <c r="L95" s="93">
        <f>SUM(I95:K95)</f>
        <v>0</v>
      </c>
      <c r="N95" s="66">
        <f t="shared" si="37"/>
        <v>21998403.340000015</v>
      </c>
      <c r="O95" s="66">
        <f t="shared" si="34"/>
        <v>24576547.439999927</v>
      </c>
      <c r="P95" s="66">
        <f t="shared" si="35"/>
        <v>11969046.969999993</v>
      </c>
      <c r="Q95" s="93">
        <f t="shared" si="36"/>
        <v>58543997.749999933</v>
      </c>
    </row>
    <row r="96" spans="1:17">
      <c r="A96" s="1">
        <f>+'II-D-3.2'!A96</f>
        <v>68</v>
      </c>
    </row>
    <row r="97" spans="1:17">
      <c r="A97" s="1">
        <f>+'II-D-3.2'!A97</f>
        <v>69</v>
      </c>
    </row>
    <row r="98" spans="1:17">
      <c r="A98" s="1">
        <f>+'II-D-3.2'!A98</f>
        <v>70</v>
      </c>
      <c r="B98" s="94" t="str">
        <f>+B67</f>
        <v>TME 2021</v>
      </c>
      <c r="D98" s="139">
        <v>165725766.09000018</v>
      </c>
      <c r="E98" s="139">
        <v>171678002.24999985</v>
      </c>
      <c r="F98" s="139">
        <v>52015051.670000084</v>
      </c>
      <c r="G98" s="139">
        <f>SUM(D98:F98)</f>
        <v>389418820.01000011</v>
      </c>
      <c r="I98" s="139">
        <v>0</v>
      </c>
      <c r="J98" s="139">
        <v>0</v>
      </c>
      <c r="K98" s="139">
        <v>0</v>
      </c>
      <c r="L98" s="139">
        <f>SUM(I98:K98)</f>
        <v>0</v>
      </c>
      <c r="N98" s="139">
        <f>+D98+I98</f>
        <v>165725766.09000018</v>
      </c>
      <c r="O98" s="139">
        <f t="shared" ref="O98:O100" si="38">+E98+J98</f>
        <v>171678002.24999985</v>
      </c>
      <c r="P98" s="139">
        <f t="shared" ref="P98:P100" si="39">+F98+K98</f>
        <v>52015051.670000084</v>
      </c>
      <c r="Q98" s="139">
        <f t="shared" ref="Q98:Q100" si="40">+G98+L98</f>
        <v>389418820.01000011</v>
      </c>
    </row>
    <row r="99" spans="1:17">
      <c r="A99" s="1">
        <f>+'II-D-3.2'!A99</f>
        <v>71</v>
      </c>
      <c r="B99" s="94" t="str">
        <f>+B68</f>
        <v>TME 2022</v>
      </c>
      <c r="D99" s="66">
        <v>182410763.3000007</v>
      </c>
      <c r="E99" s="66">
        <v>195162164.36999914</v>
      </c>
      <c r="F99" s="66">
        <v>62452199.940000169</v>
      </c>
      <c r="G99" s="93">
        <f>SUM(D99:F99)</f>
        <v>440025127.61000001</v>
      </c>
      <c r="I99" s="66">
        <v>0</v>
      </c>
      <c r="J99" s="66">
        <v>0</v>
      </c>
      <c r="K99" s="66">
        <v>0</v>
      </c>
      <c r="L99" s="93">
        <f>SUM(I99:K99)</f>
        <v>0</v>
      </c>
      <c r="N99" s="66">
        <f t="shared" ref="N99:N100" si="41">+D99+I99</f>
        <v>182410763.3000007</v>
      </c>
      <c r="O99" s="66">
        <f t="shared" si="38"/>
        <v>195162164.36999914</v>
      </c>
      <c r="P99" s="66">
        <f t="shared" si="39"/>
        <v>62452199.940000169</v>
      </c>
      <c r="Q99" s="93">
        <f t="shared" si="40"/>
        <v>440025127.61000001</v>
      </c>
    </row>
    <row r="100" spans="1:17">
      <c r="A100" s="1">
        <f>+'II-D-3.2'!A100</f>
        <v>72</v>
      </c>
      <c r="B100" s="94" t="str">
        <f>+B69</f>
        <v>TME 2023</v>
      </c>
      <c r="D100" s="66">
        <v>219865760.3699995</v>
      </c>
      <c r="E100" s="66">
        <v>220187149.88000119</v>
      </c>
      <c r="F100" s="66">
        <v>46516418.27999986</v>
      </c>
      <c r="G100" s="93">
        <f>SUM(D100:F100)</f>
        <v>486569328.53000057</v>
      </c>
      <c r="I100" s="66">
        <v>0</v>
      </c>
      <c r="J100" s="66">
        <v>0</v>
      </c>
      <c r="K100" s="66">
        <v>0</v>
      </c>
      <c r="L100" s="93">
        <f>SUM(I100:K100)</f>
        <v>0</v>
      </c>
      <c r="N100" s="66">
        <f t="shared" si="41"/>
        <v>219865760.3699995</v>
      </c>
      <c r="O100" s="66">
        <f t="shared" si="38"/>
        <v>220187149.88000119</v>
      </c>
      <c r="P100" s="66">
        <f t="shared" si="39"/>
        <v>46516418.27999986</v>
      </c>
      <c r="Q100" s="93">
        <f t="shared" si="40"/>
        <v>486569328.53000057</v>
      </c>
    </row>
    <row r="103" spans="1:17" ht="13.5" thickBot="1">
      <c r="D103" s="379" t="s">
        <v>281</v>
      </c>
      <c r="E103" s="379"/>
      <c r="F103" s="379"/>
      <c r="G103" s="379"/>
    </row>
    <row r="104" spans="1:17">
      <c r="A104" s="18" t="s">
        <v>87</v>
      </c>
      <c r="B104" s="18"/>
      <c r="D104" s="18"/>
      <c r="E104" s="25"/>
      <c r="F104" s="18"/>
      <c r="G104" s="91"/>
    </row>
    <row r="105" spans="1:17">
      <c r="A105" s="196" t="s">
        <v>89</v>
      </c>
      <c r="B105" s="196" t="s">
        <v>64</v>
      </c>
      <c r="D105" s="92" t="s">
        <v>169</v>
      </c>
      <c r="E105" s="92" t="s">
        <v>170</v>
      </c>
      <c r="F105" s="92" t="s">
        <v>63</v>
      </c>
      <c r="G105" s="92" t="s">
        <v>215</v>
      </c>
    </row>
    <row r="106" spans="1:17">
      <c r="A106" s="18"/>
      <c r="B106" s="16" t="s">
        <v>44</v>
      </c>
      <c r="D106" s="16" t="s">
        <v>45</v>
      </c>
      <c r="E106" s="16" t="s">
        <v>74</v>
      </c>
      <c r="F106" s="16" t="s">
        <v>75</v>
      </c>
      <c r="G106" s="16" t="s">
        <v>76</v>
      </c>
    </row>
    <row r="108" spans="1:17">
      <c r="A108" s="1">
        <f>+'II-D-3.2'!A108</f>
        <v>73</v>
      </c>
      <c r="B108" s="132" t="str">
        <f t="shared" ref="B108:B119" si="42">+B77</f>
        <v>January 2024</v>
      </c>
      <c r="D108" s="139">
        <v>4415520.8299999973</v>
      </c>
      <c r="E108" s="139">
        <v>1058688.8200000122</v>
      </c>
      <c r="F108" s="139">
        <v>106411.39999999995</v>
      </c>
      <c r="G108" s="139">
        <f>SUM(D108:F108)</f>
        <v>5580621.0500000101</v>
      </c>
    </row>
    <row r="109" spans="1:17">
      <c r="A109" s="1">
        <f>+'II-D-3.2'!A109</f>
        <v>74</v>
      </c>
      <c r="B109" s="132" t="str">
        <f t="shared" si="42"/>
        <v>February 2024</v>
      </c>
      <c r="D109" s="66">
        <v>3940926.129999998</v>
      </c>
      <c r="E109" s="66">
        <v>1205373.0400000121</v>
      </c>
      <c r="F109" s="66">
        <v>84570.189999999988</v>
      </c>
      <c r="G109" s="93">
        <f t="shared" ref="G109:G119" si="43">SUM(D109:F109)</f>
        <v>5230869.3600000106</v>
      </c>
    </row>
    <row r="110" spans="1:17">
      <c r="A110" s="1">
        <f>+'II-D-3.2'!A110</f>
        <v>75</v>
      </c>
      <c r="B110" s="132" t="str">
        <f t="shared" si="42"/>
        <v>March 2024</v>
      </c>
      <c r="D110" s="66">
        <v>4937929.8000000026</v>
      </c>
      <c r="E110" s="66">
        <v>1205821.6600000144</v>
      </c>
      <c r="F110" s="66">
        <v>95173.839999999967</v>
      </c>
      <c r="G110" s="93">
        <f t="shared" si="43"/>
        <v>6238925.3000000166</v>
      </c>
    </row>
    <row r="111" spans="1:17">
      <c r="A111" s="1">
        <f>+'II-D-3.2'!A111</f>
        <v>76</v>
      </c>
      <c r="B111" s="132" t="str">
        <f t="shared" si="42"/>
        <v>April 2024</v>
      </c>
      <c r="D111" s="66">
        <v>4527520.9300000044</v>
      </c>
      <c r="E111" s="66">
        <v>1025515.8400000102</v>
      </c>
      <c r="F111" s="66">
        <v>101973.56999999993</v>
      </c>
      <c r="G111" s="93">
        <f t="shared" si="43"/>
        <v>5655010.3400000148</v>
      </c>
    </row>
    <row r="112" spans="1:17">
      <c r="A112" s="1">
        <f>+'II-D-3.2'!A112</f>
        <v>77</v>
      </c>
      <c r="B112" s="132" t="str">
        <f t="shared" si="42"/>
        <v>May 2024</v>
      </c>
      <c r="D112" s="66">
        <v>5808412.8200000087</v>
      </c>
      <c r="E112" s="66">
        <v>1031073.7500000134</v>
      </c>
      <c r="F112" s="66">
        <v>256821.52000000002</v>
      </c>
      <c r="G112" s="93">
        <f t="shared" si="43"/>
        <v>7096308.0900000222</v>
      </c>
    </row>
    <row r="113" spans="1:7">
      <c r="A113" s="1">
        <f>+'II-D-3.2'!A113</f>
        <v>78</v>
      </c>
      <c r="B113" s="132" t="str">
        <f t="shared" si="42"/>
        <v>June 2024</v>
      </c>
      <c r="D113" s="66">
        <v>4376719.9800000023</v>
      </c>
      <c r="E113" s="66">
        <v>1491313.5500000101</v>
      </c>
      <c r="F113" s="66">
        <v>864020.87000000058</v>
      </c>
      <c r="G113" s="93">
        <f t="shared" si="43"/>
        <v>6732054.4000000134</v>
      </c>
    </row>
    <row r="114" spans="1:7">
      <c r="A114" s="1">
        <f>+'II-D-3.2'!A114</f>
        <v>79</v>
      </c>
      <c r="B114" s="132" t="str">
        <f t="shared" si="42"/>
        <v>July 2024</v>
      </c>
      <c r="D114" s="66">
        <v>4734520.7700000005</v>
      </c>
      <c r="E114" s="66">
        <v>962476.19000000576</v>
      </c>
      <c r="F114" s="66">
        <v>136374.12999999998</v>
      </c>
      <c r="G114" s="93">
        <f t="shared" si="43"/>
        <v>5833371.0900000064</v>
      </c>
    </row>
    <row r="115" spans="1:7">
      <c r="A115" s="1">
        <f>+'II-D-3.2'!A115</f>
        <v>80</v>
      </c>
      <c r="B115" s="132" t="str">
        <f t="shared" si="42"/>
        <v>August 2024</v>
      </c>
      <c r="D115" s="66">
        <v>4346496.4000000013</v>
      </c>
      <c r="E115" s="66">
        <v>1296764.6500000183</v>
      </c>
      <c r="F115" s="66">
        <v>257669.65000000005</v>
      </c>
      <c r="G115" s="93">
        <f t="shared" si="43"/>
        <v>5900930.7000000197</v>
      </c>
    </row>
    <row r="116" spans="1:7">
      <c r="A116" s="1">
        <f>+'II-D-3.2'!A116</f>
        <v>81</v>
      </c>
      <c r="B116" s="132" t="str">
        <f t="shared" si="42"/>
        <v>September 2024</v>
      </c>
      <c r="D116" s="66">
        <v>4004174.9100000034</v>
      </c>
      <c r="E116" s="66">
        <v>1713173.4800000256</v>
      </c>
      <c r="F116" s="66">
        <v>117898.95000000001</v>
      </c>
      <c r="G116" s="93">
        <f t="shared" si="43"/>
        <v>5835247.3400000287</v>
      </c>
    </row>
    <row r="117" spans="1:7">
      <c r="A117" s="1">
        <f>+'II-D-3.2'!A117</f>
        <v>82</v>
      </c>
      <c r="B117" s="132" t="str">
        <f t="shared" si="42"/>
        <v>October 2024</v>
      </c>
      <c r="D117" s="66">
        <v>4637777.209999999</v>
      </c>
      <c r="E117" s="66">
        <v>1126613.2400000086</v>
      </c>
      <c r="F117" s="66">
        <v>72050.900000000038</v>
      </c>
      <c r="G117" s="93">
        <f t="shared" si="43"/>
        <v>5836441.350000008</v>
      </c>
    </row>
    <row r="118" spans="1:7">
      <c r="A118" s="1">
        <f>+'II-D-3.2'!A118</f>
        <v>83</v>
      </c>
      <c r="B118" s="132" t="str">
        <f t="shared" si="42"/>
        <v>November 2024</v>
      </c>
      <c r="D118" s="66">
        <v>6151087.7000000039</v>
      </c>
      <c r="E118" s="66">
        <v>972871.72000001126</v>
      </c>
      <c r="F118" s="66">
        <v>83783.449999999939</v>
      </c>
      <c r="G118" s="93">
        <f t="shared" si="43"/>
        <v>7207742.870000015</v>
      </c>
    </row>
    <row r="119" spans="1:7">
      <c r="A119" s="1">
        <f>+'II-D-3.2'!A119</f>
        <v>84</v>
      </c>
      <c r="B119" s="132" t="str">
        <f t="shared" si="42"/>
        <v>December 2024</v>
      </c>
      <c r="D119" s="66">
        <v>5580772.3200000003</v>
      </c>
      <c r="E119" s="66">
        <v>980772.02000000852</v>
      </c>
      <c r="F119" s="66">
        <v>112802.12999999986</v>
      </c>
      <c r="G119" s="93">
        <f t="shared" si="43"/>
        <v>6674346.4700000091</v>
      </c>
    </row>
    <row r="120" spans="1:7">
      <c r="A120" s="1">
        <f>+'II-D-3.2'!A120</f>
        <v>85</v>
      </c>
      <c r="D120" s="115"/>
      <c r="E120" s="115"/>
      <c r="F120" s="115"/>
      <c r="G120" s="115"/>
    </row>
    <row r="121" spans="1:7">
      <c r="A121" s="1">
        <f>+'II-D-3.2'!A121</f>
        <v>86</v>
      </c>
      <c r="B121" s="94" t="s">
        <v>69</v>
      </c>
      <c r="D121" s="141">
        <f>SUM(D108:D119)</f>
        <v>57461859.800000019</v>
      </c>
      <c r="E121" s="141">
        <f>SUM(E108:E119)</f>
        <v>14070457.960000154</v>
      </c>
      <c r="F121" s="141">
        <f>SUM(F108:F119)</f>
        <v>2289550.6000000006</v>
      </c>
      <c r="G121" s="141">
        <f>SUM(G108:G119)</f>
        <v>73821868.360000178</v>
      </c>
    </row>
    <row r="122" spans="1:7">
      <c r="A122" s="1">
        <f>+'II-D-3.2'!A122</f>
        <v>87</v>
      </c>
      <c r="D122" s="66"/>
      <c r="E122" s="66"/>
      <c r="F122" s="66"/>
      <c r="G122" s="66"/>
    </row>
    <row r="123" spans="1:7">
      <c r="A123" s="1">
        <f>+'II-D-3.2'!A123</f>
        <v>88</v>
      </c>
      <c r="D123" s="66"/>
      <c r="E123" s="66"/>
      <c r="F123" s="66"/>
      <c r="G123" s="66"/>
    </row>
    <row r="124" spans="1:7">
      <c r="A124" s="1">
        <f>+'II-D-3.2'!A124</f>
        <v>89</v>
      </c>
      <c r="B124" s="94" t="s">
        <v>158</v>
      </c>
      <c r="D124" s="139">
        <v>4103319.7600000007</v>
      </c>
      <c r="E124" s="139">
        <v>1308624.0700000143</v>
      </c>
      <c r="F124" s="139">
        <v>84621.189999999988</v>
      </c>
      <c r="G124" s="139">
        <f>SUM(D124:F124)</f>
        <v>5496565.0200000154</v>
      </c>
    </row>
    <row r="125" spans="1:7">
      <c r="A125" s="1">
        <f>+'II-D-3.2'!A125</f>
        <v>90</v>
      </c>
      <c r="B125" s="94" t="s">
        <v>159</v>
      </c>
      <c r="D125" s="66">
        <v>4232725.8699999992</v>
      </c>
      <c r="E125" s="66">
        <v>1383838.9000000146</v>
      </c>
      <c r="F125" s="66">
        <v>77634.900000000009</v>
      </c>
      <c r="G125" s="93">
        <f>SUM(D125:F125)</f>
        <v>5694199.6700000139</v>
      </c>
    </row>
    <row r="126" spans="1:7">
      <c r="A126" s="1">
        <f>+'II-D-3.2'!A126</f>
        <v>91</v>
      </c>
      <c r="B126" s="94" t="s">
        <v>46</v>
      </c>
      <c r="D126" s="66">
        <v>4282991.1500000032</v>
      </c>
      <c r="E126" s="66">
        <v>1749012.8500000159</v>
      </c>
      <c r="F126" s="66">
        <v>276928.83000000031</v>
      </c>
      <c r="G126" s="93">
        <f>SUM(D126:F126)</f>
        <v>6308932.8300000187</v>
      </c>
    </row>
    <row r="127" spans="1:7">
      <c r="A127" s="1">
        <f>+'II-D-3.2'!A127</f>
        <v>92</v>
      </c>
      <c r="G127" s="66"/>
    </row>
    <row r="128" spans="1:7">
      <c r="A128" s="1">
        <f>+'II-D-3.2'!A128</f>
        <v>93</v>
      </c>
      <c r="G128" s="66"/>
    </row>
    <row r="129" spans="1:7">
      <c r="A129" s="1">
        <f>+'II-D-3.2'!A129</f>
        <v>94</v>
      </c>
      <c r="B129" s="94" t="str">
        <f>+B98</f>
        <v>TME 2021</v>
      </c>
      <c r="D129" s="139">
        <v>38923134.399999663</v>
      </c>
      <c r="E129" s="139">
        <v>12183021.109999733</v>
      </c>
      <c r="F129" s="139">
        <v>2105006.1100000008</v>
      </c>
      <c r="G129" s="139">
        <f>SUM(D129:F129)</f>
        <v>53211161.619999394</v>
      </c>
    </row>
    <row r="130" spans="1:7">
      <c r="A130" s="1">
        <f>+'II-D-3.2'!A130</f>
        <v>95</v>
      </c>
      <c r="B130" s="94" t="str">
        <f>+B99</f>
        <v>TME 2022</v>
      </c>
      <c r="D130" s="66">
        <v>44011239.609999709</v>
      </c>
      <c r="E130" s="66">
        <v>11920360.599999703</v>
      </c>
      <c r="F130" s="66">
        <v>-238696.74000000011</v>
      </c>
      <c r="G130" s="93">
        <f>SUM(D130:F130)</f>
        <v>55692903.46999941</v>
      </c>
    </row>
    <row r="131" spans="1:7">
      <c r="A131" s="1">
        <f>+'II-D-3.2'!A131</f>
        <v>96</v>
      </c>
      <c r="B131" s="94" t="str">
        <f>+B100</f>
        <v>TME 2023</v>
      </c>
      <c r="D131" s="66">
        <v>47444493.019999847</v>
      </c>
      <c r="E131" s="66">
        <v>13923684.079999713</v>
      </c>
      <c r="F131" s="66">
        <v>1849015.5100000005</v>
      </c>
      <c r="G131" s="93">
        <f>SUM(D131:F131)</f>
        <v>63217192.60999956</v>
      </c>
    </row>
    <row r="134" spans="1:7" ht="13.5" thickBot="1">
      <c r="D134" s="379" t="s">
        <v>126</v>
      </c>
      <c r="E134" s="379"/>
      <c r="F134" s="379"/>
      <c r="G134" s="379"/>
    </row>
    <row r="135" spans="1:7">
      <c r="A135" s="18" t="s">
        <v>87</v>
      </c>
      <c r="B135" s="18"/>
      <c r="D135" s="18"/>
      <c r="E135" s="25"/>
      <c r="F135" s="18"/>
      <c r="G135" s="91"/>
    </row>
    <row r="136" spans="1:7">
      <c r="A136" s="196" t="s">
        <v>89</v>
      </c>
      <c r="B136" s="196" t="s">
        <v>64</v>
      </c>
      <c r="D136" s="92" t="s">
        <v>169</v>
      </c>
      <c r="E136" s="92" t="s">
        <v>170</v>
      </c>
      <c r="F136" s="92" t="s">
        <v>63</v>
      </c>
      <c r="G136" s="92" t="s">
        <v>215</v>
      </c>
    </row>
    <row r="137" spans="1:7">
      <c r="A137" s="18"/>
      <c r="B137" s="16" t="s">
        <v>44</v>
      </c>
      <c r="D137" s="16" t="s">
        <v>45</v>
      </c>
      <c r="E137" s="16" t="s">
        <v>74</v>
      </c>
      <c r="F137" s="16" t="s">
        <v>75</v>
      </c>
      <c r="G137" s="16" t="s">
        <v>76</v>
      </c>
    </row>
    <row r="139" spans="1:7">
      <c r="A139" s="1">
        <f>+'II-D-3.2'!A139</f>
        <v>97</v>
      </c>
      <c r="B139" s="132" t="str">
        <f t="shared" ref="B139:B150" si="44">+B108</f>
        <v>January 2024</v>
      </c>
      <c r="D139" s="139">
        <v>1637622.6599999997</v>
      </c>
      <c r="E139" s="139">
        <v>103392.55999999997</v>
      </c>
      <c r="F139" s="139">
        <v>185658.83999999997</v>
      </c>
      <c r="G139" s="139">
        <f t="shared" ref="G139:G150" si="45">SUM(D139:F139)</f>
        <v>1926674.0599999996</v>
      </c>
    </row>
    <row r="140" spans="1:7">
      <c r="A140" s="1">
        <f>+'II-D-3.2'!A140</f>
        <v>98</v>
      </c>
      <c r="B140" s="132" t="str">
        <f t="shared" si="44"/>
        <v>February 2024</v>
      </c>
      <c r="D140" s="66">
        <v>1637265.3499999996</v>
      </c>
      <c r="E140" s="66">
        <v>92132.829999999973</v>
      </c>
      <c r="F140" s="66">
        <v>271186.85999999993</v>
      </c>
      <c r="G140" s="93">
        <f t="shared" si="45"/>
        <v>2000585.0399999996</v>
      </c>
    </row>
    <row r="141" spans="1:7">
      <c r="A141" s="1">
        <f>+'II-D-3.2'!A141</f>
        <v>99</v>
      </c>
      <c r="B141" s="132" t="str">
        <f t="shared" si="44"/>
        <v>March 2024</v>
      </c>
      <c r="D141" s="66">
        <v>1745510.34</v>
      </c>
      <c r="E141" s="66">
        <v>116464.87000000001</v>
      </c>
      <c r="F141" s="66">
        <v>205114.55</v>
      </c>
      <c r="G141" s="93">
        <f t="shared" si="45"/>
        <v>2067089.7600000002</v>
      </c>
    </row>
    <row r="142" spans="1:7">
      <c r="A142" s="1">
        <f>+'II-D-3.2'!A142</f>
        <v>100</v>
      </c>
      <c r="B142" s="132" t="str">
        <f t="shared" si="44"/>
        <v>April 2024</v>
      </c>
      <c r="D142" s="66">
        <v>1726822.8499999996</v>
      </c>
      <c r="E142" s="66">
        <v>102376.73000000001</v>
      </c>
      <c r="F142" s="66">
        <v>209247.90999999995</v>
      </c>
      <c r="G142" s="93">
        <f t="shared" si="45"/>
        <v>2038447.4899999995</v>
      </c>
    </row>
    <row r="143" spans="1:7">
      <c r="A143" s="1">
        <f>+'II-D-3.2'!A143</f>
        <v>101</v>
      </c>
      <c r="B143" s="132" t="str">
        <f t="shared" si="44"/>
        <v>May 2024</v>
      </c>
      <c r="D143" s="66">
        <v>2502177.0399999996</v>
      </c>
      <c r="E143" s="66">
        <v>92011.889999999956</v>
      </c>
      <c r="F143" s="66">
        <v>282717.32999999996</v>
      </c>
      <c r="G143" s="93">
        <f t="shared" si="45"/>
        <v>2876906.26</v>
      </c>
    </row>
    <row r="144" spans="1:7">
      <c r="A144" s="1">
        <f>+'II-D-3.2'!A144</f>
        <v>102</v>
      </c>
      <c r="B144" s="132" t="str">
        <f t="shared" si="44"/>
        <v>June 2024</v>
      </c>
      <c r="D144" s="66">
        <v>1749735.2800000007</v>
      </c>
      <c r="E144" s="66">
        <v>111258.55</v>
      </c>
      <c r="F144" s="66">
        <v>238105.13999999996</v>
      </c>
      <c r="G144" s="93">
        <f t="shared" si="45"/>
        <v>2099098.9700000007</v>
      </c>
    </row>
    <row r="145" spans="1:7">
      <c r="A145" s="1">
        <f>+'II-D-3.2'!A145</f>
        <v>103</v>
      </c>
      <c r="B145" s="132" t="str">
        <f t="shared" si="44"/>
        <v>July 2024</v>
      </c>
      <c r="D145" s="66">
        <v>1722280.8900000001</v>
      </c>
      <c r="E145" s="66">
        <v>108542.21000000002</v>
      </c>
      <c r="F145" s="66">
        <v>188283.74999999997</v>
      </c>
      <c r="G145" s="93">
        <f t="shared" si="45"/>
        <v>2019106.85</v>
      </c>
    </row>
    <row r="146" spans="1:7">
      <c r="A146" s="1">
        <f>+'II-D-3.2'!A146</f>
        <v>104</v>
      </c>
      <c r="B146" s="132" t="str">
        <f t="shared" si="44"/>
        <v>August 2024</v>
      </c>
      <c r="D146" s="66">
        <v>1689120.8800000006</v>
      </c>
      <c r="E146" s="66">
        <v>109517.91999999997</v>
      </c>
      <c r="F146" s="66">
        <v>567680.79999999993</v>
      </c>
      <c r="G146" s="93">
        <f t="shared" si="45"/>
        <v>2366319.6000000006</v>
      </c>
    </row>
    <row r="147" spans="1:7">
      <c r="A147" s="1">
        <f>+'II-D-3.2'!A147</f>
        <v>105</v>
      </c>
      <c r="B147" s="132" t="str">
        <f t="shared" si="44"/>
        <v>September 2024</v>
      </c>
      <c r="D147" s="66">
        <v>1842725.4200000011</v>
      </c>
      <c r="E147" s="66">
        <v>114350.46999999999</v>
      </c>
      <c r="F147" s="66">
        <v>199210.33999999994</v>
      </c>
      <c r="G147" s="93">
        <f t="shared" si="45"/>
        <v>2156286.2300000009</v>
      </c>
    </row>
    <row r="148" spans="1:7">
      <c r="A148" s="1">
        <f>+'II-D-3.2'!A148</f>
        <v>106</v>
      </c>
      <c r="B148" s="132" t="str">
        <f t="shared" si="44"/>
        <v>October 2024</v>
      </c>
      <c r="D148" s="66">
        <v>1689938.7900000003</v>
      </c>
      <c r="E148" s="66">
        <v>123015.94</v>
      </c>
      <c r="F148" s="66">
        <v>192336.29999999996</v>
      </c>
      <c r="G148" s="93">
        <f t="shared" si="45"/>
        <v>2005291.0300000003</v>
      </c>
    </row>
    <row r="149" spans="1:7">
      <c r="A149" s="1">
        <f>+'II-D-3.2'!A149</f>
        <v>107</v>
      </c>
      <c r="B149" s="132" t="str">
        <f t="shared" si="44"/>
        <v>November 2024</v>
      </c>
      <c r="D149" s="66">
        <v>2600125.9800000009</v>
      </c>
      <c r="E149" s="66">
        <v>74963.889999999985</v>
      </c>
      <c r="F149" s="66">
        <v>279554.15000000002</v>
      </c>
      <c r="G149" s="93">
        <f t="shared" si="45"/>
        <v>2954644.0200000009</v>
      </c>
    </row>
    <row r="150" spans="1:7">
      <c r="A150" s="1">
        <f>+'II-D-3.2'!A150</f>
        <v>108</v>
      </c>
      <c r="B150" s="132" t="str">
        <f t="shared" si="44"/>
        <v>December 2024</v>
      </c>
      <c r="D150" s="66">
        <v>1948067.2299999997</v>
      </c>
      <c r="E150" s="66">
        <v>99543.039999999979</v>
      </c>
      <c r="F150" s="66">
        <v>202731.43000000002</v>
      </c>
      <c r="G150" s="93">
        <f t="shared" si="45"/>
        <v>2250341.6999999997</v>
      </c>
    </row>
    <row r="151" spans="1:7">
      <c r="A151" s="1">
        <f>+'II-D-3.2'!A151</f>
        <v>109</v>
      </c>
      <c r="D151" s="115"/>
      <c r="E151" s="115"/>
      <c r="F151" s="115"/>
      <c r="G151" s="115"/>
    </row>
    <row r="152" spans="1:7">
      <c r="A152" s="1">
        <f>+'II-D-3.2'!A152</f>
        <v>110</v>
      </c>
      <c r="B152" s="94" t="s">
        <v>69</v>
      </c>
      <c r="D152" s="141">
        <f>SUM(D139:D150)</f>
        <v>22491392.710000005</v>
      </c>
      <c r="E152" s="141">
        <f>SUM(E139:E150)</f>
        <v>1247570.8999999997</v>
      </c>
      <c r="F152" s="141">
        <f>SUM(F139:F150)</f>
        <v>3021827.3999999994</v>
      </c>
      <c r="G152" s="141">
        <f>SUM(G139:G150)</f>
        <v>26760791.010000002</v>
      </c>
    </row>
    <row r="153" spans="1:7">
      <c r="A153" s="1">
        <f>+'II-D-3.2'!A153</f>
        <v>111</v>
      </c>
      <c r="D153" s="152"/>
      <c r="E153" s="152"/>
      <c r="F153" s="152"/>
    </row>
    <row r="154" spans="1:7">
      <c r="A154" s="1">
        <f>+'II-D-3.2'!A154</f>
        <v>112</v>
      </c>
    </row>
    <row r="155" spans="1:7">
      <c r="A155" s="1">
        <f>+'II-D-3.2'!A155</f>
        <v>113</v>
      </c>
      <c r="B155" s="94" t="s">
        <v>158</v>
      </c>
      <c r="D155" s="139">
        <v>1803713.9899999995</v>
      </c>
      <c r="E155" s="139">
        <v>98255.829999999987</v>
      </c>
      <c r="F155" s="139">
        <v>192641.95999999996</v>
      </c>
      <c r="G155" s="139">
        <f>SUM(D155:F155)</f>
        <v>2094611.7799999996</v>
      </c>
    </row>
    <row r="156" spans="1:7">
      <c r="A156" s="1">
        <f>+'II-D-3.2'!A156</f>
        <v>114</v>
      </c>
      <c r="B156" s="94" t="s">
        <v>159</v>
      </c>
      <c r="D156" s="66">
        <v>1797264.8800000008</v>
      </c>
      <c r="E156" s="66">
        <v>102163.37000000001</v>
      </c>
      <c r="F156" s="66">
        <v>222835.62</v>
      </c>
      <c r="G156" s="93">
        <f>SUM(D156:F156)</f>
        <v>2122263.870000001</v>
      </c>
    </row>
    <row r="157" spans="1:7">
      <c r="A157" s="1">
        <f>+'II-D-3.2'!A157</f>
        <v>115</v>
      </c>
      <c r="B157" s="94" t="s">
        <v>46</v>
      </c>
      <c r="D157" s="66">
        <v>1917765.6700000006</v>
      </c>
      <c r="E157" s="66">
        <v>109275.52000000002</v>
      </c>
      <c r="F157" s="66">
        <v>217236.41000000006</v>
      </c>
      <c r="G157" s="93">
        <f>SUM(D157:F157)</f>
        <v>2244277.6000000006</v>
      </c>
    </row>
    <row r="158" spans="1:7">
      <c r="A158" s="1">
        <f>+'II-D-3.2'!A158</f>
        <v>116</v>
      </c>
    </row>
    <row r="159" spans="1:7">
      <c r="A159" s="1">
        <f>+'II-D-3.2'!A159</f>
        <v>117</v>
      </c>
    </row>
    <row r="160" spans="1:7">
      <c r="A160" s="1">
        <f>+'II-D-3.2'!A160</f>
        <v>118</v>
      </c>
      <c r="B160" s="94" t="str">
        <f>+B129</f>
        <v>TME 2021</v>
      </c>
      <c r="D160" s="139">
        <v>18691261.380000006</v>
      </c>
      <c r="E160" s="139">
        <v>365358.2300000001</v>
      </c>
      <c r="F160" s="139">
        <v>2527119.1999999993</v>
      </c>
      <c r="G160" s="139">
        <f>SUM(D160:F160)</f>
        <v>21583738.810000006</v>
      </c>
    </row>
    <row r="161" spans="1:7">
      <c r="A161" s="1">
        <f>+'II-D-3.2'!A161</f>
        <v>119</v>
      </c>
      <c r="B161" s="94" t="str">
        <f t="shared" ref="B161:B162" si="46">+B130</f>
        <v>TME 2022</v>
      </c>
      <c r="D161" s="66">
        <v>20269433.360000003</v>
      </c>
      <c r="E161" s="66">
        <v>669632.4800000001</v>
      </c>
      <c r="F161" s="66">
        <v>2295196.2300000004</v>
      </c>
      <c r="G161" s="93">
        <f>SUM(D161:F161)</f>
        <v>23234262.070000004</v>
      </c>
    </row>
    <row r="162" spans="1:7">
      <c r="A162" s="1">
        <f>+'II-D-3.2'!A162</f>
        <v>120</v>
      </c>
      <c r="B162" s="94" t="str">
        <f t="shared" si="46"/>
        <v>TME 2023</v>
      </c>
      <c r="D162" s="66">
        <v>21369226.329999968</v>
      </c>
      <c r="E162" s="66">
        <v>1071540.8200000008</v>
      </c>
      <c r="F162" s="66">
        <v>2569497.0700000003</v>
      </c>
      <c r="G162" s="93">
        <f>SUM(D162:F162)</f>
        <v>25010264.219999969</v>
      </c>
    </row>
  </sheetData>
  <mergeCells count="10">
    <mergeCell ref="I41:L41"/>
    <mergeCell ref="N41:Q41"/>
    <mergeCell ref="S41:V41"/>
    <mergeCell ref="I72:L72"/>
    <mergeCell ref="N72:Q72"/>
    <mergeCell ref="D134:G134"/>
    <mergeCell ref="D10:G10"/>
    <mergeCell ref="D41:G41"/>
    <mergeCell ref="D72:G72"/>
    <mergeCell ref="D103:G103"/>
  </mergeCells>
  <phoneticPr fontId="5" type="noConversion"/>
  <printOptions horizontalCentered="1"/>
  <pageMargins left="0.5" right="0.5" top="3" bottom="0.5" header="1.5" footer="0.5"/>
  <pageSetup scale="57" fitToHeight="0" orientation="landscape"/>
  <headerFooter alignWithMargins="0">
    <oddHeader>&amp;R&amp;"Arial,Bold"Schedule &amp;A
Page &amp;P of &amp;N&amp;C&amp;B
2025 RATE CASE
ONCOR ELECTRIC DELIVERY COMPANY LLC
II-D-3.4  PAYROLL CAPITALIZED VS. EXPENSED BY FUNCTION
TEST YEAR ENDING DECEMBER 31, 2024
SPONSOR: R. PRACHYL</oddHeader>
  </headerFooter>
  <rowBreaks count="2" manualBreakCount="2">
    <brk id="39" max="6" man="1"/>
    <brk id="132" max="6"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4">
    <tabColor rgb="FFFF0000"/>
  </sheetPr>
  <dimension ref="A1:J38"/>
  <sheetViews>
    <sheetView zoomScaleNormal="100" workbookViewId="0">
      <pane xSplit="2" ySplit="14" topLeftCell="C15" activePane="bottomRight" state="frozen"/>
      <selection activeCell="N38" sqref="N38"/>
      <selection pane="topRight" activeCell="N38" sqref="N38"/>
      <selection pane="bottomLeft" activeCell="N38" sqref="N38"/>
      <selection pane="bottomRight" activeCell="C15" sqref="C15"/>
    </sheetView>
  </sheetViews>
  <sheetFormatPr defaultRowHeight="12.75"/>
  <cols>
    <col min="1" max="1" width="5.7109375" customWidth="1"/>
    <col min="2" max="2" width="20.42578125" bestFit="1" customWidth="1"/>
    <col min="3" max="3" width="2.7109375" customWidth="1"/>
    <col min="4" max="8" width="14.7109375" customWidth="1"/>
  </cols>
  <sheetData>
    <row r="1" spans="1:10">
      <c r="A1" s="5" t="str">
        <f>+'[3]Input Data'!$A$9</f>
        <v>2025 RATE CASE</v>
      </c>
    </row>
    <row r="2" spans="1:10">
      <c r="A2" s="8" t="str">
        <f>+'[3]Input Data'!$A$2</f>
        <v>ONCOR ELECTRIC DELIVERY COMPANY LLC</v>
      </c>
    </row>
    <row r="3" spans="1:10">
      <c r="A3" s="7" t="str">
        <f>CONCATENATE('[3]Schedule Sponsors'!$A$73,'[3]Schedule Sponsors'!$B$73)</f>
        <v>II-D-3.5  NUMBER OF EMPLOYEES</v>
      </c>
    </row>
    <row r="4" spans="1:10">
      <c r="A4" s="63" t="str">
        <f>+'[3]Input Data'!$A$4</f>
        <v>TEST YEAR ENDING DECEMBER 31, 2024</v>
      </c>
    </row>
    <row r="5" spans="1:10">
      <c r="A5" s="7" t="str">
        <f>CONCATENATE("SPONSOR: ",'[3]Schedule Sponsors'!$D$73)</f>
        <v>SPONSOR: A. GUILLORY</v>
      </c>
    </row>
    <row r="10" spans="1:10" s="2" customFormat="1" ht="13.5" thickBot="1">
      <c r="A10" s="8"/>
      <c r="B10" s="18"/>
      <c r="C10" s="8"/>
      <c r="D10" s="379" t="s">
        <v>6</v>
      </c>
      <c r="E10" s="379"/>
      <c r="F10" s="379"/>
      <c r="G10" s="379"/>
      <c r="H10" s="379"/>
    </row>
    <row r="11" spans="1:10" s="2" customFormat="1">
      <c r="A11" s="18" t="s">
        <v>87</v>
      </c>
      <c r="B11" s="18"/>
      <c r="C11" s="18"/>
      <c r="D11" s="18"/>
      <c r="E11" s="25"/>
      <c r="F11" s="25"/>
      <c r="G11" s="18"/>
      <c r="H11" s="91"/>
    </row>
    <row r="12" spans="1:10" s="2" customFormat="1">
      <c r="A12" s="92" t="s">
        <v>89</v>
      </c>
      <c r="B12" s="92" t="s">
        <v>64</v>
      </c>
      <c r="C12" s="18"/>
      <c r="D12" s="92" t="s">
        <v>171</v>
      </c>
      <c r="E12" s="92" t="s">
        <v>172</v>
      </c>
      <c r="F12" s="92" t="s">
        <v>173</v>
      </c>
      <c r="G12" s="92" t="s">
        <v>174</v>
      </c>
      <c r="H12" s="92" t="s">
        <v>215</v>
      </c>
    </row>
    <row r="13" spans="1:10" s="2" customFormat="1">
      <c r="A13" s="18"/>
      <c r="B13" s="16" t="s">
        <v>44</v>
      </c>
      <c r="C13" s="16"/>
      <c r="D13" s="16" t="s">
        <v>45</v>
      </c>
      <c r="E13" s="16" t="s">
        <v>74</v>
      </c>
      <c r="F13" s="16" t="s">
        <v>75</v>
      </c>
      <c r="G13" s="16" t="s">
        <v>76</v>
      </c>
      <c r="H13" s="16" t="s">
        <v>77</v>
      </c>
    </row>
    <row r="14" spans="1:10">
      <c r="D14" s="66"/>
      <c r="E14" s="66"/>
      <c r="F14" s="66"/>
    </row>
    <row r="15" spans="1:10">
      <c r="A15" s="1">
        <v>1</v>
      </c>
      <c r="B15" s="132" t="str">
        <f>+'II-D-3.4'!B15</f>
        <v>January 2024</v>
      </c>
      <c r="D15" s="66">
        <v>4822</v>
      </c>
      <c r="E15" s="66">
        <v>16</v>
      </c>
      <c r="F15" s="66">
        <v>0</v>
      </c>
      <c r="G15" s="66">
        <v>0</v>
      </c>
      <c r="H15" s="66">
        <f t="shared" ref="H15:H26" si="0">SUM(D15:G15)</f>
        <v>4838</v>
      </c>
    </row>
    <row r="16" spans="1:10">
      <c r="A16" s="1">
        <v>2</v>
      </c>
      <c r="B16" s="132" t="str">
        <f>+'II-D-3.4'!B16</f>
        <v>February 2024</v>
      </c>
      <c r="D16" s="66">
        <v>4832</v>
      </c>
      <c r="E16" s="66">
        <v>18</v>
      </c>
      <c r="F16" s="66">
        <v>0</v>
      </c>
      <c r="G16" s="66">
        <v>0</v>
      </c>
      <c r="H16" s="66">
        <f t="shared" si="0"/>
        <v>4850</v>
      </c>
      <c r="I16" s="108"/>
      <c r="J16" s="110"/>
    </row>
    <row r="17" spans="1:10">
      <c r="A17" s="1">
        <v>3</v>
      </c>
      <c r="B17" s="132" t="str">
        <f>+'II-D-3.4'!B17</f>
        <v>March 2024</v>
      </c>
      <c r="D17" s="66">
        <v>4836</v>
      </c>
      <c r="E17" s="66">
        <v>18</v>
      </c>
      <c r="F17" s="66">
        <v>0</v>
      </c>
      <c r="G17" s="66">
        <v>0</v>
      </c>
      <c r="H17" s="66">
        <f t="shared" si="0"/>
        <v>4854</v>
      </c>
      <c r="I17" s="108"/>
      <c r="J17" s="110"/>
    </row>
    <row r="18" spans="1:10">
      <c r="A18" s="109">
        <v>4</v>
      </c>
      <c r="B18" s="132" t="str">
        <f>+'II-D-3.4'!B18</f>
        <v>April 2024</v>
      </c>
      <c r="D18" s="66">
        <v>4872</v>
      </c>
      <c r="E18" s="66">
        <v>19</v>
      </c>
      <c r="F18" s="66">
        <v>0</v>
      </c>
      <c r="G18" s="66">
        <v>0</v>
      </c>
      <c r="H18" s="66">
        <f t="shared" si="0"/>
        <v>4891</v>
      </c>
      <c r="I18" s="108"/>
      <c r="J18" s="110"/>
    </row>
    <row r="19" spans="1:10">
      <c r="A19" s="109">
        <v>5</v>
      </c>
      <c r="B19" s="132" t="str">
        <f>+'II-D-3.4'!B19</f>
        <v>May 2024</v>
      </c>
      <c r="D19" s="66">
        <v>5019</v>
      </c>
      <c r="E19" s="66">
        <v>21</v>
      </c>
      <c r="F19" s="66">
        <v>0</v>
      </c>
      <c r="G19" s="66">
        <v>0</v>
      </c>
      <c r="H19" s="66">
        <f t="shared" si="0"/>
        <v>5040</v>
      </c>
      <c r="I19" s="108"/>
      <c r="J19" s="110"/>
    </row>
    <row r="20" spans="1:10">
      <c r="A20" s="1">
        <v>6</v>
      </c>
      <c r="B20" s="132" t="str">
        <f>+'II-D-3.4'!B20</f>
        <v>June 2024</v>
      </c>
      <c r="D20" s="66">
        <v>5059</v>
      </c>
      <c r="E20" s="66">
        <v>18</v>
      </c>
      <c r="F20" s="66">
        <v>0</v>
      </c>
      <c r="G20" s="66">
        <v>0</v>
      </c>
      <c r="H20" s="66">
        <f t="shared" si="0"/>
        <v>5077</v>
      </c>
      <c r="I20" s="108"/>
      <c r="J20" s="110"/>
    </row>
    <row r="21" spans="1:10">
      <c r="A21" s="1">
        <v>7</v>
      </c>
      <c r="B21" s="132" t="str">
        <f>+'II-D-3.4'!B21</f>
        <v>July 2024</v>
      </c>
      <c r="D21" s="66">
        <v>5076</v>
      </c>
      <c r="E21" s="66">
        <v>18</v>
      </c>
      <c r="F21" s="66">
        <v>0</v>
      </c>
      <c r="G21" s="66">
        <v>0</v>
      </c>
      <c r="H21" s="66">
        <f t="shared" si="0"/>
        <v>5094</v>
      </c>
      <c r="I21" s="108"/>
      <c r="J21" s="110"/>
    </row>
    <row r="22" spans="1:10">
      <c r="A22" s="1">
        <v>8</v>
      </c>
      <c r="B22" s="132" t="str">
        <f>+'II-D-3.4'!B22</f>
        <v>August 2024</v>
      </c>
      <c r="D22" s="66">
        <v>5012</v>
      </c>
      <c r="E22" s="66">
        <v>23</v>
      </c>
      <c r="F22" s="66">
        <v>0</v>
      </c>
      <c r="G22" s="66">
        <v>0</v>
      </c>
      <c r="H22" s="66">
        <f t="shared" si="0"/>
        <v>5035</v>
      </c>
      <c r="I22" s="108"/>
      <c r="J22" s="110"/>
    </row>
    <row r="23" spans="1:10">
      <c r="A23" s="109">
        <v>9</v>
      </c>
      <c r="B23" s="132" t="str">
        <f>+'II-D-3.4'!B23</f>
        <v>September 2024</v>
      </c>
      <c r="D23" s="66">
        <v>5056</v>
      </c>
      <c r="E23" s="66">
        <v>25</v>
      </c>
      <c r="F23" s="66">
        <v>0</v>
      </c>
      <c r="G23" s="66">
        <v>0</v>
      </c>
      <c r="H23" s="66">
        <f t="shared" si="0"/>
        <v>5081</v>
      </c>
      <c r="I23" s="108"/>
      <c r="J23" s="110"/>
    </row>
    <row r="24" spans="1:10">
      <c r="A24" s="109">
        <v>10</v>
      </c>
      <c r="B24" s="132" t="str">
        <f>+'II-D-3.4'!B24</f>
        <v>October 2024</v>
      </c>
      <c r="D24" s="66">
        <v>5075</v>
      </c>
      <c r="E24" s="66">
        <v>24</v>
      </c>
      <c r="F24" s="66">
        <v>0</v>
      </c>
      <c r="G24" s="66">
        <v>0</v>
      </c>
      <c r="H24" s="66">
        <f t="shared" si="0"/>
        <v>5099</v>
      </c>
      <c r="I24" s="108"/>
      <c r="J24" s="110"/>
    </row>
    <row r="25" spans="1:10">
      <c r="A25" s="1">
        <v>11</v>
      </c>
      <c r="B25" s="132" t="str">
        <f>+'II-D-3.4'!B25</f>
        <v>November 2024</v>
      </c>
      <c r="D25" s="66">
        <v>5091</v>
      </c>
      <c r="E25" s="66">
        <v>24</v>
      </c>
      <c r="F25" s="66">
        <v>0</v>
      </c>
      <c r="G25" s="66">
        <v>0</v>
      </c>
      <c r="H25" s="66">
        <f t="shared" si="0"/>
        <v>5115</v>
      </c>
      <c r="I25" s="108"/>
      <c r="J25" s="110"/>
    </row>
    <row r="26" spans="1:10">
      <c r="A26" s="1">
        <v>12</v>
      </c>
      <c r="B26" s="132" t="str">
        <f>+'II-D-3.4'!B26</f>
        <v>December 2024</v>
      </c>
      <c r="D26" s="66">
        <v>5143</v>
      </c>
      <c r="E26" s="66">
        <v>24</v>
      </c>
      <c r="F26" s="66">
        <v>0</v>
      </c>
      <c r="G26" s="66">
        <v>0</v>
      </c>
      <c r="H26" s="66">
        <f t="shared" si="0"/>
        <v>5167</v>
      </c>
      <c r="I26" s="108"/>
      <c r="J26" s="110"/>
    </row>
    <row r="27" spans="1:10">
      <c r="A27" s="1">
        <v>13</v>
      </c>
      <c r="D27" s="66"/>
      <c r="E27" s="66"/>
      <c r="F27" s="66"/>
      <c r="G27" s="66"/>
      <c r="H27" s="66"/>
    </row>
    <row r="28" spans="1:10">
      <c r="A28" s="109">
        <v>14</v>
      </c>
    </row>
    <row r="29" spans="1:10">
      <c r="A29" s="109">
        <v>15</v>
      </c>
    </row>
    <row r="30" spans="1:10">
      <c r="A30" s="1">
        <v>16</v>
      </c>
      <c r="B30" s="188" t="s">
        <v>1141</v>
      </c>
      <c r="D30" s="66">
        <v>5208</v>
      </c>
      <c r="E30" s="66">
        <v>21</v>
      </c>
      <c r="F30" s="66">
        <v>0</v>
      </c>
      <c r="G30" s="66">
        <v>0</v>
      </c>
      <c r="H30" s="66">
        <f>SUM(D30:G30)</f>
        <v>5229</v>
      </c>
    </row>
    <row r="31" spans="1:10">
      <c r="A31" s="1">
        <v>17</v>
      </c>
      <c r="B31" s="188" t="s">
        <v>1142</v>
      </c>
      <c r="D31" s="66">
        <v>5237</v>
      </c>
      <c r="E31" s="66">
        <v>20</v>
      </c>
      <c r="F31" s="66">
        <v>0</v>
      </c>
      <c r="G31" s="66">
        <v>0</v>
      </c>
      <c r="H31" s="66">
        <f>SUM(D31:G31)</f>
        <v>5257</v>
      </c>
    </row>
    <row r="32" spans="1:10">
      <c r="A32" s="1">
        <v>18</v>
      </c>
      <c r="B32" s="188" t="s">
        <v>1143</v>
      </c>
      <c r="D32" s="66">
        <v>5272</v>
      </c>
      <c r="E32" s="66">
        <v>20</v>
      </c>
      <c r="F32" s="66">
        <v>0</v>
      </c>
      <c r="G32" s="66">
        <v>0</v>
      </c>
      <c r="H32" s="66">
        <f>SUM(D32:G32)</f>
        <v>5292</v>
      </c>
      <c r="J32" s="108"/>
    </row>
    <row r="33" spans="1:8">
      <c r="A33" s="109">
        <v>19</v>
      </c>
      <c r="D33" s="66"/>
      <c r="E33" s="66"/>
      <c r="F33" s="66"/>
      <c r="G33" s="66"/>
      <c r="H33" s="66"/>
    </row>
    <row r="34" spans="1:8">
      <c r="A34" s="109">
        <v>20</v>
      </c>
      <c r="B34" s="171" t="s">
        <v>788</v>
      </c>
      <c r="D34" s="66">
        <v>4522</v>
      </c>
      <c r="E34" s="66">
        <v>12</v>
      </c>
      <c r="F34" s="66">
        <v>0</v>
      </c>
      <c r="G34" s="66">
        <v>0</v>
      </c>
      <c r="H34" s="66">
        <f>SUM(D34:G34)</f>
        <v>4534</v>
      </c>
    </row>
    <row r="35" spans="1:8">
      <c r="A35" s="1">
        <v>21</v>
      </c>
      <c r="B35" s="171" t="s">
        <v>786</v>
      </c>
      <c r="D35" s="66">
        <v>4621</v>
      </c>
      <c r="E35" s="66">
        <v>9</v>
      </c>
      <c r="F35" s="66">
        <v>0</v>
      </c>
      <c r="G35" s="66">
        <v>0</v>
      </c>
      <c r="H35" s="66">
        <f>SUM(D35:G35)</f>
        <v>4630</v>
      </c>
    </row>
    <row r="36" spans="1:8">
      <c r="A36" s="1">
        <v>22</v>
      </c>
      <c r="B36" s="171" t="s">
        <v>787</v>
      </c>
      <c r="D36" s="66">
        <v>4815</v>
      </c>
      <c r="E36" s="66">
        <v>19</v>
      </c>
      <c r="F36" s="66">
        <v>0</v>
      </c>
      <c r="G36" s="66">
        <v>0</v>
      </c>
      <c r="H36" s="66">
        <f>SUM(D36:G36)</f>
        <v>4834</v>
      </c>
    </row>
    <row r="37" spans="1:8">
      <c r="A37" s="109"/>
    </row>
    <row r="38" spans="1:8">
      <c r="A38" s="1"/>
    </row>
  </sheetData>
  <mergeCells count="1">
    <mergeCell ref="D10:H10"/>
  </mergeCells>
  <phoneticPr fontId="5" type="noConversion"/>
  <printOptions horizontalCentered="1"/>
  <pageMargins left="0.5" right="0.5" top="3" bottom="0.5" header="1.5" footer="0.5"/>
  <pageSetup fitToWidth="3" orientation="landscape"/>
  <headerFooter alignWithMargins="0">
    <oddHeader>&amp;R&amp;"Arial,Bold"Schedule &amp;A
Page &amp;P of &amp;N&amp;C&amp;B
2025 RATE CASE
ONCOR ELECTRIC DELIVERY COMPANY LLC
II-D-3.5  NUMBER OF EMPLOYEES
TEST YEAR ENDING DECEMBER 31, 2024
SPONSOR: A. GUILLORY</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5">
    <tabColor rgb="FFFF0000"/>
    <pageSetUpPr fitToPage="1"/>
  </sheetPr>
  <dimension ref="A1:V166"/>
  <sheetViews>
    <sheetView zoomScaleNormal="100" workbookViewId="0">
      <pane xSplit="2" ySplit="14" topLeftCell="C15" activePane="bottomRight" state="frozen"/>
      <selection activeCell="D28" sqref="D28"/>
      <selection pane="topRight" activeCell="D28" sqref="D28"/>
      <selection pane="bottomLeft" activeCell="D28" sqref="D28"/>
      <selection pane="bottomRight" activeCell="C15" sqref="C15"/>
    </sheetView>
  </sheetViews>
  <sheetFormatPr defaultRowHeight="12.75"/>
  <cols>
    <col min="1" max="1" width="16.28515625" customWidth="1"/>
    <col min="2" max="2" width="20.42578125" bestFit="1" customWidth="1"/>
    <col min="3" max="3" width="2.7109375" customWidth="1"/>
    <col min="4" max="4" width="14.140625" bestFit="1" customWidth="1"/>
    <col min="5" max="5" width="12.28515625" bestFit="1" customWidth="1"/>
    <col min="6" max="6" width="11.28515625" bestFit="1" customWidth="1"/>
    <col min="7" max="7" width="13.42578125" bestFit="1" customWidth="1"/>
    <col min="8" max="8" width="2.7109375" customWidth="1"/>
    <col min="9" max="9" width="14.140625" bestFit="1" customWidth="1"/>
    <col min="10" max="10" width="12" bestFit="1" customWidth="1"/>
    <col min="11" max="11" width="6" bestFit="1" customWidth="1"/>
    <col min="12" max="12" width="5.7109375" bestFit="1" customWidth="1"/>
    <col min="13" max="13" width="2.7109375" customWidth="1"/>
    <col min="14" max="14" width="14.140625" bestFit="1" customWidth="1"/>
    <col min="15" max="15" width="12.28515625" bestFit="1" customWidth="1"/>
    <col min="16" max="16" width="11.28515625" bestFit="1" customWidth="1"/>
    <col min="17" max="17" width="12.28515625" bestFit="1" customWidth="1"/>
    <col min="18" max="18" width="2.7109375" customWidth="1"/>
    <col min="19" max="19" width="14.140625" bestFit="1" customWidth="1"/>
    <col min="20" max="20" width="12.28515625" bestFit="1" customWidth="1"/>
    <col min="21" max="21" width="9.7109375" bestFit="1" customWidth="1"/>
    <col min="22" max="22" width="12.28515625" bestFit="1" customWidth="1"/>
  </cols>
  <sheetData>
    <row r="1" spans="1:7" s="192" customFormat="1" ht="15">
      <c r="A1" s="362" t="str">
        <f>+'[3]Input Data'!$A$9</f>
        <v>2025 RATE CASE</v>
      </c>
    </row>
    <row r="2" spans="1:7">
      <c r="A2" s="325" t="str">
        <f>+'[3]Input Data'!$A$2</f>
        <v>ONCOR ELECTRIC DELIVERY COMPANY LLC</v>
      </c>
    </row>
    <row r="3" spans="1:7">
      <c r="A3" s="186" t="str">
        <f>CONCATENATE('[3]Schedule Sponsors'!$A$74,'[3]Schedule Sponsors'!$B$74)</f>
        <v>II-D-3.6  COMPENSATION OTHER THAN STANDARD COMPENSATION BY FUNCTION</v>
      </c>
    </row>
    <row r="4" spans="1:7">
      <c r="A4" s="363" t="str">
        <f>+'[3]Input Data'!$A$4</f>
        <v>TEST YEAR ENDING DECEMBER 31, 2024</v>
      </c>
    </row>
    <row r="5" spans="1:7">
      <c r="A5" s="186" t="str">
        <f>CONCATENATE("SPONSORS: ",'[3]Schedule Sponsors'!$D$74)</f>
        <v>SPONSORS: R. PRACHYL/ A. GUILLORY</v>
      </c>
    </row>
    <row r="10" spans="1:7" s="96" customFormat="1" ht="13.5" thickBot="1">
      <c r="A10" s="8"/>
      <c r="B10" s="18"/>
      <c r="C10" s="61"/>
      <c r="D10" s="379" t="s">
        <v>215</v>
      </c>
      <c r="E10" s="379"/>
      <c r="F10" s="379"/>
      <c r="G10" s="379"/>
    </row>
    <row r="11" spans="1:7" s="2" customFormat="1">
      <c r="A11" s="18" t="s">
        <v>87</v>
      </c>
      <c r="B11" s="18"/>
      <c r="C11" s="18"/>
      <c r="D11" s="18" t="s">
        <v>14</v>
      </c>
      <c r="E11" s="18" t="s">
        <v>15</v>
      </c>
      <c r="F11" s="18"/>
      <c r="G11" s="91"/>
    </row>
    <row r="12" spans="1:7" s="2" customFormat="1">
      <c r="A12" s="196" t="s">
        <v>89</v>
      </c>
      <c r="B12" s="196" t="s">
        <v>64</v>
      </c>
      <c r="C12" s="18"/>
      <c r="D12" s="92" t="s">
        <v>67</v>
      </c>
      <c r="E12" s="92" t="s">
        <v>16</v>
      </c>
      <c r="F12" s="92" t="s">
        <v>63</v>
      </c>
      <c r="G12" s="92" t="s">
        <v>215</v>
      </c>
    </row>
    <row r="13" spans="1:7" s="2" customFormat="1">
      <c r="A13" s="18"/>
      <c r="B13" s="16" t="s">
        <v>44</v>
      </c>
      <c r="C13" s="16"/>
      <c r="D13" s="16" t="s">
        <v>45</v>
      </c>
      <c r="E13" s="16" t="s">
        <v>74</v>
      </c>
      <c r="F13" s="16" t="s">
        <v>75</v>
      </c>
      <c r="G13" s="16" t="s">
        <v>76</v>
      </c>
    </row>
    <row r="14" spans="1:7" s="97" customFormat="1">
      <c r="A14"/>
      <c r="B14"/>
      <c r="C14" s="60"/>
      <c r="D14" s="60"/>
      <c r="E14" s="60"/>
      <c r="F14" s="60"/>
      <c r="G14" s="60"/>
    </row>
    <row r="15" spans="1:7">
      <c r="A15" s="1">
        <f>+'II-D-3.2'!A15</f>
        <v>1</v>
      </c>
      <c r="B15" s="132" t="str">
        <f>+'II-D-3.2'!B15</f>
        <v>January 2024</v>
      </c>
      <c r="D15" s="139">
        <f>+S46+N77+D108+D139</f>
        <v>4034730.18</v>
      </c>
      <c r="E15" s="139">
        <f t="shared" ref="E15:F15" si="0">+T46+O77+E108+E139</f>
        <v>5348303.5099999979</v>
      </c>
      <c r="F15" s="139">
        <f t="shared" si="0"/>
        <v>1514.69</v>
      </c>
      <c r="G15" s="139">
        <f>SUM(D15:F15)</f>
        <v>9384548.3799999971</v>
      </c>
    </row>
    <row r="16" spans="1:7">
      <c r="A16" s="1">
        <f>+'II-D-3.2'!A16</f>
        <v>2</v>
      </c>
      <c r="B16" s="132" t="str">
        <f>+'II-D-3.2'!B16</f>
        <v>February 2024</v>
      </c>
      <c r="D16" s="66">
        <f t="shared" ref="D16:F16" si="1">+S47+N78+D109+D140</f>
        <v>2293208.0399999996</v>
      </c>
      <c r="E16" s="66">
        <f t="shared" si="1"/>
        <v>5368603.4799999986</v>
      </c>
      <c r="F16" s="66">
        <f t="shared" si="1"/>
        <v>878080.00000000035</v>
      </c>
      <c r="G16" s="66">
        <f t="shared" ref="G16:G26" si="2">SUM(D16:F16)</f>
        <v>8539891.5199999977</v>
      </c>
    </row>
    <row r="17" spans="1:7">
      <c r="A17" s="1">
        <f>+'II-D-3.2'!A17</f>
        <v>3</v>
      </c>
      <c r="B17" s="132" t="str">
        <f>+'II-D-3.2'!B17</f>
        <v>March 2024</v>
      </c>
      <c r="D17" s="66">
        <f t="shared" ref="D17:F17" si="3">+S48+N79+D110+D141</f>
        <v>7723364.1799999988</v>
      </c>
      <c r="E17" s="66">
        <f t="shared" si="3"/>
        <v>7448715.5500000007</v>
      </c>
      <c r="F17" s="66">
        <f t="shared" si="3"/>
        <v>24920</v>
      </c>
      <c r="G17" s="66">
        <f t="shared" si="2"/>
        <v>15196999.73</v>
      </c>
    </row>
    <row r="18" spans="1:7">
      <c r="A18" s="1">
        <f>+'II-D-3.2'!A18</f>
        <v>4</v>
      </c>
      <c r="B18" s="132" t="str">
        <f>+'II-D-3.2'!B18</f>
        <v>April 2024</v>
      </c>
      <c r="D18" s="66">
        <f t="shared" ref="D18:F18" si="4">+S49+N80+D111+D142</f>
        <v>4548762.7900000019</v>
      </c>
      <c r="E18" s="66">
        <f t="shared" si="4"/>
        <v>5920015.330000001</v>
      </c>
      <c r="F18" s="66">
        <f t="shared" si="4"/>
        <v>46704.000000000007</v>
      </c>
      <c r="G18" s="66">
        <f t="shared" si="2"/>
        <v>10515482.120000003</v>
      </c>
    </row>
    <row r="19" spans="1:7">
      <c r="A19" s="1">
        <f>+'II-D-3.2'!A19</f>
        <v>5</v>
      </c>
      <c r="B19" s="132" t="str">
        <f>+'II-D-3.2'!B19</f>
        <v>May 2024</v>
      </c>
      <c r="D19" s="66">
        <f t="shared" ref="D19:F19" si="5">+S50+N81+D112+D143</f>
        <v>991762.37000000011</v>
      </c>
      <c r="E19" s="66">
        <f t="shared" si="5"/>
        <v>6224402.5</v>
      </c>
      <c r="F19" s="66">
        <f t="shared" si="5"/>
        <v>373967.99999999983</v>
      </c>
      <c r="G19" s="66">
        <f t="shared" si="2"/>
        <v>7590132.8700000001</v>
      </c>
    </row>
    <row r="20" spans="1:7">
      <c r="A20" s="1">
        <f>+'II-D-3.2'!A20</f>
        <v>6</v>
      </c>
      <c r="B20" s="132" t="str">
        <f>+'II-D-3.2'!B20</f>
        <v>June 2024</v>
      </c>
      <c r="D20" s="66">
        <f t="shared" ref="D20:F20" si="6">+S51+N82+D113+D144</f>
        <v>5645915.5600000005</v>
      </c>
      <c r="E20" s="66">
        <f t="shared" si="6"/>
        <v>9842707.5900000017</v>
      </c>
      <c r="F20" s="66">
        <f t="shared" si="6"/>
        <v>608047.99999999965</v>
      </c>
      <c r="G20" s="66">
        <f t="shared" si="2"/>
        <v>16096671.150000002</v>
      </c>
    </row>
    <row r="21" spans="1:7">
      <c r="A21" s="1">
        <f>+'II-D-3.2'!A21</f>
        <v>7</v>
      </c>
      <c r="B21" s="132" t="str">
        <f>+'II-D-3.2'!B21</f>
        <v>July 2024</v>
      </c>
      <c r="D21" s="66">
        <f t="shared" ref="D21:F21" si="7">+S52+N83+D114+D145</f>
        <v>4548062.9300000006</v>
      </c>
      <c r="E21" s="66">
        <f t="shared" si="7"/>
        <v>6495278.4500000002</v>
      </c>
      <c r="F21" s="66">
        <f t="shared" si="7"/>
        <v>28056</v>
      </c>
      <c r="G21" s="66">
        <f t="shared" si="2"/>
        <v>11071397.380000001</v>
      </c>
    </row>
    <row r="22" spans="1:7">
      <c r="A22" s="1">
        <f>+'II-D-3.2'!A22</f>
        <v>8</v>
      </c>
      <c r="B22" s="132" t="str">
        <f>+'II-D-3.2'!B22</f>
        <v>August 2024</v>
      </c>
      <c r="D22" s="66">
        <f t="shared" ref="D22:F22" si="8">+S53+N84+D115+D146</f>
        <v>4052949.4400000004</v>
      </c>
      <c r="E22" s="66">
        <f t="shared" si="8"/>
        <v>6810170.0199999996</v>
      </c>
      <c r="F22" s="66">
        <f t="shared" si="8"/>
        <v>5213768.0000000028</v>
      </c>
      <c r="G22" s="66">
        <f t="shared" si="2"/>
        <v>16076887.460000005</v>
      </c>
    </row>
    <row r="23" spans="1:7">
      <c r="A23" s="1">
        <f>+'II-D-3.2'!A23</f>
        <v>9</v>
      </c>
      <c r="B23" s="132" t="str">
        <f>+'II-D-3.2'!B23</f>
        <v>September 2024</v>
      </c>
      <c r="D23" s="66">
        <f t="shared" ref="D23:F23" si="9">+S54+N85+D116+D147</f>
        <v>4066276.9300000006</v>
      </c>
      <c r="E23" s="66">
        <f t="shared" si="9"/>
        <v>9268351.3699999973</v>
      </c>
      <c r="F23" s="66">
        <f t="shared" si="9"/>
        <v>326032.00000000017</v>
      </c>
      <c r="G23" s="66">
        <f t="shared" si="2"/>
        <v>13660660.299999997</v>
      </c>
    </row>
    <row r="24" spans="1:7">
      <c r="A24" s="1">
        <f>+'II-D-3.2'!A24</f>
        <v>10</v>
      </c>
      <c r="B24" s="132" t="str">
        <f>+'II-D-3.2'!B24</f>
        <v>October 2024</v>
      </c>
      <c r="D24" s="66">
        <f t="shared" ref="D24:F24" si="10">+S55+N86+D117+D148</f>
        <v>4312195.4700000007</v>
      </c>
      <c r="E24" s="66">
        <f t="shared" si="10"/>
        <v>6790347.5699999994</v>
      </c>
      <c r="F24" s="66">
        <f t="shared" si="10"/>
        <v>355599.99999999994</v>
      </c>
      <c r="G24" s="66">
        <f t="shared" si="2"/>
        <v>11458143.039999999</v>
      </c>
    </row>
    <row r="25" spans="1:7">
      <c r="A25" s="1">
        <f>+'II-D-3.2'!A25</f>
        <v>11</v>
      </c>
      <c r="B25" s="132" t="str">
        <f>+'II-D-3.2'!B25</f>
        <v>November 2024</v>
      </c>
      <c r="D25" s="66">
        <f t="shared" ref="D25:F25" si="11">+S56+N87+D118+D149</f>
        <v>3681938.6099999994</v>
      </c>
      <c r="E25" s="66">
        <f t="shared" si="11"/>
        <v>4145889.48</v>
      </c>
      <c r="F25" s="66">
        <f t="shared" si="11"/>
        <v>38808.000000000015</v>
      </c>
      <c r="G25" s="66">
        <f t="shared" si="2"/>
        <v>7866636.0899999999</v>
      </c>
    </row>
    <row r="26" spans="1:7">
      <c r="A26" s="1">
        <f>+'II-D-3.2'!A26</f>
        <v>12</v>
      </c>
      <c r="B26" s="132" t="str">
        <f>+'II-D-3.2'!B26</f>
        <v>December 2024</v>
      </c>
      <c r="D26" s="66">
        <f t="shared" ref="D26:F26" si="12">+S57+N88+D119+D150</f>
        <v>7035409.9699999997</v>
      </c>
      <c r="E26" s="66">
        <f t="shared" si="12"/>
        <v>11374267.150000002</v>
      </c>
      <c r="F26" s="66">
        <f t="shared" si="12"/>
        <v>248303.99999999994</v>
      </c>
      <c r="G26" s="66">
        <f t="shared" si="2"/>
        <v>18657981.120000001</v>
      </c>
    </row>
    <row r="27" spans="1:7">
      <c r="A27" s="1">
        <f>+'II-D-3.2'!A27</f>
        <v>13</v>
      </c>
      <c r="D27" s="115"/>
      <c r="E27" s="115"/>
      <c r="F27" s="115"/>
      <c r="G27" s="115"/>
    </row>
    <row r="28" spans="1:7">
      <c r="A28" s="1">
        <f>+'II-D-3.2'!A28</f>
        <v>14</v>
      </c>
      <c r="B28" s="94" t="s">
        <v>69</v>
      </c>
      <c r="C28" s="5"/>
      <c r="D28" s="141">
        <f>SUM(D15:D26)</f>
        <v>52934576.469999999</v>
      </c>
      <c r="E28" s="141">
        <f t="shared" ref="E28:F28" si="13">SUM(E15:E26)</f>
        <v>85037052.000000015</v>
      </c>
      <c r="F28" s="141">
        <f t="shared" si="13"/>
        <v>8143802.6900000032</v>
      </c>
      <c r="G28" s="141">
        <f>SUM(G15:G26)</f>
        <v>146115431.16</v>
      </c>
    </row>
    <row r="29" spans="1:7">
      <c r="A29" s="1">
        <f>+'II-D-3.2'!A29</f>
        <v>15</v>
      </c>
    </row>
    <row r="30" spans="1:7">
      <c r="A30" s="1">
        <f>+'II-D-3.2'!A30</f>
        <v>16</v>
      </c>
    </row>
    <row r="31" spans="1:7">
      <c r="A31" s="1">
        <f>+'II-D-3.2'!A31</f>
        <v>17</v>
      </c>
      <c r="B31" s="94" t="s">
        <v>158</v>
      </c>
      <c r="D31" s="139">
        <f t="shared" ref="D31:D33" si="14">+S62+N93+D124+D155</f>
        <v>368297.12000000011</v>
      </c>
      <c r="E31" s="139">
        <f t="shared" ref="E31:E33" si="15">+T62+O93+E124+E155</f>
        <v>7280342.2300000004</v>
      </c>
      <c r="F31" s="139">
        <f t="shared" ref="F31:F33" si="16">+U62+P93+F124+F155</f>
        <v>8568</v>
      </c>
      <c r="G31" s="139">
        <f>SUM(D31:F31)</f>
        <v>7657207.3500000006</v>
      </c>
    </row>
    <row r="32" spans="1:7">
      <c r="A32" s="1">
        <f>+'II-D-3.2'!A32</f>
        <v>18</v>
      </c>
      <c r="B32" s="94" t="s">
        <v>159</v>
      </c>
      <c r="D32" s="66">
        <f t="shared" si="14"/>
        <v>4065046.8299999996</v>
      </c>
      <c r="E32" s="66">
        <f t="shared" si="15"/>
        <v>7337478.7199999997</v>
      </c>
      <c r="F32" s="66">
        <f t="shared" si="16"/>
        <v>538103.99999999988</v>
      </c>
      <c r="G32" s="66">
        <f>SUM(D32:F32)</f>
        <v>11940629.549999999</v>
      </c>
    </row>
    <row r="33" spans="1:22">
      <c r="A33" s="1">
        <f>+'II-D-3.2'!A33</f>
        <v>19</v>
      </c>
      <c r="B33" s="94" t="s">
        <v>46</v>
      </c>
      <c r="D33" s="66">
        <f t="shared" si="14"/>
        <v>4604593.04</v>
      </c>
      <c r="E33" s="66">
        <f t="shared" si="15"/>
        <v>11745016.260000002</v>
      </c>
      <c r="F33" s="66">
        <f t="shared" si="16"/>
        <v>66304</v>
      </c>
      <c r="G33" s="66">
        <f>SUM(D33:F33)</f>
        <v>16415913.300000001</v>
      </c>
    </row>
    <row r="34" spans="1:22">
      <c r="A34" s="1">
        <f>+'II-D-3.2'!A34</f>
        <v>20</v>
      </c>
    </row>
    <row r="35" spans="1:22">
      <c r="A35" s="1">
        <f>+'II-D-3.2'!A35</f>
        <v>21</v>
      </c>
    </row>
    <row r="36" spans="1:22">
      <c r="A36" s="1">
        <f>+'II-D-3.2'!A36</f>
        <v>22</v>
      </c>
      <c r="B36" s="94" t="str">
        <f>+'II-D-3.2'!B36</f>
        <v>TME 2021</v>
      </c>
      <c r="D36" s="139">
        <f t="shared" ref="D36:D38" si="17">+S67+N98+D129+D160</f>
        <v>25793623.91</v>
      </c>
      <c r="E36" s="139">
        <f t="shared" ref="E36:E38" si="18">+T67+O98+E129+E160</f>
        <v>46244736.969999962</v>
      </c>
      <c r="F36" s="139">
        <f t="shared" ref="F36:F38" si="19">+U67+P98+F129+F160</f>
        <v>3792992.0000000019</v>
      </c>
      <c r="G36" s="139">
        <f>SUM(D36:F36)</f>
        <v>75831352.879999965</v>
      </c>
    </row>
    <row r="37" spans="1:22">
      <c r="A37" s="1">
        <f>+'II-D-3.2'!A37</f>
        <v>23</v>
      </c>
      <c r="B37" s="94" t="str">
        <f>+'II-D-3.2'!B37</f>
        <v>TME 2022</v>
      </c>
      <c r="D37" s="66">
        <f t="shared" si="17"/>
        <v>20336597.769999996</v>
      </c>
      <c r="E37" s="66">
        <f t="shared" si="18"/>
        <v>75815757.929999858</v>
      </c>
      <c r="F37" s="66">
        <f t="shared" si="19"/>
        <v>3539124.600000002</v>
      </c>
      <c r="G37" s="66">
        <f>SUM(D37:F37)</f>
        <v>99691480.299999863</v>
      </c>
    </row>
    <row r="38" spans="1:22">
      <c r="A38" s="1">
        <f>+'II-D-3.2'!A38</f>
        <v>24</v>
      </c>
      <c r="B38" s="94" t="str">
        <f>+'II-D-3.2'!B38</f>
        <v>TME 2023</v>
      </c>
      <c r="D38" s="66">
        <f t="shared" si="17"/>
        <v>37193766.079999998</v>
      </c>
      <c r="E38" s="66">
        <f t="shared" si="18"/>
        <v>77479334.450000063</v>
      </c>
      <c r="F38" s="66">
        <f t="shared" si="19"/>
        <v>5510344.0000000037</v>
      </c>
      <c r="G38" s="66">
        <f>SUM(D38:F38)</f>
        <v>120183444.53000006</v>
      </c>
    </row>
    <row r="41" spans="1:22" ht="13.5" thickBot="1">
      <c r="D41" s="379" t="s">
        <v>292</v>
      </c>
      <c r="E41" s="379"/>
      <c r="F41" s="379"/>
      <c r="G41" s="379"/>
      <c r="I41" s="380" t="s">
        <v>625</v>
      </c>
      <c r="J41" s="379"/>
      <c r="K41" s="379"/>
      <c r="L41" s="379"/>
      <c r="N41" s="380" t="s">
        <v>626</v>
      </c>
      <c r="O41" s="379"/>
      <c r="P41" s="379"/>
      <c r="Q41" s="379"/>
      <c r="S41" s="380" t="s">
        <v>627</v>
      </c>
      <c r="T41" s="379"/>
      <c r="U41" s="379"/>
      <c r="V41" s="379"/>
    </row>
    <row r="42" spans="1:22">
      <c r="A42" s="18" t="s">
        <v>87</v>
      </c>
      <c r="B42" s="18"/>
      <c r="D42" s="18" t="s">
        <v>14</v>
      </c>
      <c r="E42" s="18" t="s">
        <v>15</v>
      </c>
      <c r="F42" s="18"/>
      <c r="G42" s="91"/>
      <c r="I42" s="18" t="s">
        <v>14</v>
      </c>
      <c r="J42" s="18" t="s">
        <v>15</v>
      </c>
      <c r="K42" s="18"/>
      <c r="L42" s="91"/>
      <c r="N42" s="18" t="s">
        <v>14</v>
      </c>
      <c r="O42" s="18" t="s">
        <v>15</v>
      </c>
      <c r="P42" s="18"/>
      <c r="Q42" s="91"/>
      <c r="S42" s="18" t="s">
        <v>14</v>
      </c>
      <c r="T42" s="18" t="s">
        <v>15</v>
      </c>
      <c r="U42" s="18"/>
      <c r="V42" s="91"/>
    </row>
    <row r="43" spans="1:22">
      <c r="A43" s="196" t="s">
        <v>89</v>
      </c>
      <c r="B43" s="196" t="s">
        <v>64</v>
      </c>
      <c r="D43" s="92" t="s">
        <v>67</v>
      </c>
      <c r="E43" s="92" t="s">
        <v>16</v>
      </c>
      <c r="F43" s="92" t="s">
        <v>63</v>
      </c>
      <c r="G43" s="92" t="s">
        <v>215</v>
      </c>
      <c r="I43" s="196" t="s">
        <v>67</v>
      </c>
      <c r="J43" s="196" t="s">
        <v>16</v>
      </c>
      <c r="K43" s="196" t="s">
        <v>63</v>
      </c>
      <c r="L43" s="196" t="s">
        <v>215</v>
      </c>
      <c r="N43" s="196" t="s">
        <v>67</v>
      </c>
      <c r="O43" s="196" t="s">
        <v>16</v>
      </c>
      <c r="P43" s="196" t="s">
        <v>63</v>
      </c>
      <c r="Q43" s="196" t="s">
        <v>215</v>
      </c>
      <c r="S43" s="196" t="s">
        <v>67</v>
      </c>
      <c r="T43" s="196" t="s">
        <v>16</v>
      </c>
      <c r="U43" s="196" t="s">
        <v>63</v>
      </c>
      <c r="V43" s="196" t="s">
        <v>215</v>
      </c>
    </row>
    <row r="44" spans="1:22">
      <c r="A44" s="18"/>
      <c r="B44" s="16" t="s">
        <v>44</v>
      </c>
      <c r="D44" s="16" t="s">
        <v>45</v>
      </c>
      <c r="E44" s="16" t="s">
        <v>74</v>
      </c>
      <c r="F44" s="16" t="s">
        <v>75</v>
      </c>
      <c r="G44" s="16" t="s">
        <v>76</v>
      </c>
      <c r="I44" s="191" t="s">
        <v>77</v>
      </c>
      <c r="J44" s="191" t="s">
        <v>78</v>
      </c>
      <c r="K44" s="191" t="s">
        <v>79</v>
      </c>
      <c r="L44" s="191" t="s">
        <v>80</v>
      </c>
      <c r="N44" s="191" t="s">
        <v>81</v>
      </c>
      <c r="O44" s="191" t="s">
        <v>82</v>
      </c>
      <c r="P44" s="191" t="s">
        <v>83</v>
      </c>
      <c r="Q44" s="191" t="s">
        <v>84</v>
      </c>
      <c r="S44" s="191" t="s">
        <v>85</v>
      </c>
      <c r="T44" s="191" t="s">
        <v>86</v>
      </c>
      <c r="U44" s="191" t="s">
        <v>254</v>
      </c>
      <c r="V44" s="191" t="s">
        <v>128</v>
      </c>
    </row>
    <row r="45" spans="1:22">
      <c r="D45" s="97"/>
      <c r="E45" s="97"/>
      <c r="F45" s="97"/>
      <c r="G45" s="97"/>
      <c r="I45" s="97"/>
      <c r="J45" s="97"/>
      <c r="K45" s="97"/>
      <c r="L45" s="97"/>
      <c r="N45" s="97"/>
      <c r="O45" s="97"/>
      <c r="P45" s="97"/>
      <c r="Q45" s="97"/>
      <c r="S45" s="97"/>
      <c r="T45" s="97"/>
      <c r="U45" s="97"/>
      <c r="V45" s="97"/>
    </row>
    <row r="46" spans="1:22">
      <c r="A46" s="1">
        <f>+'II-D-3.2'!A46</f>
        <v>25</v>
      </c>
      <c r="B46" s="132" t="str">
        <f t="shared" ref="B46:B57" si="20">+B15</f>
        <v>January 2024</v>
      </c>
      <c r="D46" s="139">
        <v>1276051.72</v>
      </c>
      <c r="E46" s="139">
        <v>1814986.1199999999</v>
      </c>
      <c r="F46" s="139">
        <v>0</v>
      </c>
      <c r="G46" s="139">
        <f>SUM(D46:F46)</f>
        <v>3091037.84</v>
      </c>
      <c r="I46" s="139">
        <v>0</v>
      </c>
      <c r="J46" s="139">
        <v>0</v>
      </c>
      <c r="K46" s="139">
        <v>0</v>
      </c>
      <c r="L46" s="139">
        <f>SUM(I46:K46)</f>
        <v>0</v>
      </c>
      <c r="N46" s="139">
        <v>0</v>
      </c>
      <c r="O46" s="139">
        <v>0</v>
      </c>
      <c r="P46" s="139">
        <v>0</v>
      </c>
      <c r="Q46" s="139">
        <f>SUM(N46:P46)</f>
        <v>0</v>
      </c>
      <c r="S46" s="139">
        <f>+D46+I46+N46</f>
        <v>1276051.72</v>
      </c>
      <c r="T46" s="139">
        <f t="shared" ref="T46:T57" si="21">+E46+J46+O46</f>
        <v>1814986.1199999999</v>
      </c>
      <c r="U46" s="139">
        <f t="shared" ref="U46:U57" si="22">+F46+K46+P46</f>
        <v>0</v>
      </c>
      <c r="V46" s="139">
        <f t="shared" ref="V46:V57" si="23">+G46+L46+Q46</f>
        <v>3091037.84</v>
      </c>
    </row>
    <row r="47" spans="1:22">
      <c r="A47" s="1">
        <f>+'II-D-3.2'!A47</f>
        <v>26</v>
      </c>
      <c r="B47" s="132" t="str">
        <f t="shared" si="20"/>
        <v>February 2024</v>
      </c>
      <c r="D47" s="66">
        <v>668337.93999999994</v>
      </c>
      <c r="E47" s="66">
        <v>1801174.3099999998</v>
      </c>
      <c r="F47" s="66">
        <v>71393.64</v>
      </c>
      <c r="G47" s="66">
        <f t="shared" ref="G47:G57" si="24">SUM(D47:F47)</f>
        <v>2540905.89</v>
      </c>
      <c r="I47" s="66">
        <v>0</v>
      </c>
      <c r="J47" s="66">
        <v>0</v>
      </c>
      <c r="K47" s="66">
        <v>0</v>
      </c>
      <c r="L47" s="66">
        <f t="shared" ref="L47:L57" si="25">SUM(I47:K47)</f>
        <v>0</v>
      </c>
      <c r="N47" s="66">
        <v>0</v>
      </c>
      <c r="O47" s="66">
        <v>0</v>
      </c>
      <c r="P47" s="66">
        <v>0</v>
      </c>
      <c r="Q47" s="66">
        <f t="shared" ref="Q47:Q57" si="26">SUM(N47:P47)</f>
        <v>0</v>
      </c>
      <c r="S47" s="66">
        <f t="shared" ref="S47:S57" si="27">+D47+I47+N47</f>
        <v>668337.93999999994</v>
      </c>
      <c r="T47" s="66">
        <f t="shared" si="21"/>
        <v>1801174.3099999998</v>
      </c>
      <c r="U47" s="66">
        <f t="shared" si="22"/>
        <v>71393.64</v>
      </c>
      <c r="V47" s="66">
        <f t="shared" si="23"/>
        <v>2540905.89</v>
      </c>
    </row>
    <row r="48" spans="1:22">
      <c r="A48" s="1">
        <f>+'II-D-3.2'!A48</f>
        <v>27</v>
      </c>
      <c r="B48" s="132" t="str">
        <f t="shared" si="20"/>
        <v>March 2024</v>
      </c>
      <c r="D48" s="66">
        <v>1955485.08</v>
      </c>
      <c r="E48" s="66">
        <v>1601877.9</v>
      </c>
      <c r="F48" s="66">
        <v>586.83000000000004</v>
      </c>
      <c r="G48" s="66">
        <f t="shared" si="24"/>
        <v>3557949.81</v>
      </c>
      <c r="I48" s="66">
        <v>0</v>
      </c>
      <c r="J48" s="66">
        <v>0</v>
      </c>
      <c r="K48" s="66">
        <v>0</v>
      </c>
      <c r="L48" s="66">
        <f t="shared" si="25"/>
        <v>0</v>
      </c>
      <c r="N48" s="66">
        <v>0</v>
      </c>
      <c r="O48" s="66">
        <v>0</v>
      </c>
      <c r="P48" s="66">
        <v>0</v>
      </c>
      <c r="Q48" s="66">
        <f t="shared" si="26"/>
        <v>0</v>
      </c>
      <c r="S48" s="66">
        <f t="shared" si="27"/>
        <v>1955485.08</v>
      </c>
      <c r="T48" s="66">
        <f t="shared" si="21"/>
        <v>1601877.9</v>
      </c>
      <c r="U48" s="66">
        <f t="shared" si="22"/>
        <v>586.83000000000004</v>
      </c>
      <c r="V48" s="66">
        <f t="shared" si="23"/>
        <v>3557949.81</v>
      </c>
    </row>
    <row r="49" spans="1:22">
      <c r="A49" s="1">
        <f>+'II-D-3.2'!A49</f>
        <v>28</v>
      </c>
      <c r="B49" s="132" t="str">
        <f t="shared" si="20"/>
        <v>April 2024</v>
      </c>
      <c r="D49" s="66">
        <v>1256950.6600000001</v>
      </c>
      <c r="E49" s="66">
        <v>1865825.2200000002</v>
      </c>
      <c r="F49" s="66">
        <v>1974.44</v>
      </c>
      <c r="G49" s="66">
        <f t="shared" si="24"/>
        <v>3124750.3200000003</v>
      </c>
      <c r="I49" s="66">
        <v>0</v>
      </c>
      <c r="J49" s="66">
        <v>0</v>
      </c>
      <c r="K49" s="66">
        <v>0</v>
      </c>
      <c r="L49" s="66">
        <f t="shared" si="25"/>
        <v>0</v>
      </c>
      <c r="N49" s="66">
        <v>0</v>
      </c>
      <c r="O49" s="66">
        <v>0</v>
      </c>
      <c r="P49" s="66">
        <v>0</v>
      </c>
      <c r="Q49" s="66">
        <f t="shared" si="26"/>
        <v>0</v>
      </c>
      <c r="S49" s="66">
        <f t="shared" si="27"/>
        <v>1256950.6600000001</v>
      </c>
      <c r="T49" s="66">
        <f t="shared" si="21"/>
        <v>1865825.2200000002</v>
      </c>
      <c r="U49" s="66">
        <f t="shared" si="22"/>
        <v>1974.44</v>
      </c>
      <c r="V49" s="66">
        <f t="shared" si="23"/>
        <v>3124750.3200000003</v>
      </c>
    </row>
    <row r="50" spans="1:22">
      <c r="A50" s="1">
        <f>+'II-D-3.2'!A50</f>
        <v>29</v>
      </c>
      <c r="B50" s="132" t="str">
        <f t="shared" si="20"/>
        <v>May 2024</v>
      </c>
      <c r="D50" s="66">
        <v>211854.84999999998</v>
      </c>
      <c r="E50" s="66">
        <v>2075217.61</v>
      </c>
      <c r="F50" s="66">
        <v>7647.12</v>
      </c>
      <c r="G50" s="66">
        <f t="shared" si="24"/>
        <v>2294719.58</v>
      </c>
      <c r="I50" s="66">
        <v>0</v>
      </c>
      <c r="J50" s="66">
        <v>0</v>
      </c>
      <c r="K50" s="66">
        <v>0</v>
      </c>
      <c r="L50" s="66">
        <f t="shared" si="25"/>
        <v>0</v>
      </c>
      <c r="N50" s="66">
        <v>0</v>
      </c>
      <c r="O50" s="66">
        <v>0</v>
      </c>
      <c r="P50" s="66">
        <v>0</v>
      </c>
      <c r="Q50" s="66">
        <f t="shared" si="26"/>
        <v>0</v>
      </c>
      <c r="S50" s="66">
        <f t="shared" si="27"/>
        <v>211854.84999999998</v>
      </c>
      <c r="T50" s="66">
        <f t="shared" si="21"/>
        <v>2075217.61</v>
      </c>
      <c r="U50" s="66">
        <f t="shared" si="22"/>
        <v>7647.12</v>
      </c>
      <c r="V50" s="66">
        <f t="shared" si="23"/>
        <v>2294719.58</v>
      </c>
    </row>
    <row r="51" spans="1:22">
      <c r="A51" s="1">
        <f>+'II-D-3.2'!A51</f>
        <v>30</v>
      </c>
      <c r="B51" s="132" t="str">
        <f t="shared" si="20"/>
        <v>June 2024</v>
      </c>
      <c r="D51" s="66">
        <v>1563807.2200000002</v>
      </c>
      <c r="E51" s="66">
        <v>3606149.2200000007</v>
      </c>
      <c r="F51" s="66">
        <v>20286.350000000002</v>
      </c>
      <c r="G51" s="66">
        <f t="shared" si="24"/>
        <v>5190242.790000001</v>
      </c>
      <c r="I51" s="66">
        <v>0</v>
      </c>
      <c r="J51" s="66">
        <v>0</v>
      </c>
      <c r="K51" s="66">
        <v>0</v>
      </c>
      <c r="L51" s="66">
        <f t="shared" si="25"/>
        <v>0</v>
      </c>
      <c r="N51" s="66">
        <v>0</v>
      </c>
      <c r="O51" s="66">
        <v>0</v>
      </c>
      <c r="P51" s="66">
        <v>0</v>
      </c>
      <c r="Q51" s="66">
        <f t="shared" si="26"/>
        <v>0</v>
      </c>
      <c r="S51" s="66">
        <f t="shared" si="27"/>
        <v>1563807.2200000002</v>
      </c>
      <c r="T51" s="66">
        <f t="shared" si="21"/>
        <v>3606149.2200000007</v>
      </c>
      <c r="U51" s="66">
        <f t="shared" si="22"/>
        <v>20286.350000000002</v>
      </c>
      <c r="V51" s="66">
        <f t="shared" si="23"/>
        <v>5190242.790000001</v>
      </c>
    </row>
    <row r="52" spans="1:22">
      <c r="A52" s="1">
        <f>+'II-D-3.2'!A52</f>
        <v>31</v>
      </c>
      <c r="B52" s="132" t="str">
        <f t="shared" si="20"/>
        <v>July 2024</v>
      </c>
      <c r="D52" s="66">
        <v>1183928.6900000002</v>
      </c>
      <c r="E52" s="66">
        <v>2183076.84</v>
      </c>
      <c r="F52" s="66">
        <v>0</v>
      </c>
      <c r="G52" s="66">
        <f t="shared" si="24"/>
        <v>3367005.5300000003</v>
      </c>
      <c r="I52" s="66">
        <v>0</v>
      </c>
      <c r="J52" s="66">
        <v>0</v>
      </c>
      <c r="K52" s="66">
        <v>0</v>
      </c>
      <c r="L52" s="66">
        <f t="shared" si="25"/>
        <v>0</v>
      </c>
      <c r="N52" s="66">
        <v>0</v>
      </c>
      <c r="O52" s="66">
        <v>0</v>
      </c>
      <c r="P52" s="66">
        <v>0</v>
      </c>
      <c r="Q52" s="66">
        <f t="shared" si="26"/>
        <v>0</v>
      </c>
      <c r="S52" s="66">
        <f t="shared" si="27"/>
        <v>1183928.6900000002</v>
      </c>
      <c r="T52" s="66">
        <f t="shared" si="21"/>
        <v>2183076.84</v>
      </c>
      <c r="U52" s="66">
        <f t="shared" si="22"/>
        <v>0</v>
      </c>
      <c r="V52" s="66">
        <f t="shared" si="23"/>
        <v>3367005.5300000003</v>
      </c>
    </row>
    <row r="53" spans="1:22">
      <c r="A53" s="1">
        <f>+'II-D-3.2'!A53</f>
        <v>32</v>
      </c>
      <c r="B53" s="132" t="str">
        <f t="shared" si="20"/>
        <v>August 2024</v>
      </c>
      <c r="D53" s="66">
        <v>1105780.44</v>
      </c>
      <c r="E53" s="66">
        <v>2282255.5099999998</v>
      </c>
      <c r="F53" s="66">
        <v>321204.47000000003</v>
      </c>
      <c r="G53" s="66">
        <f t="shared" si="24"/>
        <v>3709240.42</v>
      </c>
      <c r="I53" s="66">
        <v>0</v>
      </c>
      <c r="J53" s="66">
        <v>0</v>
      </c>
      <c r="K53" s="66">
        <v>0</v>
      </c>
      <c r="L53" s="66">
        <f t="shared" si="25"/>
        <v>0</v>
      </c>
      <c r="N53" s="66">
        <v>0</v>
      </c>
      <c r="O53" s="66">
        <v>0</v>
      </c>
      <c r="P53" s="66">
        <v>0</v>
      </c>
      <c r="Q53" s="66">
        <f t="shared" si="26"/>
        <v>0</v>
      </c>
      <c r="S53" s="66">
        <f t="shared" si="27"/>
        <v>1105780.44</v>
      </c>
      <c r="T53" s="66">
        <f t="shared" si="21"/>
        <v>2282255.5099999998</v>
      </c>
      <c r="U53" s="66">
        <f t="shared" si="22"/>
        <v>321204.47000000003</v>
      </c>
      <c r="V53" s="66">
        <f t="shared" si="23"/>
        <v>3709240.42</v>
      </c>
    </row>
    <row r="54" spans="1:22">
      <c r="A54" s="1">
        <f>+'II-D-3.2'!A54</f>
        <v>33</v>
      </c>
      <c r="B54" s="132" t="str">
        <f t="shared" si="20"/>
        <v>September 2024</v>
      </c>
      <c r="D54" s="66">
        <v>1082394.18</v>
      </c>
      <c r="E54" s="66">
        <v>3213755.12</v>
      </c>
      <c r="F54" s="66">
        <v>9191.59</v>
      </c>
      <c r="G54" s="66">
        <f t="shared" si="24"/>
        <v>4305340.8899999997</v>
      </c>
      <c r="I54" s="66">
        <v>0</v>
      </c>
      <c r="J54" s="66">
        <v>0</v>
      </c>
      <c r="K54" s="66">
        <v>0</v>
      </c>
      <c r="L54" s="66">
        <f t="shared" si="25"/>
        <v>0</v>
      </c>
      <c r="N54" s="66">
        <v>0</v>
      </c>
      <c r="O54" s="66">
        <v>0</v>
      </c>
      <c r="P54" s="66">
        <v>0</v>
      </c>
      <c r="Q54" s="66">
        <f t="shared" si="26"/>
        <v>0</v>
      </c>
      <c r="S54" s="66">
        <f t="shared" si="27"/>
        <v>1082394.18</v>
      </c>
      <c r="T54" s="66">
        <f t="shared" si="21"/>
        <v>3213755.12</v>
      </c>
      <c r="U54" s="66">
        <f t="shared" si="22"/>
        <v>9191.59</v>
      </c>
      <c r="V54" s="66">
        <f t="shared" si="23"/>
        <v>4305340.8899999997</v>
      </c>
    </row>
    <row r="55" spans="1:22">
      <c r="A55" s="1">
        <f>+'II-D-3.2'!A55</f>
        <v>34</v>
      </c>
      <c r="B55" s="132" t="str">
        <f t="shared" si="20"/>
        <v>October 2024</v>
      </c>
      <c r="D55" s="66">
        <v>1137484.24</v>
      </c>
      <c r="E55" s="66">
        <v>2373562.3699999996</v>
      </c>
      <c r="F55" s="66">
        <v>49103.06</v>
      </c>
      <c r="G55" s="66">
        <f t="shared" si="24"/>
        <v>3560149.6699999995</v>
      </c>
      <c r="I55" s="66">
        <v>0</v>
      </c>
      <c r="J55" s="66">
        <v>0</v>
      </c>
      <c r="K55" s="66">
        <v>0</v>
      </c>
      <c r="L55" s="66">
        <f t="shared" si="25"/>
        <v>0</v>
      </c>
      <c r="N55" s="66">
        <v>0</v>
      </c>
      <c r="O55" s="66">
        <v>0</v>
      </c>
      <c r="P55" s="66">
        <v>0</v>
      </c>
      <c r="Q55" s="66">
        <f t="shared" si="26"/>
        <v>0</v>
      </c>
      <c r="S55" s="66">
        <f t="shared" si="27"/>
        <v>1137484.24</v>
      </c>
      <c r="T55" s="66">
        <f t="shared" si="21"/>
        <v>2373562.3699999996</v>
      </c>
      <c r="U55" s="66">
        <f t="shared" si="22"/>
        <v>49103.06</v>
      </c>
      <c r="V55" s="66">
        <f t="shared" si="23"/>
        <v>3560149.6699999995</v>
      </c>
    </row>
    <row r="56" spans="1:22">
      <c r="A56" s="1">
        <f>+'II-D-3.2'!A56</f>
        <v>35</v>
      </c>
      <c r="B56" s="132" t="str">
        <f t="shared" si="20"/>
        <v>November 2024</v>
      </c>
      <c r="D56" s="66">
        <v>896076.77</v>
      </c>
      <c r="E56" s="66">
        <v>1526638</v>
      </c>
      <c r="F56" s="66">
        <v>2131.16</v>
      </c>
      <c r="G56" s="66">
        <f t="shared" si="24"/>
        <v>2424845.9300000002</v>
      </c>
      <c r="I56" s="66">
        <v>0</v>
      </c>
      <c r="J56" s="66">
        <v>0</v>
      </c>
      <c r="K56" s="66">
        <v>0</v>
      </c>
      <c r="L56" s="66">
        <f t="shared" si="25"/>
        <v>0</v>
      </c>
      <c r="N56" s="66">
        <v>0</v>
      </c>
      <c r="O56" s="66">
        <v>0</v>
      </c>
      <c r="P56" s="66">
        <v>0</v>
      </c>
      <c r="Q56" s="66">
        <f t="shared" si="26"/>
        <v>0</v>
      </c>
      <c r="S56" s="66">
        <f t="shared" si="27"/>
        <v>896076.77</v>
      </c>
      <c r="T56" s="66">
        <f t="shared" si="21"/>
        <v>1526638</v>
      </c>
      <c r="U56" s="66">
        <f t="shared" si="22"/>
        <v>2131.16</v>
      </c>
      <c r="V56" s="66">
        <f t="shared" si="23"/>
        <v>2424845.9300000002</v>
      </c>
    </row>
    <row r="57" spans="1:22">
      <c r="A57" s="1">
        <f>+'II-D-3.2'!A57</f>
        <v>36</v>
      </c>
      <c r="B57" s="132" t="str">
        <f t="shared" si="20"/>
        <v>December 2024</v>
      </c>
      <c r="D57" s="66">
        <v>1928578.19</v>
      </c>
      <c r="E57" s="66">
        <v>3976796.4800000009</v>
      </c>
      <c r="F57" s="66">
        <v>2672.85</v>
      </c>
      <c r="G57" s="66">
        <f t="shared" si="24"/>
        <v>5908047.5200000005</v>
      </c>
      <c r="I57" s="66">
        <v>0</v>
      </c>
      <c r="J57" s="66">
        <v>0</v>
      </c>
      <c r="K57" s="66">
        <v>0</v>
      </c>
      <c r="L57" s="66">
        <f t="shared" si="25"/>
        <v>0</v>
      </c>
      <c r="N57" s="66">
        <v>0</v>
      </c>
      <c r="O57" s="66">
        <v>0</v>
      </c>
      <c r="P57" s="66">
        <v>0</v>
      </c>
      <c r="Q57" s="66">
        <f t="shared" si="26"/>
        <v>0</v>
      </c>
      <c r="S57" s="66">
        <f t="shared" si="27"/>
        <v>1928578.19</v>
      </c>
      <c r="T57" s="66">
        <f t="shared" si="21"/>
        <v>3976796.4800000009</v>
      </c>
      <c r="U57" s="66">
        <f t="shared" si="22"/>
        <v>2672.85</v>
      </c>
      <c r="V57" s="66">
        <f t="shared" si="23"/>
        <v>5908047.5200000005</v>
      </c>
    </row>
    <row r="58" spans="1:22">
      <c r="A58" s="1">
        <f>+'II-D-3.2'!A58</f>
        <v>37</v>
      </c>
      <c r="D58" s="115"/>
      <c r="E58" s="115"/>
      <c r="F58" s="115"/>
      <c r="G58" s="115"/>
      <c r="I58" s="115"/>
      <c r="J58" s="115"/>
      <c r="K58" s="115"/>
      <c r="L58" s="115"/>
      <c r="N58" s="115"/>
      <c r="O58" s="115"/>
      <c r="P58" s="115"/>
      <c r="Q58" s="115"/>
      <c r="S58" s="115"/>
      <c r="T58" s="115"/>
      <c r="U58" s="115"/>
      <c r="V58" s="115"/>
    </row>
    <row r="59" spans="1:22">
      <c r="A59" s="1">
        <f>+'II-D-3.2'!A59</f>
        <v>38</v>
      </c>
      <c r="B59" s="94" t="s">
        <v>69</v>
      </c>
      <c r="D59" s="141">
        <f>SUM(D46:D57)</f>
        <v>14266729.98</v>
      </c>
      <c r="E59" s="141">
        <f>SUM(E46:E57)</f>
        <v>28321314.700000003</v>
      </c>
      <c r="F59" s="141">
        <f>SUM(F46:F57)</f>
        <v>486191.51</v>
      </c>
      <c r="G59" s="141">
        <f>SUM(G46:G57)</f>
        <v>43074236.190000013</v>
      </c>
      <c r="I59" s="141">
        <f>SUM(I46:I57)</f>
        <v>0</v>
      </c>
      <c r="J59" s="141">
        <f>SUM(J46:J57)</f>
        <v>0</v>
      </c>
      <c r="K59" s="141">
        <f>SUM(K46:K57)</f>
        <v>0</v>
      </c>
      <c r="L59" s="141">
        <f>SUM(L46:L57)</f>
        <v>0</v>
      </c>
      <c r="N59" s="141">
        <f>SUM(N46:N57)</f>
        <v>0</v>
      </c>
      <c r="O59" s="141">
        <f>SUM(O46:O57)</f>
        <v>0</v>
      </c>
      <c r="P59" s="141">
        <f>SUM(P46:P57)</f>
        <v>0</v>
      </c>
      <c r="Q59" s="141">
        <f>SUM(Q46:Q57)</f>
        <v>0</v>
      </c>
      <c r="S59" s="141">
        <f>SUM(S46:S57)</f>
        <v>14266729.98</v>
      </c>
      <c r="T59" s="141">
        <f>SUM(T46:T57)</f>
        <v>28321314.700000003</v>
      </c>
      <c r="U59" s="141">
        <f>SUM(U46:U57)</f>
        <v>486191.51</v>
      </c>
      <c r="V59" s="141">
        <f>SUM(V46:V57)</f>
        <v>43074236.190000013</v>
      </c>
    </row>
    <row r="60" spans="1:22">
      <c r="A60" s="1">
        <f>+'II-D-3.2'!A60</f>
        <v>39</v>
      </c>
    </row>
    <row r="61" spans="1:22">
      <c r="A61" s="1">
        <f>+'II-D-3.2'!A61</f>
        <v>40</v>
      </c>
    </row>
    <row r="62" spans="1:22">
      <c r="A62" s="1">
        <f>+'II-D-3.2'!A62</f>
        <v>41</v>
      </c>
      <c r="B62" s="94" t="s">
        <v>158</v>
      </c>
      <c r="D62" s="139">
        <v>53754.930000000037</v>
      </c>
      <c r="E62" s="139">
        <v>2463682.15</v>
      </c>
      <c r="F62" s="139">
        <v>0</v>
      </c>
      <c r="G62" s="139">
        <f>SUM(D62:F62)</f>
        <v>2517437.08</v>
      </c>
      <c r="I62" s="139">
        <v>0</v>
      </c>
      <c r="J62" s="139">
        <v>0</v>
      </c>
      <c r="K62" s="139">
        <v>0</v>
      </c>
      <c r="L62" s="139">
        <f>SUM(I62:K62)</f>
        <v>0</v>
      </c>
      <c r="N62" s="139">
        <v>0</v>
      </c>
      <c r="O62" s="139">
        <v>0</v>
      </c>
      <c r="P62" s="139">
        <v>0</v>
      </c>
      <c r="Q62" s="139">
        <f>SUM(N62:P62)</f>
        <v>0</v>
      </c>
      <c r="S62" s="139">
        <f t="shared" ref="S62:S64" si="28">+D62+I62+N62</f>
        <v>53754.930000000037</v>
      </c>
      <c r="T62" s="139">
        <f t="shared" ref="T62:T64" si="29">+E62+J62+O62</f>
        <v>2463682.15</v>
      </c>
      <c r="U62" s="139">
        <f t="shared" ref="U62:U64" si="30">+F62+K62+P62</f>
        <v>0</v>
      </c>
      <c r="V62" s="139">
        <f t="shared" ref="V62:V64" si="31">+G62+L62+Q62</f>
        <v>2517437.08</v>
      </c>
    </row>
    <row r="63" spans="1:22">
      <c r="A63" s="1">
        <f>+'II-D-3.2'!A63</f>
        <v>42</v>
      </c>
      <c r="B63" s="94" t="s">
        <v>159</v>
      </c>
      <c r="D63" s="66">
        <v>1168019.8299999998</v>
      </c>
      <c r="E63" s="66">
        <v>2542629.7899999996</v>
      </c>
      <c r="F63" s="66">
        <v>24247.27</v>
      </c>
      <c r="G63" s="66">
        <f>SUM(D63:F63)</f>
        <v>3734896.8899999992</v>
      </c>
      <c r="I63" s="66">
        <v>0</v>
      </c>
      <c r="J63" s="66">
        <v>0</v>
      </c>
      <c r="K63" s="66">
        <v>0</v>
      </c>
      <c r="L63" s="66">
        <f>SUM(I63:K63)</f>
        <v>0</v>
      </c>
      <c r="N63" s="66">
        <v>0</v>
      </c>
      <c r="O63" s="66">
        <v>0</v>
      </c>
      <c r="P63" s="66">
        <v>0</v>
      </c>
      <c r="Q63" s="66">
        <f>SUM(N63:P63)</f>
        <v>0</v>
      </c>
      <c r="S63" s="66">
        <f t="shared" si="28"/>
        <v>1168019.8299999998</v>
      </c>
      <c r="T63" s="66">
        <f t="shared" si="29"/>
        <v>2542629.7899999996</v>
      </c>
      <c r="U63" s="66">
        <f t="shared" si="30"/>
        <v>24247.27</v>
      </c>
      <c r="V63" s="66">
        <f t="shared" si="31"/>
        <v>3734896.8899999992</v>
      </c>
    </row>
    <row r="64" spans="1:22">
      <c r="A64" s="1">
        <f>+'II-D-3.2'!A64</f>
        <v>43</v>
      </c>
      <c r="B64" s="94" t="s">
        <v>46</v>
      </c>
      <c r="D64" s="66">
        <v>1414181.35</v>
      </c>
      <c r="E64" s="66">
        <v>3556743.1900000004</v>
      </c>
      <c r="F64" s="66">
        <v>4132.55</v>
      </c>
      <c r="G64" s="66">
        <f>SUM(D64:F64)</f>
        <v>4975057.0900000008</v>
      </c>
      <c r="I64" s="66">
        <v>0</v>
      </c>
      <c r="J64" s="66">
        <v>0</v>
      </c>
      <c r="K64" s="66">
        <v>0</v>
      </c>
      <c r="L64" s="66">
        <f>SUM(I64:K64)</f>
        <v>0</v>
      </c>
      <c r="N64" s="66">
        <v>0</v>
      </c>
      <c r="O64" s="66">
        <v>0</v>
      </c>
      <c r="P64" s="66">
        <v>0</v>
      </c>
      <c r="Q64" s="66">
        <f>SUM(N64:P64)</f>
        <v>0</v>
      </c>
      <c r="S64" s="66">
        <f t="shared" si="28"/>
        <v>1414181.35</v>
      </c>
      <c r="T64" s="66">
        <f t="shared" si="29"/>
        <v>3556743.1900000004</v>
      </c>
      <c r="U64" s="66">
        <f t="shared" si="30"/>
        <v>4132.55</v>
      </c>
      <c r="V64" s="66">
        <f t="shared" si="31"/>
        <v>4975057.0900000008</v>
      </c>
    </row>
    <row r="65" spans="1:22">
      <c r="A65" s="1">
        <f>+'II-D-3.2'!A65</f>
        <v>44</v>
      </c>
    </row>
    <row r="66" spans="1:22">
      <c r="A66" s="1">
        <f>+'II-D-3.2'!A66</f>
        <v>45</v>
      </c>
    </row>
    <row r="67" spans="1:22">
      <c r="A67" s="1">
        <f>+'II-D-3.2'!A67</f>
        <v>46</v>
      </c>
      <c r="B67" s="94" t="str">
        <f>+B36</f>
        <v>TME 2021</v>
      </c>
      <c r="D67" s="139">
        <v>4180568.27</v>
      </c>
      <c r="E67" s="139">
        <v>12726199.959999999</v>
      </c>
      <c r="F67" s="139">
        <v>205183.06</v>
      </c>
      <c r="G67" s="139">
        <f>SUM(D67:F67)</f>
        <v>17111951.289999999</v>
      </c>
      <c r="I67" s="139">
        <v>0</v>
      </c>
      <c r="J67" s="139">
        <v>0</v>
      </c>
      <c r="K67" s="139">
        <v>0</v>
      </c>
      <c r="L67" s="139">
        <f>SUM(I67:K67)</f>
        <v>0</v>
      </c>
      <c r="N67" s="139">
        <v>0</v>
      </c>
      <c r="O67" s="139">
        <v>0</v>
      </c>
      <c r="P67" s="139">
        <v>0</v>
      </c>
      <c r="Q67" s="139">
        <f>SUM(N67:P67)</f>
        <v>0</v>
      </c>
      <c r="S67" s="139">
        <f t="shared" ref="S67:S69" si="32">+D67+I67+N67</f>
        <v>4180568.27</v>
      </c>
      <c r="T67" s="139">
        <f t="shared" ref="T67:T69" si="33">+E67+J67+O67</f>
        <v>12726199.959999999</v>
      </c>
      <c r="U67" s="139">
        <f t="shared" ref="U67:U69" si="34">+F67+K67+P67</f>
        <v>205183.06</v>
      </c>
      <c r="V67" s="139">
        <f t="shared" ref="V67:V69" si="35">+G67+L67+Q67</f>
        <v>17111951.289999999</v>
      </c>
    </row>
    <row r="68" spans="1:22">
      <c r="A68" s="1">
        <f>+'II-D-3.2'!A68</f>
        <v>47</v>
      </c>
      <c r="B68" s="94" t="str">
        <f>+B37</f>
        <v>TME 2022</v>
      </c>
      <c r="D68" s="66">
        <v>1612700.35</v>
      </c>
      <c r="E68" s="66">
        <v>21092986.890000001</v>
      </c>
      <c r="F68" s="66">
        <v>119518.96</v>
      </c>
      <c r="G68" s="66">
        <f>SUM(D68:F68)</f>
        <v>22825206.200000003</v>
      </c>
      <c r="I68" s="66">
        <v>0</v>
      </c>
      <c r="J68" s="66">
        <v>0</v>
      </c>
      <c r="K68" s="66">
        <v>0</v>
      </c>
      <c r="L68" s="66">
        <f>SUM(I68:K68)</f>
        <v>0</v>
      </c>
      <c r="N68" s="66">
        <v>0</v>
      </c>
      <c r="O68" s="66">
        <v>0</v>
      </c>
      <c r="P68" s="66">
        <v>0</v>
      </c>
      <c r="Q68" s="66">
        <f>SUM(N68:P68)</f>
        <v>0</v>
      </c>
      <c r="S68" s="66">
        <f t="shared" si="32"/>
        <v>1612700.35</v>
      </c>
      <c r="T68" s="66">
        <f t="shared" si="33"/>
        <v>21092986.890000001</v>
      </c>
      <c r="U68" s="66">
        <f t="shared" si="34"/>
        <v>119518.96</v>
      </c>
      <c r="V68" s="66">
        <f t="shared" si="35"/>
        <v>22825206.200000003</v>
      </c>
    </row>
    <row r="69" spans="1:22">
      <c r="A69" s="1">
        <f>+'II-D-3.2'!A69</f>
        <v>48</v>
      </c>
      <c r="B69" s="94" t="str">
        <f>+B38</f>
        <v>TME 2023</v>
      </c>
      <c r="D69" s="66">
        <v>5872171.6299999999</v>
      </c>
      <c r="E69" s="66">
        <v>23157325.399999999</v>
      </c>
      <c r="F69" s="66">
        <v>368379.9</v>
      </c>
      <c r="G69" s="66">
        <f>SUM(D69:F69)</f>
        <v>29397876.929999996</v>
      </c>
      <c r="I69" s="66">
        <v>0</v>
      </c>
      <c r="J69" s="66">
        <v>0</v>
      </c>
      <c r="K69" s="66">
        <v>0</v>
      </c>
      <c r="L69" s="66">
        <f>SUM(I69:K69)</f>
        <v>0</v>
      </c>
      <c r="N69" s="66">
        <v>0</v>
      </c>
      <c r="O69" s="66">
        <v>0</v>
      </c>
      <c r="P69" s="66">
        <v>0</v>
      </c>
      <c r="Q69" s="66">
        <f>SUM(N69:P69)</f>
        <v>0</v>
      </c>
      <c r="S69" s="66">
        <f t="shared" si="32"/>
        <v>5872171.6299999999</v>
      </c>
      <c r="T69" s="66">
        <f t="shared" si="33"/>
        <v>23157325.399999999</v>
      </c>
      <c r="U69" s="66">
        <f t="shared" si="34"/>
        <v>368379.9</v>
      </c>
      <c r="V69" s="66">
        <f t="shared" si="35"/>
        <v>29397876.929999996</v>
      </c>
    </row>
    <row r="72" spans="1:22" ht="13.5" thickBot="1">
      <c r="D72" s="379" t="s">
        <v>293</v>
      </c>
      <c r="E72" s="379"/>
      <c r="F72" s="379"/>
      <c r="G72" s="379"/>
      <c r="I72" s="380" t="s">
        <v>628</v>
      </c>
      <c r="J72" s="379"/>
      <c r="K72" s="379"/>
      <c r="L72" s="379"/>
      <c r="N72" s="380" t="s">
        <v>629</v>
      </c>
      <c r="O72" s="379"/>
      <c r="P72" s="379"/>
      <c r="Q72" s="379"/>
    </row>
    <row r="73" spans="1:22">
      <c r="A73" s="18" t="s">
        <v>87</v>
      </c>
      <c r="B73" s="18"/>
      <c r="D73" s="18" t="s">
        <v>14</v>
      </c>
      <c r="E73" s="18" t="s">
        <v>15</v>
      </c>
      <c r="F73" s="18"/>
      <c r="G73" s="91"/>
      <c r="I73" s="18" t="s">
        <v>14</v>
      </c>
      <c r="J73" s="18" t="s">
        <v>15</v>
      </c>
      <c r="K73" s="18"/>
      <c r="L73" s="91"/>
      <c r="N73" s="18" t="s">
        <v>14</v>
      </c>
      <c r="O73" s="18" t="s">
        <v>15</v>
      </c>
      <c r="P73" s="18"/>
      <c r="Q73" s="91"/>
    </row>
    <row r="74" spans="1:22">
      <c r="A74" s="196" t="s">
        <v>89</v>
      </c>
      <c r="B74" s="196" t="s">
        <v>64</v>
      </c>
      <c r="D74" s="92" t="s">
        <v>67</v>
      </c>
      <c r="E74" s="92" t="s">
        <v>16</v>
      </c>
      <c r="F74" s="92" t="s">
        <v>63</v>
      </c>
      <c r="G74" s="92" t="s">
        <v>215</v>
      </c>
      <c r="I74" s="196" t="s">
        <v>67</v>
      </c>
      <c r="J74" s="196" t="s">
        <v>16</v>
      </c>
      <c r="K74" s="196" t="s">
        <v>63</v>
      </c>
      <c r="L74" s="196" t="s">
        <v>215</v>
      </c>
      <c r="N74" s="196" t="s">
        <v>67</v>
      </c>
      <c r="O74" s="196" t="s">
        <v>16</v>
      </c>
      <c r="P74" s="196" t="s">
        <v>63</v>
      </c>
      <c r="Q74" s="196" t="s">
        <v>215</v>
      </c>
    </row>
    <row r="75" spans="1:22">
      <c r="A75" s="18"/>
      <c r="B75" s="16" t="s">
        <v>44</v>
      </c>
      <c r="D75" s="16" t="s">
        <v>45</v>
      </c>
      <c r="E75" s="16" t="s">
        <v>74</v>
      </c>
      <c r="F75" s="16" t="s">
        <v>75</v>
      </c>
      <c r="G75" s="16" t="s">
        <v>76</v>
      </c>
      <c r="I75" s="191" t="s">
        <v>77</v>
      </c>
      <c r="J75" s="191" t="s">
        <v>78</v>
      </c>
      <c r="K75" s="191" t="s">
        <v>79</v>
      </c>
      <c r="L75" s="191" t="s">
        <v>80</v>
      </c>
      <c r="N75" s="191" t="s">
        <v>81</v>
      </c>
      <c r="O75" s="191" t="s">
        <v>82</v>
      </c>
      <c r="P75" s="191" t="s">
        <v>83</v>
      </c>
      <c r="Q75" s="191" t="s">
        <v>84</v>
      </c>
    </row>
    <row r="76" spans="1:22">
      <c r="D76" s="97"/>
      <c r="E76" s="97"/>
      <c r="F76" s="97"/>
      <c r="G76" s="97"/>
      <c r="I76" s="97"/>
      <c r="J76" s="97"/>
      <c r="K76" s="97"/>
      <c r="L76" s="97"/>
      <c r="N76" s="97"/>
      <c r="O76" s="97"/>
      <c r="P76" s="97"/>
      <c r="Q76" s="97"/>
    </row>
    <row r="77" spans="1:22">
      <c r="A77" s="1">
        <f>+'II-D-3.2'!A77</f>
        <v>49</v>
      </c>
      <c r="B77" s="132" t="str">
        <f t="shared" ref="B77:B88" si="36">+B46</f>
        <v>January 2024</v>
      </c>
      <c r="D77" s="139">
        <v>2264054.6500000004</v>
      </c>
      <c r="E77" s="139">
        <v>3228456.7299999981</v>
      </c>
      <c r="F77" s="139">
        <v>1514.69</v>
      </c>
      <c r="G77" s="139">
        <f>SUM(D77:F77)</f>
        <v>5494026.0699999994</v>
      </c>
      <c r="I77" s="139">
        <v>0</v>
      </c>
      <c r="J77" s="139">
        <v>0</v>
      </c>
      <c r="K77" s="139">
        <v>0</v>
      </c>
      <c r="L77" s="139">
        <f>SUM(I77:K77)</f>
        <v>0</v>
      </c>
      <c r="N77" s="139">
        <f>+D77+I77</f>
        <v>2264054.6500000004</v>
      </c>
      <c r="O77" s="139">
        <f t="shared" ref="O77:O88" si="37">+E77+J77</f>
        <v>3228456.7299999981</v>
      </c>
      <c r="P77" s="139">
        <f t="shared" ref="P77:P88" si="38">+F77+K77</f>
        <v>1514.69</v>
      </c>
      <c r="Q77" s="139">
        <f t="shared" ref="Q77:Q88" si="39">+G77+L77</f>
        <v>5494026.0699999994</v>
      </c>
    </row>
    <row r="78" spans="1:22">
      <c r="A78" s="1">
        <f>+'II-D-3.2'!A78</f>
        <v>50</v>
      </c>
      <c r="B78" s="132" t="str">
        <f t="shared" si="36"/>
        <v>February 2024</v>
      </c>
      <c r="D78" s="66">
        <v>1335132.45</v>
      </c>
      <c r="E78" s="66">
        <v>3227689.6199999992</v>
      </c>
      <c r="F78" s="66">
        <v>701834.73000000033</v>
      </c>
      <c r="G78" s="66">
        <f t="shared" ref="G78:G88" si="40">SUM(D78:F78)</f>
        <v>5264656.8</v>
      </c>
      <c r="I78" s="66">
        <v>0</v>
      </c>
      <c r="J78" s="66">
        <v>0</v>
      </c>
      <c r="K78" s="66">
        <v>0</v>
      </c>
      <c r="L78" s="66">
        <f t="shared" ref="L78:L88" si="41">SUM(I78:K78)</f>
        <v>0</v>
      </c>
      <c r="N78" s="66">
        <f t="shared" ref="N78:N88" si="42">+D78+I78</f>
        <v>1335132.45</v>
      </c>
      <c r="O78" s="66">
        <f t="shared" si="37"/>
        <v>3227689.6199999992</v>
      </c>
      <c r="P78" s="66">
        <f t="shared" si="38"/>
        <v>701834.73000000033</v>
      </c>
      <c r="Q78" s="66">
        <f t="shared" si="39"/>
        <v>5264656.8</v>
      </c>
    </row>
    <row r="79" spans="1:22">
      <c r="A79" s="1">
        <f>+'II-D-3.2'!A79</f>
        <v>51</v>
      </c>
      <c r="B79" s="132" t="str">
        <f t="shared" si="36"/>
        <v>March 2024</v>
      </c>
      <c r="D79" s="66">
        <v>4738544.6199999992</v>
      </c>
      <c r="E79" s="66">
        <v>5364081.2200000007</v>
      </c>
      <c r="F79" s="66">
        <v>20512.23</v>
      </c>
      <c r="G79" s="66">
        <f t="shared" si="40"/>
        <v>10123138.07</v>
      </c>
      <c r="I79" s="66">
        <v>0</v>
      </c>
      <c r="J79" s="66">
        <v>0</v>
      </c>
      <c r="K79" s="66">
        <v>0</v>
      </c>
      <c r="L79" s="66">
        <f t="shared" si="41"/>
        <v>0</v>
      </c>
      <c r="N79" s="66">
        <f t="shared" si="42"/>
        <v>4738544.6199999992</v>
      </c>
      <c r="O79" s="66">
        <f t="shared" si="37"/>
        <v>5364081.2200000007</v>
      </c>
      <c r="P79" s="66">
        <f t="shared" si="38"/>
        <v>20512.23</v>
      </c>
      <c r="Q79" s="66">
        <f t="shared" si="39"/>
        <v>10123138.07</v>
      </c>
    </row>
    <row r="80" spans="1:22">
      <c r="A80" s="1">
        <f>+'II-D-3.2'!A80</f>
        <v>52</v>
      </c>
      <c r="B80" s="132" t="str">
        <f t="shared" si="36"/>
        <v>April 2024</v>
      </c>
      <c r="D80" s="66">
        <v>2714515.9100000011</v>
      </c>
      <c r="E80" s="66">
        <v>3717163.5700000012</v>
      </c>
      <c r="F80" s="66">
        <v>40325.19000000001</v>
      </c>
      <c r="G80" s="66">
        <f t="shared" si="40"/>
        <v>6472004.6700000027</v>
      </c>
      <c r="I80" s="66">
        <v>0</v>
      </c>
      <c r="J80" s="66">
        <v>0</v>
      </c>
      <c r="K80" s="66">
        <v>0</v>
      </c>
      <c r="L80" s="66">
        <f t="shared" si="41"/>
        <v>0</v>
      </c>
      <c r="N80" s="66">
        <f t="shared" si="42"/>
        <v>2714515.9100000011</v>
      </c>
      <c r="O80" s="66">
        <f t="shared" si="37"/>
        <v>3717163.5700000012</v>
      </c>
      <c r="P80" s="66">
        <f t="shared" si="38"/>
        <v>40325.19000000001</v>
      </c>
      <c r="Q80" s="66">
        <f t="shared" si="39"/>
        <v>6472004.6700000027</v>
      </c>
    </row>
    <row r="81" spans="1:17">
      <c r="A81" s="1">
        <f>+'II-D-3.2'!A81</f>
        <v>53</v>
      </c>
      <c r="B81" s="132" t="str">
        <f t="shared" si="36"/>
        <v>May 2024</v>
      </c>
      <c r="D81" s="66">
        <v>585223.64000000013</v>
      </c>
      <c r="E81" s="66">
        <v>3805701.62</v>
      </c>
      <c r="F81" s="66">
        <v>333967.29999999987</v>
      </c>
      <c r="G81" s="66">
        <f t="shared" si="40"/>
        <v>4724892.5599999996</v>
      </c>
      <c r="I81" s="66">
        <v>0</v>
      </c>
      <c r="J81" s="66">
        <v>0</v>
      </c>
      <c r="K81" s="66">
        <v>0</v>
      </c>
      <c r="L81" s="66">
        <f t="shared" si="41"/>
        <v>0</v>
      </c>
      <c r="N81" s="66">
        <f t="shared" si="42"/>
        <v>585223.64000000013</v>
      </c>
      <c r="O81" s="66">
        <f t="shared" si="37"/>
        <v>3805701.62</v>
      </c>
      <c r="P81" s="66">
        <f t="shared" si="38"/>
        <v>333967.29999999987</v>
      </c>
      <c r="Q81" s="66">
        <f t="shared" si="39"/>
        <v>4724892.5599999996</v>
      </c>
    </row>
    <row r="82" spans="1:17">
      <c r="A82" s="1">
        <f>+'II-D-3.2'!A82</f>
        <v>54</v>
      </c>
      <c r="B82" s="132" t="str">
        <f t="shared" si="36"/>
        <v>June 2024</v>
      </c>
      <c r="D82" s="66">
        <v>3381748.5600000005</v>
      </c>
      <c r="E82" s="66">
        <v>5661639.04</v>
      </c>
      <c r="F82" s="66">
        <v>532266.23999999976</v>
      </c>
      <c r="G82" s="66">
        <f t="shared" si="40"/>
        <v>9575653.8400000017</v>
      </c>
      <c r="I82" s="66">
        <v>0</v>
      </c>
      <c r="J82" s="66">
        <v>0</v>
      </c>
      <c r="K82" s="66">
        <v>0</v>
      </c>
      <c r="L82" s="66">
        <f t="shared" si="41"/>
        <v>0</v>
      </c>
      <c r="N82" s="66">
        <f t="shared" si="42"/>
        <v>3381748.5600000005</v>
      </c>
      <c r="O82" s="66">
        <f t="shared" si="37"/>
        <v>5661639.04</v>
      </c>
      <c r="P82" s="66">
        <f t="shared" si="38"/>
        <v>532266.23999999976</v>
      </c>
      <c r="Q82" s="66">
        <f t="shared" si="39"/>
        <v>9575653.8400000017</v>
      </c>
    </row>
    <row r="83" spans="1:17">
      <c r="A83" s="1">
        <f>+'II-D-3.2'!A83</f>
        <v>55</v>
      </c>
      <c r="B83" s="132" t="str">
        <f t="shared" si="36"/>
        <v>July 2024</v>
      </c>
      <c r="D83" s="66">
        <v>2778521.3400000003</v>
      </c>
      <c r="E83" s="66">
        <v>3931162.14</v>
      </c>
      <c r="F83" s="66">
        <v>27019.14</v>
      </c>
      <c r="G83" s="66">
        <f t="shared" si="40"/>
        <v>6736702.6200000001</v>
      </c>
      <c r="I83" s="66">
        <v>0</v>
      </c>
      <c r="J83" s="66">
        <v>0</v>
      </c>
      <c r="K83" s="66">
        <v>0</v>
      </c>
      <c r="L83" s="66">
        <f t="shared" si="41"/>
        <v>0</v>
      </c>
      <c r="N83" s="66">
        <f t="shared" si="42"/>
        <v>2778521.3400000003</v>
      </c>
      <c r="O83" s="66">
        <f t="shared" si="37"/>
        <v>3931162.14</v>
      </c>
      <c r="P83" s="66">
        <f t="shared" si="38"/>
        <v>27019.14</v>
      </c>
      <c r="Q83" s="66">
        <f t="shared" si="39"/>
        <v>6736702.6200000001</v>
      </c>
    </row>
    <row r="84" spans="1:17">
      <c r="A84" s="1">
        <f>+'II-D-3.2'!A84</f>
        <v>56</v>
      </c>
      <c r="B84" s="132" t="str">
        <f t="shared" si="36"/>
        <v>August 2024</v>
      </c>
      <c r="D84" s="66">
        <v>2418645.3400000003</v>
      </c>
      <c r="E84" s="66">
        <v>4136432.12</v>
      </c>
      <c r="F84" s="66">
        <v>4309900.740000003</v>
      </c>
      <c r="G84" s="66">
        <f t="shared" si="40"/>
        <v>10864978.200000003</v>
      </c>
      <c r="I84" s="66">
        <v>0</v>
      </c>
      <c r="J84" s="66">
        <v>0</v>
      </c>
      <c r="K84" s="66">
        <v>0</v>
      </c>
      <c r="L84" s="66">
        <f t="shared" si="41"/>
        <v>0</v>
      </c>
      <c r="N84" s="66">
        <f t="shared" si="42"/>
        <v>2418645.3400000003</v>
      </c>
      <c r="O84" s="66">
        <f t="shared" si="37"/>
        <v>4136432.12</v>
      </c>
      <c r="P84" s="66">
        <f t="shared" si="38"/>
        <v>4309900.740000003</v>
      </c>
      <c r="Q84" s="66">
        <f t="shared" si="39"/>
        <v>10864978.200000003</v>
      </c>
    </row>
    <row r="85" spans="1:17">
      <c r="A85" s="1">
        <f>+'II-D-3.2'!A85</f>
        <v>57</v>
      </c>
      <c r="B85" s="132" t="str">
        <f t="shared" si="36"/>
        <v>September 2024</v>
      </c>
      <c r="D85" s="66">
        <v>2452395.9300000002</v>
      </c>
      <c r="E85" s="66">
        <v>5352303.2999999989</v>
      </c>
      <c r="F85" s="66">
        <v>298332.96000000014</v>
      </c>
      <c r="G85" s="66">
        <f t="shared" si="40"/>
        <v>8103032.1899999985</v>
      </c>
      <c r="I85" s="66">
        <v>0</v>
      </c>
      <c r="J85" s="66">
        <v>0</v>
      </c>
      <c r="K85" s="66">
        <v>0</v>
      </c>
      <c r="L85" s="66">
        <f t="shared" si="41"/>
        <v>0</v>
      </c>
      <c r="N85" s="66">
        <f t="shared" si="42"/>
        <v>2452395.9300000002</v>
      </c>
      <c r="O85" s="66">
        <f t="shared" si="37"/>
        <v>5352303.2999999989</v>
      </c>
      <c r="P85" s="66">
        <f t="shared" si="38"/>
        <v>298332.96000000014</v>
      </c>
      <c r="Q85" s="66">
        <f t="shared" si="39"/>
        <v>8103032.1899999985</v>
      </c>
    </row>
    <row r="86" spans="1:17">
      <c r="A86" s="1">
        <f>+'II-D-3.2'!A86</f>
        <v>58</v>
      </c>
      <c r="B86" s="132" t="str">
        <f t="shared" si="36"/>
        <v>October 2024</v>
      </c>
      <c r="D86" s="66">
        <v>2604397.3200000003</v>
      </c>
      <c r="E86" s="66">
        <v>4049080.5399999996</v>
      </c>
      <c r="F86" s="66">
        <v>297894.54999999993</v>
      </c>
      <c r="G86" s="66">
        <f t="shared" si="40"/>
        <v>6951372.4099999992</v>
      </c>
      <c r="I86" s="66">
        <v>0</v>
      </c>
      <c r="J86" s="66">
        <v>0</v>
      </c>
      <c r="K86" s="66">
        <v>0</v>
      </c>
      <c r="L86" s="66">
        <f t="shared" si="41"/>
        <v>0</v>
      </c>
      <c r="N86" s="66">
        <f t="shared" si="42"/>
        <v>2604397.3200000003</v>
      </c>
      <c r="O86" s="66">
        <f t="shared" si="37"/>
        <v>4049080.5399999996</v>
      </c>
      <c r="P86" s="66">
        <f t="shared" si="38"/>
        <v>297894.54999999993</v>
      </c>
      <c r="Q86" s="66">
        <f t="shared" si="39"/>
        <v>6951372.4099999992</v>
      </c>
    </row>
    <row r="87" spans="1:17">
      <c r="A87" s="1">
        <f>+'II-D-3.2'!A87</f>
        <v>59</v>
      </c>
      <c r="B87" s="132" t="str">
        <f t="shared" si="36"/>
        <v>November 2024</v>
      </c>
      <c r="D87" s="66">
        <v>2260305.7099999995</v>
      </c>
      <c r="E87" s="66">
        <v>2415588.42</v>
      </c>
      <c r="F87" s="66">
        <v>32193.73000000001</v>
      </c>
      <c r="G87" s="66">
        <f t="shared" si="40"/>
        <v>4708087.8599999994</v>
      </c>
      <c r="I87" s="66">
        <v>0</v>
      </c>
      <c r="J87" s="66">
        <v>0</v>
      </c>
      <c r="K87" s="66">
        <v>0</v>
      </c>
      <c r="L87" s="66">
        <f t="shared" si="41"/>
        <v>0</v>
      </c>
      <c r="N87" s="66">
        <f t="shared" si="42"/>
        <v>2260305.7099999995</v>
      </c>
      <c r="O87" s="66">
        <f t="shared" si="37"/>
        <v>2415588.42</v>
      </c>
      <c r="P87" s="66">
        <f t="shared" si="38"/>
        <v>32193.73000000001</v>
      </c>
      <c r="Q87" s="66">
        <f t="shared" si="39"/>
        <v>4708087.8599999994</v>
      </c>
    </row>
    <row r="88" spans="1:17">
      <c r="A88" s="1">
        <f>+'II-D-3.2'!A88</f>
        <v>60</v>
      </c>
      <c r="B88" s="132" t="str">
        <f t="shared" si="36"/>
        <v>December 2024</v>
      </c>
      <c r="D88" s="66">
        <v>4205364.0699999994</v>
      </c>
      <c r="E88" s="66">
        <v>6594155.8800000008</v>
      </c>
      <c r="F88" s="66">
        <v>229754.07999999993</v>
      </c>
      <c r="G88" s="66">
        <f t="shared" si="40"/>
        <v>11029274.029999999</v>
      </c>
      <c r="I88" s="66">
        <v>0</v>
      </c>
      <c r="J88" s="66">
        <v>0</v>
      </c>
      <c r="K88" s="66">
        <v>0</v>
      </c>
      <c r="L88" s="66">
        <f t="shared" si="41"/>
        <v>0</v>
      </c>
      <c r="N88" s="66">
        <f t="shared" si="42"/>
        <v>4205364.0699999994</v>
      </c>
      <c r="O88" s="66">
        <f t="shared" si="37"/>
        <v>6594155.8800000008</v>
      </c>
      <c r="P88" s="66">
        <f t="shared" si="38"/>
        <v>229754.07999999993</v>
      </c>
      <c r="Q88" s="66">
        <f t="shared" si="39"/>
        <v>11029274.029999999</v>
      </c>
    </row>
    <row r="89" spans="1:17">
      <c r="A89" s="1">
        <f>+'II-D-3.2'!A89</f>
        <v>61</v>
      </c>
      <c r="D89" s="115"/>
      <c r="E89" s="115"/>
      <c r="F89" s="115"/>
      <c r="G89" s="115"/>
      <c r="I89" s="115"/>
      <c r="J89" s="115"/>
      <c r="K89" s="115"/>
      <c r="L89" s="115"/>
      <c r="N89" s="115"/>
      <c r="O89" s="115"/>
      <c r="P89" s="115"/>
      <c r="Q89" s="115"/>
    </row>
    <row r="90" spans="1:17">
      <c r="A90" s="1">
        <f>+'II-D-3.2'!A90</f>
        <v>62</v>
      </c>
      <c r="B90" s="94" t="s">
        <v>69</v>
      </c>
      <c r="D90" s="141">
        <f>SUM(D77:D88)</f>
        <v>31738849.540000003</v>
      </c>
      <c r="E90" s="141">
        <f>SUM(E77:E88)</f>
        <v>51483454.200000003</v>
      </c>
      <c r="F90" s="141">
        <f>SUM(F77:F88)</f>
        <v>6825515.5800000029</v>
      </c>
      <c r="G90" s="141">
        <f>SUM(G77:G88)</f>
        <v>90047819.319999993</v>
      </c>
      <c r="I90" s="141">
        <f>SUM(I77:I88)</f>
        <v>0</v>
      </c>
      <c r="J90" s="141">
        <f>SUM(J77:J88)</f>
        <v>0</v>
      </c>
      <c r="K90" s="141">
        <f>SUM(K77:K88)</f>
        <v>0</v>
      </c>
      <c r="L90" s="141">
        <f>SUM(L77:L88)</f>
        <v>0</v>
      </c>
      <c r="N90" s="141">
        <f>SUM(N77:N88)</f>
        <v>31738849.540000003</v>
      </c>
      <c r="O90" s="141">
        <f>SUM(O77:O88)</f>
        <v>51483454.200000003</v>
      </c>
      <c r="P90" s="141">
        <f>SUM(P77:P88)</f>
        <v>6825515.5800000029</v>
      </c>
      <c r="Q90" s="141">
        <f>SUM(Q77:Q88)</f>
        <v>90047819.319999993</v>
      </c>
    </row>
    <row r="91" spans="1:17">
      <c r="A91" s="1">
        <f>+'II-D-3.2'!A91</f>
        <v>63</v>
      </c>
    </row>
    <row r="92" spans="1:17">
      <c r="A92" s="1">
        <f>+'II-D-3.2'!A92</f>
        <v>64</v>
      </c>
    </row>
    <row r="93" spans="1:17">
      <c r="A93" s="1">
        <f>+'II-D-3.2'!A93</f>
        <v>65</v>
      </c>
      <c r="B93" s="94" t="s">
        <v>158</v>
      </c>
      <c r="D93" s="139">
        <v>199683.31000000006</v>
      </c>
      <c r="E93" s="139">
        <v>4400330.57</v>
      </c>
      <c r="F93" s="139">
        <v>8341.42</v>
      </c>
      <c r="G93" s="139">
        <f>SUM(D93:F93)</f>
        <v>4608355.3000000007</v>
      </c>
      <c r="I93" s="139">
        <v>0</v>
      </c>
      <c r="J93" s="139">
        <v>0</v>
      </c>
      <c r="K93" s="139">
        <v>0</v>
      </c>
      <c r="L93" s="139">
        <f>SUM(I93:K93)</f>
        <v>0</v>
      </c>
      <c r="N93" s="139">
        <f t="shared" ref="N93:N95" si="43">+D93+I93</f>
        <v>199683.31000000006</v>
      </c>
      <c r="O93" s="139">
        <f t="shared" ref="O93:O95" si="44">+E93+J93</f>
        <v>4400330.57</v>
      </c>
      <c r="P93" s="139">
        <f t="shared" ref="P93:P95" si="45">+F93+K93</f>
        <v>8341.42</v>
      </c>
      <c r="Q93" s="139">
        <f t="shared" ref="Q93:Q95" si="46">+G93+L93</f>
        <v>4608355.3000000007</v>
      </c>
    </row>
    <row r="94" spans="1:17">
      <c r="A94" s="1">
        <f>+'II-D-3.2'!A94</f>
        <v>66</v>
      </c>
      <c r="B94" s="94" t="s">
        <v>159</v>
      </c>
      <c r="D94" s="66">
        <v>2401481.9300000002</v>
      </c>
      <c r="E94" s="66">
        <v>4395257.9799999995</v>
      </c>
      <c r="F94" s="66">
        <v>470746.72999999992</v>
      </c>
      <c r="G94" s="66">
        <f>SUM(D94:F94)</f>
        <v>7267486.6399999997</v>
      </c>
      <c r="I94" s="66">
        <v>0</v>
      </c>
      <c r="J94" s="66">
        <v>0</v>
      </c>
      <c r="K94" s="66">
        <v>0</v>
      </c>
      <c r="L94" s="66">
        <f>SUM(I94:K94)</f>
        <v>0</v>
      </c>
      <c r="N94" s="66">
        <f t="shared" si="43"/>
        <v>2401481.9300000002</v>
      </c>
      <c r="O94" s="66">
        <f t="shared" si="44"/>
        <v>4395257.9799999995</v>
      </c>
      <c r="P94" s="66">
        <f t="shared" si="45"/>
        <v>470746.72999999992</v>
      </c>
      <c r="Q94" s="66">
        <f t="shared" si="46"/>
        <v>7267486.6399999997</v>
      </c>
    </row>
    <row r="95" spans="1:17">
      <c r="A95" s="1">
        <f>+'II-D-3.2'!A95</f>
        <v>67</v>
      </c>
      <c r="B95" s="94" t="s">
        <v>46</v>
      </c>
      <c r="D95" s="66">
        <v>2624921.75</v>
      </c>
      <c r="E95" s="66">
        <v>7482208.0000000019</v>
      </c>
      <c r="F95" s="66">
        <v>54056.049999999996</v>
      </c>
      <c r="G95" s="66">
        <f>SUM(D95:F95)</f>
        <v>10161185.800000003</v>
      </c>
      <c r="I95" s="66">
        <v>0</v>
      </c>
      <c r="J95" s="66">
        <v>0</v>
      </c>
      <c r="K95" s="66">
        <v>0</v>
      </c>
      <c r="L95" s="66">
        <f>SUM(I95:K95)</f>
        <v>0</v>
      </c>
      <c r="N95" s="66">
        <f t="shared" si="43"/>
        <v>2624921.75</v>
      </c>
      <c r="O95" s="66">
        <f t="shared" si="44"/>
        <v>7482208.0000000019</v>
      </c>
      <c r="P95" s="66">
        <f t="shared" si="45"/>
        <v>54056.049999999996</v>
      </c>
      <c r="Q95" s="66">
        <f t="shared" si="46"/>
        <v>10161185.800000003</v>
      </c>
    </row>
    <row r="96" spans="1:17">
      <c r="A96" s="1">
        <f>+'II-D-3.2'!A96</f>
        <v>68</v>
      </c>
    </row>
    <row r="97" spans="1:17">
      <c r="A97" s="1">
        <f>+'II-D-3.2'!A97</f>
        <v>69</v>
      </c>
    </row>
    <row r="98" spans="1:17">
      <c r="A98" s="1">
        <f>+'II-D-3.2'!A98</f>
        <v>70</v>
      </c>
      <c r="B98" s="94" t="str">
        <f>+B67</f>
        <v>TME 2021</v>
      </c>
      <c r="D98" s="139">
        <v>20633657.870000001</v>
      </c>
      <c r="E98" s="139">
        <v>31687088.599999968</v>
      </c>
      <c r="F98" s="139">
        <v>3034549.180000002</v>
      </c>
      <c r="G98" s="139">
        <f>SUM(D98:F98)</f>
        <v>55355295.649999969</v>
      </c>
      <c r="I98" s="139">
        <v>0</v>
      </c>
      <c r="J98" s="139">
        <v>0</v>
      </c>
      <c r="K98" s="139">
        <v>0</v>
      </c>
      <c r="L98" s="139">
        <f>SUM(I98:K98)</f>
        <v>0</v>
      </c>
      <c r="N98" s="139">
        <f t="shared" ref="N98:N100" si="47">+D98+I98</f>
        <v>20633657.870000001</v>
      </c>
      <c r="O98" s="139">
        <f t="shared" ref="O98:O100" si="48">+E98+J98</f>
        <v>31687088.599999968</v>
      </c>
      <c r="P98" s="139">
        <f t="shared" ref="P98:P100" si="49">+F98+K98</f>
        <v>3034549.180000002</v>
      </c>
      <c r="Q98" s="139">
        <f t="shared" ref="Q98:Q100" si="50">+G98+L98</f>
        <v>55355295.649999969</v>
      </c>
    </row>
    <row r="99" spans="1:17">
      <c r="A99" s="1">
        <f>+'II-D-3.2'!A99</f>
        <v>71</v>
      </c>
      <c r="B99" s="94" t="str">
        <f>+B68</f>
        <v>TME 2022</v>
      </c>
      <c r="D99" s="66">
        <v>17874766.579999994</v>
      </c>
      <c r="E99" s="66">
        <v>51023888.479999863</v>
      </c>
      <c r="F99" s="66">
        <v>3154715.870000002</v>
      </c>
      <c r="G99" s="66">
        <f>SUM(D99:F99)</f>
        <v>72053370.929999858</v>
      </c>
      <c r="I99" s="66">
        <v>0</v>
      </c>
      <c r="J99" s="66">
        <v>0</v>
      </c>
      <c r="K99" s="66">
        <v>0</v>
      </c>
      <c r="L99" s="66">
        <f>SUM(I99:K99)</f>
        <v>0</v>
      </c>
      <c r="N99" s="66">
        <f t="shared" si="47"/>
        <v>17874766.579999994</v>
      </c>
      <c r="O99" s="66">
        <f t="shared" si="48"/>
        <v>51023888.479999863</v>
      </c>
      <c r="P99" s="66">
        <f t="shared" si="49"/>
        <v>3154715.870000002</v>
      </c>
      <c r="Q99" s="66">
        <f t="shared" si="50"/>
        <v>72053370.929999858</v>
      </c>
    </row>
    <row r="100" spans="1:17">
      <c r="A100" s="1">
        <f>+'II-D-3.2'!A100</f>
        <v>72</v>
      </c>
      <c r="B100" s="94" t="str">
        <f>+B69</f>
        <v>TME 2023</v>
      </c>
      <c r="D100" s="66">
        <v>29903508.459999993</v>
      </c>
      <c r="E100" s="66">
        <v>51333644.00000006</v>
      </c>
      <c r="F100" s="66">
        <v>4599973.6700000027</v>
      </c>
      <c r="G100" s="66">
        <f>SUM(D100:F100)</f>
        <v>85837126.130000055</v>
      </c>
      <c r="I100" s="66">
        <v>0</v>
      </c>
      <c r="J100" s="66">
        <v>0</v>
      </c>
      <c r="K100" s="66">
        <v>0</v>
      </c>
      <c r="L100" s="66">
        <f>SUM(I100:K100)</f>
        <v>0</v>
      </c>
      <c r="N100" s="66">
        <f t="shared" si="47"/>
        <v>29903508.459999993</v>
      </c>
      <c r="O100" s="66">
        <f t="shared" si="48"/>
        <v>51333644.00000006</v>
      </c>
      <c r="P100" s="66">
        <f t="shared" si="49"/>
        <v>4599973.6700000027</v>
      </c>
      <c r="Q100" s="66">
        <f t="shared" si="50"/>
        <v>85837126.130000055</v>
      </c>
    </row>
    <row r="103" spans="1:17" ht="13.5" thickBot="1">
      <c r="D103" s="379" t="s">
        <v>281</v>
      </c>
      <c r="E103" s="379"/>
      <c r="F103" s="379"/>
      <c r="G103" s="379"/>
    </row>
    <row r="104" spans="1:17">
      <c r="A104" s="18" t="s">
        <v>87</v>
      </c>
      <c r="B104" s="18"/>
      <c r="D104" s="18" t="s">
        <v>14</v>
      </c>
      <c r="E104" s="18" t="s">
        <v>15</v>
      </c>
      <c r="F104" s="18"/>
      <c r="G104" s="91"/>
    </row>
    <row r="105" spans="1:17">
      <c r="A105" s="196" t="s">
        <v>89</v>
      </c>
      <c r="B105" s="196" t="s">
        <v>64</v>
      </c>
      <c r="D105" s="92" t="s">
        <v>67</v>
      </c>
      <c r="E105" s="92" t="s">
        <v>16</v>
      </c>
      <c r="F105" s="92" t="s">
        <v>63</v>
      </c>
      <c r="G105" s="92" t="s">
        <v>215</v>
      </c>
    </row>
    <row r="106" spans="1:17">
      <c r="A106" s="18"/>
      <c r="B106" s="16" t="s">
        <v>44</v>
      </c>
      <c r="D106" s="16" t="s">
        <v>45</v>
      </c>
      <c r="E106" s="16" t="s">
        <v>74</v>
      </c>
      <c r="F106" s="16" t="s">
        <v>75</v>
      </c>
      <c r="G106" s="16" t="s">
        <v>76</v>
      </c>
    </row>
    <row r="107" spans="1:17">
      <c r="D107" s="97"/>
      <c r="E107" s="97"/>
      <c r="F107" s="97"/>
      <c r="G107" s="97"/>
    </row>
    <row r="108" spans="1:17">
      <c r="A108" s="1">
        <f>+'II-D-3.2'!A108</f>
        <v>73</v>
      </c>
      <c r="B108" s="132" t="str">
        <f t="shared" ref="B108:B119" si="51">+B77</f>
        <v>January 2024</v>
      </c>
      <c r="D108" s="139">
        <v>471238.34</v>
      </c>
      <c r="E108" s="139">
        <v>283819.76</v>
      </c>
      <c r="F108" s="139">
        <v>0</v>
      </c>
      <c r="G108" s="139">
        <f>SUM(D108:F108)</f>
        <v>755058.10000000009</v>
      </c>
    </row>
    <row r="109" spans="1:17">
      <c r="A109" s="1">
        <f>+'II-D-3.2'!A109</f>
        <v>74</v>
      </c>
      <c r="B109" s="132" t="str">
        <f t="shared" si="51"/>
        <v>February 2024</v>
      </c>
      <c r="D109" s="66">
        <v>275951.56</v>
      </c>
      <c r="E109" s="66">
        <v>314451.81</v>
      </c>
      <c r="F109" s="66">
        <v>23461.370000000006</v>
      </c>
      <c r="G109" s="66">
        <f t="shared" ref="G109:G119" si="52">SUM(D109:F109)</f>
        <v>613864.74</v>
      </c>
    </row>
    <row r="110" spans="1:17">
      <c r="A110" s="1">
        <f>+'II-D-3.2'!A110</f>
        <v>75</v>
      </c>
      <c r="B110" s="132" t="str">
        <f t="shared" si="51"/>
        <v>March 2024</v>
      </c>
      <c r="D110" s="66">
        <v>980225.35</v>
      </c>
      <c r="E110" s="66">
        <v>435939.96000000014</v>
      </c>
      <c r="F110" s="66">
        <v>515.16000000000008</v>
      </c>
      <c r="G110" s="66">
        <f t="shared" si="52"/>
        <v>1416680.47</v>
      </c>
    </row>
    <row r="111" spans="1:17">
      <c r="A111" s="1">
        <f>+'II-D-3.2'!A111</f>
        <v>76</v>
      </c>
      <c r="B111" s="132" t="str">
        <f t="shared" si="51"/>
        <v>April 2024</v>
      </c>
      <c r="D111" s="66">
        <v>549391.60000000009</v>
      </c>
      <c r="E111" s="66">
        <v>312212.8</v>
      </c>
      <c r="F111" s="66">
        <v>1140.3499999999999</v>
      </c>
      <c r="G111" s="66">
        <f t="shared" si="52"/>
        <v>862744.75000000012</v>
      </c>
    </row>
    <row r="112" spans="1:17">
      <c r="A112" s="1">
        <f>+'II-D-3.2'!A112</f>
        <v>77</v>
      </c>
      <c r="B112" s="132" t="str">
        <f t="shared" si="51"/>
        <v>May 2024</v>
      </c>
      <c r="D112" s="66">
        <v>187715.42000000004</v>
      </c>
      <c r="E112" s="66">
        <v>316683.92</v>
      </c>
      <c r="F112" s="66">
        <v>13711.230000000001</v>
      </c>
      <c r="G112" s="66">
        <f t="shared" si="52"/>
        <v>518110.57</v>
      </c>
    </row>
    <row r="113" spans="1:7">
      <c r="A113" s="1">
        <f>+'II-D-3.2'!A113</f>
        <v>78</v>
      </c>
      <c r="B113" s="132" t="str">
        <f t="shared" si="51"/>
        <v>June 2024</v>
      </c>
      <c r="D113" s="66">
        <v>665851.01</v>
      </c>
      <c r="E113" s="66">
        <v>508372.31000000006</v>
      </c>
      <c r="F113" s="66">
        <v>20121.46</v>
      </c>
      <c r="G113" s="66">
        <f t="shared" si="52"/>
        <v>1194344.78</v>
      </c>
    </row>
    <row r="114" spans="1:7">
      <c r="A114" s="1">
        <f>+'II-D-3.2'!A114</f>
        <v>79</v>
      </c>
      <c r="B114" s="132" t="str">
        <f t="shared" si="51"/>
        <v>July 2024</v>
      </c>
      <c r="D114" s="66">
        <v>557067.90999999992</v>
      </c>
      <c r="E114" s="66">
        <v>352891.09</v>
      </c>
      <c r="F114" s="66">
        <v>476.86</v>
      </c>
      <c r="G114" s="66">
        <f t="shared" si="52"/>
        <v>910435.86</v>
      </c>
    </row>
    <row r="115" spans="1:7">
      <c r="A115" s="1">
        <f>+'II-D-3.2'!A115</f>
        <v>80</v>
      </c>
      <c r="B115" s="132" t="str">
        <f t="shared" si="51"/>
        <v>August 2024</v>
      </c>
      <c r="D115" s="66">
        <v>503478.78</v>
      </c>
      <c r="E115" s="66">
        <v>362148.13</v>
      </c>
      <c r="F115" s="66">
        <v>192270.63999999996</v>
      </c>
      <c r="G115" s="66">
        <f t="shared" si="52"/>
        <v>1057897.55</v>
      </c>
    </row>
    <row r="116" spans="1:7">
      <c r="A116" s="1">
        <f>+'II-D-3.2'!A116</f>
        <v>81</v>
      </c>
      <c r="B116" s="132" t="str">
        <f t="shared" si="51"/>
        <v>September 2024</v>
      </c>
      <c r="D116" s="66">
        <v>506109.53</v>
      </c>
      <c r="E116" s="66">
        <v>494682.18</v>
      </c>
      <c r="F116" s="66">
        <v>9827.59</v>
      </c>
      <c r="G116" s="66">
        <f t="shared" si="52"/>
        <v>1010619.2999999999</v>
      </c>
    </row>
    <row r="117" spans="1:7">
      <c r="A117" s="1">
        <f>+'II-D-3.2'!A117</f>
        <v>82</v>
      </c>
      <c r="B117" s="132" t="str">
        <f t="shared" si="51"/>
        <v>October 2024</v>
      </c>
      <c r="D117" s="66">
        <v>543269.36</v>
      </c>
      <c r="E117" s="66">
        <v>339153.95</v>
      </c>
      <c r="F117" s="66">
        <v>5617.7099999999991</v>
      </c>
      <c r="G117" s="66">
        <f t="shared" si="52"/>
        <v>888041.02</v>
      </c>
    </row>
    <row r="118" spans="1:7">
      <c r="A118" s="1">
        <f>+'II-D-3.2'!A118</f>
        <v>83</v>
      </c>
      <c r="B118" s="132" t="str">
        <f t="shared" si="51"/>
        <v>November 2024</v>
      </c>
      <c r="D118" s="66">
        <v>501613.63</v>
      </c>
      <c r="E118" s="66">
        <v>170694.17000000004</v>
      </c>
      <c r="F118" s="66">
        <v>790.07999999999993</v>
      </c>
      <c r="G118" s="66">
        <f t="shared" si="52"/>
        <v>673097.88</v>
      </c>
    </row>
    <row r="119" spans="1:7">
      <c r="A119" s="1">
        <f>+'II-D-3.2'!A119</f>
        <v>84</v>
      </c>
      <c r="B119" s="132" t="str">
        <f t="shared" si="51"/>
        <v>December 2024</v>
      </c>
      <c r="D119" s="66">
        <v>858142.65999999992</v>
      </c>
      <c r="E119" s="66">
        <v>638247.82999999996</v>
      </c>
      <c r="F119" s="66">
        <v>4748.1199999999981</v>
      </c>
      <c r="G119" s="66">
        <f t="shared" si="52"/>
        <v>1501138.6099999999</v>
      </c>
    </row>
    <row r="120" spans="1:7">
      <c r="A120" s="1">
        <f>+'II-D-3.2'!A120</f>
        <v>85</v>
      </c>
      <c r="D120" s="115"/>
      <c r="E120" s="115"/>
      <c r="F120" s="115"/>
      <c r="G120" s="115"/>
    </row>
    <row r="121" spans="1:7">
      <c r="A121" s="1">
        <f>+'II-D-3.2'!A121</f>
        <v>86</v>
      </c>
      <c r="B121" s="94" t="s">
        <v>69</v>
      </c>
      <c r="D121" s="141">
        <f>SUM(D108:D119)</f>
        <v>6600055.1500000013</v>
      </c>
      <c r="E121" s="141">
        <f>SUM(E108:E119)</f>
        <v>4529297.91</v>
      </c>
      <c r="F121" s="141">
        <f>SUM(F108:F119)</f>
        <v>272680.56999999995</v>
      </c>
      <c r="G121" s="141">
        <f>SUM(G108:G119)</f>
        <v>11402033.630000001</v>
      </c>
    </row>
    <row r="122" spans="1:7">
      <c r="A122" s="1">
        <f>+'II-D-3.2'!A122</f>
        <v>87</v>
      </c>
    </row>
    <row r="123" spans="1:7">
      <c r="A123" s="1">
        <f>+'II-D-3.2'!A123</f>
        <v>88</v>
      </c>
    </row>
    <row r="124" spans="1:7">
      <c r="A124" s="1">
        <f>+'II-D-3.2'!A124</f>
        <v>89</v>
      </c>
      <c r="B124" s="94" t="s">
        <v>158</v>
      </c>
      <c r="D124" s="139">
        <v>111784.16999999998</v>
      </c>
      <c r="E124" s="139">
        <v>386014.97</v>
      </c>
      <c r="F124" s="139">
        <v>226.58</v>
      </c>
      <c r="G124" s="139">
        <f>SUM(D124:F124)</f>
        <v>498025.72</v>
      </c>
    </row>
    <row r="125" spans="1:7">
      <c r="A125" s="1">
        <f>+'II-D-3.2'!A125</f>
        <v>90</v>
      </c>
      <c r="B125" s="94" t="s">
        <v>159</v>
      </c>
      <c r="D125" s="66">
        <v>471083.71</v>
      </c>
      <c r="E125" s="66">
        <v>371791.2</v>
      </c>
      <c r="F125" s="66">
        <v>12362.48</v>
      </c>
      <c r="G125" s="66">
        <f>SUM(D125:F125)</f>
        <v>855237.39</v>
      </c>
    </row>
    <row r="126" spans="1:7">
      <c r="A126" s="1">
        <f>+'II-D-3.2'!A126</f>
        <v>91</v>
      </c>
      <c r="B126" s="94" t="s">
        <v>46</v>
      </c>
      <c r="D126" s="66">
        <v>538590.4</v>
      </c>
      <c r="E126" s="66">
        <v>611676.18000000005</v>
      </c>
      <c r="F126" s="66">
        <v>1295.3599999999999</v>
      </c>
      <c r="G126" s="66">
        <f>SUM(D126:F126)</f>
        <v>1151561.9400000002</v>
      </c>
    </row>
    <row r="127" spans="1:7">
      <c r="A127" s="1">
        <f>+'II-D-3.2'!A127</f>
        <v>92</v>
      </c>
    </row>
    <row r="128" spans="1:7">
      <c r="A128" s="1">
        <f>+'II-D-3.2'!A128</f>
        <v>93</v>
      </c>
    </row>
    <row r="129" spans="1:7">
      <c r="A129" s="1">
        <f>+'II-D-3.2'!A129</f>
        <v>94</v>
      </c>
      <c r="B129" s="94" t="str">
        <f>+B98</f>
        <v>TME 2021</v>
      </c>
      <c r="D129" s="139">
        <v>814233.61999999988</v>
      </c>
      <c r="E129" s="139">
        <v>1511754.2500000012</v>
      </c>
      <c r="F129" s="139">
        <v>225061.73000000004</v>
      </c>
      <c r="G129" s="139">
        <f>SUM(D129:F129)</f>
        <v>2551049.600000001</v>
      </c>
    </row>
    <row r="130" spans="1:7">
      <c r="A130" s="1">
        <f>+'II-D-3.2'!A130</f>
        <v>95</v>
      </c>
      <c r="B130" s="94" t="str">
        <f>+B99</f>
        <v>TME 2022</v>
      </c>
      <c r="D130" s="66">
        <v>705934.71</v>
      </c>
      <c r="E130" s="66">
        <v>2857651.379999999</v>
      </c>
      <c r="F130" s="66">
        <v>92724.690000000017</v>
      </c>
      <c r="G130" s="66">
        <f>SUM(D130:F130)</f>
        <v>3656310.7799999989</v>
      </c>
    </row>
    <row r="131" spans="1:7">
      <c r="A131" s="1">
        <f>+'II-D-3.2'!A131</f>
        <v>96</v>
      </c>
      <c r="B131" s="94" t="str">
        <f>+B100</f>
        <v>TME 2023</v>
      </c>
      <c r="D131" s="66">
        <v>1178049.74</v>
      </c>
      <c r="E131" s="66">
        <v>2371398.2500000019</v>
      </c>
      <c r="F131" s="66">
        <v>173461.07</v>
      </c>
      <c r="G131" s="66">
        <f>SUM(D131:F131)</f>
        <v>3722909.0600000019</v>
      </c>
    </row>
    <row r="134" spans="1:7" ht="13.5" thickBot="1">
      <c r="D134" s="379" t="s">
        <v>126</v>
      </c>
      <c r="E134" s="379"/>
      <c r="F134" s="379"/>
      <c r="G134" s="379"/>
    </row>
    <row r="135" spans="1:7">
      <c r="A135" s="18" t="s">
        <v>87</v>
      </c>
      <c r="B135" s="18"/>
      <c r="D135" s="18" t="s">
        <v>14</v>
      </c>
      <c r="E135" s="18" t="s">
        <v>15</v>
      </c>
      <c r="F135" s="18"/>
      <c r="G135" s="91"/>
    </row>
    <row r="136" spans="1:7">
      <c r="A136" s="196" t="s">
        <v>89</v>
      </c>
      <c r="B136" s="196" t="s">
        <v>64</v>
      </c>
      <c r="D136" s="92" t="s">
        <v>67</v>
      </c>
      <c r="E136" s="92" t="s">
        <v>16</v>
      </c>
      <c r="F136" s="92" t="s">
        <v>63</v>
      </c>
      <c r="G136" s="92" t="s">
        <v>215</v>
      </c>
    </row>
    <row r="137" spans="1:7">
      <c r="A137" s="18"/>
      <c r="B137" s="16" t="s">
        <v>44</v>
      </c>
      <c r="D137" s="16" t="s">
        <v>45</v>
      </c>
      <c r="E137" s="16" t="s">
        <v>74</v>
      </c>
      <c r="F137" s="16" t="s">
        <v>75</v>
      </c>
      <c r="G137" s="16" t="s">
        <v>76</v>
      </c>
    </row>
    <row r="138" spans="1:7">
      <c r="D138" s="97"/>
      <c r="E138" s="97"/>
      <c r="F138" s="97"/>
      <c r="G138" s="97"/>
    </row>
    <row r="139" spans="1:7">
      <c r="A139" s="1">
        <f>+'II-D-3.2'!A139</f>
        <v>97</v>
      </c>
      <c r="B139" s="132" t="str">
        <f t="shared" ref="B139:B150" si="53">+B108</f>
        <v>January 2024</v>
      </c>
      <c r="D139" s="139">
        <v>23385.469999999998</v>
      </c>
      <c r="E139" s="139">
        <v>21040.899999999994</v>
      </c>
      <c r="F139" s="139">
        <v>0</v>
      </c>
      <c r="G139" s="139">
        <f>SUM(D139:F139)</f>
        <v>44426.369999999995</v>
      </c>
    </row>
    <row r="140" spans="1:7">
      <c r="A140" s="1">
        <f>+'II-D-3.2'!A140</f>
        <v>98</v>
      </c>
      <c r="B140" s="132" t="str">
        <f t="shared" si="53"/>
        <v>February 2024</v>
      </c>
      <c r="D140" s="66">
        <v>13786.09</v>
      </c>
      <c r="E140" s="66">
        <v>25287.739999999998</v>
      </c>
      <c r="F140" s="66">
        <v>81390.260000000009</v>
      </c>
      <c r="G140" s="66">
        <f t="shared" ref="G140:G150" si="54">SUM(D140:F140)</f>
        <v>120464.09000000001</v>
      </c>
    </row>
    <row r="141" spans="1:7">
      <c r="A141" s="1">
        <f>+'II-D-3.2'!A141</f>
        <v>99</v>
      </c>
      <c r="B141" s="132" t="str">
        <f t="shared" si="53"/>
        <v>March 2024</v>
      </c>
      <c r="D141" s="66">
        <v>49109.13</v>
      </c>
      <c r="E141" s="66">
        <v>46816.470000000008</v>
      </c>
      <c r="F141" s="66">
        <v>3305.7799999999997</v>
      </c>
      <c r="G141" s="66">
        <f t="shared" si="54"/>
        <v>99231.38</v>
      </c>
    </row>
    <row r="142" spans="1:7">
      <c r="A142" s="1">
        <f>+'II-D-3.2'!A142</f>
        <v>100</v>
      </c>
      <c r="B142" s="132" t="str">
        <f t="shared" si="53"/>
        <v>April 2024</v>
      </c>
      <c r="D142" s="66">
        <v>27904.62</v>
      </c>
      <c r="E142" s="66">
        <v>24813.740000000005</v>
      </c>
      <c r="F142" s="66">
        <v>3264.02</v>
      </c>
      <c r="G142" s="66">
        <f t="shared" si="54"/>
        <v>55982.38</v>
      </c>
    </row>
    <row r="143" spans="1:7">
      <c r="A143" s="1">
        <f>+'II-D-3.2'!A143</f>
        <v>101</v>
      </c>
      <c r="B143" s="132" t="str">
        <f t="shared" si="53"/>
        <v>May 2024</v>
      </c>
      <c r="D143" s="66">
        <v>6968.4600000000009</v>
      </c>
      <c r="E143" s="66">
        <v>26799.350000000002</v>
      </c>
      <c r="F143" s="66">
        <v>18642.350000000002</v>
      </c>
      <c r="G143" s="66">
        <f t="shared" si="54"/>
        <v>52410.16</v>
      </c>
    </row>
    <row r="144" spans="1:7">
      <c r="A144" s="1">
        <f>+'II-D-3.2'!A144</f>
        <v>102</v>
      </c>
      <c r="B144" s="132" t="str">
        <f t="shared" si="53"/>
        <v>June 2024</v>
      </c>
      <c r="D144" s="66">
        <v>34508.769999999997</v>
      </c>
      <c r="E144" s="66">
        <v>66547.01999999999</v>
      </c>
      <c r="F144" s="66">
        <v>35373.949999999997</v>
      </c>
      <c r="G144" s="66">
        <f t="shared" si="54"/>
        <v>136429.74</v>
      </c>
    </row>
    <row r="145" spans="1:7">
      <c r="A145" s="1">
        <f>+'II-D-3.2'!A145</f>
        <v>103</v>
      </c>
      <c r="B145" s="132" t="str">
        <f t="shared" si="53"/>
        <v>July 2024</v>
      </c>
      <c r="D145" s="66">
        <v>28544.989999999998</v>
      </c>
      <c r="E145" s="66">
        <v>28148.38</v>
      </c>
      <c r="F145" s="66">
        <v>560</v>
      </c>
      <c r="G145" s="66">
        <f t="shared" si="54"/>
        <v>57253.369999999995</v>
      </c>
    </row>
    <row r="146" spans="1:7">
      <c r="A146" s="1">
        <f>+'II-D-3.2'!A146</f>
        <v>104</v>
      </c>
      <c r="B146" s="132" t="str">
        <f t="shared" si="53"/>
        <v>August 2024</v>
      </c>
      <c r="D146" s="66">
        <v>25044.880000000001</v>
      </c>
      <c r="E146" s="66">
        <v>29334.26</v>
      </c>
      <c r="F146" s="66">
        <v>390392.15000000008</v>
      </c>
      <c r="G146" s="66">
        <f t="shared" si="54"/>
        <v>444771.2900000001</v>
      </c>
    </row>
    <row r="147" spans="1:7">
      <c r="A147" s="1">
        <f>+'II-D-3.2'!A147</f>
        <v>105</v>
      </c>
      <c r="B147" s="132" t="str">
        <f t="shared" si="53"/>
        <v>September 2024</v>
      </c>
      <c r="D147" s="66">
        <v>25377.29</v>
      </c>
      <c r="E147" s="66">
        <v>207610.76999999993</v>
      </c>
      <c r="F147" s="66">
        <v>8679.8599999999988</v>
      </c>
      <c r="G147" s="66">
        <f t="shared" si="54"/>
        <v>241667.91999999993</v>
      </c>
    </row>
    <row r="148" spans="1:7">
      <c r="A148" s="1">
        <f>+'II-D-3.2'!A148</f>
        <v>106</v>
      </c>
      <c r="B148" s="132" t="str">
        <f t="shared" si="53"/>
        <v>October 2024</v>
      </c>
      <c r="D148" s="66">
        <v>27044.549999999996</v>
      </c>
      <c r="E148" s="66">
        <v>28550.71</v>
      </c>
      <c r="F148" s="66">
        <v>2984.6800000000003</v>
      </c>
      <c r="G148" s="66">
        <f t="shared" si="54"/>
        <v>58579.939999999995</v>
      </c>
    </row>
    <row r="149" spans="1:7">
      <c r="A149" s="1">
        <f>+'II-D-3.2'!A149</f>
        <v>107</v>
      </c>
      <c r="B149" s="132" t="str">
        <f t="shared" si="53"/>
        <v>November 2024</v>
      </c>
      <c r="D149" s="66">
        <v>23942.5</v>
      </c>
      <c r="E149" s="66">
        <v>32968.890000000007</v>
      </c>
      <c r="F149" s="66">
        <v>3693.03</v>
      </c>
      <c r="G149" s="66">
        <f t="shared" si="54"/>
        <v>60604.420000000006</v>
      </c>
    </row>
    <row r="150" spans="1:7">
      <c r="A150" s="1">
        <f>+'II-D-3.2'!A150</f>
        <v>108</v>
      </c>
      <c r="B150" s="132" t="str">
        <f t="shared" si="53"/>
        <v>December 2024</v>
      </c>
      <c r="D150" s="66">
        <v>43325.05</v>
      </c>
      <c r="E150" s="66">
        <v>165066.96000000002</v>
      </c>
      <c r="F150" s="66">
        <v>11128.949999999999</v>
      </c>
      <c r="G150" s="66">
        <f t="shared" si="54"/>
        <v>219520.96000000002</v>
      </c>
    </row>
    <row r="151" spans="1:7">
      <c r="A151" s="1">
        <f>+'II-D-3.2'!A151</f>
        <v>109</v>
      </c>
      <c r="D151" s="115"/>
      <c r="E151" s="115"/>
      <c r="F151" s="115"/>
      <c r="G151" s="115"/>
    </row>
    <row r="152" spans="1:7">
      <c r="A152" s="1">
        <f>+'II-D-3.2'!A152</f>
        <v>110</v>
      </c>
      <c r="B152" s="94" t="s">
        <v>69</v>
      </c>
      <c r="D152" s="141">
        <f>SUM(D139:D150)</f>
        <v>328941.8</v>
      </c>
      <c r="E152" s="141">
        <f>SUM(E139:E150)</f>
        <v>702985.19</v>
      </c>
      <c r="F152" s="141">
        <f>SUM(F139:F150)</f>
        <v>559415.03000000014</v>
      </c>
      <c r="G152" s="141">
        <f>SUM(G139:G150)</f>
        <v>1591342.0199999998</v>
      </c>
    </row>
    <row r="153" spans="1:7">
      <c r="A153" s="1">
        <f>+'II-D-3.2'!A153</f>
        <v>111</v>
      </c>
    </row>
    <row r="154" spans="1:7">
      <c r="A154" s="1">
        <f>+'II-D-3.2'!A154</f>
        <v>112</v>
      </c>
    </row>
    <row r="155" spans="1:7">
      <c r="A155" s="1">
        <f>+'II-D-3.2'!A155</f>
        <v>113</v>
      </c>
      <c r="B155" s="94" t="s">
        <v>158</v>
      </c>
      <c r="D155" s="139">
        <v>3074.71</v>
      </c>
      <c r="E155" s="139">
        <v>30314.539999999994</v>
      </c>
      <c r="F155" s="139">
        <v>0</v>
      </c>
      <c r="G155" s="139">
        <f>SUM(D155:F155)</f>
        <v>33389.249999999993</v>
      </c>
    </row>
    <row r="156" spans="1:7">
      <c r="A156" s="1">
        <f>+'II-D-3.2'!A156</f>
        <v>114</v>
      </c>
      <c r="B156" s="94" t="s">
        <v>159</v>
      </c>
      <c r="D156" s="66">
        <v>24461.360000000001</v>
      </c>
      <c r="E156" s="66">
        <v>27799.75</v>
      </c>
      <c r="F156" s="66">
        <v>30747.519999999997</v>
      </c>
      <c r="G156" s="66">
        <f>SUM(D156:F156)</f>
        <v>83008.63</v>
      </c>
    </row>
    <row r="157" spans="1:7">
      <c r="A157" s="1">
        <f>+'II-D-3.2'!A157</f>
        <v>115</v>
      </c>
      <c r="B157" s="94" t="s">
        <v>46</v>
      </c>
      <c r="D157" s="66">
        <v>26899.54</v>
      </c>
      <c r="E157" s="66">
        <v>94388.89</v>
      </c>
      <c r="F157" s="66">
        <v>6820.0399999999991</v>
      </c>
      <c r="G157" s="66">
        <f>SUM(D157:F157)</f>
        <v>128108.46999999999</v>
      </c>
    </row>
    <row r="158" spans="1:7">
      <c r="A158" s="1">
        <f>+'II-D-3.2'!A158</f>
        <v>116</v>
      </c>
    </row>
    <row r="159" spans="1:7">
      <c r="A159" s="1">
        <f>+'II-D-3.2'!A159</f>
        <v>117</v>
      </c>
    </row>
    <row r="160" spans="1:7">
      <c r="A160" s="1">
        <f>+'II-D-3.2'!A160</f>
        <v>118</v>
      </c>
      <c r="B160" s="132" t="str">
        <f t="shared" ref="B160:B162" si="55">+B129</f>
        <v>TME 2021</v>
      </c>
      <c r="D160" s="139">
        <v>165164.14999999997</v>
      </c>
      <c r="E160" s="139">
        <v>319694.16000000009</v>
      </c>
      <c r="F160" s="139">
        <v>328198.02999999997</v>
      </c>
      <c r="G160" s="139">
        <f>SUM(D160:F160)</f>
        <v>813056.34000000008</v>
      </c>
    </row>
    <row r="161" spans="1:7">
      <c r="A161" s="1">
        <f>+'II-D-3.2'!A161</f>
        <v>119</v>
      </c>
      <c r="B161" s="132" t="str">
        <f t="shared" si="55"/>
        <v>TME 2022</v>
      </c>
      <c r="D161" s="66">
        <v>143196.13</v>
      </c>
      <c r="E161" s="66">
        <v>841231.18000000017</v>
      </c>
      <c r="F161" s="66">
        <v>172165.08</v>
      </c>
      <c r="G161" s="66">
        <f>SUM(D161:F161)</f>
        <v>1156592.3900000001</v>
      </c>
    </row>
    <row r="162" spans="1:7">
      <c r="A162" s="1">
        <f>+'II-D-3.2'!A162</f>
        <v>120</v>
      </c>
      <c r="B162" s="132" t="str">
        <f t="shared" si="55"/>
        <v>TME 2023</v>
      </c>
      <c r="D162" s="66">
        <v>240036.24999999997</v>
      </c>
      <c r="E162" s="66">
        <v>616966.7999999997</v>
      </c>
      <c r="F162" s="66">
        <v>368529.35999999993</v>
      </c>
      <c r="G162" s="66">
        <f>SUM(D162:F162)</f>
        <v>1225532.4099999997</v>
      </c>
    </row>
    <row r="163" spans="1:7">
      <c r="A163" s="1">
        <v>121</v>
      </c>
    </row>
    <row r="164" spans="1:7">
      <c r="A164" s="1">
        <v>122</v>
      </c>
    </row>
    <row r="165" spans="1:7">
      <c r="A165" s="1">
        <v>123</v>
      </c>
      <c r="D165" t="s">
        <v>1054</v>
      </c>
    </row>
    <row r="166" spans="1:7">
      <c r="A166" s="1">
        <v>124</v>
      </c>
      <c r="D166" t="s">
        <v>1055</v>
      </c>
    </row>
  </sheetData>
  <mergeCells count="10">
    <mergeCell ref="I41:L41"/>
    <mergeCell ref="N41:Q41"/>
    <mergeCell ref="S41:V41"/>
    <mergeCell ref="I72:L72"/>
    <mergeCell ref="N72:Q72"/>
    <mergeCell ref="D134:G134"/>
    <mergeCell ref="D10:G10"/>
    <mergeCell ref="D41:G41"/>
    <mergeCell ref="D72:G72"/>
    <mergeCell ref="D103:G103"/>
  </mergeCells>
  <phoneticPr fontId="5" type="noConversion"/>
  <printOptions horizontalCentered="1"/>
  <pageMargins left="0.5" right="0.5" top="3" bottom="0.5" header="1.5" footer="0.5"/>
  <pageSetup scale="55" fitToHeight="0" orientation="landscape"/>
  <headerFooter alignWithMargins="0">
    <oddHeader>&amp;R&amp;"Arial,Bold"Schedule &amp;A
Page &amp;P of &amp;N&amp;C&amp;B
2025 RATE CASE
ONCOR ELECTRIC DELIVERY COMPANY LLC
II-D-3.6  COMPENSATION OTHER THAN STANDARD COMPENSATION BY FUNCTION
TEST YEAR ENDING DECEMBER 31, 2024
SPONSORS: R. PRACHYL/ A. GUILLORY</oddHeader>
  </headerFooter>
  <rowBreaks count="3" manualBreakCount="3">
    <brk id="39" max="6" man="1"/>
    <brk id="102" max="17" man="1"/>
    <brk id="132" max="17"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6">
    <tabColor rgb="FFFF0000"/>
    <pageSetUpPr fitToPage="1"/>
  </sheetPr>
  <dimension ref="A1:O282"/>
  <sheetViews>
    <sheetView zoomScaleNormal="100" workbookViewId="0">
      <pane ySplit="6" topLeftCell="A195" activePane="bottomLeft" state="frozen"/>
      <selection activeCell="N38" sqref="N38"/>
      <selection pane="bottomLeft" activeCell="B209" sqref="B209:N213"/>
    </sheetView>
  </sheetViews>
  <sheetFormatPr defaultRowHeight="12.75"/>
  <cols>
    <col min="1" max="1" width="2.7109375" customWidth="1"/>
    <col min="2" max="2" width="10.28515625" customWidth="1"/>
    <col min="3" max="3" width="16.7109375" customWidth="1"/>
    <col min="4" max="14" width="10.28515625" customWidth="1"/>
    <col min="15" max="15" width="9.140625" style="137"/>
  </cols>
  <sheetData>
    <row r="1" spans="1:15">
      <c r="A1" s="5" t="str">
        <f>+'[3]Input Data'!$A$9</f>
        <v>2025 RATE CASE</v>
      </c>
    </row>
    <row r="2" spans="1:15">
      <c r="A2" s="8" t="str">
        <f>+'[3]Input Data'!$A$2</f>
        <v>ONCOR ELECTRIC DELIVERY COMPANY LLC</v>
      </c>
    </row>
    <row r="3" spans="1:15">
      <c r="A3" s="7" t="str">
        <f>CONCATENATE('[3]Schedule Sponsors'!$A$75,'[3]Schedule Sponsors'!$B$75)</f>
        <v>II-D-3.7  GENERAL EMPLOYEE BENEFIT INFORMATION</v>
      </c>
    </row>
    <row r="4" spans="1:15">
      <c r="A4" s="63" t="str">
        <f>+'[3]Input Data'!$A$4</f>
        <v>TEST YEAR ENDING DECEMBER 31, 2024</v>
      </c>
    </row>
    <row r="5" spans="1:15">
      <c r="A5" s="7" t="str">
        <f>CONCATENATE("SPONSORS: ",'[3]Schedule Sponsors'!$D$75)</f>
        <v>SPONSORS: R. PRACHYL/ A. GUILLORY</v>
      </c>
    </row>
    <row r="7" spans="1:15" s="2" customFormat="1">
      <c r="O7" s="145"/>
    </row>
    <row r="8" spans="1:15" s="2" customFormat="1">
      <c r="O8" s="145"/>
    </row>
    <row r="9" spans="1:15" ht="15.75">
      <c r="A9" s="117" t="s">
        <v>665</v>
      </c>
      <c r="B9" s="117"/>
      <c r="C9" s="117"/>
      <c r="D9" s="117"/>
      <c r="E9" s="117"/>
      <c r="F9" s="117"/>
      <c r="G9" s="117"/>
      <c r="H9" s="117"/>
      <c r="I9" s="117"/>
      <c r="J9" s="117"/>
      <c r="K9" s="117"/>
      <c r="L9" s="117"/>
      <c r="M9" s="117"/>
      <c r="N9" s="117"/>
    </row>
    <row r="10" spans="1:15" ht="15">
      <c r="A10" s="337"/>
      <c r="B10" s="337"/>
      <c r="C10" s="337"/>
      <c r="D10" s="337"/>
      <c r="E10" s="337"/>
      <c r="F10" s="337"/>
      <c r="G10" s="337"/>
      <c r="H10" s="337"/>
      <c r="I10" s="337"/>
      <c r="J10" s="337"/>
      <c r="K10" s="337"/>
      <c r="L10" s="337"/>
      <c r="M10" s="337"/>
      <c r="N10" s="337"/>
    </row>
    <row r="11" spans="1:15">
      <c r="A11" s="94" t="s">
        <v>205</v>
      </c>
      <c r="B11" s="194" t="s">
        <v>666</v>
      </c>
      <c r="C11" s="194"/>
      <c r="D11" s="194"/>
      <c r="E11" s="194"/>
      <c r="F11" s="194"/>
      <c r="G11" s="194"/>
      <c r="H11" s="194"/>
      <c r="I11" s="194"/>
      <c r="J11" s="194"/>
      <c r="K11" s="194"/>
      <c r="L11" s="194"/>
      <c r="M11" s="194"/>
      <c r="N11" s="194"/>
    </row>
    <row r="12" spans="1:15" ht="12.75" customHeight="1">
      <c r="A12" s="94"/>
      <c r="B12" s="385" t="s">
        <v>818</v>
      </c>
      <c r="C12" s="385"/>
      <c r="D12" s="385"/>
      <c r="E12" s="385"/>
      <c r="F12" s="385"/>
      <c r="G12" s="385"/>
      <c r="H12" s="385"/>
      <c r="I12" s="385"/>
      <c r="J12" s="385"/>
      <c r="K12" s="385"/>
      <c r="L12" s="385"/>
      <c r="M12" s="385"/>
      <c r="N12" s="385"/>
    </row>
    <row r="13" spans="1:15">
      <c r="A13" s="338"/>
      <c r="B13" s="385"/>
      <c r="C13" s="385"/>
      <c r="D13" s="385"/>
      <c r="E13" s="385"/>
      <c r="F13" s="385"/>
      <c r="G13" s="385"/>
      <c r="H13" s="385"/>
      <c r="I13" s="385"/>
      <c r="J13" s="385"/>
      <c r="K13" s="385"/>
      <c r="L13" s="385"/>
      <c r="M13" s="385"/>
      <c r="N13" s="385"/>
    </row>
    <row r="14" spans="1:15">
      <c r="A14" s="338"/>
      <c r="B14" s="385"/>
      <c r="C14" s="385"/>
      <c r="D14" s="385"/>
      <c r="E14" s="385"/>
      <c r="F14" s="385"/>
      <c r="G14" s="385"/>
      <c r="H14" s="385"/>
      <c r="I14" s="385"/>
      <c r="J14" s="385"/>
      <c r="K14" s="385"/>
      <c r="L14" s="385"/>
      <c r="M14" s="385"/>
      <c r="N14" s="385"/>
    </row>
    <row r="15" spans="1:15">
      <c r="A15" s="338"/>
      <c r="B15" s="385"/>
      <c r="C15" s="385"/>
      <c r="D15" s="385"/>
      <c r="E15" s="385"/>
      <c r="F15" s="385"/>
      <c r="G15" s="385"/>
      <c r="H15" s="385"/>
      <c r="I15" s="385"/>
      <c r="J15" s="385"/>
      <c r="K15" s="385"/>
      <c r="L15" s="385"/>
      <c r="M15" s="385"/>
      <c r="N15" s="385"/>
    </row>
    <row r="16" spans="1:15">
      <c r="A16" s="338"/>
      <c r="B16" s="385"/>
      <c r="C16" s="385"/>
      <c r="D16" s="385"/>
      <c r="E16" s="385"/>
      <c r="F16" s="385"/>
      <c r="G16" s="385"/>
      <c r="H16" s="385"/>
      <c r="I16" s="385"/>
      <c r="J16" s="385"/>
      <c r="K16" s="385"/>
      <c r="L16" s="385"/>
      <c r="M16" s="385"/>
      <c r="N16" s="385"/>
    </row>
    <row r="17" spans="1:14">
      <c r="A17" s="338"/>
      <c r="B17" s="385"/>
      <c r="C17" s="385"/>
      <c r="D17" s="385"/>
      <c r="E17" s="385"/>
      <c r="F17" s="385"/>
      <c r="G17" s="385"/>
      <c r="H17" s="385"/>
      <c r="I17" s="385"/>
      <c r="J17" s="385"/>
      <c r="K17" s="385"/>
      <c r="L17" s="385"/>
      <c r="M17" s="385"/>
      <c r="N17" s="385"/>
    </row>
    <row r="18" spans="1:14">
      <c r="A18" s="338"/>
      <c r="B18" s="339"/>
      <c r="C18" s="339"/>
      <c r="D18" s="339"/>
      <c r="E18" s="339"/>
      <c r="F18" s="339"/>
      <c r="G18" s="339"/>
      <c r="H18" s="339"/>
      <c r="I18" s="339"/>
      <c r="J18" s="339"/>
      <c r="K18" s="339"/>
      <c r="L18" s="339"/>
      <c r="M18" s="339"/>
      <c r="N18" s="339"/>
    </row>
    <row r="19" spans="1:14">
      <c r="A19" s="338"/>
      <c r="B19" s="311"/>
      <c r="C19" s="311"/>
      <c r="D19" s="311"/>
      <c r="E19" s="311"/>
      <c r="F19" s="311"/>
      <c r="G19" s="311"/>
      <c r="H19" s="311"/>
      <c r="I19" s="311"/>
      <c r="J19" s="311"/>
      <c r="K19" s="311"/>
      <c r="L19" s="311"/>
      <c r="M19" s="311"/>
      <c r="N19" s="311"/>
    </row>
    <row r="20" spans="1:14" ht="12.75" customHeight="1">
      <c r="A20" s="94" t="s">
        <v>205</v>
      </c>
      <c r="B20" s="194" t="s">
        <v>667</v>
      </c>
      <c r="C20" s="311"/>
      <c r="D20" s="311"/>
      <c r="E20" s="311"/>
      <c r="F20" s="311"/>
      <c r="G20" s="311"/>
      <c r="H20" s="311"/>
      <c r="I20" s="311"/>
      <c r="J20" s="311"/>
      <c r="K20" s="311"/>
      <c r="L20" s="311"/>
      <c r="M20" s="311"/>
      <c r="N20" s="311"/>
    </row>
    <row r="21" spans="1:14">
      <c r="A21" s="94"/>
      <c r="B21" s="385" t="s">
        <v>819</v>
      </c>
      <c r="C21" s="395"/>
      <c r="D21" s="395"/>
      <c r="E21" s="395"/>
      <c r="F21" s="395"/>
      <c r="G21" s="395"/>
      <c r="H21" s="395"/>
      <c r="I21" s="395"/>
      <c r="J21" s="395"/>
      <c r="K21" s="395"/>
      <c r="L21" s="395"/>
      <c r="M21" s="395"/>
      <c r="N21" s="395"/>
    </row>
    <row r="22" spans="1:14">
      <c r="A22" s="338"/>
      <c r="B22" s="395"/>
      <c r="C22" s="395"/>
      <c r="D22" s="395"/>
      <c r="E22" s="395"/>
      <c r="F22" s="395"/>
      <c r="G22" s="395"/>
      <c r="H22" s="395"/>
      <c r="I22" s="395"/>
      <c r="J22" s="395"/>
      <c r="K22" s="395"/>
      <c r="L22" s="395"/>
      <c r="M22" s="395"/>
      <c r="N22" s="395"/>
    </row>
    <row r="23" spans="1:14">
      <c r="A23" s="338"/>
      <c r="B23" s="395"/>
      <c r="C23" s="395"/>
      <c r="D23" s="395"/>
      <c r="E23" s="395"/>
      <c r="F23" s="395"/>
      <c r="G23" s="395"/>
      <c r="H23" s="395"/>
      <c r="I23" s="395"/>
      <c r="J23" s="395"/>
      <c r="K23" s="395"/>
      <c r="L23" s="395"/>
      <c r="M23" s="395"/>
      <c r="N23" s="395"/>
    </row>
    <row r="24" spans="1:14">
      <c r="A24" s="338"/>
      <c r="B24" s="395"/>
      <c r="C24" s="395"/>
      <c r="D24" s="395"/>
      <c r="E24" s="395"/>
      <c r="F24" s="395"/>
      <c r="G24" s="395"/>
      <c r="H24" s="395"/>
      <c r="I24" s="395"/>
      <c r="J24" s="395"/>
      <c r="K24" s="395"/>
      <c r="L24" s="395"/>
      <c r="M24" s="395"/>
      <c r="N24" s="395"/>
    </row>
    <row r="25" spans="1:14">
      <c r="A25" s="338"/>
      <c r="B25" s="395"/>
      <c r="C25" s="395"/>
      <c r="D25" s="395"/>
      <c r="E25" s="395"/>
      <c r="F25" s="395"/>
      <c r="G25" s="395"/>
      <c r="H25" s="395"/>
      <c r="I25" s="395"/>
      <c r="J25" s="395"/>
      <c r="K25" s="395"/>
      <c r="L25" s="395"/>
      <c r="M25" s="395"/>
      <c r="N25" s="395"/>
    </row>
    <row r="26" spans="1:14">
      <c r="A26" s="338"/>
      <c r="B26" s="395"/>
      <c r="C26" s="395"/>
      <c r="D26" s="395"/>
      <c r="E26" s="395"/>
      <c r="F26" s="395"/>
      <c r="G26" s="395"/>
      <c r="H26" s="395"/>
      <c r="I26" s="395"/>
      <c r="J26" s="395"/>
      <c r="K26" s="395"/>
      <c r="L26" s="395"/>
      <c r="M26" s="395"/>
      <c r="N26" s="395"/>
    </row>
    <row r="27" spans="1:14">
      <c r="A27" s="338"/>
      <c r="B27" s="340"/>
      <c r="C27" s="340"/>
      <c r="D27" s="340"/>
      <c r="E27" s="340"/>
      <c r="F27" s="340"/>
      <c r="G27" s="340"/>
      <c r="H27" s="340"/>
      <c r="I27" s="340"/>
      <c r="J27" s="340"/>
      <c r="K27" s="340"/>
      <c r="L27" s="340"/>
      <c r="M27" s="340"/>
      <c r="N27" s="340"/>
    </row>
    <row r="28" spans="1:14">
      <c r="A28" s="338"/>
      <c r="B28" s="340"/>
      <c r="C28" s="340"/>
      <c r="D28" s="340"/>
      <c r="E28" s="340"/>
      <c r="F28" s="340"/>
      <c r="G28" s="340"/>
      <c r="H28" s="340"/>
      <c r="I28" s="340"/>
      <c r="J28" s="340"/>
      <c r="K28" s="340"/>
      <c r="L28" s="340"/>
      <c r="M28" s="340"/>
      <c r="N28" s="340"/>
    </row>
    <row r="29" spans="1:14">
      <c r="A29" s="244" t="s">
        <v>205</v>
      </c>
      <c r="B29" s="250" t="s">
        <v>530</v>
      </c>
      <c r="C29" s="246"/>
      <c r="D29" s="246"/>
      <c r="E29" s="246"/>
      <c r="F29" s="246"/>
      <c r="G29" s="246"/>
      <c r="H29" s="246"/>
      <c r="I29" s="246"/>
      <c r="J29" s="246"/>
      <c r="K29" s="246"/>
      <c r="L29" s="246"/>
      <c r="M29" s="246"/>
      <c r="N29" s="246"/>
    </row>
    <row r="30" spans="1:14">
      <c r="A30" s="244"/>
      <c r="B30" s="388" t="s">
        <v>791</v>
      </c>
      <c r="C30" s="388"/>
      <c r="D30" s="388"/>
      <c r="E30" s="388"/>
      <c r="F30" s="388"/>
      <c r="G30" s="388"/>
      <c r="H30" s="388"/>
      <c r="I30" s="388"/>
      <c r="J30" s="388"/>
      <c r="K30" s="388"/>
      <c r="L30" s="388"/>
      <c r="M30" s="388"/>
      <c r="N30" s="388"/>
    </row>
    <row r="31" spans="1:14">
      <c r="A31" s="247"/>
      <c r="B31" s="388"/>
      <c r="C31" s="388"/>
      <c r="D31" s="388"/>
      <c r="E31" s="388"/>
      <c r="F31" s="388"/>
      <c r="G31" s="388"/>
      <c r="H31" s="388"/>
      <c r="I31" s="388"/>
      <c r="J31" s="388"/>
      <c r="K31" s="388"/>
      <c r="L31" s="388"/>
      <c r="M31" s="388"/>
      <c r="N31" s="388"/>
    </row>
    <row r="32" spans="1:14">
      <c r="A32" s="247"/>
      <c r="B32" s="388"/>
      <c r="C32" s="388"/>
      <c r="D32" s="388"/>
      <c r="E32" s="388"/>
      <c r="F32" s="388"/>
      <c r="G32" s="388"/>
      <c r="H32" s="388"/>
      <c r="I32" s="388"/>
      <c r="J32" s="388"/>
      <c r="K32" s="388"/>
      <c r="L32" s="388"/>
      <c r="M32" s="388"/>
      <c r="N32" s="388"/>
    </row>
    <row r="33" spans="1:14">
      <c r="A33" s="247"/>
      <c r="B33" s="388"/>
      <c r="C33" s="388"/>
      <c r="D33" s="388"/>
      <c r="E33" s="388"/>
      <c r="F33" s="388"/>
      <c r="G33" s="388"/>
      <c r="H33" s="388"/>
      <c r="I33" s="388"/>
      <c r="J33" s="388"/>
      <c r="K33" s="388"/>
      <c r="L33" s="388"/>
      <c r="M33" s="388"/>
      <c r="N33" s="388"/>
    </row>
    <row r="34" spans="1:14">
      <c r="A34" s="247"/>
      <c r="B34" s="246"/>
      <c r="C34" s="246"/>
      <c r="D34" s="246"/>
      <c r="E34" s="246"/>
      <c r="F34" s="246"/>
      <c r="G34" s="246"/>
      <c r="H34" s="246"/>
      <c r="I34" s="246"/>
      <c r="J34" s="246"/>
      <c r="K34" s="246"/>
      <c r="L34" s="246"/>
      <c r="M34" s="246"/>
      <c r="N34" s="246"/>
    </row>
    <row r="35" spans="1:14">
      <c r="A35" s="244" t="s">
        <v>205</v>
      </c>
      <c r="B35" s="250" t="s">
        <v>531</v>
      </c>
      <c r="C35" s="246"/>
      <c r="D35" s="246"/>
      <c r="E35" s="246"/>
      <c r="F35" s="246"/>
      <c r="G35" s="246"/>
      <c r="H35" s="246"/>
      <c r="I35" s="246"/>
      <c r="J35" s="246"/>
      <c r="K35" s="246"/>
      <c r="L35" s="246"/>
      <c r="M35" s="246"/>
      <c r="N35" s="246"/>
    </row>
    <row r="36" spans="1:14" ht="12.75" customHeight="1">
      <c r="A36" s="244"/>
      <c r="B36" s="385" t="s">
        <v>820</v>
      </c>
      <c r="C36" s="385"/>
      <c r="D36" s="385"/>
      <c r="E36" s="385"/>
      <c r="F36" s="385"/>
      <c r="G36" s="385"/>
      <c r="H36" s="385"/>
      <c r="I36" s="385"/>
      <c r="J36" s="385"/>
      <c r="K36" s="385"/>
      <c r="L36" s="385"/>
      <c r="M36" s="385"/>
      <c r="N36" s="385"/>
    </row>
    <row r="37" spans="1:14">
      <c r="A37" s="247"/>
      <c r="B37" s="385"/>
      <c r="C37" s="385"/>
      <c r="D37" s="385"/>
      <c r="E37" s="385"/>
      <c r="F37" s="385"/>
      <c r="G37" s="385"/>
      <c r="H37" s="385"/>
      <c r="I37" s="385"/>
      <c r="J37" s="385"/>
      <c r="K37" s="385"/>
      <c r="L37" s="385"/>
      <c r="M37" s="385"/>
      <c r="N37" s="385"/>
    </row>
    <row r="38" spans="1:14">
      <c r="A38" s="247"/>
      <c r="B38" s="339"/>
      <c r="C38" s="339"/>
      <c r="D38" s="339"/>
      <c r="E38" s="339"/>
      <c r="F38" s="339"/>
      <c r="G38" s="339"/>
      <c r="H38" s="339"/>
      <c r="I38" s="339"/>
      <c r="J38" s="339"/>
      <c r="K38" s="339"/>
      <c r="L38" s="339"/>
      <c r="M38" s="339"/>
      <c r="N38" s="339"/>
    </row>
    <row r="39" spans="1:14">
      <c r="A39" s="247"/>
      <c r="B39" s="339"/>
      <c r="C39" s="339"/>
      <c r="D39" s="339"/>
      <c r="E39" s="339"/>
      <c r="F39" s="339"/>
      <c r="G39" s="339"/>
      <c r="H39" s="339"/>
      <c r="I39" s="339"/>
      <c r="J39" s="339"/>
      <c r="K39" s="339"/>
      <c r="L39" s="339"/>
      <c r="M39" s="339"/>
      <c r="N39" s="339"/>
    </row>
    <row r="40" spans="1:14">
      <c r="A40" s="244" t="s">
        <v>205</v>
      </c>
      <c r="B40" s="247" t="s">
        <v>668</v>
      </c>
      <c r="C40" s="246"/>
      <c r="D40" s="246"/>
      <c r="E40" s="246"/>
      <c r="F40" s="246"/>
      <c r="G40" s="246"/>
      <c r="H40" s="246"/>
      <c r="I40" s="246"/>
      <c r="J40" s="246"/>
      <c r="K40" s="246"/>
      <c r="L40" s="246"/>
      <c r="M40" s="246"/>
      <c r="N40" s="246"/>
    </row>
    <row r="41" spans="1:14" ht="12.75" customHeight="1">
      <c r="A41" s="247"/>
      <c r="B41" s="396" t="s">
        <v>821</v>
      </c>
      <c r="C41" s="396"/>
      <c r="D41" s="396"/>
      <c r="E41" s="396"/>
      <c r="F41" s="396"/>
      <c r="G41" s="396"/>
      <c r="H41" s="396"/>
      <c r="I41" s="396"/>
      <c r="J41" s="396"/>
      <c r="K41" s="396"/>
      <c r="L41" s="396"/>
      <c r="M41" s="396"/>
      <c r="N41" s="396"/>
    </row>
    <row r="42" spans="1:14">
      <c r="A42" s="247"/>
      <c r="B42" s="396"/>
      <c r="C42" s="396"/>
      <c r="D42" s="396"/>
      <c r="E42" s="396"/>
      <c r="F42" s="396"/>
      <c r="G42" s="396"/>
      <c r="H42" s="396"/>
      <c r="I42" s="396"/>
      <c r="J42" s="396"/>
      <c r="K42" s="396"/>
      <c r="L42" s="396"/>
      <c r="M42" s="396"/>
      <c r="N42" s="396"/>
    </row>
    <row r="43" spans="1:14">
      <c r="A43" s="247"/>
      <c r="B43" s="396"/>
      <c r="C43" s="396"/>
      <c r="D43" s="396"/>
      <c r="E43" s="396"/>
      <c r="F43" s="396"/>
      <c r="G43" s="396"/>
      <c r="H43" s="396"/>
      <c r="I43" s="396"/>
      <c r="J43" s="396"/>
      <c r="K43" s="396"/>
      <c r="L43" s="396"/>
      <c r="M43" s="396"/>
      <c r="N43" s="396"/>
    </row>
    <row r="44" spans="1:14">
      <c r="A44" s="247"/>
      <c r="B44" s="396"/>
      <c r="C44" s="396"/>
      <c r="D44" s="396"/>
      <c r="E44" s="396"/>
      <c r="F44" s="396"/>
      <c r="G44" s="396"/>
      <c r="H44" s="396"/>
      <c r="I44" s="396"/>
      <c r="J44" s="396"/>
      <c r="K44" s="396"/>
      <c r="L44" s="396"/>
      <c r="M44" s="396"/>
      <c r="N44" s="396"/>
    </row>
    <row r="45" spans="1:14">
      <c r="A45" s="247"/>
      <c r="B45" s="396"/>
      <c r="C45" s="396"/>
      <c r="D45" s="396"/>
      <c r="E45" s="396"/>
      <c r="F45" s="396"/>
      <c r="G45" s="396"/>
      <c r="H45" s="396"/>
      <c r="I45" s="396"/>
      <c r="J45" s="396"/>
      <c r="K45" s="396"/>
      <c r="L45" s="396"/>
      <c r="M45" s="396"/>
      <c r="N45" s="396"/>
    </row>
    <row r="46" spans="1:14">
      <c r="A46" s="247"/>
      <c r="B46" s="246"/>
      <c r="C46" s="246"/>
      <c r="D46" s="246"/>
      <c r="E46" s="246"/>
      <c r="F46" s="246"/>
      <c r="G46" s="246"/>
      <c r="H46" s="246"/>
      <c r="I46" s="246"/>
      <c r="J46" s="246"/>
      <c r="K46" s="246"/>
      <c r="L46" s="246"/>
      <c r="M46" s="246"/>
      <c r="N46" s="246"/>
    </row>
    <row r="47" spans="1:14">
      <c r="A47" s="341" t="s">
        <v>532</v>
      </c>
      <c r="B47" s="341"/>
      <c r="C47" s="341"/>
      <c r="D47" s="292"/>
      <c r="E47" s="292"/>
      <c r="F47" s="292"/>
      <c r="G47" s="292"/>
      <c r="H47" s="292"/>
      <c r="I47" s="292"/>
      <c r="J47" s="292"/>
      <c r="K47" s="292"/>
      <c r="L47" s="292"/>
      <c r="M47" s="292"/>
      <c r="N47" s="292"/>
    </row>
    <row r="48" spans="1:14">
      <c r="A48" s="342" t="s">
        <v>205</v>
      </c>
      <c r="B48" s="341" t="s">
        <v>379</v>
      </c>
      <c r="C48" s="341"/>
      <c r="D48" s="292"/>
      <c r="E48" s="292"/>
      <c r="F48" s="292"/>
      <c r="G48" s="292"/>
      <c r="H48" s="292"/>
      <c r="I48" s="292"/>
      <c r="J48" s="292"/>
      <c r="K48" s="292"/>
      <c r="L48" s="292"/>
      <c r="M48" s="292"/>
      <c r="N48" s="292"/>
    </row>
    <row r="49" spans="1:14">
      <c r="A49" s="342" t="s">
        <v>205</v>
      </c>
      <c r="B49" s="341" t="s">
        <v>380</v>
      </c>
      <c r="C49" s="341"/>
      <c r="D49" s="292"/>
      <c r="E49" s="292"/>
      <c r="F49" s="292"/>
      <c r="G49" s="292"/>
      <c r="H49" s="292"/>
      <c r="I49" s="292"/>
      <c r="J49" s="292"/>
      <c r="K49" s="292"/>
      <c r="L49" s="292"/>
      <c r="M49" s="292"/>
      <c r="N49" s="292"/>
    </row>
    <row r="50" spans="1:14">
      <c r="A50" s="342" t="s">
        <v>205</v>
      </c>
      <c r="B50" s="341" t="s">
        <v>381</v>
      </c>
      <c r="C50" s="341"/>
      <c r="D50" s="292"/>
      <c r="E50" s="292"/>
      <c r="F50" s="292"/>
      <c r="G50" s="292"/>
      <c r="H50" s="292"/>
      <c r="I50" s="292"/>
      <c r="J50" s="292"/>
      <c r="K50" s="292"/>
      <c r="L50" s="292"/>
      <c r="M50" s="292"/>
      <c r="N50" s="292"/>
    </row>
    <row r="51" spans="1:14">
      <c r="A51" s="342" t="s">
        <v>205</v>
      </c>
      <c r="B51" s="341" t="s">
        <v>382</v>
      </c>
      <c r="C51" s="341"/>
      <c r="D51" s="292"/>
      <c r="E51" s="292"/>
      <c r="F51" s="292"/>
      <c r="G51" s="292"/>
      <c r="H51" s="292"/>
      <c r="I51" s="292"/>
      <c r="J51" s="292"/>
      <c r="K51" s="292"/>
      <c r="L51" s="292"/>
      <c r="M51" s="292"/>
      <c r="N51" s="292"/>
    </row>
    <row r="52" spans="1:14">
      <c r="A52" s="292"/>
      <c r="B52" s="292"/>
      <c r="C52" s="292"/>
      <c r="D52" s="292"/>
      <c r="E52" s="292"/>
      <c r="F52" s="292"/>
      <c r="G52" s="292"/>
      <c r="H52" s="292"/>
      <c r="I52" s="292"/>
      <c r="J52" s="292"/>
      <c r="K52" s="292"/>
      <c r="L52" s="292"/>
      <c r="M52" s="292"/>
      <c r="N52" s="292"/>
    </row>
    <row r="53" spans="1:14" ht="12.75" customHeight="1">
      <c r="A53" s="385" t="s">
        <v>822</v>
      </c>
      <c r="B53" s="385"/>
      <c r="C53" s="385"/>
      <c r="D53" s="385"/>
      <c r="E53" s="385"/>
      <c r="F53" s="385"/>
      <c r="G53" s="385"/>
      <c r="H53" s="385"/>
      <c r="I53" s="385"/>
      <c r="J53" s="385"/>
      <c r="K53" s="385"/>
      <c r="L53" s="385"/>
      <c r="M53" s="385"/>
      <c r="N53" s="385"/>
    </row>
    <row r="54" spans="1:14">
      <c r="A54" s="385"/>
      <c r="B54" s="385"/>
      <c r="C54" s="385"/>
      <c r="D54" s="385"/>
      <c r="E54" s="385"/>
      <c r="F54" s="385"/>
      <c r="G54" s="385"/>
      <c r="H54" s="385"/>
      <c r="I54" s="385"/>
      <c r="J54" s="385"/>
      <c r="K54" s="385"/>
      <c r="L54" s="385"/>
      <c r="M54" s="385"/>
      <c r="N54" s="385"/>
    </row>
    <row r="55" spans="1:14" ht="12.75" customHeight="1">
      <c r="A55" s="385" t="s">
        <v>823</v>
      </c>
      <c r="B55" s="385"/>
      <c r="C55" s="385"/>
      <c r="D55" s="385"/>
      <c r="E55" s="385"/>
      <c r="F55" s="385"/>
      <c r="G55" s="385"/>
      <c r="H55" s="385"/>
      <c r="I55" s="385"/>
      <c r="J55" s="385"/>
      <c r="K55" s="385"/>
      <c r="L55" s="385"/>
      <c r="M55" s="385"/>
      <c r="N55" s="385"/>
    </row>
    <row r="56" spans="1:14">
      <c r="A56" s="385"/>
      <c r="B56" s="385"/>
      <c r="C56" s="385"/>
      <c r="D56" s="385"/>
      <c r="E56" s="385"/>
      <c r="F56" s="385"/>
      <c r="G56" s="385"/>
      <c r="H56" s="385"/>
      <c r="I56" s="385"/>
      <c r="J56" s="385"/>
      <c r="K56" s="385"/>
      <c r="L56" s="385"/>
      <c r="M56" s="385"/>
      <c r="N56" s="385"/>
    </row>
    <row r="57" spans="1:14" ht="12.75" customHeight="1">
      <c r="A57" s="385" t="s">
        <v>824</v>
      </c>
      <c r="B57" s="385"/>
      <c r="C57" s="385"/>
      <c r="D57" s="385"/>
      <c r="E57" s="385"/>
      <c r="F57" s="385"/>
      <c r="G57" s="385"/>
      <c r="H57" s="385"/>
      <c r="I57" s="385"/>
      <c r="J57" s="385"/>
      <c r="K57" s="385"/>
      <c r="L57" s="385"/>
      <c r="M57" s="385"/>
      <c r="N57" s="385"/>
    </row>
    <row r="58" spans="1:14">
      <c r="A58" s="385"/>
      <c r="B58" s="385"/>
      <c r="C58" s="385"/>
      <c r="D58" s="385"/>
      <c r="E58" s="385"/>
      <c r="F58" s="385"/>
      <c r="G58" s="385"/>
      <c r="H58" s="385"/>
      <c r="I58" s="385"/>
      <c r="J58" s="385"/>
      <c r="K58" s="385"/>
      <c r="L58" s="385"/>
      <c r="M58" s="385"/>
      <c r="N58" s="385"/>
    </row>
    <row r="59" spans="1:14" ht="12.75" customHeight="1">
      <c r="A59" s="385" t="s">
        <v>825</v>
      </c>
      <c r="B59" s="385"/>
      <c r="C59" s="385"/>
      <c r="D59" s="385"/>
      <c r="E59" s="385"/>
      <c r="F59" s="385"/>
      <c r="G59" s="385"/>
      <c r="H59" s="385"/>
      <c r="I59" s="385"/>
      <c r="J59" s="385"/>
      <c r="K59" s="385"/>
      <c r="L59" s="385"/>
      <c r="M59" s="385"/>
      <c r="N59" s="385"/>
    </row>
    <row r="60" spans="1:14">
      <c r="A60" s="385"/>
      <c r="B60" s="385"/>
      <c r="C60" s="385"/>
      <c r="D60" s="385"/>
      <c r="E60" s="385"/>
      <c r="F60" s="385"/>
      <c r="G60" s="385"/>
      <c r="H60" s="385"/>
      <c r="I60" s="385"/>
      <c r="J60" s="385"/>
      <c r="K60" s="385"/>
      <c r="L60" s="385"/>
      <c r="M60" s="385"/>
      <c r="N60" s="385"/>
    </row>
    <row r="61" spans="1:14">
      <c r="A61" s="293"/>
      <c r="B61" s="293"/>
      <c r="C61" s="293"/>
      <c r="D61" s="293"/>
      <c r="E61" s="293"/>
      <c r="F61" s="293"/>
      <c r="G61" s="293"/>
      <c r="H61" s="293"/>
      <c r="I61" s="293"/>
      <c r="J61" s="293"/>
      <c r="K61" s="293"/>
      <c r="L61" s="293"/>
      <c r="M61" s="293"/>
      <c r="N61" s="293"/>
    </row>
    <row r="62" spans="1:14" ht="15.75">
      <c r="A62" s="249" t="s">
        <v>383</v>
      </c>
      <c r="B62" s="255"/>
      <c r="C62" s="255"/>
      <c r="D62" s="255"/>
      <c r="E62" s="255"/>
      <c r="F62" s="255"/>
      <c r="G62" s="255"/>
      <c r="H62" s="255"/>
      <c r="I62" s="255"/>
      <c r="J62" s="255"/>
      <c r="K62" s="255"/>
      <c r="L62" s="255"/>
      <c r="M62" s="255"/>
      <c r="N62" s="255"/>
    </row>
    <row r="63" spans="1:14">
      <c r="A63" s="244" t="s">
        <v>205</v>
      </c>
      <c r="B63" s="250" t="s">
        <v>792</v>
      </c>
      <c r="C63" s="138"/>
      <c r="D63" s="138"/>
      <c r="E63" s="138"/>
      <c r="F63" s="138"/>
      <c r="G63" s="138"/>
      <c r="H63" s="138"/>
      <c r="I63" s="138"/>
      <c r="J63" s="138"/>
      <c r="K63" s="138"/>
      <c r="L63" s="138"/>
      <c r="M63" s="138"/>
      <c r="N63" s="138"/>
    </row>
    <row r="64" spans="1:14" ht="12.75" customHeight="1">
      <c r="A64" s="244"/>
      <c r="B64" s="385" t="s">
        <v>826</v>
      </c>
      <c r="C64" s="385"/>
      <c r="D64" s="385"/>
      <c r="E64" s="385"/>
      <c r="F64" s="385"/>
      <c r="G64" s="385"/>
      <c r="H64" s="385"/>
      <c r="I64" s="385"/>
      <c r="J64" s="385"/>
      <c r="K64" s="385"/>
      <c r="L64" s="385"/>
      <c r="M64" s="385"/>
      <c r="N64" s="385"/>
    </row>
    <row r="65" spans="1:14">
      <c r="A65" s="138"/>
      <c r="B65" s="385"/>
      <c r="C65" s="385"/>
      <c r="D65" s="385"/>
      <c r="E65" s="385"/>
      <c r="F65" s="385"/>
      <c r="G65" s="385"/>
      <c r="H65" s="385"/>
      <c r="I65" s="385"/>
      <c r="J65" s="385"/>
      <c r="K65" s="385"/>
      <c r="L65" s="385"/>
      <c r="M65" s="385"/>
      <c r="N65" s="385"/>
    </row>
    <row r="66" spans="1:14">
      <c r="A66" s="138"/>
      <c r="B66" s="138"/>
      <c r="C66" s="138"/>
      <c r="D66" s="138"/>
      <c r="E66" s="138"/>
      <c r="F66" s="138"/>
      <c r="G66" s="138"/>
      <c r="H66" s="138"/>
      <c r="I66" s="138"/>
      <c r="J66" s="138"/>
      <c r="K66" s="138"/>
      <c r="L66" s="138"/>
      <c r="M66" s="138"/>
      <c r="N66" s="138"/>
    </row>
    <row r="67" spans="1:14">
      <c r="A67" s="244" t="s">
        <v>205</v>
      </c>
      <c r="B67" s="250" t="s">
        <v>3</v>
      </c>
      <c r="C67" s="138"/>
      <c r="D67" s="138"/>
      <c r="E67" s="138"/>
      <c r="F67" s="138"/>
      <c r="G67" s="138"/>
      <c r="H67" s="138"/>
      <c r="I67" s="138"/>
      <c r="J67" s="138"/>
      <c r="K67" s="138"/>
      <c r="L67" s="138"/>
      <c r="M67" s="138"/>
      <c r="N67" s="138"/>
    </row>
    <row r="68" spans="1:14" ht="12.75" customHeight="1">
      <c r="A68" s="244"/>
      <c r="B68" s="395" t="s">
        <v>533</v>
      </c>
      <c r="C68" s="395"/>
      <c r="D68" s="395"/>
      <c r="E68" s="395"/>
      <c r="F68" s="395"/>
      <c r="G68" s="395"/>
      <c r="H68" s="395"/>
      <c r="I68" s="395"/>
      <c r="J68" s="395"/>
      <c r="K68" s="395"/>
      <c r="L68" s="395"/>
      <c r="M68" s="395"/>
      <c r="N68" s="395"/>
    </row>
    <row r="69" spans="1:14">
      <c r="A69" s="138"/>
      <c r="B69" s="138"/>
      <c r="C69" s="138"/>
      <c r="D69" s="138"/>
      <c r="E69" s="138"/>
      <c r="F69" s="138"/>
      <c r="G69" s="138"/>
      <c r="H69" s="138"/>
      <c r="I69" s="138"/>
      <c r="J69" s="138"/>
      <c r="K69" s="138"/>
      <c r="L69" s="138"/>
      <c r="M69" s="138"/>
      <c r="N69" s="138"/>
    </row>
    <row r="70" spans="1:14">
      <c r="A70" s="244" t="s">
        <v>205</v>
      </c>
      <c r="B70" s="245" t="s">
        <v>669</v>
      </c>
      <c r="C70" s="138"/>
      <c r="D70" s="138"/>
      <c r="E70" s="138"/>
      <c r="F70" s="138"/>
      <c r="G70" s="138"/>
      <c r="H70" s="138"/>
      <c r="I70" s="138"/>
      <c r="J70" s="138"/>
      <c r="K70" s="138"/>
      <c r="L70" s="138"/>
      <c r="M70" s="138"/>
      <c r="N70" s="138"/>
    </row>
    <row r="71" spans="1:14" ht="12.75" customHeight="1">
      <c r="A71" s="244"/>
      <c r="B71" s="395" t="s">
        <v>670</v>
      </c>
      <c r="C71" s="395"/>
      <c r="D71" s="395"/>
      <c r="E71" s="395"/>
      <c r="F71" s="395"/>
      <c r="G71" s="395"/>
      <c r="H71" s="395"/>
      <c r="I71" s="395"/>
      <c r="J71" s="395"/>
      <c r="K71" s="395"/>
      <c r="L71" s="395"/>
      <c r="M71" s="395"/>
      <c r="N71" s="395"/>
    </row>
    <row r="72" spans="1:14">
      <c r="A72" s="138"/>
      <c r="B72" s="395"/>
      <c r="C72" s="395"/>
      <c r="D72" s="395"/>
      <c r="E72" s="395"/>
      <c r="F72" s="395"/>
      <c r="G72" s="395"/>
      <c r="H72" s="395"/>
      <c r="I72" s="395"/>
      <c r="J72" s="395"/>
      <c r="K72" s="395"/>
      <c r="L72" s="395"/>
      <c r="M72" s="395"/>
      <c r="N72" s="395"/>
    </row>
    <row r="73" spans="1:14">
      <c r="A73" s="138"/>
      <c r="B73" s="395"/>
      <c r="C73" s="395"/>
      <c r="D73" s="395"/>
      <c r="E73" s="395"/>
      <c r="F73" s="395"/>
      <c r="G73" s="395"/>
      <c r="H73" s="395"/>
      <c r="I73" s="395"/>
      <c r="J73" s="395"/>
      <c r="K73" s="395"/>
      <c r="L73" s="395"/>
      <c r="M73" s="395"/>
      <c r="N73" s="395"/>
    </row>
    <row r="74" spans="1:14">
      <c r="A74" s="138"/>
      <c r="B74" s="138"/>
      <c r="C74" s="138"/>
      <c r="D74" s="138"/>
      <c r="E74" s="138"/>
      <c r="F74" s="138"/>
      <c r="G74" s="138"/>
      <c r="H74" s="138"/>
      <c r="I74" s="138"/>
      <c r="J74" s="138"/>
      <c r="K74" s="138"/>
      <c r="L74" s="138"/>
      <c r="M74" s="138"/>
      <c r="N74" s="138"/>
    </row>
    <row r="75" spans="1:14">
      <c r="A75" s="244" t="s">
        <v>205</v>
      </c>
      <c r="B75" s="245" t="s">
        <v>671</v>
      </c>
      <c r="C75" s="138"/>
      <c r="D75" s="138"/>
      <c r="E75" s="138"/>
      <c r="F75" s="138"/>
      <c r="G75" s="138"/>
      <c r="H75" s="138"/>
      <c r="I75" s="138"/>
      <c r="J75" s="138"/>
      <c r="K75" s="138"/>
      <c r="L75" s="138"/>
      <c r="M75" s="138"/>
      <c r="N75" s="138"/>
    </row>
    <row r="76" spans="1:14" ht="12.75" customHeight="1">
      <c r="A76" s="244"/>
      <c r="B76" s="385" t="s">
        <v>827</v>
      </c>
      <c r="C76" s="385"/>
      <c r="D76" s="385"/>
      <c r="E76" s="385"/>
      <c r="F76" s="385"/>
      <c r="G76" s="385"/>
      <c r="H76" s="385"/>
      <c r="I76" s="385"/>
      <c r="J76" s="385"/>
      <c r="K76" s="385"/>
      <c r="L76" s="385"/>
      <c r="M76" s="385"/>
      <c r="N76" s="385"/>
    </row>
    <row r="77" spans="1:14">
      <c r="A77" s="244"/>
      <c r="B77" s="385"/>
      <c r="C77" s="385"/>
      <c r="D77" s="385"/>
      <c r="E77" s="385"/>
      <c r="F77" s="385"/>
      <c r="G77" s="385"/>
      <c r="H77" s="385"/>
      <c r="I77" s="385"/>
      <c r="J77" s="385"/>
      <c r="K77" s="385"/>
      <c r="L77" s="385"/>
      <c r="M77" s="385"/>
      <c r="N77" s="385"/>
    </row>
    <row r="78" spans="1:14">
      <c r="A78" s="138"/>
      <c r="B78" s="385"/>
      <c r="C78" s="385"/>
      <c r="D78" s="385"/>
      <c r="E78" s="385"/>
      <c r="F78" s="385"/>
      <c r="G78" s="385"/>
      <c r="H78" s="385"/>
      <c r="I78" s="385"/>
      <c r="J78" s="385"/>
      <c r="K78" s="385"/>
      <c r="L78" s="385"/>
      <c r="M78" s="385"/>
      <c r="N78" s="385"/>
    </row>
    <row r="79" spans="1:14">
      <c r="A79" s="138"/>
      <c r="B79" s="385"/>
      <c r="C79" s="385"/>
      <c r="D79" s="385"/>
      <c r="E79" s="385"/>
      <c r="F79" s="385"/>
      <c r="G79" s="385"/>
      <c r="H79" s="385"/>
      <c r="I79" s="385"/>
      <c r="J79" s="385"/>
      <c r="K79" s="385"/>
      <c r="L79" s="385"/>
      <c r="M79" s="385"/>
      <c r="N79" s="385"/>
    </row>
    <row r="80" spans="1:14">
      <c r="A80" s="138"/>
      <c r="B80" s="385"/>
      <c r="C80" s="385"/>
      <c r="D80" s="385"/>
      <c r="E80" s="385"/>
      <c r="F80" s="385"/>
      <c r="G80" s="385"/>
      <c r="H80" s="385"/>
      <c r="I80" s="385"/>
      <c r="J80" s="385"/>
      <c r="K80" s="385"/>
      <c r="L80" s="385"/>
      <c r="M80" s="385"/>
      <c r="N80" s="385"/>
    </row>
    <row r="81" spans="1:14">
      <c r="A81" s="138"/>
      <c r="B81" s="385"/>
      <c r="C81" s="385"/>
      <c r="D81" s="385"/>
      <c r="E81" s="385"/>
      <c r="F81" s="385"/>
      <c r="G81" s="385"/>
      <c r="H81" s="385"/>
      <c r="I81" s="385"/>
      <c r="J81" s="385"/>
      <c r="K81" s="385"/>
      <c r="L81" s="385"/>
      <c r="M81" s="385"/>
      <c r="N81" s="385"/>
    </row>
    <row r="82" spans="1:14" ht="6.75" customHeight="1">
      <c r="A82" s="138"/>
      <c r="B82" s="385"/>
      <c r="C82" s="385"/>
      <c r="D82" s="385"/>
      <c r="E82" s="385"/>
      <c r="F82" s="385"/>
      <c r="G82" s="385"/>
      <c r="H82" s="385"/>
      <c r="I82" s="385"/>
      <c r="J82" s="385"/>
      <c r="K82" s="385"/>
      <c r="L82" s="385"/>
      <c r="M82" s="385"/>
      <c r="N82" s="385"/>
    </row>
    <row r="83" spans="1:14">
      <c r="A83" s="138"/>
      <c r="B83" s="138"/>
      <c r="C83" s="138"/>
      <c r="D83" s="138"/>
      <c r="E83" s="138"/>
      <c r="F83" s="138"/>
      <c r="G83" s="138"/>
      <c r="H83" s="138"/>
      <c r="I83" s="138"/>
      <c r="J83" s="138"/>
      <c r="K83" s="138"/>
      <c r="L83" s="138"/>
      <c r="M83" s="138"/>
      <c r="N83" s="138"/>
    </row>
    <row r="84" spans="1:14">
      <c r="A84" s="244" t="s">
        <v>205</v>
      </c>
      <c r="B84" s="250" t="s">
        <v>534</v>
      </c>
      <c r="C84" s="138"/>
      <c r="D84" s="138"/>
      <c r="E84" s="138"/>
      <c r="F84" s="138"/>
      <c r="G84" s="138"/>
      <c r="H84" s="138"/>
      <c r="I84" s="138"/>
      <c r="J84" s="138"/>
      <c r="K84" s="138"/>
      <c r="L84" s="138"/>
      <c r="M84" s="138"/>
      <c r="N84" s="138"/>
    </row>
    <row r="85" spans="1:14">
      <c r="A85" s="244"/>
      <c r="B85" s="171" t="s">
        <v>672</v>
      </c>
      <c r="C85" s="138"/>
      <c r="D85" s="138"/>
      <c r="E85" s="138"/>
      <c r="F85" s="138"/>
      <c r="G85" s="138"/>
      <c r="H85" s="138"/>
      <c r="I85" s="138"/>
      <c r="J85" s="138"/>
      <c r="K85" s="138"/>
      <c r="L85" s="138"/>
      <c r="M85" s="138"/>
      <c r="N85" s="138"/>
    </row>
    <row r="86" spans="1:14">
      <c r="A86" s="244"/>
      <c r="B86" s="252" t="s">
        <v>673</v>
      </c>
      <c r="C86" s="138"/>
      <c r="D86" s="138"/>
      <c r="E86" s="138"/>
      <c r="F86" s="138"/>
      <c r="G86" s="138"/>
      <c r="H86" s="138"/>
      <c r="I86" s="138"/>
      <c r="J86" s="138"/>
      <c r="K86" s="138"/>
      <c r="L86" s="138"/>
      <c r="M86" s="138"/>
      <c r="N86" s="138"/>
    </row>
    <row r="87" spans="1:14">
      <c r="A87" s="138"/>
      <c r="B87" s="138"/>
      <c r="C87" s="138"/>
      <c r="D87" s="138"/>
      <c r="E87" s="138"/>
      <c r="F87" s="138"/>
      <c r="G87" s="138"/>
      <c r="H87" s="138"/>
      <c r="I87" s="138"/>
      <c r="J87" s="138"/>
      <c r="K87" s="138"/>
      <c r="L87" s="138"/>
      <c r="M87" s="138"/>
      <c r="N87" s="138"/>
    </row>
    <row r="88" spans="1:14">
      <c r="A88" s="244" t="s">
        <v>205</v>
      </c>
      <c r="B88" s="250" t="s">
        <v>535</v>
      </c>
      <c r="C88" s="138"/>
      <c r="D88" s="138"/>
      <c r="E88" s="138"/>
      <c r="F88" s="138"/>
      <c r="G88" s="138"/>
      <c r="H88" s="138"/>
      <c r="I88" s="138"/>
      <c r="J88" s="138"/>
      <c r="K88" s="138"/>
      <c r="L88" s="138"/>
      <c r="M88" s="138"/>
      <c r="N88" s="138"/>
    </row>
    <row r="89" spans="1:14">
      <c r="A89" s="244"/>
      <c r="B89" s="171" t="s">
        <v>767</v>
      </c>
      <c r="C89" s="138"/>
      <c r="D89" s="138"/>
      <c r="E89" s="138"/>
      <c r="F89" s="138"/>
      <c r="G89" s="138"/>
      <c r="H89" s="138"/>
      <c r="I89" s="138"/>
      <c r="J89" s="138"/>
      <c r="K89" s="138"/>
      <c r="L89" s="138"/>
      <c r="M89" s="138"/>
      <c r="N89" s="138"/>
    </row>
    <row r="90" spans="1:14">
      <c r="A90" s="137"/>
      <c r="B90" s="137"/>
      <c r="C90" s="138"/>
      <c r="D90" s="138"/>
      <c r="E90" s="138"/>
      <c r="F90" s="138"/>
      <c r="G90" s="138"/>
      <c r="H90" s="138"/>
      <c r="I90" s="138"/>
      <c r="J90" s="138"/>
      <c r="K90" s="138"/>
      <c r="L90" s="138"/>
      <c r="M90" s="138"/>
      <c r="N90" s="138"/>
    </row>
    <row r="91" spans="1:14">
      <c r="A91" s="244" t="s">
        <v>205</v>
      </c>
      <c r="B91" s="250" t="s">
        <v>793</v>
      </c>
      <c r="C91" s="138"/>
      <c r="D91" s="138"/>
      <c r="E91" s="138"/>
      <c r="F91" s="138"/>
      <c r="G91" s="138"/>
      <c r="H91" s="138"/>
      <c r="I91" s="138"/>
      <c r="J91" s="138"/>
      <c r="K91" s="138"/>
      <c r="L91" s="138"/>
      <c r="M91" s="138"/>
      <c r="N91" s="138"/>
    </row>
    <row r="92" spans="1:14" ht="12.75" customHeight="1">
      <c r="A92" s="138"/>
      <c r="B92" s="396" t="s">
        <v>674</v>
      </c>
      <c r="C92" s="396"/>
      <c r="D92" s="396"/>
      <c r="E92" s="396"/>
      <c r="F92" s="396"/>
      <c r="G92" s="396"/>
      <c r="H92" s="396"/>
      <c r="I92" s="396"/>
      <c r="J92" s="396"/>
      <c r="K92" s="396"/>
      <c r="L92" s="396"/>
      <c r="M92" s="396"/>
      <c r="N92" s="396"/>
    </row>
    <row r="93" spans="1:14">
      <c r="A93" s="137"/>
      <c r="B93" s="137"/>
      <c r="C93" s="137"/>
      <c r="D93" s="137"/>
      <c r="E93" s="137"/>
      <c r="F93" s="137"/>
      <c r="G93" s="137"/>
      <c r="H93" s="137"/>
      <c r="I93" s="137"/>
      <c r="J93" s="137"/>
      <c r="K93" s="137"/>
      <c r="L93" s="137"/>
      <c r="M93" s="137"/>
      <c r="N93" s="137"/>
    </row>
    <row r="94" spans="1:14">
      <c r="A94" s="244" t="s">
        <v>205</v>
      </c>
      <c r="B94" s="250" t="s">
        <v>675</v>
      </c>
      <c r="C94" s="138"/>
      <c r="D94" s="138"/>
      <c r="E94" s="138"/>
      <c r="F94" s="138"/>
      <c r="G94" s="138"/>
      <c r="H94" s="138"/>
      <c r="I94" s="138"/>
      <c r="J94" s="138"/>
      <c r="K94" s="138"/>
      <c r="L94" s="138"/>
      <c r="M94" s="138"/>
      <c r="N94" s="138"/>
    </row>
    <row r="95" spans="1:14" ht="12.75" customHeight="1">
      <c r="A95" s="138"/>
      <c r="B95" s="395" t="s">
        <v>676</v>
      </c>
      <c r="C95" s="385"/>
      <c r="D95" s="385"/>
      <c r="E95" s="385"/>
      <c r="F95" s="385"/>
      <c r="G95" s="385"/>
      <c r="H95" s="385"/>
      <c r="I95" s="385"/>
      <c r="J95" s="385"/>
      <c r="K95" s="385"/>
      <c r="L95" s="385"/>
      <c r="M95" s="385"/>
      <c r="N95" s="385"/>
    </row>
    <row r="96" spans="1:14">
      <c r="A96" s="138"/>
      <c r="B96" s="385"/>
      <c r="C96" s="385"/>
      <c r="D96" s="385"/>
      <c r="E96" s="385"/>
      <c r="F96" s="385"/>
      <c r="G96" s="385"/>
      <c r="H96" s="385"/>
      <c r="I96" s="385"/>
      <c r="J96" s="385"/>
      <c r="K96" s="385"/>
      <c r="L96" s="385"/>
      <c r="M96" s="385"/>
      <c r="N96" s="385"/>
    </row>
    <row r="97" spans="1:14">
      <c r="A97" s="138"/>
      <c r="B97" s="385"/>
      <c r="C97" s="385"/>
      <c r="D97" s="385"/>
      <c r="E97" s="385"/>
      <c r="F97" s="385"/>
      <c r="G97" s="385"/>
      <c r="H97" s="385"/>
      <c r="I97" s="385"/>
      <c r="J97" s="385"/>
      <c r="K97" s="385"/>
      <c r="L97" s="385"/>
      <c r="M97" s="385"/>
      <c r="N97" s="385"/>
    </row>
    <row r="98" spans="1:14">
      <c r="A98" s="138"/>
      <c r="B98" s="385"/>
      <c r="C98" s="385"/>
      <c r="D98" s="385"/>
      <c r="E98" s="385"/>
      <c r="F98" s="385"/>
      <c r="G98" s="385"/>
      <c r="H98" s="385"/>
      <c r="I98" s="385"/>
      <c r="J98" s="385"/>
      <c r="K98" s="385"/>
      <c r="L98" s="385"/>
      <c r="M98" s="385"/>
      <c r="N98" s="385"/>
    </row>
    <row r="99" spans="1:14">
      <c r="A99" s="138"/>
      <c r="B99" s="326"/>
      <c r="C99" s="326"/>
      <c r="D99" s="326"/>
      <c r="E99" s="326"/>
      <c r="F99" s="326"/>
      <c r="G99" s="326"/>
      <c r="H99" s="326"/>
      <c r="I99" s="326"/>
      <c r="J99" s="326"/>
      <c r="K99" s="326"/>
      <c r="L99" s="326"/>
      <c r="M99" s="326"/>
      <c r="N99" s="326"/>
    </row>
    <row r="100" spans="1:14">
      <c r="A100" s="138" t="s">
        <v>205</v>
      </c>
      <c r="B100" s="250" t="s">
        <v>794</v>
      </c>
      <c r="C100" s="250"/>
      <c r="D100" s="250"/>
      <c r="E100" s="250"/>
      <c r="F100" s="250"/>
      <c r="G100" s="250"/>
      <c r="H100" s="250"/>
      <c r="I100" s="250"/>
      <c r="J100" s="250"/>
      <c r="K100" s="250"/>
      <c r="L100" s="250"/>
      <c r="M100" s="250"/>
      <c r="N100" s="250"/>
    </row>
    <row r="101" spans="1:14" ht="12.75" customHeight="1">
      <c r="A101" s="138"/>
      <c r="B101" s="384" t="s">
        <v>795</v>
      </c>
      <c r="C101" s="384"/>
      <c r="D101" s="384"/>
      <c r="E101" s="384"/>
      <c r="F101" s="384"/>
      <c r="G101" s="384"/>
      <c r="H101" s="384"/>
      <c r="I101" s="384"/>
      <c r="J101" s="384"/>
      <c r="K101" s="384"/>
      <c r="L101" s="384"/>
      <c r="M101" s="384"/>
      <c r="N101" s="384"/>
    </row>
    <row r="102" spans="1:14" ht="12.75" customHeight="1">
      <c r="A102" s="138"/>
      <c r="B102" s="384"/>
      <c r="C102" s="384"/>
      <c r="D102" s="384"/>
      <c r="E102" s="384"/>
      <c r="F102" s="384"/>
      <c r="G102" s="384"/>
      <c r="H102" s="384"/>
      <c r="I102" s="384"/>
      <c r="J102" s="384"/>
      <c r="K102" s="384"/>
      <c r="L102" s="384"/>
      <c r="M102" s="384"/>
      <c r="N102" s="384"/>
    </row>
    <row r="103" spans="1:14">
      <c r="A103" s="138"/>
      <c r="B103" s="250"/>
      <c r="C103" s="250"/>
      <c r="D103" s="250"/>
      <c r="E103" s="250"/>
      <c r="F103" s="250"/>
      <c r="G103" s="250"/>
      <c r="H103" s="250"/>
      <c r="I103" s="250"/>
      <c r="J103" s="250"/>
      <c r="K103" s="250"/>
      <c r="L103" s="250"/>
      <c r="M103" s="250"/>
      <c r="N103" s="250"/>
    </row>
    <row r="104" spans="1:14">
      <c r="A104" s="138" t="s">
        <v>205</v>
      </c>
      <c r="B104" s="250" t="s">
        <v>796</v>
      </c>
      <c r="C104" s="250"/>
      <c r="D104" s="250"/>
      <c r="E104" s="250"/>
      <c r="F104" s="250"/>
      <c r="G104" s="250"/>
      <c r="H104" s="250"/>
      <c r="I104" s="250"/>
      <c r="J104" s="250"/>
      <c r="K104" s="250"/>
      <c r="L104" s="250"/>
      <c r="M104" s="250"/>
      <c r="N104" s="250"/>
    </row>
    <row r="105" spans="1:14" ht="12.75" customHeight="1">
      <c r="A105" s="138"/>
      <c r="B105" s="385" t="s">
        <v>797</v>
      </c>
      <c r="C105" s="385"/>
      <c r="D105" s="385"/>
      <c r="E105" s="385"/>
      <c r="F105" s="385"/>
      <c r="G105" s="385"/>
      <c r="H105" s="385"/>
      <c r="I105" s="385"/>
      <c r="J105" s="385"/>
      <c r="K105" s="385"/>
      <c r="L105" s="385"/>
      <c r="M105" s="385"/>
      <c r="N105" s="385"/>
    </row>
    <row r="106" spans="1:14">
      <c r="A106" s="138"/>
      <c r="B106" s="386" t="s">
        <v>800</v>
      </c>
      <c r="C106" s="387"/>
      <c r="D106" s="387"/>
      <c r="E106" s="387"/>
      <c r="F106" s="387"/>
      <c r="G106" s="387"/>
      <c r="H106" s="387"/>
      <c r="I106" s="387"/>
      <c r="J106" s="387"/>
      <c r="K106" s="387"/>
      <c r="L106" s="387"/>
      <c r="M106" s="387"/>
      <c r="N106" s="387"/>
    </row>
    <row r="107" spans="1:14">
      <c r="A107" s="138"/>
      <c r="B107" s="250"/>
      <c r="C107" s="250"/>
      <c r="D107" s="250"/>
      <c r="E107" s="250"/>
      <c r="F107" s="250"/>
      <c r="G107" s="250"/>
      <c r="H107" s="250"/>
      <c r="I107" s="250"/>
      <c r="J107" s="250"/>
      <c r="K107" s="250"/>
      <c r="L107" s="250"/>
      <c r="M107" s="250"/>
      <c r="N107" s="250"/>
    </row>
    <row r="108" spans="1:14">
      <c r="A108" s="138" t="s">
        <v>205</v>
      </c>
      <c r="B108" s="250" t="s">
        <v>798</v>
      </c>
      <c r="C108" s="250"/>
      <c r="D108" s="250"/>
      <c r="E108" s="250"/>
      <c r="F108" s="250"/>
      <c r="G108" s="250"/>
      <c r="H108" s="250"/>
      <c r="I108" s="250"/>
      <c r="J108" s="250"/>
      <c r="K108" s="250"/>
      <c r="L108" s="250"/>
      <c r="M108" s="250"/>
      <c r="N108" s="250"/>
    </row>
    <row r="109" spans="1:14">
      <c r="A109" s="138"/>
      <c r="B109" s="403" t="s">
        <v>799</v>
      </c>
      <c r="C109" s="403"/>
      <c r="D109" s="403"/>
      <c r="E109" s="403"/>
      <c r="F109" s="403"/>
      <c r="G109" s="403"/>
      <c r="H109" s="403"/>
      <c r="I109" s="403"/>
      <c r="J109" s="403"/>
      <c r="K109" s="403"/>
      <c r="L109" s="403"/>
      <c r="M109" s="403"/>
      <c r="N109" s="250"/>
    </row>
    <row r="110" spans="1:14">
      <c r="A110" s="138"/>
      <c r="B110" s="250"/>
      <c r="C110" s="250"/>
      <c r="D110" s="250"/>
      <c r="E110" s="250"/>
      <c r="F110" s="250"/>
      <c r="G110" s="250"/>
      <c r="H110" s="250"/>
      <c r="I110" s="250"/>
      <c r="J110" s="250"/>
      <c r="K110" s="250"/>
      <c r="L110" s="250"/>
      <c r="M110" s="250"/>
      <c r="N110" s="250"/>
    </row>
    <row r="111" spans="1:14">
      <c r="A111" s="138"/>
      <c r="B111" s="250"/>
      <c r="C111" s="250"/>
      <c r="D111" s="250"/>
      <c r="E111" s="250"/>
      <c r="F111" s="250"/>
      <c r="G111" s="250"/>
      <c r="H111" s="250"/>
      <c r="I111" s="250"/>
      <c r="J111" s="250"/>
      <c r="K111" s="250"/>
      <c r="L111" s="250"/>
      <c r="M111" s="250"/>
      <c r="N111" s="250"/>
    </row>
    <row r="112" spans="1:14">
      <c r="A112" s="138"/>
      <c r="B112" s="250"/>
      <c r="C112" s="250"/>
      <c r="D112" s="250"/>
      <c r="E112" s="250"/>
      <c r="F112" s="250"/>
      <c r="G112" s="250"/>
      <c r="H112" s="250"/>
      <c r="I112" s="250"/>
      <c r="J112" s="250"/>
      <c r="K112" s="250"/>
      <c r="L112" s="250"/>
      <c r="M112" s="250"/>
      <c r="N112" s="250"/>
    </row>
    <row r="113" spans="1:14">
      <c r="A113" s="138"/>
      <c r="B113" s="250" t="s">
        <v>348</v>
      </c>
      <c r="C113" s="138"/>
      <c r="D113" s="138"/>
      <c r="E113" s="138"/>
      <c r="F113" s="138"/>
      <c r="G113" s="138"/>
      <c r="H113" s="138"/>
      <c r="I113" s="138"/>
      <c r="J113" s="138"/>
      <c r="K113" s="138"/>
      <c r="L113" s="138"/>
      <c r="M113" s="138"/>
      <c r="N113" s="138"/>
    </row>
    <row r="114" spans="1:14">
      <c r="A114" s="138"/>
      <c r="B114" s="138"/>
      <c r="C114" s="138"/>
      <c r="D114" s="138"/>
      <c r="E114" s="138"/>
      <c r="F114" s="138"/>
      <c r="G114" s="138"/>
      <c r="H114" s="138"/>
      <c r="I114" s="138"/>
      <c r="J114" s="138"/>
      <c r="K114" s="138"/>
      <c r="L114" s="138"/>
      <c r="M114" s="138"/>
      <c r="N114" s="138"/>
    </row>
    <row r="115" spans="1:14" ht="15" customHeight="1">
      <c r="A115" s="138"/>
      <c r="B115" s="400" t="s">
        <v>349</v>
      </c>
      <c r="C115" s="401"/>
      <c r="D115" s="400" t="s">
        <v>350</v>
      </c>
      <c r="E115" s="407"/>
      <c r="F115" s="407"/>
      <c r="G115" s="401"/>
      <c r="H115" s="404" t="s">
        <v>351</v>
      </c>
      <c r="I115" s="405"/>
      <c r="J115" s="406"/>
      <c r="M115" s="137"/>
      <c r="N115" s="137"/>
    </row>
    <row r="116" spans="1:14" ht="54" customHeight="1">
      <c r="A116" s="138"/>
      <c r="B116" s="389" t="s">
        <v>677</v>
      </c>
      <c r="C116" s="390"/>
      <c r="D116" s="381" t="s">
        <v>828</v>
      </c>
      <c r="E116" s="382"/>
      <c r="F116" s="382"/>
      <c r="G116" s="383"/>
      <c r="H116" s="381" t="s">
        <v>829</v>
      </c>
      <c r="I116" s="382"/>
      <c r="J116" s="383"/>
      <c r="M116" s="137"/>
      <c r="N116" s="137"/>
    </row>
    <row r="117" spans="1:14" ht="53.25" customHeight="1">
      <c r="A117" s="138"/>
      <c r="B117" s="389" t="s">
        <v>678</v>
      </c>
      <c r="C117" s="390"/>
      <c r="D117" s="381" t="s">
        <v>828</v>
      </c>
      <c r="E117" s="382"/>
      <c r="F117" s="382"/>
      <c r="G117" s="383"/>
      <c r="H117" s="381" t="s">
        <v>829</v>
      </c>
      <c r="I117" s="382"/>
      <c r="J117" s="383"/>
      <c r="M117" s="137"/>
      <c r="N117" s="137"/>
    </row>
    <row r="118" spans="1:14" ht="54.75" customHeight="1">
      <c r="A118" s="138"/>
      <c r="B118" s="389" t="s">
        <v>764</v>
      </c>
      <c r="C118" s="390"/>
      <c r="D118" s="381" t="s">
        <v>679</v>
      </c>
      <c r="E118" s="382"/>
      <c r="F118" s="382"/>
      <c r="G118" s="383"/>
      <c r="H118" s="381" t="s">
        <v>830</v>
      </c>
      <c r="I118" s="382"/>
      <c r="J118" s="383"/>
      <c r="M118" s="137"/>
      <c r="N118" s="137"/>
    </row>
    <row r="119" spans="1:14" ht="54" customHeight="1">
      <c r="A119" s="138"/>
      <c r="B119" s="389" t="s">
        <v>765</v>
      </c>
      <c r="C119" s="390"/>
      <c r="D119" s="381" t="s">
        <v>831</v>
      </c>
      <c r="E119" s="382"/>
      <c r="F119" s="382"/>
      <c r="G119" s="383"/>
      <c r="H119" s="381" t="s">
        <v>830</v>
      </c>
      <c r="I119" s="382"/>
      <c r="J119" s="383"/>
      <c r="M119" s="137"/>
      <c r="N119" s="137"/>
    </row>
    <row r="120" spans="1:14" ht="56.25" customHeight="1">
      <c r="A120" s="138"/>
      <c r="B120" s="389" t="s">
        <v>668</v>
      </c>
      <c r="C120" s="390"/>
      <c r="D120" s="381" t="s">
        <v>831</v>
      </c>
      <c r="E120" s="382"/>
      <c r="F120" s="382"/>
      <c r="G120" s="383"/>
      <c r="H120" s="389" t="s">
        <v>801</v>
      </c>
      <c r="I120" s="394"/>
      <c r="J120" s="390"/>
      <c r="M120" s="137"/>
      <c r="N120" s="137"/>
    </row>
    <row r="121" spans="1:14" ht="54" customHeight="1">
      <c r="A121" s="138"/>
      <c r="B121" s="389" t="s">
        <v>374</v>
      </c>
      <c r="C121" s="390"/>
      <c r="D121" s="381" t="s">
        <v>832</v>
      </c>
      <c r="E121" s="382"/>
      <c r="F121" s="382"/>
      <c r="G121" s="383"/>
      <c r="H121" s="381" t="s">
        <v>829</v>
      </c>
      <c r="I121" s="382"/>
      <c r="J121" s="383"/>
      <c r="M121" s="137"/>
      <c r="N121" s="137"/>
    </row>
    <row r="122" spans="1:14" ht="40.5" customHeight="1">
      <c r="A122" s="138"/>
      <c r="B122" s="389" t="s">
        <v>352</v>
      </c>
      <c r="C122" s="390"/>
      <c r="D122" s="381" t="s">
        <v>832</v>
      </c>
      <c r="E122" s="382"/>
      <c r="F122" s="382"/>
      <c r="G122" s="383"/>
      <c r="H122" s="391" t="s">
        <v>833</v>
      </c>
      <c r="I122" s="392"/>
      <c r="J122" s="393"/>
      <c r="M122" s="137"/>
      <c r="N122" s="137"/>
    </row>
    <row r="123" spans="1:14" ht="82.5" customHeight="1">
      <c r="A123" s="138"/>
      <c r="B123" s="389" t="s">
        <v>353</v>
      </c>
      <c r="C123" s="390"/>
      <c r="D123" s="381" t="s">
        <v>832</v>
      </c>
      <c r="E123" s="382"/>
      <c r="F123" s="382"/>
      <c r="G123" s="383"/>
      <c r="H123" s="381" t="s">
        <v>834</v>
      </c>
      <c r="I123" s="382"/>
      <c r="J123" s="383"/>
      <c r="M123" s="137"/>
      <c r="N123" s="137"/>
    </row>
    <row r="124" spans="1:14" ht="42.75" customHeight="1">
      <c r="A124" s="138"/>
      <c r="B124" s="389" t="s">
        <v>536</v>
      </c>
      <c r="C124" s="390"/>
      <c r="D124" s="381" t="s">
        <v>835</v>
      </c>
      <c r="E124" s="382"/>
      <c r="F124" s="382"/>
      <c r="G124" s="383"/>
      <c r="H124" s="391" t="s">
        <v>680</v>
      </c>
      <c r="I124" s="392"/>
      <c r="J124" s="393"/>
      <c r="M124" s="137"/>
      <c r="N124" s="137"/>
    </row>
    <row r="125" spans="1:14" ht="33" customHeight="1">
      <c r="A125" s="138"/>
      <c r="B125" s="389" t="s">
        <v>537</v>
      </c>
      <c r="C125" s="390"/>
      <c r="D125" s="381" t="s">
        <v>835</v>
      </c>
      <c r="E125" s="382"/>
      <c r="F125" s="382"/>
      <c r="G125" s="383"/>
      <c r="H125" s="391" t="s">
        <v>681</v>
      </c>
      <c r="I125" s="392"/>
      <c r="J125" s="393"/>
      <c r="M125" s="137"/>
      <c r="N125" s="137"/>
    </row>
    <row r="126" spans="1:14" ht="33" customHeight="1">
      <c r="A126" s="138"/>
      <c r="B126" s="389" t="s">
        <v>803</v>
      </c>
      <c r="C126" s="390"/>
      <c r="D126" s="381" t="s">
        <v>835</v>
      </c>
      <c r="E126" s="382"/>
      <c r="F126" s="382"/>
      <c r="G126" s="383"/>
      <c r="H126" s="391" t="s">
        <v>682</v>
      </c>
      <c r="I126" s="392"/>
      <c r="J126" s="393"/>
      <c r="M126" s="294"/>
      <c r="N126" s="137"/>
    </row>
    <row r="127" spans="1:14" ht="42.75" customHeight="1">
      <c r="A127" s="138"/>
      <c r="B127" s="389" t="s">
        <v>804</v>
      </c>
      <c r="C127" s="390"/>
      <c r="D127" s="381" t="s">
        <v>835</v>
      </c>
      <c r="E127" s="382"/>
      <c r="F127" s="382"/>
      <c r="G127" s="383"/>
      <c r="H127" s="391" t="s">
        <v>2</v>
      </c>
      <c r="I127" s="392"/>
      <c r="J127" s="393"/>
      <c r="M127" s="137"/>
      <c r="N127" s="137"/>
    </row>
    <row r="128" spans="1:14" ht="42.75" customHeight="1">
      <c r="A128" s="138"/>
      <c r="B128" s="389" t="s">
        <v>805</v>
      </c>
      <c r="C128" s="390"/>
      <c r="D128" s="381" t="s">
        <v>802</v>
      </c>
      <c r="E128" s="382"/>
      <c r="F128" s="382"/>
      <c r="G128" s="383"/>
      <c r="H128" s="381" t="s">
        <v>808</v>
      </c>
      <c r="I128" s="382"/>
      <c r="J128" s="383"/>
      <c r="M128" s="137"/>
      <c r="N128" s="137"/>
    </row>
    <row r="129" spans="1:14" ht="42.75" customHeight="1">
      <c r="A129" s="138"/>
      <c r="B129" s="389" t="s">
        <v>806</v>
      </c>
      <c r="C129" s="390"/>
      <c r="D129" s="381" t="s">
        <v>802</v>
      </c>
      <c r="E129" s="382"/>
      <c r="F129" s="382"/>
      <c r="G129" s="383"/>
      <c r="H129" s="381" t="s">
        <v>808</v>
      </c>
      <c r="I129" s="382"/>
      <c r="J129" s="383"/>
      <c r="M129" s="137"/>
      <c r="N129" s="137"/>
    </row>
    <row r="130" spans="1:14" ht="42.75" customHeight="1">
      <c r="A130" s="138"/>
      <c r="B130" s="389" t="s">
        <v>807</v>
      </c>
      <c r="C130" s="390"/>
      <c r="D130" s="381" t="s">
        <v>802</v>
      </c>
      <c r="E130" s="382"/>
      <c r="F130" s="382"/>
      <c r="G130" s="383"/>
      <c r="H130" s="381" t="s">
        <v>808</v>
      </c>
      <c r="I130" s="382"/>
      <c r="J130" s="383"/>
      <c r="M130" s="137"/>
      <c r="N130" s="137"/>
    </row>
    <row r="131" spans="1:14">
      <c r="A131" s="138"/>
      <c r="B131" s="138"/>
      <c r="C131" s="138"/>
      <c r="D131" s="138"/>
      <c r="E131" s="138"/>
      <c r="F131" s="138"/>
      <c r="G131" s="138"/>
      <c r="H131" s="138"/>
      <c r="I131" s="138"/>
      <c r="J131" s="138"/>
      <c r="K131" s="138"/>
      <c r="L131" s="138"/>
      <c r="M131" s="138"/>
      <c r="N131" s="138"/>
    </row>
    <row r="132" spans="1:14">
      <c r="A132" s="138"/>
      <c r="B132" s="138"/>
      <c r="C132" s="138"/>
      <c r="D132" s="138"/>
      <c r="E132" s="138"/>
      <c r="F132" s="138"/>
      <c r="G132" s="138"/>
      <c r="H132" s="138"/>
      <c r="I132" s="138"/>
      <c r="J132" s="138"/>
      <c r="K132" s="138"/>
      <c r="L132" s="138"/>
      <c r="M132" s="138"/>
      <c r="N132" s="138"/>
    </row>
    <row r="133" spans="1:14" ht="15.75">
      <c r="A133" s="249" t="s">
        <v>355</v>
      </c>
      <c r="B133" s="138"/>
      <c r="C133" s="138"/>
      <c r="D133" s="138"/>
      <c r="E133" s="138"/>
      <c r="F133" s="138"/>
      <c r="G133" s="138"/>
      <c r="H133" s="138"/>
      <c r="I133" s="138"/>
      <c r="J133" s="138"/>
      <c r="K133" s="138"/>
      <c r="L133" s="138"/>
      <c r="M133" s="138"/>
      <c r="N133" s="138"/>
    </row>
    <row r="134" spans="1:14" ht="12.75" customHeight="1">
      <c r="A134" s="395" t="s">
        <v>683</v>
      </c>
      <c r="B134" s="395"/>
      <c r="C134" s="395"/>
      <c r="D134" s="395"/>
      <c r="E134" s="395"/>
      <c r="F134" s="395"/>
      <c r="G134" s="395"/>
      <c r="H134" s="395"/>
      <c r="I134" s="395"/>
      <c r="J134" s="395"/>
      <c r="K134" s="395"/>
      <c r="L134" s="395"/>
      <c r="M134" s="395"/>
      <c r="N134" s="395"/>
    </row>
    <row r="135" spans="1:14">
      <c r="A135" s="395"/>
      <c r="B135" s="395"/>
      <c r="C135" s="395"/>
      <c r="D135" s="395"/>
      <c r="E135" s="395"/>
      <c r="F135" s="395"/>
      <c r="G135" s="395"/>
      <c r="H135" s="395"/>
      <c r="I135" s="395"/>
      <c r="J135" s="395"/>
      <c r="K135" s="395"/>
      <c r="L135" s="395"/>
      <c r="M135" s="395"/>
      <c r="N135" s="395"/>
    </row>
    <row r="136" spans="1:14">
      <c r="A136" s="395"/>
      <c r="B136" s="395"/>
      <c r="C136" s="395"/>
      <c r="D136" s="395"/>
      <c r="E136" s="395"/>
      <c r="F136" s="395"/>
      <c r="G136" s="395"/>
      <c r="H136" s="395"/>
      <c r="I136" s="395"/>
      <c r="J136" s="395"/>
      <c r="K136" s="395"/>
      <c r="L136" s="395"/>
      <c r="M136" s="395"/>
      <c r="N136" s="395"/>
    </row>
    <row r="137" spans="1:14">
      <c r="A137" s="395"/>
      <c r="B137" s="395"/>
      <c r="C137" s="395"/>
      <c r="D137" s="395"/>
      <c r="E137" s="395"/>
      <c r="F137" s="395"/>
      <c r="G137" s="395"/>
      <c r="H137" s="395"/>
      <c r="I137" s="395"/>
      <c r="J137" s="395"/>
      <c r="K137" s="395"/>
      <c r="L137" s="395"/>
      <c r="M137" s="395"/>
      <c r="N137" s="395"/>
    </row>
    <row r="138" spans="1:14">
      <c r="A138" s="395"/>
      <c r="B138" s="395"/>
      <c r="C138" s="395"/>
      <c r="D138" s="395"/>
      <c r="E138" s="395"/>
      <c r="F138" s="395"/>
      <c r="G138" s="395"/>
      <c r="H138" s="395"/>
      <c r="I138" s="395"/>
      <c r="J138" s="395"/>
      <c r="K138" s="395"/>
      <c r="L138" s="395"/>
      <c r="M138" s="395"/>
      <c r="N138" s="395"/>
    </row>
    <row r="139" spans="1:14">
      <c r="A139" s="395"/>
      <c r="B139" s="395"/>
      <c r="C139" s="395"/>
      <c r="D139" s="395"/>
      <c r="E139" s="395"/>
      <c r="F139" s="395"/>
      <c r="G139" s="395"/>
      <c r="H139" s="395"/>
      <c r="I139" s="395"/>
      <c r="J139" s="395"/>
      <c r="K139" s="395"/>
      <c r="L139" s="395"/>
      <c r="M139" s="395"/>
      <c r="N139" s="395"/>
    </row>
    <row r="140" spans="1:14">
      <c r="A140" s="248"/>
      <c r="B140" s="138"/>
      <c r="C140" s="138"/>
      <c r="D140" s="138"/>
      <c r="E140" s="138"/>
      <c r="F140" s="138"/>
      <c r="G140" s="138"/>
      <c r="H140" s="138"/>
      <c r="I140" s="138"/>
      <c r="J140" s="138"/>
      <c r="K140" s="138"/>
      <c r="L140" s="138"/>
      <c r="M140" s="138"/>
      <c r="N140" s="138"/>
    </row>
    <row r="141" spans="1:14" ht="12.75" customHeight="1">
      <c r="A141" s="395" t="s">
        <v>766</v>
      </c>
      <c r="B141" s="399"/>
      <c r="C141" s="399"/>
      <c r="D141" s="399"/>
      <c r="E141" s="399"/>
      <c r="F141" s="399"/>
      <c r="G141" s="399"/>
      <c r="H141" s="399"/>
      <c r="I141" s="399"/>
      <c r="J141" s="399"/>
      <c r="K141" s="399"/>
      <c r="L141" s="399"/>
      <c r="M141" s="399"/>
      <c r="N141" s="399"/>
    </row>
    <row r="142" spans="1:14" ht="12.75" customHeight="1">
      <c r="A142" s="399"/>
      <c r="B142" s="399"/>
      <c r="C142" s="399"/>
      <c r="D142" s="399"/>
      <c r="E142" s="399"/>
      <c r="F142" s="399"/>
      <c r="G142" s="399"/>
      <c r="H142" s="399"/>
      <c r="I142" s="399"/>
      <c r="J142" s="399"/>
      <c r="K142" s="399"/>
      <c r="L142" s="399"/>
      <c r="M142" s="399"/>
      <c r="N142" s="399"/>
    </row>
    <row r="143" spans="1:14" ht="12.75" customHeight="1">
      <c r="A143" s="399"/>
      <c r="B143" s="399"/>
      <c r="C143" s="399"/>
      <c r="D143" s="399"/>
      <c r="E143" s="399"/>
      <c r="F143" s="399"/>
      <c r="G143" s="399"/>
      <c r="H143" s="399"/>
      <c r="I143" s="399"/>
      <c r="J143" s="399"/>
      <c r="K143" s="399"/>
      <c r="L143" s="399"/>
      <c r="M143" s="399"/>
      <c r="N143" s="399"/>
    </row>
    <row r="144" spans="1:14" ht="12.75" customHeight="1">
      <c r="A144" s="399"/>
      <c r="B144" s="399"/>
      <c r="C144" s="399"/>
      <c r="D144" s="399"/>
      <c r="E144" s="399"/>
      <c r="F144" s="399"/>
      <c r="G144" s="399"/>
      <c r="H144" s="399"/>
      <c r="I144" s="399"/>
      <c r="J144" s="399"/>
      <c r="K144" s="399"/>
      <c r="L144" s="399"/>
      <c r="M144" s="399"/>
      <c r="N144" s="399"/>
    </row>
    <row r="145" spans="1:14" ht="12.75" customHeight="1">
      <c r="A145" s="399"/>
      <c r="B145" s="399"/>
      <c r="C145" s="399"/>
      <c r="D145" s="399"/>
      <c r="E145" s="399"/>
      <c r="F145" s="399"/>
      <c r="G145" s="399"/>
      <c r="H145" s="399"/>
      <c r="I145" s="399"/>
      <c r="J145" s="399"/>
      <c r="K145" s="399"/>
      <c r="L145" s="399"/>
      <c r="M145" s="399"/>
      <c r="N145" s="399"/>
    </row>
    <row r="146" spans="1:14">
      <c r="A146" s="248"/>
      <c r="B146" s="138"/>
      <c r="C146" s="138"/>
      <c r="D146" s="138"/>
      <c r="E146" s="138"/>
      <c r="F146" s="138"/>
      <c r="G146" s="138"/>
      <c r="H146" s="138"/>
      <c r="I146" s="138"/>
      <c r="J146" s="138"/>
      <c r="K146" s="138"/>
      <c r="L146" s="138"/>
      <c r="M146" s="138"/>
      <c r="N146" s="138"/>
    </row>
    <row r="147" spans="1:14" ht="12.75" customHeight="1">
      <c r="A147" s="395" t="s">
        <v>565</v>
      </c>
      <c r="B147" s="385"/>
      <c r="C147" s="385"/>
      <c r="D147" s="385"/>
      <c r="E147" s="385"/>
      <c r="F147" s="385"/>
      <c r="G147" s="385"/>
      <c r="H147" s="385"/>
      <c r="I147" s="385"/>
      <c r="J147" s="385"/>
      <c r="K147" s="385"/>
      <c r="L147" s="385"/>
      <c r="M147" s="385"/>
      <c r="N147" s="385"/>
    </row>
    <row r="148" spans="1:14">
      <c r="A148" s="385"/>
      <c r="B148" s="385"/>
      <c r="C148" s="385"/>
      <c r="D148" s="385"/>
      <c r="E148" s="385"/>
      <c r="F148" s="385"/>
      <c r="G148" s="385"/>
      <c r="H148" s="385"/>
      <c r="I148" s="385"/>
      <c r="J148" s="385"/>
      <c r="K148" s="385"/>
      <c r="L148" s="385"/>
      <c r="M148" s="385"/>
      <c r="N148" s="385"/>
    </row>
    <row r="149" spans="1:14">
      <c r="A149" s="385"/>
      <c r="B149" s="385"/>
      <c r="C149" s="385"/>
      <c r="D149" s="385"/>
      <c r="E149" s="385"/>
      <c r="F149" s="385"/>
      <c r="G149" s="385"/>
      <c r="H149" s="385"/>
      <c r="I149" s="385"/>
      <c r="J149" s="385"/>
      <c r="K149" s="385"/>
      <c r="L149" s="385"/>
      <c r="M149" s="385"/>
      <c r="N149" s="385"/>
    </row>
    <row r="150" spans="1:14">
      <c r="A150" s="248"/>
      <c r="B150" s="138"/>
      <c r="C150" s="138"/>
      <c r="D150" s="138"/>
      <c r="E150" s="138"/>
      <c r="F150" s="138"/>
      <c r="G150" s="138"/>
      <c r="H150" s="138"/>
      <c r="I150" s="138"/>
      <c r="J150" s="138"/>
      <c r="K150" s="138"/>
      <c r="L150" s="138"/>
      <c r="M150" s="138"/>
      <c r="N150" s="138"/>
    </row>
    <row r="151" spans="1:14" ht="15.75">
      <c r="A151" s="249" t="s">
        <v>295</v>
      </c>
      <c r="B151" s="138"/>
      <c r="C151" s="138"/>
      <c r="D151" s="138"/>
      <c r="E151" s="138"/>
      <c r="F151" s="138"/>
      <c r="G151" s="138"/>
      <c r="H151" s="138"/>
      <c r="I151" s="138"/>
      <c r="J151" s="138"/>
      <c r="K151" s="138"/>
      <c r="L151" s="138"/>
      <c r="M151" s="138"/>
      <c r="N151" s="138"/>
    </row>
    <row r="152" spans="1:14" ht="12.75" customHeight="1">
      <c r="A152" s="396" t="s">
        <v>566</v>
      </c>
      <c r="B152" s="396"/>
      <c r="C152" s="396"/>
      <c r="D152" s="396"/>
      <c r="E152" s="396"/>
      <c r="F152" s="396"/>
      <c r="G152" s="396"/>
      <c r="H152" s="396"/>
      <c r="I152" s="396"/>
      <c r="J152" s="396"/>
      <c r="K152" s="396"/>
      <c r="L152" s="396"/>
      <c r="M152" s="396"/>
      <c r="N152" s="396"/>
    </row>
    <row r="153" spans="1:14">
      <c r="A153" s="396"/>
      <c r="B153" s="396"/>
      <c r="C153" s="396"/>
      <c r="D153" s="396"/>
      <c r="E153" s="396"/>
      <c r="F153" s="396"/>
      <c r="G153" s="396"/>
      <c r="H153" s="396"/>
      <c r="I153" s="396"/>
      <c r="J153" s="396"/>
      <c r="K153" s="396"/>
      <c r="L153" s="396"/>
      <c r="M153" s="396"/>
      <c r="N153" s="396"/>
    </row>
    <row r="154" spans="1:14">
      <c r="A154" s="396"/>
      <c r="B154" s="396"/>
      <c r="C154" s="396"/>
      <c r="D154" s="396"/>
      <c r="E154" s="396"/>
      <c r="F154" s="396"/>
      <c r="G154" s="396"/>
      <c r="H154" s="396"/>
      <c r="I154" s="396"/>
      <c r="J154" s="396"/>
      <c r="K154" s="396"/>
      <c r="L154" s="396"/>
      <c r="M154" s="396"/>
      <c r="N154" s="396"/>
    </row>
    <row r="155" spans="1:14">
      <c r="A155" s="396"/>
      <c r="B155" s="396"/>
      <c r="C155" s="396"/>
      <c r="D155" s="396"/>
      <c r="E155" s="396"/>
      <c r="F155" s="396"/>
      <c r="G155" s="396"/>
      <c r="H155" s="396"/>
      <c r="I155" s="396"/>
      <c r="J155" s="396"/>
      <c r="K155" s="396"/>
      <c r="L155" s="396"/>
      <c r="M155" s="396"/>
      <c r="N155" s="396"/>
    </row>
    <row r="156" spans="1:14">
      <c r="A156" s="396"/>
      <c r="B156" s="396"/>
      <c r="C156" s="396"/>
      <c r="D156" s="396"/>
      <c r="E156" s="396"/>
      <c r="F156" s="396"/>
      <c r="G156" s="396"/>
      <c r="H156" s="396"/>
      <c r="I156" s="396"/>
      <c r="J156" s="396"/>
      <c r="K156" s="396"/>
      <c r="L156" s="396"/>
      <c r="M156" s="396"/>
      <c r="N156" s="396"/>
    </row>
    <row r="157" spans="1:14">
      <c r="A157" s="293"/>
      <c r="B157" s="293"/>
      <c r="C157" s="293"/>
      <c r="D157" s="293"/>
      <c r="E157" s="293"/>
      <c r="F157" s="293"/>
      <c r="G157" s="293"/>
      <c r="H157" s="293"/>
      <c r="I157" s="293"/>
      <c r="J157" s="293"/>
      <c r="K157" s="293"/>
      <c r="L157" s="293"/>
      <c r="M157" s="293"/>
      <c r="N157" s="293"/>
    </row>
    <row r="158" spans="1:14" ht="15.75">
      <c r="A158" s="249" t="s">
        <v>343</v>
      </c>
      <c r="B158" s="138"/>
      <c r="C158" s="138"/>
      <c r="D158" s="138"/>
      <c r="E158" s="138"/>
      <c r="F158" s="138"/>
      <c r="G158" s="138"/>
      <c r="H158" s="138"/>
      <c r="I158" s="138"/>
      <c r="J158" s="138"/>
      <c r="K158" s="138"/>
      <c r="L158" s="138"/>
      <c r="M158" s="138"/>
      <c r="N158" s="138"/>
    </row>
    <row r="159" spans="1:14" ht="12.75" customHeight="1">
      <c r="A159" s="395" t="s">
        <v>684</v>
      </c>
      <c r="B159" s="395"/>
      <c r="C159" s="395"/>
      <c r="D159" s="395"/>
      <c r="E159" s="395"/>
      <c r="F159" s="395"/>
      <c r="G159" s="395"/>
      <c r="H159" s="395"/>
      <c r="I159" s="395"/>
      <c r="J159" s="395"/>
      <c r="K159" s="395"/>
      <c r="L159" s="395"/>
      <c r="M159" s="395"/>
      <c r="N159" s="395"/>
    </row>
    <row r="160" spans="1:14">
      <c r="A160" s="395"/>
      <c r="B160" s="395"/>
      <c r="C160" s="395"/>
      <c r="D160" s="395"/>
      <c r="E160" s="395"/>
      <c r="F160" s="395"/>
      <c r="G160" s="395"/>
      <c r="H160" s="395"/>
      <c r="I160" s="395"/>
      <c r="J160" s="395"/>
      <c r="K160" s="395"/>
      <c r="L160" s="395"/>
      <c r="M160" s="395"/>
      <c r="N160" s="395"/>
    </row>
    <row r="161" spans="1:14">
      <c r="A161" s="395"/>
      <c r="B161" s="395"/>
      <c r="C161" s="395"/>
      <c r="D161" s="395"/>
      <c r="E161" s="395"/>
      <c r="F161" s="395"/>
      <c r="G161" s="395"/>
      <c r="H161" s="395"/>
      <c r="I161" s="395"/>
      <c r="J161" s="395"/>
      <c r="K161" s="395"/>
      <c r="L161" s="395"/>
      <c r="M161" s="395"/>
      <c r="N161" s="395"/>
    </row>
    <row r="162" spans="1:14">
      <c r="A162" s="395"/>
      <c r="B162" s="395"/>
      <c r="C162" s="395"/>
      <c r="D162" s="395"/>
      <c r="E162" s="395"/>
      <c r="F162" s="395"/>
      <c r="G162" s="395"/>
      <c r="H162" s="395"/>
      <c r="I162" s="395"/>
      <c r="J162" s="395"/>
      <c r="K162" s="395"/>
      <c r="L162" s="395"/>
      <c r="M162" s="395"/>
      <c r="N162" s="395"/>
    </row>
    <row r="163" spans="1:14">
      <c r="A163" s="395"/>
      <c r="B163" s="395"/>
      <c r="C163" s="395"/>
      <c r="D163" s="395"/>
      <c r="E163" s="395"/>
      <c r="F163" s="395"/>
      <c r="G163" s="395"/>
      <c r="H163" s="395"/>
      <c r="I163" s="395"/>
      <c r="J163" s="395"/>
      <c r="K163" s="395"/>
      <c r="L163" s="395"/>
      <c r="M163" s="395"/>
      <c r="N163" s="395"/>
    </row>
    <row r="164" spans="1:14">
      <c r="A164" s="395"/>
      <c r="B164" s="395"/>
      <c r="C164" s="395"/>
      <c r="D164" s="395"/>
      <c r="E164" s="395"/>
      <c r="F164" s="395"/>
      <c r="G164" s="395"/>
      <c r="H164" s="395"/>
      <c r="I164" s="395"/>
      <c r="J164" s="395"/>
      <c r="K164" s="395"/>
      <c r="L164" s="395"/>
      <c r="M164" s="395"/>
      <c r="N164" s="395"/>
    </row>
    <row r="165" spans="1:14">
      <c r="A165" s="395"/>
      <c r="B165" s="395"/>
      <c r="C165" s="395"/>
      <c r="D165" s="395"/>
      <c r="E165" s="395"/>
      <c r="F165" s="395"/>
      <c r="G165" s="395"/>
      <c r="H165" s="395"/>
      <c r="I165" s="395"/>
      <c r="J165" s="395"/>
      <c r="K165" s="395"/>
      <c r="L165" s="395"/>
      <c r="M165" s="395"/>
      <c r="N165" s="395"/>
    </row>
    <row r="166" spans="1:14">
      <c r="A166" s="291"/>
      <c r="B166" s="291"/>
      <c r="C166" s="291"/>
      <c r="D166" s="291"/>
      <c r="E166" s="291"/>
      <c r="F166" s="291"/>
      <c r="G166" s="291"/>
      <c r="H166" s="291"/>
      <c r="I166" s="291"/>
      <c r="J166" s="291"/>
      <c r="K166" s="291"/>
      <c r="L166" s="291"/>
      <c r="M166" s="291"/>
      <c r="N166" s="291"/>
    </row>
    <row r="167" spans="1:14">
      <c r="A167" s="137"/>
      <c r="B167" s="138"/>
      <c r="C167" s="138"/>
      <c r="D167" s="138"/>
      <c r="E167" s="138"/>
      <c r="F167" s="138"/>
      <c r="G167" s="138"/>
      <c r="H167" s="138"/>
      <c r="I167" s="138"/>
      <c r="J167" s="138"/>
      <c r="K167" s="138"/>
      <c r="L167" s="138"/>
      <c r="M167" s="138"/>
      <c r="N167" s="138"/>
    </row>
    <row r="168" spans="1:14" ht="15.75">
      <c r="A168" s="249" t="s">
        <v>175</v>
      </c>
      <c r="B168" s="138"/>
      <c r="C168" s="138"/>
      <c r="D168" s="138"/>
      <c r="E168" s="138"/>
      <c r="F168" s="138"/>
      <c r="G168" s="138"/>
      <c r="H168" s="138"/>
      <c r="I168" s="138"/>
      <c r="J168" s="138"/>
      <c r="K168" s="138"/>
      <c r="L168" s="138"/>
      <c r="M168" s="138"/>
      <c r="N168" s="138"/>
    </row>
    <row r="169" spans="1:14">
      <c r="A169" s="244" t="s">
        <v>205</v>
      </c>
      <c r="B169" s="250" t="s">
        <v>638</v>
      </c>
      <c r="C169" s="138"/>
      <c r="D169" s="138"/>
      <c r="E169" s="138"/>
      <c r="F169" s="138"/>
      <c r="G169" s="138"/>
      <c r="H169" s="138"/>
      <c r="I169" s="138"/>
      <c r="J169" s="138"/>
      <c r="K169" s="138"/>
      <c r="L169" s="138"/>
      <c r="M169" s="138"/>
      <c r="N169" s="138"/>
    </row>
    <row r="170" spans="1:14" ht="12.75" customHeight="1">
      <c r="A170" s="137"/>
      <c r="B170" s="385" t="s">
        <v>836</v>
      </c>
      <c r="C170" s="385"/>
      <c r="D170" s="385"/>
      <c r="E170" s="385"/>
      <c r="F170" s="385"/>
      <c r="G170" s="385"/>
      <c r="H170" s="385"/>
      <c r="I170" s="385"/>
      <c r="J170" s="385"/>
      <c r="K170" s="385"/>
      <c r="L170" s="385"/>
      <c r="M170" s="385"/>
      <c r="N170" s="385"/>
    </row>
    <row r="171" spans="1:14" ht="28.5" customHeight="1">
      <c r="A171" s="137"/>
      <c r="B171" s="385"/>
      <c r="C171" s="385"/>
      <c r="D171" s="385"/>
      <c r="E171" s="385"/>
      <c r="F171" s="385"/>
      <c r="G171" s="385"/>
      <c r="H171" s="385"/>
      <c r="I171" s="385"/>
      <c r="J171" s="385"/>
      <c r="K171" s="385"/>
      <c r="L171" s="385"/>
      <c r="M171" s="385"/>
      <c r="N171" s="385"/>
    </row>
    <row r="172" spans="1:14">
      <c r="A172" s="137"/>
      <c r="B172" s="295"/>
      <c r="C172" s="295"/>
      <c r="D172" s="295"/>
      <c r="E172" s="295"/>
      <c r="F172" s="295"/>
      <c r="G172" s="295"/>
      <c r="H172" s="295"/>
      <c r="I172" s="295"/>
      <c r="J172" s="295"/>
      <c r="K172" s="295"/>
      <c r="L172" s="295"/>
      <c r="M172" s="295"/>
      <c r="N172" s="295"/>
    </row>
    <row r="173" spans="1:14">
      <c r="A173" s="244" t="s">
        <v>205</v>
      </c>
      <c r="B173" s="250" t="s">
        <v>685</v>
      </c>
      <c r="C173" s="138"/>
      <c r="D173" s="138"/>
      <c r="E173" s="138"/>
      <c r="F173" s="138"/>
      <c r="G173" s="138"/>
      <c r="H173" s="138"/>
      <c r="I173" s="138"/>
      <c r="J173" s="138"/>
      <c r="K173" s="138"/>
      <c r="L173" s="138"/>
      <c r="M173" s="138"/>
      <c r="N173" s="138"/>
    </row>
    <row r="174" spans="1:14">
      <c r="A174" s="244"/>
      <c r="B174" s="171" t="s">
        <v>686</v>
      </c>
      <c r="C174" s="138"/>
      <c r="D174" s="138"/>
      <c r="E174" s="138"/>
      <c r="F174" s="138"/>
      <c r="G174" s="138"/>
      <c r="H174" s="138"/>
      <c r="I174" s="138"/>
      <c r="J174" s="138"/>
      <c r="K174" s="138"/>
      <c r="L174" s="138"/>
      <c r="M174" s="138"/>
      <c r="N174" s="138"/>
    </row>
    <row r="175" spans="1:14">
      <c r="A175" s="244"/>
      <c r="B175" s="252"/>
      <c r="C175" s="138"/>
      <c r="D175" s="138"/>
      <c r="E175" s="138"/>
      <c r="F175" s="138"/>
      <c r="G175" s="138"/>
      <c r="H175" s="138"/>
      <c r="I175" s="138"/>
      <c r="J175" s="138"/>
      <c r="K175" s="138"/>
      <c r="L175" s="138"/>
      <c r="M175" s="138"/>
      <c r="N175" s="138"/>
    </row>
    <row r="176" spans="1:14">
      <c r="A176" s="244" t="s">
        <v>205</v>
      </c>
      <c r="B176" s="250" t="s">
        <v>769</v>
      </c>
      <c r="C176" s="138"/>
      <c r="D176" s="138"/>
      <c r="E176" s="138"/>
      <c r="F176" s="138"/>
      <c r="G176" s="138"/>
      <c r="H176" s="138"/>
      <c r="I176" s="138"/>
      <c r="J176" s="138"/>
      <c r="K176" s="138"/>
      <c r="L176" s="138"/>
      <c r="M176" s="138"/>
      <c r="N176" s="138"/>
    </row>
    <row r="177" spans="1:14" ht="12.75" customHeight="1">
      <c r="A177" s="138"/>
      <c r="B177" s="385" t="s">
        <v>837</v>
      </c>
      <c r="C177" s="385"/>
      <c r="D177" s="385"/>
      <c r="E177" s="385"/>
      <c r="F177" s="385"/>
      <c r="G177" s="385"/>
      <c r="H177" s="385"/>
      <c r="I177" s="385"/>
      <c r="J177" s="385"/>
      <c r="K177" s="385"/>
      <c r="L177" s="385"/>
      <c r="M177" s="385"/>
      <c r="N177" s="385"/>
    </row>
    <row r="178" spans="1:14">
      <c r="A178" s="138"/>
      <c r="B178" s="295"/>
      <c r="C178" s="295"/>
      <c r="D178" s="295"/>
      <c r="E178" s="295"/>
      <c r="F178" s="295"/>
      <c r="G178" s="295"/>
      <c r="H178" s="295"/>
      <c r="I178" s="295"/>
      <c r="J178" s="295"/>
      <c r="K178" s="295"/>
      <c r="L178" s="295"/>
      <c r="M178" s="295"/>
      <c r="N178" s="295"/>
    </row>
    <row r="179" spans="1:14">
      <c r="A179" s="244" t="s">
        <v>205</v>
      </c>
      <c r="B179" s="250" t="s">
        <v>687</v>
      </c>
      <c r="C179" s="138"/>
      <c r="D179" s="138"/>
      <c r="E179" s="138"/>
      <c r="F179" s="138"/>
      <c r="G179" s="138"/>
      <c r="H179" s="138"/>
      <c r="I179" s="138"/>
      <c r="J179" s="138"/>
      <c r="K179" s="138"/>
      <c r="L179" s="138"/>
      <c r="M179" s="138"/>
      <c r="N179" s="138"/>
    </row>
    <row r="180" spans="1:14" ht="12.75" customHeight="1">
      <c r="A180" s="138"/>
      <c r="B180" s="385" t="s">
        <v>838</v>
      </c>
      <c r="C180" s="385"/>
      <c r="D180" s="385"/>
      <c r="E180" s="385"/>
      <c r="F180" s="385"/>
      <c r="G180" s="385"/>
      <c r="H180" s="385"/>
      <c r="I180" s="385"/>
      <c r="J180" s="385"/>
      <c r="K180" s="385"/>
      <c r="L180" s="385"/>
      <c r="M180" s="385"/>
      <c r="N180" s="385"/>
    </row>
    <row r="181" spans="1:14">
      <c r="A181" s="138"/>
      <c r="B181" s="385"/>
      <c r="C181" s="385"/>
      <c r="D181" s="385"/>
      <c r="E181" s="385"/>
      <c r="F181" s="385"/>
      <c r="G181" s="385"/>
      <c r="H181" s="385"/>
      <c r="I181" s="385"/>
      <c r="J181" s="385"/>
      <c r="K181" s="385"/>
      <c r="L181" s="385"/>
      <c r="M181" s="385"/>
      <c r="N181" s="385"/>
    </row>
    <row r="182" spans="1:14">
      <c r="A182" s="138"/>
      <c r="B182" s="385"/>
      <c r="C182" s="385"/>
      <c r="D182" s="385"/>
      <c r="E182" s="385"/>
      <c r="F182" s="385"/>
      <c r="G182" s="385"/>
      <c r="H182" s="385"/>
      <c r="I182" s="385"/>
      <c r="J182" s="385"/>
      <c r="K182" s="385"/>
      <c r="L182" s="385"/>
      <c r="M182" s="385"/>
      <c r="N182" s="385"/>
    </row>
    <row r="183" spans="1:14">
      <c r="A183" s="138"/>
      <c r="B183" s="385"/>
      <c r="C183" s="385"/>
      <c r="D183" s="385"/>
      <c r="E183" s="385"/>
      <c r="F183" s="385"/>
      <c r="G183" s="385"/>
      <c r="H183" s="385"/>
      <c r="I183" s="385"/>
      <c r="J183" s="385"/>
      <c r="K183" s="385"/>
      <c r="L183" s="385"/>
      <c r="M183" s="385"/>
      <c r="N183" s="385"/>
    </row>
    <row r="184" spans="1:14">
      <c r="A184" s="138"/>
      <c r="B184" s="138"/>
      <c r="C184" s="138"/>
      <c r="D184" s="138"/>
      <c r="E184" s="138"/>
      <c r="F184" s="138"/>
      <c r="G184" s="138"/>
      <c r="H184" s="138"/>
      <c r="I184" s="138"/>
      <c r="J184" s="138"/>
      <c r="K184" s="138"/>
      <c r="L184" s="138"/>
      <c r="M184" s="138"/>
      <c r="N184" s="138"/>
    </row>
    <row r="185" spans="1:14">
      <c r="A185" s="244" t="s">
        <v>205</v>
      </c>
      <c r="B185" s="250" t="s">
        <v>378</v>
      </c>
      <c r="C185" s="138"/>
      <c r="D185" s="138"/>
      <c r="E185" s="138"/>
      <c r="F185" s="138"/>
      <c r="G185" s="138"/>
      <c r="H185" s="138"/>
      <c r="I185" s="138"/>
      <c r="J185" s="138"/>
      <c r="K185" s="138"/>
      <c r="L185" s="138"/>
      <c r="M185" s="138"/>
      <c r="N185" s="138"/>
    </row>
    <row r="186" spans="1:14" ht="12.75" customHeight="1">
      <c r="A186" s="244"/>
      <c r="B186" s="395" t="s">
        <v>538</v>
      </c>
      <c r="C186" s="395"/>
      <c r="D186" s="395"/>
      <c r="E186" s="395"/>
      <c r="F186" s="395"/>
      <c r="G186" s="395"/>
      <c r="H186" s="395"/>
      <c r="I186" s="395"/>
      <c r="J186" s="395"/>
      <c r="K186" s="395"/>
      <c r="L186" s="395"/>
      <c r="M186" s="395"/>
      <c r="N186" s="395"/>
    </row>
    <row r="187" spans="1:14">
      <c r="A187" s="244"/>
      <c r="B187" s="395"/>
      <c r="C187" s="395"/>
      <c r="D187" s="395"/>
      <c r="E187" s="395"/>
      <c r="F187" s="395"/>
      <c r="G187" s="395"/>
      <c r="H187" s="395"/>
      <c r="I187" s="395"/>
      <c r="J187" s="395"/>
      <c r="K187" s="395"/>
      <c r="L187" s="395"/>
      <c r="M187" s="395"/>
      <c r="N187" s="395"/>
    </row>
    <row r="188" spans="1:14">
      <c r="A188" s="244"/>
      <c r="B188" s="395"/>
      <c r="C188" s="395"/>
      <c r="D188" s="395"/>
      <c r="E188" s="395"/>
      <c r="F188" s="395"/>
      <c r="G188" s="395"/>
      <c r="H188" s="395"/>
      <c r="I188" s="395"/>
      <c r="J188" s="395"/>
      <c r="K188" s="395"/>
      <c r="L188" s="395"/>
      <c r="M188" s="395"/>
      <c r="N188" s="395"/>
    </row>
    <row r="189" spans="1:14">
      <c r="A189" s="138"/>
      <c r="B189" s="137"/>
      <c r="C189" s="138"/>
      <c r="D189" s="138"/>
      <c r="E189" s="138"/>
      <c r="F189" s="138"/>
      <c r="G189" s="138"/>
      <c r="H189" s="138"/>
      <c r="I189" s="138"/>
      <c r="J189" s="138"/>
      <c r="K189" s="138"/>
      <c r="L189" s="138"/>
      <c r="M189" s="138"/>
      <c r="N189" s="138"/>
    </row>
    <row r="190" spans="1:14">
      <c r="A190" s="244" t="s">
        <v>205</v>
      </c>
      <c r="B190" s="245" t="s">
        <v>539</v>
      </c>
      <c r="C190" s="138"/>
      <c r="D190" s="138"/>
      <c r="E190" s="138"/>
      <c r="F190" s="138"/>
      <c r="G190" s="138"/>
      <c r="H190" s="138"/>
      <c r="I190" s="138"/>
      <c r="J190" s="138"/>
      <c r="K190" s="138"/>
      <c r="L190" s="138"/>
      <c r="M190" s="138"/>
      <c r="N190" s="138"/>
    </row>
    <row r="191" spans="1:14" ht="12.75" customHeight="1">
      <c r="A191" s="244"/>
      <c r="B191" s="395" t="s">
        <v>540</v>
      </c>
      <c r="C191" s="395"/>
      <c r="D191" s="395"/>
      <c r="E191" s="395"/>
      <c r="F191" s="395"/>
      <c r="G191" s="395"/>
      <c r="H191" s="395"/>
      <c r="I191" s="395"/>
      <c r="J191" s="395"/>
      <c r="K191" s="395"/>
      <c r="L191" s="395"/>
      <c r="M191" s="395"/>
      <c r="N191" s="395"/>
    </row>
    <row r="192" spans="1:14">
      <c r="A192" s="137"/>
      <c r="B192" s="395"/>
      <c r="C192" s="395"/>
      <c r="D192" s="395"/>
      <c r="E192" s="395"/>
      <c r="F192" s="395"/>
      <c r="G192" s="395"/>
      <c r="H192" s="395"/>
      <c r="I192" s="395"/>
      <c r="J192" s="395"/>
      <c r="K192" s="395"/>
      <c r="L192" s="395"/>
      <c r="M192" s="395"/>
      <c r="N192" s="395"/>
    </row>
    <row r="193" spans="1:14">
      <c r="A193" s="137"/>
      <c r="B193" s="395"/>
      <c r="C193" s="395"/>
      <c r="D193" s="395"/>
      <c r="E193" s="395"/>
      <c r="F193" s="395"/>
      <c r="G193" s="395"/>
      <c r="H193" s="395"/>
      <c r="I193" s="395"/>
      <c r="J193" s="395"/>
      <c r="K193" s="395"/>
      <c r="L193" s="395"/>
      <c r="M193" s="395"/>
      <c r="N193" s="395"/>
    </row>
    <row r="194" spans="1:14">
      <c r="A194" s="137"/>
      <c r="B194" s="395"/>
      <c r="C194" s="395"/>
      <c r="D194" s="395"/>
      <c r="E194" s="395"/>
      <c r="F194" s="395"/>
      <c r="G194" s="395"/>
      <c r="H194" s="395"/>
      <c r="I194" s="395"/>
      <c r="J194" s="395"/>
      <c r="K194" s="395"/>
      <c r="L194" s="395"/>
      <c r="M194" s="395"/>
      <c r="N194" s="395"/>
    </row>
    <row r="195" spans="1:14">
      <c r="A195" s="137"/>
      <c r="B195" s="137"/>
      <c r="C195" s="138"/>
      <c r="D195" s="138"/>
      <c r="E195" s="138"/>
      <c r="F195" s="138"/>
      <c r="G195" s="138"/>
      <c r="H195" s="138"/>
      <c r="I195" s="138"/>
      <c r="J195" s="138"/>
      <c r="K195" s="138"/>
      <c r="L195" s="138"/>
      <c r="M195" s="138"/>
      <c r="N195" s="138"/>
    </row>
    <row r="196" spans="1:14">
      <c r="A196" s="244" t="s">
        <v>205</v>
      </c>
      <c r="B196" s="250" t="s">
        <v>190</v>
      </c>
      <c r="C196" s="138"/>
      <c r="D196" s="138"/>
      <c r="E196" s="138"/>
      <c r="F196" s="138"/>
      <c r="G196" s="138"/>
      <c r="H196" s="138"/>
      <c r="I196" s="138"/>
      <c r="J196" s="138"/>
      <c r="K196" s="138"/>
      <c r="L196" s="138"/>
      <c r="M196" s="138"/>
      <c r="N196" s="138"/>
    </row>
    <row r="197" spans="1:14" ht="12.75" customHeight="1">
      <c r="A197" s="244"/>
      <c r="B197" s="395" t="s">
        <v>567</v>
      </c>
      <c r="C197" s="395"/>
      <c r="D197" s="395"/>
      <c r="E197" s="395"/>
      <c r="F197" s="395"/>
      <c r="G197" s="395"/>
      <c r="H197" s="395"/>
      <c r="I197" s="395"/>
      <c r="J197" s="395"/>
      <c r="K197" s="395"/>
      <c r="L197" s="395"/>
      <c r="M197" s="395"/>
      <c r="N197" s="395"/>
    </row>
    <row r="198" spans="1:14">
      <c r="A198" s="244"/>
      <c r="B198" s="395"/>
      <c r="C198" s="395"/>
      <c r="D198" s="395"/>
      <c r="E198" s="395"/>
      <c r="F198" s="395"/>
      <c r="G198" s="395"/>
      <c r="H198" s="395"/>
      <c r="I198" s="395"/>
      <c r="J198" s="395"/>
      <c r="K198" s="395"/>
      <c r="L198" s="395"/>
      <c r="M198" s="395"/>
      <c r="N198" s="395"/>
    </row>
    <row r="199" spans="1:14">
      <c r="A199" s="244"/>
      <c r="B199" s="395"/>
      <c r="C199" s="395"/>
      <c r="D199" s="395"/>
      <c r="E199" s="395"/>
      <c r="F199" s="395"/>
      <c r="G199" s="395"/>
      <c r="H199" s="395"/>
      <c r="I199" s="395"/>
      <c r="J199" s="395"/>
      <c r="K199" s="395"/>
      <c r="L199" s="395"/>
      <c r="M199" s="395"/>
      <c r="N199" s="395"/>
    </row>
    <row r="200" spans="1:14">
      <c r="A200" s="244"/>
      <c r="B200" s="252"/>
      <c r="C200" s="138"/>
      <c r="D200" s="138"/>
      <c r="E200" s="138"/>
      <c r="F200" s="138"/>
      <c r="G200" s="138"/>
      <c r="H200" s="138"/>
      <c r="I200" s="138"/>
      <c r="J200" s="138"/>
      <c r="K200" s="138"/>
      <c r="L200" s="138"/>
      <c r="M200" s="138"/>
      <c r="N200" s="138"/>
    </row>
    <row r="201" spans="1:14">
      <c r="A201" s="244" t="s">
        <v>205</v>
      </c>
      <c r="B201" s="245" t="s">
        <v>176</v>
      </c>
      <c r="C201" s="138"/>
      <c r="D201" s="138"/>
      <c r="E201" s="138"/>
      <c r="F201" s="138"/>
      <c r="G201" s="138"/>
      <c r="H201" s="138"/>
      <c r="I201" s="138"/>
      <c r="J201" s="138"/>
      <c r="K201" s="138"/>
      <c r="L201" s="138"/>
      <c r="M201" s="138"/>
      <c r="N201" s="138"/>
    </row>
    <row r="202" spans="1:14" ht="12.75" customHeight="1">
      <c r="A202" s="244"/>
      <c r="B202" s="395" t="s">
        <v>541</v>
      </c>
      <c r="C202" s="395"/>
      <c r="D202" s="395"/>
      <c r="E202" s="395"/>
      <c r="F202" s="395"/>
      <c r="G202" s="395"/>
      <c r="H202" s="395"/>
      <c r="I202" s="395"/>
      <c r="J202" s="395"/>
      <c r="K202" s="395"/>
      <c r="L202" s="395"/>
      <c r="M202" s="395"/>
      <c r="N202" s="395"/>
    </row>
    <row r="203" spans="1:14">
      <c r="A203" s="137"/>
      <c r="B203" s="395"/>
      <c r="C203" s="395"/>
      <c r="D203" s="395"/>
      <c r="E203" s="395"/>
      <c r="F203" s="395"/>
      <c r="G203" s="395"/>
      <c r="H203" s="395"/>
      <c r="I203" s="395"/>
      <c r="J203" s="395"/>
      <c r="K203" s="395"/>
      <c r="L203" s="395"/>
      <c r="M203" s="395"/>
      <c r="N203" s="395"/>
    </row>
    <row r="204" spans="1:14">
      <c r="A204" s="137"/>
      <c r="B204" s="395"/>
      <c r="C204" s="395"/>
      <c r="D204" s="395"/>
      <c r="E204" s="395"/>
      <c r="F204" s="395"/>
      <c r="G204" s="395"/>
      <c r="H204" s="395"/>
      <c r="I204" s="395"/>
      <c r="J204" s="395"/>
      <c r="K204" s="395"/>
      <c r="L204" s="395"/>
      <c r="M204" s="395"/>
      <c r="N204" s="395"/>
    </row>
    <row r="205" spans="1:14">
      <c r="A205" s="137"/>
      <c r="B205" s="395"/>
      <c r="C205" s="395"/>
      <c r="D205" s="395"/>
      <c r="E205" s="395"/>
      <c r="F205" s="395"/>
      <c r="G205" s="395"/>
      <c r="H205" s="395"/>
      <c r="I205" s="395"/>
      <c r="J205" s="395"/>
      <c r="K205" s="395"/>
      <c r="L205" s="395"/>
      <c r="M205" s="395"/>
      <c r="N205" s="395"/>
    </row>
    <row r="206" spans="1:14">
      <c r="A206" s="137"/>
      <c r="B206" s="395"/>
      <c r="C206" s="395"/>
      <c r="D206" s="395"/>
      <c r="E206" s="395"/>
      <c r="F206" s="395"/>
      <c r="G206" s="395"/>
      <c r="H206" s="395"/>
      <c r="I206" s="395"/>
      <c r="J206" s="395"/>
      <c r="K206" s="395"/>
      <c r="L206" s="395"/>
      <c r="M206" s="395"/>
      <c r="N206" s="395"/>
    </row>
    <row r="207" spans="1:14">
      <c r="A207" s="137"/>
      <c r="B207" s="138"/>
      <c r="C207" s="138"/>
      <c r="D207" s="138"/>
      <c r="E207" s="138"/>
      <c r="F207" s="138"/>
      <c r="G207" s="138"/>
      <c r="H207" s="138"/>
      <c r="I207" s="138"/>
      <c r="J207" s="138"/>
      <c r="K207" s="138"/>
      <c r="L207" s="138"/>
      <c r="M207" s="138"/>
      <c r="N207" s="138"/>
    </row>
    <row r="208" spans="1:14">
      <c r="A208" s="244" t="s">
        <v>205</v>
      </c>
      <c r="B208" s="250" t="s">
        <v>177</v>
      </c>
      <c r="C208" s="138"/>
      <c r="D208" s="138"/>
      <c r="E208" s="138"/>
      <c r="F208" s="138"/>
      <c r="G208" s="138"/>
      <c r="H208" s="138"/>
      <c r="I208" s="138"/>
      <c r="J208" s="138"/>
      <c r="K208" s="138"/>
      <c r="L208" s="138"/>
      <c r="M208" s="138"/>
      <c r="N208" s="138"/>
    </row>
    <row r="209" spans="1:14" ht="12.75" customHeight="1">
      <c r="A209" s="244"/>
      <c r="B209" s="395" t="s">
        <v>542</v>
      </c>
      <c r="C209" s="395"/>
      <c r="D209" s="395"/>
      <c r="E209" s="395"/>
      <c r="F209" s="395"/>
      <c r="G209" s="395"/>
      <c r="H209" s="395"/>
      <c r="I209" s="395"/>
      <c r="J209" s="395"/>
      <c r="K209" s="395"/>
      <c r="L209" s="395"/>
      <c r="M209" s="395"/>
      <c r="N209" s="395"/>
    </row>
    <row r="210" spans="1:14">
      <c r="A210" s="244"/>
      <c r="B210" s="395"/>
      <c r="C210" s="395"/>
      <c r="D210" s="395"/>
      <c r="E210" s="395"/>
      <c r="F210" s="395"/>
      <c r="G210" s="395"/>
      <c r="H210" s="395"/>
      <c r="I210" s="395"/>
      <c r="J210" s="395"/>
      <c r="K210" s="395"/>
      <c r="L210" s="395"/>
      <c r="M210" s="395"/>
      <c r="N210" s="395"/>
    </row>
    <row r="211" spans="1:14">
      <c r="A211" s="244"/>
      <c r="B211" s="395"/>
      <c r="C211" s="395"/>
      <c r="D211" s="395"/>
      <c r="E211" s="395"/>
      <c r="F211" s="395"/>
      <c r="G211" s="395"/>
      <c r="H211" s="395"/>
      <c r="I211" s="395"/>
      <c r="J211" s="395"/>
      <c r="K211" s="395"/>
      <c r="L211" s="395"/>
      <c r="M211" s="395"/>
      <c r="N211" s="395"/>
    </row>
    <row r="212" spans="1:14">
      <c r="A212" s="244"/>
      <c r="B212" s="395"/>
      <c r="C212" s="395"/>
      <c r="D212" s="395"/>
      <c r="E212" s="395"/>
      <c r="F212" s="395"/>
      <c r="G212" s="395"/>
      <c r="H212" s="395"/>
      <c r="I212" s="395"/>
      <c r="J212" s="395"/>
      <c r="K212" s="395"/>
      <c r="L212" s="395"/>
      <c r="M212" s="395"/>
      <c r="N212" s="395"/>
    </row>
    <row r="213" spans="1:14">
      <c r="A213" s="137"/>
      <c r="B213" s="395"/>
      <c r="C213" s="395"/>
      <c r="D213" s="395"/>
      <c r="E213" s="395"/>
      <c r="F213" s="395"/>
      <c r="G213" s="395"/>
      <c r="H213" s="395"/>
      <c r="I213" s="395"/>
      <c r="J213" s="395"/>
      <c r="K213" s="395"/>
      <c r="L213" s="395"/>
      <c r="M213" s="395"/>
      <c r="N213" s="395"/>
    </row>
    <row r="214" spans="1:14">
      <c r="A214" s="137"/>
      <c r="B214" s="138"/>
      <c r="C214" s="138"/>
      <c r="D214" s="138"/>
      <c r="E214" s="138"/>
      <c r="F214" s="138"/>
      <c r="G214" s="138"/>
      <c r="H214" s="138"/>
      <c r="I214" s="138"/>
      <c r="J214" s="138"/>
      <c r="K214" s="138"/>
      <c r="L214" s="138"/>
      <c r="M214" s="138"/>
      <c r="N214" s="138"/>
    </row>
    <row r="215" spans="1:14">
      <c r="A215" s="244" t="s">
        <v>205</v>
      </c>
      <c r="B215" s="245" t="s">
        <v>345</v>
      </c>
      <c r="C215" s="138"/>
      <c r="D215" s="138"/>
      <c r="E215" s="138"/>
      <c r="F215" s="138"/>
      <c r="G215" s="138"/>
      <c r="H215" s="138"/>
      <c r="I215" s="138"/>
      <c r="J215" s="138"/>
      <c r="K215" s="138"/>
      <c r="L215" s="138"/>
      <c r="M215" s="138"/>
      <c r="N215" s="138"/>
    </row>
    <row r="216" spans="1:14" ht="12.75" customHeight="1">
      <c r="A216" s="244"/>
      <c r="B216" s="395" t="s">
        <v>543</v>
      </c>
      <c r="C216" s="395"/>
      <c r="D216" s="395"/>
      <c r="E216" s="395"/>
      <c r="F216" s="395"/>
      <c r="G216" s="395"/>
      <c r="H216" s="395"/>
      <c r="I216" s="395"/>
      <c r="J216" s="395"/>
      <c r="K216" s="395"/>
      <c r="L216" s="395"/>
      <c r="M216" s="395"/>
      <c r="N216" s="395"/>
    </row>
    <row r="217" spans="1:14">
      <c r="A217" s="137"/>
      <c r="B217" s="395"/>
      <c r="C217" s="395"/>
      <c r="D217" s="395"/>
      <c r="E217" s="395"/>
      <c r="F217" s="395"/>
      <c r="G217" s="395"/>
      <c r="H217" s="395"/>
      <c r="I217" s="395"/>
      <c r="J217" s="395"/>
      <c r="K217" s="395"/>
      <c r="L217" s="395"/>
      <c r="M217" s="395"/>
      <c r="N217" s="395"/>
    </row>
    <row r="218" spans="1:14">
      <c r="A218" s="137"/>
      <c r="B218" s="395"/>
      <c r="C218" s="395"/>
      <c r="D218" s="395"/>
      <c r="E218" s="395"/>
      <c r="F218" s="395"/>
      <c r="G218" s="395"/>
      <c r="H218" s="395"/>
      <c r="I218" s="395"/>
      <c r="J218" s="395"/>
      <c r="K218" s="395"/>
      <c r="L218" s="395"/>
      <c r="M218" s="395"/>
      <c r="N218" s="395"/>
    </row>
    <row r="219" spans="1:14">
      <c r="A219" s="137"/>
      <c r="B219" s="138"/>
      <c r="C219" s="138"/>
      <c r="D219" s="138"/>
      <c r="E219" s="138"/>
      <c r="F219" s="138"/>
      <c r="G219" s="138"/>
      <c r="H219" s="138"/>
      <c r="I219" s="138"/>
      <c r="J219" s="138"/>
      <c r="K219" s="138"/>
      <c r="L219" s="138"/>
      <c r="M219" s="138"/>
      <c r="N219" s="138"/>
    </row>
    <row r="220" spans="1:14">
      <c r="A220" s="244" t="s">
        <v>205</v>
      </c>
      <c r="B220" s="245" t="s">
        <v>544</v>
      </c>
      <c r="C220" s="138"/>
      <c r="D220" s="138"/>
      <c r="E220" s="138"/>
      <c r="F220" s="138"/>
      <c r="G220" s="138"/>
      <c r="H220" s="138"/>
      <c r="I220" s="138"/>
      <c r="J220" s="138"/>
      <c r="K220" s="138"/>
      <c r="L220" s="138"/>
      <c r="M220" s="138"/>
      <c r="N220" s="138"/>
    </row>
    <row r="221" spans="1:14" ht="12.75" customHeight="1">
      <c r="A221" s="244"/>
      <c r="B221" s="395" t="s">
        <v>545</v>
      </c>
      <c r="C221" s="395"/>
      <c r="D221" s="395"/>
      <c r="E221" s="395"/>
      <c r="F221" s="395"/>
      <c r="G221" s="395"/>
      <c r="H221" s="395"/>
      <c r="I221" s="395"/>
      <c r="J221" s="395"/>
      <c r="K221" s="395"/>
      <c r="L221" s="395"/>
      <c r="M221" s="395"/>
      <c r="N221" s="395"/>
    </row>
    <row r="222" spans="1:14">
      <c r="A222" s="137"/>
      <c r="B222" s="395"/>
      <c r="C222" s="395"/>
      <c r="D222" s="395"/>
      <c r="E222" s="395"/>
      <c r="F222" s="395"/>
      <c r="G222" s="395"/>
      <c r="H222" s="395"/>
      <c r="I222" s="395"/>
      <c r="J222" s="395"/>
      <c r="K222" s="395"/>
      <c r="L222" s="395"/>
      <c r="M222" s="395"/>
      <c r="N222" s="395"/>
    </row>
    <row r="223" spans="1:14">
      <c r="A223" s="137"/>
      <c r="B223" s="137"/>
      <c r="C223" s="138"/>
      <c r="D223" s="138"/>
      <c r="E223" s="138"/>
      <c r="F223" s="138"/>
      <c r="G223" s="138"/>
      <c r="H223" s="138"/>
      <c r="I223" s="138"/>
      <c r="J223" s="138"/>
      <c r="K223" s="138"/>
      <c r="L223" s="138"/>
      <c r="M223" s="138"/>
      <c r="N223" s="138"/>
    </row>
    <row r="224" spans="1:14">
      <c r="A224" s="244" t="s">
        <v>205</v>
      </c>
      <c r="B224" s="250" t="s">
        <v>546</v>
      </c>
      <c r="C224" s="138"/>
      <c r="D224" s="138"/>
      <c r="E224" s="138"/>
      <c r="F224" s="138"/>
      <c r="G224" s="138"/>
      <c r="H224" s="138"/>
      <c r="I224" s="138"/>
      <c r="J224" s="138"/>
      <c r="K224" s="138"/>
      <c r="L224" s="138"/>
      <c r="M224" s="138"/>
      <c r="N224" s="138"/>
    </row>
    <row r="225" spans="1:14" ht="12.75" customHeight="1">
      <c r="A225" s="244"/>
      <c r="B225" s="402" t="s">
        <v>839</v>
      </c>
      <c r="C225" s="402"/>
      <c r="D225" s="402"/>
      <c r="E225" s="402"/>
      <c r="F225" s="402"/>
      <c r="G225" s="402"/>
      <c r="H225" s="402"/>
      <c r="I225" s="402"/>
      <c r="J225" s="402"/>
      <c r="K225" s="402"/>
      <c r="L225" s="402"/>
      <c r="M225" s="402"/>
      <c r="N225" s="402"/>
    </row>
    <row r="226" spans="1:14">
      <c r="A226" s="137"/>
      <c r="B226" s="402"/>
      <c r="C226" s="402"/>
      <c r="D226" s="402"/>
      <c r="E226" s="402"/>
      <c r="F226" s="402"/>
      <c r="G226" s="402"/>
      <c r="H226" s="402"/>
      <c r="I226" s="402"/>
      <c r="J226" s="402"/>
      <c r="K226" s="402"/>
      <c r="L226" s="402"/>
      <c r="M226" s="402"/>
      <c r="N226" s="402"/>
    </row>
    <row r="227" spans="1:14">
      <c r="A227" s="137"/>
      <c r="B227" s="343"/>
      <c r="C227" s="343"/>
      <c r="D227" s="343"/>
      <c r="E227" s="343"/>
      <c r="F227" s="343"/>
      <c r="G227" s="343"/>
      <c r="H227" s="343"/>
      <c r="I227" s="343"/>
      <c r="J227" s="343"/>
      <c r="K227" s="343"/>
      <c r="L227" s="343"/>
      <c r="M227" s="343"/>
      <c r="N227" s="343"/>
    </row>
    <row r="228" spans="1:14">
      <c r="A228" s="244" t="s">
        <v>205</v>
      </c>
      <c r="B228" s="250" t="s">
        <v>547</v>
      </c>
      <c r="C228" s="138"/>
      <c r="D228" s="138"/>
      <c r="E228" s="138"/>
      <c r="F228" s="138"/>
      <c r="G228" s="138"/>
      <c r="H228" s="138"/>
      <c r="I228" s="138"/>
      <c r="J228" s="138"/>
      <c r="K228" s="138"/>
      <c r="L228" s="138"/>
      <c r="M228" s="138"/>
      <c r="N228" s="138"/>
    </row>
    <row r="229" spans="1:14" ht="12.75" customHeight="1">
      <c r="A229" s="244"/>
      <c r="B229" s="395" t="s">
        <v>548</v>
      </c>
      <c r="C229" s="395"/>
      <c r="D229" s="395"/>
      <c r="E229" s="395"/>
      <c r="F229" s="395"/>
      <c r="G229" s="395"/>
      <c r="H229" s="395"/>
      <c r="I229" s="395"/>
      <c r="J229" s="395"/>
      <c r="K229" s="395"/>
      <c r="L229" s="395"/>
      <c r="M229" s="395"/>
      <c r="N229" s="395"/>
    </row>
    <row r="230" spans="1:14">
      <c r="A230" s="137"/>
      <c r="B230" s="395"/>
      <c r="C230" s="395"/>
      <c r="D230" s="395"/>
      <c r="E230" s="395"/>
      <c r="F230" s="395"/>
      <c r="G230" s="395"/>
      <c r="H230" s="395"/>
      <c r="I230" s="395"/>
      <c r="J230" s="395"/>
      <c r="K230" s="395"/>
      <c r="L230" s="395"/>
      <c r="M230" s="395"/>
      <c r="N230" s="395"/>
    </row>
    <row r="231" spans="1:14">
      <c r="A231" s="137"/>
      <c r="B231" s="138"/>
      <c r="C231" s="138"/>
      <c r="D231" s="138"/>
      <c r="E231" s="138"/>
      <c r="F231" s="138"/>
      <c r="G231" s="138"/>
      <c r="H231" s="138"/>
      <c r="I231" s="138"/>
      <c r="J231" s="138"/>
      <c r="K231" s="138"/>
      <c r="L231" s="138"/>
      <c r="M231" s="138"/>
      <c r="N231" s="138"/>
    </row>
    <row r="232" spans="1:14">
      <c r="A232" s="244" t="s">
        <v>205</v>
      </c>
      <c r="B232" s="250" t="s">
        <v>298</v>
      </c>
      <c r="C232" s="138"/>
      <c r="D232" s="138"/>
      <c r="E232" s="138"/>
      <c r="F232" s="138"/>
      <c r="G232" s="138"/>
      <c r="H232" s="138"/>
      <c r="I232" s="138"/>
      <c r="J232" s="138"/>
      <c r="K232" s="138"/>
      <c r="L232" s="138"/>
      <c r="M232" s="138"/>
      <c r="N232" s="138"/>
    </row>
    <row r="233" spans="1:14" ht="12.75" customHeight="1">
      <c r="A233" s="244"/>
      <c r="B233" s="397" t="s">
        <v>550</v>
      </c>
      <c r="C233" s="397"/>
      <c r="D233" s="397"/>
      <c r="E233" s="397"/>
      <c r="F233" s="397"/>
      <c r="G233" s="397"/>
      <c r="H233" s="397"/>
      <c r="I233" s="397"/>
      <c r="J233" s="397"/>
      <c r="K233" s="397"/>
      <c r="L233" s="397"/>
      <c r="M233" s="397"/>
      <c r="N233" s="397"/>
    </row>
    <row r="234" spans="1:14">
      <c r="A234" s="137"/>
      <c r="B234" s="138"/>
      <c r="C234" s="138"/>
      <c r="D234" s="138"/>
      <c r="E234" s="138"/>
      <c r="F234" s="138"/>
      <c r="G234" s="138"/>
      <c r="H234" s="138"/>
      <c r="I234" s="138"/>
      <c r="J234" s="138"/>
      <c r="K234" s="138"/>
      <c r="L234" s="138"/>
      <c r="M234" s="138"/>
      <c r="N234" s="138"/>
    </row>
    <row r="235" spans="1:14">
      <c r="A235" s="251" t="s">
        <v>205</v>
      </c>
      <c r="B235" s="245" t="s">
        <v>549</v>
      </c>
      <c r="C235" s="252"/>
      <c r="D235" s="252"/>
      <c r="E235" s="252"/>
      <c r="F235" s="252"/>
      <c r="G235" s="252"/>
      <c r="H235" s="252"/>
      <c r="I235" s="252"/>
      <c r="J235" s="252"/>
      <c r="K235" s="252"/>
      <c r="L235" s="252"/>
      <c r="M235" s="252"/>
      <c r="N235" s="252"/>
    </row>
    <row r="236" spans="1:14">
      <c r="A236" s="251"/>
      <c r="B236" s="398" t="s">
        <v>550</v>
      </c>
      <c r="C236" s="398"/>
      <c r="D236" s="398"/>
      <c r="E236" s="398"/>
      <c r="F236" s="398"/>
      <c r="G236" s="398"/>
      <c r="H236" s="398"/>
      <c r="I236" s="398"/>
      <c r="J236" s="398"/>
      <c r="K236" s="398"/>
      <c r="L236" s="398"/>
      <c r="M236" s="398"/>
      <c r="N236" s="398"/>
    </row>
    <row r="237" spans="1:14">
      <c r="A237" s="253"/>
      <c r="B237" s="254"/>
      <c r="C237" s="252"/>
      <c r="D237" s="252"/>
      <c r="E237" s="252"/>
      <c r="F237" s="252"/>
      <c r="G237" s="252"/>
      <c r="H237" s="252"/>
      <c r="I237" s="252"/>
      <c r="J237" s="252"/>
      <c r="K237" s="252"/>
      <c r="L237" s="252"/>
      <c r="M237" s="252"/>
      <c r="N237" s="252"/>
    </row>
    <row r="238" spans="1:14">
      <c r="A238" s="244" t="s">
        <v>205</v>
      </c>
      <c r="B238" s="245" t="s">
        <v>551</v>
      </c>
      <c r="C238" s="138"/>
      <c r="D238" s="138"/>
      <c r="E238" s="138"/>
      <c r="F238" s="138"/>
      <c r="G238" s="138"/>
      <c r="H238" s="138"/>
      <c r="I238" s="138"/>
      <c r="J238" s="138"/>
      <c r="K238" s="138"/>
      <c r="L238" s="138"/>
      <c r="M238" s="138"/>
      <c r="N238" s="138"/>
    </row>
    <row r="239" spans="1:14" ht="12.75" customHeight="1">
      <c r="A239" s="244"/>
      <c r="B239" s="395" t="s">
        <v>688</v>
      </c>
      <c r="C239" s="395"/>
      <c r="D239" s="395"/>
      <c r="E239" s="395"/>
      <c r="F239" s="395"/>
      <c r="G239" s="395"/>
      <c r="H239" s="395"/>
      <c r="I239" s="395"/>
      <c r="J239" s="395"/>
      <c r="K239" s="395"/>
      <c r="L239" s="395"/>
      <c r="M239" s="395"/>
      <c r="N239" s="395"/>
    </row>
    <row r="240" spans="1:14">
      <c r="A240" s="244"/>
      <c r="B240" s="395"/>
      <c r="C240" s="395"/>
      <c r="D240" s="395"/>
      <c r="E240" s="395"/>
      <c r="F240" s="395"/>
      <c r="G240" s="395"/>
      <c r="H240" s="395"/>
      <c r="I240" s="395"/>
      <c r="J240" s="395"/>
      <c r="K240" s="395"/>
      <c r="L240" s="395"/>
      <c r="M240" s="395"/>
      <c r="N240" s="395"/>
    </row>
    <row r="241" spans="1:14">
      <c r="A241" s="137"/>
      <c r="B241" s="395"/>
      <c r="C241" s="395"/>
      <c r="D241" s="395"/>
      <c r="E241" s="395"/>
      <c r="F241" s="395"/>
      <c r="G241" s="395"/>
      <c r="H241" s="395"/>
      <c r="I241" s="395"/>
      <c r="J241" s="395"/>
      <c r="K241" s="395"/>
      <c r="L241" s="395"/>
      <c r="M241" s="395"/>
      <c r="N241" s="395"/>
    </row>
    <row r="242" spans="1:14">
      <c r="A242" s="137"/>
      <c r="B242" s="137"/>
      <c r="C242" s="138"/>
      <c r="D242" s="138"/>
      <c r="E242" s="138"/>
      <c r="F242" s="138"/>
      <c r="G242" s="138"/>
      <c r="H242" s="138"/>
      <c r="I242" s="138"/>
      <c r="J242" s="138"/>
      <c r="K242" s="138"/>
      <c r="L242" s="138"/>
      <c r="M242" s="138"/>
      <c r="N242" s="138"/>
    </row>
    <row r="243" spans="1:14">
      <c r="A243" s="244" t="s">
        <v>205</v>
      </c>
      <c r="B243" s="245" t="s">
        <v>17</v>
      </c>
      <c r="C243" s="138"/>
      <c r="D243" s="138"/>
      <c r="E243" s="138"/>
      <c r="F243" s="138"/>
      <c r="G243" s="138"/>
      <c r="H243" s="138"/>
      <c r="I243" s="138"/>
      <c r="J243" s="138"/>
      <c r="K243" s="138"/>
      <c r="L243" s="138"/>
      <c r="M243" s="138"/>
      <c r="N243" s="138"/>
    </row>
    <row r="244" spans="1:14" ht="12.75" customHeight="1">
      <c r="A244" s="244"/>
      <c r="B244" s="395" t="s">
        <v>689</v>
      </c>
      <c r="C244" s="395"/>
      <c r="D244" s="395"/>
      <c r="E244" s="395"/>
      <c r="F244" s="395"/>
      <c r="G244" s="395"/>
      <c r="H244" s="395"/>
      <c r="I244" s="395"/>
      <c r="J244" s="395"/>
      <c r="K244" s="395"/>
      <c r="L244" s="395"/>
      <c r="M244" s="395"/>
      <c r="N244" s="395"/>
    </row>
    <row r="245" spans="1:14">
      <c r="A245" s="244"/>
      <c r="B245" s="395"/>
      <c r="C245" s="395"/>
      <c r="D245" s="395"/>
      <c r="E245" s="395"/>
      <c r="F245" s="395"/>
      <c r="G245" s="395"/>
      <c r="H245" s="395"/>
      <c r="I245" s="395"/>
      <c r="J245" s="395"/>
      <c r="K245" s="395"/>
      <c r="L245" s="395"/>
      <c r="M245" s="395"/>
      <c r="N245" s="395"/>
    </row>
    <row r="246" spans="1:14">
      <c r="A246" s="244"/>
      <c r="B246" s="395"/>
      <c r="C246" s="395"/>
      <c r="D246" s="395"/>
      <c r="E246" s="395"/>
      <c r="F246" s="395"/>
      <c r="G246" s="395"/>
      <c r="H246" s="395"/>
      <c r="I246" s="395"/>
      <c r="J246" s="395"/>
      <c r="K246" s="395"/>
      <c r="L246" s="395"/>
      <c r="M246" s="395"/>
      <c r="N246" s="395"/>
    </row>
    <row r="247" spans="1:14">
      <c r="A247" s="244"/>
      <c r="B247" s="289"/>
      <c r="C247" s="289"/>
      <c r="D247" s="289"/>
      <c r="E247" s="289"/>
      <c r="F247" s="289"/>
      <c r="G247" s="289"/>
      <c r="H247" s="289"/>
      <c r="I247" s="289"/>
      <c r="J247" s="289"/>
      <c r="K247" s="289"/>
      <c r="L247" s="289"/>
      <c r="M247" s="289"/>
      <c r="N247" s="289"/>
    </row>
    <row r="248" spans="1:14" ht="15">
      <c r="A248" s="244" t="s">
        <v>205</v>
      </c>
      <c r="B248" s="250" t="s">
        <v>768</v>
      </c>
      <c r="C248" s="296"/>
      <c r="D248" s="296"/>
      <c r="E248" s="296"/>
      <c r="F248" s="296"/>
      <c r="G248" s="296"/>
      <c r="H248" s="296"/>
      <c r="I248" s="296"/>
      <c r="J248" s="296"/>
      <c r="K248" s="296"/>
      <c r="L248" s="296"/>
      <c r="M248" s="296"/>
      <c r="N248" s="296"/>
    </row>
    <row r="249" spans="1:14" ht="12.75" customHeight="1">
      <c r="A249" s="244"/>
      <c r="B249" s="395" t="s">
        <v>690</v>
      </c>
      <c r="C249" s="395"/>
      <c r="D249" s="395"/>
      <c r="E249" s="395"/>
      <c r="F249" s="395"/>
      <c r="G249" s="395"/>
      <c r="H249" s="395"/>
      <c r="I249" s="395"/>
      <c r="J249" s="395"/>
      <c r="K249" s="395"/>
      <c r="L249" s="395"/>
      <c r="M249" s="395"/>
      <c r="N249" s="395"/>
    </row>
    <row r="250" spans="1:14">
      <c r="A250" s="137"/>
      <c r="B250" s="395"/>
      <c r="C250" s="395"/>
      <c r="D250" s="395"/>
      <c r="E250" s="395"/>
      <c r="F250" s="395"/>
      <c r="G250" s="395"/>
      <c r="H250" s="395"/>
      <c r="I250" s="395"/>
      <c r="J250" s="395"/>
      <c r="K250" s="395"/>
      <c r="L250" s="395"/>
      <c r="M250" s="395"/>
      <c r="N250" s="395"/>
    </row>
    <row r="251" spans="1:14">
      <c r="A251" s="244"/>
      <c r="B251" s="291"/>
      <c r="C251" s="291"/>
      <c r="D251" s="291"/>
      <c r="E251" s="291"/>
      <c r="F251" s="291"/>
      <c r="G251" s="291"/>
      <c r="H251" s="291"/>
      <c r="I251" s="291"/>
      <c r="J251" s="291"/>
      <c r="K251" s="291"/>
      <c r="L251" s="291"/>
      <c r="M251" s="291"/>
      <c r="N251" s="291"/>
    </row>
    <row r="252" spans="1:14">
      <c r="A252" s="244" t="s">
        <v>205</v>
      </c>
      <c r="B252" s="250" t="s">
        <v>552</v>
      </c>
      <c r="C252" s="138"/>
      <c r="D252" s="138"/>
      <c r="E252" s="138"/>
      <c r="F252" s="138"/>
      <c r="G252" s="138"/>
      <c r="H252" s="138"/>
      <c r="I252" s="138"/>
      <c r="J252" s="138"/>
      <c r="K252" s="138"/>
      <c r="L252" s="138"/>
      <c r="M252" s="138"/>
      <c r="N252" s="138"/>
    </row>
    <row r="253" spans="1:14" ht="12.75" customHeight="1">
      <c r="A253" s="244"/>
      <c r="B253" s="385" t="s">
        <v>840</v>
      </c>
      <c r="C253" s="385"/>
      <c r="D253" s="385"/>
      <c r="E253" s="385"/>
      <c r="F253" s="385"/>
      <c r="G253" s="385"/>
      <c r="H253" s="385"/>
      <c r="I253" s="385"/>
      <c r="J253" s="385"/>
      <c r="K253" s="385"/>
      <c r="L253" s="385"/>
      <c r="M253" s="385"/>
      <c r="N253" s="385"/>
    </row>
    <row r="254" spans="1:14">
      <c r="A254" s="137"/>
      <c r="B254" s="385"/>
      <c r="C254" s="385"/>
      <c r="D254" s="385"/>
      <c r="E254" s="385"/>
      <c r="F254" s="385"/>
      <c r="G254" s="385"/>
      <c r="H254" s="385"/>
      <c r="I254" s="385"/>
      <c r="J254" s="385"/>
      <c r="K254" s="385"/>
      <c r="L254" s="385"/>
      <c r="M254" s="385"/>
      <c r="N254" s="385"/>
    </row>
    <row r="255" spans="1:14" ht="29.25" customHeight="1">
      <c r="A255" s="137"/>
      <c r="B255" s="385"/>
      <c r="C255" s="385"/>
      <c r="D255" s="385"/>
      <c r="E255" s="385"/>
      <c r="F255" s="385"/>
      <c r="G255" s="385"/>
      <c r="H255" s="385"/>
      <c r="I255" s="385"/>
      <c r="J255" s="385"/>
      <c r="K255" s="385"/>
      <c r="L255" s="385"/>
      <c r="M255" s="385"/>
      <c r="N255" s="385"/>
    </row>
    <row r="256" spans="1:14">
      <c r="A256" s="137"/>
      <c r="B256" s="290"/>
      <c r="C256" s="290"/>
      <c r="D256" s="290"/>
      <c r="E256" s="290"/>
      <c r="F256" s="290"/>
      <c r="G256" s="290"/>
      <c r="H256" s="290"/>
      <c r="I256" s="290"/>
      <c r="J256" s="290"/>
      <c r="K256" s="290"/>
      <c r="L256" s="290"/>
      <c r="M256" s="290"/>
      <c r="N256" s="290"/>
    </row>
    <row r="257" spans="1:14">
      <c r="A257" s="244" t="s">
        <v>205</v>
      </c>
      <c r="B257" s="250" t="s">
        <v>553</v>
      </c>
      <c r="C257" s="138"/>
      <c r="D257" s="138"/>
      <c r="E257" s="138"/>
      <c r="F257" s="138"/>
      <c r="G257" s="138"/>
      <c r="H257" s="138"/>
      <c r="I257" s="138"/>
      <c r="J257" s="138"/>
      <c r="K257" s="138"/>
      <c r="L257" s="138"/>
      <c r="M257" s="138"/>
      <c r="N257" s="138"/>
    </row>
    <row r="258" spans="1:14" ht="12.75" customHeight="1">
      <c r="A258" s="244"/>
      <c r="B258" s="385" t="s">
        <v>841</v>
      </c>
      <c r="C258" s="385"/>
      <c r="D258" s="385"/>
      <c r="E258" s="385"/>
      <c r="F258" s="385"/>
      <c r="G258" s="385"/>
      <c r="H258" s="385"/>
      <c r="I258" s="385"/>
      <c r="J258" s="385"/>
      <c r="K258" s="385"/>
      <c r="L258" s="385"/>
      <c r="M258" s="385"/>
      <c r="N258" s="385"/>
    </row>
    <row r="259" spans="1:14">
      <c r="A259" s="244"/>
      <c r="B259" s="385"/>
      <c r="C259" s="385"/>
      <c r="D259" s="385"/>
      <c r="E259" s="385"/>
      <c r="F259" s="385"/>
      <c r="G259" s="385"/>
      <c r="H259" s="385"/>
      <c r="I259" s="385"/>
      <c r="J259" s="385"/>
      <c r="K259" s="385"/>
      <c r="L259" s="385"/>
      <c r="M259" s="385"/>
      <c r="N259" s="385"/>
    </row>
    <row r="260" spans="1:14">
      <c r="A260" s="137"/>
      <c r="B260" s="252"/>
      <c r="C260" s="138"/>
      <c r="D260" s="138"/>
      <c r="E260" s="138"/>
      <c r="F260" s="138"/>
      <c r="G260" s="138"/>
      <c r="H260" s="138"/>
      <c r="I260" s="138"/>
      <c r="J260" s="138"/>
      <c r="K260" s="138"/>
      <c r="L260" s="138"/>
      <c r="M260" s="138"/>
      <c r="N260" s="138"/>
    </row>
    <row r="261" spans="1:14">
      <c r="A261" s="244" t="s">
        <v>205</v>
      </c>
      <c r="B261" s="250" t="s">
        <v>344</v>
      </c>
      <c r="C261" s="138"/>
      <c r="D261" s="138"/>
      <c r="E261" s="138"/>
      <c r="F261" s="138"/>
      <c r="G261" s="138"/>
      <c r="H261" s="138"/>
      <c r="I261" s="138"/>
      <c r="J261" s="138"/>
      <c r="K261" s="138"/>
      <c r="L261" s="138"/>
      <c r="M261" s="138"/>
      <c r="N261" s="138"/>
    </row>
    <row r="262" spans="1:14" ht="12.75" customHeight="1">
      <c r="A262" s="244"/>
      <c r="B262" s="395" t="s">
        <v>554</v>
      </c>
      <c r="C262" s="395"/>
      <c r="D262" s="395"/>
      <c r="E262" s="395"/>
      <c r="F262" s="395"/>
      <c r="G262" s="395"/>
      <c r="H262" s="395"/>
      <c r="I262" s="395"/>
      <c r="J262" s="395"/>
      <c r="K262" s="395"/>
      <c r="L262" s="395"/>
      <c r="M262" s="395"/>
      <c r="N262" s="395"/>
    </row>
    <row r="263" spans="1:14">
      <c r="A263" s="244"/>
      <c r="B263" s="395"/>
      <c r="C263" s="395"/>
      <c r="D263" s="395"/>
      <c r="E263" s="395"/>
      <c r="F263" s="395"/>
      <c r="G263" s="395"/>
      <c r="H263" s="395"/>
      <c r="I263" s="395"/>
      <c r="J263" s="395"/>
      <c r="K263" s="395"/>
      <c r="L263" s="395"/>
      <c r="M263" s="395"/>
      <c r="N263" s="395"/>
    </row>
    <row r="264" spans="1:14">
      <c r="A264" s="244"/>
      <c r="B264" s="252"/>
      <c r="C264" s="138"/>
      <c r="D264" s="138"/>
      <c r="E264" s="138"/>
      <c r="F264" s="138"/>
      <c r="G264" s="138"/>
      <c r="H264" s="138"/>
      <c r="I264" s="138"/>
      <c r="J264" s="138"/>
      <c r="K264" s="138"/>
      <c r="L264" s="138"/>
      <c r="M264" s="138"/>
      <c r="N264" s="138"/>
    </row>
    <row r="265" spans="1:14">
      <c r="A265" s="244" t="s">
        <v>205</v>
      </c>
      <c r="B265" s="250" t="s">
        <v>0</v>
      </c>
      <c r="C265" s="138"/>
      <c r="D265" s="138"/>
      <c r="E265" s="138"/>
      <c r="F265" s="138"/>
      <c r="G265" s="138"/>
      <c r="H265" s="138"/>
      <c r="I265" s="138"/>
      <c r="J265" s="138"/>
      <c r="K265" s="138"/>
      <c r="L265" s="138"/>
      <c r="M265" s="138"/>
      <c r="N265" s="138"/>
    </row>
    <row r="266" spans="1:14" ht="12.75" customHeight="1">
      <c r="A266" s="244"/>
      <c r="B266" s="397" t="s">
        <v>691</v>
      </c>
      <c r="C266" s="397"/>
      <c r="D266" s="397"/>
      <c r="E266" s="397"/>
      <c r="F266" s="397"/>
      <c r="G266" s="397"/>
      <c r="H266" s="397"/>
      <c r="I266" s="397"/>
      <c r="J266" s="397"/>
      <c r="K266" s="397"/>
      <c r="L266" s="397"/>
      <c r="M266" s="397"/>
      <c r="N266" s="397"/>
    </row>
    <row r="267" spans="1:14">
      <c r="A267" s="244"/>
      <c r="B267" s="397"/>
      <c r="C267" s="397"/>
      <c r="D267" s="397"/>
      <c r="E267" s="397"/>
      <c r="F267" s="397"/>
      <c r="G267" s="397"/>
      <c r="H267" s="397"/>
      <c r="I267" s="397"/>
      <c r="J267" s="397"/>
      <c r="K267" s="397"/>
      <c r="L267" s="397"/>
      <c r="M267" s="397"/>
      <c r="N267" s="397"/>
    </row>
    <row r="268" spans="1:14">
      <c r="A268" s="244"/>
      <c r="B268" s="397"/>
      <c r="C268" s="397"/>
      <c r="D268" s="397"/>
      <c r="E268" s="397"/>
      <c r="F268" s="397"/>
      <c r="G268" s="397"/>
      <c r="H268" s="397"/>
      <c r="I268" s="397"/>
      <c r="J268" s="397"/>
      <c r="K268" s="397"/>
      <c r="L268" s="397"/>
      <c r="M268" s="397"/>
      <c r="N268" s="397"/>
    </row>
    <row r="269" spans="1:14">
      <c r="A269" s="244"/>
      <c r="B269" s="252"/>
      <c r="C269" s="138"/>
      <c r="D269" s="138"/>
      <c r="E269" s="138"/>
      <c r="F269" s="138"/>
      <c r="G269" s="138"/>
      <c r="H269" s="138"/>
      <c r="I269" s="138"/>
      <c r="J269" s="138"/>
      <c r="K269" s="138"/>
      <c r="L269" s="138"/>
      <c r="M269" s="138"/>
      <c r="N269" s="138"/>
    </row>
    <row r="270" spans="1:14">
      <c r="A270" s="244" t="s">
        <v>205</v>
      </c>
      <c r="B270" s="250" t="s">
        <v>1</v>
      </c>
      <c r="C270" s="138"/>
      <c r="D270" s="138"/>
      <c r="E270" s="138"/>
      <c r="F270" s="138"/>
      <c r="G270" s="138"/>
      <c r="H270" s="138"/>
      <c r="I270" s="138"/>
      <c r="J270" s="138"/>
      <c r="K270" s="138"/>
      <c r="L270" s="138"/>
      <c r="M270" s="138"/>
      <c r="N270" s="138"/>
    </row>
    <row r="271" spans="1:14" ht="12.75" customHeight="1">
      <c r="A271" s="244"/>
      <c r="B271" s="397" t="s">
        <v>692</v>
      </c>
      <c r="C271" s="397"/>
      <c r="D271" s="397"/>
      <c r="E271" s="397"/>
      <c r="F271" s="397"/>
      <c r="G271" s="397"/>
      <c r="H271" s="397"/>
      <c r="I271" s="397"/>
      <c r="J271" s="397"/>
      <c r="K271" s="397"/>
      <c r="L271" s="397"/>
      <c r="M271" s="397"/>
      <c r="N271" s="397"/>
    </row>
    <row r="272" spans="1:14">
      <c r="A272" s="244"/>
      <c r="B272" s="397"/>
      <c r="C272" s="397"/>
      <c r="D272" s="397"/>
      <c r="E272" s="397"/>
      <c r="F272" s="397"/>
      <c r="G272" s="397"/>
      <c r="H272" s="397"/>
      <c r="I272" s="397"/>
      <c r="J272" s="397"/>
      <c r="K272" s="397"/>
      <c r="L272" s="397"/>
      <c r="M272" s="397"/>
      <c r="N272" s="397"/>
    </row>
    <row r="273" spans="1:14">
      <c r="A273" s="244"/>
      <c r="B273" s="252"/>
      <c r="C273" s="138"/>
      <c r="D273" s="138"/>
      <c r="E273" s="138"/>
      <c r="F273" s="138"/>
      <c r="G273" s="138"/>
      <c r="H273" s="138"/>
      <c r="I273" s="138"/>
      <c r="J273" s="138"/>
      <c r="K273" s="138"/>
      <c r="L273" s="138"/>
      <c r="M273" s="138"/>
      <c r="N273" s="138"/>
    </row>
    <row r="274" spans="1:14">
      <c r="A274" s="244" t="s">
        <v>205</v>
      </c>
      <c r="B274" s="250" t="s">
        <v>555</v>
      </c>
      <c r="C274" s="138"/>
      <c r="D274" s="138"/>
      <c r="E274" s="138"/>
      <c r="F274" s="138"/>
      <c r="G274" s="138"/>
      <c r="H274" s="138"/>
      <c r="I274" s="138"/>
      <c r="J274" s="138"/>
      <c r="K274" s="138"/>
      <c r="L274" s="138"/>
      <c r="M274" s="138"/>
      <c r="N274" s="138"/>
    </row>
    <row r="275" spans="1:14" ht="12.75" customHeight="1">
      <c r="A275" s="244"/>
      <c r="B275" s="395" t="s">
        <v>693</v>
      </c>
      <c r="C275" s="395"/>
      <c r="D275" s="395"/>
      <c r="E275" s="395"/>
      <c r="F275" s="395"/>
      <c r="G275" s="395"/>
      <c r="H275" s="395"/>
      <c r="I275" s="395"/>
      <c r="J275" s="395"/>
      <c r="K275" s="395"/>
      <c r="L275" s="395"/>
      <c r="M275" s="395"/>
      <c r="N275" s="395"/>
    </row>
    <row r="276" spans="1:14">
      <c r="A276" s="244"/>
      <c r="B276" s="395"/>
      <c r="C276" s="395"/>
      <c r="D276" s="395"/>
      <c r="E276" s="395"/>
      <c r="F276" s="395"/>
      <c r="G276" s="395"/>
      <c r="H276" s="395"/>
      <c r="I276" s="395"/>
      <c r="J276" s="395"/>
      <c r="K276" s="395"/>
      <c r="L276" s="395"/>
      <c r="M276" s="395"/>
      <c r="N276" s="395"/>
    </row>
    <row r="277" spans="1:14">
      <c r="A277" s="244"/>
      <c r="B277" s="252"/>
      <c r="C277" s="138"/>
      <c r="D277" s="138"/>
      <c r="E277" s="138"/>
      <c r="F277" s="138"/>
      <c r="G277" s="138"/>
      <c r="H277" s="138"/>
      <c r="I277" s="138"/>
      <c r="J277" s="138"/>
      <c r="K277" s="138"/>
      <c r="L277" s="138"/>
      <c r="M277" s="138"/>
      <c r="N277" s="138"/>
    </row>
    <row r="278" spans="1:14">
      <c r="A278" s="244"/>
      <c r="B278" s="252"/>
      <c r="C278" s="138"/>
      <c r="D278" s="138"/>
      <c r="E278" s="138"/>
      <c r="F278" s="138"/>
      <c r="G278" s="138"/>
      <c r="H278" s="138"/>
      <c r="I278" s="138"/>
      <c r="J278" s="138"/>
      <c r="K278" s="138"/>
      <c r="L278" s="138"/>
      <c r="M278" s="138"/>
      <c r="N278" s="138"/>
    </row>
    <row r="279" spans="1:14">
      <c r="A279" s="137"/>
      <c r="B279" s="137"/>
      <c r="C279" s="137"/>
      <c r="D279" s="137"/>
      <c r="E279" s="137"/>
      <c r="F279" s="137"/>
      <c r="G279" s="137"/>
      <c r="H279" s="137"/>
      <c r="I279" s="137"/>
      <c r="J279" s="137"/>
      <c r="K279" s="137"/>
      <c r="L279" s="137"/>
      <c r="M279" s="137"/>
      <c r="N279" s="137"/>
    </row>
    <row r="280" spans="1:14">
      <c r="A280" s="137"/>
      <c r="B280" s="137"/>
      <c r="C280" s="137"/>
      <c r="D280" s="137"/>
      <c r="E280" s="137"/>
      <c r="F280" s="137"/>
      <c r="G280" s="137"/>
      <c r="H280" s="137"/>
      <c r="I280" s="137"/>
      <c r="J280" s="137"/>
      <c r="K280" s="137"/>
      <c r="L280" s="137"/>
      <c r="M280" s="137"/>
      <c r="N280" s="137"/>
    </row>
    <row r="281" spans="1:14">
      <c r="A281" s="137"/>
      <c r="B281" s="137"/>
      <c r="C281" s="137"/>
      <c r="D281" s="137"/>
      <c r="E281" s="137"/>
      <c r="F281" s="137"/>
      <c r="G281" s="137"/>
      <c r="H281" s="137"/>
      <c r="I281" s="137"/>
      <c r="J281" s="137"/>
      <c r="K281" s="137"/>
      <c r="L281" s="137"/>
      <c r="M281" s="137"/>
      <c r="N281" s="137"/>
    </row>
    <row r="282" spans="1:14">
      <c r="A282" s="137"/>
      <c r="B282" s="137"/>
      <c r="C282" s="137"/>
      <c r="D282" s="137"/>
      <c r="E282" s="137"/>
      <c r="F282" s="137"/>
      <c r="G282" s="137"/>
      <c r="H282" s="137"/>
      <c r="I282" s="137"/>
      <c r="J282" s="137"/>
      <c r="K282" s="137"/>
      <c r="L282" s="137"/>
      <c r="M282" s="137"/>
      <c r="N282" s="137"/>
    </row>
  </sheetData>
  <mergeCells count="95">
    <mergeCell ref="B225:N226"/>
    <mergeCell ref="D126:G126"/>
    <mergeCell ref="H124:J124"/>
    <mergeCell ref="H121:J121"/>
    <mergeCell ref="B21:N26"/>
    <mergeCell ref="B36:N37"/>
    <mergeCell ref="B109:M109"/>
    <mergeCell ref="B123:C123"/>
    <mergeCell ref="H115:J115"/>
    <mergeCell ref="H116:J116"/>
    <mergeCell ref="D117:G117"/>
    <mergeCell ref="H117:J117"/>
    <mergeCell ref="D125:G125"/>
    <mergeCell ref="D115:G115"/>
    <mergeCell ref="D116:G116"/>
    <mergeCell ref="D118:G118"/>
    <mergeCell ref="B122:C122"/>
    <mergeCell ref="D119:G119"/>
    <mergeCell ref="D120:G120"/>
    <mergeCell ref="B115:C115"/>
    <mergeCell ref="B116:C116"/>
    <mergeCell ref="B117:C117"/>
    <mergeCell ref="A141:N145"/>
    <mergeCell ref="H127:J127"/>
    <mergeCell ref="H125:J125"/>
    <mergeCell ref="H126:J126"/>
    <mergeCell ref="B127:C127"/>
    <mergeCell ref="D127:G127"/>
    <mergeCell ref="B130:C130"/>
    <mergeCell ref="D130:G130"/>
    <mergeCell ref="H130:J130"/>
    <mergeCell ref="B128:C128"/>
    <mergeCell ref="D128:G128"/>
    <mergeCell ref="H128:J128"/>
    <mergeCell ref="B129:C129"/>
    <mergeCell ref="D129:G129"/>
    <mergeCell ref="H129:J129"/>
    <mergeCell ref="D124:G124"/>
    <mergeCell ref="B271:N272"/>
    <mergeCell ref="B275:N276"/>
    <mergeCell ref="B236:N236"/>
    <mergeCell ref="B239:N241"/>
    <mergeCell ref="B244:N246"/>
    <mergeCell ref="B249:N250"/>
    <mergeCell ref="B253:N255"/>
    <mergeCell ref="B258:N259"/>
    <mergeCell ref="B262:N263"/>
    <mergeCell ref="B266:N268"/>
    <mergeCell ref="B124:C124"/>
    <mergeCell ref="B125:C125"/>
    <mergeCell ref="B126:C126"/>
    <mergeCell ref="B233:N233"/>
    <mergeCell ref="A134:N139"/>
    <mergeCell ref="A152:N156"/>
    <mergeCell ref="A159:N165"/>
    <mergeCell ref="B170:N171"/>
    <mergeCell ref="B177:N177"/>
    <mergeCell ref="B180:N183"/>
    <mergeCell ref="B186:N188"/>
    <mergeCell ref="B191:N194"/>
    <mergeCell ref="B197:N199"/>
    <mergeCell ref="B202:N206"/>
    <mergeCell ref="B209:N213"/>
    <mergeCell ref="B216:N218"/>
    <mergeCell ref="B221:N222"/>
    <mergeCell ref="B229:N230"/>
    <mergeCell ref="A147:N149"/>
    <mergeCell ref="B41:N45"/>
    <mergeCell ref="A53:N54"/>
    <mergeCell ref="A55:N56"/>
    <mergeCell ref="A57:N58"/>
    <mergeCell ref="A59:N60"/>
    <mergeCell ref="B64:N65"/>
    <mergeCell ref="B68:N68"/>
    <mergeCell ref="B71:N73"/>
    <mergeCell ref="B76:N82"/>
    <mergeCell ref="B92:N92"/>
    <mergeCell ref="B95:N98"/>
    <mergeCell ref="H118:J118"/>
    <mergeCell ref="H123:J123"/>
    <mergeCell ref="B101:N102"/>
    <mergeCell ref="B105:N105"/>
    <mergeCell ref="B106:N106"/>
    <mergeCell ref="B12:N17"/>
    <mergeCell ref="B30:N33"/>
    <mergeCell ref="D123:G123"/>
    <mergeCell ref="D121:G121"/>
    <mergeCell ref="D122:G122"/>
    <mergeCell ref="B118:C118"/>
    <mergeCell ref="H122:J122"/>
    <mergeCell ref="H119:J119"/>
    <mergeCell ref="H120:J120"/>
    <mergeCell ref="B119:C119"/>
    <mergeCell ref="B120:C120"/>
    <mergeCell ref="B121:C121"/>
  </mergeCells>
  <phoneticPr fontId="5" type="noConversion"/>
  <printOptions horizontalCentered="1"/>
  <pageMargins left="0.5" right="0.5" top="2.5" bottom="0.25" header="1" footer="0.5"/>
  <pageSetup scale="91" fitToHeight="0" orientation="landscape"/>
  <headerFooter alignWithMargins="0">
    <oddHeader>&amp;R&amp;"Arial,Bold"Schedule &amp;A
Page &amp;P of &amp;N&amp;C&amp;B
2025 RATE CASE
ONCOR ELECTRIC DELIVERY COMPANY LLC
II-D-3.7  GENERAL EMPLOYEE BENEFIT INFORMATION
TEST YEAR ENDING DECEMBER 31, 2024
SPONSORS: R. PRACHYL/ A. GUILLORY</oddHeader>
  </headerFooter>
  <rowBreaks count="8" manualBreakCount="8">
    <brk id="28" max="16383" man="1"/>
    <brk id="61" max="16383" man="1"/>
    <brk id="90" max="16383" man="1"/>
    <brk id="132" max="16383" man="1"/>
    <brk id="157" max="16383" man="1"/>
    <brk id="189" max="16383" man="1"/>
    <brk id="223" max="16383" man="1"/>
    <brk id="25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
    <tabColor rgb="FFFF0000"/>
    <pageSetUpPr fitToPage="1"/>
  </sheetPr>
  <dimension ref="A1:E12"/>
  <sheetViews>
    <sheetView zoomScaleNormal="100" workbookViewId="0">
      <pane ySplit="9" topLeftCell="A10" activePane="bottomLeft" state="frozen"/>
      <selection activeCell="N38" sqref="N38"/>
      <selection pane="bottomLeft" activeCell="E23" sqref="E23"/>
    </sheetView>
  </sheetViews>
  <sheetFormatPr defaultColWidth="9.140625" defaultRowHeight="12.75"/>
  <cols>
    <col min="1" max="1" width="9.140625" style="137"/>
    <col min="2" max="2" width="14.7109375" style="137" bestFit="1" customWidth="1"/>
    <col min="3" max="3" width="1.7109375" style="137" customWidth="1"/>
    <col min="4" max="15" width="14.7109375" style="137" customWidth="1"/>
    <col min="16" max="17" width="1.7109375" style="137" customWidth="1"/>
    <col min="18" max="16384" width="9.140625" style="137"/>
  </cols>
  <sheetData>
    <row r="1" spans="1:5">
      <c r="A1" s="156" t="str">
        <f>+'[3]Input Data'!$A$9</f>
        <v>2025 RATE CASE</v>
      </c>
    </row>
    <row r="2" spans="1:5">
      <c r="A2" s="8" t="str">
        <f>+'[3]Input Data'!$A$2</f>
        <v>ONCOR ELECTRIC DELIVERY COMPANY LLC</v>
      </c>
    </row>
    <row r="3" spans="1:5">
      <c r="A3" s="7" t="str">
        <f>CONCATENATE('[3]Schedule Sponsors'!$A$75,'[3]Schedule Sponsors'!$B$75)</f>
        <v>II-D-3.7  GENERAL EMPLOYEE BENEFIT INFORMATION</v>
      </c>
    </row>
    <row r="4" spans="1:5">
      <c r="A4" s="63" t="str">
        <f>+'[3]Input Data'!$A$4</f>
        <v>TEST YEAR ENDING DECEMBER 31, 2024</v>
      </c>
    </row>
    <row r="5" spans="1:5">
      <c r="A5" s="7" t="str">
        <f>CONCATENATE("SPONSORS: ",'[3]Schedule Sponsors'!$D$75)</f>
        <v>SPONSORS: R. PRACHYL/ A. GUILLORY</v>
      </c>
    </row>
    <row r="10" spans="1:5" s="160" customFormat="1" ht="14.25">
      <c r="B10" s="259" t="s">
        <v>1144</v>
      </c>
      <c r="E10" s="271"/>
    </row>
    <row r="11" spans="1:5" ht="14.25">
      <c r="B11" s="259" t="s">
        <v>613</v>
      </c>
    </row>
    <row r="12" spans="1:5" ht="14.25">
      <c r="B12" s="259" t="s">
        <v>614</v>
      </c>
    </row>
  </sheetData>
  <phoneticPr fontId="5" type="noConversion"/>
  <printOptions horizontalCentered="1"/>
  <pageMargins left="0.5" right="0.5" top="3" bottom="0.5" header="1.5" footer="1"/>
  <pageSetup scale="77" fitToHeight="0" pageOrder="overThenDown" orientation="landscape"/>
  <headerFooter alignWithMargins="0">
    <oddHeader>&amp;R&amp;"Arial,Bold"Schedule &amp;A
Page &amp;P of &amp;N&amp;C&amp;B
2025 RATE CASE
ONCOR ELECTRIC DELIVERY COMPANY LLC
II-D-3.7  GENERAL EMPLOYEE BENEFIT INFORMATION
TEST YEAR ENDING DECEMBER 31, 2024
SPONSORS: R. PRACHYL/ A. GUILLORY</oddHead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9">
    <tabColor rgb="FFFF0000"/>
    <pageSetUpPr fitToPage="1"/>
  </sheetPr>
  <dimension ref="A1:B12"/>
  <sheetViews>
    <sheetView zoomScaleNormal="100" workbookViewId="0">
      <pane xSplit="3" ySplit="9" topLeftCell="D10" activePane="bottomRight" state="frozen"/>
      <selection activeCell="N38" sqref="N38"/>
      <selection pane="topRight" activeCell="N38" sqref="N38"/>
      <selection pane="bottomLeft" activeCell="N38" sqref="N38"/>
      <selection pane="bottomRight" activeCell="J19" sqref="J19"/>
    </sheetView>
  </sheetViews>
  <sheetFormatPr defaultColWidth="9.140625" defaultRowHeight="12.75"/>
  <cols>
    <col min="1" max="1" width="6.5703125" style="137" customWidth="1"/>
    <col min="2" max="2" width="14.7109375" style="137" bestFit="1" customWidth="1"/>
    <col min="3" max="3" width="1.7109375" style="137" customWidth="1"/>
    <col min="4" max="5" width="14.7109375" style="137" customWidth="1"/>
    <col min="6" max="6" width="11.28515625" style="137" bestFit="1" customWidth="1"/>
    <col min="7" max="9" width="11.28515625" style="137" customWidth="1"/>
    <col min="10" max="14" width="14.7109375" style="137" customWidth="1"/>
    <col min="15" max="15" width="12.5703125" style="137" customWidth="1"/>
    <col min="16" max="16" width="2.7109375" style="137" customWidth="1"/>
    <col min="17" max="16384" width="9.140625" style="137"/>
  </cols>
  <sheetData>
    <row r="1" spans="1:2">
      <c r="A1" s="156" t="str">
        <f>+'[3]Input Data'!$A$9</f>
        <v>2025 RATE CASE</v>
      </c>
    </row>
    <row r="2" spans="1:2">
      <c r="A2" s="8" t="str">
        <f>+'[3]Input Data'!$A$2</f>
        <v>ONCOR ELECTRIC DELIVERY COMPANY LLC</v>
      </c>
    </row>
    <row r="3" spans="1:2">
      <c r="A3" s="7" t="str">
        <f>CONCATENATE('[3]Schedule Sponsors'!$A$75,'[3]Schedule Sponsors'!$B$75)</f>
        <v>II-D-3.7  GENERAL EMPLOYEE BENEFIT INFORMATION</v>
      </c>
    </row>
    <row r="4" spans="1:2">
      <c r="A4" s="63" t="str">
        <f>+'[3]Input Data'!$A$4</f>
        <v>TEST YEAR ENDING DECEMBER 31, 2024</v>
      </c>
    </row>
    <row r="5" spans="1:2">
      <c r="A5" s="7" t="str">
        <f>CONCATENATE("SPONSORS: ",'[3]Schedule Sponsors'!$D$75)</f>
        <v>SPONSORS: R. PRACHYL/ A. GUILLORY</v>
      </c>
    </row>
    <row r="10" spans="1:2" ht="14.25">
      <c r="B10" s="259" t="s">
        <v>1144</v>
      </c>
    </row>
    <row r="11" spans="1:2" ht="14.25">
      <c r="B11" s="259" t="s">
        <v>613</v>
      </c>
    </row>
    <row r="12" spans="1:2" ht="14.25">
      <c r="B12" s="259" t="s">
        <v>614</v>
      </c>
    </row>
  </sheetData>
  <phoneticPr fontId="5" type="noConversion"/>
  <printOptions horizontalCentered="1"/>
  <pageMargins left="0.5" right="0.5" top="3" bottom="0.5" header="1.5" footer="0.5"/>
  <pageSetup scale="79" fitToHeight="0" pageOrder="overThenDown" orientation="landscape"/>
  <headerFooter alignWithMargins="0">
    <oddHeader>&amp;R&amp;"Arial,Bold"Schedule &amp;A
Page &amp;P of &amp;N&amp;C&amp;B
2025 RATE CASE
ONCOR ELECTRIC DELIVERY COMPANY LLC
II-D-3.7  GENERAL EMPLOYEE BENEFIT INFORMATION
TEST YEAR ENDING DECEMBER 31, 2024
SPONSORS: R. PRACHYL/ A. GUILLORY</oddHeader>
  </headerFooter>
  <colBreaks count="1" manualBreakCount="1">
    <brk id="3" max="1048575"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8">
    <tabColor rgb="FFFF0000"/>
    <pageSetUpPr fitToPage="1"/>
  </sheetPr>
  <dimension ref="A1:O36"/>
  <sheetViews>
    <sheetView zoomScaleNormal="100" workbookViewId="0">
      <pane xSplit="2" ySplit="14" topLeftCell="C15" activePane="bottomRight" state="frozen"/>
      <selection activeCell="N38" sqref="N38"/>
      <selection pane="topRight" activeCell="N38" sqref="N38"/>
      <selection pane="bottomLeft" activeCell="N38" sqref="N38"/>
      <selection pane="bottomRight" activeCell="K15" sqref="K15"/>
    </sheetView>
  </sheetViews>
  <sheetFormatPr defaultRowHeight="12.75"/>
  <cols>
    <col min="2" max="2" width="14.7109375" bestFit="1" customWidth="1"/>
    <col min="3" max="3" width="1.7109375" customWidth="1"/>
    <col min="4" max="6" width="11.7109375" customWidth="1"/>
    <col min="7" max="7" width="13.7109375" customWidth="1"/>
    <col min="8" max="8" width="17.7109375" customWidth="1"/>
    <col min="9" max="9" width="15.7109375" customWidth="1"/>
    <col min="10" max="10" width="11.7109375" customWidth="1"/>
    <col min="11" max="11" width="13.7109375" customWidth="1"/>
    <col min="12" max="12" width="17.7109375" customWidth="1"/>
    <col min="13" max="13" width="11.7109375" customWidth="1"/>
    <col min="14" max="14" width="13.7109375" customWidth="1"/>
  </cols>
  <sheetData>
    <row r="1" spans="1:15">
      <c r="A1" s="156" t="str">
        <f>+'[3]Input Data'!$A$9</f>
        <v>2025 RATE CASE</v>
      </c>
    </row>
    <row r="2" spans="1:15">
      <c r="A2" s="8" t="str">
        <f>+'[3]Input Data'!$A$2</f>
        <v>ONCOR ELECTRIC DELIVERY COMPANY LLC</v>
      </c>
    </row>
    <row r="3" spans="1:15">
      <c r="A3" s="7" t="str">
        <f>CONCATENATE('[3]Schedule Sponsors'!$A$75,'[3]Schedule Sponsors'!$B$75)</f>
        <v>II-D-3.7  GENERAL EMPLOYEE BENEFIT INFORMATION</v>
      </c>
    </row>
    <row r="4" spans="1:15">
      <c r="A4" s="63" t="str">
        <f>+'[3]Input Data'!$A$4</f>
        <v>TEST YEAR ENDING DECEMBER 31, 2024</v>
      </c>
    </row>
    <row r="5" spans="1:15">
      <c r="A5" s="7" t="str">
        <f>CONCATENATE("SPONSORS: ",'[3]Schedule Sponsors'!$D$75)</f>
        <v>SPONSORS: R. PRACHYL/ A. GUILLORY</v>
      </c>
    </row>
    <row r="12" spans="1:15" s="199" customFormat="1">
      <c r="E12" s="199" t="s">
        <v>574</v>
      </c>
      <c r="F12" s="199" t="s">
        <v>842</v>
      </c>
      <c r="G12" s="199" t="s">
        <v>597</v>
      </c>
      <c r="H12" s="199" t="s">
        <v>577</v>
      </c>
      <c r="L12" s="199" t="s">
        <v>581</v>
      </c>
    </row>
    <row r="13" spans="1:15" s="199" customFormat="1">
      <c r="A13" s="197" t="s">
        <v>87</v>
      </c>
      <c r="B13" s="197"/>
      <c r="D13" s="199" t="s">
        <v>573</v>
      </c>
      <c r="E13" s="199" t="s">
        <v>412</v>
      </c>
      <c r="F13" s="199" t="s">
        <v>412</v>
      </c>
      <c r="G13" s="199" t="s">
        <v>598</v>
      </c>
      <c r="H13" s="199" t="s">
        <v>578</v>
      </c>
      <c r="I13" s="199" t="s">
        <v>413</v>
      </c>
      <c r="J13" s="199" t="s">
        <v>411</v>
      </c>
      <c r="K13" s="199" t="s">
        <v>571</v>
      </c>
      <c r="L13" s="199" t="s">
        <v>582</v>
      </c>
      <c r="M13" s="199" t="s">
        <v>556</v>
      </c>
      <c r="N13" s="199" t="s">
        <v>218</v>
      </c>
    </row>
    <row r="14" spans="1:15" s="199" customFormat="1">
      <c r="A14" s="190" t="s">
        <v>89</v>
      </c>
      <c r="B14" s="190" t="s">
        <v>64</v>
      </c>
      <c r="D14" s="190" t="s">
        <v>410</v>
      </c>
      <c r="E14" s="190" t="s">
        <v>575</v>
      </c>
      <c r="F14" s="190" t="s">
        <v>843</v>
      </c>
      <c r="G14" s="190" t="s">
        <v>576</v>
      </c>
      <c r="H14" s="190" t="s">
        <v>557</v>
      </c>
      <c r="I14" s="190" t="s">
        <v>579</v>
      </c>
      <c r="J14" s="190" t="s">
        <v>580</v>
      </c>
      <c r="K14" s="190" t="s">
        <v>572</v>
      </c>
      <c r="L14" s="190" t="s">
        <v>583</v>
      </c>
      <c r="M14" s="190" t="s">
        <v>584</v>
      </c>
      <c r="N14" s="190" t="s">
        <v>215</v>
      </c>
      <c r="O14" s="190"/>
    </row>
    <row r="15" spans="1:15" s="1" customFormat="1">
      <c r="A15" s="18"/>
      <c r="B15" s="16" t="s">
        <v>44</v>
      </c>
      <c r="D15" s="191" t="s">
        <v>45</v>
      </c>
      <c r="E15" s="200" t="s">
        <v>74</v>
      </c>
      <c r="F15" s="200" t="s">
        <v>75</v>
      </c>
      <c r="G15" s="200" t="s">
        <v>844</v>
      </c>
      <c r="H15" s="200" t="s">
        <v>77</v>
      </c>
      <c r="I15" s="200" t="s">
        <v>78</v>
      </c>
      <c r="J15" s="200" t="s">
        <v>79</v>
      </c>
      <c r="K15" s="200" t="s">
        <v>80</v>
      </c>
      <c r="L15" s="200" t="s">
        <v>81</v>
      </c>
      <c r="M15" s="200" t="s">
        <v>82</v>
      </c>
      <c r="N15" s="200" t="s">
        <v>83</v>
      </c>
    </row>
    <row r="16" spans="1:15">
      <c r="A16" s="137"/>
      <c r="B16" s="137"/>
    </row>
    <row r="17" spans="1:14">
      <c r="A17" s="143">
        <v>1</v>
      </c>
      <c r="B17" s="144" t="str">
        <f>+'II-D-3.2'!B15</f>
        <v>January 2024</v>
      </c>
      <c r="D17" s="139">
        <v>370</v>
      </c>
      <c r="E17" s="139">
        <v>12201.850000000002</v>
      </c>
      <c r="F17" s="139">
        <v>0</v>
      </c>
      <c r="G17" s="139">
        <v>-204261</v>
      </c>
      <c r="H17" s="139">
        <v>2337984.96</v>
      </c>
      <c r="I17" s="139">
        <v>0</v>
      </c>
      <c r="J17" s="139">
        <v>0</v>
      </c>
      <c r="K17" s="139">
        <v>2300527.5300000003</v>
      </c>
      <c r="L17" s="139">
        <v>132715.68</v>
      </c>
      <c r="M17" s="139">
        <v>94320.67</v>
      </c>
      <c r="N17" s="202">
        <f t="shared" ref="N17:N28" si="0">SUM(D17:M17)</f>
        <v>4673859.6899999995</v>
      </c>
    </row>
    <row r="18" spans="1:14">
      <c r="A18" s="143">
        <v>2</v>
      </c>
      <c r="B18" s="144" t="str">
        <f>+'II-D-3.2'!B16</f>
        <v>February 2024</v>
      </c>
      <c r="D18" s="66">
        <v>335</v>
      </c>
      <c r="E18" s="66">
        <v>9447.75</v>
      </c>
      <c r="F18" s="66">
        <v>0</v>
      </c>
      <c r="G18" s="66">
        <v>0</v>
      </c>
      <c r="H18" s="66">
        <v>204506</v>
      </c>
      <c r="I18" s="66">
        <v>55791.770000000004</v>
      </c>
      <c r="J18" s="66">
        <v>0</v>
      </c>
      <c r="K18" s="66">
        <v>2338143.7599999998</v>
      </c>
      <c r="L18" s="66">
        <v>72146.679999999993</v>
      </c>
      <c r="M18" s="66">
        <v>32765</v>
      </c>
      <c r="N18" s="201">
        <f t="shared" si="0"/>
        <v>2713135.96</v>
      </c>
    </row>
    <row r="19" spans="1:14">
      <c r="A19" s="143">
        <v>3</v>
      </c>
      <c r="B19" s="144" t="str">
        <f>+'II-D-3.2'!B17</f>
        <v>March 2024</v>
      </c>
      <c r="D19" s="66">
        <v>287.5</v>
      </c>
      <c r="E19" s="66">
        <v>20241.2</v>
      </c>
      <c r="F19" s="66">
        <v>0</v>
      </c>
      <c r="G19" s="66">
        <v>100000</v>
      </c>
      <c r="H19" s="66">
        <v>35578.5</v>
      </c>
      <c r="I19" s="66">
        <v>4991.12</v>
      </c>
      <c r="J19" s="66">
        <v>10526.61</v>
      </c>
      <c r="K19" s="66">
        <v>2471227.2800000003</v>
      </c>
      <c r="L19" s="66">
        <v>38739.86</v>
      </c>
      <c r="M19" s="66">
        <v>1460</v>
      </c>
      <c r="N19" s="201">
        <f t="shared" si="0"/>
        <v>2683052.0700000003</v>
      </c>
    </row>
    <row r="20" spans="1:14">
      <c r="A20" s="143">
        <v>4</v>
      </c>
      <c r="B20" s="144" t="str">
        <f>+'II-D-3.2'!B18</f>
        <v>April 2024</v>
      </c>
      <c r="D20" s="66">
        <v>247.5</v>
      </c>
      <c r="E20" s="66">
        <v>9480.9</v>
      </c>
      <c r="F20" s="66">
        <v>0</v>
      </c>
      <c r="G20" s="66">
        <v>0</v>
      </c>
      <c r="H20" s="66">
        <v>564558.5</v>
      </c>
      <c r="I20" s="66">
        <v>1248.47</v>
      </c>
      <c r="J20" s="66">
        <v>7475.09</v>
      </c>
      <c r="K20" s="66">
        <v>2393857.5100000002</v>
      </c>
      <c r="L20" s="66">
        <v>49054.959999999992</v>
      </c>
      <c r="M20" s="66">
        <v>26663</v>
      </c>
      <c r="N20" s="201">
        <f t="shared" si="0"/>
        <v>3052585.93</v>
      </c>
    </row>
    <row r="21" spans="1:14">
      <c r="A21" s="143">
        <v>5</v>
      </c>
      <c r="B21" s="144" t="str">
        <f>+'II-D-3.2'!B19</f>
        <v>May 2024</v>
      </c>
      <c r="D21" s="66">
        <v>327.5</v>
      </c>
      <c r="E21" s="66">
        <v>9410.7000000000007</v>
      </c>
      <c r="F21" s="66">
        <v>0</v>
      </c>
      <c r="G21" s="66">
        <v>0</v>
      </c>
      <c r="H21" s="66">
        <v>218715.13</v>
      </c>
      <c r="I21" s="66">
        <v>12979.08</v>
      </c>
      <c r="J21" s="66">
        <v>11884.93</v>
      </c>
      <c r="K21" s="66">
        <v>3592348.31</v>
      </c>
      <c r="L21" s="66">
        <v>169658.33</v>
      </c>
      <c r="M21" s="66">
        <v>31069</v>
      </c>
      <c r="N21" s="201">
        <f t="shared" si="0"/>
        <v>4046392.98</v>
      </c>
    </row>
    <row r="22" spans="1:14">
      <c r="A22" s="143">
        <v>6</v>
      </c>
      <c r="B22" s="144" t="str">
        <f>+'II-D-3.2'!B20</f>
        <v>June 2024</v>
      </c>
      <c r="D22" s="66">
        <v>362.5</v>
      </c>
      <c r="E22" s="66">
        <v>9453.6</v>
      </c>
      <c r="F22" s="66">
        <v>5000</v>
      </c>
      <c r="G22" s="66">
        <v>100000</v>
      </c>
      <c r="H22" s="66">
        <v>9854.15</v>
      </c>
      <c r="I22" s="66">
        <v>0</v>
      </c>
      <c r="J22" s="66">
        <v>0</v>
      </c>
      <c r="K22" s="66">
        <v>2421907.9299999997</v>
      </c>
      <c r="L22" s="66">
        <v>80519.960000000006</v>
      </c>
      <c r="M22" s="66">
        <v>3340</v>
      </c>
      <c r="N22" s="201">
        <f t="shared" si="0"/>
        <v>2630438.1399999997</v>
      </c>
    </row>
    <row r="23" spans="1:14">
      <c r="A23" s="143">
        <v>7</v>
      </c>
      <c r="B23" s="144" t="str">
        <f>+'II-D-3.2'!B21</f>
        <v>July 2024</v>
      </c>
      <c r="D23" s="66">
        <v>325</v>
      </c>
      <c r="E23" s="66">
        <v>13029.649999999998</v>
      </c>
      <c r="F23" s="66">
        <v>0</v>
      </c>
      <c r="G23" s="66">
        <v>0</v>
      </c>
      <c r="H23" s="66">
        <v>162556.22</v>
      </c>
      <c r="I23" s="66">
        <v>2438.67</v>
      </c>
      <c r="J23" s="66">
        <v>0</v>
      </c>
      <c r="K23" s="66">
        <v>2449412.71</v>
      </c>
      <c r="L23" s="66">
        <v>72164.050000000017</v>
      </c>
      <c r="M23" s="66">
        <v>29205</v>
      </c>
      <c r="N23" s="201">
        <f t="shared" si="0"/>
        <v>2729131.3</v>
      </c>
    </row>
    <row r="24" spans="1:14">
      <c r="A24" s="143">
        <v>8</v>
      </c>
      <c r="B24" s="144" t="str">
        <f>+'II-D-3.2'!B22</f>
        <v>August 2024</v>
      </c>
      <c r="D24" s="66">
        <v>287.5</v>
      </c>
      <c r="E24" s="66">
        <v>9568.65</v>
      </c>
      <c r="F24" s="66">
        <v>0</v>
      </c>
      <c r="G24" s="66">
        <v>0</v>
      </c>
      <c r="H24" s="66">
        <v>483034</v>
      </c>
      <c r="I24" s="66">
        <v>1074.76</v>
      </c>
      <c r="J24" s="66">
        <v>0</v>
      </c>
      <c r="K24" s="66">
        <v>2445591.1399999997</v>
      </c>
      <c r="L24" s="66">
        <v>115600.59000000001</v>
      </c>
      <c r="M24" s="66">
        <v>58620</v>
      </c>
      <c r="N24" s="201">
        <f t="shared" si="0"/>
        <v>3113776.6399999997</v>
      </c>
    </row>
    <row r="25" spans="1:14">
      <c r="A25" s="143">
        <v>9</v>
      </c>
      <c r="B25" s="144" t="str">
        <f>+'II-D-3.2'!B23</f>
        <v>September 2024</v>
      </c>
      <c r="D25" s="66">
        <v>362.5</v>
      </c>
      <c r="E25" s="66">
        <v>12042.05</v>
      </c>
      <c r="F25" s="66">
        <v>0</v>
      </c>
      <c r="G25" s="66">
        <v>100000</v>
      </c>
      <c r="H25" s="66">
        <v>30450.25</v>
      </c>
      <c r="I25" s="66">
        <v>0</v>
      </c>
      <c r="J25" s="66">
        <v>0</v>
      </c>
      <c r="K25" s="66">
        <v>2435360.4300000002</v>
      </c>
      <c r="L25" s="66">
        <v>87400.589999999982</v>
      </c>
      <c r="M25" s="66">
        <v>8495</v>
      </c>
      <c r="N25" s="201">
        <f t="shared" si="0"/>
        <v>2674110.8199999998</v>
      </c>
    </row>
    <row r="26" spans="1:14">
      <c r="A26" s="143">
        <v>10</v>
      </c>
      <c r="B26" s="144" t="str">
        <f>+'II-D-3.2'!B24</f>
        <v>October 2024</v>
      </c>
      <c r="D26" s="66">
        <v>252.5</v>
      </c>
      <c r="E26" s="66">
        <v>9673.9500000000007</v>
      </c>
      <c r="F26" s="66">
        <v>0</v>
      </c>
      <c r="G26" s="66">
        <v>0</v>
      </c>
      <c r="H26" s="66">
        <v>7655.75</v>
      </c>
      <c r="I26" s="66">
        <v>5019.91</v>
      </c>
      <c r="J26" s="66">
        <v>5776.03</v>
      </c>
      <c r="K26" s="66">
        <v>2449251.0300000003</v>
      </c>
      <c r="L26" s="66">
        <v>24077.54</v>
      </c>
      <c r="M26" s="66">
        <v>8794</v>
      </c>
      <c r="N26" s="201">
        <f t="shared" si="0"/>
        <v>2510500.7100000004</v>
      </c>
    </row>
    <row r="27" spans="1:14">
      <c r="A27" s="143">
        <v>11</v>
      </c>
      <c r="B27" s="144" t="str">
        <f>+'II-D-3.2'!B25</f>
        <v>November 2024</v>
      </c>
      <c r="D27" s="66">
        <v>180</v>
      </c>
      <c r="E27" s="66">
        <v>9746.1</v>
      </c>
      <c r="F27" s="66">
        <v>0</v>
      </c>
      <c r="G27" s="66">
        <v>0</v>
      </c>
      <c r="H27" s="66">
        <v>382946</v>
      </c>
      <c r="I27" s="66">
        <v>7194.44</v>
      </c>
      <c r="J27" s="66">
        <v>0</v>
      </c>
      <c r="K27" s="66">
        <v>3742932.17</v>
      </c>
      <c r="L27" s="66">
        <v>80632.670000000013</v>
      </c>
      <c r="M27" s="66">
        <v>14020</v>
      </c>
      <c r="N27" s="201">
        <f t="shared" si="0"/>
        <v>4237651.38</v>
      </c>
    </row>
    <row r="28" spans="1:14">
      <c r="A28" s="143">
        <v>12</v>
      </c>
      <c r="B28" s="144" t="str">
        <f>+'II-D-3.2'!B26</f>
        <v>December 2024</v>
      </c>
      <c r="D28" s="203">
        <v>72457.7</v>
      </c>
      <c r="E28" s="203">
        <v>9818.25</v>
      </c>
      <c r="F28" s="203">
        <v>0</v>
      </c>
      <c r="G28" s="203">
        <v>1159034</v>
      </c>
      <c r="H28" s="203">
        <v>375898.95</v>
      </c>
      <c r="I28" s="203">
        <v>0</v>
      </c>
      <c r="J28" s="203">
        <v>0</v>
      </c>
      <c r="K28" s="203">
        <v>2495417.9400000004</v>
      </c>
      <c r="L28" s="203">
        <v>90587.04</v>
      </c>
      <c r="M28" s="203">
        <v>33171.839999999997</v>
      </c>
      <c r="N28" s="204">
        <f t="shared" si="0"/>
        <v>4236385.72</v>
      </c>
    </row>
    <row r="29" spans="1:14">
      <c r="A29" s="143">
        <v>13</v>
      </c>
      <c r="B29" s="137"/>
    </row>
    <row r="30" spans="1:14" ht="13.5" thickBot="1">
      <c r="A30" s="143">
        <v>14</v>
      </c>
      <c r="B30" s="159" t="s">
        <v>69</v>
      </c>
      <c r="D30" s="286">
        <f t="shared" ref="D30:M30" si="1">SUM(D17:D28)</f>
        <v>75795.199999999997</v>
      </c>
      <c r="E30" s="286">
        <f t="shared" si="1"/>
        <v>134114.65000000002</v>
      </c>
      <c r="F30" s="286">
        <f t="shared" si="1"/>
        <v>5000</v>
      </c>
      <c r="G30" s="286">
        <f t="shared" si="1"/>
        <v>1254773</v>
      </c>
      <c r="H30" s="286">
        <f t="shared" si="1"/>
        <v>4813738.41</v>
      </c>
      <c r="I30" s="286">
        <f t="shared" si="1"/>
        <v>90738.22</v>
      </c>
      <c r="J30" s="286">
        <f t="shared" si="1"/>
        <v>35662.660000000003</v>
      </c>
      <c r="K30" s="286">
        <f t="shared" si="1"/>
        <v>31535977.740000006</v>
      </c>
      <c r="L30" s="206">
        <f t="shared" si="1"/>
        <v>1013297.95</v>
      </c>
      <c r="M30" s="206">
        <f t="shared" si="1"/>
        <v>341923.51</v>
      </c>
      <c r="N30" s="206">
        <f t="shared" ref="N30" si="2">SUM(N17:N28)</f>
        <v>39301021.340000004</v>
      </c>
    </row>
    <row r="31" spans="1:14" ht="13.5" thickTop="1"/>
    <row r="36" spans="9:9">
      <c r="I36" s="171"/>
    </row>
  </sheetData>
  <printOptions horizontalCentered="1"/>
  <pageMargins left="0.5" right="0.5" top="3" bottom="0.5" header="1.5" footer="1"/>
  <pageSetup scale="73" orientation="landscape"/>
  <headerFooter>
    <oddHeader>&amp;R&amp;"Arial,Bold"Schedule &amp;A
Page &amp;P of &amp;N&amp;C&amp;B
2025 RATE CASE
ONCOR ELECTRIC DELIVERY COMPANY LLC
II-D-3.7  GENERAL EMPLOYEE BENEFIT INFORMATION
TEST YEAR ENDING DECEMBER 31, 2024
SPONSORS: R. PRACHYL/ A. GUILLORY</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9">
    <tabColor rgb="FFFF0000"/>
    <pageSetUpPr fitToPage="1"/>
  </sheetPr>
  <dimension ref="A1:O56"/>
  <sheetViews>
    <sheetView zoomScaleNormal="100" workbookViewId="0">
      <pane xSplit="1" ySplit="10" topLeftCell="B11" activePane="bottomRight" state="frozen"/>
      <selection activeCell="N38" sqref="N38"/>
      <selection pane="topRight" activeCell="N38" sqref="N38"/>
      <selection pane="bottomLeft" activeCell="N38" sqref="N38"/>
      <selection pane="bottomRight" activeCell="J11" sqref="J11"/>
    </sheetView>
  </sheetViews>
  <sheetFormatPr defaultRowHeight="12.75"/>
  <cols>
    <col min="2" max="2" width="42.7109375" bestFit="1" customWidth="1"/>
    <col min="3" max="3" width="11.85546875" bestFit="1" customWidth="1"/>
    <col min="4" max="14" width="11.28515625" bestFit="1" customWidth="1"/>
    <col min="15" max="15" width="12.28515625" style="137" bestFit="1" customWidth="1"/>
  </cols>
  <sheetData>
    <row r="1" spans="1:15">
      <c r="A1" s="156" t="str">
        <f>+'[3]Input Data'!$A$9</f>
        <v>2025 RATE CASE</v>
      </c>
    </row>
    <row r="2" spans="1:15">
      <c r="A2" s="8" t="str">
        <f>+'[3]Input Data'!$A$2</f>
        <v>ONCOR ELECTRIC DELIVERY COMPANY LLC</v>
      </c>
    </row>
    <row r="3" spans="1:15">
      <c r="A3" s="7" t="str">
        <f>CONCATENATE('[3]Schedule Sponsors'!$A$75,'[3]Schedule Sponsors'!$B$75," - OTHER EMPLOYEE BENEFITS")</f>
        <v>II-D-3.7  GENERAL EMPLOYEE BENEFIT INFORMATION - OTHER EMPLOYEE BENEFITS</v>
      </c>
    </row>
    <row r="4" spans="1:15">
      <c r="A4" s="63" t="str">
        <f>+'[3]Input Data'!$A$4</f>
        <v>TEST YEAR ENDING DECEMBER 31, 2024</v>
      </c>
    </row>
    <row r="5" spans="1:15">
      <c r="A5" s="7" t="str">
        <f>CONCATENATE("SPONSORS: ",'[3]Schedule Sponsors'!$D$75)</f>
        <v>SPONSORS: R. PRACHYL/ A. GUILLORY</v>
      </c>
    </row>
    <row r="9" spans="1:15">
      <c r="A9" s="199" t="s">
        <v>87</v>
      </c>
    </row>
    <row r="10" spans="1:15">
      <c r="A10" s="199" t="s">
        <v>89</v>
      </c>
      <c r="B10" s="199" t="s">
        <v>585</v>
      </c>
      <c r="C10" s="199" t="s">
        <v>181</v>
      </c>
      <c r="D10" s="199" t="s">
        <v>296</v>
      </c>
      <c r="E10" s="199" t="s">
        <v>18</v>
      </c>
      <c r="F10" s="199" t="s">
        <v>19</v>
      </c>
      <c r="G10" s="199" t="s">
        <v>20</v>
      </c>
      <c r="H10" s="199" t="s">
        <v>21</v>
      </c>
      <c r="I10" s="199" t="s">
        <v>156</v>
      </c>
      <c r="J10" s="199" t="s">
        <v>157</v>
      </c>
      <c r="K10" s="199" t="s">
        <v>30</v>
      </c>
      <c r="L10" s="199" t="s">
        <v>178</v>
      </c>
      <c r="M10" s="199" t="s">
        <v>179</v>
      </c>
      <c r="N10" s="199" t="s">
        <v>180</v>
      </c>
      <c r="O10" s="214" t="s">
        <v>215</v>
      </c>
    </row>
    <row r="11" spans="1:15">
      <c r="B11" s="200" t="s">
        <v>44</v>
      </c>
      <c r="C11" s="200" t="s">
        <v>45</v>
      </c>
      <c r="D11" s="200" t="s">
        <v>74</v>
      </c>
      <c r="E11" s="200" t="s">
        <v>75</v>
      </c>
      <c r="F11" s="16" t="s">
        <v>76</v>
      </c>
      <c r="G11" s="200" t="s">
        <v>77</v>
      </c>
      <c r="H11" s="200" t="s">
        <v>78</v>
      </c>
      <c r="I11" s="200" t="s">
        <v>79</v>
      </c>
      <c r="J11" s="200" t="s">
        <v>80</v>
      </c>
      <c r="K11" s="200" t="s">
        <v>81</v>
      </c>
      <c r="L11" s="200" t="s">
        <v>82</v>
      </c>
      <c r="M11" s="200" t="s">
        <v>83</v>
      </c>
      <c r="N11" s="200" t="s">
        <v>84</v>
      </c>
      <c r="O11" s="306" t="s">
        <v>85</v>
      </c>
    </row>
    <row r="13" spans="1:15">
      <c r="A13" s="1">
        <v>1</v>
      </c>
    </row>
    <row r="14" spans="1:15">
      <c r="A14" s="1">
        <v>2</v>
      </c>
      <c r="B14" s="194" t="s">
        <v>547</v>
      </c>
    </row>
    <row r="15" spans="1:15">
      <c r="A15" s="1">
        <v>3</v>
      </c>
      <c r="B15" t="s">
        <v>547</v>
      </c>
      <c r="C15" s="234">
        <v>0</v>
      </c>
      <c r="D15" s="234">
        <v>0</v>
      </c>
      <c r="E15" s="234">
        <v>0</v>
      </c>
      <c r="F15" s="234">
        <v>0</v>
      </c>
      <c r="G15" s="234">
        <v>0</v>
      </c>
      <c r="H15" s="234">
        <v>0</v>
      </c>
      <c r="I15" s="234">
        <v>0</v>
      </c>
      <c r="J15" s="234">
        <v>0</v>
      </c>
      <c r="K15" s="234">
        <v>0</v>
      </c>
      <c r="L15" s="234">
        <v>0</v>
      </c>
      <c r="M15" s="234">
        <v>0</v>
      </c>
      <c r="N15" s="234">
        <v>45205.2</v>
      </c>
      <c r="O15" s="307">
        <f>SUM(C15:N15)</f>
        <v>45205.2</v>
      </c>
    </row>
    <row r="16" spans="1:15">
      <c r="A16" s="1">
        <v>4</v>
      </c>
      <c r="B16" t="s">
        <v>547</v>
      </c>
      <c r="C16" s="208">
        <v>0</v>
      </c>
      <c r="D16" s="208">
        <v>0</v>
      </c>
      <c r="E16" s="208">
        <v>0</v>
      </c>
      <c r="F16" s="208">
        <v>0</v>
      </c>
      <c r="G16" s="208">
        <v>0</v>
      </c>
      <c r="H16" s="208">
        <v>0</v>
      </c>
      <c r="I16" s="208">
        <v>0</v>
      </c>
      <c r="J16" s="208">
        <v>0</v>
      </c>
      <c r="K16" s="208">
        <v>0</v>
      </c>
      <c r="L16" s="208">
        <v>0</v>
      </c>
      <c r="M16" s="208">
        <v>0</v>
      </c>
      <c r="N16" s="208">
        <v>27000</v>
      </c>
      <c r="O16" s="308">
        <f t="shared" ref="O16:O17" si="0">SUM(C16:N16)</f>
        <v>27000</v>
      </c>
    </row>
    <row r="17" spans="1:15">
      <c r="A17" s="1">
        <v>5</v>
      </c>
      <c r="B17" t="s">
        <v>547</v>
      </c>
      <c r="C17" s="208">
        <v>370</v>
      </c>
      <c r="D17" s="208">
        <v>335</v>
      </c>
      <c r="E17" s="208">
        <v>287.5</v>
      </c>
      <c r="F17" s="208">
        <v>247.5</v>
      </c>
      <c r="G17" s="208">
        <v>327.5</v>
      </c>
      <c r="H17" s="208">
        <v>362.5</v>
      </c>
      <c r="I17" s="208">
        <v>325</v>
      </c>
      <c r="J17" s="208">
        <v>287.5</v>
      </c>
      <c r="K17" s="208">
        <v>362.5</v>
      </c>
      <c r="L17" s="208">
        <v>252.5</v>
      </c>
      <c r="M17" s="208">
        <v>180</v>
      </c>
      <c r="N17" s="208">
        <v>252.5</v>
      </c>
      <c r="O17" s="308">
        <f t="shared" si="0"/>
        <v>3590</v>
      </c>
    </row>
    <row r="18" spans="1:15" ht="13.5" thickBot="1">
      <c r="A18" s="1">
        <v>6</v>
      </c>
      <c r="B18" s="194" t="s">
        <v>586</v>
      </c>
      <c r="C18" s="257">
        <f>SUM(C15:C17)</f>
        <v>370</v>
      </c>
      <c r="D18" s="257">
        <f t="shared" ref="D18:N18" si="1">SUM(D15:D17)</f>
        <v>335</v>
      </c>
      <c r="E18" s="257">
        <f t="shared" si="1"/>
        <v>287.5</v>
      </c>
      <c r="F18" s="257">
        <f t="shared" si="1"/>
        <v>247.5</v>
      </c>
      <c r="G18" s="257">
        <f t="shared" si="1"/>
        <v>327.5</v>
      </c>
      <c r="H18" s="257">
        <f t="shared" si="1"/>
        <v>362.5</v>
      </c>
      <c r="I18" s="257">
        <f t="shared" si="1"/>
        <v>325</v>
      </c>
      <c r="J18" s="257">
        <f t="shared" si="1"/>
        <v>287.5</v>
      </c>
      <c r="K18" s="257">
        <f t="shared" si="1"/>
        <v>362.5</v>
      </c>
      <c r="L18" s="257">
        <f t="shared" si="1"/>
        <v>252.5</v>
      </c>
      <c r="M18" s="257">
        <f t="shared" si="1"/>
        <v>180</v>
      </c>
      <c r="N18" s="257">
        <f t="shared" si="1"/>
        <v>72457.7</v>
      </c>
      <c r="O18" s="309">
        <f>SUM(O15:O17)</f>
        <v>75795.199999999997</v>
      </c>
    </row>
    <row r="19" spans="1:15" ht="13.5" thickTop="1">
      <c r="A19" s="1">
        <v>7</v>
      </c>
      <c r="C19" s="208"/>
      <c r="D19" s="208"/>
      <c r="E19" s="208"/>
      <c r="F19" s="208"/>
      <c r="G19" s="208"/>
      <c r="H19" s="208"/>
      <c r="I19" s="208"/>
      <c r="J19" s="208"/>
      <c r="K19" s="208"/>
      <c r="L19" s="208"/>
      <c r="M19" s="208"/>
      <c r="N19" s="208"/>
      <c r="O19" s="308"/>
    </row>
    <row r="20" spans="1:15">
      <c r="A20" s="1">
        <v>8</v>
      </c>
      <c r="B20" s="194" t="s">
        <v>62</v>
      </c>
      <c r="C20" s="208"/>
      <c r="D20" s="208"/>
      <c r="E20" s="208"/>
      <c r="F20" s="208"/>
      <c r="G20" s="208"/>
      <c r="H20" s="208"/>
      <c r="I20" s="208"/>
      <c r="J20" s="208"/>
      <c r="K20" s="208"/>
      <c r="L20" s="208"/>
      <c r="M20" s="208"/>
      <c r="N20" s="208"/>
      <c r="O20" s="308"/>
    </row>
    <row r="21" spans="1:15">
      <c r="A21" s="1">
        <v>9</v>
      </c>
      <c r="B21" t="s">
        <v>62</v>
      </c>
      <c r="C21" s="234">
        <v>12201.850000000002</v>
      </c>
      <c r="D21" s="234">
        <v>9447.75</v>
      </c>
      <c r="E21" s="234">
        <v>20241.2</v>
      </c>
      <c r="F21" s="234">
        <v>9480.9</v>
      </c>
      <c r="G21" s="234">
        <v>9410.7000000000007</v>
      </c>
      <c r="H21" s="234">
        <v>9453.6</v>
      </c>
      <c r="I21" s="234">
        <v>13029.649999999998</v>
      </c>
      <c r="J21" s="234">
        <v>9568.65</v>
      </c>
      <c r="K21" s="234">
        <v>12042.05</v>
      </c>
      <c r="L21" s="234">
        <v>9673.9500000000007</v>
      </c>
      <c r="M21" s="234">
        <v>9746.1</v>
      </c>
      <c r="N21" s="234">
        <v>9818.25</v>
      </c>
      <c r="O21" s="307">
        <f>SUM(C21:N21)</f>
        <v>134114.65000000002</v>
      </c>
    </row>
    <row r="22" spans="1:15">
      <c r="A22" s="1">
        <v>10</v>
      </c>
      <c r="C22" s="208"/>
      <c r="D22" s="208"/>
      <c r="E22" s="208"/>
      <c r="F22" s="208"/>
      <c r="G22" s="208"/>
      <c r="H22" s="208"/>
      <c r="I22" s="208"/>
      <c r="J22" s="208"/>
      <c r="K22" s="208"/>
      <c r="L22" s="208"/>
      <c r="M22" s="208"/>
      <c r="N22" s="208"/>
      <c r="O22" s="308"/>
    </row>
    <row r="23" spans="1:15">
      <c r="A23" s="1">
        <v>14</v>
      </c>
      <c r="B23" s="194" t="s">
        <v>845</v>
      </c>
      <c r="C23" s="208"/>
      <c r="D23" s="208"/>
      <c r="E23" s="208"/>
      <c r="F23" s="208"/>
      <c r="G23" s="208"/>
      <c r="H23" s="208"/>
      <c r="I23" s="208"/>
      <c r="J23" s="208"/>
      <c r="K23" s="208"/>
      <c r="L23" s="208"/>
      <c r="M23" s="208"/>
      <c r="N23" s="208"/>
      <c r="O23" s="308"/>
    </row>
    <row r="24" spans="1:15">
      <c r="A24" s="1">
        <v>15</v>
      </c>
      <c r="B24" t="s">
        <v>845</v>
      </c>
      <c r="C24" s="234">
        <v>0</v>
      </c>
      <c r="D24" s="234">
        <v>0</v>
      </c>
      <c r="E24" s="234">
        <v>0</v>
      </c>
      <c r="F24" s="234">
        <v>0</v>
      </c>
      <c r="G24" s="234">
        <v>0</v>
      </c>
      <c r="H24" s="234">
        <v>5000</v>
      </c>
      <c r="I24" s="234">
        <v>0</v>
      </c>
      <c r="J24" s="234">
        <v>0</v>
      </c>
      <c r="K24" s="234">
        <v>0</v>
      </c>
      <c r="L24" s="234">
        <v>0</v>
      </c>
      <c r="M24" s="234">
        <v>0</v>
      </c>
      <c r="N24" s="234">
        <v>0</v>
      </c>
      <c r="O24" s="307">
        <f>SUM(C24:N24)</f>
        <v>5000</v>
      </c>
    </row>
    <row r="25" spans="1:15">
      <c r="A25" s="1">
        <v>16</v>
      </c>
      <c r="C25" s="208"/>
      <c r="D25" s="208"/>
      <c r="E25" s="208"/>
      <c r="F25" s="208"/>
      <c r="G25" s="208"/>
      <c r="H25" s="208"/>
      <c r="I25" s="208"/>
      <c r="J25" s="208"/>
      <c r="K25" s="208"/>
      <c r="L25" s="208"/>
      <c r="M25" s="208"/>
      <c r="N25" s="208"/>
      <c r="O25" s="308"/>
    </row>
    <row r="26" spans="1:15">
      <c r="A26" s="1">
        <v>17</v>
      </c>
      <c r="B26" s="194" t="s">
        <v>587</v>
      </c>
      <c r="C26" s="208"/>
      <c r="D26" s="208"/>
      <c r="E26" s="208"/>
      <c r="F26" s="208"/>
      <c r="G26" s="208"/>
      <c r="H26" s="208"/>
      <c r="I26" s="208"/>
      <c r="J26" s="208"/>
      <c r="K26" s="208"/>
      <c r="L26" s="208"/>
      <c r="M26" s="208"/>
      <c r="N26" s="208"/>
      <c r="O26" s="308"/>
    </row>
    <row r="27" spans="1:15">
      <c r="A27" s="1">
        <v>18</v>
      </c>
      <c r="B27" t="s">
        <v>587</v>
      </c>
      <c r="C27" s="234">
        <v>-204261</v>
      </c>
      <c r="D27" s="234">
        <v>0</v>
      </c>
      <c r="E27" s="234">
        <v>100000</v>
      </c>
      <c r="F27" s="234">
        <v>0</v>
      </c>
      <c r="G27" s="234">
        <v>0</v>
      </c>
      <c r="H27" s="234">
        <v>100000</v>
      </c>
      <c r="I27" s="234">
        <v>0</v>
      </c>
      <c r="J27" s="234">
        <v>0</v>
      </c>
      <c r="K27" s="234">
        <v>100000</v>
      </c>
      <c r="L27" s="234">
        <v>0</v>
      </c>
      <c r="M27" s="234">
        <v>0</v>
      </c>
      <c r="N27" s="234">
        <v>1159034</v>
      </c>
      <c r="O27" s="307">
        <f>SUM(C27:N27)</f>
        <v>1254773</v>
      </c>
    </row>
    <row r="28" spans="1:15">
      <c r="A28" s="1">
        <v>19</v>
      </c>
      <c r="C28" s="208"/>
      <c r="D28" s="208"/>
      <c r="E28" s="208"/>
      <c r="F28" s="208"/>
      <c r="G28" s="208"/>
      <c r="H28" s="208"/>
      <c r="I28" s="208"/>
      <c r="J28" s="208"/>
      <c r="K28" s="208"/>
      <c r="L28" s="208"/>
      <c r="M28" s="208"/>
      <c r="N28" s="208"/>
      <c r="O28" s="308"/>
    </row>
    <row r="29" spans="1:15">
      <c r="A29" s="1">
        <v>20</v>
      </c>
      <c r="B29" s="194" t="s">
        <v>588</v>
      </c>
      <c r="C29" s="208"/>
      <c r="D29" s="208"/>
      <c r="E29" s="208"/>
      <c r="F29" s="208"/>
      <c r="G29" s="208"/>
      <c r="H29" s="208"/>
      <c r="I29" s="208"/>
      <c r="J29" s="208"/>
      <c r="K29" s="208"/>
      <c r="L29" s="208"/>
      <c r="M29" s="208"/>
      <c r="N29" s="208"/>
      <c r="O29" s="308"/>
    </row>
    <row r="30" spans="1:15">
      <c r="A30" s="1">
        <v>21</v>
      </c>
      <c r="B30" t="s">
        <v>848</v>
      </c>
      <c r="C30" s="234">
        <v>2337649.94</v>
      </c>
      <c r="D30" s="234">
        <v>205044</v>
      </c>
      <c r="E30" s="234">
        <v>14966</v>
      </c>
      <c r="F30" s="234">
        <v>585571</v>
      </c>
      <c r="G30" s="234">
        <v>176652.63</v>
      </c>
      <c r="H30" s="234">
        <v>10354.15</v>
      </c>
      <c r="I30" s="234">
        <v>162218.72</v>
      </c>
      <c r="J30" s="234">
        <v>483034</v>
      </c>
      <c r="K30" s="234">
        <v>9419</v>
      </c>
      <c r="L30" s="234">
        <v>7012</v>
      </c>
      <c r="M30" s="234">
        <v>382946</v>
      </c>
      <c r="N30" s="234">
        <v>375598.95</v>
      </c>
      <c r="O30" s="307">
        <f>SUM(C30:N30)</f>
        <v>4750466.3899999997</v>
      </c>
    </row>
    <row r="31" spans="1:15">
      <c r="A31" s="1">
        <v>22</v>
      </c>
      <c r="B31" s="171" t="s">
        <v>848</v>
      </c>
      <c r="C31" s="208">
        <v>20512.5</v>
      </c>
      <c r="D31" s="208">
        <v>0</v>
      </c>
      <c r="E31" s="208">
        <v>0</v>
      </c>
      <c r="F31" s="208">
        <v>0</v>
      </c>
      <c r="G31" s="208">
        <v>21031.25</v>
      </c>
      <c r="H31" s="208">
        <v>0</v>
      </c>
      <c r="I31" s="208">
        <v>21368.75</v>
      </c>
      <c r="J31" s="208">
        <v>0</v>
      </c>
      <c r="K31" s="208">
        <v>0</v>
      </c>
      <c r="L31" s="208">
        <v>21675</v>
      </c>
      <c r="M31" s="208">
        <v>0</v>
      </c>
      <c r="N31" s="208">
        <v>0</v>
      </c>
      <c r="O31" s="308">
        <f>SUM(C31:N31)</f>
        <v>84587.5</v>
      </c>
    </row>
    <row r="32" spans="1:15">
      <c r="A32" s="1">
        <v>23</v>
      </c>
      <c r="B32" t="s">
        <v>848</v>
      </c>
      <c r="C32" s="208">
        <v>-20177.48</v>
      </c>
      <c r="D32" s="208">
        <v>-538</v>
      </c>
      <c r="E32" s="208">
        <v>20612.5</v>
      </c>
      <c r="F32" s="208">
        <v>-21012.5</v>
      </c>
      <c r="G32" s="208">
        <v>21031.25</v>
      </c>
      <c r="H32" s="208">
        <v>-500</v>
      </c>
      <c r="I32" s="208">
        <v>-21031.25</v>
      </c>
      <c r="J32" s="208">
        <v>0</v>
      </c>
      <c r="K32" s="208">
        <v>21031.25</v>
      </c>
      <c r="L32" s="208">
        <v>-21031.25</v>
      </c>
      <c r="M32" s="208">
        <v>0</v>
      </c>
      <c r="N32" s="208">
        <v>300</v>
      </c>
      <c r="O32" s="308">
        <f>SUM(C32:N32)</f>
        <v>-21315.48</v>
      </c>
    </row>
    <row r="33" spans="1:15" ht="13.5" thickBot="1">
      <c r="A33" s="1">
        <v>24</v>
      </c>
      <c r="B33" s="194" t="s">
        <v>589</v>
      </c>
      <c r="C33" s="257">
        <f t="shared" ref="C33:N33" si="2">SUM(C30:C32)</f>
        <v>2337984.96</v>
      </c>
      <c r="D33" s="257">
        <f t="shared" si="2"/>
        <v>204506</v>
      </c>
      <c r="E33" s="257">
        <f t="shared" si="2"/>
        <v>35578.5</v>
      </c>
      <c r="F33" s="257">
        <f t="shared" si="2"/>
        <v>564558.5</v>
      </c>
      <c r="G33" s="257">
        <f t="shared" si="2"/>
        <v>218715.13</v>
      </c>
      <c r="H33" s="257">
        <f t="shared" si="2"/>
        <v>9854.15</v>
      </c>
      <c r="I33" s="257">
        <f t="shared" si="2"/>
        <v>162556.22</v>
      </c>
      <c r="J33" s="257">
        <f t="shared" si="2"/>
        <v>483034</v>
      </c>
      <c r="K33" s="257">
        <f t="shared" si="2"/>
        <v>30450.25</v>
      </c>
      <c r="L33" s="257">
        <f t="shared" si="2"/>
        <v>7655.75</v>
      </c>
      <c r="M33" s="257">
        <f t="shared" si="2"/>
        <v>382946</v>
      </c>
      <c r="N33" s="257">
        <f t="shared" si="2"/>
        <v>375898.95</v>
      </c>
      <c r="O33" s="309">
        <f>SUM(O30:O32)</f>
        <v>4813738.4099999992</v>
      </c>
    </row>
    <row r="34" spans="1:15" ht="13.5" thickTop="1">
      <c r="A34" s="1">
        <v>25</v>
      </c>
      <c r="C34" s="208"/>
      <c r="D34" s="208"/>
      <c r="E34" s="208"/>
      <c r="F34" s="208"/>
      <c r="G34" s="208"/>
      <c r="H34" s="208"/>
      <c r="I34" s="208"/>
      <c r="J34" s="208"/>
      <c r="K34" s="208"/>
      <c r="L34" s="208"/>
      <c r="M34" s="208"/>
      <c r="N34" s="208"/>
      <c r="O34" s="308"/>
    </row>
    <row r="35" spans="1:15">
      <c r="A35" s="1">
        <v>26</v>
      </c>
      <c r="B35" s="194" t="s">
        <v>17</v>
      </c>
      <c r="C35" s="208"/>
      <c r="D35" s="208"/>
      <c r="E35" s="208"/>
      <c r="F35" s="208"/>
      <c r="G35" s="208"/>
      <c r="H35" s="208"/>
      <c r="I35" s="208"/>
      <c r="J35" s="208"/>
      <c r="K35" s="208"/>
      <c r="L35" s="208"/>
      <c r="M35" s="208"/>
      <c r="N35" s="208"/>
      <c r="O35" s="308"/>
    </row>
    <row r="36" spans="1:15">
      <c r="A36" s="1">
        <v>27</v>
      </c>
      <c r="B36" t="s">
        <v>17</v>
      </c>
      <c r="C36" s="234">
        <v>0</v>
      </c>
      <c r="D36" s="234">
        <v>55791.770000000004</v>
      </c>
      <c r="E36" s="234">
        <v>4991.12</v>
      </c>
      <c r="F36" s="234">
        <v>1248.47</v>
      </c>
      <c r="G36" s="234">
        <v>12979.08</v>
      </c>
      <c r="H36" s="234">
        <v>0</v>
      </c>
      <c r="I36" s="234">
        <v>2438.67</v>
      </c>
      <c r="J36" s="234">
        <v>1074.76</v>
      </c>
      <c r="K36" s="234">
        <v>0</v>
      </c>
      <c r="L36" s="234">
        <v>5019.91</v>
      </c>
      <c r="M36" s="234">
        <v>7194.44</v>
      </c>
      <c r="N36" s="234">
        <v>0</v>
      </c>
      <c r="O36" s="307">
        <f>SUM(C36:N36)</f>
        <v>90738.22</v>
      </c>
    </row>
    <row r="37" spans="1:15">
      <c r="A37" s="1">
        <v>28</v>
      </c>
      <c r="C37" s="208"/>
      <c r="D37" s="208"/>
      <c r="E37" s="208"/>
      <c r="F37" s="208"/>
      <c r="G37" s="208"/>
      <c r="H37" s="208"/>
      <c r="I37" s="208"/>
      <c r="J37" s="208"/>
      <c r="K37" s="208"/>
      <c r="L37" s="208"/>
      <c r="M37" s="208"/>
      <c r="N37" s="208"/>
      <c r="O37" s="308"/>
    </row>
    <row r="38" spans="1:15">
      <c r="A38" s="1">
        <v>29</v>
      </c>
      <c r="B38" s="194" t="s">
        <v>191</v>
      </c>
      <c r="C38" s="208"/>
      <c r="D38" s="208"/>
      <c r="E38" s="208"/>
      <c r="F38" s="208"/>
      <c r="G38" s="208"/>
      <c r="H38" s="208"/>
      <c r="I38" s="208"/>
      <c r="J38" s="208"/>
      <c r="K38" s="208"/>
      <c r="L38" s="208"/>
      <c r="M38" s="208"/>
      <c r="N38" s="208"/>
      <c r="O38" s="308"/>
    </row>
    <row r="39" spans="1:15">
      <c r="A39" s="1">
        <v>30</v>
      </c>
      <c r="B39" t="s">
        <v>191</v>
      </c>
      <c r="C39" s="234">
        <v>0</v>
      </c>
      <c r="D39" s="234">
        <v>0</v>
      </c>
      <c r="E39" s="234">
        <v>10526.61</v>
      </c>
      <c r="F39" s="234">
        <v>7475.09</v>
      </c>
      <c r="G39" s="234">
        <v>11884.93</v>
      </c>
      <c r="H39" s="234">
        <v>0</v>
      </c>
      <c r="I39" s="234">
        <v>0</v>
      </c>
      <c r="J39" s="234">
        <v>0</v>
      </c>
      <c r="K39" s="234">
        <v>0</v>
      </c>
      <c r="L39" s="234">
        <v>5776.03</v>
      </c>
      <c r="M39" s="234">
        <v>0</v>
      </c>
      <c r="N39" s="234">
        <v>0</v>
      </c>
      <c r="O39" s="307">
        <f>SUM(C39:N39)</f>
        <v>35662.660000000003</v>
      </c>
    </row>
    <row r="40" spans="1:15">
      <c r="A40" s="1">
        <v>31</v>
      </c>
      <c r="C40" s="208"/>
      <c r="D40" s="208"/>
      <c r="E40" s="208"/>
      <c r="F40" s="208"/>
      <c r="G40" s="208"/>
      <c r="H40" s="208"/>
      <c r="I40" s="208"/>
      <c r="J40" s="208"/>
      <c r="K40" s="208"/>
      <c r="L40" s="208"/>
      <c r="M40" s="208"/>
      <c r="N40" s="208"/>
      <c r="O40" s="308"/>
    </row>
    <row r="41" spans="1:15">
      <c r="A41" s="1">
        <v>32</v>
      </c>
      <c r="B41" s="194" t="s">
        <v>590</v>
      </c>
      <c r="C41" s="208"/>
      <c r="D41" s="208"/>
      <c r="E41" s="208"/>
      <c r="F41" s="208"/>
      <c r="G41" s="208"/>
      <c r="H41" s="208"/>
      <c r="I41" s="208"/>
      <c r="J41" s="208"/>
      <c r="K41" s="208"/>
      <c r="L41" s="208"/>
      <c r="M41" s="208"/>
      <c r="N41" s="208"/>
      <c r="O41" s="308"/>
    </row>
    <row r="42" spans="1:15">
      <c r="A42" s="1">
        <v>33</v>
      </c>
      <c r="B42" t="s">
        <v>590</v>
      </c>
      <c r="C42" s="234">
        <v>2300527.5300000003</v>
      </c>
      <c r="D42" s="234">
        <v>2337907.42</v>
      </c>
      <c r="E42" s="234">
        <v>2471227.2800000003</v>
      </c>
      <c r="F42" s="234">
        <v>2393857.5100000002</v>
      </c>
      <c r="G42" s="234">
        <v>3592348.31</v>
      </c>
      <c r="H42" s="234">
        <v>2421907.9299999997</v>
      </c>
      <c r="I42" s="234">
        <v>2449412.71</v>
      </c>
      <c r="J42" s="234">
        <v>2445371.1399999997</v>
      </c>
      <c r="K42" s="234">
        <v>2435360.4300000002</v>
      </c>
      <c r="L42" s="234">
        <v>2449251.0300000003</v>
      </c>
      <c r="M42" s="234">
        <v>3742932.17</v>
      </c>
      <c r="N42" s="234">
        <v>2493562.0700000003</v>
      </c>
      <c r="O42" s="307">
        <f>SUM(C42:N42)</f>
        <v>31533665.530000001</v>
      </c>
    </row>
    <row r="43" spans="1:15">
      <c r="A43" s="1">
        <v>34</v>
      </c>
      <c r="B43" t="s">
        <v>590</v>
      </c>
      <c r="C43" s="66">
        <v>0</v>
      </c>
      <c r="D43" s="66">
        <v>236.34</v>
      </c>
      <c r="E43" s="66">
        <v>0</v>
      </c>
      <c r="F43" s="66">
        <v>0</v>
      </c>
      <c r="G43" s="66">
        <v>0</v>
      </c>
      <c r="H43" s="66">
        <v>0</v>
      </c>
      <c r="I43" s="66">
        <v>0</v>
      </c>
      <c r="J43" s="66">
        <v>220</v>
      </c>
      <c r="K43" s="66">
        <v>0</v>
      </c>
      <c r="L43" s="66">
        <v>0</v>
      </c>
      <c r="M43" s="66">
        <v>0</v>
      </c>
      <c r="N43" s="66">
        <v>1855.87</v>
      </c>
      <c r="O43" s="345">
        <f>SUM(C43:N43)</f>
        <v>2312.21</v>
      </c>
    </row>
    <row r="44" spans="1:15" ht="15.75" thickBot="1">
      <c r="A44" s="1">
        <v>35</v>
      </c>
      <c r="B44" s="344" t="s">
        <v>846</v>
      </c>
      <c r="C44" s="257">
        <f>SUM(C42:C43)</f>
        <v>2300527.5300000003</v>
      </c>
      <c r="D44" s="257">
        <f t="shared" ref="D44:N44" si="3">SUM(D42:D43)</f>
        <v>2338143.7599999998</v>
      </c>
      <c r="E44" s="257">
        <f t="shared" si="3"/>
        <v>2471227.2800000003</v>
      </c>
      <c r="F44" s="257">
        <f t="shared" si="3"/>
        <v>2393857.5100000002</v>
      </c>
      <c r="G44" s="257">
        <f t="shared" si="3"/>
        <v>3592348.31</v>
      </c>
      <c r="H44" s="257">
        <f t="shared" si="3"/>
        <v>2421907.9299999997</v>
      </c>
      <c r="I44" s="257">
        <f t="shared" si="3"/>
        <v>2449412.71</v>
      </c>
      <c r="J44" s="257">
        <f t="shared" si="3"/>
        <v>2445591.1399999997</v>
      </c>
      <c r="K44" s="257">
        <f t="shared" si="3"/>
        <v>2435360.4300000002</v>
      </c>
      <c r="L44" s="257">
        <f t="shared" si="3"/>
        <v>2449251.0300000003</v>
      </c>
      <c r="M44" s="257">
        <f t="shared" si="3"/>
        <v>3742932.17</v>
      </c>
      <c r="N44" s="257">
        <f t="shared" si="3"/>
        <v>2495417.9400000004</v>
      </c>
      <c r="O44" s="257">
        <f>SUM(O42:O43)</f>
        <v>31535977.740000002</v>
      </c>
    </row>
    <row r="45" spans="1:15" ht="13.5" thickTop="1">
      <c r="A45" s="1">
        <v>36</v>
      </c>
      <c r="C45" s="208"/>
      <c r="D45" s="208"/>
      <c r="E45" s="208"/>
      <c r="F45" s="208"/>
      <c r="G45" s="208"/>
      <c r="H45" s="208"/>
      <c r="I45" s="208"/>
      <c r="J45" s="208"/>
      <c r="K45" s="208"/>
      <c r="L45" s="208"/>
      <c r="M45" s="208"/>
      <c r="N45" s="208"/>
      <c r="O45" s="308"/>
    </row>
    <row r="46" spans="1:15">
      <c r="A46" s="1">
        <v>37</v>
      </c>
      <c r="B46" s="194" t="s">
        <v>539</v>
      </c>
      <c r="C46" s="208"/>
      <c r="D46" s="208"/>
      <c r="E46" s="208"/>
      <c r="F46" s="208"/>
      <c r="G46" s="208"/>
      <c r="H46" s="208"/>
      <c r="I46" s="208"/>
      <c r="J46" s="208"/>
      <c r="K46" s="208"/>
      <c r="L46" s="208"/>
      <c r="M46" s="208"/>
      <c r="N46" s="208"/>
      <c r="O46" s="308"/>
    </row>
    <row r="47" spans="1:15">
      <c r="A47" s="1">
        <v>38</v>
      </c>
      <c r="B47" t="s">
        <v>847</v>
      </c>
      <c r="C47" s="234">
        <v>132715.68</v>
      </c>
      <c r="D47" s="234">
        <v>72146.679999999993</v>
      </c>
      <c r="E47" s="234">
        <v>38739.86</v>
      </c>
      <c r="F47" s="234">
        <v>49054.959999999992</v>
      </c>
      <c r="G47" s="234">
        <v>169658.33</v>
      </c>
      <c r="H47" s="234">
        <v>80519.960000000006</v>
      </c>
      <c r="I47" s="234">
        <v>72164.050000000017</v>
      </c>
      <c r="J47" s="234">
        <v>115600.59000000001</v>
      </c>
      <c r="K47" s="234">
        <v>87400.589999999982</v>
      </c>
      <c r="L47" s="234">
        <v>24077.54</v>
      </c>
      <c r="M47" s="234">
        <v>80632.670000000013</v>
      </c>
      <c r="N47" s="234">
        <v>90587.04</v>
      </c>
      <c r="O47" s="307">
        <f>SUM(C47:N47)</f>
        <v>1013297.95</v>
      </c>
    </row>
    <row r="48" spans="1:15">
      <c r="A48" s="1">
        <v>39</v>
      </c>
      <c r="C48" s="208"/>
      <c r="D48" s="208"/>
      <c r="E48" s="208"/>
      <c r="F48" s="208"/>
      <c r="G48" s="208"/>
      <c r="H48" s="208"/>
      <c r="I48" s="208"/>
      <c r="J48" s="208"/>
      <c r="K48" s="208"/>
      <c r="L48" s="208"/>
      <c r="M48" s="208"/>
      <c r="N48" s="208"/>
      <c r="O48" s="308"/>
    </row>
    <row r="49" spans="1:15">
      <c r="A49" s="1">
        <v>40</v>
      </c>
      <c r="B49" s="194" t="s">
        <v>591</v>
      </c>
      <c r="C49" s="208"/>
      <c r="D49" s="208"/>
      <c r="E49" s="208"/>
      <c r="F49" s="208"/>
      <c r="G49" s="208"/>
      <c r="H49" s="208"/>
      <c r="I49" s="208"/>
      <c r="J49" s="208"/>
      <c r="K49" s="208"/>
      <c r="L49" s="208"/>
      <c r="M49" s="208"/>
      <c r="N49" s="208"/>
      <c r="O49" s="308"/>
    </row>
    <row r="50" spans="1:15">
      <c r="A50" s="1">
        <v>41</v>
      </c>
      <c r="B50" t="s">
        <v>591</v>
      </c>
      <c r="C50" s="234">
        <v>-19509.330000000002</v>
      </c>
      <c r="D50" s="234">
        <v>0</v>
      </c>
      <c r="E50" s="234">
        <v>0</v>
      </c>
      <c r="F50" s="234">
        <v>0</v>
      </c>
      <c r="G50" s="234">
        <v>0</v>
      </c>
      <c r="H50" s="234">
        <v>0</v>
      </c>
      <c r="I50" s="234">
        <v>0</v>
      </c>
      <c r="J50" s="234">
        <v>25100</v>
      </c>
      <c r="K50" s="234">
        <v>0</v>
      </c>
      <c r="L50" s="234">
        <v>3744</v>
      </c>
      <c r="M50" s="234">
        <v>0</v>
      </c>
      <c r="N50" s="234">
        <v>16996.84</v>
      </c>
      <c r="O50" s="307">
        <f>SUM(C50:N50)</f>
        <v>26331.51</v>
      </c>
    </row>
    <row r="51" spans="1:15">
      <c r="A51" s="1">
        <v>42</v>
      </c>
      <c r="B51" s="171" t="s">
        <v>591</v>
      </c>
      <c r="C51" s="208">
        <v>-220</v>
      </c>
      <c r="D51" s="208">
        <v>4115</v>
      </c>
      <c r="E51" s="208">
        <v>1460</v>
      </c>
      <c r="F51" s="208">
        <v>2885</v>
      </c>
      <c r="G51" s="208">
        <v>2995</v>
      </c>
      <c r="H51" s="208">
        <v>3090</v>
      </c>
      <c r="I51" s="208">
        <v>3705</v>
      </c>
      <c r="J51" s="208">
        <v>3020</v>
      </c>
      <c r="K51" s="208">
        <v>6795</v>
      </c>
      <c r="L51" s="208">
        <v>5050</v>
      </c>
      <c r="M51" s="208">
        <v>4270</v>
      </c>
      <c r="N51" s="208">
        <v>4625</v>
      </c>
      <c r="O51" s="308">
        <f>SUM(C51:N51)</f>
        <v>41790</v>
      </c>
    </row>
    <row r="52" spans="1:15">
      <c r="A52" s="1">
        <v>43</v>
      </c>
      <c r="B52" t="s">
        <v>591</v>
      </c>
      <c r="C52" s="208">
        <v>114050</v>
      </c>
      <c r="D52" s="208">
        <v>28650</v>
      </c>
      <c r="E52" s="208">
        <v>0</v>
      </c>
      <c r="F52" s="208">
        <v>23778</v>
      </c>
      <c r="G52" s="208">
        <v>28074</v>
      </c>
      <c r="H52" s="208">
        <v>250</v>
      </c>
      <c r="I52" s="208">
        <v>25500</v>
      </c>
      <c r="J52" s="208">
        <v>30500</v>
      </c>
      <c r="K52" s="208">
        <v>1700</v>
      </c>
      <c r="L52" s="208">
        <v>0</v>
      </c>
      <c r="M52" s="208">
        <v>9750</v>
      </c>
      <c r="N52" s="208">
        <v>11550</v>
      </c>
      <c r="O52" s="308">
        <f>SUM(C52:N52)</f>
        <v>273802</v>
      </c>
    </row>
    <row r="53" spans="1:15" ht="13.5" thickBot="1">
      <c r="A53" s="1">
        <v>44</v>
      </c>
      <c r="B53" s="194" t="s">
        <v>593</v>
      </c>
      <c r="C53" s="257">
        <f t="shared" ref="C53:N53" si="4">SUM(C50:C52)</f>
        <v>94320.67</v>
      </c>
      <c r="D53" s="257">
        <f t="shared" si="4"/>
        <v>32765</v>
      </c>
      <c r="E53" s="257">
        <f t="shared" si="4"/>
        <v>1460</v>
      </c>
      <c r="F53" s="257">
        <f t="shared" si="4"/>
        <v>26663</v>
      </c>
      <c r="G53" s="257">
        <f t="shared" si="4"/>
        <v>31069</v>
      </c>
      <c r="H53" s="257">
        <f t="shared" si="4"/>
        <v>3340</v>
      </c>
      <c r="I53" s="257">
        <f t="shared" si="4"/>
        <v>29205</v>
      </c>
      <c r="J53" s="257">
        <f t="shared" si="4"/>
        <v>58620</v>
      </c>
      <c r="K53" s="257">
        <f t="shared" si="4"/>
        <v>8495</v>
      </c>
      <c r="L53" s="257">
        <f t="shared" si="4"/>
        <v>8794</v>
      </c>
      <c r="M53" s="257">
        <f t="shared" si="4"/>
        <v>14020</v>
      </c>
      <c r="N53" s="257">
        <f t="shared" si="4"/>
        <v>33171.839999999997</v>
      </c>
      <c r="O53" s="309">
        <f>SUM(O50:O52)</f>
        <v>341923.51</v>
      </c>
    </row>
    <row r="54" spans="1:15" ht="13.5" thickTop="1">
      <c r="A54" s="1">
        <v>45</v>
      </c>
      <c r="C54" s="208"/>
      <c r="D54" s="208"/>
      <c r="E54" s="208"/>
      <c r="F54" s="208"/>
      <c r="G54" s="208"/>
      <c r="H54" s="208"/>
      <c r="I54" s="208"/>
      <c r="J54" s="208"/>
      <c r="K54" s="208"/>
      <c r="L54" s="208"/>
      <c r="M54" s="208"/>
      <c r="N54" s="208"/>
      <c r="O54" s="308"/>
    </row>
    <row r="55" spans="1:15" ht="13.5" thickBot="1">
      <c r="A55" s="1">
        <v>46</v>
      </c>
      <c r="B55" s="194" t="s">
        <v>592</v>
      </c>
      <c r="C55" s="257">
        <f>+C18+C21+C24+C27+C33+C36+C39+C44+C47+C53</f>
        <v>4673859.6899999995</v>
      </c>
      <c r="D55" s="257">
        <f t="shared" ref="D55:N55" si="5">+D18+D21+D24+D27+D33+D36+D39+D44+D47+D53</f>
        <v>2713135.96</v>
      </c>
      <c r="E55" s="257">
        <f t="shared" si="5"/>
        <v>2683052.0700000003</v>
      </c>
      <c r="F55" s="257">
        <f t="shared" si="5"/>
        <v>3052585.93</v>
      </c>
      <c r="G55" s="257">
        <f t="shared" si="5"/>
        <v>4046392.98</v>
      </c>
      <c r="H55" s="257">
        <f t="shared" si="5"/>
        <v>2630438.1399999997</v>
      </c>
      <c r="I55" s="257">
        <f t="shared" si="5"/>
        <v>2729131.3</v>
      </c>
      <c r="J55" s="257">
        <f t="shared" si="5"/>
        <v>3113776.6399999997</v>
      </c>
      <c r="K55" s="257">
        <f t="shared" si="5"/>
        <v>2674110.8199999998</v>
      </c>
      <c r="L55" s="257">
        <f t="shared" si="5"/>
        <v>2510500.7100000004</v>
      </c>
      <c r="M55" s="257">
        <f t="shared" si="5"/>
        <v>4237651.38</v>
      </c>
      <c r="N55" s="257">
        <f t="shared" si="5"/>
        <v>4236385.72</v>
      </c>
      <c r="O55" s="257">
        <f>+O18+O21+O24+O27+O33+O36+O39+O44+O47+O53</f>
        <v>39301021.340000004</v>
      </c>
    </row>
    <row r="56" spans="1:15" ht="13.5" thickTop="1"/>
  </sheetData>
  <printOptions horizontalCentered="1"/>
  <pageMargins left="0.5" right="0.5" top="3" bottom="0.5" header="1.5" footer="1"/>
  <pageSetup scale="65" fitToHeight="0" orientation="landscape"/>
  <headerFooter>
    <oddHeader>&amp;R&amp;"Arial,Bold"Schedule &amp;A
Page &amp;P of &amp;N&amp;C&amp;B
2025 RATE CASE
ONCOR ELECTRIC DELIVERY COMPANY LLC
II-D-3.7  GENERAL EMPLOYEE BENEFIT INFORMATION - OTHER EMPLOYEE BENEFITS
TEST YEAR ENDING DECEMBER 31, 2024
SPONSORS: R. PRACHYL/ A. GUILLORY</oddHeader>
  </headerFooter>
  <rowBreaks count="1" manualBreakCount="1">
    <brk id="28" max="14"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0">
    <tabColor rgb="FFFF0000"/>
    <pageSetUpPr fitToPage="1"/>
  </sheetPr>
  <dimension ref="A1:K43"/>
  <sheetViews>
    <sheetView topLeftCell="A16" zoomScaleNormal="100" workbookViewId="0">
      <selection activeCell="I40" sqref="I40"/>
    </sheetView>
  </sheetViews>
  <sheetFormatPr defaultRowHeight="12.75"/>
  <cols>
    <col min="2" max="2" width="47.28515625" bestFit="1" customWidth="1"/>
    <col min="3" max="3" width="1.7109375" customWidth="1"/>
    <col min="4" max="4" width="25.28515625" bestFit="1" customWidth="1"/>
    <col min="5" max="5" width="17.5703125" customWidth="1"/>
    <col min="6" max="6" width="2.7109375" customWidth="1"/>
  </cols>
  <sheetData>
    <row r="1" spans="1:5">
      <c r="A1" s="156" t="str">
        <f>+'[3]Input Data'!$A$9</f>
        <v>2025 RATE CASE</v>
      </c>
    </row>
    <row r="2" spans="1:5">
      <c r="A2" s="8" t="str">
        <f>+'[3]Input Data'!$A$2</f>
        <v>ONCOR ELECTRIC DELIVERY COMPANY LLC</v>
      </c>
    </row>
    <row r="3" spans="1:5">
      <c r="A3" s="7" t="str">
        <f>CONCATENATE('[3]Schedule Sponsors'!$A$75,'[3]Schedule Sponsors'!$B$75)</f>
        <v>II-D-3.7  GENERAL EMPLOYEE BENEFIT INFORMATION</v>
      </c>
    </row>
    <row r="4" spans="1:5">
      <c r="A4" s="63" t="str">
        <f>+'[3]Input Data'!$A$4</f>
        <v>TEST YEAR ENDING DECEMBER 31, 2024</v>
      </c>
    </row>
    <row r="5" spans="1:5">
      <c r="A5" s="7" t="str">
        <f>CONCATENATE("SPONSORS: ",'[3]Schedule Sponsors'!$D$75)</f>
        <v>SPONSORS: R. PRACHYL/ A. GUILLORY</v>
      </c>
    </row>
    <row r="8" spans="1:5" ht="13.5" thickBot="1">
      <c r="B8" s="408" t="s">
        <v>424</v>
      </c>
      <c r="C8" s="408"/>
      <c r="D8" s="408"/>
      <c r="E8" s="408"/>
    </row>
    <row r="10" spans="1:5" s="199" customFormat="1">
      <c r="B10" s="207" t="s">
        <v>414</v>
      </c>
      <c r="C10" s="207"/>
      <c r="D10" s="207" t="s">
        <v>415</v>
      </c>
      <c r="E10" s="207" t="s">
        <v>416</v>
      </c>
    </row>
    <row r="11" spans="1:5">
      <c r="B11" s="200" t="s">
        <v>44</v>
      </c>
      <c r="C11" s="1"/>
      <c r="D11" s="200" t="s">
        <v>45</v>
      </c>
      <c r="E11" s="200" t="s">
        <v>74</v>
      </c>
    </row>
    <row r="13" spans="1:5">
      <c r="B13" s="94" t="s">
        <v>849</v>
      </c>
      <c r="D13" t="s">
        <v>417</v>
      </c>
      <c r="E13" s="256">
        <v>79327590.020000011</v>
      </c>
    </row>
    <row r="14" spans="1:5">
      <c r="B14" s="94" t="s">
        <v>850</v>
      </c>
      <c r="D14" t="s">
        <v>418</v>
      </c>
      <c r="E14" s="208">
        <v>9258607.3399999999</v>
      </c>
    </row>
    <row r="15" spans="1:5">
      <c r="B15" s="94" t="s">
        <v>175</v>
      </c>
      <c r="D15" t="s">
        <v>419</v>
      </c>
      <c r="E15" s="208">
        <v>39301021.340000004</v>
      </c>
    </row>
    <row r="16" spans="1:5">
      <c r="B16" s="94" t="s">
        <v>162</v>
      </c>
      <c r="D16" t="s">
        <v>420</v>
      </c>
      <c r="E16" s="208">
        <v>29282910</v>
      </c>
    </row>
    <row r="17" spans="2:6">
      <c r="B17" s="94" t="s">
        <v>407</v>
      </c>
      <c r="D17" t="s">
        <v>421</v>
      </c>
      <c r="E17" s="208">
        <v>19151764</v>
      </c>
    </row>
    <row r="18" spans="2:6">
      <c r="B18" s="94" t="s">
        <v>1053</v>
      </c>
      <c r="D18" t="s">
        <v>422</v>
      </c>
      <c r="E18" s="208">
        <v>3981937.87</v>
      </c>
    </row>
    <row r="19" spans="2:6">
      <c r="B19" s="94" t="s">
        <v>558</v>
      </c>
      <c r="D19" t="s">
        <v>423</v>
      </c>
      <c r="E19" s="208">
        <v>31107534.960000001</v>
      </c>
    </row>
    <row r="20" spans="2:6">
      <c r="B20" s="94" t="s">
        <v>559</v>
      </c>
      <c r="D20" t="s">
        <v>423</v>
      </c>
      <c r="E20" s="208">
        <v>-4094646.72</v>
      </c>
    </row>
    <row r="21" spans="2:6">
      <c r="B21" s="94" t="s">
        <v>634</v>
      </c>
      <c r="D21" t="s">
        <v>423</v>
      </c>
      <c r="E21" s="208">
        <v>-9861068</v>
      </c>
    </row>
    <row r="22" spans="2:6">
      <c r="B22" s="94" t="s">
        <v>635</v>
      </c>
      <c r="D22" t="s">
        <v>423</v>
      </c>
      <c r="E22" s="208">
        <v>-10354991</v>
      </c>
    </row>
    <row r="23" spans="2:6">
      <c r="B23" s="94" t="s">
        <v>636</v>
      </c>
      <c r="E23" s="208">
        <v>-60677930.379999995</v>
      </c>
    </row>
    <row r="24" spans="2:6">
      <c r="B24" s="94" t="s">
        <v>560</v>
      </c>
      <c r="E24" s="208">
        <v>-18158731.839999996</v>
      </c>
    </row>
    <row r="25" spans="2:6">
      <c r="B25" s="94" t="s">
        <v>561</v>
      </c>
      <c r="E25" s="208">
        <v>-6316271.4299999997</v>
      </c>
    </row>
    <row r="26" spans="2:6">
      <c r="B26" s="94" t="s">
        <v>562</v>
      </c>
      <c r="E26" s="208">
        <v>-1535600.0000000002</v>
      </c>
    </row>
    <row r="27" spans="2:6">
      <c r="B27" s="94" t="s">
        <v>563</v>
      </c>
      <c r="E27" s="208">
        <v>153072.21999999997</v>
      </c>
    </row>
    <row r="28" spans="2:6">
      <c r="B28" s="94" t="s">
        <v>564</v>
      </c>
      <c r="E28" s="208">
        <v>62321.67</v>
      </c>
    </row>
    <row r="29" spans="2:6">
      <c r="B29" s="94" t="s">
        <v>637</v>
      </c>
      <c r="E29" s="208">
        <v>45648.29</v>
      </c>
    </row>
    <row r="30" spans="2:6">
      <c r="B30" s="74"/>
      <c r="C30" s="2"/>
      <c r="D30" s="210"/>
      <c r="E30" s="211"/>
    </row>
    <row r="32" spans="2:6" ht="13.5" thickBot="1">
      <c r="B32" s="209" t="s">
        <v>409</v>
      </c>
      <c r="E32" s="212">
        <f>SUM(E13:E31)</f>
        <v>100673168.34000003</v>
      </c>
      <c r="F32" s="171" t="s">
        <v>872</v>
      </c>
    </row>
    <row r="33" spans="2:11" ht="13.5" thickTop="1">
      <c r="J33" s="4"/>
      <c r="K33" s="4"/>
    </row>
    <row r="34" spans="2:11" ht="13.5" thickBot="1">
      <c r="B34" s="171" t="s">
        <v>425</v>
      </c>
      <c r="D34" s="171" t="s">
        <v>694</v>
      </c>
      <c r="E34" s="212">
        <f>+'II-D-2'!E23</f>
        <v>92481916.810000032</v>
      </c>
    </row>
    <row r="35" spans="2:11" ht="13.5" thickTop="1"/>
    <row r="36" spans="2:11" ht="15">
      <c r="B36" s="346" t="s">
        <v>851</v>
      </c>
      <c r="D36" s="347"/>
      <c r="E36" s="205">
        <f>+E34-E32</f>
        <v>-8191251.5300000012</v>
      </c>
    </row>
    <row r="37" spans="2:11" ht="15">
      <c r="B37" s="346"/>
      <c r="D37" s="347"/>
    </row>
    <row r="38" spans="2:11" ht="15">
      <c r="B38" s="346" t="s">
        <v>1056</v>
      </c>
      <c r="D38" s="347"/>
    </row>
    <row r="39" spans="2:11" ht="15">
      <c r="B39" s="346" t="s">
        <v>1057</v>
      </c>
      <c r="D39" s="347"/>
      <c r="E39" s="66">
        <v>-8505119.0100000016</v>
      </c>
    </row>
    <row r="40" spans="2:11" ht="15">
      <c r="B40" s="346" t="s">
        <v>1058</v>
      </c>
      <c r="D40" s="347"/>
      <c r="E40" s="66">
        <v>313867.48</v>
      </c>
    </row>
    <row r="41" spans="2:11" ht="15.75" thickBot="1">
      <c r="B41" s="344" t="s">
        <v>1059</v>
      </c>
      <c r="D41" s="347"/>
      <c r="E41" s="353">
        <f>SUM(E39:E40)</f>
        <v>-8191251.5300000012</v>
      </c>
    </row>
    <row r="42" spans="2:11" ht="13.5" thickTop="1"/>
    <row r="43" spans="2:11">
      <c r="E43" s="205"/>
    </row>
  </sheetData>
  <mergeCells count="1">
    <mergeCell ref="B8:E8"/>
  </mergeCells>
  <printOptions horizontalCentered="1"/>
  <pageMargins left="0.5" right="0.5" top="3" bottom="1" header="1.5" footer="1"/>
  <pageSetup scale="54" orientation="landscape"/>
  <headerFooter>
    <oddHeader>&amp;R&amp;"Arial,Bold"Schedule &amp;A
Page &amp;P of &amp;N&amp;C&amp;B
2025 RATE CASE
ONCOR ELECTRIC DELIVERY COMPANY LLC
II-D-3.7  GENERAL EMPLOYEE BENEFIT INFORMATION
TEST YEAR ENDING DECEMBER 31, 2024
SPONSORS: R. PRACHYL/ A. GUILLORY</oddHead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87">
    <pageSetUpPr fitToPage="1"/>
  </sheetPr>
  <dimension ref="A1:L53"/>
  <sheetViews>
    <sheetView zoomScaleNormal="100" workbookViewId="0">
      <pane ySplit="6" topLeftCell="A7" activePane="bottomLeft" state="frozen"/>
      <selection activeCell="N38" sqref="N38"/>
      <selection pane="bottomLeft" activeCell="N38" sqref="N38"/>
    </sheetView>
  </sheetViews>
  <sheetFormatPr defaultRowHeight="12.75"/>
  <cols>
    <col min="1" max="1" width="6.28515625" customWidth="1"/>
    <col min="2" max="2" width="12.42578125" bestFit="1" customWidth="1"/>
    <col min="3" max="3" width="16.85546875" bestFit="1" customWidth="1"/>
    <col min="4" max="5" width="12.7109375" customWidth="1"/>
    <col min="6" max="6" width="14.140625" bestFit="1" customWidth="1"/>
    <col min="8" max="8" width="10.28515625" bestFit="1" customWidth="1"/>
    <col min="10" max="10" width="15" bestFit="1" customWidth="1"/>
    <col min="11" max="11" width="14.85546875" customWidth="1"/>
  </cols>
  <sheetData>
    <row r="1" spans="1:12">
      <c r="A1" s="5" t="str">
        <f>+'[3]Input Data'!$A$9</f>
        <v>2025 RATE CASE</v>
      </c>
    </row>
    <row r="2" spans="1:12">
      <c r="A2" s="8" t="str">
        <f>+'[3]Input Data'!$A$2</f>
        <v>ONCOR ELECTRIC DELIVERY COMPANY LLC</v>
      </c>
    </row>
    <row r="3" spans="1:12">
      <c r="A3" s="7" t="str">
        <f>CONCATENATE('[3]Schedule Sponsors'!$A$76,'[3]Schedule Sponsors'!$B$76)</f>
        <v>II-D-3.8  PENSION EXPENSE</v>
      </c>
    </row>
    <row r="4" spans="1:12">
      <c r="A4" s="63" t="str">
        <f>+'[3]Input Data'!$A$4</f>
        <v>TEST YEAR ENDING DECEMBER 31, 2024</v>
      </c>
    </row>
    <row r="5" spans="1:12">
      <c r="A5" s="7" t="str">
        <f>CONCATENATE("SPONSORS: ",'[3]Schedule Sponsors'!$D$76)</f>
        <v>SPONSORS: R. PRACHYL/ A. GUILLORY/ K. FEASE</v>
      </c>
    </row>
    <row r="10" spans="1:12">
      <c r="A10" s="61"/>
      <c r="B10" s="18"/>
      <c r="C10" s="18"/>
      <c r="D10" s="61"/>
      <c r="E10" s="18"/>
      <c r="F10" s="18"/>
      <c r="G10" s="18"/>
      <c r="H10" s="18"/>
      <c r="I10" s="18"/>
      <c r="J10" s="18"/>
      <c r="K10" s="18"/>
      <c r="L10" s="96"/>
    </row>
    <row r="11" spans="1:12" s="95" customFormat="1" ht="15">
      <c r="A11" s="261" t="s">
        <v>601</v>
      </c>
    </row>
    <row r="13" spans="1:12" ht="14.25">
      <c r="B13" s="259" t="s">
        <v>568</v>
      </c>
    </row>
    <row r="27" spans="1:11">
      <c r="A27" s="5"/>
    </row>
    <row r="32" spans="1:11">
      <c r="D32" s="66"/>
      <c r="E32" s="66"/>
      <c r="F32" s="66"/>
      <c r="G32" s="66"/>
      <c r="H32" s="66"/>
      <c r="I32" s="66"/>
      <c r="J32" s="66"/>
      <c r="K32" s="66"/>
    </row>
    <row r="33" spans="4:11">
      <c r="D33" s="66"/>
      <c r="E33" s="66"/>
      <c r="F33" s="66"/>
      <c r="G33" s="66"/>
      <c r="H33" s="66"/>
      <c r="I33" s="66"/>
      <c r="J33" s="66"/>
      <c r="K33" s="66"/>
    </row>
    <row r="34" spans="4:11">
      <c r="D34" s="66"/>
      <c r="E34" s="66"/>
      <c r="F34" s="66"/>
      <c r="G34" s="66"/>
      <c r="H34" s="66"/>
      <c r="I34" s="66"/>
      <c r="J34" s="66"/>
      <c r="K34" s="66"/>
    </row>
    <row r="35" spans="4:11">
      <c r="D35" s="66"/>
      <c r="E35" s="66"/>
      <c r="F35" s="66"/>
      <c r="G35" s="66"/>
      <c r="H35" s="66"/>
      <c r="I35" s="66"/>
      <c r="J35" s="66"/>
      <c r="K35" s="66"/>
    </row>
    <row r="36" spans="4:11">
      <c r="D36" s="66"/>
      <c r="E36" s="66"/>
      <c r="F36" s="66"/>
      <c r="G36" s="66"/>
      <c r="H36" s="66"/>
      <c r="I36" s="66"/>
      <c r="J36" s="66"/>
      <c r="K36" s="66"/>
    </row>
    <row r="37" spans="4:11">
      <c r="D37" s="66"/>
      <c r="E37" s="66"/>
      <c r="F37" s="66"/>
      <c r="G37" s="66"/>
      <c r="H37" s="66"/>
      <c r="I37" s="66"/>
      <c r="J37" s="66"/>
      <c r="K37" s="66"/>
    </row>
    <row r="38" spans="4:11">
      <c r="D38" s="66"/>
      <c r="E38" s="66"/>
      <c r="F38" s="66"/>
      <c r="G38" s="66"/>
      <c r="H38" s="66"/>
      <c r="I38" s="66"/>
      <c r="J38" s="66"/>
      <c r="K38" s="66"/>
    </row>
    <row r="39" spans="4:11">
      <c r="D39" s="66"/>
      <c r="E39" s="66"/>
      <c r="F39" s="66"/>
      <c r="G39" s="66"/>
      <c r="H39" s="66"/>
      <c r="I39" s="66"/>
      <c r="J39" s="66"/>
      <c r="K39" s="66"/>
    </row>
    <row r="40" spans="4:11">
      <c r="D40" s="66"/>
      <c r="E40" s="66"/>
      <c r="F40" s="66"/>
      <c r="G40" s="66"/>
      <c r="H40" s="66"/>
      <c r="I40" s="66"/>
      <c r="J40" s="66"/>
      <c r="K40" s="66"/>
    </row>
    <row r="41" spans="4:11">
      <c r="D41" s="66"/>
      <c r="E41" s="66"/>
      <c r="F41" s="66"/>
      <c r="G41" s="66"/>
      <c r="H41" s="66"/>
      <c r="I41" s="66"/>
      <c r="J41" s="66"/>
      <c r="K41" s="66"/>
    </row>
    <row r="42" spans="4:11">
      <c r="D42" s="66"/>
      <c r="E42" s="66"/>
      <c r="F42" s="66"/>
      <c r="G42" s="66"/>
      <c r="H42" s="66"/>
      <c r="I42" s="66"/>
      <c r="J42" s="66"/>
      <c r="K42" s="66"/>
    </row>
    <row r="43" spans="4:11">
      <c r="D43" s="66"/>
      <c r="E43" s="66"/>
      <c r="F43" s="66"/>
      <c r="G43" s="66"/>
      <c r="H43" s="66"/>
      <c r="I43" s="66"/>
      <c r="J43" s="66"/>
      <c r="K43" s="66"/>
    </row>
    <row r="44" spans="4:11">
      <c r="D44" s="66"/>
      <c r="E44" s="66"/>
      <c r="F44" s="66"/>
      <c r="G44" s="66"/>
      <c r="H44" s="66"/>
      <c r="I44" s="66"/>
      <c r="J44" s="66"/>
      <c r="K44" s="66"/>
    </row>
    <row r="45" spans="4:11">
      <c r="D45" s="66"/>
      <c r="E45" s="66"/>
      <c r="F45" s="66"/>
      <c r="G45" s="66"/>
      <c r="H45" s="66"/>
      <c r="I45" s="66"/>
      <c r="J45" s="66"/>
      <c r="K45" s="66"/>
    </row>
    <row r="46" spans="4:11">
      <c r="D46" s="66"/>
      <c r="E46" s="66"/>
      <c r="F46" s="66"/>
      <c r="G46" s="66"/>
      <c r="H46" s="66"/>
      <c r="I46" s="66"/>
      <c r="J46" s="66"/>
      <c r="K46" s="66"/>
    </row>
    <row r="47" spans="4:11">
      <c r="D47" s="66"/>
      <c r="E47" s="66"/>
      <c r="F47" s="66"/>
      <c r="G47" s="66"/>
      <c r="H47" s="66"/>
      <c r="I47" s="66"/>
      <c r="J47" s="66"/>
      <c r="K47" s="66"/>
    </row>
    <row r="48" spans="4:11">
      <c r="D48" s="66"/>
      <c r="E48" s="66"/>
      <c r="F48" s="66"/>
      <c r="G48" s="66"/>
      <c r="H48" s="66"/>
      <c r="I48" s="66"/>
      <c r="J48" s="66"/>
      <c r="K48" s="66"/>
    </row>
    <row r="49" spans="4:11">
      <c r="D49" s="66"/>
      <c r="E49" s="66"/>
      <c r="F49" s="66"/>
      <c r="G49" s="66"/>
      <c r="H49" s="66"/>
      <c r="I49" s="66"/>
      <c r="J49" s="66"/>
      <c r="K49" s="66"/>
    </row>
    <row r="50" spans="4:11">
      <c r="D50" s="66"/>
      <c r="E50" s="66"/>
      <c r="F50" s="66"/>
      <c r="G50" s="66"/>
      <c r="H50" s="66"/>
      <c r="I50" s="66"/>
      <c r="J50" s="66"/>
      <c r="K50" s="66"/>
    </row>
    <row r="51" spans="4:11">
      <c r="D51" s="66"/>
      <c r="E51" s="66"/>
      <c r="F51" s="66"/>
      <c r="G51" s="66"/>
      <c r="H51" s="66"/>
      <c r="I51" s="66"/>
      <c r="J51" s="66"/>
      <c r="K51" s="66"/>
    </row>
    <row r="52" spans="4:11">
      <c r="D52" s="66"/>
      <c r="E52" s="66"/>
      <c r="F52" s="66"/>
      <c r="G52" s="66"/>
      <c r="H52" s="66"/>
      <c r="I52" s="66"/>
      <c r="J52" s="66"/>
      <c r="K52" s="66"/>
    </row>
    <row r="53" spans="4:11">
      <c r="D53" s="66"/>
      <c r="E53" s="66"/>
      <c r="F53" s="66"/>
      <c r="G53" s="66"/>
      <c r="H53" s="66"/>
      <c r="I53" s="66"/>
      <c r="J53" s="66"/>
      <c r="K53" s="66"/>
    </row>
  </sheetData>
  <phoneticPr fontId="5" type="noConversion"/>
  <printOptions horizontalCentered="1"/>
  <pageMargins left="0.5" right="0.5" top="3.25" bottom="0.5" header="1.5" footer="0.5"/>
  <pageSetup scale="69" orientation="landscape"/>
  <headerFooter alignWithMargins="0">
    <oddHeader>&amp;R&amp;"Arial,Bold"Schedule &amp;A
Page &amp;P of &amp;N&amp;C&amp;B
2025 RATE CASE
ONCOR ELECTRIC DELIVERY COMPANY LLC
II-D-3.8  PENSION EXPENSE
TEST YEAR ENDING DECEMBER 31, 2024
SPONSORS: R. PRACHYL/ A. GUILLORY/ K. FEASE</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0">
    <pageSetUpPr fitToPage="1"/>
  </sheetPr>
  <dimension ref="A1:M16"/>
  <sheetViews>
    <sheetView zoomScaleNormal="100" workbookViewId="0">
      <pane ySplit="6" topLeftCell="A7" activePane="bottomLeft" state="frozen"/>
      <selection activeCell="N38" sqref="N38"/>
      <selection pane="bottomLeft" activeCell="L19" sqref="L19"/>
    </sheetView>
  </sheetViews>
  <sheetFormatPr defaultRowHeight="12.75"/>
  <cols>
    <col min="2" max="5" width="13.7109375" customWidth="1"/>
  </cols>
  <sheetData>
    <row r="1" spans="1:13">
      <c r="A1" s="5" t="str">
        <f>+'[3]Input Data'!$A$9</f>
        <v>2025 RATE CASE</v>
      </c>
    </row>
    <row r="2" spans="1:13">
      <c r="A2" s="8" t="str">
        <f>+'[3]Input Data'!$A$2</f>
        <v>ONCOR ELECTRIC DELIVERY COMPANY LLC</v>
      </c>
    </row>
    <row r="3" spans="1:13">
      <c r="A3" s="7" t="str">
        <f>CONCATENATE('[3]Schedule Sponsors'!$A$76,'[3]Schedule Sponsors'!$B$76)</f>
        <v>II-D-3.8  PENSION EXPENSE</v>
      </c>
    </row>
    <row r="4" spans="1:13">
      <c r="A4" s="63" t="str">
        <f>+'[3]Input Data'!$A$4</f>
        <v>TEST YEAR ENDING DECEMBER 31, 2024</v>
      </c>
    </row>
    <row r="5" spans="1:13">
      <c r="A5" s="7" t="str">
        <f>CONCATENATE("SPONSORS: ",'[3]Schedule Sponsors'!$D$76)</f>
        <v>SPONSORS: R. PRACHYL/ A. GUILLORY/ K. FEASE</v>
      </c>
    </row>
    <row r="10" spans="1:13" ht="15">
      <c r="A10" s="260" t="s">
        <v>600</v>
      </c>
      <c r="B10" s="259"/>
      <c r="C10" s="259"/>
      <c r="D10" s="259"/>
      <c r="E10" s="259"/>
      <c r="F10" s="259"/>
      <c r="G10" s="259"/>
      <c r="H10" s="259"/>
      <c r="I10" s="259"/>
      <c r="J10" s="259"/>
      <c r="K10" s="259"/>
      <c r="L10" s="259"/>
      <c r="M10" s="259"/>
    </row>
    <row r="11" spans="1:13" ht="15">
      <c r="A11" s="260" t="s">
        <v>569</v>
      </c>
      <c r="B11" s="259"/>
      <c r="C11" s="259"/>
      <c r="D11" s="259"/>
      <c r="E11" s="259"/>
      <c r="F11" s="259"/>
      <c r="G11" s="259"/>
      <c r="H11" s="259"/>
      <c r="I11" s="259"/>
      <c r="J11" s="259"/>
      <c r="K11" s="259"/>
      <c r="L11" s="259"/>
      <c r="M11" s="259"/>
    </row>
    <row r="12" spans="1:13" ht="15">
      <c r="A12" s="260" t="s">
        <v>570</v>
      </c>
      <c r="B12" s="259"/>
      <c r="C12" s="259"/>
      <c r="D12" s="259"/>
      <c r="E12" s="259"/>
      <c r="F12" s="259"/>
      <c r="G12" s="259"/>
      <c r="H12" s="259"/>
      <c r="I12" s="259"/>
      <c r="J12" s="259"/>
      <c r="K12" s="259"/>
      <c r="L12" s="259"/>
      <c r="M12" s="259"/>
    </row>
    <row r="15" spans="1:13" ht="14.25">
      <c r="B15" s="259" t="s">
        <v>1049</v>
      </c>
    </row>
    <row r="16" spans="1:13" ht="14.25">
      <c r="B16" s="259" t="s">
        <v>616</v>
      </c>
    </row>
  </sheetData>
  <phoneticPr fontId="5" type="noConversion"/>
  <printOptions horizontalCentered="1"/>
  <pageMargins left="0.5" right="0.5" top="3" bottom="0.5" header="1.5" footer="0.5"/>
  <pageSetup scale="74" orientation="landscape"/>
  <headerFooter alignWithMargins="0">
    <oddHeader>&amp;R&amp;"Arial,Bold"Schedule &amp;A
Page &amp;P of &amp;N&amp;C&amp;B
2025 RATE CASE
ONCOR ELECTRIC DELIVERY COMPANY LLC
II-D-3.8  PENSION EXPENSE
TEST YEAR ENDING DECEMBER 31, 2024
SPONSORS: R. PRACHYL/ A. GUILLORY/ K. FEASE</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1">
    <tabColor rgb="FFFF0000"/>
    <pageSetUpPr fitToPage="1"/>
  </sheetPr>
  <dimension ref="A1:O144"/>
  <sheetViews>
    <sheetView zoomScaleNormal="100" workbookViewId="0">
      <pane ySplit="16" topLeftCell="A128" activePane="bottomLeft" state="frozen"/>
      <selection activeCell="N38" sqref="N38"/>
      <selection pane="bottomLeft" activeCell="D133" sqref="D133"/>
    </sheetView>
  </sheetViews>
  <sheetFormatPr defaultRowHeight="12.75"/>
  <cols>
    <col min="1" max="1" width="5.7109375" customWidth="1"/>
    <col min="2" max="2" width="9.5703125" bestFit="1" customWidth="1"/>
    <col min="3" max="3" width="43.28515625" bestFit="1" customWidth="1"/>
    <col min="4" max="4" width="15.42578125" bestFit="1" customWidth="1"/>
    <col min="6" max="6" width="16.140625" bestFit="1" customWidth="1"/>
    <col min="7" max="9" width="16.140625" customWidth="1"/>
    <col min="10" max="10" width="14.85546875" bestFit="1" customWidth="1"/>
    <col min="11" max="12" width="14.85546875" customWidth="1"/>
    <col min="13" max="13" width="14.85546875" bestFit="1" customWidth="1"/>
    <col min="14" max="14" width="12.140625" customWidth="1"/>
    <col min="15" max="15" width="19.7109375" bestFit="1" customWidth="1"/>
  </cols>
  <sheetData>
    <row r="1" spans="1:15">
      <c r="A1" s="5" t="str">
        <f>+'[3]Input Data'!$A$9</f>
        <v>2025 RATE CASE</v>
      </c>
      <c r="B1" s="5"/>
    </row>
    <row r="2" spans="1:15">
      <c r="A2" s="8" t="str">
        <f>+'[3]Input Data'!$A$2</f>
        <v>ONCOR ELECTRIC DELIVERY COMPANY LLC</v>
      </c>
      <c r="B2" s="8"/>
    </row>
    <row r="3" spans="1:15">
      <c r="A3" s="7" t="str">
        <f>CONCATENATE('[3]Schedule Sponsors'!$A$76,'[3]Schedule Sponsors'!$B$76)</f>
        <v>II-D-3.8  PENSION EXPENSE</v>
      </c>
      <c r="B3" s="7"/>
    </row>
    <row r="4" spans="1:15">
      <c r="A4" s="63" t="str">
        <f>+'[3]Input Data'!$A$4</f>
        <v>TEST YEAR ENDING DECEMBER 31, 2024</v>
      </c>
      <c r="B4" s="63"/>
    </row>
    <row r="5" spans="1:15">
      <c r="A5" s="7" t="str">
        <f>CONCATENATE("SPONSORS: ",'[3]Schedule Sponsors'!$D$76)</f>
        <v>SPONSORS: R. PRACHYL/ A. GUILLORY/ K. FEASE</v>
      </c>
      <c r="B5" s="7"/>
    </row>
    <row r="11" spans="1:15">
      <c r="A11" s="194" t="s">
        <v>405</v>
      </c>
      <c r="B11" s="5"/>
    </row>
    <row r="12" spans="1:15" ht="13.5" thickBot="1"/>
    <row r="13" spans="1:15" s="270" customFormat="1">
      <c r="A13" s="279"/>
      <c r="B13" s="10"/>
      <c r="C13" s="280"/>
      <c r="D13" s="10" t="s">
        <v>319</v>
      </c>
      <c r="E13" s="280"/>
      <c r="F13" s="184"/>
      <c r="G13" s="184"/>
      <c r="H13" s="184"/>
      <c r="I13" s="184"/>
      <c r="J13" s="184"/>
      <c r="K13" s="184"/>
      <c r="L13" s="184"/>
      <c r="M13" s="184"/>
      <c r="N13" s="184"/>
      <c r="O13" s="184"/>
    </row>
    <row r="14" spans="1:15" s="270" customFormat="1">
      <c r="A14" s="281" t="s">
        <v>87</v>
      </c>
      <c r="B14" s="11"/>
      <c r="C14" s="18"/>
      <c r="D14" s="11" t="s">
        <v>321</v>
      </c>
      <c r="E14" s="18"/>
      <c r="F14" s="183"/>
      <c r="G14" s="183" t="s">
        <v>617</v>
      </c>
      <c r="H14" s="183" t="s">
        <v>623</v>
      </c>
      <c r="I14" s="183" t="s">
        <v>618</v>
      </c>
      <c r="J14" s="183"/>
      <c r="K14" s="183" t="s">
        <v>617</v>
      </c>
      <c r="L14" s="183" t="s">
        <v>618</v>
      </c>
      <c r="M14" s="183"/>
      <c r="N14" s="183"/>
      <c r="O14" s="183"/>
    </row>
    <row r="15" spans="1:15" s="270" customFormat="1">
      <c r="A15" s="281" t="s">
        <v>89</v>
      </c>
      <c r="B15" s="11" t="s">
        <v>164</v>
      </c>
      <c r="C15" s="18" t="s">
        <v>208</v>
      </c>
      <c r="D15" s="11" t="s">
        <v>222</v>
      </c>
      <c r="E15" s="18" t="s">
        <v>217</v>
      </c>
      <c r="F15" s="183" t="s">
        <v>292</v>
      </c>
      <c r="G15" s="183" t="s">
        <v>292</v>
      </c>
      <c r="H15" s="183" t="s">
        <v>624</v>
      </c>
      <c r="I15" s="183" t="s">
        <v>292</v>
      </c>
      <c r="J15" s="183" t="s">
        <v>293</v>
      </c>
      <c r="K15" s="183" t="s">
        <v>293</v>
      </c>
      <c r="L15" s="183" t="s">
        <v>293</v>
      </c>
      <c r="M15" s="183" t="s">
        <v>281</v>
      </c>
      <c r="N15" s="183" t="s">
        <v>126</v>
      </c>
      <c r="O15" s="183" t="s">
        <v>215</v>
      </c>
    </row>
    <row r="16" spans="1:15" s="156" customFormat="1" ht="13.5" thickBot="1">
      <c r="A16" s="282"/>
      <c r="B16" s="213" t="s">
        <v>44</v>
      </c>
      <c r="C16" s="283" t="s">
        <v>45</v>
      </c>
      <c r="D16" s="213" t="s">
        <v>74</v>
      </c>
      <c r="E16" s="283" t="s">
        <v>75</v>
      </c>
      <c r="F16" s="213" t="s">
        <v>76</v>
      </c>
      <c r="G16" s="213" t="s">
        <v>77</v>
      </c>
      <c r="H16" s="213" t="s">
        <v>78</v>
      </c>
      <c r="I16" s="213" t="s">
        <v>79</v>
      </c>
      <c r="J16" s="213" t="s">
        <v>80</v>
      </c>
      <c r="K16" s="213" t="s">
        <v>81</v>
      </c>
      <c r="L16" s="213" t="s">
        <v>82</v>
      </c>
      <c r="M16" s="213" t="s">
        <v>83</v>
      </c>
      <c r="N16" s="213" t="s">
        <v>84</v>
      </c>
      <c r="O16" s="213" t="s">
        <v>85</v>
      </c>
    </row>
    <row r="17" spans="1:15" s="137" customFormat="1"/>
    <row r="18" spans="1:15">
      <c r="A18" s="1">
        <v>1</v>
      </c>
      <c r="B18" s="106" t="s">
        <v>40</v>
      </c>
    </row>
    <row r="19" spans="1:15">
      <c r="A19" s="1">
        <v>2</v>
      </c>
      <c r="C19" s="98" t="s">
        <v>852</v>
      </c>
    </row>
    <row r="20" spans="1:15">
      <c r="A20" s="1">
        <v>3</v>
      </c>
    </row>
    <row r="21" spans="1:15" ht="15">
      <c r="A21" s="1">
        <v>4</v>
      </c>
      <c r="C21" t="s">
        <v>398</v>
      </c>
      <c r="D21" s="240">
        <v>-4549729.0000000009</v>
      </c>
      <c r="E21" s="66" t="s">
        <v>163</v>
      </c>
      <c r="F21" s="235">
        <f>+$D21*'[4]II-F Alloc_Factor'!E$17</f>
        <v>-1022866.7198203537</v>
      </c>
      <c r="G21" s="235">
        <f>+$D21*'[4]II-F Alloc_Factor'!F$17</f>
        <v>0</v>
      </c>
      <c r="H21" s="235">
        <f>+$D21*'[4]II-F Alloc_Factor'!G$17</f>
        <v>0</v>
      </c>
      <c r="I21" s="235">
        <f>+$D21*'[4]II-F Alloc_Factor'!H$17</f>
        <v>-1022866.7198203537</v>
      </c>
      <c r="J21" s="235">
        <f>+$D21*'[4]II-F Alloc_Factor'!I$17</f>
        <v>-2731696.0479371189</v>
      </c>
      <c r="K21" s="235">
        <f>+$D21*'[4]II-F Alloc_Factor'!J$17</f>
        <v>0</v>
      </c>
      <c r="L21" s="235">
        <f>+$D21*'[4]II-F Alloc_Factor'!K$17</f>
        <v>-2731696.0479371189</v>
      </c>
      <c r="M21" s="235">
        <f>+$D21*'[4]II-F Alloc_Factor'!L$17</f>
        <v>-763855.64189159055</v>
      </c>
      <c r="N21" s="235">
        <f>+$D21*'[4]II-F Alloc_Factor'!M$17</f>
        <v>-31310.590350938062</v>
      </c>
      <c r="O21" s="242">
        <f>+I21+L21+M21+N21</f>
        <v>-4549729.0000000009</v>
      </c>
    </row>
    <row r="22" spans="1:15" ht="15">
      <c r="A22" s="1">
        <v>5</v>
      </c>
      <c r="C22" t="s">
        <v>162</v>
      </c>
      <c r="D22" s="240">
        <v>-3017600.29</v>
      </c>
      <c r="E22" s="66" t="s">
        <v>163</v>
      </c>
      <c r="F22" s="235">
        <f>+$D22*'[4]II-F Alloc_Factor'!E$17</f>
        <v>-678414.67268957058</v>
      </c>
      <c r="G22" s="235">
        <f>+$D22*'[4]II-F Alloc_Factor'!F$17</f>
        <v>0</v>
      </c>
      <c r="H22" s="235">
        <f>+$D22*'[4]II-F Alloc_Factor'!G$17</f>
        <v>0</v>
      </c>
      <c r="I22" s="235">
        <f>+$D22*'[4]II-F Alloc_Factor'!H$17</f>
        <v>-678414.67268957058</v>
      </c>
      <c r="J22" s="235">
        <f>+$D22*'[4]II-F Alloc_Factor'!I$17</f>
        <v>-1811792.9191929677</v>
      </c>
      <c r="K22" s="235">
        <f>+$D22*'[4]II-F Alloc_Factor'!J$17</f>
        <v>0</v>
      </c>
      <c r="L22" s="235">
        <f>+$D22*'[4]II-F Alloc_Factor'!K$17</f>
        <v>-1811792.9191929677</v>
      </c>
      <c r="M22" s="235">
        <f>+$D22*'[4]II-F Alloc_Factor'!L$17</f>
        <v>-506626.00046952238</v>
      </c>
      <c r="N22" s="235">
        <f>+$D22*'[4]II-F Alloc_Factor'!M$17</f>
        <v>-20766.697647939443</v>
      </c>
      <c r="O22" s="242">
        <f t="shared" ref="O22:O23" si="0">+I22+L22+M22+N22</f>
        <v>-3017600.29</v>
      </c>
    </row>
    <row r="23" spans="1:15">
      <c r="A23" s="1">
        <v>6</v>
      </c>
      <c r="C23" s="171" t="s">
        <v>607</v>
      </c>
      <c r="D23" s="241">
        <v>0</v>
      </c>
      <c r="E23" s="66" t="s">
        <v>163</v>
      </c>
      <c r="F23" s="235">
        <f>+$D23*'[4]II-F Alloc_Factor'!E$17</f>
        <v>0</v>
      </c>
      <c r="G23" s="235">
        <f>+$D23*'[4]II-F Alloc_Factor'!F$17</f>
        <v>0</v>
      </c>
      <c r="H23" s="235">
        <f>+$D23*'[4]II-F Alloc_Factor'!G$17</f>
        <v>0</v>
      </c>
      <c r="I23" s="235">
        <f>+$D23*'[4]II-F Alloc_Factor'!H$17</f>
        <v>0</v>
      </c>
      <c r="J23" s="235">
        <f>+$D23*'[4]II-F Alloc_Factor'!I$17</f>
        <v>0</v>
      </c>
      <c r="K23" s="235">
        <f>+$D23*'[4]II-F Alloc_Factor'!J$17</f>
        <v>0</v>
      </c>
      <c r="L23" s="235">
        <f>+$D23*'[4]II-F Alloc_Factor'!K$17</f>
        <v>0</v>
      </c>
      <c r="M23" s="235">
        <f>+$D23*'[4]II-F Alloc_Factor'!L$17</f>
        <v>0</v>
      </c>
      <c r="N23" s="235">
        <f>+$D23*'[4]II-F Alloc_Factor'!M$17</f>
        <v>0</v>
      </c>
      <c r="O23" s="242">
        <f t="shared" si="0"/>
        <v>0</v>
      </c>
    </row>
    <row r="24" spans="1:15">
      <c r="A24" s="1">
        <v>7</v>
      </c>
      <c r="D24" s="241"/>
      <c r="E24" s="66"/>
      <c r="F24" s="235"/>
      <c r="G24" s="235"/>
      <c r="H24" s="235"/>
      <c r="I24" s="235"/>
      <c r="J24" s="235"/>
      <c r="K24" s="235"/>
      <c r="L24" s="235"/>
      <c r="M24" s="235"/>
      <c r="N24" s="235"/>
      <c r="O24" s="242"/>
    </row>
    <row r="25" spans="1:15">
      <c r="A25" s="1">
        <v>8</v>
      </c>
      <c r="C25" s="98" t="s">
        <v>602</v>
      </c>
      <c r="D25" s="239"/>
      <c r="E25" s="66"/>
      <c r="F25" s="235"/>
      <c r="G25" s="235"/>
      <c r="H25" s="235"/>
      <c r="I25" s="235"/>
      <c r="J25" s="235"/>
      <c r="K25" s="235"/>
      <c r="L25" s="235"/>
      <c r="M25" s="235"/>
      <c r="N25" s="235"/>
      <c r="O25" s="235"/>
    </row>
    <row r="26" spans="1:15">
      <c r="A26" s="1">
        <v>9</v>
      </c>
      <c r="D26" s="239"/>
      <c r="E26" s="66"/>
      <c r="F26" s="235"/>
      <c r="G26" s="235"/>
      <c r="H26" s="235"/>
      <c r="I26" s="235"/>
      <c r="J26" s="235"/>
      <c r="K26" s="235"/>
      <c r="L26" s="235"/>
      <c r="M26" s="235"/>
      <c r="N26" s="235"/>
      <c r="O26" s="235"/>
    </row>
    <row r="27" spans="1:15" ht="15">
      <c r="A27" s="1">
        <v>10</v>
      </c>
      <c r="C27" t="s">
        <v>398</v>
      </c>
      <c r="D27" s="240">
        <v>33832639</v>
      </c>
      <c r="E27" s="66" t="s">
        <v>163</v>
      </c>
      <c r="F27" s="235">
        <f>+$D27*'[4]II-F Alloc_Factor'!E$17</f>
        <v>7606228.9593064031</v>
      </c>
      <c r="G27" s="235">
        <f>+$D27*'[4]II-F Alloc_Factor'!F$17</f>
        <v>0</v>
      </c>
      <c r="H27" s="235">
        <f>+$D27*'[4]II-F Alloc_Factor'!G$17</f>
        <v>0</v>
      </c>
      <c r="I27" s="235">
        <f>+$D27*'[4]II-F Alloc_Factor'!H$17</f>
        <v>7606228.9593064031</v>
      </c>
      <c r="J27" s="235">
        <f>+$D27*'[4]II-F Alloc_Factor'!I$17</f>
        <v>20313404.654998839</v>
      </c>
      <c r="K27" s="235">
        <f>+$D27*'[4]II-F Alloc_Factor'!J$17</f>
        <v>0</v>
      </c>
      <c r="L27" s="235">
        <f>+$D27*'[4]II-F Alloc_Factor'!K$17</f>
        <v>20313404.654998839</v>
      </c>
      <c r="M27" s="235">
        <f>+$D27*'[4]II-F Alloc_Factor'!L$17</f>
        <v>5680173.9576646117</v>
      </c>
      <c r="N27" s="235">
        <f>+$D27*'[4]II-F Alloc_Factor'!M$17</f>
        <v>232831.42803014652</v>
      </c>
      <c r="O27" s="242">
        <f t="shared" ref="O27:O29" si="1">+I27+L27+M27+N27</f>
        <v>33832639</v>
      </c>
    </row>
    <row r="28" spans="1:15" ht="15">
      <c r="A28" s="1">
        <v>11</v>
      </c>
      <c r="C28" t="s">
        <v>162</v>
      </c>
      <c r="D28" s="240">
        <v>22439442.289999999</v>
      </c>
      <c r="E28" s="66" t="s">
        <v>163</v>
      </c>
      <c r="F28" s="235">
        <f>+$D28*'[4]II-F Alloc_Factor'!E$17</f>
        <v>5044818.8737769695</v>
      </c>
      <c r="G28" s="235">
        <f>+$D28*'[4]II-F Alloc_Factor'!F$17</f>
        <v>0</v>
      </c>
      <c r="H28" s="235">
        <f>+$D28*'[4]II-F Alloc_Factor'!G$17</f>
        <v>0</v>
      </c>
      <c r="I28" s="235">
        <f>+$D28*'[4]II-F Alloc_Factor'!H$17</f>
        <v>5044818.8737769695</v>
      </c>
      <c r="J28" s="235">
        <f>+$D28*'[4]II-F Alloc_Factor'!I$17</f>
        <v>13472832.298694281</v>
      </c>
      <c r="K28" s="235">
        <f>+$D28*'[4]II-F Alloc_Factor'!J$17</f>
        <v>0</v>
      </c>
      <c r="L28" s="235">
        <f>+$D28*'[4]II-F Alloc_Factor'!K$17</f>
        <v>13472832.298694281</v>
      </c>
      <c r="M28" s="235">
        <f>+$D28*'[4]II-F Alloc_Factor'!L$17</f>
        <v>3767366.05501498</v>
      </c>
      <c r="N28" s="235">
        <f>+$D28*'[4]II-F Alloc_Factor'!M$17</f>
        <v>154425.06251376847</v>
      </c>
      <c r="O28" s="242">
        <f t="shared" si="1"/>
        <v>22439442.289999999</v>
      </c>
    </row>
    <row r="29" spans="1:15">
      <c r="A29" s="1">
        <v>12</v>
      </c>
      <c r="C29" s="171" t="s">
        <v>607</v>
      </c>
      <c r="D29" s="241">
        <v>45800000</v>
      </c>
      <c r="E29" s="66" t="s">
        <v>163</v>
      </c>
      <c r="F29" s="235">
        <f>+$D29*'[4]II-F Alloc_Factor'!E$17</f>
        <v>10296722.237252414</v>
      </c>
      <c r="G29" s="235">
        <f>+$D29*'[4]II-F Alloc_Factor'!F$17</f>
        <v>0</v>
      </c>
      <c r="H29" s="235">
        <f>+$D29*'[4]II-F Alloc_Factor'!G$17</f>
        <v>0</v>
      </c>
      <c r="I29" s="235">
        <f>+$D29*'[4]II-F Alloc_Factor'!H$17</f>
        <v>10296722.237252414</v>
      </c>
      <c r="J29" s="235">
        <f>+$D29*'[4]II-F Alloc_Factor'!I$17</f>
        <v>27498710.141971096</v>
      </c>
      <c r="K29" s="235">
        <f>+$D29*'[4]II-F Alloc_Factor'!J$17</f>
        <v>0</v>
      </c>
      <c r="L29" s="235">
        <f>+$D29*'[4]II-F Alloc_Factor'!K$17</f>
        <v>27498710.141971096</v>
      </c>
      <c r="M29" s="235">
        <f>+$D29*'[4]II-F Alloc_Factor'!L$17</f>
        <v>7689378.509936491</v>
      </c>
      <c r="N29" s="235">
        <f>+$D29*'[4]II-F Alloc_Factor'!M$17</f>
        <v>315189.1108400001</v>
      </c>
      <c r="O29" s="242">
        <f t="shared" si="1"/>
        <v>45800000</v>
      </c>
    </row>
    <row r="30" spans="1:15">
      <c r="A30" s="1">
        <v>13</v>
      </c>
      <c r="D30" s="241"/>
      <c r="E30" s="66"/>
      <c r="F30" s="235"/>
      <c r="G30" s="235"/>
      <c r="H30" s="235"/>
      <c r="I30" s="235"/>
      <c r="J30" s="235"/>
      <c r="K30" s="235"/>
      <c r="L30" s="235"/>
      <c r="M30" s="235"/>
      <c r="N30" s="235"/>
      <c r="O30" s="235"/>
    </row>
    <row r="31" spans="1:15">
      <c r="A31" s="1">
        <v>14</v>
      </c>
      <c r="C31" s="98" t="s">
        <v>603</v>
      </c>
      <c r="D31" s="239"/>
      <c r="E31" s="66"/>
      <c r="F31" s="235"/>
      <c r="G31" s="235"/>
      <c r="H31" s="235"/>
      <c r="I31" s="235"/>
      <c r="J31" s="235"/>
      <c r="K31" s="235"/>
      <c r="L31" s="235"/>
      <c r="M31" s="235"/>
      <c r="N31" s="235"/>
      <c r="O31" s="235"/>
    </row>
    <row r="32" spans="1:15">
      <c r="A32" s="1">
        <v>15</v>
      </c>
      <c r="D32" s="239"/>
      <c r="E32" s="66"/>
      <c r="F32" s="235"/>
      <c r="G32" s="235"/>
      <c r="H32" s="235"/>
      <c r="I32" s="235"/>
      <c r="J32" s="235"/>
      <c r="K32" s="235"/>
      <c r="L32" s="235"/>
      <c r="M32" s="235"/>
      <c r="N32" s="235"/>
      <c r="O32" s="235"/>
    </row>
    <row r="33" spans="1:15" ht="15">
      <c r="A33" s="1">
        <v>16</v>
      </c>
      <c r="C33" t="s">
        <v>398</v>
      </c>
      <c r="D33" s="240">
        <v>0</v>
      </c>
      <c r="E33" s="66" t="s">
        <v>163</v>
      </c>
      <c r="F33" s="235">
        <f>+$D33*'[4]II-F Alloc_Factor'!E$17</f>
        <v>0</v>
      </c>
      <c r="G33" s="235">
        <f>+$D33*'[4]II-F Alloc_Factor'!F$17</f>
        <v>0</v>
      </c>
      <c r="H33" s="235">
        <f>+$D33*'[4]II-F Alloc_Factor'!G$17</f>
        <v>0</v>
      </c>
      <c r="I33" s="235">
        <f>+$D33*'[4]II-F Alloc_Factor'!H$17</f>
        <v>0</v>
      </c>
      <c r="J33" s="235">
        <f>+$D33*'[4]II-F Alloc_Factor'!I$17</f>
        <v>0</v>
      </c>
      <c r="K33" s="235">
        <f>+$D33*'[4]II-F Alloc_Factor'!J$17</f>
        <v>0</v>
      </c>
      <c r="L33" s="235">
        <f>+$D33*'[4]II-F Alloc_Factor'!K$17</f>
        <v>0</v>
      </c>
      <c r="M33" s="235">
        <f>+$D33*'[4]II-F Alloc_Factor'!L$17</f>
        <v>0</v>
      </c>
      <c r="N33" s="235">
        <f>+$D33*'[4]II-F Alloc_Factor'!M$17</f>
        <v>0</v>
      </c>
      <c r="O33" s="242">
        <f t="shared" ref="O33:O35" si="2">+I33+L33+M33+N33</f>
        <v>0</v>
      </c>
    </row>
    <row r="34" spans="1:15" ht="15">
      <c r="A34" s="1">
        <v>17</v>
      </c>
      <c r="C34" t="s">
        <v>162</v>
      </c>
      <c r="D34" s="240">
        <v>0</v>
      </c>
      <c r="E34" s="66" t="s">
        <v>163</v>
      </c>
      <c r="F34" s="235">
        <f>+$D34*'[4]II-F Alloc_Factor'!E$17</f>
        <v>0</v>
      </c>
      <c r="G34" s="235">
        <f>+$D34*'[4]II-F Alloc_Factor'!F$17</f>
        <v>0</v>
      </c>
      <c r="H34" s="235">
        <f>+$D34*'[4]II-F Alloc_Factor'!G$17</f>
        <v>0</v>
      </c>
      <c r="I34" s="235">
        <f>+$D34*'[4]II-F Alloc_Factor'!H$17</f>
        <v>0</v>
      </c>
      <c r="J34" s="235">
        <f>+$D34*'[4]II-F Alloc_Factor'!I$17</f>
        <v>0</v>
      </c>
      <c r="K34" s="235">
        <f>+$D34*'[4]II-F Alloc_Factor'!J$17</f>
        <v>0</v>
      </c>
      <c r="L34" s="235">
        <f>+$D34*'[4]II-F Alloc_Factor'!K$17</f>
        <v>0</v>
      </c>
      <c r="M34" s="235">
        <f>+$D34*'[4]II-F Alloc_Factor'!L$17</f>
        <v>0</v>
      </c>
      <c r="N34" s="235">
        <f>+$D34*'[4]II-F Alloc_Factor'!M$17</f>
        <v>0</v>
      </c>
      <c r="O34" s="242">
        <f t="shared" si="2"/>
        <v>0</v>
      </c>
    </row>
    <row r="35" spans="1:15" ht="15">
      <c r="A35" s="1">
        <v>18</v>
      </c>
      <c r="C35" s="171" t="s">
        <v>607</v>
      </c>
      <c r="D35" s="240">
        <v>0</v>
      </c>
      <c r="E35" s="66" t="s">
        <v>163</v>
      </c>
      <c r="F35" s="235">
        <f>+$D35*'[4]II-F Alloc_Factor'!E$17</f>
        <v>0</v>
      </c>
      <c r="G35" s="235">
        <f>+$D35*'[4]II-F Alloc_Factor'!F$17</f>
        <v>0</v>
      </c>
      <c r="H35" s="235">
        <f>+$D35*'[4]II-F Alloc_Factor'!G$17</f>
        <v>0</v>
      </c>
      <c r="I35" s="235">
        <f>+$D35*'[4]II-F Alloc_Factor'!H$17</f>
        <v>0</v>
      </c>
      <c r="J35" s="235">
        <f>+$D35*'[4]II-F Alloc_Factor'!I$17</f>
        <v>0</v>
      </c>
      <c r="K35" s="235">
        <f>+$D35*'[4]II-F Alloc_Factor'!J$17</f>
        <v>0</v>
      </c>
      <c r="L35" s="235">
        <f>+$D35*'[4]II-F Alloc_Factor'!K$17</f>
        <v>0</v>
      </c>
      <c r="M35" s="235">
        <f>+$D35*'[4]II-F Alloc_Factor'!L$17</f>
        <v>0</v>
      </c>
      <c r="N35" s="235">
        <f>+$D35*'[4]II-F Alloc_Factor'!M$17</f>
        <v>0</v>
      </c>
      <c r="O35" s="242">
        <f t="shared" si="2"/>
        <v>0</v>
      </c>
    </row>
    <row r="36" spans="1:15">
      <c r="A36" s="1">
        <v>19</v>
      </c>
      <c r="D36" s="239"/>
      <c r="E36" s="66"/>
      <c r="F36" s="235"/>
      <c r="G36" s="235"/>
      <c r="H36" s="235"/>
      <c r="I36" s="235"/>
      <c r="J36" s="235"/>
      <c r="K36" s="235"/>
      <c r="L36" s="235"/>
      <c r="M36" s="235"/>
      <c r="N36" s="235"/>
      <c r="O36" s="235"/>
    </row>
    <row r="37" spans="1:15">
      <c r="A37" s="1">
        <v>20</v>
      </c>
      <c r="C37" s="98" t="s">
        <v>604</v>
      </c>
      <c r="D37" s="239"/>
      <c r="E37" s="66"/>
      <c r="F37" s="235"/>
      <c r="G37" s="235"/>
      <c r="H37" s="235"/>
      <c r="I37" s="235"/>
      <c r="J37" s="235"/>
      <c r="K37" s="235"/>
      <c r="L37" s="235"/>
      <c r="M37" s="235"/>
      <c r="N37" s="235"/>
      <c r="O37" s="235"/>
    </row>
    <row r="38" spans="1:15">
      <c r="A38" s="1">
        <v>21</v>
      </c>
      <c r="D38" s="239"/>
      <c r="E38" s="66"/>
      <c r="F38" s="235"/>
      <c r="G38" s="235"/>
      <c r="H38" s="235"/>
      <c r="I38" s="235"/>
      <c r="J38" s="235"/>
      <c r="K38" s="235"/>
      <c r="L38" s="235"/>
      <c r="M38" s="235"/>
      <c r="N38" s="235"/>
      <c r="O38" s="235"/>
    </row>
    <row r="39" spans="1:15">
      <c r="A39" s="1">
        <v>22</v>
      </c>
      <c r="C39" t="s">
        <v>398</v>
      </c>
      <c r="D39" s="239">
        <f>+D21+D27+D33</f>
        <v>29282910</v>
      </c>
      <c r="E39" s="66" t="s">
        <v>163</v>
      </c>
      <c r="F39" s="239">
        <f t="shared" ref="F39:F41" si="3">+F21+F27+F33</f>
        <v>6583362.2394860499</v>
      </c>
      <c r="G39" s="239">
        <f t="shared" ref="G39:N39" si="4">+G21+G27+G33</f>
        <v>0</v>
      </c>
      <c r="H39" s="239">
        <f t="shared" si="4"/>
        <v>0</v>
      </c>
      <c r="I39" s="239">
        <f t="shared" si="4"/>
        <v>6583362.2394860499</v>
      </c>
      <c r="J39" s="239">
        <f t="shared" si="4"/>
        <v>17581708.607061721</v>
      </c>
      <c r="K39" s="239">
        <f t="shared" si="4"/>
        <v>0</v>
      </c>
      <c r="L39" s="239">
        <f t="shared" si="4"/>
        <v>17581708.607061721</v>
      </c>
      <c r="M39" s="239">
        <f t="shared" si="4"/>
        <v>4916318.3157730214</v>
      </c>
      <c r="N39" s="239">
        <f t="shared" si="4"/>
        <v>201520.83767920846</v>
      </c>
      <c r="O39" s="242">
        <f t="shared" ref="O39:O41" si="5">+I39+L39+M39+N39</f>
        <v>29282910</v>
      </c>
    </row>
    <row r="40" spans="1:15">
      <c r="A40" s="1">
        <v>23</v>
      </c>
      <c r="C40" t="s">
        <v>162</v>
      </c>
      <c r="D40" s="239">
        <f>+D22+D28+D34</f>
        <v>19421842</v>
      </c>
      <c r="E40" s="66" t="s">
        <v>163</v>
      </c>
      <c r="F40" s="239">
        <f t="shared" si="3"/>
        <v>4366404.2010873985</v>
      </c>
      <c r="G40" s="239">
        <f t="shared" ref="G40:N40" si="6">+G22+G28+G34</f>
        <v>0</v>
      </c>
      <c r="H40" s="239">
        <f t="shared" si="6"/>
        <v>0</v>
      </c>
      <c r="I40" s="239">
        <f t="shared" si="6"/>
        <v>4366404.2010873985</v>
      </c>
      <c r="J40" s="239">
        <f t="shared" si="6"/>
        <v>11661039.379501313</v>
      </c>
      <c r="K40" s="239">
        <f t="shared" si="6"/>
        <v>0</v>
      </c>
      <c r="L40" s="239">
        <f t="shared" si="6"/>
        <v>11661039.379501313</v>
      </c>
      <c r="M40" s="239">
        <f t="shared" si="6"/>
        <v>3260740.0545454575</v>
      </c>
      <c r="N40" s="239">
        <f t="shared" si="6"/>
        <v>133658.36486582903</v>
      </c>
      <c r="O40" s="242">
        <f t="shared" si="5"/>
        <v>19421841.999999996</v>
      </c>
    </row>
    <row r="41" spans="1:15">
      <c r="A41" s="1">
        <v>24</v>
      </c>
      <c r="C41" s="171" t="s">
        <v>607</v>
      </c>
      <c r="D41" s="241">
        <f>+D23+D29+D35</f>
        <v>45800000</v>
      </c>
      <c r="E41" s="66" t="s">
        <v>163</v>
      </c>
      <c r="F41" s="241">
        <f t="shared" si="3"/>
        <v>10296722.237252414</v>
      </c>
      <c r="G41" s="241">
        <f t="shared" ref="G41:N41" si="7">+G23+G29+G35</f>
        <v>0</v>
      </c>
      <c r="H41" s="241">
        <f t="shared" si="7"/>
        <v>0</v>
      </c>
      <c r="I41" s="241">
        <f t="shared" si="7"/>
        <v>10296722.237252414</v>
      </c>
      <c r="J41" s="241">
        <f t="shared" si="7"/>
        <v>27498710.141971096</v>
      </c>
      <c r="K41" s="241">
        <f t="shared" si="7"/>
        <v>0</v>
      </c>
      <c r="L41" s="241">
        <f t="shared" si="7"/>
        <v>27498710.141971096</v>
      </c>
      <c r="M41" s="241">
        <f t="shared" si="7"/>
        <v>7689378.509936491</v>
      </c>
      <c r="N41" s="241">
        <f t="shared" si="7"/>
        <v>315189.1108400001</v>
      </c>
      <c r="O41" s="242">
        <f t="shared" si="5"/>
        <v>45800000</v>
      </c>
    </row>
    <row r="42" spans="1:15">
      <c r="A42" s="1">
        <v>25</v>
      </c>
      <c r="D42" s="173"/>
      <c r="E42" s="66"/>
      <c r="F42" s="66"/>
      <c r="G42" s="66"/>
      <c r="H42" s="66"/>
      <c r="I42" s="66"/>
      <c r="J42" s="66"/>
      <c r="K42" s="66"/>
      <c r="L42" s="66"/>
      <c r="M42" s="66"/>
      <c r="N42" s="66"/>
      <c r="O42" s="14"/>
    </row>
    <row r="43" spans="1:15">
      <c r="A43" s="1">
        <v>26</v>
      </c>
      <c r="C43" t="s">
        <v>399</v>
      </c>
      <c r="D43" s="241">
        <v>19421842</v>
      </c>
      <c r="E43" s="66" t="s">
        <v>853</v>
      </c>
      <c r="F43" s="66"/>
      <c r="G43" s="66"/>
      <c r="H43" s="66"/>
      <c r="I43" s="66"/>
      <c r="J43" s="66"/>
      <c r="K43" s="66"/>
      <c r="L43" s="66"/>
      <c r="M43" s="66"/>
      <c r="N43" s="66"/>
      <c r="O43" s="14"/>
    </row>
    <row r="44" spans="1:15">
      <c r="A44" s="1">
        <v>27</v>
      </c>
      <c r="C44" t="s">
        <v>400</v>
      </c>
      <c r="D44" s="241">
        <v>40068.76</v>
      </c>
      <c r="E44" s="66"/>
      <c r="F44" s="66"/>
      <c r="G44" s="66"/>
      <c r="H44" s="66"/>
      <c r="I44" s="66"/>
      <c r="J44" s="66"/>
      <c r="K44" s="66"/>
      <c r="L44" s="66"/>
      <c r="M44" s="66"/>
      <c r="N44" s="66"/>
      <c r="O44" s="14"/>
    </row>
    <row r="45" spans="1:15">
      <c r="A45" s="1">
        <v>28</v>
      </c>
      <c r="C45" t="s">
        <v>401</v>
      </c>
      <c r="D45" s="241">
        <v>15257889.999999996</v>
      </c>
      <c r="E45" s="66"/>
      <c r="F45" s="66"/>
      <c r="G45" s="66"/>
      <c r="H45" s="66"/>
      <c r="I45" s="66"/>
      <c r="J45" s="66"/>
      <c r="K45" s="66"/>
      <c r="L45" s="66"/>
      <c r="M45" s="66"/>
      <c r="N45" s="66"/>
      <c r="O45" s="14"/>
    </row>
    <row r="46" spans="1:15">
      <c r="A46" s="1">
        <v>29</v>
      </c>
      <c r="C46" t="s">
        <v>402</v>
      </c>
      <c r="D46" s="241">
        <v>366296.86000000004</v>
      </c>
      <c r="E46" s="66"/>
      <c r="F46" s="66"/>
      <c r="G46" s="66"/>
      <c r="H46" s="66"/>
      <c r="I46" s="66"/>
      <c r="J46" s="66"/>
      <c r="K46" s="66"/>
      <c r="L46" s="66"/>
      <c r="M46" s="66"/>
      <c r="N46" s="66"/>
      <c r="O46" s="14"/>
    </row>
    <row r="47" spans="1:15">
      <c r="A47" s="1">
        <v>30</v>
      </c>
      <c r="C47" t="s">
        <v>403</v>
      </c>
      <c r="D47" s="241">
        <v>-6960253.6400000006</v>
      </c>
      <c r="E47" s="66"/>
      <c r="F47" s="66"/>
      <c r="G47" s="66"/>
      <c r="H47" s="66"/>
      <c r="I47" s="66"/>
      <c r="J47" s="66"/>
      <c r="K47" s="66"/>
      <c r="L47" s="66"/>
      <c r="M47" s="66"/>
      <c r="N47" s="66"/>
      <c r="O47" s="14"/>
    </row>
    <row r="48" spans="1:15">
      <c r="A48" s="1">
        <v>31</v>
      </c>
      <c r="C48" t="s">
        <v>63</v>
      </c>
      <c r="D48" s="241">
        <v>1157066.0200000049</v>
      </c>
      <c r="E48" s="66"/>
      <c r="F48" s="66"/>
      <c r="G48" s="66"/>
      <c r="H48" s="66"/>
      <c r="I48" s="66"/>
      <c r="J48" s="66"/>
      <c r="K48" s="66"/>
      <c r="L48" s="66"/>
      <c r="M48" s="66"/>
      <c r="N48" s="66"/>
      <c r="O48" s="14"/>
    </row>
    <row r="49" spans="1:15" ht="13.5" thickBot="1">
      <c r="A49" s="1">
        <v>32</v>
      </c>
      <c r="C49" t="s">
        <v>404</v>
      </c>
      <c r="D49" s="193">
        <f>SUM(D43:D48)</f>
        <v>29282910</v>
      </c>
      <c r="E49" s="66"/>
      <c r="F49" s="66"/>
      <c r="G49" s="66"/>
      <c r="H49" s="66"/>
      <c r="I49" s="66"/>
      <c r="J49" s="66"/>
      <c r="K49" s="66"/>
      <c r="L49" s="66"/>
      <c r="M49" s="66"/>
      <c r="N49" s="66"/>
      <c r="O49" s="14"/>
    </row>
    <row r="50" spans="1:15" ht="13.5" thickTop="1">
      <c r="A50" s="1">
        <v>33</v>
      </c>
      <c r="D50" s="173"/>
      <c r="E50" s="66"/>
      <c r="F50" s="66"/>
      <c r="G50" s="66"/>
      <c r="H50" s="66"/>
      <c r="I50" s="66"/>
      <c r="J50" s="66"/>
      <c r="K50" s="66"/>
      <c r="L50" s="66"/>
      <c r="M50" s="66"/>
      <c r="N50" s="66"/>
      <c r="O50" s="14"/>
    </row>
    <row r="51" spans="1:15">
      <c r="A51" s="1">
        <v>34</v>
      </c>
      <c r="C51" s="171" t="s">
        <v>608</v>
      </c>
      <c r="D51" s="241">
        <f>+D41</f>
        <v>45800000</v>
      </c>
      <c r="E51" s="66"/>
      <c r="F51" s="66"/>
      <c r="G51" s="66"/>
      <c r="H51" s="66"/>
      <c r="I51" s="66"/>
      <c r="J51" s="66"/>
      <c r="K51" s="66"/>
      <c r="L51" s="66"/>
      <c r="M51" s="66"/>
      <c r="N51" s="66"/>
      <c r="O51" s="14"/>
    </row>
    <row r="52" spans="1:15">
      <c r="A52" s="1">
        <v>35</v>
      </c>
      <c r="D52" s="173"/>
      <c r="E52" s="66"/>
      <c r="F52" s="66"/>
      <c r="G52" s="66"/>
      <c r="H52" s="66"/>
      <c r="I52" s="66"/>
      <c r="J52" s="66"/>
      <c r="K52" s="66"/>
      <c r="L52" s="66"/>
      <c r="M52" s="66"/>
      <c r="N52" s="66"/>
      <c r="O52" s="14"/>
    </row>
    <row r="53" spans="1:15">
      <c r="A53" s="1">
        <v>36</v>
      </c>
      <c r="D53" s="173"/>
      <c r="E53" s="66"/>
      <c r="F53" s="66"/>
      <c r="G53" s="66"/>
      <c r="H53" s="66"/>
      <c r="I53" s="66"/>
      <c r="J53" s="66"/>
      <c r="K53" s="66"/>
      <c r="L53" s="66"/>
      <c r="M53" s="66"/>
      <c r="N53" s="66"/>
      <c r="O53" s="14"/>
    </row>
    <row r="54" spans="1:15">
      <c r="A54" s="1">
        <v>37</v>
      </c>
      <c r="B54" s="106">
        <v>2023</v>
      </c>
    </row>
    <row r="55" spans="1:15">
      <c r="A55" s="1">
        <v>38</v>
      </c>
      <c r="C55" s="98" t="s">
        <v>852</v>
      </c>
    </row>
    <row r="56" spans="1:15">
      <c r="A56" s="1">
        <v>39</v>
      </c>
    </row>
    <row r="57" spans="1:15" ht="15">
      <c r="A57" s="1">
        <v>40</v>
      </c>
      <c r="C57" t="s">
        <v>398</v>
      </c>
      <c r="D57" s="240">
        <v>-5215719</v>
      </c>
      <c r="E57" s="66" t="s">
        <v>163</v>
      </c>
      <c r="F57" s="235">
        <f>+$D57*'[4]II-F Alloc_Factor'!E$17</f>
        <v>-1172594.1006672471</v>
      </c>
      <c r="G57" s="235">
        <f>+$D57*'[4]II-F Alloc_Factor'!F$17</f>
        <v>0</v>
      </c>
      <c r="H57" s="235">
        <f>+$D57*'[4]II-F Alloc_Factor'!G$17</f>
        <v>0</v>
      </c>
      <c r="I57" s="235">
        <f>+$D57*'[4]II-F Alloc_Factor'!H$17</f>
        <v>-1172594.1006672471</v>
      </c>
      <c r="J57" s="235">
        <f>+$D57*'[4]II-F Alloc_Factor'!I$17</f>
        <v>-3131562.1170954444</v>
      </c>
      <c r="K57" s="235">
        <f>+$D57*'[4]II-F Alloc_Factor'!J$17</f>
        <v>0</v>
      </c>
      <c r="L57" s="235">
        <f>+$D57*'[4]II-F Alloc_Factor'!K$17</f>
        <v>-3131562.1170954444</v>
      </c>
      <c r="M57" s="235">
        <f>+$D57*'[4]II-F Alloc_Factor'!L$17</f>
        <v>-875668.94306697475</v>
      </c>
      <c r="N57" s="235">
        <f>+$D57*'[4]II-F Alloc_Factor'!M$17</f>
        <v>-35893.839170333944</v>
      </c>
      <c r="O57" s="242">
        <f t="shared" ref="O57:O59" si="8">+I57+L57+M57+N57</f>
        <v>-5215719.0000000009</v>
      </c>
    </row>
    <row r="58" spans="1:15" ht="15">
      <c r="A58" s="1">
        <v>41</v>
      </c>
      <c r="C58" t="s">
        <v>162</v>
      </c>
      <c r="D58" s="240">
        <v>-6704897.6100000003</v>
      </c>
      <c r="E58" s="66" t="s">
        <v>163</v>
      </c>
      <c r="F58" s="235">
        <f>+$D58*'[4]II-F Alloc_Factor'!E$17</f>
        <v>-1507390.1379778944</v>
      </c>
      <c r="G58" s="235">
        <f>+$D58*'[4]II-F Alloc_Factor'!F$17</f>
        <v>0</v>
      </c>
      <c r="H58" s="235">
        <f>+$D58*'[4]II-F Alloc_Factor'!G$17</f>
        <v>0</v>
      </c>
      <c r="I58" s="235">
        <f>+$D58*'[4]II-F Alloc_Factor'!H$17</f>
        <v>-1507390.1379778944</v>
      </c>
      <c r="J58" s="235">
        <f>+$D58*'[4]II-F Alloc_Factor'!I$17</f>
        <v>-4025677.6399341654</v>
      </c>
      <c r="K58" s="235">
        <f>+$D58*'[4]II-F Alloc_Factor'!J$17</f>
        <v>0</v>
      </c>
      <c r="L58" s="235">
        <f>+$D58*'[4]II-F Alloc_Factor'!K$17</f>
        <v>-4025677.6399341654</v>
      </c>
      <c r="M58" s="235">
        <f>+$D58*'[4]II-F Alloc_Factor'!L$17</f>
        <v>-1125687.6767174355</v>
      </c>
      <c r="N58" s="235">
        <f>+$D58*'[4]II-F Alloc_Factor'!M$17</f>
        <v>-46142.155370505287</v>
      </c>
      <c r="O58" s="242">
        <f t="shared" si="8"/>
        <v>-6704897.6100000013</v>
      </c>
    </row>
    <row r="59" spans="1:15" ht="15">
      <c r="A59" s="1">
        <v>42</v>
      </c>
      <c r="C59" s="171" t="s">
        <v>607</v>
      </c>
      <c r="D59" s="240">
        <v>0</v>
      </c>
      <c r="E59" s="66" t="s">
        <v>163</v>
      </c>
      <c r="F59" s="235">
        <f>+$D59*'[4]II-F Alloc_Factor'!E$17</f>
        <v>0</v>
      </c>
      <c r="G59" s="235">
        <f>+$D59*'[4]II-F Alloc_Factor'!F$17</f>
        <v>0</v>
      </c>
      <c r="H59" s="235">
        <f>+$D59*'[4]II-F Alloc_Factor'!G$17</f>
        <v>0</v>
      </c>
      <c r="I59" s="235">
        <f>+$D59*'[4]II-F Alloc_Factor'!H$17</f>
        <v>0</v>
      </c>
      <c r="J59" s="235">
        <f>+$D59*'[4]II-F Alloc_Factor'!I$17</f>
        <v>0</v>
      </c>
      <c r="K59" s="235">
        <f>+$D59*'[4]II-F Alloc_Factor'!J$17</f>
        <v>0</v>
      </c>
      <c r="L59" s="235">
        <f>+$D59*'[4]II-F Alloc_Factor'!K$17</f>
        <v>0</v>
      </c>
      <c r="M59" s="235">
        <f>+$D59*'[4]II-F Alloc_Factor'!L$17</f>
        <v>0</v>
      </c>
      <c r="N59" s="235">
        <f>+$D59*'[4]II-F Alloc_Factor'!M$17</f>
        <v>0</v>
      </c>
      <c r="O59" s="242">
        <f t="shared" si="8"/>
        <v>0</v>
      </c>
    </row>
    <row r="60" spans="1:15">
      <c r="A60" s="1">
        <v>43</v>
      </c>
      <c r="D60" s="241"/>
      <c r="E60" s="66"/>
      <c r="F60" s="235"/>
      <c r="G60" s="235"/>
      <c r="H60" s="235"/>
      <c r="I60" s="235"/>
      <c r="J60" s="235"/>
      <c r="K60" s="235"/>
      <c r="L60" s="235"/>
      <c r="M60" s="235"/>
      <c r="N60" s="235"/>
      <c r="O60" s="242"/>
    </row>
    <row r="61" spans="1:15">
      <c r="A61" s="1">
        <v>44</v>
      </c>
      <c r="C61" s="98" t="s">
        <v>602</v>
      </c>
      <c r="D61" s="239"/>
      <c r="E61" s="66"/>
      <c r="F61" s="235"/>
      <c r="G61" s="235"/>
      <c r="H61" s="235"/>
      <c r="I61" s="235"/>
      <c r="J61" s="235"/>
      <c r="K61" s="235"/>
      <c r="L61" s="235"/>
      <c r="M61" s="235"/>
      <c r="N61" s="235"/>
      <c r="O61" s="235"/>
    </row>
    <row r="62" spans="1:15">
      <c r="A62" s="1">
        <v>45</v>
      </c>
      <c r="D62" s="239"/>
      <c r="E62" s="66"/>
      <c r="F62" s="235"/>
      <c r="G62" s="235"/>
      <c r="H62" s="235"/>
      <c r="I62" s="235"/>
      <c r="J62" s="235"/>
      <c r="K62" s="235"/>
      <c r="L62" s="235"/>
      <c r="M62" s="235"/>
      <c r="N62" s="235"/>
      <c r="O62" s="235"/>
    </row>
    <row r="63" spans="1:15" ht="15">
      <c r="A63" s="1">
        <v>46</v>
      </c>
      <c r="C63" t="s">
        <v>398</v>
      </c>
      <c r="D63" s="240">
        <v>24593772</v>
      </c>
      <c r="E63" s="66" t="s">
        <v>163</v>
      </c>
      <c r="F63" s="235">
        <f>+$D63*'[4]II-F Alloc_Factor'!E$17</f>
        <v>5529153.691054929</v>
      </c>
      <c r="G63" s="235">
        <f>+$D63*'[4]II-F Alloc_Factor'!F$17</f>
        <v>0</v>
      </c>
      <c r="H63" s="235">
        <f>+$D63*'[4]II-F Alloc_Factor'!G$17</f>
        <v>0</v>
      </c>
      <c r="I63" s="235">
        <f>+$D63*'[4]II-F Alloc_Factor'!H$17</f>
        <v>5529153.691054929</v>
      </c>
      <c r="J63" s="235">
        <f>+$D63*'[4]II-F Alloc_Factor'!I$17</f>
        <v>14766310.207985258</v>
      </c>
      <c r="K63" s="235">
        <f>+$D63*'[4]II-F Alloc_Factor'!J$17</f>
        <v>0</v>
      </c>
      <c r="L63" s="235">
        <f>+$D63*'[4]II-F Alloc_Factor'!K$17</f>
        <v>14766310.207985258</v>
      </c>
      <c r="M63" s="235">
        <f>+$D63*'[4]II-F Alloc_Factor'!L$17</f>
        <v>4129057.2466174192</v>
      </c>
      <c r="N63" s="235">
        <f>+$D63*'[4]II-F Alloc_Factor'!M$17</f>
        <v>169250.854342395</v>
      </c>
      <c r="O63" s="242">
        <f t="shared" ref="O63:O65" si="9">+I63+L63+M63+N63</f>
        <v>24593771.999999996</v>
      </c>
    </row>
    <row r="64" spans="1:15" ht="15">
      <c r="A64" s="1">
        <v>47</v>
      </c>
      <c r="C64" t="s">
        <v>162</v>
      </c>
      <c r="D64" s="240">
        <v>31615722.25</v>
      </c>
      <c r="E64" s="66" t="s">
        <v>163</v>
      </c>
      <c r="F64" s="235">
        <f>+$D64*'[4]II-F Alloc_Factor'!E$17</f>
        <v>7107823.3698334256</v>
      </c>
      <c r="G64" s="235">
        <f>+$D64*'[4]II-F Alloc_Factor'!F$17</f>
        <v>0</v>
      </c>
      <c r="H64" s="235">
        <f>+$D64*'[4]II-F Alloc_Factor'!G$17</f>
        <v>0</v>
      </c>
      <c r="I64" s="235">
        <f>+$D64*'[4]II-F Alloc_Factor'!H$17</f>
        <v>7107823.3698334256</v>
      </c>
      <c r="J64" s="235">
        <f>+$D64*'[4]II-F Alloc_Factor'!I$17</f>
        <v>18982348.953751445</v>
      </c>
      <c r="K64" s="235">
        <f>+$D64*'[4]II-F Alloc_Factor'!J$17</f>
        <v>0</v>
      </c>
      <c r="L64" s="235">
        <f>+$D64*'[4]II-F Alloc_Factor'!K$17</f>
        <v>18982348.953751445</v>
      </c>
      <c r="M64" s="235">
        <f>+$D64*'[4]II-F Alloc_Factor'!L$17</f>
        <v>5307975.0053552613</v>
      </c>
      <c r="N64" s="235">
        <f>+$D64*'[4]II-F Alloc_Factor'!M$17</f>
        <v>217574.92105986699</v>
      </c>
      <c r="O64" s="242">
        <f t="shared" si="9"/>
        <v>31615722.249999996</v>
      </c>
    </row>
    <row r="65" spans="1:15" ht="15">
      <c r="A65" s="1">
        <v>48</v>
      </c>
      <c r="C65" s="171" t="s">
        <v>607</v>
      </c>
      <c r="D65" s="240">
        <v>0</v>
      </c>
      <c r="E65" s="66" t="s">
        <v>163</v>
      </c>
      <c r="F65" s="235">
        <f>+$D65*'[4]II-F Alloc_Factor'!E$17</f>
        <v>0</v>
      </c>
      <c r="G65" s="235">
        <f>+$D65*'[4]II-F Alloc_Factor'!F$17</f>
        <v>0</v>
      </c>
      <c r="H65" s="235">
        <f>+$D65*'[4]II-F Alloc_Factor'!G$17</f>
        <v>0</v>
      </c>
      <c r="I65" s="235">
        <f>+$D65*'[4]II-F Alloc_Factor'!H$17</f>
        <v>0</v>
      </c>
      <c r="J65" s="235">
        <f>+$D65*'[4]II-F Alloc_Factor'!I$17</f>
        <v>0</v>
      </c>
      <c r="K65" s="235">
        <f>+$D65*'[4]II-F Alloc_Factor'!J$17</f>
        <v>0</v>
      </c>
      <c r="L65" s="235">
        <f>+$D65*'[4]II-F Alloc_Factor'!K$17</f>
        <v>0</v>
      </c>
      <c r="M65" s="235">
        <f>+$D65*'[4]II-F Alloc_Factor'!L$17</f>
        <v>0</v>
      </c>
      <c r="N65" s="235">
        <f>+$D65*'[4]II-F Alloc_Factor'!M$17</f>
        <v>0</v>
      </c>
      <c r="O65" s="242">
        <f t="shared" si="9"/>
        <v>0</v>
      </c>
    </row>
    <row r="66" spans="1:15">
      <c r="A66" s="1">
        <v>49</v>
      </c>
      <c r="D66" s="241"/>
      <c r="E66" s="66"/>
      <c r="F66" s="235"/>
      <c r="G66" s="235"/>
      <c r="H66" s="235"/>
      <c r="I66" s="235"/>
      <c r="J66" s="235"/>
      <c r="K66" s="235"/>
      <c r="L66" s="235"/>
      <c r="M66" s="235"/>
      <c r="N66" s="235"/>
      <c r="O66" s="235"/>
    </row>
    <row r="67" spans="1:15">
      <c r="A67" s="1">
        <v>50</v>
      </c>
      <c r="C67" s="98" t="s">
        <v>603</v>
      </c>
      <c r="D67" s="239"/>
      <c r="E67" s="66"/>
      <c r="F67" s="235"/>
      <c r="G67" s="235"/>
      <c r="H67" s="235"/>
      <c r="I67" s="235"/>
      <c r="J67" s="235"/>
      <c r="K67" s="235"/>
      <c r="L67" s="235"/>
      <c r="M67" s="235"/>
      <c r="N67" s="235"/>
      <c r="O67" s="235"/>
    </row>
    <row r="68" spans="1:15">
      <c r="A68" s="1">
        <v>51</v>
      </c>
      <c r="D68" s="239"/>
      <c r="E68" s="66"/>
      <c r="F68" s="235"/>
      <c r="G68" s="235"/>
      <c r="H68" s="235"/>
      <c r="I68" s="235"/>
      <c r="J68" s="235"/>
      <c r="K68" s="235"/>
      <c r="L68" s="235"/>
      <c r="M68" s="235"/>
      <c r="N68" s="235"/>
      <c r="O68" s="235"/>
    </row>
    <row r="69" spans="1:15" ht="15">
      <c r="A69" s="1">
        <v>52</v>
      </c>
      <c r="C69" t="s">
        <v>398</v>
      </c>
      <c r="D69" s="240">
        <v>1870328.0000000002</v>
      </c>
      <c r="E69" s="66" t="s">
        <v>163</v>
      </c>
      <c r="F69" s="235">
        <f>+$D69*'[4]II-F Alloc_Factor'!E$17</f>
        <v>420485.76219554222</v>
      </c>
      <c r="G69" s="235">
        <f>+$D69*'[4]II-F Alloc_Factor'!F$17</f>
        <v>0</v>
      </c>
      <c r="H69" s="235">
        <f>+$D69*'[4]II-F Alloc_Factor'!G$17</f>
        <v>0</v>
      </c>
      <c r="I69" s="235">
        <f>+$D69*'[4]II-F Alloc_Factor'!H$17</f>
        <v>420485.76219554222</v>
      </c>
      <c r="J69" s="235">
        <f>+$D69*'[4]II-F Alloc_Factor'!I$17</f>
        <v>1122960.8633714525</v>
      </c>
      <c r="K69" s="235">
        <f>+$D69*'[4]II-F Alloc_Factor'!J$17</f>
        <v>0</v>
      </c>
      <c r="L69" s="235">
        <f>+$D69*'[4]II-F Alloc_Factor'!K$17</f>
        <v>1122960.8633714525</v>
      </c>
      <c r="M69" s="235">
        <f>+$D69*'[4]II-F Alloc_Factor'!L$17</f>
        <v>314010.04213389737</v>
      </c>
      <c r="N69" s="235">
        <f>+$D69*'[4]II-F Alloc_Factor'!M$17</f>
        <v>12871.332299108206</v>
      </c>
      <c r="O69" s="242">
        <f t="shared" ref="O69:O71" si="10">+I69+L69+M69+N69</f>
        <v>1870328.0000000002</v>
      </c>
    </row>
    <row r="70" spans="1:15" ht="15">
      <c r="A70" s="1">
        <v>53</v>
      </c>
      <c r="C70" t="s">
        <v>162</v>
      </c>
      <c r="D70" s="240">
        <v>2404339.2200000002</v>
      </c>
      <c r="E70" s="66" t="s">
        <v>163</v>
      </c>
      <c r="F70" s="235">
        <f>+$D70*'[4]II-F Alloc_Factor'!E$17</f>
        <v>540541.77101467527</v>
      </c>
      <c r="G70" s="235">
        <f>+$D70*'[4]II-F Alloc_Factor'!F$17</f>
        <v>0</v>
      </c>
      <c r="H70" s="235">
        <f>+$D70*'[4]II-F Alloc_Factor'!G$17</f>
        <v>0</v>
      </c>
      <c r="I70" s="235">
        <f>+$D70*'[4]II-F Alloc_Factor'!H$17</f>
        <v>540541.77101467527</v>
      </c>
      <c r="J70" s="235">
        <f>+$D70*'[4]II-F Alloc_Factor'!I$17</f>
        <v>1443585.7487718971</v>
      </c>
      <c r="K70" s="235">
        <f>+$D70*'[4]II-F Alloc_Factor'!J$17</f>
        <v>0</v>
      </c>
      <c r="L70" s="235">
        <f>+$D70*'[4]II-F Alloc_Factor'!K$17</f>
        <v>1443585.7487718971</v>
      </c>
      <c r="M70" s="235">
        <f>+$D70*'[4]II-F Alloc_Factor'!L$17</f>
        <v>403665.378359508</v>
      </c>
      <c r="N70" s="235">
        <f>+$D70*'[4]II-F Alloc_Factor'!M$17</f>
        <v>16546.321853920075</v>
      </c>
      <c r="O70" s="242">
        <f t="shared" si="10"/>
        <v>2404339.2200000002</v>
      </c>
    </row>
    <row r="71" spans="1:15" ht="15">
      <c r="A71" s="1">
        <v>54</v>
      </c>
      <c r="C71" s="171" t="s">
        <v>607</v>
      </c>
      <c r="D71" s="240">
        <v>1427058.3499999999</v>
      </c>
      <c r="E71" s="66" t="s">
        <v>163</v>
      </c>
      <c r="F71" s="235">
        <f>+$D71*'[4]II-F Alloc_Factor'!E$17</f>
        <v>320830.20625112962</v>
      </c>
      <c r="G71" s="235">
        <f>+$D71*'[4]II-F Alloc_Factor'!F$17</f>
        <v>0</v>
      </c>
      <c r="H71" s="235">
        <f>+$D71*'[4]II-F Alloc_Factor'!G$17</f>
        <v>0</v>
      </c>
      <c r="I71" s="235">
        <f>+$D71*'[4]II-F Alloc_Factor'!H$17</f>
        <v>320830.20625112962</v>
      </c>
      <c r="J71" s="235">
        <f>+$D71*'[4]II-F Alloc_Factor'!I$17</f>
        <v>856817.98957051383</v>
      </c>
      <c r="K71" s="235">
        <f>+$D71*'[4]II-F Alloc_Factor'!J$17</f>
        <v>0</v>
      </c>
      <c r="L71" s="235">
        <f>+$D71*'[4]II-F Alloc_Factor'!K$17</f>
        <v>856817.98957051383</v>
      </c>
      <c r="M71" s="235">
        <f>+$D71*'[4]II-F Alloc_Factor'!L$17</f>
        <v>239589.34080601367</v>
      </c>
      <c r="N71" s="235">
        <f>+$D71*'[4]II-F Alloc_Factor'!M$17</f>
        <v>9820.8133723427436</v>
      </c>
      <c r="O71" s="242">
        <f t="shared" si="10"/>
        <v>1427058.3499999999</v>
      </c>
    </row>
    <row r="72" spans="1:15">
      <c r="A72" s="1">
        <v>55</v>
      </c>
      <c r="D72" s="239"/>
      <c r="E72" s="66"/>
      <c r="F72" s="235"/>
      <c r="G72" s="235"/>
      <c r="H72" s="235"/>
      <c r="I72" s="235"/>
      <c r="J72" s="235"/>
      <c r="K72" s="235"/>
      <c r="L72" s="235"/>
      <c r="M72" s="235"/>
      <c r="N72" s="235"/>
      <c r="O72" s="235"/>
    </row>
    <row r="73" spans="1:15">
      <c r="A73" s="1">
        <v>56</v>
      </c>
      <c r="C73" s="98" t="s">
        <v>604</v>
      </c>
      <c r="D73" s="239"/>
      <c r="E73" s="66"/>
      <c r="F73" s="235"/>
      <c r="G73" s="235"/>
      <c r="H73" s="235"/>
      <c r="I73" s="235"/>
      <c r="J73" s="235"/>
      <c r="K73" s="235"/>
      <c r="L73" s="235"/>
      <c r="M73" s="235"/>
      <c r="N73" s="235"/>
      <c r="O73" s="235"/>
    </row>
    <row r="74" spans="1:15">
      <c r="A74" s="1">
        <v>57</v>
      </c>
      <c r="D74" s="239"/>
      <c r="E74" s="66"/>
      <c r="F74" s="235"/>
      <c r="G74" s="235"/>
      <c r="H74" s="235"/>
      <c r="I74" s="235"/>
      <c r="J74" s="235"/>
      <c r="K74" s="235"/>
      <c r="L74" s="235"/>
      <c r="M74" s="235"/>
      <c r="N74" s="235"/>
      <c r="O74" s="235"/>
    </row>
    <row r="75" spans="1:15">
      <c r="A75" s="1">
        <v>58</v>
      </c>
      <c r="C75" t="s">
        <v>398</v>
      </c>
      <c r="D75" s="239">
        <f>+D57+D63+D69</f>
        <v>21248381</v>
      </c>
      <c r="E75" s="66" t="s">
        <v>163</v>
      </c>
      <c r="F75" s="239">
        <f t="shared" ref="F75:F77" si="11">+F57+F63+F69</f>
        <v>4777045.352583224</v>
      </c>
      <c r="G75" s="239">
        <f t="shared" ref="G75:N75" si="12">+G57+G63+G69</f>
        <v>0</v>
      </c>
      <c r="H75" s="239">
        <f t="shared" si="12"/>
        <v>0</v>
      </c>
      <c r="I75" s="239">
        <f t="shared" si="12"/>
        <v>4777045.352583224</v>
      </c>
      <c r="J75" s="239">
        <f t="shared" si="12"/>
        <v>12757708.954261266</v>
      </c>
      <c r="K75" s="239">
        <f t="shared" si="12"/>
        <v>0</v>
      </c>
      <c r="L75" s="239">
        <f t="shared" si="12"/>
        <v>12757708.954261266</v>
      </c>
      <c r="M75" s="239">
        <f t="shared" si="12"/>
        <v>3567398.3456843421</v>
      </c>
      <c r="N75" s="239">
        <f t="shared" si="12"/>
        <v>146228.34747116925</v>
      </c>
      <c r="O75" s="242">
        <f t="shared" ref="O75:O77" si="13">+I75+L75+M75+N75</f>
        <v>21248381</v>
      </c>
    </row>
    <row r="76" spans="1:15">
      <c r="A76" s="1">
        <v>59</v>
      </c>
      <c r="C76" t="s">
        <v>162</v>
      </c>
      <c r="D76" s="239">
        <f>+D58+D64+D70</f>
        <v>27315163.859999999</v>
      </c>
      <c r="E76" s="66" t="s">
        <v>163</v>
      </c>
      <c r="F76" s="239">
        <f t="shared" si="11"/>
        <v>6140975.0028702067</v>
      </c>
      <c r="G76" s="239">
        <f t="shared" ref="G76:N76" si="14">+G58+G64+G70</f>
        <v>0</v>
      </c>
      <c r="H76" s="239">
        <f t="shared" si="14"/>
        <v>0</v>
      </c>
      <c r="I76" s="239">
        <f t="shared" si="14"/>
        <v>6140975.0028702067</v>
      </c>
      <c r="J76" s="239">
        <f t="shared" si="14"/>
        <v>16400257.062589176</v>
      </c>
      <c r="K76" s="239">
        <f t="shared" si="14"/>
        <v>0</v>
      </c>
      <c r="L76" s="239">
        <f t="shared" si="14"/>
        <v>16400257.062589176</v>
      </c>
      <c r="M76" s="239">
        <f t="shared" si="14"/>
        <v>4585952.706997334</v>
      </c>
      <c r="N76" s="239">
        <f t="shared" si="14"/>
        <v>187979.08754328178</v>
      </c>
      <c r="O76" s="242">
        <f t="shared" si="13"/>
        <v>27315163.859999999</v>
      </c>
    </row>
    <row r="77" spans="1:15">
      <c r="A77" s="1">
        <v>60</v>
      </c>
      <c r="C77" s="171" t="s">
        <v>607</v>
      </c>
      <c r="D77" s="241">
        <f>+D59+D65+D71</f>
        <v>1427058.3499999999</v>
      </c>
      <c r="E77" s="66" t="s">
        <v>163</v>
      </c>
      <c r="F77" s="241">
        <f t="shared" si="11"/>
        <v>320830.20625112962</v>
      </c>
      <c r="G77" s="241">
        <f t="shared" ref="G77:N77" si="15">+G59+G65+G71</f>
        <v>0</v>
      </c>
      <c r="H77" s="241">
        <f t="shared" si="15"/>
        <v>0</v>
      </c>
      <c r="I77" s="241">
        <f t="shared" si="15"/>
        <v>320830.20625112962</v>
      </c>
      <c r="J77" s="241">
        <f t="shared" si="15"/>
        <v>856817.98957051383</v>
      </c>
      <c r="K77" s="241">
        <f t="shared" si="15"/>
        <v>0</v>
      </c>
      <c r="L77" s="241">
        <f t="shared" si="15"/>
        <v>856817.98957051383</v>
      </c>
      <c r="M77" s="241">
        <f t="shared" si="15"/>
        <v>239589.34080601367</v>
      </c>
      <c r="N77" s="241">
        <f t="shared" si="15"/>
        <v>9820.8133723427436</v>
      </c>
      <c r="O77" s="242">
        <f t="shared" si="13"/>
        <v>1427058.3499999999</v>
      </c>
    </row>
    <row r="78" spans="1:15">
      <c r="A78" s="1">
        <v>61</v>
      </c>
      <c r="D78" s="173"/>
      <c r="E78" s="66"/>
      <c r="F78" s="66"/>
      <c r="G78" s="66"/>
      <c r="H78" s="66"/>
      <c r="I78" s="66"/>
      <c r="J78" s="66"/>
      <c r="K78" s="66"/>
      <c r="L78" s="66"/>
      <c r="M78" s="66"/>
      <c r="N78" s="66"/>
      <c r="O78" s="14"/>
    </row>
    <row r="79" spans="1:15">
      <c r="A79" s="1">
        <v>62</v>
      </c>
      <c r="C79" t="s">
        <v>399</v>
      </c>
      <c r="D79" s="241">
        <v>27315163.850000001</v>
      </c>
      <c r="E79" s="66" t="s">
        <v>854</v>
      </c>
      <c r="F79" s="66"/>
      <c r="G79" s="66"/>
      <c r="H79" s="66"/>
      <c r="I79" s="66"/>
      <c r="J79" s="66"/>
      <c r="K79" s="66"/>
      <c r="L79" s="66"/>
      <c r="M79" s="66"/>
      <c r="N79" s="66"/>
      <c r="O79" s="14"/>
    </row>
    <row r="80" spans="1:15">
      <c r="A80" s="1">
        <v>63</v>
      </c>
      <c r="C80" t="s">
        <v>400</v>
      </c>
      <c r="D80" s="241">
        <v>35351.730000000003</v>
      </c>
      <c r="E80" s="66"/>
      <c r="F80" s="66"/>
      <c r="G80" s="66"/>
      <c r="H80" s="66"/>
      <c r="I80" s="66"/>
      <c r="J80" s="66"/>
      <c r="K80" s="66"/>
      <c r="L80" s="66"/>
      <c r="M80" s="66"/>
      <c r="N80" s="66"/>
      <c r="O80" s="14"/>
    </row>
    <row r="81" spans="1:15">
      <c r="A81" s="1">
        <v>64</v>
      </c>
      <c r="C81" t="s">
        <v>401</v>
      </c>
      <c r="D81" s="241">
        <v>10425363.430000002</v>
      </c>
      <c r="E81" s="66"/>
      <c r="F81" s="66"/>
      <c r="G81" s="66"/>
      <c r="H81" s="66"/>
      <c r="I81" s="66"/>
      <c r="J81" s="66"/>
      <c r="K81" s="66"/>
      <c r="L81" s="66"/>
      <c r="M81" s="66"/>
      <c r="N81" s="66"/>
      <c r="O81" s="14"/>
    </row>
    <row r="82" spans="1:15">
      <c r="A82" s="1">
        <v>65</v>
      </c>
      <c r="C82" t="s">
        <v>402</v>
      </c>
      <c r="D82" s="241">
        <v>257875.74999999994</v>
      </c>
      <c r="E82" s="66"/>
      <c r="F82" s="66"/>
      <c r="G82" s="66"/>
      <c r="H82" s="66"/>
      <c r="I82" s="66"/>
      <c r="J82" s="66"/>
      <c r="K82" s="66"/>
      <c r="L82" s="66"/>
      <c r="M82" s="66"/>
      <c r="N82" s="66"/>
      <c r="O82" s="14"/>
    </row>
    <row r="83" spans="1:15">
      <c r="A83" s="1">
        <v>66</v>
      </c>
      <c r="C83" t="s">
        <v>403</v>
      </c>
      <c r="D83" s="241">
        <v>-17825985.779999997</v>
      </c>
      <c r="E83" s="66"/>
      <c r="F83" s="66"/>
      <c r="G83" s="66"/>
      <c r="H83" s="66"/>
      <c r="I83" s="66"/>
      <c r="J83" s="66"/>
      <c r="K83" s="66"/>
      <c r="L83" s="66"/>
      <c r="M83" s="66"/>
      <c r="N83" s="66"/>
      <c r="O83" s="14"/>
    </row>
    <row r="84" spans="1:15">
      <c r="A84" s="1">
        <v>67</v>
      </c>
      <c r="C84" t="s">
        <v>63</v>
      </c>
      <c r="D84" s="241">
        <v>1040612.0199999948</v>
      </c>
      <c r="E84" s="66"/>
      <c r="F84" s="66"/>
      <c r="G84" s="66"/>
      <c r="H84" s="66"/>
      <c r="I84" s="66"/>
      <c r="J84" s="66"/>
      <c r="K84" s="66"/>
      <c r="L84" s="66"/>
      <c r="M84" s="66"/>
      <c r="N84" s="66"/>
      <c r="O84" s="14"/>
    </row>
    <row r="85" spans="1:15" ht="13.5" thickBot="1">
      <c r="A85" s="1">
        <v>68</v>
      </c>
      <c r="C85" t="s">
        <v>404</v>
      </c>
      <c r="D85" s="243">
        <f>SUM(D79:D84)</f>
        <v>21248381.000000004</v>
      </c>
      <c r="E85" s="66"/>
      <c r="F85" s="66"/>
      <c r="G85" s="66"/>
      <c r="H85" s="66"/>
      <c r="I85" s="66"/>
      <c r="J85" s="66"/>
      <c r="K85" s="66"/>
      <c r="L85" s="66"/>
      <c r="M85" s="66"/>
      <c r="N85" s="66"/>
      <c r="O85" s="14"/>
    </row>
    <row r="86" spans="1:15" ht="13.5" thickTop="1">
      <c r="A86" s="1">
        <v>69</v>
      </c>
      <c r="D86" s="173"/>
      <c r="E86" s="66"/>
      <c r="F86" s="66"/>
      <c r="G86" s="66"/>
      <c r="H86" s="66"/>
      <c r="I86" s="66"/>
      <c r="J86" s="66"/>
      <c r="K86" s="66"/>
      <c r="L86" s="66"/>
      <c r="M86" s="66"/>
      <c r="N86" s="66"/>
      <c r="O86" s="14"/>
    </row>
    <row r="87" spans="1:15" ht="15">
      <c r="A87" s="1">
        <v>70</v>
      </c>
      <c r="C87" s="171" t="s">
        <v>608</v>
      </c>
      <c r="D87" s="240">
        <f>+D77</f>
        <v>1427058.3499999999</v>
      </c>
      <c r="E87" s="66"/>
      <c r="F87" s="66"/>
      <c r="G87" s="66"/>
      <c r="H87" s="66"/>
      <c r="I87" s="66"/>
      <c r="J87" s="66"/>
      <c r="K87" s="66"/>
      <c r="L87" s="66"/>
      <c r="M87" s="66"/>
      <c r="N87" s="66"/>
      <c r="O87" s="14"/>
    </row>
    <row r="88" spans="1:15">
      <c r="A88" s="1">
        <v>71</v>
      </c>
      <c r="D88" s="66"/>
      <c r="E88" s="66"/>
      <c r="F88" s="66"/>
      <c r="G88" s="66"/>
      <c r="H88" s="66"/>
      <c r="I88" s="66"/>
      <c r="J88" s="66"/>
      <c r="K88" s="66"/>
      <c r="L88" s="66"/>
      <c r="M88" s="66"/>
      <c r="N88" s="66"/>
      <c r="O88" s="66"/>
    </row>
    <row r="89" spans="1:15">
      <c r="A89" s="1">
        <v>72</v>
      </c>
      <c r="C89" s="348" t="s">
        <v>856</v>
      </c>
      <c r="D89" s="66"/>
      <c r="E89" s="66"/>
      <c r="F89" s="66"/>
      <c r="G89" s="66"/>
      <c r="H89" s="66"/>
      <c r="I89" s="66"/>
      <c r="J89" s="66"/>
      <c r="K89" s="66"/>
      <c r="L89" s="66"/>
      <c r="M89" s="66"/>
      <c r="N89" s="66"/>
      <c r="O89" s="66"/>
    </row>
    <row r="90" spans="1:15" ht="15">
      <c r="A90" s="1">
        <v>73</v>
      </c>
      <c r="C90" s="349" t="s">
        <v>857</v>
      </c>
      <c r="D90" s="66"/>
      <c r="E90" s="66"/>
      <c r="F90" s="66"/>
      <c r="G90" s="66"/>
      <c r="H90" s="66"/>
      <c r="I90" s="66"/>
      <c r="J90" s="66"/>
      <c r="K90" s="66"/>
      <c r="L90" s="66"/>
      <c r="M90" s="66"/>
      <c r="N90" s="66"/>
      <c r="O90" s="66"/>
    </row>
    <row r="91" spans="1:15">
      <c r="A91" s="1">
        <v>74</v>
      </c>
      <c r="C91" s="348" t="s">
        <v>858</v>
      </c>
      <c r="D91" s="66"/>
      <c r="E91" s="66"/>
      <c r="F91" s="66"/>
      <c r="G91" s="66"/>
      <c r="H91" s="66"/>
      <c r="I91" s="66"/>
      <c r="J91" s="66"/>
      <c r="K91" s="66"/>
      <c r="L91" s="66"/>
      <c r="M91" s="66"/>
      <c r="N91" s="66"/>
      <c r="O91" s="66"/>
    </row>
    <row r="92" spans="1:15">
      <c r="A92" s="1">
        <v>75</v>
      </c>
      <c r="C92" s="348" t="s">
        <v>859</v>
      </c>
      <c r="D92" s="66"/>
      <c r="E92" s="66"/>
      <c r="F92" s="66"/>
      <c r="G92" s="66"/>
      <c r="H92" s="66"/>
      <c r="I92" s="66"/>
      <c r="J92" s="66"/>
      <c r="K92" s="66"/>
      <c r="L92" s="66"/>
      <c r="M92" s="66"/>
      <c r="N92" s="66"/>
      <c r="O92" s="66"/>
    </row>
    <row r="93" spans="1:15">
      <c r="A93" s="1">
        <v>76</v>
      </c>
      <c r="C93" s="348" t="s">
        <v>860</v>
      </c>
      <c r="D93" s="66"/>
      <c r="E93" s="66"/>
      <c r="F93" s="66"/>
      <c r="G93" s="66"/>
      <c r="H93" s="66"/>
      <c r="I93" s="66"/>
      <c r="J93" s="66"/>
      <c r="K93" s="66"/>
      <c r="L93" s="66"/>
      <c r="M93" s="66"/>
      <c r="N93" s="66"/>
      <c r="O93" s="66"/>
    </row>
    <row r="94" spans="1:15">
      <c r="A94" s="1">
        <v>77</v>
      </c>
      <c r="C94" s="348" t="s">
        <v>861</v>
      </c>
      <c r="D94" s="66"/>
      <c r="E94" s="66"/>
      <c r="F94" s="66"/>
      <c r="G94" s="66"/>
      <c r="H94" s="66"/>
      <c r="I94" s="66"/>
      <c r="J94" s="66"/>
      <c r="K94" s="66"/>
      <c r="L94" s="66"/>
      <c r="M94" s="66"/>
      <c r="N94" s="66"/>
      <c r="O94" s="66"/>
    </row>
    <row r="95" spans="1:15">
      <c r="A95" s="1">
        <v>78</v>
      </c>
      <c r="C95" s="348" t="s">
        <v>862</v>
      </c>
      <c r="D95" s="66"/>
      <c r="E95" s="66"/>
      <c r="F95" s="66"/>
      <c r="G95" s="66"/>
      <c r="H95" s="66"/>
      <c r="I95" s="66"/>
      <c r="J95" s="66"/>
      <c r="K95" s="66"/>
      <c r="L95" s="66"/>
      <c r="M95" s="66"/>
      <c r="N95" s="66"/>
      <c r="O95" s="66"/>
    </row>
    <row r="96" spans="1:15">
      <c r="A96" s="1">
        <v>79</v>
      </c>
      <c r="C96" s="348"/>
      <c r="D96" s="66"/>
      <c r="E96" s="66"/>
      <c r="F96" s="66"/>
      <c r="G96" s="66"/>
      <c r="H96" s="66"/>
      <c r="I96" s="66"/>
      <c r="J96" s="66"/>
      <c r="K96" s="66"/>
      <c r="L96" s="66"/>
      <c r="M96" s="66"/>
      <c r="N96" s="66"/>
      <c r="O96" s="66"/>
    </row>
    <row r="97" spans="1:15">
      <c r="A97" s="1">
        <v>80</v>
      </c>
      <c r="C97" s="348" t="s">
        <v>863</v>
      </c>
      <c r="D97" s="66"/>
      <c r="E97" s="66"/>
      <c r="F97" s="66"/>
      <c r="G97" s="66"/>
      <c r="H97" s="66"/>
      <c r="I97" s="66"/>
      <c r="J97" s="66"/>
      <c r="K97" s="66"/>
      <c r="L97" s="66"/>
      <c r="M97" s="66"/>
      <c r="N97" s="66"/>
      <c r="O97" s="66"/>
    </row>
    <row r="98" spans="1:15">
      <c r="A98" s="1">
        <v>81</v>
      </c>
      <c r="D98" s="66"/>
      <c r="E98" s="66"/>
      <c r="F98" s="66"/>
      <c r="G98" s="66"/>
      <c r="H98" s="66"/>
      <c r="I98" s="66"/>
      <c r="J98" s="66"/>
      <c r="K98" s="66"/>
      <c r="L98" s="66"/>
      <c r="M98" s="66"/>
      <c r="N98" s="66"/>
      <c r="O98" s="66"/>
    </row>
    <row r="99" spans="1:15">
      <c r="A99" s="1">
        <v>82</v>
      </c>
      <c r="D99" s="66"/>
      <c r="E99" s="66"/>
      <c r="F99" s="66"/>
      <c r="G99" s="66"/>
      <c r="H99" s="66"/>
      <c r="I99" s="66"/>
      <c r="J99" s="66"/>
      <c r="K99" s="66"/>
      <c r="L99" s="66"/>
      <c r="M99" s="66"/>
      <c r="N99" s="66"/>
      <c r="O99" s="66"/>
    </row>
    <row r="100" spans="1:15">
      <c r="A100" s="1">
        <v>83</v>
      </c>
      <c r="B100" s="199">
        <v>2022</v>
      </c>
      <c r="D100" s="66"/>
      <c r="E100" s="66"/>
      <c r="F100" s="66"/>
      <c r="G100" s="66"/>
      <c r="H100" s="66"/>
      <c r="I100" s="66"/>
      <c r="J100" s="66"/>
      <c r="K100" s="66"/>
      <c r="L100" s="66"/>
      <c r="M100" s="66"/>
      <c r="N100" s="66"/>
      <c r="O100" s="66"/>
    </row>
    <row r="101" spans="1:15">
      <c r="A101" s="1">
        <v>84</v>
      </c>
      <c r="C101" s="98" t="s">
        <v>852</v>
      </c>
      <c r="D101" s="66"/>
      <c r="E101" s="66"/>
      <c r="F101" s="66"/>
      <c r="G101" s="66"/>
      <c r="H101" s="66"/>
      <c r="I101" s="66"/>
      <c r="J101" s="66"/>
      <c r="K101" s="66"/>
      <c r="L101" s="66"/>
      <c r="M101" s="66"/>
      <c r="N101" s="66"/>
      <c r="O101" s="66"/>
    </row>
    <row r="102" spans="1:15">
      <c r="A102" s="1">
        <v>85</v>
      </c>
      <c r="C102" s="98"/>
      <c r="D102" s="66"/>
      <c r="E102" s="66"/>
      <c r="F102" s="66"/>
      <c r="G102" s="66"/>
      <c r="H102" s="66"/>
      <c r="I102" s="66"/>
      <c r="J102" s="66"/>
      <c r="K102" s="66"/>
      <c r="L102" s="66"/>
      <c r="M102" s="66"/>
      <c r="N102" s="66"/>
      <c r="O102" s="66"/>
    </row>
    <row r="103" spans="1:15">
      <c r="A103" s="1">
        <v>86</v>
      </c>
      <c r="C103" t="s">
        <v>398</v>
      </c>
      <c r="D103" s="239">
        <v>-3251157.0000000014</v>
      </c>
      <c r="E103" s="66" t="s">
        <v>163</v>
      </c>
      <c r="F103" s="235">
        <f>+$D103*'[4]II-F Alloc_Factor'!E$17</f>
        <v>-730922.72005892708</v>
      </c>
      <c r="G103" s="235">
        <f>+$D103*'[4]II-F Alloc_Factor'!F$17</f>
        <v>0</v>
      </c>
      <c r="H103" s="235">
        <f>+$D103*'[4]II-F Alloc_Factor'!G$17</f>
        <v>0</v>
      </c>
      <c r="I103" s="235">
        <f>+$D103*'[4]II-F Alloc_Factor'!H$17</f>
        <v>-730922.72005892708</v>
      </c>
      <c r="J103" s="235">
        <f>+$D103*'[4]II-F Alloc_Factor'!I$17</f>
        <v>-1952022.3574026281</v>
      </c>
      <c r="K103" s="235">
        <f>+$D103*'[4]II-F Alloc_Factor'!J$17</f>
        <v>0</v>
      </c>
      <c r="L103" s="235">
        <f>+$D103*'[4]II-F Alloc_Factor'!K$17</f>
        <v>-1952022.3574026281</v>
      </c>
      <c r="M103" s="235">
        <f>+$D103*'[4]II-F Alloc_Factor'!L$17</f>
        <v>-545837.92070370319</v>
      </c>
      <c r="N103" s="235">
        <f>+$D103*'[4]II-F Alloc_Factor'!M$17</f>
        <v>-22374.001834743289</v>
      </c>
      <c r="O103" s="242">
        <f t="shared" ref="O103:O105" si="16">+I103+L103+M103+N103</f>
        <v>-3251157.0000000014</v>
      </c>
    </row>
    <row r="104" spans="1:15">
      <c r="A104" s="1">
        <v>87</v>
      </c>
      <c r="C104" t="s">
        <v>162</v>
      </c>
      <c r="D104" s="239">
        <v>-2874003.503615207</v>
      </c>
      <c r="E104" s="66" t="s">
        <v>163</v>
      </c>
      <c r="F104" s="235">
        <f>+$D104*'[4]II-F Alloc_Factor'!E$17</f>
        <v>-646131.34903091809</v>
      </c>
      <c r="G104" s="235">
        <f>+$D104*'[4]II-F Alloc_Factor'!F$17</f>
        <v>0</v>
      </c>
      <c r="H104" s="235">
        <f>+$D104*'[4]II-F Alloc_Factor'!G$17</f>
        <v>0</v>
      </c>
      <c r="I104" s="235">
        <f>+$D104*'[4]II-F Alloc_Factor'!H$17</f>
        <v>-646131.34903091809</v>
      </c>
      <c r="J104" s="235">
        <f>+$D104*'[4]II-F Alloc_Factor'!I$17</f>
        <v>-1725576.1854350208</v>
      </c>
      <c r="K104" s="235">
        <f>+$D104*'[4]II-F Alloc_Factor'!J$17</f>
        <v>0</v>
      </c>
      <c r="L104" s="235">
        <f>+$D104*'[4]II-F Alloc_Factor'!K$17</f>
        <v>-1725576.1854350208</v>
      </c>
      <c r="M104" s="235">
        <f>+$D104*'[4]II-F Alloc_Factor'!L$17</f>
        <v>-482517.48423975887</v>
      </c>
      <c r="N104" s="235">
        <f>+$D104*'[4]II-F Alloc_Factor'!M$17</f>
        <v>-19778.484909509218</v>
      </c>
      <c r="O104" s="242">
        <f t="shared" si="16"/>
        <v>-2874003.503615207</v>
      </c>
    </row>
    <row r="105" spans="1:15">
      <c r="A105" s="1">
        <v>88</v>
      </c>
      <c r="C105" s="171" t="s">
        <v>607</v>
      </c>
      <c r="D105" s="239">
        <v>0</v>
      </c>
      <c r="E105" s="66" t="s">
        <v>163</v>
      </c>
      <c r="F105" s="235">
        <f>+$D105*'[4]II-F Alloc_Factor'!E$17</f>
        <v>0</v>
      </c>
      <c r="G105" s="235">
        <f>+$D105*'[4]II-F Alloc_Factor'!F$17</f>
        <v>0</v>
      </c>
      <c r="H105" s="235">
        <f>+$D105*'[4]II-F Alloc_Factor'!G$17</f>
        <v>0</v>
      </c>
      <c r="I105" s="235">
        <f>+$D105*'[4]II-F Alloc_Factor'!H$17</f>
        <v>0</v>
      </c>
      <c r="J105" s="235">
        <f>+$D105*'[4]II-F Alloc_Factor'!I$17</f>
        <v>0</v>
      </c>
      <c r="K105" s="235">
        <f>+$D105*'[4]II-F Alloc_Factor'!J$17</f>
        <v>0</v>
      </c>
      <c r="L105" s="235">
        <f>+$D105*'[4]II-F Alloc_Factor'!K$17</f>
        <v>0</v>
      </c>
      <c r="M105" s="235">
        <f>+$D105*'[4]II-F Alloc_Factor'!L$17</f>
        <v>0</v>
      </c>
      <c r="N105" s="235">
        <f>+$D105*'[4]II-F Alloc_Factor'!M$17</f>
        <v>0</v>
      </c>
      <c r="O105" s="242">
        <f t="shared" si="16"/>
        <v>0</v>
      </c>
    </row>
    <row r="106" spans="1:15">
      <c r="A106" s="1">
        <v>89</v>
      </c>
      <c r="D106" s="239"/>
      <c r="E106" s="66"/>
      <c r="F106" s="235"/>
      <c r="G106" s="235"/>
      <c r="H106" s="235"/>
      <c r="I106" s="235"/>
      <c r="J106" s="235"/>
      <c r="K106" s="235"/>
      <c r="L106" s="235"/>
      <c r="M106" s="235"/>
      <c r="N106" s="235"/>
      <c r="O106" s="242"/>
    </row>
    <row r="107" spans="1:15">
      <c r="A107" s="1">
        <v>90</v>
      </c>
      <c r="C107" s="98" t="s">
        <v>864</v>
      </c>
      <c r="D107" s="239"/>
      <c r="E107" s="66"/>
      <c r="F107" s="235"/>
      <c r="G107" s="235"/>
      <c r="H107" s="235"/>
      <c r="I107" s="235"/>
      <c r="J107" s="235"/>
      <c r="K107" s="235"/>
      <c r="L107" s="235"/>
      <c r="M107" s="235"/>
      <c r="N107" s="235"/>
      <c r="O107" s="235"/>
    </row>
    <row r="108" spans="1:15">
      <c r="A108" s="1">
        <v>91</v>
      </c>
      <c r="C108" s="98"/>
      <c r="D108" s="239"/>
      <c r="E108" s="66"/>
      <c r="F108" s="235"/>
      <c r="G108" s="235"/>
      <c r="H108" s="235"/>
      <c r="I108" s="235"/>
      <c r="J108" s="235"/>
      <c r="K108" s="235"/>
      <c r="L108" s="235"/>
      <c r="M108" s="235"/>
      <c r="N108" s="235"/>
      <c r="O108" s="235"/>
    </row>
    <row r="109" spans="1:15">
      <c r="A109" s="1">
        <v>92</v>
      </c>
      <c r="C109" t="s">
        <v>398</v>
      </c>
      <c r="D109" s="239">
        <v>44958584.00000003</v>
      </c>
      <c r="E109" s="66" t="s">
        <v>163</v>
      </c>
      <c r="F109" s="235">
        <f>+$D109*'[4]II-F Alloc_Factor'!E$17</f>
        <v>10107555.712405697</v>
      </c>
      <c r="G109" s="235">
        <f>+$D109*'[4]II-F Alloc_Factor'!F$17</f>
        <v>0</v>
      </c>
      <c r="H109" s="235">
        <f>+$D109*'[4]II-F Alloc_Factor'!G$17</f>
        <v>0</v>
      </c>
      <c r="I109" s="235">
        <f>+$D109*'[4]II-F Alloc_Factor'!H$17</f>
        <v>10107555.712405697</v>
      </c>
      <c r="J109" s="235">
        <f>+$D109*'[4]II-F Alloc_Factor'!I$17</f>
        <v>26993516.808066819</v>
      </c>
      <c r="K109" s="235">
        <f>+$D109*'[4]II-F Alloc_Factor'!J$17</f>
        <v>0</v>
      </c>
      <c r="L109" s="235">
        <f>+$D109*'[4]II-F Alloc_Factor'!K$17</f>
        <v>26993516.808066819</v>
      </c>
      <c r="M109" s="235">
        <f>+$D109*'[4]II-F Alloc_Factor'!L$17</f>
        <v>7548112.874383729</v>
      </c>
      <c r="N109" s="235">
        <f>+$D109*'[4]II-F Alloc_Factor'!M$17</f>
        <v>309398.60514378746</v>
      </c>
      <c r="O109" s="242">
        <f t="shared" ref="O109:O111" si="17">+I109+L109+M109+N109</f>
        <v>44958584.00000003</v>
      </c>
    </row>
    <row r="110" spans="1:15">
      <c r="A110" s="1">
        <v>93</v>
      </c>
      <c r="C110" t="s">
        <v>162</v>
      </c>
      <c r="D110" s="239">
        <v>39743121.582125574</v>
      </c>
      <c r="E110" s="66" t="s">
        <v>163</v>
      </c>
      <c r="F110" s="235">
        <f>+$D110*'[4]II-F Alloc_Factor'!E$17</f>
        <v>8935019.2963427678</v>
      </c>
      <c r="G110" s="235">
        <f>+$D110*'[4]II-F Alloc_Factor'!F$17</f>
        <v>0</v>
      </c>
      <c r="H110" s="235">
        <f>+$D110*'[4]II-F Alloc_Factor'!G$17</f>
        <v>0</v>
      </c>
      <c r="I110" s="235">
        <f>+$D110*'[4]II-F Alloc_Factor'!H$17</f>
        <v>8935019.2963427678</v>
      </c>
      <c r="J110" s="235">
        <f>+$D110*'[4]II-F Alloc_Factor'!I$17</f>
        <v>23862108.745065216</v>
      </c>
      <c r="K110" s="235">
        <f>+$D110*'[4]II-F Alloc_Factor'!J$17</f>
        <v>0</v>
      </c>
      <c r="L110" s="235">
        <f>+$D110*'[4]II-F Alloc_Factor'!K$17</f>
        <v>23862108.745065216</v>
      </c>
      <c r="M110" s="235">
        <f>+$D110*'[4]II-F Alloc_Factor'!L$17</f>
        <v>6672487.0089823045</v>
      </c>
      <c r="N110" s="235">
        <f>+$D110*'[4]II-F Alloc_Factor'!M$17</f>
        <v>273506.53173528775</v>
      </c>
      <c r="O110" s="242">
        <f t="shared" si="17"/>
        <v>39743121.582125574</v>
      </c>
    </row>
    <row r="111" spans="1:15">
      <c r="A111" s="1">
        <v>94</v>
      </c>
      <c r="C111" s="171" t="s">
        <v>607</v>
      </c>
      <c r="D111" s="239">
        <v>0</v>
      </c>
      <c r="E111" s="66" t="s">
        <v>163</v>
      </c>
      <c r="F111" s="235">
        <f>+$D111*'[4]II-F Alloc_Factor'!E$17</f>
        <v>0</v>
      </c>
      <c r="G111" s="235">
        <f>+$D111*'[4]II-F Alloc_Factor'!F$17</f>
        <v>0</v>
      </c>
      <c r="H111" s="235">
        <f>+$D111*'[4]II-F Alloc_Factor'!G$17</f>
        <v>0</v>
      </c>
      <c r="I111" s="235">
        <f>+$D111*'[4]II-F Alloc_Factor'!H$17</f>
        <v>0</v>
      </c>
      <c r="J111" s="235">
        <f>+$D111*'[4]II-F Alloc_Factor'!I$17</f>
        <v>0</v>
      </c>
      <c r="K111" s="235">
        <f>+$D111*'[4]II-F Alloc_Factor'!J$17</f>
        <v>0</v>
      </c>
      <c r="L111" s="235">
        <f>+$D111*'[4]II-F Alloc_Factor'!K$17</f>
        <v>0</v>
      </c>
      <c r="M111" s="235">
        <f>+$D111*'[4]II-F Alloc_Factor'!L$17</f>
        <v>0</v>
      </c>
      <c r="N111" s="235">
        <f>+$D111*'[4]II-F Alloc_Factor'!M$17</f>
        <v>0</v>
      </c>
      <c r="O111" s="242">
        <f t="shared" si="17"/>
        <v>0</v>
      </c>
    </row>
    <row r="112" spans="1:15">
      <c r="A112" s="1">
        <v>95</v>
      </c>
      <c r="D112" s="239"/>
      <c r="E112" s="66"/>
      <c r="F112" s="235"/>
      <c r="G112" s="235"/>
      <c r="H112" s="235"/>
      <c r="I112" s="235"/>
      <c r="J112" s="235"/>
      <c r="K112" s="235"/>
      <c r="L112" s="235"/>
      <c r="M112" s="235"/>
      <c r="N112" s="235"/>
      <c r="O112" s="235"/>
    </row>
    <row r="113" spans="1:15">
      <c r="A113" s="1">
        <v>96</v>
      </c>
      <c r="C113" s="350" t="s">
        <v>865</v>
      </c>
      <c r="D113" s="239"/>
      <c r="E113" s="66"/>
      <c r="F113" s="235"/>
      <c r="G113" s="235"/>
      <c r="H113" s="235"/>
      <c r="I113" s="235"/>
      <c r="J113" s="235"/>
      <c r="K113" s="235"/>
      <c r="L113" s="235"/>
      <c r="M113" s="235"/>
      <c r="N113" s="235"/>
      <c r="O113" s="235"/>
    </row>
    <row r="114" spans="1:15">
      <c r="A114" s="1">
        <v>97</v>
      </c>
      <c r="C114" s="350"/>
      <c r="D114" s="239"/>
      <c r="E114" s="66"/>
      <c r="F114" s="235"/>
      <c r="G114" s="235"/>
      <c r="H114" s="235"/>
      <c r="I114" s="235"/>
      <c r="J114" s="235"/>
      <c r="K114" s="235"/>
      <c r="L114" s="235"/>
      <c r="M114" s="235"/>
      <c r="N114" s="235"/>
      <c r="O114" s="235"/>
    </row>
    <row r="115" spans="1:15">
      <c r="A115" s="1">
        <v>98</v>
      </c>
      <c r="C115" t="s">
        <v>398</v>
      </c>
      <c r="D115" s="239">
        <v>6309065.9999999991</v>
      </c>
      <c r="E115" s="66" t="s">
        <v>163</v>
      </c>
      <c r="F115" s="235">
        <f>+$D115*'[4]II-F Alloc_Factor'!E$17</f>
        <v>1418399.567216007</v>
      </c>
      <c r="G115" s="235">
        <f>+$D115*'[4]II-F Alloc_Factor'!F$17</f>
        <v>0</v>
      </c>
      <c r="H115" s="235">
        <f>+$D115*'[4]II-F Alloc_Factor'!G$17</f>
        <v>0</v>
      </c>
      <c r="I115" s="235">
        <f>+$D115*'[4]II-F Alloc_Factor'!H$17</f>
        <v>1418399.567216007</v>
      </c>
      <c r="J115" s="235">
        <f>+$D115*'[4]II-F Alloc_Factor'!I$17</f>
        <v>3788016.9694446507</v>
      </c>
      <c r="K115" s="235">
        <f>+$D115*'[4]II-F Alloc_Factor'!J$17</f>
        <v>0</v>
      </c>
      <c r="L115" s="235">
        <f>+$D115*'[4]II-F Alloc_Factor'!K$17</f>
        <v>3788016.9694446507</v>
      </c>
      <c r="M115" s="235">
        <f>+$D115*'[4]II-F Alloc_Factor'!L$17</f>
        <v>1059231.3650255671</v>
      </c>
      <c r="N115" s="235">
        <f>+$D115*'[4]II-F Alloc_Factor'!M$17</f>
        <v>43418.098313774579</v>
      </c>
      <c r="O115" s="242">
        <f t="shared" ref="O115:O117" si="18">+I115+L115+M115+N115</f>
        <v>6309066</v>
      </c>
    </row>
    <row r="116" spans="1:15">
      <c r="A116" s="1">
        <v>99</v>
      </c>
      <c r="C116" t="s">
        <v>162</v>
      </c>
      <c r="D116" s="239">
        <v>5577176.9214896634</v>
      </c>
      <c r="E116" s="66" t="s">
        <v>163</v>
      </c>
      <c r="F116" s="235">
        <f>+$D116*'[4]II-F Alloc_Factor'!E$17</f>
        <v>1253856.8041177636</v>
      </c>
      <c r="G116" s="235">
        <f>+$D116*'[4]II-F Alloc_Factor'!F$17</f>
        <v>0</v>
      </c>
      <c r="H116" s="235">
        <f>+$D116*'[4]II-F Alloc_Factor'!G$17</f>
        <v>0</v>
      </c>
      <c r="I116" s="235">
        <f>+$D116*'[4]II-F Alloc_Factor'!H$17</f>
        <v>1253856.8041177636</v>
      </c>
      <c r="J116" s="235">
        <f>+$D116*'[4]II-F Alloc_Factor'!I$17</f>
        <v>3348584.5321950861</v>
      </c>
      <c r="K116" s="235">
        <f>+$D116*'[4]II-F Alloc_Factor'!J$17</f>
        <v>0</v>
      </c>
      <c r="L116" s="235">
        <f>+$D116*'[4]II-F Alloc_Factor'!K$17</f>
        <v>3348584.5321950861</v>
      </c>
      <c r="M116" s="235">
        <f>+$D116*'[4]II-F Alloc_Factor'!L$17</f>
        <v>936354.24380385096</v>
      </c>
      <c r="N116" s="235">
        <f>+$D116*'[4]II-F Alloc_Factor'!M$17</f>
        <v>38381.341372962801</v>
      </c>
      <c r="O116" s="242">
        <f t="shared" si="18"/>
        <v>5577176.9214896644</v>
      </c>
    </row>
    <row r="117" spans="1:15">
      <c r="A117" s="1">
        <v>100</v>
      </c>
      <c r="C117" s="171" t="s">
        <v>607</v>
      </c>
      <c r="D117" s="239">
        <v>5573213.54</v>
      </c>
      <c r="E117" s="66" t="s">
        <v>163</v>
      </c>
      <c r="F117" s="235">
        <f>+$D117*'[4]II-F Alloc_Factor'!E$17</f>
        <v>1252965.7596129747</v>
      </c>
      <c r="G117" s="235">
        <f>+$D117*'[4]II-F Alloc_Factor'!F$17</f>
        <v>0</v>
      </c>
      <c r="H117" s="235">
        <f>+$D117*'[4]II-F Alloc_Factor'!G$17</f>
        <v>0</v>
      </c>
      <c r="I117" s="235">
        <f>+$D117*'[4]II-F Alloc_Factor'!H$17</f>
        <v>1252965.7596129747</v>
      </c>
      <c r="J117" s="235">
        <f>+$D117*'[4]II-F Alloc_Factor'!I$17</f>
        <v>3346204.8841870883</v>
      </c>
      <c r="K117" s="235">
        <f>+$D117*'[4]II-F Alloc_Factor'!J$17</f>
        <v>0</v>
      </c>
      <c r="L117" s="235">
        <f>+$D117*'[4]II-F Alloc_Factor'!K$17</f>
        <v>3346204.8841870883</v>
      </c>
      <c r="M117" s="235">
        <f>+$D117*'[4]II-F Alloc_Factor'!L$17</f>
        <v>935688.83025683579</v>
      </c>
      <c r="N117" s="235">
        <f>+$D117*'[4]II-F Alloc_Factor'!M$17</f>
        <v>38354.065943101516</v>
      </c>
      <c r="O117" s="242">
        <f t="shared" si="18"/>
        <v>5573213.54</v>
      </c>
    </row>
    <row r="118" spans="1:15">
      <c r="A118" s="1">
        <v>101</v>
      </c>
      <c r="D118" s="239"/>
      <c r="E118" s="66"/>
      <c r="F118" s="235"/>
      <c r="G118" s="235"/>
      <c r="H118" s="235"/>
      <c r="I118" s="235"/>
      <c r="J118" s="235"/>
      <c r="K118" s="235"/>
      <c r="L118" s="235"/>
      <c r="M118" s="235"/>
      <c r="N118" s="235"/>
      <c r="O118" s="235"/>
    </row>
    <row r="119" spans="1:15">
      <c r="A119" s="1">
        <v>102</v>
      </c>
      <c r="C119" s="98" t="s">
        <v>604</v>
      </c>
      <c r="D119" s="239"/>
      <c r="E119" s="66"/>
      <c r="F119" s="235"/>
      <c r="G119" s="235"/>
      <c r="H119" s="235"/>
      <c r="I119" s="235"/>
      <c r="J119" s="235"/>
      <c r="K119" s="235"/>
      <c r="L119" s="235"/>
      <c r="M119" s="235"/>
      <c r="N119" s="235"/>
      <c r="O119" s="235"/>
    </row>
    <row r="120" spans="1:15">
      <c r="A120" s="1">
        <v>103</v>
      </c>
      <c r="C120" s="98"/>
      <c r="D120" s="239"/>
      <c r="E120" s="66"/>
      <c r="F120" s="235"/>
      <c r="G120" s="235"/>
      <c r="H120" s="235"/>
      <c r="I120" s="235"/>
      <c r="J120" s="235"/>
      <c r="K120" s="235"/>
      <c r="L120" s="235"/>
      <c r="M120" s="235"/>
      <c r="N120" s="235"/>
      <c r="O120" s="235"/>
    </row>
    <row r="121" spans="1:15">
      <c r="A121" s="1">
        <v>104</v>
      </c>
      <c r="C121" t="s">
        <v>398</v>
      </c>
      <c r="D121" s="239">
        <v>48016493.00000003</v>
      </c>
      <c r="E121" s="66" t="s">
        <v>163</v>
      </c>
      <c r="F121" s="239">
        <f t="shared" ref="F121:N123" si="19">+F103+F109+F115</f>
        <v>10795032.559562776</v>
      </c>
      <c r="G121" s="239">
        <f t="shared" si="19"/>
        <v>0</v>
      </c>
      <c r="H121" s="239">
        <f t="shared" si="19"/>
        <v>0</v>
      </c>
      <c r="I121" s="239">
        <f t="shared" si="19"/>
        <v>10795032.559562776</v>
      </c>
      <c r="J121" s="239">
        <f t="shared" si="19"/>
        <v>28829511.420108844</v>
      </c>
      <c r="K121" s="239">
        <f t="shared" si="19"/>
        <v>0</v>
      </c>
      <c r="L121" s="239">
        <f t="shared" si="19"/>
        <v>28829511.420108844</v>
      </c>
      <c r="M121" s="239">
        <f t="shared" si="19"/>
        <v>8061506.3187055923</v>
      </c>
      <c r="N121" s="239">
        <f t="shared" si="19"/>
        <v>330442.70162281871</v>
      </c>
      <c r="O121" s="242">
        <f t="shared" ref="O121:O123" si="20">+I121+L121+M121+N121</f>
        <v>48016493.000000037</v>
      </c>
    </row>
    <row r="122" spans="1:15">
      <c r="A122" s="1">
        <v>105</v>
      </c>
      <c r="C122" t="s">
        <v>866</v>
      </c>
      <c r="D122" s="239">
        <v>42446295.00000003</v>
      </c>
      <c r="E122" s="66" t="s">
        <v>163</v>
      </c>
      <c r="F122" s="239">
        <f t="shared" si="19"/>
        <v>9542744.7514296137</v>
      </c>
      <c r="G122" s="239">
        <f t="shared" si="19"/>
        <v>0</v>
      </c>
      <c r="H122" s="239">
        <f t="shared" si="19"/>
        <v>0</v>
      </c>
      <c r="I122" s="239">
        <f t="shared" si="19"/>
        <v>9542744.7514296137</v>
      </c>
      <c r="J122" s="239">
        <f t="shared" si="19"/>
        <v>25485117.091825284</v>
      </c>
      <c r="K122" s="239">
        <f t="shared" si="19"/>
        <v>0</v>
      </c>
      <c r="L122" s="239">
        <f t="shared" si="19"/>
        <v>25485117.091825284</v>
      </c>
      <c r="M122" s="239">
        <f t="shared" si="19"/>
        <v>7126323.7685463969</v>
      </c>
      <c r="N122" s="239">
        <f t="shared" si="19"/>
        <v>292109.3881987413</v>
      </c>
      <c r="O122" s="242">
        <f t="shared" si="20"/>
        <v>42446295.00000003</v>
      </c>
    </row>
    <row r="123" spans="1:15">
      <c r="A123" s="1">
        <v>106</v>
      </c>
      <c r="C123" s="171" t="s">
        <v>607</v>
      </c>
      <c r="D123" s="239">
        <v>5573213.54</v>
      </c>
      <c r="E123" s="66" t="s">
        <v>163</v>
      </c>
      <c r="F123" s="241">
        <f t="shared" si="19"/>
        <v>1252965.7596129747</v>
      </c>
      <c r="G123" s="241">
        <f t="shared" si="19"/>
        <v>0</v>
      </c>
      <c r="H123" s="241">
        <f t="shared" si="19"/>
        <v>0</v>
      </c>
      <c r="I123" s="241">
        <f t="shared" si="19"/>
        <v>1252965.7596129747</v>
      </c>
      <c r="J123" s="241">
        <f t="shared" si="19"/>
        <v>3346204.8841870883</v>
      </c>
      <c r="K123" s="241">
        <f t="shared" si="19"/>
        <v>0</v>
      </c>
      <c r="L123" s="241">
        <f t="shared" si="19"/>
        <v>3346204.8841870883</v>
      </c>
      <c r="M123" s="241">
        <f t="shared" si="19"/>
        <v>935688.83025683579</v>
      </c>
      <c r="N123" s="241">
        <f t="shared" si="19"/>
        <v>38354.065943101516</v>
      </c>
      <c r="O123" s="242">
        <f t="shared" si="20"/>
        <v>5573213.54</v>
      </c>
    </row>
    <row r="124" spans="1:15">
      <c r="A124" s="1">
        <v>107</v>
      </c>
      <c r="D124" s="239"/>
    </row>
    <row r="125" spans="1:15">
      <c r="A125" s="1">
        <v>108</v>
      </c>
      <c r="D125" s="239"/>
    </row>
    <row r="126" spans="1:15">
      <c r="A126" s="1">
        <v>109</v>
      </c>
      <c r="C126" t="s">
        <v>867</v>
      </c>
      <c r="D126" s="239">
        <v>42446295.00000003</v>
      </c>
      <c r="E126" t="s">
        <v>868</v>
      </c>
    </row>
    <row r="127" spans="1:15">
      <c r="A127" s="1">
        <v>110</v>
      </c>
      <c r="C127" t="s">
        <v>400</v>
      </c>
      <c r="D127" s="239">
        <v>89542.839999999982</v>
      </c>
    </row>
    <row r="128" spans="1:15">
      <c r="A128" s="1">
        <v>111</v>
      </c>
      <c r="C128" t="s">
        <v>401</v>
      </c>
      <c r="D128" s="239">
        <v>23246015.339999996</v>
      </c>
    </row>
    <row r="129" spans="1:4">
      <c r="A129" s="1">
        <v>112</v>
      </c>
      <c r="C129" t="s">
        <v>402</v>
      </c>
      <c r="D129" s="239">
        <v>610067.52</v>
      </c>
    </row>
    <row r="130" spans="1:4">
      <c r="A130" s="1">
        <v>113</v>
      </c>
      <c r="C130" t="s">
        <v>403</v>
      </c>
      <c r="D130" s="239">
        <v>-20242026.130000003</v>
      </c>
    </row>
    <row r="131" spans="1:4">
      <c r="A131" s="1">
        <v>114</v>
      </c>
      <c r="C131" t="s">
        <v>63</v>
      </c>
      <c r="D131" s="239">
        <v>1866598.4300000076</v>
      </c>
    </row>
    <row r="132" spans="1:4" ht="13.5" thickBot="1">
      <c r="A132" s="1">
        <v>115</v>
      </c>
      <c r="C132" s="171" t="s">
        <v>404</v>
      </c>
      <c r="D132" s="351">
        <f>SUM(D126:D131)</f>
        <v>48016493.000000037</v>
      </c>
    </row>
    <row r="133" spans="1:4" ht="13.5" thickTop="1">
      <c r="A133" s="1">
        <v>116</v>
      </c>
      <c r="D133" s="239"/>
    </row>
    <row r="134" spans="1:4">
      <c r="A134" s="1">
        <v>117</v>
      </c>
      <c r="C134" s="171" t="s">
        <v>608</v>
      </c>
      <c r="D134" s="239">
        <v>5573213.54</v>
      </c>
    </row>
    <row r="135" spans="1:4">
      <c r="A135" s="1">
        <v>118</v>
      </c>
    </row>
    <row r="136" spans="1:4">
      <c r="A136" s="1">
        <v>119</v>
      </c>
      <c r="C136" t="s">
        <v>856</v>
      </c>
    </row>
    <row r="137" spans="1:4">
      <c r="A137" s="1">
        <v>120</v>
      </c>
      <c r="C137" t="s">
        <v>857</v>
      </c>
    </row>
    <row r="138" spans="1:4">
      <c r="A138" s="1">
        <v>121</v>
      </c>
      <c r="C138" t="s">
        <v>858</v>
      </c>
    </row>
    <row r="139" spans="1:4">
      <c r="A139" s="1">
        <v>122</v>
      </c>
      <c r="C139" t="s">
        <v>859</v>
      </c>
    </row>
    <row r="140" spans="1:4">
      <c r="A140" s="1">
        <v>123</v>
      </c>
      <c r="C140" t="s">
        <v>860</v>
      </c>
    </row>
    <row r="141" spans="1:4">
      <c r="A141" s="1">
        <v>124</v>
      </c>
      <c r="C141" t="s">
        <v>861</v>
      </c>
    </row>
    <row r="142" spans="1:4">
      <c r="A142" s="1">
        <v>125</v>
      </c>
      <c r="C142" t="s">
        <v>862</v>
      </c>
    </row>
    <row r="143" spans="1:4">
      <c r="A143" s="1">
        <v>126</v>
      </c>
    </row>
    <row r="144" spans="1:4">
      <c r="A144" s="1">
        <v>127</v>
      </c>
      <c r="C144" t="s">
        <v>863</v>
      </c>
    </row>
  </sheetData>
  <phoneticPr fontId="5" type="noConversion"/>
  <printOptions horizontalCentered="1"/>
  <pageMargins left="0.5" right="0.5" top="3" bottom="0.5" header="1.5" footer="0.5"/>
  <pageSetup scale="54" fitToHeight="0" orientation="landscape"/>
  <headerFooter alignWithMargins="0">
    <oddHeader>&amp;R&amp;"Arial,Bold"Schedule &amp;A
Page &amp;P of &amp;N&amp;C&amp;B
2025 RATE CASE
ONCOR ELECTRIC DELIVERY COMPANY LLC
II-D-3.8  PENSION EXPENSE
TEST YEAR ENDING DECEMBER 31, 2024
SPONSORS: R. PRACHYL/ A. GUILLORY/ K. FEASE</oddHeader>
  </headerFooter>
  <rowBreaks count="1" manualBreakCount="1">
    <brk id="53" max="14"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pageSetUpPr fitToPage="1"/>
  </sheetPr>
  <dimension ref="A1:L53"/>
  <sheetViews>
    <sheetView zoomScaleNormal="100" workbookViewId="0">
      <pane ySplit="6" topLeftCell="A7" activePane="bottomLeft" state="frozen"/>
      <selection activeCell="N38" sqref="N38"/>
      <selection pane="bottomLeft" activeCell="N38" sqref="N38"/>
    </sheetView>
  </sheetViews>
  <sheetFormatPr defaultRowHeight="12.75"/>
  <cols>
    <col min="1" max="1" width="96" bestFit="1" customWidth="1"/>
    <col min="2" max="2" width="4.42578125" customWidth="1"/>
    <col min="3" max="3" width="16.85546875" bestFit="1" customWidth="1"/>
    <col min="4" max="5" width="12.7109375" customWidth="1"/>
    <col min="6" max="6" width="14.140625" bestFit="1" customWidth="1"/>
    <col min="8" max="8" width="10.28515625" bestFit="1" customWidth="1"/>
    <col min="10" max="10" width="15" bestFit="1" customWidth="1"/>
    <col min="11" max="11" width="14.85546875" customWidth="1"/>
  </cols>
  <sheetData>
    <row r="1" spans="1:12" s="192" customFormat="1" ht="15">
      <c r="A1" s="5" t="str">
        <f>+'[3]Input Data'!$A$9</f>
        <v>2025 RATE CASE</v>
      </c>
    </row>
    <row r="2" spans="1:12">
      <c r="A2" s="8" t="str">
        <f>+'[3]Input Data'!$A$2</f>
        <v>ONCOR ELECTRIC DELIVERY COMPANY LLC</v>
      </c>
    </row>
    <row r="3" spans="1:12">
      <c r="A3" s="7" t="str">
        <f>CONCATENATE('[3]Schedule Sponsors'!$A$77,'[3]Schedule Sponsors'!$B$77)</f>
        <v>II-D-3.9  POSTRETIREMENT BENEFITS OTHER THAN PENSION</v>
      </c>
    </row>
    <row r="4" spans="1:12">
      <c r="A4" s="63" t="str">
        <f>+'[3]Input Data'!$A$4</f>
        <v>TEST YEAR ENDING DECEMBER 31, 2024</v>
      </c>
    </row>
    <row r="5" spans="1:12">
      <c r="A5" s="7" t="str">
        <f>CONCATENATE("SPONSORS: ",'[3]Schedule Sponsors'!$D$76)</f>
        <v>SPONSORS: R. PRACHYL/ A. GUILLORY/ K. FEASE</v>
      </c>
    </row>
    <row r="10" spans="1:12">
      <c r="A10" s="61"/>
      <c r="B10" s="18"/>
      <c r="C10" s="18"/>
      <c r="D10" s="61"/>
      <c r="E10" s="18"/>
      <c r="F10" s="18"/>
      <c r="G10" s="18"/>
      <c r="H10" s="18"/>
      <c r="I10" s="18"/>
      <c r="J10" s="18"/>
      <c r="K10" s="18"/>
      <c r="L10" s="96"/>
    </row>
    <row r="11" spans="1:12" s="95" customFormat="1" ht="30">
      <c r="A11" s="324" t="s">
        <v>763</v>
      </c>
    </row>
    <row r="13" spans="1:12" ht="14.25">
      <c r="A13" s="259" t="s">
        <v>568</v>
      </c>
    </row>
    <row r="27" spans="1:11">
      <c r="A27" s="5"/>
    </row>
    <row r="32" spans="1:11">
      <c r="D32" s="66"/>
      <c r="E32" s="66"/>
      <c r="F32" s="66"/>
      <c r="G32" s="66"/>
      <c r="H32" s="66"/>
      <c r="I32" s="66"/>
      <c r="J32" s="66"/>
      <c r="K32" s="66"/>
    </row>
    <row r="33" spans="4:11">
      <c r="D33" s="66"/>
      <c r="E33" s="66"/>
      <c r="F33" s="66"/>
      <c r="G33" s="66"/>
      <c r="H33" s="66"/>
      <c r="I33" s="66"/>
      <c r="J33" s="66"/>
      <c r="K33" s="66"/>
    </row>
    <row r="34" spans="4:11">
      <c r="D34" s="66"/>
      <c r="E34" s="66"/>
      <c r="F34" s="66"/>
      <c r="G34" s="66"/>
      <c r="H34" s="66"/>
      <c r="I34" s="66"/>
      <c r="J34" s="66"/>
      <c r="K34" s="66"/>
    </row>
    <row r="35" spans="4:11">
      <c r="D35" s="66"/>
      <c r="E35" s="66"/>
      <c r="F35" s="66"/>
      <c r="G35" s="66"/>
      <c r="H35" s="66"/>
      <c r="I35" s="66"/>
      <c r="J35" s="66"/>
      <c r="K35" s="66"/>
    </row>
    <row r="36" spans="4:11">
      <c r="D36" s="66"/>
      <c r="E36" s="66"/>
      <c r="F36" s="66"/>
      <c r="G36" s="66"/>
      <c r="H36" s="66"/>
      <c r="I36" s="66"/>
      <c r="J36" s="66"/>
      <c r="K36" s="66"/>
    </row>
    <row r="37" spans="4:11">
      <c r="D37" s="66"/>
      <c r="E37" s="66"/>
      <c r="F37" s="66"/>
      <c r="G37" s="66"/>
      <c r="H37" s="66"/>
      <c r="I37" s="66"/>
      <c r="J37" s="66"/>
      <c r="K37" s="66"/>
    </row>
    <row r="38" spans="4:11">
      <c r="D38" s="66"/>
      <c r="E38" s="66"/>
      <c r="F38" s="66"/>
      <c r="G38" s="66"/>
      <c r="H38" s="66"/>
      <c r="I38" s="66"/>
      <c r="J38" s="66"/>
      <c r="K38" s="66"/>
    </row>
    <row r="39" spans="4:11">
      <c r="D39" s="66"/>
      <c r="E39" s="66"/>
      <c r="F39" s="66"/>
      <c r="G39" s="66"/>
      <c r="H39" s="66"/>
      <c r="I39" s="66"/>
      <c r="J39" s="66"/>
      <c r="K39" s="66"/>
    </row>
    <row r="40" spans="4:11">
      <c r="D40" s="66"/>
      <c r="E40" s="66"/>
      <c r="F40" s="66"/>
      <c r="G40" s="66"/>
      <c r="H40" s="66"/>
      <c r="I40" s="66"/>
      <c r="J40" s="66"/>
      <c r="K40" s="66"/>
    </row>
    <row r="41" spans="4:11">
      <c r="D41" s="66"/>
      <c r="E41" s="66"/>
      <c r="F41" s="66"/>
      <c r="G41" s="66"/>
      <c r="H41" s="66"/>
      <c r="I41" s="66"/>
      <c r="J41" s="66"/>
      <c r="K41" s="66"/>
    </row>
    <row r="42" spans="4:11">
      <c r="D42" s="66"/>
      <c r="E42" s="66"/>
      <c r="F42" s="66"/>
      <c r="G42" s="66"/>
      <c r="H42" s="66"/>
      <c r="I42" s="66"/>
      <c r="J42" s="66"/>
      <c r="K42" s="66"/>
    </row>
    <row r="43" spans="4:11">
      <c r="D43" s="66"/>
      <c r="E43" s="66"/>
      <c r="F43" s="66"/>
      <c r="G43" s="66"/>
      <c r="H43" s="66"/>
      <c r="I43" s="66"/>
      <c r="J43" s="66"/>
      <c r="K43" s="66"/>
    </row>
    <row r="44" spans="4:11">
      <c r="D44" s="66"/>
      <c r="E44" s="66"/>
      <c r="F44" s="66"/>
      <c r="G44" s="66"/>
      <c r="H44" s="66"/>
      <c r="I44" s="66"/>
      <c r="J44" s="66"/>
      <c r="K44" s="66"/>
    </row>
    <row r="45" spans="4:11">
      <c r="D45" s="66"/>
      <c r="E45" s="66"/>
      <c r="F45" s="66"/>
      <c r="G45" s="66"/>
      <c r="H45" s="66"/>
      <c r="I45" s="66"/>
      <c r="J45" s="66"/>
      <c r="K45" s="66"/>
    </row>
    <row r="46" spans="4:11">
      <c r="D46" s="66"/>
      <c r="E46" s="66"/>
      <c r="F46" s="66"/>
      <c r="G46" s="66"/>
      <c r="H46" s="66"/>
      <c r="I46" s="66"/>
      <c r="J46" s="66"/>
      <c r="K46" s="66"/>
    </row>
    <row r="47" spans="4:11">
      <c r="D47" s="66"/>
      <c r="E47" s="66"/>
      <c r="F47" s="66"/>
      <c r="G47" s="66"/>
      <c r="H47" s="66"/>
      <c r="I47" s="66"/>
      <c r="J47" s="66"/>
      <c r="K47" s="66"/>
    </row>
    <row r="48" spans="4:11">
      <c r="D48" s="66"/>
      <c r="E48" s="66"/>
      <c r="F48" s="66"/>
      <c r="G48" s="66"/>
      <c r="H48" s="66"/>
      <c r="I48" s="66"/>
      <c r="J48" s="66"/>
      <c r="K48" s="66"/>
    </row>
    <row r="49" spans="4:11">
      <c r="D49" s="66"/>
      <c r="E49" s="66"/>
      <c r="F49" s="66"/>
      <c r="G49" s="66"/>
      <c r="H49" s="66"/>
      <c r="I49" s="66"/>
      <c r="J49" s="66"/>
      <c r="K49" s="66"/>
    </row>
    <row r="50" spans="4:11">
      <c r="D50" s="66"/>
      <c r="E50" s="66"/>
      <c r="F50" s="66"/>
      <c r="G50" s="66"/>
      <c r="H50" s="66"/>
      <c r="I50" s="66"/>
      <c r="J50" s="66"/>
      <c r="K50" s="66"/>
    </row>
    <row r="51" spans="4:11">
      <c r="D51" s="66"/>
      <c r="E51" s="66"/>
      <c r="F51" s="66"/>
      <c r="G51" s="66"/>
      <c r="H51" s="66"/>
      <c r="I51" s="66"/>
      <c r="J51" s="66"/>
      <c r="K51" s="66"/>
    </row>
    <row r="52" spans="4:11">
      <c r="D52" s="66"/>
      <c r="E52" s="66"/>
      <c r="F52" s="66"/>
      <c r="G52" s="66"/>
      <c r="H52" s="66"/>
      <c r="I52" s="66"/>
      <c r="J52" s="66"/>
      <c r="K52" s="66"/>
    </row>
    <row r="53" spans="4:11">
      <c r="D53" s="66"/>
      <c r="E53" s="66"/>
      <c r="F53" s="66"/>
      <c r="G53" s="66"/>
      <c r="H53" s="66"/>
      <c r="I53" s="66"/>
      <c r="J53" s="66"/>
      <c r="K53" s="66"/>
    </row>
  </sheetData>
  <printOptions horizontalCentered="1"/>
  <pageMargins left="0.5" right="0.5" top="3.25" bottom="0.5" header="1.5" footer="0.5"/>
  <pageSetup fitToHeight="0" orientation="landscape"/>
  <headerFooter alignWithMargins="0">
    <oddHeader>&amp;R&amp;"Arial,Bold"Schedule &amp;A
Page &amp;P of &amp;N&amp;C&amp;B
2025 RATE CASE
ONCOR ELECTRIC DELIVERY COMPANY LLC
II-D-3.9  POSTRETIREMENT BENEFITS OTHER THAN PENSION
TEST YEAR ENDING DECEMBER 31, 2024
SPONSORS: R. PRACHYL/ A. GUILLORY/ K. FEASE</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1">
    <pageSetUpPr fitToPage="1"/>
  </sheetPr>
  <dimension ref="A1:B16"/>
  <sheetViews>
    <sheetView zoomScaleNormal="100" workbookViewId="0">
      <pane ySplit="6" topLeftCell="A7" activePane="bottomLeft" state="frozen"/>
      <selection activeCell="N38" sqref="N38"/>
      <selection pane="bottomLeft" activeCell="G3" sqref="G3"/>
    </sheetView>
  </sheetViews>
  <sheetFormatPr defaultRowHeight="12.75"/>
  <cols>
    <col min="2" max="5" width="13.7109375" customWidth="1"/>
  </cols>
  <sheetData>
    <row r="1" spans="1:2">
      <c r="A1" s="5" t="str">
        <f>+'[3]Input Data'!$A$9</f>
        <v>2025 RATE CASE</v>
      </c>
    </row>
    <row r="2" spans="1:2">
      <c r="A2" s="8" t="str">
        <f>+'[3]Input Data'!$A$2</f>
        <v>ONCOR ELECTRIC DELIVERY COMPANY LLC</v>
      </c>
    </row>
    <row r="3" spans="1:2">
      <c r="A3" s="7" t="str">
        <f>CONCATENATE('[3]Schedule Sponsors'!$A$77,'[3]Schedule Sponsors'!$B$77)</f>
        <v>II-D-3.9  POSTRETIREMENT BENEFITS OTHER THAN PENSION</v>
      </c>
    </row>
    <row r="4" spans="1:2">
      <c r="A4" s="63" t="str">
        <f>+'[3]Input Data'!$A$4</f>
        <v>TEST YEAR ENDING DECEMBER 31, 2024</v>
      </c>
    </row>
    <row r="5" spans="1:2">
      <c r="A5" s="7" t="str">
        <f>CONCATENATE("SPONSORS: ",'[3]Schedule Sponsors'!$D$76)</f>
        <v>SPONSORS: R. PRACHYL/ A. GUILLORY/ K. FEASE</v>
      </c>
    </row>
    <row r="10" spans="1:2" ht="15">
      <c r="A10" s="260" t="s">
        <v>599</v>
      </c>
    </row>
    <row r="11" spans="1:2" ht="15">
      <c r="A11" s="260" t="s">
        <v>569</v>
      </c>
    </row>
    <row r="12" spans="1:2" ht="15">
      <c r="A12" s="260" t="s">
        <v>570</v>
      </c>
    </row>
    <row r="15" spans="1:2">
      <c r="B15" s="171" t="s">
        <v>1050</v>
      </c>
    </row>
    <row r="16" spans="1:2" ht="14.25">
      <c r="B16" s="259" t="s">
        <v>1048</v>
      </c>
    </row>
  </sheetData>
  <printOptions horizontalCentered="1"/>
  <pageMargins left="0.5" right="0.5" top="3" bottom="0.5" header="1.5" footer="0.5"/>
  <pageSetup scale="74" orientation="landscape"/>
  <headerFooter alignWithMargins="0">
    <oddHeader>&amp;R&amp;"Arial,Bold"Schedule &amp;A
Page &amp;P of &amp;N&amp;C&amp;B
2025 RATE CASE
ONCOR ELECTRIC DELIVERY COMPANY LLC
II-D-3.9  POSTRETIREMENT BENEFITS OTHER THAN PENSION
TEST YEAR ENDING DECEMBER 31, 2024
SPONSORS: R. PRACHYL/ A. GUILLORY/ K. FEASE</oddHead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88">
    <tabColor rgb="FFFF0000"/>
    <pageSetUpPr fitToPage="1"/>
  </sheetPr>
  <dimension ref="A1:O124"/>
  <sheetViews>
    <sheetView zoomScaleNormal="100" workbookViewId="0">
      <pane ySplit="13" topLeftCell="A104" activePane="bottomLeft" state="frozen"/>
      <selection activeCell="N38" sqref="N38"/>
      <selection pane="bottomLeft" activeCell="F112" sqref="F112"/>
    </sheetView>
  </sheetViews>
  <sheetFormatPr defaultColWidth="9.140625" defaultRowHeight="12.75"/>
  <cols>
    <col min="1" max="1" width="5.7109375" style="137" customWidth="1"/>
    <col min="2" max="2" width="9.42578125" style="137" bestFit="1" customWidth="1"/>
    <col min="3" max="3" width="43.28515625" style="137" bestFit="1" customWidth="1"/>
    <col min="4" max="4" width="14" style="137" bestFit="1" customWidth="1"/>
    <col min="5" max="5" width="9.7109375" style="137" bestFit="1" customWidth="1"/>
    <col min="6" max="15" width="12.7109375" style="137" customWidth="1"/>
    <col min="16" max="16384" width="9.140625" style="137"/>
  </cols>
  <sheetData>
    <row r="1" spans="1:15">
      <c r="A1" s="156" t="str">
        <f>+'[3]Input Data'!$A$9</f>
        <v>2025 RATE CASE</v>
      </c>
    </row>
    <row r="2" spans="1:15">
      <c r="A2" s="8" t="str">
        <f>+'[3]Input Data'!$A$2</f>
        <v>ONCOR ELECTRIC DELIVERY COMPANY LLC</v>
      </c>
    </row>
    <row r="3" spans="1:15">
      <c r="A3" s="7" t="str">
        <f>CONCATENATE('[3]Schedule Sponsors'!$A$77,'[3]Schedule Sponsors'!$B$77)</f>
        <v>II-D-3.9  POSTRETIREMENT BENEFITS OTHER THAN PENSION</v>
      </c>
    </row>
    <row r="4" spans="1:15">
      <c r="A4" s="63" t="str">
        <f>+'[3]Input Data'!$A$4</f>
        <v>TEST YEAR ENDING DECEMBER 31, 2024</v>
      </c>
    </row>
    <row r="5" spans="1:15">
      <c r="A5" s="7" t="str">
        <f>CONCATENATE("SPONSORS: ",'[3]Schedule Sponsors'!$D$77)</f>
        <v>SPONSORS: R. PRACHYL/ A. GUILLORY/ K. FEASE</v>
      </c>
    </row>
    <row r="9" spans="1:15" ht="13.5" thickBot="1"/>
    <row r="10" spans="1:15" s="270" customFormat="1">
      <c r="A10" s="279"/>
      <c r="B10" s="10"/>
      <c r="C10" s="280"/>
      <c r="D10" s="10" t="s">
        <v>319</v>
      </c>
      <c r="E10" s="280"/>
      <c r="F10" s="184"/>
      <c r="G10" s="184"/>
      <c r="H10" s="184"/>
      <c r="I10" s="184"/>
      <c r="J10" s="184"/>
      <c r="K10" s="184"/>
      <c r="L10" s="184"/>
      <c r="M10" s="184"/>
      <c r="N10" s="184"/>
      <c r="O10" s="184"/>
    </row>
    <row r="11" spans="1:15" s="270" customFormat="1">
      <c r="A11" s="281" t="s">
        <v>87</v>
      </c>
      <c r="B11" s="11"/>
      <c r="C11" s="18"/>
      <c r="D11" s="11" t="s">
        <v>321</v>
      </c>
      <c r="E11" s="18"/>
      <c r="F11" s="183"/>
      <c r="G11" s="183" t="s">
        <v>617</v>
      </c>
      <c r="H11" s="183" t="s">
        <v>623</v>
      </c>
      <c r="I11" s="183" t="s">
        <v>618</v>
      </c>
      <c r="J11" s="183"/>
      <c r="K11" s="183" t="s">
        <v>617</v>
      </c>
      <c r="L11" s="183" t="s">
        <v>618</v>
      </c>
      <c r="M11" s="183"/>
      <c r="N11" s="183"/>
      <c r="O11" s="183"/>
    </row>
    <row r="12" spans="1:15" s="270" customFormat="1">
      <c r="A12" s="281" t="s">
        <v>89</v>
      </c>
      <c r="B12" s="11" t="s">
        <v>164</v>
      </c>
      <c r="C12" s="18" t="s">
        <v>208</v>
      </c>
      <c r="D12" s="11" t="s">
        <v>222</v>
      </c>
      <c r="E12" s="18" t="s">
        <v>217</v>
      </c>
      <c r="F12" s="183" t="s">
        <v>292</v>
      </c>
      <c r="G12" s="183" t="s">
        <v>292</v>
      </c>
      <c r="H12" s="183" t="s">
        <v>624</v>
      </c>
      <c r="I12" s="183" t="s">
        <v>292</v>
      </c>
      <c r="J12" s="183" t="s">
        <v>293</v>
      </c>
      <c r="K12" s="183" t="s">
        <v>293</v>
      </c>
      <c r="L12" s="183" t="s">
        <v>293</v>
      </c>
      <c r="M12" s="183" t="s">
        <v>281</v>
      </c>
      <c r="N12" s="183" t="s">
        <v>126</v>
      </c>
      <c r="O12" s="183" t="s">
        <v>215</v>
      </c>
    </row>
    <row r="13" spans="1:15" s="253" customFormat="1" ht="13.5" thickBot="1">
      <c r="A13" s="282"/>
      <c r="B13" s="213" t="s">
        <v>44</v>
      </c>
      <c r="C13" s="283" t="s">
        <v>45</v>
      </c>
      <c r="D13" s="213" t="s">
        <v>74</v>
      </c>
      <c r="E13" s="283" t="s">
        <v>75</v>
      </c>
      <c r="F13" s="213" t="s">
        <v>76</v>
      </c>
      <c r="G13" s="213" t="s">
        <v>77</v>
      </c>
      <c r="H13" s="213" t="s">
        <v>78</v>
      </c>
      <c r="I13" s="213" t="s">
        <v>79</v>
      </c>
      <c r="J13" s="213" t="s">
        <v>80</v>
      </c>
      <c r="K13" s="213" t="s">
        <v>81</v>
      </c>
      <c r="L13" s="213" t="s">
        <v>82</v>
      </c>
      <c r="M13" s="213" t="s">
        <v>83</v>
      </c>
      <c r="N13" s="213" t="s">
        <v>84</v>
      </c>
      <c r="O13" s="213" t="s">
        <v>85</v>
      </c>
    </row>
    <row r="15" spans="1:15" customFormat="1">
      <c r="A15" s="1">
        <v>1</v>
      </c>
      <c r="B15" s="106" t="s">
        <v>40</v>
      </c>
    </row>
    <row r="16" spans="1:15">
      <c r="A16" s="143">
        <v>2</v>
      </c>
    </row>
    <row r="17" spans="1:15">
      <c r="A17" s="143">
        <v>3</v>
      </c>
      <c r="C17" s="98" t="s">
        <v>662</v>
      </c>
      <c r="D17" s="146"/>
    </row>
    <row r="18" spans="1:15">
      <c r="A18" s="1">
        <v>4</v>
      </c>
      <c r="C18" t="s">
        <v>406</v>
      </c>
      <c r="D18" s="146">
        <v>10920832.999999994</v>
      </c>
      <c r="E18" s="66" t="s">
        <v>163</v>
      </c>
      <c r="F18" s="66">
        <f>+$D18*'[4]II-F Alloc_Factor'!E$17</f>
        <v>2455213.6244633175</v>
      </c>
      <c r="G18" s="66">
        <f>+$D18*'[4]II-F Alloc_Factor'!F$17</f>
        <v>0</v>
      </c>
      <c r="H18" s="66">
        <f>+$D18*'[4]II-F Alloc_Factor'!G$17</f>
        <v>0</v>
      </c>
      <c r="I18" s="66">
        <f>+$D18*'[4]II-F Alloc_Factor'!H$17</f>
        <v>2455213.6244633175</v>
      </c>
      <c r="J18" s="66">
        <f>+$D18*'[4]II-F Alloc_Factor'!I$17</f>
        <v>6556961.1610452505</v>
      </c>
      <c r="K18" s="66">
        <f>+$D18*'[4]II-F Alloc_Factor'!J$17</f>
        <v>0</v>
      </c>
      <c r="L18" s="66">
        <f>+$D18*'[4]II-F Alloc_Factor'!K$17</f>
        <v>6556961.1610452505</v>
      </c>
      <c r="M18" s="66">
        <f>+$D18*'[4]II-F Alloc_Factor'!L$17</f>
        <v>1833502.5891005506</v>
      </c>
      <c r="N18" s="66">
        <f>+$D18*'[4]II-F Alloc_Factor'!M$17</f>
        <v>75155.625390876186</v>
      </c>
      <c r="O18" s="14">
        <f>+I18+L18+M18+N18</f>
        <v>10920832.999999994</v>
      </c>
    </row>
    <row r="19" spans="1:15">
      <c r="A19" s="143">
        <v>5</v>
      </c>
      <c r="C19" t="s">
        <v>407</v>
      </c>
      <c r="D19" s="146">
        <v>5016148.32</v>
      </c>
      <c r="E19" s="66" t="s">
        <v>163</v>
      </c>
      <c r="F19" s="66">
        <f>+$D19*'[4]II-F Alloc_Factor'!E$17</f>
        <v>1127726.767508741</v>
      </c>
      <c r="G19" s="66">
        <f>+$D19*'[4]II-F Alloc_Factor'!F$17</f>
        <v>0</v>
      </c>
      <c r="H19" s="66">
        <f>+$D19*'[4]II-F Alloc_Factor'!G$17</f>
        <v>0</v>
      </c>
      <c r="I19" s="66">
        <f>+$D19*'[4]II-F Alloc_Factor'!H$17</f>
        <v>1127726.767508741</v>
      </c>
      <c r="J19" s="66">
        <f>+$D19*'[4]II-F Alloc_Factor'!I$17</f>
        <v>3011738.180803827</v>
      </c>
      <c r="K19" s="66">
        <f>+$D19*'[4]II-F Alloc_Factor'!J$17</f>
        <v>0</v>
      </c>
      <c r="L19" s="66">
        <f>+$D19*'[4]II-F Alloc_Factor'!K$17</f>
        <v>3011738.180803827</v>
      </c>
      <c r="M19" s="66">
        <f>+$D19*'[4]II-F Alloc_Factor'!L$17</f>
        <v>842162.94966074312</v>
      </c>
      <c r="N19" s="66">
        <f>+$D19*'[4]II-F Alloc_Factor'!M$17</f>
        <v>34520.422026689092</v>
      </c>
      <c r="O19" s="14">
        <f t="shared" ref="O19:O20" si="0">+I19+L19+M19+N19</f>
        <v>5016148.32</v>
      </c>
    </row>
    <row r="20" spans="1:15">
      <c r="A20" s="1">
        <v>6</v>
      </c>
      <c r="C20" s="171" t="s">
        <v>609</v>
      </c>
      <c r="D20" s="146">
        <v>11998814.460000001</v>
      </c>
      <c r="E20" s="66" t="s">
        <v>163</v>
      </c>
      <c r="F20" s="66">
        <f>+$D20*'[4]II-F Alloc_Factor'!E$17</f>
        <v>2697564.6216364154</v>
      </c>
      <c r="G20" s="66">
        <f>+$D20*'[4]II-F Alloc_Factor'!F$17</f>
        <v>0</v>
      </c>
      <c r="H20" s="66">
        <f>+$D20*'[4]II-F Alloc_Factor'!G$17</f>
        <v>0</v>
      </c>
      <c r="I20" s="66">
        <f>+$D20*'[4]II-F Alloc_Factor'!H$17</f>
        <v>2697564.6216364154</v>
      </c>
      <c r="J20" s="66">
        <f>+$D20*'[4]II-F Alloc_Factor'!I$17</f>
        <v>7204190.4122888967</v>
      </c>
      <c r="K20" s="66">
        <f>+$D20*'[4]II-F Alloc_Factor'!J$17</f>
        <v>0</v>
      </c>
      <c r="L20" s="66">
        <f>+$D20*'[4]II-F Alloc_Factor'!K$17</f>
        <v>7204190.4122888967</v>
      </c>
      <c r="M20" s="66">
        <f>+$D20*'[4]II-F Alloc_Factor'!L$17</f>
        <v>2014485.2850095902</v>
      </c>
      <c r="N20" s="66">
        <f>+$D20*'[4]II-F Alloc_Factor'!M$17</f>
        <v>82574.141065099044</v>
      </c>
      <c r="O20" s="14">
        <f t="shared" si="0"/>
        <v>11998814.460000001</v>
      </c>
    </row>
    <row r="21" spans="1:15">
      <c r="A21" s="143">
        <v>7</v>
      </c>
      <c r="C21"/>
      <c r="D21" s="146"/>
    </row>
    <row r="22" spans="1:15">
      <c r="A22" s="143">
        <v>8</v>
      </c>
    </row>
    <row r="23" spans="1:15">
      <c r="A23" s="1">
        <v>9</v>
      </c>
      <c r="C23" s="98" t="s">
        <v>663</v>
      </c>
      <c r="D23" s="146"/>
    </row>
    <row r="24" spans="1:15">
      <c r="A24" s="143">
        <v>10</v>
      </c>
      <c r="C24" s="137" t="s">
        <v>406</v>
      </c>
      <c r="D24" s="146">
        <v>8230930.9999999963</v>
      </c>
      <c r="E24" s="66" t="s">
        <v>163</v>
      </c>
      <c r="F24" s="66">
        <f>+$D24*'[4]II-F Alloc_Factor'!E$17</f>
        <v>1850471.8397596115</v>
      </c>
      <c r="G24" s="66">
        <f>+$D24*'[4]II-F Alloc_Factor'!F$17</f>
        <v>0</v>
      </c>
      <c r="H24" s="66">
        <f>+$D24*'[4]II-F Alloc_Factor'!G$17</f>
        <v>0</v>
      </c>
      <c r="I24" s="66">
        <f>+$D24*'[4]II-F Alloc_Factor'!H$17</f>
        <v>1850471.8397596115</v>
      </c>
      <c r="J24" s="66">
        <f>+$D24*'[4]II-F Alloc_Factor'!I$17</f>
        <v>4941921.0866280394</v>
      </c>
      <c r="K24" s="66">
        <f>+$D24*'[4]II-F Alloc_Factor'!J$17</f>
        <v>0</v>
      </c>
      <c r="L24" s="66">
        <f>+$D24*'[4]II-F Alloc_Factor'!K$17</f>
        <v>4941921.0866280394</v>
      </c>
      <c r="M24" s="66">
        <f>+$D24*'[4]II-F Alloc_Factor'!L$17</f>
        <v>1381893.9726674682</v>
      </c>
      <c r="N24" s="66">
        <f>+$D24*'[4]II-F Alloc_Factor'!M$17</f>
        <v>56644.100944877551</v>
      </c>
      <c r="O24" s="14">
        <f t="shared" ref="O24:O26" si="1">+I24+L24+M24+N24</f>
        <v>8230930.9999999972</v>
      </c>
    </row>
    <row r="25" spans="1:15">
      <c r="A25" s="1">
        <v>11</v>
      </c>
      <c r="C25" s="137" t="s">
        <v>407</v>
      </c>
      <c r="D25" s="146">
        <v>3780624.68</v>
      </c>
      <c r="E25" s="66" t="s">
        <v>163</v>
      </c>
      <c r="F25" s="66">
        <f>+$D25*'[4]II-F Alloc_Factor'!E$17</f>
        <v>849957.25356465706</v>
      </c>
      <c r="G25" s="66">
        <f>+$D25*'[4]II-F Alloc_Factor'!F$17</f>
        <v>0</v>
      </c>
      <c r="H25" s="66">
        <f>+$D25*'[4]II-F Alloc_Factor'!G$17</f>
        <v>0</v>
      </c>
      <c r="I25" s="66">
        <f>+$D25*'[4]II-F Alloc_Factor'!H$17</f>
        <v>849957.25356465706</v>
      </c>
      <c r="J25" s="66">
        <f>+$D25*'[4]II-F Alloc_Factor'!I$17</f>
        <v>2269919.2626834549</v>
      </c>
      <c r="K25" s="66">
        <f>+$D25*'[4]II-F Alloc_Factor'!J$17</f>
        <v>0</v>
      </c>
      <c r="L25" s="66">
        <f>+$D25*'[4]II-F Alloc_Factor'!K$17</f>
        <v>2269919.2626834549</v>
      </c>
      <c r="M25" s="66">
        <f>+$D25*'[4]II-F Alloc_Factor'!L$17</f>
        <v>634730.44036086299</v>
      </c>
      <c r="N25" s="66">
        <f>+$D25*'[4]II-F Alloc_Factor'!M$17</f>
        <v>26017.723391025327</v>
      </c>
      <c r="O25" s="14">
        <f t="shared" si="1"/>
        <v>3780624.6800000006</v>
      </c>
    </row>
    <row r="26" spans="1:15">
      <c r="A26" s="143">
        <v>12</v>
      </c>
      <c r="C26" s="171" t="s">
        <v>609</v>
      </c>
      <c r="D26" s="146">
        <v>11310279.069999998</v>
      </c>
      <c r="E26" s="66" t="s">
        <v>163</v>
      </c>
      <c r="F26" s="66">
        <f>+$D26*'[4]II-F Alloc_Factor'!E$17</f>
        <v>2542768.602829684</v>
      </c>
      <c r="G26" s="66">
        <f>+$D26*'[4]II-F Alloc_Factor'!F$17</f>
        <v>0</v>
      </c>
      <c r="H26" s="66">
        <f>+$D26*'[4]II-F Alloc_Factor'!G$17</f>
        <v>0</v>
      </c>
      <c r="I26" s="66">
        <f>+$D26*'[4]II-F Alloc_Factor'!H$17</f>
        <v>2542768.602829684</v>
      </c>
      <c r="J26" s="66">
        <f>+$D26*'[4]II-F Alloc_Factor'!I$17</f>
        <v>6790787.8989242874</v>
      </c>
      <c r="K26" s="66">
        <f>+$D26*'[4]II-F Alloc_Factor'!J$17</f>
        <v>0</v>
      </c>
      <c r="L26" s="66">
        <f>+$D26*'[4]II-F Alloc_Factor'!K$17</f>
        <v>6790787.8989242874</v>
      </c>
      <c r="M26" s="66">
        <f>+$D26*'[4]II-F Alloc_Factor'!L$17</f>
        <v>1898886.8301799668</v>
      </c>
      <c r="N26" s="66">
        <f>+$D26*'[4]II-F Alloc_Factor'!M$17</f>
        <v>77835.738066060323</v>
      </c>
      <c r="O26" s="14">
        <f t="shared" si="1"/>
        <v>11310279.069999998</v>
      </c>
    </row>
    <row r="27" spans="1:15">
      <c r="A27" s="143">
        <v>13</v>
      </c>
      <c r="D27" s="146"/>
    </row>
    <row r="28" spans="1:15">
      <c r="A28" s="1">
        <v>14</v>
      </c>
    </row>
    <row r="29" spans="1:15">
      <c r="A29" s="143">
        <v>15</v>
      </c>
      <c r="C29" s="98" t="s">
        <v>664</v>
      </c>
      <c r="D29" s="146"/>
    </row>
    <row r="30" spans="1:15">
      <c r="A30" s="1">
        <v>16</v>
      </c>
      <c r="C30" s="137" t="s">
        <v>406</v>
      </c>
      <c r="D30" s="146">
        <f>+D18+D24</f>
        <v>19151763.999999993</v>
      </c>
      <c r="E30" s="66" t="s">
        <v>163</v>
      </c>
      <c r="F30" s="66">
        <f>+$D30*'[4]II-F Alloc_Factor'!E$17</f>
        <v>4305685.4642229294</v>
      </c>
      <c r="G30" s="66">
        <f>+$D30*'[4]II-F Alloc_Factor'!F$17</f>
        <v>0</v>
      </c>
      <c r="H30" s="66">
        <f>+$D30*'[4]II-F Alloc_Factor'!G$17</f>
        <v>0</v>
      </c>
      <c r="I30" s="66">
        <f>+$D30*'[4]II-F Alloc_Factor'!H$17</f>
        <v>4305685.4642229294</v>
      </c>
      <c r="J30" s="66">
        <f>+$D30*'[4]II-F Alloc_Factor'!I$17</f>
        <v>11498882.247673292</v>
      </c>
      <c r="K30" s="66">
        <f>+$D30*'[4]II-F Alloc_Factor'!J$17</f>
        <v>0</v>
      </c>
      <c r="L30" s="66">
        <f>+$D30*'[4]II-F Alloc_Factor'!K$17</f>
        <v>11498882.247673292</v>
      </c>
      <c r="M30" s="66">
        <f>+$D30*'[4]II-F Alloc_Factor'!L$17</f>
        <v>3215396.5617680191</v>
      </c>
      <c r="N30" s="66">
        <f>+$D30*'[4]II-F Alloc_Factor'!M$17</f>
        <v>131799.72633575374</v>
      </c>
      <c r="O30" s="14">
        <f t="shared" ref="O30:O32" si="2">+I30+L30+M30+N30</f>
        <v>19151763.999999993</v>
      </c>
    </row>
    <row r="31" spans="1:15">
      <c r="A31" s="143">
        <v>17</v>
      </c>
      <c r="C31" s="137" t="s">
        <v>407</v>
      </c>
      <c r="D31" s="146">
        <f t="shared" ref="D31:D32" si="3">+D19+D25</f>
        <v>8796773</v>
      </c>
      <c r="E31" s="66" t="s">
        <v>163</v>
      </c>
      <c r="F31" s="66">
        <f>+$D31*'[4]II-F Alloc_Factor'!E$17</f>
        <v>1977684.0210733979</v>
      </c>
      <c r="G31" s="66">
        <f>+$D31*'[4]II-F Alloc_Factor'!F$17</f>
        <v>0</v>
      </c>
      <c r="H31" s="66">
        <f>+$D31*'[4]II-F Alloc_Factor'!G$17</f>
        <v>0</v>
      </c>
      <c r="I31" s="66">
        <f>+$D31*'[4]II-F Alloc_Factor'!H$17</f>
        <v>1977684.0210733979</v>
      </c>
      <c r="J31" s="66">
        <f>+$D31*'[4]II-F Alloc_Factor'!I$17</f>
        <v>5281657.4434872819</v>
      </c>
      <c r="K31" s="66">
        <f>+$D31*'[4]II-F Alloc_Factor'!J$17</f>
        <v>0</v>
      </c>
      <c r="L31" s="66">
        <f>+$D31*'[4]II-F Alloc_Factor'!K$17</f>
        <v>5281657.4434872819</v>
      </c>
      <c r="M31" s="66">
        <f>+$D31*'[4]II-F Alloc_Factor'!L$17</f>
        <v>1476893.3900216061</v>
      </c>
      <c r="N31" s="66">
        <f>+$D31*'[4]II-F Alloc_Factor'!M$17</f>
        <v>60538.145417714419</v>
      </c>
      <c r="O31" s="14">
        <f t="shared" si="2"/>
        <v>8796773</v>
      </c>
    </row>
    <row r="32" spans="1:15">
      <c r="A32" s="143">
        <v>18</v>
      </c>
      <c r="C32" s="171" t="s">
        <v>609</v>
      </c>
      <c r="D32" s="146">
        <f t="shared" si="3"/>
        <v>23309093.530000001</v>
      </c>
      <c r="E32" s="66" t="s">
        <v>163</v>
      </c>
      <c r="F32" s="66">
        <f>+$D32*'[4]II-F Alloc_Factor'!E$17</f>
        <v>5240333.2244660994</v>
      </c>
      <c r="G32" s="66">
        <f>+$D32*'[4]II-F Alloc_Factor'!F$17</f>
        <v>0</v>
      </c>
      <c r="H32" s="66">
        <f>+$D32*'[4]II-F Alloc_Factor'!G$17</f>
        <v>0</v>
      </c>
      <c r="I32" s="66">
        <f>+$D32*'[4]II-F Alloc_Factor'!H$17</f>
        <v>5240333.2244660994</v>
      </c>
      <c r="J32" s="66">
        <f>+$D32*'[4]II-F Alloc_Factor'!I$17</f>
        <v>13994978.311213186</v>
      </c>
      <c r="K32" s="66">
        <f>+$D32*'[4]II-F Alloc_Factor'!J$17</f>
        <v>0</v>
      </c>
      <c r="L32" s="66">
        <f>+$D32*'[4]II-F Alloc_Factor'!K$17</f>
        <v>13994978.311213186</v>
      </c>
      <c r="M32" s="66">
        <f>+$D32*'[4]II-F Alloc_Factor'!L$17</f>
        <v>3913372.115189557</v>
      </c>
      <c r="N32" s="66">
        <f>+$D32*'[4]II-F Alloc_Factor'!M$17</f>
        <v>160409.8791311594</v>
      </c>
      <c r="O32" s="14">
        <f t="shared" si="2"/>
        <v>23309093.530000001</v>
      </c>
    </row>
    <row r="33" spans="1:15">
      <c r="A33" s="1">
        <v>19</v>
      </c>
      <c r="C33" s="171"/>
      <c r="D33" s="146"/>
      <c r="E33" s="66"/>
      <c r="F33" s="66"/>
      <c r="G33" s="66"/>
      <c r="H33" s="66"/>
      <c r="I33" s="66"/>
      <c r="J33" s="66"/>
      <c r="K33" s="66"/>
      <c r="L33" s="66"/>
      <c r="M33" s="66"/>
      <c r="N33" s="66"/>
      <c r="O33" s="14"/>
    </row>
    <row r="34" spans="1:15">
      <c r="A34" s="143">
        <v>20</v>
      </c>
      <c r="D34" s="146"/>
    </row>
    <row r="35" spans="1:15">
      <c r="A35" s="1">
        <v>21</v>
      </c>
      <c r="C35" s="137" t="s">
        <v>399</v>
      </c>
      <c r="D35" s="146">
        <v>8796773</v>
      </c>
      <c r="E35" s="137" t="s">
        <v>855</v>
      </c>
    </row>
    <row r="36" spans="1:15">
      <c r="A36" s="143">
        <v>22</v>
      </c>
      <c r="C36" s="137" t="s">
        <v>400</v>
      </c>
      <c r="D36" s="146">
        <v>26243.1</v>
      </c>
    </row>
    <row r="37" spans="1:15">
      <c r="A37" s="143">
        <v>23</v>
      </c>
      <c r="C37" s="137" t="s">
        <v>401</v>
      </c>
      <c r="D37" s="146">
        <v>9976276.6999999993</v>
      </c>
    </row>
    <row r="38" spans="1:15">
      <c r="A38" s="1">
        <v>24</v>
      </c>
      <c r="C38" s="137" t="s">
        <v>402</v>
      </c>
      <c r="D38" s="146">
        <v>239527.72</v>
      </c>
    </row>
    <row r="39" spans="1:15">
      <c r="A39" s="143">
        <v>25</v>
      </c>
      <c r="C39" s="137" t="s">
        <v>871</v>
      </c>
      <c r="D39" s="146">
        <v>-661463.17000000004</v>
      </c>
    </row>
    <row r="40" spans="1:15">
      <c r="A40" s="1">
        <v>26</v>
      </c>
      <c r="C40" s="137" t="s">
        <v>63</v>
      </c>
      <c r="D40" s="146">
        <v>774406.649999997</v>
      </c>
    </row>
    <row r="41" spans="1:15" ht="13.5" thickBot="1">
      <c r="A41" s="143">
        <v>27</v>
      </c>
      <c r="C41" s="137" t="s">
        <v>408</v>
      </c>
      <c r="D41" s="195">
        <f>SUM(D35:D40)</f>
        <v>19151763.999999993</v>
      </c>
    </row>
    <row r="42" spans="1:15" ht="13.5" thickTop="1">
      <c r="A42" s="143">
        <v>28</v>
      </c>
      <c r="D42" s="146"/>
    </row>
    <row r="43" spans="1:15">
      <c r="A43" s="1">
        <v>29</v>
      </c>
      <c r="C43" s="171" t="s">
        <v>610</v>
      </c>
      <c r="D43" s="146">
        <f>+D32</f>
        <v>23309093.530000001</v>
      </c>
    </row>
    <row r="44" spans="1:15">
      <c r="A44" s="143">
        <v>30</v>
      </c>
    </row>
    <row r="45" spans="1:15">
      <c r="A45" s="1">
        <v>31</v>
      </c>
    </row>
    <row r="46" spans="1:15">
      <c r="A46" s="143">
        <v>32</v>
      </c>
      <c r="B46" s="106">
        <v>2023</v>
      </c>
      <c r="C46"/>
      <c r="D46"/>
      <c r="E46"/>
      <c r="F46"/>
      <c r="G46"/>
      <c r="H46"/>
      <c r="I46"/>
      <c r="J46"/>
      <c r="K46"/>
      <c r="L46"/>
      <c r="M46"/>
      <c r="N46"/>
      <c r="O46"/>
    </row>
    <row r="47" spans="1:15">
      <c r="A47" s="143">
        <v>33</v>
      </c>
    </row>
    <row r="48" spans="1:15">
      <c r="A48" s="1">
        <v>34</v>
      </c>
      <c r="C48" s="98" t="s">
        <v>662</v>
      </c>
      <c r="D48" s="146"/>
    </row>
    <row r="49" spans="1:15">
      <c r="A49" s="143">
        <v>35</v>
      </c>
      <c r="C49" t="s">
        <v>406</v>
      </c>
      <c r="D49" s="146">
        <v>-13777717.999999989</v>
      </c>
      <c r="E49" s="66" t="s">
        <v>163</v>
      </c>
      <c r="F49" s="66">
        <f>+$D49*'[4]II-F Alloc_Factor'!E$17</f>
        <v>-3097496.4041308458</v>
      </c>
      <c r="G49" s="66">
        <f>+$D49*'[4]II-F Alloc_Factor'!F$17</f>
        <v>0</v>
      </c>
      <c r="H49" s="66">
        <f>+$D49*'[4]II-F Alloc_Factor'!G$17</f>
        <v>0</v>
      </c>
      <c r="I49" s="66">
        <f>+$D49*'[4]II-F Alloc_Factor'!H$17</f>
        <v>-3097496.4041308458</v>
      </c>
      <c r="J49" s="66">
        <f>+$D49*'[4]II-F Alloc_Factor'!I$17</f>
        <v>-8272259.2510877168</v>
      </c>
      <c r="K49" s="66">
        <f>+$D49*'[4]II-F Alloc_Factor'!J$17</f>
        <v>0</v>
      </c>
      <c r="L49" s="66">
        <f>+$D49*'[4]II-F Alloc_Factor'!K$17</f>
        <v>-8272259.2510877168</v>
      </c>
      <c r="M49" s="66">
        <f>+$D49*'[4]II-F Alloc_Factor'!L$17</f>
        <v>-2313146.0415974911</v>
      </c>
      <c r="N49" s="66">
        <f>+$D49*'[4]II-F Alloc_Factor'!M$17</f>
        <v>-94816.30318393583</v>
      </c>
      <c r="O49" s="14">
        <f>+I49+L49+M49+N49</f>
        <v>-13777717.999999989</v>
      </c>
    </row>
    <row r="50" spans="1:15">
      <c r="A50" s="1">
        <v>36</v>
      </c>
      <c r="C50" t="s">
        <v>407</v>
      </c>
      <c r="D50" s="146">
        <v>45820621.840000004</v>
      </c>
      <c r="E50" s="66" t="s">
        <v>163</v>
      </c>
      <c r="F50" s="66">
        <f>+$D50*'[4]II-F Alloc_Factor'!E$17</f>
        <v>10301358.424119249</v>
      </c>
      <c r="G50" s="66">
        <f>+$D50*'[4]II-F Alloc_Factor'!F$17</f>
        <v>0</v>
      </c>
      <c r="H50" s="66">
        <f>+$D50*'[4]II-F Alloc_Factor'!G$17</f>
        <v>0</v>
      </c>
      <c r="I50" s="66">
        <f>+$D50*'[4]II-F Alloc_Factor'!H$17</f>
        <v>10301358.424119249</v>
      </c>
      <c r="J50" s="66">
        <f>+$D50*'[4]II-F Alloc_Factor'!I$17</f>
        <v>27511091.670371842</v>
      </c>
      <c r="K50" s="66">
        <f>+$D50*'[4]II-F Alloc_Factor'!J$17</f>
        <v>0</v>
      </c>
      <c r="L50" s="66">
        <f>+$D50*'[4]II-F Alloc_Factor'!K$17</f>
        <v>27511091.670371842</v>
      </c>
      <c r="M50" s="66">
        <f>+$D50*'[4]II-F Alloc_Factor'!L$17</f>
        <v>7692840.7180878315</v>
      </c>
      <c r="N50" s="66">
        <f>+$D50*'[4]II-F Alloc_Factor'!M$17</f>
        <v>315331.02742108057</v>
      </c>
      <c r="O50" s="14">
        <f t="shared" ref="O50:O51" si="4">+I50+L50+M50+N50</f>
        <v>45820621.840000004</v>
      </c>
    </row>
    <row r="51" spans="1:15">
      <c r="A51" s="143">
        <v>37</v>
      </c>
      <c r="C51" s="171" t="s">
        <v>609</v>
      </c>
      <c r="D51" s="146">
        <v>10563533.710000003</v>
      </c>
      <c r="E51" s="66" t="s">
        <v>163</v>
      </c>
      <c r="F51" s="66">
        <f>+$D51*'[4]II-F Alloc_Factor'!E$17</f>
        <v>2374885.8614786575</v>
      </c>
      <c r="G51" s="66">
        <f>+$D51*'[4]II-F Alloc_Factor'!F$17</f>
        <v>0</v>
      </c>
      <c r="H51" s="66">
        <f>+$D51*'[4]II-F Alloc_Factor'!G$17</f>
        <v>0</v>
      </c>
      <c r="I51" s="66">
        <f>+$D51*'[4]II-F Alloc_Factor'!H$17</f>
        <v>2374885.8614786575</v>
      </c>
      <c r="J51" s="66">
        <f>+$D51*'[4]II-F Alloc_Factor'!I$17</f>
        <v>6342435.6237168266</v>
      </c>
      <c r="K51" s="66">
        <f>+$D51*'[4]II-F Alloc_Factor'!J$17</f>
        <v>0</v>
      </c>
      <c r="L51" s="66">
        <f>+$D51*'[4]II-F Alloc_Factor'!K$17</f>
        <v>6342435.6237168266</v>
      </c>
      <c r="M51" s="66">
        <f>+$D51*'[4]II-F Alloc_Factor'!L$17</f>
        <v>1773515.4825035746</v>
      </c>
      <c r="N51" s="66">
        <f>+$D51*'[4]II-F Alloc_Factor'!M$17</f>
        <v>72696.742300944723</v>
      </c>
      <c r="O51" s="14">
        <f t="shared" si="4"/>
        <v>10563533.710000003</v>
      </c>
    </row>
    <row r="52" spans="1:15">
      <c r="A52" s="143">
        <v>38</v>
      </c>
      <c r="C52"/>
      <c r="D52" s="146"/>
    </row>
    <row r="53" spans="1:15">
      <c r="A53" s="1">
        <v>39</v>
      </c>
    </row>
    <row r="54" spans="1:15">
      <c r="A54" s="143">
        <v>40</v>
      </c>
      <c r="C54" s="98" t="s">
        <v>663</v>
      </c>
      <c r="D54" s="146"/>
    </row>
    <row r="55" spans="1:15">
      <c r="A55" s="1">
        <v>41</v>
      </c>
      <c r="C55" s="137" t="s">
        <v>406</v>
      </c>
      <c r="D55" s="146">
        <v>8962423</v>
      </c>
      <c r="E55" s="66" t="s">
        <v>163</v>
      </c>
      <c r="F55" s="66">
        <f>+$D55*'[4]II-F Alloc_Factor'!E$17</f>
        <v>2014925.3319598797</v>
      </c>
      <c r="G55" s="66">
        <f>+$D55*'[4]II-F Alloc_Factor'!F$17</f>
        <v>0</v>
      </c>
      <c r="H55" s="66">
        <f>+$D55*'[4]II-F Alloc_Factor'!G$17</f>
        <v>0</v>
      </c>
      <c r="I55" s="66">
        <f>+$D55*'[4]II-F Alloc_Factor'!H$17</f>
        <v>2014925.3319598797</v>
      </c>
      <c r="J55" s="66">
        <f>+$D55*'[4]II-F Alloc_Factor'!I$17</f>
        <v>5381115.1145575335</v>
      </c>
      <c r="K55" s="66">
        <f>+$D55*'[4]II-F Alloc_Factor'!J$17</f>
        <v>0</v>
      </c>
      <c r="L55" s="66">
        <f>+$D55*'[4]II-F Alloc_Factor'!K$17</f>
        <v>5381115.1145575335</v>
      </c>
      <c r="M55" s="66">
        <f>+$D55*'[4]II-F Alloc_Factor'!L$17</f>
        <v>1504704.4282349462</v>
      </c>
      <c r="N55" s="66">
        <f>+$D55*'[4]II-F Alloc_Factor'!M$17</f>
        <v>61678.12524764119</v>
      </c>
      <c r="O55" s="14">
        <f t="shared" ref="O55:O57" si="5">+I55+L55+M55+N55</f>
        <v>8962423</v>
      </c>
    </row>
    <row r="56" spans="1:15">
      <c r="A56" s="143">
        <v>42</v>
      </c>
      <c r="C56" s="137" t="s">
        <v>407</v>
      </c>
      <c r="D56" s="146">
        <v>-29806372.510000002</v>
      </c>
      <c r="E56" s="66" t="s">
        <v>163</v>
      </c>
      <c r="F56" s="66">
        <f>+$D56*'[4]II-F Alloc_Factor'!E$17</f>
        <v>-6701046.6950992588</v>
      </c>
      <c r="G56" s="66">
        <f>+$D56*'[4]II-F Alloc_Factor'!F$17</f>
        <v>0</v>
      </c>
      <c r="H56" s="66">
        <f>+$D56*'[4]II-F Alloc_Factor'!G$17</f>
        <v>0</v>
      </c>
      <c r="I56" s="66">
        <f>+$D56*'[4]II-F Alloc_Factor'!H$17</f>
        <v>-6701046.6950992588</v>
      </c>
      <c r="J56" s="66">
        <f>+$D56*'[4]II-F Alloc_Factor'!I$17</f>
        <v>-17895999.95712021</v>
      </c>
      <c r="K56" s="66">
        <f>+$D56*'[4]II-F Alloc_Factor'!J$17</f>
        <v>0</v>
      </c>
      <c r="L56" s="66">
        <f>+$D56*'[4]II-F Alloc_Factor'!K$17</f>
        <v>-17895999.95712021</v>
      </c>
      <c r="M56" s="66">
        <f>+$D56*'[4]II-F Alloc_Factor'!L$17</f>
        <v>-5004202.6252741441</v>
      </c>
      <c r="N56" s="66">
        <f>+$D56*'[4]II-F Alloc_Factor'!M$17</f>
        <v>-205123.23250639133</v>
      </c>
      <c r="O56" s="14">
        <f t="shared" si="5"/>
        <v>-29806372.510000002</v>
      </c>
    </row>
    <row r="57" spans="1:15">
      <c r="A57" s="143">
        <v>43</v>
      </c>
      <c r="C57" s="171" t="s">
        <v>609</v>
      </c>
      <c r="D57" s="146">
        <v>13188240.399999999</v>
      </c>
      <c r="E57" s="66" t="s">
        <v>163</v>
      </c>
      <c r="F57" s="66">
        <f>+$D57*'[4]II-F Alloc_Factor'!E$17</f>
        <v>2964970.4846487041</v>
      </c>
      <c r="G57" s="66">
        <f>+$D57*'[4]II-F Alloc_Factor'!F$17</f>
        <v>0</v>
      </c>
      <c r="H57" s="66">
        <f>+$D57*'[4]II-F Alloc_Factor'!G$17</f>
        <v>0</v>
      </c>
      <c r="I57" s="66">
        <f>+$D57*'[4]II-F Alloc_Factor'!H$17</f>
        <v>2964970.4846487041</v>
      </c>
      <c r="J57" s="66">
        <f>+$D57*'[4]II-F Alloc_Factor'!I$17</f>
        <v>7918331.8786513731</v>
      </c>
      <c r="K57" s="66">
        <f>+$D57*'[4]II-F Alloc_Factor'!J$17</f>
        <v>0</v>
      </c>
      <c r="L57" s="66">
        <f>+$D57*'[4]II-F Alloc_Factor'!K$17</f>
        <v>7918331.8786513731</v>
      </c>
      <c r="M57" s="66">
        <f>+$D57*'[4]II-F Alloc_Factor'!L$17</f>
        <v>2214178.4348392189</v>
      </c>
      <c r="N57" s="66">
        <f>+$D57*'[4]II-F Alloc_Factor'!M$17</f>
        <v>90759.601860702329</v>
      </c>
      <c r="O57" s="14">
        <f t="shared" si="5"/>
        <v>13188240.399999999</v>
      </c>
    </row>
    <row r="58" spans="1:15">
      <c r="A58" s="1">
        <v>44</v>
      </c>
      <c r="D58" s="146"/>
    </row>
    <row r="59" spans="1:15">
      <c r="A59" s="143">
        <v>45</v>
      </c>
    </row>
    <row r="60" spans="1:15">
      <c r="A60" s="1">
        <v>46</v>
      </c>
      <c r="C60" s="98" t="s">
        <v>664</v>
      </c>
      <c r="D60" s="146"/>
    </row>
    <row r="61" spans="1:15">
      <c r="A61" s="143">
        <v>47</v>
      </c>
      <c r="C61" s="137" t="s">
        <v>406</v>
      </c>
      <c r="D61" s="146">
        <f>+D49+D55</f>
        <v>-4815294.9999999888</v>
      </c>
      <c r="E61" s="66" t="s">
        <v>163</v>
      </c>
      <c r="F61" s="66">
        <f>+$D61*'[4]II-F Alloc_Factor'!E$17</f>
        <v>-1082571.0721709661</v>
      </c>
      <c r="G61" s="66">
        <f>+$D61*'[4]II-F Alloc_Factor'!F$17</f>
        <v>0</v>
      </c>
      <c r="H61" s="66">
        <f>+$D61*'[4]II-F Alloc_Factor'!G$17</f>
        <v>0</v>
      </c>
      <c r="I61" s="66">
        <f>+$D61*'[4]II-F Alloc_Factor'!H$17</f>
        <v>-1082571.0721709661</v>
      </c>
      <c r="J61" s="66">
        <f>+$D61*'[4]II-F Alloc_Factor'!I$17</f>
        <v>-2891144.1365301833</v>
      </c>
      <c r="K61" s="66">
        <f>+$D61*'[4]II-F Alloc_Factor'!J$17</f>
        <v>0</v>
      </c>
      <c r="L61" s="66">
        <f>+$D61*'[4]II-F Alloc_Factor'!K$17</f>
        <v>-2891144.1365301833</v>
      </c>
      <c r="M61" s="66">
        <f>+$D61*'[4]II-F Alloc_Factor'!L$17</f>
        <v>-808441.6133625448</v>
      </c>
      <c r="N61" s="66">
        <f>+$D61*'[4]II-F Alloc_Factor'!M$17</f>
        <v>-33138.177936294647</v>
      </c>
      <c r="O61" s="14">
        <f t="shared" ref="O61:O63" si="6">+I61+L61+M61+N61</f>
        <v>-4815294.9999999898</v>
      </c>
    </row>
    <row r="62" spans="1:15">
      <c r="A62" s="143">
        <v>48</v>
      </c>
      <c r="C62" s="137" t="s">
        <v>407</v>
      </c>
      <c r="D62" s="146">
        <f t="shared" ref="D62:D63" si="7">+D50+D56</f>
        <v>16014249.330000002</v>
      </c>
      <c r="E62" s="66" t="s">
        <v>163</v>
      </c>
      <c r="F62" s="66">
        <f>+$D62*'[4]II-F Alloc_Factor'!E$17</f>
        <v>3600311.7290199911</v>
      </c>
      <c r="G62" s="66">
        <f>+$D62*'[4]II-F Alloc_Factor'!F$17</f>
        <v>0</v>
      </c>
      <c r="H62" s="66">
        <f>+$D62*'[4]II-F Alloc_Factor'!G$17</f>
        <v>0</v>
      </c>
      <c r="I62" s="66">
        <f>+$D62*'[4]II-F Alloc_Factor'!H$17</f>
        <v>3600311.7290199911</v>
      </c>
      <c r="J62" s="66">
        <f>+$D62*'[4]II-F Alloc_Factor'!I$17</f>
        <v>9615091.7132516354</v>
      </c>
      <c r="K62" s="66">
        <f>+$D62*'[4]II-F Alloc_Factor'!J$17</f>
        <v>0</v>
      </c>
      <c r="L62" s="66">
        <f>+$D62*'[4]II-F Alloc_Factor'!K$17</f>
        <v>9615091.7132516354</v>
      </c>
      <c r="M62" s="66">
        <f>+$D62*'[4]II-F Alloc_Factor'!L$17</f>
        <v>2688638.0928136869</v>
      </c>
      <c r="N62" s="66">
        <f>+$D62*'[4]II-F Alloc_Factor'!M$17</f>
        <v>110207.79491468926</v>
      </c>
      <c r="O62" s="14">
        <f t="shared" si="6"/>
        <v>16014249.330000004</v>
      </c>
    </row>
    <row r="63" spans="1:15">
      <c r="A63" s="1">
        <v>49</v>
      </c>
      <c r="C63" s="171" t="s">
        <v>609</v>
      </c>
      <c r="D63" s="146">
        <f t="shared" si="7"/>
        <v>23751774.109999999</v>
      </c>
      <c r="E63" s="66" t="s">
        <v>163</v>
      </c>
      <c r="F63" s="66">
        <f>+$D63*'[4]II-F Alloc_Factor'!E$17</f>
        <v>5339856.3461273611</v>
      </c>
      <c r="G63" s="66">
        <f>+$D63*'[4]II-F Alloc_Factor'!F$17</f>
        <v>0</v>
      </c>
      <c r="H63" s="66">
        <f>+$D63*'[4]II-F Alloc_Factor'!G$17</f>
        <v>0</v>
      </c>
      <c r="I63" s="66">
        <f>+$D63*'[4]II-F Alloc_Factor'!H$17</f>
        <v>5339856.3461273611</v>
      </c>
      <c r="J63" s="66">
        <f>+$D63*'[4]II-F Alloc_Factor'!I$17</f>
        <v>14260767.502368199</v>
      </c>
      <c r="K63" s="66">
        <f>+$D63*'[4]II-F Alloc_Factor'!J$17</f>
        <v>0</v>
      </c>
      <c r="L63" s="66">
        <f>+$D63*'[4]II-F Alloc_Factor'!K$17</f>
        <v>14260767.502368199</v>
      </c>
      <c r="M63" s="66">
        <f>+$D63*'[4]II-F Alloc_Factor'!L$17</f>
        <v>3987693.9173427932</v>
      </c>
      <c r="N63" s="66">
        <f>+$D63*'[4]II-F Alloc_Factor'!M$17</f>
        <v>163456.34416164705</v>
      </c>
      <c r="O63" s="14">
        <f t="shared" si="6"/>
        <v>23751774.109999999</v>
      </c>
    </row>
    <row r="64" spans="1:15">
      <c r="A64" s="143">
        <v>50</v>
      </c>
      <c r="C64" s="171"/>
      <c r="D64" s="146"/>
      <c r="E64" s="66"/>
      <c r="F64" s="66"/>
      <c r="G64" s="66"/>
      <c r="H64" s="66"/>
      <c r="I64" s="66"/>
      <c r="J64" s="66"/>
      <c r="K64" s="66"/>
      <c r="L64" s="66"/>
      <c r="M64" s="66"/>
      <c r="N64" s="66"/>
      <c r="O64" s="14"/>
    </row>
    <row r="65" spans="1:5">
      <c r="A65" s="1">
        <v>51</v>
      </c>
      <c r="D65" s="146"/>
    </row>
    <row r="66" spans="1:5">
      <c r="A66" s="143">
        <v>52</v>
      </c>
      <c r="C66" s="137" t="s">
        <v>399</v>
      </c>
      <c r="D66" s="146">
        <v>16014249.330000009</v>
      </c>
      <c r="E66" s="137" t="s">
        <v>854</v>
      </c>
    </row>
    <row r="67" spans="1:5">
      <c r="A67" s="143">
        <v>53</v>
      </c>
      <c r="C67" s="137" t="s">
        <v>400</v>
      </c>
      <c r="D67" s="146">
        <v>-7807.25</v>
      </c>
    </row>
    <row r="68" spans="1:5">
      <c r="A68" s="1">
        <v>54</v>
      </c>
      <c r="C68" s="137" t="s">
        <v>401</v>
      </c>
      <c r="D68" s="146">
        <v>-2399485.9899999993</v>
      </c>
    </row>
    <row r="69" spans="1:5">
      <c r="A69" s="143">
        <v>55</v>
      </c>
      <c r="C69" s="137" t="s">
        <v>402</v>
      </c>
      <c r="D69" s="146">
        <v>-57443.060000000005</v>
      </c>
    </row>
    <row r="70" spans="1:5">
      <c r="A70" s="1">
        <v>56</v>
      </c>
      <c r="C70" s="137" t="s">
        <v>871</v>
      </c>
      <c r="D70" s="146">
        <v>-18083013.359999999</v>
      </c>
    </row>
    <row r="71" spans="1:5">
      <c r="A71" s="143">
        <v>57</v>
      </c>
      <c r="C71" s="137" t="s">
        <v>63</v>
      </c>
      <c r="D71" s="146">
        <v>-281794.66999999923</v>
      </c>
    </row>
    <row r="72" spans="1:5" ht="13.5" thickBot="1">
      <c r="A72" s="143">
        <v>58</v>
      </c>
      <c r="C72" s="137" t="s">
        <v>408</v>
      </c>
      <c r="D72" s="195">
        <f>SUM(D66:D71)</f>
        <v>-4815294.9999999879</v>
      </c>
    </row>
    <row r="73" spans="1:5" ht="13.5" thickTop="1">
      <c r="A73" s="1">
        <v>59</v>
      </c>
      <c r="D73" s="146"/>
    </row>
    <row r="74" spans="1:5">
      <c r="A74" s="143">
        <v>60</v>
      </c>
      <c r="C74" s="171" t="s">
        <v>610</v>
      </c>
      <c r="D74" s="146">
        <f>+D63</f>
        <v>23751774.109999999</v>
      </c>
    </row>
    <row r="75" spans="1:5">
      <c r="A75" s="1">
        <v>61</v>
      </c>
    </row>
    <row r="76" spans="1:5">
      <c r="A76" s="143">
        <v>62</v>
      </c>
      <c r="C76" s="348" t="s">
        <v>856</v>
      </c>
    </row>
    <row r="77" spans="1:5" ht="15">
      <c r="A77" s="143">
        <v>63</v>
      </c>
      <c r="C77" s="349" t="s">
        <v>857</v>
      </c>
    </row>
    <row r="78" spans="1:5">
      <c r="A78" s="1">
        <v>64</v>
      </c>
      <c r="C78" s="348" t="s">
        <v>858</v>
      </c>
    </row>
    <row r="79" spans="1:5">
      <c r="A79" s="143">
        <v>65</v>
      </c>
      <c r="C79" s="348" t="s">
        <v>859</v>
      </c>
    </row>
    <row r="80" spans="1:5">
      <c r="A80" s="1">
        <v>66</v>
      </c>
      <c r="C80" s="348" t="s">
        <v>860</v>
      </c>
    </row>
    <row r="81" spans="1:15">
      <c r="A81" s="143">
        <v>67</v>
      </c>
      <c r="C81" s="348" t="s">
        <v>861</v>
      </c>
    </row>
    <row r="82" spans="1:15">
      <c r="A82" s="143">
        <v>68</v>
      </c>
      <c r="C82" s="348" t="s">
        <v>862</v>
      </c>
    </row>
    <row r="83" spans="1:15">
      <c r="A83" s="1">
        <v>69</v>
      </c>
      <c r="C83" s="348"/>
    </row>
    <row r="84" spans="1:15">
      <c r="A84" s="143">
        <v>70</v>
      </c>
      <c r="C84" s="348" t="s">
        <v>863</v>
      </c>
    </row>
    <row r="85" spans="1:15">
      <c r="A85" s="1">
        <v>71</v>
      </c>
    </row>
    <row r="86" spans="1:15">
      <c r="A86" s="143">
        <v>72</v>
      </c>
    </row>
    <row r="87" spans="1:15">
      <c r="A87" s="143">
        <v>73</v>
      </c>
      <c r="B87" s="214">
        <v>2022</v>
      </c>
    </row>
    <row r="88" spans="1:15">
      <c r="A88" s="1">
        <v>74</v>
      </c>
      <c r="C88" s="352" t="s">
        <v>662</v>
      </c>
    </row>
    <row r="89" spans="1:15">
      <c r="A89" s="143">
        <v>75</v>
      </c>
      <c r="C89" s="137" t="s">
        <v>406</v>
      </c>
      <c r="D89" s="146">
        <v>8616786</v>
      </c>
      <c r="E89" s="66" t="s">
        <v>163</v>
      </c>
      <c r="F89" s="66">
        <f>+$D89*'[4]II-F Alloc_Factor'!E$17</f>
        <v>1937219.4764158358</v>
      </c>
      <c r="G89" s="66">
        <f>+$D89*'[4]II-F Alloc_Factor'!F$17</f>
        <v>0</v>
      </c>
      <c r="H89" s="66">
        <f>+$D89*'[4]II-F Alloc_Factor'!G$17</f>
        <v>0</v>
      </c>
      <c r="I89" s="66">
        <f>+$D89*'[4]II-F Alloc_Factor'!H$17</f>
        <v>1937219.4764158358</v>
      </c>
      <c r="J89" s="66">
        <f>+$D89*'[4]II-F Alloc_Factor'!I$17</f>
        <v>5173591.7154889638</v>
      </c>
      <c r="K89" s="66">
        <f>+$D89*'[4]II-F Alloc_Factor'!J$17</f>
        <v>0</v>
      </c>
      <c r="L89" s="66">
        <f>+$D89*'[4]II-F Alloc_Factor'!K$17</f>
        <v>5173591.7154889638</v>
      </c>
      <c r="M89" s="66">
        <f>+$D89*'[4]II-F Alloc_Factor'!L$17</f>
        <v>1446675.307710079</v>
      </c>
      <c r="N89" s="66">
        <f>+$D89*'[4]II-F Alloc_Factor'!M$17</f>
        <v>59299.500385121421</v>
      </c>
      <c r="O89" s="14">
        <f>+I89+L89+M89+N89</f>
        <v>8616786</v>
      </c>
    </row>
    <row r="90" spans="1:15">
      <c r="A90" s="1">
        <v>76</v>
      </c>
      <c r="C90" s="137" t="s">
        <v>407</v>
      </c>
      <c r="D90" s="146">
        <v>13617164.650269756</v>
      </c>
      <c r="E90" s="66" t="s">
        <v>163</v>
      </c>
      <c r="F90" s="66">
        <f>+$D90*'[4]II-F Alloc_Factor'!E$17</f>
        <v>3061400.9184008753</v>
      </c>
      <c r="G90" s="66">
        <f>+$D90*'[4]II-F Alloc_Factor'!F$17</f>
        <v>0</v>
      </c>
      <c r="H90" s="66">
        <f>+$D90*'[4]II-F Alloc_Factor'!G$17</f>
        <v>0</v>
      </c>
      <c r="I90" s="66">
        <f>+$D90*'[4]II-F Alloc_Factor'!H$17</f>
        <v>3061400.9184008753</v>
      </c>
      <c r="J90" s="66">
        <f>+$D90*'[4]II-F Alloc_Factor'!I$17</f>
        <v>8175861.652254656</v>
      </c>
      <c r="K90" s="66">
        <f>+$D90*'[4]II-F Alloc_Factor'!J$17</f>
        <v>0</v>
      </c>
      <c r="L90" s="66">
        <f>+$D90*'[4]II-F Alloc_Factor'!K$17</f>
        <v>8175861.652254656</v>
      </c>
      <c r="M90" s="66">
        <f>+$D90*'[4]II-F Alloc_Factor'!L$17</f>
        <v>2286190.6818351774</v>
      </c>
      <c r="N90" s="66">
        <f>+$D90*'[4]II-F Alloc_Factor'!M$17</f>
        <v>93711.397779048159</v>
      </c>
      <c r="O90" s="14">
        <f t="shared" ref="O90:O91" si="8">+I90+L90+M90+N90</f>
        <v>13617164.650269758</v>
      </c>
    </row>
    <row r="91" spans="1:15">
      <c r="A91" s="143">
        <v>77</v>
      </c>
      <c r="C91" s="253" t="s">
        <v>609</v>
      </c>
      <c r="D91" s="146">
        <v>24705331.510000005</v>
      </c>
      <c r="E91" s="66" t="s">
        <v>163</v>
      </c>
      <c r="F91" s="66">
        <f>+$D91*'[4]II-F Alloc_Factor'!E$17</f>
        <v>5554234.4178539254</v>
      </c>
      <c r="G91" s="66">
        <f>+$D91*'[4]II-F Alloc_Factor'!F$17</f>
        <v>0</v>
      </c>
      <c r="H91" s="66">
        <f>+$D91*'[4]II-F Alloc_Factor'!G$17</f>
        <v>0</v>
      </c>
      <c r="I91" s="66">
        <f>+$D91*'[4]II-F Alloc_Factor'!H$17</f>
        <v>5554234.4178539254</v>
      </c>
      <c r="J91" s="66">
        <f>+$D91*'[4]II-F Alloc_Factor'!I$17</f>
        <v>14833291.488095965</v>
      </c>
      <c r="K91" s="66">
        <f>+$D91*'[4]II-F Alloc_Factor'!J$17</f>
        <v>0</v>
      </c>
      <c r="L91" s="66">
        <f>+$D91*'[4]II-F Alloc_Factor'!K$17</f>
        <v>14833291.488095965</v>
      </c>
      <c r="M91" s="66">
        <f>+$D91*'[4]II-F Alloc_Factor'!L$17</f>
        <v>4147787.0129661765</v>
      </c>
      <c r="N91" s="66">
        <f>+$D91*'[4]II-F Alloc_Factor'!M$17</f>
        <v>170018.59108393753</v>
      </c>
      <c r="O91" s="14">
        <f t="shared" si="8"/>
        <v>24705331.510000005</v>
      </c>
    </row>
    <row r="92" spans="1:15">
      <c r="A92" s="143">
        <v>78</v>
      </c>
      <c r="D92" s="146"/>
    </row>
    <row r="93" spans="1:15">
      <c r="A93" s="1">
        <v>79</v>
      </c>
      <c r="D93" s="146"/>
    </row>
    <row r="94" spans="1:15">
      <c r="A94" s="143">
        <v>80</v>
      </c>
      <c r="C94" s="352" t="s">
        <v>663</v>
      </c>
      <c r="D94" s="146"/>
    </row>
    <row r="95" spans="1:15">
      <c r="A95" s="1">
        <v>81</v>
      </c>
      <c r="C95" s="137" t="s">
        <v>406</v>
      </c>
      <c r="D95" s="146">
        <v>10273841.999999996</v>
      </c>
      <c r="E95" s="66" t="s">
        <v>163</v>
      </c>
      <c r="F95" s="66">
        <f>+$D95*'[4]II-F Alloc_Factor'!E$17</f>
        <v>2309757.5847907811</v>
      </c>
      <c r="G95" s="66">
        <f>+$D95*'[4]II-F Alloc_Factor'!F$17</f>
        <v>0</v>
      </c>
      <c r="H95" s="66">
        <f>+$D95*'[4]II-F Alloc_Factor'!G$17</f>
        <v>0</v>
      </c>
      <c r="I95" s="66">
        <f>+$D95*'[4]II-F Alloc_Factor'!H$17</f>
        <v>2309757.5847907811</v>
      </c>
      <c r="J95" s="66">
        <f>+$D95*'[4]II-F Alloc_Factor'!I$17</f>
        <v>6168502.2533276966</v>
      </c>
      <c r="K95" s="66">
        <f>+$D95*'[4]II-F Alloc_Factor'!J$17</f>
        <v>0</v>
      </c>
      <c r="L95" s="66">
        <f>+$D95*'[4]II-F Alloc_Factor'!K$17</f>
        <v>6168502.2533276966</v>
      </c>
      <c r="M95" s="66">
        <f>+$D95*'[4]II-F Alloc_Factor'!L$17</f>
        <v>1724879.0368839065</v>
      </c>
      <c r="N95" s="66">
        <f>+$D95*'[4]II-F Alloc_Factor'!M$17</f>
        <v>70703.12499761238</v>
      </c>
      <c r="O95" s="14">
        <f t="shared" ref="O95:O97" si="9">+I95+L95+M95+N95</f>
        <v>10273841.999999996</v>
      </c>
    </row>
    <row r="96" spans="1:15">
      <c r="A96" s="143">
        <v>82</v>
      </c>
      <c r="C96" s="137" t="s">
        <v>407</v>
      </c>
      <c r="D96" s="146">
        <v>16235821.349730246</v>
      </c>
      <c r="E96" s="66" t="s">
        <v>163</v>
      </c>
      <c r="F96" s="66">
        <f>+$D96*'[4]II-F Alloc_Factor'!E$17</f>
        <v>3650125.3871577494</v>
      </c>
      <c r="G96" s="66">
        <f>+$D96*'[4]II-F Alloc_Factor'!F$17</f>
        <v>0</v>
      </c>
      <c r="H96" s="66">
        <f>+$D96*'[4]II-F Alloc_Factor'!G$17</f>
        <v>0</v>
      </c>
      <c r="I96" s="66">
        <f>+$D96*'[4]II-F Alloc_Factor'!H$17</f>
        <v>3650125.3871577494</v>
      </c>
      <c r="J96" s="66">
        <f>+$D96*'[4]II-F Alloc_Factor'!I$17</f>
        <v>9748125.441333143</v>
      </c>
      <c r="K96" s="66">
        <f>+$D96*'[4]II-F Alloc_Factor'!J$17</f>
        <v>0</v>
      </c>
      <c r="L96" s="66">
        <f>+$D96*'[4]II-F Alloc_Factor'!K$17</f>
        <v>9748125.441333143</v>
      </c>
      <c r="M96" s="66">
        <f>+$D96*'[4]II-F Alloc_Factor'!L$17</f>
        <v>2725837.8990782495</v>
      </c>
      <c r="N96" s="66">
        <f>+$D96*'[4]II-F Alloc_Factor'!M$17</f>
        <v>111732.62216110408</v>
      </c>
      <c r="O96" s="14">
        <f t="shared" si="9"/>
        <v>16235821.349730246</v>
      </c>
    </row>
    <row r="97" spans="1:15">
      <c r="A97" s="143">
        <v>83</v>
      </c>
      <c r="C97" s="253" t="s">
        <v>609</v>
      </c>
      <c r="D97" s="146">
        <v>10323974.98</v>
      </c>
      <c r="E97" s="66" t="s">
        <v>163</v>
      </c>
      <c r="F97" s="66">
        <f>+$D97*'[4]II-F Alloc_Factor'!E$17</f>
        <v>2321028.4443974574</v>
      </c>
      <c r="G97" s="66">
        <f>+$D97*'[4]II-F Alloc_Factor'!F$17</f>
        <v>0</v>
      </c>
      <c r="H97" s="66">
        <f>+$D97*'[4]II-F Alloc_Factor'!G$17</f>
        <v>0</v>
      </c>
      <c r="I97" s="66">
        <f>+$D97*'[4]II-F Alloc_Factor'!H$17</f>
        <v>2321028.4443974574</v>
      </c>
      <c r="J97" s="66">
        <f>+$D97*'[4]II-F Alloc_Factor'!I$17</f>
        <v>6198602.5215716567</v>
      </c>
      <c r="K97" s="66">
        <f>+$D97*'[4]II-F Alloc_Factor'!J$17</f>
        <v>0</v>
      </c>
      <c r="L97" s="66">
        <f>+$D97*'[4]II-F Alloc_Factor'!K$17</f>
        <v>6198602.5215716567</v>
      </c>
      <c r="M97" s="66">
        <f>+$D97*'[4]II-F Alloc_Factor'!L$17</f>
        <v>1733295.8809679917</v>
      </c>
      <c r="N97" s="66">
        <f>+$D97*'[4]II-F Alloc_Factor'!M$17</f>
        <v>71048.133062895373</v>
      </c>
      <c r="O97" s="14">
        <f t="shared" si="9"/>
        <v>10323974.98</v>
      </c>
    </row>
    <row r="98" spans="1:15">
      <c r="A98" s="1">
        <v>84</v>
      </c>
      <c r="D98" s="146"/>
    </row>
    <row r="99" spans="1:15">
      <c r="A99" s="143">
        <v>85</v>
      </c>
      <c r="D99" s="146"/>
    </row>
    <row r="100" spans="1:15">
      <c r="A100" s="1">
        <v>86</v>
      </c>
      <c r="C100" s="352" t="s">
        <v>869</v>
      </c>
      <c r="D100" s="146"/>
    </row>
    <row r="101" spans="1:15">
      <c r="A101" s="143">
        <v>87</v>
      </c>
      <c r="C101" s="137" t="s">
        <v>406</v>
      </c>
      <c r="D101" s="146">
        <v>18890627.999999996</v>
      </c>
      <c r="E101" s="66" t="s">
        <v>163</v>
      </c>
      <c r="F101" s="66">
        <f>+$D101*'[4]II-F Alloc_Factor'!E$17</f>
        <v>4246977.0612066165</v>
      </c>
      <c r="G101" s="66">
        <f>+$D101*'[4]II-F Alloc_Factor'!F$17</f>
        <v>0</v>
      </c>
      <c r="H101" s="66">
        <f>+$D101*'[4]II-F Alloc_Factor'!G$17</f>
        <v>0</v>
      </c>
      <c r="I101" s="66">
        <f>+$D101*'[4]II-F Alloc_Factor'!H$17</f>
        <v>4246977.0612066165</v>
      </c>
      <c r="J101" s="66">
        <f>+$D101*'[4]II-F Alloc_Factor'!I$17</f>
        <v>11342093.96881666</v>
      </c>
      <c r="K101" s="66">
        <f>+$D101*'[4]II-F Alloc_Factor'!J$17</f>
        <v>0</v>
      </c>
      <c r="L101" s="66">
        <f>+$D101*'[4]II-F Alloc_Factor'!K$17</f>
        <v>11342093.96881666</v>
      </c>
      <c r="M101" s="66">
        <f>+$D101*'[4]II-F Alloc_Factor'!L$17</f>
        <v>3171554.3445939855</v>
      </c>
      <c r="N101" s="66">
        <f>+$D101*'[4]II-F Alloc_Factor'!M$17</f>
        <v>130002.62538273381</v>
      </c>
      <c r="O101" s="14">
        <f t="shared" ref="O101:O103" si="10">+I101+L101+M101+N101</f>
        <v>18890627.999999996</v>
      </c>
    </row>
    <row r="102" spans="1:15">
      <c r="A102" s="143">
        <v>88</v>
      </c>
      <c r="C102" s="137" t="s">
        <v>870</v>
      </c>
      <c r="D102" s="146">
        <v>29852986</v>
      </c>
      <c r="E102" s="66" t="s">
        <v>163</v>
      </c>
      <c r="F102" s="66">
        <f>+$D102*'[4]II-F Alloc_Factor'!E$17</f>
        <v>6711526.3055586237</v>
      </c>
      <c r="G102" s="66">
        <f>+$D102*'[4]II-F Alloc_Factor'!F$17</f>
        <v>0</v>
      </c>
      <c r="H102" s="66">
        <f>+$D102*'[4]II-F Alloc_Factor'!G$17</f>
        <v>0</v>
      </c>
      <c r="I102" s="66">
        <f>+$D102*'[4]II-F Alloc_Factor'!H$17</f>
        <v>6711526.3055586237</v>
      </c>
      <c r="J102" s="66">
        <f>+$D102*'[4]II-F Alloc_Factor'!I$17</f>
        <v>17923987.093587797</v>
      </c>
      <c r="K102" s="66">
        <f>+$D102*'[4]II-F Alloc_Factor'!J$17</f>
        <v>0</v>
      </c>
      <c r="L102" s="66">
        <f>+$D102*'[4]II-F Alloc_Factor'!K$17</f>
        <v>17923987.093587797</v>
      </c>
      <c r="M102" s="66">
        <f>+$D102*'[4]II-F Alloc_Factor'!L$17</f>
        <v>5012028.5809134264</v>
      </c>
      <c r="N102" s="66">
        <f>+$D102*'[4]II-F Alloc_Factor'!M$17</f>
        <v>205444.01994015221</v>
      </c>
      <c r="O102" s="14">
        <f t="shared" si="10"/>
        <v>29852986</v>
      </c>
    </row>
    <row r="103" spans="1:15">
      <c r="A103" s="1">
        <v>89</v>
      </c>
      <c r="C103" s="253" t="s">
        <v>609</v>
      </c>
      <c r="D103" s="146">
        <v>35029306.49000001</v>
      </c>
      <c r="E103" s="66" t="s">
        <v>163</v>
      </c>
      <c r="F103" s="66">
        <f>+$D103*'[4]II-F Alloc_Factor'!E$17</f>
        <v>7875262.8622513842</v>
      </c>
      <c r="G103" s="66">
        <f>+$D103*'[4]II-F Alloc_Factor'!F$17</f>
        <v>0</v>
      </c>
      <c r="H103" s="66">
        <f>+$D103*'[4]II-F Alloc_Factor'!G$17</f>
        <v>0</v>
      </c>
      <c r="I103" s="66">
        <f>+$D103*'[4]II-F Alloc_Factor'!H$17</f>
        <v>7875262.8622513842</v>
      </c>
      <c r="J103" s="66">
        <f>+$D103*'[4]II-F Alloc_Factor'!I$17</f>
        <v>21031894.009667624</v>
      </c>
      <c r="K103" s="66">
        <f>+$D103*'[4]II-F Alloc_Factor'!J$17</f>
        <v>0</v>
      </c>
      <c r="L103" s="66">
        <f>+$D103*'[4]II-F Alloc_Factor'!K$17</f>
        <v>21031894.009667624</v>
      </c>
      <c r="M103" s="66">
        <f>+$D103*'[4]II-F Alloc_Factor'!L$17</f>
        <v>5881082.8939341689</v>
      </c>
      <c r="N103" s="66">
        <f>+$D103*'[4]II-F Alloc_Factor'!M$17</f>
        <v>241066.72414683294</v>
      </c>
      <c r="O103" s="14">
        <f t="shared" si="10"/>
        <v>35029306.49000001</v>
      </c>
    </row>
    <row r="104" spans="1:15">
      <c r="A104" s="143">
        <v>90</v>
      </c>
      <c r="D104" s="146"/>
    </row>
    <row r="105" spans="1:15">
      <c r="A105" s="1">
        <v>91</v>
      </c>
      <c r="D105" s="146"/>
    </row>
    <row r="106" spans="1:15">
      <c r="A106" s="143">
        <v>92</v>
      </c>
      <c r="C106" s="137" t="s">
        <v>867</v>
      </c>
      <c r="D106" s="146">
        <v>29852986</v>
      </c>
      <c r="E106" s="137" t="s">
        <v>868</v>
      </c>
    </row>
    <row r="107" spans="1:15">
      <c r="A107" s="143">
        <v>93</v>
      </c>
      <c r="C107" s="137" t="s">
        <v>400</v>
      </c>
      <c r="D107" s="146">
        <v>35223.82</v>
      </c>
    </row>
    <row r="108" spans="1:15">
      <c r="A108" s="1">
        <v>94</v>
      </c>
      <c r="C108" s="137" t="s">
        <v>401</v>
      </c>
      <c r="D108" s="146">
        <v>9127337.8200000003</v>
      </c>
    </row>
    <row r="109" spans="1:15">
      <c r="A109" s="143">
        <v>95</v>
      </c>
      <c r="C109" s="137" t="s">
        <v>402</v>
      </c>
      <c r="D109" s="146">
        <v>239985.30000000002</v>
      </c>
    </row>
    <row r="110" spans="1:15">
      <c r="A110" s="1">
        <v>96</v>
      </c>
      <c r="C110" s="137" t="s">
        <v>871</v>
      </c>
      <c r="D110" s="146">
        <v>-21098926.659999996</v>
      </c>
    </row>
    <row r="111" spans="1:15">
      <c r="A111" s="143">
        <v>97</v>
      </c>
      <c r="C111" s="137" t="s">
        <v>63</v>
      </c>
      <c r="D111" s="146">
        <v>734021.71999999485</v>
      </c>
    </row>
    <row r="112" spans="1:15" ht="13.5" thickBot="1">
      <c r="A112" s="143">
        <v>98</v>
      </c>
      <c r="C112" s="137" t="s">
        <v>408</v>
      </c>
      <c r="D112" s="195">
        <f>SUM(D106:D111)</f>
        <v>18890627.999999996</v>
      </c>
    </row>
    <row r="113" spans="1:4" ht="13.5" thickTop="1">
      <c r="A113" s="1">
        <v>99</v>
      </c>
      <c r="D113" s="146"/>
    </row>
    <row r="114" spans="1:4">
      <c r="A114" s="143">
        <v>100</v>
      </c>
      <c r="C114" s="253" t="s">
        <v>610</v>
      </c>
      <c r="D114" s="146">
        <v>35029306.49000001</v>
      </c>
    </row>
    <row r="115" spans="1:4">
      <c r="A115" s="1">
        <v>101</v>
      </c>
    </row>
    <row r="116" spans="1:4">
      <c r="A116" s="143">
        <v>102</v>
      </c>
      <c r="C116" s="137" t="s">
        <v>856</v>
      </c>
    </row>
    <row r="117" spans="1:4">
      <c r="A117" s="143">
        <v>103</v>
      </c>
      <c r="C117" s="137" t="s">
        <v>857</v>
      </c>
    </row>
    <row r="118" spans="1:4">
      <c r="A118" s="1">
        <v>104</v>
      </c>
      <c r="C118" s="137" t="s">
        <v>858</v>
      </c>
    </row>
    <row r="119" spans="1:4">
      <c r="A119" s="143">
        <v>105</v>
      </c>
      <c r="C119" s="137" t="s">
        <v>859</v>
      </c>
    </row>
    <row r="120" spans="1:4">
      <c r="A120" s="1">
        <v>106</v>
      </c>
      <c r="C120" s="137" t="s">
        <v>860</v>
      </c>
    </row>
    <row r="121" spans="1:4">
      <c r="A121" s="143">
        <v>107</v>
      </c>
      <c r="C121" s="137" t="s">
        <v>861</v>
      </c>
    </row>
    <row r="122" spans="1:4">
      <c r="A122" s="143">
        <v>108</v>
      </c>
      <c r="C122" s="137" t="s">
        <v>862</v>
      </c>
    </row>
    <row r="123" spans="1:4">
      <c r="A123" s="1">
        <v>109</v>
      </c>
    </row>
    <row r="124" spans="1:4">
      <c r="A124" s="143">
        <v>110</v>
      </c>
      <c r="C124" s="137" t="s">
        <v>863</v>
      </c>
    </row>
  </sheetData>
  <phoneticPr fontId="5" type="noConversion"/>
  <printOptions horizontalCentered="1"/>
  <pageMargins left="0.5" right="0.5" top="3" bottom="0.5" header="1.5" footer="0.5"/>
  <pageSetup scale="62" fitToHeight="0" orientation="landscape"/>
  <headerFooter alignWithMargins="0">
    <oddHeader>&amp;R&amp;"Arial,Bold"Schedule &amp;A
Page &amp;P of &amp;N&amp;C&amp;B
2025 RATE CASE
ONCOR ELECTRIC DELIVERY COMPANY LLC
II-D-3.9  POSTRETIREMENT BENEFITS OTHER THAN PENSION
TEST YEAR ENDING DECEMBER 31, 2024
SPONSORS: R. PRACHYL/ A. GUILLORY/ K. FEASE</oddHeader>
  </headerFooter>
  <rowBreaks count="1" manualBreakCount="1">
    <brk id="45" max="14" man="1"/>
  </row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9">
    <tabColor rgb="FFFF0000"/>
    <pageSetUpPr fitToPage="1"/>
  </sheetPr>
  <dimension ref="A1:R13"/>
  <sheetViews>
    <sheetView zoomScaleNormal="100" workbookViewId="0">
      <pane xSplit="3" ySplit="10" topLeftCell="D11" activePane="bottomRight" state="frozen"/>
      <selection activeCell="D17" sqref="D17"/>
      <selection pane="topRight" activeCell="D17" sqref="D17"/>
      <selection pane="bottomLeft" activeCell="D17" sqref="D17"/>
      <selection pane="bottomRight" activeCell="E19" sqref="E19"/>
    </sheetView>
  </sheetViews>
  <sheetFormatPr defaultColWidth="9.140625" defaultRowHeight="12.75"/>
  <cols>
    <col min="1" max="1" width="7.140625" style="137" customWidth="1"/>
    <col min="2" max="2" width="16.7109375" style="137" customWidth="1"/>
    <col min="3" max="3" width="1.7109375" style="137" customWidth="1"/>
    <col min="4" max="5" width="14.7109375" style="137" customWidth="1"/>
    <col min="6" max="6" width="13.7109375" style="137" customWidth="1"/>
    <col min="7" max="8" width="9" style="137" bestFit="1" customWidth="1"/>
    <col min="9" max="9" width="13.7109375" style="137" bestFit="1" customWidth="1"/>
    <col min="10" max="10" width="15.42578125" style="137" bestFit="1" customWidth="1"/>
    <col min="11" max="11" width="9" style="137" bestFit="1" customWidth="1"/>
    <col min="12" max="12" width="14.7109375" style="137" customWidth="1"/>
    <col min="13" max="13" width="13.7109375" style="137" bestFit="1" customWidth="1"/>
    <col min="14" max="14" width="13" style="137" bestFit="1" customWidth="1"/>
    <col min="15" max="15" width="14.7109375" style="137" customWidth="1"/>
    <col min="16" max="16" width="1.5703125" style="137" customWidth="1"/>
    <col min="17" max="17" width="1.85546875" style="137" customWidth="1"/>
    <col min="18" max="16384" width="9.140625" style="137"/>
  </cols>
  <sheetData>
    <row r="1" spans="1:18">
      <c r="A1" s="156" t="str">
        <f>+'[3]Input Data'!$A$9</f>
        <v>2025 RATE CASE</v>
      </c>
    </row>
    <row r="2" spans="1:18">
      <c r="A2" s="8" t="str">
        <f>+'[3]Input Data'!$A$2</f>
        <v>ONCOR ELECTRIC DELIVERY COMPANY LLC</v>
      </c>
    </row>
    <row r="3" spans="1:18">
      <c r="A3" s="7" t="str">
        <f>CONCATENATE('[3]Schedule Sponsors'!$A$78,'[3]Schedule Sponsors'!$B$78)</f>
        <v>II-D-3.10  ADMINISTRATION FEES</v>
      </c>
    </row>
    <row r="4" spans="1:18">
      <c r="A4" s="63" t="str">
        <f>+'[3]Input Data'!$A$4</f>
        <v>TEST YEAR ENDING DECEMBER 31, 2024</v>
      </c>
    </row>
    <row r="5" spans="1:18">
      <c r="A5" s="7" t="str">
        <f>CONCATENATE("SPONSORS: ",'[3]Schedule Sponsors'!$D$78)</f>
        <v>SPONSORS: R. PRACHYL/ A. GUILLORY</v>
      </c>
    </row>
    <row r="8" spans="1:18">
      <c r="B8" s="157"/>
    </row>
    <row r="9" spans="1:18">
      <c r="D9" s="158"/>
      <c r="E9" s="158"/>
      <c r="F9" s="158"/>
      <c r="G9" s="158"/>
      <c r="H9" s="158"/>
      <c r="I9" s="158"/>
      <c r="J9" s="158"/>
      <c r="K9" s="158"/>
      <c r="L9" s="158"/>
      <c r="M9" s="158"/>
      <c r="N9" s="158"/>
      <c r="O9" s="158"/>
      <c r="P9" s="158"/>
      <c r="Q9" s="158"/>
    </row>
    <row r="10" spans="1:18">
      <c r="N10" s="145"/>
      <c r="O10" s="145"/>
      <c r="P10" s="145"/>
      <c r="Q10" s="145"/>
      <c r="R10" s="145"/>
    </row>
    <row r="11" spans="1:18" ht="14.25">
      <c r="B11" s="259" t="s">
        <v>1144</v>
      </c>
    </row>
    <row r="12" spans="1:18" ht="14.25">
      <c r="B12" s="259" t="s">
        <v>613</v>
      </c>
    </row>
    <row r="13" spans="1:18" ht="14.25">
      <c r="B13" s="259" t="s">
        <v>614</v>
      </c>
    </row>
  </sheetData>
  <phoneticPr fontId="5" type="noConversion"/>
  <printOptions horizontalCentered="1"/>
  <pageMargins left="0.5" right="0.5" top="3" bottom="0.5" header="1.5" footer="1"/>
  <pageSetup scale="78" fitToHeight="0" pageOrder="overThenDown" orientation="landscape"/>
  <headerFooter alignWithMargins="0">
    <oddHeader>&amp;R&amp;"Arial,Bold"Schedule &amp;A
Page &amp;P of &amp;N&amp;C&amp;B
2025 RATE CASE
ONCOR ELECTRIC DELIVERY COMPANY LLC
II-D-3.10  ADMINISTRATION FEES
TEST YEAR ENDING DECEMBER 31, 2024
SPONSORS: R. PRACHYL/ A. GUILLORY</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2">
    <pageSetUpPr fitToPage="1"/>
  </sheetPr>
  <dimension ref="A1:A16"/>
  <sheetViews>
    <sheetView zoomScaleNormal="100" workbookViewId="0">
      <pane ySplit="6" topLeftCell="A7" activePane="bottomLeft" state="frozen"/>
      <selection pane="bottomLeft" activeCell="A14" sqref="A14:A16"/>
    </sheetView>
  </sheetViews>
  <sheetFormatPr defaultRowHeight="12.75"/>
  <sheetData>
    <row r="1" spans="1:1">
      <c r="A1" s="5" t="str">
        <f>+'[3]Input Data'!$A$9</f>
        <v>2025 RATE CASE</v>
      </c>
    </row>
    <row r="2" spans="1:1">
      <c r="A2" s="8" t="str">
        <f>+'[3]Input Data'!$A$2</f>
        <v>ONCOR ELECTRIC DELIVERY COMPANY LLC</v>
      </c>
    </row>
    <row r="3" spans="1:1">
      <c r="A3" s="7" t="str">
        <f>CONCATENATE('[3]Schedule Sponsors'!$A$78,'[3]Schedule Sponsors'!$B$78)</f>
        <v>II-D-3.10  ADMINISTRATION FEES</v>
      </c>
    </row>
    <row r="4" spans="1:1">
      <c r="A4" s="63" t="str">
        <f>+'[3]Input Data'!$A$4</f>
        <v>TEST YEAR ENDING DECEMBER 31, 2024</v>
      </c>
    </row>
    <row r="5" spans="1:1">
      <c r="A5" s="7" t="str">
        <f>CONCATENATE("SPONSORS: ",'[3]Schedule Sponsors'!$D$78)</f>
        <v>SPONSORS: R. PRACHYL/ A. GUILLORY</v>
      </c>
    </row>
    <row r="10" spans="1:1" ht="15">
      <c r="A10" s="260" t="s">
        <v>392</v>
      </c>
    </row>
    <row r="11" spans="1:1" ht="15">
      <c r="A11" s="260" t="s">
        <v>182</v>
      </c>
    </row>
    <row r="12" spans="1:1" ht="15">
      <c r="A12" s="260" t="s">
        <v>183</v>
      </c>
    </row>
    <row r="14" spans="1:1" ht="14.25">
      <c r="A14" s="259" t="s">
        <v>612</v>
      </c>
    </row>
    <row r="15" spans="1:1" ht="14.25">
      <c r="A15" s="259" t="s">
        <v>613</v>
      </c>
    </row>
    <row r="16" spans="1:1" ht="14.25">
      <c r="A16" s="259" t="s">
        <v>614</v>
      </c>
    </row>
  </sheetData>
  <phoneticPr fontId="5" type="noConversion"/>
  <printOptions horizontalCentered="1"/>
  <pageMargins left="0.5" right="0.25" top="3" bottom="0.5" header="1.5" footer="0.5"/>
  <pageSetup scale="85" orientation="landscape"/>
  <headerFooter alignWithMargins="0">
    <oddHeader>&amp;R&amp;"Arial,Bold"Schedule &amp;A
Page &amp;P of &amp;N&amp;C&amp;B
2025 RATE CASE
ONCOR ELECTRIC DELIVERY COMPANY LLC
II-D-3.10  ADMINISTRATION FEES
TEST YEAR ENDING DECEMBER 31, 2024
SPONSORS: R. PRACHYL/ A. GUILLORY</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4">
    <tabColor rgb="FFFF0000"/>
  </sheetPr>
  <dimension ref="A1:X147"/>
  <sheetViews>
    <sheetView zoomScaleNormal="100" workbookViewId="0">
      <pane xSplit="4" ySplit="13" topLeftCell="E14" activePane="bottomRight" state="frozen"/>
      <selection activeCell="C78" sqref="C78"/>
      <selection pane="topRight" activeCell="C78" sqref="C78"/>
      <selection pane="bottomLeft" activeCell="C78" sqref="C78"/>
      <selection pane="bottomRight" activeCell="J13" sqref="J13"/>
    </sheetView>
  </sheetViews>
  <sheetFormatPr defaultColWidth="9.140625" defaultRowHeight="12.75" customHeight="1"/>
  <cols>
    <col min="1" max="1" width="5.7109375" style="31" customWidth="1"/>
    <col min="2" max="2" width="8.7109375" style="33" customWidth="1"/>
    <col min="3" max="3" width="48.140625" style="33" customWidth="1"/>
    <col min="4" max="4" width="10.5703125" style="33" customWidth="1"/>
    <col min="5" max="5" width="12.7109375" style="33" customWidth="1"/>
    <col min="6" max="6" width="17" style="33" bestFit="1" customWidth="1"/>
    <col min="7" max="9" width="12.7109375" style="33" customWidth="1"/>
    <col min="10" max="10" width="10.140625" style="33" bestFit="1" customWidth="1"/>
    <col min="11" max="11" width="10.140625" style="37" bestFit="1" customWidth="1"/>
    <col min="12" max="12" width="3.28515625" style="33" bestFit="1" customWidth="1"/>
    <col min="13" max="13" width="6.7109375" style="37" bestFit="1" customWidth="1"/>
    <col min="14" max="14" width="6.7109375" style="37" customWidth="1"/>
    <col min="15" max="23" width="7.7109375" style="33" customWidth="1"/>
    <col min="24" max="16384" width="9.140625" style="33"/>
  </cols>
  <sheetData>
    <row r="1" spans="1:24" ht="12.75" customHeight="1">
      <c r="A1" s="35" t="str">
        <f>+'[3]Input Data'!$A$9</f>
        <v>2025 RATE CASE</v>
      </c>
    </row>
    <row r="2" spans="1:24">
      <c r="A2" s="8" t="str">
        <f>+'[3]Input Data'!$A$2</f>
        <v>ONCOR ELECTRIC DELIVERY COMPANY LLC</v>
      </c>
      <c r="B2" s="31"/>
      <c r="C2" s="31"/>
      <c r="D2" s="31"/>
      <c r="E2" s="31"/>
      <c r="F2" s="57"/>
      <c r="G2" s="31"/>
      <c r="H2" s="31"/>
      <c r="I2" s="31"/>
      <c r="J2" s="31"/>
      <c r="K2" s="32"/>
      <c r="L2" s="31"/>
      <c r="M2" s="32"/>
      <c r="N2" s="32"/>
      <c r="O2" s="4"/>
      <c r="P2" s="4"/>
      <c r="Q2" s="4"/>
      <c r="R2" s="4"/>
      <c r="S2" s="31"/>
      <c r="T2" s="31"/>
      <c r="U2" s="31"/>
      <c r="V2" s="31"/>
      <c r="W2" s="31"/>
    </row>
    <row r="3" spans="1:24">
      <c r="A3" s="7" t="str">
        <f>CONCATENATE('[3]Schedule Sponsors'!$A$79,'[3]Schedule Sponsors'!$B$79)</f>
        <v>II-D-4   SUMMARY OF EXCLUSIONS FROM TEST YEAR</v>
      </c>
      <c r="B3" s="4"/>
      <c r="D3" s="31"/>
      <c r="E3" s="31"/>
      <c r="F3" s="34"/>
      <c r="G3" s="31"/>
      <c r="H3" s="31"/>
      <c r="I3" s="31"/>
      <c r="J3" s="31"/>
      <c r="K3" s="32"/>
      <c r="L3" s="31"/>
      <c r="M3" s="32"/>
      <c r="N3" s="32"/>
      <c r="O3" s="28"/>
      <c r="P3" s="28"/>
      <c r="Q3" s="28"/>
      <c r="R3" s="28"/>
      <c r="S3" s="31"/>
      <c r="T3" s="31"/>
      <c r="U3" s="31"/>
      <c r="V3" s="31"/>
      <c r="W3" s="31"/>
    </row>
    <row r="4" spans="1:24">
      <c r="A4" s="63" t="str">
        <f>+'[3]Input Data'!$A$4</f>
        <v>TEST YEAR ENDING DECEMBER 31, 2024</v>
      </c>
      <c r="B4" s="4"/>
      <c r="D4" s="31"/>
      <c r="E4" s="31"/>
      <c r="F4" s="34"/>
      <c r="G4" s="31"/>
      <c r="H4" s="31"/>
      <c r="I4" s="31"/>
      <c r="J4" s="31"/>
      <c r="K4" s="32"/>
      <c r="L4" s="31"/>
      <c r="M4" s="32"/>
      <c r="N4" s="32"/>
      <c r="O4" s="28"/>
      <c r="P4" s="28"/>
      <c r="Q4" s="28"/>
      <c r="R4" s="28"/>
      <c r="S4" s="31"/>
      <c r="T4" s="31"/>
      <c r="U4" s="31"/>
      <c r="V4" s="31"/>
      <c r="W4" s="31"/>
    </row>
    <row r="5" spans="1:24">
      <c r="A5" s="7" t="str">
        <f>CONCATENATE("SPONSOR: ",'[3]Schedule Sponsors'!$D$79)</f>
        <v>SPONSOR: R. PRACHYL</v>
      </c>
      <c r="B5" s="4"/>
      <c r="D5" s="31"/>
      <c r="E5" s="31"/>
      <c r="F5" s="31"/>
      <c r="G5" s="31"/>
      <c r="H5" s="31"/>
      <c r="I5" s="31"/>
      <c r="J5" s="31"/>
      <c r="K5" s="32"/>
      <c r="L5" s="31"/>
      <c r="M5" s="32"/>
      <c r="N5" s="32"/>
      <c r="O5" s="31"/>
      <c r="P5" s="31"/>
      <c r="Q5" s="31"/>
      <c r="R5" s="31"/>
      <c r="S5" s="31"/>
      <c r="T5" s="31"/>
      <c r="U5" s="31"/>
      <c r="V5" s="31"/>
      <c r="W5" s="31"/>
    </row>
    <row r="6" spans="1:24">
      <c r="B6" s="4"/>
      <c r="D6" s="31"/>
      <c r="E6" s="31"/>
      <c r="F6" s="31"/>
      <c r="G6" s="31"/>
      <c r="H6" s="31"/>
      <c r="I6" s="31"/>
      <c r="J6" s="31"/>
      <c r="K6" s="32"/>
      <c r="L6" s="31"/>
      <c r="M6" s="32"/>
      <c r="N6" s="32"/>
      <c r="O6" s="31"/>
      <c r="P6" s="31"/>
      <c r="Q6" s="31"/>
      <c r="R6" s="31"/>
      <c r="S6" s="31"/>
      <c r="T6" s="31"/>
      <c r="U6" s="31"/>
      <c r="V6" s="31"/>
      <c r="W6" s="31"/>
    </row>
    <row r="7" spans="1:24">
      <c r="B7" s="4"/>
      <c r="D7" s="31"/>
      <c r="E7" s="31"/>
      <c r="F7" s="31"/>
      <c r="G7" s="31"/>
      <c r="H7" s="31"/>
      <c r="I7" s="31"/>
      <c r="J7" s="31"/>
      <c r="K7" s="32"/>
      <c r="L7" s="31"/>
      <c r="M7" s="32"/>
      <c r="N7" s="32"/>
      <c r="O7" s="31"/>
      <c r="P7" s="31"/>
      <c r="Q7" s="31"/>
      <c r="R7" s="31"/>
      <c r="S7" s="31"/>
      <c r="T7" s="31"/>
      <c r="U7" s="31"/>
      <c r="V7" s="31"/>
      <c r="W7" s="31"/>
    </row>
    <row r="8" spans="1:24">
      <c r="B8" s="35"/>
      <c r="C8" s="31"/>
      <c r="D8" s="31"/>
      <c r="E8" s="31"/>
      <c r="F8" s="31"/>
      <c r="G8" s="31"/>
      <c r="H8" s="31"/>
      <c r="I8" s="31"/>
      <c r="J8" s="31"/>
      <c r="K8" s="32"/>
      <c r="L8" s="31"/>
      <c r="M8" s="32"/>
      <c r="N8" s="32"/>
      <c r="O8" s="31"/>
      <c r="P8" s="31"/>
      <c r="Q8" s="31"/>
      <c r="R8" s="31"/>
      <c r="S8" s="31"/>
      <c r="T8" s="31"/>
      <c r="U8" s="31"/>
      <c r="V8" s="31"/>
      <c r="W8" s="31"/>
    </row>
    <row r="9" spans="1:24" ht="13.5" thickBot="1">
      <c r="B9" s="31" t="s">
        <v>210</v>
      </c>
      <c r="C9" s="31"/>
      <c r="D9" s="31"/>
      <c r="E9" s="36"/>
      <c r="F9" s="36"/>
      <c r="G9" s="36"/>
      <c r="H9" s="36"/>
      <c r="I9" s="36"/>
      <c r="J9" s="36"/>
      <c r="K9" s="36"/>
      <c r="L9" s="36"/>
      <c r="M9" s="36"/>
      <c r="N9" s="36"/>
      <c r="O9" s="36"/>
      <c r="P9" s="36"/>
      <c r="Q9" s="36"/>
      <c r="R9" s="36"/>
      <c r="S9" s="36"/>
      <c r="T9" s="36"/>
      <c r="U9" s="36"/>
      <c r="V9" s="36"/>
      <c r="W9" s="36"/>
    </row>
    <row r="10" spans="1:24" s="35" customFormat="1">
      <c r="A10" s="9"/>
      <c r="B10" s="9"/>
      <c r="C10" s="9"/>
      <c r="D10" s="9"/>
      <c r="E10" s="9"/>
      <c r="F10" s="9"/>
      <c r="G10" s="10" t="s">
        <v>319</v>
      </c>
      <c r="H10" s="10" t="s">
        <v>184</v>
      </c>
      <c r="I10" s="10" t="s">
        <v>320</v>
      </c>
      <c r="J10" s="10" t="s">
        <v>223</v>
      </c>
      <c r="K10" s="10" t="s">
        <v>53</v>
      </c>
      <c r="L10" s="9"/>
      <c r="M10" s="10" t="s">
        <v>219</v>
      </c>
      <c r="N10" s="10"/>
      <c r="O10" s="10"/>
      <c r="P10" s="10"/>
      <c r="Q10" s="10"/>
      <c r="R10" s="10"/>
      <c r="S10" s="10"/>
      <c r="T10" s="10"/>
      <c r="U10" s="10"/>
      <c r="V10" s="10"/>
      <c r="W10" s="10"/>
    </row>
    <row r="11" spans="1:24" s="35" customFormat="1">
      <c r="A11" s="11" t="s">
        <v>87</v>
      </c>
      <c r="B11" s="11" t="s">
        <v>212</v>
      </c>
      <c r="C11" s="11"/>
      <c r="D11" s="11" t="s">
        <v>209</v>
      </c>
      <c r="E11" s="27" t="s">
        <v>213</v>
      </c>
      <c r="F11" s="11" t="s">
        <v>214</v>
      </c>
      <c r="G11" s="11" t="s">
        <v>321</v>
      </c>
      <c r="H11" s="11" t="s">
        <v>185</v>
      </c>
      <c r="I11" s="11" t="s">
        <v>319</v>
      </c>
      <c r="J11" s="11" t="s">
        <v>53</v>
      </c>
      <c r="K11" s="11" t="s">
        <v>220</v>
      </c>
      <c r="L11" s="11" t="s">
        <v>216</v>
      </c>
      <c r="M11" s="11" t="s">
        <v>217</v>
      </c>
      <c r="N11" s="11"/>
      <c r="O11" s="11" t="s">
        <v>617</v>
      </c>
      <c r="P11" s="11" t="s">
        <v>623</v>
      </c>
      <c r="Q11" s="11" t="s">
        <v>618</v>
      </c>
      <c r="R11" s="11"/>
      <c r="S11" s="11" t="s">
        <v>617</v>
      </c>
      <c r="T11" s="11" t="s">
        <v>618</v>
      </c>
      <c r="U11" s="11"/>
      <c r="V11" s="11"/>
      <c r="W11" s="11"/>
    </row>
    <row r="12" spans="1:24" s="35" customFormat="1">
      <c r="A12" s="11" t="s">
        <v>89</v>
      </c>
      <c r="B12" s="11" t="s">
        <v>294</v>
      </c>
      <c r="C12" s="11" t="s">
        <v>208</v>
      </c>
      <c r="D12" s="11" t="s">
        <v>211</v>
      </c>
      <c r="E12" s="27" t="s">
        <v>218</v>
      </c>
      <c r="F12" s="11" t="s">
        <v>221</v>
      </c>
      <c r="G12" s="11" t="s">
        <v>222</v>
      </c>
      <c r="H12" s="11" t="s">
        <v>61</v>
      </c>
      <c r="I12" s="11" t="s">
        <v>321</v>
      </c>
      <c r="J12" s="11" t="s">
        <v>217</v>
      </c>
      <c r="K12" s="11" t="s">
        <v>223</v>
      </c>
      <c r="L12" s="11" t="s">
        <v>224</v>
      </c>
      <c r="M12" s="11" t="s">
        <v>225</v>
      </c>
      <c r="N12" s="183" t="s">
        <v>292</v>
      </c>
      <c r="O12" s="11" t="s">
        <v>292</v>
      </c>
      <c r="P12" s="11" t="s">
        <v>624</v>
      </c>
      <c r="Q12" s="11" t="s">
        <v>292</v>
      </c>
      <c r="R12" s="11" t="s">
        <v>293</v>
      </c>
      <c r="S12" s="11" t="s">
        <v>293</v>
      </c>
      <c r="T12" s="11" t="s">
        <v>293</v>
      </c>
      <c r="U12" s="11" t="s">
        <v>281</v>
      </c>
      <c r="V12" s="11" t="s">
        <v>126</v>
      </c>
      <c r="W12" s="11" t="s">
        <v>215</v>
      </c>
    </row>
    <row r="13" spans="1:24" s="35" customFormat="1" ht="13.5" thickBot="1">
      <c r="A13" s="12"/>
      <c r="B13" s="29" t="s">
        <v>44</v>
      </c>
      <c r="C13" s="29" t="s">
        <v>45</v>
      </c>
      <c r="D13" s="29" t="s">
        <v>74</v>
      </c>
      <c r="E13" s="29" t="s">
        <v>75</v>
      </c>
      <c r="F13" s="29" t="s">
        <v>76</v>
      </c>
      <c r="G13" s="29" t="s">
        <v>77</v>
      </c>
      <c r="H13" s="29" t="s">
        <v>78</v>
      </c>
      <c r="I13" s="29" t="s">
        <v>79</v>
      </c>
      <c r="J13" s="29" t="s">
        <v>80</v>
      </c>
      <c r="K13" s="29" t="s">
        <v>81</v>
      </c>
      <c r="L13" s="29" t="s">
        <v>82</v>
      </c>
      <c r="M13" s="29" t="s">
        <v>83</v>
      </c>
      <c r="N13" s="29" t="s">
        <v>84</v>
      </c>
      <c r="O13" s="29" t="s">
        <v>85</v>
      </c>
      <c r="P13" s="213" t="s">
        <v>86</v>
      </c>
      <c r="Q13" s="213" t="s">
        <v>254</v>
      </c>
      <c r="R13" s="213" t="s">
        <v>128</v>
      </c>
      <c r="S13" s="213" t="s">
        <v>23</v>
      </c>
      <c r="T13" s="213" t="s">
        <v>24</v>
      </c>
      <c r="U13" s="213" t="s">
        <v>136</v>
      </c>
      <c r="V13" s="213" t="s">
        <v>68</v>
      </c>
      <c r="W13" s="213" t="s">
        <v>619</v>
      </c>
    </row>
    <row r="14" spans="1:24" s="31" customFormat="1" ht="12.75" customHeight="1">
      <c r="B14" s="38"/>
      <c r="C14" s="38"/>
      <c r="D14" s="38"/>
      <c r="E14" s="38"/>
      <c r="F14" s="38"/>
      <c r="G14" s="38"/>
      <c r="H14" s="38"/>
      <c r="I14" s="38"/>
      <c r="J14" s="38"/>
      <c r="K14" s="39"/>
      <c r="L14" s="38"/>
      <c r="M14" s="39"/>
      <c r="N14" s="39"/>
      <c r="O14" s="38"/>
      <c r="P14" s="38"/>
      <c r="Q14" s="38"/>
      <c r="R14" s="38"/>
      <c r="S14" s="38"/>
      <c r="T14" s="38"/>
      <c r="U14" s="38"/>
      <c r="V14" s="38"/>
      <c r="W14" s="38"/>
    </row>
    <row r="15" spans="1:24" s="35" customFormat="1">
      <c r="A15" s="32">
        <v>1</v>
      </c>
      <c r="B15" s="40"/>
      <c r="C15" s="31" t="s">
        <v>4</v>
      </c>
      <c r="D15" s="99" t="s">
        <v>117</v>
      </c>
      <c r="E15" s="181">
        <f>+'[5]II-E-4.2'!$E$20+'[5]II-E-4.2'!$E$21+'[5]II-E-4.2'!$E$22</f>
        <v>5813304.3100000005</v>
      </c>
      <c r="F15" s="181">
        <v>0</v>
      </c>
      <c r="G15" s="181">
        <f>+E15+F15</f>
        <v>5813304.3100000005</v>
      </c>
      <c r="H15" s="181">
        <f>-G15</f>
        <v>-5813304.3100000005</v>
      </c>
      <c r="I15" s="181">
        <f>+H15+G15</f>
        <v>0</v>
      </c>
      <c r="J15" s="153">
        <v>1</v>
      </c>
      <c r="K15" s="181">
        <f>+I15*J15</f>
        <v>0</v>
      </c>
      <c r="L15" s="181"/>
      <c r="M15" s="181"/>
      <c r="N15" s="181">
        <v>0</v>
      </c>
      <c r="O15" s="181">
        <v>0</v>
      </c>
      <c r="P15" s="181">
        <v>0</v>
      </c>
      <c r="Q15" s="181">
        <f>SUM(N15:P15)</f>
        <v>0</v>
      </c>
      <c r="R15" s="181">
        <v>0</v>
      </c>
      <c r="S15" s="181">
        <v>0</v>
      </c>
      <c r="T15" s="181">
        <f>SUM(R15:S15)</f>
        <v>0</v>
      </c>
      <c r="U15" s="181">
        <v>0</v>
      </c>
      <c r="V15" s="181">
        <v>0</v>
      </c>
      <c r="W15" s="181">
        <f>+Q15+T15+U15+V15</f>
        <v>0</v>
      </c>
      <c r="X15" s="31" t="b">
        <f>+W15=K15</f>
        <v>1</v>
      </c>
    </row>
    <row r="16" spans="1:24" s="31" customFormat="1">
      <c r="A16" s="32">
        <v>2</v>
      </c>
      <c r="B16" s="40"/>
      <c r="C16" s="31" t="s">
        <v>202</v>
      </c>
      <c r="D16" s="99" t="s">
        <v>117</v>
      </c>
      <c r="E16" s="43">
        <f>+'[5]II-E-4.2'!$E$19</f>
        <v>636895.6</v>
      </c>
      <c r="F16" s="43">
        <v>0</v>
      </c>
      <c r="G16" s="43">
        <f>+E16+F16</f>
        <v>636895.6</v>
      </c>
      <c r="H16" s="43">
        <f>-G16</f>
        <v>-636895.6</v>
      </c>
      <c r="I16" s="43">
        <f>+H16+G16</f>
        <v>0</v>
      </c>
      <c r="J16" s="153">
        <v>1</v>
      </c>
      <c r="K16" s="105">
        <f>+I16*J16</f>
        <v>0</v>
      </c>
      <c r="L16" s="43"/>
      <c r="M16" s="32"/>
      <c r="N16" s="43">
        <v>0</v>
      </c>
      <c r="O16" s="43">
        <v>0</v>
      </c>
      <c r="P16" s="43">
        <v>0</v>
      </c>
      <c r="Q16" s="43">
        <f t="shared" ref="Q16:Q19" si="0">SUM(N16:P16)</f>
        <v>0</v>
      </c>
      <c r="R16" s="43">
        <v>0</v>
      </c>
      <c r="S16" s="43">
        <v>0</v>
      </c>
      <c r="T16" s="43">
        <f t="shared" ref="T16:T19" si="1">SUM(R16:S16)</f>
        <v>0</v>
      </c>
      <c r="U16" s="43">
        <v>0</v>
      </c>
      <c r="V16" s="43">
        <v>0</v>
      </c>
      <c r="W16" s="46">
        <f t="shared" ref="W16:W19" si="2">+Q16+T16+U16+V16</f>
        <v>0</v>
      </c>
      <c r="X16" s="31" t="b">
        <f>+W16=K16</f>
        <v>1</v>
      </c>
    </row>
    <row r="17" spans="1:24" s="31" customFormat="1">
      <c r="A17" s="32">
        <v>3</v>
      </c>
      <c r="C17" s="31" t="s">
        <v>203</v>
      </c>
      <c r="D17" s="99" t="s">
        <v>117</v>
      </c>
      <c r="E17" s="43">
        <f>+'[5]II-E-4.2'!$E$18+'[5]II-E-4.2'!$E$23</f>
        <v>1052238.7899999996</v>
      </c>
      <c r="F17" s="43">
        <v>0</v>
      </c>
      <c r="G17" s="43">
        <f>+E17+F17</f>
        <v>1052238.7899999996</v>
      </c>
      <c r="H17" s="43">
        <f>-G17</f>
        <v>-1052238.7899999996</v>
      </c>
      <c r="I17" s="43">
        <f>+H17+G17</f>
        <v>0</v>
      </c>
      <c r="J17" s="153">
        <v>1</v>
      </c>
      <c r="K17" s="105">
        <f>+I17*J17</f>
        <v>0</v>
      </c>
      <c r="L17" s="43"/>
      <c r="M17" s="32"/>
      <c r="N17" s="43">
        <v>0</v>
      </c>
      <c r="O17" s="43">
        <v>0</v>
      </c>
      <c r="P17" s="43">
        <v>0</v>
      </c>
      <c r="Q17" s="43">
        <f t="shared" si="0"/>
        <v>0</v>
      </c>
      <c r="R17" s="43">
        <v>0</v>
      </c>
      <c r="S17" s="43">
        <v>0</v>
      </c>
      <c r="T17" s="43">
        <f t="shared" si="1"/>
        <v>0</v>
      </c>
      <c r="U17" s="43">
        <v>0</v>
      </c>
      <c r="V17" s="43">
        <v>0</v>
      </c>
      <c r="W17" s="46">
        <f t="shared" si="2"/>
        <v>0</v>
      </c>
      <c r="X17" s="31" t="b">
        <f>+W17=K17</f>
        <v>1</v>
      </c>
    </row>
    <row r="18" spans="1:24" s="31" customFormat="1">
      <c r="A18" s="32">
        <v>4</v>
      </c>
      <c r="C18" s="31" t="s">
        <v>50</v>
      </c>
      <c r="D18" s="99" t="s">
        <v>5</v>
      </c>
      <c r="E18" s="43">
        <f>-'[2]Total Summary'!$D$130</f>
        <v>265337.74</v>
      </c>
      <c r="F18" s="43">
        <v>0</v>
      </c>
      <c r="G18" s="43">
        <f>+E18+F18</f>
        <v>265337.74</v>
      </c>
      <c r="H18" s="43">
        <f>-G18</f>
        <v>-265337.74</v>
      </c>
      <c r="I18" s="43">
        <f>+H18+G18</f>
        <v>0</v>
      </c>
      <c r="J18" s="153">
        <v>1</v>
      </c>
      <c r="K18" s="105">
        <f>+I18*J18</f>
        <v>0</v>
      </c>
      <c r="L18" s="43"/>
      <c r="M18" s="32"/>
      <c r="N18" s="43">
        <v>0</v>
      </c>
      <c r="O18" s="43">
        <v>0</v>
      </c>
      <c r="P18" s="43">
        <v>0</v>
      </c>
      <c r="Q18" s="43">
        <f t="shared" si="0"/>
        <v>0</v>
      </c>
      <c r="R18" s="43">
        <v>0</v>
      </c>
      <c r="S18" s="43">
        <v>0</v>
      </c>
      <c r="T18" s="43">
        <f t="shared" si="1"/>
        <v>0</v>
      </c>
      <c r="U18" s="43">
        <v>0</v>
      </c>
      <c r="V18" s="43">
        <v>0</v>
      </c>
      <c r="W18" s="46">
        <f t="shared" si="2"/>
        <v>0</v>
      </c>
      <c r="X18" s="31" t="b">
        <f>+W18=K18</f>
        <v>1</v>
      </c>
    </row>
    <row r="19" spans="1:24" s="35" customFormat="1">
      <c r="A19" s="32">
        <v>5</v>
      </c>
      <c r="C19" s="55" t="s">
        <v>51</v>
      </c>
      <c r="D19" s="99" t="s">
        <v>5</v>
      </c>
      <c r="E19" s="43">
        <v>0</v>
      </c>
      <c r="F19" s="43">
        <v>0</v>
      </c>
      <c r="G19" s="43">
        <f>+E19+F19</f>
        <v>0</v>
      </c>
      <c r="H19" s="43">
        <f>-G19</f>
        <v>0</v>
      </c>
      <c r="I19" s="43">
        <f>+H19+G19</f>
        <v>0</v>
      </c>
      <c r="J19" s="153">
        <v>1</v>
      </c>
      <c r="K19" s="105">
        <f>+I19*J19</f>
        <v>0</v>
      </c>
      <c r="L19" s="41"/>
      <c r="M19" s="42"/>
      <c r="N19" s="43">
        <v>0</v>
      </c>
      <c r="O19" s="43">
        <v>0</v>
      </c>
      <c r="P19" s="43">
        <v>0</v>
      </c>
      <c r="Q19" s="43">
        <f t="shared" si="0"/>
        <v>0</v>
      </c>
      <c r="R19" s="43">
        <v>0</v>
      </c>
      <c r="S19" s="43">
        <v>0</v>
      </c>
      <c r="T19" s="43">
        <f t="shared" si="1"/>
        <v>0</v>
      </c>
      <c r="U19" s="43">
        <v>0</v>
      </c>
      <c r="V19" s="43">
        <v>0</v>
      </c>
      <c r="W19" s="43">
        <f t="shared" si="2"/>
        <v>0</v>
      </c>
      <c r="X19" s="31" t="b">
        <f>+W19=K19</f>
        <v>1</v>
      </c>
    </row>
    <row r="20" spans="1:24" s="31" customFormat="1" ht="13.5" customHeight="1">
      <c r="A20" s="32">
        <v>6</v>
      </c>
      <c r="D20" s="43"/>
      <c r="E20" s="133"/>
      <c r="F20" s="133"/>
      <c r="G20" s="133"/>
      <c r="H20" s="133"/>
      <c r="I20" s="133"/>
      <c r="J20" s="43"/>
      <c r="K20" s="133"/>
      <c r="L20" s="43"/>
      <c r="M20" s="32"/>
      <c r="N20" s="133"/>
      <c r="O20" s="133"/>
      <c r="P20" s="133"/>
      <c r="Q20" s="133"/>
      <c r="R20" s="133"/>
      <c r="S20" s="133"/>
      <c r="T20" s="133"/>
      <c r="U20" s="133"/>
      <c r="V20" s="133"/>
      <c r="W20" s="134"/>
    </row>
    <row r="21" spans="1:24" s="35" customFormat="1" ht="12.75" customHeight="1">
      <c r="A21" s="32">
        <v>7</v>
      </c>
      <c r="B21" s="52" t="s">
        <v>52</v>
      </c>
      <c r="D21" s="99" t="s">
        <v>5</v>
      </c>
      <c r="E21" s="182">
        <f>SUM(E15:E19)</f>
        <v>7767776.4399999995</v>
      </c>
      <c r="F21" s="182">
        <f>SUM(F15:F19)</f>
        <v>0</v>
      </c>
      <c r="G21" s="182">
        <f>SUM(G15:G19)</f>
        <v>7767776.4399999995</v>
      </c>
      <c r="H21" s="182">
        <f>SUM(H15:H19)</f>
        <v>-7767776.4399999995</v>
      </c>
      <c r="I21" s="182">
        <f>SUM(I15:I19)</f>
        <v>0</v>
      </c>
      <c r="J21" s="182"/>
      <c r="K21" s="182">
        <f>SUM(K15:K19)</f>
        <v>0</v>
      </c>
      <c r="L21" s="182"/>
      <c r="M21" s="182"/>
      <c r="N21" s="182">
        <f t="shared" ref="N21:W21" si="3">SUM(N15:N19)</f>
        <v>0</v>
      </c>
      <c r="O21" s="182">
        <f t="shared" si="3"/>
        <v>0</v>
      </c>
      <c r="P21" s="182">
        <f t="shared" si="3"/>
        <v>0</v>
      </c>
      <c r="Q21" s="182">
        <f t="shared" si="3"/>
        <v>0</v>
      </c>
      <c r="R21" s="182">
        <f t="shared" si="3"/>
        <v>0</v>
      </c>
      <c r="S21" s="182">
        <f t="shared" si="3"/>
        <v>0</v>
      </c>
      <c r="T21" s="182">
        <f t="shared" si="3"/>
        <v>0</v>
      </c>
      <c r="U21" s="182">
        <f t="shared" si="3"/>
        <v>0</v>
      </c>
      <c r="V21" s="182">
        <f t="shared" si="3"/>
        <v>0</v>
      </c>
      <c r="W21" s="182">
        <f t="shared" si="3"/>
        <v>0</v>
      </c>
      <c r="X21" s="31" t="b">
        <f>+W21=K21</f>
        <v>1</v>
      </c>
    </row>
    <row r="22" spans="1:24" s="31" customFormat="1" ht="12.75" customHeight="1">
      <c r="B22" s="100"/>
      <c r="D22" s="43"/>
      <c r="E22" s="43"/>
      <c r="F22" s="43"/>
      <c r="G22" s="43"/>
      <c r="H22" s="43"/>
      <c r="I22" s="43"/>
      <c r="J22" s="43"/>
      <c r="K22" s="32"/>
      <c r="L22" s="43"/>
      <c r="M22" s="36"/>
      <c r="N22" s="36"/>
      <c r="O22" s="43"/>
      <c r="P22" s="43"/>
      <c r="Q22" s="43"/>
      <c r="R22" s="43"/>
      <c r="S22" s="46"/>
      <c r="T22" s="46"/>
      <c r="U22" s="46"/>
      <c r="V22" s="46"/>
      <c r="W22" s="46"/>
    </row>
    <row r="23" spans="1:24" s="31" customFormat="1" ht="12.75" customHeight="1">
      <c r="B23" s="100"/>
      <c r="D23" s="43"/>
      <c r="E23" s="43"/>
      <c r="F23" s="43"/>
      <c r="G23" s="43"/>
      <c r="H23" s="43"/>
      <c r="I23" s="43"/>
      <c r="J23" s="43"/>
      <c r="K23" s="32"/>
      <c r="L23" s="43"/>
      <c r="M23" s="32"/>
      <c r="N23" s="32"/>
      <c r="O23" s="43"/>
      <c r="P23" s="43"/>
      <c r="Q23" s="43"/>
      <c r="R23" s="43"/>
      <c r="S23" s="43"/>
      <c r="T23" s="43"/>
      <c r="U23" s="43"/>
      <c r="V23" s="43"/>
    </row>
    <row r="24" spans="1:24" s="31" customFormat="1" ht="12.75" customHeight="1">
      <c r="C24" s="101"/>
      <c r="D24" s="43"/>
      <c r="E24" s="43"/>
      <c r="F24" s="43"/>
      <c r="G24" s="43"/>
      <c r="H24" s="43"/>
      <c r="I24" s="43"/>
      <c r="J24" s="43"/>
      <c r="K24" s="32"/>
      <c r="L24" s="43"/>
      <c r="M24" s="36"/>
      <c r="N24" s="36"/>
      <c r="O24" s="43"/>
      <c r="P24" s="43"/>
      <c r="Q24" s="43"/>
      <c r="R24" s="43"/>
      <c r="S24" s="46"/>
      <c r="T24" s="46"/>
      <c r="U24" s="46"/>
      <c r="V24" s="46"/>
      <c r="W24" s="46"/>
    </row>
    <row r="26" spans="1:24" s="31" customFormat="1" ht="12.75" customHeight="1">
      <c r="C26" s="101"/>
      <c r="D26" s="43"/>
      <c r="E26" s="43"/>
      <c r="F26" s="43"/>
      <c r="G26" s="43"/>
      <c r="H26" s="43"/>
      <c r="I26" s="43"/>
      <c r="J26" s="43"/>
      <c r="K26" s="32"/>
      <c r="L26" s="43"/>
      <c r="M26" s="32"/>
      <c r="N26" s="32"/>
      <c r="O26" s="43"/>
      <c r="P26" s="43"/>
      <c r="Q26" s="43"/>
      <c r="R26" s="43"/>
      <c r="S26" s="46"/>
      <c r="T26" s="46"/>
      <c r="U26" s="46"/>
      <c r="V26" s="46"/>
      <c r="W26" s="46"/>
    </row>
    <row r="27" spans="1:24" s="31" customFormat="1" ht="12.75" customHeight="1">
      <c r="C27" s="101"/>
      <c r="D27" s="43"/>
      <c r="E27" s="43"/>
      <c r="F27" s="43"/>
      <c r="G27" s="43"/>
      <c r="H27" s="43"/>
      <c r="I27" s="43"/>
      <c r="J27" s="43"/>
      <c r="K27" s="32"/>
      <c r="L27" s="43"/>
      <c r="M27" s="32"/>
      <c r="N27" s="32"/>
      <c r="O27" s="43"/>
      <c r="P27" s="43"/>
      <c r="Q27" s="43"/>
      <c r="R27" s="43"/>
      <c r="S27" s="46"/>
      <c r="T27" s="46"/>
      <c r="U27" s="46"/>
      <c r="V27" s="46"/>
      <c r="W27" s="46"/>
    </row>
    <row r="28" spans="1:24" s="31" customFormat="1" ht="12.75" customHeight="1">
      <c r="C28" s="101"/>
      <c r="D28" s="43"/>
      <c r="E28" s="43"/>
      <c r="F28" s="43"/>
      <c r="G28" s="43"/>
      <c r="H28" s="43"/>
      <c r="I28" s="43"/>
      <c r="J28" s="43"/>
      <c r="K28" s="32"/>
      <c r="L28" s="43"/>
      <c r="M28" s="36"/>
      <c r="N28" s="36"/>
      <c r="O28" s="43"/>
      <c r="P28" s="43"/>
      <c r="Q28" s="43"/>
      <c r="R28" s="43"/>
      <c r="S28" s="46"/>
      <c r="T28" s="46"/>
      <c r="U28" s="46"/>
      <c r="V28" s="46"/>
      <c r="W28" s="46"/>
    </row>
    <row r="29" spans="1:24" s="35" customFormat="1" ht="12.75" customHeight="1">
      <c r="C29" s="44"/>
      <c r="D29" s="41"/>
      <c r="E29" s="41"/>
      <c r="F29" s="41"/>
      <c r="G29" s="41"/>
      <c r="H29" s="41"/>
      <c r="I29" s="41"/>
      <c r="J29" s="41"/>
      <c r="K29" s="42"/>
      <c r="L29" s="41"/>
      <c r="M29" s="102"/>
      <c r="N29" s="102"/>
      <c r="O29" s="41"/>
      <c r="P29" s="41"/>
      <c r="Q29" s="41"/>
      <c r="R29" s="41"/>
      <c r="S29" s="41"/>
      <c r="T29" s="41"/>
      <c r="U29" s="41"/>
      <c r="V29" s="41"/>
      <c r="W29" s="41"/>
    </row>
    <row r="30" spans="1:24" s="31" customFormat="1" ht="12.75" customHeight="1">
      <c r="C30" s="101"/>
      <c r="D30" s="43"/>
      <c r="E30" s="43"/>
      <c r="F30" s="43"/>
      <c r="G30" s="43"/>
      <c r="H30" s="43"/>
      <c r="I30" s="43"/>
      <c r="J30" s="43"/>
      <c r="K30" s="32"/>
      <c r="L30" s="43"/>
      <c r="M30" s="36"/>
      <c r="N30" s="36"/>
      <c r="O30" s="43"/>
      <c r="P30" s="43"/>
      <c r="Q30" s="43"/>
      <c r="R30" s="43"/>
      <c r="S30" s="46"/>
      <c r="T30" s="46"/>
      <c r="U30" s="46"/>
      <c r="V30" s="46"/>
      <c r="W30" s="46"/>
    </row>
    <row r="31" spans="1:24" s="31" customFormat="1" ht="12.75" customHeight="1">
      <c r="C31" s="45"/>
      <c r="D31" s="43"/>
      <c r="E31" s="43"/>
      <c r="F31" s="43"/>
      <c r="G31" s="43"/>
      <c r="H31" s="43"/>
      <c r="I31" s="43"/>
      <c r="J31" s="43"/>
      <c r="K31" s="32"/>
      <c r="L31" s="43"/>
      <c r="M31" s="32"/>
      <c r="N31" s="32"/>
      <c r="O31" s="43"/>
      <c r="P31" s="43"/>
      <c r="Q31" s="43"/>
      <c r="R31" s="43"/>
      <c r="S31" s="46"/>
      <c r="T31" s="46"/>
      <c r="U31" s="46"/>
      <c r="V31" s="46"/>
      <c r="W31" s="46"/>
    </row>
    <row r="32" spans="1:24" s="31" customFormat="1" ht="12.75" customHeight="1">
      <c r="C32" s="45"/>
      <c r="D32" s="43"/>
      <c r="E32" s="43"/>
      <c r="F32" s="43"/>
      <c r="G32" s="43"/>
      <c r="H32" s="43"/>
      <c r="I32" s="43"/>
      <c r="J32" s="43"/>
      <c r="K32" s="32"/>
      <c r="L32" s="43"/>
      <c r="M32" s="32"/>
      <c r="N32" s="32"/>
      <c r="O32" s="43"/>
      <c r="P32" s="43"/>
      <c r="Q32" s="43"/>
      <c r="R32" s="43"/>
      <c r="S32" s="46"/>
      <c r="T32" s="46"/>
      <c r="U32" s="46"/>
      <c r="V32" s="46"/>
      <c r="W32" s="46"/>
    </row>
    <row r="33" spans="2:23" s="31" customFormat="1" ht="12.75" customHeight="1">
      <c r="D33" s="43"/>
      <c r="E33" s="43"/>
      <c r="F33" s="43"/>
      <c r="G33" s="43"/>
      <c r="H33" s="43"/>
      <c r="I33" s="43"/>
      <c r="J33" s="43"/>
      <c r="K33" s="32"/>
      <c r="L33" s="43"/>
      <c r="M33" s="32"/>
      <c r="N33" s="32"/>
      <c r="O33" s="43"/>
      <c r="P33" s="43"/>
      <c r="Q33" s="43"/>
      <c r="R33" s="43"/>
      <c r="S33" s="46"/>
      <c r="T33" s="46"/>
      <c r="U33" s="46"/>
      <c r="V33" s="46"/>
      <c r="W33" s="46"/>
    </row>
    <row r="34" spans="2:23" s="35" customFormat="1" ht="12.75" customHeight="1">
      <c r="C34" s="44"/>
      <c r="D34" s="41"/>
      <c r="E34" s="41"/>
      <c r="F34" s="41"/>
      <c r="G34" s="41"/>
      <c r="H34" s="41"/>
      <c r="I34" s="41"/>
      <c r="J34" s="41"/>
      <c r="K34" s="42"/>
      <c r="L34" s="41"/>
      <c r="M34" s="42"/>
      <c r="N34" s="42"/>
      <c r="O34" s="41"/>
      <c r="P34" s="41"/>
      <c r="Q34" s="41"/>
      <c r="R34" s="41"/>
      <c r="S34" s="41"/>
      <c r="T34" s="41"/>
      <c r="U34" s="41"/>
      <c r="V34" s="41"/>
      <c r="W34" s="41"/>
    </row>
    <row r="35" spans="2:23" s="31" customFormat="1" ht="12.75" customHeight="1">
      <c r="C35" s="44"/>
      <c r="D35" s="43"/>
      <c r="E35" s="43"/>
      <c r="F35" s="43"/>
      <c r="G35" s="43"/>
      <c r="H35" s="43"/>
      <c r="I35" s="43"/>
      <c r="J35" s="43"/>
      <c r="K35" s="32"/>
      <c r="L35" s="43"/>
      <c r="M35" s="32"/>
      <c r="N35" s="32"/>
      <c r="O35" s="43"/>
      <c r="P35" s="43"/>
      <c r="Q35" s="43"/>
      <c r="R35" s="43"/>
      <c r="S35" s="43"/>
      <c r="T35" s="43"/>
      <c r="U35" s="43"/>
      <c r="V35" s="43"/>
      <c r="W35" s="43"/>
    </row>
    <row r="36" spans="2:23" s="31" customFormat="1" ht="12.75" customHeight="1">
      <c r="C36" s="44"/>
      <c r="D36" s="43"/>
      <c r="E36" s="43"/>
      <c r="F36" s="43"/>
      <c r="G36" s="43"/>
      <c r="H36" s="43"/>
      <c r="I36" s="43"/>
      <c r="J36" s="43"/>
      <c r="K36" s="32"/>
      <c r="L36" s="43"/>
      <c r="M36" s="32"/>
      <c r="N36" s="32"/>
      <c r="O36" s="43"/>
      <c r="P36" s="43"/>
      <c r="Q36" s="43"/>
      <c r="R36" s="43"/>
      <c r="S36" s="43"/>
      <c r="T36" s="43"/>
      <c r="U36" s="43"/>
      <c r="V36" s="43"/>
      <c r="W36" s="43"/>
    </row>
    <row r="37" spans="2:23" s="31" customFormat="1" ht="12.75" customHeight="1">
      <c r="D37" s="43"/>
      <c r="E37" s="43"/>
      <c r="F37" s="43"/>
      <c r="G37" s="43"/>
      <c r="H37" s="43"/>
      <c r="I37" s="43"/>
      <c r="J37" s="43"/>
      <c r="K37" s="32"/>
      <c r="L37" s="43"/>
      <c r="M37" s="32"/>
      <c r="N37" s="32"/>
      <c r="O37" s="43"/>
      <c r="P37" s="43"/>
      <c r="Q37" s="43"/>
      <c r="R37" s="43"/>
      <c r="S37" s="43"/>
      <c r="T37" s="43"/>
      <c r="U37" s="43"/>
      <c r="V37" s="43"/>
    </row>
    <row r="38" spans="2:23" s="35" customFormat="1" ht="12.75" customHeight="1">
      <c r="B38" s="47"/>
      <c r="D38" s="41"/>
      <c r="E38" s="41"/>
      <c r="F38" s="41"/>
      <c r="G38" s="41"/>
      <c r="H38" s="41"/>
      <c r="I38" s="41"/>
      <c r="J38" s="41"/>
      <c r="K38" s="42"/>
      <c r="L38" s="41"/>
      <c r="M38" s="42"/>
      <c r="N38" s="42"/>
      <c r="O38" s="41"/>
      <c r="P38" s="41"/>
      <c r="Q38" s="41"/>
      <c r="R38" s="41"/>
      <c r="S38" s="41"/>
      <c r="T38" s="41"/>
      <c r="U38" s="41"/>
      <c r="V38" s="41"/>
    </row>
    <row r="39" spans="2:23" s="31" customFormat="1" ht="12.75" customHeight="1">
      <c r="E39" s="43"/>
      <c r="F39" s="43"/>
      <c r="G39" s="43"/>
      <c r="H39" s="43"/>
      <c r="I39" s="43"/>
      <c r="J39" s="43"/>
      <c r="K39" s="32"/>
      <c r="L39" s="43"/>
      <c r="M39" s="32"/>
      <c r="N39" s="32"/>
      <c r="O39" s="43"/>
      <c r="P39" s="43"/>
      <c r="Q39" s="43"/>
      <c r="R39" s="43"/>
      <c r="S39" s="46"/>
      <c r="T39" s="46"/>
      <c r="U39" s="46"/>
      <c r="V39" s="46"/>
      <c r="W39" s="46"/>
    </row>
    <row r="40" spans="2:23" s="31" customFormat="1" ht="12.75" customHeight="1">
      <c r="D40" s="43"/>
      <c r="E40" s="43"/>
      <c r="F40" s="43"/>
      <c r="G40" s="43"/>
      <c r="H40" s="43"/>
      <c r="I40" s="43"/>
      <c r="J40" s="43"/>
      <c r="K40" s="32"/>
      <c r="L40" s="43"/>
      <c r="M40" s="32"/>
      <c r="N40" s="32"/>
      <c r="O40" s="43"/>
      <c r="P40" s="43"/>
      <c r="Q40" s="43"/>
      <c r="R40" s="43"/>
      <c r="S40" s="43"/>
      <c r="T40" s="43"/>
      <c r="U40" s="43"/>
      <c r="V40" s="43"/>
    </row>
    <row r="41" spans="2:23" s="31" customFormat="1" ht="12.75" customHeight="1">
      <c r="D41" s="41"/>
      <c r="E41" s="43"/>
      <c r="F41" s="43"/>
      <c r="G41" s="43"/>
      <c r="H41" s="43"/>
      <c r="I41" s="43"/>
      <c r="J41" s="43"/>
      <c r="K41" s="32"/>
      <c r="L41" s="43"/>
      <c r="M41" s="32"/>
      <c r="N41" s="32"/>
      <c r="O41" s="43"/>
      <c r="P41" s="43"/>
      <c r="Q41" s="43"/>
      <c r="R41" s="43"/>
      <c r="S41" s="13"/>
      <c r="T41" s="13"/>
      <c r="U41" s="13"/>
      <c r="V41" s="13"/>
      <c r="W41" s="13"/>
    </row>
    <row r="42" spans="2:23" s="31" customFormat="1" ht="12.75" customHeight="1">
      <c r="D42" s="43"/>
      <c r="E42" s="43"/>
      <c r="F42" s="43"/>
      <c r="G42" s="43"/>
      <c r="H42" s="43"/>
      <c r="I42" s="43"/>
      <c r="J42" s="43"/>
      <c r="K42" s="32"/>
      <c r="L42" s="43"/>
      <c r="M42" s="32"/>
      <c r="N42" s="32"/>
      <c r="O42" s="43"/>
      <c r="P42" s="43"/>
      <c r="Q42" s="43"/>
      <c r="R42" s="43"/>
      <c r="S42" s="13"/>
      <c r="T42" s="13"/>
      <c r="U42" s="13"/>
      <c r="V42" s="13"/>
      <c r="W42" s="13"/>
    </row>
    <row r="43" spans="2:23" s="35" customFormat="1" ht="12.75" customHeight="1">
      <c r="C43" s="44"/>
      <c r="D43" s="41"/>
      <c r="E43" s="41"/>
      <c r="F43" s="41"/>
      <c r="G43" s="41"/>
      <c r="H43" s="41"/>
      <c r="I43" s="41"/>
      <c r="J43" s="41"/>
      <c r="K43" s="42"/>
      <c r="L43" s="41"/>
      <c r="M43" s="42"/>
      <c r="N43" s="42"/>
      <c r="O43" s="41"/>
      <c r="P43" s="41"/>
      <c r="Q43" s="41"/>
      <c r="R43" s="41"/>
      <c r="S43" s="41"/>
      <c r="T43" s="41"/>
      <c r="U43" s="41"/>
      <c r="V43" s="41"/>
      <c r="W43" s="41"/>
    </row>
    <row r="44" spans="2:23" s="31" customFormat="1" ht="12.75" customHeight="1">
      <c r="D44" s="43"/>
      <c r="E44" s="43"/>
      <c r="F44" s="43"/>
      <c r="G44" s="43"/>
      <c r="H44" s="43"/>
      <c r="I44" s="43"/>
      <c r="J44" s="43"/>
      <c r="K44" s="32"/>
      <c r="L44" s="43"/>
      <c r="M44" s="32"/>
      <c r="N44" s="32"/>
      <c r="O44" s="43"/>
      <c r="P44" s="43"/>
      <c r="Q44" s="43"/>
      <c r="R44" s="43"/>
      <c r="S44" s="43"/>
      <c r="T44" s="43"/>
      <c r="U44" s="43"/>
      <c r="V44" s="43"/>
    </row>
    <row r="45" spans="2:23" s="35" customFormat="1" ht="12.75" customHeight="1">
      <c r="C45" s="47"/>
      <c r="D45" s="41"/>
      <c r="E45" s="41"/>
      <c r="F45" s="48"/>
      <c r="G45" s="41"/>
      <c r="H45" s="41"/>
      <c r="I45" s="41"/>
      <c r="J45" s="41"/>
      <c r="K45" s="42"/>
      <c r="L45" s="41"/>
      <c r="M45" s="49"/>
      <c r="N45" s="49"/>
      <c r="O45" s="41"/>
      <c r="P45" s="41"/>
      <c r="Q45" s="41"/>
      <c r="R45" s="41"/>
      <c r="S45" s="41"/>
      <c r="T45" s="41"/>
      <c r="U45" s="41"/>
      <c r="V45" s="41"/>
    </row>
    <row r="46" spans="2:23" s="31" customFormat="1" ht="12.75" customHeight="1">
      <c r="D46" s="50"/>
      <c r="E46" s="43"/>
      <c r="F46" s="43"/>
      <c r="G46" s="43"/>
      <c r="H46" s="43"/>
      <c r="I46" s="43"/>
      <c r="J46" s="43"/>
      <c r="K46" s="32"/>
      <c r="L46" s="43"/>
      <c r="M46" s="32"/>
      <c r="N46" s="32"/>
      <c r="O46" s="43"/>
      <c r="P46" s="43"/>
      <c r="Q46" s="43"/>
      <c r="R46" s="43"/>
      <c r="S46" s="46"/>
      <c r="T46" s="46"/>
      <c r="U46" s="46"/>
      <c r="V46" s="46"/>
      <c r="W46" s="46"/>
    </row>
    <row r="47" spans="2:23" s="31" customFormat="1" ht="12.75" customHeight="1">
      <c r="D47" s="50"/>
      <c r="E47" s="43"/>
      <c r="F47" s="43"/>
      <c r="G47" s="43"/>
      <c r="H47" s="43"/>
      <c r="I47" s="43"/>
      <c r="J47" s="43"/>
      <c r="K47" s="32"/>
      <c r="L47" s="43"/>
      <c r="M47" s="32"/>
      <c r="N47" s="32"/>
      <c r="O47" s="43"/>
      <c r="P47" s="43"/>
      <c r="Q47" s="43"/>
      <c r="R47" s="43"/>
      <c r="S47" s="46"/>
      <c r="T47" s="46"/>
      <c r="U47" s="46"/>
      <c r="V47" s="46"/>
      <c r="W47" s="46"/>
    </row>
    <row r="48" spans="2:23" s="31" customFormat="1" ht="12.75" customHeight="1">
      <c r="D48" s="50"/>
      <c r="E48" s="43"/>
      <c r="F48" s="43"/>
      <c r="G48" s="43"/>
      <c r="H48" s="43"/>
      <c r="I48" s="43"/>
      <c r="J48" s="43"/>
      <c r="K48" s="32"/>
      <c r="L48" s="43"/>
      <c r="M48" s="32"/>
      <c r="N48" s="32"/>
      <c r="O48" s="43"/>
      <c r="P48" s="43"/>
      <c r="Q48" s="43"/>
      <c r="R48" s="43"/>
      <c r="S48" s="46"/>
      <c r="T48" s="46"/>
      <c r="U48" s="46"/>
      <c r="V48" s="46"/>
      <c r="W48" s="46"/>
    </row>
    <row r="49" spans="2:24" s="31" customFormat="1" ht="12.75" customHeight="1">
      <c r="D49" s="50"/>
      <c r="E49" s="43"/>
      <c r="F49" s="43"/>
      <c r="G49" s="43"/>
      <c r="H49" s="43"/>
      <c r="I49" s="43"/>
      <c r="J49" s="43"/>
      <c r="K49" s="32"/>
      <c r="L49" s="43"/>
      <c r="M49" s="32"/>
      <c r="N49" s="32"/>
      <c r="O49" s="43"/>
      <c r="P49" s="43"/>
      <c r="Q49" s="43"/>
      <c r="R49" s="43"/>
      <c r="S49" s="46"/>
      <c r="T49" s="46"/>
      <c r="U49" s="46"/>
      <c r="V49" s="46"/>
      <c r="W49" s="46"/>
    </row>
    <row r="50" spans="2:24" s="31" customFormat="1" ht="12.75" customHeight="1">
      <c r="D50" s="50"/>
      <c r="E50" s="43"/>
      <c r="F50" s="43"/>
      <c r="G50" s="43"/>
      <c r="H50" s="43"/>
      <c r="I50" s="43"/>
      <c r="J50" s="43"/>
      <c r="K50" s="32"/>
      <c r="L50" s="43"/>
      <c r="M50" s="32"/>
      <c r="N50" s="32"/>
      <c r="O50" s="43"/>
      <c r="P50" s="43"/>
      <c r="Q50" s="43"/>
      <c r="R50" s="43"/>
      <c r="S50" s="46"/>
      <c r="T50" s="46"/>
      <c r="U50" s="46"/>
      <c r="V50" s="46"/>
      <c r="W50" s="46"/>
    </row>
    <row r="51" spans="2:24" s="31" customFormat="1" ht="12.75" customHeight="1">
      <c r="D51" s="50"/>
      <c r="E51" s="43"/>
      <c r="F51" s="43"/>
      <c r="G51" s="43"/>
      <c r="H51" s="43"/>
      <c r="I51" s="43"/>
      <c r="J51" s="43"/>
      <c r="K51" s="32"/>
      <c r="L51" s="43"/>
      <c r="M51" s="32"/>
      <c r="N51" s="32"/>
      <c r="O51" s="43"/>
      <c r="P51" s="43"/>
      <c r="Q51" s="43"/>
      <c r="R51" s="43"/>
      <c r="S51" s="46"/>
      <c r="T51" s="46"/>
      <c r="U51" s="46"/>
      <c r="V51" s="46"/>
      <c r="W51" s="46"/>
    </row>
    <row r="52" spans="2:24" s="31" customFormat="1" ht="12.75" customHeight="1">
      <c r="D52" s="50"/>
      <c r="E52" s="43"/>
      <c r="F52" s="43"/>
      <c r="G52" s="43"/>
      <c r="H52" s="43"/>
      <c r="I52" s="43"/>
      <c r="J52" s="43"/>
      <c r="K52" s="32"/>
      <c r="L52" s="43"/>
      <c r="M52" s="32"/>
      <c r="N52" s="32"/>
      <c r="O52" s="43"/>
      <c r="P52" s="43"/>
      <c r="Q52" s="43"/>
      <c r="R52" s="43"/>
      <c r="S52" s="13"/>
      <c r="T52" s="13"/>
      <c r="U52" s="13"/>
      <c r="V52" s="13"/>
      <c r="W52" s="13"/>
    </row>
    <row r="53" spans="2:24" s="31" customFormat="1" ht="12.75" customHeight="1">
      <c r="D53" s="50"/>
      <c r="E53" s="43"/>
      <c r="F53" s="43"/>
      <c r="G53" s="43"/>
      <c r="H53" s="43"/>
      <c r="I53" s="43"/>
      <c r="J53" s="43"/>
      <c r="K53" s="32"/>
      <c r="L53" s="43"/>
      <c r="M53" s="32"/>
      <c r="N53" s="32"/>
      <c r="O53" s="43"/>
      <c r="P53" s="43"/>
      <c r="Q53" s="43"/>
      <c r="R53" s="43"/>
      <c r="S53" s="46"/>
      <c r="T53" s="46"/>
      <c r="U53" s="46"/>
      <c r="V53" s="46"/>
      <c r="W53" s="46"/>
    </row>
    <row r="54" spans="2:24" s="31" customFormat="1" ht="12.75" customHeight="1">
      <c r="D54" s="50"/>
      <c r="E54" s="43"/>
      <c r="F54" s="43"/>
      <c r="G54" s="43"/>
      <c r="H54" s="43"/>
      <c r="I54" s="43"/>
      <c r="J54" s="43"/>
      <c r="K54" s="32"/>
      <c r="L54" s="43"/>
      <c r="M54" s="32"/>
      <c r="N54" s="32"/>
      <c r="O54" s="43"/>
      <c r="P54" s="43"/>
      <c r="Q54" s="43"/>
      <c r="R54" s="43"/>
      <c r="S54" s="46"/>
      <c r="T54" s="46"/>
      <c r="U54" s="46"/>
      <c r="V54" s="46"/>
      <c r="W54" s="46"/>
    </row>
    <row r="55" spans="2:24" s="31" customFormat="1" ht="12.75" customHeight="1">
      <c r="D55" s="50"/>
      <c r="E55" s="43"/>
      <c r="F55" s="43"/>
      <c r="G55" s="43"/>
      <c r="H55" s="43"/>
      <c r="I55" s="43"/>
      <c r="J55" s="43"/>
      <c r="K55" s="32"/>
      <c r="L55" s="43"/>
      <c r="M55" s="32"/>
      <c r="N55" s="32"/>
      <c r="O55" s="43"/>
      <c r="P55" s="43"/>
      <c r="Q55" s="43"/>
      <c r="R55" s="43"/>
      <c r="S55" s="46"/>
      <c r="T55" s="46"/>
      <c r="U55" s="46"/>
      <c r="V55" s="46"/>
      <c r="W55" s="46"/>
    </row>
    <row r="56" spans="2:24" s="35" customFormat="1" ht="12.75" customHeight="1">
      <c r="C56" s="44"/>
      <c r="D56" s="48"/>
      <c r="E56" s="41"/>
      <c r="F56" s="41"/>
      <c r="G56" s="41"/>
      <c r="H56" s="41"/>
      <c r="I56" s="41"/>
      <c r="J56" s="41"/>
      <c r="K56" s="49"/>
      <c r="L56" s="41"/>
      <c r="M56" s="42"/>
      <c r="N56" s="42"/>
      <c r="O56" s="41"/>
      <c r="P56" s="41"/>
      <c r="Q56" s="41"/>
      <c r="R56" s="41"/>
      <c r="S56" s="41"/>
      <c r="T56" s="41"/>
      <c r="U56" s="41"/>
      <c r="V56" s="41"/>
      <c r="W56" s="41"/>
      <c r="X56" s="31"/>
    </row>
    <row r="57" spans="2:24" s="31" customFormat="1" ht="12.75" customHeight="1">
      <c r="C57" s="45"/>
      <c r="D57" s="50"/>
      <c r="E57" s="43"/>
      <c r="F57" s="43"/>
      <c r="G57" s="43"/>
      <c r="H57" s="43"/>
      <c r="I57" s="43"/>
      <c r="J57" s="43"/>
      <c r="K57" s="51"/>
      <c r="L57" s="43"/>
      <c r="M57" s="32"/>
      <c r="N57" s="32"/>
      <c r="O57" s="43"/>
      <c r="P57" s="43"/>
      <c r="Q57" s="43"/>
      <c r="R57" s="43"/>
      <c r="S57" s="43"/>
      <c r="T57" s="43"/>
      <c r="U57" s="43"/>
      <c r="V57" s="43"/>
    </row>
    <row r="58" spans="2:24" s="35" customFormat="1" ht="12.75" customHeight="1">
      <c r="B58" s="52"/>
      <c r="D58" s="48"/>
      <c r="E58" s="41"/>
      <c r="F58" s="41"/>
      <c r="G58" s="41"/>
      <c r="H58" s="41"/>
      <c r="I58" s="41"/>
      <c r="J58" s="41"/>
      <c r="K58" s="49"/>
      <c r="L58" s="41"/>
      <c r="M58" s="42"/>
      <c r="N58" s="42"/>
      <c r="O58" s="41"/>
      <c r="P58" s="41"/>
      <c r="Q58" s="41"/>
      <c r="R58" s="41"/>
      <c r="S58" s="41"/>
      <c r="T58" s="41"/>
      <c r="U58" s="41"/>
      <c r="V58" s="41"/>
      <c r="W58" s="41"/>
      <c r="X58" s="31"/>
    </row>
    <row r="59" spans="2:24" s="31" customFormat="1" ht="12.75" customHeight="1">
      <c r="C59" s="44"/>
      <c r="D59" s="50"/>
      <c r="E59" s="43"/>
      <c r="F59" s="43"/>
      <c r="G59" s="43"/>
      <c r="H59" s="43"/>
      <c r="I59" s="43"/>
      <c r="J59" s="43"/>
      <c r="K59" s="51"/>
      <c r="L59" s="43"/>
      <c r="M59" s="42"/>
      <c r="N59" s="42"/>
      <c r="O59" s="43"/>
      <c r="P59" s="43"/>
      <c r="Q59" s="43"/>
      <c r="R59" s="43"/>
      <c r="S59" s="43"/>
      <c r="T59" s="43"/>
      <c r="U59" s="43"/>
      <c r="V59" s="43"/>
      <c r="W59" s="43"/>
    </row>
    <row r="60" spans="2:24" s="35" customFormat="1" ht="12.75" customHeight="1">
      <c r="C60" s="44"/>
      <c r="D60" s="41"/>
      <c r="E60" s="41"/>
      <c r="F60" s="41"/>
      <c r="G60" s="41"/>
      <c r="H60" s="41"/>
      <c r="I60" s="41"/>
      <c r="J60" s="41"/>
      <c r="K60" s="49"/>
      <c r="L60" s="41"/>
      <c r="M60" s="42"/>
      <c r="N60" s="42"/>
      <c r="O60" s="41"/>
      <c r="P60" s="41"/>
      <c r="Q60" s="41"/>
      <c r="R60" s="41"/>
      <c r="S60" s="41"/>
      <c r="T60" s="41"/>
      <c r="U60" s="41"/>
      <c r="V60" s="41"/>
      <c r="W60" s="41"/>
    </row>
    <row r="61" spans="2:24" s="35" customFormat="1" ht="12.75" customHeight="1">
      <c r="C61" s="44"/>
      <c r="D61" s="48"/>
      <c r="E61" s="41"/>
      <c r="F61" s="41"/>
      <c r="G61" s="41"/>
      <c r="H61" s="41"/>
      <c r="I61" s="41"/>
      <c r="J61" s="41"/>
      <c r="K61" s="49"/>
      <c r="L61" s="41"/>
      <c r="M61" s="42"/>
      <c r="N61" s="42"/>
      <c r="O61" s="41"/>
      <c r="P61" s="41"/>
      <c r="Q61" s="41"/>
      <c r="R61" s="41"/>
      <c r="S61" s="41"/>
      <c r="T61" s="41"/>
      <c r="U61" s="41"/>
      <c r="V61" s="41"/>
    </row>
    <row r="62" spans="2:24" s="35" customFormat="1" ht="12.75" customHeight="1">
      <c r="C62" s="44"/>
      <c r="D62" s="41"/>
      <c r="E62" s="41"/>
      <c r="F62" s="41"/>
      <c r="G62" s="41"/>
      <c r="H62" s="41"/>
      <c r="I62" s="41"/>
      <c r="J62" s="41"/>
      <c r="K62" s="49"/>
      <c r="L62" s="41"/>
      <c r="M62" s="42"/>
      <c r="N62" s="42"/>
      <c r="O62" s="41"/>
      <c r="P62" s="41"/>
      <c r="Q62" s="41"/>
      <c r="R62" s="41"/>
      <c r="S62" s="53"/>
      <c r="T62" s="53"/>
      <c r="U62" s="53"/>
      <c r="V62" s="53"/>
      <c r="W62" s="53"/>
    </row>
    <row r="63" spans="2:24" s="35" customFormat="1" ht="12.75" customHeight="1">
      <c r="C63" s="44"/>
      <c r="D63" s="48"/>
      <c r="E63" s="41"/>
      <c r="F63" s="41"/>
      <c r="G63" s="41"/>
      <c r="H63" s="41"/>
      <c r="I63" s="41"/>
      <c r="J63" s="41"/>
      <c r="K63" s="49"/>
      <c r="L63" s="41"/>
      <c r="M63" s="42"/>
      <c r="N63" s="42"/>
      <c r="O63" s="41"/>
      <c r="P63" s="41"/>
      <c r="Q63" s="41"/>
      <c r="R63" s="41"/>
      <c r="S63" s="41"/>
      <c r="T63" s="41"/>
      <c r="U63" s="41"/>
      <c r="V63" s="41"/>
    </row>
    <row r="64" spans="2:24" s="35" customFormat="1" ht="12.75" customHeight="1">
      <c r="B64" s="40"/>
      <c r="C64" s="44"/>
      <c r="D64" s="48"/>
      <c r="E64" s="41"/>
      <c r="F64" s="41"/>
      <c r="G64" s="41"/>
      <c r="H64" s="41"/>
      <c r="I64" s="41"/>
      <c r="J64" s="41"/>
      <c r="K64" s="49"/>
      <c r="L64" s="41"/>
      <c r="M64" s="42"/>
      <c r="N64" s="42"/>
      <c r="O64" s="41"/>
      <c r="P64" s="41"/>
      <c r="Q64" s="41"/>
      <c r="R64" s="41"/>
      <c r="S64" s="41"/>
      <c r="T64" s="41"/>
      <c r="U64" s="41"/>
      <c r="V64" s="41"/>
      <c r="W64" s="41"/>
    </row>
    <row r="65" spans="3:23" s="31" customFormat="1" ht="12.75" customHeight="1">
      <c r="C65" s="44"/>
      <c r="D65" s="50"/>
      <c r="E65" s="43"/>
      <c r="F65" s="43"/>
      <c r="G65" s="43"/>
      <c r="H65" s="43"/>
      <c r="I65" s="43"/>
      <c r="J65" s="43"/>
      <c r="K65" s="51"/>
      <c r="L65" s="43"/>
      <c r="M65" s="42"/>
      <c r="N65" s="42"/>
      <c r="O65" s="43"/>
      <c r="P65" s="43"/>
      <c r="Q65" s="43"/>
      <c r="R65" s="43"/>
      <c r="S65" s="43"/>
      <c r="T65" s="43"/>
      <c r="U65" s="43"/>
      <c r="V65" s="43"/>
    </row>
    <row r="66" spans="3:23" s="31" customFormat="1" ht="12.75" customHeight="1">
      <c r="C66" s="44"/>
      <c r="D66" s="50"/>
      <c r="E66" s="43"/>
      <c r="F66" s="43"/>
      <c r="G66" s="43"/>
      <c r="H66" s="43"/>
      <c r="I66" s="43"/>
      <c r="J66" s="43"/>
      <c r="K66" s="32"/>
      <c r="L66" s="43"/>
      <c r="M66" s="32"/>
      <c r="N66" s="32"/>
      <c r="O66" s="43"/>
      <c r="P66" s="43"/>
      <c r="Q66" s="43"/>
      <c r="R66" s="43"/>
      <c r="S66" s="46"/>
      <c r="T66" s="46"/>
      <c r="U66" s="46"/>
      <c r="V66" s="46"/>
      <c r="W66" s="46"/>
    </row>
    <row r="67" spans="3:23" s="31" customFormat="1" ht="12.75" customHeight="1">
      <c r="C67" s="44"/>
      <c r="D67" s="50"/>
      <c r="E67" s="43"/>
      <c r="F67" s="43"/>
      <c r="G67" s="43"/>
      <c r="H67" s="43"/>
      <c r="I67" s="43"/>
      <c r="J67" s="43"/>
      <c r="K67" s="32"/>
      <c r="L67" s="43"/>
      <c r="M67" s="32"/>
      <c r="N67" s="32"/>
      <c r="O67" s="43"/>
      <c r="P67" s="43"/>
      <c r="Q67" s="43"/>
      <c r="R67" s="43"/>
      <c r="S67" s="46"/>
      <c r="T67" s="46"/>
      <c r="U67" s="46"/>
      <c r="V67" s="46"/>
      <c r="W67" s="46"/>
    </row>
    <row r="68" spans="3:23" s="31" customFormat="1" ht="12.75" customHeight="1">
      <c r="C68" s="44"/>
      <c r="D68" s="50"/>
      <c r="E68" s="43"/>
      <c r="F68" s="43"/>
      <c r="G68" s="43"/>
      <c r="H68" s="43"/>
      <c r="I68" s="43"/>
      <c r="J68" s="43"/>
      <c r="K68" s="51"/>
      <c r="L68" s="43"/>
      <c r="M68" s="42"/>
      <c r="N68" s="42"/>
      <c r="O68" s="43"/>
      <c r="P68" s="43"/>
      <c r="Q68" s="43"/>
      <c r="R68" s="43"/>
      <c r="S68" s="43"/>
      <c r="T68" s="43"/>
      <c r="U68" s="43"/>
      <c r="V68" s="43"/>
    </row>
    <row r="69" spans="3:23" s="31" customFormat="1" ht="12.75" customHeight="1">
      <c r="C69" s="54"/>
      <c r="D69" s="50"/>
      <c r="E69" s="43"/>
      <c r="F69" s="43"/>
      <c r="G69" s="43"/>
      <c r="H69" s="43"/>
      <c r="I69" s="43"/>
      <c r="J69" s="43"/>
      <c r="K69" s="32"/>
      <c r="L69" s="43"/>
      <c r="M69" s="32"/>
      <c r="N69" s="32"/>
      <c r="O69" s="43"/>
      <c r="P69" s="43"/>
      <c r="Q69" s="43"/>
      <c r="R69" s="43"/>
      <c r="S69" s="46"/>
      <c r="T69" s="46"/>
      <c r="U69" s="46"/>
      <c r="V69" s="46"/>
      <c r="W69" s="46"/>
    </row>
    <row r="70" spans="3:23" s="31" customFormat="1" ht="12.75" customHeight="1">
      <c r="C70" s="55"/>
      <c r="D70" s="50"/>
      <c r="E70" s="43"/>
      <c r="F70" s="43"/>
      <c r="G70" s="43"/>
      <c r="H70" s="43"/>
      <c r="I70" s="43"/>
      <c r="J70" s="43"/>
      <c r="K70" s="32"/>
      <c r="L70" s="43"/>
      <c r="M70" s="32"/>
      <c r="N70" s="32"/>
      <c r="O70" s="43"/>
      <c r="P70" s="43"/>
      <c r="Q70" s="43"/>
      <c r="R70" s="43"/>
      <c r="S70" s="46"/>
      <c r="T70" s="46"/>
      <c r="U70" s="46"/>
      <c r="V70" s="46"/>
      <c r="W70" s="46"/>
    </row>
    <row r="71" spans="3:23" s="31" customFormat="1" ht="12.75" customHeight="1">
      <c r="K71" s="32"/>
      <c r="M71" s="32"/>
      <c r="N71" s="32"/>
    </row>
    <row r="72" spans="3:23" s="31" customFormat="1" ht="12.75" customHeight="1">
      <c r="K72" s="32"/>
      <c r="M72" s="32"/>
      <c r="N72" s="32"/>
    </row>
    <row r="73" spans="3:23" s="31" customFormat="1" ht="12.75" customHeight="1">
      <c r="K73" s="32"/>
      <c r="M73" s="32"/>
      <c r="N73" s="32"/>
    </row>
    <row r="74" spans="3:23" s="31" customFormat="1" ht="12.75" customHeight="1">
      <c r="K74" s="32"/>
      <c r="M74" s="32"/>
      <c r="N74" s="32"/>
    </row>
    <row r="75" spans="3:23" s="31" customFormat="1" ht="12.75" customHeight="1">
      <c r="K75" s="32"/>
      <c r="M75" s="32"/>
      <c r="N75" s="32"/>
    </row>
    <row r="76" spans="3:23" s="31" customFormat="1" ht="12.75" customHeight="1">
      <c r="K76" s="32"/>
      <c r="M76" s="32"/>
      <c r="N76" s="32"/>
    </row>
    <row r="77" spans="3:23" s="31" customFormat="1" ht="12.75" customHeight="1">
      <c r="K77" s="32"/>
      <c r="M77" s="32"/>
      <c r="N77" s="32"/>
    </row>
    <row r="78" spans="3:23" s="31" customFormat="1" ht="12.75" customHeight="1">
      <c r="K78" s="32"/>
      <c r="M78" s="32"/>
      <c r="N78" s="32"/>
    </row>
    <row r="79" spans="3:23" s="31" customFormat="1" ht="12.75" customHeight="1">
      <c r="K79" s="32"/>
      <c r="M79" s="32"/>
      <c r="N79" s="32"/>
    </row>
    <row r="80" spans="3:23" s="31" customFormat="1" ht="12.75" customHeight="1">
      <c r="K80" s="32"/>
      <c r="M80" s="32"/>
      <c r="N80" s="32"/>
    </row>
    <row r="81" spans="11:14" s="31" customFormat="1" ht="12.75" customHeight="1">
      <c r="K81" s="32"/>
      <c r="M81" s="32"/>
      <c r="N81" s="32"/>
    </row>
    <row r="82" spans="11:14" s="31" customFormat="1" ht="12.75" customHeight="1">
      <c r="K82" s="32"/>
      <c r="M82" s="32"/>
      <c r="N82" s="32"/>
    </row>
    <row r="83" spans="11:14" s="31" customFormat="1" ht="12.75" customHeight="1">
      <c r="K83" s="32"/>
      <c r="M83" s="32"/>
      <c r="N83" s="32"/>
    </row>
    <row r="84" spans="11:14" s="31" customFormat="1" ht="12.75" customHeight="1">
      <c r="K84" s="32"/>
      <c r="M84" s="32"/>
      <c r="N84" s="32"/>
    </row>
    <row r="85" spans="11:14" s="31" customFormat="1" ht="12.75" customHeight="1">
      <c r="K85" s="32"/>
      <c r="M85" s="32"/>
      <c r="N85" s="32"/>
    </row>
    <row r="86" spans="11:14" s="31" customFormat="1" ht="12.75" customHeight="1">
      <c r="K86" s="32"/>
      <c r="M86" s="32"/>
      <c r="N86" s="32"/>
    </row>
    <row r="87" spans="11:14" s="31" customFormat="1" ht="12.75" customHeight="1">
      <c r="K87" s="32"/>
      <c r="M87" s="32"/>
      <c r="N87" s="32"/>
    </row>
    <row r="88" spans="11:14" s="31" customFormat="1" ht="12.75" customHeight="1">
      <c r="K88" s="32"/>
      <c r="M88" s="32"/>
      <c r="N88" s="32"/>
    </row>
    <row r="89" spans="11:14" s="31" customFormat="1" ht="12.75" customHeight="1">
      <c r="K89" s="32"/>
      <c r="M89" s="32"/>
      <c r="N89" s="32"/>
    </row>
    <row r="90" spans="11:14" s="31" customFormat="1" ht="12.75" customHeight="1">
      <c r="K90" s="32"/>
      <c r="M90" s="32"/>
      <c r="N90" s="32"/>
    </row>
    <row r="91" spans="11:14" s="31" customFormat="1" ht="12.75" customHeight="1">
      <c r="K91" s="32"/>
      <c r="M91" s="32"/>
      <c r="N91" s="32"/>
    </row>
    <row r="92" spans="11:14" s="31" customFormat="1" ht="12.75" customHeight="1">
      <c r="K92" s="32"/>
      <c r="M92" s="32"/>
      <c r="N92" s="32"/>
    </row>
    <row r="93" spans="11:14" s="31" customFormat="1" ht="12.75" customHeight="1">
      <c r="K93" s="32"/>
      <c r="M93" s="32"/>
      <c r="N93" s="32"/>
    </row>
    <row r="94" spans="11:14" s="31" customFormat="1" ht="12.75" customHeight="1">
      <c r="K94" s="32"/>
      <c r="M94" s="32"/>
      <c r="N94" s="32"/>
    </row>
    <row r="95" spans="11:14" s="31" customFormat="1" ht="12.75" customHeight="1">
      <c r="K95" s="32"/>
      <c r="M95" s="32"/>
      <c r="N95" s="32"/>
    </row>
    <row r="96" spans="11:14" s="31" customFormat="1" ht="12.75" customHeight="1">
      <c r="K96" s="32"/>
      <c r="M96" s="32"/>
      <c r="N96" s="32"/>
    </row>
    <row r="97" spans="11:14" s="31" customFormat="1" ht="12.75" customHeight="1">
      <c r="K97" s="32"/>
      <c r="M97" s="32"/>
      <c r="N97" s="32"/>
    </row>
    <row r="98" spans="11:14" s="31" customFormat="1" ht="12.75" customHeight="1">
      <c r="K98" s="32"/>
      <c r="M98" s="32"/>
      <c r="N98" s="32"/>
    </row>
    <row r="99" spans="11:14" s="31" customFormat="1" ht="12.75" customHeight="1">
      <c r="K99" s="32"/>
      <c r="M99" s="32"/>
      <c r="N99" s="32"/>
    </row>
    <row r="100" spans="11:14" s="31" customFormat="1" ht="12.75" customHeight="1">
      <c r="K100" s="32"/>
      <c r="M100" s="32"/>
      <c r="N100" s="32"/>
    </row>
    <row r="101" spans="11:14" s="31" customFormat="1" ht="12.75" customHeight="1">
      <c r="K101" s="32"/>
      <c r="M101" s="32"/>
      <c r="N101" s="32"/>
    </row>
    <row r="102" spans="11:14" s="31" customFormat="1" ht="12.75" customHeight="1">
      <c r="K102" s="32"/>
      <c r="M102" s="32"/>
      <c r="N102" s="32"/>
    </row>
    <row r="103" spans="11:14" s="31" customFormat="1" ht="12.75" customHeight="1">
      <c r="K103" s="32"/>
      <c r="M103" s="32"/>
      <c r="N103" s="32"/>
    </row>
    <row r="104" spans="11:14" s="31" customFormat="1" ht="12.75" customHeight="1">
      <c r="K104" s="32"/>
      <c r="M104" s="32"/>
      <c r="N104" s="32"/>
    </row>
    <row r="105" spans="11:14" s="31" customFormat="1" ht="12.75" customHeight="1">
      <c r="K105" s="32"/>
      <c r="M105" s="32"/>
      <c r="N105" s="32"/>
    </row>
    <row r="106" spans="11:14" s="31" customFormat="1" ht="12.75" customHeight="1">
      <c r="K106" s="32"/>
      <c r="M106" s="32"/>
      <c r="N106" s="32"/>
    </row>
    <row r="107" spans="11:14" s="31" customFormat="1" ht="12.75" customHeight="1">
      <c r="K107" s="32"/>
      <c r="M107" s="32"/>
      <c r="N107" s="32"/>
    </row>
    <row r="108" spans="11:14" s="31" customFormat="1" ht="12.75" customHeight="1">
      <c r="K108" s="32"/>
      <c r="M108" s="32"/>
      <c r="N108" s="32"/>
    </row>
    <row r="109" spans="11:14" s="31" customFormat="1" ht="12.75" customHeight="1">
      <c r="K109" s="32"/>
      <c r="M109" s="32"/>
      <c r="N109" s="32"/>
    </row>
    <row r="110" spans="11:14" s="31" customFormat="1" ht="12.75" customHeight="1">
      <c r="K110" s="32"/>
      <c r="M110" s="32"/>
      <c r="N110" s="32"/>
    </row>
    <row r="111" spans="11:14" s="31" customFormat="1" ht="12.75" customHeight="1">
      <c r="K111" s="32"/>
      <c r="M111" s="32"/>
      <c r="N111" s="32"/>
    </row>
    <row r="112" spans="11:14" s="31" customFormat="1" ht="12.75" customHeight="1">
      <c r="K112" s="32"/>
      <c r="M112" s="32"/>
      <c r="N112" s="32"/>
    </row>
    <row r="113" spans="11:14" s="31" customFormat="1" ht="12.75" customHeight="1">
      <c r="K113" s="32"/>
      <c r="M113" s="32"/>
      <c r="N113" s="32"/>
    </row>
    <row r="114" spans="11:14" s="31" customFormat="1" ht="12.75" customHeight="1">
      <c r="K114" s="32"/>
      <c r="M114" s="32"/>
      <c r="N114" s="32"/>
    </row>
    <row r="115" spans="11:14" s="31" customFormat="1" ht="12.75" customHeight="1">
      <c r="K115" s="32"/>
      <c r="M115" s="32"/>
      <c r="N115" s="32"/>
    </row>
    <row r="116" spans="11:14" s="31" customFormat="1" ht="12.75" customHeight="1">
      <c r="K116" s="32"/>
      <c r="M116" s="32"/>
      <c r="N116" s="32"/>
    </row>
    <row r="117" spans="11:14" s="31" customFormat="1" ht="12.75" customHeight="1">
      <c r="K117" s="32"/>
      <c r="M117" s="32"/>
      <c r="N117" s="32"/>
    </row>
    <row r="118" spans="11:14" s="31" customFormat="1" ht="12.75" customHeight="1">
      <c r="K118" s="32"/>
      <c r="M118" s="32"/>
      <c r="N118" s="32"/>
    </row>
    <row r="119" spans="11:14" s="31" customFormat="1" ht="12.75" customHeight="1">
      <c r="K119" s="32"/>
      <c r="M119" s="32"/>
      <c r="N119" s="32"/>
    </row>
    <row r="120" spans="11:14" s="31" customFormat="1" ht="12.75" customHeight="1">
      <c r="K120" s="32"/>
      <c r="M120" s="32"/>
      <c r="N120" s="32"/>
    </row>
    <row r="121" spans="11:14" s="31" customFormat="1" ht="12.75" customHeight="1">
      <c r="K121" s="32"/>
      <c r="M121" s="32"/>
      <c r="N121" s="32"/>
    </row>
    <row r="122" spans="11:14" s="31" customFormat="1" ht="12.75" customHeight="1">
      <c r="K122" s="32"/>
      <c r="M122" s="32"/>
      <c r="N122" s="32"/>
    </row>
    <row r="123" spans="11:14" s="31" customFormat="1" ht="12.75" customHeight="1">
      <c r="K123" s="32"/>
      <c r="M123" s="32"/>
      <c r="N123" s="32"/>
    </row>
    <row r="124" spans="11:14" s="31" customFormat="1" ht="12.75" customHeight="1">
      <c r="K124" s="32"/>
      <c r="M124" s="32"/>
      <c r="N124" s="32"/>
    </row>
    <row r="125" spans="11:14" s="31" customFormat="1" ht="12.75" customHeight="1">
      <c r="K125" s="32"/>
      <c r="M125" s="32"/>
      <c r="N125" s="32"/>
    </row>
    <row r="126" spans="11:14" s="31" customFormat="1" ht="12.75" customHeight="1">
      <c r="K126" s="32"/>
      <c r="M126" s="32"/>
      <c r="N126" s="32"/>
    </row>
    <row r="127" spans="11:14" s="31" customFormat="1" ht="12.75" customHeight="1">
      <c r="K127" s="32"/>
      <c r="M127" s="32"/>
      <c r="N127" s="32"/>
    </row>
    <row r="128" spans="11:14" s="31" customFormat="1" ht="12.75" customHeight="1">
      <c r="K128" s="32"/>
      <c r="M128" s="32"/>
      <c r="N128" s="32"/>
    </row>
    <row r="129" spans="11:14" s="31" customFormat="1" ht="12.75" customHeight="1">
      <c r="K129" s="32"/>
      <c r="M129" s="32"/>
      <c r="N129" s="32"/>
    </row>
    <row r="130" spans="11:14" s="31" customFormat="1" ht="12.75" customHeight="1">
      <c r="K130" s="32"/>
      <c r="M130" s="32"/>
      <c r="N130" s="32"/>
    </row>
    <row r="131" spans="11:14" s="31" customFormat="1" ht="12.75" customHeight="1">
      <c r="K131" s="32"/>
      <c r="M131" s="32"/>
      <c r="N131" s="32"/>
    </row>
    <row r="132" spans="11:14" s="31" customFormat="1" ht="12.75" customHeight="1">
      <c r="K132" s="32"/>
      <c r="M132" s="32"/>
      <c r="N132" s="32"/>
    </row>
    <row r="133" spans="11:14" s="31" customFormat="1" ht="12.75" customHeight="1">
      <c r="K133" s="32"/>
      <c r="M133" s="32"/>
      <c r="N133" s="32"/>
    </row>
    <row r="134" spans="11:14" s="31" customFormat="1" ht="12.75" customHeight="1">
      <c r="K134" s="32"/>
      <c r="M134" s="32"/>
      <c r="N134" s="32"/>
    </row>
    <row r="135" spans="11:14" s="31" customFormat="1" ht="12.75" customHeight="1">
      <c r="K135" s="32"/>
      <c r="M135" s="32"/>
      <c r="N135" s="32"/>
    </row>
    <row r="136" spans="11:14" s="31" customFormat="1" ht="12.75" customHeight="1">
      <c r="K136" s="32"/>
      <c r="M136" s="32"/>
      <c r="N136" s="32"/>
    </row>
    <row r="137" spans="11:14" s="31" customFormat="1" ht="12.75" customHeight="1">
      <c r="K137" s="32"/>
      <c r="M137" s="32"/>
      <c r="N137" s="32"/>
    </row>
    <row r="138" spans="11:14" s="31" customFormat="1" ht="12.75" customHeight="1">
      <c r="K138" s="32"/>
      <c r="M138" s="32"/>
      <c r="N138" s="32"/>
    </row>
    <row r="139" spans="11:14" s="31" customFormat="1" ht="12.75" customHeight="1">
      <c r="K139" s="32"/>
      <c r="M139" s="32"/>
      <c r="N139" s="32"/>
    </row>
    <row r="140" spans="11:14" s="31" customFormat="1" ht="12.75" customHeight="1">
      <c r="K140" s="32"/>
      <c r="M140" s="32"/>
      <c r="N140" s="32"/>
    </row>
    <row r="141" spans="11:14" s="31" customFormat="1" ht="12.75" customHeight="1">
      <c r="K141" s="32"/>
      <c r="M141" s="32"/>
      <c r="N141" s="32"/>
    </row>
    <row r="142" spans="11:14" s="31" customFormat="1" ht="12.75" customHeight="1">
      <c r="K142" s="32"/>
      <c r="M142" s="32"/>
      <c r="N142" s="32"/>
    </row>
    <row r="143" spans="11:14" s="31" customFormat="1" ht="12.75" customHeight="1">
      <c r="K143" s="32"/>
      <c r="M143" s="32"/>
      <c r="N143" s="32"/>
    </row>
    <row r="144" spans="11:14" s="31" customFormat="1" ht="12.75" customHeight="1">
      <c r="K144" s="32"/>
      <c r="M144" s="32"/>
      <c r="N144" s="32"/>
    </row>
    <row r="145" spans="11:14" s="31" customFormat="1" ht="12.75" customHeight="1">
      <c r="K145" s="32"/>
      <c r="M145" s="32"/>
      <c r="N145" s="32"/>
    </row>
    <row r="146" spans="11:14" s="31" customFormat="1" ht="12.75" customHeight="1">
      <c r="K146" s="32"/>
      <c r="M146" s="32"/>
      <c r="N146" s="32"/>
    </row>
    <row r="147" spans="11:14" s="31" customFormat="1" ht="12.75" customHeight="1">
      <c r="K147" s="32"/>
      <c r="M147" s="32"/>
      <c r="N147" s="32"/>
    </row>
  </sheetData>
  <phoneticPr fontId="5" type="noConversion"/>
  <printOptions horizontalCentered="1"/>
  <pageMargins left="0.5" right="0.5" top="3" bottom="0.5" header="1.5" footer="0.5"/>
  <pageSetup scale="58" pageOrder="overThenDown" orientation="landscape"/>
  <headerFooter alignWithMargins="0">
    <oddHeader>&amp;R&amp;"Arial,Bold"Schedule &amp;A
Page &amp;P of &amp;N&amp;C&amp;B
2025 RATE CASE
ONCOR ELECTRIC DELIVERY COMPANY LLC
II-D-4   SUMMARY OF EXCLUSIONS FROM TEST YEAR
TEST YEAR ENDING DECEMBER 31, 2024
SPONSOR: R. PRACHYL</oddHeader>
  </headerFooter>
  <colBreaks count="1" manualBreakCount="1">
    <brk id="11" min="14" max="20" man="1"/>
  </colBreaks>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48</vt:i4>
      </vt:variant>
      <vt:variant>
        <vt:lpstr>Named Ranges</vt:lpstr>
      </vt:variant>
      <vt:variant>
        <vt:i4>74</vt:i4>
      </vt:variant>
    </vt:vector>
  </HeadingPairs>
  <TitlesOfParts>
    <vt:vector size="122" baseType="lpstr">
      <vt:lpstr>Link Sheet</vt:lpstr>
      <vt:lpstr>II-D-1</vt:lpstr>
      <vt:lpstr>II-D-1a</vt:lpstr>
      <vt:lpstr>II-D-1.1</vt:lpstr>
      <vt:lpstr>II-D-2</vt:lpstr>
      <vt:lpstr>II-D-2a</vt:lpstr>
      <vt:lpstr>II-D-2.1</vt:lpstr>
      <vt:lpstr>II-D-2.2.1</vt:lpstr>
      <vt:lpstr>II-D-2.2.2</vt:lpstr>
      <vt:lpstr>II-D-2.2.3</vt:lpstr>
      <vt:lpstr>II-D-2.2a</vt:lpstr>
      <vt:lpstr>II-D-2.3</vt:lpstr>
      <vt:lpstr>II-D-2.4</vt:lpstr>
      <vt:lpstr>II-D-2.4a</vt:lpstr>
      <vt:lpstr>II-D-2.5</vt:lpstr>
      <vt:lpstr>II-D-2.6</vt:lpstr>
      <vt:lpstr>II-D-2.6a</vt:lpstr>
      <vt:lpstr>II-D-2.6b</vt:lpstr>
      <vt:lpstr>II-D-2.6c</vt:lpstr>
      <vt:lpstr>II-D-2.7 Conf.</vt:lpstr>
      <vt:lpstr>II-D-2.8</vt:lpstr>
      <vt:lpstr>II-D-2.9</vt:lpstr>
      <vt:lpstr>II-D-2.9a</vt:lpstr>
      <vt:lpstr>II-D-2.9b</vt:lpstr>
      <vt:lpstr>II-D-2.9c</vt:lpstr>
      <vt:lpstr>II-D-2.9 Attachment 1</vt:lpstr>
      <vt:lpstr>II-D-3</vt:lpstr>
      <vt:lpstr>II-D-3.1</vt:lpstr>
      <vt:lpstr>II-D-3.2</vt:lpstr>
      <vt:lpstr>II-D-3.3</vt:lpstr>
      <vt:lpstr>II-D-3.4</vt:lpstr>
      <vt:lpstr>II-D-3.5</vt:lpstr>
      <vt:lpstr>II-D-3.6</vt:lpstr>
      <vt:lpstr>II-D-3.7.1</vt:lpstr>
      <vt:lpstr>II-D-3.7.2</vt:lpstr>
      <vt:lpstr>II-D-3.7.3</vt:lpstr>
      <vt:lpstr>II-D-3.7.4</vt:lpstr>
      <vt:lpstr>II-D-3.7.4a</vt:lpstr>
      <vt:lpstr>II-D-3.7.5</vt:lpstr>
      <vt:lpstr>II-D-3.8.1</vt:lpstr>
      <vt:lpstr>II-D-3.8.2</vt:lpstr>
      <vt:lpstr>II-D-3.8.3</vt:lpstr>
      <vt:lpstr>II-D-3.9.1</vt:lpstr>
      <vt:lpstr>II-D-3.9.2</vt:lpstr>
      <vt:lpstr>II-D-3.9.3</vt:lpstr>
      <vt:lpstr>II-D-3.10</vt:lpstr>
      <vt:lpstr>II-D-3.10 Attachment 1</vt:lpstr>
      <vt:lpstr>II-D-4</vt:lpstr>
      <vt:lpstr>'II-D-1'!Print_Area</vt:lpstr>
      <vt:lpstr>'II-D-1.1'!Print_Area</vt:lpstr>
      <vt:lpstr>'II-D-1a'!Print_Area</vt:lpstr>
      <vt:lpstr>'II-D-2'!Print_Area</vt:lpstr>
      <vt:lpstr>'II-D-2.1'!Print_Area</vt:lpstr>
      <vt:lpstr>'II-D-2.2.1'!Print_Area</vt:lpstr>
      <vt:lpstr>'II-D-2.2.2'!Print_Area</vt:lpstr>
      <vt:lpstr>'II-D-2.2.3'!Print_Area</vt:lpstr>
      <vt:lpstr>'II-D-2.2a'!Print_Area</vt:lpstr>
      <vt:lpstr>'II-D-2.3'!Print_Area</vt:lpstr>
      <vt:lpstr>'II-D-2.4'!Print_Area</vt:lpstr>
      <vt:lpstr>'II-D-2.4a'!Print_Area</vt:lpstr>
      <vt:lpstr>'II-D-2.5'!Print_Area</vt:lpstr>
      <vt:lpstr>'II-D-2.6'!Print_Area</vt:lpstr>
      <vt:lpstr>'II-D-2.6a'!Print_Area</vt:lpstr>
      <vt:lpstr>'II-D-2.6b'!Print_Area</vt:lpstr>
      <vt:lpstr>'II-D-2.6c'!Print_Area</vt:lpstr>
      <vt:lpstr>'II-D-2.7 Conf.'!Print_Area</vt:lpstr>
      <vt:lpstr>'II-D-2.8'!Print_Area</vt:lpstr>
      <vt:lpstr>'II-D-2.9'!Print_Area</vt:lpstr>
      <vt:lpstr>'II-D-2.9 Attachment 1'!Print_Area</vt:lpstr>
      <vt:lpstr>'II-D-2.9a'!Print_Area</vt:lpstr>
      <vt:lpstr>'II-D-2.9b'!Print_Area</vt:lpstr>
      <vt:lpstr>'II-D-2.9c'!Print_Area</vt:lpstr>
      <vt:lpstr>'II-D-2a'!Print_Area</vt:lpstr>
      <vt:lpstr>'II-D-3'!Print_Area</vt:lpstr>
      <vt:lpstr>'II-D-3.1'!Print_Area</vt:lpstr>
      <vt:lpstr>'II-D-3.10'!Print_Area</vt:lpstr>
      <vt:lpstr>'II-D-3.10 Attachment 1'!Print_Area</vt:lpstr>
      <vt:lpstr>'II-D-3.2'!Print_Area</vt:lpstr>
      <vt:lpstr>'II-D-3.3'!Print_Area</vt:lpstr>
      <vt:lpstr>'II-D-3.4'!Print_Area</vt:lpstr>
      <vt:lpstr>'II-D-3.5'!Print_Area</vt:lpstr>
      <vt:lpstr>'II-D-3.6'!Print_Area</vt:lpstr>
      <vt:lpstr>'II-D-3.7.2'!Print_Area</vt:lpstr>
      <vt:lpstr>'II-D-3.7.3'!Print_Area</vt:lpstr>
      <vt:lpstr>'II-D-3.7.4'!Print_Area</vt:lpstr>
      <vt:lpstr>'II-D-3.7.4a'!Print_Area</vt:lpstr>
      <vt:lpstr>'II-D-3.7.5'!Print_Area</vt:lpstr>
      <vt:lpstr>'II-D-3.8.1'!Print_Area</vt:lpstr>
      <vt:lpstr>'II-D-3.8.2'!Print_Area</vt:lpstr>
      <vt:lpstr>'II-D-3.8.3'!Print_Area</vt:lpstr>
      <vt:lpstr>'II-D-3.9.1'!Print_Area</vt:lpstr>
      <vt:lpstr>'II-D-3.9.2'!Print_Area</vt:lpstr>
      <vt:lpstr>'II-D-3.9.3'!Print_Area</vt:lpstr>
      <vt:lpstr>'II-D-4'!Print_Area</vt:lpstr>
      <vt:lpstr>'II-D-1'!Print_Titles</vt:lpstr>
      <vt:lpstr>'II-D-1.1'!Print_Titles</vt:lpstr>
      <vt:lpstr>'II-D-1a'!Print_Titles</vt:lpstr>
      <vt:lpstr>'II-D-2'!Print_Titles</vt:lpstr>
      <vt:lpstr>'II-D-2.1'!Print_Titles</vt:lpstr>
      <vt:lpstr>'II-D-2.2.3'!Print_Titles</vt:lpstr>
      <vt:lpstr>'II-D-2.3'!Print_Titles</vt:lpstr>
      <vt:lpstr>'II-D-2.4'!Print_Titles</vt:lpstr>
      <vt:lpstr>'II-D-2.4a'!Print_Titles</vt:lpstr>
      <vt:lpstr>'II-D-2.5'!Print_Titles</vt:lpstr>
      <vt:lpstr>'II-D-2.6'!Print_Titles</vt:lpstr>
      <vt:lpstr>'II-D-2.6a'!Print_Titles</vt:lpstr>
      <vt:lpstr>'II-D-2.6b'!Print_Titles</vt:lpstr>
      <vt:lpstr>'II-D-2.6c'!Print_Titles</vt:lpstr>
      <vt:lpstr>'II-D-2.9'!Print_Titles</vt:lpstr>
      <vt:lpstr>'II-D-2.9a'!Print_Titles</vt:lpstr>
      <vt:lpstr>'II-D-2.9b'!Print_Titles</vt:lpstr>
      <vt:lpstr>'II-D-2.9c'!Print_Titles</vt:lpstr>
      <vt:lpstr>'II-D-2a'!Print_Titles</vt:lpstr>
      <vt:lpstr>'II-D-3'!Print_Titles</vt:lpstr>
      <vt:lpstr>'II-D-3.10'!Print_Titles</vt:lpstr>
      <vt:lpstr>'II-D-3.5'!Print_Titles</vt:lpstr>
      <vt:lpstr>'II-D-3.7.2'!Print_Titles</vt:lpstr>
      <vt:lpstr>'II-D-3.7.3'!Print_Titles</vt:lpstr>
      <vt:lpstr>'II-D-3.7.4a'!Print_Titles</vt:lpstr>
      <vt:lpstr>'II-D-3.8.3'!Print_Titles</vt:lpstr>
      <vt:lpstr>'II-D-3.9.3'!Print_Titles</vt:lpstr>
      <vt:lpstr>'II-D-4'!Print_Titles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Stephanie</cp:lastModifiedBy>
  <cp:lastPrinted>1900-01-01T06:00:00Z</cp:lastPrinted>
  <dcterms:created xsi:type="dcterms:W3CDTF">1900-01-01T06:00:00Z</dcterms:created>
  <dcterms:modified xsi:type="dcterms:W3CDTF">2025-06-25T18:23:02Z</dcterms:modified>
</cp:coreProperties>
</file>