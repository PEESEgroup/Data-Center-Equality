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36FB940D-828F-4412-A582-6B4D0E338743}" xr6:coauthVersionLast="47" xr6:coauthVersionMax="47" xr10:uidLastSave="{00000000-0000-0000-0000-000000000000}"/>
  <x:bookViews>
    <x:workbookView xWindow="-120" yWindow="-120" windowWidth="29040" windowHeight="15720" xr2:uid="{13EC0039-88DF-47F3-822F-0B6199028251}"/>
  </x:bookViews>
  <x:sheets>
    <x:sheet name="K&amp;M adjustments" sheetId="1" r:id="rId1"/>
  </x:sheets>
  <x:externalReferences>
    <x:externalReference r:id="rId2"/>
    <x:externalReference r:id="rId3"/>
  </x:externalReferences>
  <x:definedNames>
    <x:definedName name="Account" localSheetId="0">'[1]Labor by Acct-EC'!#REF!</x:definedName>
    <x:definedName name="Account">'[2]Labor - EC by acct'!#REF!</x:definedName>
    <x:definedName name="Account2" localSheetId="0">'[1]Labor by Acct-EC'!#REF!</x:definedName>
    <x:definedName name="Account2">'[2]Labor - EC by acct'!#REF!</x:definedName>
    <x:definedName name="AccountDescr" localSheetId="0">'[1]Labor by Acct-EC'!#REF!</x:definedName>
    <x:definedName name="AccountDescr">'[2]Labor - EC by acct'!#REF!</x:definedName>
    <x:definedName name="AccountDescr2" localSheetId="0">'[1]Labor by Acct-EC'!#REF!</x:definedName>
    <x:definedName name="AccountDescr2">'[2]Labor - EC by acct'!#REF!</x:definedName>
    <x:definedName name="Activity" localSheetId="0">'[1]Labor by Acct-EC'!#REF!</x:definedName>
    <x:definedName name="Activity">'[2]Labor - EC by acct'!#REF!</x:definedName>
    <x:definedName name="Activity2" localSheetId="0">'[1]Labor by Acct-EC'!#REF!</x:definedName>
    <x:definedName name="Activity2">'[2]Labor - EC by acct'!#REF!</x:definedName>
    <x:definedName name="ActivityDescr" localSheetId="0">'[1]Labor by Acct-EC'!#REF!</x:definedName>
    <x:definedName name="ActivityDescr">'[2]Labor - EC by acct'!#REF!</x:definedName>
    <x:definedName name="ActivityDescr2" localSheetId="0">'[1]Labor by Acct-EC'!#REF!</x:definedName>
    <x:definedName name="ActivityDescr2">'[2]Labor - EC by acct'!#REF!</x:definedName>
    <x:definedName name="Affiliate" localSheetId="0">'[1]Labor by Acct-EC'!#REF!</x:definedName>
    <x:definedName name="Affiliate">'[2]Labor - EC by acct'!#REF!</x:definedName>
    <x:definedName name="Affiliate2" localSheetId="0">'[1]Labor by Acct-EC'!#REF!</x:definedName>
    <x:definedName name="Affiliate2">'[2]Labor - EC by acct'!#REF!</x:definedName>
    <x:definedName name="AffiliateDescr" localSheetId="0">'[1]Labor by Acct-EC'!#REF!</x:definedName>
    <x:definedName name="AffiliateDescr">'[2]Labor - EC by acct'!#REF!</x:definedName>
    <x:definedName name="APN" localSheetId="0">'[1]Labor by Acct-BU'!#REF!</x:definedName>
    <x:definedName name="APN">'[2]labor by acct-BU'!#REF!</x:definedName>
    <x:definedName name="ASD" localSheetId="0">'[1]Labor by Acct-EC'!#REF!</x:definedName>
    <x:definedName name="ASD">'[2]Labor - EC by acct'!#REF!</x:definedName>
    <x:definedName name="DeptDescr" localSheetId="0">'[1]Labor by Acct-EC'!#REF!</x:definedName>
    <x:definedName name="DeptDescr">'[2]Labor - EC by acct'!#REF!</x:definedName>
    <x:definedName name="DeptDescr2" localSheetId="0">'[1]Labor by Acct-EC'!#REF!</x:definedName>
    <x:definedName name="DeptDescr2">'[2]Labor - EC by acct'!#REF!</x:definedName>
    <x:definedName name="DeptID" localSheetId="0">'[1]Labor by Acct-EC'!#REF!</x:definedName>
    <x:definedName name="DeptID">'[2]Labor - EC by acct'!#REF!</x:definedName>
    <x:definedName name="DeptID2" localSheetId="0">'[1]Labor by Acct-EC'!#REF!</x:definedName>
    <x:definedName name="DeptID2">'[2]Labor - EC by acct'!#REF!</x:definedName>
    <x:definedName name="EC" localSheetId="0">'[1]Labor by Acct-EC'!#REF!</x:definedName>
    <x:definedName name="EC">'[2]Labor - EC by acct'!#REF!</x:definedName>
    <x:definedName name="ECDescr" localSheetId="0">'[1]Labor by Acct-EC'!#REF!</x:definedName>
    <x:definedName name="ECDescr">'[2]Labor - EC by acct'!#REF!</x:definedName>
    <x:definedName name="ECDescr2" localSheetId="0">'[1]Labor by Acct-EC'!#REF!</x:definedName>
    <x:definedName name="ECDescr2">'[2]Labor - EC by acct'!#REF!</x:definedName>
    <x:definedName name="ECID" localSheetId="0">'[1]Labor by Acct-EC'!#REF!</x:definedName>
    <x:definedName name="ECID">'[2]Labor - EC by acct'!#REF!</x:definedName>
    <x:definedName name="FY" localSheetId="0">'[1]Labor by Acct-BU'!#REF!</x:definedName>
    <x:definedName name="FY">'[2]labor by acct-BU'!#REF!</x:definedName>
    <x:definedName name="Location" localSheetId="0">'[1]Labor by Acct-EC'!#REF!</x:definedName>
    <x:definedName name="Location">'[2]Labor - EC by acct'!#REF!</x:definedName>
    <x:definedName name="Location2" localSheetId="0">'[1]Labor by Acct-EC'!#REF!</x:definedName>
    <x:definedName name="Location2">'[2]Labor - EC by acct'!#REF!</x:definedName>
    <x:definedName name="LocationDescr" localSheetId="0">'[1]Labor by Acct-EC'!#REF!</x:definedName>
    <x:definedName name="LocationDescr">'[2]Labor - EC by acct'!#REF!</x:definedName>
    <x:definedName name="LocationDescr2" localSheetId="0">'[1]Labor by Acct-EC'!#REF!</x:definedName>
    <x:definedName name="LocationDescr2">'[2]Labor - EC by acct'!#REF!</x:definedName>
    <x:definedName name="NvsASD" localSheetId="0">"V2020-12-31"</x:definedName>
    <x:definedName name="NvsASD">"V2021-12-31"</x:definedName>
    <x:definedName name="NvsAutoDrillOk">"VY"</x:definedName>
    <x:definedName name="NvsElapsedTime" localSheetId="0">0.0000462962925666943</x:definedName>
    <x:definedName name="NvsElapsedTime">0.0000231481462833472</x:definedName>
    <x:definedName name="NvsEndTime" localSheetId="0">44252.6507291667</x:definedName>
    <x:definedName name="NvsEndTime">44580.8339351852</x:definedName>
    <x:definedName name="NvsInstLang">"VENG"</x:definedName>
    <x:definedName name="NvsInstSpec">"%,QUVLR_OPER_EXP_OTH_SGA,SYTD,FBUSINESS_UNIT,TF_BU_D_BASE,N3DELV,FCURRENCY_CD,VUSD,FTU_EC,TF_EC_D_BASE,NEC_GROUP_100"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"%,X,RZF..,CZF.."</x:definedName>
    <x:definedName name="NvsPanelEffdt">"V1997-01-01"</x:definedName>
    <x:definedName name="NvsPanelSetid">"VSHARE"</x:definedName>
    <x:definedName name="NvsParentRef" localSheetId="0">"'[Oper Exp_SGA_Oth Deductions-YTD 2020 Dec.xls]Sheet1'!$D$47"</x:definedName>
    <x:definedName name="NvsParentRef">"'[Oper Exp_SGA_Oth Deductions-YTD 2021 Dec.xls]Sheet1'!$D$47"</x:definedName>
    <x:definedName name="NvsReqBU">"VX0001"</x:definedName>
    <x:definedName name="NvsReqBUOnly">"VN"</x:definedName>
    <x:definedName name="NvsTransLed">"VY"</x:definedName>
    <x:definedName name="NvsTreeASD" localSheetId="0">"V2020-12-31"</x:definedName>
    <x:definedName name="NvsTreeASD">"V2021-12-31"</x:definedName>
    <x:definedName name="NvsValTbl.ACCOUNT">"GL_ACCOUNT_TBL"</x:definedName>
    <x:definedName name="NvsValTbl.AFFILIATE">"BUS_UNIT_TBL_FS"</x:definedName>
    <x:definedName name="NvsValTbl.BUSINESS_UNIT">"BUS_UNIT_TBL_FS"</x:definedName>
    <x:definedName name="NvsValTbl.CURRENCY_CD">"CURRENCY_CD_TBL"</x:definedName>
    <x:definedName name="NvsValTbl.DEPTID">"DEPARTMENT_TBL"</x:definedName>
    <x:definedName name="NvsValTbl.TU_EC">"TU_EC_TBL"</x:definedName>
    <x:definedName name="NvsValTbl.TU_LOCATION">"TU_LOC_TBL"</x:definedName>
    <x:definedName name="Task" localSheetId="0">'[1]Labor by Acct-EC'!#REF!</x:definedName>
    <x:definedName name="Task">'[2]Labor - EC by acct'!#REF!</x:definedName>
    <x:definedName name="Task2" localSheetId="0">'[1]Labor by Acct-EC'!#REF!</x:definedName>
    <x:definedName name="Task2">'[2]Labor - EC by acct'!#REF!</x:definedName>
    <x:definedName name="TaskDescr" localSheetId="0">'[1]Labor by Acct-EC'!#REF!</x:definedName>
    <x:definedName name="TaskDescr">'[2]Labor - EC by acct'!#REF!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A69" i="1" l="1"/>
  <x:c r="A68" i="1"/>
  <x:c r="A67" i="1"/>
  <x:c r="A66" i="1"/>
  <x:c r="A65" i="1"/>
  <x:c r="A64" i="1"/>
  <x:c r="A63" i="1"/>
  <x:c r="H57" i="1"/>
  <x:c r="H56" i="1"/>
  <x:c r="D56" i="1"/>
  <x:c r="H51" i="1"/>
  <x:c r="J51" i="1"/>
  <x:c r="D50" i="1"/>
  <x:c r="B42" i="1"/>
  <x:c r="A42" i="1"/>
  <x:c r="B41" i="1"/>
  <x:c r="A41" i="1"/>
  <x:c r="B40" i="1"/>
  <x:c r="A40" i="1"/>
  <x:c r="B39" i="1"/>
  <x:c r="A39" i="1"/>
  <x:c r="B38" i="1"/>
  <x:c r="A38" i="1"/>
  <x:c r="B37" i="1"/>
  <x:c r="A37" i="1"/>
  <x:c r="D30" i="1"/>
  <x:c r="D31" i="1" s="1"/>
  <x:c r="D32" i="1" s="1"/>
  <x:c r="E32" i="1" s="1"/>
  <x:c r="E42" i="1" s="1"/>
  <x:c r="F20" i="1"/>
  <x:c r="E17" i="1"/>
  <x:c r="F17" i="1" s="1"/>
  <x:c r="D51" i="1"/>
  <x:c r="H15" i="1"/>
  <x:c r="D14" i="1"/>
  <x:c r="F10" i="1"/>
  <x:c r="E8" i="1"/>
  <x:c r="H6" i="1"/>
  <x:c r="H16" i="1" s="1"/>
  <x:c r="C11" i="1"/>
  <x:c r="E5" i="1"/>
  <x:c r="J50" i="1" l="1"/>
  <x:c r="E50" i="1"/>
  <x:c r="C52" i="1"/>
  <x:c r="C22" i="1"/>
  <x:c r="F5" i="1"/>
  <x:c r="F18" i="1"/>
  <x:c r="E68" i="1"/>
  <x:c r="C21" i="1"/>
  <x:c r="E15" i="1"/>
  <x:c r="F16" i="1"/>
  <x:c r="F8" i="1"/>
  <x:c r="E18" i="1"/>
  <x:c r="D9" i="1"/>
  <x:c r="E6" i="1"/>
  <x:c r="D19" i="1"/>
  <x:c r="E16" i="1"/>
  <x:c r="E51" i="1"/>
  <x:c r="E7" i="1"/>
  <x:c r="F51" i="1"/>
  <x:c r="E52" i="1" l="1"/>
  <x:c r="I52" i="1" s="1"/>
  <x:c r="E30" i="1"/>
  <x:c r="E66" i="1" s="1"/>
  <x:c r="C57" i="1"/>
  <x:c r="K51" i="1"/>
  <x:c r="E21" i="1"/>
  <x:c r="I21" i="1" s="1"/>
  <x:c r="F6" i="1"/>
  <x:c r="E28" i="1" s="1"/>
  <x:c r="E31" i="1" s="1"/>
  <x:c r="F50" i="1"/>
  <x:c r="E9" i="1"/>
  <x:c r="E11" i="1"/>
  <x:c r="F7" i="1"/>
  <x:c r="E29" i="1" s="1"/>
  <x:c r="E65" i="1" s="1"/>
  <x:c r="F15" i="1"/>
  <x:c r="E19" i="1"/>
  <x:c r="F19" i="1" s="1"/>
  <x:c r="E57" i="1" l="1"/>
  <x:c r="F57" i="1" s="1"/>
  <x:c r="F21" i="1"/>
  <x:c r="E64" i="1"/>
  <x:c r="E38" i="1"/>
  <x:c r="I11" i="1"/>
  <x:c r="E22" i="1"/>
  <x:c r="I22" i="1" s="1"/>
  <x:c r="E27" i="1"/>
  <x:c r="E39" i="1"/>
  <x:c r="F11" i="1"/>
  <x:c r="F22" i="1" s="1"/>
  <x:c r="E67" i="1"/>
  <x:c r="E41" i="1"/>
  <x:c r="F9" i="1"/>
  <x:c r="E40" i="1"/>
  <x:c r="C56" i="1"/>
  <x:c r="K50" i="1"/>
  <x:c r="F52" i="1"/>
  <x:c r="E56" i="1" l="1"/>
  <x:c r="C58" i="1"/>
  <x:c r="E33" i="1"/>
  <x:c r="E63" i="1"/>
  <x:c r="E37" i="1"/>
  <x:c r="E43" i="1" s="1"/>
  <x:c r="I43" i="1" l="1"/>
  <x:c r="I56" i="1"/>
  <x:c r="E58" i="1"/>
  <x:c r="F56" i="1"/>
  <x:c r="F58" i="1" s="1"/>
  <x:c r="E59" i="1" l="1"/>
  <x:c r="E61" i="1" s="1"/>
  <x:c r="E69" i="1"/>
  <x:c r="E70" i="1" l="1"/>
  <x:c r="E72" i="1" l="1"/>
  <x:c r="E73" i="1" s="1"/>
</x:calcChain>
</file>

<file path=xl/sharedStrings.xml><?xml version="1.0" encoding="utf-8"?>
<sst xmlns="http://schemas.openxmlformats.org/spreadsheetml/2006/main" count="116" uniqueCount="61">
  <si>
    <t>K&amp;M adjustment for O&amp;M expense to capture 2024 &amp; 2025 merit increases annualized and March 21, 2025 level of FTEs annualized</t>
  </si>
  <si>
    <t>2024 Test Year</t>
  </si>
  <si>
    <t>K&amp;M</t>
  </si>
  <si>
    <t>2024 Test Year Adjusted</t>
  </si>
  <si>
    <t>K&amp;M adjustment</t>
  </si>
  <si>
    <t>ESD O&amp;M</t>
  </si>
  <si>
    <t>% for 2024 &amp; 2025 merit increases annualized &amp; March 21, 2025 FTEs</t>
  </si>
  <si>
    <t>Increase in $s</t>
  </si>
  <si>
    <t>Adjusted ESD Labor</t>
  </si>
  <si>
    <t>Captures 2024 &amp; 2025 merit increases &amp; March 21, 2025 FTEs</t>
  </si>
  <si>
    <t>Effective incr %s</t>
  </si>
  <si>
    <t>101</t>
  </si>
  <si>
    <t>Regular Earnings - Exempt Empl</t>
  </si>
  <si>
    <t>Percentage increase based on March 21, 2025 annualized</t>
  </si>
  <si>
    <t>102</t>
  </si>
  <si>
    <t>Regular Earnings - Non-Exempt</t>
  </si>
  <si>
    <t>103</t>
  </si>
  <si>
    <t>Regular Earnings - Part-Time E</t>
  </si>
  <si>
    <t>104</t>
  </si>
  <si>
    <t>Overtime Earnings - Exempt Emp</t>
  </si>
  <si>
    <t>105</t>
  </si>
  <si>
    <t>Overtime Earnings - Non-Exempt</t>
  </si>
  <si>
    <t>Percentage of overtime earnings/regular earnings</t>
  </si>
  <si>
    <t>106</t>
  </si>
  <si>
    <t>Overtime Earnings - Part-Time</t>
  </si>
  <si>
    <t>Total ESD regular &amp; OT</t>
  </si>
  <si>
    <t>TRN O&amp;M</t>
  </si>
  <si>
    <t>Adjusted TRN Labor</t>
  </si>
  <si>
    <t>Total TRN regular &amp; OT</t>
  </si>
  <si>
    <t>Total ESD &amp; TRN regular &amp; OT</t>
  </si>
  <si>
    <t>Total for 2024 &amp; 2025 merit increases annualized &amp; March 21, 2025 FTEs</t>
  </si>
  <si>
    <t>2025 Merit K&amp;M</t>
  </si>
  <si>
    <t>For EC 102</t>
  </si>
  <si>
    <t>K&amp;M adjustment to capture 2025 merit increases</t>
  </si>
  <si>
    <t>Merit increases not already reflected in pay cycle</t>
  </si>
  <si>
    <t>Collective Bargaining %</t>
  </si>
  <si>
    <t>2025 merit increase included in March 21, 2025 pay cycle</t>
  </si>
  <si>
    <t>ESD Oct 2025</t>
  </si>
  <si>
    <t>2025 merit increase not included in March 21, 2025 pay cycle</t>
  </si>
  <si>
    <t>ESD For Oct 2025</t>
  </si>
  <si>
    <t>Total K&amp;M adjustment for 3.5% merit increase effective Oct 2025</t>
  </si>
  <si>
    <t>Total K&amp;M</t>
  </si>
  <si>
    <t>Total K&amp;M adjustment for 2024 merit increases annualized, March 21, 2025 FTE level annualized &amp; 2025 merit increases</t>
  </si>
  <si>
    <t>Excl. variable time</t>
  </si>
  <si>
    <t>2024 merit labor increases were effective March 2024 (2/26/2024) except for employees covered by a collective bargaining agreement, increases were effective November 2024 (10/26/2024).</t>
  </si>
  <si>
    <t>2025 merit labor increases were effective March 2025 (2/26/2025) except for employees covered by a collective bargaining agreement, increases will be effective November 2025 (10/26/2025).</t>
  </si>
  <si>
    <t>Adjusted Variable Time Labor</t>
  </si>
  <si>
    <t>O&amp;M variable time</t>
  </si>
  <si>
    <t>% for March 21, 2025 pay cycle annualized</t>
  </si>
  <si>
    <t>Test Year</t>
  </si>
  <si>
    <t>Adj. TY</t>
  </si>
  <si>
    <t>108</t>
  </si>
  <si>
    <t>Non-Productive Time Clearing - ESD</t>
  </si>
  <si>
    <t>Non-Productive Time Clearing - TRN</t>
  </si>
  <si>
    <t>Total for March 21, 2025 pay cycle annualized</t>
  </si>
  <si>
    <t>2025 merit increase for Oct 2025</t>
  </si>
  <si>
    <t>Merit increase for variable time</t>
  </si>
  <si>
    <t>Total K&amp;M adjustment for 2024 &amp; 2025 merit increases annualized, March 21, 2025 FTE level annualized &amp; 2025 merit increases</t>
  </si>
  <si>
    <t>Summary - Annualized 2024 &amp; 2025 merit increases and March 21, 2025 FTEs:</t>
  </si>
  <si>
    <t>Variable Time Loading</t>
  </si>
  <si>
    <t>Related increase in payroll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</si>
</sst>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#,##0.000_);[Red]\(#,##0.000\)"/>
  </numFmts>
  <fonts count="10" x14ac:knownFonts="1">
    <font>
      <sz val="11"/>
      <color theme="1"/>
      <name val="Calibri"/>
      <family val="2"/>
      <scheme val="minor"/>
    </font>
    <font>
      <sz val="10"/>
      <name val="Arial Unicode MS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 Unicode MS"/>
      <family val="2"/>
    </font>
    <font>
      <sz val="11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1"/>
      <color theme="1"/>
      <name val="Calibri"/>
      <family val="2"/>
    </font>
    <font>
      <b/>
      <u/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6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4" fillId="0" borderId="0"/>
    <xf numFmtId="9" fontId="5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0">
    <xf numFmtId="0" fontId="0" fillId="0" borderId="0" xfId="0"/>
    <xf numFmtId="164" fontId="3" fillId="0" borderId="0" xfId="3" applyNumberFormat="1" applyFont="1" applyFill="1"/>
    <xf numFmtId="10" fontId="3" fillId="0" borderId="0" xfId="5" applyNumberFormat="1" applyFont="1" applyFill="1"/>
    <xf numFmtId="0" fontId="2" fillId="0" borderId="0" xfId="2" applyFont="1" applyFill="1"/>
    <xf numFmtId="0" fontId="3" fillId="0" borderId="0" xfId="2" applyFont="1" applyFill="1"/>
    <xf numFmtId="164" fontId="3" fillId="0" borderId="0" xfId="3" applyNumberFormat="1" applyFont="1" applyFill="1" applyAlignment="1">
      <alignment horizontal="center"/>
    </xf>
    <xf numFmtId="0" fontId="3" fillId="0" borderId="0" xfId="2" applyFont="1" applyFill="1" applyAlignment="1">
      <alignment horizontal="center"/>
    </xf>
    <xf numFmtId="164" fontId="3" fillId="0" borderId="1" xfId="3" applyNumberFormat="1" applyFont="1" applyFill="1" applyBorder="1" applyAlignment="1">
      <alignment horizontal="center"/>
    </xf>
    <xf numFmtId="0" fontId="3" fillId="0" borderId="1" xfId="2" applyFont="1" applyFill="1" applyBorder="1" applyAlignment="1">
      <alignment horizontal="center"/>
    </xf>
    <xf numFmtId="0" fontId="3" fillId="0" borderId="1" xfId="2" applyFont="1" applyFill="1" applyBorder="1"/>
    <xf numFmtId="40" fontId="3" fillId="0" borderId="0" xfId="4" applyNumberFormat="1" applyFont="1" applyFill="1" applyAlignment="1">
      <alignment horizontal="center"/>
    </xf>
    <xf numFmtId="40" fontId="3" fillId="0" borderId="0" xfId="4" applyNumberFormat="1" applyFont="1" applyFill="1"/>
    <xf numFmtId="10" fontId="3" fillId="0" borderId="0" xfId="2" applyNumberFormat="1" applyFont="1" applyFill="1"/>
    <xf numFmtId="164" fontId="3" fillId="0" borderId="1" xfId="3" applyNumberFormat="1" applyFont="1" applyFill="1" applyBorder="1"/>
    <xf numFmtId="10" fontId="3" fillId="0" borderId="0" xfId="1" applyNumberFormat="1" applyFont="1" applyFill="1"/>
    <xf numFmtId="164" fontId="3" fillId="0" borderId="2" xfId="3" applyNumberFormat="1" applyFont="1" applyFill="1" applyBorder="1"/>
    <xf numFmtId="40" fontId="3" fillId="0" borderId="0" xfId="4" applyNumberFormat="1" applyFont="1" applyFill="1" applyAlignment="1">
      <alignment horizontal="left" indent="1"/>
    </xf>
    <xf numFmtId="164" fontId="3" fillId="0" borderId="0" xfId="3" applyNumberFormat="1" applyFont="1" applyFill="1" applyAlignment="1">
      <alignment horizontal="right"/>
    </xf>
    <xf numFmtId="164" fontId="3" fillId="0" borderId="0" xfId="2" applyNumberFormat="1" applyFont="1" applyFill="1"/>
    <xf numFmtId="17" fontId="3" fillId="0" borderId="0" xfId="2" quotePrefix="1" applyNumberFormat="1" applyFont="1" applyFill="1"/>
    <xf numFmtId="17" fontId="3" fillId="0" borderId="0" xfId="2" applyNumberFormat="1" applyFont="1" applyFill="1"/>
    <xf numFmtId="164" fontId="3" fillId="0" borderId="1" xfId="2" applyNumberFormat="1" applyFont="1" applyFill="1" applyBorder="1"/>
    <xf numFmtId="40" fontId="3" fillId="0" borderId="0" xfId="4" applyNumberFormat="1" applyFont="1" applyFill="1" applyAlignment="1">
      <alignment horizontal="right"/>
    </xf>
    <xf numFmtId="40" fontId="3" fillId="0" borderId="0" xfId="4" applyNumberFormat="1" applyFont="1" applyFill="1" applyAlignment="1">
      <alignment horizontal="left"/>
    </xf>
    <xf numFmtId="0" fontId="2" fillId="0" borderId="1" xfId="2" applyFont="1" applyFill="1" applyBorder="1" applyAlignment="1">
      <alignment horizontal="center"/>
    </xf>
    <xf numFmtId="0" fontId="7" fillId="0" borderId="0" xfId="2" applyFont="1" applyFill="1" applyAlignment="1">
      <alignment horizontal="right"/>
    </xf>
    <xf numFmtId="40" fontId="3" fillId="0" borderId="0" xfId="2" applyNumberFormat="1" applyFont="1" applyFill="1"/>
    <xf numFmtId="164" fontId="3" fillId="0" borderId="0" xfId="3" applyNumberFormat="1" applyFont="1" applyFill="1" applyBorder="1"/>
    <xf numFmtId="10" fontId="3" fillId="0" borderId="0" xfId="6" applyNumberFormat="1" applyFont="1" applyFill="1"/>
    <xf numFmtId="9" fontId="3" fillId="0" borderId="0" xfId="1" applyFont="1" applyFill="1"/>
    <xf numFmtId="0" fontId="3" fillId="0" borderId="0" xfId="2" applyFont="1" applyFill="1" applyAlignment="1">
      <alignment horizontal="right"/>
    </xf>
    <xf numFmtId="164" fontId="3" fillId="0" borderId="2" xfId="2" applyNumberFormat="1" applyFont="1" applyFill="1" applyBorder="1"/>
    <xf numFmtId="0" fontId="2" fillId="0" borderId="0" xfId="2" applyFont="1" applyFill="1" applyAlignment="1">
      <alignment horizontal="right"/>
    </xf>
    <xf numFmtId="164" fontId="2" fillId="0" borderId="0" xfId="2" applyNumberFormat="1" applyFont="1" applyFill="1"/>
    <xf numFmtId="0" fontId="9" fillId="0" borderId="0" xfId="2" applyFont="1" applyFill="1"/>
    <xf numFmtId="165" fontId="3" fillId="0" borderId="0" xfId="2" applyNumberFormat="1" applyFont="1" applyFill="1"/>
    <xf numFmtId="0" fontId="2" fillId="0" borderId="0" xfId="2" applyFont="1" applyFill="1" applyAlignment="1">
      <alignment horizontal="left" indent="1"/>
    </xf>
    <xf numFmtId="10" fontId="2" fillId="0" borderId="0" xfId="5" applyNumberFormat="1" applyFont="1" applyFill="1"/>
    <xf numFmtId="0" fontId="3" fillId="0" borderId="0" xfId="2" applyFont="1" applyFill="1" applyAlignment="1">
      <alignment horizontal="right" wrapText="1"/>
    </xf>
    <xf numFmtId="0" fontId="1" fillId="0" borderId="0" xfId="2" applyFill="1" applyAlignment="1">
      <alignment wrapText="1"/>
    </xf>
  </cellXfs>
  <cellStyles count="7">
    <cellStyle name="Currency 2" xfId="3" xr:uid="{9F85F638-2EF7-4E3A-B577-3FB75C906A65}"/>
    <cellStyle name="Normal" xfId="0" builtinId="0"/>
    <cellStyle name="Normal 2 2" xfId="4" xr:uid="{6C1669A4-FA64-41D1-8644-AA28F3C00F17}"/>
    <cellStyle name="Normal 3" xfId="2" xr:uid="{30482B66-E332-4710-8A0A-DE6C0B99E7DA}"/>
    <cellStyle name="Percent" xfId="1" builtinId="5"/>
    <cellStyle name="Percent 2" xfId="5" xr:uid="{9410E45E-7BFA-4075-A883-A21C135F114F}"/>
    <cellStyle name="Percent 3" xfId="6" xr:uid="{745DE304-57F7-4619-89AE-121390F10CD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2021%20Rate%20Case%20Support\K&amp;M%20Adjustment\COS\O&amp;M\YE%20FTEs%20&amp;%202020-2021%20Merit%20increas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2022%20Rate%20Case%20Support\K&amp;M%20Adjustments\RFP%20K&amp;M%20inputs\Copy%20of%20Wages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&amp;M adjustments"/>
      <sheetName val="Var Time A1842400"/>
      <sheetName val="Pay Cycles"/>
      <sheetName val="Dec 2020 Bi-weekly %s"/>
      <sheetName val="TY O&amp;M Earnings"/>
      <sheetName val="Labor by Acct-EC"/>
      <sheetName val="Labor by Acct-BU"/>
      <sheetName val="2021 3% merit"/>
      <sheetName val="query"/>
      <sheetName val="EC"/>
    </sheetNames>
    <sheetDataSet>
      <sheetData sheetId="0"/>
      <sheetData sheetId="1"/>
      <sheetData sheetId="2">
        <row r="56">
          <cell r="A56" t="str">
            <v>Not shown - payroll sources 68 and 69 (monthly payroll accruals net of prior month reversals for semi-monthly and bi-weekly).  Pay cycles along with payroll accruals net of reversals provide for monthly and yearly of labor costs.</v>
          </cell>
        </row>
      </sheetData>
      <sheetData sheetId="3"/>
      <sheetData sheetId="4">
        <row r="12">
          <cell r="B12" t="str">
            <v>108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&amp;M adjustments"/>
      <sheetName val="Var time pivot"/>
      <sheetName val="Data"/>
      <sheetName val="Pay Cycles"/>
      <sheetName val="Dec 2021 Bi-weekly %s"/>
      <sheetName val="Labor by EC - BU"/>
      <sheetName val="Labor - EC by acct"/>
      <sheetName val="labor by acct-BU"/>
      <sheetName val="query"/>
      <sheetName val="E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ABE615F8-77D0-41F7-A1A8-6B714239AD63}" mc:Ignorable="x14ac xr xr2 xr3">
  <x:sheetPr>
    <x:pageSetUpPr fitToPage="1"/>
  </x:sheetPr>
  <x:dimension ref="A1:L73"/>
  <x:sheetViews>
    <x:sheetView tabSelected="1" zoomScaleNormal="100" workbookViewId="0">
      <x:selection activeCell="D14" sqref="D14"/>
    </x:sheetView>
  </x:sheetViews>
  <x:sheetFormatPr defaultColWidth="9.140625" defaultRowHeight="12.75" x14ac:dyDescent="0.2"/>
  <x:cols>
    <x:col min="1" max="1" width="9.140625" style="4"/>
    <x:col min="2" max="2" width="29.28515625" style="4" bestFit="1" customWidth="1"/>
    <x:col min="3" max="3" width="17.42578125" style="1" bestFit="1" customWidth="1"/>
    <x:col min="4" max="4" width="59.5703125" style="4" customWidth="1"/>
    <x:col min="5" max="5" width="16.85546875" style="4" bestFit="1" customWidth="1"/>
    <x:col min="6" max="6" width="24.42578125" style="4" bestFit="1" customWidth="1"/>
    <x:col min="7" max="7" width="2.7109375" style="4" customWidth="1"/>
    <x:col min="8" max="8" width="48" style="4" bestFit="1" customWidth="1"/>
    <x:col min="9" max="9" width="13.85546875" style="4" bestFit="1" customWidth="1"/>
    <x:col min="10" max="10" width="18.85546875" style="4" bestFit="1" customWidth="1"/>
    <x:col min="11" max="256" width="9.140625" style="4"/>
    <x:col min="257" max="257" width="29.28515625" style="4" bestFit="1" customWidth="1"/>
    <x:col min="258" max="258" width="17.42578125" style="4" bestFit="1" customWidth="1"/>
    <x:col min="259" max="259" width="34.28515625" style="4" bestFit="1" customWidth="1"/>
    <x:col min="260" max="260" width="15" style="4" bestFit="1" customWidth="1"/>
    <x:col min="261" max="261" width="24.42578125" style="4" bestFit="1" customWidth="1"/>
    <x:col min="262" max="262" width="2.7109375" style="4" customWidth="1"/>
    <x:col min="263" max="263" width="42.7109375" style="4" bestFit="1" customWidth="1"/>
    <x:col min="264" max="264" width="13.85546875" style="4" bestFit="1" customWidth="1"/>
    <x:col min="265" max="512" width="9.140625" style="4"/>
    <x:col min="513" max="513" width="29.28515625" style="4" bestFit="1" customWidth="1"/>
    <x:col min="514" max="514" width="17.42578125" style="4" bestFit="1" customWidth="1"/>
    <x:col min="515" max="515" width="34.28515625" style="4" bestFit="1" customWidth="1"/>
    <x:col min="516" max="516" width="15" style="4" bestFit="1" customWidth="1"/>
    <x:col min="517" max="517" width="24.42578125" style="4" bestFit="1" customWidth="1"/>
    <x:col min="518" max="518" width="2.7109375" style="4" customWidth="1"/>
    <x:col min="519" max="519" width="42.7109375" style="4" bestFit="1" customWidth="1"/>
    <x:col min="520" max="520" width="13.85546875" style="4" bestFit="1" customWidth="1"/>
    <x:col min="521" max="768" width="9.140625" style="4"/>
    <x:col min="769" max="769" width="29.28515625" style="4" bestFit="1" customWidth="1"/>
    <x:col min="770" max="770" width="17.42578125" style="4" bestFit="1" customWidth="1"/>
    <x:col min="771" max="771" width="34.28515625" style="4" bestFit="1" customWidth="1"/>
    <x:col min="772" max="772" width="15" style="4" bestFit="1" customWidth="1"/>
    <x:col min="773" max="773" width="24.42578125" style="4" bestFit="1" customWidth="1"/>
    <x:col min="774" max="774" width="2.7109375" style="4" customWidth="1"/>
    <x:col min="775" max="775" width="42.7109375" style="4" bestFit="1" customWidth="1"/>
    <x:col min="776" max="776" width="13.85546875" style="4" bestFit="1" customWidth="1"/>
    <x:col min="777" max="1024" width="9.140625" style="4"/>
    <x:col min="1025" max="1025" width="29.28515625" style="4" bestFit="1" customWidth="1"/>
    <x:col min="1026" max="1026" width="17.42578125" style="4" bestFit="1" customWidth="1"/>
    <x:col min="1027" max="1027" width="34.28515625" style="4" bestFit="1" customWidth="1"/>
    <x:col min="1028" max="1028" width="15" style="4" bestFit="1" customWidth="1"/>
    <x:col min="1029" max="1029" width="24.42578125" style="4" bestFit="1" customWidth="1"/>
    <x:col min="1030" max="1030" width="2.7109375" style="4" customWidth="1"/>
    <x:col min="1031" max="1031" width="42.7109375" style="4" bestFit="1" customWidth="1"/>
    <x:col min="1032" max="1032" width="13.85546875" style="4" bestFit="1" customWidth="1"/>
    <x:col min="1033" max="1280" width="9.140625" style="4"/>
    <x:col min="1281" max="1281" width="29.28515625" style="4" bestFit="1" customWidth="1"/>
    <x:col min="1282" max="1282" width="17.42578125" style="4" bestFit="1" customWidth="1"/>
    <x:col min="1283" max="1283" width="34.28515625" style="4" bestFit="1" customWidth="1"/>
    <x:col min="1284" max="1284" width="15" style="4" bestFit="1" customWidth="1"/>
    <x:col min="1285" max="1285" width="24.42578125" style="4" bestFit="1" customWidth="1"/>
    <x:col min="1286" max="1286" width="2.7109375" style="4" customWidth="1"/>
    <x:col min="1287" max="1287" width="42.7109375" style="4" bestFit="1" customWidth="1"/>
    <x:col min="1288" max="1288" width="13.85546875" style="4" bestFit="1" customWidth="1"/>
    <x:col min="1289" max="1536" width="9.140625" style="4"/>
    <x:col min="1537" max="1537" width="29.28515625" style="4" bestFit="1" customWidth="1"/>
    <x:col min="1538" max="1538" width="17.42578125" style="4" bestFit="1" customWidth="1"/>
    <x:col min="1539" max="1539" width="34.28515625" style="4" bestFit="1" customWidth="1"/>
    <x:col min="1540" max="1540" width="15" style="4" bestFit="1" customWidth="1"/>
    <x:col min="1541" max="1541" width="24.42578125" style="4" bestFit="1" customWidth="1"/>
    <x:col min="1542" max="1542" width="2.7109375" style="4" customWidth="1"/>
    <x:col min="1543" max="1543" width="42.7109375" style="4" bestFit="1" customWidth="1"/>
    <x:col min="1544" max="1544" width="13.85546875" style="4" bestFit="1" customWidth="1"/>
    <x:col min="1545" max="1792" width="9.140625" style="4"/>
    <x:col min="1793" max="1793" width="29.28515625" style="4" bestFit="1" customWidth="1"/>
    <x:col min="1794" max="1794" width="17.42578125" style="4" bestFit="1" customWidth="1"/>
    <x:col min="1795" max="1795" width="34.28515625" style="4" bestFit="1" customWidth="1"/>
    <x:col min="1796" max="1796" width="15" style="4" bestFit="1" customWidth="1"/>
    <x:col min="1797" max="1797" width="24.42578125" style="4" bestFit="1" customWidth="1"/>
    <x:col min="1798" max="1798" width="2.7109375" style="4" customWidth="1"/>
    <x:col min="1799" max="1799" width="42.7109375" style="4" bestFit="1" customWidth="1"/>
    <x:col min="1800" max="1800" width="13.85546875" style="4" bestFit="1" customWidth="1"/>
    <x:col min="1801" max="2048" width="9.140625" style="4"/>
    <x:col min="2049" max="2049" width="29.28515625" style="4" bestFit="1" customWidth="1"/>
    <x:col min="2050" max="2050" width="17.42578125" style="4" bestFit="1" customWidth="1"/>
    <x:col min="2051" max="2051" width="34.28515625" style="4" bestFit="1" customWidth="1"/>
    <x:col min="2052" max="2052" width="15" style="4" bestFit="1" customWidth="1"/>
    <x:col min="2053" max="2053" width="24.42578125" style="4" bestFit="1" customWidth="1"/>
    <x:col min="2054" max="2054" width="2.7109375" style="4" customWidth="1"/>
    <x:col min="2055" max="2055" width="42.7109375" style="4" bestFit="1" customWidth="1"/>
    <x:col min="2056" max="2056" width="13.85546875" style="4" bestFit="1" customWidth="1"/>
    <x:col min="2057" max="2304" width="9.140625" style="4"/>
    <x:col min="2305" max="2305" width="29.28515625" style="4" bestFit="1" customWidth="1"/>
    <x:col min="2306" max="2306" width="17.42578125" style="4" bestFit="1" customWidth="1"/>
    <x:col min="2307" max="2307" width="34.28515625" style="4" bestFit="1" customWidth="1"/>
    <x:col min="2308" max="2308" width="15" style="4" bestFit="1" customWidth="1"/>
    <x:col min="2309" max="2309" width="24.42578125" style="4" bestFit="1" customWidth="1"/>
    <x:col min="2310" max="2310" width="2.7109375" style="4" customWidth="1"/>
    <x:col min="2311" max="2311" width="42.7109375" style="4" bestFit="1" customWidth="1"/>
    <x:col min="2312" max="2312" width="13.85546875" style="4" bestFit="1" customWidth="1"/>
    <x:col min="2313" max="2560" width="9.140625" style="4"/>
    <x:col min="2561" max="2561" width="29.28515625" style="4" bestFit="1" customWidth="1"/>
    <x:col min="2562" max="2562" width="17.42578125" style="4" bestFit="1" customWidth="1"/>
    <x:col min="2563" max="2563" width="34.28515625" style="4" bestFit="1" customWidth="1"/>
    <x:col min="2564" max="2564" width="15" style="4" bestFit="1" customWidth="1"/>
    <x:col min="2565" max="2565" width="24.42578125" style="4" bestFit="1" customWidth="1"/>
    <x:col min="2566" max="2566" width="2.7109375" style="4" customWidth="1"/>
    <x:col min="2567" max="2567" width="42.7109375" style="4" bestFit="1" customWidth="1"/>
    <x:col min="2568" max="2568" width="13.85546875" style="4" bestFit="1" customWidth="1"/>
    <x:col min="2569" max="2816" width="9.140625" style="4"/>
    <x:col min="2817" max="2817" width="29.28515625" style="4" bestFit="1" customWidth="1"/>
    <x:col min="2818" max="2818" width="17.42578125" style="4" bestFit="1" customWidth="1"/>
    <x:col min="2819" max="2819" width="34.28515625" style="4" bestFit="1" customWidth="1"/>
    <x:col min="2820" max="2820" width="15" style="4" bestFit="1" customWidth="1"/>
    <x:col min="2821" max="2821" width="24.42578125" style="4" bestFit="1" customWidth="1"/>
    <x:col min="2822" max="2822" width="2.7109375" style="4" customWidth="1"/>
    <x:col min="2823" max="2823" width="42.7109375" style="4" bestFit="1" customWidth="1"/>
    <x:col min="2824" max="2824" width="13.85546875" style="4" bestFit="1" customWidth="1"/>
    <x:col min="2825" max="3072" width="9.140625" style="4"/>
    <x:col min="3073" max="3073" width="29.28515625" style="4" bestFit="1" customWidth="1"/>
    <x:col min="3074" max="3074" width="17.42578125" style="4" bestFit="1" customWidth="1"/>
    <x:col min="3075" max="3075" width="34.28515625" style="4" bestFit="1" customWidth="1"/>
    <x:col min="3076" max="3076" width="15" style="4" bestFit="1" customWidth="1"/>
    <x:col min="3077" max="3077" width="24.42578125" style="4" bestFit="1" customWidth="1"/>
    <x:col min="3078" max="3078" width="2.7109375" style="4" customWidth="1"/>
    <x:col min="3079" max="3079" width="42.7109375" style="4" bestFit="1" customWidth="1"/>
    <x:col min="3080" max="3080" width="13.85546875" style="4" bestFit="1" customWidth="1"/>
    <x:col min="3081" max="3328" width="9.140625" style="4"/>
    <x:col min="3329" max="3329" width="29.28515625" style="4" bestFit="1" customWidth="1"/>
    <x:col min="3330" max="3330" width="17.42578125" style="4" bestFit="1" customWidth="1"/>
    <x:col min="3331" max="3331" width="34.28515625" style="4" bestFit="1" customWidth="1"/>
    <x:col min="3332" max="3332" width="15" style="4" bestFit="1" customWidth="1"/>
    <x:col min="3333" max="3333" width="24.42578125" style="4" bestFit="1" customWidth="1"/>
    <x:col min="3334" max="3334" width="2.7109375" style="4" customWidth="1"/>
    <x:col min="3335" max="3335" width="42.7109375" style="4" bestFit="1" customWidth="1"/>
    <x:col min="3336" max="3336" width="13.85546875" style="4" bestFit="1" customWidth="1"/>
    <x:col min="3337" max="3584" width="9.140625" style="4"/>
    <x:col min="3585" max="3585" width="29.28515625" style="4" bestFit="1" customWidth="1"/>
    <x:col min="3586" max="3586" width="17.42578125" style="4" bestFit="1" customWidth="1"/>
    <x:col min="3587" max="3587" width="34.28515625" style="4" bestFit="1" customWidth="1"/>
    <x:col min="3588" max="3588" width="15" style="4" bestFit="1" customWidth="1"/>
    <x:col min="3589" max="3589" width="24.42578125" style="4" bestFit="1" customWidth="1"/>
    <x:col min="3590" max="3590" width="2.7109375" style="4" customWidth="1"/>
    <x:col min="3591" max="3591" width="42.7109375" style="4" bestFit="1" customWidth="1"/>
    <x:col min="3592" max="3592" width="13.85546875" style="4" bestFit="1" customWidth="1"/>
    <x:col min="3593" max="3840" width="9.140625" style="4"/>
    <x:col min="3841" max="3841" width="29.28515625" style="4" bestFit="1" customWidth="1"/>
    <x:col min="3842" max="3842" width="17.42578125" style="4" bestFit="1" customWidth="1"/>
    <x:col min="3843" max="3843" width="34.28515625" style="4" bestFit="1" customWidth="1"/>
    <x:col min="3844" max="3844" width="15" style="4" bestFit="1" customWidth="1"/>
    <x:col min="3845" max="3845" width="24.42578125" style="4" bestFit="1" customWidth="1"/>
    <x:col min="3846" max="3846" width="2.7109375" style="4" customWidth="1"/>
    <x:col min="3847" max="3847" width="42.7109375" style="4" bestFit="1" customWidth="1"/>
    <x:col min="3848" max="3848" width="13.85546875" style="4" bestFit="1" customWidth="1"/>
    <x:col min="3849" max="4096" width="9.140625" style="4"/>
    <x:col min="4097" max="4097" width="29.28515625" style="4" bestFit="1" customWidth="1"/>
    <x:col min="4098" max="4098" width="17.42578125" style="4" bestFit="1" customWidth="1"/>
    <x:col min="4099" max="4099" width="34.28515625" style="4" bestFit="1" customWidth="1"/>
    <x:col min="4100" max="4100" width="15" style="4" bestFit="1" customWidth="1"/>
    <x:col min="4101" max="4101" width="24.42578125" style="4" bestFit="1" customWidth="1"/>
    <x:col min="4102" max="4102" width="2.7109375" style="4" customWidth="1"/>
    <x:col min="4103" max="4103" width="42.7109375" style="4" bestFit="1" customWidth="1"/>
    <x:col min="4104" max="4104" width="13.85546875" style="4" bestFit="1" customWidth="1"/>
    <x:col min="4105" max="4352" width="9.140625" style="4"/>
    <x:col min="4353" max="4353" width="29.28515625" style="4" bestFit="1" customWidth="1"/>
    <x:col min="4354" max="4354" width="17.42578125" style="4" bestFit="1" customWidth="1"/>
    <x:col min="4355" max="4355" width="34.28515625" style="4" bestFit="1" customWidth="1"/>
    <x:col min="4356" max="4356" width="15" style="4" bestFit="1" customWidth="1"/>
    <x:col min="4357" max="4357" width="24.42578125" style="4" bestFit="1" customWidth="1"/>
    <x:col min="4358" max="4358" width="2.7109375" style="4" customWidth="1"/>
    <x:col min="4359" max="4359" width="42.7109375" style="4" bestFit="1" customWidth="1"/>
    <x:col min="4360" max="4360" width="13.85546875" style="4" bestFit="1" customWidth="1"/>
    <x:col min="4361" max="4608" width="9.140625" style="4"/>
    <x:col min="4609" max="4609" width="29.28515625" style="4" bestFit="1" customWidth="1"/>
    <x:col min="4610" max="4610" width="17.42578125" style="4" bestFit="1" customWidth="1"/>
    <x:col min="4611" max="4611" width="34.28515625" style="4" bestFit="1" customWidth="1"/>
    <x:col min="4612" max="4612" width="15" style="4" bestFit="1" customWidth="1"/>
    <x:col min="4613" max="4613" width="24.42578125" style="4" bestFit="1" customWidth="1"/>
    <x:col min="4614" max="4614" width="2.7109375" style="4" customWidth="1"/>
    <x:col min="4615" max="4615" width="42.7109375" style="4" bestFit="1" customWidth="1"/>
    <x:col min="4616" max="4616" width="13.85546875" style="4" bestFit="1" customWidth="1"/>
    <x:col min="4617" max="4864" width="9.140625" style="4"/>
    <x:col min="4865" max="4865" width="29.28515625" style="4" bestFit="1" customWidth="1"/>
    <x:col min="4866" max="4866" width="17.42578125" style="4" bestFit="1" customWidth="1"/>
    <x:col min="4867" max="4867" width="34.28515625" style="4" bestFit="1" customWidth="1"/>
    <x:col min="4868" max="4868" width="15" style="4" bestFit="1" customWidth="1"/>
    <x:col min="4869" max="4869" width="24.42578125" style="4" bestFit="1" customWidth="1"/>
    <x:col min="4870" max="4870" width="2.7109375" style="4" customWidth="1"/>
    <x:col min="4871" max="4871" width="42.7109375" style="4" bestFit="1" customWidth="1"/>
    <x:col min="4872" max="4872" width="13.85546875" style="4" bestFit="1" customWidth="1"/>
    <x:col min="4873" max="5120" width="9.140625" style="4"/>
    <x:col min="5121" max="5121" width="29.28515625" style="4" bestFit="1" customWidth="1"/>
    <x:col min="5122" max="5122" width="17.42578125" style="4" bestFit="1" customWidth="1"/>
    <x:col min="5123" max="5123" width="34.28515625" style="4" bestFit="1" customWidth="1"/>
    <x:col min="5124" max="5124" width="15" style="4" bestFit="1" customWidth="1"/>
    <x:col min="5125" max="5125" width="24.42578125" style="4" bestFit="1" customWidth="1"/>
    <x:col min="5126" max="5126" width="2.7109375" style="4" customWidth="1"/>
    <x:col min="5127" max="5127" width="42.7109375" style="4" bestFit="1" customWidth="1"/>
    <x:col min="5128" max="5128" width="13.85546875" style="4" bestFit="1" customWidth="1"/>
    <x:col min="5129" max="5376" width="9.140625" style="4"/>
    <x:col min="5377" max="5377" width="29.28515625" style="4" bestFit="1" customWidth="1"/>
    <x:col min="5378" max="5378" width="17.42578125" style="4" bestFit="1" customWidth="1"/>
    <x:col min="5379" max="5379" width="34.28515625" style="4" bestFit="1" customWidth="1"/>
    <x:col min="5380" max="5380" width="15" style="4" bestFit="1" customWidth="1"/>
    <x:col min="5381" max="5381" width="24.42578125" style="4" bestFit="1" customWidth="1"/>
    <x:col min="5382" max="5382" width="2.7109375" style="4" customWidth="1"/>
    <x:col min="5383" max="5383" width="42.7109375" style="4" bestFit="1" customWidth="1"/>
    <x:col min="5384" max="5384" width="13.85546875" style="4" bestFit="1" customWidth="1"/>
    <x:col min="5385" max="5632" width="9.140625" style="4"/>
    <x:col min="5633" max="5633" width="29.28515625" style="4" bestFit="1" customWidth="1"/>
    <x:col min="5634" max="5634" width="17.42578125" style="4" bestFit="1" customWidth="1"/>
    <x:col min="5635" max="5635" width="34.28515625" style="4" bestFit="1" customWidth="1"/>
    <x:col min="5636" max="5636" width="15" style="4" bestFit="1" customWidth="1"/>
    <x:col min="5637" max="5637" width="24.42578125" style="4" bestFit="1" customWidth="1"/>
    <x:col min="5638" max="5638" width="2.7109375" style="4" customWidth="1"/>
    <x:col min="5639" max="5639" width="42.7109375" style="4" bestFit="1" customWidth="1"/>
    <x:col min="5640" max="5640" width="13.85546875" style="4" bestFit="1" customWidth="1"/>
    <x:col min="5641" max="5888" width="9.140625" style="4"/>
    <x:col min="5889" max="5889" width="29.28515625" style="4" bestFit="1" customWidth="1"/>
    <x:col min="5890" max="5890" width="17.42578125" style="4" bestFit="1" customWidth="1"/>
    <x:col min="5891" max="5891" width="34.28515625" style="4" bestFit="1" customWidth="1"/>
    <x:col min="5892" max="5892" width="15" style="4" bestFit="1" customWidth="1"/>
    <x:col min="5893" max="5893" width="24.42578125" style="4" bestFit="1" customWidth="1"/>
    <x:col min="5894" max="5894" width="2.7109375" style="4" customWidth="1"/>
    <x:col min="5895" max="5895" width="42.7109375" style="4" bestFit="1" customWidth="1"/>
    <x:col min="5896" max="5896" width="13.85546875" style="4" bestFit="1" customWidth="1"/>
    <x:col min="5897" max="6144" width="9.140625" style="4"/>
    <x:col min="6145" max="6145" width="29.28515625" style="4" bestFit="1" customWidth="1"/>
    <x:col min="6146" max="6146" width="17.42578125" style="4" bestFit="1" customWidth="1"/>
    <x:col min="6147" max="6147" width="34.28515625" style="4" bestFit="1" customWidth="1"/>
    <x:col min="6148" max="6148" width="15" style="4" bestFit="1" customWidth="1"/>
    <x:col min="6149" max="6149" width="24.42578125" style="4" bestFit="1" customWidth="1"/>
    <x:col min="6150" max="6150" width="2.7109375" style="4" customWidth="1"/>
    <x:col min="6151" max="6151" width="42.7109375" style="4" bestFit="1" customWidth="1"/>
    <x:col min="6152" max="6152" width="13.85546875" style="4" bestFit="1" customWidth="1"/>
    <x:col min="6153" max="6400" width="9.140625" style="4"/>
    <x:col min="6401" max="6401" width="29.28515625" style="4" bestFit="1" customWidth="1"/>
    <x:col min="6402" max="6402" width="17.42578125" style="4" bestFit="1" customWidth="1"/>
    <x:col min="6403" max="6403" width="34.28515625" style="4" bestFit="1" customWidth="1"/>
    <x:col min="6404" max="6404" width="15" style="4" bestFit="1" customWidth="1"/>
    <x:col min="6405" max="6405" width="24.42578125" style="4" bestFit="1" customWidth="1"/>
    <x:col min="6406" max="6406" width="2.7109375" style="4" customWidth="1"/>
    <x:col min="6407" max="6407" width="42.7109375" style="4" bestFit="1" customWidth="1"/>
    <x:col min="6408" max="6408" width="13.85546875" style="4" bestFit="1" customWidth="1"/>
    <x:col min="6409" max="6656" width="9.140625" style="4"/>
    <x:col min="6657" max="6657" width="29.28515625" style="4" bestFit="1" customWidth="1"/>
    <x:col min="6658" max="6658" width="17.42578125" style="4" bestFit="1" customWidth="1"/>
    <x:col min="6659" max="6659" width="34.28515625" style="4" bestFit="1" customWidth="1"/>
    <x:col min="6660" max="6660" width="15" style="4" bestFit="1" customWidth="1"/>
    <x:col min="6661" max="6661" width="24.42578125" style="4" bestFit="1" customWidth="1"/>
    <x:col min="6662" max="6662" width="2.7109375" style="4" customWidth="1"/>
    <x:col min="6663" max="6663" width="42.7109375" style="4" bestFit="1" customWidth="1"/>
    <x:col min="6664" max="6664" width="13.85546875" style="4" bestFit="1" customWidth="1"/>
    <x:col min="6665" max="6912" width="9.140625" style="4"/>
    <x:col min="6913" max="6913" width="29.28515625" style="4" bestFit="1" customWidth="1"/>
    <x:col min="6914" max="6914" width="17.42578125" style="4" bestFit="1" customWidth="1"/>
    <x:col min="6915" max="6915" width="34.28515625" style="4" bestFit="1" customWidth="1"/>
    <x:col min="6916" max="6916" width="15" style="4" bestFit="1" customWidth="1"/>
    <x:col min="6917" max="6917" width="24.42578125" style="4" bestFit="1" customWidth="1"/>
    <x:col min="6918" max="6918" width="2.7109375" style="4" customWidth="1"/>
    <x:col min="6919" max="6919" width="42.7109375" style="4" bestFit="1" customWidth="1"/>
    <x:col min="6920" max="6920" width="13.85546875" style="4" bestFit="1" customWidth="1"/>
    <x:col min="6921" max="7168" width="9.140625" style="4"/>
    <x:col min="7169" max="7169" width="29.28515625" style="4" bestFit="1" customWidth="1"/>
    <x:col min="7170" max="7170" width="17.42578125" style="4" bestFit="1" customWidth="1"/>
    <x:col min="7171" max="7171" width="34.28515625" style="4" bestFit="1" customWidth="1"/>
    <x:col min="7172" max="7172" width="15" style="4" bestFit="1" customWidth="1"/>
    <x:col min="7173" max="7173" width="24.42578125" style="4" bestFit="1" customWidth="1"/>
    <x:col min="7174" max="7174" width="2.7109375" style="4" customWidth="1"/>
    <x:col min="7175" max="7175" width="42.7109375" style="4" bestFit="1" customWidth="1"/>
    <x:col min="7176" max="7176" width="13.85546875" style="4" bestFit="1" customWidth="1"/>
    <x:col min="7177" max="7424" width="9.140625" style="4"/>
    <x:col min="7425" max="7425" width="29.28515625" style="4" bestFit="1" customWidth="1"/>
    <x:col min="7426" max="7426" width="17.42578125" style="4" bestFit="1" customWidth="1"/>
    <x:col min="7427" max="7427" width="34.28515625" style="4" bestFit="1" customWidth="1"/>
    <x:col min="7428" max="7428" width="15" style="4" bestFit="1" customWidth="1"/>
    <x:col min="7429" max="7429" width="24.42578125" style="4" bestFit="1" customWidth="1"/>
    <x:col min="7430" max="7430" width="2.7109375" style="4" customWidth="1"/>
    <x:col min="7431" max="7431" width="42.7109375" style="4" bestFit="1" customWidth="1"/>
    <x:col min="7432" max="7432" width="13.85546875" style="4" bestFit="1" customWidth="1"/>
    <x:col min="7433" max="7680" width="9.140625" style="4"/>
    <x:col min="7681" max="7681" width="29.28515625" style="4" bestFit="1" customWidth="1"/>
    <x:col min="7682" max="7682" width="17.42578125" style="4" bestFit="1" customWidth="1"/>
    <x:col min="7683" max="7683" width="34.28515625" style="4" bestFit="1" customWidth="1"/>
    <x:col min="7684" max="7684" width="15" style="4" bestFit="1" customWidth="1"/>
    <x:col min="7685" max="7685" width="24.42578125" style="4" bestFit="1" customWidth="1"/>
    <x:col min="7686" max="7686" width="2.7109375" style="4" customWidth="1"/>
    <x:col min="7687" max="7687" width="42.7109375" style="4" bestFit="1" customWidth="1"/>
    <x:col min="7688" max="7688" width="13.85546875" style="4" bestFit="1" customWidth="1"/>
    <x:col min="7689" max="7936" width="9.140625" style="4"/>
    <x:col min="7937" max="7937" width="29.28515625" style="4" bestFit="1" customWidth="1"/>
    <x:col min="7938" max="7938" width="17.42578125" style="4" bestFit="1" customWidth="1"/>
    <x:col min="7939" max="7939" width="34.28515625" style="4" bestFit="1" customWidth="1"/>
    <x:col min="7940" max="7940" width="15" style="4" bestFit="1" customWidth="1"/>
    <x:col min="7941" max="7941" width="24.42578125" style="4" bestFit="1" customWidth="1"/>
    <x:col min="7942" max="7942" width="2.7109375" style="4" customWidth="1"/>
    <x:col min="7943" max="7943" width="42.7109375" style="4" bestFit="1" customWidth="1"/>
    <x:col min="7944" max="7944" width="13.85546875" style="4" bestFit="1" customWidth="1"/>
    <x:col min="7945" max="8192" width="9.140625" style="4"/>
    <x:col min="8193" max="8193" width="29.28515625" style="4" bestFit="1" customWidth="1"/>
    <x:col min="8194" max="8194" width="17.42578125" style="4" bestFit="1" customWidth="1"/>
    <x:col min="8195" max="8195" width="34.28515625" style="4" bestFit="1" customWidth="1"/>
    <x:col min="8196" max="8196" width="15" style="4" bestFit="1" customWidth="1"/>
    <x:col min="8197" max="8197" width="24.42578125" style="4" bestFit="1" customWidth="1"/>
    <x:col min="8198" max="8198" width="2.7109375" style="4" customWidth="1"/>
    <x:col min="8199" max="8199" width="42.7109375" style="4" bestFit="1" customWidth="1"/>
    <x:col min="8200" max="8200" width="13.85546875" style="4" bestFit="1" customWidth="1"/>
    <x:col min="8201" max="8448" width="9.140625" style="4"/>
    <x:col min="8449" max="8449" width="29.28515625" style="4" bestFit="1" customWidth="1"/>
    <x:col min="8450" max="8450" width="17.42578125" style="4" bestFit="1" customWidth="1"/>
    <x:col min="8451" max="8451" width="34.28515625" style="4" bestFit="1" customWidth="1"/>
    <x:col min="8452" max="8452" width="15" style="4" bestFit="1" customWidth="1"/>
    <x:col min="8453" max="8453" width="24.42578125" style="4" bestFit="1" customWidth="1"/>
    <x:col min="8454" max="8454" width="2.7109375" style="4" customWidth="1"/>
    <x:col min="8455" max="8455" width="42.7109375" style="4" bestFit="1" customWidth="1"/>
    <x:col min="8456" max="8456" width="13.85546875" style="4" bestFit="1" customWidth="1"/>
    <x:col min="8457" max="8704" width="9.140625" style="4"/>
    <x:col min="8705" max="8705" width="29.28515625" style="4" bestFit="1" customWidth="1"/>
    <x:col min="8706" max="8706" width="17.42578125" style="4" bestFit="1" customWidth="1"/>
    <x:col min="8707" max="8707" width="34.28515625" style="4" bestFit="1" customWidth="1"/>
    <x:col min="8708" max="8708" width="15" style="4" bestFit="1" customWidth="1"/>
    <x:col min="8709" max="8709" width="24.42578125" style="4" bestFit="1" customWidth="1"/>
    <x:col min="8710" max="8710" width="2.7109375" style="4" customWidth="1"/>
    <x:col min="8711" max="8711" width="42.7109375" style="4" bestFit="1" customWidth="1"/>
    <x:col min="8712" max="8712" width="13.85546875" style="4" bestFit="1" customWidth="1"/>
    <x:col min="8713" max="8960" width="9.140625" style="4"/>
    <x:col min="8961" max="8961" width="29.28515625" style="4" bestFit="1" customWidth="1"/>
    <x:col min="8962" max="8962" width="17.42578125" style="4" bestFit="1" customWidth="1"/>
    <x:col min="8963" max="8963" width="34.28515625" style="4" bestFit="1" customWidth="1"/>
    <x:col min="8964" max="8964" width="15" style="4" bestFit="1" customWidth="1"/>
    <x:col min="8965" max="8965" width="24.42578125" style="4" bestFit="1" customWidth="1"/>
    <x:col min="8966" max="8966" width="2.7109375" style="4" customWidth="1"/>
    <x:col min="8967" max="8967" width="42.7109375" style="4" bestFit="1" customWidth="1"/>
    <x:col min="8968" max="8968" width="13.85546875" style="4" bestFit="1" customWidth="1"/>
    <x:col min="8969" max="9216" width="9.140625" style="4"/>
    <x:col min="9217" max="9217" width="29.28515625" style="4" bestFit="1" customWidth="1"/>
    <x:col min="9218" max="9218" width="17.42578125" style="4" bestFit="1" customWidth="1"/>
    <x:col min="9219" max="9219" width="34.28515625" style="4" bestFit="1" customWidth="1"/>
    <x:col min="9220" max="9220" width="15" style="4" bestFit="1" customWidth="1"/>
    <x:col min="9221" max="9221" width="24.42578125" style="4" bestFit="1" customWidth="1"/>
    <x:col min="9222" max="9222" width="2.7109375" style="4" customWidth="1"/>
    <x:col min="9223" max="9223" width="42.7109375" style="4" bestFit="1" customWidth="1"/>
    <x:col min="9224" max="9224" width="13.85546875" style="4" bestFit="1" customWidth="1"/>
    <x:col min="9225" max="9472" width="9.140625" style="4"/>
    <x:col min="9473" max="9473" width="29.28515625" style="4" bestFit="1" customWidth="1"/>
    <x:col min="9474" max="9474" width="17.42578125" style="4" bestFit="1" customWidth="1"/>
    <x:col min="9475" max="9475" width="34.28515625" style="4" bestFit="1" customWidth="1"/>
    <x:col min="9476" max="9476" width="15" style="4" bestFit="1" customWidth="1"/>
    <x:col min="9477" max="9477" width="24.42578125" style="4" bestFit="1" customWidth="1"/>
    <x:col min="9478" max="9478" width="2.7109375" style="4" customWidth="1"/>
    <x:col min="9479" max="9479" width="42.7109375" style="4" bestFit="1" customWidth="1"/>
    <x:col min="9480" max="9480" width="13.85546875" style="4" bestFit="1" customWidth="1"/>
    <x:col min="9481" max="9728" width="9.140625" style="4"/>
    <x:col min="9729" max="9729" width="29.28515625" style="4" bestFit="1" customWidth="1"/>
    <x:col min="9730" max="9730" width="17.42578125" style="4" bestFit="1" customWidth="1"/>
    <x:col min="9731" max="9731" width="34.28515625" style="4" bestFit="1" customWidth="1"/>
    <x:col min="9732" max="9732" width="15" style="4" bestFit="1" customWidth="1"/>
    <x:col min="9733" max="9733" width="24.42578125" style="4" bestFit="1" customWidth="1"/>
    <x:col min="9734" max="9734" width="2.7109375" style="4" customWidth="1"/>
    <x:col min="9735" max="9735" width="42.7109375" style="4" bestFit="1" customWidth="1"/>
    <x:col min="9736" max="9736" width="13.85546875" style="4" bestFit="1" customWidth="1"/>
    <x:col min="9737" max="9984" width="9.140625" style="4"/>
    <x:col min="9985" max="9985" width="29.28515625" style="4" bestFit="1" customWidth="1"/>
    <x:col min="9986" max="9986" width="17.42578125" style="4" bestFit="1" customWidth="1"/>
    <x:col min="9987" max="9987" width="34.28515625" style="4" bestFit="1" customWidth="1"/>
    <x:col min="9988" max="9988" width="15" style="4" bestFit="1" customWidth="1"/>
    <x:col min="9989" max="9989" width="24.42578125" style="4" bestFit="1" customWidth="1"/>
    <x:col min="9990" max="9990" width="2.7109375" style="4" customWidth="1"/>
    <x:col min="9991" max="9991" width="42.7109375" style="4" bestFit="1" customWidth="1"/>
    <x:col min="9992" max="9992" width="13.85546875" style="4" bestFit="1" customWidth="1"/>
    <x:col min="9993" max="10240" width="9.140625" style="4"/>
    <x:col min="10241" max="10241" width="29.28515625" style="4" bestFit="1" customWidth="1"/>
    <x:col min="10242" max="10242" width="17.42578125" style="4" bestFit="1" customWidth="1"/>
    <x:col min="10243" max="10243" width="34.28515625" style="4" bestFit="1" customWidth="1"/>
    <x:col min="10244" max="10244" width="15" style="4" bestFit="1" customWidth="1"/>
    <x:col min="10245" max="10245" width="24.42578125" style="4" bestFit="1" customWidth="1"/>
    <x:col min="10246" max="10246" width="2.7109375" style="4" customWidth="1"/>
    <x:col min="10247" max="10247" width="42.7109375" style="4" bestFit="1" customWidth="1"/>
    <x:col min="10248" max="10248" width="13.85546875" style="4" bestFit="1" customWidth="1"/>
    <x:col min="10249" max="10496" width="9.140625" style="4"/>
    <x:col min="10497" max="10497" width="29.28515625" style="4" bestFit="1" customWidth="1"/>
    <x:col min="10498" max="10498" width="17.42578125" style="4" bestFit="1" customWidth="1"/>
    <x:col min="10499" max="10499" width="34.28515625" style="4" bestFit="1" customWidth="1"/>
    <x:col min="10500" max="10500" width="15" style="4" bestFit="1" customWidth="1"/>
    <x:col min="10501" max="10501" width="24.42578125" style="4" bestFit="1" customWidth="1"/>
    <x:col min="10502" max="10502" width="2.7109375" style="4" customWidth="1"/>
    <x:col min="10503" max="10503" width="42.7109375" style="4" bestFit="1" customWidth="1"/>
    <x:col min="10504" max="10504" width="13.85546875" style="4" bestFit="1" customWidth="1"/>
    <x:col min="10505" max="10752" width="9.140625" style="4"/>
    <x:col min="10753" max="10753" width="29.28515625" style="4" bestFit="1" customWidth="1"/>
    <x:col min="10754" max="10754" width="17.42578125" style="4" bestFit="1" customWidth="1"/>
    <x:col min="10755" max="10755" width="34.28515625" style="4" bestFit="1" customWidth="1"/>
    <x:col min="10756" max="10756" width="15" style="4" bestFit="1" customWidth="1"/>
    <x:col min="10757" max="10757" width="24.42578125" style="4" bestFit="1" customWidth="1"/>
    <x:col min="10758" max="10758" width="2.7109375" style="4" customWidth="1"/>
    <x:col min="10759" max="10759" width="42.7109375" style="4" bestFit="1" customWidth="1"/>
    <x:col min="10760" max="10760" width="13.85546875" style="4" bestFit="1" customWidth="1"/>
    <x:col min="10761" max="11008" width="9.140625" style="4"/>
    <x:col min="11009" max="11009" width="29.28515625" style="4" bestFit="1" customWidth="1"/>
    <x:col min="11010" max="11010" width="17.42578125" style="4" bestFit="1" customWidth="1"/>
    <x:col min="11011" max="11011" width="34.28515625" style="4" bestFit="1" customWidth="1"/>
    <x:col min="11012" max="11012" width="15" style="4" bestFit="1" customWidth="1"/>
    <x:col min="11013" max="11013" width="24.42578125" style="4" bestFit="1" customWidth="1"/>
    <x:col min="11014" max="11014" width="2.7109375" style="4" customWidth="1"/>
    <x:col min="11015" max="11015" width="42.7109375" style="4" bestFit="1" customWidth="1"/>
    <x:col min="11016" max="11016" width="13.85546875" style="4" bestFit="1" customWidth="1"/>
    <x:col min="11017" max="11264" width="9.140625" style="4"/>
    <x:col min="11265" max="11265" width="29.28515625" style="4" bestFit="1" customWidth="1"/>
    <x:col min="11266" max="11266" width="17.42578125" style="4" bestFit="1" customWidth="1"/>
    <x:col min="11267" max="11267" width="34.28515625" style="4" bestFit="1" customWidth="1"/>
    <x:col min="11268" max="11268" width="15" style="4" bestFit="1" customWidth="1"/>
    <x:col min="11269" max="11269" width="24.42578125" style="4" bestFit="1" customWidth="1"/>
    <x:col min="11270" max="11270" width="2.7109375" style="4" customWidth="1"/>
    <x:col min="11271" max="11271" width="42.7109375" style="4" bestFit="1" customWidth="1"/>
    <x:col min="11272" max="11272" width="13.85546875" style="4" bestFit="1" customWidth="1"/>
    <x:col min="11273" max="11520" width="9.140625" style="4"/>
    <x:col min="11521" max="11521" width="29.28515625" style="4" bestFit="1" customWidth="1"/>
    <x:col min="11522" max="11522" width="17.42578125" style="4" bestFit="1" customWidth="1"/>
    <x:col min="11523" max="11523" width="34.28515625" style="4" bestFit="1" customWidth="1"/>
    <x:col min="11524" max="11524" width="15" style="4" bestFit="1" customWidth="1"/>
    <x:col min="11525" max="11525" width="24.42578125" style="4" bestFit="1" customWidth="1"/>
    <x:col min="11526" max="11526" width="2.7109375" style="4" customWidth="1"/>
    <x:col min="11527" max="11527" width="42.7109375" style="4" bestFit="1" customWidth="1"/>
    <x:col min="11528" max="11528" width="13.85546875" style="4" bestFit="1" customWidth="1"/>
    <x:col min="11529" max="11776" width="9.140625" style="4"/>
    <x:col min="11777" max="11777" width="29.28515625" style="4" bestFit="1" customWidth="1"/>
    <x:col min="11778" max="11778" width="17.42578125" style="4" bestFit="1" customWidth="1"/>
    <x:col min="11779" max="11779" width="34.28515625" style="4" bestFit="1" customWidth="1"/>
    <x:col min="11780" max="11780" width="15" style="4" bestFit="1" customWidth="1"/>
    <x:col min="11781" max="11781" width="24.42578125" style="4" bestFit="1" customWidth="1"/>
    <x:col min="11782" max="11782" width="2.7109375" style="4" customWidth="1"/>
    <x:col min="11783" max="11783" width="42.7109375" style="4" bestFit="1" customWidth="1"/>
    <x:col min="11784" max="11784" width="13.85546875" style="4" bestFit="1" customWidth="1"/>
    <x:col min="11785" max="12032" width="9.140625" style="4"/>
    <x:col min="12033" max="12033" width="29.28515625" style="4" bestFit="1" customWidth="1"/>
    <x:col min="12034" max="12034" width="17.42578125" style="4" bestFit="1" customWidth="1"/>
    <x:col min="12035" max="12035" width="34.28515625" style="4" bestFit="1" customWidth="1"/>
    <x:col min="12036" max="12036" width="15" style="4" bestFit="1" customWidth="1"/>
    <x:col min="12037" max="12037" width="24.42578125" style="4" bestFit="1" customWidth="1"/>
    <x:col min="12038" max="12038" width="2.7109375" style="4" customWidth="1"/>
    <x:col min="12039" max="12039" width="42.7109375" style="4" bestFit="1" customWidth="1"/>
    <x:col min="12040" max="12040" width="13.85546875" style="4" bestFit="1" customWidth="1"/>
    <x:col min="12041" max="12288" width="9.140625" style="4"/>
    <x:col min="12289" max="12289" width="29.28515625" style="4" bestFit="1" customWidth="1"/>
    <x:col min="12290" max="12290" width="17.42578125" style="4" bestFit="1" customWidth="1"/>
    <x:col min="12291" max="12291" width="34.28515625" style="4" bestFit="1" customWidth="1"/>
    <x:col min="12292" max="12292" width="15" style="4" bestFit="1" customWidth="1"/>
    <x:col min="12293" max="12293" width="24.42578125" style="4" bestFit="1" customWidth="1"/>
    <x:col min="12294" max="12294" width="2.7109375" style="4" customWidth="1"/>
    <x:col min="12295" max="12295" width="42.7109375" style="4" bestFit="1" customWidth="1"/>
    <x:col min="12296" max="12296" width="13.85546875" style="4" bestFit="1" customWidth="1"/>
    <x:col min="12297" max="12544" width="9.140625" style="4"/>
    <x:col min="12545" max="12545" width="29.28515625" style="4" bestFit="1" customWidth="1"/>
    <x:col min="12546" max="12546" width="17.42578125" style="4" bestFit="1" customWidth="1"/>
    <x:col min="12547" max="12547" width="34.28515625" style="4" bestFit="1" customWidth="1"/>
    <x:col min="12548" max="12548" width="15" style="4" bestFit="1" customWidth="1"/>
    <x:col min="12549" max="12549" width="24.42578125" style="4" bestFit="1" customWidth="1"/>
    <x:col min="12550" max="12550" width="2.7109375" style="4" customWidth="1"/>
    <x:col min="12551" max="12551" width="42.7109375" style="4" bestFit="1" customWidth="1"/>
    <x:col min="12552" max="12552" width="13.85546875" style="4" bestFit="1" customWidth="1"/>
    <x:col min="12553" max="12800" width="9.140625" style="4"/>
    <x:col min="12801" max="12801" width="29.28515625" style="4" bestFit="1" customWidth="1"/>
    <x:col min="12802" max="12802" width="17.42578125" style="4" bestFit="1" customWidth="1"/>
    <x:col min="12803" max="12803" width="34.28515625" style="4" bestFit="1" customWidth="1"/>
    <x:col min="12804" max="12804" width="15" style="4" bestFit="1" customWidth="1"/>
    <x:col min="12805" max="12805" width="24.42578125" style="4" bestFit="1" customWidth="1"/>
    <x:col min="12806" max="12806" width="2.7109375" style="4" customWidth="1"/>
    <x:col min="12807" max="12807" width="42.7109375" style="4" bestFit="1" customWidth="1"/>
    <x:col min="12808" max="12808" width="13.85546875" style="4" bestFit="1" customWidth="1"/>
    <x:col min="12809" max="13056" width="9.140625" style="4"/>
    <x:col min="13057" max="13057" width="29.28515625" style="4" bestFit="1" customWidth="1"/>
    <x:col min="13058" max="13058" width="17.42578125" style="4" bestFit="1" customWidth="1"/>
    <x:col min="13059" max="13059" width="34.28515625" style="4" bestFit="1" customWidth="1"/>
    <x:col min="13060" max="13060" width="15" style="4" bestFit="1" customWidth="1"/>
    <x:col min="13061" max="13061" width="24.42578125" style="4" bestFit="1" customWidth="1"/>
    <x:col min="13062" max="13062" width="2.7109375" style="4" customWidth="1"/>
    <x:col min="13063" max="13063" width="42.7109375" style="4" bestFit="1" customWidth="1"/>
    <x:col min="13064" max="13064" width="13.85546875" style="4" bestFit="1" customWidth="1"/>
    <x:col min="13065" max="13312" width="9.140625" style="4"/>
    <x:col min="13313" max="13313" width="29.28515625" style="4" bestFit="1" customWidth="1"/>
    <x:col min="13314" max="13314" width="17.42578125" style="4" bestFit="1" customWidth="1"/>
    <x:col min="13315" max="13315" width="34.28515625" style="4" bestFit="1" customWidth="1"/>
    <x:col min="13316" max="13316" width="15" style="4" bestFit="1" customWidth="1"/>
    <x:col min="13317" max="13317" width="24.42578125" style="4" bestFit="1" customWidth="1"/>
    <x:col min="13318" max="13318" width="2.7109375" style="4" customWidth="1"/>
    <x:col min="13319" max="13319" width="42.7109375" style="4" bestFit="1" customWidth="1"/>
    <x:col min="13320" max="13320" width="13.85546875" style="4" bestFit="1" customWidth="1"/>
    <x:col min="13321" max="13568" width="9.140625" style="4"/>
    <x:col min="13569" max="13569" width="29.28515625" style="4" bestFit="1" customWidth="1"/>
    <x:col min="13570" max="13570" width="17.42578125" style="4" bestFit="1" customWidth="1"/>
    <x:col min="13571" max="13571" width="34.28515625" style="4" bestFit="1" customWidth="1"/>
    <x:col min="13572" max="13572" width="15" style="4" bestFit="1" customWidth="1"/>
    <x:col min="13573" max="13573" width="24.42578125" style="4" bestFit="1" customWidth="1"/>
    <x:col min="13574" max="13574" width="2.7109375" style="4" customWidth="1"/>
    <x:col min="13575" max="13575" width="42.7109375" style="4" bestFit="1" customWidth="1"/>
    <x:col min="13576" max="13576" width="13.85546875" style="4" bestFit="1" customWidth="1"/>
    <x:col min="13577" max="13824" width="9.140625" style="4"/>
    <x:col min="13825" max="13825" width="29.28515625" style="4" bestFit="1" customWidth="1"/>
    <x:col min="13826" max="13826" width="17.42578125" style="4" bestFit="1" customWidth="1"/>
    <x:col min="13827" max="13827" width="34.28515625" style="4" bestFit="1" customWidth="1"/>
    <x:col min="13828" max="13828" width="15" style="4" bestFit="1" customWidth="1"/>
    <x:col min="13829" max="13829" width="24.42578125" style="4" bestFit="1" customWidth="1"/>
    <x:col min="13830" max="13830" width="2.7109375" style="4" customWidth="1"/>
    <x:col min="13831" max="13831" width="42.7109375" style="4" bestFit="1" customWidth="1"/>
    <x:col min="13832" max="13832" width="13.85546875" style="4" bestFit="1" customWidth="1"/>
    <x:col min="13833" max="14080" width="9.140625" style="4"/>
    <x:col min="14081" max="14081" width="29.28515625" style="4" bestFit="1" customWidth="1"/>
    <x:col min="14082" max="14082" width="17.42578125" style="4" bestFit="1" customWidth="1"/>
    <x:col min="14083" max="14083" width="34.28515625" style="4" bestFit="1" customWidth="1"/>
    <x:col min="14084" max="14084" width="15" style="4" bestFit="1" customWidth="1"/>
    <x:col min="14085" max="14085" width="24.42578125" style="4" bestFit="1" customWidth="1"/>
    <x:col min="14086" max="14086" width="2.7109375" style="4" customWidth="1"/>
    <x:col min="14087" max="14087" width="42.7109375" style="4" bestFit="1" customWidth="1"/>
    <x:col min="14088" max="14088" width="13.85546875" style="4" bestFit="1" customWidth="1"/>
    <x:col min="14089" max="14336" width="9.140625" style="4"/>
    <x:col min="14337" max="14337" width="29.28515625" style="4" bestFit="1" customWidth="1"/>
    <x:col min="14338" max="14338" width="17.42578125" style="4" bestFit="1" customWidth="1"/>
    <x:col min="14339" max="14339" width="34.28515625" style="4" bestFit="1" customWidth="1"/>
    <x:col min="14340" max="14340" width="15" style="4" bestFit="1" customWidth="1"/>
    <x:col min="14341" max="14341" width="24.42578125" style="4" bestFit="1" customWidth="1"/>
    <x:col min="14342" max="14342" width="2.7109375" style="4" customWidth="1"/>
    <x:col min="14343" max="14343" width="42.7109375" style="4" bestFit="1" customWidth="1"/>
    <x:col min="14344" max="14344" width="13.85546875" style="4" bestFit="1" customWidth="1"/>
    <x:col min="14345" max="14592" width="9.140625" style="4"/>
    <x:col min="14593" max="14593" width="29.28515625" style="4" bestFit="1" customWidth="1"/>
    <x:col min="14594" max="14594" width="17.42578125" style="4" bestFit="1" customWidth="1"/>
    <x:col min="14595" max="14595" width="34.28515625" style="4" bestFit="1" customWidth="1"/>
    <x:col min="14596" max="14596" width="15" style="4" bestFit="1" customWidth="1"/>
    <x:col min="14597" max="14597" width="24.42578125" style="4" bestFit="1" customWidth="1"/>
    <x:col min="14598" max="14598" width="2.7109375" style="4" customWidth="1"/>
    <x:col min="14599" max="14599" width="42.7109375" style="4" bestFit="1" customWidth="1"/>
    <x:col min="14600" max="14600" width="13.85546875" style="4" bestFit="1" customWidth="1"/>
    <x:col min="14601" max="14848" width="9.140625" style="4"/>
    <x:col min="14849" max="14849" width="29.28515625" style="4" bestFit="1" customWidth="1"/>
    <x:col min="14850" max="14850" width="17.42578125" style="4" bestFit="1" customWidth="1"/>
    <x:col min="14851" max="14851" width="34.28515625" style="4" bestFit="1" customWidth="1"/>
    <x:col min="14852" max="14852" width="15" style="4" bestFit="1" customWidth="1"/>
    <x:col min="14853" max="14853" width="24.42578125" style="4" bestFit="1" customWidth="1"/>
    <x:col min="14854" max="14854" width="2.7109375" style="4" customWidth="1"/>
    <x:col min="14855" max="14855" width="42.7109375" style="4" bestFit="1" customWidth="1"/>
    <x:col min="14856" max="14856" width="13.85546875" style="4" bestFit="1" customWidth="1"/>
    <x:col min="14857" max="15104" width="9.140625" style="4"/>
    <x:col min="15105" max="15105" width="29.28515625" style="4" bestFit="1" customWidth="1"/>
    <x:col min="15106" max="15106" width="17.42578125" style="4" bestFit="1" customWidth="1"/>
    <x:col min="15107" max="15107" width="34.28515625" style="4" bestFit="1" customWidth="1"/>
    <x:col min="15108" max="15108" width="15" style="4" bestFit="1" customWidth="1"/>
    <x:col min="15109" max="15109" width="24.42578125" style="4" bestFit="1" customWidth="1"/>
    <x:col min="15110" max="15110" width="2.7109375" style="4" customWidth="1"/>
    <x:col min="15111" max="15111" width="42.7109375" style="4" bestFit="1" customWidth="1"/>
    <x:col min="15112" max="15112" width="13.85546875" style="4" bestFit="1" customWidth="1"/>
    <x:col min="15113" max="15360" width="9.140625" style="4"/>
    <x:col min="15361" max="15361" width="29.28515625" style="4" bestFit="1" customWidth="1"/>
    <x:col min="15362" max="15362" width="17.42578125" style="4" bestFit="1" customWidth="1"/>
    <x:col min="15363" max="15363" width="34.28515625" style="4" bestFit="1" customWidth="1"/>
    <x:col min="15364" max="15364" width="15" style="4" bestFit="1" customWidth="1"/>
    <x:col min="15365" max="15365" width="24.42578125" style="4" bestFit="1" customWidth="1"/>
    <x:col min="15366" max="15366" width="2.7109375" style="4" customWidth="1"/>
    <x:col min="15367" max="15367" width="42.7109375" style="4" bestFit="1" customWidth="1"/>
    <x:col min="15368" max="15368" width="13.85546875" style="4" bestFit="1" customWidth="1"/>
    <x:col min="15369" max="15616" width="9.140625" style="4"/>
    <x:col min="15617" max="15617" width="29.28515625" style="4" bestFit="1" customWidth="1"/>
    <x:col min="15618" max="15618" width="17.42578125" style="4" bestFit="1" customWidth="1"/>
    <x:col min="15619" max="15619" width="34.28515625" style="4" bestFit="1" customWidth="1"/>
    <x:col min="15620" max="15620" width="15" style="4" bestFit="1" customWidth="1"/>
    <x:col min="15621" max="15621" width="24.42578125" style="4" bestFit="1" customWidth="1"/>
    <x:col min="15622" max="15622" width="2.7109375" style="4" customWidth="1"/>
    <x:col min="15623" max="15623" width="42.7109375" style="4" bestFit="1" customWidth="1"/>
    <x:col min="15624" max="15624" width="13.85546875" style="4" bestFit="1" customWidth="1"/>
    <x:col min="15625" max="15872" width="9.140625" style="4"/>
    <x:col min="15873" max="15873" width="29.28515625" style="4" bestFit="1" customWidth="1"/>
    <x:col min="15874" max="15874" width="17.42578125" style="4" bestFit="1" customWidth="1"/>
    <x:col min="15875" max="15875" width="34.28515625" style="4" bestFit="1" customWidth="1"/>
    <x:col min="15876" max="15876" width="15" style="4" bestFit="1" customWidth="1"/>
    <x:col min="15877" max="15877" width="24.42578125" style="4" bestFit="1" customWidth="1"/>
    <x:col min="15878" max="15878" width="2.7109375" style="4" customWidth="1"/>
    <x:col min="15879" max="15879" width="42.7109375" style="4" bestFit="1" customWidth="1"/>
    <x:col min="15880" max="15880" width="13.85546875" style="4" bestFit="1" customWidth="1"/>
    <x:col min="15881" max="16128" width="9.140625" style="4"/>
    <x:col min="16129" max="16129" width="29.28515625" style="4" bestFit="1" customWidth="1"/>
    <x:col min="16130" max="16130" width="17.42578125" style="4" bestFit="1" customWidth="1"/>
    <x:col min="16131" max="16131" width="34.28515625" style="4" bestFit="1" customWidth="1"/>
    <x:col min="16132" max="16132" width="15" style="4" bestFit="1" customWidth="1"/>
    <x:col min="16133" max="16133" width="24.42578125" style="4" bestFit="1" customWidth="1"/>
    <x:col min="16134" max="16134" width="2.7109375" style="4" customWidth="1"/>
    <x:col min="16135" max="16135" width="42.7109375" style="4" bestFit="1" customWidth="1"/>
    <x:col min="16136" max="16136" width="13.85546875" style="4" bestFit="1" customWidth="1"/>
    <x:col min="16137" max="16384" width="9.140625" style="4"/>
  </x:cols>
  <x:sheetData>
    <x:row r="1" spans="1:9" x14ac:dyDescent="0.2">
      <x:c r="A1" s="3" t="s">
        <x:v>0</x:v>
      </x:c>
    </x:row>
    <x:row r="2" spans="1:9" x14ac:dyDescent="0.2">
      <x:c r="A2" s="3"/>
    </x:row>
    <x:row r="3" spans="1:9" x14ac:dyDescent="0.2">
      <x:c r="C3" s="5" t="s">
        <x:v>1</x:v>
      </x:c>
      <x:c r="D3" s="6"/>
      <x:c r="E3" s="6" t="s">
        <x:v>2</x:v>
      </x:c>
      <x:c r="F3" s="6" t="s">
        <x:v>3</x:v>
      </x:c>
      <x:c r="H3" s="6" t="s">
        <x:v>4</x:v>
      </x:c>
    </x:row>
    <x:row r="4" spans="1:9" x14ac:dyDescent="0.2">
      <x:c r="C4" s="7" t="s">
        <x:v>5</x:v>
      </x:c>
      <x:c r="D4" s="8" t="s">
        <x:v>6</x:v>
      </x:c>
      <x:c r="E4" s="8" t="s">
        <x:v>7</x:v>
      </x:c>
      <x:c r="F4" s="8" t="s">
        <x:v>8</x:v>
      </x:c>
      <x:c r="H4" s="8" t="s">
        <x:v>9</x:v>
      </x:c>
      <x:c r="I4" s="9" t="s">
        <x:v>10</x:v>
      </x:c>
    </x:row>
    <x:row r="5" spans="1:9" x14ac:dyDescent="0.2">
      <x:c r="A5" s="10" t="s">
        <x:v>11</x:v>
      </x:c>
      <x:c r="B5" s="11" t="s">
        <x:v>12</x:v>
      </x:c>
      <x:c r="C5" s="1">
        <x:v>99354068.510000005</x:v>
      </x:c>
      <x:c r="D5" s="12">
        <x:v>0.12172761089131789</x:v>
      </x:c>
      <x:c r="E5" s="1">
        <x:f>C5*D5</x:f>
        <x:v>12094133.392054621</x:v>
      </x:c>
      <x:c r="F5" s="1">
        <x:f t="shared" ref="F5:F10" si="0">C5+E5</x:f>
        <x:v>111448201.90205462</x:v>
      </x:c>
      <x:c r="H5" s="4" t="s">
        <x:v>13</x:v>
      </x:c>
    </x:row>
    <x:row r="6" spans="1:9" x14ac:dyDescent="0.2">
      <x:c r="A6" s="10" t="s">
        <x:v>14</x:v>
      </x:c>
      <x:c r="B6" s="11" t="s">
        <x:v>15</x:v>
      </x:c>
      <x:c r="C6" s="1">
        <x:v>100939726.8</x:v>
      </x:c>
      <x:c r="D6" s="12">
        <x:v>5.5996231760178761E-2</x:v>
      </x:c>
      <x:c r="E6" s="1">
        <x:f>C6*D6</x:f>
        <x:v>5652244.3357019266</x:v>
      </x:c>
      <x:c r="F6" s="1">
        <x:f t="shared" si="0"/>
        <x:v>106591971.13570192</x:v>
      </x:c>
      <x:c r="H6" s="4" t="str">
        <x:f>H5</x:f>
        <x:v>Percentage increase based on March 21, 2025 annualized</x:v>
      </x:c>
    </x:row>
    <x:row r="7" spans="1:9" x14ac:dyDescent="0.2">
      <x:c r="A7" s="10" t="s">
        <x:v>16</x:v>
      </x:c>
      <x:c r="B7" s="11" t="s">
        <x:v>17</x:v>
      </x:c>
      <x:c r="C7" s="1">
        <x:v>0</x:v>
      </x:c>
      <x:c r="E7" s="1">
        <x:f>C7*D7</x:f>
        <x:v>0</x:v>
      </x:c>
      <x:c r="F7" s="1">
        <x:f t="shared" si="0"/>
        <x:v>0</x:v>
      </x:c>
    </x:row>
    <x:row r="8" spans="1:9" x14ac:dyDescent="0.2">
      <x:c r="A8" s="10" t="s">
        <x:v>18</x:v>
      </x:c>
      <x:c r="B8" s="11" t="s">
        <x:v>19</x:v>
      </x:c>
      <x:c r="C8" s="1">
        <x:v>1554.35</x:v>
      </x:c>
      <x:c r="E8" s="1">
        <x:f>C8*D8</x:f>
        <x:v>0</x:v>
      </x:c>
      <x:c r="F8" s="1">
        <x:f t="shared" si="0"/>
        <x:v>1554.35</x:v>
      </x:c>
    </x:row>
    <x:row r="9" spans="1:9" x14ac:dyDescent="0.2">
      <x:c r="A9" s="10" t="s">
        <x:v>20</x:v>
      </x:c>
      <x:c r="B9" s="11" t="s">
        <x:v>21</x:v>
      </x:c>
      <x:c r="C9" s="1">
        <x:v>39699284.880000003</x:v>
      </x:c>
      <x:c r="D9" s="12">
        <x:f>C9/C6</x:f>
        <x:v>0.39329693212524136</x:v>
      </x:c>
      <x:c r="E9" s="1">
        <x:f>D9*E6</x:f>
        <x:v>2223010.3568538404</x:v>
      </x:c>
      <x:c r="F9" s="1">
        <x:f t="shared" si="0"/>
        <x:v>41922295.236853845</x:v>
      </x:c>
      <x:c r="H9" s="4" t="s">
        <x:v>22</x:v>
      </x:c>
    </x:row>
    <x:row r="10" spans="1:9" x14ac:dyDescent="0.2">
      <x:c r="A10" s="10" t="s">
        <x:v>23</x:v>
      </x:c>
      <x:c r="B10" s="11" t="s">
        <x:v>24</x:v>
      </x:c>
      <x:c r="C10" s="13">
        <x:v>0</x:v>
      </x:c>
      <x:c r="E10" s="13"/>
      <x:c r="F10" s="13">
        <x:f t="shared" si="0"/>
        <x:v>0</x:v>
      </x:c>
    </x:row>
    <x:row r="11" spans="1:9" x14ac:dyDescent="0.2">
      <x:c r="A11" s="10"/>
      <x:c r="B11" s="11" t="s">
        <x:v>25</x:v>
      </x:c>
      <x:c r="C11" s="1">
        <x:f>SUM(C5:C10)</x:f>
        <x:v>239994634.53999999</x:v>
      </x:c>
      <x:c r="D11" s="1"/>
      <x:c r="E11" s="1">
        <x:f>SUM(E5:E10)</x:f>
        <x:v>19969388.084610388</x:v>
      </x:c>
      <x:c r="F11" s="1">
        <x:f>SUM(F5:F10)</x:f>
        <x:v>259964022.62461039</x:v>
      </x:c>
      <x:c r="I11" s="2">
        <x:f>E11/C11</x:f>
        <x:v>8.3207643882897239E-2</x:v>
      </x:c>
    </x:row>
    <x:row r="12" spans="1:9" x14ac:dyDescent="0.2">
      <x:c r="C12" s="14"/>
      <x:c r="E12" s="1"/>
      <x:c r="F12" s="1"/>
    </x:row>
    <x:row r="13" spans="1:9" x14ac:dyDescent="0.2">
      <x:c r="C13" s="5"/>
      <x:c r="D13" s="6"/>
      <x:c r="E13" s="5" t="s">
        <x:v>2</x:v>
      </x:c>
      <x:c r="F13" s="5"/>
    </x:row>
    <x:row r="14" spans="1:9" x14ac:dyDescent="0.2">
      <x:c r="C14" s="7" t="s">
        <x:v>26</x:v>
      </x:c>
      <x:c r="D14" s="8" t="str">
        <x:f>D4</x:f>
        <x:v>% for 2024 &amp; 2025 merit increases annualized &amp; March 21, 2025 FTEs</x:v>
      </x:c>
      <x:c r="E14" s="7" t="s">
        <x:v>7</x:v>
      </x:c>
      <x:c r="F14" s="7" t="s">
        <x:v>27</x:v>
      </x:c>
    </x:row>
    <x:row r="15" spans="1:9" x14ac:dyDescent="0.2">
      <x:c r="A15" s="10" t="s">
        <x:v>11</x:v>
      </x:c>
      <x:c r="B15" s="11" t="s">
        <x:v>12</x:v>
      </x:c>
      <x:c r="C15" s="1">
        <x:v>28063352.5</x:v>
      </x:c>
      <x:c r="D15" s="12">
        <x:v>0.14135055800235841</x:v>
      </x:c>
      <x:c r="E15" s="1">
        <x:f>C15*D15</x:f>
        <x:v>3966770.5352918799</x:v>
      </x:c>
      <x:c r="F15" s="1">
        <x:f t="shared" ref="F15:F20" si="1">C15+E15</x:f>
        <x:v>32030123.03529188</x:v>
      </x:c>
      <x:c r="H15" s="4" t="str">
        <x:f>H5</x:f>
        <x:v>Percentage increase based on March 21, 2025 annualized</x:v>
      </x:c>
    </x:row>
    <x:row r="16" spans="1:9" x14ac:dyDescent="0.2">
      <x:c r="A16" s="10" t="s">
        <x:v>14</x:v>
      </x:c>
      <x:c r="B16" s="11" t="s">
        <x:v>15</x:v>
      </x:c>
      <x:c r="C16" s="1">
        <x:v>22896783.260000002</x:v>
      </x:c>
      <x:c r="D16" s="12">
        <x:v>6.4882338389304683E-2</x:v>
      </x:c>
      <x:c r="E16" s="1">
        <x:f>C16*D16</x:f>
        <x:v>1485596.8395018869</x:v>
      </x:c>
      <x:c r="F16" s="1">
        <x:f t="shared" si="1"/>
        <x:v>24382380.099501889</x:v>
      </x:c>
      <x:c r="H16" s="4" t="str">
        <x:f t="shared" ref="H16" si="2">H6</x:f>
        <x:v>Percentage increase based on March 21, 2025 annualized</x:v>
      </x:c>
    </x:row>
    <x:row r="17" spans="1:10" x14ac:dyDescent="0.2">
      <x:c r="A17" s="10" t="s">
        <x:v>16</x:v>
      </x:c>
      <x:c r="B17" s="11" t="s">
        <x:v>17</x:v>
      </x:c>
      <x:c r="C17" s="1">
        <x:v>5970.76</x:v>
      </x:c>
      <x:c r="D17" s="12"/>
      <x:c r="E17" s="1">
        <x:f>C17*D17</x:f>
        <x:v>0</x:v>
      </x:c>
      <x:c r="F17" s="1">
        <x:f t="shared" si="1"/>
        <x:v>5970.76</x:v>
      </x:c>
    </x:row>
    <x:row r="18" spans="1:10" x14ac:dyDescent="0.2">
      <x:c r="A18" s="10" t="s">
        <x:v>18</x:v>
      </x:c>
      <x:c r="B18" s="11" t="s">
        <x:v>19</x:v>
      </x:c>
      <x:c r="C18" s="1">
        <x:v>5779.58</x:v>
      </x:c>
      <x:c r="E18" s="1">
        <x:f>C18*D18</x:f>
        <x:v>0</x:v>
      </x:c>
      <x:c r="F18" s="1">
        <x:f t="shared" si="1"/>
        <x:v>5779.58</x:v>
      </x:c>
    </x:row>
    <x:row r="19" spans="1:10" x14ac:dyDescent="0.2">
      <x:c r="A19" s="10" t="s">
        <x:v>20</x:v>
      </x:c>
      <x:c r="B19" s="11" t="s">
        <x:v>21</x:v>
      </x:c>
      <x:c r="C19" s="1">
        <x:v>3992153.93</x:v>
      </x:c>
      <x:c r="D19" s="12">
        <x:f>C19/C16</x:f>
        <x:v>0.17435435732032167</x:v>
      </x:c>
      <x:c r="E19" s="1">
        <x:f>D19*E16</x:f>
        <x:v>259020.28218845255</x:v>
      </x:c>
      <x:c r="F19" s="1">
        <x:f t="shared" si="1"/>
        <x:v>4251174.2121884525</x:v>
      </x:c>
      <x:c r="H19" s="4" t="s">
        <x:v>22</x:v>
      </x:c>
    </x:row>
    <x:row r="20" spans="1:10" x14ac:dyDescent="0.2">
      <x:c r="A20" s="10" t="s">
        <x:v>23</x:v>
      </x:c>
      <x:c r="B20" s="11" t="s">
        <x:v>24</x:v>
      </x:c>
      <x:c r="C20" s="1">
        <x:v>0</x:v>
      </x:c>
      <x:c r="E20" s="1"/>
      <x:c r="F20" s="1">
        <x:f t="shared" si="1"/>
        <x:v>0</x:v>
      </x:c>
    </x:row>
    <x:row r="21" spans="1:10" x14ac:dyDescent="0.2">
      <x:c r="B21" s="11" t="s">
        <x:v>28</x:v>
      </x:c>
      <x:c r="C21" s="15">
        <x:f>SUM(C15:C20)</x:f>
        <x:v>54964040.030000001</x:v>
      </x:c>
      <x:c r="D21" s="1"/>
      <x:c r="E21" s="15">
        <x:f>SUM(E15:E20)</x:f>
        <x:v>5711387.6569822198</x:v>
      </x:c>
      <x:c r="F21" s="15">
        <x:f>SUM(F15:F20)</x:f>
        <x:v>60675427.686982222</x:v>
      </x:c>
      <x:c r="I21" s="2">
        <x:f>E21/C21</x:f>
        <x:v>0.10391135101904589</x:v>
      </x:c>
    </x:row>
    <x:row r="22" spans="1:10" x14ac:dyDescent="0.2">
      <x:c r="B22" s="16" t="s">
        <x:v>29</x:v>
      </x:c>
      <x:c r="C22" s="1">
        <x:f>C11+C21</x:f>
        <x:v>294958674.56999999</x:v>
      </x:c>
      <x:c r="D22" s="17" t="s">
        <x:v>30</x:v>
      </x:c>
      <x:c r="E22" s="1">
        <x:f>E11+E21</x:f>
        <x:v>25680775.741592608</x:v>
      </x:c>
      <x:c r="F22" s="1">
        <x:f>F11+F21</x:f>
        <x:v>320639450.31159264</x:v>
      </x:c>
      <x:c r="I22" s="2">
        <x:f>E22/C22</x:f>
        <x:v>8.7065673789831238E-2</x:v>
      </x:c>
    </x:row>
    <x:row r="23" spans="1:10" x14ac:dyDescent="0.2">
      <x:c r="E23" s="1"/>
      <x:c r="F23" s="1"/>
    </x:row>
    <x:row r="24" spans="1:10" x14ac:dyDescent="0.2">
      <x:c r="D24" s="6"/>
      <x:c r="E24" s="6" t="s">
        <x:v>31</x:v>
      </x:c>
      <x:c r="F24" s="6"/>
      <x:c r="J24" s="6" t="s">
        <x:v>32</x:v>
      </x:c>
    </x:row>
    <x:row r="25" spans="1:10" x14ac:dyDescent="0.2">
      <x:c r="A25" s="4" t="s">
        <x:v>33</x:v>
      </x:c>
      <x:c r="D25" s="8" t="s">
        <x:v>34</x:v>
      </x:c>
      <x:c r="E25" s="8" t="s">
        <x:v>7</x:v>
      </x:c>
      <x:c r="F25" s="6"/>
      <x:c r="J25" s="8" t="s">
        <x:v>35</x:v>
      </x:c>
    </x:row>
    <x:row r="26" spans="1:10" x14ac:dyDescent="0.2">
      <x:c r="J26" s="12">
        <x:v>0.37619999999999998</x:v>
      </x:c>
    </x:row>
    <x:row r="27" spans="1:10" x14ac:dyDescent="0.2">
      <x:c r="A27" s="10" t="s">
        <x:v>11</x:v>
      </x:c>
      <x:c r="B27" s="11" t="s">
        <x:v>12</x:v>
      </x:c>
      <x:c r="D27" s="2">
        <x:v>0</x:v>
      </x:c>
      <x:c r="E27" s="18">
        <x:f t="shared" ref="E27:E32" si="3">(F5+F15)*D27</x:f>
        <x:v>0</x:v>
      </x:c>
      <x:c r="H27" s="4" t="s">
        <x:v>36</x:v>
      </x:c>
    </x:row>
    <x:row r="28" spans="1:10" x14ac:dyDescent="0.2">
      <x:c r="A28" s="10" t="s">
        <x:v>14</x:v>
      </x:c>
      <x:c r="B28" s="11" t="s">
        <x:v>15</x:v>
      </x:c>
      <x:c r="D28" s="2">
        <x:v>3.5000000000000003E-2</x:v>
      </x:c>
      <x:c r="E28" s="18">
        <x:f>(F6)*(D28*J26)</x:f>
        <x:v>1403496.4839437872</x:v>
      </x:c>
      <x:c r="F28" s="19" t="s">
        <x:v>37</x:v>
      </x:c>
      <x:c r="H28" s="4" t="s">
        <x:v>38</x:v>
      </x:c>
    </x:row>
    <x:row r="29" spans="1:10" x14ac:dyDescent="0.2">
      <x:c r="A29" s="10" t="s">
        <x:v>16</x:v>
      </x:c>
      <x:c r="B29" s="11" t="s">
        <x:v>17</x:v>
      </x:c>
      <x:c r="D29" s="2">
        <x:v>0</x:v>
      </x:c>
      <x:c r="E29" s="18">
        <x:f t="shared" si="3"/>
        <x:v>0</x:v>
      </x:c>
      <x:c r="H29" s="4" t="s">
        <x:v>36</x:v>
      </x:c>
    </x:row>
    <x:row r="30" spans="1:10" x14ac:dyDescent="0.2">
      <x:c r="A30" s="10" t="s">
        <x:v>18</x:v>
      </x:c>
      <x:c r="B30" s="11" t="s">
        <x:v>19</x:v>
      </x:c>
      <x:c r="D30" s="2">
        <x:f>D29</x:f>
        <x:v>0</x:v>
      </x:c>
      <x:c r="E30" s="18">
        <x:f t="shared" si="3"/>
        <x:v>0</x:v>
      </x:c>
      <x:c r="H30" s="4" t="s">
        <x:v>36</x:v>
      </x:c>
    </x:row>
    <x:row r="31" spans="1:10" x14ac:dyDescent="0.2">
      <x:c r="A31" s="10" t="s">
        <x:v>20</x:v>
      </x:c>
      <x:c r="B31" s="11" t="s">
        <x:v>21</x:v>
      </x:c>
      <x:c r="D31" s="2">
        <x:f>D30</x:f>
        <x:v>0</x:v>
      </x:c>
      <x:c r="E31" s="18">
        <x:f>E28*D9</x:f>
        <x:v>551990.86138365453</x:v>
      </x:c>
      <x:c r="F31" s="20" t="s">
        <x:v>39</x:v>
      </x:c>
      <x:c r="H31" s="4" t="s">
        <x:v>38</x:v>
      </x:c>
    </x:row>
    <x:row r="32" spans="1:10" x14ac:dyDescent="0.2">
      <x:c r="A32" s="10" t="s">
        <x:v>23</x:v>
      </x:c>
      <x:c r="B32" s="11" t="s">
        <x:v>24</x:v>
      </x:c>
      <x:c r="D32" s="2">
        <x:f>D31</x:f>
        <x:v>0</x:v>
      </x:c>
      <x:c r="E32" s="21">
        <x:f t="shared" si="3"/>
        <x:v>0</x:v>
      </x:c>
      <x:c r="H32" s="4" t="s">
        <x:v>36</x:v>
      </x:c>
    </x:row>
    <x:row r="33" spans="1:9" x14ac:dyDescent="0.2">
      <x:c r="A33" s="10"/>
      <x:c r="B33" s="11"/>
      <x:c r="D33" s="22" t="s">
        <x:v>40</x:v>
      </x:c>
      <x:c r="E33" s="18">
        <x:f>SUM(E27:E32)</x:f>
        <x:v>1955487.3453274416</x:v>
      </x:c>
      <x:c r="I33" s="2"/>
    </x:row>
    <x:row r="35" spans="1:9" x14ac:dyDescent="0.2">
      <x:c r="E35" s="6" t="s">
        <x:v>41</x:v>
      </x:c>
    </x:row>
    <x:row r="36" spans="1:9" x14ac:dyDescent="0.2">
      <x:c r="E36" s="8" t="s">
        <x:v>7</x:v>
      </x:c>
    </x:row>
    <x:row r="37" spans="1:9" x14ac:dyDescent="0.2">
      <x:c r="A37" s="10" t="str">
        <x:f t="shared" ref="A37:B42" si="4">A27</x:f>
        <x:v>101</x:v>
      </x:c>
      <x:c r="B37" s="23" t="str">
        <x:f t="shared" si="4"/>
        <x:v>Regular Earnings - Exempt Empl</x:v>
      </x:c>
      <x:c r="E37" s="18">
        <x:f t="shared" ref="E37:E42" si="5">E5+E15+E27</x:f>
        <x:v>16060903.927346501</x:v>
      </x:c>
    </x:row>
    <x:row r="38" spans="1:9" x14ac:dyDescent="0.2">
      <x:c r="A38" s="10" t="str">
        <x:f t="shared" si="4"/>
        <x:v>102</x:v>
      </x:c>
      <x:c r="B38" s="23" t="str">
        <x:f t="shared" si="4"/>
        <x:v>Regular Earnings - Non-Exempt</x:v>
      </x:c>
      <x:c r="E38" s="18">
        <x:f t="shared" si="5"/>
        <x:v>8541337.6591475997</x:v>
      </x:c>
    </x:row>
    <x:row r="39" spans="1:9" x14ac:dyDescent="0.2">
      <x:c r="A39" s="10" t="str">
        <x:f t="shared" si="4"/>
        <x:v>103</x:v>
      </x:c>
      <x:c r="B39" s="23" t="str">
        <x:f t="shared" si="4"/>
        <x:v>Regular Earnings - Part-Time E</x:v>
      </x:c>
      <x:c r="E39" s="18">
        <x:f t="shared" si="5"/>
        <x:v>0</x:v>
      </x:c>
    </x:row>
    <x:row r="40" spans="1:9" x14ac:dyDescent="0.2">
      <x:c r="A40" s="10" t="str">
        <x:f t="shared" si="4"/>
        <x:v>104</x:v>
      </x:c>
      <x:c r="B40" s="23" t="str">
        <x:f t="shared" si="4"/>
        <x:v>Overtime Earnings - Exempt Emp</x:v>
      </x:c>
      <x:c r="E40" s="18">
        <x:f t="shared" si="5"/>
        <x:v>0</x:v>
      </x:c>
    </x:row>
    <x:row r="41" spans="1:9" x14ac:dyDescent="0.2">
      <x:c r="A41" s="10" t="str">
        <x:f t="shared" si="4"/>
        <x:v>105</x:v>
      </x:c>
      <x:c r="B41" s="23" t="str">
        <x:f t="shared" si="4"/>
        <x:v>Overtime Earnings - Non-Exempt</x:v>
      </x:c>
      <x:c r="E41" s="18">
        <x:f t="shared" si="5"/>
        <x:v>3034021.5004259474</x:v>
      </x:c>
    </x:row>
    <x:row r="42" spans="1:9" x14ac:dyDescent="0.2">
      <x:c r="A42" s="10" t="str">
        <x:f t="shared" si="4"/>
        <x:v>106</x:v>
      </x:c>
      <x:c r="B42" s="23" t="str">
        <x:f t="shared" si="4"/>
        <x:v>Overtime Earnings - Part-Time</x:v>
      </x:c>
      <x:c r="E42" s="21">
        <x:f t="shared" si="5"/>
        <x:v>0</x:v>
      </x:c>
    </x:row>
    <x:row r="43" spans="1:9" ht="27.75" customHeight="1" x14ac:dyDescent="0.3">
      <x:c r="B43" s="38" t="s">
        <x:v>42</x:v>
      </x:c>
      <x:c r="C43" s="39"/>
      <x:c r="D43" s="39"/>
      <x:c r="E43" s="18">
        <x:f>SUM(E37:E42)</x:f>
        <x:v>27636263.086920049</x:v>
      </x:c>
      <x:c r="F43" s="4" t="s">
        <x:v>43</x:v>
      </x:c>
      <x:c r="I43" s="2">
        <x:f>E43/C22</x:f>
        <x:v>9.3695373181375524E-2</x:v>
      </x:c>
    </x:row>
    <x:row r="45" spans="1:9" x14ac:dyDescent="0.2">
      <x:c r="A45" s="4" t="s">
        <x:v>44</x:v>
      </x:c>
    </x:row>
    <x:row r="46" spans="1:9" x14ac:dyDescent="0.2">
      <x:c r="A46" s="4" t="s">
        <x:v>45</x:v>
      </x:c>
    </x:row>
    <x:row r="48" spans="1:9" x14ac:dyDescent="0.2">
      <x:c r="A48" s="24" t="s">
        <x:v>46</x:v>
      </x:c>
      <x:c r="E48" s="6" t="s">
        <x:v>41</x:v>
      </x:c>
    </x:row>
    <x:row r="49" spans="1:12" x14ac:dyDescent="0.2">
      <x:c r="C49" s="7" t="s">
        <x:v>47</x:v>
      </x:c>
      <x:c r="D49" s="8" t="s">
        <x:v>48</x:v>
      </x:c>
      <x:c r="E49" s="8" t="s">
        <x:v>7</x:v>
      </x:c>
      <x:c r="F49" s="8" t="s">
        <x:v>46</x:v>
      </x:c>
      <x:c r="J49" s="25" t="s">
        <x:v>49</x:v>
      </x:c>
      <x:c r="K49" s="25" t="s">
        <x:v>50</x:v>
      </x:c>
    </x:row>
    <x:row r="50" spans="1:12" x14ac:dyDescent="0.2">
      <x:c r="A50" s="10" t="s">
        <x:v>51</x:v>
      </x:c>
      <x:c r="B50" s="26" t="s">
        <x:v>52</x:v>
      </x:c>
      <x:c r="C50" s="1">
        <x:v>9811378.6999999993</x:v>
      </x:c>
      <x:c r="D50" s="12">
        <x:f>D6</x:f>
        <x:v>5.5996231760178761E-2</x:v>
      </x:c>
      <x:c r="E50" s="27">
        <x:f>C50*D50</x:f>
        <x:v>549400.23557208141</x:v>
      </x:c>
      <x:c r="F50" s="1">
        <x:f>C50+E50</x:f>
        <x:v>10360778.93557208</x:v>
      </x:c>
      <x:c r="H50" s="4" t="s">
        <x:v>13</x:v>
      </x:c>
      <x:c r="J50" s="14">
        <x:f>C50/C6</x:f>
        <x:v>9.7200369082037177E-2</x:v>
      </x:c>
      <x:c r="K50" s="28">
        <x:f>F50/F6</x:f>
        <x:v>9.7200369082037177E-2</x:v>
      </x:c>
      <x:c r="L50" s="29"/>
    </x:row>
    <x:row r="51" spans="1:12" x14ac:dyDescent="0.2">
      <x:c r="A51" s="10" t="s">
        <x:v>51</x:v>
      </x:c>
      <x:c r="B51" s="26" t="s">
        <x:v>53</x:v>
      </x:c>
      <x:c r="C51" s="13">
        <x:v>2699463.36</x:v>
      </x:c>
      <x:c r="D51" s="12">
        <x:f>D16</x:f>
        <x:v>6.4882338389304683E-2</x:v>
      </x:c>
      <x:c r="E51" s="13">
        <x:f>C51*D51</x:f>
        <x:v>175147.4951930494</x:v>
      </x:c>
      <x:c r="F51" s="13">
        <x:f>C51+E51</x:f>
        <x:v>2874610.8551930492</x:v>
      </x:c>
      <x:c r="H51" s="4" t="str">
        <x:f>H50</x:f>
        <x:v>Percentage increase based on March 21, 2025 annualized</x:v>
      </x:c>
      <x:c r="J51" s="14">
        <x:f>C51/C16</x:f>
        <x:v>0.11789705695104701</x:v>
      </x:c>
      <x:c r="K51" s="28">
        <x:f>F51/F16</x:f>
        <x:v>0.11789705695104699</x:v>
      </x:c>
      <x:c r="L51" s="29"/>
    </x:row>
    <x:row r="52" spans="1:12" x14ac:dyDescent="0.2">
      <x:c r="C52" s="1">
        <x:f>SUM(C50:C51)</x:f>
        <x:v>12510842.059999999</x:v>
      </x:c>
      <x:c r="D52" s="17" t="s">
        <x:v>54</x:v>
      </x:c>
      <x:c r="E52" s="1">
        <x:f>SUM(E50:E51)</x:f>
        <x:v>724547.73076513084</x:v>
      </x:c>
      <x:c r="F52" s="1">
        <x:f>SUM(F50:F51)</x:f>
        <x:v>13235389.790765129</x:v>
      </x:c>
      <x:c r="I52" s="2">
        <x:f>E52/C52</x:f>
        <x:v>5.791358625505108E-2</x:v>
      </x:c>
    </x:row>
    <x:row r="53" spans="1:12" x14ac:dyDescent="0.2">
      <x:c r="I53" s="2"/>
    </x:row>
    <x:row r="54" spans="1:12" x14ac:dyDescent="0.2">
      <x:c r="C54" s="8" t="s">
        <x:v>46</x:v>
      </x:c>
      <x:c r="E54" s="6" t="s">
        <x:v>41</x:v>
      </x:c>
      <x:c r="I54" s="2"/>
    </x:row>
    <x:row r="55" spans="1:12" x14ac:dyDescent="0.2">
      <x:c r="C55" s="7" t="s">
        <x:v>47</x:v>
      </x:c>
      <x:c r="D55" s="8" t="s">
        <x:v>55</x:v>
      </x:c>
      <x:c r="E55" s="8" t="s">
        <x:v>7</x:v>
      </x:c>
      <x:c r="F55" s="8" t="s">
        <x:v>46</x:v>
      </x:c>
      <x:c r="I55" s="2"/>
    </x:row>
    <x:row r="56" spans="1:12" x14ac:dyDescent="0.2">
      <x:c r="A56" s="10" t="s">
        <x:v>51</x:v>
      </x:c>
      <x:c r="B56" s="26" t="s">
        <x:v>52</x:v>
      </x:c>
      <x:c r="C56" s="1">
        <x:f>F50</x:f>
        <x:v>10360778.93557208</x:v>
      </x:c>
      <x:c r="D56" s="12">
        <x:f>D28</x:f>
        <x:v>3.5000000000000003E-2</x:v>
      </x:c>
      <x:c r="E56" s="1">
        <x:f>(C56*J26)*D56</x:f>
        <x:v>136420.37624467758</x:v>
      </x:c>
      <x:c r="F56" s="1">
        <x:f>C56+E56</x:f>
        <x:v>10497199.311816758</x:v>
      </x:c>
      <x:c r="H56" s="4" t="str">
        <x:f>H28</x:f>
        <x:v>2025 merit increase not included in March 21, 2025 pay cycle</x:v>
      </x:c>
      <x:c r="I56" s="2">
        <x:f>E56/C56/J26</x:f>
        <x:v>3.5000000000000003E-2</x:v>
      </x:c>
    </x:row>
    <x:row r="57" spans="1:12" x14ac:dyDescent="0.2">
      <x:c r="A57" s="10" t="s">
        <x:v>51</x:v>
      </x:c>
      <x:c r="B57" s="26" t="s">
        <x:v>53</x:v>
      </x:c>
      <x:c r="C57" s="13">
        <x:f>F51</x:f>
        <x:v>2874610.8551930492</x:v>
      </x:c>
      <x:c r="D57" s="12">
        <x:v>0</x:v>
      </x:c>
      <x:c r="E57" s="13">
        <x:f>C57*D57</x:f>
        <x:v>0</x:v>
      </x:c>
      <x:c r="F57" s="13">
        <x:f>C57+E57</x:f>
        <x:v>2874610.8551930492</x:v>
      </x:c>
      <x:c r="H57" s="4" t="str">
        <x:f>H32</x:f>
        <x:v>2025 merit increase included in March 21, 2025 pay cycle</x:v>
      </x:c>
      <x:c r="I57" s="2"/>
    </x:row>
    <x:row r="58" spans="1:12" x14ac:dyDescent="0.2">
      <x:c r="C58" s="1">
        <x:f>SUM(C56:C57)</x:f>
        <x:v>13235389.790765129</x:v>
      </x:c>
      <x:c r="D58" s="30" t="s">
        <x:v>56</x:v>
      </x:c>
      <x:c r="E58" s="15">
        <x:f>SUM(E56:E57)</x:f>
        <x:v>136420.37624467758</x:v>
      </x:c>
      <x:c r="F58" s="1">
        <x:f>SUM(F56:F57)</x:f>
        <x:v>13371810.167009806</x:v>
      </x:c>
      <x:c r="I58" s="2"/>
    </x:row>
    <x:row r="59" spans="1:12" ht="28.5" customHeight="1" x14ac:dyDescent="0.3">
      <x:c r="B59" s="38" t="s">
        <x:v>57</x:v>
      </x:c>
      <x:c r="C59" s="39"/>
      <x:c r="D59" s="39"/>
      <x:c r="E59" s="31">
        <x:f>E58+E52</x:f>
        <x:v>860968.10700980842</x:v>
      </x:c>
    </x:row>
    <x:row r="61" spans="1:12" x14ac:dyDescent="0.2">
      <x:c r="D61" s="32" t="s">
        <x:v>41</x:v>
      </x:c>
      <x:c r="E61" s="33">
        <x:f>E43+E59</x:f>
        <x:v>28497231.193929859</x:v>
      </x:c>
    </x:row>
    <x:row r="62" spans="1:12" x14ac:dyDescent="0.2">
      <x:c r="A62" s="34" t="s">
        <x:v>58</x:v>
      </x:c>
      <x:c r="B62" s="3"/>
    </x:row>
    <x:row r="63" spans="1:12" x14ac:dyDescent="0.2">
      <x:c r="A63" s="26" t="str">
        <x:f t="shared" ref="A63:A68" si="6">A15</x:f>
        <x:v>101</x:v>
      </x:c>
      <x:c r="B63" s="4" t="s">
        <x:v>12</x:v>
      </x:c>
      <x:c r="E63" s="18">
        <x:f t="shared" ref="E63:E68" si="7">E5+E15+E27</x:f>
        <x:v>16060903.927346501</x:v>
      </x:c>
      <x:c r="I63" s="2">
        <x:v>0.12604951348125312</x:v>
      </x:c>
      <x:c r="J63" s="35"/>
    </x:row>
    <x:row r="64" spans="1:12" x14ac:dyDescent="0.2">
      <x:c r="A64" s="26" t="str">
        <x:f t="shared" si="6"/>
        <x:v>102</x:v>
      </x:c>
      <x:c r="B64" s="4" t="s">
        <x:v>15</x:v>
      </x:c>
      <x:c r="E64" s="18">
        <x:f t="shared" si="7"/>
        <x:v>8541337.6591475997</x:v>
      </x:c>
      <x:c r="I64" s="2">
        <x:v>6.8972693553857725E-2</x:v>
      </x:c>
      <x:c r="J64" s="35"/>
    </x:row>
    <x:row r="65" spans="1:10" x14ac:dyDescent="0.2">
      <x:c r="A65" s="26" t="str">
        <x:f t="shared" si="6"/>
        <x:v>103</x:v>
      </x:c>
      <x:c r="B65" s="4" t="s">
        <x:v>17</x:v>
      </x:c>
      <x:c r="E65" s="18">
        <x:f t="shared" si="7"/>
        <x:v>0</x:v>
      </x:c>
      <x:c r="I65" s="2">
        <x:v>0</x:v>
      </x:c>
      <x:c r="J65" s="35"/>
    </x:row>
    <x:row r="66" spans="1:10" x14ac:dyDescent="0.2">
      <x:c r="A66" s="26" t="str">
        <x:f t="shared" si="6"/>
        <x:v>104</x:v>
      </x:c>
      <x:c r="B66" s="4" t="s">
        <x:v>19</x:v>
      </x:c>
      <x:c r="E66" s="18">
        <x:f t="shared" si="7"/>
        <x:v>0</x:v>
      </x:c>
      <x:c r="I66" s="2">
        <x:v>0</x:v>
      </x:c>
      <x:c r="J66" s="35"/>
    </x:row>
    <x:row r="67" spans="1:10" x14ac:dyDescent="0.2">
      <x:c r="A67" s="26" t="str">
        <x:f t="shared" si="6"/>
        <x:v>105</x:v>
      </x:c>
      <x:c r="B67" s="4" t="s">
        <x:v>21</x:v>
      </x:c>
      <x:c r="E67" s="18">
        <x:f t="shared" si="7"/>
        <x:v>3034021.5004259474</x:v>
      </x:c>
      <x:c r="I67" s="2">
        <x:v>6.9442013883313156E-2</x:v>
      </x:c>
      <x:c r="J67" s="35"/>
    </x:row>
    <x:row r="68" spans="1:10" x14ac:dyDescent="0.2">
      <x:c r="A68" s="26" t="str">
        <x:f t="shared" si="6"/>
        <x:v>106</x:v>
      </x:c>
      <x:c r="B68" s="4" t="s">
        <x:v>24</x:v>
      </x:c>
      <x:c r="E68" s="18">
        <x:f t="shared" si="7"/>
        <x:v>0</x:v>
      </x:c>
      <x:c r="I68" s="2"/>
      <x:c r="J68" s="35"/>
    </x:row>
    <x:row r="69" spans="1:10" x14ac:dyDescent="0.2">
      <x:c r="A69" s="26" t="str">
        <x:f>A56</x:f>
        <x:v>108</x:v>
      </x:c>
      <x:c r="B69" s="4" t="s">
        <x:v>59</x:v>
      </x:c>
      <x:c r="E69" s="21">
        <x:f>E58+E52</x:f>
        <x:v>860968.10700980842</x:v>
      </x:c>
      <x:c r="I69" s="2">
        <x:v>6.8817758459482029E-2</x:v>
      </x:c>
      <x:c r="J69" s="35"/>
    </x:row>
    <x:row r="70" spans="1:10" x14ac:dyDescent="0.2">
      <x:c r="A70" s="26"/>
      <x:c r="B70" s="36" t="s">
        <x:v>41</x:v>
      </x:c>
      <x:c r="E70" s="33">
        <x:f>SUM(E63:E69)</x:f>
        <x:v>28497231.193929859</x:v>
      </x:c>
      <x:c r="I70" s="37">
        <x:v>9.2683110528392995E-2</x:v>
      </x:c>
      <x:c r="J70" s="35"/>
    </x:row>
    <x:row r="72" spans="1:10" x14ac:dyDescent="0.2">
      <x:c r="B72" s="4" t="s">
        <x:v>60</x:v>
      </x:c>
      <x:c r="E72" s="21">
        <x:f>E70*I72</x:f>
        <x:v>2180038.186335634</x:v>
      </x:c>
      <x:c r="I72" s="12">
        <x:v>7.6499999999999999E-2</x:v>
      </x:c>
    </x:row>
    <x:row r="73" spans="1:10" x14ac:dyDescent="0.2">
      <x:c r="E73" s="33">
        <x:f>SUM(E70:E72)</x:f>
        <x:v>30677269.380265493</x:v>
      </x:c>
    </x:row>
  </x:sheetData>
  <x:mergeCells count="2">
    <x:mergeCell ref="B43:D43"/>
    <x:mergeCell ref="B59:D59"/>
  </x:mergeCells>
  <x:pageMargins left="0.25" right="0.25" top="2" bottom="0.25" header="1" footer="0.3"/>
  <x:pageSetup scale="48" orientation="landscape" r:id="rId1"/>
  <x:headerFooter>
    <x:oddHeader>&amp;C&amp;"-,Bold"
ONCOR ELECTRIC DELIVERY COMPANY LLC
MERIT INCREASE AND WAGES ANNUALIZED
FOR THE TEST YEAR ENDING DECEMBER 31, 2024
SPONSOR: R. PRACHYL &amp;&amp; A. GUILLORY&amp;R&amp;"-,Bold"WP/II-D ADJUSTMENT/5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2025-04-29T15:17:38.0000000Z</dcterms:modified>
</coreProperties>
</file>