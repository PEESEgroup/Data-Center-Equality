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88BE1E76-FB7E-4CA4-85AB-EA787315336A}" xr6:coauthVersionLast="47" xr6:coauthVersionMax="47" xr10:uidLastSave="{00000000-0000-0000-0000-000000000000}"/>
  <x:bookViews>
    <x:workbookView xWindow="-120" yWindow="-120" windowWidth="29040" windowHeight="15720" xr2:uid="{97BC4CC3-90B2-4176-8C01-2228A7FEDAE6}"/>
  </x:bookViews>
  <x:sheets>
    <x:sheet name="Sheet1" sheetId="1" r:id="rId1"/>
  </x:sheet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N34" i="1" l="1"/>
  <x:c r="J34" i="1"/>
  <x:c r="I34" i="1"/>
  <x:c r="H34" i="1"/>
  <x:c r="G34" i="1"/>
  <x:c r="O33" i="1"/>
  <x:c r="O34" i="1" s="1"/>
  <x:c r="N33" i="1"/>
  <x:c r="P33" i="1" s="1"/>
  <x:c r="J33" i="1"/>
  <x:c r="I33" i="1"/>
  <x:c r="H33" i="1"/>
  <x:c r="G33" i="1"/>
  <x:c r="O32" i="1"/>
  <x:c r="N32" i="1"/>
  <x:c r="P32" i="1" s="1"/>
  <x:c r="J32" i="1"/>
  <x:c r="I32" i="1"/>
  <x:c r="H32" i="1"/>
  <x:c r="G32" i="1"/>
  <x:c r="P31" i="1"/>
  <x:c r="N31" i="1"/>
  <x:c r="N35" i="1" s="1"/>
  <x:c r="J31" i="1"/>
  <x:c r="I31" i="1"/>
  <x:c r="H31" i="1"/>
  <x:c r="G31" i="1"/>
  <x:c r="I27" i="1"/>
  <x:c r="H27" i="1"/>
  <x:c r="G27" i="1"/>
  <x:c r="C27" i="1"/>
  <x:c r="N24" i="1"/>
  <x:c r="N28" i="1" s="1"/>
  <x:c r="N23" i="1"/>
  <x:c r="P34" i="1" l="1"/>
  <x:c r="P35" i="1" s="1"/>
</x:calcChain>
</file>

<file path=xl/sharedStrings.xml><?xml version="1.0" encoding="utf-8"?>
<sst xmlns="http://schemas.openxmlformats.org/spreadsheetml/2006/main" count="243" uniqueCount="51">
  <si>
    <t>Oncor Electric Delivery Company LLC</t>
  </si>
  <si>
    <t>K&amp;M O&amp;M Adjustment to Remove Incurred But Not Reported Credit in 2024 and Include Q4 2024 Benefit Expenses Paid in 2025</t>
  </si>
  <si>
    <t>Unit</t>
  </si>
  <si>
    <t>Journal ID</t>
  </si>
  <si>
    <t>Posted</t>
  </si>
  <si>
    <t>Long Descr</t>
  </si>
  <si>
    <t>Year</t>
  </si>
  <si>
    <t>Period</t>
  </si>
  <si>
    <t>Account</t>
  </si>
  <si>
    <t>Dept</t>
  </si>
  <si>
    <t>EC</t>
  </si>
  <si>
    <t>Activity</t>
  </si>
  <si>
    <t>Location</t>
  </si>
  <si>
    <t>Project</t>
  </si>
  <si>
    <t>Source</t>
  </si>
  <si>
    <t>Amount</t>
  </si>
  <si>
    <t>Line Descr</t>
  </si>
  <si>
    <t>Jrnl Group</t>
  </si>
  <si>
    <t>Category</t>
  </si>
  <si>
    <t>ESD</t>
  </si>
  <si>
    <t>0000471352</t>
  </si>
  <si>
    <t>Book IBNR for 1st Quarter 2024</t>
  </si>
  <si>
    <t>9260000</t>
  </si>
  <si>
    <t>521900</t>
  </si>
  <si>
    <t>553</t>
  </si>
  <si>
    <t>0000</t>
  </si>
  <si>
    <t>BENEFITS</t>
  </si>
  <si>
    <t>UJE</t>
  </si>
  <si>
    <t>Incurred But Not Reported</t>
  </si>
  <si>
    <t>ALLOCATION</t>
  </si>
  <si>
    <t>IBNR</t>
  </si>
  <si>
    <t>Book IBNR for 2nd Quarter 2024</t>
  </si>
  <si>
    <t>Book IBNR for 3rd Quarter 2024</t>
  </si>
  <si>
    <t>Book IBNR for 4th Quarter 2024</t>
  </si>
  <si>
    <t>TRN</t>
  </si>
  <si>
    <t>571900</t>
  </si>
  <si>
    <t>9010</t>
  </si>
  <si>
    <t>554</t>
  </si>
  <si>
    <t>Total Unadjusted Test Year</t>
  </si>
  <si>
    <t>Amount for expense, capital, other</t>
  </si>
  <si>
    <t>K&amp;M adjustment  for IBNR @ 100%</t>
  </si>
  <si>
    <t>Q4 2024</t>
  </si>
  <si>
    <t>AON INVESTMENTS USA INC - Admin Fee</t>
  </si>
  <si>
    <t>K&amp;M adjustment  for Admin Fee @ 100%</t>
  </si>
  <si>
    <t>FIDELITY INVESTMENTS INSTITUTIONAL - Admin fee</t>
  </si>
  <si>
    <t>(include fourth quarter 2024 fees to the 2024 test year to reflect 12 months)</t>
  </si>
  <si>
    <t>Account 926</t>
  </si>
  <si>
    <t>K&amp;M adjustment  for IBNR and Admin Fees @ 100%</t>
  </si>
  <si>
    <t>K&amp;M Adj 100%</t>
  </si>
  <si>
    <t>II-D-3.4 O&amp;M %</t>
  </si>
  <si>
    <t>K&amp;M O&amp;M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</si>
</sst>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0"/>
      <name val="Arial"/>
      <family val="2"/>
    </font>
    <font>
      <b/>
      <sz val="10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3" fillId="2" borderId="1" xfId="0" applyFont="1" applyFill="1" applyBorder="1"/>
    <xf numFmtId="43" fontId="3" fillId="2" borderId="1" xfId="1" applyFont="1" applyFill="1" applyBorder="1"/>
    <xf numFmtId="49" fontId="4" fillId="3" borderId="2" xfId="0" applyNumberFormat="1" applyFont="1" applyFill="1" applyBorder="1"/>
    <xf numFmtId="14" fontId="0" fillId="0" borderId="0" xfId="0" applyNumberFormat="1"/>
    <xf numFmtId="1" fontId="0" fillId="0" borderId="0" xfId="0" applyNumberFormat="1"/>
    <xf numFmtId="43" fontId="0" fillId="0" borderId="0" xfId="1" applyFont="1"/>
    <xf numFmtId="49" fontId="0" fillId="0" borderId="0" xfId="0" applyNumberFormat="1"/>
    <xf numFmtId="43" fontId="0" fillId="0" borderId="3" xfId="1" applyFont="1" applyBorder="1"/>
    <xf numFmtId="0" fontId="0" fillId="0" borderId="0" xfId="0" applyAlignment="1">
      <alignment horizontal="right"/>
    </xf>
    <xf numFmtId="43" fontId="0" fillId="0" borderId="0" xfId="0" applyNumberFormat="1"/>
    <xf numFmtId="0" fontId="0" fillId="0" borderId="0" xfId="0" applyAlignment="1">
      <alignment horizontal="left"/>
    </xf>
    <xf numFmtId="43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3" xfId="0" applyFont="1" applyFill="1" applyBorder="1" applyAlignment="1">
      <alignment horizontal="center"/>
    </xf>
    <xf numFmtId="44" fontId="2" fillId="0" borderId="0" xfId="2" applyFont="1" applyFill="1"/>
    <xf numFmtId="44" fontId="2" fillId="0" borderId="3" xfId="2" applyFont="1" applyFill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F14B226-A0AA-48A7-8D85-930D91A042B1}" mc:Ignorable="x14ac xr xr2 xr3">
  <x:sheetPr>
    <x:pageSetUpPr fitToPage="1"/>
  </x:sheetPr>
  <x:dimension ref="A1:Q35"/>
  <x:sheetViews>
    <x:sheetView tabSelected="1" zoomScaleNormal="100" workbookViewId="0">
      <x:selection activeCell="L29" sqref="L29"/>
    </x:sheetView>
  </x:sheetViews>
  <x:sheetFormatPr defaultRowHeight="15" x14ac:dyDescent="0.25"/>
  <x:cols>
    <x:col min="2" max="2" width="10.85546875" bestFit="1" customWidth="1"/>
    <x:col min="3" max="3" width="10.42578125" bestFit="1" customWidth="1"/>
    <x:col min="4" max="4" width="27.85546875" bestFit="1" customWidth="1"/>
    <x:col min="7" max="7" width="10.42578125" bestFit="1" customWidth="1"/>
    <x:col min="14" max="14" width="14.85546875" customWidth="1"/>
    <x:col min="15" max="15" width="23.140625" bestFit="1" customWidth="1"/>
    <x:col min="16" max="16" width="23.5703125" bestFit="1" customWidth="1"/>
    <x:col min="17" max="17" width="8.85546875" bestFit="1" customWidth="1"/>
  </x:cols>
  <x:sheetData>
    <x:row r="1" spans="1:17" x14ac:dyDescent="0.25">
      <x:c r="A1" t="s">
        <x:v>0</x:v>
      </x:c>
    </x:row>
    <x:row r="2" spans="1:17" x14ac:dyDescent="0.25">
      <x:c r="A2" t="s">
        <x:v>1</x:v>
      </x:c>
    </x:row>
    <x:row r="5" spans="1:17" ht="15.75" thickBot="1" x14ac:dyDescent="0.3"/>
    <x:row r="6" spans="1:17" ht="17.25" thickTop="1" thickBot="1" x14ac:dyDescent="0.35">
      <x:c r="A6" s="1" t="s">
        <x:v>2</x:v>
      </x:c>
      <x:c r="B6" s="1" t="s">
        <x:v>3</x:v>
      </x:c>
      <x:c r="C6" s="1" t="s">
        <x:v>4</x:v>
      </x:c>
      <x:c r="D6" s="1" t="s">
        <x:v>5</x:v>
      </x:c>
      <x:c r="E6" s="1" t="s">
        <x:v>6</x:v>
      </x:c>
      <x:c r="F6" s="1" t="s">
        <x:v>7</x:v>
      </x:c>
      <x:c r="G6" s="1" t="s">
        <x:v>8</x:v>
      </x:c>
      <x:c r="H6" s="1" t="s">
        <x:v>9</x:v>
      </x:c>
      <x:c r="I6" s="1" t="s">
        <x:v>10</x:v>
      </x:c>
      <x:c r="J6" s="1" t="s">
        <x:v>11</x:v>
      </x:c>
      <x:c r="K6" s="1" t="s">
        <x:v>12</x:v>
      </x:c>
      <x:c r="L6" s="1" t="s">
        <x:v>13</x:v>
      </x:c>
      <x:c r="M6" s="1" t="s">
        <x:v>14</x:v>
      </x:c>
      <x:c r="N6" s="2" t="s">
        <x:v>15</x:v>
      </x:c>
      <x:c r="O6" s="1" t="s">
        <x:v>16</x:v>
      </x:c>
      <x:c r="P6" s="1" t="s">
        <x:v>17</x:v>
      </x:c>
      <x:c r="Q6" s="3" t="s">
        <x:v>18</x:v>
      </x:c>
    </x:row>
    <x:row r="7" spans="1:17" ht="15.75" thickTop="1" x14ac:dyDescent="0.25">
      <x:c r="A7" t="s">
        <x:v>19</x:v>
      </x:c>
      <x:c r="B7" t="s">
        <x:v>20</x:v>
      </x:c>
      <x:c r="C7" s="4">
        <x:v>45385</x:v>
      </x:c>
      <x:c r="D7" t="s">
        <x:v>21</x:v>
      </x:c>
      <x:c r="E7" s="5">
        <x:v>2024</x:v>
      </x:c>
      <x:c r="F7" s="5">
        <x:v>3</x:v>
      </x:c>
      <x:c r="G7" t="s">
        <x:v>22</x:v>
      </x:c>
      <x:c r="H7" t="s">
        <x:v>23</x:v>
      </x:c>
      <x:c r="I7" t="s">
        <x:v>24</x:v>
      </x:c>
      <x:c r="J7" t="s">
        <x:v>25</x:v>
      </x:c>
      <x:c r="K7" t="s">
        <x:v>25</x:v>
      </x:c>
      <x:c r="L7" t="s">
        <x:v>26</x:v>
      </x:c>
      <x:c r="M7" t="s">
        <x:v>27</x:v>
      </x:c>
      <x:c r="N7" s="6">
        <x:v>-63514.46</x:v>
      </x:c>
      <x:c r="O7" t="s">
        <x:v>28</x:v>
      </x:c>
      <x:c r="P7" t="s">
        <x:v>29</x:v>
      </x:c>
      <x:c r="Q7" s="7" t="s">
        <x:v>30</x:v>
      </x:c>
    </x:row>
    <x:row r="8" spans="1:17" x14ac:dyDescent="0.25">
      <x:c r="A8" t="s">
        <x:v>19</x:v>
      </x:c>
      <x:c r="B8" t="s">
        <x:v>20</x:v>
      </x:c>
      <x:c r="C8" s="4">
        <x:v>45475</x:v>
      </x:c>
      <x:c r="D8" t="s">
        <x:v>31</x:v>
      </x:c>
      <x:c r="E8" s="5">
        <x:v>2024</x:v>
      </x:c>
      <x:c r="F8" s="5">
        <x:v>6</x:v>
      </x:c>
      <x:c r="G8" t="s">
        <x:v>22</x:v>
      </x:c>
      <x:c r="H8" t="s">
        <x:v>23</x:v>
      </x:c>
      <x:c r="I8" t="s">
        <x:v>24</x:v>
      </x:c>
      <x:c r="J8" t="s">
        <x:v>25</x:v>
      </x:c>
      <x:c r="K8" t="s">
        <x:v>25</x:v>
      </x:c>
      <x:c r="L8" t="s">
        <x:v>26</x:v>
      </x:c>
      <x:c r="M8" t="s">
        <x:v>27</x:v>
      </x:c>
      <x:c r="N8" s="6">
        <x:v>-10219.27</x:v>
      </x:c>
      <x:c r="O8" t="s">
        <x:v>28</x:v>
      </x:c>
      <x:c r="P8" t="s">
        <x:v>29</x:v>
      </x:c>
      <x:c r="Q8" s="7" t="s">
        <x:v>30</x:v>
      </x:c>
    </x:row>
    <x:row r="9" spans="1:17" x14ac:dyDescent="0.25">
      <x:c r="A9" t="s">
        <x:v>19</x:v>
      </x:c>
      <x:c r="B9" t="s">
        <x:v>20</x:v>
      </x:c>
      <x:c r="C9" s="4">
        <x:v>45567</x:v>
      </x:c>
      <x:c r="D9" t="s">
        <x:v>32</x:v>
      </x:c>
      <x:c r="E9" s="5">
        <x:v>2024</x:v>
      </x:c>
      <x:c r="F9" s="5">
        <x:v>9</x:v>
      </x:c>
      <x:c r="G9" t="s">
        <x:v>22</x:v>
      </x:c>
      <x:c r="H9" t="s">
        <x:v>23</x:v>
      </x:c>
      <x:c r="I9" t="s">
        <x:v>24</x:v>
      </x:c>
      <x:c r="J9" t="s">
        <x:v>25</x:v>
      </x:c>
      <x:c r="K9" t="s">
        <x:v>25</x:v>
      </x:c>
      <x:c r="L9" t="s">
        <x:v>26</x:v>
      </x:c>
      <x:c r="M9" t="s">
        <x:v>27</x:v>
      </x:c>
      <x:c r="N9" s="6">
        <x:v>-52767.37</x:v>
      </x:c>
      <x:c r="O9" t="s">
        <x:v>28</x:v>
      </x:c>
      <x:c r="P9" t="s">
        <x:v>29</x:v>
      </x:c>
      <x:c r="Q9" s="7" t="s">
        <x:v>30</x:v>
      </x:c>
    </x:row>
    <x:row r="10" spans="1:17" x14ac:dyDescent="0.25">
      <x:c r="A10" t="s">
        <x:v>19</x:v>
      </x:c>
      <x:c r="B10" t="s">
        <x:v>20</x:v>
      </x:c>
      <x:c r="C10" s="4">
        <x:v>45660</x:v>
      </x:c>
      <x:c r="D10" t="s">
        <x:v>33</x:v>
      </x:c>
      <x:c r="E10" s="5">
        <x:v>2024</x:v>
      </x:c>
      <x:c r="F10" s="5">
        <x:v>12</x:v>
      </x:c>
      <x:c r="G10" t="s">
        <x:v>22</x:v>
      </x:c>
      <x:c r="H10" t="s">
        <x:v>23</x:v>
      </x:c>
      <x:c r="I10" t="s">
        <x:v>24</x:v>
      </x:c>
      <x:c r="J10" t="s">
        <x:v>25</x:v>
      </x:c>
      <x:c r="K10" t="s">
        <x:v>25</x:v>
      </x:c>
      <x:c r="L10" t="s">
        <x:v>26</x:v>
      </x:c>
      <x:c r="M10" t="s">
        <x:v>27</x:v>
      </x:c>
      <x:c r="N10" s="6">
        <x:v>47248.82</x:v>
      </x:c>
      <x:c r="O10" t="s">
        <x:v>28</x:v>
      </x:c>
      <x:c r="P10" t="s">
        <x:v>29</x:v>
      </x:c>
      <x:c r="Q10" s="7" t="s">
        <x:v>30</x:v>
      </x:c>
    </x:row>
    <x:row r="11" spans="1:17" x14ac:dyDescent="0.25">
      <x:c r="A11" t="s">
        <x:v>34</x:v>
      </x:c>
      <x:c r="B11" t="s">
        <x:v>20</x:v>
      </x:c>
      <x:c r="C11" s="4">
        <x:v>45385</x:v>
      </x:c>
      <x:c r="D11" t="s">
        <x:v>21</x:v>
      </x:c>
      <x:c r="E11" s="5">
        <x:v>2024</x:v>
      </x:c>
      <x:c r="F11" s="5">
        <x:v>3</x:v>
      </x:c>
      <x:c r="G11" t="s">
        <x:v>22</x:v>
      </x:c>
      <x:c r="H11" t="s">
        <x:v>35</x:v>
      </x:c>
      <x:c r="I11" t="s">
        <x:v>24</x:v>
      </x:c>
      <x:c r="J11" t="s">
        <x:v>36</x:v>
      </x:c>
      <x:c r="K11" t="s">
        <x:v>25</x:v>
      </x:c>
      <x:c r="L11" t="s">
        <x:v>26</x:v>
      </x:c>
      <x:c r="M11" t="s">
        <x:v>27</x:v>
      </x:c>
      <x:c r="N11" s="6">
        <x:v>-30078.95</x:v>
      </x:c>
      <x:c r="O11" t="s">
        <x:v>28</x:v>
      </x:c>
      <x:c r="P11" t="s">
        <x:v>29</x:v>
      </x:c>
      <x:c r="Q11" s="7" t="s">
        <x:v>30</x:v>
      </x:c>
    </x:row>
    <x:row r="12" spans="1:17" x14ac:dyDescent="0.25">
      <x:c r="A12" t="s">
        <x:v>34</x:v>
      </x:c>
      <x:c r="B12" t="s">
        <x:v>20</x:v>
      </x:c>
      <x:c r="C12" s="4">
        <x:v>45475</x:v>
      </x:c>
      <x:c r="D12" t="s">
        <x:v>31</x:v>
      </x:c>
      <x:c r="E12" s="5">
        <x:v>2024</x:v>
      </x:c>
      <x:c r="F12" s="5">
        <x:v>6</x:v>
      </x:c>
      <x:c r="G12" t="s">
        <x:v>22</x:v>
      </x:c>
      <x:c r="H12" t="s">
        <x:v>35</x:v>
      </x:c>
      <x:c r="I12" t="s">
        <x:v>24</x:v>
      </x:c>
      <x:c r="J12" t="s">
        <x:v>36</x:v>
      </x:c>
      <x:c r="K12" t="s">
        <x:v>25</x:v>
      </x:c>
      <x:c r="L12" t="s">
        <x:v>26</x:v>
      </x:c>
      <x:c r="M12" t="s">
        <x:v>27</x:v>
      </x:c>
      <x:c r="N12" s="6">
        <x:v>5231.9399999999996</x:v>
      </x:c>
      <x:c r="O12" t="s">
        <x:v>28</x:v>
      </x:c>
      <x:c r="P12" t="s">
        <x:v>29</x:v>
      </x:c>
      <x:c r="Q12" s="7" t="s">
        <x:v>30</x:v>
      </x:c>
    </x:row>
    <x:row r="13" spans="1:17" x14ac:dyDescent="0.25">
      <x:c r="A13" t="s">
        <x:v>34</x:v>
      </x:c>
      <x:c r="B13" t="s">
        <x:v>20</x:v>
      </x:c>
      <x:c r="C13" s="4">
        <x:v>45567</x:v>
      </x:c>
      <x:c r="D13" t="s">
        <x:v>32</x:v>
      </x:c>
      <x:c r="E13" s="5">
        <x:v>2024</x:v>
      </x:c>
      <x:c r="F13" s="5">
        <x:v>9</x:v>
      </x:c>
      <x:c r="G13" t="s">
        <x:v>22</x:v>
      </x:c>
      <x:c r="H13" t="s">
        <x:v>35</x:v>
      </x:c>
      <x:c r="I13" t="s">
        <x:v>24</x:v>
      </x:c>
      <x:c r="J13" t="s">
        <x:v>36</x:v>
      </x:c>
      <x:c r="K13" t="s">
        <x:v>25</x:v>
      </x:c>
      <x:c r="L13" t="s">
        <x:v>26</x:v>
      </x:c>
      <x:c r="M13" t="s">
        <x:v>27</x:v>
      </x:c>
      <x:c r="N13" s="6">
        <x:v>-12930.69</x:v>
      </x:c>
      <x:c r="O13" t="s">
        <x:v>28</x:v>
      </x:c>
      <x:c r="P13" t="s">
        <x:v>29</x:v>
      </x:c>
      <x:c r="Q13" s="7" t="s">
        <x:v>30</x:v>
      </x:c>
    </x:row>
    <x:row r="14" spans="1:17" x14ac:dyDescent="0.25">
      <x:c r="A14" t="s">
        <x:v>34</x:v>
      </x:c>
      <x:c r="B14" t="s">
        <x:v>20</x:v>
      </x:c>
      <x:c r="C14" s="4">
        <x:v>45660</x:v>
      </x:c>
      <x:c r="D14" t="s">
        <x:v>33</x:v>
      </x:c>
      <x:c r="E14" s="5">
        <x:v>2024</x:v>
      </x:c>
      <x:c r="F14" s="5">
        <x:v>12</x:v>
      </x:c>
      <x:c r="G14" t="s">
        <x:v>22</x:v>
      </x:c>
      <x:c r="H14" t="s">
        <x:v>35</x:v>
      </x:c>
      <x:c r="I14" t="s">
        <x:v>24</x:v>
      </x:c>
      <x:c r="J14" t="s">
        <x:v>36</x:v>
      </x:c>
      <x:c r="K14" t="s">
        <x:v>25</x:v>
      </x:c>
      <x:c r="L14" t="s">
        <x:v>26</x:v>
      </x:c>
      <x:c r="M14" t="s">
        <x:v>27</x:v>
      </x:c>
      <x:c r="N14" s="6">
        <x:v>19954.63</x:v>
      </x:c>
      <x:c r="O14" t="s">
        <x:v>28</x:v>
      </x:c>
      <x:c r="P14" t="s">
        <x:v>29</x:v>
      </x:c>
      <x:c r="Q14" s="7" t="s">
        <x:v>30</x:v>
      </x:c>
    </x:row>
    <x:row r="15" spans="1:17" x14ac:dyDescent="0.25">
      <x:c r="A15" t="s">
        <x:v>19</x:v>
      </x:c>
      <x:c r="B15" t="s">
        <x:v>20</x:v>
      </x:c>
      <x:c r="C15" s="4">
        <x:v>45385</x:v>
      </x:c>
      <x:c r="D15" t="s">
        <x:v>21</x:v>
      </x:c>
      <x:c r="E15" s="5">
        <x:v>2024</x:v>
      </x:c>
      <x:c r="F15" s="5">
        <x:v>3</x:v>
      </x:c>
      <x:c r="G15" t="s">
        <x:v>22</x:v>
      </x:c>
      <x:c r="H15" t="s">
        <x:v>23</x:v>
      </x:c>
      <x:c r="I15" t="s">
        <x:v>37</x:v>
      </x:c>
      <x:c r="J15" t="s">
        <x:v>25</x:v>
      </x:c>
      <x:c r="K15" t="s">
        <x:v>25</x:v>
      </x:c>
      <x:c r="L15" t="s">
        <x:v>26</x:v>
      </x:c>
      <x:c r="M15" t="s">
        <x:v>27</x:v>
      </x:c>
      <x:c r="N15" s="6">
        <x:v>-1016839.19</x:v>
      </x:c>
      <x:c r="O15" t="s">
        <x:v>28</x:v>
      </x:c>
      <x:c r="P15" t="s">
        <x:v>29</x:v>
      </x:c>
      <x:c r="Q15" s="7" t="s">
        <x:v>30</x:v>
      </x:c>
    </x:row>
    <x:row r="16" spans="1:17" x14ac:dyDescent="0.25">
      <x:c r="A16" t="s">
        <x:v>19</x:v>
      </x:c>
      <x:c r="B16" t="s">
        <x:v>20</x:v>
      </x:c>
      <x:c r="C16" s="4">
        <x:v>45475</x:v>
      </x:c>
      <x:c r="D16" t="s">
        <x:v>31</x:v>
      </x:c>
      <x:c r="E16" s="5">
        <x:v>2024</x:v>
      </x:c>
      <x:c r="F16" s="5">
        <x:v>6</x:v>
      </x:c>
      <x:c r="G16" t="s">
        <x:v>22</x:v>
      </x:c>
      <x:c r="H16" t="s">
        <x:v>23</x:v>
      </x:c>
      <x:c r="I16" t="s">
        <x:v>37</x:v>
      </x:c>
      <x:c r="J16" t="s">
        <x:v>25</x:v>
      </x:c>
      <x:c r="K16" t="s">
        <x:v>25</x:v>
      </x:c>
      <x:c r="L16" t="s">
        <x:v>26</x:v>
      </x:c>
      <x:c r="M16" t="s">
        <x:v>27</x:v>
      </x:c>
      <x:c r="N16" s="6">
        <x:v>-140526.10999999999</x:v>
      </x:c>
      <x:c r="O16" t="s">
        <x:v>28</x:v>
      </x:c>
      <x:c r="P16" t="s">
        <x:v>29</x:v>
      </x:c>
      <x:c r="Q16" s="7" t="s">
        <x:v>30</x:v>
      </x:c>
    </x:row>
    <x:row r="17" spans="1:17" x14ac:dyDescent="0.25">
      <x:c r="A17" t="s">
        <x:v>19</x:v>
      </x:c>
      <x:c r="B17" t="s">
        <x:v>20</x:v>
      </x:c>
      <x:c r="C17" s="4">
        <x:v>45567</x:v>
      </x:c>
      <x:c r="D17" t="s">
        <x:v>32</x:v>
      </x:c>
      <x:c r="E17" s="5">
        <x:v>2024</x:v>
      </x:c>
      <x:c r="F17" s="5">
        <x:v>9</x:v>
      </x:c>
      <x:c r="G17" t="s">
        <x:v>22</x:v>
      </x:c>
      <x:c r="H17" t="s">
        <x:v>23</x:v>
      </x:c>
      <x:c r="I17" t="s">
        <x:v>37</x:v>
      </x:c>
      <x:c r="J17" t="s">
        <x:v>25</x:v>
      </x:c>
      <x:c r="K17" t="s">
        <x:v>25</x:v>
      </x:c>
      <x:c r="L17" t="s">
        <x:v>26</x:v>
      </x:c>
      <x:c r="M17" t="s">
        <x:v>27</x:v>
      </x:c>
      <x:c r="N17" s="6">
        <x:v>-791089.92</x:v>
      </x:c>
      <x:c r="O17" t="s">
        <x:v>28</x:v>
      </x:c>
      <x:c r="P17" t="s">
        <x:v>29</x:v>
      </x:c>
      <x:c r="Q17" s="7" t="s">
        <x:v>30</x:v>
      </x:c>
    </x:row>
    <x:row r="18" spans="1:17" x14ac:dyDescent="0.25">
      <x:c r="A18" t="s">
        <x:v>19</x:v>
      </x:c>
      <x:c r="B18" t="s">
        <x:v>20</x:v>
      </x:c>
      <x:c r="C18" s="4">
        <x:v>45660</x:v>
      </x:c>
      <x:c r="D18" t="s">
        <x:v>33</x:v>
      </x:c>
      <x:c r="E18" s="5">
        <x:v>2024</x:v>
      </x:c>
      <x:c r="F18" s="5">
        <x:v>12</x:v>
      </x:c>
      <x:c r="G18" t="s">
        <x:v>22</x:v>
      </x:c>
      <x:c r="H18" t="s">
        <x:v>23</x:v>
      </x:c>
      <x:c r="I18" t="s">
        <x:v>37</x:v>
      </x:c>
      <x:c r="J18" t="s">
        <x:v>25</x:v>
      </x:c>
      <x:c r="K18" t="s">
        <x:v>25</x:v>
      </x:c>
      <x:c r="L18" t="s">
        <x:v>26</x:v>
      </x:c>
      <x:c r="M18" t="s">
        <x:v>27</x:v>
      </x:c>
      <x:c r="N18" s="6">
        <x:v>707979.64</x:v>
      </x:c>
      <x:c r="O18" t="s">
        <x:v>28</x:v>
      </x:c>
      <x:c r="P18" t="s">
        <x:v>29</x:v>
      </x:c>
      <x:c r="Q18" s="7" t="s">
        <x:v>30</x:v>
      </x:c>
    </x:row>
    <x:row r="19" spans="1:17" x14ac:dyDescent="0.25">
      <x:c r="A19" t="s">
        <x:v>34</x:v>
      </x:c>
      <x:c r="B19" t="s">
        <x:v>20</x:v>
      </x:c>
      <x:c r="C19" s="4">
        <x:v>45385</x:v>
      </x:c>
      <x:c r="D19" t="s">
        <x:v>21</x:v>
      </x:c>
      <x:c r="E19" s="5">
        <x:v>2024</x:v>
      </x:c>
      <x:c r="F19" s="5">
        <x:v>3</x:v>
      </x:c>
      <x:c r="G19" t="s">
        <x:v>22</x:v>
      </x:c>
      <x:c r="H19" t="s">
        <x:v>35</x:v>
      </x:c>
      <x:c r="I19" t="s">
        <x:v>37</x:v>
      </x:c>
      <x:c r="J19" t="s">
        <x:v>36</x:v>
      </x:c>
      <x:c r="K19" t="s">
        <x:v>25</x:v>
      </x:c>
      <x:c r="L19" t="s">
        <x:v>26</x:v>
      </x:c>
      <x:c r="M19" t="s">
        <x:v>27</x:v>
      </x:c>
      <x:c r="N19" s="6">
        <x:v>-361567.4</x:v>
      </x:c>
      <x:c r="O19" t="s">
        <x:v>28</x:v>
      </x:c>
      <x:c r="P19" t="s">
        <x:v>29</x:v>
      </x:c>
      <x:c r="Q19" s="7" t="s">
        <x:v>30</x:v>
      </x:c>
    </x:row>
    <x:row r="20" spans="1:17" x14ac:dyDescent="0.25">
      <x:c r="A20" t="s">
        <x:v>34</x:v>
      </x:c>
      <x:c r="B20" t="s">
        <x:v>20</x:v>
      </x:c>
      <x:c r="C20" s="4">
        <x:v>45475</x:v>
      </x:c>
      <x:c r="D20" t="s">
        <x:v>31</x:v>
      </x:c>
      <x:c r="E20" s="5">
        <x:v>2024</x:v>
      </x:c>
      <x:c r="F20" s="5">
        <x:v>6</x:v>
      </x:c>
      <x:c r="G20" t="s">
        <x:v>22</x:v>
      </x:c>
      <x:c r="H20" t="s">
        <x:v>35</x:v>
      </x:c>
      <x:c r="I20" t="s">
        <x:v>37</x:v>
      </x:c>
      <x:c r="J20" t="s">
        <x:v>36</x:v>
      </x:c>
      <x:c r="K20" t="s">
        <x:v>25</x:v>
      </x:c>
      <x:c r="L20" t="s">
        <x:v>26</x:v>
      </x:c>
      <x:c r="M20" t="s">
        <x:v>27</x:v>
      </x:c>
      <x:c r="N20" s="6">
        <x:v>58813.440000000002</x:v>
      </x:c>
      <x:c r="O20" t="s">
        <x:v>28</x:v>
      </x:c>
      <x:c r="P20" t="s">
        <x:v>29</x:v>
      </x:c>
      <x:c r="Q20" s="7" t="s">
        <x:v>30</x:v>
      </x:c>
    </x:row>
    <x:row r="21" spans="1:17" x14ac:dyDescent="0.25">
      <x:c r="A21" t="s">
        <x:v>34</x:v>
      </x:c>
      <x:c r="B21" t="s">
        <x:v>20</x:v>
      </x:c>
      <x:c r="C21" s="4">
        <x:v>45567</x:v>
      </x:c>
      <x:c r="D21" t="s">
        <x:v>32</x:v>
      </x:c>
      <x:c r="E21" s="5">
        <x:v>2024</x:v>
      </x:c>
      <x:c r="F21" s="5">
        <x:v>9</x:v>
      </x:c>
      <x:c r="G21" t="s">
        <x:v>22</x:v>
      </x:c>
      <x:c r="H21" t="s">
        <x:v>35</x:v>
      </x:c>
      <x:c r="I21" t="s">
        <x:v>37</x:v>
      </x:c>
      <x:c r="J21" t="s">
        <x:v>36</x:v>
      </x:c>
      <x:c r="K21" t="s">
        <x:v>25</x:v>
      </x:c>
      <x:c r="L21" t="s">
        <x:v>26</x:v>
      </x:c>
      <x:c r="M21" t="s">
        <x:v>27</x:v>
      </x:c>
      <x:c r="N21" s="6">
        <x:v>-171312.02</x:v>
      </x:c>
      <x:c r="O21" t="s">
        <x:v>28</x:v>
      </x:c>
      <x:c r="P21" t="s">
        <x:v>29</x:v>
      </x:c>
      <x:c r="Q21" s="7" t="s">
        <x:v>30</x:v>
      </x:c>
    </x:row>
    <x:row r="22" spans="1:17" x14ac:dyDescent="0.25">
      <x:c r="A22" t="s">
        <x:v>34</x:v>
      </x:c>
      <x:c r="B22" t="s">
        <x:v>20</x:v>
      </x:c>
      <x:c r="C22" s="4">
        <x:v>45660</x:v>
      </x:c>
      <x:c r="D22" t="s">
        <x:v>33</x:v>
      </x:c>
      <x:c r="E22" s="5">
        <x:v>2024</x:v>
      </x:c>
      <x:c r="F22" s="5">
        <x:v>12</x:v>
      </x:c>
      <x:c r="G22" t="s">
        <x:v>22</x:v>
      </x:c>
      <x:c r="H22" t="s">
        <x:v>35</x:v>
      </x:c>
      <x:c r="I22" t="s">
        <x:v>37</x:v>
      </x:c>
      <x:c r="J22" t="s">
        <x:v>36</x:v>
      </x:c>
      <x:c r="K22" t="s">
        <x:v>25</x:v>
      </x:c>
      <x:c r="L22" t="s">
        <x:v>26</x:v>
      </x:c>
      <x:c r="M22" t="s">
        <x:v>27</x:v>
      </x:c>
      <x:c r="N22" s="8">
        <x:v>276016.90999999997</x:v>
      </x:c>
      <x:c r="O22" t="s">
        <x:v>28</x:v>
      </x:c>
      <x:c r="P22" t="s">
        <x:v>29</x:v>
      </x:c>
      <x:c r="Q22" s="7" t="s">
        <x:v>30</x:v>
      </x:c>
    </x:row>
    <x:row r="23" spans="1:17" x14ac:dyDescent="0.25">
      <x:c r="M23" s="9" t="s">
        <x:v>38</x:v>
      </x:c>
      <x:c r="N23" s="10">
        <x:f>SUM(N7:N22)</x:f>
        <x:v>-1535599.9999999998</x:v>
      </x:c>
      <x:c r="O23" t="s">
        <x:v>39</x:v>
      </x:c>
    </x:row>
    <x:row r="24" spans="1:17" x14ac:dyDescent="0.25">
      <x:c r="M24" s="9"/>
      <x:c r="N24" s="10">
        <x:f>-N23</x:f>
        <x:v>1535599.9999999998</x:v>
      </x:c>
      <x:c r="O24" t="s">
        <x:v>40</x:v>
      </x:c>
    </x:row>
    <x:row r="25" spans="1:17" x14ac:dyDescent="0.25">
      <x:c r="M25" s="9"/>
      <x:c r="N25" s="10"/>
    </x:row>
    <x:row r="26" spans="1:17" x14ac:dyDescent="0.25">
      <x:c r="A26" t="s">
        <x:v>19</x:v>
      </x:c>
      <x:c r="C26" t="s">
        <x:v>41</x:v>
      </x:c>
      <x:c r="D26" t="s">
        <x:v>42</x:v>
      </x:c>
      <x:c r="G26" s="11">
        <x:v>9260000</x:v>
      </x:c>
      <x:c r="H26" s="11">
        <x:v>521900</x:v>
      </x:c>
      <x:c r="I26" s="11">
        <x:v>563</x:v>
      </x:c>
      <x:c r="M26" s="9"/>
      <x:c r="N26" s="10">
        <x:v>34000</x:v>
      </x:c>
      <x:c r="O26" t="s">
        <x:v>43</x:v>
      </x:c>
    </x:row>
    <x:row r="27" spans="1:17" x14ac:dyDescent="0.25">
      <x:c r="A27" t="s">
        <x:v>19</x:v>
      </x:c>
      <x:c r="C27" t="str">
        <x:f>C26</x:f>
        <x:v>Q4 2024</x:v>
      </x:c>
      <x:c r="D27" t="s">
        <x:v>44</x:v>
      </x:c>
      <x:c r="G27" s="11">
        <x:f>G26</x:f>
        <x:v>9260000</x:v>
      </x:c>
      <x:c r="H27" s="11">
        <x:f>H26</x:f>
        <x:v>521900</x:v>
      </x:c>
      <x:c r="I27" s="11">
        <x:f>I26</x:f>
        <x:v>563</x:v>
      </x:c>
      <x:c r="M27" s="9"/>
      <x:c r="N27" s="12">
        <x:v>64000</x:v>
      </x:c>
      <x:c r="O27" t="s">
        <x:v>43</x:v>
      </x:c>
    </x:row>
    <x:row r="28" spans="1:17" x14ac:dyDescent="0.25">
      <x:c r="D28" t="s">
        <x:v>45</x:v>
      </x:c>
      <x:c r="M28" s="9" t="s">
        <x:v>46</x:v>
      </x:c>
      <x:c r="N28" s="10">
        <x:f>SUM(N24:N27)</x:f>
        <x:v>1633599.9999999998</x:v>
      </x:c>
      <x:c r="O28" t="s">
        <x:v>47</x:v>
      </x:c>
    </x:row>
    <x:row r="29" spans="1:17" x14ac:dyDescent="0.25">
      <x:c r="N29" s="10"/>
    </x:row>
    <x:row r="30" spans="1:17" x14ac:dyDescent="0.25">
      <x:c r="N30" s="13" t="s">
        <x:v>48</x:v>
      </x:c>
      <x:c r="O30" s="13" t="s">
        <x:v>49</x:v>
      </x:c>
      <x:c r="P30" s="16" t="s">
        <x:v>50</x:v>
      </x:c>
    </x:row>
    <x:row r="31" spans="1:17" x14ac:dyDescent="0.25">
      <x:c r="G31" s="14" t="str">
        <x:f>G7</x:f>
        <x:v>9260000</x:v>
      </x:c>
      <x:c r="H31" s="14" t="str">
        <x:f>H7</x:f>
        <x:v>521900</x:v>
      </x:c>
      <x:c r="I31" s="14" t="str">
        <x:f>I7</x:f>
        <x:v>553</x:v>
      </x:c>
      <x:c r="J31" s="14" t="str">
        <x:f>J7</x:f>
        <x:v>0000</x:v>
      </x:c>
      <x:c r="N31" s="10">
        <x:f>-SUM(N7:N10)+N26+N27</x:f>
        <x:v>177252.28</x:v>
      </x:c>
      <x:c r="O31" s="15">
        <x:v>0.42932175436255937</x:v>
      </x:c>
      <x:c r="P31" s="17">
        <x:f>ROUND(N31*O31,2)</x:f>
        <x:v>76098.259999999995</x:v>
      </x:c>
    </x:row>
    <x:row r="32" spans="1:17" x14ac:dyDescent="0.25">
      <x:c r="G32" s="14" t="str">
        <x:f>G11</x:f>
        <x:v>9260000</x:v>
      </x:c>
      <x:c r="H32" s="14" t="str">
        <x:f>H11</x:f>
        <x:v>571900</x:v>
      </x:c>
      <x:c r="I32" s="14" t="str">
        <x:f>I11</x:f>
        <x:v>553</x:v>
      </x:c>
      <x:c r="J32" s="14" t="str">
        <x:f>J11</x:f>
        <x:v>9010</x:v>
      </x:c>
      <x:c r="N32" s="10">
        <x:f>-SUM(N11:N14)</x:f>
        <x:v>17823.070000000003</x:v>
      </x:c>
      <x:c r="O32" s="15">
        <x:f>O31</x:f>
        <x:v>0.42932175436255937</x:v>
      </x:c>
      <x:c r="P32" s="17">
        <x:f>ROUND(N32*O32,2)</x:f>
        <x:v>7651.83</x:v>
      </x:c>
    </x:row>
    <x:row r="33" spans="7:16" x14ac:dyDescent="0.25">
      <x:c r="G33" s="14" t="str">
        <x:f t="shared" ref="G33:J34" si="0">G18</x:f>
        <x:v>9260000</x:v>
      </x:c>
      <x:c r="H33" s="14" t="str">
        <x:f t="shared" si="0"/>
        <x:v>521900</x:v>
      </x:c>
      <x:c r="I33" s="14" t="str">
        <x:f t="shared" si="0"/>
        <x:v>554</x:v>
      </x:c>
      <x:c r="J33" s="14" t="str">
        <x:f t="shared" si="0"/>
        <x:v>0000</x:v>
      </x:c>
      <x:c r="N33" s="10">
        <x:f>-SUM(N15:N18)</x:f>
        <x:v>1240475.5799999996</x:v>
      </x:c>
      <x:c r="O33" s="15">
        <x:f t="shared" ref="O33:O34" si="1">O32</x:f>
        <x:v>0.42932175436255937</x:v>
      </x:c>
      <x:c r="P33" s="17">
        <x:f>ROUND(N33*O33,2)</x:f>
        <x:v>532563.15</x:v>
      </x:c>
    </x:row>
    <x:row r="34" spans="7:16" x14ac:dyDescent="0.25">
      <x:c r="G34" s="14" t="str">
        <x:f t="shared" si="0"/>
        <x:v>9260000</x:v>
      </x:c>
      <x:c r="H34" s="14" t="str">
        <x:f t="shared" si="0"/>
        <x:v>571900</x:v>
      </x:c>
      <x:c r="I34" s="14" t="str">
        <x:f t="shared" si="0"/>
        <x:v>554</x:v>
      </x:c>
      <x:c r="J34" s="14" t="str">
        <x:f t="shared" si="0"/>
        <x:v>9010</x:v>
      </x:c>
      <x:c r="N34" s="12">
        <x:f>-SUM(N19:N22)</x:f>
        <x:v>198049.07</x:v>
      </x:c>
      <x:c r="O34" s="15">
        <x:f t="shared" si="1"/>
        <x:v>0.42932175436255937</x:v>
      </x:c>
      <x:c r="P34" s="18">
        <x:f>ROUND(N34*O34,2)</x:f>
        <x:v>85026.77</x:v>
      </x:c>
    </x:row>
    <x:row r="35" spans="7:16" x14ac:dyDescent="0.25">
      <x:c r="N35" s="10">
        <x:f>SUM(N31:N34)</x:f>
        <x:v>1633599.9999999998</x:v>
      </x:c>
      <x:c r="P35" s="17">
        <x:f>SUM(P31:P34)</x:f>
        <x:v>701340.01</x:v>
      </x:c>
    </x:row>
  </x:sheetData>
  <x:pageMargins left="0.25" right="0.25" top="2" bottom="0.25" header="1" footer="0.3"/>
  <x:pageSetup scale="63" orientation="landscape" r:id="rId1"/>
  <x:headerFooter>
    <x:oddHeader>&amp;C&amp;"-,Bold"
ONCOR ELECTRIC DELIVERY COMPANY LLC
REMOVE INCURRED BUT NOT REPORTED CREDIT IN 2024 / Q4 BENEFIT EXPENSES PAID IN 2025
FOR THE TEST YEAR ENDING DECEMBER 31, 2024
SPONSOR: R. PRACHYL &amp;&amp; A. GUILLORY&amp;R&amp;"-,Bold"WP/II-D-ADJUSTMENT/6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2025-04-29T15:20:37.0000000Z</dcterms:modified>
</coreProperties>
</file>