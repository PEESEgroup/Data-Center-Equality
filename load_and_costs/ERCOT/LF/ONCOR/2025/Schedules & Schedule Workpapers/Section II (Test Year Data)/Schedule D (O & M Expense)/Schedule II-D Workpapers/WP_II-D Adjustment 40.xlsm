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8_{D12FA344-55A6-447B-93F9-30EA78A3C7C4}" xr6:coauthVersionLast="47" xr6:coauthVersionMax="47" xr10:uidLastSave="{00000000-0000-0000-0000-000000000000}"/>
  <x:bookViews>
    <x:workbookView xWindow="-120" yWindow="-120" windowWidth="29040" windowHeight="15720" xr2:uid="{C8E9DFFC-A4B9-4F1A-94FD-3EDD9C8529C2}"/>
  </x:bookViews>
  <x:sheets>
    <x:sheet name="Everman " sheetId="1" r:id="rId1"/>
  </x:sheet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I14" i="1" l="1"/>
  <x:c r="F22" i="1" l="1"/>
  <x:c r="G11" i="1"/>
  <x:c r="H4" i="1" s="1"/>
  <x:c r="I11" i="1" l="1"/>
  <x:c r="H5" i="1" l="1"/>
  <x:c r="H6" i="1" s="1"/>
</x:calcChain>
</file>

<file path=xl/sharedStrings.xml><?xml version="1.0" encoding="utf-8"?>
<sst xmlns="http://schemas.openxmlformats.org/spreadsheetml/2006/main" count="27" uniqueCount="24">
  <si>
    <t>FORT WORTH - 9000-9020 PRIMORIS COURT</t>
  </si>
  <si>
    <t>AKA EVERMAN</t>
  </si>
  <si>
    <t>Pymt Seq</t>
  </si>
  <si>
    <t>Start Date</t>
  </si>
  <si>
    <t>End Date</t>
  </si>
  <si>
    <t>Present Value</t>
  </si>
  <si>
    <t>Pymnt Amount</t>
  </si>
  <si>
    <t>Yearly</t>
  </si>
  <si>
    <t>2025YEARLY LEASE</t>
  </si>
  <si>
    <t>OM %</t>
  </si>
  <si>
    <t>TOTAL OM</t>
  </si>
  <si>
    <t>Total</t>
  </si>
  <si>
    <t>BU</t>
  </si>
  <si>
    <t>Dept</t>
  </si>
  <si>
    <t>Account</t>
  </si>
  <si>
    <t>EC</t>
  </si>
  <si>
    <t>Project</t>
  </si>
  <si>
    <t>Loacation</t>
  </si>
  <si>
    <t>Activity</t>
  </si>
  <si>
    <t>ESD</t>
  </si>
  <si>
    <t>BC000061</t>
  </si>
  <si>
    <t>0000</t>
  </si>
  <si>
    <t>Lease Amount</t>
  </si>
  <si>
    <t>2025 AD VALOREM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</si>
</sst>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0.0%"/>
  </numFmts>
  <fonts count="7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6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wrapText="1"/>
    </xf>
    <xf numFmtId="8" fontId="0" fillId="0" borderId="1" xfId="0" applyNumberFormat="1" applyBorder="1" applyAlignment="1">
      <alignment wrapText="1"/>
    </xf>
    <xf numFmtId="164" fontId="0" fillId="0" borderId="0" xfId="1" applyNumberFormat="1" applyFont="1" applyAlignment="1">
      <alignment horizontal="center"/>
    </xf>
    <xf numFmtId="0" fontId="4" fillId="0" borderId="0" xfId="0" applyFont="1" applyAlignment="1">
      <alignment horizontal="center"/>
    </xf>
    <xf numFmtId="6" fontId="6" fillId="0" borderId="0" xfId="0" applyNumberFormat="1" applyFont="1"/>
    <xf numFmtId="0" fontId="6" fillId="0" borderId="0" xfId="0" applyFont="1"/>
    <xf numFmtId="0" fontId="4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8" fontId="0" fillId="0" borderId="2" xfId="0" applyNumberFormat="1" applyFill="1" applyBorder="1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B91EF83-CE82-41C5-B554-D3D520CD57FB}" mc:Ignorable="x14ac xr xr2 xr3">
  <x:sheetPr>
    <x:pageSetUpPr fitToPage="1"/>
  </x:sheetPr>
  <x:dimension ref="A1:R22"/>
  <x:sheetViews>
    <x:sheetView tabSelected="1" zoomScale="85" zoomScaleNormal="85" workbookViewId="0">
      <x:selection activeCell="D32" sqref="D32"/>
    </x:sheetView>
  </x:sheetViews>
  <x:sheetFormatPr defaultRowHeight="12.75" x14ac:dyDescent="0.2"/>
  <x:cols>
    <x:col min="1" max="1" width="8.7109375" bestFit="1" customWidth="1"/>
    <x:col min="2" max="2" width="10.85546875" bestFit="1" customWidth="1"/>
    <x:col min="3" max="3" width="15.140625" customWidth="1"/>
    <x:col min="4" max="4" width="12.5703125" bestFit="1" customWidth="1"/>
    <x:col min="5" max="5" width="17.85546875" customWidth="1"/>
    <x:col min="6" max="6" width="14.5703125" bestFit="1" customWidth="1"/>
    <x:col min="7" max="7" width="14.7109375" bestFit="1" customWidth="1"/>
    <x:col min="8" max="8" width="11.28515625" style="2" customWidth="1"/>
    <x:col min="9" max="9" width="12.85546875" bestFit="1" customWidth="1"/>
  </x:cols>
  <x:sheetData>
    <x:row r="1" spans="1:18" ht="18.75" x14ac:dyDescent="0.3">
      <x:c r="A1" s="1" t="s">
        <x:v>0</x:v>
      </x:c>
    </x:row>
    <x:row r="2" spans="1:18" ht="18.75" x14ac:dyDescent="0.3">
      <x:c r="A2" s="1" t="s">
        <x:v>1</x:v>
      </x:c>
    </x:row>
    <x:row r="3" spans="1:18" ht="31.5" x14ac:dyDescent="0.25">
      <x:c r="A3" s="3" t="s">
        <x:v>12</x:v>
      </x:c>
      <x:c r="B3" s="3" t="s">
        <x:v>13</x:v>
      </x:c>
      <x:c r="C3" s="3" t="s">
        <x:v>14</x:v>
      </x:c>
      <x:c r="D3" s="3" t="s">
        <x:v>15</x:v>
      </x:c>
      <x:c r="E3" s="3" t="s">
        <x:v>16</x:v>
      </x:c>
      <x:c r="F3" s="3" t="s">
        <x:v>17</x:v>
      </x:c>
      <x:c r="G3" s="3" t="s">
        <x:v>18</x:v>
      </x:c>
      <x:c r="H3" s="14" t="s">
        <x:v>22</x:v>
      </x:c>
    </x:row>
    <x:row r="4" spans="1:18" ht="15" x14ac:dyDescent="0.25">
      <x:c r="A4" s="13" t="s">
        <x:v>19</x:v>
      </x:c>
      <x:c r="B4" s="16">
        <x:v>516540</x:v>
      </x:c>
      <x:c r="C4" s="16">
        <x:v>5880000</x:v>
      </x:c>
      <x:c r="D4" s="16">
        <x:v>710</x:v>
      </x:c>
      <x:c r="E4" s="16" t="s">
        <x:v>20</x:v>
      </x:c>
      <x:c r="F4" s="13" t="s">
        <x:v>21</x:v>
      </x:c>
      <x:c r="G4" s="16">
        <x:v>4500</x:v>
      </x:c>
      <x:c r="H4" s="12">
        <x:f>ROUND((G11+G14)*0.21,0)</x:f>
        <x:v>243700</x:v>
      </x:c>
    </x:row>
    <x:row r="5" spans="1:18" ht="15" x14ac:dyDescent="0.25">
      <x:c r="A5" s="13" t="s">
        <x:v>19</x:v>
      </x:c>
      <x:c r="B5" s="16">
        <x:v>516080</x:v>
      </x:c>
      <x:c r="C5" s="16">
        <x:v>5880000</x:v>
      </x:c>
      <x:c r="D5" s="16">
        <x:v>710</x:v>
      </x:c>
      <x:c r="E5" s="16" t="s">
        <x:v>20</x:v>
      </x:c>
      <x:c r="F5" s="13" t="s">
        <x:v>21</x:v>
      </x:c>
      <x:c r="G5" s="16">
        <x:v>4500</x:v>
      </x:c>
      <x:c r="H5" s="12">
        <x:f>I11+I14-H4</x:f>
        <x:v>2321</x:v>
      </x:c>
    </x:row>
    <x:row r="6" spans="1:18" ht="15.75" x14ac:dyDescent="0.25">
      <x:c r="F6" s="12"/>
      <x:c r="G6" s="11" t="s">
        <x:v>11</x:v>
      </x:c>
      <x:c r="H6" s="12">
        <x:f>SUM(H4:H5)</x:f>
        <x:v>246021</x:v>
      </x:c>
    </x:row>
    <x:row r="7" spans="1:18" ht="15.75" x14ac:dyDescent="0.25">
      <x:c r="E7" s="11"/>
      <x:c r="F7" s="12"/>
      <x:c r="M7" s="3"/>
      <x:c r="P7" s="4"/>
      <x:c r="Q7" s="4"/>
      <x:c r="R7" s="12"/>
    </x:row>
    <x:row r="8" spans="1:18" ht="15.75" x14ac:dyDescent="0.25">
      <x:c r="E8" s="11"/>
      <x:c r="F8" s="12"/>
      <x:c r="M8" s="3"/>
      <x:c r="P8" s="4"/>
      <x:c r="Q8" s="4"/>
      <x:c r="R8" s="12"/>
    </x:row>
    <x:row r="9" spans="1:18" ht="15.75" x14ac:dyDescent="0.25">
      <x:c r="Q9" s="11"/>
      <x:c r="R9" s="12"/>
    </x:row>
    <x:row r="10" spans="1:18" ht="30" x14ac:dyDescent="0.25">
      <x:c r="A10" s="5" t="s">
        <x:v>2</x:v>
      </x:c>
      <x:c r="B10" s="5" t="s">
        <x:v>3</x:v>
      </x:c>
      <x:c r="C10" s="5" t="s">
        <x:v>4</x:v>
      </x:c>
      <x:c r="D10" s="5" t="s">
        <x:v>5</x:v>
      </x:c>
      <x:c r="E10" s="5" t="s">
        <x:v>6</x:v>
      </x:c>
      <x:c r="F10" s="5" t="s">
        <x:v>7</x:v>
      </x:c>
      <x:c r="G10" s="6" t="s">
        <x:v>8</x:v>
      </x:c>
      <x:c r="H10" s="6" t="s">
        <x:v>9</x:v>
      </x:c>
      <x:c r="I10" s="6" t="s">
        <x:v>10</x:v>
      </x:c>
    </x:row>
    <x:row r="11" spans="1:18" x14ac:dyDescent="0.2">
      <x:c r="A11" s="7">
        <x:v>1</x:v>
      </x:c>
      <x:c r="B11" s="8">
        <x:v>45658</x:v>
      </x:c>
      <x:c r="C11" s="8">
        <x:v>45688</x:v>
      </x:c>
      <x:c r="D11" s="9">
        <x:v>91666.67</x:v>
      </x:c>
      <x:c r="E11" s="9">
        <x:v>91666.67</x:v>
      </x:c>
      <x:c r="F11" s="9"/>
      <x:c r="G11" s="4">
        <x:f>SUM(E11:E22)</x:f>
        <x:v>1100000.0400000003</x:v>
      </x:c>
      <x:c r="H11" s="10">
        <x:v>0.21199999999999999</x:v>
      </x:c>
      <x:c r="I11" s="4">
        <x:f>ROUND(H11*G11,0)</x:f>
        <x:v>233200</x:v>
      </x:c>
    </x:row>
    <x:row r="12" spans="1:18" x14ac:dyDescent="0.2">
      <x:c r="A12" s="7">
        <x:v>2</x:v>
      </x:c>
      <x:c r="B12" s="8">
        <x:v>45689</x:v>
      </x:c>
      <x:c r="C12" s="8">
        <x:v>45716</x:v>
      </x:c>
      <x:c r="D12" s="9">
        <x:v>91269.65</x:v>
      </x:c>
      <x:c r="E12" s="9">
        <x:v>91666.67</x:v>
      </x:c>
      <x:c r="F12" s="9"/>
    </x:row>
    <x:row r="13" spans="1:18" ht="25.5" x14ac:dyDescent="0.2">
      <x:c r="A13" s="7">
        <x:v>3</x:v>
      </x:c>
      <x:c r="B13" s="8">
        <x:v>45717</x:v>
      </x:c>
      <x:c r="C13" s="8">
        <x:v>45747</x:v>
      </x:c>
      <x:c r="D13" s="9">
        <x:v>90874.34</x:v>
      </x:c>
      <x:c r="E13" s="9">
        <x:v>91666.67</x:v>
      </x:c>
      <x:c r="F13" s="9"/>
      <x:c r="G13" s="15" t="s">
        <x:v>23</x:v>
      </x:c>
    </x:row>
    <x:row r="14" spans="1:18" x14ac:dyDescent="0.2">
      <x:c r="A14" s="7">
        <x:v>4</x:v>
      </x:c>
      <x:c r="B14" s="8">
        <x:v>45748</x:v>
      </x:c>
      <x:c r="C14" s="8">
        <x:v>45777</x:v>
      </x:c>
      <x:c r="D14" s="9">
        <x:v>90480.75</x:v>
      </x:c>
      <x:c r="E14" s="9">
        <x:v>91666.67</x:v>
      </x:c>
      <x:c r="F14" s="9"/>
      <x:c r="G14" s="17">
        <x:v>60478</x:v>
      </x:c>
      <x:c r="H14" s="10">
        <x:v>0.21199999999999999</x:v>
      </x:c>
      <x:c r="I14" s="4">
        <x:f>ROUND(H14*G14,0)</x:f>
        <x:v>12821</x:v>
      </x:c>
    </x:row>
    <x:row r="15" spans="1:18" x14ac:dyDescent="0.2">
      <x:c r="A15" s="7">
        <x:v>5</x:v>
      </x:c>
      <x:c r="B15" s="8">
        <x:v>45778</x:v>
      </x:c>
      <x:c r="C15" s="8">
        <x:v>45808</x:v>
      </x:c>
      <x:c r="D15" s="9">
        <x:v>90088.87</x:v>
      </x:c>
      <x:c r="E15" s="9">
        <x:v>91666.67</x:v>
      </x:c>
      <x:c r="F15" s="9"/>
    </x:row>
    <x:row r="16" spans="1:18" x14ac:dyDescent="0.2">
      <x:c r="A16" s="7">
        <x:v>6</x:v>
      </x:c>
      <x:c r="B16" s="8">
        <x:v>45809</x:v>
      </x:c>
      <x:c r="C16" s="8">
        <x:v>45838</x:v>
      </x:c>
      <x:c r="D16" s="9">
        <x:v>89698.68</x:v>
      </x:c>
      <x:c r="E16" s="9">
        <x:v>91666.67</x:v>
      </x:c>
      <x:c r="F16" s="9"/>
    </x:row>
    <x:row r="17" spans="1:6" x14ac:dyDescent="0.2">
      <x:c r="A17" s="7">
        <x:v>7</x:v>
      </x:c>
      <x:c r="B17" s="8">
        <x:v>45839</x:v>
      </x:c>
      <x:c r="C17" s="8">
        <x:v>45869</x:v>
      </x:c>
      <x:c r="D17" s="9">
        <x:v>89310.18</x:v>
      </x:c>
      <x:c r="E17" s="9">
        <x:v>91666.67</x:v>
      </x:c>
      <x:c r="F17" s="9"/>
    </x:row>
    <x:row r="18" spans="1:6" x14ac:dyDescent="0.2">
      <x:c r="A18" s="7">
        <x:v>8</x:v>
      </x:c>
      <x:c r="B18" s="8">
        <x:v>45870</x:v>
      </x:c>
      <x:c r="C18" s="8">
        <x:v>45900</x:v>
      </x:c>
      <x:c r="D18" s="9">
        <x:v>88923.36</x:v>
      </x:c>
      <x:c r="E18" s="9">
        <x:v>91666.67</x:v>
      </x:c>
      <x:c r="F18" s="9"/>
    </x:row>
    <x:row r="19" spans="1:6" x14ac:dyDescent="0.2">
      <x:c r="A19" s="7">
        <x:v>9</x:v>
      </x:c>
      <x:c r="B19" s="8">
        <x:v>45901</x:v>
      </x:c>
      <x:c r="C19" s="8">
        <x:v>45930</x:v>
      </x:c>
      <x:c r="D19" s="9">
        <x:v>88538.22</x:v>
      </x:c>
      <x:c r="E19" s="9">
        <x:v>91666.67</x:v>
      </x:c>
      <x:c r="F19" s="9"/>
    </x:row>
    <x:row r="20" spans="1:6" x14ac:dyDescent="0.2">
      <x:c r="A20" s="7">
        <x:v>10</x:v>
      </x:c>
      <x:c r="B20" s="8">
        <x:v>45931</x:v>
      </x:c>
      <x:c r="C20" s="8">
        <x:v>45961</x:v>
      </x:c>
      <x:c r="D20" s="9">
        <x:v>88154.75</x:v>
      </x:c>
      <x:c r="E20" s="9">
        <x:v>91666.67</x:v>
      </x:c>
      <x:c r="F20" s="9"/>
    </x:row>
    <x:row r="21" spans="1:6" x14ac:dyDescent="0.2">
      <x:c r="A21" s="7">
        <x:v>11</x:v>
      </x:c>
      <x:c r="B21" s="8">
        <x:v>45962</x:v>
      </x:c>
      <x:c r="C21" s="8">
        <x:v>45991</x:v>
      </x:c>
      <x:c r="D21" s="9">
        <x:v>87772.93</x:v>
      </x:c>
      <x:c r="E21" s="9">
        <x:v>91666.67</x:v>
      </x:c>
      <x:c r="F21" s="9"/>
    </x:row>
    <x:row r="22" spans="1:6" x14ac:dyDescent="0.2">
      <x:c r="A22" s="7">
        <x:v>12</x:v>
      </x:c>
      <x:c r="B22" s="8">
        <x:v>45992</x:v>
      </x:c>
      <x:c r="C22" s="8">
        <x:v>46022</x:v>
      </x:c>
      <x:c r="D22" s="9">
        <x:v>87392.78</x:v>
      </x:c>
      <x:c r="E22" s="9">
        <x:v>91666.67</x:v>
      </x:c>
      <x:c r="F22" s="9">
        <x:f>SUM(E11:E22)</x:f>
        <x:v>1100000.0400000003</x:v>
      </x:c>
    </x:row>
  </x:sheetData>
  <x:pageMargins left="0.25" right="0.25" top="2.5" bottom="0.25" header="1" footer="0.3"/>
  <x:pageSetup orientation="landscape" r:id="rId1"/>
  <x:headerFooter>
    <x:oddHeader>&amp;C&amp;"-,Bold"
ONCOR ELECTRIC DELIVERY COMPANY LLC
EVERMAN LEASE ADJUSTMENT
FOR THE TEST YEAR ENDING DECEMBER 31, 2024
SPONSOR: R. PRACHYL&amp;R&amp;"-,Bold"WP/II-D ADJUSTMENT/40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2025-04-09T12:24:45.0000000Z</dcterms:modified>
</coreProperties>
</file>