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x:workbook xmlns:x15ac="http://schemas.microsoft.com/office/spreadsheetml/2010/11/ac" xmlns:xcalcf="http://schemas.microsoft.com/office/spreadsheetml/2018/calcfeatures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xmlns:x="http://schemas.openxmlformats.org/spreadsheetml/2006/main" mc:Ignorable="x15 xr xr6 xr10 xr2">
  <x:fileVersion appName="xl" lastEdited="7" lowestEdited="7" rupBuild="24332"/>
  <x:workbookPr defaultThemeVersion="166925"/>
  <mc:AlternateContent xmlns:mc="http://schemas.openxmlformats.org/markup-compatibility/2006">
    <mc:Choice Requires="x15">
      <x15ac:absPath xmlns:x15ac="http://schemas.microsoft.com/office/spreadsheetml/2010/11/ac" url="N:\2025 Rate Case\Section II (Test Year Data)\Schedule D (O &amp; M Expense)\Schedule II-D Workpapers\"/>
    </mc:Choice>
  </mc:AlternateContent>
  <xr:revisionPtr revIDLastSave="0" documentId="13_ncr:1_{C3D7E649-2397-461B-8050-D583CB573AA7}" xr6:coauthVersionLast="47" xr6:coauthVersionMax="47" xr10:uidLastSave="{00000000-0000-0000-0000-000000000000}"/>
  <x:bookViews>
    <x:workbookView xWindow="-120" yWindow="-120" windowWidth="29040" windowHeight="15720" xr2:uid="{E09AA888-6FF0-4642-8CD3-0E3D6313B1D7}"/>
  </x:bookViews>
  <x:sheets>
    <x:sheet name="K&amp;M O&amp;M Adj PLSA" sheetId="1" r:id="rId1"/>
  </x:sheets>
  <x:definedNames>
    <x:definedName name="NvsASD">"V2024-12-31"</x:definedName>
    <x:definedName name="NvsAutoDrillOk">"VN"</x:definedName>
    <x:definedName name="NvsElapsedTime">0.0000810185156296939</x:definedName>
    <x:definedName name="NvsEndTime">45709.530775463</x:definedName>
    <x:definedName name="NvsInstLang">"VENG"</x:definedName>
    <x:definedName name="NvsInstSpec">"%,LTU_SUM01,SBAL,FBUSINESS_UNIT,TF_BU_D_BASE,N3DELV,FACCOUNT,V1824700"</x:definedName>
    <x:definedName name="NvsInstSpec1">","</x:definedName>
    <x:definedName name="NvsInstSpec2">","</x:definedName>
    <x:definedName name="NvsInstSpec3">","</x:definedName>
    <x:definedName name="NvsInstSpec4">","</x:definedName>
    <x:definedName name="NvsInstSpec5">","</x:definedName>
    <x:definedName name="NvsInstSpec6">","</x:definedName>
    <x:definedName name="NvsInstSpec7">","</x:definedName>
    <x:definedName name="NvsInstSpec8">","</x:definedName>
    <x:definedName name="NvsInstSpec9">","</x:definedName>
    <x:definedName name="NvsLayoutType">"M3"</x:definedName>
    <x:definedName name="NvsParentRef">"'[3DELV Cons GL BU Trial Balance 2024 Dec.xls]Sheet1'!$T$214"</x:definedName>
    <x:definedName name="NvsReqBU">"VX0001"</x:definedName>
    <x:definedName name="NvsReqBUOnly">"VN"</x:definedName>
    <x:definedName name="NvsTransLed">"VY"</x:definedName>
    <x:definedName name="NvsTreeASD">"V2024-12-31"</x:definedName>
    <x:definedName name="_xlnm.Print_Area" localSheetId="0">'K&amp;M O&amp;M Adj PLSA'!$A$1:$O$28</x:definedName>
  </x:definedNames>
  <x:calcPr calcId="191029" iterate="1"/>
  <x:pivotCaches>
    <x:pivotCache cacheId="22" r:id="rId2"/>
  </x:pivotCaches>
  <x:extLst>
    <x:ext xmlns:x15="http://schemas.microsoft.com/office/spreadsheetml/2010/11/main" uri="{140A7094-0E35-4892-8432-C4D2E57EDEB5}">
      <x15:workbookPr chartTrackingRefBase="1"/>
    </x:ext>
    <x: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x:ext>
  </x:extLst>
</x:workbook>
</file>

<file path=xl/calcChain.xml><?xml version="1.0" encoding="utf-8"?>
<x:calcChain xmlns:x="http://schemas.openxmlformats.org/spreadsheetml/2006/main">
  <x:c r="L22" i="1" l="1"/>
  <x:c r="K20" i="1"/>
  <x:c r="K24" i="1" s="1"/>
  <x:c r="K28" i="1" s="1"/>
  <x:c r="J20" i="1"/>
  <x:c r="J24" i="1" s="1"/>
  <x:c r="J26" i="1" s="1"/>
  <x:c r="L19" i="1"/>
  <x:c r="L18" i="1"/>
  <x:c r="L17" i="1"/>
  <x:c r="L16" i="1"/>
  <x:c r="L15" i="1"/>
  <x:c r="L14" i="1"/>
  <x:c r="L13" i="1"/>
  <x:c r="L12" i="1"/>
  <x:c r="L11" i="1"/>
  <x:c r="L10" i="1"/>
  <x:c r="L9" i="1"/>
  <x:c r="L8" i="1"/>
  <x:c r="L20" i="1" s="1"/>
  <x:c r="L24" i="1" l="1"/>
</x:calcChain>
</file>

<file path=xl/sharedStrings.xml><?xml version="1.0" encoding="utf-8"?>
<sst xmlns="http://schemas.openxmlformats.org/spreadsheetml/2006/main" count="64" uniqueCount="51">
  <si>
    <t>Account</t>
  </si>
  <si>
    <t>1824700</t>
  </si>
  <si>
    <t>1824700 - REG ASSET - PLS ACT PURA 36066</t>
  </si>
  <si>
    <t>Sum of Monetary Amount</t>
  </si>
  <si>
    <t>Unit</t>
  </si>
  <si>
    <t>Monthly COS O&amp;M accrual 2024 approved in Docket No. 53601 (2022 rate case)</t>
  </si>
  <si>
    <t>Proj</t>
  </si>
  <si>
    <t>Expnd Cd</t>
  </si>
  <si>
    <t>ESD</t>
  </si>
  <si>
    <t>NTUSU</t>
  </si>
  <si>
    <t>TRN</t>
  </si>
  <si>
    <t>Grand Total</t>
  </si>
  <si>
    <t>Month</t>
  </si>
  <si>
    <t>Total</t>
  </si>
  <si>
    <t>00000000</t>
  </si>
  <si>
    <t>862</t>
  </si>
  <si>
    <t xml:space="preserve">January </t>
  </si>
  <si>
    <t>00000000 Total</t>
  </si>
  <si>
    <t>February</t>
  </si>
  <si>
    <t>ACR53601</t>
  </si>
  <si>
    <t>416</t>
  </si>
  <si>
    <t>March</t>
  </si>
  <si>
    <t>ACR53601 Total</t>
  </si>
  <si>
    <t>April</t>
  </si>
  <si>
    <t>APPROVED</t>
  </si>
  <si>
    <t>000</t>
  </si>
  <si>
    <t>May</t>
  </si>
  <si>
    <t>APPROVED Total</t>
  </si>
  <si>
    <t>June</t>
  </si>
  <si>
    <t>July</t>
  </si>
  <si>
    <t>August</t>
  </si>
  <si>
    <t>September</t>
  </si>
  <si>
    <t>October</t>
  </si>
  <si>
    <t>November</t>
  </si>
  <si>
    <t>December</t>
  </si>
  <si>
    <t>Docket No. 53601 (2022 rate case) cost of service accrual included in 2024 test year</t>
  </si>
  <si>
    <t>Annual for 2024</t>
  </si>
  <si>
    <t>PLSA annual survey for 2025 - Cost of service accrual (FERC Account)</t>
  </si>
  <si>
    <t>2025 estimate for 20% transmission system circuit miles</t>
  </si>
  <si>
    <t>K&amp;M O&amp;M adjustment for PLSA annual surveying</t>
  </si>
  <si>
    <t>K&amp;M Adjustment - Increase to O&amp;M FERC Account 563</t>
  </si>
  <si>
    <t>Deptid</t>
  </si>
  <si>
    <t>EC</t>
  </si>
  <si>
    <t>Project</t>
  </si>
  <si>
    <t>Activity</t>
  </si>
  <si>
    <t>TRAN (TRN)</t>
  </si>
  <si>
    <t>571900</t>
  </si>
  <si>
    <t>5630000 - O&amp;M - OVERHEAD LINES EXPENSES</t>
  </si>
  <si>
    <t>290T</t>
  </si>
  <si>
    <t>Oncor TRAN (NTUSU)</t>
  </si>
  <si>
    <t>660000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</si>
</sst>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5" formatCode="&quot;$&quot;#,##0_);\(&quot;$&quot;#,##0\)"/>
    <numFmt numFmtId="7" formatCode="&quot;$&quot;#,##0.00_);\(&quot;$&quot;#,##0.00\)"/>
    <numFmt numFmtId="44" formatCode="_(&quot;$&quot;* #,##0.00_);_(&quot;$&quot;* \(#,##0.00\);_(&quot;$&quot;* &quot;-&quot;??_);_(@_)"/>
    <numFmt numFmtId="164" formatCode="_(&quot;$&quot;* #,##0_);_(&quot;$&quot;* \(#,##0\);_(&quot;$&quot;* &quot;-&quot;??_);_(@_)"/>
  </numFmts>
  <fonts count="7" x14ac:knownFonts="1">
    <font>
      <sz val="10"/>
      <name val="Arial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0"/>
      <color theme="1"/>
      <name val="Calibri"/>
      <family val="2"/>
      <scheme val="minor"/>
    </font>
    <font>
      <b/>
      <sz val="10"/>
      <name val="Arial"/>
      <family val="2"/>
    </font>
    <font>
      <u/>
      <sz val="10"/>
      <name val="Arial"/>
      <family val="2"/>
    </font>
  </fonts>
  <fills count="2">
    <fill>
      <patternFill patternType="none"/>
    </fill>
    <fill>
      <patternFill patternType="gray125"/>
    </fill>
  </fills>
  <borders count="23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rgb="FF999999"/>
      </right>
      <top style="thin">
        <color rgb="FF999999"/>
      </top>
      <bottom style="thin">
        <color rgb="FF999999"/>
      </bottom>
      <diagonal/>
    </border>
    <border>
      <left style="thin">
        <color rgb="FF999999"/>
      </left>
      <right style="thin">
        <color rgb="FF999999"/>
      </right>
      <top style="thin">
        <color rgb="FF999999"/>
      </top>
      <bottom style="thin">
        <color rgb="FF999999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rgb="FF999999"/>
      </top>
      <bottom/>
      <diagonal/>
    </border>
    <border>
      <left style="thin">
        <color indexed="65"/>
      </left>
      <right/>
      <top style="thin">
        <color rgb="FF999999"/>
      </top>
      <bottom/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indexed="65"/>
      </left>
      <right style="thin">
        <color indexed="64"/>
      </right>
      <top style="thin">
        <color rgb="FF999999"/>
      </top>
      <bottom/>
      <diagonal/>
    </border>
    <border>
      <left/>
      <right/>
      <top style="thin">
        <color rgb="FF999999"/>
      </top>
      <bottom/>
      <diagonal/>
    </border>
    <border>
      <left style="thin">
        <color rgb="FF999999"/>
      </left>
      <right style="thin">
        <color indexed="64"/>
      </right>
      <top style="thin">
        <color rgb="FF999999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rgb="FF999999"/>
      </top>
      <bottom style="thin">
        <color rgb="FF999999"/>
      </bottom>
      <diagonal/>
    </border>
    <border>
      <left style="thin">
        <color indexed="9"/>
      </left>
      <right/>
      <top style="thin">
        <color rgb="FF999999"/>
      </top>
      <bottom style="thin">
        <color rgb="FF999999"/>
      </bottom>
      <diagonal/>
    </border>
    <border>
      <left style="thin">
        <color rgb="FF999999"/>
      </left>
      <right/>
      <top style="thin">
        <color rgb="FF999999"/>
      </top>
      <bottom style="thin">
        <color rgb="FF999999"/>
      </bottom>
      <diagonal/>
    </border>
    <border>
      <left/>
      <right/>
      <top style="thin">
        <color rgb="FF999999"/>
      </top>
      <bottom style="thin">
        <color rgb="FF999999"/>
      </bottom>
      <diagonal/>
    </border>
    <border>
      <left style="thin">
        <color rgb="FF999999"/>
      </left>
      <right style="thin">
        <color indexed="64"/>
      </right>
      <top style="thin">
        <color rgb="FF999999"/>
      </top>
      <bottom style="thin">
        <color rgb="FF999999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44" fontId="3" fillId="0" borderId="0" applyFont="0" applyFill="0" applyBorder="0" applyAlignment="0" applyProtection="0"/>
    <xf numFmtId="0" fontId="1" fillId="0" borderId="0"/>
  </cellStyleXfs>
  <cellXfs count="49">
    <xf numFmtId="0" fontId="0" fillId="0" borderId="0" xfId="0"/>
    <xf numFmtId="0" fontId="3" fillId="0" borderId="0" xfId="0" applyFon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2" fillId="0" borderId="0" xfId="2" applyFont="1"/>
    <xf numFmtId="0" fontId="1" fillId="0" borderId="0" xfId="2"/>
    <xf numFmtId="0" fontId="0" fillId="0" borderId="12" xfId="0" applyBorder="1"/>
    <xf numFmtId="0" fontId="0" fillId="0" borderId="13" xfId="0" applyBorder="1"/>
    <xf numFmtId="0" fontId="4" fillId="0" borderId="14" xfId="2" applyFont="1" applyBorder="1" applyAlignment="1">
      <alignment horizontal="center"/>
    </xf>
    <xf numFmtId="0" fontId="1" fillId="0" borderId="14" xfId="2" applyBorder="1" applyAlignment="1">
      <alignment horizontal="center"/>
    </xf>
    <xf numFmtId="7" fontId="0" fillId="0" borderId="10" xfId="0" applyNumberFormat="1" applyBorder="1"/>
    <xf numFmtId="7" fontId="0" fillId="0" borderId="12" xfId="0" applyNumberFormat="1" applyBorder="1"/>
    <xf numFmtId="7" fontId="0" fillId="0" borderId="13" xfId="0" applyNumberFormat="1" applyBorder="1"/>
    <xf numFmtId="17" fontId="1" fillId="0" borderId="0" xfId="2" applyNumberFormat="1"/>
    <xf numFmtId="5" fontId="1" fillId="0" borderId="0" xfId="1" applyNumberFormat="1" applyFont="1"/>
    <xf numFmtId="0" fontId="0" fillId="0" borderId="15" xfId="0" applyBorder="1"/>
    <xf numFmtId="0" fontId="0" fillId="0" borderId="16" xfId="0" applyBorder="1"/>
    <xf numFmtId="7" fontId="0" fillId="0" borderId="17" xfId="0" applyNumberFormat="1" applyBorder="1"/>
    <xf numFmtId="7" fontId="0" fillId="0" borderId="18" xfId="0" applyNumberFormat="1" applyBorder="1"/>
    <xf numFmtId="7" fontId="0" fillId="0" borderId="19" xfId="0" applyNumberFormat="1" applyBorder="1"/>
    <xf numFmtId="0" fontId="0" fillId="0" borderId="20" xfId="0" applyBorder="1"/>
    <xf numFmtId="0" fontId="0" fillId="0" borderId="14" xfId="0" applyBorder="1"/>
    <xf numFmtId="0" fontId="0" fillId="0" borderId="21" xfId="0" applyBorder="1"/>
    <xf numFmtId="5" fontId="1" fillId="0" borderId="0" xfId="1" applyNumberFormat="1" applyFont="1" applyFill="1"/>
    <xf numFmtId="0" fontId="3" fillId="0" borderId="0" xfId="0" applyFont="1" applyAlignment="1">
      <alignment horizontal="right"/>
    </xf>
    <xf numFmtId="0" fontId="1" fillId="0" borderId="22" xfId="2" applyBorder="1"/>
    <xf numFmtId="5" fontId="1" fillId="0" borderId="22" xfId="1" applyNumberFormat="1" applyFont="1" applyBorder="1"/>
    <xf numFmtId="5" fontId="0" fillId="0" borderId="0" xfId="0" applyNumberFormat="1"/>
    <xf numFmtId="5" fontId="0" fillId="0" borderId="0" xfId="1" applyNumberFormat="1" applyFont="1"/>
    <xf numFmtId="164" fontId="0" fillId="0" borderId="0" xfId="0" applyNumberFormat="1"/>
    <xf numFmtId="0" fontId="5" fillId="0" borderId="0" xfId="0" applyFont="1" applyFill="1"/>
    <xf numFmtId="0" fontId="5" fillId="0" borderId="0" xfId="0" applyFont="1" applyFill="1" applyAlignment="1">
      <alignment horizontal="right"/>
    </xf>
    <xf numFmtId="5" fontId="5" fillId="0" borderId="0" xfId="1" applyNumberFormat="1" applyFont="1" applyFill="1"/>
    <xf numFmtId="0" fontId="0" fillId="0" borderId="0" xfId="0" applyFill="1"/>
    <xf numFmtId="0" fontId="6" fillId="0" borderId="0" xfId="0" applyFont="1" applyFill="1" applyAlignment="1">
      <alignment horizontal="center"/>
    </xf>
    <xf numFmtId="0" fontId="3" fillId="0" borderId="0" xfId="0" applyFont="1" applyFill="1" applyAlignment="1">
      <alignment horizontal="right" indent="1"/>
    </xf>
    <xf numFmtId="5" fontId="3" fillId="0" borderId="0" xfId="1" applyNumberFormat="1" applyFont="1" applyFill="1"/>
    <xf numFmtId="0" fontId="0" fillId="0" borderId="0" xfId="0" applyFill="1" applyAlignment="1">
      <alignment horizontal="center"/>
    </xf>
    <xf numFmtId="0" fontId="3" fillId="0" borderId="0" xfId="0" applyFont="1" applyFill="1"/>
    <xf numFmtId="0" fontId="3" fillId="0" borderId="0" xfId="0" applyFont="1" applyFill="1" applyAlignment="1">
      <alignment horizontal="right"/>
    </xf>
  </cellXfs>
  <cellStyles count="3">
    <cellStyle name="Currency" xfId="1" builtinId="4"/>
    <cellStyle name="Normal" xfId="0" builtinId="0"/>
    <cellStyle name="Normal 6" xfId="2" xr:uid="{A1EBF954-CC75-4092-AF52-8B34E24EDAC6}"/>
  </cellStyles>
  <dxfs count="15"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pivotCacheDefinition" Target="pivotCache/pivotCacheDefinition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M:\2024%20Rate%20Case%20Support\K&amp;M%20Adjustments\K&amp;M%20Adjmts%20-%20First%20Draft\KM%20Adj%20-%20PLSA%20COS%20Accrual%20for%20TRN%20&amp;%20NTU.xls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toneham, Glenda" refreshedDate="45709.532200925925" createdVersion="1" refreshedVersion="4" recordCount="88" xr:uid="{A1321D29-102D-4789-A400-805156B4457F}">
  <cacheSource type="worksheet">
    <worksheetSource ref="A6:AP94" sheet="Sheet1" r:id="rId2"/>
  </cacheSource>
  <cacheFields count="42">
    <cacheField name="%,OH" numFmtId="0">
      <sharedItems containsBlank="1"/>
    </cacheField>
    <cacheField name="Source" numFmtId="0">
      <sharedItems/>
    </cacheField>
    <cacheField name="Journal" numFmtId="0">
      <sharedItems count="20">
        <s v="0000986997"/>
        <s v="PRJ1011069"/>
        <s v="PRJ1006229"/>
        <s v="0000987007"/>
        <s v="PRJ1009867"/>
        <s v="PRJ1011071"/>
        <s v="PRJ1002129"/>
        <s v="PRJ1006230"/>
        <s v="PRJ1008705"/>
        <s v="PRJ1008707"/>
        <s v="PRJ1003716"/>
        <s v="PRJ0997394"/>
        <s v="PRJ1009866"/>
        <s v="PRJ0999634"/>
        <s v="PRJ0998509"/>
        <s v="PRJ1007360"/>
        <s v="PRJ0998508"/>
        <s v="PRJ1007361"/>
        <s v="PRJ1002128"/>
        <s v="PRJ0997395"/>
      </sharedItems>
    </cacheField>
    <cacheField name="Unit" numFmtId="0">
      <sharedItems count="3">
        <s v="TRN"/>
        <s v="ESD"/>
        <s v="NTUSU"/>
      </sharedItems>
    </cacheField>
    <cacheField name="Monetary Amount" numFmtId="0">
      <sharedItems containsSemiMixedTypes="0" containsString="0" containsNumber="1" minValue="-237511.67" maxValue="801619"/>
    </cacheField>
    <cacheField name="Upload Journal Documentation" numFmtId="0">
      <sharedItems/>
    </cacheField>
    <cacheField name="Date" numFmtId="0">
      <sharedItems/>
    </cacheField>
    <cacheField name="DeptID" numFmtId="0">
      <sharedItems/>
    </cacheField>
    <cacheField name="Account" numFmtId="0">
      <sharedItems count="1">
        <s v="1824700"/>
      </sharedItems>
    </cacheField>
    <cacheField name="Expnd Cd" numFmtId="0">
      <sharedItems count="3">
        <s v="000"/>
        <s v="862"/>
        <s v="416"/>
      </sharedItems>
    </cacheField>
    <cacheField name="Proj" numFmtId="0">
      <sharedItems count="3">
        <s v="APPROVED"/>
        <s v="00000000"/>
        <s v="ACR53601"/>
      </sharedItems>
    </cacheField>
    <cacheField name="Activity" numFmtId="0">
      <sharedItems/>
    </cacheField>
    <cacheField name="TU Loc" numFmtId="0">
      <sharedItems/>
    </cacheField>
    <cacheField name="Affl" numFmtId="0">
      <sharedItems containsBlank="1"/>
    </cacheField>
    <cacheField name="Journal Line Description" numFmtId="0">
      <sharedItems containsBlank="1"/>
    </cacheField>
    <cacheField name="Document Name" numFmtId="0">
      <sharedItems containsBlank="1"/>
    </cacheField>
    <cacheField name="Type" numFmtId="0">
      <sharedItems containsBlank="1"/>
    </cacheField>
    <cacheField name="Path" numFmtId="0">
      <sharedItems containsBlank="1"/>
    </cacheField>
    <cacheField name="Period" numFmtId="0">
      <sharedItems containsSemiMixedTypes="0" containsString="0" containsNumber="1" containsInteger="1" minValue="1" maxValue="12"/>
    </cacheField>
    <cacheField name="Exchange Rate" numFmtId="0">
      <sharedItems containsSemiMixedTypes="0" containsString="0" containsNumber="1" containsInteger="1" minValue="1" maxValue="1"/>
    </cacheField>
    <cacheField name="Rate Type" numFmtId="0">
      <sharedItems containsBlank="1"/>
    </cacheField>
    <cacheField name="Currency" numFmtId="0">
      <sharedItems/>
    </cacheField>
    <cacheField name="Long Description" numFmtId="0">
      <sharedItems/>
    </cacheField>
    <cacheField name="Year" numFmtId="0">
      <sharedItems containsSemiMixedTypes="0" containsString="0" containsNumber="1" containsInteger="1" minValue="2024" maxValue="2024"/>
    </cacheField>
    <cacheField name="Foreign Amount" numFmtId="0">
      <sharedItems containsSemiMixedTypes="0" containsString="0" containsNumber="1" minValue="-237511.67" maxValue="801619"/>
    </cacheField>
    <cacheField name="Currency2" numFmtId="0">
      <sharedItems/>
    </cacheField>
    <cacheField name="Line #" numFmtId="0">
      <sharedItems containsSemiMixedTypes="0" containsString="0" containsNumber="1" containsInteger="1" minValue="1" maxValue="1221"/>
    </cacheField>
    <cacheField name="Line Date" numFmtId="0">
      <sharedItems/>
    </cacheField>
    <cacheField name="Status" numFmtId="0">
      <sharedItems/>
    </cacheField>
    <cacheField name="Status2" numFmtId="0">
      <sharedItems/>
    </cacheField>
    <cacheField name="Ref" numFmtId="0">
      <sharedItems containsNonDate="0" containsString="0" containsBlank="1"/>
    </cacheField>
    <cacheField name="Ledger" numFmtId="0">
      <sharedItems/>
    </cacheField>
    <cacheField name="Ledger Grp" numFmtId="0">
      <sharedItems/>
    </cacheField>
    <cacheField name="Journal Line Description2" numFmtId="0">
      <sharedItems containsBlank="1"/>
    </cacheField>
    <cacheField name="N/R" numFmtId="0">
      <sharedItems/>
    </cacheField>
    <cacheField name="Posted" numFmtId="0">
      <sharedItems/>
    </cacheField>
    <cacheField name="Instance" numFmtId="0">
      <sharedItems containsSemiMixedTypes="0" containsString="0" containsNumber="1" containsInteger="1" minValue="0" maxValue="2927435"/>
    </cacheField>
    <cacheField name="Prod" numFmtId="0">
      <sharedItems/>
    </cacheField>
    <cacheField name="Statistic Amount" numFmtId="0">
      <sharedItems containsSemiMixedTypes="0" containsString="0" containsNumber="1" containsInteger="1" minValue="0" maxValue="0"/>
    </cacheField>
    <cacheField name="Stat" numFmtId="0">
      <sharedItems containsNonDate="0" containsString="0" containsBlank="1"/>
    </cacheField>
    <cacheField name="Seq" numFmtId="0">
      <sharedItems containsSemiMixedTypes="0" containsString="0" containsNumber="1" containsInteger="1" minValue="0" maxValue="0"/>
    </cacheField>
    <cacheField name="Suspended Line" numFmtId="0">
      <sharedItems containsSemiMixedTypes="0" containsString="0" containsNumber="1" containsInteger="1" minValue="0" maxValue="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8">
  <r>
    <s v="%,OA"/>
    <s v="UJE"/>
    <x v="0"/>
    <x v="0"/>
    <n v="-105733.09"/>
    <s v="Click Here To Select Upload Journal"/>
    <s v="2024-12-31"/>
    <s v="571900"/>
    <x v="0"/>
    <x v="0"/>
    <x v="0"/>
    <s v="0000"/>
    <s v="0000"/>
    <m/>
    <s v="TRN PLSA Reg Asset"/>
    <s v="000_2024-12-31_0000986997.xlsm"/>
    <s v="XLS"/>
    <s v="/data/psfs/docs/fimprd/jrnldoc"/>
    <n v="12"/>
    <n v="1"/>
    <s v="CRRNT"/>
    <s v="USD"/>
    <s v="Powerline Safety Amortization Dec 2024"/>
    <n v="2024"/>
    <n v="-105733.09"/>
    <s v="USD"/>
    <n v="5"/>
    <s v="2024-12-31"/>
    <s v="P"/>
    <s v="0"/>
    <m/>
    <s v="ACTUALS"/>
    <s v="ACTUALS"/>
    <s v="TRN PLSA Reg Asset"/>
    <s v="N"/>
    <s v="2024-12-11"/>
    <n v="0"/>
    <s v="000000"/>
    <n v="0"/>
    <m/>
    <n v="0"/>
    <n v="0"/>
  </r>
  <r>
    <m/>
    <s v="UJE"/>
    <x v="0"/>
    <x v="0"/>
    <n v="-105733.09"/>
    <s v="Click Here To Select Upload Journal"/>
    <s v="2024-11-30"/>
    <s v="571900"/>
    <x v="0"/>
    <x v="0"/>
    <x v="0"/>
    <s v="0000"/>
    <s v="0000"/>
    <m/>
    <s v="TRN PLSA Reg Asset"/>
    <s v="000_2024-11-30_0000986997.xlsm"/>
    <s v="XLS"/>
    <s v="/data/psfs/docs/fimprd/jrnldoc"/>
    <n v="11"/>
    <n v="1"/>
    <s v="CRRNT"/>
    <s v="USD"/>
    <s v="Powerline Safety Amortization Nov 2024"/>
    <n v="2024"/>
    <n v="-105733.09"/>
    <s v="USD"/>
    <n v="5"/>
    <s v="2024-11-30"/>
    <s v="P"/>
    <s v="0"/>
    <m/>
    <s v="ACTUALS"/>
    <s v="ACTUALS"/>
    <s v="TRN PLSA Reg Asset"/>
    <s v="N"/>
    <s v="2024-12-02"/>
    <n v="0"/>
    <s v="000000"/>
    <n v="0"/>
    <m/>
    <n v="0"/>
    <n v="0"/>
  </r>
  <r>
    <m/>
    <s v="PRJ"/>
    <x v="1"/>
    <x v="0"/>
    <n v="254529"/>
    <s v="No Documentation Attached"/>
    <s v="2024-12-31"/>
    <s v="524001"/>
    <x v="0"/>
    <x v="1"/>
    <x v="1"/>
    <s v="0000"/>
    <s v="0000"/>
    <m/>
    <m/>
    <m/>
    <m/>
    <m/>
    <n v="12"/>
    <n v="1"/>
    <m/>
    <s v="USD"/>
    <s v="Project Costing Transactions"/>
    <n v="2024"/>
    <n v="254529"/>
    <s v="USD"/>
    <n v="1136"/>
    <s v="2024-12-31"/>
    <s v="P"/>
    <s v="0"/>
    <m/>
    <s v="ACTUALS"/>
    <s v="ACTUALS"/>
    <m/>
    <s v="N"/>
    <s v="2025-01-03"/>
    <n v="2927435"/>
    <s v="000000"/>
    <n v="0"/>
    <m/>
    <n v="0"/>
    <n v="0"/>
  </r>
  <r>
    <m/>
    <s v="PRJ"/>
    <x v="2"/>
    <x v="0"/>
    <n v="105500.97"/>
    <s v="No Documentation Attached"/>
    <s v="2024-08-31"/>
    <s v="524001"/>
    <x v="0"/>
    <x v="1"/>
    <x v="1"/>
    <s v="0000"/>
    <s v="0000"/>
    <m/>
    <m/>
    <m/>
    <m/>
    <m/>
    <n v="8"/>
    <n v="1"/>
    <m/>
    <s v="USD"/>
    <s v="Project Costing Transactions"/>
    <n v="2024"/>
    <n v="105500.97"/>
    <s v="USD"/>
    <n v="5"/>
    <s v="2024-08-31"/>
    <s v="P"/>
    <s v="0"/>
    <m/>
    <s v="ACTUALS"/>
    <s v="ACTUALS"/>
    <m/>
    <s v="N"/>
    <s v="2024-09-04"/>
    <n v="2864077"/>
    <s v="000000"/>
    <n v="0"/>
    <m/>
    <n v="0"/>
    <n v="0"/>
  </r>
  <r>
    <m/>
    <s v="UJE"/>
    <x v="0"/>
    <x v="1"/>
    <n v="-10220.17"/>
    <s v="Click Here To Select Upload Journal"/>
    <s v="2024-02-29"/>
    <s v="521900"/>
    <x v="0"/>
    <x v="0"/>
    <x v="0"/>
    <s v="0000"/>
    <s v="0000"/>
    <m/>
    <s v="ESD PLSA Reg Asset"/>
    <s v="000_2024-02-29_0000986997.xlsm"/>
    <m/>
    <s v="/data/psfs/docs/fimprd/jrnldoc"/>
    <n v="2"/>
    <n v="1"/>
    <s v="CRRNT"/>
    <s v="USD"/>
    <s v="Powerline Safety Amortization Feb 2024"/>
    <n v="2024"/>
    <n v="-10220.17"/>
    <s v="USD"/>
    <n v="1"/>
    <s v="2024-02-29"/>
    <s v="P"/>
    <s v="0"/>
    <m/>
    <s v="ACTUALS"/>
    <s v="ACTUALS"/>
    <s v="ESD PLSA Reg Asset"/>
    <s v="N"/>
    <s v="2024-02-21"/>
    <n v="0"/>
    <s v="000000"/>
    <n v="0"/>
    <m/>
    <n v="0"/>
    <n v="0"/>
  </r>
  <r>
    <m/>
    <s v="UJE"/>
    <x v="0"/>
    <x v="1"/>
    <n v="-10220.17"/>
    <s v="Click Here To Select Upload Journal"/>
    <s v="2024-09-30"/>
    <s v="521900"/>
    <x v="0"/>
    <x v="0"/>
    <x v="0"/>
    <s v="0000"/>
    <s v="0000"/>
    <m/>
    <s v="ESD PLSA Reg Asset"/>
    <s v="000_2024-09-30_0000986997.xlsm"/>
    <m/>
    <s v="/data/psfs/docs/fimprd/jrnldoc"/>
    <n v="9"/>
    <n v="1"/>
    <s v="CRRNT"/>
    <s v="USD"/>
    <s v="Powerline Safety Amortization September 2024"/>
    <n v="2024"/>
    <n v="-10220.17"/>
    <s v="USD"/>
    <n v="1"/>
    <s v="2024-09-30"/>
    <s v="P"/>
    <s v="0"/>
    <m/>
    <s v="ACTUALS"/>
    <s v="ACTUALS"/>
    <s v="ESD PLSA Reg Asset"/>
    <s v="N"/>
    <s v="2024-09-19"/>
    <n v="0"/>
    <s v="000000"/>
    <n v="0"/>
    <m/>
    <n v="0"/>
    <n v="0"/>
  </r>
  <r>
    <m/>
    <s v="UJE"/>
    <x v="0"/>
    <x v="2"/>
    <n v="-9270.08"/>
    <s v="Click Here To Select Upload Journal"/>
    <s v="2024-07-31"/>
    <s v="660000"/>
    <x v="0"/>
    <x v="0"/>
    <x v="0"/>
    <s v="0000"/>
    <s v="0000"/>
    <m/>
    <s v="NTU PLSA Reg Asset"/>
    <s v="000_2024-07-31_0000986997.xlsm"/>
    <s v="XLS"/>
    <s v="/data/psfs/docs/fimprd/jrnldoc"/>
    <n v="7"/>
    <n v="1"/>
    <s v="CRRNT"/>
    <s v="USD"/>
    <s v="Powerline Safety Amortization July 2024"/>
    <n v="2024"/>
    <n v="-9270.08"/>
    <s v="USD"/>
    <n v="3"/>
    <s v="2024-07-31"/>
    <s v="P"/>
    <s v="0"/>
    <m/>
    <s v="ACTUALS"/>
    <s v="ACTUALS"/>
    <s v="NTU PLSA Reg Asset"/>
    <s v="N"/>
    <s v="2024-07-18"/>
    <n v="0"/>
    <s v="000000"/>
    <n v="0"/>
    <m/>
    <n v="0"/>
    <n v="0"/>
  </r>
  <r>
    <m/>
    <s v="UJE"/>
    <x v="3"/>
    <x v="2"/>
    <n v="-20821.669999999998"/>
    <s v="Click Here To Select Upload Journal"/>
    <s v="2024-12-31"/>
    <s v="660000"/>
    <x v="0"/>
    <x v="2"/>
    <x v="2"/>
    <s v="0000"/>
    <s v="0000"/>
    <m/>
    <s v="Dkt 53601 COS accrual Dec"/>
    <s v="000_2024-12-31_0000987007.xlsm"/>
    <s v="XLS"/>
    <s v="/data/psfs/docs/fimprd/jrnldoc"/>
    <n v="12"/>
    <n v="1"/>
    <s v="CRRNT"/>
    <s v="USD"/>
    <s v="Powerline Safety Cost of Service Accrual Dec 2024."/>
    <n v="2024"/>
    <n v="-20821.669999999998"/>
    <s v="USD"/>
    <n v="3"/>
    <s v="2024-12-31"/>
    <s v="P"/>
    <s v="0"/>
    <m/>
    <s v="ACTUALS"/>
    <s v="ACTUALS"/>
    <s v="Dkt 53601 COS accrual Dec"/>
    <s v="N"/>
    <s v="2024-12-11"/>
    <n v="0"/>
    <s v="000000"/>
    <n v="0"/>
    <m/>
    <n v="0"/>
    <n v="0"/>
  </r>
  <r>
    <m/>
    <s v="UJE"/>
    <x v="3"/>
    <x v="2"/>
    <n v="-20821.669999999998"/>
    <s v="Click Here To Select Upload Journal"/>
    <s v="2024-08-31"/>
    <s v="660000"/>
    <x v="0"/>
    <x v="2"/>
    <x v="2"/>
    <s v="0000"/>
    <s v="0000"/>
    <m/>
    <s v="Dkt 53601 COS accrual Aug24"/>
    <s v="000_2024-08-31_0000987007.xlsm"/>
    <s v="XLS"/>
    <s v="/data/psfs/docs/fimprd/jrnldoc"/>
    <n v="8"/>
    <n v="1"/>
    <s v="CRRNT"/>
    <s v="USD"/>
    <s v="Powerline Safety Cost of Service Accrual August 2024."/>
    <n v="2024"/>
    <n v="-20821.669999999998"/>
    <s v="USD"/>
    <n v="3"/>
    <s v="2024-08-31"/>
    <s v="P"/>
    <s v="0"/>
    <m/>
    <s v="ACTUALS"/>
    <s v="ACTUALS"/>
    <s v="Dkt 53601 COS accrual Aug24"/>
    <s v="N"/>
    <s v="2024-08-19"/>
    <n v="0"/>
    <s v="000000"/>
    <n v="0"/>
    <m/>
    <n v="0"/>
    <n v="0"/>
  </r>
  <r>
    <m/>
    <s v="UJE"/>
    <x v="3"/>
    <x v="2"/>
    <n v="20821.669999999998"/>
    <s v="Click Here To Select Upload Journal"/>
    <s v="2024-05-01"/>
    <s v="660000"/>
    <x v="0"/>
    <x v="2"/>
    <x v="2"/>
    <s v="0000"/>
    <s v="0000"/>
    <m/>
    <s v="Dkt 53601 COS accrual"/>
    <s v="000_2024-04-30_0000987007.xlsm"/>
    <s v="XLS"/>
    <s v="/data/psfs/docs/fimprd/jrnldoc"/>
    <n v="5"/>
    <n v="1"/>
    <s v="CRRNT"/>
    <s v="USD"/>
    <s v="Powerline Safety Cost of Service Accrual April 2024."/>
    <n v="2024"/>
    <n v="20821.669999999998"/>
    <s v="USD"/>
    <n v="3"/>
    <s v="2024-05-01"/>
    <s v="P"/>
    <s v="0"/>
    <m/>
    <s v="ACTUALS"/>
    <s v="ACTUALS"/>
    <s v="Dkt 53601 COS accrual"/>
    <s v="N"/>
    <s v="2024-04-25"/>
    <n v="2790897"/>
    <s v="000000"/>
    <n v="0"/>
    <m/>
    <n v="0"/>
    <n v="0"/>
  </r>
  <r>
    <m/>
    <s v="PRJ"/>
    <x v="4"/>
    <x v="2"/>
    <n v="4550"/>
    <s v="No Documentation Attached"/>
    <s v="2024-11-30"/>
    <s v="660000"/>
    <x v="0"/>
    <x v="1"/>
    <x v="1"/>
    <s v="0000"/>
    <s v="0000"/>
    <s v="TRN"/>
    <m/>
    <m/>
    <m/>
    <m/>
    <n v="11"/>
    <n v="1"/>
    <m/>
    <s v="USD"/>
    <s v="Project Costing Transactions"/>
    <n v="2024"/>
    <n v="4550"/>
    <s v="USD"/>
    <n v="2"/>
    <s v="2024-11-30"/>
    <s v="P"/>
    <s v="0"/>
    <m/>
    <s v="ACTUALS"/>
    <s v="ACTUALS"/>
    <m/>
    <s v="N"/>
    <s v="2024-12-04"/>
    <n v="2912559"/>
    <s v="000000"/>
    <n v="0"/>
    <m/>
    <n v="0"/>
    <n v="0"/>
  </r>
  <r>
    <m/>
    <s v="UJE"/>
    <x v="3"/>
    <x v="0"/>
    <n v="-237511.67"/>
    <s v="Click Here To Select Upload Journal"/>
    <s v="2024-06-30"/>
    <s v="524001"/>
    <x v="0"/>
    <x v="2"/>
    <x v="2"/>
    <s v="0000"/>
    <s v="0000"/>
    <m/>
    <s v="Dkt 53601 COS accrual June"/>
    <s v="000_2024-06-30_0000987007.xlsm"/>
    <m/>
    <s v="/data/psfs/docs/fimprd/jrnldoc"/>
    <n v="6"/>
    <n v="1"/>
    <s v="CRRNT"/>
    <s v="USD"/>
    <s v="Powerline Safety Cost of Service Accrual June 2024."/>
    <n v="2024"/>
    <n v="-237511.67"/>
    <s v="USD"/>
    <n v="1"/>
    <s v="2024-06-30"/>
    <s v="P"/>
    <s v="0"/>
    <m/>
    <s v="ACTUALS"/>
    <s v="ACTUALS"/>
    <s v="Dkt 53601 COS accrual June"/>
    <s v="N"/>
    <s v="2024-07-01"/>
    <n v="0"/>
    <s v="000000"/>
    <n v="0"/>
    <m/>
    <n v="0"/>
    <n v="0"/>
  </r>
  <r>
    <m/>
    <s v="UJE"/>
    <x v="3"/>
    <x v="0"/>
    <n v="-237511.67"/>
    <s v="Click Here To Select Upload Journal"/>
    <s v="2024-04-30"/>
    <s v="524001"/>
    <x v="0"/>
    <x v="2"/>
    <x v="2"/>
    <s v="0000"/>
    <s v="0000"/>
    <m/>
    <s v="Dkt 53601 COS accrual"/>
    <s v="000_2024-04-30_0000987007.xlsm"/>
    <m/>
    <s v="/data/psfs/docs/fimprd/jrnldoc"/>
    <n v="4"/>
    <n v="1"/>
    <s v="CRRNT"/>
    <s v="USD"/>
    <s v="Powerline Safety Cost of Service Accrual April 2024."/>
    <n v="2024"/>
    <n v="-237511.67"/>
    <s v="USD"/>
    <n v="1"/>
    <s v="2024-04-30"/>
    <s v="P"/>
    <s v="0"/>
    <m/>
    <s v="ACTUALS"/>
    <s v="ACTUALS"/>
    <s v="Dkt 53601 COS accrual"/>
    <s v="N"/>
    <s v="2024-04-17"/>
    <n v="0"/>
    <s v="000000"/>
    <n v="0"/>
    <m/>
    <n v="0"/>
    <n v="0"/>
  </r>
  <r>
    <m/>
    <s v="UJE"/>
    <x v="3"/>
    <x v="0"/>
    <n v="-237511.67"/>
    <s v="Click Here To Select Upload Journal"/>
    <s v="2024-05-31"/>
    <s v="524001"/>
    <x v="0"/>
    <x v="2"/>
    <x v="2"/>
    <s v="0000"/>
    <s v="0000"/>
    <m/>
    <s v="Dkt 53601 COS accrual May"/>
    <s v="000_2024-05-31_0000987007.xlsm"/>
    <m/>
    <s v="/data/psfs/docs/fimprd/jrnldoc"/>
    <n v="5"/>
    <n v="1"/>
    <s v="CRRNT"/>
    <s v="USD"/>
    <s v="Powerline Safety Cost of Service Accrual May 2024."/>
    <n v="2024"/>
    <n v="-237511.67"/>
    <s v="USD"/>
    <n v="9"/>
    <s v="2024-05-31"/>
    <s v="P"/>
    <s v="0"/>
    <m/>
    <s v="ACTUALS"/>
    <s v="ACTUALS"/>
    <s v="Dkt 53601 COS accrual May"/>
    <s v="N"/>
    <s v="2024-05-20"/>
    <n v="0"/>
    <s v="000000"/>
    <n v="0"/>
    <m/>
    <n v="0"/>
    <n v="0"/>
  </r>
  <r>
    <m/>
    <s v="PRJ"/>
    <x v="5"/>
    <x v="2"/>
    <n v="8387"/>
    <s v="No Documentation Attached"/>
    <s v="2024-12-31"/>
    <s v="660000"/>
    <x v="0"/>
    <x v="1"/>
    <x v="1"/>
    <s v="0000"/>
    <s v="0000"/>
    <s v="TRN"/>
    <m/>
    <m/>
    <m/>
    <m/>
    <n v="12"/>
    <n v="1"/>
    <m/>
    <s v="USD"/>
    <s v="Project Costing Transactions"/>
    <n v="2024"/>
    <n v="8387"/>
    <s v="USD"/>
    <n v="2"/>
    <s v="2024-12-31"/>
    <s v="P"/>
    <s v="0"/>
    <m/>
    <s v="ACTUALS"/>
    <s v="ACTUALS"/>
    <m/>
    <s v="N"/>
    <s v="2025-01-03"/>
    <n v="2927435"/>
    <s v="000000"/>
    <n v="0"/>
    <m/>
    <n v="0"/>
    <n v="0"/>
  </r>
  <r>
    <m/>
    <s v="PRJ"/>
    <x v="6"/>
    <x v="2"/>
    <n v="5289.93"/>
    <s v="No Documentation Attached"/>
    <s v="2024-05-31"/>
    <s v="660000"/>
    <x v="0"/>
    <x v="1"/>
    <x v="1"/>
    <s v="0000"/>
    <s v="0000"/>
    <s v="TRN"/>
    <m/>
    <m/>
    <m/>
    <m/>
    <n v="5"/>
    <n v="1"/>
    <m/>
    <s v="USD"/>
    <s v="Project Costing Transactions"/>
    <n v="2024"/>
    <n v="5289.93"/>
    <s v="USD"/>
    <n v="2"/>
    <s v="2024-05-31"/>
    <s v="P"/>
    <s v="0"/>
    <m/>
    <s v="ACTUALS"/>
    <s v="ACTUALS"/>
    <m/>
    <s v="N"/>
    <s v="2024-06-04"/>
    <n v="2814557"/>
    <s v="000000"/>
    <n v="0"/>
    <m/>
    <n v="0"/>
    <n v="0"/>
  </r>
  <r>
    <m/>
    <s v="PRJ"/>
    <x v="7"/>
    <x v="2"/>
    <n v="11637.62"/>
    <s v="No Documentation Attached"/>
    <s v="2024-08-31"/>
    <s v="660000"/>
    <x v="0"/>
    <x v="1"/>
    <x v="1"/>
    <s v="0000"/>
    <s v="0000"/>
    <s v="TRN"/>
    <m/>
    <m/>
    <m/>
    <m/>
    <n v="8"/>
    <n v="1"/>
    <m/>
    <s v="USD"/>
    <s v="Project Costing Transactions"/>
    <n v="2024"/>
    <n v="11637.62"/>
    <s v="USD"/>
    <n v="2"/>
    <s v="2024-08-31"/>
    <s v="P"/>
    <s v="0"/>
    <m/>
    <s v="ACTUALS"/>
    <s v="ACTUALS"/>
    <m/>
    <s v="N"/>
    <s v="2024-09-04"/>
    <n v="2864077"/>
    <s v="000000"/>
    <n v="0"/>
    <m/>
    <n v="0"/>
    <n v="0"/>
  </r>
  <r>
    <m/>
    <s v="UJE"/>
    <x v="3"/>
    <x v="2"/>
    <n v="-20821.669999999998"/>
    <s v="Click Here To Select Upload Journal"/>
    <s v="2024-10-31"/>
    <s v="660000"/>
    <x v="0"/>
    <x v="2"/>
    <x v="2"/>
    <s v="0000"/>
    <s v="0000"/>
    <m/>
    <s v="Dkt 53601 COS accrual Sept"/>
    <s v="000_2024-10-31_0000987007.xlsm"/>
    <s v="XLS"/>
    <s v="/data/psfs/docs/fimprd/jrnldoc"/>
    <n v="10"/>
    <n v="1"/>
    <s v="CRRNT"/>
    <s v="USD"/>
    <s v="Powerline Safety Cost of Service Accrual October 2024."/>
    <n v="2024"/>
    <n v="-20821.669999999998"/>
    <s v="USD"/>
    <n v="5"/>
    <s v="2024-10-31"/>
    <s v="P"/>
    <s v="0"/>
    <m/>
    <s v="ACTUALS"/>
    <s v="ACTUALS"/>
    <s v="Dkt 53601 COS accrual Sept"/>
    <s v="N"/>
    <s v="2024-10-14"/>
    <n v="0"/>
    <s v="000000"/>
    <n v="0"/>
    <m/>
    <n v="0"/>
    <n v="0"/>
  </r>
  <r>
    <m/>
    <s v="PRJ"/>
    <x v="8"/>
    <x v="2"/>
    <n v="6480"/>
    <s v="No Documentation Attached"/>
    <s v="2024-10-31"/>
    <s v="660000"/>
    <x v="0"/>
    <x v="1"/>
    <x v="1"/>
    <s v="0000"/>
    <s v="0000"/>
    <s v="TRN"/>
    <m/>
    <m/>
    <m/>
    <m/>
    <n v="10"/>
    <n v="1"/>
    <m/>
    <s v="USD"/>
    <s v="Project Costing Transactions"/>
    <n v="2024"/>
    <n v="6480"/>
    <s v="USD"/>
    <n v="2"/>
    <s v="2024-10-31"/>
    <s v="P"/>
    <s v="0"/>
    <m/>
    <s v="ACTUALS"/>
    <s v="ACTUALS"/>
    <m/>
    <s v="N"/>
    <s v="2024-11-04"/>
    <n v="2896956"/>
    <s v="000000"/>
    <n v="0"/>
    <m/>
    <n v="0"/>
    <n v="0"/>
  </r>
  <r>
    <m/>
    <s v="UJE"/>
    <x v="0"/>
    <x v="0"/>
    <n v="-105733.09"/>
    <s v="Click Here To Select Upload Journal"/>
    <s v="2024-02-29"/>
    <s v="571900"/>
    <x v="0"/>
    <x v="0"/>
    <x v="0"/>
    <s v="0000"/>
    <s v="0000"/>
    <m/>
    <s v="TRN PLSA Reg Asset"/>
    <s v="000_2024-02-29_0000986997.xlsm"/>
    <s v="XLS"/>
    <s v="/data/psfs/docs/fimprd/jrnldoc"/>
    <n v="2"/>
    <n v="1"/>
    <s v="CRRNT"/>
    <s v="USD"/>
    <s v="Powerline Safety Amortization Feb 2024"/>
    <n v="2024"/>
    <n v="-105733.09"/>
    <s v="USD"/>
    <n v="5"/>
    <s v="2024-02-29"/>
    <s v="P"/>
    <s v="0"/>
    <m/>
    <s v="ACTUALS"/>
    <s v="ACTUALS"/>
    <s v="TRN PLSA Reg Asset"/>
    <s v="N"/>
    <s v="2024-02-21"/>
    <n v="0"/>
    <s v="000000"/>
    <n v="0"/>
    <m/>
    <n v="0"/>
    <n v="0"/>
  </r>
  <r>
    <m/>
    <s v="UJE"/>
    <x v="0"/>
    <x v="0"/>
    <n v="-105733.09"/>
    <s v="Click Here To Select Upload Journal"/>
    <s v="2024-08-31"/>
    <s v="571900"/>
    <x v="0"/>
    <x v="0"/>
    <x v="0"/>
    <s v="0000"/>
    <s v="0000"/>
    <m/>
    <s v="TRN PLSA Reg Asset"/>
    <s v="000_2024-08-31_0000986997.xlsm"/>
    <s v="XLS"/>
    <s v="/data/psfs/docs/fimprd/jrnldoc"/>
    <n v="8"/>
    <n v="1"/>
    <s v="CRRNT"/>
    <s v="USD"/>
    <s v="Powerline Safety Amortization August 2024"/>
    <n v="2024"/>
    <n v="-105733.09"/>
    <s v="USD"/>
    <n v="5"/>
    <s v="2024-08-31"/>
    <s v="P"/>
    <s v="0"/>
    <m/>
    <s v="ACTUALS"/>
    <s v="ACTUALS"/>
    <s v="TRN PLSA Reg Asset"/>
    <s v="N"/>
    <s v="2024-08-19"/>
    <n v="0"/>
    <s v="000000"/>
    <n v="0"/>
    <m/>
    <n v="0"/>
    <n v="0"/>
  </r>
  <r>
    <m/>
    <s v="PRJ"/>
    <x v="9"/>
    <x v="0"/>
    <n v="346826"/>
    <s v="No Documentation Attached"/>
    <s v="2024-10-31"/>
    <s v="524001"/>
    <x v="0"/>
    <x v="1"/>
    <x v="1"/>
    <s v="0000"/>
    <s v="0000"/>
    <m/>
    <m/>
    <m/>
    <m/>
    <m/>
    <n v="10"/>
    <n v="1"/>
    <m/>
    <s v="USD"/>
    <s v="Project Costing Transactions"/>
    <n v="2024"/>
    <n v="346826"/>
    <s v="USD"/>
    <n v="1111"/>
    <s v="2024-10-31"/>
    <s v="P"/>
    <s v="0"/>
    <m/>
    <s v="ACTUALS"/>
    <s v="ACTUALS"/>
    <m/>
    <s v="N"/>
    <s v="2024-11-04"/>
    <n v="2896956"/>
    <s v="000000"/>
    <n v="0"/>
    <m/>
    <n v="0"/>
    <n v="0"/>
  </r>
  <r>
    <m/>
    <s v="UJE"/>
    <x v="0"/>
    <x v="0"/>
    <n v="-105733.09"/>
    <s v="Click Here To Select Upload Journal"/>
    <s v="2024-01-31"/>
    <s v="571900"/>
    <x v="0"/>
    <x v="0"/>
    <x v="0"/>
    <s v="0000"/>
    <s v="0000"/>
    <m/>
    <s v="TRN PLSA Reg Asset"/>
    <s v="000_2024-01-31_0000986997.xlsm"/>
    <s v="XLS"/>
    <s v="/data/psfs/docs/fimprd/jrnldoc"/>
    <n v="1"/>
    <n v="1"/>
    <s v="CRRNT"/>
    <s v="USD"/>
    <s v="Powerline Safety Amortization Jan 2024"/>
    <n v="2024"/>
    <n v="-105733.09"/>
    <s v="USD"/>
    <n v="5"/>
    <s v="2024-01-31"/>
    <s v="P"/>
    <s v="0"/>
    <m/>
    <s v="ACTUALS"/>
    <s v="ACTUALS"/>
    <s v="TRN PLSA Reg Asset"/>
    <s v="N"/>
    <s v="2024-01-30"/>
    <n v="0"/>
    <s v="000000"/>
    <n v="0"/>
    <m/>
    <n v="0"/>
    <n v="0"/>
  </r>
  <r>
    <m/>
    <s v="UJE"/>
    <x v="0"/>
    <x v="0"/>
    <n v="-105733.09"/>
    <s v="Click Here To Select Upload Journal"/>
    <s v="2024-03-31"/>
    <s v="571900"/>
    <x v="0"/>
    <x v="0"/>
    <x v="0"/>
    <s v="0000"/>
    <s v="0000"/>
    <m/>
    <s v="TRN PLSA Reg Asset"/>
    <s v="000_2024-03-31_0000986997.xlsm"/>
    <s v="XLS"/>
    <s v="/data/psfs/docs/fimprd/jrnldoc"/>
    <n v="3"/>
    <n v="1"/>
    <s v="CRRNT"/>
    <s v="USD"/>
    <s v="Powerline Safety Amortization March 2024"/>
    <n v="2024"/>
    <n v="-105733.09"/>
    <s v="USD"/>
    <n v="5"/>
    <s v="2024-03-31"/>
    <s v="P"/>
    <s v="0"/>
    <m/>
    <s v="ACTUALS"/>
    <s v="ACTUALS"/>
    <s v="TRN PLSA Reg Asset"/>
    <s v="N"/>
    <s v="2024-03-21"/>
    <n v="0"/>
    <s v="000000"/>
    <n v="0"/>
    <m/>
    <n v="0"/>
    <n v="0"/>
  </r>
  <r>
    <m/>
    <s v="PRJ"/>
    <x v="10"/>
    <x v="0"/>
    <n v="19630.650000000001"/>
    <s v="No Documentation Attached"/>
    <s v="2024-06-30"/>
    <s v="524001"/>
    <x v="0"/>
    <x v="1"/>
    <x v="1"/>
    <s v="0000"/>
    <s v="0000"/>
    <m/>
    <m/>
    <m/>
    <m/>
    <m/>
    <n v="6"/>
    <n v="1"/>
    <m/>
    <s v="USD"/>
    <s v="Project Costing Transactions"/>
    <n v="2024"/>
    <n v="19630.650000000001"/>
    <s v="USD"/>
    <n v="1028"/>
    <s v="2024-06-30"/>
    <s v="P"/>
    <s v="0"/>
    <m/>
    <s v="ACTUALS"/>
    <s v="ACTUALS"/>
    <m/>
    <s v="N"/>
    <s v="2024-07-02"/>
    <n v="2828736"/>
    <s v="000000"/>
    <n v="0"/>
    <m/>
    <n v="0"/>
    <n v="0"/>
  </r>
  <r>
    <m/>
    <s v="UJE"/>
    <x v="0"/>
    <x v="1"/>
    <n v="-10220.17"/>
    <s v="Click Here To Select Upload Journal"/>
    <s v="2024-04-30"/>
    <s v="521900"/>
    <x v="0"/>
    <x v="0"/>
    <x v="0"/>
    <s v="0000"/>
    <s v="0000"/>
    <m/>
    <s v="ESD PLSA Reg Asset"/>
    <s v="000_2024-04-30_0000986997.xlsm"/>
    <m/>
    <s v="/data/psfs/docs/fimprd/jrnldoc"/>
    <n v="4"/>
    <n v="1"/>
    <s v="CRRNT"/>
    <s v="USD"/>
    <s v="Powerline Safety Amortization April 2024"/>
    <n v="2024"/>
    <n v="-10220.17"/>
    <s v="USD"/>
    <n v="1"/>
    <s v="2024-04-30"/>
    <s v="P"/>
    <s v="0"/>
    <m/>
    <s v="ACTUALS"/>
    <s v="ACTUALS"/>
    <s v="ESD PLSA Reg Asset"/>
    <s v="N"/>
    <s v="2024-04-17"/>
    <n v="0"/>
    <s v="000000"/>
    <n v="0"/>
    <m/>
    <n v="0"/>
    <n v="0"/>
  </r>
  <r>
    <m/>
    <s v="UJE"/>
    <x v="3"/>
    <x v="2"/>
    <n v="-20821.669999999998"/>
    <s v="Click Here To Select Upload Journal"/>
    <s v="2024-01-31"/>
    <s v="660000"/>
    <x v="0"/>
    <x v="2"/>
    <x v="2"/>
    <s v="0000"/>
    <s v="0000"/>
    <m/>
    <s v="Dkt 53601 COS accrual"/>
    <s v="000_2024-01-31_0000987007.xlsm"/>
    <s v="XLS"/>
    <s v="/data/psfs/docs/fimprd/jrnldoc"/>
    <n v="1"/>
    <n v="1"/>
    <s v="CRRNT"/>
    <s v="USD"/>
    <s v="Powerline Safety Cost of Service Accrual Jan 2024."/>
    <n v="2024"/>
    <n v="-20821.669999999998"/>
    <s v="USD"/>
    <n v="3"/>
    <s v="2024-01-31"/>
    <s v="P"/>
    <s v="0"/>
    <m/>
    <s v="ACTUALS"/>
    <s v="ACTUALS"/>
    <s v="Dkt 53601 COS accrual"/>
    <s v="N"/>
    <s v="2024-01-30"/>
    <n v="0"/>
    <s v="000000"/>
    <n v="0"/>
    <m/>
    <n v="0"/>
    <n v="0"/>
  </r>
  <r>
    <m/>
    <s v="UJE"/>
    <x v="3"/>
    <x v="2"/>
    <n v="-20821.669999999998"/>
    <s v="Click Here To Select Upload Journal"/>
    <s v="2024-02-29"/>
    <s v="660000"/>
    <x v="0"/>
    <x v="2"/>
    <x v="2"/>
    <s v="0000"/>
    <s v="0000"/>
    <m/>
    <s v="Dkt 53601 COS accrual"/>
    <s v="000_2024-02-29_0000987007.xlsm"/>
    <s v="XLS"/>
    <s v="/data/psfs/docs/fimprd/jrnldoc"/>
    <n v="2"/>
    <n v="1"/>
    <s v="CRRNT"/>
    <s v="USD"/>
    <s v="Powerline Safety Cost of Service Accrual Feb 2024."/>
    <n v="2024"/>
    <n v="-20821.669999999998"/>
    <s v="USD"/>
    <n v="3"/>
    <s v="2024-02-29"/>
    <s v="P"/>
    <s v="0"/>
    <m/>
    <s v="ACTUALS"/>
    <s v="ACTUALS"/>
    <s v="Dkt 53601 COS accrual"/>
    <s v="N"/>
    <s v="2024-02-21"/>
    <n v="0"/>
    <s v="000000"/>
    <n v="0"/>
    <m/>
    <n v="0"/>
    <n v="0"/>
  </r>
  <r>
    <m/>
    <s v="UJE"/>
    <x v="3"/>
    <x v="2"/>
    <n v="-20821.669999999998"/>
    <s v="Click Here To Select Upload Journal"/>
    <s v="2024-06-30"/>
    <s v="660000"/>
    <x v="0"/>
    <x v="2"/>
    <x v="2"/>
    <s v="0000"/>
    <s v="0000"/>
    <m/>
    <s v="Dkt 53601 COS accrual June"/>
    <s v="000_2024-06-30_0000987007.xlsm"/>
    <s v="XLS"/>
    <s v="/data/psfs/docs/fimprd/jrnldoc"/>
    <n v="6"/>
    <n v="1"/>
    <s v="CRRNT"/>
    <s v="USD"/>
    <s v="Powerline Safety Cost of Service Accrual June 2024."/>
    <n v="2024"/>
    <n v="-20821.669999999998"/>
    <s v="USD"/>
    <n v="3"/>
    <s v="2024-06-30"/>
    <s v="P"/>
    <s v="0"/>
    <m/>
    <s v="ACTUALS"/>
    <s v="ACTUALS"/>
    <s v="Dkt 53601 COS accrual June"/>
    <s v="N"/>
    <s v="2024-07-01"/>
    <n v="0"/>
    <s v="000000"/>
    <n v="0"/>
    <m/>
    <n v="0"/>
    <n v="0"/>
  </r>
  <r>
    <m/>
    <s v="UJE"/>
    <x v="3"/>
    <x v="2"/>
    <n v="-20821.669999999998"/>
    <s v="Click Here To Select Upload Journal"/>
    <s v="2024-07-31"/>
    <s v="660000"/>
    <x v="0"/>
    <x v="2"/>
    <x v="2"/>
    <s v="0000"/>
    <s v="0000"/>
    <m/>
    <s v="Dkt 53601 COS accrual July"/>
    <s v="000_2024-07-31_0000987007.xlsm"/>
    <s v="XLS"/>
    <s v="/data/psfs/docs/fimprd/jrnldoc"/>
    <n v="7"/>
    <n v="1"/>
    <s v="CRRNT"/>
    <s v="USD"/>
    <s v="Powerline Safety Cost of Service Accrual July 2024."/>
    <n v="2024"/>
    <n v="-20821.669999999998"/>
    <s v="USD"/>
    <n v="3"/>
    <s v="2024-07-31"/>
    <s v="P"/>
    <s v="0"/>
    <m/>
    <s v="ACTUALS"/>
    <s v="ACTUALS"/>
    <s v="Dkt 53601 COS accrual July"/>
    <s v="N"/>
    <s v="2024-07-18"/>
    <n v="0"/>
    <s v="000000"/>
    <n v="0"/>
    <m/>
    <n v="0"/>
    <n v="0"/>
  </r>
  <r>
    <m/>
    <s v="UJE"/>
    <x v="0"/>
    <x v="2"/>
    <n v="-9270.08"/>
    <s v="Click Here To Select Upload Journal"/>
    <s v="2024-11-30"/>
    <s v="660000"/>
    <x v="0"/>
    <x v="0"/>
    <x v="0"/>
    <s v="0000"/>
    <s v="0000"/>
    <m/>
    <s v="NTU PLSA Reg Asset"/>
    <s v="000_2024-11-30_0000986997.xlsm"/>
    <s v="XLS"/>
    <s v="/data/psfs/docs/fimprd/jrnldoc"/>
    <n v="11"/>
    <n v="1"/>
    <s v="CRRNT"/>
    <s v="USD"/>
    <s v="Powerline Safety Amortization Nov 2024"/>
    <n v="2024"/>
    <n v="-9270.08"/>
    <s v="USD"/>
    <n v="3"/>
    <s v="2024-11-30"/>
    <s v="P"/>
    <s v="0"/>
    <m/>
    <s v="ACTUALS"/>
    <s v="ACTUALS"/>
    <s v="NTU PLSA Reg Asset"/>
    <s v="N"/>
    <s v="2024-12-02"/>
    <n v="0"/>
    <s v="000000"/>
    <n v="0"/>
    <m/>
    <n v="0"/>
    <n v="0"/>
  </r>
  <r>
    <m/>
    <s v="UJE"/>
    <x v="0"/>
    <x v="2"/>
    <n v="-9270.08"/>
    <s v="Click Here To Select Upload Journal"/>
    <s v="2024-12-31"/>
    <s v="660000"/>
    <x v="0"/>
    <x v="0"/>
    <x v="0"/>
    <s v="0000"/>
    <s v="0000"/>
    <m/>
    <s v="NTU PLSA Reg Asset"/>
    <s v="000_2024-12-31_0000986997.xlsm"/>
    <s v="XLS"/>
    <s v="/data/psfs/docs/fimprd/jrnldoc"/>
    <n v="12"/>
    <n v="1"/>
    <s v="CRRNT"/>
    <s v="USD"/>
    <s v="Powerline Safety Amortization Dec 2024"/>
    <n v="2024"/>
    <n v="-9270.08"/>
    <s v="USD"/>
    <n v="3"/>
    <s v="2024-12-31"/>
    <s v="P"/>
    <s v="0"/>
    <m/>
    <s v="ACTUALS"/>
    <s v="ACTUALS"/>
    <s v="NTU PLSA Reg Asset"/>
    <s v="N"/>
    <s v="2024-12-11"/>
    <n v="0"/>
    <s v="000000"/>
    <n v="0"/>
    <m/>
    <n v="0"/>
    <n v="0"/>
  </r>
  <r>
    <m/>
    <s v="UJE"/>
    <x v="3"/>
    <x v="2"/>
    <n v="-20821.669999999998"/>
    <s v="Click Here To Select Upload Journal"/>
    <s v="2024-10-31"/>
    <s v="660000"/>
    <x v="0"/>
    <x v="2"/>
    <x v="2"/>
    <s v="0000"/>
    <s v="0000"/>
    <m/>
    <s v="Dkt 53601 COS accrual October"/>
    <s v="000_2024-10-31_0000987007.xlsm"/>
    <s v="XLS"/>
    <s v="/data/psfs/docs/fimprd/jrnldoc"/>
    <n v="10"/>
    <n v="1"/>
    <s v="CRRNT"/>
    <s v="USD"/>
    <s v="Powerline Safety Cost of Service Accrual October 2024."/>
    <n v="2024"/>
    <n v="-20821.669999999998"/>
    <s v="USD"/>
    <n v="3"/>
    <s v="2024-10-31"/>
    <s v="P"/>
    <s v="0"/>
    <m/>
    <s v="ACTUALS"/>
    <s v="ACTUALS"/>
    <s v="Dkt 53601 COS accrual October"/>
    <s v="N"/>
    <s v="2024-10-14"/>
    <n v="0"/>
    <s v="000000"/>
    <n v="0"/>
    <m/>
    <n v="0"/>
    <n v="0"/>
  </r>
  <r>
    <m/>
    <s v="UJE"/>
    <x v="0"/>
    <x v="0"/>
    <n v="-105733.09"/>
    <s v="Click Here To Select Upload Journal"/>
    <s v="2024-07-31"/>
    <s v="571900"/>
    <x v="0"/>
    <x v="0"/>
    <x v="0"/>
    <s v="0000"/>
    <s v="0000"/>
    <m/>
    <s v="TRN PLSA Reg Asset"/>
    <s v="000_2024-07-31_0000986997.xlsm"/>
    <s v="XLS"/>
    <s v="/data/psfs/docs/fimprd/jrnldoc"/>
    <n v="7"/>
    <n v="1"/>
    <s v="CRRNT"/>
    <s v="USD"/>
    <s v="Powerline Safety Amortization July 2024"/>
    <n v="2024"/>
    <n v="-105733.09"/>
    <s v="USD"/>
    <n v="5"/>
    <s v="2024-07-31"/>
    <s v="P"/>
    <s v="0"/>
    <m/>
    <s v="ACTUALS"/>
    <s v="ACTUALS"/>
    <s v="TRN PLSA Reg Asset"/>
    <s v="N"/>
    <s v="2024-07-18"/>
    <n v="0"/>
    <s v="000000"/>
    <n v="0"/>
    <m/>
    <n v="0"/>
    <n v="0"/>
  </r>
  <r>
    <m/>
    <s v="UJE"/>
    <x v="3"/>
    <x v="0"/>
    <n v="-237511.67"/>
    <s v="Click Here To Select Upload Journal"/>
    <s v="2024-02-29"/>
    <s v="524001"/>
    <x v="0"/>
    <x v="2"/>
    <x v="2"/>
    <s v="0000"/>
    <s v="0000"/>
    <m/>
    <s v="Dkt 53601 COS accrual"/>
    <s v="000_2024-02-29_0000987007.xlsm"/>
    <m/>
    <s v="/data/psfs/docs/fimprd/jrnldoc"/>
    <n v="2"/>
    <n v="1"/>
    <s v="CRRNT"/>
    <s v="USD"/>
    <s v="Powerline Safety Cost of Service Accrual Feb 2024."/>
    <n v="2024"/>
    <n v="-237511.67"/>
    <s v="USD"/>
    <n v="1"/>
    <s v="2024-02-29"/>
    <s v="P"/>
    <s v="0"/>
    <m/>
    <s v="ACTUALS"/>
    <s v="ACTUALS"/>
    <s v="Dkt 53601 COS accrual"/>
    <s v="N"/>
    <s v="2024-02-21"/>
    <n v="0"/>
    <s v="000000"/>
    <n v="0"/>
    <m/>
    <n v="0"/>
    <n v="0"/>
  </r>
  <r>
    <m/>
    <s v="UJE"/>
    <x v="3"/>
    <x v="0"/>
    <n v="237511.67"/>
    <s v="Click Here To Select Upload Journal"/>
    <s v="2024-08-31"/>
    <s v="524001"/>
    <x v="0"/>
    <x v="2"/>
    <x v="2"/>
    <s v="0000"/>
    <s v="0000"/>
    <m/>
    <s v="Dkt 53601 COS accrual Aug24"/>
    <s v="000_2024-08-31_0000987007.xlsm"/>
    <m/>
    <s v="/data/psfs/docs/fimprd/jrnldoc"/>
    <n v="8"/>
    <n v="1"/>
    <s v="CRRNT"/>
    <s v="USD"/>
    <s v="Powerline Safety Cost of Service Accrual August 2024."/>
    <n v="2024"/>
    <n v="237511.67"/>
    <s v="USD"/>
    <n v="1"/>
    <s v="2024-08-31"/>
    <s v="P"/>
    <s v="0"/>
    <m/>
    <s v="ACTUALS"/>
    <s v="ACTUALS"/>
    <s v="Dkt 53601 COS accrual Aug24"/>
    <s v="N"/>
    <s v="2024-08-19"/>
    <n v="0"/>
    <s v="000000"/>
    <n v="0"/>
    <m/>
    <n v="0"/>
    <n v="0"/>
  </r>
  <r>
    <m/>
    <s v="PRJ"/>
    <x v="11"/>
    <x v="0"/>
    <n v="376437.25"/>
    <s v="No Documentation Attached"/>
    <s v="2024-01-31"/>
    <s v="524001"/>
    <x v="0"/>
    <x v="1"/>
    <x v="1"/>
    <s v="0000"/>
    <s v="0000"/>
    <m/>
    <m/>
    <m/>
    <m/>
    <m/>
    <n v="1"/>
    <n v="1"/>
    <m/>
    <s v="USD"/>
    <s v="Project Costing Transactions"/>
    <n v="2024"/>
    <n v="376437.25"/>
    <s v="USD"/>
    <n v="951"/>
    <s v="2024-01-31"/>
    <s v="P"/>
    <s v="0"/>
    <m/>
    <s v="ACTUALS"/>
    <s v="ACTUALS"/>
    <m/>
    <s v="N"/>
    <s v="2024-02-02"/>
    <n v="2751918"/>
    <s v="000000"/>
    <n v="0"/>
    <m/>
    <n v="0"/>
    <n v="0"/>
  </r>
  <r>
    <m/>
    <s v="UJE"/>
    <x v="0"/>
    <x v="0"/>
    <n v="-105733.09"/>
    <s v="Click Here To Select Upload Journal"/>
    <s v="2024-04-30"/>
    <s v="571900"/>
    <x v="0"/>
    <x v="0"/>
    <x v="0"/>
    <s v="0000"/>
    <s v="0000"/>
    <m/>
    <s v="TRN PLSA Reg Asset"/>
    <s v="000_2024-04-30_0000986997.xlsm"/>
    <s v="XLS"/>
    <s v="/data/psfs/docs/fimprd/jrnldoc"/>
    <n v="4"/>
    <n v="1"/>
    <s v="CRRNT"/>
    <s v="USD"/>
    <s v="Powerline Safety Amortization April 2024"/>
    <n v="2024"/>
    <n v="-105733.09"/>
    <s v="USD"/>
    <n v="5"/>
    <s v="2024-04-30"/>
    <s v="P"/>
    <s v="0"/>
    <m/>
    <s v="ACTUALS"/>
    <s v="ACTUALS"/>
    <s v="TRN PLSA Reg Asset"/>
    <s v="N"/>
    <s v="2024-04-17"/>
    <n v="0"/>
    <s v="000000"/>
    <n v="0"/>
    <m/>
    <n v="0"/>
    <n v="0"/>
  </r>
  <r>
    <m/>
    <s v="UJE"/>
    <x v="3"/>
    <x v="0"/>
    <n v="-237511.67"/>
    <s v="Click Here To Select Upload Journal"/>
    <s v="2024-05-31"/>
    <s v="524001"/>
    <x v="0"/>
    <x v="2"/>
    <x v="2"/>
    <s v="0000"/>
    <s v="0000"/>
    <m/>
    <s v="Dkt 53601 COS accrual March"/>
    <s v="000_2024-05-31_0000987007.xlsm"/>
    <m/>
    <s v="/data/psfs/docs/fimprd/jrnldoc"/>
    <n v="5"/>
    <n v="1"/>
    <s v="CRRNT"/>
    <s v="USD"/>
    <s v="Powerline Safety Cost of Service Accrual May 2024."/>
    <n v="2024"/>
    <n v="-237511.67"/>
    <s v="USD"/>
    <n v="1"/>
    <s v="2024-05-31"/>
    <s v="P"/>
    <s v="0"/>
    <m/>
    <s v="ACTUALS"/>
    <s v="ACTUALS"/>
    <s v="Dkt 53601 COS accrual March"/>
    <s v="N"/>
    <s v="2024-05-20"/>
    <n v="0"/>
    <s v="000000"/>
    <n v="0"/>
    <m/>
    <n v="0"/>
    <n v="0"/>
  </r>
  <r>
    <m/>
    <s v="UJE"/>
    <x v="0"/>
    <x v="1"/>
    <n v="-10220.17"/>
    <s v="Click Here To Select Upload Journal"/>
    <s v="2024-05-31"/>
    <s v="521900"/>
    <x v="0"/>
    <x v="0"/>
    <x v="0"/>
    <s v="0000"/>
    <s v="0000"/>
    <m/>
    <s v="ESD PLSA Reg Asset"/>
    <s v="000_2024-05-31_0000986997.xlsm"/>
    <m/>
    <s v="/data/psfs/docs/fimprd/jrnldoc"/>
    <n v="5"/>
    <n v="1"/>
    <s v="CRRNT"/>
    <s v="USD"/>
    <s v="Powerline Safety Amortization May 2024"/>
    <n v="2024"/>
    <n v="-10220.17"/>
    <s v="USD"/>
    <n v="1"/>
    <s v="2024-05-31"/>
    <s v="P"/>
    <s v="0"/>
    <m/>
    <s v="ACTUALS"/>
    <s v="ACTUALS"/>
    <s v="ESD PLSA Reg Asset"/>
    <s v="N"/>
    <s v="2024-05-21"/>
    <n v="0"/>
    <s v="000000"/>
    <n v="0"/>
    <m/>
    <n v="0"/>
    <n v="0"/>
  </r>
  <r>
    <m/>
    <s v="UJE"/>
    <x v="0"/>
    <x v="1"/>
    <n v="-10220.17"/>
    <s v="Click Here To Select Upload Journal"/>
    <s v="2024-10-31"/>
    <s v="521900"/>
    <x v="0"/>
    <x v="0"/>
    <x v="0"/>
    <s v="0000"/>
    <s v="0000"/>
    <m/>
    <s v="ESD PLSA Reg Asset"/>
    <s v="000_2024-10-31_0000986997.xlsm"/>
    <m/>
    <s v="/data/psfs/docs/fimprd/jrnldoc"/>
    <n v="10"/>
    <n v="1"/>
    <s v="CRRNT"/>
    <s v="USD"/>
    <s v="Powerline Safety Amortization October 2024"/>
    <n v="2024"/>
    <n v="-10220.17"/>
    <s v="USD"/>
    <n v="1"/>
    <s v="2024-10-31"/>
    <s v="P"/>
    <s v="0"/>
    <m/>
    <s v="ACTUALS"/>
    <s v="ACTUALS"/>
    <s v="ESD PLSA Reg Asset"/>
    <s v="N"/>
    <s v="2024-10-14"/>
    <n v="0"/>
    <s v="000000"/>
    <n v="0"/>
    <m/>
    <n v="0"/>
    <n v="0"/>
  </r>
  <r>
    <m/>
    <s v="UJE"/>
    <x v="0"/>
    <x v="2"/>
    <n v="-9270.08"/>
    <s v="Click Here To Select Upload Journal"/>
    <s v="2024-02-29"/>
    <s v="660000"/>
    <x v="0"/>
    <x v="0"/>
    <x v="0"/>
    <s v="0000"/>
    <s v="0000"/>
    <m/>
    <s v="NTU PLSA Reg Asset"/>
    <s v="000_2024-02-29_0000986997.xlsm"/>
    <s v="XLS"/>
    <s v="/data/psfs/docs/fimprd/jrnldoc"/>
    <n v="2"/>
    <n v="1"/>
    <s v="CRRNT"/>
    <s v="USD"/>
    <s v="Powerline Safety Amortization Feb 2024"/>
    <n v="2024"/>
    <n v="-9270.08"/>
    <s v="USD"/>
    <n v="3"/>
    <s v="2024-02-29"/>
    <s v="P"/>
    <s v="0"/>
    <m/>
    <s v="ACTUALS"/>
    <s v="ACTUALS"/>
    <s v="NTU PLSA Reg Asset"/>
    <s v="N"/>
    <s v="2024-02-21"/>
    <n v="0"/>
    <s v="000000"/>
    <n v="0"/>
    <m/>
    <n v="0"/>
    <n v="0"/>
  </r>
  <r>
    <m/>
    <s v="UJE"/>
    <x v="0"/>
    <x v="2"/>
    <n v="-9270.08"/>
    <s v="Click Here To Select Upload Journal"/>
    <s v="2024-06-30"/>
    <s v="660000"/>
    <x v="0"/>
    <x v="0"/>
    <x v="0"/>
    <s v="0000"/>
    <s v="0000"/>
    <m/>
    <s v="NTU PLSA Reg Asset"/>
    <s v="000_2024-06-30_0000986997.xlsm"/>
    <s v="XLS"/>
    <s v="/data/psfs/docs/fimprd/jrnldoc"/>
    <n v="6"/>
    <n v="1"/>
    <s v="CRRNT"/>
    <s v="USD"/>
    <s v="Powerline Safety Amortization June 2024"/>
    <n v="2024"/>
    <n v="-9270.08"/>
    <s v="USD"/>
    <n v="3"/>
    <s v="2024-06-30"/>
    <s v="P"/>
    <s v="0"/>
    <m/>
    <s v="ACTUALS"/>
    <s v="ACTUALS"/>
    <s v="NTU PLSA Reg Asset"/>
    <s v="N"/>
    <s v="2024-07-01"/>
    <n v="0"/>
    <s v="000000"/>
    <n v="0"/>
    <m/>
    <n v="0"/>
    <n v="0"/>
  </r>
  <r>
    <m/>
    <s v="UJE"/>
    <x v="0"/>
    <x v="2"/>
    <n v="-9270.08"/>
    <s v="Click Here To Select Upload Journal"/>
    <s v="2024-10-31"/>
    <s v="660000"/>
    <x v="0"/>
    <x v="0"/>
    <x v="0"/>
    <s v="0000"/>
    <s v="0000"/>
    <m/>
    <s v="NTU PLSA Reg Asset"/>
    <s v="000_2024-10-31_0000986997.xlsm"/>
    <s v="XLS"/>
    <s v="/data/psfs/docs/fimprd/jrnldoc"/>
    <n v="10"/>
    <n v="1"/>
    <s v="CRRNT"/>
    <s v="USD"/>
    <s v="Powerline Safety Amortization October 2024"/>
    <n v="2024"/>
    <n v="-9270.08"/>
    <s v="USD"/>
    <n v="3"/>
    <s v="2024-10-31"/>
    <s v="P"/>
    <s v="0"/>
    <m/>
    <s v="ACTUALS"/>
    <s v="ACTUALS"/>
    <s v="NTU PLSA Reg Asset"/>
    <s v="N"/>
    <s v="2024-10-14"/>
    <n v="0"/>
    <s v="000000"/>
    <n v="0"/>
    <m/>
    <n v="0"/>
    <n v="0"/>
  </r>
  <r>
    <m/>
    <s v="UJE"/>
    <x v="0"/>
    <x v="0"/>
    <n v="-105733.09"/>
    <s v="Click Here To Select Upload Journal"/>
    <s v="2024-09-30"/>
    <s v="571900"/>
    <x v="0"/>
    <x v="0"/>
    <x v="0"/>
    <s v="0000"/>
    <s v="0000"/>
    <m/>
    <s v="TRN PLSA Reg Asset"/>
    <s v="000_2024-09-30_0000986997.xlsm"/>
    <s v="XLS"/>
    <s v="/data/psfs/docs/fimprd/jrnldoc"/>
    <n v="9"/>
    <n v="1"/>
    <s v="CRRNT"/>
    <s v="USD"/>
    <s v="Powerline Safety Amortization September 2024"/>
    <n v="2024"/>
    <n v="-105733.09"/>
    <s v="USD"/>
    <n v="5"/>
    <s v="2024-09-30"/>
    <s v="P"/>
    <s v="0"/>
    <m/>
    <s v="ACTUALS"/>
    <s v="ACTUALS"/>
    <s v="TRN PLSA Reg Asset"/>
    <s v="N"/>
    <s v="2024-09-19"/>
    <n v="0"/>
    <s v="000000"/>
    <n v="0"/>
    <m/>
    <n v="0"/>
    <n v="0"/>
  </r>
  <r>
    <m/>
    <s v="UJE"/>
    <x v="3"/>
    <x v="0"/>
    <n v="237511.67"/>
    <s v="Click Here To Select Upload Journal"/>
    <s v="2024-04-01"/>
    <s v="524001"/>
    <x v="0"/>
    <x v="2"/>
    <x v="2"/>
    <s v="0000"/>
    <s v="0000"/>
    <m/>
    <s v="Dkt 53601 COS accrual"/>
    <s v="000_2024-03-31_0000987007.xlsm"/>
    <m/>
    <s v="/data/psfs/docs/fimprd/jrnldoc"/>
    <n v="4"/>
    <n v="1"/>
    <s v="CRRNT"/>
    <s v="USD"/>
    <s v="Powerline Safety Cost of Service Accrual March 2024."/>
    <n v="2024"/>
    <n v="237511.67"/>
    <s v="USD"/>
    <n v="1"/>
    <s v="2024-04-01"/>
    <s v="P"/>
    <s v="0"/>
    <m/>
    <s v="ACTUALS"/>
    <s v="ACTUALS"/>
    <s v="Dkt 53601 COS accrual"/>
    <s v="N"/>
    <s v="2024-03-26"/>
    <n v="2775586"/>
    <s v="000000"/>
    <n v="0"/>
    <m/>
    <n v="0"/>
    <n v="0"/>
  </r>
  <r>
    <m/>
    <s v="UJE"/>
    <x v="0"/>
    <x v="1"/>
    <n v="-10220.17"/>
    <s v="Click Here To Select Upload Journal"/>
    <s v="2024-01-31"/>
    <s v="521900"/>
    <x v="0"/>
    <x v="0"/>
    <x v="0"/>
    <s v="0000"/>
    <s v="0000"/>
    <m/>
    <s v="ESD PLSA Reg Asset"/>
    <s v="000_2024-01-31_0000986997.xlsm"/>
    <m/>
    <s v="/data/psfs/docs/fimprd/jrnldoc"/>
    <n v="1"/>
    <n v="1"/>
    <s v="CRRNT"/>
    <s v="USD"/>
    <s v="Powerline Safety Amortization Jan 2024"/>
    <n v="2024"/>
    <n v="-10220.17"/>
    <s v="USD"/>
    <n v="1"/>
    <s v="2024-01-31"/>
    <s v="P"/>
    <s v="0"/>
    <m/>
    <s v="ACTUALS"/>
    <s v="ACTUALS"/>
    <s v="ESD PLSA Reg Asset"/>
    <s v="N"/>
    <s v="2024-01-30"/>
    <n v="0"/>
    <s v="000000"/>
    <n v="0"/>
    <m/>
    <n v="0"/>
    <n v="0"/>
  </r>
  <r>
    <m/>
    <s v="UJE"/>
    <x v="0"/>
    <x v="1"/>
    <n v="-10220.17"/>
    <s v="Click Here To Select Upload Journal"/>
    <s v="2024-03-31"/>
    <s v="521900"/>
    <x v="0"/>
    <x v="0"/>
    <x v="0"/>
    <s v="0000"/>
    <s v="0000"/>
    <m/>
    <s v="ESD PLSA Reg Asset"/>
    <s v="000_2024-03-31_0000986997.xlsm"/>
    <m/>
    <s v="/data/psfs/docs/fimprd/jrnldoc"/>
    <n v="3"/>
    <n v="1"/>
    <s v="CRRNT"/>
    <s v="USD"/>
    <s v="Powerline Safety Amortization March 2024"/>
    <n v="2024"/>
    <n v="-10220.17"/>
    <s v="USD"/>
    <n v="1"/>
    <s v="2024-03-31"/>
    <s v="P"/>
    <s v="0"/>
    <m/>
    <s v="ACTUALS"/>
    <s v="ACTUALS"/>
    <s v="ESD PLSA Reg Asset"/>
    <s v="N"/>
    <s v="2024-03-21"/>
    <n v="0"/>
    <s v="000000"/>
    <n v="0"/>
    <m/>
    <n v="0"/>
    <n v="0"/>
  </r>
  <r>
    <m/>
    <s v="UJE"/>
    <x v="0"/>
    <x v="1"/>
    <n v="-10220.17"/>
    <s v="Click Here To Select Upload Journal"/>
    <s v="2024-06-30"/>
    <s v="521900"/>
    <x v="0"/>
    <x v="0"/>
    <x v="0"/>
    <s v="0000"/>
    <s v="0000"/>
    <m/>
    <s v="ESD PLSA Reg Asset"/>
    <s v="000_2024-06-30_0000986997.xlsm"/>
    <m/>
    <s v="/data/psfs/docs/fimprd/jrnldoc"/>
    <n v="6"/>
    <n v="1"/>
    <s v="CRRNT"/>
    <s v="USD"/>
    <s v="Powerline Safety Amortization June 2024"/>
    <n v="2024"/>
    <n v="-10220.17"/>
    <s v="USD"/>
    <n v="1"/>
    <s v="2024-06-30"/>
    <s v="P"/>
    <s v="0"/>
    <m/>
    <s v="ACTUALS"/>
    <s v="ACTUALS"/>
    <s v="ESD PLSA Reg Asset"/>
    <s v="N"/>
    <s v="2024-07-01"/>
    <n v="0"/>
    <s v="000000"/>
    <n v="0"/>
    <m/>
    <n v="0"/>
    <n v="0"/>
  </r>
  <r>
    <m/>
    <s v="UJE"/>
    <x v="0"/>
    <x v="1"/>
    <n v="-10220.17"/>
    <s v="Click Here To Select Upload Journal"/>
    <s v="2024-11-30"/>
    <s v="521900"/>
    <x v="0"/>
    <x v="0"/>
    <x v="0"/>
    <s v="0000"/>
    <s v="0000"/>
    <m/>
    <s v="ESD PLSA Reg Asset"/>
    <s v="000_2024-11-30_0000986997.xlsm"/>
    <m/>
    <s v="/data/psfs/docs/fimprd/jrnldoc"/>
    <n v="11"/>
    <n v="1"/>
    <s v="CRRNT"/>
    <s v="USD"/>
    <s v="Powerline Safety Amortization Nov 2024"/>
    <n v="2024"/>
    <n v="-10220.17"/>
    <s v="USD"/>
    <n v="1"/>
    <s v="2024-11-30"/>
    <s v="P"/>
    <s v="0"/>
    <m/>
    <s v="ACTUALS"/>
    <s v="ACTUALS"/>
    <s v="ESD PLSA Reg Asset"/>
    <s v="N"/>
    <s v="2024-12-02"/>
    <n v="0"/>
    <s v="000000"/>
    <n v="0"/>
    <m/>
    <n v="0"/>
    <n v="0"/>
  </r>
  <r>
    <m/>
    <s v="UJE"/>
    <x v="0"/>
    <x v="2"/>
    <n v="-9270.08"/>
    <s v="Click Here To Select Upload Journal"/>
    <s v="2024-09-30"/>
    <s v="660000"/>
    <x v="0"/>
    <x v="0"/>
    <x v="0"/>
    <s v="0000"/>
    <s v="0000"/>
    <m/>
    <s v="NTU PLSA Reg Asset"/>
    <s v="000_2024-09-30_0000986997.xlsm"/>
    <s v="XLS"/>
    <s v="/data/psfs/docs/fimprd/jrnldoc"/>
    <n v="9"/>
    <n v="1"/>
    <s v="CRRNT"/>
    <s v="USD"/>
    <s v="Powerline Safety Amortization September 2024"/>
    <n v="2024"/>
    <n v="-9270.08"/>
    <s v="USD"/>
    <n v="3"/>
    <s v="2024-09-30"/>
    <s v="P"/>
    <s v="0"/>
    <m/>
    <s v="ACTUALS"/>
    <s v="ACTUALS"/>
    <s v="NTU PLSA Reg Asset"/>
    <s v="N"/>
    <s v="2024-09-19"/>
    <n v="0"/>
    <s v="000000"/>
    <n v="0"/>
    <m/>
    <n v="0"/>
    <n v="0"/>
  </r>
  <r>
    <m/>
    <s v="UJE"/>
    <x v="3"/>
    <x v="0"/>
    <n v="-237511.67"/>
    <s v="Click Here To Select Upload Journal"/>
    <s v="2024-12-31"/>
    <s v="524001"/>
    <x v="0"/>
    <x v="2"/>
    <x v="2"/>
    <s v="0000"/>
    <s v="0000"/>
    <m/>
    <s v="Dkt 53601 COS accrual Dec"/>
    <s v="000_2024-12-31_0000987007.xlsm"/>
    <m/>
    <s v="/data/psfs/docs/fimprd/jrnldoc"/>
    <n v="12"/>
    <n v="1"/>
    <s v="CRRNT"/>
    <s v="USD"/>
    <s v="Powerline Safety Cost of Service Accrual Dec 2024."/>
    <n v="2024"/>
    <n v="-237511.67"/>
    <s v="USD"/>
    <n v="1"/>
    <s v="2024-12-31"/>
    <s v="P"/>
    <s v="0"/>
    <m/>
    <s v="ACTUALS"/>
    <s v="ACTUALS"/>
    <s v="Dkt 53601 COS accrual Dec"/>
    <s v="N"/>
    <s v="2024-12-11"/>
    <n v="0"/>
    <s v="000000"/>
    <n v="0"/>
    <m/>
    <n v="0"/>
    <n v="0"/>
  </r>
  <r>
    <m/>
    <s v="UJE"/>
    <x v="0"/>
    <x v="1"/>
    <n v="-10220.17"/>
    <s v="Click Here To Select Upload Journal"/>
    <s v="2024-08-31"/>
    <s v="521900"/>
    <x v="0"/>
    <x v="0"/>
    <x v="0"/>
    <s v="0000"/>
    <s v="0000"/>
    <m/>
    <s v="ESD PLSA Reg Asset"/>
    <s v="000_2024-08-31_0000986997.xlsm"/>
    <m/>
    <s v="/data/psfs/docs/fimprd/jrnldoc"/>
    <n v="8"/>
    <n v="1"/>
    <s v="CRRNT"/>
    <s v="USD"/>
    <s v="Powerline Safety Amortization August 2024"/>
    <n v="2024"/>
    <n v="-10220.17"/>
    <s v="USD"/>
    <n v="1"/>
    <s v="2024-08-31"/>
    <s v="P"/>
    <s v="0"/>
    <m/>
    <s v="ACTUALS"/>
    <s v="ACTUALS"/>
    <s v="ESD PLSA Reg Asset"/>
    <s v="N"/>
    <s v="2024-08-19"/>
    <n v="0"/>
    <s v="000000"/>
    <n v="0"/>
    <m/>
    <n v="0"/>
    <n v="0"/>
  </r>
  <r>
    <m/>
    <s v="UJE"/>
    <x v="0"/>
    <x v="1"/>
    <n v="-10220.17"/>
    <s v="Click Here To Select Upload Journal"/>
    <s v="2024-07-31"/>
    <s v="521900"/>
    <x v="0"/>
    <x v="0"/>
    <x v="0"/>
    <s v="0000"/>
    <s v="0000"/>
    <m/>
    <s v="ESD PLSA Reg Asset"/>
    <s v="000_2024-07-31_0000986997.xlsm"/>
    <m/>
    <s v="/data/psfs/docs/fimprd/jrnldoc"/>
    <n v="7"/>
    <n v="1"/>
    <s v="CRRNT"/>
    <s v="USD"/>
    <s v="Powerline Safety Amortization July 2024"/>
    <n v="2024"/>
    <n v="-10220.17"/>
    <s v="USD"/>
    <n v="1"/>
    <s v="2024-07-31"/>
    <s v="P"/>
    <s v="0"/>
    <m/>
    <s v="ACTUALS"/>
    <s v="ACTUALS"/>
    <s v="ESD PLSA Reg Asset"/>
    <s v="N"/>
    <s v="2024-07-18"/>
    <n v="0"/>
    <s v="000000"/>
    <n v="0"/>
    <m/>
    <n v="0"/>
    <n v="0"/>
  </r>
  <r>
    <m/>
    <s v="UJE"/>
    <x v="3"/>
    <x v="2"/>
    <n v="-20821.669999999998"/>
    <s v="Click Here To Select Upload Journal"/>
    <s v="2024-05-31"/>
    <s v="660000"/>
    <x v="0"/>
    <x v="2"/>
    <x v="2"/>
    <s v="0000"/>
    <s v="0000"/>
    <m/>
    <s v="Dkt 53601 COS accrual March"/>
    <s v="000_2024-05-31_0000987007.xlsm"/>
    <s v="XLS"/>
    <s v="/data/psfs/docs/fimprd/jrnldoc"/>
    <n v="5"/>
    <n v="1"/>
    <s v="CRRNT"/>
    <s v="USD"/>
    <s v="Powerline Safety Cost of Service Accrual May 2024."/>
    <n v="2024"/>
    <n v="-20821.669999999998"/>
    <s v="USD"/>
    <n v="3"/>
    <s v="2024-05-31"/>
    <s v="P"/>
    <s v="0"/>
    <m/>
    <s v="ACTUALS"/>
    <s v="ACTUALS"/>
    <s v="Dkt 53601 COS accrual March"/>
    <s v="N"/>
    <s v="2024-05-20"/>
    <n v="0"/>
    <s v="000000"/>
    <n v="0"/>
    <m/>
    <n v="0"/>
    <n v="0"/>
  </r>
  <r>
    <m/>
    <s v="UJE"/>
    <x v="3"/>
    <x v="2"/>
    <n v="-20821.669999999998"/>
    <s v="Click Here To Select Upload Journal"/>
    <s v="2024-05-31"/>
    <s v="660000"/>
    <x v="0"/>
    <x v="2"/>
    <x v="2"/>
    <s v="0000"/>
    <s v="0000"/>
    <m/>
    <s v="Dkt 53601 COS accrual April"/>
    <s v="000_2024-05-31_0000987007.xlsm"/>
    <s v="XLS"/>
    <s v="/data/psfs/docs/fimprd/jrnldoc"/>
    <n v="5"/>
    <n v="1"/>
    <s v="CRRNT"/>
    <s v="USD"/>
    <s v="Powerline Safety Cost of Service Accrual May 2024."/>
    <n v="2024"/>
    <n v="-20821.669999999998"/>
    <s v="USD"/>
    <n v="7"/>
    <s v="2024-05-31"/>
    <s v="P"/>
    <s v="0"/>
    <m/>
    <s v="ACTUALS"/>
    <s v="ACTUALS"/>
    <s v="Dkt 53601 COS accrual April"/>
    <s v="N"/>
    <s v="2024-05-20"/>
    <n v="0"/>
    <s v="000000"/>
    <n v="0"/>
    <m/>
    <n v="0"/>
    <n v="0"/>
  </r>
  <r>
    <m/>
    <s v="UJE"/>
    <x v="0"/>
    <x v="2"/>
    <n v="-9270.08"/>
    <s v="Click Here To Select Upload Journal"/>
    <s v="2024-05-31"/>
    <s v="660000"/>
    <x v="0"/>
    <x v="0"/>
    <x v="0"/>
    <s v="0000"/>
    <s v="0000"/>
    <m/>
    <s v="NTU PLSA Reg Asset"/>
    <s v="000_2024-05-31_0000986997.xlsm"/>
    <s v="XLS"/>
    <s v="/data/psfs/docs/fimprd/jrnldoc"/>
    <n v="5"/>
    <n v="1"/>
    <s v="CRRNT"/>
    <s v="USD"/>
    <s v="Powerline Safety Amortization May 2024"/>
    <n v="2024"/>
    <n v="-9270.08"/>
    <s v="USD"/>
    <n v="3"/>
    <s v="2024-05-31"/>
    <s v="P"/>
    <s v="0"/>
    <m/>
    <s v="ACTUALS"/>
    <s v="ACTUALS"/>
    <s v="NTU PLSA Reg Asset"/>
    <s v="N"/>
    <s v="2024-05-21"/>
    <n v="0"/>
    <s v="000000"/>
    <n v="0"/>
    <m/>
    <n v="0"/>
    <n v="0"/>
  </r>
  <r>
    <m/>
    <s v="UJE"/>
    <x v="3"/>
    <x v="2"/>
    <n v="-20821.669999999998"/>
    <s v="Click Here To Select Upload Journal"/>
    <s v="2024-11-30"/>
    <s v="660000"/>
    <x v="0"/>
    <x v="2"/>
    <x v="2"/>
    <s v="0000"/>
    <s v="0000"/>
    <m/>
    <s v="Dkt 53601 COS accrual Nov"/>
    <s v="000_2024-11-30_0000987007.xlsm"/>
    <s v="XLS"/>
    <s v="/data/psfs/docs/fimprd/jrnldoc"/>
    <n v="11"/>
    <n v="1"/>
    <s v="CRRNT"/>
    <s v="USD"/>
    <s v="Powerline Safety Cost of Service Accrual November 2024."/>
    <n v="2024"/>
    <n v="-20821.669999999998"/>
    <s v="USD"/>
    <n v="3"/>
    <s v="2024-11-30"/>
    <s v="P"/>
    <s v="0"/>
    <m/>
    <s v="ACTUALS"/>
    <s v="ACTUALS"/>
    <s v="Dkt 53601 COS accrual Nov"/>
    <s v="N"/>
    <s v="2024-12-02"/>
    <n v="0"/>
    <s v="000000"/>
    <n v="0"/>
    <m/>
    <n v="0"/>
    <n v="0"/>
  </r>
  <r>
    <m/>
    <s v="UJE"/>
    <x v="3"/>
    <x v="2"/>
    <n v="-20821.669999999998"/>
    <s v="Click Here To Select Upload Journal"/>
    <s v="2024-03-31"/>
    <s v="660000"/>
    <x v="0"/>
    <x v="2"/>
    <x v="2"/>
    <s v="0000"/>
    <s v="0000"/>
    <m/>
    <s v="Dkt 53601 COS accrual"/>
    <s v="000_2024-03-31_0000987007.xlsm"/>
    <s v="XLS"/>
    <s v="/data/psfs/docs/fimprd/jrnldoc"/>
    <n v="3"/>
    <n v="1"/>
    <s v="CRRNT"/>
    <s v="USD"/>
    <s v="Powerline Safety Cost of Service Accrual March 2024."/>
    <n v="2024"/>
    <n v="-20821.669999999998"/>
    <s v="USD"/>
    <n v="3"/>
    <s v="2024-03-31"/>
    <s v="P"/>
    <s v="0"/>
    <m/>
    <s v="ACTUALS"/>
    <s v="ACTUALS"/>
    <s v="Dkt 53601 COS accrual"/>
    <s v="N"/>
    <s v="2024-03-21"/>
    <n v="0"/>
    <s v="000000"/>
    <n v="0"/>
    <m/>
    <n v="0"/>
    <n v="0"/>
  </r>
  <r>
    <m/>
    <s v="UJE"/>
    <x v="3"/>
    <x v="2"/>
    <n v="20821.669999999998"/>
    <s v="Click Here To Select Upload Journal"/>
    <s v="2024-04-01"/>
    <s v="660000"/>
    <x v="0"/>
    <x v="2"/>
    <x v="2"/>
    <s v="0000"/>
    <s v="0000"/>
    <m/>
    <s v="Dkt 53601 COS accrual"/>
    <s v="000_2024-03-31_0000987007.xlsm"/>
    <s v="XLS"/>
    <s v="/data/psfs/docs/fimprd/jrnldoc"/>
    <n v="4"/>
    <n v="1"/>
    <s v="CRRNT"/>
    <s v="USD"/>
    <s v="Powerline Safety Cost of Service Accrual March 2024."/>
    <n v="2024"/>
    <n v="20821.669999999998"/>
    <s v="USD"/>
    <n v="3"/>
    <s v="2024-04-01"/>
    <s v="P"/>
    <s v="0"/>
    <m/>
    <s v="ACTUALS"/>
    <s v="ACTUALS"/>
    <s v="Dkt 53601 COS accrual"/>
    <s v="N"/>
    <s v="2024-03-26"/>
    <n v="2775586"/>
    <s v="000000"/>
    <n v="0"/>
    <m/>
    <n v="0"/>
    <n v="0"/>
  </r>
  <r>
    <m/>
    <s v="UJE"/>
    <x v="3"/>
    <x v="0"/>
    <n v="-237511.67"/>
    <s v="Click Here To Select Upload Journal"/>
    <s v="2024-11-30"/>
    <s v="524001"/>
    <x v="0"/>
    <x v="2"/>
    <x v="2"/>
    <s v="0000"/>
    <s v="0000"/>
    <m/>
    <s v="Dkt 53601 COS accrual Nov"/>
    <s v="000_2024-11-30_0000987007.xlsm"/>
    <m/>
    <s v="/data/psfs/docs/fimprd/jrnldoc"/>
    <n v="11"/>
    <n v="1"/>
    <s v="CRRNT"/>
    <s v="USD"/>
    <s v="Powerline Safety Cost of Service Accrual November 2024."/>
    <n v="2024"/>
    <n v="-237511.67"/>
    <s v="USD"/>
    <n v="1"/>
    <s v="2024-11-30"/>
    <s v="P"/>
    <s v="0"/>
    <m/>
    <s v="ACTUALS"/>
    <s v="ACTUALS"/>
    <s v="Dkt 53601 COS accrual Nov"/>
    <s v="N"/>
    <s v="2024-12-02"/>
    <n v="0"/>
    <s v="000000"/>
    <n v="0"/>
    <m/>
    <n v="0"/>
    <n v="0"/>
  </r>
  <r>
    <m/>
    <s v="PRJ"/>
    <x v="12"/>
    <x v="0"/>
    <n v="175861"/>
    <s v="No Documentation Attached"/>
    <s v="2024-11-30"/>
    <s v="524001"/>
    <x v="0"/>
    <x v="1"/>
    <x v="1"/>
    <s v="0000"/>
    <s v="0000"/>
    <m/>
    <m/>
    <m/>
    <m/>
    <m/>
    <n v="11"/>
    <n v="1"/>
    <m/>
    <s v="USD"/>
    <s v="Project Costing Transactions"/>
    <n v="2024"/>
    <n v="175861"/>
    <s v="USD"/>
    <n v="514"/>
    <s v="2024-11-30"/>
    <s v="P"/>
    <s v="0"/>
    <m/>
    <s v="ACTUALS"/>
    <s v="ACTUALS"/>
    <m/>
    <s v="N"/>
    <s v="2024-12-04"/>
    <n v="2912559"/>
    <s v="000000"/>
    <n v="0"/>
    <m/>
    <n v="0"/>
    <n v="0"/>
  </r>
  <r>
    <m/>
    <s v="PRJ"/>
    <x v="13"/>
    <x v="0"/>
    <n v="158803.6"/>
    <s v="No Documentation Attached"/>
    <s v="2024-03-31"/>
    <s v="524001"/>
    <x v="0"/>
    <x v="1"/>
    <x v="1"/>
    <s v="0000"/>
    <s v="0000"/>
    <m/>
    <m/>
    <m/>
    <m/>
    <m/>
    <n v="3"/>
    <n v="1"/>
    <m/>
    <s v="USD"/>
    <s v="Project Costing Transactions"/>
    <n v="2024"/>
    <n v="158803.6"/>
    <s v="USD"/>
    <n v="1007"/>
    <s v="2024-03-31"/>
    <s v="P"/>
    <s v="0"/>
    <m/>
    <s v="ACTUALS"/>
    <s v="ACTUALS"/>
    <m/>
    <s v="N"/>
    <s v="2024-04-02"/>
    <n v="2781247"/>
    <s v="000000"/>
    <n v="0"/>
    <m/>
    <n v="0"/>
    <n v="0"/>
  </r>
  <r>
    <m/>
    <s v="UJE"/>
    <x v="3"/>
    <x v="0"/>
    <n v="-237511.67"/>
    <s v="Click Here To Select Upload Journal"/>
    <s v="2024-07-31"/>
    <s v="524001"/>
    <x v="0"/>
    <x v="2"/>
    <x v="2"/>
    <s v="0000"/>
    <s v="0000"/>
    <m/>
    <s v="Dkt 53601 COS accrual July"/>
    <s v="000_2024-07-31_0000987007.xlsm"/>
    <m/>
    <s v="/data/psfs/docs/fimprd/jrnldoc"/>
    <n v="7"/>
    <n v="1"/>
    <s v="CRRNT"/>
    <s v="USD"/>
    <s v="Powerline Safety Cost of Service Accrual July 2024."/>
    <n v="2024"/>
    <n v="-237511.67"/>
    <s v="USD"/>
    <n v="1"/>
    <s v="2024-07-31"/>
    <s v="P"/>
    <s v="0"/>
    <m/>
    <s v="ACTUALS"/>
    <s v="ACTUALS"/>
    <s v="Dkt 53601 COS accrual July"/>
    <s v="N"/>
    <s v="2024-07-18"/>
    <n v="0"/>
    <s v="000000"/>
    <n v="0"/>
    <m/>
    <n v="0"/>
    <n v="0"/>
  </r>
  <r>
    <m/>
    <s v="UJE"/>
    <x v="3"/>
    <x v="0"/>
    <n v="-237511.67"/>
    <s v="Click Here To Select Upload Journal"/>
    <s v="2024-09-30"/>
    <s v="524001"/>
    <x v="0"/>
    <x v="2"/>
    <x v="2"/>
    <s v="0000"/>
    <s v="0000"/>
    <m/>
    <s v="Dkt 53601 COS accrual Aug24 CR"/>
    <s v="000_2024-09-30_0000987007.xlsm"/>
    <m/>
    <s v="/data/psfs/docs/fimprd/jrnldoc"/>
    <n v="9"/>
    <n v="1"/>
    <s v="CRRNT"/>
    <s v="USD"/>
    <s v="Powerline Safety Cost of Service Accrual September 2024."/>
    <n v="2024"/>
    <n v="-237511.67"/>
    <s v="USD"/>
    <n v="1"/>
    <s v="2024-09-30"/>
    <s v="P"/>
    <s v="0"/>
    <m/>
    <s v="ACTUALS"/>
    <s v="ACTUALS"/>
    <s v="Dkt 53601 COS accrual Aug24 CR"/>
    <s v="N"/>
    <s v="2024-09-17"/>
    <n v="0"/>
    <s v="000000"/>
    <n v="0"/>
    <m/>
    <n v="0"/>
    <n v="0"/>
  </r>
  <r>
    <m/>
    <s v="UJE"/>
    <x v="3"/>
    <x v="0"/>
    <n v="-237511.67"/>
    <s v="Click Here To Select Upload Journal"/>
    <s v="2024-09-30"/>
    <s v="524001"/>
    <x v="0"/>
    <x v="2"/>
    <x v="2"/>
    <s v="0000"/>
    <s v="0000"/>
    <m/>
    <s v="Dkt 53601 COS accrual Aug24"/>
    <s v="000_2024-09-30_0000987007.xlsm"/>
    <m/>
    <s v="/data/psfs/docs/fimprd/jrnldoc"/>
    <n v="9"/>
    <n v="1"/>
    <s v="CRRNT"/>
    <s v="USD"/>
    <s v="Powerline Safety Cost of Service Accrual September 2024."/>
    <n v="2024"/>
    <n v="-237511.67"/>
    <s v="USD"/>
    <n v="3"/>
    <s v="2024-09-30"/>
    <s v="P"/>
    <s v="0"/>
    <m/>
    <s v="ACTUALS"/>
    <s v="ACTUALS"/>
    <s v="Dkt 53601 COS accrual Aug24"/>
    <s v="N"/>
    <s v="2024-09-17"/>
    <n v="0"/>
    <s v="000000"/>
    <n v="0"/>
    <m/>
    <n v="0"/>
    <n v="0"/>
  </r>
  <r>
    <m/>
    <s v="PRJ"/>
    <x v="14"/>
    <x v="0"/>
    <n v="189455.1"/>
    <s v="No Documentation Attached"/>
    <s v="2024-02-29"/>
    <s v="524001"/>
    <x v="0"/>
    <x v="1"/>
    <x v="1"/>
    <s v="0000"/>
    <s v="0000"/>
    <m/>
    <m/>
    <m/>
    <m/>
    <m/>
    <n v="2"/>
    <n v="1"/>
    <m/>
    <s v="USD"/>
    <s v="Project Costing Transactions"/>
    <n v="2024"/>
    <n v="189455.1"/>
    <s v="USD"/>
    <n v="1221"/>
    <s v="2024-02-29"/>
    <s v="P"/>
    <s v="0"/>
    <m/>
    <s v="ACTUALS"/>
    <s v="ACTUALS"/>
    <m/>
    <s v="N"/>
    <s v="2024-03-04"/>
    <n v="2766405"/>
    <s v="000000"/>
    <n v="0"/>
    <m/>
    <n v="0"/>
    <n v="0"/>
  </r>
  <r>
    <m/>
    <s v="UJE"/>
    <x v="3"/>
    <x v="0"/>
    <n v="237511.67"/>
    <s v="Click Here To Select Upload Journal"/>
    <s v="2024-05-01"/>
    <s v="524001"/>
    <x v="0"/>
    <x v="2"/>
    <x v="2"/>
    <s v="0000"/>
    <s v="0000"/>
    <m/>
    <s v="Dkt 53601 COS accrual"/>
    <s v="000_2024-04-30_0000987007.xlsm"/>
    <m/>
    <s v="/data/psfs/docs/fimprd/jrnldoc"/>
    <n v="5"/>
    <n v="1"/>
    <s v="CRRNT"/>
    <s v="USD"/>
    <s v="Powerline Safety Cost of Service Accrual April 2024."/>
    <n v="2024"/>
    <n v="237511.67"/>
    <s v="USD"/>
    <n v="1"/>
    <s v="2024-05-01"/>
    <s v="P"/>
    <s v="0"/>
    <m/>
    <s v="ACTUALS"/>
    <s v="ACTUALS"/>
    <s v="Dkt 53601 COS accrual"/>
    <s v="N"/>
    <s v="2024-04-25"/>
    <n v="2790897"/>
    <s v="000000"/>
    <n v="0"/>
    <m/>
    <n v="0"/>
    <n v="0"/>
  </r>
  <r>
    <m/>
    <s v="UJE"/>
    <x v="3"/>
    <x v="0"/>
    <n v="-237511.67"/>
    <s v="Click Here To Select Upload Journal"/>
    <s v="2024-05-31"/>
    <s v="524001"/>
    <x v="0"/>
    <x v="2"/>
    <x v="2"/>
    <s v="0000"/>
    <s v="0000"/>
    <m/>
    <s v="Dkt 53601 COS accrual April"/>
    <s v="000_2024-05-31_0000987007.xlsm"/>
    <m/>
    <s v="/data/psfs/docs/fimprd/jrnldoc"/>
    <n v="5"/>
    <n v="1"/>
    <s v="CRRNT"/>
    <s v="USD"/>
    <s v="Powerline Safety Cost of Service Accrual May 2024."/>
    <n v="2024"/>
    <n v="-237511.67"/>
    <s v="USD"/>
    <n v="5"/>
    <s v="2024-05-31"/>
    <s v="P"/>
    <s v="0"/>
    <m/>
    <s v="ACTUALS"/>
    <s v="ACTUALS"/>
    <s v="Dkt 53601 COS accrual April"/>
    <s v="N"/>
    <s v="2024-05-20"/>
    <n v="0"/>
    <s v="000000"/>
    <n v="0"/>
    <m/>
    <n v="0"/>
    <n v="0"/>
  </r>
  <r>
    <m/>
    <s v="PRJ"/>
    <x v="15"/>
    <x v="0"/>
    <n v="801619"/>
    <s v="No Documentation Attached"/>
    <s v="2024-09-30"/>
    <s v="524001"/>
    <x v="0"/>
    <x v="1"/>
    <x v="1"/>
    <s v="0000"/>
    <s v="0000"/>
    <m/>
    <m/>
    <m/>
    <m/>
    <m/>
    <n v="9"/>
    <n v="1"/>
    <m/>
    <s v="USD"/>
    <s v="Project Costing Transactions"/>
    <n v="2024"/>
    <n v="801619"/>
    <s v="USD"/>
    <n v="9"/>
    <s v="2024-09-30"/>
    <s v="P"/>
    <s v="0"/>
    <m/>
    <s v="ACTUALS"/>
    <s v="ACTUALS"/>
    <m/>
    <s v="N"/>
    <s v="2024-10-03"/>
    <n v="2879229"/>
    <s v="000000"/>
    <n v="0"/>
    <m/>
    <n v="0"/>
    <n v="0"/>
  </r>
  <r>
    <m/>
    <s v="UJE"/>
    <x v="0"/>
    <x v="0"/>
    <n v="-105733.09"/>
    <s v="Click Here To Select Upload Journal"/>
    <s v="2024-10-31"/>
    <s v="571900"/>
    <x v="0"/>
    <x v="0"/>
    <x v="0"/>
    <s v="0000"/>
    <s v="0000"/>
    <m/>
    <s v="TRN PLSA Reg Asset"/>
    <s v="000_2024-10-31_0000986997.xlsm"/>
    <s v="XLS"/>
    <s v="/data/psfs/docs/fimprd/jrnldoc"/>
    <n v="10"/>
    <n v="1"/>
    <s v="CRRNT"/>
    <s v="USD"/>
    <s v="Powerline Safety Amortization October 2024"/>
    <n v="2024"/>
    <n v="-105733.09"/>
    <s v="USD"/>
    <n v="5"/>
    <s v="2024-10-31"/>
    <s v="P"/>
    <s v="0"/>
    <m/>
    <s v="ACTUALS"/>
    <s v="ACTUALS"/>
    <s v="TRN PLSA Reg Asset"/>
    <s v="N"/>
    <s v="2024-10-14"/>
    <n v="0"/>
    <s v="000000"/>
    <n v="0"/>
    <m/>
    <n v="0"/>
    <n v="0"/>
  </r>
  <r>
    <m/>
    <s v="UJE"/>
    <x v="3"/>
    <x v="0"/>
    <n v="-237511.67"/>
    <s v="Click Here To Select Upload Journal"/>
    <s v="2024-10-31"/>
    <s v="524001"/>
    <x v="0"/>
    <x v="2"/>
    <x v="2"/>
    <s v="0000"/>
    <s v="0000"/>
    <m/>
    <s v="Dkt 53601 COS accrual October"/>
    <s v="000_2024-10-31_0000987007.xlsm"/>
    <m/>
    <s v="/data/psfs/docs/fimprd/jrnldoc"/>
    <n v="10"/>
    <n v="1"/>
    <s v="CRRNT"/>
    <s v="USD"/>
    <s v="Powerline Safety Cost of Service Accrual October 2024."/>
    <n v="2024"/>
    <n v="-237511.67"/>
    <s v="USD"/>
    <n v="1"/>
    <s v="2024-10-31"/>
    <s v="P"/>
    <s v="0"/>
    <m/>
    <s v="ACTUALS"/>
    <s v="ACTUALS"/>
    <s v="Dkt 53601 COS accrual October"/>
    <s v="N"/>
    <s v="2024-10-14"/>
    <n v="0"/>
    <s v="000000"/>
    <n v="0"/>
    <m/>
    <n v="0"/>
    <n v="0"/>
  </r>
  <r>
    <m/>
    <s v="UJE"/>
    <x v="0"/>
    <x v="1"/>
    <n v="-10220.17"/>
    <s v="Click Here To Select Upload Journal"/>
    <s v="2024-12-31"/>
    <s v="521900"/>
    <x v="0"/>
    <x v="0"/>
    <x v="0"/>
    <s v="0000"/>
    <s v="0000"/>
    <m/>
    <s v="ESD PLSA Reg Asset"/>
    <s v="000_2024-12-31_0000986997.xlsm"/>
    <m/>
    <s v="/data/psfs/docs/fimprd/jrnldoc"/>
    <n v="12"/>
    <n v="1"/>
    <s v="CRRNT"/>
    <s v="USD"/>
    <s v="Powerline Safety Amortization Dec 2024"/>
    <n v="2024"/>
    <n v="-10220.17"/>
    <s v="USD"/>
    <n v="1"/>
    <s v="2024-12-31"/>
    <s v="P"/>
    <s v="0"/>
    <m/>
    <s v="ACTUALS"/>
    <s v="ACTUALS"/>
    <s v="ESD PLSA Reg Asset"/>
    <s v="N"/>
    <s v="2024-12-11"/>
    <n v="0"/>
    <s v="000000"/>
    <n v="0"/>
    <m/>
    <n v="0"/>
    <n v="0"/>
  </r>
  <r>
    <m/>
    <s v="UJE"/>
    <x v="0"/>
    <x v="2"/>
    <n v="-9270.08"/>
    <s v="Click Here To Select Upload Journal"/>
    <s v="2024-01-31"/>
    <s v="660000"/>
    <x v="0"/>
    <x v="0"/>
    <x v="0"/>
    <s v="0000"/>
    <s v="0000"/>
    <m/>
    <s v="NTU PLSA Reg Asset"/>
    <s v="000_2024-01-31_0000986997.xlsm"/>
    <s v="XLS"/>
    <s v="/data/psfs/docs/fimprd/jrnldoc"/>
    <n v="1"/>
    <n v="1"/>
    <s v="CRRNT"/>
    <s v="USD"/>
    <s v="Powerline Safety Amortization Jan 2024"/>
    <n v="2024"/>
    <n v="-9270.08"/>
    <s v="USD"/>
    <n v="3"/>
    <s v="2024-01-31"/>
    <s v="P"/>
    <s v="0"/>
    <m/>
    <s v="ACTUALS"/>
    <s v="ACTUALS"/>
    <s v="NTU PLSA Reg Asset"/>
    <s v="N"/>
    <s v="2024-01-30"/>
    <n v="0"/>
    <s v="000000"/>
    <n v="0"/>
    <m/>
    <n v="0"/>
    <n v="0"/>
  </r>
  <r>
    <m/>
    <s v="PRJ"/>
    <x v="16"/>
    <x v="2"/>
    <n v="1776.25"/>
    <s v="No Documentation Attached"/>
    <s v="2024-02-29"/>
    <s v="660000"/>
    <x v="0"/>
    <x v="1"/>
    <x v="1"/>
    <s v="0000"/>
    <s v="0000"/>
    <s v="TRN"/>
    <m/>
    <m/>
    <m/>
    <m/>
    <n v="2"/>
    <n v="1"/>
    <m/>
    <s v="USD"/>
    <s v="Project Costing Transactions"/>
    <n v="2024"/>
    <n v="1776.25"/>
    <s v="USD"/>
    <n v="4"/>
    <s v="2024-02-29"/>
    <s v="P"/>
    <s v="0"/>
    <m/>
    <s v="ACTUALS"/>
    <s v="ACTUALS"/>
    <m/>
    <s v="N"/>
    <s v="2024-03-04"/>
    <n v="2766405"/>
    <s v="000000"/>
    <n v="0"/>
    <m/>
    <n v="0"/>
    <n v="0"/>
  </r>
  <r>
    <m/>
    <s v="UJE"/>
    <x v="0"/>
    <x v="2"/>
    <n v="-9270.08"/>
    <s v="Click Here To Select Upload Journal"/>
    <s v="2024-03-31"/>
    <s v="660000"/>
    <x v="0"/>
    <x v="0"/>
    <x v="0"/>
    <s v="0000"/>
    <s v="0000"/>
    <m/>
    <s v="NTU PLSA Reg Asset"/>
    <s v="000_2024-03-31_0000986997.xlsm"/>
    <s v="XLS"/>
    <s v="/data/psfs/docs/fimprd/jrnldoc"/>
    <n v="3"/>
    <n v="1"/>
    <s v="CRRNT"/>
    <s v="USD"/>
    <s v="Powerline Safety Amortization March 2024"/>
    <n v="2024"/>
    <n v="-9270.08"/>
    <s v="USD"/>
    <n v="3"/>
    <s v="2024-03-31"/>
    <s v="P"/>
    <s v="0"/>
    <m/>
    <s v="ACTUALS"/>
    <s v="ACTUALS"/>
    <s v="NTU PLSA Reg Asset"/>
    <s v="N"/>
    <s v="2024-03-21"/>
    <n v="0"/>
    <s v="000000"/>
    <n v="0"/>
    <m/>
    <n v="0"/>
    <n v="0"/>
  </r>
  <r>
    <m/>
    <s v="UJE"/>
    <x v="0"/>
    <x v="2"/>
    <n v="-9270.08"/>
    <s v="Click Here To Select Upload Journal"/>
    <s v="2024-04-30"/>
    <s v="660000"/>
    <x v="0"/>
    <x v="0"/>
    <x v="0"/>
    <s v="0000"/>
    <s v="0000"/>
    <m/>
    <s v="NTU PLSA Reg Asset"/>
    <s v="000_2024-04-30_0000986997.xlsm"/>
    <s v="XLS"/>
    <s v="/data/psfs/docs/fimprd/jrnldoc"/>
    <n v="4"/>
    <n v="1"/>
    <s v="CRRNT"/>
    <s v="USD"/>
    <s v="Powerline Safety Amortization April 2024"/>
    <n v="2024"/>
    <n v="-9270.08"/>
    <s v="USD"/>
    <n v="3"/>
    <s v="2024-04-30"/>
    <s v="P"/>
    <s v="0"/>
    <m/>
    <s v="ACTUALS"/>
    <s v="ACTUALS"/>
    <s v="NTU PLSA Reg Asset"/>
    <s v="N"/>
    <s v="2024-04-17"/>
    <n v="0"/>
    <s v="000000"/>
    <n v="0"/>
    <m/>
    <n v="0"/>
    <n v="0"/>
  </r>
  <r>
    <m/>
    <s v="UJE"/>
    <x v="3"/>
    <x v="2"/>
    <n v="-20821.669999999998"/>
    <s v="Click Here To Select Upload Journal"/>
    <s v="2024-05-31"/>
    <s v="660000"/>
    <x v="0"/>
    <x v="2"/>
    <x v="2"/>
    <s v="0000"/>
    <s v="0000"/>
    <m/>
    <s v="Dkt 53601 COS accrual May"/>
    <s v="000_2024-05-31_0000987007.xlsm"/>
    <s v="XLS"/>
    <s v="/data/psfs/docs/fimprd/jrnldoc"/>
    <n v="5"/>
    <n v="1"/>
    <s v="CRRNT"/>
    <s v="USD"/>
    <s v="Powerline Safety Cost of Service Accrual May 2024."/>
    <n v="2024"/>
    <n v="-20821.669999999998"/>
    <s v="USD"/>
    <n v="11"/>
    <s v="2024-05-31"/>
    <s v="P"/>
    <s v="0"/>
    <m/>
    <s v="ACTUALS"/>
    <s v="ACTUALS"/>
    <s v="Dkt 53601 COS accrual May"/>
    <s v="N"/>
    <s v="2024-05-20"/>
    <n v="0"/>
    <s v="000000"/>
    <n v="0"/>
    <m/>
    <n v="0"/>
    <n v="0"/>
  </r>
  <r>
    <m/>
    <s v="PRJ"/>
    <x v="17"/>
    <x v="2"/>
    <n v="127739.11"/>
    <s v="No Documentation Attached"/>
    <s v="2024-09-30"/>
    <s v="660000"/>
    <x v="0"/>
    <x v="1"/>
    <x v="1"/>
    <s v="0000"/>
    <s v="0000"/>
    <s v="TRN"/>
    <m/>
    <m/>
    <m/>
    <m/>
    <n v="9"/>
    <n v="1"/>
    <m/>
    <s v="USD"/>
    <s v="Project Costing Transactions"/>
    <n v="2024"/>
    <n v="127739.11"/>
    <s v="USD"/>
    <n v="2"/>
    <s v="2024-09-30"/>
    <s v="P"/>
    <s v="0"/>
    <m/>
    <s v="ACTUALS"/>
    <s v="ACTUALS"/>
    <m/>
    <s v="N"/>
    <s v="2024-10-03"/>
    <n v="2879229"/>
    <s v="000000"/>
    <n v="0"/>
    <m/>
    <n v="0"/>
    <n v="0"/>
  </r>
  <r>
    <m/>
    <s v="PRJ"/>
    <x v="18"/>
    <x v="0"/>
    <n v="40619.279999999999"/>
    <s v="No Documentation Attached"/>
    <s v="2024-05-31"/>
    <s v="524001"/>
    <x v="0"/>
    <x v="1"/>
    <x v="1"/>
    <s v="0000"/>
    <s v="0000"/>
    <m/>
    <m/>
    <m/>
    <m/>
    <m/>
    <n v="5"/>
    <n v="1"/>
    <m/>
    <s v="USD"/>
    <s v="Project Costing Transactions"/>
    <n v="2024"/>
    <n v="40619.279999999999"/>
    <s v="USD"/>
    <n v="764"/>
    <s v="2024-05-31"/>
    <s v="P"/>
    <s v="0"/>
    <m/>
    <s v="ACTUALS"/>
    <s v="ACTUALS"/>
    <m/>
    <s v="N"/>
    <s v="2024-06-04"/>
    <n v="2814557"/>
    <s v="000000"/>
    <n v="0"/>
    <m/>
    <n v="0"/>
    <n v="0"/>
  </r>
  <r>
    <m/>
    <s v="UJE"/>
    <x v="0"/>
    <x v="0"/>
    <n v="-105733.09"/>
    <s v="Click Here To Select Upload Journal"/>
    <s v="2024-06-30"/>
    <s v="571900"/>
    <x v="0"/>
    <x v="0"/>
    <x v="0"/>
    <s v="0000"/>
    <s v="0000"/>
    <m/>
    <s v="TRN PLSA Reg Asset"/>
    <s v="000_2024-06-30_0000986997.xlsm"/>
    <s v="XLS"/>
    <s v="/data/psfs/docs/fimprd/jrnldoc"/>
    <n v="6"/>
    <n v="1"/>
    <s v="CRRNT"/>
    <s v="USD"/>
    <s v="Powerline Safety Amortization June 2024"/>
    <n v="2024"/>
    <n v="-105733.09"/>
    <s v="USD"/>
    <n v="5"/>
    <s v="2024-06-30"/>
    <s v="P"/>
    <s v="0"/>
    <m/>
    <s v="ACTUALS"/>
    <s v="ACTUALS"/>
    <s v="TRN PLSA Reg Asset"/>
    <s v="N"/>
    <s v="2024-07-01"/>
    <n v="0"/>
    <s v="000000"/>
    <n v="0"/>
    <m/>
    <n v="0"/>
    <n v="0"/>
  </r>
  <r>
    <m/>
    <s v="UJE"/>
    <x v="3"/>
    <x v="0"/>
    <n v="-237511.67"/>
    <s v="Click Here To Select Upload Journal"/>
    <s v="2024-09-30"/>
    <s v="524001"/>
    <x v="0"/>
    <x v="2"/>
    <x v="2"/>
    <s v="0000"/>
    <s v="0000"/>
    <m/>
    <s v="Dkt 53601 COS accrual Sept24"/>
    <s v="000_2024-09-30_0000987007.xlsm"/>
    <m/>
    <s v="/data/psfs/docs/fimprd/jrnldoc"/>
    <n v="9"/>
    <n v="1"/>
    <s v="CRRNT"/>
    <s v="USD"/>
    <s v="Powerline Safety Cost of Service Accrual September 2024."/>
    <n v="2024"/>
    <n v="-237511.67"/>
    <s v="USD"/>
    <n v="5"/>
    <s v="2024-09-30"/>
    <s v="P"/>
    <s v="0"/>
    <m/>
    <s v="ACTUALS"/>
    <s v="ACTUALS"/>
    <s v="Dkt 53601 COS accrual Sept24"/>
    <s v="N"/>
    <s v="2024-09-17"/>
    <n v="0"/>
    <s v="000000"/>
    <n v="0"/>
    <m/>
    <n v="0"/>
    <n v="0"/>
  </r>
  <r>
    <m/>
    <s v="UJE"/>
    <x v="3"/>
    <x v="0"/>
    <n v="-237511.67"/>
    <s v="Click Here To Select Upload Journal"/>
    <s v="2024-01-31"/>
    <s v="524001"/>
    <x v="0"/>
    <x v="2"/>
    <x v="2"/>
    <s v="0000"/>
    <s v="0000"/>
    <m/>
    <s v="Dkt 53601 COS accrual"/>
    <s v="000_2024-01-31_0000987007.xlsm"/>
    <m/>
    <s v="/data/psfs/docs/fimprd/jrnldoc"/>
    <n v="1"/>
    <n v="1"/>
    <s v="CRRNT"/>
    <s v="USD"/>
    <s v="Powerline Safety Cost of Service Accrual Jan 2024."/>
    <n v="2024"/>
    <n v="-237511.67"/>
    <s v="USD"/>
    <n v="1"/>
    <s v="2024-01-31"/>
    <s v="P"/>
    <s v="0"/>
    <m/>
    <s v="ACTUALS"/>
    <s v="ACTUALS"/>
    <s v="Dkt 53601 COS accrual"/>
    <s v="N"/>
    <s v="2024-01-30"/>
    <n v="0"/>
    <s v="000000"/>
    <n v="0"/>
    <m/>
    <n v="0"/>
    <n v="0"/>
  </r>
  <r>
    <m/>
    <s v="UJE"/>
    <x v="3"/>
    <x v="0"/>
    <n v="-237511.67"/>
    <s v="Click Here To Select Upload Journal"/>
    <s v="2024-03-31"/>
    <s v="524001"/>
    <x v="0"/>
    <x v="2"/>
    <x v="2"/>
    <s v="0000"/>
    <s v="0000"/>
    <m/>
    <s v="Dkt 53601 COS accrual"/>
    <s v="000_2024-03-31_0000987007.xlsm"/>
    <m/>
    <s v="/data/psfs/docs/fimprd/jrnldoc"/>
    <n v="3"/>
    <n v="1"/>
    <s v="CRRNT"/>
    <s v="USD"/>
    <s v="Powerline Safety Cost of Service Accrual March 2024."/>
    <n v="2024"/>
    <n v="-237511.67"/>
    <s v="USD"/>
    <n v="1"/>
    <s v="2024-03-31"/>
    <s v="P"/>
    <s v="0"/>
    <m/>
    <s v="ACTUALS"/>
    <s v="ACTUALS"/>
    <s v="Dkt 53601 COS accrual"/>
    <s v="N"/>
    <s v="2024-03-21"/>
    <n v="0"/>
    <s v="000000"/>
    <n v="0"/>
    <m/>
    <n v="0"/>
    <n v="0"/>
  </r>
  <r>
    <m/>
    <s v="UJE"/>
    <x v="0"/>
    <x v="0"/>
    <n v="-105733.09"/>
    <s v="Click Here To Select Upload Journal"/>
    <s v="2024-05-31"/>
    <s v="571900"/>
    <x v="0"/>
    <x v="0"/>
    <x v="0"/>
    <s v="0000"/>
    <s v="0000"/>
    <m/>
    <s v="TRN PLSA Reg Asset"/>
    <s v="000_2024-05-31_0000986997.xlsm"/>
    <s v="XLS"/>
    <s v="/data/psfs/docs/fimprd/jrnldoc"/>
    <n v="5"/>
    <n v="1"/>
    <s v="CRRNT"/>
    <s v="USD"/>
    <s v="Powerline Safety Amortization May 2024"/>
    <n v="2024"/>
    <n v="-105733.09"/>
    <s v="USD"/>
    <n v="5"/>
    <s v="2024-05-31"/>
    <s v="P"/>
    <s v="0"/>
    <m/>
    <s v="ACTUALS"/>
    <s v="ACTUALS"/>
    <s v="TRN PLSA Reg Asset"/>
    <s v="N"/>
    <s v="2024-05-21"/>
    <n v="0"/>
    <s v="000000"/>
    <n v="0"/>
    <m/>
    <n v="0"/>
    <n v="0"/>
  </r>
  <r>
    <m/>
    <s v="UJE"/>
    <x v="0"/>
    <x v="2"/>
    <n v="-9270.08"/>
    <s v="Click Here To Select Upload Journal"/>
    <s v="2024-08-31"/>
    <s v="660000"/>
    <x v="0"/>
    <x v="0"/>
    <x v="0"/>
    <s v="0000"/>
    <s v="0000"/>
    <m/>
    <s v="NTU PLSA Reg Asset"/>
    <s v="000_2024-08-31_0000986997.xlsm"/>
    <s v="XLS"/>
    <s v="/data/psfs/docs/fimprd/jrnldoc"/>
    <n v="8"/>
    <n v="1"/>
    <s v="CRRNT"/>
    <s v="USD"/>
    <s v="Powerline Safety Amortization August 2024"/>
    <n v="2024"/>
    <n v="-9270.08"/>
    <s v="USD"/>
    <n v="3"/>
    <s v="2024-08-31"/>
    <s v="P"/>
    <s v="0"/>
    <m/>
    <s v="ACTUALS"/>
    <s v="ACTUALS"/>
    <s v="NTU PLSA Reg Asset"/>
    <s v="N"/>
    <s v="2024-08-19"/>
    <n v="0"/>
    <s v="000000"/>
    <n v="0"/>
    <m/>
    <n v="0"/>
    <n v="0"/>
  </r>
  <r>
    <m/>
    <s v="UJE"/>
    <x v="3"/>
    <x v="2"/>
    <n v="-20821.669999999998"/>
    <s v="Click Here To Select Upload Journal"/>
    <s v="2024-04-30"/>
    <s v="660000"/>
    <x v="0"/>
    <x v="2"/>
    <x v="2"/>
    <s v="0000"/>
    <s v="0000"/>
    <m/>
    <s v="Dkt 53601 COS accrual"/>
    <s v="000_2024-04-30_0000987007.xlsm"/>
    <s v="XLS"/>
    <s v="/data/psfs/docs/fimprd/jrnldoc"/>
    <n v="4"/>
    <n v="1"/>
    <s v="CRRNT"/>
    <s v="USD"/>
    <s v="Powerline Safety Cost of Service Accrual April 2024."/>
    <n v="2024"/>
    <n v="-20821.669999999998"/>
    <s v="USD"/>
    <n v="3"/>
    <s v="2024-04-30"/>
    <s v="P"/>
    <s v="0"/>
    <m/>
    <s v="ACTUALS"/>
    <s v="ACTUALS"/>
    <s v="Dkt 53601 COS accrual"/>
    <s v="N"/>
    <s v="2024-04-17"/>
    <n v="0"/>
    <s v="000000"/>
    <n v="0"/>
    <m/>
    <n v="0"/>
    <n v="0"/>
  </r>
  <r>
    <m/>
    <s v="PRJ"/>
    <x v="19"/>
    <x v="2"/>
    <n v="101734.39999999999"/>
    <s v="No Documentation Attached"/>
    <s v="2024-01-31"/>
    <s v="660000"/>
    <x v="0"/>
    <x v="1"/>
    <x v="1"/>
    <s v="0000"/>
    <s v="0000"/>
    <s v="TRN"/>
    <m/>
    <m/>
    <m/>
    <m/>
    <n v="1"/>
    <n v="1"/>
    <m/>
    <s v="USD"/>
    <s v="Project Costing Transactions"/>
    <n v="2024"/>
    <n v="101734.39999999999"/>
    <s v="USD"/>
    <n v="2"/>
    <s v="2024-01-31"/>
    <s v="P"/>
    <s v="0"/>
    <m/>
    <s v="ACTUALS"/>
    <s v="ACTUALS"/>
    <m/>
    <s v="N"/>
    <s v="2024-02-02"/>
    <n v="2751918"/>
    <s v="000000"/>
    <n v="0"/>
    <m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x:pivotTableDefinition xmlns:xpdl="http://schemas.microsoft.com/office/spreadsheetml/2016/pivotdefaultlayout" xmlns:mc="http://schemas.openxmlformats.org/markup-compatibility/2006" xmlns:xr="http://schemas.microsoft.com/office/spreadsheetml/2014/revision" xmlns:x="http://schemas.openxmlformats.org/spreadsheetml/2006/main" name="PivotTable1" cacheId="22" dataOnRows="1" applyNumberFormats="0" applyBorderFormats="0" applyFontFormats="0" applyPatternFormats="0" applyAlignmentFormats="0" applyWidthHeightFormats="1" dataCaption="Data" updatedVersion="7" showMemberPropertyTips="0" useAutoFormatting="1" itemPrintTitles="1" createdVersion="1" indent="0" compact="0" compactData="0" gridDropZones="1" xr:uid="{157C55F6-6779-43E3-B199-7F2A018B0813}" mc:Ignorable="xr">
  <x:location ref="A6:F14" firstHeaderRow="1" firstDataRow="2" firstDataCol="2" rowPageCount="1" colPageCount="1"/>
  <x:pivotFields count="42">
    <x:pivotField compact="0" outline="0" showAll="0" includeNewItemsInFilter="1"/>
    <x:pivotField compact="0" outline="0" showAll="0" includeNewItemsInFilter="1"/>
    <x:pivotField compact="0" outline="0" showAll="0" includeNewItemsInFilter="1">
      <x:items count="21">
        <x:item x="0"/>
        <x:item x="3"/>
        <x:item x="11"/>
        <x:item x="19"/>
        <x:item x="16"/>
        <x:item x="14"/>
        <x:item x="13"/>
        <x:item x="18"/>
        <x:item x="6"/>
        <x:item x="10"/>
        <x:item x="2"/>
        <x:item x="7"/>
        <x:item x="15"/>
        <x:item x="17"/>
        <x:item x="8"/>
        <x:item x="9"/>
        <x:item x="12"/>
        <x:item x="4"/>
        <x:item x="1"/>
        <x:item x="5"/>
        <x:item t="default"/>
      </x:items>
    </x:pivotField>
    <x:pivotField axis="axisCol" compact="0" outline="0" showAll="0" includeNewItemsInFilter="1">
      <x:items count="4">
        <x:item x="1"/>
        <x:item x="2"/>
        <x:item x="0"/>
        <x:item t="default"/>
      </x:items>
    </x:pivotField>
    <x:pivotField dataField="1" compact="0" numFmtId="40" outline="0" showAll="0" includeNewItemsInFilter="1"/>
    <x:pivotField compact="0" outline="0" showAll="0" includeNewItemsInFilter="1"/>
    <x:pivotField compact="0" outline="0" showAll="0" includeNewItemsInFilter="1"/>
    <x:pivotField compact="0" outline="0" showAll="0" includeNewItemsInFilter="1"/>
    <x:pivotField axis="axisPage" compact="0" outline="0" showAll="0" includeNewItemsInFilter="1">
      <x:items count="2">
        <x:item x="0"/>
        <x:item t="default"/>
      </x:items>
    </x:pivotField>
    <x:pivotField axis="axisRow" compact="0" outline="0" showAll="0" includeNewItemsInFilter="1">
      <x:items count="4">
        <x:item x="0"/>
        <x:item x="2"/>
        <x:item x="1"/>
        <x:item t="default"/>
      </x:items>
    </x:pivotField>
    <x:pivotField axis="axisRow" compact="0" outline="0" showAll="0" includeNewItemsInFilter="1">
      <x:items count="4">
        <x:item x="1"/>
        <x:item x="2"/>
        <x:item x="0"/>
        <x:item t="default"/>
      </x:items>
    </x:pivotField>
    <x:pivotField compact="0" outline="0" showAll="0" includeNewItemsInFilter="1"/>
    <x:pivotField compact="0" outline="0" showAll="0" includeNewItemsInFilter="1"/>
    <x:pivotField compact="0" outline="0" showAll="0" includeNewItemsInFilter="1"/>
    <x:pivotField compact="0" outline="0" showAll="0" includeNewItemsInFilter="1"/>
    <x:pivotField compact="0" outline="0" showAll="0" includeNewItemsInFilter="1"/>
    <x:pivotField compact="0" outline="0" showAll="0" includeNewItemsInFilter="1"/>
    <x:pivotField compact="0" outline="0" showAll="0" includeNewItemsInFilter="1"/>
    <x:pivotField compact="0" outline="0" showAll="0" includeNewItemsInFilter="1"/>
    <x:pivotField compact="0" outline="0" showAll="0" includeNewItemsInFilter="1"/>
    <x:pivotField compact="0" outline="0" showAll="0" includeNewItemsInFilter="1"/>
    <x:pivotField compact="0" outline="0" showAll="0" includeNewItemsInFilter="1"/>
    <x:pivotField compact="0" outline="0" showAll="0" includeNewItemsInFilter="1"/>
    <x:pivotField compact="0" outline="0" showAll="0" includeNewItemsInFilter="1"/>
    <x:pivotField compact="0" outline="0" showAll="0" includeNewItemsInFilter="1"/>
    <x:pivotField compact="0" outline="0" showAll="0" includeNewItemsInFilter="1"/>
    <x:pivotField compact="0" outline="0" showAll="0" includeNewItemsInFilter="1"/>
    <x:pivotField compact="0" outline="0" showAll="0" includeNewItemsInFilter="1"/>
    <x:pivotField compact="0" outline="0" showAll="0" includeNewItemsInFilter="1"/>
    <x:pivotField compact="0" outline="0" showAll="0" includeNewItemsInFilter="1"/>
    <x:pivotField compact="0" outline="0" showAll="0" includeNewItemsInFilter="1"/>
    <x:pivotField compact="0" outline="0" showAll="0" includeNewItemsInFilter="1"/>
    <x:pivotField compact="0" outline="0" showAll="0" includeNewItemsInFilter="1"/>
    <x:pivotField compact="0" outline="0" showAll="0" includeNewItemsInFilter="1"/>
    <x:pivotField compact="0" outline="0" showAll="0" includeNewItemsInFilter="1"/>
    <x:pivotField compact="0" outline="0" showAll="0" includeNewItemsInFilter="1"/>
    <x:pivotField compact="0" outline="0" showAll="0" includeNewItemsInFilter="1"/>
    <x:pivotField compact="0" outline="0" showAll="0" includeNewItemsInFilter="1"/>
    <x:pivotField compact="0" outline="0" showAll="0" includeNewItemsInFilter="1"/>
    <x:pivotField compact="0" outline="0" showAll="0" includeNewItemsInFilter="1"/>
    <x:pivotField compact="0" outline="0" showAll="0" includeNewItemsInFilter="1"/>
    <x:pivotField compact="0" outline="0" showAll="0" includeNewItemsInFilter="1"/>
  </x:pivotFields>
  <x:rowFields count="2">
    <x:field x="10"/>
    <x:field x="9"/>
  </x:rowFields>
  <x:rowItems count="7">
    <x:i>
      <x:x/>
      <x:x v="2"/>
    </x:i>
    <x:i t="default">
      <x:x/>
    </x:i>
    <x:i>
      <x:x v="1"/>
      <x:x v="1"/>
    </x:i>
    <x:i t="default">
      <x:x v="1"/>
    </x:i>
    <x:i>
      <x:x v="2"/>
      <x:x/>
    </x:i>
    <x:i t="default">
      <x:x v="2"/>
    </x:i>
    <x:i t="grand">
      <x:x/>
    </x:i>
  </x:rowItems>
  <x:colFields count="1">
    <x:field x="3"/>
  </x:colFields>
  <x:colItems count="4">
    <x:i>
      <x:x/>
    </x:i>
    <x:i>
      <x:x v="1"/>
    </x:i>
    <x:i>
      <x:x v="2"/>
    </x:i>
    <x:i t="grand">
      <x:x/>
    </x:i>
  </x:colItems>
  <x:pageFields count="1">
    <x:pageField fld="8" hier="0"/>
  </x:pageFields>
  <x:dataFields count="1">
    <x:dataField name="Sum of Monetary Amount" fld="4" baseField="9" baseItem="2" numFmtId="7"/>
  </x:dataFields>
  <x:formats count="15">
    <x:format dxfId="14">
      <x:pivotArea type="all" dataOnly="0" outline="0" fieldPosition="0"/>
    </x:format>
    <x:format dxfId="13">
      <x:pivotArea outline="0" fieldPosition="0"/>
    </x:format>
    <x:format dxfId="12">
      <x:pivotArea type="origin" dataOnly="0" labelOnly="1" outline="0" fieldPosition="0"/>
    </x:format>
    <x:format dxfId="11">
      <x:pivotArea field="3" type="button" dataOnly="0" labelOnly="1" outline="0" axis="axisCol" fieldPosition="0"/>
    </x:format>
    <x:format dxfId="10">
      <x:pivotArea type="topRight" dataOnly="0" labelOnly="1" outline="0" fieldPosition="0"/>
    </x:format>
    <x:format dxfId="9">
      <x:pivotArea field="10" type="button" dataOnly="0" labelOnly="1" outline="0" axis="axisRow" fieldPosition="0"/>
    </x:format>
    <x:format dxfId="8">
      <x:pivotArea field="9" type="button" dataOnly="0" labelOnly="1" outline="0" axis="axisRow" fieldPosition="1"/>
    </x:format>
    <x:format dxfId="7">
      <x:pivotArea dataOnly="0" labelOnly="1" outline="0" fieldPosition="0">
        <x:references count="1">
          <x:reference field="10" count="0"/>
        </x:references>
      </x:pivotArea>
    </x:format>
    <x:format dxfId="6">
      <x:pivotArea dataOnly="0" labelOnly="1" outline="0" fieldPosition="0">
        <x:references count="1">
          <x:reference field="10" count="0" defaultSubtotal="1"/>
        </x:references>
      </x:pivotArea>
    </x:format>
    <x:format dxfId="5">
      <x:pivotArea dataOnly="0" labelOnly="1" grandRow="1" outline="0" fieldPosition="0"/>
    </x:format>
    <x:format dxfId="4">
      <x:pivotArea dataOnly="0" labelOnly="1" outline="0" fieldPosition="0">
        <x:references count="2">
          <x:reference field="9" count="1">
            <x:x v="2"/>
          </x:reference>
          <x:reference field="10" count="1" selected="0">
            <x:x v="0"/>
          </x:reference>
        </x:references>
      </x:pivotArea>
    </x:format>
    <x:format dxfId="3">
      <x:pivotArea dataOnly="0" labelOnly="1" outline="0" fieldPosition="0">
        <x:references count="2">
          <x:reference field="9" count="1">
            <x:x v="1"/>
          </x:reference>
          <x:reference field="10" count="1" selected="0">
            <x:x v="1"/>
          </x:reference>
        </x:references>
      </x:pivotArea>
    </x:format>
    <x:format dxfId="2">
      <x:pivotArea dataOnly="0" labelOnly="1" outline="0" fieldPosition="0">
        <x:references count="2">
          <x:reference field="9" count="1">
            <x:x v="0"/>
          </x:reference>
          <x:reference field="10" count="1" selected="0">
            <x:x v="2"/>
          </x:reference>
        </x:references>
      </x:pivotArea>
    </x:format>
    <x:format dxfId="1">
      <x:pivotArea dataOnly="0" labelOnly="1" outline="0" fieldPosition="0">
        <x:references count="1">
          <x:reference field="3" count="0"/>
        </x:references>
      </x:pivotArea>
    </x:format>
    <x:format dxfId="0">
      <x:pivotArea dataOnly="0" labelOnly="1" grandCol="1" outline="0" fieldPosition="0"/>
    </x:format>
  </x:formats>
  <x:pivotTableStyleInfo showRowHeaders="1" showColHeaders="1" showRowStripes="0" showColStripes="0" showLastColumn="1"/>
  <x:extLst>
    <x:ext xmlns:xpdl="http://schemas.microsoft.com/office/spreadsheetml/2016/pivotdefaultlayout" uri="{747A6164-185A-40DC-8AA5-F01512510D54}">
      <xpdl:pivotTableDefinition16 EnabledSubtotalsDefault="0" SubtotalsOnTopDefault="0"/>
    </x:ext>
  </x:extLst>
</x: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&#65279;<?xml version="1.0" encoding="utf-8"?><Relationships xmlns="http://schemas.openxmlformats.org/package/2006/relationships"><Relationship Type="http://schemas.openxmlformats.org/officeDocument/2006/relationships/pivotTable" Target="../pivotTables/pivotTable1.xml" Id="rId1" /></Relationships>
</file>

<file path=xl/worksheets/sheet1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="http://schemas.openxmlformats.org/spreadsheetml/2006/main" xr:uid="{AE1DFEBE-A4C5-4476-B592-9277D0827DF8}" mc:Ignorable="x14ac xr xr2 xr3">
  <x:sheetPr>
    <x:pageSetUpPr fitToPage="1"/>
  </x:sheetPr>
  <x:dimension ref="A1:P30"/>
  <x:sheetViews>
    <x:sheetView tabSelected="1" zoomScaleNormal="100" workbookViewId="0">
      <x:selection activeCell="F4" sqref="F4"/>
    </x:sheetView>
  </x:sheetViews>
  <x:sheetFormatPr defaultRowHeight="12.75" x14ac:dyDescent="0.2"/>
  <x:cols>
    <x:col min="1" max="1" width="21.42578125" bestFit="1" customWidth="1"/>
    <x:col min="2" max="2" width="10.85546875" bestFit="1" customWidth="1"/>
    <x:col min="3" max="4" width="13.85546875" bestFit="1" customWidth="1"/>
    <x:col min="5" max="6" width="14.42578125" bestFit="1" customWidth="1"/>
    <x:col min="7" max="8" width="6.85546875" customWidth="1"/>
    <x:col min="9" max="9" width="14.28515625" customWidth="1"/>
    <x:col min="10" max="10" width="13.85546875" bestFit="1" customWidth="1"/>
    <x:col min="11" max="11" width="12.140625" bestFit="1" customWidth="1"/>
    <x:col min="12" max="12" width="41.7109375" bestFit="1" customWidth="1"/>
    <x:col min="13" max="13" width="47.7109375" bestFit="1" customWidth="1"/>
    <x:col min="14" max="15" width="9.5703125" bestFit="1" customWidth="1"/>
    <x:col min="257" max="257" width="21.42578125" bestFit="1" customWidth="1"/>
    <x:col min="258" max="258" width="10.85546875" bestFit="1" customWidth="1"/>
    <x:col min="259" max="260" width="13.85546875" bestFit="1" customWidth="1"/>
    <x:col min="261" max="262" width="14.42578125" bestFit="1" customWidth="1"/>
    <x:col min="263" max="264" width="6.85546875" customWidth="1"/>
    <x:col min="265" max="265" width="14.28515625" customWidth="1"/>
    <x:col min="266" max="266" width="13.85546875" bestFit="1" customWidth="1"/>
    <x:col min="267" max="267" width="12.140625" bestFit="1" customWidth="1"/>
    <x:col min="268" max="268" width="41.7109375" bestFit="1" customWidth="1"/>
    <x:col min="269" max="269" width="47.7109375" bestFit="1" customWidth="1"/>
    <x:col min="270" max="271" width="9.5703125" bestFit="1" customWidth="1"/>
    <x:col min="513" max="513" width="21.42578125" bestFit="1" customWidth="1"/>
    <x:col min="514" max="514" width="10.85546875" bestFit="1" customWidth="1"/>
    <x:col min="515" max="516" width="13.85546875" bestFit="1" customWidth="1"/>
    <x:col min="517" max="518" width="14.42578125" bestFit="1" customWidth="1"/>
    <x:col min="519" max="520" width="6.85546875" customWidth="1"/>
    <x:col min="521" max="521" width="14.28515625" customWidth="1"/>
    <x:col min="522" max="522" width="13.85546875" bestFit="1" customWidth="1"/>
    <x:col min="523" max="523" width="12.140625" bestFit="1" customWidth="1"/>
    <x:col min="524" max="524" width="41.7109375" bestFit="1" customWidth="1"/>
    <x:col min="525" max="525" width="47.7109375" bestFit="1" customWidth="1"/>
    <x:col min="526" max="527" width="9.5703125" bestFit="1" customWidth="1"/>
    <x:col min="769" max="769" width="21.42578125" bestFit="1" customWidth="1"/>
    <x:col min="770" max="770" width="10.85546875" bestFit="1" customWidth="1"/>
    <x:col min="771" max="772" width="13.85546875" bestFit="1" customWidth="1"/>
    <x:col min="773" max="774" width="14.42578125" bestFit="1" customWidth="1"/>
    <x:col min="775" max="776" width="6.85546875" customWidth="1"/>
    <x:col min="777" max="777" width="14.28515625" customWidth="1"/>
    <x:col min="778" max="778" width="13.85546875" bestFit="1" customWidth="1"/>
    <x:col min="779" max="779" width="12.140625" bestFit="1" customWidth="1"/>
    <x:col min="780" max="780" width="41.7109375" bestFit="1" customWidth="1"/>
    <x:col min="781" max="781" width="47.7109375" bestFit="1" customWidth="1"/>
    <x:col min="782" max="783" width="9.5703125" bestFit="1" customWidth="1"/>
    <x:col min="1025" max="1025" width="21.42578125" bestFit="1" customWidth="1"/>
    <x:col min="1026" max="1026" width="10.85546875" bestFit="1" customWidth="1"/>
    <x:col min="1027" max="1028" width="13.85546875" bestFit="1" customWidth="1"/>
    <x:col min="1029" max="1030" width="14.42578125" bestFit="1" customWidth="1"/>
    <x:col min="1031" max="1032" width="6.85546875" customWidth="1"/>
    <x:col min="1033" max="1033" width="14.28515625" customWidth="1"/>
    <x:col min="1034" max="1034" width="13.85546875" bestFit="1" customWidth="1"/>
    <x:col min="1035" max="1035" width="12.140625" bestFit="1" customWidth="1"/>
    <x:col min="1036" max="1036" width="41.7109375" bestFit="1" customWidth="1"/>
    <x:col min="1037" max="1037" width="47.7109375" bestFit="1" customWidth="1"/>
    <x:col min="1038" max="1039" width="9.5703125" bestFit="1" customWidth="1"/>
    <x:col min="1281" max="1281" width="21.42578125" bestFit="1" customWidth="1"/>
    <x:col min="1282" max="1282" width="10.85546875" bestFit="1" customWidth="1"/>
    <x:col min="1283" max="1284" width="13.85546875" bestFit="1" customWidth="1"/>
    <x:col min="1285" max="1286" width="14.42578125" bestFit="1" customWidth="1"/>
    <x:col min="1287" max="1288" width="6.85546875" customWidth="1"/>
    <x:col min="1289" max="1289" width="14.28515625" customWidth="1"/>
    <x:col min="1290" max="1290" width="13.85546875" bestFit="1" customWidth="1"/>
    <x:col min="1291" max="1291" width="12.140625" bestFit="1" customWidth="1"/>
    <x:col min="1292" max="1292" width="41.7109375" bestFit="1" customWidth="1"/>
    <x:col min="1293" max="1293" width="47.7109375" bestFit="1" customWidth="1"/>
    <x:col min="1294" max="1295" width="9.5703125" bestFit="1" customWidth="1"/>
    <x:col min="1537" max="1537" width="21.42578125" bestFit="1" customWidth="1"/>
    <x:col min="1538" max="1538" width="10.85546875" bestFit="1" customWidth="1"/>
    <x:col min="1539" max="1540" width="13.85546875" bestFit="1" customWidth="1"/>
    <x:col min="1541" max="1542" width="14.42578125" bestFit="1" customWidth="1"/>
    <x:col min="1543" max="1544" width="6.85546875" customWidth="1"/>
    <x:col min="1545" max="1545" width="14.28515625" customWidth="1"/>
    <x:col min="1546" max="1546" width="13.85546875" bestFit="1" customWidth="1"/>
    <x:col min="1547" max="1547" width="12.140625" bestFit="1" customWidth="1"/>
    <x:col min="1548" max="1548" width="41.7109375" bestFit="1" customWidth="1"/>
    <x:col min="1549" max="1549" width="47.7109375" bestFit="1" customWidth="1"/>
    <x:col min="1550" max="1551" width="9.5703125" bestFit="1" customWidth="1"/>
    <x:col min="1793" max="1793" width="21.42578125" bestFit="1" customWidth="1"/>
    <x:col min="1794" max="1794" width="10.85546875" bestFit="1" customWidth="1"/>
    <x:col min="1795" max="1796" width="13.85546875" bestFit="1" customWidth="1"/>
    <x:col min="1797" max="1798" width="14.42578125" bestFit="1" customWidth="1"/>
    <x:col min="1799" max="1800" width="6.85546875" customWidth="1"/>
    <x:col min="1801" max="1801" width="14.28515625" customWidth="1"/>
    <x:col min="1802" max="1802" width="13.85546875" bestFit="1" customWidth="1"/>
    <x:col min="1803" max="1803" width="12.140625" bestFit="1" customWidth="1"/>
    <x:col min="1804" max="1804" width="41.7109375" bestFit="1" customWidth="1"/>
    <x:col min="1805" max="1805" width="47.7109375" bestFit="1" customWidth="1"/>
    <x:col min="1806" max="1807" width="9.5703125" bestFit="1" customWidth="1"/>
    <x:col min="2049" max="2049" width="21.42578125" bestFit="1" customWidth="1"/>
    <x:col min="2050" max="2050" width="10.85546875" bestFit="1" customWidth="1"/>
    <x:col min="2051" max="2052" width="13.85546875" bestFit="1" customWidth="1"/>
    <x:col min="2053" max="2054" width="14.42578125" bestFit="1" customWidth="1"/>
    <x:col min="2055" max="2056" width="6.85546875" customWidth="1"/>
    <x:col min="2057" max="2057" width="14.28515625" customWidth="1"/>
    <x:col min="2058" max="2058" width="13.85546875" bestFit="1" customWidth="1"/>
    <x:col min="2059" max="2059" width="12.140625" bestFit="1" customWidth="1"/>
    <x:col min="2060" max="2060" width="41.7109375" bestFit="1" customWidth="1"/>
    <x:col min="2061" max="2061" width="47.7109375" bestFit="1" customWidth="1"/>
    <x:col min="2062" max="2063" width="9.5703125" bestFit="1" customWidth="1"/>
    <x:col min="2305" max="2305" width="21.42578125" bestFit="1" customWidth="1"/>
    <x:col min="2306" max="2306" width="10.85546875" bestFit="1" customWidth="1"/>
    <x:col min="2307" max="2308" width="13.85546875" bestFit="1" customWidth="1"/>
    <x:col min="2309" max="2310" width="14.42578125" bestFit="1" customWidth="1"/>
    <x:col min="2311" max="2312" width="6.85546875" customWidth="1"/>
    <x:col min="2313" max="2313" width="14.28515625" customWidth="1"/>
    <x:col min="2314" max="2314" width="13.85546875" bestFit="1" customWidth="1"/>
    <x:col min="2315" max="2315" width="12.140625" bestFit="1" customWidth="1"/>
    <x:col min="2316" max="2316" width="41.7109375" bestFit="1" customWidth="1"/>
    <x:col min="2317" max="2317" width="47.7109375" bestFit="1" customWidth="1"/>
    <x:col min="2318" max="2319" width="9.5703125" bestFit="1" customWidth="1"/>
    <x:col min="2561" max="2561" width="21.42578125" bestFit="1" customWidth="1"/>
    <x:col min="2562" max="2562" width="10.85546875" bestFit="1" customWidth="1"/>
    <x:col min="2563" max="2564" width="13.85546875" bestFit="1" customWidth="1"/>
    <x:col min="2565" max="2566" width="14.42578125" bestFit="1" customWidth="1"/>
    <x:col min="2567" max="2568" width="6.85546875" customWidth="1"/>
    <x:col min="2569" max="2569" width="14.28515625" customWidth="1"/>
    <x:col min="2570" max="2570" width="13.85546875" bestFit="1" customWidth="1"/>
    <x:col min="2571" max="2571" width="12.140625" bestFit="1" customWidth="1"/>
    <x:col min="2572" max="2572" width="41.7109375" bestFit="1" customWidth="1"/>
    <x:col min="2573" max="2573" width="47.7109375" bestFit="1" customWidth="1"/>
    <x:col min="2574" max="2575" width="9.5703125" bestFit="1" customWidth="1"/>
    <x:col min="2817" max="2817" width="21.42578125" bestFit="1" customWidth="1"/>
    <x:col min="2818" max="2818" width="10.85546875" bestFit="1" customWidth="1"/>
    <x:col min="2819" max="2820" width="13.85546875" bestFit="1" customWidth="1"/>
    <x:col min="2821" max="2822" width="14.42578125" bestFit="1" customWidth="1"/>
    <x:col min="2823" max="2824" width="6.85546875" customWidth="1"/>
    <x:col min="2825" max="2825" width="14.28515625" customWidth="1"/>
    <x:col min="2826" max="2826" width="13.85546875" bestFit="1" customWidth="1"/>
    <x:col min="2827" max="2827" width="12.140625" bestFit="1" customWidth="1"/>
    <x:col min="2828" max="2828" width="41.7109375" bestFit="1" customWidth="1"/>
    <x:col min="2829" max="2829" width="47.7109375" bestFit="1" customWidth="1"/>
    <x:col min="2830" max="2831" width="9.5703125" bestFit="1" customWidth="1"/>
    <x:col min="3073" max="3073" width="21.42578125" bestFit="1" customWidth="1"/>
    <x:col min="3074" max="3074" width="10.85546875" bestFit="1" customWidth="1"/>
    <x:col min="3075" max="3076" width="13.85546875" bestFit="1" customWidth="1"/>
    <x:col min="3077" max="3078" width="14.42578125" bestFit="1" customWidth="1"/>
    <x:col min="3079" max="3080" width="6.85546875" customWidth="1"/>
    <x:col min="3081" max="3081" width="14.28515625" customWidth="1"/>
    <x:col min="3082" max="3082" width="13.85546875" bestFit="1" customWidth="1"/>
    <x:col min="3083" max="3083" width="12.140625" bestFit="1" customWidth="1"/>
    <x:col min="3084" max="3084" width="41.7109375" bestFit="1" customWidth="1"/>
    <x:col min="3085" max="3085" width="47.7109375" bestFit="1" customWidth="1"/>
    <x:col min="3086" max="3087" width="9.5703125" bestFit="1" customWidth="1"/>
    <x:col min="3329" max="3329" width="21.42578125" bestFit="1" customWidth="1"/>
    <x:col min="3330" max="3330" width="10.85546875" bestFit="1" customWidth="1"/>
    <x:col min="3331" max="3332" width="13.85546875" bestFit="1" customWidth="1"/>
    <x:col min="3333" max="3334" width="14.42578125" bestFit="1" customWidth="1"/>
    <x:col min="3335" max="3336" width="6.85546875" customWidth="1"/>
    <x:col min="3337" max="3337" width="14.28515625" customWidth="1"/>
    <x:col min="3338" max="3338" width="13.85546875" bestFit="1" customWidth="1"/>
    <x:col min="3339" max="3339" width="12.140625" bestFit="1" customWidth="1"/>
    <x:col min="3340" max="3340" width="41.7109375" bestFit="1" customWidth="1"/>
    <x:col min="3341" max="3341" width="47.7109375" bestFit="1" customWidth="1"/>
    <x:col min="3342" max="3343" width="9.5703125" bestFit="1" customWidth="1"/>
    <x:col min="3585" max="3585" width="21.42578125" bestFit="1" customWidth="1"/>
    <x:col min="3586" max="3586" width="10.85546875" bestFit="1" customWidth="1"/>
    <x:col min="3587" max="3588" width="13.85546875" bestFit="1" customWidth="1"/>
    <x:col min="3589" max="3590" width="14.42578125" bestFit="1" customWidth="1"/>
    <x:col min="3591" max="3592" width="6.85546875" customWidth="1"/>
    <x:col min="3593" max="3593" width="14.28515625" customWidth="1"/>
    <x:col min="3594" max="3594" width="13.85546875" bestFit="1" customWidth="1"/>
    <x:col min="3595" max="3595" width="12.140625" bestFit="1" customWidth="1"/>
    <x:col min="3596" max="3596" width="41.7109375" bestFit="1" customWidth="1"/>
    <x:col min="3597" max="3597" width="47.7109375" bestFit="1" customWidth="1"/>
    <x:col min="3598" max="3599" width="9.5703125" bestFit="1" customWidth="1"/>
    <x:col min="3841" max="3841" width="21.42578125" bestFit="1" customWidth="1"/>
    <x:col min="3842" max="3842" width="10.85546875" bestFit="1" customWidth="1"/>
    <x:col min="3843" max="3844" width="13.85546875" bestFit="1" customWidth="1"/>
    <x:col min="3845" max="3846" width="14.42578125" bestFit="1" customWidth="1"/>
    <x:col min="3847" max="3848" width="6.85546875" customWidth="1"/>
    <x:col min="3849" max="3849" width="14.28515625" customWidth="1"/>
    <x:col min="3850" max="3850" width="13.85546875" bestFit="1" customWidth="1"/>
    <x:col min="3851" max="3851" width="12.140625" bestFit="1" customWidth="1"/>
    <x:col min="3852" max="3852" width="41.7109375" bestFit="1" customWidth="1"/>
    <x:col min="3853" max="3853" width="47.7109375" bestFit="1" customWidth="1"/>
    <x:col min="3854" max="3855" width="9.5703125" bestFit="1" customWidth="1"/>
    <x:col min="4097" max="4097" width="21.42578125" bestFit="1" customWidth="1"/>
    <x:col min="4098" max="4098" width="10.85546875" bestFit="1" customWidth="1"/>
    <x:col min="4099" max="4100" width="13.85546875" bestFit="1" customWidth="1"/>
    <x:col min="4101" max="4102" width="14.42578125" bestFit="1" customWidth="1"/>
    <x:col min="4103" max="4104" width="6.85546875" customWidth="1"/>
    <x:col min="4105" max="4105" width="14.28515625" customWidth="1"/>
    <x:col min="4106" max="4106" width="13.85546875" bestFit="1" customWidth="1"/>
    <x:col min="4107" max="4107" width="12.140625" bestFit="1" customWidth="1"/>
    <x:col min="4108" max="4108" width="41.7109375" bestFit="1" customWidth="1"/>
    <x:col min="4109" max="4109" width="47.7109375" bestFit="1" customWidth="1"/>
    <x:col min="4110" max="4111" width="9.5703125" bestFit="1" customWidth="1"/>
    <x:col min="4353" max="4353" width="21.42578125" bestFit="1" customWidth="1"/>
    <x:col min="4354" max="4354" width="10.85546875" bestFit="1" customWidth="1"/>
    <x:col min="4355" max="4356" width="13.85546875" bestFit="1" customWidth="1"/>
    <x:col min="4357" max="4358" width="14.42578125" bestFit="1" customWidth="1"/>
    <x:col min="4359" max="4360" width="6.85546875" customWidth="1"/>
    <x:col min="4361" max="4361" width="14.28515625" customWidth="1"/>
    <x:col min="4362" max="4362" width="13.85546875" bestFit="1" customWidth="1"/>
    <x:col min="4363" max="4363" width="12.140625" bestFit="1" customWidth="1"/>
    <x:col min="4364" max="4364" width="41.7109375" bestFit="1" customWidth="1"/>
    <x:col min="4365" max="4365" width="47.7109375" bestFit="1" customWidth="1"/>
    <x:col min="4366" max="4367" width="9.5703125" bestFit="1" customWidth="1"/>
    <x:col min="4609" max="4609" width="21.42578125" bestFit="1" customWidth="1"/>
    <x:col min="4610" max="4610" width="10.85546875" bestFit="1" customWidth="1"/>
    <x:col min="4611" max="4612" width="13.85546875" bestFit="1" customWidth="1"/>
    <x:col min="4613" max="4614" width="14.42578125" bestFit="1" customWidth="1"/>
    <x:col min="4615" max="4616" width="6.85546875" customWidth="1"/>
    <x:col min="4617" max="4617" width="14.28515625" customWidth="1"/>
    <x:col min="4618" max="4618" width="13.85546875" bestFit="1" customWidth="1"/>
    <x:col min="4619" max="4619" width="12.140625" bestFit="1" customWidth="1"/>
    <x:col min="4620" max="4620" width="41.7109375" bestFit="1" customWidth="1"/>
    <x:col min="4621" max="4621" width="47.7109375" bestFit="1" customWidth="1"/>
    <x:col min="4622" max="4623" width="9.5703125" bestFit="1" customWidth="1"/>
    <x:col min="4865" max="4865" width="21.42578125" bestFit="1" customWidth="1"/>
    <x:col min="4866" max="4866" width="10.85546875" bestFit="1" customWidth="1"/>
    <x:col min="4867" max="4868" width="13.85546875" bestFit="1" customWidth="1"/>
    <x:col min="4869" max="4870" width="14.42578125" bestFit="1" customWidth="1"/>
    <x:col min="4871" max="4872" width="6.85546875" customWidth="1"/>
    <x:col min="4873" max="4873" width="14.28515625" customWidth="1"/>
    <x:col min="4874" max="4874" width="13.85546875" bestFit="1" customWidth="1"/>
    <x:col min="4875" max="4875" width="12.140625" bestFit="1" customWidth="1"/>
    <x:col min="4876" max="4876" width="41.7109375" bestFit="1" customWidth="1"/>
    <x:col min="4877" max="4877" width="47.7109375" bestFit="1" customWidth="1"/>
    <x:col min="4878" max="4879" width="9.5703125" bestFit="1" customWidth="1"/>
    <x:col min="5121" max="5121" width="21.42578125" bestFit="1" customWidth="1"/>
    <x:col min="5122" max="5122" width="10.85546875" bestFit="1" customWidth="1"/>
    <x:col min="5123" max="5124" width="13.85546875" bestFit="1" customWidth="1"/>
    <x:col min="5125" max="5126" width="14.42578125" bestFit="1" customWidth="1"/>
    <x:col min="5127" max="5128" width="6.85546875" customWidth="1"/>
    <x:col min="5129" max="5129" width="14.28515625" customWidth="1"/>
    <x:col min="5130" max="5130" width="13.85546875" bestFit="1" customWidth="1"/>
    <x:col min="5131" max="5131" width="12.140625" bestFit="1" customWidth="1"/>
    <x:col min="5132" max="5132" width="41.7109375" bestFit="1" customWidth="1"/>
    <x:col min="5133" max="5133" width="47.7109375" bestFit="1" customWidth="1"/>
    <x:col min="5134" max="5135" width="9.5703125" bestFit="1" customWidth="1"/>
    <x:col min="5377" max="5377" width="21.42578125" bestFit="1" customWidth="1"/>
    <x:col min="5378" max="5378" width="10.85546875" bestFit="1" customWidth="1"/>
    <x:col min="5379" max="5380" width="13.85546875" bestFit="1" customWidth="1"/>
    <x:col min="5381" max="5382" width="14.42578125" bestFit="1" customWidth="1"/>
    <x:col min="5383" max="5384" width="6.85546875" customWidth="1"/>
    <x:col min="5385" max="5385" width="14.28515625" customWidth="1"/>
    <x:col min="5386" max="5386" width="13.85546875" bestFit="1" customWidth="1"/>
    <x:col min="5387" max="5387" width="12.140625" bestFit="1" customWidth="1"/>
    <x:col min="5388" max="5388" width="41.7109375" bestFit="1" customWidth="1"/>
    <x:col min="5389" max="5389" width="47.7109375" bestFit="1" customWidth="1"/>
    <x:col min="5390" max="5391" width="9.5703125" bestFit="1" customWidth="1"/>
    <x:col min="5633" max="5633" width="21.42578125" bestFit="1" customWidth="1"/>
    <x:col min="5634" max="5634" width="10.85546875" bestFit="1" customWidth="1"/>
    <x:col min="5635" max="5636" width="13.85546875" bestFit="1" customWidth="1"/>
    <x:col min="5637" max="5638" width="14.42578125" bestFit="1" customWidth="1"/>
    <x:col min="5639" max="5640" width="6.85546875" customWidth="1"/>
    <x:col min="5641" max="5641" width="14.28515625" customWidth="1"/>
    <x:col min="5642" max="5642" width="13.85546875" bestFit="1" customWidth="1"/>
    <x:col min="5643" max="5643" width="12.140625" bestFit="1" customWidth="1"/>
    <x:col min="5644" max="5644" width="41.7109375" bestFit="1" customWidth="1"/>
    <x:col min="5645" max="5645" width="47.7109375" bestFit="1" customWidth="1"/>
    <x:col min="5646" max="5647" width="9.5703125" bestFit="1" customWidth="1"/>
    <x:col min="5889" max="5889" width="21.42578125" bestFit="1" customWidth="1"/>
    <x:col min="5890" max="5890" width="10.85546875" bestFit="1" customWidth="1"/>
    <x:col min="5891" max="5892" width="13.85546875" bestFit="1" customWidth="1"/>
    <x:col min="5893" max="5894" width="14.42578125" bestFit="1" customWidth="1"/>
    <x:col min="5895" max="5896" width="6.85546875" customWidth="1"/>
    <x:col min="5897" max="5897" width="14.28515625" customWidth="1"/>
    <x:col min="5898" max="5898" width="13.85546875" bestFit="1" customWidth="1"/>
    <x:col min="5899" max="5899" width="12.140625" bestFit="1" customWidth="1"/>
    <x:col min="5900" max="5900" width="41.7109375" bestFit="1" customWidth="1"/>
    <x:col min="5901" max="5901" width="47.7109375" bestFit="1" customWidth="1"/>
    <x:col min="5902" max="5903" width="9.5703125" bestFit="1" customWidth="1"/>
    <x:col min="6145" max="6145" width="21.42578125" bestFit="1" customWidth="1"/>
    <x:col min="6146" max="6146" width="10.85546875" bestFit="1" customWidth="1"/>
    <x:col min="6147" max="6148" width="13.85546875" bestFit="1" customWidth="1"/>
    <x:col min="6149" max="6150" width="14.42578125" bestFit="1" customWidth="1"/>
    <x:col min="6151" max="6152" width="6.85546875" customWidth="1"/>
    <x:col min="6153" max="6153" width="14.28515625" customWidth="1"/>
    <x:col min="6154" max="6154" width="13.85546875" bestFit="1" customWidth="1"/>
    <x:col min="6155" max="6155" width="12.140625" bestFit="1" customWidth="1"/>
    <x:col min="6156" max="6156" width="41.7109375" bestFit="1" customWidth="1"/>
    <x:col min="6157" max="6157" width="47.7109375" bestFit="1" customWidth="1"/>
    <x:col min="6158" max="6159" width="9.5703125" bestFit="1" customWidth="1"/>
    <x:col min="6401" max="6401" width="21.42578125" bestFit="1" customWidth="1"/>
    <x:col min="6402" max="6402" width="10.85546875" bestFit="1" customWidth="1"/>
    <x:col min="6403" max="6404" width="13.85546875" bestFit="1" customWidth="1"/>
    <x:col min="6405" max="6406" width="14.42578125" bestFit="1" customWidth="1"/>
    <x:col min="6407" max="6408" width="6.85546875" customWidth="1"/>
    <x:col min="6409" max="6409" width="14.28515625" customWidth="1"/>
    <x:col min="6410" max="6410" width="13.85546875" bestFit="1" customWidth="1"/>
    <x:col min="6411" max="6411" width="12.140625" bestFit="1" customWidth="1"/>
    <x:col min="6412" max="6412" width="41.7109375" bestFit="1" customWidth="1"/>
    <x:col min="6413" max="6413" width="47.7109375" bestFit="1" customWidth="1"/>
    <x:col min="6414" max="6415" width="9.5703125" bestFit="1" customWidth="1"/>
    <x:col min="6657" max="6657" width="21.42578125" bestFit="1" customWidth="1"/>
    <x:col min="6658" max="6658" width="10.85546875" bestFit="1" customWidth="1"/>
    <x:col min="6659" max="6660" width="13.85546875" bestFit="1" customWidth="1"/>
    <x:col min="6661" max="6662" width="14.42578125" bestFit="1" customWidth="1"/>
    <x:col min="6663" max="6664" width="6.85546875" customWidth="1"/>
    <x:col min="6665" max="6665" width="14.28515625" customWidth="1"/>
    <x:col min="6666" max="6666" width="13.85546875" bestFit="1" customWidth="1"/>
    <x:col min="6667" max="6667" width="12.140625" bestFit="1" customWidth="1"/>
    <x:col min="6668" max="6668" width="41.7109375" bestFit="1" customWidth="1"/>
    <x:col min="6669" max="6669" width="47.7109375" bestFit="1" customWidth="1"/>
    <x:col min="6670" max="6671" width="9.5703125" bestFit="1" customWidth="1"/>
    <x:col min="6913" max="6913" width="21.42578125" bestFit="1" customWidth="1"/>
    <x:col min="6914" max="6914" width="10.85546875" bestFit="1" customWidth="1"/>
    <x:col min="6915" max="6916" width="13.85546875" bestFit="1" customWidth="1"/>
    <x:col min="6917" max="6918" width="14.42578125" bestFit="1" customWidth="1"/>
    <x:col min="6919" max="6920" width="6.85546875" customWidth="1"/>
    <x:col min="6921" max="6921" width="14.28515625" customWidth="1"/>
    <x:col min="6922" max="6922" width="13.85546875" bestFit="1" customWidth="1"/>
    <x:col min="6923" max="6923" width="12.140625" bestFit="1" customWidth="1"/>
    <x:col min="6924" max="6924" width="41.7109375" bestFit="1" customWidth="1"/>
    <x:col min="6925" max="6925" width="47.7109375" bestFit="1" customWidth="1"/>
    <x:col min="6926" max="6927" width="9.5703125" bestFit="1" customWidth="1"/>
    <x:col min="7169" max="7169" width="21.42578125" bestFit="1" customWidth="1"/>
    <x:col min="7170" max="7170" width="10.85546875" bestFit="1" customWidth="1"/>
    <x:col min="7171" max="7172" width="13.85546875" bestFit="1" customWidth="1"/>
    <x:col min="7173" max="7174" width="14.42578125" bestFit="1" customWidth="1"/>
    <x:col min="7175" max="7176" width="6.85546875" customWidth="1"/>
    <x:col min="7177" max="7177" width="14.28515625" customWidth="1"/>
    <x:col min="7178" max="7178" width="13.85546875" bestFit="1" customWidth="1"/>
    <x:col min="7179" max="7179" width="12.140625" bestFit="1" customWidth="1"/>
    <x:col min="7180" max="7180" width="41.7109375" bestFit="1" customWidth="1"/>
    <x:col min="7181" max="7181" width="47.7109375" bestFit="1" customWidth="1"/>
    <x:col min="7182" max="7183" width="9.5703125" bestFit="1" customWidth="1"/>
    <x:col min="7425" max="7425" width="21.42578125" bestFit="1" customWidth="1"/>
    <x:col min="7426" max="7426" width="10.85546875" bestFit="1" customWidth="1"/>
    <x:col min="7427" max="7428" width="13.85546875" bestFit="1" customWidth="1"/>
    <x:col min="7429" max="7430" width="14.42578125" bestFit="1" customWidth="1"/>
    <x:col min="7431" max="7432" width="6.85546875" customWidth="1"/>
    <x:col min="7433" max="7433" width="14.28515625" customWidth="1"/>
    <x:col min="7434" max="7434" width="13.85546875" bestFit="1" customWidth="1"/>
    <x:col min="7435" max="7435" width="12.140625" bestFit="1" customWidth="1"/>
    <x:col min="7436" max="7436" width="41.7109375" bestFit="1" customWidth="1"/>
    <x:col min="7437" max="7437" width="47.7109375" bestFit="1" customWidth="1"/>
    <x:col min="7438" max="7439" width="9.5703125" bestFit="1" customWidth="1"/>
    <x:col min="7681" max="7681" width="21.42578125" bestFit="1" customWidth="1"/>
    <x:col min="7682" max="7682" width="10.85546875" bestFit="1" customWidth="1"/>
    <x:col min="7683" max="7684" width="13.85546875" bestFit="1" customWidth="1"/>
    <x:col min="7685" max="7686" width="14.42578125" bestFit="1" customWidth="1"/>
    <x:col min="7687" max="7688" width="6.85546875" customWidth="1"/>
    <x:col min="7689" max="7689" width="14.28515625" customWidth="1"/>
    <x:col min="7690" max="7690" width="13.85546875" bestFit="1" customWidth="1"/>
    <x:col min="7691" max="7691" width="12.140625" bestFit="1" customWidth="1"/>
    <x:col min="7692" max="7692" width="41.7109375" bestFit="1" customWidth="1"/>
    <x:col min="7693" max="7693" width="47.7109375" bestFit="1" customWidth="1"/>
    <x:col min="7694" max="7695" width="9.5703125" bestFit="1" customWidth="1"/>
    <x:col min="7937" max="7937" width="21.42578125" bestFit="1" customWidth="1"/>
    <x:col min="7938" max="7938" width="10.85546875" bestFit="1" customWidth="1"/>
    <x:col min="7939" max="7940" width="13.85546875" bestFit="1" customWidth="1"/>
    <x:col min="7941" max="7942" width="14.42578125" bestFit="1" customWidth="1"/>
    <x:col min="7943" max="7944" width="6.85546875" customWidth="1"/>
    <x:col min="7945" max="7945" width="14.28515625" customWidth="1"/>
    <x:col min="7946" max="7946" width="13.85546875" bestFit="1" customWidth="1"/>
    <x:col min="7947" max="7947" width="12.140625" bestFit="1" customWidth="1"/>
    <x:col min="7948" max="7948" width="41.7109375" bestFit="1" customWidth="1"/>
    <x:col min="7949" max="7949" width="47.7109375" bestFit="1" customWidth="1"/>
    <x:col min="7950" max="7951" width="9.5703125" bestFit="1" customWidth="1"/>
    <x:col min="8193" max="8193" width="21.42578125" bestFit="1" customWidth="1"/>
    <x:col min="8194" max="8194" width="10.85546875" bestFit="1" customWidth="1"/>
    <x:col min="8195" max="8196" width="13.85546875" bestFit="1" customWidth="1"/>
    <x:col min="8197" max="8198" width="14.42578125" bestFit="1" customWidth="1"/>
    <x:col min="8199" max="8200" width="6.85546875" customWidth="1"/>
    <x:col min="8201" max="8201" width="14.28515625" customWidth="1"/>
    <x:col min="8202" max="8202" width="13.85546875" bestFit="1" customWidth="1"/>
    <x:col min="8203" max="8203" width="12.140625" bestFit="1" customWidth="1"/>
    <x:col min="8204" max="8204" width="41.7109375" bestFit="1" customWidth="1"/>
    <x:col min="8205" max="8205" width="47.7109375" bestFit="1" customWidth="1"/>
    <x:col min="8206" max="8207" width="9.5703125" bestFit="1" customWidth="1"/>
    <x:col min="8449" max="8449" width="21.42578125" bestFit="1" customWidth="1"/>
    <x:col min="8450" max="8450" width="10.85546875" bestFit="1" customWidth="1"/>
    <x:col min="8451" max="8452" width="13.85546875" bestFit="1" customWidth="1"/>
    <x:col min="8453" max="8454" width="14.42578125" bestFit="1" customWidth="1"/>
    <x:col min="8455" max="8456" width="6.85546875" customWidth="1"/>
    <x:col min="8457" max="8457" width="14.28515625" customWidth="1"/>
    <x:col min="8458" max="8458" width="13.85546875" bestFit="1" customWidth="1"/>
    <x:col min="8459" max="8459" width="12.140625" bestFit="1" customWidth="1"/>
    <x:col min="8460" max="8460" width="41.7109375" bestFit="1" customWidth="1"/>
    <x:col min="8461" max="8461" width="47.7109375" bestFit="1" customWidth="1"/>
    <x:col min="8462" max="8463" width="9.5703125" bestFit="1" customWidth="1"/>
    <x:col min="8705" max="8705" width="21.42578125" bestFit="1" customWidth="1"/>
    <x:col min="8706" max="8706" width="10.85546875" bestFit="1" customWidth="1"/>
    <x:col min="8707" max="8708" width="13.85546875" bestFit="1" customWidth="1"/>
    <x:col min="8709" max="8710" width="14.42578125" bestFit="1" customWidth="1"/>
    <x:col min="8711" max="8712" width="6.85546875" customWidth="1"/>
    <x:col min="8713" max="8713" width="14.28515625" customWidth="1"/>
    <x:col min="8714" max="8714" width="13.85546875" bestFit="1" customWidth="1"/>
    <x:col min="8715" max="8715" width="12.140625" bestFit="1" customWidth="1"/>
    <x:col min="8716" max="8716" width="41.7109375" bestFit="1" customWidth="1"/>
    <x:col min="8717" max="8717" width="47.7109375" bestFit="1" customWidth="1"/>
    <x:col min="8718" max="8719" width="9.5703125" bestFit="1" customWidth="1"/>
    <x:col min="8961" max="8961" width="21.42578125" bestFit="1" customWidth="1"/>
    <x:col min="8962" max="8962" width="10.85546875" bestFit="1" customWidth="1"/>
    <x:col min="8963" max="8964" width="13.85546875" bestFit="1" customWidth="1"/>
    <x:col min="8965" max="8966" width="14.42578125" bestFit="1" customWidth="1"/>
    <x:col min="8967" max="8968" width="6.85546875" customWidth="1"/>
    <x:col min="8969" max="8969" width="14.28515625" customWidth="1"/>
    <x:col min="8970" max="8970" width="13.85546875" bestFit="1" customWidth="1"/>
    <x:col min="8971" max="8971" width="12.140625" bestFit="1" customWidth="1"/>
    <x:col min="8972" max="8972" width="41.7109375" bestFit="1" customWidth="1"/>
    <x:col min="8973" max="8973" width="47.7109375" bestFit="1" customWidth="1"/>
    <x:col min="8974" max="8975" width="9.5703125" bestFit="1" customWidth="1"/>
    <x:col min="9217" max="9217" width="21.42578125" bestFit="1" customWidth="1"/>
    <x:col min="9218" max="9218" width="10.85546875" bestFit="1" customWidth="1"/>
    <x:col min="9219" max="9220" width="13.85546875" bestFit="1" customWidth="1"/>
    <x:col min="9221" max="9222" width="14.42578125" bestFit="1" customWidth="1"/>
    <x:col min="9223" max="9224" width="6.85546875" customWidth="1"/>
    <x:col min="9225" max="9225" width="14.28515625" customWidth="1"/>
    <x:col min="9226" max="9226" width="13.85546875" bestFit="1" customWidth="1"/>
    <x:col min="9227" max="9227" width="12.140625" bestFit="1" customWidth="1"/>
    <x:col min="9228" max="9228" width="41.7109375" bestFit="1" customWidth="1"/>
    <x:col min="9229" max="9229" width="47.7109375" bestFit="1" customWidth="1"/>
    <x:col min="9230" max="9231" width="9.5703125" bestFit="1" customWidth="1"/>
    <x:col min="9473" max="9473" width="21.42578125" bestFit="1" customWidth="1"/>
    <x:col min="9474" max="9474" width="10.85546875" bestFit="1" customWidth="1"/>
    <x:col min="9475" max="9476" width="13.85546875" bestFit="1" customWidth="1"/>
    <x:col min="9477" max="9478" width="14.42578125" bestFit="1" customWidth="1"/>
    <x:col min="9479" max="9480" width="6.85546875" customWidth="1"/>
    <x:col min="9481" max="9481" width="14.28515625" customWidth="1"/>
    <x:col min="9482" max="9482" width="13.85546875" bestFit="1" customWidth="1"/>
    <x:col min="9483" max="9483" width="12.140625" bestFit="1" customWidth="1"/>
    <x:col min="9484" max="9484" width="41.7109375" bestFit="1" customWidth="1"/>
    <x:col min="9485" max="9485" width="47.7109375" bestFit="1" customWidth="1"/>
    <x:col min="9486" max="9487" width="9.5703125" bestFit="1" customWidth="1"/>
    <x:col min="9729" max="9729" width="21.42578125" bestFit="1" customWidth="1"/>
    <x:col min="9730" max="9730" width="10.85546875" bestFit="1" customWidth="1"/>
    <x:col min="9731" max="9732" width="13.85546875" bestFit="1" customWidth="1"/>
    <x:col min="9733" max="9734" width="14.42578125" bestFit="1" customWidth="1"/>
    <x:col min="9735" max="9736" width="6.85546875" customWidth="1"/>
    <x:col min="9737" max="9737" width="14.28515625" customWidth="1"/>
    <x:col min="9738" max="9738" width="13.85546875" bestFit="1" customWidth="1"/>
    <x:col min="9739" max="9739" width="12.140625" bestFit="1" customWidth="1"/>
    <x:col min="9740" max="9740" width="41.7109375" bestFit="1" customWidth="1"/>
    <x:col min="9741" max="9741" width="47.7109375" bestFit="1" customWidth="1"/>
    <x:col min="9742" max="9743" width="9.5703125" bestFit="1" customWidth="1"/>
    <x:col min="9985" max="9985" width="21.42578125" bestFit="1" customWidth="1"/>
    <x:col min="9986" max="9986" width="10.85546875" bestFit="1" customWidth="1"/>
    <x:col min="9987" max="9988" width="13.85546875" bestFit="1" customWidth="1"/>
    <x:col min="9989" max="9990" width="14.42578125" bestFit="1" customWidth="1"/>
    <x:col min="9991" max="9992" width="6.85546875" customWidth="1"/>
    <x:col min="9993" max="9993" width="14.28515625" customWidth="1"/>
    <x:col min="9994" max="9994" width="13.85546875" bestFit="1" customWidth="1"/>
    <x:col min="9995" max="9995" width="12.140625" bestFit="1" customWidth="1"/>
    <x:col min="9996" max="9996" width="41.7109375" bestFit="1" customWidth="1"/>
    <x:col min="9997" max="9997" width="47.7109375" bestFit="1" customWidth="1"/>
    <x:col min="9998" max="9999" width="9.5703125" bestFit="1" customWidth="1"/>
    <x:col min="10241" max="10241" width="21.42578125" bestFit="1" customWidth="1"/>
    <x:col min="10242" max="10242" width="10.85546875" bestFit="1" customWidth="1"/>
    <x:col min="10243" max="10244" width="13.85546875" bestFit="1" customWidth="1"/>
    <x:col min="10245" max="10246" width="14.42578125" bestFit="1" customWidth="1"/>
    <x:col min="10247" max="10248" width="6.85546875" customWidth="1"/>
    <x:col min="10249" max="10249" width="14.28515625" customWidth="1"/>
    <x:col min="10250" max="10250" width="13.85546875" bestFit="1" customWidth="1"/>
    <x:col min="10251" max="10251" width="12.140625" bestFit="1" customWidth="1"/>
    <x:col min="10252" max="10252" width="41.7109375" bestFit="1" customWidth="1"/>
    <x:col min="10253" max="10253" width="47.7109375" bestFit="1" customWidth="1"/>
    <x:col min="10254" max="10255" width="9.5703125" bestFit="1" customWidth="1"/>
    <x:col min="10497" max="10497" width="21.42578125" bestFit="1" customWidth="1"/>
    <x:col min="10498" max="10498" width="10.85546875" bestFit="1" customWidth="1"/>
    <x:col min="10499" max="10500" width="13.85546875" bestFit="1" customWidth="1"/>
    <x:col min="10501" max="10502" width="14.42578125" bestFit="1" customWidth="1"/>
    <x:col min="10503" max="10504" width="6.85546875" customWidth="1"/>
    <x:col min="10505" max="10505" width="14.28515625" customWidth="1"/>
    <x:col min="10506" max="10506" width="13.85546875" bestFit="1" customWidth="1"/>
    <x:col min="10507" max="10507" width="12.140625" bestFit="1" customWidth="1"/>
    <x:col min="10508" max="10508" width="41.7109375" bestFit="1" customWidth="1"/>
    <x:col min="10509" max="10509" width="47.7109375" bestFit="1" customWidth="1"/>
    <x:col min="10510" max="10511" width="9.5703125" bestFit="1" customWidth="1"/>
    <x:col min="10753" max="10753" width="21.42578125" bestFit="1" customWidth="1"/>
    <x:col min="10754" max="10754" width="10.85546875" bestFit="1" customWidth="1"/>
    <x:col min="10755" max="10756" width="13.85546875" bestFit="1" customWidth="1"/>
    <x:col min="10757" max="10758" width="14.42578125" bestFit="1" customWidth="1"/>
    <x:col min="10759" max="10760" width="6.85546875" customWidth="1"/>
    <x:col min="10761" max="10761" width="14.28515625" customWidth="1"/>
    <x:col min="10762" max="10762" width="13.85546875" bestFit="1" customWidth="1"/>
    <x:col min="10763" max="10763" width="12.140625" bestFit="1" customWidth="1"/>
    <x:col min="10764" max="10764" width="41.7109375" bestFit="1" customWidth="1"/>
    <x:col min="10765" max="10765" width="47.7109375" bestFit="1" customWidth="1"/>
    <x:col min="10766" max="10767" width="9.5703125" bestFit="1" customWidth="1"/>
    <x:col min="11009" max="11009" width="21.42578125" bestFit="1" customWidth="1"/>
    <x:col min="11010" max="11010" width="10.85546875" bestFit="1" customWidth="1"/>
    <x:col min="11011" max="11012" width="13.85546875" bestFit="1" customWidth="1"/>
    <x:col min="11013" max="11014" width="14.42578125" bestFit="1" customWidth="1"/>
    <x:col min="11015" max="11016" width="6.85546875" customWidth="1"/>
    <x:col min="11017" max="11017" width="14.28515625" customWidth="1"/>
    <x:col min="11018" max="11018" width="13.85546875" bestFit="1" customWidth="1"/>
    <x:col min="11019" max="11019" width="12.140625" bestFit="1" customWidth="1"/>
    <x:col min="11020" max="11020" width="41.7109375" bestFit="1" customWidth="1"/>
    <x:col min="11021" max="11021" width="47.7109375" bestFit="1" customWidth="1"/>
    <x:col min="11022" max="11023" width="9.5703125" bestFit="1" customWidth="1"/>
    <x:col min="11265" max="11265" width="21.42578125" bestFit="1" customWidth="1"/>
    <x:col min="11266" max="11266" width="10.85546875" bestFit="1" customWidth="1"/>
    <x:col min="11267" max="11268" width="13.85546875" bestFit="1" customWidth="1"/>
    <x:col min="11269" max="11270" width="14.42578125" bestFit="1" customWidth="1"/>
    <x:col min="11271" max="11272" width="6.85546875" customWidth="1"/>
    <x:col min="11273" max="11273" width="14.28515625" customWidth="1"/>
    <x:col min="11274" max="11274" width="13.85546875" bestFit="1" customWidth="1"/>
    <x:col min="11275" max="11275" width="12.140625" bestFit="1" customWidth="1"/>
    <x:col min="11276" max="11276" width="41.7109375" bestFit="1" customWidth="1"/>
    <x:col min="11277" max="11277" width="47.7109375" bestFit="1" customWidth="1"/>
    <x:col min="11278" max="11279" width="9.5703125" bestFit="1" customWidth="1"/>
    <x:col min="11521" max="11521" width="21.42578125" bestFit="1" customWidth="1"/>
    <x:col min="11522" max="11522" width="10.85546875" bestFit="1" customWidth="1"/>
    <x:col min="11523" max="11524" width="13.85546875" bestFit="1" customWidth="1"/>
    <x:col min="11525" max="11526" width="14.42578125" bestFit="1" customWidth="1"/>
    <x:col min="11527" max="11528" width="6.85546875" customWidth="1"/>
    <x:col min="11529" max="11529" width="14.28515625" customWidth="1"/>
    <x:col min="11530" max="11530" width="13.85546875" bestFit="1" customWidth="1"/>
    <x:col min="11531" max="11531" width="12.140625" bestFit="1" customWidth="1"/>
    <x:col min="11532" max="11532" width="41.7109375" bestFit="1" customWidth="1"/>
    <x:col min="11533" max="11533" width="47.7109375" bestFit="1" customWidth="1"/>
    <x:col min="11534" max="11535" width="9.5703125" bestFit="1" customWidth="1"/>
    <x:col min="11777" max="11777" width="21.42578125" bestFit="1" customWidth="1"/>
    <x:col min="11778" max="11778" width="10.85546875" bestFit="1" customWidth="1"/>
    <x:col min="11779" max="11780" width="13.85546875" bestFit="1" customWidth="1"/>
    <x:col min="11781" max="11782" width="14.42578125" bestFit="1" customWidth="1"/>
    <x:col min="11783" max="11784" width="6.85546875" customWidth="1"/>
    <x:col min="11785" max="11785" width="14.28515625" customWidth="1"/>
    <x:col min="11786" max="11786" width="13.85546875" bestFit="1" customWidth="1"/>
    <x:col min="11787" max="11787" width="12.140625" bestFit="1" customWidth="1"/>
    <x:col min="11788" max="11788" width="41.7109375" bestFit="1" customWidth="1"/>
    <x:col min="11789" max="11789" width="47.7109375" bestFit="1" customWidth="1"/>
    <x:col min="11790" max="11791" width="9.5703125" bestFit="1" customWidth="1"/>
    <x:col min="12033" max="12033" width="21.42578125" bestFit="1" customWidth="1"/>
    <x:col min="12034" max="12034" width="10.85546875" bestFit="1" customWidth="1"/>
    <x:col min="12035" max="12036" width="13.85546875" bestFit="1" customWidth="1"/>
    <x:col min="12037" max="12038" width="14.42578125" bestFit="1" customWidth="1"/>
    <x:col min="12039" max="12040" width="6.85546875" customWidth="1"/>
    <x:col min="12041" max="12041" width="14.28515625" customWidth="1"/>
    <x:col min="12042" max="12042" width="13.85546875" bestFit="1" customWidth="1"/>
    <x:col min="12043" max="12043" width="12.140625" bestFit="1" customWidth="1"/>
    <x:col min="12044" max="12044" width="41.7109375" bestFit="1" customWidth="1"/>
    <x:col min="12045" max="12045" width="47.7109375" bestFit="1" customWidth="1"/>
    <x:col min="12046" max="12047" width="9.5703125" bestFit="1" customWidth="1"/>
    <x:col min="12289" max="12289" width="21.42578125" bestFit="1" customWidth="1"/>
    <x:col min="12290" max="12290" width="10.85546875" bestFit="1" customWidth="1"/>
    <x:col min="12291" max="12292" width="13.85546875" bestFit="1" customWidth="1"/>
    <x:col min="12293" max="12294" width="14.42578125" bestFit="1" customWidth="1"/>
    <x:col min="12295" max="12296" width="6.85546875" customWidth="1"/>
    <x:col min="12297" max="12297" width="14.28515625" customWidth="1"/>
    <x:col min="12298" max="12298" width="13.85546875" bestFit="1" customWidth="1"/>
    <x:col min="12299" max="12299" width="12.140625" bestFit="1" customWidth="1"/>
    <x:col min="12300" max="12300" width="41.7109375" bestFit="1" customWidth="1"/>
    <x:col min="12301" max="12301" width="47.7109375" bestFit="1" customWidth="1"/>
    <x:col min="12302" max="12303" width="9.5703125" bestFit="1" customWidth="1"/>
    <x:col min="12545" max="12545" width="21.42578125" bestFit="1" customWidth="1"/>
    <x:col min="12546" max="12546" width="10.85546875" bestFit="1" customWidth="1"/>
    <x:col min="12547" max="12548" width="13.85546875" bestFit="1" customWidth="1"/>
    <x:col min="12549" max="12550" width="14.42578125" bestFit="1" customWidth="1"/>
    <x:col min="12551" max="12552" width="6.85546875" customWidth="1"/>
    <x:col min="12553" max="12553" width="14.28515625" customWidth="1"/>
    <x:col min="12554" max="12554" width="13.85546875" bestFit="1" customWidth="1"/>
    <x:col min="12555" max="12555" width="12.140625" bestFit="1" customWidth="1"/>
    <x:col min="12556" max="12556" width="41.7109375" bestFit="1" customWidth="1"/>
    <x:col min="12557" max="12557" width="47.7109375" bestFit="1" customWidth="1"/>
    <x:col min="12558" max="12559" width="9.5703125" bestFit="1" customWidth="1"/>
    <x:col min="12801" max="12801" width="21.42578125" bestFit="1" customWidth="1"/>
    <x:col min="12802" max="12802" width="10.85546875" bestFit="1" customWidth="1"/>
    <x:col min="12803" max="12804" width="13.85546875" bestFit="1" customWidth="1"/>
    <x:col min="12805" max="12806" width="14.42578125" bestFit="1" customWidth="1"/>
    <x:col min="12807" max="12808" width="6.85546875" customWidth="1"/>
    <x:col min="12809" max="12809" width="14.28515625" customWidth="1"/>
    <x:col min="12810" max="12810" width="13.85546875" bestFit="1" customWidth="1"/>
    <x:col min="12811" max="12811" width="12.140625" bestFit="1" customWidth="1"/>
    <x:col min="12812" max="12812" width="41.7109375" bestFit="1" customWidth="1"/>
    <x:col min="12813" max="12813" width="47.7109375" bestFit="1" customWidth="1"/>
    <x:col min="12814" max="12815" width="9.5703125" bestFit="1" customWidth="1"/>
    <x:col min="13057" max="13057" width="21.42578125" bestFit="1" customWidth="1"/>
    <x:col min="13058" max="13058" width="10.85546875" bestFit="1" customWidth="1"/>
    <x:col min="13059" max="13060" width="13.85546875" bestFit="1" customWidth="1"/>
    <x:col min="13061" max="13062" width="14.42578125" bestFit="1" customWidth="1"/>
    <x:col min="13063" max="13064" width="6.85546875" customWidth="1"/>
    <x:col min="13065" max="13065" width="14.28515625" customWidth="1"/>
    <x:col min="13066" max="13066" width="13.85546875" bestFit="1" customWidth="1"/>
    <x:col min="13067" max="13067" width="12.140625" bestFit="1" customWidth="1"/>
    <x:col min="13068" max="13068" width="41.7109375" bestFit="1" customWidth="1"/>
    <x:col min="13069" max="13069" width="47.7109375" bestFit="1" customWidth="1"/>
    <x:col min="13070" max="13071" width="9.5703125" bestFit="1" customWidth="1"/>
    <x:col min="13313" max="13313" width="21.42578125" bestFit="1" customWidth="1"/>
    <x:col min="13314" max="13314" width="10.85546875" bestFit="1" customWidth="1"/>
    <x:col min="13315" max="13316" width="13.85546875" bestFit="1" customWidth="1"/>
    <x:col min="13317" max="13318" width="14.42578125" bestFit="1" customWidth="1"/>
    <x:col min="13319" max="13320" width="6.85546875" customWidth="1"/>
    <x:col min="13321" max="13321" width="14.28515625" customWidth="1"/>
    <x:col min="13322" max="13322" width="13.85546875" bestFit="1" customWidth="1"/>
    <x:col min="13323" max="13323" width="12.140625" bestFit="1" customWidth="1"/>
    <x:col min="13324" max="13324" width="41.7109375" bestFit="1" customWidth="1"/>
    <x:col min="13325" max="13325" width="47.7109375" bestFit="1" customWidth="1"/>
    <x:col min="13326" max="13327" width="9.5703125" bestFit="1" customWidth="1"/>
    <x:col min="13569" max="13569" width="21.42578125" bestFit="1" customWidth="1"/>
    <x:col min="13570" max="13570" width="10.85546875" bestFit="1" customWidth="1"/>
    <x:col min="13571" max="13572" width="13.85546875" bestFit="1" customWidth="1"/>
    <x:col min="13573" max="13574" width="14.42578125" bestFit="1" customWidth="1"/>
    <x:col min="13575" max="13576" width="6.85546875" customWidth="1"/>
    <x:col min="13577" max="13577" width="14.28515625" customWidth="1"/>
    <x:col min="13578" max="13578" width="13.85546875" bestFit="1" customWidth="1"/>
    <x:col min="13579" max="13579" width="12.140625" bestFit="1" customWidth="1"/>
    <x:col min="13580" max="13580" width="41.7109375" bestFit="1" customWidth="1"/>
    <x:col min="13581" max="13581" width="47.7109375" bestFit="1" customWidth="1"/>
    <x:col min="13582" max="13583" width="9.5703125" bestFit="1" customWidth="1"/>
    <x:col min="13825" max="13825" width="21.42578125" bestFit="1" customWidth="1"/>
    <x:col min="13826" max="13826" width="10.85546875" bestFit="1" customWidth="1"/>
    <x:col min="13827" max="13828" width="13.85546875" bestFit="1" customWidth="1"/>
    <x:col min="13829" max="13830" width="14.42578125" bestFit="1" customWidth="1"/>
    <x:col min="13831" max="13832" width="6.85546875" customWidth="1"/>
    <x:col min="13833" max="13833" width="14.28515625" customWidth="1"/>
    <x:col min="13834" max="13834" width="13.85546875" bestFit="1" customWidth="1"/>
    <x:col min="13835" max="13835" width="12.140625" bestFit="1" customWidth="1"/>
    <x:col min="13836" max="13836" width="41.7109375" bestFit="1" customWidth="1"/>
    <x:col min="13837" max="13837" width="47.7109375" bestFit="1" customWidth="1"/>
    <x:col min="13838" max="13839" width="9.5703125" bestFit="1" customWidth="1"/>
    <x:col min="14081" max="14081" width="21.42578125" bestFit="1" customWidth="1"/>
    <x:col min="14082" max="14082" width="10.85546875" bestFit="1" customWidth="1"/>
    <x:col min="14083" max="14084" width="13.85546875" bestFit="1" customWidth="1"/>
    <x:col min="14085" max="14086" width="14.42578125" bestFit="1" customWidth="1"/>
    <x:col min="14087" max="14088" width="6.85546875" customWidth="1"/>
    <x:col min="14089" max="14089" width="14.28515625" customWidth="1"/>
    <x:col min="14090" max="14090" width="13.85546875" bestFit="1" customWidth="1"/>
    <x:col min="14091" max="14091" width="12.140625" bestFit="1" customWidth="1"/>
    <x:col min="14092" max="14092" width="41.7109375" bestFit="1" customWidth="1"/>
    <x:col min="14093" max="14093" width="47.7109375" bestFit="1" customWidth="1"/>
    <x:col min="14094" max="14095" width="9.5703125" bestFit="1" customWidth="1"/>
    <x:col min="14337" max="14337" width="21.42578125" bestFit="1" customWidth="1"/>
    <x:col min="14338" max="14338" width="10.85546875" bestFit="1" customWidth="1"/>
    <x:col min="14339" max="14340" width="13.85546875" bestFit="1" customWidth="1"/>
    <x:col min="14341" max="14342" width="14.42578125" bestFit="1" customWidth="1"/>
    <x:col min="14343" max="14344" width="6.85546875" customWidth="1"/>
    <x:col min="14345" max="14345" width="14.28515625" customWidth="1"/>
    <x:col min="14346" max="14346" width="13.85546875" bestFit="1" customWidth="1"/>
    <x:col min="14347" max="14347" width="12.140625" bestFit="1" customWidth="1"/>
    <x:col min="14348" max="14348" width="41.7109375" bestFit="1" customWidth="1"/>
    <x:col min="14349" max="14349" width="47.7109375" bestFit="1" customWidth="1"/>
    <x:col min="14350" max="14351" width="9.5703125" bestFit="1" customWidth="1"/>
    <x:col min="14593" max="14593" width="21.42578125" bestFit="1" customWidth="1"/>
    <x:col min="14594" max="14594" width="10.85546875" bestFit="1" customWidth="1"/>
    <x:col min="14595" max="14596" width="13.85546875" bestFit="1" customWidth="1"/>
    <x:col min="14597" max="14598" width="14.42578125" bestFit="1" customWidth="1"/>
    <x:col min="14599" max="14600" width="6.85546875" customWidth="1"/>
    <x:col min="14601" max="14601" width="14.28515625" customWidth="1"/>
    <x:col min="14602" max="14602" width="13.85546875" bestFit="1" customWidth="1"/>
    <x:col min="14603" max="14603" width="12.140625" bestFit="1" customWidth="1"/>
    <x:col min="14604" max="14604" width="41.7109375" bestFit="1" customWidth="1"/>
    <x:col min="14605" max="14605" width="47.7109375" bestFit="1" customWidth="1"/>
    <x:col min="14606" max="14607" width="9.5703125" bestFit="1" customWidth="1"/>
    <x:col min="14849" max="14849" width="21.42578125" bestFit="1" customWidth="1"/>
    <x:col min="14850" max="14850" width="10.85546875" bestFit="1" customWidth="1"/>
    <x:col min="14851" max="14852" width="13.85546875" bestFit="1" customWidth="1"/>
    <x:col min="14853" max="14854" width="14.42578125" bestFit="1" customWidth="1"/>
    <x:col min="14855" max="14856" width="6.85546875" customWidth="1"/>
    <x:col min="14857" max="14857" width="14.28515625" customWidth="1"/>
    <x:col min="14858" max="14858" width="13.85546875" bestFit="1" customWidth="1"/>
    <x:col min="14859" max="14859" width="12.140625" bestFit="1" customWidth="1"/>
    <x:col min="14860" max="14860" width="41.7109375" bestFit="1" customWidth="1"/>
    <x:col min="14861" max="14861" width="47.7109375" bestFit="1" customWidth="1"/>
    <x:col min="14862" max="14863" width="9.5703125" bestFit="1" customWidth="1"/>
    <x:col min="15105" max="15105" width="21.42578125" bestFit="1" customWidth="1"/>
    <x:col min="15106" max="15106" width="10.85546875" bestFit="1" customWidth="1"/>
    <x:col min="15107" max="15108" width="13.85546875" bestFit="1" customWidth="1"/>
    <x:col min="15109" max="15110" width="14.42578125" bestFit="1" customWidth="1"/>
    <x:col min="15111" max="15112" width="6.85546875" customWidth="1"/>
    <x:col min="15113" max="15113" width="14.28515625" customWidth="1"/>
    <x:col min="15114" max="15114" width="13.85546875" bestFit="1" customWidth="1"/>
    <x:col min="15115" max="15115" width="12.140625" bestFit="1" customWidth="1"/>
    <x:col min="15116" max="15116" width="41.7109375" bestFit="1" customWidth="1"/>
    <x:col min="15117" max="15117" width="47.7109375" bestFit="1" customWidth="1"/>
    <x:col min="15118" max="15119" width="9.5703125" bestFit="1" customWidth="1"/>
    <x:col min="15361" max="15361" width="21.42578125" bestFit="1" customWidth="1"/>
    <x:col min="15362" max="15362" width="10.85546875" bestFit="1" customWidth="1"/>
    <x:col min="15363" max="15364" width="13.85546875" bestFit="1" customWidth="1"/>
    <x:col min="15365" max="15366" width="14.42578125" bestFit="1" customWidth="1"/>
    <x:col min="15367" max="15368" width="6.85546875" customWidth="1"/>
    <x:col min="15369" max="15369" width="14.28515625" customWidth="1"/>
    <x:col min="15370" max="15370" width="13.85546875" bestFit="1" customWidth="1"/>
    <x:col min="15371" max="15371" width="12.140625" bestFit="1" customWidth="1"/>
    <x:col min="15372" max="15372" width="41.7109375" bestFit="1" customWidth="1"/>
    <x:col min="15373" max="15373" width="47.7109375" bestFit="1" customWidth="1"/>
    <x:col min="15374" max="15375" width="9.5703125" bestFit="1" customWidth="1"/>
    <x:col min="15617" max="15617" width="21.42578125" bestFit="1" customWidth="1"/>
    <x:col min="15618" max="15618" width="10.85546875" bestFit="1" customWidth="1"/>
    <x:col min="15619" max="15620" width="13.85546875" bestFit="1" customWidth="1"/>
    <x:col min="15621" max="15622" width="14.42578125" bestFit="1" customWidth="1"/>
    <x:col min="15623" max="15624" width="6.85546875" customWidth="1"/>
    <x:col min="15625" max="15625" width="14.28515625" customWidth="1"/>
    <x:col min="15626" max="15626" width="13.85546875" bestFit="1" customWidth="1"/>
    <x:col min="15627" max="15627" width="12.140625" bestFit="1" customWidth="1"/>
    <x:col min="15628" max="15628" width="41.7109375" bestFit="1" customWidth="1"/>
    <x:col min="15629" max="15629" width="47.7109375" bestFit="1" customWidth="1"/>
    <x:col min="15630" max="15631" width="9.5703125" bestFit="1" customWidth="1"/>
    <x:col min="15873" max="15873" width="21.42578125" bestFit="1" customWidth="1"/>
    <x:col min="15874" max="15874" width="10.85546875" bestFit="1" customWidth="1"/>
    <x:col min="15875" max="15876" width="13.85546875" bestFit="1" customWidth="1"/>
    <x:col min="15877" max="15878" width="14.42578125" bestFit="1" customWidth="1"/>
    <x:col min="15879" max="15880" width="6.85546875" customWidth="1"/>
    <x:col min="15881" max="15881" width="14.28515625" customWidth="1"/>
    <x:col min="15882" max="15882" width="13.85546875" bestFit="1" customWidth="1"/>
    <x:col min="15883" max="15883" width="12.140625" bestFit="1" customWidth="1"/>
    <x:col min="15884" max="15884" width="41.7109375" bestFit="1" customWidth="1"/>
    <x:col min="15885" max="15885" width="47.7109375" bestFit="1" customWidth="1"/>
    <x:col min="15886" max="15887" width="9.5703125" bestFit="1" customWidth="1"/>
    <x:col min="16129" max="16129" width="21.42578125" bestFit="1" customWidth="1"/>
    <x:col min="16130" max="16130" width="10.85546875" bestFit="1" customWidth="1"/>
    <x:col min="16131" max="16132" width="13.85546875" bestFit="1" customWidth="1"/>
    <x:col min="16133" max="16134" width="14.42578125" bestFit="1" customWidth="1"/>
    <x:col min="16135" max="16136" width="6.85546875" customWidth="1"/>
    <x:col min="16137" max="16137" width="14.28515625" customWidth="1"/>
    <x:col min="16138" max="16138" width="13.85546875" bestFit="1" customWidth="1"/>
    <x:col min="16139" max="16139" width="12.140625" bestFit="1" customWidth="1"/>
    <x:col min="16140" max="16140" width="41.7109375" bestFit="1" customWidth="1"/>
    <x:col min="16141" max="16141" width="47.7109375" bestFit="1" customWidth="1"/>
    <x:col min="16142" max="16143" width="9.5703125" bestFit="1" customWidth="1"/>
  </x:cols>
  <x:sheetData>
    <x:row r="1" spans="1:12" x14ac:dyDescent="0.2">
      <x:c r="A1" s="1"/>
    </x:row>
    <x:row r="2" spans="1:12" x14ac:dyDescent="0.2">
      <x:c r="A2" s="1"/>
    </x:row>
    <x:row r="3" spans="1:12" x14ac:dyDescent="0.2">
      <x:c r="A3" s="2"/>
      <x:c r="B3" s="3"/>
      <x:c r="C3" s="3"/>
      <x:c r="D3" s="3"/>
      <x:c r="E3" s="3"/>
      <x:c r="F3" s="4"/>
    </x:row>
    <x:row r="4" spans="1:12" x14ac:dyDescent="0.2">
      <x:c r="A4" s="5" t="s">
        <x:v>0</x:v>
      </x:c>
      <x:c r="B4" s="6" t="s">
        <x:v>1</x:v>
      </x:c>
      <x:c r="C4" t="s">
        <x:v>2</x:v>
      </x:c>
      <x:c r="F4" s="7"/>
    </x:row>
    <x:row r="5" spans="1:12" x14ac:dyDescent="0.2">
      <x:c r="A5" s="8"/>
      <x:c r="F5" s="7"/>
    </x:row>
    <x:row r="6" spans="1:12" ht="15" x14ac:dyDescent="0.25">
      <x:c r="A6" s="9" t="s">
        <x:v>3</x:v>
      </x:c>
      <x:c r="B6" s="10"/>
      <x:c r="C6" s="11" t="s">
        <x:v>4</x:v>
      </x:c>
      <x:c r="D6" s="10"/>
      <x:c r="E6" s="10"/>
      <x:c r="F6" s="12"/>
      <x:c r="I6" s="13" t="s">
        <x:v>5</x:v>
      </x:c>
      <x:c r="J6" s="14"/>
      <x:c r="K6" s="14"/>
      <x:c r="L6" s="14"/>
    </x:row>
    <x:row r="7" spans="1:12" ht="15" x14ac:dyDescent="0.25">
      <x:c r="A7" s="9" t="s">
        <x:v>6</x:v>
      </x:c>
      <x:c r="B7" s="11" t="s">
        <x:v>7</x:v>
      </x:c>
      <x:c r="C7" s="11" t="s">
        <x:v>8</x:v>
      </x:c>
      <x:c r="D7" s="15" t="s">
        <x:v>9</x:v>
      </x:c>
      <x:c r="E7" s="15" t="s">
        <x:v>10</x:v>
      </x:c>
      <x:c r="F7" s="16" t="s">
        <x:v>11</x:v>
      </x:c>
      <x:c r="I7" s="17" t="s">
        <x:v>12</x:v>
      </x:c>
      <x:c r="J7" s="18" t="s">
        <x:v>10</x:v>
      </x:c>
      <x:c r="K7" s="18" t="s">
        <x:v>9</x:v>
      </x:c>
      <x:c r="L7" s="18" t="s">
        <x:v>13</x:v>
      </x:c>
    </x:row>
    <x:row r="8" spans="1:12" ht="15" x14ac:dyDescent="0.25">
      <x:c r="A8" s="9" t="s">
        <x:v>14</x:v>
      </x:c>
      <x:c r="B8" s="11" t="s">
        <x:v>15</x:v>
      </x:c>
      <x:c r="C8" s="19"/>
      <x:c r="D8" s="20">
        <x:v>267594.31</x:v>
      </x:c>
      <x:c r="E8" s="20">
        <x:v>2469281.85</x:v>
      </x:c>
      <x:c r="F8" s="21">
        <x:v>2736876.16</x:v>
      </x:c>
      <x:c r="I8" s="22" t="s">
        <x:v>16</x:v>
      </x:c>
      <x:c r="J8" s="23">
        <x:v>237511.67</x:v>
      </x:c>
      <x:c r="K8" s="23">
        <x:v>20821.669999999998</x:v>
      </x:c>
      <x:c r="L8" s="23">
        <x:f>SUM(J8:K8)</x:f>
        <x:v>258333.34000000003</x:v>
      </x:c>
    </x:row>
    <x:row r="9" spans="1:12" ht="15" x14ac:dyDescent="0.25">
      <x:c r="A9" s="9" t="s">
        <x:v>17</x:v>
      </x:c>
      <x:c r="B9" s="10"/>
      <x:c r="C9" s="19"/>
      <x:c r="D9" s="20">
        <x:v>267594.31</x:v>
      </x:c>
      <x:c r="E9" s="20">
        <x:v>2469281.85</x:v>
      </x:c>
      <x:c r="F9" s="21">
        <x:v>2736876.16</x:v>
      </x:c>
      <x:c r="I9" s="22" t="s">
        <x:v>18</x:v>
      </x:c>
      <x:c r="J9" s="23">
        <x:v>237511.67</x:v>
      </x:c>
      <x:c r="K9" s="23">
        <x:v>20821.669999999998</x:v>
      </x:c>
      <x:c r="L9" s="23">
        <x:f t="shared" ref="L9:L19" si="0">SUM(J9:K9)</x:f>
        <x:v>258333.34000000003</x:v>
      </x:c>
    </x:row>
    <x:row r="10" spans="1:12" ht="15" x14ac:dyDescent="0.25">
      <x:c r="A10" s="9" t="s">
        <x:v>19</x:v>
      </x:c>
      <x:c r="B10" s="11" t="s">
        <x:v>20</x:v>
      </x:c>
      <x:c r="C10" s="19"/>
      <x:c r="D10" s="20">
        <x:v>-249860.03999999992</x:v>
      </x:c>
      <x:c r="E10" s="20">
        <x:v>-2850140.0399999996</x:v>
      </x:c>
      <x:c r="F10" s="21">
        <x:v>-3100000.0799999996</x:v>
      </x:c>
      <x:c r="I10" s="22" t="s">
        <x:v>21</x:v>
      </x:c>
      <x:c r="J10" s="23">
        <x:v>237511.67</x:v>
      </x:c>
      <x:c r="K10" s="23">
        <x:v>20821.669999999998</x:v>
      </x:c>
      <x:c r="L10" s="23">
        <x:f t="shared" si="0"/>
        <x:v>258333.34000000003</x:v>
      </x:c>
    </x:row>
    <x:row r="11" spans="1:12" ht="15" x14ac:dyDescent="0.25">
      <x:c r="A11" s="9" t="s">
        <x:v>22</x:v>
      </x:c>
      <x:c r="B11" s="10"/>
      <x:c r="C11" s="19"/>
      <x:c r="D11" s="20">
        <x:v>-249860.03999999992</x:v>
      </x:c>
      <x:c r="E11" s="20">
        <x:v>-2850140.0399999996</x:v>
      </x:c>
      <x:c r="F11" s="21">
        <x:v>-3100000.0799999996</x:v>
      </x:c>
      <x:c r="I11" s="22" t="s">
        <x:v>23</x:v>
      </x:c>
      <x:c r="J11" s="23">
        <x:v>237511.67</x:v>
      </x:c>
      <x:c r="K11" s="23">
        <x:v>20821.669999999998</x:v>
      </x:c>
      <x:c r="L11" s="23">
        <x:f t="shared" si="0"/>
        <x:v>258333.34000000003</x:v>
      </x:c>
    </x:row>
    <x:row r="12" spans="1:12" ht="15" x14ac:dyDescent="0.25">
      <x:c r="A12" s="9" t="s">
        <x:v>24</x:v>
      </x:c>
      <x:c r="B12" s="11" t="s">
        <x:v>25</x:v>
      </x:c>
      <x:c r="C12" s="19">
        <x:v>-122642.04</x:v>
      </x:c>
      <x:c r="D12" s="20">
        <x:v>-111240.96000000001</x:v>
      </x:c>
      <x:c r="E12" s="20">
        <x:v>-1268797.08</x:v>
      </x:c>
      <x:c r="F12" s="21">
        <x:v>-1502680.08</x:v>
      </x:c>
      <x:c r="I12" s="22" t="s">
        <x:v>26</x:v>
      </x:c>
      <x:c r="J12" s="23">
        <x:v>237511.67</x:v>
      </x:c>
      <x:c r="K12" s="23">
        <x:v>20821.669999999998</x:v>
      </x:c>
      <x:c r="L12" s="23">
        <x:f t="shared" si="0"/>
        <x:v>258333.34000000003</x:v>
      </x:c>
    </x:row>
    <x:row r="13" spans="1:12" ht="15" x14ac:dyDescent="0.25">
      <x:c r="A13" s="9" t="s">
        <x:v>27</x:v>
      </x:c>
      <x:c r="B13" s="10"/>
      <x:c r="C13" s="19">
        <x:v>-122642.04</x:v>
      </x:c>
      <x:c r="D13" s="20">
        <x:v>-111240.96000000001</x:v>
      </x:c>
      <x:c r="E13" s="20">
        <x:v>-1268797.08</x:v>
      </x:c>
      <x:c r="F13" s="21">
        <x:v>-1502680.08</x:v>
      </x:c>
      <x:c r="I13" s="22" t="s">
        <x:v>28</x:v>
      </x:c>
      <x:c r="J13" s="23">
        <x:v>237511.67</x:v>
      </x:c>
      <x:c r="K13" s="23">
        <x:v>20821.669999999998</x:v>
      </x:c>
      <x:c r="L13" s="23">
        <x:f t="shared" si="0"/>
        <x:v>258333.34000000003</x:v>
      </x:c>
    </x:row>
    <x:row r="14" spans="1:12" ht="15" x14ac:dyDescent="0.25">
      <x:c r="A14" s="24" t="s">
        <x:v>11</x:v>
      </x:c>
      <x:c r="B14" s="25"/>
      <x:c r="C14" s="26">
        <x:v>-122642.04</x:v>
      </x:c>
      <x:c r="D14" s="27">
        <x:v>-93506.68999999993</x:v>
      </x:c>
      <x:c r="E14" s="27">
        <x:v>-1649655.2699999996</x:v>
      </x:c>
      <x:c r="F14" s="28">
        <x:v>-1865803.9999999995</x:v>
      </x:c>
      <x:c r="I14" s="22" t="s">
        <x:v>29</x:v>
      </x:c>
      <x:c r="J14" s="23">
        <x:v>237511.67</x:v>
      </x:c>
      <x:c r="K14" s="23">
        <x:v>20821.669999999998</x:v>
      </x:c>
      <x:c r="L14" s="23">
        <x:f t="shared" si="0"/>
        <x:v>258333.34000000003</x:v>
      </x:c>
    </x:row>
    <x:row r="15" spans="1:12" ht="15" x14ac:dyDescent="0.25">
      <x:c r="A15" s="29"/>
      <x:c r="B15" s="30"/>
      <x:c r="C15" s="30"/>
      <x:c r="D15" s="30"/>
      <x:c r="E15" s="30"/>
      <x:c r="F15" s="31"/>
      <x:c r="I15" s="22" t="s">
        <x:v>30</x:v>
      </x:c>
      <x:c r="J15" s="23">
        <x:v>237511.67</x:v>
      </x:c>
      <x:c r="K15" s="23">
        <x:v>20821.669999999998</x:v>
      </x:c>
      <x:c r="L15" s="23">
        <x:f t="shared" si="0"/>
        <x:v>258333.34000000003</x:v>
      </x:c>
    </x:row>
    <x:row r="16" spans="1:12" ht="15" x14ac:dyDescent="0.25">
      <x:c r="I16" s="22" t="s">
        <x:v>31</x:v>
      </x:c>
      <x:c r="J16" s="23">
        <x:v>237511.67</x:v>
      </x:c>
      <x:c r="K16" s="23">
        <x:v>20821.669999999998</x:v>
      </x:c>
      <x:c r="L16" s="23">
        <x:f t="shared" si="0"/>
        <x:v>258333.34000000003</x:v>
      </x:c>
    </x:row>
    <x:row r="17" spans="1:16" ht="15" x14ac:dyDescent="0.25">
      <x:c r="I17" s="22" t="s">
        <x:v>32</x:v>
      </x:c>
      <x:c r="J17" s="23">
        <x:v>237511.67</x:v>
      </x:c>
      <x:c r="K17" s="23">
        <x:v>20821.669999999998</x:v>
      </x:c>
      <x:c r="L17" s="23">
        <x:f t="shared" si="0"/>
        <x:v>258333.34000000003</x:v>
      </x:c>
    </x:row>
    <x:row r="18" spans="1:16" ht="15" x14ac:dyDescent="0.25">
      <x:c r="I18" s="22" t="s">
        <x:v>33</x:v>
      </x:c>
      <x:c r="J18" s="23">
        <x:v>237511.67</x:v>
      </x:c>
      <x:c r="K18" s="23">
        <x:v>20821.669999999998</x:v>
      </x:c>
      <x:c r="L18" s="23">
        <x:f t="shared" si="0"/>
        <x:v>258333.34000000003</x:v>
      </x:c>
    </x:row>
    <x:row r="19" spans="1:16" ht="15" x14ac:dyDescent="0.25">
      <x:c r="I19" s="22" t="s">
        <x:v>34</x:v>
      </x:c>
      <x:c r="J19" s="32">
        <x:v>237511.67</x:v>
      </x:c>
      <x:c r="K19" s="32">
        <x:v>20821.669999999998</x:v>
      </x:c>
      <x:c r="L19" s="32">
        <x:f t="shared" si="0"/>
        <x:v>258333.34000000003</x:v>
      </x:c>
    </x:row>
    <x:row r="20" spans="1:16" ht="15" x14ac:dyDescent="0.25">
      <x:c r="H20" s="33" t="s">
        <x:v>35</x:v>
      </x:c>
      <x:c r="I20" s="34" t="s">
        <x:v>36</x:v>
      </x:c>
      <x:c r="J20" s="35">
        <x:f>SUM(J8:J19)</x:f>
        <x:v>2850140.0399999996</x:v>
      </x:c>
      <x:c r="K20" s="35">
        <x:f>SUM(K8:K19)</x:f>
        <x:v>249860.03999999992</x:v>
      </x:c>
      <x:c r="L20" s="35">
        <x:f>SUM(L8:L19)</x:f>
        <x:v>3100000.08</x:v>
      </x:c>
    </x:row>
    <x:row r="21" spans="1:16" x14ac:dyDescent="0.2">
      <x:c r="J21" s="36"/>
      <x:c r="K21" s="36"/>
      <x:c r="L21" s="36"/>
    </x:row>
    <x:row r="22" spans="1:16" x14ac:dyDescent="0.2">
      <x:c r="I22" s="33" t="s">
        <x:v>37</x:v>
      </x:c>
      <x:c r="J22" s="37">
        <x:v>3200000</x:v>
      </x:c>
      <x:c r="K22" s="37">
        <x:v>300000</x:v>
      </x:c>
      <x:c r="L22" s="37">
        <x:f>SUM(J22:K22)</x:f>
        <x:v>3500000</x:v>
      </x:c>
      <x:c r="M22" s="1" t="s">
        <x:v>38</x:v>
      </x:c>
    </x:row>
    <x:row r="23" spans="1:16" x14ac:dyDescent="0.2">
      <x:c r="J23" s="38"/>
      <x:c r="K23" s="38"/>
      <x:c r="L23" s="38"/>
    </x:row>
    <x:row r="24" spans="1:16" s="39" customFormat="1" x14ac:dyDescent="0.2">
      <x:c r="I24" s="40" t="s">
        <x:v>39</x:v>
      </x:c>
      <x:c r="J24" s="41">
        <x:f>J22-J20</x:f>
        <x:v>349859.96000000043</x:v>
      </x:c>
      <x:c r="K24" s="41">
        <x:f>K22-K20</x:f>
        <x:v>50139.960000000079</x:v>
      </x:c>
      <x:c r="L24" s="41">
        <x:f>L22-L20</x:f>
        <x:v>399999.91999999993</x:v>
      </x:c>
      <x:c r="M24" s="39" t="s">
        <x:v>40</x:v>
      </x:c>
    </x:row>
    <x:row r="25" spans="1:16" s="42" customFormat="1" x14ac:dyDescent="0.2">
      <x:c r="K25" s="43" t="s">
        <x:v>41</x:v>
      </x:c>
      <x:c r="L25" s="43" t="s">
        <x:v>0</x:v>
      </x:c>
      <x:c r="M25" s="43" t="s">
        <x:v>42</x:v>
      </x:c>
      <x:c r="N25" s="43" t="s">
        <x:v>43</x:v>
      </x:c>
      <x:c r="O25" s="43" t="s">
        <x:v>44</x:v>
      </x:c>
    </x:row>
    <x:row r="26" spans="1:16" s="42" customFormat="1" x14ac:dyDescent="0.2">
      <x:c r="I26" s="44" t="s">
        <x:v>45</x:v>
      </x:c>
      <x:c r="J26" s="45">
        <x:f>J24</x:f>
        <x:v>349859.96000000043</x:v>
      </x:c>
      <x:c r="K26" s="46" t="s">
        <x:v>46</x:v>
      </x:c>
      <x:c r="L26" s="46" t="s">
        <x:v>47</x:v>
      </x:c>
      <x:c r="M26" s="46" t="s">
        <x:v>20</x:v>
      </x:c>
      <x:c r="N26" s="46" t="s">
        <x:v>19</x:v>
      </x:c>
      <x:c r="O26" s="46" t="s">
        <x:v>48</x:v>
      </x:c>
    </x:row>
    <x:row r="27" spans="1:16" s="42" customFormat="1" x14ac:dyDescent="0.2">
      <x:c r="L27" s="43" t="s">
        <x:v>41</x:v>
      </x:c>
      <x:c r="M27" s="43" t="s">
        <x:v>0</x:v>
      </x:c>
      <x:c r="N27" s="43" t="s">
        <x:v>42</x:v>
      </x:c>
      <x:c r="O27" s="43" t="s">
        <x:v>43</x:v>
      </x:c>
      <x:c r="P27" s="43"/>
    </x:row>
    <x:row r="28" spans="1:16" s="42" customFormat="1" x14ac:dyDescent="0.2">
      <x:c r="I28" s="47"/>
      <x:c r="J28" s="48" t="s">
        <x:v>49</x:v>
      </x:c>
      <x:c r="K28" s="45">
        <x:f>K24</x:f>
        <x:v>50139.960000000079</x:v>
      </x:c>
      <x:c r="L28" s="46" t="s">
        <x:v>50</x:v>
      </x:c>
      <x:c r="M28" s="46" t="s">
        <x:v>47</x:v>
      </x:c>
      <x:c r="N28" s="46" t="s">
        <x:v>20</x:v>
      </x:c>
      <x:c r="O28" s="46" t="s">
        <x:v>19</x:v>
      </x:c>
    </x:row>
    <x:row r="29" spans="1:16" s="42" customFormat="1" x14ac:dyDescent="0.2"/>
    <x:row r="30" spans="1:16" s="42" customFormat="1" x14ac:dyDescent="0.2">
      <x:c r="A30" s="47"/>
    </x:row>
  </x:sheetData>
  <x:pageMargins left="0.25" right="0.25" top="2" bottom="0.25" header="1" footer="0.3"/>
  <x:pageSetup scale="54" orientation="landscape" r:id="rId2"/>
  <x:headerFooter>
    <x:oddHeader>&amp;C&amp;"Arial,Bold"
ONCOR ELECTRIC DELIVERY COMPANY LLC
ADJ. FOR POWERLINE SAFETY (PURA SEC. 36.066) ACCRUAL BASED ON 2025 ESTIMATE
FOR THE TEST YEAR ENDING DECEMBER 31, 2024
SPONSOR: R. PRACHYL &amp;&amp; A. MACHOKA&amp;R&amp;"Arial,Bold"WP/II-D ADJUSTMENT/34
Page 2 of 2</x:oddHeader>
  </x:headerFooter>
</x:worksheet>
</file>

<file path=docProps/app.xml><?xml version="1.0" encoding="utf-8"?>
<ap:Properties xmlns:vt="http://schemas.openxmlformats.org/officeDocument/2006/docPropsVTypes" xmlns:ap="http://schemas.openxmlformats.org/officeDocument/2006/extended-properties"/>
</file>

<file path=docProps/core.xml><?xml version="1.0" encoding="utf-8"?>
<coreProperties xmlns:dc="http://purl.org/dc/elements/1.1/" xmlns:dcterms="http://purl.org/dc/terms/" xmlns:xsi="http://www.w3.org/2001/XMLSchema-instance" xmlns="http://schemas.openxmlformats.org/package/2006/metadata/core-properties">
  <lastPrinted>1900-01-01T06:00:00.0000000Z</lastPrinted>
  <dcterms:created xsi:type="dcterms:W3CDTF">1900-01-01T06:00:00.0000000Z</dcterms:created>
  <dcterms:modified xsi:type="dcterms:W3CDTF">2025-04-29T16:05:59.0000000Z</dcterms:modified>
</coreProperties>
</file>