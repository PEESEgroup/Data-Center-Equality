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7CC72F3A-8E39-4A8E-8308-A4F69B718910}" xr6:coauthVersionLast="47" xr6:coauthVersionMax="47" xr10:uidLastSave="{00000000-0000-0000-0000-000000000000}"/>
  <x:bookViews>
    <x:workbookView xWindow="-120" yWindow="-120" windowWidth="29040" windowHeight="15720" xr2:uid="{602C1D8C-2D1A-4A08-9269-E927BE44B444}"/>
  </x:bookViews>
  <x:sheets>
    <x:sheet name="K&amp;M Adj" sheetId="1" r:id="rId1"/>
  </x:sheets>
  <x:calcPr calcId="191029" iterate="1"/>
  <x:pivotCaches>
    <x:pivotCache cacheId="21" r:id="rId2"/>
  </x:pivotCaches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J30" i="1" l="1"/>
  <x:c r="J39" i="1" s="1"/>
  <x:c r="I30" i="1"/>
  <x:c r="J25" i="1"/>
  <x:c r="K25" i="1" s="1"/>
  <x:c r="N25" i="1" s="1"/>
  <x:c r="I25" i="1"/>
  <x:c r="M39" i="1"/>
  <x:c r="M41" i="1" s="1"/>
  <x:c r="J18" i="1"/>
  <x:c r="K18" i="1" s="1"/>
  <x:c r="N18" i="1" s="1"/>
  <x:c r="I18" i="1"/>
  <x:c r="K11" i="1"/>
  <x:c r="N11" i="1" s="1"/>
  <x:c r="J11" i="1"/>
  <x:c r="I11" i="1"/>
  <x:c r="J7" i="1"/>
  <x:c r="K7" i="1" s="1"/>
  <x:c r="I7" i="1"/>
  <x:c r="N7" i="1" l="1"/>
  <x:c r="K30" i="1"/>
  <x:c r="N30" i="1" s="1"/>
  <x:c r="K39" i="1" l="1"/>
  <x:c r="N39" i="1"/>
  <x:c r="N41" i="1" s="1"/>
</x:calcChain>
</file>

<file path=xl/sharedStrings.xml><?xml version="1.0" encoding="utf-8"?>
<sst xmlns="http://schemas.openxmlformats.org/spreadsheetml/2006/main" count="59" uniqueCount="47">
  <si>
    <t>Year</t>
  </si>
  <si>
    <t>Remove Docket Nos. 53601 &amp; 56306 Rider MG and Rider WMG 2024 Operating Expenses related to 2024 billings</t>
  </si>
  <si>
    <t>EC</t>
  </si>
  <si>
    <t>065</t>
  </si>
  <si>
    <t>Updated Rider MG and Rider WMG approved in Docket No. 56306 on October 24, 2024 to bill each December calendar month.</t>
  </si>
  <si>
    <t>Sum of Sum Amount</t>
  </si>
  <si>
    <t>Column Labels</t>
  </si>
  <si>
    <t>23MGRCOS</t>
  </si>
  <si>
    <t>23MGRCOS Total</t>
  </si>
  <si>
    <t>MGR56306</t>
  </si>
  <si>
    <t>MGR56306 Total</t>
  </si>
  <si>
    <t>Grand Total</t>
  </si>
  <si>
    <t>EC 065</t>
  </si>
  <si>
    <t>K&amp;M Adj on</t>
  </si>
  <si>
    <t>Row Labels</t>
  </si>
  <si>
    <t>FERC Account</t>
  </si>
  <si>
    <t>2024 Test Year Amount</t>
  </si>
  <si>
    <t>K&amp;M Adjustment</t>
  </si>
  <si>
    <t>Sch II-E-4.1</t>
  </si>
  <si>
    <t>Sch II-D-1</t>
  </si>
  <si>
    <t>4031730</t>
  </si>
  <si>
    <t>0000991665</t>
  </si>
  <si>
    <t>Depreciation</t>
  </si>
  <si>
    <t>Over-Under Mobile Gen Rec</t>
  </si>
  <si>
    <t>5820000</t>
  </si>
  <si>
    <t>Contract Exp</t>
  </si>
  <si>
    <t>Material &amp; Supplies</t>
  </si>
  <si>
    <t>Oncor EE related Exp</t>
  </si>
  <si>
    <t>Registration fee</t>
  </si>
  <si>
    <t>5890000</t>
  </si>
  <si>
    <t>Ad valorem taxes</t>
  </si>
  <si>
    <t>Capital lease amortizion</t>
  </si>
  <si>
    <t>Capital lease interest</t>
  </si>
  <si>
    <t>Supporting equipment</t>
  </si>
  <si>
    <t>5920000</t>
  </si>
  <si>
    <t>Maintenance costs</t>
  </si>
  <si>
    <t>Mbl Gen maintenance</t>
  </si>
  <si>
    <t>9230000</t>
  </si>
  <si>
    <t>Legal Costs</t>
  </si>
  <si>
    <t>TY2021 5Yr amotzn acct reclass</t>
  </si>
  <si>
    <t>9280000</t>
  </si>
  <si>
    <t>TY2021 Reg Asset 5yr amtzn</t>
  </si>
  <si>
    <t>Docket No. 53601 (2022 rate case) Order on Rehearing pages 3-5, 25-28, and 67-68</t>
  </si>
  <si>
    <t>O&amp;M only</t>
  </si>
  <si>
    <t>Docket No. 53601 Approved Rider MG and WMG was effective for September 2023 and September 2024 billings</t>
  </si>
  <si>
    <t>Docket No. 56306 Order pages 11-13; additionally reference compliance tariffs filed October 29, 2024</t>
  </si>
  <si>
    <t>Docket No. 56306 Approved Rider MG and WMG billings effective to bill each December calendar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</si>
</sst>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&quot;-&quot;_);_(@_)"/>
  </numFmts>
  <fonts count="2" x14ac:knownFonts="1">
    <font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7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/>
    <xf numFmtId="0" fontId="0" fillId="0" borderId="0" xfId="0" applyAlignment="1">
      <alignment horizontal="right"/>
    </xf>
  </cellXfs>
  <cellStyles count="2">
    <cellStyle name="Currency" xfId="1" builtinId="4"/>
    <cellStyle name="Normal" xfId="0" builtinId="0"/>
  </cellStyles>
  <dxfs count="2">
    <dxf>
      <numFmt numFmtId="11" formatCode="&quot;$&quot;#,##0.00_);\(&quot;$&quot;#,##0.00\)"/>
    </dxf>
    <dxf>
      <numFmt numFmtId="165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2024%20Rate%20Case%20Support\K&amp;M%20Adjustments\K&amp;M%20Adjmts%20-%20First%20Draft\KM%20Adj%20-%20Remove%20Mob%20Generation%20Oper%20Exp%20for%202024%20Rider%20Billings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n-martin, Tracy" refreshedDate="45713.417708217596" createdVersion="7" refreshedVersion="7" minRefreshableVersion="3" recordCount="41" xr:uid="{6EB74C06-692C-491A-90BE-98F501CE6CE0}">
  <cacheSource type="worksheet">
    <worksheetSource ref="A2:AB43" sheet="All" r:id="rId2"/>
  </cacheSource>
  <cacheFields count="28">
    <cacheField name="Unit" numFmtId="0">
      <sharedItems/>
    </cacheField>
    <cacheField name="Ledger" numFmtId="0">
      <sharedItems/>
    </cacheField>
    <cacheField name="Year" numFmtId="0">
      <sharedItems containsSemiMixedTypes="0" containsString="0" containsNumber="1" containsInteger="1" minValue="2024" maxValue="2024" count="1">
        <n v="2024"/>
      </sharedItems>
    </cacheField>
    <cacheField name="Acct Type" numFmtId="0">
      <sharedItems/>
    </cacheField>
    <cacheField name="Period" numFmtId="0">
      <sharedItems containsSemiMixedTypes="0" containsString="0" containsNumber="1" containsInteger="1" minValue="9" maxValue="12" count="2">
        <n v="9"/>
        <n v="12"/>
      </sharedItems>
    </cacheField>
    <cacheField name="Account" numFmtId="0">
      <sharedItems count="20">
        <s v="4310100"/>
        <s v="5920000"/>
        <s v="9280000"/>
        <s v="5890000"/>
        <s v="4471069"/>
        <s v="4031730"/>
        <s v="4426016"/>
        <s v="4446016"/>
        <s v="5820000"/>
        <s v="4447016"/>
        <s v="4427016"/>
        <s v="4428216"/>
        <s v="9230000"/>
        <s v="4425016"/>
        <s v="4405016"/>
        <s v="4427216"/>
        <s v="4428016"/>
        <s v="4426216"/>
        <s v="4425216"/>
        <s v="4445016"/>
      </sharedItems>
    </cacheField>
    <cacheField name="Acct Descr" numFmtId="0">
      <sharedItems/>
    </cacheField>
    <cacheField name="Sum Amount" numFmtId="43">
      <sharedItems containsSemiMixedTypes="0" containsString="0" containsNumber="1" minValue="-201998.74" maxValue="2314078.16"/>
    </cacheField>
    <cacheField name="EC" numFmtId="0">
      <sharedItems count="2">
        <s v="065"/>
        <s v="049"/>
      </sharedItems>
    </cacheField>
    <cacheField name="EC Descr" numFmtId="0">
      <sharedItems/>
    </cacheField>
    <cacheField name="Short Desc" numFmtId="0">
      <sharedItems count="2">
        <s v="Grp 060"/>
        <s v="Grp 039"/>
      </sharedItems>
    </cacheField>
    <cacheField name="Source" numFmtId="0">
      <sharedItems/>
    </cacheField>
    <cacheField name="Date" numFmtId="14">
      <sharedItems containsSemiMixedTypes="0" containsNonDate="0" containsDate="1" containsString="0" minDate="2024-09-30T00:00:00" maxDate="2025-01-01T00:00:00"/>
    </cacheField>
    <cacheField name="Project" numFmtId="0">
      <sharedItems count="3">
        <s v="23MGRCOS"/>
        <s v="WMGDLS23"/>
        <s v="MGR56306"/>
      </sharedItems>
    </cacheField>
    <cacheField name="Journal ID" numFmtId="0">
      <sharedItems count="2">
        <s v="0000991665"/>
        <s v="0001007307"/>
      </sharedItems>
    </cacheField>
    <cacheField name="vend name" numFmtId="0">
      <sharedItems/>
    </cacheField>
    <cacheField name="voucher" numFmtId="0">
      <sharedItems containsBlank="1"/>
    </cacheField>
    <cacheField name="Descr" numFmtId="0">
      <sharedItems count="18">
        <s v="Debt cost above lease interest"/>
        <s v="Mbl Gen maintenance"/>
        <s v="TY2021 Reg Asset 5yr amtzn"/>
        <s v="Capital lease interest"/>
        <s v="Capital lease amortizion"/>
        <s v="Recl Whsl Mobile Gen Revenue"/>
        <s v="Over-Under Mobile Gen Rec"/>
        <s v="TY2021 5Yr amotzn acct reclass"/>
        <s v="Debt Int costs"/>
        <s v="Oncor EE related Exp"/>
        <s v="Depreciation"/>
        <s v="Ad valorem taxes"/>
        <s v="Legal Costs"/>
        <s v="Contract Exp"/>
        <s v="Material &amp; Supplies"/>
        <s v="Supporting equipment"/>
        <s v="Registration fee"/>
        <s v="Maintenance costs"/>
      </sharedItems>
    </cacheField>
    <cacheField name="vendor" numFmtId="0">
      <sharedItems containsNonDate="0" containsString="0" containsBlank="1"/>
    </cacheField>
    <cacheField name="invoice" numFmtId="0">
      <sharedItems containsNonDate="0" containsString="0" containsBlank="1"/>
    </cacheField>
    <cacheField name="Affiliate" numFmtId="0">
      <sharedItems containsNonDate="0" containsString="0" containsBlank="1"/>
    </cacheField>
    <cacheField name="Location" numFmtId="0">
      <sharedItems/>
    </cacheField>
    <cacheField name="Activity" numFmtId="0">
      <sharedItems/>
    </cacheField>
    <cacheField name="Voucher2" numFmtId="0">
      <sharedItems containsNonDate="0" containsString="0" containsBlank="1"/>
    </cacheField>
    <cacheField name="Dept" numFmtId="0">
      <sharedItems/>
    </cacheField>
    <cacheField name="Supplier" numFmtId="0">
      <sharedItems containsNonDate="0" containsString="0" containsBlank="1"/>
    </cacheField>
    <cacheField name="User 4" numFmtId="0">
      <sharedItems containsNonDate="0" containsString="0" containsBlank="1"/>
    </cacheField>
    <cacheField name="Descr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s v="ESD"/>
    <s v="ACTUALS"/>
    <x v="0"/>
    <s v="E"/>
    <x v="0"/>
    <x v="0"/>
    <s v="Int Exp - Other Interest Exp"/>
    <n v="26488.16"/>
    <x v="0"/>
    <s v="Regulatory Asset Amortization"/>
    <x v="0"/>
    <s v="UJE"/>
    <d v="2024-09-30T00:00:00"/>
    <x v="0"/>
    <x v="0"/>
    <s v="To amortize Test Year 2021 Mob"/>
    <s v="SEP 2024"/>
    <x v="0"/>
    <m/>
    <m/>
    <m/>
    <s v="0000"/>
    <s v="0000"/>
    <m/>
    <s v="521900"/>
    <m/>
    <m/>
    <s v="MblGenRecovery Sep 23 &amp; Sep 24"/>
  </r>
  <r>
    <s v="ESD"/>
    <s v="ACTUALS"/>
    <x v="0"/>
    <s v="E"/>
    <x v="0"/>
    <x v="1"/>
    <s v="O&amp;M - Maint-Station Equipment"/>
    <n v="48150"/>
    <x v="0"/>
    <s v="Regulatory Asset Amortization"/>
    <x v="0"/>
    <s v="UJE"/>
    <d v="2024-09-30T00:00:00"/>
    <x v="0"/>
    <x v="0"/>
    <s v="To amortize Test Year 2021 Mob"/>
    <s v="SEP 2024"/>
    <x v="1"/>
    <m/>
    <m/>
    <m/>
    <s v="0000"/>
    <s v="0000"/>
    <m/>
    <s v="521900"/>
    <m/>
    <m/>
    <s v="MblGenRecovery Sep 23 &amp; Sep 24"/>
  </r>
  <r>
    <s v="ESD"/>
    <s v="ACTUALS"/>
    <x v="0"/>
    <s v="E"/>
    <x v="0"/>
    <x v="2"/>
    <s v="O&amp;M - Regulatory Commisn Exp"/>
    <n v="5217.6000000000004"/>
    <x v="0"/>
    <s v="Regulatory Asset Amortization"/>
    <x v="0"/>
    <s v="UJE"/>
    <d v="2024-09-30T00:00:00"/>
    <x v="0"/>
    <x v="0"/>
    <s v="To amortize Test Year 2021 Mob"/>
    <s v="SEP 2024"/>
    <x v="2"/>
    <m/>
    <m/>
    <m/>
    <s v="0000"/>
    <s v="0000"/>
    <m/>
    <s v="521900"/>
    <m/>
    <m/>
    <s v="MblGenRecovery Sep 23 &amp; Sep 24"/>
  </r>
  <r>
    <s v="ESD"/>
    <s v="ACTUALS"/>
    <x v="0"/>
    <s v="E"/>
    <x v="0"/>
    <x v="3"/>
    <s v="O&amp;M - Rents expense"/>
    <n v="53630.79"/>
    <x v="0"/>
    <s v="Regulatory Asset Amortization"/>
    <x v="0"/>
    <s v="UJE"/>
    <d v="2024-09-30T00:00:00"/>
    <x v="0"/>
    <x v="0"/>
    <s v="To amortize Test Year 2021 Mob"/>
    <s v="SEP 2024"/>
    <x v="3"/>
    <m/>
    <m/>
    <m/>
    <s v="0000"/>
    <s v="0000"/>
    <m/>
    <s v="521900"/>
    <m/>
    <m/>
    <s v="MblGenRecovery Sep 23 &amp; Sep 24"/>
  </r>
  <r>
    <s v="ESD"/>
    <s v="ACTUALS"/>
    <x v="0"/>
    <s v="E"/>
    <x v="0"/>
    <x v="3"/>
    <s v="O&amp;M - Rents expense"/>
    <n v="449450"/>
    <x v="0"/>
    <s v="Regulatory Asset Amortization"/>
    <x v="0"/>
    <s v="UJE"/>
    <d v="2024-09-30T00:00:00"/>
    <x v="0"/>
    <x v="0"/>
    <s v="To amortize Test Year 2021 Mob"/>
    <s v="SEP 2024"/>
    <x v="4"/>
    <m/>
    <m/>
    <m/>
    <s v="0000"/>
    <s v="0000"/>
    <m/>
    <s v="521900"/>
    <m/>
    <m/>
    <s v="MblGenRecovery Sep 23 &amp; Sep 24"/>
  </r>
  <r>
    <s v="ESD"/>
    <s v="ACTUALS"/>
    <x v="0"/>
    <s v="R"/>
    <x v="0"/>
    <x v="4"/>
    <s v="Rev - Whsl-DLS-MblGen"/>
    <n v="-3525.88"/>
    <x v="1"/>
    <s v="Other Operating Revenues"/>
    <x v="1"/>
    <s v="UJE"/>
    <d v="2024-09-30T00:00:00"/>
    <x v="1"/>
    <x v="1"/>
    <s v="TO RECLASS WHOLESALE MOBILE GE"/>
    <m/>
    <x v="5"/>
    <m/>
    <m/>
    <m/>
    <s v="0000"/>
    <s v="0000"/>
    <m/>
    <s v="528400"/>
    <m/>
    <m/>
    <s v="Wholesale Mobil Gen DLS"/>
  </r>
  <r>
    <s v="ESD"/>
    <s v="ACTUALS"/>
    <x v="0"/>
    <s v="E"/>
    <x v="1"/>
    <x v="5"/>
    <s v="Depr Exp - Transportn Equip"/>
    <n v="866.67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6"/>
    <s v="Rev - Sm-Pri-MblGen"/>
    <n v="-1.86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7"/>
    <s v="Rev - MetLight-MblGen"/>
    <n v="-56.62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8"/>
    <s v="O&amp;M - Station Expenses"/>
    <n v="148508.60999999999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9"/>
    <s v="Rev - GuardLight-MblGen"/>
    <n v="-595.01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2"/>
    <s v="O&amp;M - Regulatory Commisn Exp"/>
    <n v="-5217.6000000000004"/>
    <x v="0"/>
    <s v="Regulatory Asset Amortization"/>
    <x v="0"/>
    <s v="UJE"/>
    <d v="2024-12-31T00:00:00"/>
    <x v="0"/>
    <x v="0"/>
    <s v="To amortize Approved Mobile Ge"/>
    <s v="SEP 2024"/>
    <x v="7"/>
    <m/>
    <m/>
    <m/>
    <s v="0000"/>
    <s v="0000"/>
    <m/>
    <s v="521900"/>
    <m/>
    <m/>
    <s v="MblGenRecovery Sep 23 &amp; Sep 24"/>
  </r>
  <r>
    <s v="ESD"/>
    <s v="ACTUALS"/>
    <x v="0"/>
    <s v="E"/>
    <x v="1"/>
    <x v="0"/>
    <s v="Int Exp - Other Interest Exp"/>
    <n v="184812.02"/>
    <x v="0"/>
    <s v="Regulatory Asset Amortization"/>
    <x v="0"/>
    <s v="UJE"/>
    <d v="2024-12-31T00:00:00"/>
    <x v="2"/>
    <x v="0"/>
    <s v="To amortize Approved Mobile Ge"/>
    <s v="DEC 2024"/>
    <x v="8"/>
    <m/>
    <m/>
    <m/>
    <s v="0000"/>
    <s v="4500"/>
    <m/>
    <s v="521900"/>
    <m/>
    <m/>
    <s v="Mobile Generation Cost Recover"/>
  </r>
  <r>
    <s v="ESD"/>
    <s v="ACTUALS"/>
    <x v="0"/>
    <s v="E"/>
    <x v="1"/>
    <x v="8"/>
    <s v="O&amp;M - Station Expenses"/>
    <n v="65930.31"/>
    <x v="0"/>
    <s v="Regulatory Asset Amortization"/>
    <x v="0"/>
    <s v="UJE"/>
    <d v="2024-12-31T00:00:00"/>
    <x v="2"/>
    <x v="0"/>
    <s v="To amortize Approved Mobile Ge"/>
    <s v="DEC 2024"/>
    <x v="9"/>
    <m/>
    <m/>
    <m/>
    <s v="0000"/>
    <s v="4500"/>
    <m/>
    <s v="521900"/>
    <m/>
    <m/>
    <s v="Mobile Generation Cost Recover"/>
  </r>
  <r>
    <s v="ESD"/>
    <s v="ACTUALS"/>
    <x v="0"/>
    <s v="R"/>
    <x v="1"/>
    <x v="10"/>
    <s v="Rev - Lg-Sec-MblGen"/>
    <n v="-88083.86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11"/>
    <s v="Rev - Lg Pri-NIDR-MblGen"/>
    <n v="-10509.85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4"/>
    <s v="Rev - Whsl-DLS-MblGen"/>
    <n v="-3625.97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12"/>
    <s v="O&amp;M - Outside Services Employd"/>
    <n v="5217.6000000000004"/>
    <x v="0"/>
    <s v="Regulatory Asset Amortization"/>
    <x v="0"/>
    <s v="UJE"/>
    <d v="2024-12-31T00:00:00"/>
    <x v="0"/>
    <x v="0"/>
    <s v="To amortize Approved Mobile Ge"/>
    <s v="SEP 2024"/>
    <x v="7"/>
    <m/>
    <m/>
    <m/>
    <s v="0000"/>
    <s v="0000"/>
    <m/>
    <s v="521900"/>
    <m/>
    <m/>
    <s v="MblGenRecovery Sep 23 &amp; Sep 24"/>
  </r>
  <r>
    <s v="ESD"/>
    <s v="ACTUALS"/>
    <x v="0"/>
    <s v="E"/>
    <x v="1"/>
    <x v="5"/>
    <s v="Depr Exp - Transportn Equip"/>
    <n v="15696.74"/>
    <x v="0"/>
    <s v="Regulatory Asset Amortization"/>
    <x v="0"/>
    <s v="UJE"/>
    <d v="2024-12-31T00:00:00"/>
    <x v="2"/>
    <x v="0"/>
    <s v="To amortize Approved Mobile Ge"/>
    <s v="DEC 2024"/>
    <x v="10"/>
    <m/>
    <m/>
    <m/>
    <s v="0000"/>
    <s v="4500"/>
    <m/>
    <s v="521900"/>
    <m/>
    <m/>
    <s v="Mobile Generation Cost Recover"/>
  </r>
  <r>
    <s v="ESD"/>
    <s v="ACTUALS"/>
    <x v="0"/>
    <s v="E"/>
    <x v="1"/>
    <x v="3"/>
    <s v="O&amp;M - Rents expense"/>
    <n v="325140.13"/>
    <x v="0"/>
    <s v="Regulatory Asset Amortization"/>
    <x v="0"/>
    <s v="UJE"/>
    <d v="2024-12-31T00:00:00"/>
    <x v="2"/>
    <x v="0"/>
    <s v="To amortize Approved Mobile Ge"/>
    <s v="DEC 2024"/>
    <x v="11"/>
    <m/>
    <m/>
    <m/>
    <s v="0000"/>
    <s v="4500"/>
    <m/>
    <s v="521900"/>
    <m/>
    <m/>
    <s v="Mobile Generation Cost Recover"/>
  </r>
  <r>
    <s v="ESD"/>
    <s v="ACTUALS"/>
    <x v="0"/>
    <s v="E"/>
    <x v="1"/>
    <x v="12"/>
    <s v="O&amp;M - Outside Services Employd"/>
    <n v="118764.56"/>
    <x v="0"/>
    <s v="Regulatory Asset Amortization"/>
    <x v="0"/>
    <s v="UJE"/>
    <d v="2024-12-31T00:00:00"/>
    <x v="2"/>
    <x v="0"/>
    <s v="To amortize Approved Mobile Ge"/>
    <s v="DEC 2024"/>
    <x v="12"/>
    <m/>
    <m/>
    <m/>
    <s v="0000"/>
    <s v="4500"/>
    <m/>
    <s v="521900"/>
    <m/>
    <m/>
    <s v="Mobile Generation Cost Recover"/>
  </r>
  <r>
    <s v="ESD"/>
    <s v="ACTUALS"/>
    <x v="0"/>
    <s v="R"/>
    <x v="1"/>
    <x v="13"/>
    <s v="Rev - Sm-Sec-MblGen"/>
    <n v="-3.4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3"/>
    <s v="O&amp;M - Rents expense"/>
    <n v="1447181.27"/>
    <x v="0"/>
    <s v="Regulatory Asset Amortization"/>
    <x v="0"/>
    <s v="UJE"/>
    <d v="2024-12-31T00:00:00"/>
    <x v="2"/>
    <x v="0"/>
    <s v="To amortize Approved Mobile Ge"/>
    <s v="DEC 2024"/>
    <x v="4"/>
    <m/>
    <m/>
    <m/>
    <s v="0000"/>
    <s v="4500"/>
    <m/>
    <s v="521900"/>
    <m/>
    <m/>
    <s v="Mobile Generation Cost Recover"/>
  </r>
  <r>
    <s v="ESD"/>
    <s v="ACTUALS"/>
    <x v="0"/>
    <s v="E"/>
    <x v="1"/>
    <x v="1"/>
    <s v="O&amp;M - Maint-Station Equipment"/>
    <n v="7344.79"/>
    <x v="0"/>
    <s v="Regulatory Asset Amortization"/>
    <x v="0"/>
    <s v="UJE"/>
    <d v="2024-12-31T00:00:00"/>
    <x v="2"/>
    <x v="0"/>
    <s v="To amortize Approved Mobile Ge"/>
    <s v="DEC 2024"/>
    <x v="1"/>
    <m/>
    <m/>
    <m/>
    <s v="0000"/>
    <s v="4500"/>
    <m/>
    <s v="521900"/>
    <m/>
    <m/>
    <s v="Mobile Generation Cost Recover"/>
  </r>
  <r>
    <s v="ESD"/>
    <s v="ACTUALS"/>
    <x v="0"/>
    <s v="E"/>
    <x v="1"/>
    <x v="8"/>
    <s v="O&amp;M - Station Expenses"/>
    <n v="2314078.16"/>
    <x v="0"/>
    <s v="Regulatory Asset Amortization"/>
    <x v="0"/>
    <s v="UJE"/>
    <d v="2024-12-31T00:00:00"/>
    <x v="2"/>
    <x v="0"/>
    <s v="To amortize Approved Mobile Ge"/>
    <s v="DEC 2024"/>
    <x v="13"/>
    <m/>
    <m/>
    <m/>
    <s v="0000"/>
    <s v="4500"/>
    <m/>
    <s v="521900"/>
    <m/>
    <m/>
    <s v="Mobile Generation Cost Recover"/>
  </r>
  <r>
    <s v="ESD"/>
    <s v="ACTUALS"/>
    <x v="0"/>
    <s v="E"/>
    <x v="1"/>
    <x v="8"/>
    <s v="O&amp;M - Station Expenses"/>
    <n v="218144.91"/>
    <x v="0"/>
    <s v="Regulatory Asset Amortization"/>
    <x v="0"/>
    <s v="UJE"/>
    <d v="2024-12-31T00:00:00"/>
    <x v="2"/>
    <x v="0"/>
    <s v="To amortize Approved Mobile Ge"/>
    <s v="DEC 2024"/>
    <x v="14"/>
    <m/>
    <m/>
    <m/>
    <s v="0000"/>
    <s v="4500"/>
    <m/>
    <s v="521900"/>
    <m/>
    <m/>
    <s v="Mobile Generation Cost Recover"/>
  </r>
  <r>
    <s v="ESD"/>
    <s v="ACTUALS"/>
    <x v="0"/>
    <s v="E"/>
    <x v="1"/>
    <x v="0"/>
    <s v="Int Exp - Other Interest Exp"/>
    <n v="16963.669999999998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1"/>
    <s v="O&amp;M - Maint-Station Equipment"/>
    <n v="-2678.15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14"/>
    <s v="Rev - Resi Sales-MblGen"/>
    <n v="99363.1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15"/>
    <s v="Rev - Lg-Sec-NIDR-MblGen"/>
    <n v="-201998.74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16"/>
    <s v="Rev - Lg-Pri-MblGen"/>
    <n v="-61906.53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3"/>
    <s v="O&amp;M - Rents expense"/>
    <n v="161140.29999999999"/>
    <x v="0"/>
    <s v="Regulatory Asset Amortization"/>
    <x v="0"/>
    <s v="UJE"/>
    <d v="2024-12-31T00:00:00"/>
    <x v="2"/>
    <x v="0"/>
    <s v="To amortize Approved Mobile Ge"/>
    <s v="DEC 2024"/>
    <x v="15"/>
    <m/>
    <m/>
    <m/>
    <s v="0000"/>
    <s v="4500"/>
    <m/>
    <s v="521900"/>
    <m/>
    <m/>
    <s v="Mobile Generation Cost Recover"/>
  </r>
  <r>
    <s v="ESD"/>
    <s v="ACTUALS"/>
    <x v="0"/>
    <s v="E"/>
    <x v="1"/>
    <x v="3"/>
    <s v="O&amp;M - Rents expense"/>
    <n v="110236.08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3"/>
    <s v="O&amp;M - Rents expense"/>
    <n v="63087.23"/>
    <x v="0"/>
    <s v="Regulatory Asset Amortization"/>
    <x v="0"/>
    <s v="UJE"/>
    <d v="2024-12-31T00:00:00"/>
    <x v="2"/>
    <x v="0"/>
    <s v="To amortize Approved Mobile Ge"/>
    <s v="DEC 2024"/>
    <x v="3"/>
    <m/>
    <m/>
    <m/>
    <s v="0000"/>
    <s v="4500"/>
    <m/>
    <s v="521900"/>
    <m/>
    <m/>
    <s v="Mobile Generation Cost Recover"/>
  </r>
  <r>
    <s v="ESD"/>
    <s v="ACTUALS"/>
    <x v="0"/>
    <s v="E"/>
    <x v="1"/>
    <x v="8"/>
    <s v="O&amp;M - Station Expenses"/>
    <n v="91571.34"/>
    <x v="0"/>
    <s v="Regulatory Asset Amortization"/>
    <x v="0"/>
    <s v="UJE"/>
    <d v="2024-12-31T00:00:00"/>
    <x v="2"/>
    <x v="0"/>
    <s v="To amortize Approved Mobile Ge"/>
    <s v="DEC 2024"/>
    <x v="16"/>
    <m/>
    <m/>
    <m/>
    <s v="0000"/>
    <s v="4500"/>
    <m/>
    <s v="521900"/>
    <m/>
    <m/>
    <s v="Mobile Generation Cost Recover"/>
  </r>
  <r>
    <s v="ESD"/>
    <s v="ACTUALS"/>
    <x v="0"/>
    <s v="E"/>
    <x v="1"/>
    <x v="1"/>
    <s v="O&amp;M - Maint-Station Equipment"/>
    <n v="-55850.28"/>
    <x v="0"/>
    <s v="Regulatory Asset Amortization"/>
    <x v="0"/>
    <s v="UJE"/>
    <d v="2024-12-31T00:00:00"/>
    <x v="2"/>
    <x v="0"/>
    <s v="To amortize Approved Mobile Ge"/>
    <s v="DEC 2024"/>
    <x v="17"/>
    <m/>
    <m/>
    <m/>
    <s v="0000"/>
    <s v="4500"/>
    <m/>
    <s v="521900"/>
    <m/>
    <m/>
    <s v="Mobile Generation Cost Recover"/>
  </r>
  <r>
    <s v="ESD"/>
    <s v="ACTUALS"/>
    <x v="0"/>
    <s v="R"/>
    <x v="1"/>
    <x v="17"/>
    <s v="Rev - Sm-Pri-NIDR-MblGen"/>
    <n v="-134.74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12"/>
    <s v="O&amp;M - Outside Services Employd"/>
    <n v="6557.38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18"/>
    <s v="Rev - Sm-Sec-NIDR-MblGen"/>
    <n v="-10996.6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R"/>
    <x v="1"/>
    <x v="19"/>
    <s v="Rev - UnmLight-MblGen"/>
    <n v="-1904.19"/>
    <x v="0"/>
    <s v="Regulatory Asset Amortization"/>
    <x v="0"/>
    <s v="UJE"/>
    <d v="2024-12-31T00:00:00"/>
    <x v="2"/>
    <x v="0"/>
    <s v="To amortize Approved Mobile Ge"/>
    <s v="DEC 2024"/>
    <x v="6"/>
    <m/>
    <m/>
    <m/>
    <s v="0000"/>
    <s v="4500"/>
    <m/>
    <s v="521900"/>
    <m/>
    <m/>
    <s v="Mobile Generation Cost Recover"/>
  </r>
  <r>
    <s v="ESD"/>
    <s v="ACTUALS"/>
    <x v="0"/>
    <s v="E"/>
    <x v="1"/>
    <x v="0"/>
    <s v="Int Exp - Other Interest Exp"/>
    <n v="122426.81"/>
    <x v="0"/>
    <s v="Regulatory Asset Amortization"/>
    <x v="0"/>
    <s v="UJE"/>
    <d v="2024-12-31T00:00:00"/>
    <x v="2"/>
    <x v="0"/>
    <s v="To amortize Approved Mobile Ge"/>
    <s v="DEC 2024"/>
    <x v="0"/>
    <m/>
    <m/>
    <m/>
    <s v="0000"/>
    <s v="4500"/>
    <m/>
    <s v="521900"/>
    <m/>
    <m/>
    <s v="Mobile Generation Cost Recov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x:pivotTableDefinition xmlns:x14="http://schemas.microsoft.com/office/spreadsheetml/2009/9/main" xmlns:xm="http://schemas.microsoft.com/office/excel/2006/main" xmlns:xpdl="http://schemas.microsoft.com/office/spreadsheetml/2016/pivotdefaultlayout" xmlns:mc="http://schemas.openxmlformats.org/markup-compatibility/2006" xmlns:xr="http://schemas.microsoft.com/office/spreadsheetml/2014/revision" xmlns:x="http://schemas.openxmlformats.org/spreadsheetml/2006/main" name="PivotTable2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xr:uid="{A9EE7034-D7DE-4F87-9A84-7A52119B2E51}" mc:Ignorable="xr">
  <x:location ref="A4:G39" firstHeaderRow="1" firstDataRow="3" firstDataCol="1" rowPageCount="2" colPageCount="1"/>
  <x:pivotFields count="28">
    <x:pivotField showAll="0"/>
    <x:pivotField showAll="0"/>
    <x:pivotField axis="axisPage" multipleItemSelectionAllowed="1" showAll="0">
      <x:items count="2">
        <x:item x="0"/>
        <x:item t="default"/>
      </x:items>
    </x:pivotField>
    <x:pivotField showAll="0"/>
    <x:pivotField axis="axisCol" showAll="0">
      <x:items count="3">
        <x:item x="0"/>
        <x:item x="1"/>
        <x:item t="default"/>
      </x:items>
    </x:pivotField>
    <x:pivotField axis="axisRow" multipleItemSelectionAllowed="1" showAll="0">
      <x:items count="21">
        <x:item x="5"/>
        <x:item h="1" x="0"/>
        <x:item h="1" x="14"/>
        <x:item h="1" x="13"/>
        <x:item h="1" x="18"/>
        <x:item h="1" x="6"/>
        <x:item h="1" x="17"/>
        <x:item h="1" x="10"/>
        <x:item h="1" x="15"/>
        <x:item h="1" x="16"/>
        <x:item h="1" x="11"/>
        <x:item h="1" x="19"/>
        <x:item h="1" x="7"/>
        <x:item h="1" x="9"/>
        <x:item h="1" x="4"/>
        <x:item x="8"/>
        <x:item x="3"/>
        <x:item x="1"/>
        <x:item x="12"/>
        <x:item x="2"/>
        <x:item t="default"/>
      </x:items>
    </x:pivotField>
    <x:pivotField showAll="0"/>
    <x:pivotField dataField="1" numFmtId="43" showAll="0"/>
    <x:pivotField axis="axisPage" multipleItemSelectionAllowed="1" showAll="0">
      <x:items count="3">
        <x:item h="1" x="1"/>
        <x:item x="0"/>
        <x:item t="default"/>
      </x:items>
    </x:pivotField>
    <x:pivotField showAll="0"/>
    <x:pivotField showAll="0">
      <x:items count="3">
        <x:item x="1"/>
        <x:item x="0"/>
        <x:item t="default"/>
      </x:items>
    </x:pivotField>
    <x:pivotField showAll="0"/>
    <x:pivotField numFmtId="14" showAll="0"/>
    <x:pivotField axis="axisCol" showAll="0">
      <x:items count="4">
        <x:item x="0"/>
        <x:item x="2"/>
        <x:item x="1"/>
        <x:item t="default"/>
      </x:items>
    </x:pivotField>
    <x:pivotField axis="axisRow" showAll="0">
      <x:items count="3">
        <x:item x="0"/>
        <x:item x="1"/>
        <x:item t="default"/>
      </x:items>
    </x:pivotField>
    <x:pivotField showAll="0"/>
    <x:pivotField showAll="0"/>
    <x:pivotField axis="axisRow" showAll="0">
      <x:items count="19">
        <x:item x="11"/>
        <x:item x="4"/>
        <x:item x="3"/>
        <x:item x="13"/>
        <x:item x="0"/>
        <x:item x="8"/>
        <x:item x="10"/>
        <x:item x="12"/>
        <x:item x="17"/>
        <x:item x="14"/>
        <x:item x="1"/>
        <x:item x="9"/>
        <x:item x="6"/>
        <x:item x="5"/>
        <x:item x="16"/>
        <x:item x="15"/>
        <x:item x="7"/>
        <x:item x="2"/>
        <x:item t="default"/>
      </x:items>
    </x:pivotField>
    <x:pivotField showAll="0"/>
    <x:pivotField showAll="0"/>
    <x:pivotField showAll="0"/>
    <x:pivotField showAll="0"/>
    <x:pivotField showAll="0"/>
    <x:pivotField showAll="0"/>
    <x:pivotField showAll="0"/>
    <x:pivotField showAll="0"/>
    <x:pivotField showAll="0"/>
    <x:pivotField showAll="0"/>
  </x:pivotFields>
  <x:rowFields count="3">
    <x:field x="5"/>
    <x:field x="14"/>
    <x:field x="17"/>
  </x:rowFields>
  <x:rowItems count="33">
    <x:i>
      <x:x/>
    </x:i>
    <x:i r="1">
      <x:x/>
    </x:i>
    <x:i r="2">
      <x:x v="6"/>
    </x:i>
    <x:i r="2">
      <x:x v="12"/>
    </x:i>
    <x:i>
      <x:x v="15"/>
    </x:i>
    <x:i r="1">
      <x:x/>
    </x:i>
    <x:i r="2">
      <x:x v="3"/>
    </x:i>
    <x:i r="2">
      <x:x v="9"/>
    </x:i>
    <x:i r="2">
      <x:x v="11"/>
    </x:i>
    <x:i r="2">
      <x:x v="12"/>
    </x:i>
    <x:i r="2">
      <x:x v="14"/>
    </x:i>
    <x:i>
      <x:x v="16"/>
    </x:i>
    <x:i r="1">
      <x:x/>
    </x:i>
    <x:i r="2">
      <x:x/>
    </x:i>
    <x:i r="2">
      <x:x v="1"/>
    </x:i>
    <x:i r="2">
      <x:x v="2"/>
    </x:i>
    <x:i r="2">
      <x:x v="12"/>
    </x:i>
    <x:i r="2">
      <x:x v="15"/>
    </x:i>
    <x:i>
      <x:x v="17"/>
    </x:i>
    <x:i r="1">
      <x:x/>
    </x:i>
    <x:i r="2">
      <x:x v="8"/>
    </x:i>
    <x:i r="2">
      <x:x v="10"/>
    </x:i>
    <x:i r="2">
      <x:x v="12"/>
    </x:i>
    <x:i>
      <x:x v="18"/>
    </x:i>
    <x:i r="1">
      <x:x/>
    </x:i>
    <x:i r="2">
      <x:x v="7"/>
    </x:i>
    <x:i r="2">
      <x:x v="12"/>
    </x:i>
    <x:i r="2">
      <x:x v="16"/>
    </x:i>
    <x:i>
      <x:x v="19"/>
    </x:i>
    <x:i r="1">
      <x:x/>
    </x:i>
    <x:i r="2">
      <x:x v="16"/>
    </x:i>
    <x:i r="2">
      <x:x v="17"/>
    </x:i>
    <x:i t="grand">
      <x:x/>
    </x:i>
  </x:rowItems>
  <x:colFields count="2">
    <x:field x="13"/>
    <x:field x="4"/>
  </x:colFields>
  <x:colItems count="6">
    <x:i>
      <x:x/>
      <x:x/>
    </x:i>
    <x:i r="1">
      <x:x v="1"/>
    </x:i>
    <x:i t="default">
      <x:x/>
    </x:i>
    <x:i>
      <x:x v="1"/>
      <x:x v="1"/>
    </x:i>
    <x:i t="default">
      <x:x v="1"/>
    </x:i>
    <x:i t="grand">
      <x:x/>
    </x:i>
  </x:colItems>
  <x:pageFields count="2">
    <x:pageField fld="2" hier="-1"/>
    <x:pageField fld="8" hier="-1"/>
  </x:pageFields>
  <x:dataFields count="1">
    <x:dataField name="Sum of Sum Amount" fld="7" baseField="17" baseItem="16" numFmtId="7"/>
  </x:dataFields>
  <x:formats count="2">
    <x:format dxfId="1">
      <x:pivotArea outline="0" collapsedLevelsAreSubtotals="1" fieldPosition="0"/>
    </x:format>
    <x:format dxfId="0">
      <x:pivotArea outline="0" fieldPosition="0">
        <x:references count="1">
          <x:reference field="4294967294" count="1">
            <x:x v="0"/>
          </x:reference>
        </x:references>
      </x:pivotArea>
    </x:format>
  </x:formats>
  <x:pivotTableStyleInfo name="PivotStyleLight16" showRowHeaders="1" showColHeaders="1" showRowStripes="0" showColStripes="0" showLastColumn="1"/>
  <x:extLst>
    <x:ext xmlns:x14="http://schemas.microsoft.com/office/spreadsheetml/2009/9/main" uri="{962EF5D1-5CA2-4c93-8EF4-DBF5C05439D2}">
      <x14:pivotTableDefinition xmlns:xm="http://schemas.microsoft.com/office/excel/2006/main" altText="" altTextSummary="" hideValuesRow="1"/>
    </x:ext>
    <x:ext xmlns:xpdl="http://schemas.microsoft.com/office/spreadsheetml/2016/pivotdefaultlayout" uri="{747A6164-185A-40DC-8AA5-F01512510D54}">
      <xpdl:pivotTableDefinition16/>
    </x:ext>
  </x:extLst>
</x: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pivotTable" Target="../pivotTables/pivotTable1.xml" Id="rId1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409A4C87-E9B8-4C9F-B83E-3F7F88E8EF55}" mc:Ignorable="x14ac xr xr2 xr3">
  <x:sheetPr>
    <x:pageSetUpPr fitToPage="1"/>
  </x:sheetPr>
  <x:dimension ref="A1:N44"/>
  <x:sheetViews>
    <x:sheetView tabSelected="1" zoomScaleNormal="100" workbookViewId="0">
      <x:selection activeCell="J31" sqref="J31"/>
    </x:sheetView>
  </x:sheetViews>
  <x:sheetFormatPr defaultRowHeight="15" x14ac:dyDescent="0.25"/>
  <x:cols>
    <x:col min="1" max="1" width="32.85546875" bestFit="1" customWidth="1"/>
    <x:col min="2" max="2" width="16.7109375" bestFit="1" customWidth="1"/>
    <x:col min="3" max="3" width="10.5703125" bestFit="1" customWidth="1"/>
    <x:col min="4" max="4" width="14.85546875" customWidth="1"/>
    <x:col min="5" max="5" width="13.5703125" bestFit="1" customWidth="1"/>
    <x:col min="6" max="6" width="14.85546875" customWidth="1"/>
    <x:col min="7" max="7" width="13.5703125" bestFit="1" customWidth="1"/>
    <x:col min="8" max="8" width="3.5703125" customWidth="1"/>
    <x:col min="9" max="9" width="12.28515625" bestFit="1" customWidth="1"/>
    <x:col min="10" max="10" width="20.42578125" bestFit="1" customWidth="1"/>
    <x:col min="11" max="11" width="15.5703125" bestFit="1" customWidth="1"/>
    <x:col min="12" max="12" width="3.28515625" customWidth="1"/>
    <x:col min="13" max="13" width="13.28515625" bestFit="1" customWidth="1"/>
    <x:col min="14" max="14" width="14.85546875" bestFit="1" customWidth="1"/>
  </x:cols>
  <x:sheetData>
    <x:row r="1" spans="1:14" x14ac:dyDescent="0.25">
      <x:c r="A1" t="s">
        <x:v>0</x:v>
      </x:c>
      <x:c r="B1" s="1">
        <x:v>2024</x:v>
      </x:c>
      <x:c r="D1" t="s">
        <x:v>1</x:v>
      </x:c>
    </x:row>
    <x:row r="2" spans="1:14" x14ac:dyDescent="0.25">
      <x:c r="A2" t="s">
        <x:v>2</x:v>
      </x:c>
      <x:c r="B2" t="s">
        <x:v>3</x:v>
      </x:c>
      <x:c r="D2" t="s">
        <x:v>4</x:v>
      </x:c>
    </x:row>
    <x:row r="4" spans="1:14" x14ac:dyDescent="0.25">
      <x:c r="A4" t="s">
        <x:v>5</x:v>
      </x:c>
      <x:c r="B4" t="s">
        <x:v>6</x:v>
      </x:c>
    </x:row>
    <x:row r="5" spans="1:14" x14ac:dyDescent="0.25">
      <x:c r="B5" t="s">
        <x:v>7</x:v>
      </x:c>
      <x:c r="D5" t="s">
        <x:v>8</x:v>
      </x:c>
      <x:c r="E5" t="s">
        <x:v>9</x:v>
      </x:c>
      <x:c r="F5" t="s">
        <x:v>10</x:v>
      </x:c>
      <x:c r="G5" t="s">
        <x:v>11</x:v>
      </x:c>
      <x:c r="I5" s="2" t="s">
        <x:v>12</x:v>
      </x:c>
      <x:c r="M5" s="2" t="s">
        <x:v>13</x:v>
      </x:c>
      <x:c r="N5" s="2" t="s">
        <x:v>13</x:v>
      </x:c>
    </x:row>
    <x:row r="6" spans="1:14" x14ac:dyDescent="0.25">
      <x:c r="A6" t="s">
        <x:v>14</x:v>
      </x:c>
      <x:c r="B6">
        <x:v>9</x:v>
      </x:c>
      <x:c r="C6">
        <x:v>12</x:v>
      </x:c>
      <x:c r="E6">
        <x:v>12</x:v>
      </x:c>
      <x:c r="I6" s="3" t="s">
        <x:v>15</x:v>
      </x:c>
      <x:c r="J6" s="3" t="s">
        <x:v>16</x:v>
      </x:c>
      <x:c r="K6" s="3" t="s">
        <x:v>17</x:v>
      </x:c>
      <x:c r="M6" s="4" t="s">
        <x:v>18</x:v>
      </x:c>
      <x:c r="N6" s="4" t="s">
        <x:v>19</x:v>
      </x:c>
    </x:row>
    <x:row r="7" spans="1:14" x14ac:dyDescent="0.25">
      <x:c r="A7" s="1" t="s">
        <x:v>20</x:v>
      </x:c>
      <x:c r="B7" s="5"/>
      <x:c r="C7" s="5"/>
      <x:c r="D7" s="5"/>
      <x:c r="E7" s="5">
        <x:v>16563.41</x:v>
      </x:c>
      <x:c r="F7" s="5">
        <x:v>16563.41</x:v>
      </x:c>
      <x:c r="G7" s="5">
        <x:v>16563.41</x:v>
      </x:c>
      <x:c r="I7" s="2" t="str">
        <x:f>A7</x:f>
        <x:v>4031730</x:v>
      </x:c>
      <x:c r="J7" s="6">
        <x:f>G7</x:f>
        <x:v>16563.41</x:v>
      </x:c>
      <x:c r="K7" s="6">
        <x:f>-J7</x:f>
        <x:v>-16563.41</x:v>
      </x:c>
      <x:c r="N7" s="7">
        <x:f>K7</x:f>
        <x:v>-16563.41</x:v>
      </x:c>
    </x:row>
    <x:row r="8" spans="1:14" x14ac:dyDescent="0.25">
      <x:c r="A8" s="8" t="s">
        <x:v>21</x:v>
      </x:c>
      <x:c r="B8" s="5"/>
      <x:c r="C8" s="5"/>
      <x:c r="D8" s="5"/>
      <x:c r="E8" s="5">
        <x:v>16563.41</x:v>
      </x:c>
      <x:c r="F8" s="5">
        <x:v>16563.41</x:v>
      </x:c>
      <x:c r="G8" s="5">
        <x:v>16563.41</x:v>
      </x:c>
    </x:row>
    <x:row r="9" spans="1:14" x14ac:dyDescent="0.25">
      <x:c r="A9" s="9" t="s">
        <x:v>22</x:v>
      </x:c>
      <x:c r="B9" s="5"/>
      <x:c r="C9" s="5"/>
      <x:c r="D9" s="5"/>
      <x:c r="E9" s="5">
        <x:v>15696.74</x:v>
      </x:c>
      <x:c r="F9" s="5">
        <x:v>15696.74</x:v>
      </x:c>
      <x:c r="G9" s="5">
        <x:v>15696.74</x:v>
      </x:c>
    </x:row>
    <x:row r="10" spans="1:14" x14ac:dyDescent="0.25">
      <x:c r="A10" s="9" t="s">
        <x:v>23</x:v>
      </x:c>
      <x:c r="B10" s="5"/>
      <x:c r="C10" s="5"/>
      <x:c r="D10" s="5"/>
      <x:c r="E10" s="5">
        <x:v>866.67</x:v>
      </x:c>
      <x:c r="F10" s="5">
        <x:v>866.67</x:v>
      </x:c>
      <x:c r="G10" s="5">
        <x:v>866.67</x:v>
      </x:c>
    </x:row>
    <x:row r="11" spans="1:14" x14ac:dyDescent="0.25">
      <x:c r="A11" s="1" t="s">
        <x:v>24</x:v>
      </x:c>
      <x:c r="B11" s="5"/>
      <x:c r="C11" s="5"/>
      <x:c r="D11" s="5"/>
      <x:c r="E11" s="5">
        <x:v>2838233.33</x:v>
      </x:c>
      <x:c r="F11" s="5">
        <x:v>2838233.33</x:v>
      </x:c>
      <x:c r="G11" s="5">
        <x:v>2838233.33</x:v>
      </x:c>
      <x:c r="I11" s="2" t="str">
        <x:f>A11</x:f>
        <x:v>5820000</x:v>
      </x:c>
      <x:c r="J11" s="6">
        <x:f>G11</x:f>
        <x:v>2838233.33</x:v>
      </x:c>
      <x:c r="K11" s="6">
        <x:f>-J11</x:f>
        <x:v>-2838233.33</x:v>
      </x:c>
      <x:c r="N11" s="7">
        <x:f>K11</x:f>
        <x:v>-2838233.33</x:v>
      </x:c>
    </x:row>
    <x:row r="12" spans="1:14" x14ac:dyDescent="0.25">
      <x:c r="A12" s="8" t="s">
        <x:v>21</x:v>
      </x:c>
      <x:c r="B12" s="5"/>
      <x:c r="C12" s="5"/>
      <x:c r="D12" s="5"/>
      <x:c r="E12" s="5">
        <x:v>2838233.33</x:v>
      </x:c>
      <x:c r="F12" s="5">
        <x:v>2838233.33</x:v>
      </x:c>
      <x:c r="G12" s="5">
        <x:v>2838233.33</x:v>
      </x:c>
    </x:row>
    <x:row r="13" spans="1:14" x14ac:dyDescent="0.25">
      <x:c r="A13" s="9" t="s">
        <x:v>25</x:v>
      </x:c>
      <x:c r="B13" s="5"/>
      <x:c r="C13" s="5"/>
      <x:c r="D13" s="5"/>
      <x:c r="E13" s="5">
        <x:v>2314078.16</x:v>
      </x:c>
      <x:c r="F13" s="5">
        <x:v>2314078.16</x:v>
      </x:c>
      <x:c r="G13" s="5">
        <x:v>2314078.16</x:v>
      </x:c>
    </x:row>
    <x:row r="14" spans="1:14" x14ac:dyDescent="0.25">
      <x:c r="A14" s="9" t="s">
        <x:v>26</x:v>
      </x:c>
      <x:c r="B14" s="5"/>
      <x:c r="C14" s="5"/>
      <x:c r="D14" s="5"/>
      <x:c r="E14" s="5">
        <x:v>218144.91</x:v>
      </x:c>
      <x:c r="F14" s="5">
        <x:v>218144.91</x:v>
      </x:c>
      <x:c r="G14" s="5">
        <x:v>218144.91</x:v>
      </x:c>
    </x:row>
    <x:row r="15" spans="1:14" x14ac:dyDescent="0.25">
      <x:c r="A15" s="9" t="s">
        <x:v>27</x:v>
      </x:c>
      <x:c r="B15" s="5"/>
      <x:c r="C15" s="5"/>
      <x:c r="D15" s="5"/>
      <x:c r="E15" s="5">
        <x:v>65930.31</x:v>
      </x:c>
      <x:c r="F15" s="5">
        <x:v>65930.31</x:v>
      </x:c>
      <x:c r="G15" s="5">
        <x:v>65930.31</x:v>
      </x:c>
    </x:row>
    <x:row r="16" spans="1:14" x14ac:dyDescent="0.25">
      <x:c r="A16" s="9" t="s">
        <x:v>23</x:v>
      </x:c>
      <x:c r="B16" s="5"/>
      <x:c r="C16" s="5"/>
      <x:c r="D16" s="5"/>
      <x:c r="E16" s="5">
        <x:v>148508.60999999999</x:v>
      </x:c>
      <x:c r="F16" s="5">
        <x:v>148508.60999999999</x:v>
      </x:c>
      <x:c r="G16" s="5">
        <x:v>148508.60999999999</x:v>
      </x:c>
    </x:row>
    <x:row r="17" spans="1:14" x14ac:dyDescent="0.25">
      <x:c r="A17" s="9" t="s">
        <x:v>28</x:v>
      </x:c>
      <x:c r="B17" s="5"/>
      <x:c r="C17" s="5"/>
      <x:c r="D17" s="5"/>
      <x:c r="E17" s="5">
        <x:v>91571.34</x:v>
      </x:c>
      <x:c r="F17" s="5">
        <x:v>91571.34</x:v>
      </x:c>
      <x:c r="G17" s="5">
        <x:v>91571.34</x:v>
      </x:c>
    </x:row>
    <x:row r="18" spans="1:14" x14ac:dyDescent="0.25">
      <x:c r="A18" s="1" t="s">
        <x:v>29</x:v>
      </x:c>
      <x:c r="B18" s="5">
        <x:v>503080.79</x:v>
      </x:c>
      <x:c r="C18" s="5"/>
      <x:c r="D18" s="5">
        <x:v>503080.79</x:v>
      </x:c>
      <x:c r="E18" s="5">
        <x:v>2106785.0099999998</x:v>
      </x:c>
      <x:c r="F18" s="5">
        <x:v>2106785.0099999998</x:v>
      </x:c>
      <x:c r="G18" s="5">
        <x:v>2609865.7999999998</x:v>
      </x:c>
      <x:c r="I18" s="2" t="str">
        <x:f>A18</x:f>
        <x:v>5890000</x:v>
      </x:c>
      <x:c r="J18" s="6">
        <x:f>G18</x:f>
        <x:v>2609865.7999999998</x:v>
      </x:c>
      <x:c r="K18" s="6">
        <x:f>-J18</x:f>
        <x:v>-2609865.7999999998</x:v>
      </x:c>
      <x:c r="M18" s="10">
        <x:v>-704087.09999999986</x:v>
      </x:c>
      <x:c r="N18" s="7">
        <x:f>K18-M18</x:f>
        <x:v>-1905778.7</x:v>
      </x:c>
    </x:row>
    <x:row r="19" spans="1:14" x14ac:dyDescent="0.25">
      <x:c r="A19" s="8" t="s">
        <x:v>21</x:v>
      </x:c>
      <x:c r="B19" s="5">
        <x:v>503080.79</x:v>
      </x:c>
      <x:c r="C19" s="5"/>
      <x:c r="D19" s="5">
        <x:v>503080.79</x:v>
      </x:c>
      <x:c r="E19" s="5">
        <x:v>2106785.0099999998</x:v>
      </x:c>
      <x:c r="F19" s="5">
        <x:v>2106785.0099999998</x:v>
      </x:c>
      <x:c r="G19" s="5">
        <x:v>2609865.7999999998</x:v>
      </x:c>
    </x:row>
    <x:row r="20" spans="1:14" x14ac:dyDescent="0.25">
      <x:c r="A20" s="9" t="s">
        <x:v>30</x:v>
      </x:c>
      <x:c r="B20" s="5"/>
      <x:c r="C20" s="5"/>
      <x:c r="D20" s="5"/>
      <x:c r="E20" s="5">
        <x:v>325140.13</x:v>
      </x:c>
      <x:c r="F20" s="5">
        <x:v>325140.13</x:v>
      </x:c>
      <x:c r="G20" s="5">
        <x:v>325140.13</x:v>
      </x:c>
    </x:row>
    <x:row r="21" spans="1:14" x14ac:dyDescent="0.25">
      <x:c r="A21" s="9" t="s">
        <x:v>31</x:v>
      </x:c>
      <x:c r="B21" s="5">
        <x:v>449450</x:v>
      </x:c>
      <x:c r="C21" s="5"/>
      <x:c r="D21" s="5">
        <x:v>449450</x:v>
      </x:c>
      <x:c r="E21" s="5">
        <x:v>1447181.27</x:v>
      </x:c>
      <x:c r="F21" s="5">
        <x:v>1447181.27</x:v>
      </x:c>
      <x:c r="G21" s="5">
        <x:v>1896631.27</x:v>
      </x:c>
    </x:row>
    <x:row r="22" spans="1:14" x14ac:dyDescent="0.25">
      <x:c r="A22" s="9" t="s">
        <x:v>32</x:v>
      </x:c>
      <x:c r="B22" s="5">
        <x:v>53630.79</x:v>
      </x:c>
      <x:c r="C22" s="5"/>
      <x:c r="D22" s="5">
        <x:v>53630.79</x:v>
      </x:c>
      <x:c r="E22" s="5">
        <x:v>63087.23</x:v>
      </x:c>
      <x:c r="F22" s="5">
        <x:v>63087.23</x:v>
      </x:c>
      <x:c r="G22" s="5">
        <x:v>116718.02</x:v>
      </x:c>
    </x:row>
    <x:row r="23" spans="1:14" x14ac:dyDescent="0.25">
      <x:c r="A23" s="9" t="s">
        <x:v>23</x:v>
      </x:c>
      <x:c r="B23" s="5"/>
      <x:c r="C23" s="5"/>
      <x:c r="D23" s="5"/>
      <x:c r="E23" s="5">
        <x:v>110236.08</x:v>
      </x:c>
      <x:c r="F23" s="5">
        <x:v>110236.08</x:v>
      </x:c>
      <x:c r="G23" s="5">
        <x:v>110236.08</x:v>
      </x:c>
    </x:row>
    <x:row r="24" spans="1:14" x14ac:dyDescent="0.25">
      <x:c r="A24" s="9" t="s">
        <x:v>33</x:v>
      </x:c>
      <x:c r="B24" s="5"/>
      <x:c r="C24" s="5"/>
      <x:c r="D24" s="5"/>
      <x:c r="E24" s="5">
        <x:v>161140.29999999999</x:v>
      </x:c>
      <x:c r="F24" s="5">
        <x:v>161140.29999999999</x:v>
      </x:c>
      <x:c r="G24" s="5">
        <x:v>161140.29999999999</x:v>
      </x:c>
    </x:row>
    <x:row r="25" spans="1:14" x14ac:dyDescent="0.25">
      <x:c r="A25" s="1" t="s">
        <x:v>34</x:v>
      </x:c>
      <x:c r="B25" s="5">
        <x:v>48150</x:v>
      </x:c>
      <x:c r="C25" s="5"/>
      <x:c r="D25" s="5">
        <x:v>48150</x:v>
      </x:c>
      <x:c r="E25" s="5">
        <x:v>-51183.64</x:v>
      </x:c>
      <x:c r="F25" s="5">
        <x:v>-51183.64</x:v>
      </x:c>
      <x:c r="G25" s="5">
        <x:v>-3033.6399999999981</x:v>
      </x:c>
      <x:c r="I25" s="2" t="str">
        <x:f>A25</x:f>
        <x:v>5920000</x:v>
      </x:c>
      <x:c r="J25" s="6">
        <x:f>G25</x:f>
        <x:v>-3033.6399999999981</x:v>
      </x:c>
      <x:c r="K25" s="6">
        <x:f>-J25</x:f>
        <x:v>3033.6399999999981</x:v>
      </x:c>
      <x:c r="N25" s="7">
        <x:f>K25</x:f>
        <x:v>3033.6399999999981</x:v>
      </x:c>
    </x:row>
    <x:row r="26" spans="1:14" x14ac:dyDescent="0.25">
      <x:c r="A26" s="8" t="s">
        <x:v>21</x:v>
      </x:c>
      <x:c r="B26" s="5">
        <x:v>48150</x:v>
      </x:c>
      <x:c r="C26" s="5"/>
      <x:c r="D26" s="5">
        <x:v>48150</x:v>
      </x:c>
      <x:c r="E26" s="5">
        <x:v>-51183.64</x:v>
      </x:c>
      <x:c r="F26" s="5">
        <x:v>-51183.64</x:v>
      </x:c>
      <x:c r="G26" s="5">
        <x:v>-3033.6399999999981</x:v>
      </x:c>
    </x:row>
    <x:row r="27" spans="1:14" x14ac:dyDescent="0.25">
      <x:c r="A27" s="9" t="s">
        <x:v>35</x:v>
      </x:c>
      <x:c r="B27" s="5"/>
      <x:c r="C27" s="5"/>
      <x:c r="D27" s="5"/>
      <x:c r="E27" s="5">
        <x:v>-55850.28</x:v>
      </x:c>
      <x:c r="F27" s="5">
        <x:v>-55850.28</x:v>
      </x:c>
      <x:c r="G27" s="5">
        <x:v>-55850.28</x:v>
      </x:c>
    </x:row>
    <x:row r="28" spans="1:14" x14ac:dyDescent="0.25">
      <x:c r="A28" s="9" t="s">
        <x:v>36</x:v>
      </x:c>
      <x:c r="B28" s="5">
        <x:v>48150</x:v>
      </x:c>
      <x:c r="C28" s="5"/>
      <x:c r="D28" s="5">
        <x:v>48150</x:v>
      </x:c>
      <x:c r="E28" s="5">
        <x:v>7344.79</x:v>
      </x:c>
      <x:c r="F28" s="5">
        <x:v>7344.79</x:v>
      </x:c>
      <x:c r="G28" s="5">
        <x:v>55494.79</x:v>
      </x:c>
    </x:row>
    <x:row r="29" spans="1:14" x14ac:dyDescent="0.25">
      <x:c r="A29" s="9" t="s">
        <x:v>23</x:v>
      </x:c>
      <x:c r="B29" s="5"/>
      <x:c r="C29" s="5"/>
      <x:c r="D29" s="5"/>
      <x:c r="E29" s="5">
        <x:v>-2678.15</x:v>
      </x:c>
      <x:c r="F29" s="5">
        <x:v>-2678.15</x:v>
      </x:c>
      <x:c r="G29" s="5">
        <x:v>-2678.15</x:v>
      </x:c>
    </x:row>
    <x:row r="30" spans="1:14" x14ac:dyDescent="0.25">
      <x:c r="A30" s="1" t="s">
        <x:v>37</x:v>
      </x:c>
      <x:c r="B30" s="5"/>
      <x:c r="C30" s="5">
        <x:v>5217.6000000000004</x:v>
      </x:c>
      <x:c r="D30" s="5">
        <x:v>5217.6000000000004</x:v>
      </x:c>
      <x:c r="E30" s="5">
        <x:v>125321.94</x:v>
      </x:c>
      <x:c r="F30" s="5">
        <x:v>125321.94</x:v>
      </x:c>
      <x:c r="G30" s="5">
        <x:v>130539.54000000001</x:v>
      </x:c>
      <x:c r="I30" s="2" t="str">
        <x:f>A30</x:f>
        <x:v>9230000</x:v>
      </x:c>
      <x:c r="J30" s="6">
        <x:f>G30</x:f>
        <x:v>130539.54000000001</x:v>
      </x:c>
      <x:c r="K30" s="6">
        <x:f>-J30</x:f>
        <x:v>-130539.54000000001</x:v>
      </x:c>
      <x:c r="N30" s="7">
        <x:f>K30</x:f>
        <x:v>-130539.54000000001</x:v>
      </x:c>
    </x:row>
    <x:row r="31" spans="1:14" x14ac:dyDescent="0.25">
      <x:c r="A31" s="8" t="s">
        <x:v>21</x:v>
      </x:c>
      <x:c r="B31" s="5"/>
      <x:c r="C31" s="5">
        <x:v>5217.6000000000004</x:v>
      </x:c>
      <x:c r="D31" s="5">
        <x:v>5217.6000000000004</x:v>
      </x:c>
      <x:c r="E31" s="5">
        <x:v>125321.94</x:v>
      </x:c>
      <x:c r="F31" s="5">
        <x:v>125321.94</x:v>
      </x:c>
      <x:c r="G31" s="5">
        <x:v>130539.54000000001</x:v>
      </x:c>
    </x:row>
    <x:row r="32" spans="1:14" x14ac:dyDescent="0.25">
      <x:c r="A32" s="9" t="s">
        <x:v>38</x:v>
      </x:c>
      <x:c r="B32" s="5"/>
      <x:c r="C32" s="5"/>
      <x:c r="D32" s="5"/>
      <x:c r="E32" s="5">
        <x:v>118764.56</x:v>
      </x:c>
      <x:c r="F32" s="5">
        <x:v>118764.56</x:v>
      </x:c>
      <x:c r="G32" s="5">
        <x:v>118764.56</x:v>
      </x:c>
    </x:row>
    <x:row r="33" spans="1:14" x14ac:dyDescent="0.25">
      <x:c r="A33" s="9" t="s">
        <x:v>23</x:v>
      </x:c>
      <x:c r="B33" s="5"/>
      <x:c r="C33" s="5"/>
      <x:c r="D33" s="5"/>
      <x:c r="E33" s="5">
        <x:v>6557.38</x:v>
      </x:c>
      <x:c r="F33" s="5">
        <x:v>6557.38</x:v>
      </x:c>
      <x:c r="G33" s="5">
        <x:v>6557.38</x:v>
      </x:c>
    </x:row>
    <x:row r="34" spans="1:14" x14ac:dyDescent="0.25">
      <x:c r="A34" s="9" t="s">
        <x:v>39</x:v>
      </x:c>
      <x:c r="B34" s="5"/>
      <x:c r="C34" s="5">
        <x:v>5217.6000000000004</x:v>
      </x:c>
      <x:c r="D34" s="5">
        <x:v>5217.6000000000004</x:v>
      </x:c>
      <x:c r="E34" s="5"/>
      <x:c r="F34" s="5"/>
      <x:c r="G34" s="5">
        <x:v>5217.6000000000004</x:v>
      </x:c>
    </x:row>
    <x:row r="35" spans="1:14" x14ac:dyDescent="0.25">
      <x:c r="A35" s="1" t="s">
        <x:v>40</x:v>
      </x:c>
      <x:c r="B35" s="5">
        <x:v>5217.6000000000004</x:v>
      </x:c>
      <x:c r="C35" s="5">
        <x:v>-5217.6000000000004</x:v>
      </x:c>
      <x:c r="D35" s="5">
        <x:v>0</x:v>
      </x:c>
      <x:c r="E35" s="5"/>
      <x:c r="F35" s="5"/>
      <x:c r="G35" s="5">
        <x:v>0</x:v>
      </x:c>
    </x:row>
    <x:row r="36" spans="1:14" x14ac:dyDescent="0.25">
      <x:c r="A36" s="8" t="s">
        <x:v>21</x:v>
      </x:c>
      <x:c r="B36" s="5">
        <x:v>5217.6000000000004</x:v>
      </x:c>
      <x:c r="C36" s="5">
        <x:v>-5217.6000000000004</x:v>
      </x:c>
      <x:c r="D36" s="5">
        <x:v>0</x:v>
      </x:c>
      <x:c r="E36" s="5"/>
      <x:c r="F36" s="5"/>
      <x:c r="G36" s="5">
        <x:v>0</x:v>
      </x:c>
    </x:row>
    <x:row r="37" spans="1:14" x14ac:dyDescent="0.25">
      <x:c r="A37" s="9" t="s">
        <x:v>39</x:v>
      </x:c>
      <x:c r="B37" s="5"/>
      <x:c r="C37" s="5">
        <x:v>-5217.6000000000004</x:v>
      </x:c>
      <x:c r="D37" s="5">
        <x:v>-5217.6000000000004</x:v>
      </x:c>
      <x:c r="E37" s="5"/>
      <x:c r="F37" s="5"/>
      <x:c r="G37" s="5">
        <x:v>-5217.6000000000004</x:v>
      </x:c>
    </x:row>
    <x:row r="38" spans="1:14" x14ac:dyDescent="0.25">
      <x:c r="A38" s="9" t="s">
        <x:v>41</x:v>
      </x:c>
      <x:c r="B38" s="5">
        <x:v>5217.6000000000004</x:v>
      </x:c>
      <x:c r="C38" s="5"/>
      <x:c r="D38" s="5">
        <x:v>5217.6000000000004</x:v>
      </x:c>
      <x:c r="E38" s="5"/>
      <x:c r="F38" s="5"/>
      <x:c r="G38" s="5">
        <x:v>5217.6000000000004</x:v>
      </x:c>
      <x:c r="J38" s="3"/>
      <x:c r="K38" s="3"/>
      <x:c r="M38" s="3"/>
      <x:c r="N38" s="3"/>
    </x:row>
    <x:row r="39" spans="1:14" x14ac:dyDescent="0.25">
      <x:c r="A39" s="1" t="s">
        <x:v>11</x:v>
      </x:c>
      <x:c r="B39" s="5">
        <x:v>556448.39</x:v>
      </x:c>
      <x:c r="C39" s="5">
        <x:v>0</x:v>
      </x:c>
      <x:c r="D39" s="5">
        <x:v>556448.39</x:v>
      </x:c>
      <x:c r="E39" s="5">
        <x:v>5035720.05</x:v>
      </x:c>
      <x:c r="F39" s="5">
        <x:v>5035720.05</x:v>
      </x:c>
      <x:c r="G39" s="5">
        <x:v>5592168.4399999985</x:v>
      </x:c>
      <x:c r="J39" s="7">
        <x:f>SUM(J7:J38)</x:f>
        <x:v>5592168.4400000004</x:v>
      </x:c>
      <x:c r="K39" s="7">
        <x:f>SUM(K7:K38)</x:f>
        <x:v>-5592168.4400000004</x:v>
      </x:c>
      <x:c r="L39" s="7"/>
      <x:c r="M39" s="7">
        <x:f t="shared" ref="M39:N39" si="0">SUM(M7:M38)</x:f>
        <x:v>-704087.09999999986</x:v>
      </x:c>
      <x:c r="N39" s="7">
        <x:f t="shared" si="0"/>
        <x:v>-4888081.3400000008</x:v>
      </x:c>
    </x:row>
    <x:row r="41" spans="1:14" x14ac:dyDescent="0.25">
      <x:c r="A41" t="s">
        <x:v>42</x:v>
      </x:c>
      <x:c r="L41" s="11" t="s">
        <x:v>43</x:v>
      </x:c>
      <x:c r="M41" s="7">
        <x:f>+M39-M7</x:f>
        <x:v>-704087.09999999986</x:v>
      </x:c>
      <x:c r="N41" s="7">
        <x:f>+N39-N7</x:f>
        <x:v>-4871517.9300000006</x:v>
      </x:c>
    </x:row>
    <x:row r="42" spans="1:14" x14ac:dyDescent="0.25">
      <x:c r="A42" t="s">
        <x:v>44</x:v>
      </x:c>
    </x:row>
    <x:row r="43" spans="1:14" x14ac:dyDescent="0.25">
      <x:c r="A43" t="s">
        <x:v>45</x:v>
      </x:c>
    </x:row>
    <x:row r="44" spans="1:14" x14ac:dyDescent="0.25">
      <x:c r="A44" t="s">
        <x:v>46</x:v>
      </x:c>
    </x:row>
  </x:sheetData>
  <x:pageMargins left="0.25" right="0.25" top="2" bottom="0.25" header="1" footer="0.3"/>
  <x:pageSetup scale="66" orientation="landscape" r:id="rId2"/>
  <x:headerFooter>
    <x:oddHeader>&amp;C&amp;"-,Bold"
ONCOR ELECTRIC DELIVERY COMPANY LLC
MOBILE GEN ADJUSTMENT
FOR THE TEST YEAR ENDING DECEMBER 31, 2024
SPONSOR: R. PRACHYL &amp;&amp; A. LEDBETTER&amp;R&amp;"-,Bold"WP/II-D ADJUSTMENT/30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2025-04-29T15:58:56.0000000Z</dcterms:modified>
</coreProperties>
</file>