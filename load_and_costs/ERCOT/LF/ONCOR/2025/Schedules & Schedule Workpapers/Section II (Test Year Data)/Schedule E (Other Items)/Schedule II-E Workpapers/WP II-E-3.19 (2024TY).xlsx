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3787E89A-958F-4597-93CD-0FD5EFD8A59D}" xr6:coauthVersionLast="47" xr6:coauthVersionMax="47" xr10:uidLastSave="{00000000-0000-0000-0000-000000000000}"/>
  <x:bookViews>
    <x:workbookView xWindow="28680" yWindow="1290" windowWidth="29040" windowHeight="15840" xr2:uid="{00000000-000D-0000-FFFF-FFFF00000000}"/>
  </x:bookViews>
  <x:sheets>
    <x:sheet name="WP II-E-3.19" sheetId="1" r:id="rId1"/>
  </x:sheets>
  <x:externalReferences>
    <x:externalReference r:id="rId2"/>
  </x:externalReferences>
  <x:definedNames>
    <x:definedName name="_xlnm.Print_Area" localSheetId="0">'WP II-E-3.19'!$A$1:$X$98</x:definedName>
  </x:definedNames>
  <x:calcPr calcId="191029" iterate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16" i="1" l="1"/>
  <x:c r="A17" i="1" s="1"/>
  <x:c r="A18" i="1" s="1"/>
  <x:c r="A19" i="1" s="1"/>
  <x:c r="A20" i="1" s="1"/>
  <x:c r="A21" i="1" s="1"/>
  <x:c r="A22" i="1" s="1"/>
  <x:c r="A23" i="1" s="1"/>
  <x:c r="A24" i="1" s="1"/>
  <x:c r="A25" i="1" s="1"/>
  <x:c r="A26" i="1" s="1"/>
  <x:c r="A27" i="1" s="1"/>
  <x:c r="A28" i="1" s="1"/>
  <x:c r="A29" i="1" s="1"/>
  <x:c r="A30" i="1" s="1"/>
  <x:c r="A31" i="1" s="1"/>
  <x:c r="A32" i="1" s="1"/>
  <x:c r="A33" i="1" s="1"/>
  <x:c r="A34" i="1" s="1"/>
  <x:c r="A35" i="1" s="1"/>
  <x:c r="A36" i="1" s="1"/>
  <x:c r="A37" i="1" s="1"/>
  <x:c r="A38" i="1" s="1"/>
  <x:c r="A39" i="1" s="1"/>
  <x:c r="A40" i="1" s="1"/>
  <x:c r="A41" i="1" s="1"/>
  <x:c r="A42" i="1" s="1"/>
  <x:c r="A43" i="1" s="1"/>
  <x:c r="A44" i="1" s="1"/>
  <x:c r="A45" i="1" s="1"/>
  <x:c r="A46" i="1" s="1"/>
  <x:c r="A47" i="1" s="1"/>
  <x:c r="A48" i="1" s="1"/>
  <x:c r="A49" i="1" s="1"/>
  <x:c r="A50" i="1" s="1"/>
  <x:c r="A51" i="1" s="1"/>
  <x:c r="A52" i="1" s="1"/>
  <x:c r="A53" i="1" s="1"/>
  <x:c r="A54" i="1" s="1"/>
  <x:c r="A55" i="1" s="1"/>
  <x:c r="A56" i="1" s="1"/>
  <x:c r="A57" i="1" s="1"/>
  <x:c r="A58" i="1" s="1"/>
  <x:c r="A59" i="1" s="1"/>
  <x:c r="A60" i="1" s="1"/>
  <x:c r="A61" i="1" s="1"/>
  <x:c r="A62" i="1" s="1"/>
  <x:c r="A63" i="1" s="1"/>
  <x:c r="A64" i="1" s="1"/>
  <x:c r="A65" i="1" s="1"/>
  <x:c r="A66" i="1" s="1"/>
  <x:c r="A67" i="1" s="1"/>
  <x:c r="A68" i="1" s="1"/>
  <x:c r="A69" i="1" s="1"/>
  <x:c r="A70" i="1" s="1"/>
  <x:c r="A71" i="1" s="1"/>
  <x:c r="A72" i="1" s="1"/>
  <x:c r="A73" i="1" s="1"/>
  <x:c r="A74" i="1" s="1"/>
  <x:c r="A75" i="1" s="1"/>
  <x:c r="A76" i="1" s="1"/>
  <x:c r="A77" i="1" s="1"/>
  <x:c r="A78" i="1" s="1"/>
  <x:c r="A79" i="1" s="1"/>
  <x:c r="A80" i="1" s="1"/>
  <x:c r="A81" i="1" s="1"/>
  <x:c r="A82" i="1" s="1"/>
  <x:c r="A83" i="1" s="1"/>
  <x:c r="A84" i="1" s="1"/>
  <x:c r="A85" i="1" s="1"/>
  <x:c r="A86" i="1" s="1"/>
  <x:c r="A87" i="1" s="1"/>
  <x:c r="A88" i="1" s="1"/>
  <x:c r="A89" i="1" s="1"/>
  <x:c r="A90" i="1" s="1"/>
  <x:c r="A91" i="1" s="1"/>
  <x:c r="A92" i="1" s="1"/>
  <x:c r="A93" i="1" s="1"/>
  <x:c r="A94" i="1" s="1"/>
  <x:c r="A95" i="1" s="1"/>
  <x:c r="A96" i="1" s="1"/>
  <x:c r="A97" i="1" s="1"/>
  <x:c r="A98" i="1" s="1"/>
  <x:c r="A15" i="1"/>
  <x:c r="S47" i="1"/>
  <x:c r="S45" i="1"/>
  <x:c r="S43" i="1"/>
  <x:c r="S40" i="1"/>
  <x:c r="S39" i="1"/>
  <x:c r="S34" i="1"/>
  <x:c r="S29" i="1"/>
  <x:c r="S28" i="1"/>
  <x:c r="S27" i="1"/>
  <x:c r="S25" i="1"/>
  <x:c r="S24" i="1"/>
  <x:c r="Y97" i="1"/>
  <x:c r="W86" i="1"/>
  <x:c r="V86" i="1"/>
  <x:c r="U86" i="1"/>
  <x:c r="T86" i="1"/>
  <x:c r="S86" i="1"/>
  <x:c r="R86" i="1"/>
  <x:c r="Q86" i="1"/>
  <x:c r="P86" i="1"/>
  <x:c r="O86" i="1"/>
  <x:c r="U85" i="1"/>
  <x:c r="R85" i="1"/>
  <x:c r="U84" i="1"/>
  <x:c r="R84" i="1"/>
  <x:c r="U81" i="1"/>
  <x:c r="R81" i="1"/>
  <x:c r="U53" i="1"/>
  <x:c r="R53" i="1"/>
  <x:c r="U57" i="1"/>
  <x:c r="R57" i="1"/>
  <x:c r="U50" i="1"/>
  <x:c r="R50" i="1"/>
  <x:c r="U44" i="1"/>
  <x:c r="R44" i="1"/>
  <x:c r="R40" i="1"/>
  <x:c r="U40" i="1"/>
  <x:c r="R41" i="1"/>
  <x:c r="U41" i="1"/>
  <x:c r="R42" i="1"/>
  <x:c r="U42" i="1"/>
  <x:c r="R22" i="1" l="1"/>
  <x:c r="U22" i="1"/>
  <x:c r="R23" i="1"/>
  <x:c r="U23" i="1"/>
  <x:c r="R24" i="1"/>
  <x:c r="U24" i="1"/>
  <x:c r="R25" i="1"/>
  <x:c r="U25" i="1"/>
  <x:c r="R26" i="1"/>
  <x:c r="U26" i="1"/>
  <x:c r="R27" i="1"/>
  <x:c r="U27" i="1"/>
  <x:c r="X27" i="1" s="1"/>
  <x:c r="R28" i="1"/>
  <x:c r="U28" i="1"/>
  <x:c r="R29" i="1"/>
  <x:c r="U29" i="1"/>
  <x:c r="X24" i="1" l="1"/>
  <x:c r="X29" i="1"/>
  <x:c r="X26" i="1"/>
  <x:c r="X23" i="1"/>
  <x:c r="X28" i="1"/>
  <x:c r="X22" i="1"/>
  <x:c r="X25" i="1"/>
  <x:c r="Y96" i="1" l="1"/>
  <x:c r="Y18" i="1"/>
  <x:c r="Y19" i="1"/>
  <x:c r="Y31" i="1"/>
  <x:c r="Y77" i="1"/>
  <x:c r="Y78" i="1"/>
  <x:c r="Y83" i="1"/>
  <x:c r="Y87" i="1"/>
  <x:c r="Y92" i="1"/>
  <x:c r="Y94" i="1"/>
  <x:c r="U80" i="1"/>
  <x:c r="U54" i="1"/>
  <x:c r="U51" i="1"/>
  <x:c r="U49" i="1"/>
  <x:c r="U48" i="1"/>
  <x:c r="U47" i="1"/>
  <x:c r="U46" i="1"/>
  <x:c r="U45" i="1"/>
  <x:c r="U43" i="1"/>
  <x:c r="X41" i="1"/>
  <x:c r="U39" i="1"/>
  <x:c r="U38" i="1"/>
  <x:c r="U33" i="1"/>
  <x:c r="U21" i="1"/>
  <x:c r="X85" i="1"/>
  <x:c r="X84" i="1"/>
  <x:c r="X81" i="1"/>
  <x:c r="R80" i="1"/>
  <x:c r="R58" i="1"/>
  <x:c r="R56" i="1"/>
  <x:c r="R55" i="1"/>
  <x:c r="R54" i="1"/>
  <x:c r="X53" i="1"/>
  <x:c r="R52" i="1"/>
  <x:c r="R51" i="1"/>
  <x:c r="R49" i="1"/>
  <x:c r="R48" i="1"/>
  <x:c r="R47" i="1"/>
  <x:c r="R46" i="1"/>
  <x:c r="R45" i="1"/>
  <x:c r="X45" i="1" s="1"/>
  <x:c r="R43" i="1"/>
  <x:c r="R39" i="1"/>
  <x:c r="R38" i="1"/>
  <x:c r="R37" i="1"/>
  <x:c r="R36" i="1"/>
  <x:c r="R33" i="1"/>
  <x:c r="R32" i="1"/>
  <x:c r="R21" i="1"/>
  <x:c r="X44" i="1"/>
  <x:c r="X50" i="1"/>
  <x:c r="X57" i="1"/>
  <x:c r="T59" i="1"/>
  <x:c r="O59" i="1"/>
  <x:c r="X86" i="1" l="1"/>
  <x:c r="X80" i="1"/>
  <x:c r="X46" i="1"/>
  <x:c r="X43" i="1"/>
  <x:c r="X39" i="1"/>
  <x:c r="X38" i="1"/>
  <x:c r="U34" i="1"/>
  <x:c r="Q59" i="1"/>
  <x:c r="P59" i="1"/>
  <x:c r="U35" i="1"/>
  <x:c r="R35" i="1"/>
  <x:c r="R34" i="1"/>
  <x:c r="X40" i="1"/>
  <x:c r="X47" i="1"/>
  <x:c r="X48" i="1"/>
  <x:c r="X42" i="1"/>
  <x:c r="X21" i="1"/>
  <x:c r="X35" i="1" l="1"/>
  <x:c r="R59" i="1"/>
  <x:c r="X34" i="1"/>
  <x:c r="I22" i="1" l="1"/>
  <x:c r="Y22" i="1" s="1"/>
  <x:c r="K22" i="1"/>
  <x:c r="K90" i="1" l="1"/>
  <x:c r="M89" i="1"/>
  <x:c r="K63" i="1"/>
  <x:c r="M62" i="1"/>
  <x:c r="D64" i="1"/>
  <x:c r="K80" i="1" l="1"/>
  <x:c r="G61" i="1"/>
  <x:c r="F86" i="1"/>
  <x:c r="F91" i="1"/>
  <x:c r="H41" i="1" l="1"/>
  <x:c r="G41" i="1"/>
  <x:c r="E82" i="1" l="1"/>
  <x:c r="G82" i="1"/>
  <x:c r="H82" i="1"/>
  <x:c r="F64" i="1"/>
  <x:c r="E59" i="1"/>
  <x:c r="F59" i="1"/>
  <x:c r="G59" i="1"/>
  <x:c r="H59" i="1"/>
  <x:c r="E30" i="1"/>
  <x:c r="G30" i="1"/>
  <x:c r="H30" i="1"/>
  <x:c r="E17" i="1"/>
  <x:c r="F17" i="1"/>
  <x:c r="G17" i="1"/>
  <x:c r="H17" i="1"/>
  <x:c r="D82" i="1"/>
  <x:c r="I90" i="1"/>
  <x:c r="K85" i="1"/>
  <x:c r="K84" i="1"/>
  <x:c r="K81" i="1"/>
  <x:c r="E15" i="1"/>
  <x:c r="H61" i="1"/>
  <x:c r="I63" i="1"/>
  <x:c r="D30" i="1"/>
  <x:c r="K33" i="1"/>
  <x:c r="K34" i="1"/>
  <x:c r="K35" i="1"/>
  <x:c r="K36" i="1"/>
  <x:c r="K37" i="1"/>
  <x:c r="K38" i="1"/>
  <x:c r="K39" i="1"/>
  <x:c r="K40" i="1"/>
  <x:c r="K41" i="1"/>
  <x:c r="K42" i="1"/>
  <x:c r="K43" i="1"/>
  <x:c r="K44" i="1"/>
  <x:c r="K45" i="1"/>
  <x:c r="K46" i="1"/>
  <x:c r="K47" i="1"/>
  <x:c r="K48" i="1"/>
  <x:c r="K49" i="1"/>
  <x:c r="K50" i="1"/>
  <x:c r="K51" i="1"/>
  <x:c r="K52" i="1"/>
  <x:c r="K53" i="1"/>
  <x:c r="K54" i="1"/>
  <x:c r="K55" i="1"/>
  <x:c r="K56" i="1"/>
  <x:c r="K57" i="1"/>
  <x:c r="K58" i="1"/>
  <x:c r="K32" i="1"/>
  <x:c r="K23" i="1"/>
  <x:c r="K24" i="1"/>
  <x:c r="K25" i="1"/>
  <x:c r="K26" i="1"/>
  <x:c r="K27" i="1"/>
  <x:c r="K28" i="1"/>
  <x:c r="K29" i="1"/>
  <x:c r="K21" i="1"/>
  <x:c r="K79" i="1" l="1"/>
  <x:c r="K75" i="1"/>
  <x:c r="K74" i="1"/>
  <x:c r="K20" i="1"/>
  <x:c r="K30" i="1" s="1"/>
  <x:c r="E74" i="1"/>
  <x:c r="F76" i="1"/>
  <x:c r="F79" i="1"/>
  <x:c r="F82" i="1" s="1"/>
  <x:c r="F93" i="1" s="1"/>
  <x:c r="F95" i="1" s="1"/>
  <x:c r="F20" i="1"/>
  <x:c r="F30" i="1" s="1"/>
  <x:c r="F66" i="1" s="1"/>
  <x:c r="F68" i="1" s="1"/>
  <x:c r="F98" i="1" l="1"/>
  <x:c r="I79" i="1"/>
  <x:c r="I20" i="1"/>
  <x:c r="S20" i="1" l="1"/>
  <x:c r="O20" i="1"/>
  <x:c r="W20" i="1"/>
  <x:c r="W30" i="1" s="1"/>
  <x:c r="V20" i="1"/>
  <x:c r="V30" i="1" s="1"/>
  <x:c r="T20" i="1"/>
  <x:c r="T30" i="1" s="1"/>
  <x:c r="Q20" i="1"/>
  <x:c r="Q30" i="1" s="1"/>
  <x:c r="P20" i="1"/>
  <x:c r="P30" i="1" s="1"/>
  <x:c r="T79" i="1"/>
  <x:c r="T82" i="1" s="1"/>
  <x:c r="Q79" i="1"/>
  <x:c r="Q82" i="1" s="1"/>
  <x:c r="S79" i="1"/>
  <x:c r="W79" i="1"/>
  <x:c r="W82" i="1" s="1"/>
  <x:c r="V79" i="1"/>
  <x:c r="V82" i="1" s="1"/>
  <x:c r="P79" i="1"/>
  <x:c r="P82" i="1" s="1"/>
  <x:c r="O79" i="1"/>
  <x:c r="K16" i="1"/>
  <x:c r="K15" i="1"/>
  <x:c r="D17" i="1"/>
  <x:c r="D59" i="1"/>
  <x:c r="D76" i="1"/>
  <x:c r="D86" i="1"/>
  <x:c r="R79" i="1" l="1"/>
  <x:c r="O82" i="1"/>
  <x:c r="R20" i="1"/>
  <x:c r="O30" i="1"/>
  <x:c r="U79" i="1"/>
  <x:c r="U82" i="1" s="1"/>
  <x:c r="S82" i="1"/>
  <x:c r="U20" i="1"/>
  <x:c r="U30" i="1" s="1"/>
  <x:c r="S30" i="1"/>
  <x:c r="D93" i="1"/>
  <x:c r="D95" i="1" s="1"/>
  <x:c r="D66" i="1"/>
  <x:c r="D68" i="1" s="1"/>
  <x:c r="X20" i="1" l="1"/>
  <x:c r="R30" i="1"/>
  <x:c r="X79" i="1"/>
  <x:c r="R82" i="1"/>
  <x:c r="D98" i="1"/>
  <x:c r="Y79" i="1" l="1"/>
  <x:c r="X82" i="1"/>
  <x:c r="Y20" i="1"/>
  <x:c r="X30" i="1"/>
  <x:c r="I16" i="1"/>
  <x:c r="I15" i="1"/>
  <x:c r="I88" i="1"/>
  <x:c r="I85" i="1"/>
  <x:c r="Y85" i="1" s="1"/>
  <x:c r="I84" i="1"/>
  <x:c r="Y84" i="1" s="1"/>
  <x:c r="I81" i="1"/>
  <x:c r="Y81" i="1" s="1"/>
  <x:c r="I58" i="1"/>
  <x:c r="S58" i="1" s="1"/>
  <x:c r="U58" i="1" s="1"/>
  <x:c r="X58" i="1" s="1"/>
  <x:c r="Y58" i="1" s="1"/>
  <x:c r="I57" i="1"/>
  <x:c r="Y57" i="1" s="1"/>
  <x:c r="I56" i="1"/>
  <x:c r="S56" i="1" s="1"/>
  <x:c r="U56" i="1" s="1"/>
  <x:c r="X56" i="1" s="1"/>
  <x:c r="Y56" i="1" s="1"/>
  <x:c r="I55" i="1"/>
  <x:c r="S55" i="1" s="1"/>
  <x:c r="U55" i="1" s="1"/>
  <x:c r="X55" i="1" s="1"/>
  <x:c r="Y55" i="1" s="1"/>
  <x:c r="I54" i="1"/>
  <x:c r="W54" i="1" s="1"/>
  <x:c r="I53" i="1"/>
  <x:c r="Y53" i="1" s="1"/>
  <x:c r="I52" i="1"/>
  <x:c r="S52" i="1" s="1"/>
  <x:c r="U52" i="1" s="1"/>
  <x:c r="X52" i="1" s="1"/>
  <x:c r="Y52" i="1" s="1"/>
  <x:c r="I51" i="1"/>
  <x:c r="V51" i="1" s="1"/>
  <x:c r="X51" i="1" s="1"/>
  <x:c r="Y51" i="1" s="1"/>
  <x:c r="I50" i="1"/>
  <x:c r="Y50" i="1" s="1"/>
  <x:c r="I49" i="1"/>
  <x:c r="V49" i="1" s="1"/>
  <x:c r="X49" i="1" s="1"/>
  <x:c r="Y49" i="1" s="1"/>
  <x:c r="I48" i="1"/>
  <x:c r="Y48" i="1" s="1"/>
  <x:c r="I47" i="1"/>
  <x:c r="Y47" i="1" s="1"/>
  <x:c r="I46" i="1"/>
  <x:c r="Y46" i="1" s="1"/>
  <x:c r="I45" i="1"/>
  <x:c r="Y45" i="1" s="1"/>
  <x:c r="I44" i="1"/>
  <x:c r="Y44" i="1" s="1"/>
  <x:c r="I43" i="1"/>
  <x:c r="Y43" i="1" s="1"/>
  <x:c r="I42" i="1"/>
  <x:c r="Y42" i="1" s="1"/>
  <x:c r="I40" i="1"/>
  <x:c r="Y40" i="1" s="1"/>
  <x:c r="I39" i="1"/>
  <x:c r="Y39" i="1" s="1"/>
  <x:c r="I38" i="1"/>
  <x:c r="Y38" i="1" s="1"/>
  <x:c r="I37" i="1"/>
  <x:c r="S37" i="1" s="1"/>
  <x:c r="U37" i="1" s="1"/>
  <x:c r="X37" i="1" s="1"/>
  <x:c r="Y37" i="1" s="1"/>
  <x:c r="I36" i="1"/>
  <x:c r="S36" i="1" s="1"/>
  <x:c r="U36" i="1" s="1"/>
  <x:c r="X36" i="1" s="1"/>
  <x:c r="Y36" i="1" s="1"/>
  <x:c r="I35" i="1"/>
  <x:c r="Y35" i="1" s="1"/>
  <x:c r="I34" i="1"/>
  <x:c r="Y34" i="1" s="1"/>
  <x:c r="I33" i="1"/>
  <x:c r="V33" i="1" s="1"/>
  <x:c r="I32" i="1"/>
  <x:c r="S32" i="1" s="1"/>
  <x:c r="I28" i="1"/>
  <x:c r="Y28" i="1" s="1"/>
  <x:c r="I27" i="1"/>
  <x:c r="Y27" i="1" s="1"/>
  <x:c r="I26" i="1"/>
  <x:c r="Y26" i="1" s="1"/>
  <x:c r="I25" i="1"/>
  <x:c r="Y25" i="1" s="1"/>
  <x:c r="I24" i="1"/>
  <x:c r="Y24" i="1" s="1"/>
  <x:c r="I23" i="1"/>
  <x:c r="Y23" i="1" s="1"/>
  <x:c r="I21" i="1"/>
  <x:c r="Y21" i="1" s="1"/>
  <x:c r="W59" i="1" l="1"/>
  <x:c r="X54" i="1"/>
  <x:c r="Y54" i="1" s="1"/>
  <x:c r="V59" i="1"/>
  <x:c r="X33" i="1"/>
  <x:c r="Y33" i="1" s="1"/>
  <x:c r="O15" i="1"/>
  <x:c r="Q15" i="1"/>
  <x:c r="S15" i="1"/>
  <x:c r="W15" i="1"/>
  <x:c r="W17" i="1" s="1"/>
  <x:c r="V15" i="1"/>
  <x:c r="T15" i="1"/>
  <x:c r="P15" i="1"/>
  <x:c r="P17" i="1" s="1"/>
  <x:c r="S16" i="1"/>
  <x:c r="O16" i="1"/>
  <x:c r="Q16" i="1"/>
  <x:c r="T16" i="1"/>
  <x:c r="V16" i="1"/>
  <x:c r="P16" i="1"/>
  <x:c r="W16" i="1"/>
  <x:c r="U32" i="1"/>
  <x:c r="S59" i="1"/>
  <x:c r="I17" i="1"/>
  <x:c r="E86" i="1"/>
  <x:c r="G86" i="1"/>
  <x:c r="H86" i="1"/>
  <x:c r="V17" i="1" l="1"/>
  <x:c r="U16" i="1"/>
  <x:c r="T17" i="1"/>
  <x:c r="Q17" i="1"/>
  <x:c r="X32" i="1"/>
  <x:c r="U59" i="1"/>
  <x:c r="U15" i="1"/>
  <x:c r="U17" i="1" s="1"/>
  <x:c r="S17" i="1"/>
  <x:c r="R15" i="1"/>
  <x:c r="O17" i="1"/>
  <x:c r="R16" i="1"/>
  <x:c r="X16" i="1" s="1"/>
  <x:c r="Y16" i="1" s="1"/>
  <x:c r="I80" i="1"/>
  <x:c r="I75" i="1"/>
  <x:c r="G76" i="1"/>
  <x:c r="K76" i="1"/>
  <x:c r="I86" i="1"/>
  <x:c r="Y86" i="1" s="1"/>
  <x:c r="K86" i="1"/>
  <x:c r="H76" i="1"/>
  <x:c r="H89" i="1" s="1"/>
  <x:c r="H91" i="1" s="1"/>
  <x:c r="I29" i="1"/>
  <x:c r="G62" i="1"/>
  <x:c r="G64" i="1" s="1"/>
  <x:c r="G66" i="1" s="1"/>
  <x:c r="G68" i="1" s="1"/>
  <x:c r="H62" i="1"/>
  <x:c r="H64" i="1" s="1"/>
  <x:c r="H66" i="1" s="1"/>
  <x:c r="H68" i="1" s="1"/>
  <x:c r="I82" i="1" l="1"/>
  <x:c r="Y82" i="1" s="1"/>
  <x:c r="Y80" i="1"/>
  <x:c r="I30" i="1"/>
  <x:c r="Y30" i="1" s="1"/>
  <x:c r="Y29" i="1"/>
  <x:c r="X15" i="1"/>
  <x:c r="R17" i="1"/>
  <x:c r="Y32" i="1"/>
  <x:c r="X59" i="1"/>
  <x:c r="T75" i="1"/>
  <x:c r="V75" i="1"/>
  <x:c r="Q75" i="1"/>
  <x:c r="S75" i="1"/>
  <x:c r="P75" i="1"/>
  <x:c r="W75" i="1"/>
  <x:c r="O75" i="1"/>
  <x:c r="K82" i="1"/>
  <x:c r="G89" i="1"/>
  <x:c r="E62" i="1"/>
  <x:c r="E64" i="1" s="1"/>
  <x:c r="I61" i="1"/>
  <x:c r="I74" i="1"/>
  <x:c r="I41" i="1"/>
  <x:c r="Y41" i="1" s="1"/>
  <x:c r="I62" i="1"/>
  <x:c r="E76" i="1"/>
  <x:c r="E89" i="1" s="1"/>
  <x:c r="E91" i="1" s="1"/>
  <x:c r="T74" i="1" l="1"/>
  <x:c r="T76" i="1" s="1"/>
  <x:c r="Q74" i="1"/>
  <x:c r="Q76" i="1" s="1"/>
  <x:c r="S74" i="1"/>
  <x:c r="U74" i="1" s="1"/>
  <x:c r="W74" i="1"/>
  <x:c r="W76" i="1" s="1"/>
  <x:c r="V74" i="1"/>
  <x:c r="V76" i="1" s="1"/>
  <x:c r="P74" i="1"/>
  <x:c r="P76" i="1" s="1"/>
  <x:c r="O74" i="1"/>
  <x:c r="Y15" i="1"/>
  <x:c r="X17" i="1"/>
  <x:c r="Y17" i="1" s="1"/>
  <x:c r="Y59" i="1"/>
  <x:c r="U75" i="1"/>
  <x:c r="S76" i="1"/>
  <x:c r="R75" i="1"/>
  <x:c r="K62" i="1"/>
  <x:c r="K64" i="1" s="1"/>
  <x:c r="E66" i="1"/>
  <x:c r="E68" i="1" s="1"/>
  <x:c r="I64" i="1"/>
  <x:c r="I76" i="1"/>
  <x:c r="I59" i="1"/>
  <x:c r="G91" i="1"/>
  <x:c r="G93" i="1" s="1"/>
  <x:c r="G95" i="1" s="1"/>
  <x:c r="K59" i="1"/>
  <x:c r="E93" i="1"/>
  <x:c r="E95" i="1" s="1"/>
  <x:c r="I89" i="1"/>
  <x:c r="K89" i="1" s="1"/>
  <x:c r="K91" i="1" s="1"/>
  <x:c r="H93" i="1"/>
  <x:c r="H95" i="1" s="1"/>
  <x:c r="S64" i="1" l="1"/>
  <x:c r="O64" i="1"/>
  <x:c r="O66" i="1" s="1"/>
  <x:c r="O68" i="1" s="1"/>
  <x:c r="W64" i="1"/>
  <x:c r="W66" i="1" s="1"/>
  <x:c r="W68" i="1" s="1"/>
  <x:c r="Q64" i="1"/>
  <x:c r="Q66" i="1" s="1"/>
  <x:c r="Q68" i="1" s="1"/>
  <x:c r="T64" i="1"/>
  <x:c r="T66" i="1" s="1"/>
  <x:c r="T68" i="1" s="1"/>
  <x:c r="V64" i="1"/>
  <x:c r="V66" i="1" s="1"/>
  <x:c r="V68" i="1" s="1"/>
  <x:c r="P64" i="1"/>
  <x:c r="R74" i="1"/>
  <x:c r="X74" i="1" s="1"/>
  <x:c r="Y74" i="1" s="1"/>
  <x:c r="O76" i="1"/>
  <x:c r="U76" i="1"/>
  <x:c r="I66" i="1"/>
  <x:c r="I68" i="1" s="1"/>
  <x:c r="X75" i="1"/>
  <x:c r="I91" i="1"/>
  <x:c r="K66" i="1"/>
  <x:c r="E98" i="1"/>
  <x:c r="G98" i="1"/>
  <x:c r="H98" i="1"/>
  <x:c r="R64" i="1" l="1"/>
  <x:c r="P66" i="1"/>
  <x:c r="P68" i="1" s="1"/>
  <x:c r="R76" i="1"/>
  <x:c r="U64" i="1"/>
  <x:c r="U66" i="1" s="1"/>
  <x:c r="U68" i="1" s="1"/>
  <x:c r="S66" i="1"/>
  <x:c r="S68" i="1" s="1"/>
  <x:c r="I93" i="1"/>
  <x:c r="I95" i="1" s="1"/>
  <x:c r="T91" i="1"/>
  <x:c r="T93" i="1" s="1"/>
  <x:c r="T95" i="1" s="1"/>
  <x:c r="T98" i="1" s="1"/>
  <x:c r="O91" i="1"/>
  <x:c r="V91" i="1"/>
  <x:c r="V93" i="1" s="1"/>
  <x:c r="V95" i="1" s="1"/>
  <x:c r="V98" i="1" s="1"/>
  <x:c r="S91" i="1"/>
  <x:c r="P91" i="1"/>
  <x:c r="P93" i="1" s="1"/>
  <x:c r="P95" i="1" s="1"/>
  <x:c r="P98" i="1" s="1"/>
  <x:c r="W91" i="1"/>
  <x:c r="W93" i="1" s="1"/>
  <x:c r="W95" i="1" s="1"/>
  <x:c r="W98" i="1" s="1"/>
  <x:c r="Q91" i="1"/>
  <x:c r="Q93" i="1" s="1"/>
  <x:c r="Q95" i="1" s="1"/>
  <x:c r="Q98" i="1" s="1"/>
  <x:c r="Y75" i="1"/>
  <x:c r="X76" i="1"/>
  <x:c r="K93" i="1"/>
  <x:c r="K95" i="1" s="1"/>
  <x:c r="K17" i="1"/>
  <x:c r="K68" i="1" s="1"/>
  <x:c r="X64" i="1" l="1"/>
  <x:c r="R66" i="1"/>
  <x:c r="R68" i="1" s="1"/>
  <x:c r="U91" i="1"/>
  <x:c r="U93" i="1" s="1"/>
  <x:c r="U95" i="1" s="1"/>
  <x:c r="U98" i="1" s="1"/>
  <x:c r="S93" i="1"/>
  <x:c r="S95" i="1" s="1"/>
  <x:c r="S98" i="1" s="1"/>
  <x:c r="R91" i="1"/>
  <x:c r="O93" i="1"/>
  <x:c r="O95" i="1" s="1"/>
  <x:c r="O98" i="1" s="1"/>
  <x:c r="Y76" i="1"/>
  <x:c r="K98" i="1"/>
  <x:c r="I98" i="1"/>
  <x:c r="Y64" i="1" l="1"/>
  <x:c r="X66" i="1"/>
  <x:c r="R93" i="1"/>
  <x:c r="R95" i="1" s="1"/>
  <x:c r="R98" i="1" s="1"/>
  <x:c r="X91" i="1"/>
  <x:c r="X68" i="1" l="1"/>
  <x:c r="Y68" i="1" s="1"/>
  <x:c r="Y66" i="1"/>
  <x:c r="Y91" i="1"/>
  <x:c r="X93" i="1"/>
  <x:c r="Y93" i="1" l="1"/>
  <x:c r="X95" i="1"/>
  <x:c r="Y95" i="1" l="1"/>
  <x:c r="X98" i="1"/>
  <x:c r="Y98" i="1" s="1"/>
</x:calcChain>
</file>

<file path=xl/sharedStrings.xml><?xml version="1.0" encoding="utf-8"?>
<sst xmlns="http://schemas.openxmlformats.org/spreadsheetml/2006/main" count="214" uniqueCount="101">
  <si>
    <t>Oncor (excl NTU)</t>
  </si>
  <si>
    <t>Protected</t>
  </si>
  <si>
    <t>Liberalized Depreciation</t>
  </si>
  <si>
    <t>Contributions in Aid of Construction</t>
  </si>
  <si>
    <t>Test Year Amortization</t>
  </si>
  <si>
    <t>Sec 1031 LKE Basis Difference</t>
  </si>
  <si>
    <t>Audit Adjustments</t>
  </si>
  <si>
    <t>AFUDC Debt</t>
  </si>
  <si>
    <t>Casualty Losses</t>
  </si>
  <si>
    <t>Software</t>
  </si>
  <si>
    <t>Repair Expense</t>
  </si>
  <si>
    <t>Mixed Service Cost</t>
  </si>
  <si>
    <t>Tax Capitalized Interest</t>
  </si>
  <si>
    <t>Bad Debts</t>
  </si>
  <si>
    <t>Deferred Revenue - AMS - FBOS</t>
  </si>
  <si>
    <t>Vacation Pay Accrual</t>
  </si>
  <si>
    <t>Performance Enhancement Plan</t>
  </si>
  <si>
    <t>Deferred Unbilled TCRF/EECRF Reg Liability</t>
  </si>
  <si>
    <t>Reg Asset - TCRF</t>
  </si>
  <si>
    <t>IBNR - Medical/PIPD</t>
  </si>
  <si>
    <t>Supplemental Retirement Plan</t>
  </si>
  <si>
    <t>LTIP Amortization</t>
  </si>
  <si>
    <t>OPEB FAS 106</t>
  </si>
  <si>
    <t>OPEB FAS 112</t>
  </si>
  <si>
    <t>Amo of Organizational Expenditures</t>
  </si>
  <si>
    <t>Prepaid Insurance</t>
  </si>
  <si>
    <t>Provision for Self Insurance</t>
  </si>
  <si>
    <t>Deferred Revenue - AMS Fed</t>
  </si>
  <si>
    <t>Regulatory Asset for Employee Benefit</t>
  </si>
  <si>
    <t>Reg Asset Costs - AMS Meters</t>
  </si>
  <si>
    <t>Regulatory Asset for Deferred Depreciation</t>
  </si>
  <si>
    <t>Debt Recall Premium and Expense</t>
  </si>
  <si>
    <t>Reg Asset - Defaulted REPs</t>
  </si>
  <si>
    <t>Reg Asset - Local Gross Receipts Taxes</t>
  </si>
  <si>
    <t>Reg Asset - Sharyland Whlsle Dist Sub Tariff</t>
  </si>
  <si>
    <t>Reg Asset Workers Comp</t>
  </si>
  <si>
    <t>Rate Case Expense</t>
  </si>
  <si>
    <t>Non-plant-related</t>
  </si>
  <si>
    <t>Plant-related</t>
  </si>
  <si>
    <t>Total Excess Deferrred Taxes</t>
  </si>
  <si>
    <t>Protected excess returned in rates</t>
  </si>
  <si>
    <t>Excess Reserve</t>
  </si>
  <si>
    <t>Amortization Method</t>
  </si>
  <si>
    <t>ARAM</t>
  </si>
  <si>
    <t>Total Protected</t>
  </si>
  <si>
    <t>NTU</t>
  </si>
  <si>
    <t>Basis Differences In-service</t>
  </si>
  <si>
    <t>Basis Differences CWIP</t>
  </si>
  <si>
    <t>Capitalized Intangibles</t>
  </si>
  <si>
    <t>Transaction Costs</t>
  </si>
  <si>
    <t>Total Oncor including NTU Excess Deferred Taxes</t>
  </si>
  <si>
    <t>Page 1 of 1</t>
  </si>
  <si>
    <t>ONCOR ELECTRIC DELIVERY COMPANY LLC</t>
  </si>
  <si>
    <t>SPONSOR:  B. L. CLUTTER</t>
  </si>
  <si>
    <t>WP/II-E-3.19</t>
  </si>
  <si>
    <t>ANALYSIS OF EXCESS DEFERRED TAXES BY TIMING DIFFERENCE</t>
  </si>
  <si>
    <t>Other Basis Differences</t>
  </si>
  <si>
    <t>Non-protected</t>
  </si>
  <si>
    <t>Total Non-protected</t>
  </si>
  <si>
    <t>Balance at 12/31/21</t>
  </si>
  <si>
    <t>Amo period</t>
  </si>
  <si>
    <t>2022 Amortization</t>
  </si>
  <si>
    <t>2023 Amortization</t>
  </si>
  <si>
    <t>2024 Amortization</t>
  </si>
  <si>
    <t>Balance at 12/31/24</t>
  </si>
  <si>
    <t>Cost of Removal</t>
  </si>
  <si>
    <t>COR Breakout</t>
  </si>
  <si>
    <t>2025 RATE CASE</t>
  </si>
  <si>
    <t>TEST YEAR ENDING DECEMBER 31, 2024</t>
  </si>
  <si>
    <t>Continue 5 yr amo from Docket No. 53601</t>
  </si>
  <si>
    <t>Salary Deferral Plan</t>
  </si>
  <si>
    <t>Pension Plan</t>
  </si>
  <si>
    <t>Protected excess reserve amortized</t>
  </si>
  <si>
    <t>Less: Protected excess amortized</t>
  </si>
  <si>
    <t>Follow asset book life</t>
  </si>
  <si>
    <t>Follow asset book lives</t>
  </si>
  <si>
    <t>TRAN</t>
  </si>
  <si>
    <t>NTU
TRAN</t>
  </si>
  <si>
    <t>DC
TIE</t>
  </si>
  <si>
    <t>Consol
TRAN</t>
  </si>
  <si>
    <t>DIST</t>
  </si>
  <si>
    <t>NTU
DIST</t>
  </si>
  <si>
    <t>Consol
DIST</t>
  </si>
  <si>
    <t>MET</t>
  </si>
  <si>
    <t>TDCS</t>
  </si>
  <si>
    <t>Total</t>
  </si>
  <si>
    <t>Functionalization Factor</t>
  </si>
  <si>
    <t>PLTSVC-ONC</t>
  </si>
  <si>
    <t>PLTSVC-ONC (Dkt 53601)</t>
  </si>
  <si>
    <t>PLTSVC-NTU</t>
  </si>
  <si>
    <t>PLTSVC-NTU (Dkt 53601)</t>
  </si>
  <si>
    <t>Direct Assignment</t>
  </si>
  <si>
    <t>PAYXAG (Dkt 53601)</t>
  </si>
  <si>
    <t>A925 (Dkt 53601)</t>
  </si>
  <si>
    <t>A926 (Dkt 53601)</t>
  </si>
  <si>
    <t>A920 (Dkt 53601)</t>
  </si>
  <si>
    <t>TCS_ONC (Dkt 53601)</t>
  </si>
  <si>
    <t>Sync_Int (Dkt 53601)</t>
  </si>
  <si>
    <t>A165 (Dkt 53601)</t>
  </si>
  <si>
    <t>Line No.</t>
  </si>
  <si>
    <t>Gain/Loss on 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</si>
</sst>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164" fontId="2" fillId="0" borderId="0" xfId="1" applyNumberFormat="1" applyFont="1"/>
    <xf numFmtId="164" fontId="2" fillId="0" borderId="0" xfId="0" applyNumberFormat="1" applyFont="1"/>
    <xf numFmtId="164" fontId="2" fillId="0" borderId="2" xfId="1" applyNumberFormat="1" applyFont="1" applyBorder="1"/>
    <xf numFmtId="164" fontId="2" fillId="0" borderId="2" xfId="0" applyNumberFormat="1" applyFont="1" applyBorder="1"/>
    <xf numFmtId="164" fontId="4" fillId="0" borderId="2" xfId="0" applyNumberFormat="1" applyFont="1" applyBorder="1"/>
    <xf numFmtId="164" fontId="4" fillId="0" borderId="2" xfId="1" applyNumberFormat="1" applyFont="1" applyBorder="1"/>
    <xf numFmtId="164" fontId="4" fillId="0" borderId="3" xfId="0" applyNumberFormat="1" applyFont="1" applyBorder="1"/>
    <xf numFmtId="0" fontId="2" fillId="0" borderId="0" xfId="0" applyFont="1" applyFill="1"/>
    <xf numFmtId="164" fontId="2" fillId="0" borderId="0" xfId="0" applyNumberFormat="1" applyFont="1" applyFill="1"/>
    <xf numFmtId="164" fontId="2" fillId="0" borderId="0" xfId="1" applyNumberFormat="1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Border="1"/>
    <xf numFmtId="0" fontId="2" fillId="0" borderId="0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64" fontId="4" fillId="0" borderId="2" xfId="1" applyNumberFormat="1" applyFont="1" applyFill="1" applyBorder="1"/>
    <xf numFmtId="164" fontId="2" fillId="0" borderId="2" xfId="1" applyNumberFormat="1" applyFont="1" applyFill="1" applyBorder="1"/>
    <xf numFmtId="164" fontId="2" fillId="0" borderId="2" xfId="0" applyNumberFormat="1" applyFont="1" applyFill="1" applyBorder="1"/>
    <xf numFmtId="164" fontId="4" fillId="0" borderId="2" xfId="0" applyNumberFormat="1" applyFont="1" applyFill="1" applyBorder="1"/>
    <xf numFmtId="164" fontId="4" fillId="0" borderId="3" xfId="0" applyNumberFormat="1" applyFont="1" applyFill="1" applyBorder="1"/>
    <xf numFmtId="0" fontId="2" fillId="0" borderId="0" xfId="0" applyFont="1" applyFill="1" applyBorder="1" applyAlignment="1">
      <alignment horizontal="center" wrapText="1"/>
    </xf>
    <xf numFmtId="0" fontId="2" fillId="0" borderId="0" xfId="2" applyFont="1" applyFill="1"/>
    <xf numFmtId="0" fontId="5" fillId="0" borderId="0" xfId="0" applyFont="1" applyAlignment="1"/>
    <xf numFmtId="43" fontId="2" fillId="0" borderId="0" xfId="1" applyFont="1"/>
    <xf numFmtId="43" fontId="2" fillId="0" borderId="0" xfId="1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left"/>
    </xf>
    <xf numFmtId="0" fontId="7" fillId="0" borderId="1" xfId="0" applyFont="1" applyBorder="1" applyAlignment="1">
      <alignment horizontal="center"/>
    </xf>
    <xf numFmtId="41" fontId="2" fillId="0" borderId="0" xfId="3" applyFont="1"/>
    <xf numFmtId="41" fontId="2" fillId="0" borderId="0" xfId="3" applyFont="1" applyFill="1"/>
    <xf numFmtId="41" fontId="4" fillId="0" borderId="2" xfId="3" applyFont="1" applyBorder="1"/>
    <xf numFmtId="41" fontId="2" fillId="0" borderId="2" xfId="3" applyFont="1" applyBorder="1"/>
    <xf numFmtId="41" fontId="4" fillId="0" borderId="3" xfId="3" applyFont="1" applyBorder="1"/>
    <xf numFmtId="165" fontId="8" fillId="0" borderId="0" xfId="0" applyNumberFormat="1" applyFont="1"/>
    <xf numFmtId="165" fontId="8" fillId="0" borderId="0" xfId="3" applyNumberFormat="1" applyFont="1"/>
    <xf numFmtId="0" fontId="5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/>
    <xf numFmtId="41" fontId="7" fillId="0" borderId="0" xfId="1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2" fillId="0" borderId="1" xfId="0" applyFont="1" applyBorder="1"/>
    <xf numFmtId="165" fontId="8" fillId="0" borderId="0" xfId="0" applyNumberFormat="1" applyFont="1" applyFill="1"/>
    <xf numFmtId="0" fontId="5" fillId="0" borderId="0" xfId="0" applyFont="1" applyAlignment="1">
      <alignment horizontal="center"/>
    </xf>
  </cellXfs>
  <cellStyles count="4">
    <cellStyle name="Comma" xfId="1" builtinId="3"/>
    <cellStyle name="Comma [0]" xfId="3" builtinId="6"/>
    <cellStyle name="Normal" xfId="0" builtinId="0"/>
    <cellStyle name="Normal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%20Rate%20Case/Section%20II%20(Test%20Year%20Data)/Schedule%20F%20(Functionalization%20Factors)/Schedule%20II-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F Alloc_Data"/>
      <sheetName val="II-F Alloc_Factor"/>
    </sheetNames>
    <sheetDataSet>
      <sheetData sheetId="0"/>
      <sheetData sheetId="1"/>
      <sheetData sheetId="2">
        <row r="38">
          <cell r="E38">
            <v>0.45458274033396245</v>
          </cell>
          <cell r="F38">
            <v>0</v>
          </cell>
          <cell r="G38">
            <v>3.9054368052814981E-4</v>
          </cell>
          <cell r="I38">
            <v>0.51917908223557052</v>
          </cell>
          <cell r="J38">
            <v>0</v>
          </cell>
          <cell r="L38">
            <v>1.5560787538446273E-2</v>
          </cell>
          <cell r="M38">
            <v>1.0286846211492508E-2</v>
          </cell>
        </row>
        <row r="39">
          <cell r="E39">
            <v>0</v>
          </cell>
          <cell r="F39">
            <v>0.92603381578170541</v>
          </cell>
          <cell r="G39">
            <v>0</v>
          </cell>
          <cell r="I39">
            <v>0</v>
          </cell>
          <cell r="J39">
            <v>7.3966184218294553E-2</v>
          </cell>
          <cell r="L39">
            <v>0</v>
          </cell>
          <cell r="M3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AA107"/>
  <x:sheetViews>
    <x:sheetView tabSelected="1" zoomScale="80" zoomScaleNormal="80" workbookViewId="0">
      <x:pane ySplit="13" topLeftCell="A14" activePane="bottomLeft" state="frozen"/>
      <x:selection pane="bottomLeft" activeCell="A14" sqref="A14"/>
    </x:sheetView>
  </x:sheetViews>
  <x:sheetFormatPr defaultColWidth="8.7265625" defaultRowHeight="12.5" x14ac:dyDescent="0.25"/>
  <x:cols>
    <x:col min="1" max="1" width="8.54296875" style="2" customWidth="1"/>
    <x:col min="2" max="2" width="1.54296875" style="2" customWidth="1"/>
    <x:col min="3" max="3" width="40.81640625" style="2" customWidth="1"/>
    <x:col min="4" max="8" width="14.54296875" style="2" customWidth="1"/>
    <x:col min="9" max="9" width="18.7265625" style="11" bestFit="1" customWidth="1"/>
    <x:col min="10" max="10" width="2.453125" style="11" customWidth="1"/>
    <x:col min="11" max="11" width="14.54296875" style="11" customWidth="1"/>
    <x:col min="12" max="12" width="2.54296875" style="2" customWidth="1"/>
    <x:col min="13" max="13" width="35.7265625" style="14" customWidth="1"/>
    <x:col min="14" max="14" width="24.453125" style="43" bestFit="1" customWidth="1"/>
    <x:col min="15" max="15" width="14.26953125" style="2" bestFit="1" customWidth="1"/>
    <x:col min="16" max="16" width="12.453125" style="2" bestFit="1" customWidth="1"/>
    <x:col min="17" max="17" width="10.26953125" style="2" bestFit="1" customWidth="1"/>
    <x:col min="18" max="19" width="14.26953125" style="2" bestFit="1" customWidth="1"/>
    <x:col min="20" max="20" width="11.453125" style="2" bestFit="1" customWidth="1"/>
    <x:col min="21" max="21" width="14.26953125" style="2" bestFit="1" customWidth="1"/>
    <x:col min="22" max="23" width="13" style="2" bestFit="1" customWidth="1"/>
    <x:col min="24" max="24" width="15.81640625" style="2" bestFit="1" customWidth="1"/>
    <x:col min="25" max="25" width="7.453125" style="2" bestFit="1" customWidth="1"/>
    <x:col min="26" max="16384" width="8.7265625" style="2"/>
  </x:cols>
  <x:sheetData>
    <x:row r="1" spans="1:27" ht="14.5" x14ac:dyDescent="0.35">
      <x:c r="B1" s="15"/>
      <x:c r="C1"/>
      <x:c r="D1"/>
      <x:c r="E1"/>
      <x:c r="F1"/>
      <x:c r="G1" s="16"/>
      <x:c r="N1" s="42"/>
      <x:c r="X1" s="17" t="s">
        <x:v>54</x:v>
      </x:c>
      <x:c r="Z1" s="11" t="s">
        <x:v>60</x:v>
      </x:c>
      <x:c r="AA1" s="11">
        <x:v>5</x:v>
      </x:c>
    </x:row>
    <x:row r="2" spans="1:27" ht="14.5" x14ac:dyDescent="0.35">
      <x:c r="B2" s="15"/>
      <x:c r="C2"/>
      <x:c r="D2"/>
      <x:c r="E2"/>
      <x:c r="F2"/>
      <x:c r="G2" s="16"/>
      <x:c r="N2" s="42"/>
      <x:c r="X2" s="17" t="s">
        <x:v>51</x:v>
      </x:c>
    </x:row>
    <x:row r="3" spans="1:27" ht="14.5" x14ac:dyDescent="0.35">
      <x:c r="B3" s="15"/>
      <x:c r="C3"/>
      <x:c r="D3"/>
      <x:c r="E3"/>
      <x:c r="F3"/>
      <x:c r="G3" s="18"/>
      <x:c r="H3"/>
    </x:row>
    <x:row r="4" spans="1:27" ht="14.5" customHeight="1" x14ac:dyDescent="0.3">
      <x:c r="A4" s="50" t="s">
        <x:v>67</x:v>
      </x:c>
      <x:c r="B4" s="50"/>
      <x:c r="C4" s="50"/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  <x:c r="X4" s="50"/>
    </x:row>
    <x:row r="5" spans="1:27" ht="14.5" customHeight="1" x14ac:dyDescent="0.3">
      <x:c r="A5" s="50" t="s">
        <x:v>52</x:v>
      </x:c>
      <x:c r="B5" s="50"/>
      <x:c r="C5" s="50"/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  <x:c r="X5" s="50"/>
    </x:row>
    <x:row r="6" spans="1:27" ht="14.5" customHeight="1" x14ac:dyDescent="0.3">
      <x:c r="A6" s="50" t="s">
        <x:v>55</x:v>
      </x:c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</x:row>
    <x:row r="7" spans="1:27" ht="14.5" customHeight="1" x14ac:dyDescent="0.3">
      <x:c r="A7" s="50" t="s">
        <x:v>68</x:v>
      </x:c>
      <x:c r="B7" s="50"/>
      <x:c r="C7" s="50"/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  <x:c r="X7" s="50"/>
    </x:row>
    <x:row r="8" spans="1:27" ht="14.5" customHeight="1" x14ac:dyDescent="0.3">
      <x:c r="A8" s="50" t="s">
        <x:v>53</x:v>
      </x:c>
      <x:c r="B8" s="50"/>
      <x:c r="C8" s="50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  <x:c r="X8" s="50"/>
    </x:row>
    <x:row r="10" spans="1:27" ht="13" x14ac:dyDescent="0.3">
      <x:c r="E10" s="28"/>
      <x:c r="F10" s="28"/>
      <x:c r="G10" s="28"/>
      <x:c r="H10" s="28"/>
      <x:c r="I10" s="28"/>
      <x:c r="J10" s="28"/>
      <x:c r="K10" s="28"/>
      <x:c r="L10" s="28"/>
      <x:c r="M10" s="28"/>
      <x:c r="N10" s="44"/>
      <x:c r="O10" s="28"/>
      <x:c r="P10" s="28"/>
      <x:c r="Q10" s="28"/>
      <x:c r="R10" s="28"/>
    </x:row>
    <x:row r="13" spans="1:27" ht="25" x14ac:dyDescent="0.25">
      <x:c r="A13" s="48" t="s">
        <x:v>99</x:v>
      </x:c>
      <x:c r="B13" s="1" t="s">
        <x:v>0</x:v>
      </x:c>
      <x:c r="D13" s="3" t="s">
        <x:v>59</x:v>
      </x:c>
      <x:c r="E13" s="3" t="s">
        <x:v>61</x:v>
      </x:c>
      <x:c r="F13" s="20" t="s">
        <x:v>66</x:v>
      </x:c>
      <x:c r="G13" s="20" t="s">
        <x:v>62</x:v>
      </x:c>
      <x:c r="H13" s="20" t="s">
        <x:v>63</x:v>
      </x:c>
      <x:c r="I13" s="20" t="s">
        <x:v>64</x:v>
      </x:c>
      <x:c r="K13" s="20" t="s">
        <x:v>4</x:v>
      </x:c>
      <x:c r="M13" s="3" t="s">
        <x:v>42</x:v>
      </x:c>
      <x:c r="N13" s="20" t="s">
        <x:v>86</x:v>
      </x:c>
      <x:c r="O13" s="34" t="s">
        <x:v>76</x:v>
      </x:c>
      <x:c r="P13" s="34" t="s">
        <x:v>77</x:v>
      </x:c>
      <x:c r="Q13" s="34" t="s">
        <x:v>78</x:v>
      </x:c>
      <x:c r="R13" s="34" t="s">
        <x:v>79</x:v>
      </x:c>
      <x:c r="S13" s="34" t="s">
        <x:v>80</x:v>
      </x:c>
      <x:c r="T13" s="34" t="s">
        <x:v>81</x:v>
      </x:c>
      <x:c r="U13" s="34" t="s">
        <x:v>82</x:v>
      </x:c>
      <x:c r="V13" s="34" t="s">
        <x:v>83</x:v>
      </x:c>
      <x:c r="W13" s="34" t="s">
        <x:v>84</x:v>
      </x:c>
      <x:c r="X13" s="34" t="s">
        <x:v>85</x:v>
      </x:c>
    </x:row>
    <x:row r="14" spans="1:27" x14ac:dyDescent="0.25">
      <x:c r="A14" s="14">
        <x:v>1</x:v>
      </x:c>
      <x:c r="B14" s="2" t="s">
        <x:v>1</x:v>
      </x:c>
    </x:row>
    <x:row r="15" spans="1:27" x14ac:dyDescent="0.25">
      <x:c r="A15" s="14">
        <x:f>+A14+1</x:f>
        <x:v>2</x:v>
      </x:c>
      <x:c r="C15" s="2" t="s">
        <x:v>2</x:v>
      </x:c>
      <x:c r="D15" s="4">
        <x:v>-937108747</x:v>
      </x:c>
      <x:c r="E15" s="4">
        <x:f>-918171065.62-D15</x:f>
        <x:v>18937681.379999995</x:v>
      </x:c>
      <x:c r="F15" s="4">
        <x:v>-139819205.16999999</x:v>
      </x:c>
      <x:c r="G15" s="4">
        <x:v>16632467</x:v>
      </x:c>
      <x:c r="H15" s="4">
        <x:v>17461191.489999998</x:v>
      </x:c>
      <x:c r="I15" s="13">
        <x:f>SUM(D15:H15)</x:f>
        <x:v>-1023896612.3</x:v>
      </x:c>
      <x:c r="K15" s="12">
        <x:f>+H15</x:f>
        <x:v>17461191.489999998</x:v>
      </x:c>
      <x:c r="M15" s="14" t="s">
        <x:v>43</x:v>
      </x:c>
      <x:c r="N15" s="45" t="s">
        <x:v>87</x:v>
      </x:c>
      <x:c r="O15" s="35">
        <x:f>ROUND($I15*'[1]II-F Alloc_Factor'!E$38,2)</x:f>
        <x:v>-465445727.83999997</x:v>
      </x:c>
      <x:c r="P15" s="35">
        <x:f>ROUND($I15*'[1]II-F Alloc_Factor'!F$38,2)</x:f>
        <x:v>0</x:v>
      </x:c>
      <x:c r="Q15" s="35">
        <x:f>ROUND($I15*'[1]II-F Alloc_Factor'!G$38,2)</x:f>
        <x:v>-399876.35</x:v>
      </x:c>
      <x:c r="R15" s="35">
        <x:f>SUM(O15:Q15)</x:f>
        <x:v>-465845604.19</x:v>
      </x:c>
      <x:c r="S15" s="35">
        <x:f>ROUND($I15*'[1]II-F Alloc_Factor'!I$38,2)</x:f>
        <x:v>-531585703.48000002</x:v>
      </x:c>
      <x:c r="T15" s="35">
        <x:f>ROUND($I15*'[1]II-F Alloc_Factor'!J$38,2)</x:f>
        <x:v>0</x:v>
      </x:c>
      <x:c r="U15" s="35">
        <x:f>SUM(S15:T15)</x:f>
        <x:v>-531585703.48000002</x:v>
      </x:c>
      <x:c r="V15" s="35">
        <x:f>ROUND($I15*'[1]II-F Alloc_Factor'!L$38,2)</x:f>
        <x:v>-15932637.65</x:v>
      </x:c>
      <x:c r="W15" s="35">
        <x:f>ROUND($I15*'[1]II-F Alloc_Factor'!M$38,2)</x:f>
        <x:v>-10532666.99</x:v>
      </x:c>
      <x:c r="X15" s="35">
        <x:f>R15+U15+V15+W15</x:f>
        <x:v>-1023896612.3100001</x:v>
      </x:c>
      <x:c r="Y15" s="40">
        <x:f>X15-I15</x:f>
        <x:v>-1.0000109672546387E-2</x:v>
      </x:c>
    </x:row>
    <x:row r="16" spans="1:27" x14ac:dyDescent="0.25">
      <x:c r="A16" s="14">
        <x:f t="shared" ref="A16:A79" si="0">+A15+1</x:f>
        <x:v>3</x:v>
      </x:c>
      <x:c r="C16" s="2" t="s">
        <x:v>3</x:v>
      </x:c>
      <x:c r="D16" s="4">
        <x:v>18572014.609999999</x:v>
      </x:c>
      <x:c r="E16" s="4">
        <x:v>-2537257.2799999998</x:v>
      </x:c>
      <x:c r="F16" s="4"/>
      <x:c r="G16" s="4">
        <x:v>-2270987.15</x:v>
      </x:c>
      <x:c r="H16" s="4">
        <x:v>-2175066.63</x:v>
      </x:c>
      <x:c r="I16" s="13">
        <x:f>SUM(D16:H16)</x:f>
        <x:v>11588703.550000001</x:v>
      </x:c>
      <x:c r="K16" s="12">
        <x:f>+H16</x:f>
        <x:v>-2175066.63</x:v>
      </x:c>
      <x:c r="M16" s="14" t="s">
        <x:v>43</x:v>
      </x:c>
      <x:c r="N16" s="45" t="s">
        <x:v>87</x:v>
      </x:c>
      <x:c r="O16" s="35">
        <x:f>ROUND($I16*'[1]II-F Alloc_Factor'!E$38,2)</x:f>
        <x:v>5268024.62</x:v>
      </x:c>
      <x:c r="P16" s="35">
        <x:f>ROUND($I16*'[1]II-F Alloc_Factor'!F$38,2)</x:f>
        <x:v>0</x:v>
      </x:c>
      <x:c r="Q16" s="35">
        <x:f>ROUND($I16*'[1]II-F Alloc_Factor'!G$38,2)</x:f>
        <x:v>4525.8900000000003</x:v>
      </x:c>
      <x:c r="R16" s="35">
        <x:f>SUM(O16:Q16)</x:f>
        <x:v>5272550.51</x:v>
      </x:c>
      <x:c r="S16" s="35">
        <x:f>ROUND($I16*'[1]II-F Alloc_Factor'!I$38,2)+0.01</x:f>
        <x:v>6016612.4799999995</x:v>
      </x:c>
      <x:c r="T16" s="35">
        <x:f>ROUND($I16*'[1]II-F Alloc_Factor'!J$38,2)</x:f>
        <x:v>0</x:v>
      </x:c>
      <x:c r="U16" s="35">
        <x:f>SUM(S16:T16)</x:f>
        <x:v>6016612.4799999995</x:v>
      </x:c>
      <x:c r="V16" s="35">
        <x:f>ROUND($I16*'[1]II-F Alloc_Factor'!L$38,2)</x:f>
        <x:v>180329.35</x:v>
      </x:c>
      <x:c r="W16" s="35">
        <x:f>ROUND($I16*'[1]II-F Alloc_Factor'!M$38,2)</x:f>
        <x:v>119211.21</x:v>
      </x:c>
      <x:c r="X16" s="35">
        <x:f>R16+U16+V16+W16</x:f>
        <x:v>11588703.549999999</x:v>
      </x:c>
      <x:c r="Y16" s="40">
        <x:f t="shared" ref="Y16:Y79" si="1">X16-I16</x:f>
        <x:v>0</x:v>
      </x:c>
    </x:row>
    <x:row r="17" spans="1:25" ht="13" x14ac:dyDescent="0.3">
      <x:c r="A17" s="14">
        <x:f t="shared" si="0"/>
        <x:v>4</x:v>
      </x:c>
      <x:c r="B17" s="2" t="s">
        <x:v>44</x:v>
      </x:c>
      <x:c r="D17" s="9">
        <x:f t="shared" ref="D17:K17" si="2">SUM(D15:D16)</x:f>
        <x:v>-918536732.38999999</x:v>
      </x:c>
      <x:c r="E17" s="9">
        <x:f t="shared" si="2"/>
        <x:v>16400424.099999996</x:v>
      </x:c>
      <x:c r="F17" s="9">
        <x:f t="shared" si="2"/>
        <x:v>-139819205.16999999</x:v>
      </x:c>
      <x:c r="G17" s="9">
        <x:f t="shared" si="2"/>
        <x:v>14361479.85</x:v>
      </x:c>
      <x:c r="H17" s="9">
        <x:f t="shared" si="2"/>
        <x:v>15286124.859999999</x:v>
      </x:c>
      <x:c r="I17" s="9">
        <x:f t="shared" si="2"/>
        <x:v>-1012307908.75</x:v>
      </x:c>
      <x:c r="K17" s="21">
        <x:f t="shared" si="2"/>
        <x:v>15286124.859999999</x:v>
      </x:c>
      <x:c r="O17" s="37">
        <x:f t="shared" ref="O17:X17" si="3">SUM(O15:O16)</x:f>
        <x:v>-460177703.21999997</x:v>
      </x:c>
      <x:c r="P17" s="37">
        <x:f t="shared" si="3"/>
        <x:v>0</x:v>
      </x:c>
      <x:c r="Q17" s="37">
        <x:f t="shared" si="3"/>
        <x:v>-395350.45999999996</x:v>
      </x:c>
      <x:c r="R17" s="37">
        <x:f t="shared" si="3"/>
        <x:v>-460573053.68000001</x:v>
      </x:c>
      <x:c r="S17" s="37">
        <x:f t="shared" si="3"/>
        <x:v>-525569091</x:v>
      </x:c>
      <x:c r="T17" s="37">
        <x:f t="shared" si="3"/>
        <x:v>0</x:v>
      </x:c>
      <x:c r="U17" s="37">
        <x:f t="shared" si="3"/>
        <x:v>-525569091</x:v>
      </x:c>
      <x:c r="V17" s="37">
        <x:f t="shared" si="3"/>
        <x:v>-15752308.300000001</x:v>
      </x:c>
      <x:c r="W17" s="37">
        <x:f t="shared" si="3"/>
        <x:v>-10413455.779999999</x:v>
      </x:c>
      <x:c r="X17" s="37">
        <x:f t="shared" si="3"/>
        <x:v>-1012307908.7600001</x:v>
      </x:c>
      <x:c r="Y17" s="40">
        <x:f t="shared" si="1"/>
        <x:v>-1.0000109672546387E-2</x:v>
      </x:c>
    </x:row>
    <x:row r="18" spans="1:25" x14ac:dyDescent="0.25">
      <x:c r="A18" s="14">
        <x:f t="shared" si="0"/>
        <x:v>5</x:v>
      </x:c>
      <x:c r="O18" s="36"/>
      <x:c r="P18" s="36"/>
      <x:c r="Q18" s="36"/>
      <x:c r="R18" s="36"/>
      <x:c r="S18" s="36"/>
      <x:c r="T18" s="35"/>
      <x:c r="U18" s="35"/>
      <x:c r="V18" s="35"/>
      <x:c r="W18" s="35"/>
      <x:c r="X18" s="35"/>
      <x:c r="Y18" s="40">
        <x:f t="shared" si="1"/>
        <x:v>0</x:v>
      </x:c>
    </x:row>
    <x:row r="19" spans="1:25" x14ac:dyDescent="0.25">
      <x:c r="A19" s="14">
        <x:f t="shared" si="0"/>
        <x:v>6</x:v>
      </x:c>
      <x:c r="B19" s="2" t="s">
        <x:v>57</x:v>
      </x:c>
      <x:c r="O19" s="36"/>
      <x:c r="P19" s="36"/>
      <x:c r="Q19" s="36"/>
      <x:c r="R19" s="36"/>
      <x:c r="S19" s="36"/>
      <x:c r="T19" s="35"/>
      <x:c r="U19" s="35"/>
      <x:c r="V19" s="35"/>
      <x:c r="W19" s="35"/>
      <x:c r="X19" s="35"/>
      <x:c r="Y19" s="40">
        <x:f t="shared" si="1"/>
        <x:v>0</x:v>
      </x:c>
    </x:row>
    <x:row r="20" spans="1:25" x14ac:dyDescent="0.25">
      <x:c r="A20" s="14">
        <x:f t="shared" si="0"/>
        <x:v>7</x:v>
      </x:c>
      <x:c r="C20" s="2" t="s">
        <x:v>65</x:v>
      </x:c>
      <x:c r="D20" s="29">
        <x:v>0</x:v>
      </x:c>
      <x:c r="E20" s="29">
        <x:v>0</x:v>
      </x:c>
      <x:c r="F20" s="5">
        <x:f>-F15</x:f>
        <x:v>139819205.16999999</x:v>
      </x:c>
      <x:c r="G20" s="4">
        <x:v>-3355158.02</x:v>
      </x:c>
      <x:c r="H20" s="4">
        <x:v>-3354497.06</x:v>
      </x:c>
      <x:c r="I20" s="13">
        <x:f t="shared" ref="I20:I29" si="4">SUM(D20:H20)</x:f>
        <x:v>133109550.08999997</x:v>
      </x:c>
      <x:c r="K20" s="12">
        <x:f>+H20</x:f>
        <x:v>-3354497.06</x:v>
      </x:c>
      <x:c r="M20" s="14" t="s">
        <x:v>74</x:v>
      </x:c>
      <x:c r="N20" s="45" t="s">
        <x:v>87</x:v>
      </x:c>
      <x:c r="O20" s="35">
        <x:f>ROUND($I20*'[1]II-F Alloc_Factor'!E$38,2)</x:f>
        <x:v>60509304.039999999</x:v>
      </x:c>
      <x:c r="P20" s="35">
        <x:f>ROUND($I20*'[1]II-F Alloc_Factor'!F$38,2)</x:f>
        <x:v>0</x:v>
      </x:c>
      <x:c r="Q20" s="35">
        <x:f>ROUND($I20*'[1]II-F Alloc_Factor'!G$38,2)</x:f>
        <x:v>51985.09</x:v>
      </x:c>
      <x:c r="R20" s="35">
        <x:f>SUM(O20:Q20)</x:f>
        <x:v>60561289.130000003</x:v>
      </x:c>
      <x:c r="S20" s="35">
        <x:f>ROUND($I20*'[1]II-F Alloc_Factor'!I$38,2)+0.01</x:f>
        <x:v>69107694.060000002</x:v>
      </x:c>
      <x:c r="T20" s="35">
        <x:f>ROUND($I20*'[1]II-F Alloc_Factor'!J$38,2)</x:f>
        <x:v>0</x:v>
      </x:c>
      <x:c r="U20" s="35">
        <x:f>SUM(S20:T20)</x:f>
        <x:v>69107694.060000002</x:v>
      </x:c>
      <x:c r="V20" s="35">
        <x:f>ROUND($I20*'[1]II-F Alloc_Factor'!L$38,2)</x:f>
        <x:v>2071289.43</x:v>
      </x:c>
      <x:c r="W20" s="35">
        <x:f>ROUND($I20*'[1]II-F Alloc_Factor'!M$38,2)</x:f>
        <x:v>1369277.47</x:v>
      </x:c>
      <x:c r="X20" s="35">
        <x:f>R20+U20+V20+W20</x:f>
        <x:v>133109550.09</x:v>
      </x:c>
      <x:c r="Y20" s="40">
        <x:f t="shared" si="1"/>
        <x:v>0</x:v>
      </x:c>
    </x:row>
    <x:row r="21" spans="1:25" s="11" customFormat="1" x14ac:dyDescent="0.25">
      <x:c r="A21" s="43">
        <x:f t="shared" si="0"/>
        <x:v>8</x:v>
      </x:c>
      <x:c r="C21" s="11" t="s">
        <x:v>5</x:v>
      </x:c>
      <x:c r="D21" s="13">
        <x:v>-18509030</x:v>
      </x:c>
      <x:c r="E21" s="13">
        <x:v>2720056.49</x:v>
      </x:c>
      <x:c r="F21" s="13"/>
      <x:c r="G21" s="13">
        <x:v>3368212.49</x:v>
      </x:c>
      <x:c r="H21" s="13">
        <x:v>3701806</x:v>
      </x:c>
      <x:c r="I21" s="13">
        <x:f t="shared" si="4"/>
        <x:v>-8718955.0199999996</x:v>
      </x:c>
      <x:c r="K21" s="12">
        <x:f>+H21</x:f>
        <x:v>3701806</x:v>
      </x:c>
      <x:c r="M21" s="33" t="s">
        <x:v>69</x:v>
      </x:c>
      <x:c r="N21" s="45" t="s">
        <x:v>88</x:v>
      </x:c>
      <x:c r="O21" s="36">
        <x:v>-4047621.81</x:v>
      </x:c>
      <x:c r="P21" s="36">
        <x:v>0</x:v>
      </x:c>
      <x:c r="Q21" s="36">
        <x:v>-5163.88</x:v>
      </x:c>
      <x:c r="R21" s="36">
        <x:f t="shared" ref="R21" si="5">SUM(O21:Q21)</x:f>
        <x:v>-4052785.69</x:v>
      </x:c>
      <x:c r="S21" s="36">
        <x:v>-4389583.0599999996</x:v>
      </x:c>
      <x:c r="T21" s="36">
        <x:v>0</x:v>
      </x:c>
      <x:c r="U21" s="36">
        <x:f t="shared" ref="U21" si="6">SUM(S21:T21)</x:f>
        <x:v>-4389583.0599999996</x:v>
      </x:c>
      <x:c r="V21" s="36">
        <x:v>-149284.25</x:v>
      </x:c>
      <x:c r="W21" s="36">
        <x:v>-127302.02</x:v>
      </x:c>
      <x:c r="X21" s="36">
        <x:f t="shared" ref="X21" si="7">R21+U21+V21+W21</x:f>
        <x:v>-8718955.0199999996</x:v>
      </x:c>
      <x:c r="Y21" s="49">
        <x:f t="shared" si="1"/>
        <x:v>0</x:v>
      </x:c>
    </x:row>
    <x:row r="22" spans="1:25" s="11" customFormat="1" x14ac:dyDescent="0.25">
      <x:c r="A22" s="43">
        <x:f t="shared" si="0"/>
        <x:v>9</x:v>
      </x:c>
      <x:c r="C22" s="11" t="s">
        <x:v>6</x:v>
      </x:c>
      <x:c r="D22" s="13">
        <x:v>-9923888</x:v>
      </x:c>
      <x:c r="E22" s="13">
        <x:v>1493624.32</x:v>
      </x:c>
      <x:c r="F22" s="13"/>
      <x:c r="G22" s="13">
        <x:v>1818248.3</x:v>
      </x:c>
      <x:c r="H22" s="13">
        <x:v>1984777.6</x:v>
      </x:c>
      <x:c r="I22" s="13">
        <x:f t="shared" si="4"/>
        <x:v>-4627237.7799999993</x:v>
      </x:c>
      <x:c r="K22" s="12">
        <x:f>+H22</x:f>
        <x:v>1984777.6</x:v>
      </x:c>
      <x:c r="M22" s="33" t="s">
        <x:v>69</x:v>
      </x:c>
      <x:c r="N22" s="45" t="s">
        <x:v>88</x:v>
      </x:c>
      <x:c r="O22" s="36">
        <x:v>-2148113.91</x:v>
      </x:c>
      <x:c r="P22" s="36">
        <x:v>0</x:v>
      </x:c>
      <x:c r="Q22" s="36">
        <x:v>-2740.53</x:v>
      </x:c>
      <x:c r="R22" s="36">
        <x:f t="shared" ref="R22:R29" si="8">SUM(O22:Q22)</x:f>
        <x:v>-2150854.44</x:v>
      </x:c>
      <x:c r="S22" s="36">
        <x:v>-2329596.21</x:v>
      </x:c>
      <x:c r="T22" s="36">
        <x:v>0</x:v>
      </x:c>
      <x:c r="U22" s="36">
        <x:f t="shared" ref="U22:U29" si="9">SUM(S22:T22)</x:f>
        <x:v>-2329596.21</x:v>
      </x:c>
      <x:c r="V22" s="36">
        <x:v>-79226.66</x:v>
      </x:c>
      <x:c r="W22" s="36">
        <x:v>-67560.47</x:v>
      </x:c>
      <x:c r="X22" s="36">
        <x:f t="shared" ref="X22:X29" si="10">R22+U22+V22+W22</x:f>
        <x:v>-4627237.78</x:v>
      </x:c>
      <x:c r="Y22" s="49">
        <x:f t="shared" si="1"/>
        <x:v>0</x:v>
      </x:c>
    </x:row>
    <x:row r="23" spans="1:25" s="11" customFormat="1" x14ac:dyDescent="0.25">
      <x:c r="A23" s="43">
        <x:f t="shared" si="0"/>
        <x:v>10</x:v>
      </x:c>
      <x:c r="C23" s="11" t="s">
        <x:v>7</x:v>
      </x:c>
      <x:c r="D23" s="13">
        <x:v>-11756788</x:v>
      </x:c>
      <x:c r="E23" s="13">
        <x:v>1768740.83</x:v>
      </x:c>
      <x:c r="F23" s="13"/>
      <x:c r="G23" s="13">
        <x:v>2153816.2599999998</x:v>
      </x:c>
      <x:c r="H23" s="13">
        <x:v>2351357.6</x:v>
      </x:c>
      <x:c r="I23" s="13">
        <x:f t="shared" si="4"/>
        <x:v>-5482873.3100000005</x:v>
      </x:c>
      <x:c r="K23" s="12">
        <x:f t="shared" ref="K23:K29" si="11">+H23</x:f>
        <x:v>2351357.6</x:v>
      </x:c>
      <x:c r="M23" s="33" t="s">
        <x:v>69</x:v>
      </x:c>
      <x:c r="N23" s="45" t="s">
        <x:v>88</x:v>
      </x:c>
      <x:c r="O23" s="36">
        <x:v>-2545327.6800000002</x:v>
      </x:c>
      <x:c r="P23" s="36">
        <x:v>0</x:v>
      </x:c>
      <x:c r="Q23" s="36">
        <x:v>-3247.28</x:v>
      </x:c>
      <x:c r="R23" s="36">
        <x:f t="shared" si="8"/>
        <x:v>-2548574.96</x:v>
      </x:c>
      <x:c r="S23" s="36">
        <x:v>-2760368.39</x:v>
      </x:c>
      <x:c r="T23" s="36">
        <x:v>0</x:v>
      </x:c>
      <x:c r="U23" s="36">
        <x:f t="shared" si="9"/>
        <x:v>-2760368.39</x:v>
      </x:c>
      <x:c r="V23" s="36">
        <x:v>-93876.69</x:v>
      </x:c>
      <x:c r="W23" s="36">
        <x:v>-80053.27</x:v>
      </x:c>
      <x:c r="X23" s="36">
        <x:f t="shared" si="10"/>
        <x:v>-5482873.3099999996</x:v>
      </x:c>
      <x:c r="Y23" s="49">
        <x:f t="shared" si="1"/>
        <x:v>0</x:v>
      </x:c>
    </x:row>
    <x:row r="24" spans="1:25" s="11" customFormat="1" x14ac:dyDescent="0.25">
      <x:c r="A24" s="43">
        <x:f t="shared" si="0"/>
        <x:v>11</x:v>
      </x:c>
      <x:c r="C24" s="11" t="s">
        <x:v>8</x:v>
      </x:c>
      <x:c r="D24" s="13">
        <x:v>-6925209</x:v>
      </x:c>
      <x:c r="E24" s="13">
        <x:v>1043119.12</x:v>
      </x:c>
      <x:c r="F24" s="13"/>
      <x:c r="G24" s="13">
        <x:v>1269110.97</x:v>
      </x:c>
      <x:c r="H24" s="13">
        <x:v>1385041.7999999998</x:v>
      </x:c>
      <x:c r="I24" s="13">
        <x:f t="shared" si="4"/>
        <x:v>-3227937.1100000003</x:v>
      </x:c>
      <x:c r="K24" s="12">
        <x:f t="shared" si="11"/>
        <x:v>1385041.7999999998</x:v>
      </x:c>
      <x:c r="M24" s="33" t="s">
        <x:v>69</x:v>
      </x:c>
      <x:c r="N24" s="45" t="s">
        <x:v>88</x:v>
      </x:c>
      <x:c r="O24" s="36">
        <x:v>-1498513.14</x:v>
      </x:c>
      <x:c r="P24" s="36">
        <x:v>0</x:v>
      </x:c>
      <x:c r="Q24" s="36">
        <x:v>-1911.78</x:v>
      </x:c>
      <x:c r="R24" s="36">
        <x:f t="shared" si="8"/>
        <x:v>-1500424.92</x:v>
      </x:c>
      <x:c r="S24" s="36">
        <x:f>-1625114.25+0.01</x:f>
        <x:v>-1625114.24</x:v>
      </x:c>
      <x:c r="T24" s="36">
        <x:v>0</x:v>
      </x:c>
      <x:c r="U24" s="36">
        <x:f t="shared" si="9"/>
        <x:v>-1625114.24</x:v>
      </x:c>
      <x:c r="V24" s="36">
        <x:v>-55268.11</x:v>
      </x:c>
      <x:c r="W24" s="36">
        <x:v>-47129.84</x:v>
      </x:c>
      <x:c r="X24" s="36">
        <x:f t="shared" si="10"/>
        <x:v>-3227937.11</x:v>
      </x:c>
      <x:c r="Y24" s="49">
        <x:f t="shared" si="1"/>
        <x:v>0</x:v>
      </x:c>
    </x:row>
    <x:row r="25" spans="1:25" s="11" customFormat="1" x14ac:dyDescent="0.25">
      <x:c r="A25" s="43">
        <x:f t="shared" si="0"/>
        <x:v>12</x:v>
      </x:c>
      <x:c r="C25" s="11" t="s">
        <x:v>9</x:v>
      </x:c>
      <x:c r="D25" s="13">
        <x:v>-30371665</x:v>
      </x:c>
      <x:c r="E25" s="13">
        <x:v>7599322.5199999996</x:v>
      </x:c>
      <x:c r="F25" s="13"/>
      <x:c r="G25" s="13">
        <x:v>6593948.8099999996</x:v>
      </x:c>
      <x:c r="H25" s="13">
        <x:v>6074333</x:v>
      </x:c>
      <x:c r="I25" s="13">
        <x:f t="shared" si="4"/>
        <x:v>-10104060.670000002</x:v>
      </x:c>
      <x:c r="K25" s="12">
        <x:f t="shared" si="11"/>
        <x:v>6074333</x:v>
      </x:c>
      <x:c r="M25" s="33" t="s">
        <x:v>69</x:v>
      </x:c>
      <x:c r="N25" s="45" t="s">
        <x:v>88</x:v>
      </x:c>
      <x:c r="O25" s="36">
        <x:v>-4690632.79</x:v>
      </x:c>
      <x:c r="P25" s="36">
        <x:v>0</x:v>
      </x:c>
      <x:c r="Q25" s="36">
        <x:v>-5984.23</x:v>
      </x:c>
      <x:c r="R25" s="36">
        <x:f t="shared" si="8"/>
        <x:v>-4696617.0200000005</x:v>
      </x:c>
      <x:c r="S25" s="36">
        <x:f>-5086918.49+0.01</x:f>
        <x:v>-5086918.4800000004</x:v>
      </x:c>
      <x:c r="T25" s="36">
        <x:v>0</x:v>
      </x:c>
      <x:c r="U25" s="36">
        <x:f t="shared" si="9"/>
        <x:v>-5086918.4800000004</x:v>
      </x:c>
      <x:c r="V25" s="36">
        <x:v>-172999.76</x:v>
      </x:c>
      <x:c r="W25" s="36">
        <x:v>-147525.41</x:v>
      </x:c>
      <x:c r="X25" s="36">
        <x:f t="shared" si="10"/>
        <x:v>-10104060.67</x:v>
      </x:c>
      <x:c r="Y25" s="49">
        <x:f t="shared" si="1"/>
        <x:v>0</x:v>
      </x:c>
    </x:row>
    <x:row r="26" spans="1:25" s="11" customFormat="1" x14ac:dyDescent="0.25">
      <x:c r="A26" s="43">
        <x:f t="shared" si="0"/>
        <x:v>13</x:v>
      </x:c>
      <x:c r="C26" s="11" t="s">
        <x:v>10</x:v>
      </x:c>
      <x:c r="D26" s="13">
        <x:v>-82411408</x:v>
      </x:c>
      <x:c r="E26" s="13">
        <x:v>12656747.67</x:v>
      </x:c>
      <x:c r="F26" s="13"/>
      <x:c r="G26" s="13">
        <x:v>15185418.57</x:v>
      </x:c>
      <x:c r="H26" s="13">
        <x:v>16482281.6</x:v>
      </x:c>
      <x:c r="I26" s="13">
        <x:f t="shared" si="4"/>
        <x:v>-38086960.159999996</x:v>
      </x:c>
      <x:c r="K26" s="12">
        <x:f t="shared" si="11"/>
        <x:v>16482281.6</x:v>
      </x:c>
      <x:c r="M26" s="33" t="s">
        <x:v>69</x:v>
      </x:c>
      <x:c r="N26" s="45" t="s">
        <x:v>88</x:v>
      </x:c>
      <x:c r="O26" s="36">
        <x:v>-17681202.629999999</x:v>
      </x:c>
      <x:c r="P26" s="36">
        <x:v>0</x:v>
      </x:c>
      <x:c r="Q26" s="36">
        <x:v>-22557.37</x:v>
      </x:c>
      <x:c r="R26" s="36">
        <x:f t="shared" si="8"/>
        <x:v>-17703760</x:v>
      </x:c>
      <x:c r="S26" s="36">
        <x:v>-19174989.969999999</x:v>
      </x:c>
      <x:c r="T26" s="36">
        <x:v>0</x:v>
      </x:c>
      <x:c r="U26" s="36">
        <x:f t="shared" si="9"/>
        <x:v>-19174989.969999999</x:v>
      </x:c>
      <x:c r="V26" s="36">
        <x:v>-652117.5</x:v>
      </x:c>
      <x:c r="W26" s="36">
        <x:v>-556092.68999999994</x:v>
      </x:c>
      <x:c r="X26" s="36">
        <x:f t="shared" si="10"/>
        <x:v>-38086960.159999996</x:v>
      </x:c>
      <x:c r="Y26" s="49">
        <x:f t="shared" si="1"/>
        <x:v>0</x:v>
      </x:c>
    </x:row>
    <x:row r="27" spans="1:25" s="11" customFormat="1" x14ac:dyDescent="0.25">
      <x:c r="A27" s="43">
        <x:f t="shared" si="0"/>
        <x:v>14</x:v>
      </x:c>
      <x:c r="C27" s="11" t="s">
        <x:v>11</x:v>
      </x:c>
      <x:c r="D27" s="13">
        <x:v>-34329077</x:v>
      </x:c>
      <x:c r="E27" s="13">
        <x:v>5134433.13</x:v>
      </x:c>
      <x:c r="F27" s="13"/>
      <x:c r="G27" s="13">
        <x:v>6278749.5800000001</x:v>
      </x:c>
      <x:c r="H27" s="13">
        <x:v>6865815.4000000004</x:v>
      </x:c>
      <x:c r="I27" s="13">
        <x:f t="shared" si="4"/>
        <x:v>-16050078.889999999</x:v>
      </x:c>
      <x:c r="K27" s="12">
        <x:f t="shared" si="11"/>
        <x:v>6865815.4000000004</x:v>
      </x:c>
      <x:c r="M27" s="33" t="s">
        <x:v>69</x:v>
      </x:c>
      <x:c r="N27" s="45" t="s">
        <x:v>88</x:v>
      </x:c>
      <x:c r="O27" s="36">
        <x:v>-7450967.3600000003</x:v>
      </x:c>
      <x:c r="P27" s="36">
        <x:v>0</x:v>
      </x:c>
      <x:c r="Q27" s="36">
        <x:v>-9505.81</x:v>
      </x:c>
      <x:c r="R27" s="36">
        <x:f t="shared" si="8"/>
        <x:v>-7460473.1699999999</x:v>
      </x:c>
      <x:c r="S27" s="36">
        <x:f>-8080458.52-0.01</x:f>
        <x:v>-8080458.5299999993</x:v>
      </x:c>
      <x:c r="T27" s="36">
        <x:v>0</x:v>
      </x:c>
      <x:c r="U27" s="36">
        <x:f t="shared" si="9"/>
        <x:v>-8080458.5299999993</x:v>
      </x:c>
      <x:c r="V27" s="36">
        <x:v>-274806.32</x:v>
      </x:c>
      <x:c r="W27" s="36">
        <x:v>-234340.87</x:v>
      </x:c>
      <x:c r="X27" s="36">
        <x:f t="shared" si="10"/>
        <x:v>-16050078.889999999</x:v>
      </x:c>
      <x:c r="Y27" s="49">
        <x:f t="shared" si="1"/>
        <x:v>0</x:v>
      </x:c>
    </x:row>
    <x:row r="28" spans="1:25" s="11" customFormat="1" x14ac:dyDescent="0.25">
      <x:c r="A28" s="43">
        <x:f t="shared" si="0"/>
        <x:v>15</x:v>
      </x:c>
      <x:c r="C28" s="11" t="s">
        <x:v>12</x:v>
      </x:c>
      <x:c r="D28" s="13">
        <x:v>13069972</x:v>
      </x:c>
      <x:c r="E28" s="13">
        <x:v>-1984164.28</x:v>
      </x:c>
      <x:c r="F28" s="13"/>
      <x:c r="G28" s="13">
        <x:v>-2400460.02</x:v>
      </x:c>
      <x:c r="H28" s="13">
        <x:v>-2613994.4</x:v>
      </x:c>
      <x:c r="I28" s="13">
        <x:f t="shared" si="4"/>
        <x:v>6071353.3000000007</x:v>
      </x:c>
      <x:c r="K28" s="12">
        <x:f t="shared" si="11"/>
        <x:v>-2613994.4</x:v>
      </x:c>
      <x:c r="M28" s="33" t="s">
        <x:v>69</x:v>
      </x:c>
      <x:c r="N28" s="45" t="s">
        <x:v>88</x:v>
      </x:c>
      <x:c r="O28" s="36">
        <x:v>2818519.19</x:v>
      </x:c>
      <x:c r="P28" s="36">
        <x:v>0</x:v>
      </x:c>
      <x:c r="Q28" s="36">
        <x:v>3595.82</x:v>
      </x:c>
      <x:c r="R28" s="36">
        <x:f t="shared" si="8"/>
        <x:v>2822115.01</x:v>
      </x:c>
      <x:c r="S28" s="36">
        <x:f>3056640.33-0.01</x:f>
        <x:v>3056640.3200000003</x:v>
      </x:c>
      <x:c r="T28" s="36">
        <x:v>0</x:v>
      </x:c>
      <x:c r="U28" s="36">
        <x:f t="shared" si="9"/>
        <x:v>3056640.3200000003</x:v>
      </x:c>
      <x:c r="V28" s="36">
        <x:v>103952.53</x:v>
      </x:c>
      <x:c r="W28" s="36">
        <x:v>88645.440000000002</x:v>
      </x:c>
      <x:c r="X28" s="36">
        <x:f t="shared" si="10"/>
        <x:v>6071353.3000000007</x:v>
      </x:c>
      <x:c r="Y28" s="49">
        <x:f t="shared" si="1"/>
        <x:v>0</x:v>
      </x:c>
    </x:row>
    <x:row r="29" spans="1:25" s="11" customFormat="1" x14ac:dyDescent="0.25">
      <x:c r="A29" s="43">
        <x:f t="shared" si="0"/>
        <x:v>16</x:v>
      </x:c>
      <x:c r="C29" s="11" t="s">
        <x:v>56</x:v>
      </x:c>
      <x:c r="D29" s="13">
        <x:v>-1517458</x:v>
      </x:c>
      <x:c r="E29" s="13">
        <x:v>29044.76</x:v>
      </x:c>
      <x:c r="F29" s="13"/>
      <x:c r="G29" s="13">
        <x:v>210267</x:v>
      </x:c>
      <x:c r="H29" s="13">
        <x:v>303491.60000000009</x:v>
      </x:c>
      <x:c r="I29" s="13">
        <x:f t="shared" si="4"/>
        <x:v>-974654.6399999999</x:v>
      </x:c>
      <x:c r="K29" s="12">
        <x:f t="shared" si="11"/>
        <x:v>303491.60000000009</x:v>
      </x:c>
      <x:c r="M29" s="33" t="s">
        <x:v>69</x:v>
      </x:c>
      <x:c r="N29" s="45" t="s">
        <x:v>88</x:v>
      </x:c>
      <x:c r="O29" s="36">
        <x:v>-452466.31</x:v>
      </x:c>
      <x:c r="P29" s="36">
        <x:v>0</x:v>
      </x:c>
      <x:c r="Q29" s="36">
        <x:v>-577.25</x:v>
      </x:c>
      <x:c r="R29" s="36">
        <x:f t="shared" si="8"/>
        <x:v>-453043.56</x:v>
      </x:c>
      <x:c r="S29" s="36">
        <x:f>-490692.69+0.01</x:f>
        <x:v>-490692.68</x:v>
      </x:c>
      <x:c r="T29" s="36">
        <x:v>0</x:v>
      </x:c>
      <x:c r="U29" s="36">
        <x:f t="shared" si="9"/>
        <x:v>-490692.68</x:v>
      </x:c>
      <x:c r="V29" s="36">
        <x:v>-16687.849999999999</x:v>
      </x:c>
      <x:c r="W29" s="36">
        <x:v>-14230.55</x:v>
      </x:c>
      <x:c r="X29" s="36">
        <x:f t="shared" si="10"/>
        <x:v>-974654.64</x:v>
      </x:c>
      <x:c r="Y29" s="49">
        <x:f t="shared" si="1"/>
        <x:v>0</x:v>
      </x:c>
    </x:row>
    <x:row r="30" spans="1:25" x14ac:dyDescent="0.25">
      <x:c r="A30" s="14">
        <x:f t="shared" si="0"/>
        <x:v>17</x:v>
      </x:c>
      <x:c r="C30" s="2" t="s">
        <x:v>38</x:v>
      </x:c>
      <x:c r="D30" s="6">
        <x:f>SUM(D20:D29)</x:f>
        <x:v>-182674551</x:v>
      </x:c>
      <x:c r="E30" s="6">
        <x:f t="shared" ref="E30:I30" si="12">SUM(E20:E29)</x:f>
        <x:v>30460924.560000002</x:v>
      </x:c>
      <x:c r="F30" s="6">
        <x:f t="shared" si="12"/>
        <x:v>139819205.16999999</x:v>
      </x:c>
      <x:c r="G30" s="6">
        <x:f t="shared" si="12"/>
        <x:v>31122153.940000001</x:v>
      </x:c>
      <x:c r="H30" s="6">
        <x:f t="shared" si="12"/>
        <x:v>33180413.140000001</x:v>
      </x:c>
      <x:c r="I30" s="6">
        <x:f t="shared" si="12"/>
        <x:v>51908145.809999973</x:v>
      </x:c>
      <x:c r="K30" s="22">
        <x:f>SUM(K20:K29)</x:f>
        <x:v>33180413.140000001</x:v>
      </x:c>
      <x:c r="O30" s="38">
        <x:f t="shared" ref="O30:X30" si="13">SUM(O20:O29)</x:f>
        <x:v>22812977.599999998</x:v>
      </x:c>
      <x:c r="P30" s="38">
        <x:f t="shared" si="13"/>
        <x:v>0</x:v>
      </x:c>
      <x:c r="Q30" s="38">
        <x:f t="shared" si="13"/>
        <x:v>3892.7800000000007</x:v>
      </x:c>
      <x:c r="R30" s="38">
        <x:f t="shared" si="13"/>
        <x:v>22816870.379999999</x:v>
      </x:c>
      <x:c r="S30" s="38">
        <x:f t="shared" si="13"/>
        <x:v>28226612.819999993</x:v>
      </x:c>
      <x:c r="T30" s="38">
        <x:f t="shared" si="13"/>
        <x:v>0</x:v>
      </x:c>
      <x:c r="U30" s="38">
        <x:f t="shared" si="13"/>
        <x:v>28226612.819999993</x:v>
      </x:c>
      <x:c r="V30" s="38">
        <x:f t="shared" si="13"/>
        <x:v>680974.82</x:v>
      </x:c>
      <x:c r="W30" s="38">
        <x:f t="shared" si="13"/>
        <x:v>183687.79000000004</x:v>
      </x:c>
      <x:c r="X30" s="38">
        <x:f t="shared" si="13"/>
        <x:v>51908145.810000002</x:v>
      </x:c>
      <x:c r="Y30" s="40">
        <x:f t="shared" si="1"/>
        <x:v>0</x:v>
      </x:c>
    </x:row>
    <x:row r="31" spans="1:25" x14ac:dyDescent="0.25">
      <x:c r="A31" s="14">
        <x:f t="shared" si="0"/>
        <x:v>18</x:v>
      </x:c>
      <x:c r="K31" s="12"/>
      <x:c r="O31" s="36"/>
      <x:c r="P31" s="36"/>
      <x:c r="Q31" s="36"/>
      <x:c r="R31" s="36"/>
      <x:c r="S31" s="36"/>
      <x:c r="T31" s="35"/>
      <x:c r="U31" s="35"/>
      <x:c r="V31" s="35"/>
      <x:c r="W31" s="35"/>
      <x:c r="X31" s="35"/>
      <x:c r="Y31" s="40">
        <x:f t="shared" si="1"/>
        <x:v>0</x:v>
      </x:c>
    </x:row>
    <x:row r="32" spans="1:25" s="11" customFormat="1" x14ac:dyDescent="0.25">
      <x:c r="A32" s="43">
        <x:f t="shared" si="0"/>
        <x:v>19</x:v>
      </x:c>
      <x:c r="C32" s="27" t="s">
        <x:v>13</x:v>
      </x:c>
      <x:c r="D32" s="13">
        <x:v>329827</x:v>
      </x:c>
      <x:c r="E32" s="13">
        <x:v>-48727.3</x:v>
      </x:c>
      <x:c r="F32" s="13"/>
      <x:c r="G32" s="13">
        <x:v>-60014.52</x:v>
      </x:c>
      <x:c r="H32" s="13">
        <x:v>-65965.399999999994</x:v>
      </x:c>
      <x:c r="I32" s="13">
        <x:f t="shared" ref="I32:I58" si="14">SUM(D32:H32)</x:f>
        <x:v>155119.78000000003</x:v>
      </x:c>
      <x:c r="K32" s="12">
        <x:f>+H32</x:f>
        <x:v>-65965.399999999994</x:v>
      </x:c>
      <x:c r="M32" s="33" t="s">
        <x:v>69</x:v>
      </x:c>
      <x:c r="N32" s="43" t="s">
        <x:v>91</x:v>
      </x:c>
      <x:c r="O32" s="36">
        <x:v>0</x:v>
      </x:c>
      <x:c r="P32" s="36">
        <x:v>0</x:v>
      </x:c>
      <x:c r="Q32" s="36">
        <x:v>0</x:v>
      </x:c>
      <x:c r="R32" s="36">
        <x:f t="shared" ref="R32:R58" si="15">SUM(O32:Q32)</x:f>
        <x:v>0</x:v>
      </x:c>
      <x:c r="S32" s="36">
        <x:f>+I32</x:f>
        <x:v>155119.78000000003</x:v>
      </x:c>
      <x:c r="T32" s="36">
        <x:v>0</x:v>
      </x:c>
      <x:c r="U32" s="36">
        <x:f t="shared" ref="U32:U58" si="16">SUM(S32:T32)</x:f>
        <x:v>155119.78000000003</x:v>
      </x:c>
      <x:c r="V32" s="36">
        <x:v>0</x:v>
      </x:c>
      <x:c r="W32" s="36">
        <x:v>0</x:v>
      </x:c>
      <x:c r="X32" s="36">
        <x:f t="shared" ref="X32:X58" si="17">R32+U32+V32+W32</x:f>
        <x:v>155119.78000000003</x:v>
      </x:c>
      <x:c r="Y32" s="49">
        <x:f t="shared" si="1"/>
        <x:v>0</x:v>
      </x:c>
    </x:row>
    <x:row r="33" spans="1:25" s="11" customFormat="1" x14ac:dyDescent="0.25">
      <x:c r="A33" s="43">
        <x:f t="shared" si="0"/>
        <x:v>20</x:v>
      </x:c>
      <x:c r="C33" s="27" t="s">
        <x:v>14</x:v>
      </x:c>
      <x:c r="D33" s="13">
        <x:v>104092</x:v>
      </x:c>
      <x:c r="E33" s="13">
        <x:v>-15378.13</x:v>
      </x:c>
      <x:c r="F33" s="13"/>
      <x:c r="G33" s="13">
        <x:v>-18940.330000000002</x:v>
      </x:c>
      <x:c r="H33" s="13">
        <x:v>-20818.400000000001</x:v>
      </x:c>
      <x:c r="I33" s="13">
        <x:f t="shared" si="14"/>
        <x:v>48955.139999999992</x:v>
      </x:c>
      <x:c r="K33" s="12">
        <x:f t="shared" ref="K33:K58" si="18">+H33</x:f>
        <x:v>-20818.400000000001</x:v>
      </x:c>
      <x:c r="M33" s="33" t="s">
        <x:v>69</x:v>
      </x:c>
      <x:c r="N33" s="43" t="s">
        <x:v>91</x:v>
      </x:c>
      <x:c r="O33" s="36">
        <x:v>0</x:v>
      </x:c>
      <x:c r="P33" s="36">
        <x:v>0</x:v>
      </x:c>
      <x:c r="Q33" s="36">
        <x:v>0</x:v>
      </x:c>
      <x:c r="R33" s="36">
        <x:f t="shared" si="15"/>
        <x:v>0</x:v>
      </x:c>
      <x:c r="S33" s="36"/>
      <x:c r="T33" s="36">
        <x:v>0</x:v>
      </x:c>
      <x:c r="U33" s="36">
        <x:f t="shared" si="16"/>
        <x:v>0</x:v>
      </x:c>
      <x:c r="V33" s="36">
        <x:f>+I33</x:f>
        <x:v>48955.139999999992</x:v>
      </x:c>
      <x:c r="W33" s="36"/>
      <x:c r="X33" s="36">
        <x:f t="shared" si="17"/>
        <x:v>48955.139999999992</x:v>
      </x:c>
      <x:c r="Y33" s="49">
        <x:f t="shared" si="1"/>
        <x:v>0</x:v>
      </x:c>
    </x:row>
    <x:row r="34" spans="1:25" s="11" customFormat="1" x14ac:dyDescent="0.25">
      <x:c r="A34" s="43">
        <x:f t="shared" si="0"/>
        <x:v>21</x:v>
      </x:c>
      <x:c r="C34" s="27" t="s">
        <x:v>15</x:v>
      </x:c>
      <x:c r="D34" s="13">
        <x:v>273536</x:v>
      </x:c>
      <x:c r="E34" s="13">
        <x:v>-40749.14</x:v>
      </x:c>
      <x:c r="F34" s="13"/>
      <x:c r="G34" s="13">
        <x:v>-49930.69</x:v>
      </x:c>
      <x:c r="H34" s="13">
        <x:v>-54707.200000000004</x:v>
      </x:c>
      <x:c r="I34" s="13">
        <x:f t="shared" si="14"/>
        <x:v>128148.96999999997</x:v>
      </x:c>
      <x:c r="K34" s="12">
        <x:f t="shared" si="18"/>
        <x:v>-54707.200000000004</x:v>
      </x:c>
      <x:c r="M34" s="33" t="s">
        <x:v>69</x:v>
      </x:c>
      <x:c r="N34" s="43" t="s">
        <x:v>92</x:v>
      </x:c>
      <x:c r="O34" s="36">
        <x:v>28218.6</x:v>
      </x:c>
      <x:c r="P34" s="36">
        <x:v>0</x:v>
      </x:c>
      <x:c r="Q34" s="36">
        <x:v>0</x:v>
      </x:c>
      <x:c r="R34" s="36">
        <x:f t="shared" si="15"/>
        <x:v>28218.6</x:v>
      </x:c>
      <x:c r="S34" s="36">
        <x:f>77850.44+0.01</x:f>
        <x:v>77850.45</x:v>
      </x:c>
      <x:c r="T34" s="36">
        <x:v>0</x:v>
      </x:c>
      <x:c r="U34" s="36">
        <x:f t="shared" si="16"/>
        <x:v>77850.45</x:v>
      </x:c>
      <x:c r="V34" s="36">
        <x:v>21225.77</x:v>
      </x:c>
      <x:c r="W34" s="36">
        <x:v>854.15</x:v>
      </x:c>
      <x:c r="X34" s="36">
        <x:f t="shared" si="17"/>
        <x:v>128148.96999999999</x:v>
      </x:c>
      <x:c r="Y34" s="49">
        <x:f t="shared" si="1"/>
        <x:v>0</x:v>
      </x:c>
    </x:row>
    <x:row r="35" spans="1:25" s="11" customFormat="1" x14ac:dyDescent="0.25">
      <x:c r="A35" s="43">
        <x:f t="shared" si="0"/>
        <x:v>22</x:v>
      </x:c>
      <x:c r="C35" s="27" t="s">
        <x:v>16</x:v>
      </x:c>
      <x:c r="D35" s="13">
        <x:v>2937502</x:v>
      </x:c>
      <x:c r="E35" s="13">
        <x:v>-437604.44000000006</x:v>
      </x:c>
      <x:c r="F35" s="13"/>
      <x:c r="G35" s="13">
        <x:v>-536205.31000000006</x:v>
      </x:c>
      <x:c r="H35" s="13">
        <x:v>-587500.40000000014</x:v>
      </x:c>
      <x:c r="I35" s="13">
        <x:f t="shared" si="14"/>
        <x:v>1376191.8499999999</x:v>
      </x:c>
      <x:c r="K35" s="12">
        <x:f t="shared" si="18"/>
        <x:v>-587500.40000000014</x:v>
      </x:c>
      <x:c r="M35" s="33" t="s">
        <x:v>69</x:v>
      </x:c>
      <x:c r="N35" s="43" t="s">
        <x:v>92</x:v>
      </x:c>
      <x:c r="O35" s="36">
        <x:v>303039.57</x:v>
      </x:c>
      <x:c r="P35" s="36">
        <x:v>0</x:v>
      </x:c>
      <x:c r="Q35" s="36">
        <x:v>0</x:v>
      </x:c>
      <x:c r="R35" s="36">
        <x:f t="shared" si="15"/>
        <x:v>303039.57</x:v>
      </x:c>
      <x:c r="S35" s="36">
        <x:v>836035.95</x:v>
      </x:c>
      <x:c r="T35" s="36">
        <x:v>0</x:v>
      </x:c>
      <x:c r="U35" s="36">
        <x:f t="shared" si="16"/>
        <x:v>836035.95</x:v>
      </x:c>
      <x:c r="V35" s="36">
        <x:v>227943.6</x:v>
      </x:c>
      <x:c r="W35" s="36">
        <x:v>9172.73</x:v>
      </x:c>
      <x:c r="X35" s="36">
        <x:f t="shared" si="17"/>
        <x:v>1376191.85</x:v>
      </x:c>
      <x:c r="Y35" s="49">
        <x:f t="shared" si="1"/>
        <x:v>0</x:v>
      </x:c>
    </x:row>
    <x:row r="36" spans="1:25" s="11" customFormat="1" x14ac:dyDescent="0.25">
      <x:c r="A36" s="43">
        <x:f t="shared" si="0"/>
        <x:v>23</x:v>
      </x:c>
      <x:c r="C36" s="27" t="s">
        <x:v>17</x:v>
      </x:c>
      <x:c r="D36" s="13">
        <x:v>5989651</x:v>
      </x:c>
      <x:c r="E36" s="13">
        <x:v>-898990.41</x:v>
      </x:c>
      <x:c r="F36" s="13"/>
      <x:c r="G36" s="13">
        <x:v>-1094731.2</x:v>
      </x:c>
      <x:c r="H36" s="13">
        <x:v>-1197930.2</x:v>
      </x:c>
      <x:c r="I36" s="13">
        <x:f t="shared" si="14"/>
        <x:v>2797999.1899999995</x:v>
      </x:c>
      <x:c r="K36" s="12">
        <x:f t="shared" si="18"/>
        <x:v>-1197930.2</x:v>
      </x:c>
      <x:c r="M36" s="33" t="s">
        <x:v>69</x:v>
      </x:c>
      <x:c r="N36" s="43" t="s">
        <x:v>91</x:v>
      </x:c>
      <x:c r="O36" s="36">
        <x:v>0</x:v>
      </x:c>
      <x:c r="P36" s="36">
        <x:v>0</x:v>
      </x:c>
      <x:c r="Q36" s="36">
        <x:v>0</x:v>
      </x:c>
      <x:c r="R36" s="36">
        <x:f t="shared" si="15"/>
        <x:v>0</x:v>
      </x:c>
      <x:c r="S36" s="36">
        <x:f>I36</x:f>
        <x:v>2797999.1899999995</x:v>
      </x:c>
      <x:c r="T36" s="36">
        <x:v>0</x:v>
      </x:c>
      <x:c r="U36" s="36">
        <x:f t="shared" si="16"/>
        <x:v>2797999.1899999995</x:v>
      </x:c>
      <x:c r="V36" s="36">
        <x:v>0</x:v>
      </x:c>
      <x:c r="W36" s="36">
        <x:v>0</x:v>
      </x:c>
      <x:c r="X36" s="36">
        <x:f t="shared" si="17"/>
        <x:v>2797999.1899999995</x:v>
      </x:c>
      <x:c r="Y36" s="49">
        <x:f t="shared" si="1"/>
        <x:v>0</x:v>
      </x:c>
    </x:row>
    <x:row r="37" spans="1:25" s="11" customFormat="1" x14ac:dyDescent="0.25">
      <x:c r="A37" s="43">
        <x:f t="shared" si="0"/>
        <x:v>24</x:v>
      </x:c>
      <x:c r="C37" s="27" t="s">
        <x:v>18</x:v>
      </x:c>
      <x:c r="D37" s="13">
        <x:v>-741538</x:v>
      </x:c>
      <x:c r="E37" s="13">
        <x:v>109552.11</x:v>
      </x:c>
      <x:c r="F37" s="13"/>
      <x:c r="G37" s="13">
        <x:v>134928.56</x:v>
      </x:c>
      <x:c r="H37" s="13">
        <x:v>148307.6</x:v>
      </x:c>
      <x:c r="I37" s="13">
        <x:f t="shared" si="14"/>
        <x:v>-348749.73</x:v>
      </x:c>
      <x:c r="K37" s="12">
        <x:f t="shared" si="18"/>
        <x:v>148307.6</x:v>
      </x:c>
      <x:c r="M37" s="33" t="s">
        <x:v>69</x:v>
      </x:c>
      <x:c r="N37" s="43" t="s">
        <x:v>91</x:v>
      </x:c>
      <x:c r="O37" s="36">
        <x:v>0</x:v>
      </x:c>
      <x:c r="P37" s="36">
        <x:v>0</x:v>
      </x:c>
      <x:c r="Q37" s="36">
        <x:v>0</x:v>
      </x:c>
      <x:c r="R37" s="36">
        <x:f t="shared" si="15"/>
        <x:v>0</x:v>
      </x:c>
      <x:c r="S37" s="36">
        <x:f>I37</x:f>
        <x:v>-348749.73</x:v>
      </x:c>
      <x:c r="T37" s="36">
        <x:v>0</x:v>
      </x:c>
      <x:c r="U37" s="36">
        <x:f t="shared" si="16"/>
        <x:v>-348749.73</x:v>
      </x:c>
      <x:c r="V37" s="36">
        <x:v>0</x:v>
      </x:c>
      <x:c r="W37" s="36">
        <x:v>0</x:v>
      </x:c>
      <x:c r="X37" s="36">
        <x:f t="shared" si="17"/>
        <x:v>-348749.73</x:v>
      </x:c>
      <x:c r="Y37" s="49">
        <x:f t="shared" si="1"/>
        <x:v>0</x:v>
      </x:c>
    </x:row>
    <x:row r="38" spans="1:25" s="11" customFormat="1" x14ac:dyDescent="0.25">
      <x:c r="A38" s="43">
        <x:f t="shared" si="0"/>
        <x:v>25</x:v>
      </x:c>
      <x:c r="C38" s="27" t="s">
        <x:v>19</x:v>
      </x:c>
      <x:c r="D38" s="13">
        <x:v>514766</x:v>
      </x:c>
      <x:c r="E38" s="13">
        <x:v>-76622.559999999998</x:v>
      </x:c>
      <x:c r="F38" s="13"/>
      <x:c r="G38" s="13">
        <x:v>-93956.49</x:v>
      </x:c>
      <x:c r="H38" s="13">
        <x:v>-102953.2</x:v>
      </x:c>
      <x:c r="I38" s="13">
        <x:f t="shared" si="14"/>
        <x:v>241233.75</x:v>
      </x:c>
      <x:c r="K38" s="12">
        <x:f t="shared" si="18"/>
        <x:v>-102953.2</x:v>
      </x:c>
      <x:c r="M38" s="33" t="s">
        <x:v>69</x:v>
      </x:c>
      <x:c r="N38" s="43" t="s">
        <x:v>93</x:v>
      </x:c>
      <x:c r="O38" s="36">
        <x:v>52145.83</x:v>
      </x:c>
      <x:c r="P38" s="36">
        <x:v>0</x:v>
      </x:c>
      <x:c r="Q38" s="36">
        <x:v>0</x:v>
      </x:c>
      <x:c r="R38" s="36">
        <x:f t="shared" si="15"/>
        <x:v>52145.83</x:v>
      </x:c>
      <x:c r="S38" s="36">
        <x:v>189087.92</x:v>
      </x:c>
      <x:c r="T38" s="36">
        <x:v>0</x:v>
      </x:c>
      <x:c r="U38" s="36">
        <x:f t="shared" si="16"/>
        <x:v>189087.92</x:v>
      </x:c>
      <x:c r="V38" s="36">
        <x:v>0</x:v>
      </x:c>
      <x:c r="W38" s="36">
        <x:v>0</x:v>
      </x:c>
      <x:c r="X38" s="36">
        <x:f t="shared" si="17"/>
        <x:v>241233.75</x:v>
      </x:c>
      <x:c r="Y38" s="49">
        <x:f t="shared" si="1"/>
        <x:v>0</x:v>
      </x:c>
    </x:row>
    <x:row r="39" spans="1:25" s="11" customFormat="1" x14ac:dyDescent="0.25">
      <x:c r="A39" s="43">
        <x:f t="shared" si="0"/>
        <x:v>26</x:v>
      </x:c>
      <x:c r="C39" s="27" t="s">
        <x:v>20</x:v>
      </x:c>
      <x:c r="D39" s="13">
        <x:v>3886403</x:v>
      </x:c>
      <x:c r="E39" s="13">
        <x:v>-577501.87</x:v>
      </x:c>
      <x:c r="F39" s="13"/>
      <x:c r="G39" s="13">
        <x:v>-709965.82</x:v>
      </x:c>
      <x:c r="H39" s="13">
        <x:v>-777280.6</x:v>
      </x:c>
      <x:c r="I39" s="13">
        <x:f t="shared" si="14"/>
        <x:v>1821654.71</x:v>
      </x:c>
      <x:c r="K39" s="12">
        <x:f t="shared" si="18"/>
        <x:v>-777280.6</x:v>
      </x:c>
      <x:c r="M39" s="33" t="s">
        <x:v>69</x:v>
      </x:c>
      <x:c r="N39" s="43" t="s">
        <x:v>94</x:v>
      </x:c>
      <x:c r="O39" s="36">
        <x:v>522882.72</x:v>
      </x:c>
      <x:c r="P39" s="36">
        <x:v>0</x:v>
      </x:c>
      <x:c r="Q39" s="36">
        <x:v>0</x:v>
      </x:c>
      <x:c r="R39" s="36">
        <x:f t="shared" si="15"/>
        <x:v>522882.72</x:v>
      </x:c>
      <x:c r="S39" s="36">
        <x:f>901893.52+0.01</x:f>
        <x:v>901893.53</x:v>
      </x:c>
      <x:c r="T39" s="36">
        <x:v>0</x:v>
      </x:c>
      <x:c r="U39" s="36">
        <x:f t="shared" si="16"/>
        <x:v>901893.53</x:v>
      </x:c>
      <x:c r="V39" s="36">
        <x:v>298746.71000000002</x:v>
      </x:c>
      <x:c r="W39" s="36">
        <x:v>98131.75</x:v>
      </x:c>
      <x:c r="X39" s="36">
        <x:f t="shared" si="17"/>
        <x:v>1821654.71</x:v>
      </x:c>
      <x:c r="Y39" s="49">
        <x:f t="shared" si="1"/>
        <x:v>0</x:v>
      </x:c>
    </x:row>
    <x:row r="40" spans="1:25" s="11" customFormat="1" x14ac:dyDescent="0.25">
      <x:c r="A40" s="43">
        <x:f t="shared" si="0"/>
        <x:v>27</x:v>
      </x:c>
      <x:c r="C40" s="27" t="s">
        <x:v>21</x:v>
      </x:c>
      <x:c r="D40" s="13">
        <x:v>2609264</x:v>
      </x:c>
      <x:c r="E40" s="13">
        <x:v>-387724.83</x:v>
      </x:c>
      <x:c r="F40" s="13"/>
      <x:c r="G40" s="13">
        <x:v>-476658.83</x:v>
      </x:c>
      <x:c r="H40" s="13">
        <x:v>-521852.8</x:v>
      </x:c>
      <x:c r="I40" s="13">
        <x:f t="shared" si="14"/>
        <x:v>1223027.5399999998</x:v>
      </x:c>
      <x:c r="K40" s="12">
        <x:f t="shared" si="18"/>
        <x:v>-521852.8</x:v>
      </x:c>
      <x:c r="M40" s="33" t="s">
        <x:v>69</x:v>
      </x:c>
      <x:c r="N40" s="43" t="s">
        <x:v>94</x:v>
      </x:c>
      <x:c r="O40" s="36">
        <x:v>351054.44</x:v>
      </x:c>
      <x:c r="P40" s="36">
        <x:v>0</x:v>
      </x:c>
      <x:c r="Q40" s="36">
        <x:v>0</x:v>
      </x:c>
      <x:c r="R40" s="36">
        <x:f t="shared" ref="R40:R42" si="19">SUM(O40:Q40)</x:f>
        <x:v>351054.44</x:v>
      </x:c>
      <x:c r="S40" s="36">
        <x:f>605515.75-0.01</x:f>
        <x:v>605515.74</x:v>
      </x:c>
      <x:c r="T40" s="36">
        <x:v>0</x:v>
      </x:c>
      <x:c r="U40" s="36">
        <x:f t="shared" ref="U40:U42" si="20">SUM(S40:T40)</x:f>
        <x:v>605515.74</x:v>
      </x:c>
      <x:c r="V40" s="36">
        <x:v>200573.39</x:v>
      </x:c>
      <x:c r="W40" s="36">
        <x:v>65883.97</x:v>
      </x:c>
      <x:c r="X40" s="36">
        <x:f t="shared" si="17"/>
        <x:v>1223027.5399999998</x:v>
      </x:c>
      <x:c r="Y40" s="49">
        <x:f t="shared" si="1"/>
        <x:v>0</x:v>
      </x:c>
    </x:row>
    <x:row r="41" spans="1:25" s="11" customFormat="1" x14ac:dyDescent="0.25">
      <x:c r="A41" s="43">
        <x:f t="shared" si="0"/>
        <x:v>28</x:v>
      </x:c>
      <x:c r="C41" s="27" t="s">
        <x:v>22</x:v>
      </x:c>
      <x:c r="D41" s="13">
        <x:v>68159986</x:v>
      </x:c>
      <x:c r="E41" s="13">
        <x:v>-10128263.84</x:v>
      </x:c>
      <x:c r="F41" s="13"/>
      <x:c r="G41" s="13">
        <x:f>-12451425.89</x:f>
        <x:v>-12451425.890000001</x:v>
      </x:c>
      <x:c r="H41" s="13">
        <x:f>-13631997.2+7</x:f>
        <x:v>-13631990.199999999</x:v>
      </x:c>
      <x:c r="I41" s="13">
        <x:f t="shared" si="14"/>
        <x:v>31948306.069999997</x:v>
      </x:c>
      <x:c r="K41" s="12">
        <x:f t="shared" si="18"/>
        <x:v>-13631990.199999999</x:v>
      </x:c>
      <x:c r="M41" s="33" t="s">
        <x:v>69</x:v>
      </x:c>
      <x:c r="N41" s="43" t="s">
        <x:v>94</x:v>
      </x:c>
      <x:c r="O41" s="36">
        <x:v>9170353.2599999998</x:v>
      </x:c>
      <x:c r="P41" s="36">
        <x:v>0</x:v>
      </x:c>
      <x:c r="Q41" s="36">
        <x:v>0</x:v>
      </x:c>
      <x:c r="R41" s="36">
        <x:f t="shared" si="19"/>
        <x:v>9170353.2599999998</x:v>
      </x:c>
      <x:c r="S41" s="36">
        <x:v>15817470.9</x:v>
      </x:c>
      <x:c r="T41" s="36">
        <x:v>0</x:v>
      </x:c>
      <x:c r="U41" s="36">
        <x:f t="shared" si="20"/>
        <x:v>15817470.9</x:v>
      </x:c>
      <x:c r="V41" s="36">
        <x:v>5239440.47</x:v>
      </x:c>
      <x:c r="W41" s="36">
        <x:v>1721041.44</x:v>
      </x:c>
      <x:c r="X41" s="36">
        <x:f t="shared" si="17"/>
        <x:v>31948306.07</x:v>
      </x:c>
      <x:c r="Y41" s="49">
        <x:f t="shared" si="1"/>
        <x:v>0</x:v>
      </x:c>
    </x:row>
    <x:row r="42" spans="1:25" s="11" customFormat="1" x14ac:dyDescent="0.25">
      <x:c r="A42" s="43">
        <x:f t="shared" si="0"/>
        <x:v>29</x:v>
      </x:c>
      <x:c r="C42" s="27" t="s">
        <x:v>23</x:v>
      </x:c>
      <x:c r="D42" s="13">
        <x:v>1778392</x:v>
      </x:c>
      <x:c r="E42" s="13">
        <x:v>-264261.01</x:v>
      </x:c>
      <x:c r="F42" s="13"/>
      <x:c r="G42" s="13">
        <x:v>-324875.61</x:v>
      </x:c>
      <x:c r="H42" s="13">
        <x:v>-355678.4</x:v>
      </x:c>
      <x:c r="I42" s="13">
        <x:f t="shared" si="14"/>
        <x:v>833576.97999999986</x:v>
      </x:c>
      <x:c r="K42" s="12">
        <x:f t="shared" si="18"/>
        <x:v>-355678.4</x:v>
      </x:c>
      <x:c r="M42" s="33" t="s">
        <x:v>69</x:v>
      </x:c>
      <x:c r="N42" s="43" t="s">
        <x:v>94</x:v>
      </x:c>
      <x:c r="O42" s="36">
        <x:v>239267.63</x:v>
      </x:c>
      <x:c r="P42" s="36">
        <x:v>0</x:v>
      </x:c>
      <x:c r="Q42" s="36">
        <x:v>0</x:v>
      </x:c>
      <x:c r="R42" s="36">
        <x:f t="shared" si="19"/>
        <x:v>239267.63</x:v>
      </x:c>
      <x:c r="S42" s="36">
        <x:v>412700.43</x:v>
      </x:c>
      <x:c r="T42" s="36">
        <x:v>0</x:v>
      </x:c>
      <x:c r="U42" s="36">
        <x:f t="shared" si="20"/>
        <x:v>412700.43</x:v>
      </x:c>
      <x:c r="V42" s="36">
        <x:v>136704.49</x:v>
      </x:c>
      <x:c r="W42" s="36">
        <x:v>44904.43</x:v>
      </x:c>
      <x:c r="X42" s="36">
        <x:f t="shared" si="17"/>
        <x:v>833576.9800000001</x:v>
      </x:c>
      <x:c r="Y42" s="49">
        <x:f t="shared" si="1"/>
        <x:v>0</x:v>
      </x:c>
    </x:row>
    <x:row r="43" spans="1:25" s="11" customFormat="1" x14ac:dyDescent="0.25">
      <x:c r="A43" s="43">
        <x:f t="shared" si="0"/>
        <x:v>30</x:v>
      </x:c>
      <x:c r="C43" s="27" t="s">
        <x:v>70</x:v>
      </x:c>
      <x:c r="D43" s="13">
        <x:v>3719792</x:v>
      </x:c>
      <x:c r="E43" s="13">
        <x:v>-552151.57999999996</x:v>
      </x:c>
      <x:c r="F43" s="13"/>
      <x:c r="G43" s="13">
        <x:v>-678708.4</x:v>
      </x:c>
      <x:c r="H43" s="13">
        <x:v>-743958.4</x:v>
      </x:c>
      <x:c r="I43" s="13">
        <x:f t="shared" si="14"/>
        <x:v>1744973.62</x:v>
      </x:c>
      <x:c r="K43" s="12">
        <x:f t="shared" si="18"/>
        <x:v>-743958.4</x:v>
      </x:c>
      <x:c r="M43" s="33" t="s">
        <x:v>69</x:v>
      </x:c>
      <x:c r="N43" s="43" t="s">
        <x:v>95</x:v>
      </x:c>
      <x:c r="O43" s="36">
        <x:v>344186.79</x:v>
      </x:c>
      <x:c r="P43" s="36">
        <x:v>0</x:v>
      </x:c>
      <x:c r="Q43" s="36">
        <x:v>0</x:v>
      </x:c>
      <x:c r="R43" s="36">
        <x:f t="shared" si="15"/>
        <x:v>344186.79</x:v>
      </x:c>
      <x:c r="S43" s="36">
        <x:f>835047.76+0.01</x:f>
        <x:v>835047.77</x:v>
      </x:c>
      <x:c r="T43" s="36">
        <x:v>0</x:v>
      </x:c>
      <x:c r="U43" s="36">
        <x:f t="shared" si="16"/>
        <x:v>835047.77</x:v>
      </x:c>
      <x:c r="V43" s="36">
        <x:v>225737.2</x:v>
      </x:c>
      <x:c r="W43" s="36">
        <x:v>340001.86</x:v>
      </x:c>
      <x:c r="X43" s="36">
        <x:f t="shared" si="17"/>
        <x:v>1744973.62</x:v>
      </x:c>
      <x:c r="Y43" s="49">
        <x:f t="shared" si="1"/>
        <x:v>0</x:v>
      </x:c>
    </x:row>
    <x:row r="44" spans="1:25" s="11" customFormat="1" x14ac:dyDescent="0.25">
      <x:c r="A44" s="43">
        <x:f t="shared" si="0"/>
        <x:v>31</x:v>
      </x:c>
      <x:c r="C44" s="27" t="s">
        <x:v>71</x:v>
      </x:c>
      <x:c r="D44" s="13">
        <x:v>15228400</x:v>
      </x:c>
      <x:c r="E44" s="13">
        <x:v>-2263715.79</x:v>
      </x:c>
      <x:c r="F44" s="13"/>
      <x:c r="G44" s="13">
        <x:v>-2782205.28</x:v>
      </x:c>
      <x:c r="H44" s="13">
        <x:v>-3045680</x:v>
      </x:c>
      <x:c r="I44" s="13">
        <x:f t="shared" si="14"/>
        <x:v>7136798.9300000016</x:v>
      </x:c>
      <x:c r="K44" s="12">
        <x:f t="shared" si="18"/>
        <x:v>-3045680</x:v>
      </x:c>
      <x:c r="M44" s="33" t="s">
        <x:v>69</x:v>
      </x:c>
      <x:c r="N44" s="43" t="s">
        <x:v>94</x:v>
      </x:c>
      <x:c r="O44" s="36">
        <x:v>2048526.99</x:v>
      </x:c>
      <x:c r="P44" s="36">
        <x:v>0</x:v>
      </x:c>
      <x:c r="Q44" s="36">
        <x:v>0</x:v>
      </x:c>
      <x:c r="R44" s="36">
        <x:f t="shared" si="15"/>
        <x:v>2048526.99</x:v>
      </x:c>
      <x:c r="S44" s="36">
        <x:v>3533398.9</x:v>
      </x:c>
      <x:c r="T44" s="36">
        <x:v>0</x:v>
      </x:c>
      <x:c r="U44" s="36">
        <x:f t="shared" si="16"/>
        <x:v>3533398.9</x:v>
      </x:c>
      <x:c r="V44" s="36">
        <x:v>1170416.77</x:v>
      </x:c>
      <x:c r="W44" s="36">
        <x:v>384456.27</x:v>
      </x:c>
      <x:c r="X44" s="36">
        <x:f t="shared" si="17"/>
        <x:v>7136798.9299999997</x:v>
      </x:c>
      <x:c r="Y44" s="49">
        <x:f t="shared" si="1"/>
        <x:v>0</x:v>
      </x:c>
    </x:row>
    <x:row r="45" spans="1:25" s="11" customFormat="1" x14ac:dyDescent="0.25">
      <x:c r="A45" s="43">
        <x:f t="shared" si="0"/>
        <x:v>32</x:v>
      </x:c>
      <x:c r="C45" s="27" t="s">
        <x:v>24</x:v>
      </x:c>
      <x:c r="D45" s="13">
        <x:v>15737</x:v>
      </x:c>
      <x:c r="E45" s="13">
        <x:v>-2366.9899999999998</x:v>
      </x:c>
      <x:c r="F45" s="13"/>
      <x:c r="G45" s="13">
        <x:v>-2874.12</x:v>
      </x:c>
      <x:c r="H45" s="13">
        <x:v>-3147.4000000000005</x:v>
      </x:c>
      <x:c r="I45" s="13">
        <x:f t="shared" si="14"/>
        <x:v>7348.4899999999989</x:v>
      </x:c>
      <x:c r="K45" s="12">
        <x:f t="shared" si="18"/>
        <x:v>-3147.4000000000005</x:v>
      </x:c>
      <x:c r="M45" s="33" t="s">
        <x:v>69</x:v>
      </x:c>
      <x:c r="N45" s="43" t="s">
        <x:v>96</x:v>
      </x:c>
      <x:c r="O45" s="36">
        <x:v>1711.77</x:v>
      </x:c>
      <x:c r="P45" s="36">
        <x:v>0</x:v>
      </x:c>
      <x:c r="Q45" s="36">
        <x:v>0</x:v>
      </x:c>
      <x:c r="R45" s="36">
        <x:f t="shared" si="15"/>
        <x:v>1711.77</x:v>
      </x:c>
      <x:c r="S45" s="36">
        <x:f>5232.45+0.01</x:f>
        <x:v>5232.46</x:v>
      </x:c>
      <x:c r="T45" s="36">
        <x:v>0</x:v>
      </x:c>
      <x:c r="U45" s="36">
        <x:f t="shared" si="16"/>
        <x:v>5232.46</x:v>
      </x:c>
      <x:c r="V45" s="36">
        <x:v>267.89</x:v>
      </x:c>
      <x:c r="W45" s="36">
        <x:v>136.37</x:v>
      </x:c>
      <x:c r="X45" s="36">
        <x:f t="shared" si="17"/>
        <x:v>7348.49</x:v>
      </x:c>
      <x:c r="Y45" s="49">
        <x:f t="shared" si="1"/>
        <x:v>0</x:v>
      </x:c>
    </x:row>
    <x:row r="46" spans="1:25" s="11" customFormat="1" x14ac:dyDescent="0.25">
      <x:c r="A46" s="43">
        <x:f t="shared" si="0"/>
        <x:v>33</x:v>
      </x:c>
      <x:c r="C46" s="27" t="s">
        <x:v>100</x:v>
      </x:c>
      <x:c r="D46" s="13">
        <x:v>2599136</x:v>
      </x:c>
      <x:c r="E46" s="13">
        <x:v>-390930.25</x:v>
      </x:c>
      <x:c r="F46" s="13"/>
      <x:c r="G46" s="13">
        <x:v>-476015.94</x:v>
      </x:c>
      <x:c r="H46" s="13">
        <x:v>-519827.19999999995</x:v>
      </x:c>
      <x:c r="I46" s="13">
        <x:f t="shared" si="14"/>
        <x:v>1212362.6100000001</x:v>
      </x:c>
      <x:c r="K46" s="12">
        <x:f t="shared" si="18"/>
        <x:v>-519827.19999999995</x:v>
      </x:c>
      <x:c r="M46" s="33" t="s">
        <x:v>69</x:v>
      </x:c>
      <x:c r="N46" s="43" t="s">
        <x:v>97</x:v>
      </x:c>
      <x:c r="O46" s="36">
        <x:v>542431.56000000006</x:v>
      </x:c>
      <x:c r="P46" s="36">
        <x:v>0</x:v>
      </x:c>
      <x:c r="Q46" s="36">
        <x:v>0</x:v>
      </x:c>
      <x:c r="R46" s="36">
        <x:f t="shared" si="15"/>
        <x:v>542431.56000000006</x:v>
      </x:c>
      <x:c r="S46" s="36">
        <x:v>633082.73</x:v>
      </x:c>
      <x:c r="T46" s="36">
        <x:v>0</x:v>
      </x:c>
      <x:c r="U46" s="36">
        <x:f t="shared" si="16"/>
        <x:v>633082.73</x:v>
      </x:c>
      <x:c r="V46" s="36">
        <x:v>29435.38</x:v>
      </x:c>
      <x:c r="W46" s="36">
        <x:v>7412.94</x:v>
      </x:c>
      <x:c r="X46" s="36">
        <x:f t="shared" si="17"/>
        <x:v>1212362.6099999999</x:v>
      </x:c>
      <x:c r="Y46" s="49">
        <x:f t="shared" si="1"/>
        <x:v>0</x:v>
      </x:c>
    </x:row>
    <x:row r="47" spans="1:25" s="11" customFormat="1" x14ac:dyDescent="0.25">
      <x:c r="A47" s="43">
        <x:f t="shared" si="0"/>
        <x:v>34</x:v>
      </x:c>
      <x:c r="C47" s="27" t="s">
        <x:v>25</x:v>
      </x:c>
      <x:c r="D47" s="13">
        <x:v>-572259</x:v>
      </x:c>
      <x:c r="E47" s="13">
        <x:v>84596.81</x:v>
      </x:c>
      <x:c r="F47" s="13"/>
      <x:c r="G47" s="13">
        <x:v>104254.34</x:v>
      </x:c>
      <x:c r="H47" s="13">
        <x:v>114451.8</x:v>
      </x:c>
      <x:c r="I47" s="13">
        <x:f t="shared" si="14"/>
        <x:v>-268956.05</x:v>
      </x:c>
      <x:c r="K47" s="12">
        <x:f t="shared" si="18"/>
        <x:v>114451.8</x:v>
      </x:c>
      <x:c r="M47" s="33" t="s">
        <x:v>69</x:v>
      </x:c>
      <x:c r="N47" s="43" t="s">
        <x:v>98</x:v>
      </x:c>
      <x:c r="O47" s="36">
        <x:v>-24703.34</x:v>
      </x:c>
      <x:c r="P47" s="36">
        <x:v>0</x:v>
      </x:c>
      <x:c r="Q47" s="36">
        <x:v>0</x:v>
      </x:c>
      <x:c r="R47" s="36">
        <x:f t="shared" si="15"/>
        <x:v>-24703.34</x:v>
      </x:c>
      <x:c r="S47" s="36">
        <x:f>-233847.49+0.01</x:f>
        <x:v>-233847.47999999998</x:v>
      </x:c>
      <x:c r="T47" s="36">
        <x:v>0</x:v>
      </x:c>
      <x:c r="U47" s="36">
        <x:f t="shared" si="16"/>
        <x:v>-233847.47999999998</x:v>
      </x:c>
      <x:c r="V47" s="36">
        <x:v>-8232.65</x:v>
      </x:c>
      <x:c r="W47" s="36">
        <x:v>-2172.58</x:v>
      </x:c>
      <x:c r="X47" s="36">
        <x:f t="shared" si="17"/>
        <x:v>-268956.05</x:v>
      </x:c>
      <x:c r="Y47" s="49">
        <x:f t="shared" si="1"/>
        <x:v>0</x:v>
      </x:c>
    </x:row>
    <x:row r="48" spans="1:25" s="11" customFormat="1" x14ac:dyDescent="0.25">
      <x:c r="A48" s="43">
        <x:f t="shared" si="0"/>
        <x:v>35</x:v>
      </x:c>
      <x:c r="C48" s="27" t="s">
        <x:v>26</x:v>
      </x:c>
      <x:c r="D48" s="13">
        <x:v>-41581652</x:v>
      </x:c>
      <x:c r="E48" s="13">
        <x:v>6143921.7800000003</x:v>
      </x:c>
      <x:c r="F48" s="13"/>
      <x:c r="G48" s="13">
        <x:v>7566450.7599999998</x:v>
      </x:c>
      <x:c r="H48" s="13">
        <x:v>8316330.4000000004</x:v>
      </x:c>
      <x:c r="I48" s="13">
        <x:f t="shared" si="14"/>
        <x:v>-19554949.060000002</x:v>
      </x:c>
      <x:c r="K48" s="12">
        <x:f t="shared" si="18"/>
        <x:v>8316330.4000000004</x:v>
      </x:c>
      <x:c r="M48" s="33" t="s">
        <x:v>69</x:v>
      </x:c>
      <x:c r="N48" s="46" t="s">
        <x:v>91</x:v>
      </x:c>
      <x:c r="O48" s="36">
        <x:v>-61759.77</x:v>
      </x:c>
      <x:c r="P48" s="36">
        <x:v>0</x:v>
      </x:c>
      <x:c r="Q48" s="36">
        <x:v>0</x:v>
      </x:c>
      <x:c r="R48" s="36">
        <x:f t="shared" si="15"/>
        <x:v>-61759.77</x:v>
      </x:c>
      <x:c r="S48" s="36">
        <x:v>-19493189.289999999</x:v>
      </x:c>
      <x:c r="T48" s="36">
        <x:v>0</x:v>
      </x:c>
      <x:c r="U48" s="36">
        <x:f t="shared" si="16"/>
        <x:v>-19493189.289999999</x:v>
      </x:c>
      <x:c r="V48" s="36">
        <x:v>0</x:v>
      </x:c>
      <x:c r="W48" s="36">
        <x:v>0</x:v>
      </x:c>
      <x:c r="X48" s="36">
        <x:f t="shared" si="17"/>
        <x:v>-19554949.059999999</x:v>
      </x:c>
      <x:c r="Y48" s="49">
        <x:f t="shared" si="1"/>
        <x:v>0</x:v>
      </x:c>
    </x:row>
    <x:row r="49" spans="1:25" s="11" customFormat="1" x14ac:dyDescent="0.25">
      <x:c r="A49" s="43">
        <x:f t="shared" si="0"/>
        <x:v>36</x:v>
      </x:c>
      <x:c r="C49" s="27" t="s">
        <x:v>27</x:v>
      </x:c>
      <x:c r="D49" s="13">
        <x:v>-19826994</x:v>
      </x:c>
      <x:c r="E49" s="13">
        <x:v>2929166.76</x:v>
      </x:c>
      <x:c r="F49" s="13"/>
      <x:c r="G49" s="13">
        <x:v>3607674.23</x:v>
      </x:c>
      <x:c r="H49" s="13">
        <x:v>3965398.8</x:v>
      </x:c>
      <x:c r="I49" s="13">
        <x:f t="shared" si="14"/>
        <x:v>-9324754.2100000009</x:v>
      </x:c>
      <x:c r="K49" s="12">
        <x:f t="shared" si="18"/>
        <x:v>3965398.8</x:v>
      </x:c>
      <x:c r="M49" s="33" t="s">
        <x:v>69</x:v>
      </x:c>
      <x:c r="N49" s="43" t="s">
        <x:v>91</x:v>
      </x:c>
      <x:c r="O49" s="36">
        <x:v>0</x:v>
      </x:c>
      <x:c r="P49" s="36">
        <x:v>0</x:v>
      </x:c>
      <x:c r="Q49" s="36">
        <x:v>0</x:v>
      </x:c>
      <x:c r="R49" s="36">
        <x:f t="shared" si="15"/>
        <x:v>0</x:v>
      </x:c>
      <x:c r="S49" s="36"/>
      <x:c r="T49" s="36">
        <x:v>0</x:v>
      </x:c>
      <x:c r="U49" s="36">
        <x:f t="shared" si="16"/>
        <x:v>0</x:v>
      </x:c>
      <x:c r="V49" s="36">
        <x:f>I49</x:f>
        <x:v>-9324754.2100000009</x:v>
      </x:c>
      <x:c r="W49" s="36">
        <x:v>0</x:v>
      </x:c>
      <x:c r="X49" s="36">
        <x:f t="shared" si="17"/>
        <x:v>-9324754.2100000009</x:v>
      </x:c>
      <x:c r="Y49" s="49">
        <x:f t="shared" si="1"/>
        <x:v>0</x:v>
      </x:c>
    </x:row>
    <x:row r="50" spans="1:25" s="11" customFormat="1" x14ac:dyDescent="0.25">
      <x:c r="A50" s="43">
        <x:f t="shared" si="0"/>
        <x:v>37</x:v>
      </x:c>
      <x:c r="C50" s="27" t="s">
        <x:v>28</x:v>
      </x:c>
      <x:c r="D50" s="13">
        <x:v>-34093301</x:v>
      </x:c>
      <x:c r="E50" s="13">
        <x:v>5066109.21</x:v>
      </x:c>
      <x:c r="F50" s="13"/>
      <x:c r="G50" s="13">
        <x:v>6228143.9699999997</x:v>
      </x:c>
      <x:c r="H50" s="13">
        <x:v>6818660.2000000002</x:v>
      </x:c>
      <x:c r="I50" s="13">
        <x:f t="shared" si="14"/>
        <x:v>-15980387.620000001</x:v>
      </x:c>
      <x:c r="K50" s="12">
        <x:f t="shared" si="18"/>
        <x:v>6818660.2000000002</x:v>
      </x:c>
      <x:c r="M50" s="33" t="s">
        <x:v>69</x:v>
      </x:c>
      <x:c r="N50" s="43" t="s">
        <x:v>94</x:v>
      </x:c>
      <x:c r="O50" s="36">
        <x:v>-4586966.1900000004</x:v>
      </x:c>
      <x:c r="P50" s="36">
        <x:v>0</x:v>
      </x:c>
      <x:c r="Q50" s="36">
        <x:v>0</x:v>
      </x:c>
      <x:c r="R50" s="36">
        <x:f t="shared" si="15"/>
        <x:v>-4586966.1900000004</x:v>
      </x:c>
      <x:c r="S50" s="36">
        <x:v>-7911822.1699999999</x:v>
      </x:c>
      <x:c r="T50" s="36">
        <x:v>0</x:v>
      </x:c>
      <x:c r="U50" s="36">
        <x:f t="shared" si="16"/>
        <x:v>-7911822.1699999999</x:v>
      </x:c>
      <x:c r="V50" s="36">
        <x:v>-2620742.69</x:v>
      </x:c>
      <x:c r="W50" s="36">
        <x:v>-860856.57</x:v>
      </x:c>
      <x:c r="X50" s="36">
        <x:f t="shared" si="17"/>
        <x:v>-15980387.619999999</x:v>
      </x:c>
      <x:c r="Y50" s="49">
        <x:f t="shared" si="1"/>
        <x:v>0</x:v>
      </x:c>
    </x:row>
    <x:row r="51" spans="1:25" s="11" customFormat="1" x14ac:dyDescent="0.25">
      <x:c r="A51" s="43">
        <x:f t="shared" si="0"/>
        <x:v>38</x:v>
      </x:c>
      <x:c r="C51" s="27" t="s">
        <x:v>29</x:v>
      </x:c>
      <x:c r="D51" s="13">
        <x:v>-299833</x:v>
      </x:c>
      <x:c r="E51" s="13">
        <x:v>44296.160000000003</x:v>
      </x:c>
      <x:c r="F51" s="13"/>
      <x:c r="G51" s="13">
        <x:v>54556.9</x:v>
      </x:c>
      <x:c r="H51" s="13">
        <x:v>59966.6</x:v>
      </x:c>
      <x:c r="I51" s="13">
        <x:f t="shared" si="14"/>
        <x:v>-141013.34</x:v>
      </x:c>
      <x:c r="K51" s="12">
        <x:f t="shared" si="18"/>
        <x:v>59966.6</x:v>
      </x:c>
      <x:c r="M51" s="33" t="s">
        <x:v>69</x:v>
      </x:c>
      <x:c r="N51" s="43" t="s">
        <x:v>91</x:v>
      </x:c>
      <x:c r="O51" s="36">
        <x:v>0</x:v>
      </x:c>
      <x:c r="P51" s="36">
        <x:v>0</x:v>
      </x:c>
      <x:c r="Q51" s="36">
        <x:v>0</x:v>
      </x:c>
      <x:c r="R51" s="36">
        <x:f t="shared" si="15"/>
        <x:v>0</x:v>
      </x:c>
      <x:c r="S51" s="36"/>
      <x:c r="T51" s="36">
        <x:v>0</x:v>
      </x:c>
      <x:c r="U51" s="36">
        <x:f t="shared" si="16"/>
        <x:v>0</x:v>
      </x:c>
      <x:c r="V51" s="36">
        <x:f>I51</x:f>
        <x:v>-141013.34</x:v>
      </x:c>
      <x:c r="W51" s="36">
        <x:v>0</x:v>
      </x:c>
      <x:c r="X51" s="36">
        <x:f t="shared" si="17"/>
        <x:v>-141013.34</x:v>
      </x:c>
      <x:c r="Y51" s="49">
        <x:f t="shared" si="1"/>
        <x:v>0</x:v>
      </x:c>
    </x:row>
    <x:row r="52" spans="1:25" s="11" customFormat="1" x14ac:dyDescent="0.25">
      <x:c r="A52" s="43">
        <x:f t="shared" si="0"/>
        <x:v>39</x:v>
      </x:c>
      <x:c r="C52" s="27" t="s">
        <x:v>30</x:v>
      </x:c>
      <x:c r="D52" s="13">
        <x:v>-5415708</x:v>
      </x:c>
      <x:c r="E52" s="13">
        <x:v>800096.76</x:v>
      </x:c>
      <x:c r="F52" s="13"/>
      <x:c r="G52" s="13">
        <x:v>985429.81</x:v>
      </x:c>
      <x:c r="H52" s="13">
        <x:v>1083141.6000000001</x:v>
      </x:c>
      <x:c r="I52" s="13">
        <x:f t="shared" si="14"/>
        <x:v>-2547039.83</x:v>
      </x:c>
      <x:c r="K52" s="12">
        <x:f t="shared" si="18"/>
        <x:v>1083141.6000000001</x:v>
      </x:c>
      <x:c r="M52" s="33" t="s">
        <x:v>69</x:v>
      </x:c>
      <x:c r="N52" s="43" t="s">
        <x:v>91</x:v>
      </x:c>
      <x:c r="O52" s="36">
        <x:v>0</x:v>
      </x:c>
      <x:c r="P52" s="36">
        <x:v>0</x:v>
      </x:c>
      <x:c r="Q52" s="36">
        <x:v>0</x:v>
      </x:c>
      <x:c r="R52" s="36">
        <x:f t="shared" si="15"/>
        <x:v>0</x:v>
      </x:c>
      <x:c r="S52" s="36">
        <x:f>I52</x:f>
        <x:v>-2547039.83</x:v>
      </x:c>
      <x:c r="T52" s="36">
        <x:v>0</x:v>
      </x:c>
      <x:c r="U52" s="36">
        <x:f t="shared" si="16"/>
        <x:v>-2547039.83</x:v>
      </x:c>
      <x:c r="V52" s="36">
        <x:v>0</x:v>
      </x:c>
      <x:c r="W52" s="36">
        <x:v>0</x:v>
      </x:c>
      <x:c r="X52" s="36">
        <x:f t="shared" si="17"/>
        <x:v>-2547039.83</x:v>
      </x:c>
      <x:c r="Y52" s="49">
        <x:f t="shared" si="1"/>
        <x:v>0</x:v>
      </x:c>
    </x:row>
    <x:row r="53" spans="1:25" s="11" customFormat="1" x14ac:dyDescent="0.25">
      <x:c r="A53" s="43">
        <x:f t="shared" si="0"/>
        <x:v>40</x:v>
      </x:c>
      <x:c r="C53" s="27" t="s">
        <x:v>31</x:v>
      </x:c>
      <x:c r="D53" s="13">
        <x:v>-1074966</x:v>
      </x:c>
      <x:c r="E53" s="13">
        <x:v>161683.21</x:v>
      </x:c>
      <x:c r="F53" s="13"/>
      <x:c r="G53" s="13">
        <x:v>196873.47</x:v>
      </x:c>
      <x:c r="H53" s="13">
        <x:v>214993.2</x:v>
      </x:c>
      <x:c r="I53" s="13">
        <x:f t="shared" si="14"/>
        <x:v>-501416.12000000005</x:v>
      </x:c>
      <x:c r="K53" s="12">
        <x:f t="shared" si="18"/>
        <x:v>214993.2</x:v>
      </x:c>
      <x:c r="M53" s="33" t="s">
        <x:v>69</x:v>
      </x:c>
      <x:c r="N53" s="43" t="s">
        <x:v>97</x:v>
      </x:c>
      <x:c r="O53" s="36">
        <x:v>-224342.06</x:v>
      </x:c>
      <x:c r="P53" s="36">
        <x:v>0</x:v>
      </x:c>
      <x:c r="Q53" s="36">
        <x:v>0</x:v>
      </x:c>
      <x:c r="R53" s="36">
        <x:f t="shared" ref="R53" si="21">SUM(O53:Q53)</x:f>
        <x:v>-224342.06</x:v>
      </x:c>
      <x:c r="S53" s="36">
        <x:v>-261834.11</x:v>
      </x:c>
      <x:c r="T53" s="36">
        <x:v>0</x:v>
      </x:c>
      <x:c r="U53" s="36">
        <x:f t="shared" ref="U53" si="22">SUM(S53:T53)</x:f>
        <x:v>-261834.11</x:v>
      </x:c>
      <x:c r="V53" s="36">
        <x:v>-12174.06</x:v>
      </x:c>
      <x:c r="W53" s="36">
        <x:v>-3065.89</x:v>
      </x:c>
      <x:c r="X53" s="36">
        <x:f t="shared" si="17"/>
        <x:v>-501416.12</x:v>
      </x:c>
      <x:c r="Y53" s="49">
        <x:f t="shared" si="1"/>
        <x:v>0</x:v>
      </x:c>
    </x:row>
    <x:row r="54" spans="1:25" s="11" customFormat="1" x14ac:dyDescent="0.25">
      <x:c r="A54" s="43">
        <x:f t="shared" si="0"/>
        <x:v>41</x:v>
      </x:c>
      <x:c r="C54" s="27" t="s">
        <x:v>32</x:v>
      </x:c>
      <x:c r="D54" s="13">
        <x:v>-73779</x:v>
      </x:c>
      <x:c r="E54" s="13">
        <x:v>10899.91</x:v>
      </x:c>
      <x:c r="F54" s="13"/>
      <x:c r="G54" s="13">
        <x:v>13424.68</x:v>
      </x:c>
      <x:c r="H54" s="13">
        <x:v>14755.8</x:v>
      </x:c>
      <x:c r="I54" s="13">
        <x:f t="shared" si="14"/>
        <x:v>-34698.61</x:v>
      </x:c>
      <x:c r="K54" s="12">
        <x:f t="shared" si="18"/>
        <x:v>14755.8</x:v>
      </x:c>
      <x:c r="M54" s="33" t="s">
        <x:v>69</x:v>
      </x:c>
      <x:c r="N54" s="43" t="s">
        <x:v>91</x:v>
      </x:c>
      <x:c r="O54" s="36">
        <x:v>0</x:v>
      </x:c>
      <x:c r="P54" s="36">
        <x:v>0</x:v>
      </x:c>
      <x:c r="Q54" s="36">
        <x:v>0</x:v>
      </x:c>
      <x:c r="R54" s="36">
        <x:f t="shared" si="15"/>
        <x:v>0</x:v>
      </x:c>
      <x:c r="S54" s="36">
        <x:v>0</x:v>
      </x:c>
      <x:c r="T54" s="36">
        <x:v>0</x:v>
      </x:c>
      <x:c r="U54" s="36">
        <x:f t="shared" si="16"/>
        <x:v>0</x:v>
      </x:c>
      <x:c r="V54" s="36">
        <x:v>0</x:v>
      </x:c>
      <x:c r="W54" s="36">
        <x:f>I54</x:f>
        <x:v>-34698.61</x:v>
      </x:c>
      <x:c r="X54" s="36">
        <x:f t="shared" si="17"/>
        <x:v>-34698.61</x:v>
      </x:c>
      <x:c r="Y54" s="49">
        <x:f t="shared" si="1"/>
        <x:v>0</x:v>
      </x:c>
    </x:row>
    <x:row r="55" spans="1:25" s="11" customFormat="1" x14ac:dyDescent="0.25">
      <x:c r="A55" s="43">
        <x:f t="shared" si="0"/>
        <x:v>42</x:v>
      </x:c>
      <x:c r="C55" s="27" t="s">
        <x:v>33</x:v>
      </x:c>
      <x:c r="D55" s="13">
        <x:v>-1869890</x:v>
      </x:c>
      <x:c r="E55" s="13">
        <x:v>276250.36</x:v>
      </x:c>
      <x:c r="F55" s="13"/>
      <x:c r="G55" s="13">
        <x:v>340240.79</x:v>
      </x:c>
      <x:c r="H55" s="13">
        <x:v>373978</x:v>
      </x:c>
      <x:c r="I55" s="13">
        <x:f t="shared" si="14"/>
        <x:v>-879420.85000000009</x:v>
      </x:c>
      <x:c r="K55" s="12">
        <x:f t="shared" si="18"/>
        <x:v>373978</x:v>
      </x:c>
      <x:c r="M55" s="33" t="s">
        <x:v>69</x:v>
      </x:c>
      <x:c r="N55" s="43" t="s">
        <x:v>91</x:v>
      </x:c>
      <x:c r="O55" s="36">
        <x:v>0</x:v>
      </x:c>
      <x:c r="P55" s="36">
        <x:v>0</x:v>
      </x:c>
      <x:c r="Q55" s="36">
        <x:v>0</x:v>
      </x:c>
      <x:c r="R55" s="36">
        <x:f t="shared" si="15"/>
        <x:v>0</x:v>
      </x:c>
      <x:c r="S55" s="36">
        <x:f>I55</x:f>
        <x:v>-879420.85000000009</x:v>
      </x:c>
      <x:c r="T55" s="36">
        <x:v>0</x:v>
      </x:c>
      <x:c r="U55" s="36">
        <x:f t="shared" si="16"/>
        <x:v>-879420.85000000009</x:v>
      </x:c>
      <x:c r="V55" s="36">
        <x:v>0</x:v>
      </x:c>
      <x:c r="W55" s="36">
        <x:v>0</x:v>
      </x:c>
      <x:c r="X55" s="36">
        <x:f t="shared" si="17"/>
        <x:v>-879420.85000000009</x:v>
      </x:c>
      <x:c r="Y55" s="49">
        <x:f t="shared" si="1"/>
        <x:v>0</x:v>
      </x:c>
    </x:row>
    <x:row r="56" spans="1:25" s="11" customFormat="1" x14ac:dyDescent="0.25">
      <x:c r="A56" s="43">
        <x:f t="shared" si="0"/>
        <x:v>43</x:v>
      </x:c>
      <x:c r="C56" s="27" t="s">
        <x:v>34</x:v>
      </x:c>
      <x:c r="D56" s="13">
        <x:v>-142930</x:v>
      </x:c>
      <x:c r="E56" s="13">
        <x:v>21115.97</x:v>
      </x:c>
      <x:c r="F56" s="13"/>
      <x:c r="G56" s="13">
        <x:v>26007.22</x:v>
      </x:c>
      <x:c r="H56" s="13">
        <x:v>28586</x:v>
      </x:c>
      <x:c r="I56" s="13">
        <x:f t="shared" si="14"/>
        <x:v>-67220.81</x:v>
      </x:c>
      <x:c r="K56" s="12">
        <x:f t="shared" si="18"/>
        <x:v>28586</x:v>
      </x:c>
      <x:c r="M56" s="33" t="s">
        <x:v>69</x:v>
      </x:c>
      <x:c r="N56" s="43" t="s">
        <x:v>91</x:v>
      </x:c>
      <x:c r="O56" s="36">
        <x:v>0</x:v>
      </x:c>
      <x:c r="P56" s="36">
        <x:v>0</x:v>
      </x:c>
      <x:c r="Q56" s="36">
        <x:v>0</x:v>
      </x:c>
      <x:c r="R56" s="36">
        <x:f t="shared" si="15"/>
        <x:v>0</x:v>
      </x:c>
      <x:c r="S56" s="36">
        <x:f>I56</x:f>
        <x:v>-67220.81</x:v>
      </x:c>
      <x:c r="T56" s="36">
        <x:v>0</x:v>
      </x:c>
      <x:c r="U56" s="36">
        <x:f t="shared" si="16"/>
        <x:v>-67220.81</x:v>
      </x:c>
      <x:c r="V56" s="36">
        <x:v>0</x:v>
      </x:c>
      <x:c r="W56" s="36">
        <x:v>0</x:v>
      </x:c>
      <x:c r="X56" s="36">
        <x:f t="shared" si="17"/>
        <x:v>-67220.81</x:v>
      </x:c>
      <x:c r="Y56" s="49">
        <x:f t="shared" si="1"/>
        <x:v>0</x:v>
      </x:c>
    </x:row>
    <x:row r="57" spans="1:25" s="11" customFormat="1" x14ac:dyDescent="0.25">
      <x:c r="A57" s="43">
        <x:f t="shared" si="0"/>
        <x:v>44</x:v>
      </x:c>
      <x:c r="C57" s="27" t="s">
        <x:v>35</x:v>
      </x:c>
      <x:c r="D57" s="13">
        <x:v>-436174</x:v>
      </x:c>
      <x:c r="E57" s="13">
        <x:v>64813.27</x:v>
      </x:c>
      <x:c r="F57" s="13"/>
      <x:c r="G57" s="13">
        <x:v>79679.94</x:v>
      </x:c>
      <x:c r="H57" s="13">
        <x:v>87234.8</x:v>
      </x:c>
      <x:c r="I57" s="13">
        <x:f t="shared" si="14"/>
        <x:v>-204445.99</x:v>
      </x:c>
      <x:c r="K57" s="12">
        <x:f t="shared" si="18"/>
        <x:v>87234.8</x:v>
      </x:c>
      <x:c r="M57" s="33" t="s">
        <x:v>69</x:v>
      </x:c>
      <x:c r="N57" s="43" t="s">
        <x:v>94</x:v>
      </x:c>
      <x:c r="O57" s="36">
        <x:v>-58683.61</x:v>
      </x:c>
      <x:c r="P57" s="36">
        <x:v>0</x:v>
      </x:c>
      <x:c r="Q57" s="36">
        <x:v>0</x:v>
      </x:c>
      <x:c r="R57" s="36">
        <x:f t="shared" si="15"/>
        <x:v>-58683.61</x:v>
      </x:c>
      <x:c r="S57" s="36">
        <x:v>-101220.34</x:v>
      </x:c>
      <x:c r="T57" s="36">
        <x:v>0</x:v>
      </x:c>
      <x:c r="U57" s="36">
        <x:f t="shared" si="16"/>
        <x:v>-101220.34</x:v>
      </x:c>
      <x:c r="V57" s="36">
        <x:v>-33528.620000000003</x:v>
      </x:c>
      <x:c r="W57" s="36">
        <x:v>-11013.42</x:v>
      </x:c>
      <x:c r="X57" s="36">
        <x:f t="shared" si="17"/>
        <x:v>-204445.99000000002</x:v>
      </x:c>
      <x:c r="Y57" s="49">
        <x:f t="shared" si="1"/>
        <x:v>0</x:v>
      </x:c>
    </x:row>
    <x:row r="58" spans="1:25" s="11" customFormat="1" x14ac:dyDescent="0.25">
      <x:c r="A58" s="43">
        <x:f t="shared" si="0"/>
        <x:v>45</x:v>
      </x:c>
      <x:c r="C58" s="27" t="s">
        <x:v>36</x:v>
      </x:c>
      <x:c r="D58" s="13">
        <x:v>-482484</x:v>
      </x:c>
      <x:c r="E58" s="13">
        <x:v>71280.27</x:v>
      </x:c>
      <x:c r="F58" s="13"/>
      <x:c r="G58" s="13">
        <x:v>87791.63</x:v>
      </x:c>
      <x:c r="H58" s="13">
        <x:v>96496.8</x:v>
      </x:c>
      <x:c r="I58" s="13">
        <x:f t="shared" si="14"/>
        <x:v>-226915.3</x:v>
      </x:c>
      <x:c r="K58" s="12">
        <x:f t="shared" si="18"/>
        <x:v>96496.8</x:v>
      </x:c>
      <x:c r="M58" s="33" t="s">
        <x:v>69</x:v>
      </x:c>
      <x:c r="N58" s="43" t="s">
        <x:v>91</x:v>
      </x:c>
      <x:c r="O58" s="36">
        <x:v>0</x:v>
      </x:c>
      <x:c r="P58" s="36">
        <x:v>0</x:v>
      </x:c>
      <x:c r="Q58" s="36">
        <x:v>0</x:v>
      </x:c>
      <x:c r="R58" s="36">
        <x:f t="shared" si="15"/>
        <x:v>0</x:v>
      </x:c>
      <x:c r="S58" s="36">
        <x:f>I58</x:f>
        <x:v>-226915.3</x:v>
      </x:c>
      <x:c r="T58" s="36">
        <x:v>0</x:v>
      </x:c>
      <x:c r="U58" s="36">
        <x:f t="shared" si="16"/>
        <x:v>-226915.3</x:v>
      </x:c>
      <x:c r="V58" s="36">
        <x:v>0</x:v>
      </x:c>
      <x:c r="W58" s="36">
        <x:v>0</x:v>
      </x:c>
      <x:c r="X58" s="36">
        <x:f t="shared" si="17"/>
        <x:v>-226915.3</x:v>
      </x:c>
      <x:c r="Y58" s="49">
        <x:f t="shared" si="1"/>
        <x:v>0</x:v>
      </x:c>
    </x:row>
    <x:row r="59" spans="1:25" x14ac:dyDescent="0.25">
      <x:c r="A59" s="14">
        <x:f t="shared" si="0"/>
        <x:v>46</x:v>
      </x:c>
      <x:c r="C59" s="2" t="s">
        <x:v>37</x:v>
      </x:c>
      <x:c r="D59" s="7">
        <x:f>SUM(D32:D58)</x:f>
        <x:v>1534976</x:v>
      </x:c>
      <x:c r="E59" s="7">
        <x:f t="shared" ref="E59:I59" si="23">SUM(E32:E58)</x:f>
        <x:v>-301205.55999999796</x:v>
      </x:c>
      <x:c r="F59" s="7">
        <x:f t="shared" si="23"/>
        <x:v>0</x:v>
      </x:c>
      <x:c r="G59" s="7">
        <x:f t="shared" si="23"/>
        <x:v>-331052.13000000134</x:v>
      </x:c>
      <x:c r="H59" s="7">
        <x:f t="shared" si="23"/>
        <x:v>-306988.19999999146</x:v>
      </x:c>
      <x:c r="I59" s="7">
        <x:f t="shared" si="23"/>
        <x:v>595730.10999998939</x:v>
      </x:c>
      <x:c r="K59" s="23">
        <x:f>SUM(K32:K58)</x:f>
        <x:v>-306988.19999999146</x:v>
      </x:c>
      <x:c r="O59" s="38">
        <x:f t="shared" ref="O59:X59" si="24">SUM(O32:O58)</x:f>
        <x:v>8647364.1899999995</x:v>
      </x:c>
      <x:c r="P59" s="38">
        <x:f t="shared" si="24"/>
        <x:v>0</x:v>
      </x:c>
      <x:c r="Q59" s="38">
        <x:f t="shared" si="24"/>
        <x:v>0</x:v>
      </x:c>
      <x:c r="R59" s="38">
        <x:f t="shared" si="24"/>
        <x:v>8647364.1899999995</x:v>
      </x:c>
      <x:c r="S59" s="38">
        <x:f t="shared" si="24"/>
        <x:v>-5270824.1599999992</x:v>
      </x:c>
      <x:c r="T59" s="38">
        <x:f t="shared" si="24"/>
        <x:v>0</x:v>
      </x:c>
      <x:c r="U59" s="38">
        <x:f t="shared" si="24"/>
        <x:v>-5270824.1599999992</x:v>
      </x:c>
      <x:c r="V59" s="38">
        <x:f t="shared" si="24"/>
        <x:v>-4540998.76</x:v>
      </x:c>
      <x:c r="W59" s="38">
        <x:f t="shared" si="24"/>
        <x:v>1760188.8400000003</x:v>
      </x:c>
      <x:c r="X59" s="38">
        <x:f t="shared" si="24"/>
        <x:v>595730.10999999498</x:v>
      </x:c>
      <x:c r="Y59" s="40">
        <x:f t="shared" si="1"/>
        <x:v>5.5879354476928711E-9</x:v>
      </x:c>
    </x:row>
    <x:row r="60" spans="1:25" x14ac:dyDescent="0.25">
      <x:c r="A60" s="14">
        <x:f t="shared" si="0"/>
        <x:v>47</x:v>
      </x:c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40"/>
    </x:row>
    <x:row r="61" spans="1:25" x14ac:dyDescent="0.25">
      <x:c r="A61" s="14">
        <x:f t="shared" si="0"/>
        <x:v>48</x:v>
      </x:c>
      <x:c r="C61" s="2" t="s">
        <x:v>40</x:v>
      </x:c>
      <x:c r="D61" s="4"/>
      <x:c r="E61" s="12">
        <x:v>22126157.399999999</x:v>
      </x:c>
      <x:c r="F61" s="5"/>
      <x:c r="G61" s="12">
        <x:f>16879389.96+10</x:f>
        <x:v>16879399.960000001</x:v>
      </x:c>
      <x:c r="H61" s="12">
        <x:f>14169300</x:f>
        <x:v>14169300</x:v>
      </x:c>
      <x:c r="I61" s="13">
        <x:f>SUM(D61:H61)</x:f>
        <x:v>53174857.359999999</x:v>
      </x:c>
      <x:c r="M61" s="32"/>
      <x:c r="N61" s="47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40"/>
    </x:row>
    <x:row r="62" spans="1:25" x14ac:dyDescent="0.25">
      <x:c r="A62" s="14">
        <x:f t="shared" si="0"/>
        <x:v>49</x:v>
      </x:c>
      <x:c r="C62" s="2" t="s">
        <x:v>73</x:v>
      </x:c>
      <x:c r="D62" s="4"/>
      <x:c r="E62" s="12">
        <x:f>+E17+E20</x:f>
        <x:v>16400424.099999996</x:v>
      </x:c>
      <x:c r="F62" s="5"/>
      <x:c r="G62" s="12">
        <x:f>+G17+G20</x:f>
        <x:v>11006321.83</x:v>
      </x:c>
      <x:c r="H62" s="12">
        <x:f>+H17+H20</x:f>
        <x:v>11931627.799999999</x:v>
      </x:c>
      <x:c r="I62" s="13">
        <x:f>SUM(D62:H62)</x:f>
        <x:v>39338373.729999997</x:v>
      </x:c>
      <x:c r="K62" s="12">
        <x:f>-ROUND((I61-I62)/AA1,2)</x:f>
        <x:v>-2767296.73</x:v>
      </x:c>
      <x:c r="M62" s="14" t="str">
        <x:f xml:space="preserve"> $AA$1 &amp; " years"</x:f>
        <x:v>5 years</x:v>
      </x:c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40"/>
    </x:row>
    <x:row r="63" spans="1:25" x14ac:dyDescent="0.25">
      <x:c r="A63" s="14">
        <x:f t="shared" si="0"/>
        <x:v>50</x:v>
      </x:c>
      <x:c r="C63" s="2" t="s">
        <x:v>72</x:v>
      </x:c>
      <x:c r="D63" s="4"/>
      <x:c r="E63" s="12">
        <x:v>0</x:v>
      </x:c>
      <x:c r="F63" s="5"/>
      <x:c r="G63" s="12">
        <x:v>-2199405.63</x:v>
      </x:c>
      <x:c r="H63" s="12">
        <x:v>-3330883.4</x:v>
      </x:c>
      <x:c r="I63" s="13">
        <x:f>SUM(D63:H63)</x:f>
        <x:v>-5530289.0299999993</x:v>
      </x:c>
      <x:c r="K63" s="12">
        <x:f>+H63</x:f>
        <x:v>-3330883.4</x:v>
      </x:c>
      <x:c r="M63" s="31" t="s">
        <x:v>69</x:v>
      </x:c>
      <x:c r="N63" s="33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40"/>
    </x:row>
    <x:row r="64" spans="1:25" x14ac:dyDescent="0.25">
      <x:c r="A64" s="14">
        <x:f t="shared" si="0"/>
        <x:v>51</x:v>
      </x:c>
      <x:c r="C64" s="2" t="s">
        <x:v>41</x:v>
      </x:c>
      <x:c r="D64" s="6">
        <x:f>74651887-57997470</x:f>
        <x:v>16654417</x:v>
      </x:c>
      <x:c r="E64" s="7">
        <x:f t="shared" ref="E64:H64" si="25">+E61-E62+E63</x:f>
        <x:v>5725733.3000000026</x:v>
      </x:c>
      <x:c r="F64" s="7">
        <x:f t="shared" si="25"/>
        <x:v>0</x:v>
      </x:c>
      <x:c r="G64" s="7">
        <x:f t="shared" si="25"/>
        <x:v>3673672.5000000009</x:v>
      </x:c>
      <x:c r="H64" s="7">
        <x:f t="shared" si="25"/>
        <x:v>-1093211.1999999988</x:v>
      </x:c>
      <x:c r="I64" s="7">
        <x:f>SUM(D64:H64)</x:f>
        <x:v>24960611.600000005</x:v>
      </x:c>
      <x:c r="K64" s="23">
        <x:f>SUM(K62:K63)</x:f>
        <x:v>-6098180.1299999999</x:v>
      </x:c>
      <x:c r="N64" s="45" t="s">
        <x:v>87</x:v>
      </x:c>
      <x:c r="O64" s="23">
        <x:f>ROUND($I64*'[1]II-F Alloc_Factor'!E$38,2)</x:f>
        <x:v>11346663.220000001</x:v>
      </x:c>
      <x:c r="P64" s="23">
        <x:f>ROUND($I64*'[1]II-F Alloc_Factor'!F$38,2)</x:f>
        <x:v>0</x:v>
      </x:c>
      <x:c r="Q64" s="23">
        <x:f>ROUND($I64*'[1]II-F Alloc_Factor'!G$38,2)</x:f>
        <x:v>9748.2099999999991</x:v>
      </x:c>
      <x:c r="R64" s="23">
        <x:f>SUM(O64:Q64)</x:f>
        <x:v>11356411.430000002</x:v>
      </x:c>
      <x:c r="S64" s="23">
        <x:f>ROUND($I64*'[1]II-F Alloc_Factor'!I$38,2)+0.01</x:f>
        <x:v>12959027.43</x:v>
      </x:c>
      <x:c r="T64" s="23">
        <x:f>ROUND($I64*'[1]II-F Alloc_Factor'!J$38,2)</x:f>
        <x:v>0</x:v>
      </x:c>
      <x:c r="U64" s="23">
        <x:f>SUM(S64:T64)</x:f>
        <x:v>12959027.43</x:v>
      </x:c>
      <x:c r="V64" s="23">
        <x:f>ROUND($I64*'[1]II-F Alloc_Factor'!L$38,2)</x:f>
        <x:v>388406.77</x:v>
      </x:c>
      <x:c r="W64" s="23">
        <x:f>ROUND($I64*'[1]II-F Alloc_Factor'!M$38,2)</x:f>
        <x:v>256765.97</x:v>
      </x:c>
      <x:c r="X64" s="23">
        <x:f t="shared" ref="X64" si="26">R64+U64+V64+W64</x:f>
        <x:v>24960611.599999998</x:v>
      </x:c>
      <x:c r="Y64" s="40">
        <x:f t="shared" si="1"/>
        <x:v>0</x:v>
      </x:c>
    </x:row>
    <x:row r="65" spans="1:25" x14ac:dyDescent="0.25">
      <x:c r="A65" s="14">
        <x:f t="shared" si="0"/>
        <x:v>52</x:v>
      </x:c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40"/>
    </x:row>
    <x:row r="66" spans="1:25" ht="13" x14ac:dyDescent="0.3">
      <x:c r="A66" s="14">
        <x:f t="shared" si="0"/>
        <x:v>53</x:v>
      </x:c>
      <x:c r="B66" s="2" t="s">
        <x:v>58</x:v>
      </x:c>
      <x:c r="D66" s="8">
        <x:f>+D30+D59+D64</x:f>
        <x:v>-164485158</x:v>
      </x:c>
      <x:c r="E66" s="8">
        <x:f t="shared" ref="E66:I66" si="27">+E30+E59+E64</x:f>
        <x:v>35885452.300000004</x:v>
      </x:c>
      <x:c r="F66" s="8">
        <x:f t="shared" si="27"/>
        <x:v>139819205.16999999</x:v>
      </x:c>
      <x:c r="G66" s="8">
        <x:f t="shared" si="27"/>
        <x:v>34464774.310000002</x:v>
      </x:c>
      <x:c r="H66" s="8">
        <x:f t="shared" si="27"/>
        <x:v>31780213.74000001</x:v>
      </x:c>
      <x:c r="I66" s="8">
        <x:f t="shared" si="27"/>
        <x:v>77464487.519999966</x:v>
      </x:c>
      <x:c r="K66" s="24">
        <x:f>+K30+K59+K64</x:f>
        <x:v>26775244.81000001</x:v>
      </x:c>
      <x:c r="O66" s="37">
        <x:f t="shared" ref="O66:X66" si="28">+O30+O59+O64</x:f>
        <x:v>42807005.009999998</x:v>
      </x:c>
      <x:c r="P66" s="37">
        <x:f t="shared" si="28"/>
        <x:v>0</x:v>
      </x:c>
      <x:c r="Q66" s="37">
        <x:f t="shared" si="28"/>
        <x:v>13640.99</x:v>
      </x:c>
      <x:c r="R66" s="37">
        <x:f t="shared" si="28"/>
        <x:v>42820646</x:v>
      </x:c>
      <x:c r="S66" s="37">
        <x:f t="shared" si="28"/>
        <x:v>35914816.089999989</x:v>
      </x:c>
      <x:c r="T66" s="37">
        <x:f t="shared" si="28"/>
        <x:v>0</x:v>
      </x:c>
      <x:c r="U66" s="37">
        <x:f t="shared" si="28"/>
        <x:v>35914816.089999989</x:v>
      </x:c>
      <x:c r="V66" s="37">
        <x:f t="shared" si="28"/>
        <x:v>-3471617.17</x:v>
      </x:c>
      <x:c r="W66" s="37">
        <x:f t="shared" si="28"/>
        <x:v>2200642.6000000006</x:v>
      </x:c>
      <x:c r="X66" s="37">
        <x:f t="shared" si="28"/>
        <x:v>77464487.519999996</x:v>
      </x:c>
      <x:c r="Y66" s="40">
        <x:f t="shared" si="1"/>
        <x:v>0</x:v>
      </x:c>
    </x:row>
    <x:row r="67" spans="1:25" x14ac:dyDescent="0.25">
      <x:c r="A67" s="14">
        <x:f t="shared" si="0"/>
        <x:v>54</x:v>
      </x:c>
      <x:c r="O67" s="36"/>
      <x:c r="P67" s="36"/>
      <x:c r="Q67" s="36"/>
      <x:c r="R67" s="36"/>
      <x:c r="S67" s="36"/>
      <x:c r="T67" s="36"/>
      <x:c r="U67" s="36"/>
      <x:c r="V67" s="36"/>
      <x:c r="W67" s="36"/>
      <x:c r="X67" s="36"/>
      <x:c r="Y67" s="40"/>
    </x:row>
    <x:row r="68" spans="1:25" ht="13.5" thickBot="1" x14ac:dyDescent="0.35">
      <x:c r="A68" s="14">
        <x:f t="shared" si="0"/>
        <x:v>55</x:v>
      </x:c>
      <x:c r="B68" s="2" t="s">
        <x:v>39</x:v>
      </x:c>
      <x:c r="D68" s="10">
        <x:f>+D17+D66</x:f>
        <x:v>-1083021890.3899999</x:v>
      </x:c>
      <x:c r="E68" s="10">
        <x:f t="shared" ref="E68:I68" si="29">+E17+E66</x:f>
        <x:v>52285876.399999999</x:v>
      </x:c>
      <x:c r="F68" s="10">
        <x:f t="shared" si="29"/>
        <x:v>0</x:v>
      </x:c>
      <x:c r="G68" s="10">
        <x:f t="shared" si="29"/>
        <x:v>48826254.160000004</x:v>
      </x:c>
      <x:c r="H68" s="10">
        <x:f t="shared" si="29"/>
        <x:v>47066338.600000009</x:v>
      </x:c>
      <x:c r="I68" s="10">
        <x:f t="shared" si="29"/>
        <x:v>-934843421.23000002</x:v>
      </x:c>
      <x:c r="K68" s="25">
        <x:f>+K17+K66</x:f>
        <x:v>42061369.670000009</x:v>
      </x:c>
      <x:c r="O68" s="39">
        <x:f t="shared" ref="O68:X68" si="30">+O17+O66</x:f>
        <x:v>-417370698.20999998</x:v>
      </x:c>
      <x:c r="P68" s="39">
        <x:f t="shared" si="30"/>
        <x:v>0</x:v>
      </x:c>
      <x:c r="Q68" s="39">
        <x:f t="shared" si="30"/>
        <x:v>-381709.47</x:v>
      </x:c>
      <x:c r="R68" s="39">
        <x:f t="shared" si="30"/>
        <x:v>-417752407.68000001</x:v>
      </x:c>
      <x:c r="S68" s="39">
        <x:f t="shared" si="30"/>
        <x:v>-489654274.91000003</x:v>
      </x:c>
      <x:c r="T68" s="39">
        <x:f t="shared" si="30"/>
        <x:v>0</x:v>
      </x:c>
      <x:c r="U68" s="39">
        <x:f t="shared" si="30"/>
        <x:v>-489654274.91000003</x:v>
      </x:c>
      <x:c r="V68" s="39">
        <x:f t="shared" si="30"/>
        <x:v>-19223925.469999999</x:v>
      </x:c>
      <x:c r="W68" s="39">
        <x:f t="shared" si="30"/>
        <x:v>-8212813.1799999988</x:v>
      </x:c>
      <x:c r="X68" s="39">
        <x:f t="shared" si="30"/>
        <x:v>-934843421.24000013</x:v>
      </x:c>
      <x:c r="Y68" s="40">
        <x:f t="shared" si="1"/>
        <x:v>-1.0000109672546387E-2</x:v>
      </x:c>
    </x:row>
    <x:row r="69" spans="1:25" ht="13" thickTop="1" x14ac:dyDescent="0.25">
      <x:c r="A69" s="14">
        <x:f t="shared" si="0"/>
        <x:v>56</x:v>
      </x:c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40"/>
    </x:row>
    <x:row r="70" spans="1:25" x14ac:dyDescent="0.25">
      <x:c r="A70" s="14">
        <x:f t="shared" si="0"/>
        <x:v>57</x:v>
      </x:c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40"/>
    </x:row>
    <x:row r="71" spans="1:25" x14ac:dyDescent="0.25">
      <x:c r="A71" s="14">
        <x:f t="shared" si="0"/>
        <x:v>58</x:v>
      </x:c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40"/>
    </x:row>
    <x:row r="72" spans="1:25" ht="25" x14ac:dyDescent="0.25">
      <x:c r="A72" s="14">
        <x:f t="shared" si="0"/>
        <x:v>59</x:v>
      </x:c>
      <x:c r="B72" s="1" t="s">
        <x:v>45</x:v>
      </x:c>
      <x:c r="D72" s="3" t="s">
        <x:v>59</x:v>
      </x:c>
      <x:c r="E72" s="3" t="s">
        <x:v>61</x:v>
      </x:c>
      <x:c r="F72" s="3" t="s">
        <x:v>66</x:v>
      </x:c>
      <x:c r="G72" s="3" t="s">
        <x:v>62</x:v>
      </x:c>
      <x:c r="H72" s="3" t="s">
        <x:v>63</x:v>
      </x:c>
      <x:c r="I72" s="20" t="s">
        <x:v>64</x:v>
      </x:c>
      <x:c r="K72" s="20" t="s">
        <x:v>4</x:v>
      </x:c>
      <x:c r="M72" s="3" t="s">
        <x:v>42</x:v>
      </x:c>
      <x:c r="N72" s="20" t="s">
        <x:v>86</x:v>
      </x:c>
      <x:c r="O72" s="34" t="s">
        <x:v>76</x:v>
      </x:c>
      <x:c r="P72" s="34" t="s">
        <x:v>77</x:v>
      </x:c>
      <x:c r="Q72" s="34" t="s">
        <x:v>78</x:v>
      </x:c>
      <x:c r="R72" s="34" t="s">
        <x:v>79</x:v>
      </x:c>
      <x:c r="S72" s="34" t="s">
        <x:v>80</x:v>
      </x:c>
      <x:c r="T72" s="34" t="s">
        <x:v>81</x:v>
      </x:c>
      <x:c r="U72" s="34" t="s">
        <x:v>82</x:v>
      </x:c>
      <x:c r="V72" s="34" t="s">
        <x:v>83</x:v>
      </x:c>
      <x:c r="W72" s="34" t="s">
        <x:v>84</x:v>
      </x:c>
      <x:c r="X72" s="34" t="s">
        <x:v>85</x:v>
      </x:c>
      <x:c r="Y72" s="40"/>
    </x:row>
    <x:row r="73" spans="1:25" x14ac:dyDescent="0.25">
      <x:c r="A73" s="14">
        <x:f t="shared" si="0"/>
        <x:v>60</x:v>
      </x:c>
      <x:c r="B73" s="2" t="s">
        <x:v>1</x:v>
      </x:c>
      <x:c r="D73" s="19"/>
      <x:c r="E73" s="19"/>
      <x:c r="F73" s="19"/>
      <x:c r="G73" s="19"/>
      <x:c r="H73" s="19"/>
      <x:c r="I73" s="26"/>
      <x:c r="K73" s="26"/>
      <x:c r="M73" s="19"/>
      <x:c r="N73" s="26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40"/>
    </x:row>
    <x:row r="74" spans="1:25" x14ac:dyDescent="0.25">
      <x:c r="A74" s="14">
        <x:f t="shared" si="0"/>
        <x:v>61</x:v>
      </x:c>
      <x:c r="C74" s="2" t="s">
        <x:v>2</x:v>
      </x:c>
      <x:c r="D74" s="4">
        <x:v>-49031358.350000001</x:v>
      </x:c>
      <x:c r="E74" s="4">
        <x:f>2097532.92-1.66</x:f>
        <x:v>2097531.2599999998</x:v>
      </x:c>
      <x:c r="F74" s="30">
        <x:v>-7767038.6900000004</x:v>
      </x:c>
      <x:c r="G74" s="4">
        <x:v>2007653.25</x:v>
      </x:c>
      <x:c r="H74" s="4">
        <x:v>2087265.44</x:v>
      </x:c>
      <x:c r="I74" s="13">
        <x:f>SUM(D74:H74)</x:f>
        <x:v>-50605947.090000004</x:v>
      </x:c>
      <x:c r="K74" s="12">
        <x:f>+H74</x:f>
        <x:v>2087265.44</x:v>
      </x:c>
      <x:c r="M74" s="14" t="s">
        <x:v>43</x:v>
      </x:c>
      <x:c r="N74" s="45" t="s">
        <x:v>89</x:v>
      </x:c>
      <x:c r="O74" s="35">
        <x:f>ROUND($I74*'[1]II-F Alloc_Factor'!E$39,2)</x:f>
        <x:v>0</x:v>
      </x:c>
      <x:c r="P74" s="35">
        <x:f>ROUND($I74*'[1]II-F Alloc_Factor'!F$39,2)</x:f>
        <x:v>-46862818.280000001</x:v>
      </x:c>
      <x:c r="Q74" s="35">
        <x:f>ROUND($I74*'[1]II-F Alloc_Factor'!G$39,2)</x:f>
        <x:v>0</x:v>
      </x:c>
      <x:c r="R74" s="35">
        <x:f t="shared" ref="R74" si="31">SUM(O74:Q74)</x:f>
        <x:v>-46862818.280000001</x:v>
      </x:c>
      <x:c r="S74" s="35">
        <x:f>ROUND($I74*'[1]II-F Alloc_Factor'!I$39,2)</x:f>
        <x:v>0</x:v>
      </x:c>
      <x:c r="T74" s="35">
        <x:f>ROUND($I74*'[1]II-F Alloc_Factor'!J$39,2)</x:f>
        <x:v>-3743128.81</x:v>
      </x:c>
      <x:c r="U74" s="35">
        <x:f t="shared" ref="U74" si="32">SUM(S74:T74)</x:f>
        <x:v>-3743128.81</x:v>
      </x:c>
      <x:c r="V74" s="35">
        <x:f>ROUND($I74*'[1]II-F Alloc_Factor'!L$39,2)</x:f>
        <x:v>0</x:v>
      </x:c>
      <x:c r="W74" s="35">
        <x:f>ROUND($I74*'[1]II-F Alloc_Factor'!M$39,2)</x:f>
        <x:v>0</x:v>
      </x:c>
      <x:c r="X74" s="35">
        <x:f t="shared" ref="X74:X75" si="33">R74+U74+V74+W74</x:f>
        <x:v>-50605947.090000004</x:v>
      </x:c>
      <x:c r="Y74" s="40">
        <x:f t="shared" si="1"/>
        <x:v>0</x:v>
      </x:c>
    </x:row>
    <x:row r="75" spans="1:25" x14ac:dyDescent="0.25">
      <x:c r="A75" s="14">
        <x:f t="shared" si="0"/>
        <x:v>62</x:v>
      </x:c>
      <x:c r="C75" s="2" t="s">
        <x:v>3</x:v>
      </x:c>
      <x:c r="D75" s="4">
        <x:v>1171713.73</x:v>
      </x:c>
      <x:c r="E75" s="4">
        <x:v>-110249.05</x:v>
      </x:c>
      <x:c r="F75" s="4"/>
      <x:c r="G75" s="4">
        <x:v>-101372.97</x:v>
      </x:c>
      <x:c r="H75" s="4">
        <x:v>-101650.18</x:v>
      </x:c>
      <x:c r="I75" s="13">
        <x:f>SUM(D75:H75)</x:f>
        <x:v>858441.53</x:v>
      </x:c>
      <x:c r="K75" s="12">
        <x:f>+H75</x:f>
        <x:v>-101650.18</x:v>
      </x:c>
      <x:c r="M75" s="14" t="s">
        <x:v>43</x:v>
      </x:c>
      <x:c r="N75" s="45" t="s">
        <x:v>89</x:v>
      </x:c>
      <x:c r="O75" s="35">
        <x:f>ROUND($I75*'[1]II-F Alloc_Factor'!E$39,2)</x:f>
        <x:v>0</x:v>
      </x:c>
      <x:c r="P75" s="35">
        <x:f>ROUND($I75*'[1]II-F Alloc_Factor'!F$39,2)</x:f>
        <x:v>794945.89</x:v>
      </x:c>
      <x:c r="Q75" s="35">
        <x:f>ROUND($I75*'[1]II-F Alloc_Factor'!G$39,2)</x:f>
        <x:v>0</x:v>
      </x:c>
      <x:c r="R75" s="35">
        <x:f t="shared" ref="R75" si="34">SUM(O75:Q75)</x:f>
        <x:v>794945.89</x:v>
      </x:c>
      <x:c r="S75" s="35">
        <x:f>ROUND($I75*'[1]II-F Alloc_Factor'!I$39,2)</x:f>
        <x:v>0</x:v>
      </x:c>
      <x:c r="T75" s="35">
        <x:f>ROUND($I75*'[1]II-F Alloc_Factor'!J$39,2)</x:f>
        <x:v>63495.64</x:v>
      </x:c>
      <x:c r="U75" s="35">
        <x:f t="shared" ref="U75" si="35">SUM(S75:T75)</x:f>
        <x:v>63495.64</x:v>
      </x:c>
      <x:c r="V75" s="35">
        <x:f>ROUND($I75*'[1]II-F Alloc_Factor'!L$39,2)</x:f>
        <x:v>0</x:v>
      </x:c>
      <x:c r="W75" s="35">
        <x:f>ROUND($I75*'[1]II-F Alloc_Factor'!M$39,2)</x:f>
        <x:v>0</x:v>
      </x:c>
      <x:c r="X75" s="35">
        <x:f t="shared" si="33"/>
        <x:v>858441.53</x:v>
      </x:c>
      <x:c r="Y75" s="40">
        <x:f t="shared" si="1"/>
        <x:v>0</x:v>
      </x:c>
    </x:row>
    <x:row r="76" spans="1:25" ht="13" x14ac:dyDescent="0.3">
      <x:c r="A76" s="14">
        <x:f t="shared" si="0"/>
        <x:v>63</x:v>
      </x:c>
      <x:c r="B76" s="2" t="s">
        <x:v>44</x:v>
      </x:c>
      <x:c r="D76" s="9">
        <x:f>SUM(D74:D75)</x:f>
        <x:v>-47859644.620000005</x:v>
      </x:c>
      <x:c r="E76" s="9">
        <x:f t="shared" ref="E76:I76" si="36">SUM(E74:E75)</x:f>
        <x:v>1987282.2099999997</x:v>
      </x:c>
      <x:c r="F76" s="9">
        <x:f t="shared" si="36"/>
        <x:v>-7767038.6900000004</x:v>
      </x:c>
      <x:c r="G76" s="9">
        <x:f t="shared" si="36"/>
        <x:v>1906280.28</x:v>
      </x:c>
      <x:c r="H76" s="9">
        <x:f t="shared" si="36"/>
        <x:v>1985615.26</x:v>
      </x:c>
      <x:c r="I76" s="21">
        <x:f t="shared" si="36"/>
        <x:v>-49747505.560000002</x:v>
      </x:c>
      <x:c r="K76" s="21">
        <x:f>SUM(K74:K75)</x:f>
        <x:v>1985615.26</x:v>
      </x:c>
      <x:c r="O76" s="21">
        <x:f t="shared" ref="O76:X76" si="37">SUM(O74:O75)</x:f>
        <x:v>0</x:v>
      </x:c>
      <x:c r="P76" s="21">
        <x:f t="shared" si="37"/>
        <x:v>-46067872.390000001</x:v>
      </x:c>
      <x:c r="Q76" s="21">
        <x:f t="shared" si="37"/>
        <x:v>0</x:v>
      </x:c>
      <x:c r="R76" s="21">
        <x:f t="shared" si="37"/>
        <x:v>-46067872.390000001</x:v>
      </x:c>
      <x:c r="S76" s="21">
        <x:f t="shared" si="37"/>
        <x:v>0</x:v>
      </x:c>
      <x:c r="T76" s="21">
        <x:f t="shared" si="37"/>
        <x:v>-3679633.17</x:v>
      </x:c>
      <x:c r="U76" s="21">
        <x:f t="shared" si="37"/>
        <x:v>-3679633.17</x:v>
      </x:c>
      <x:c r="V76" s="21">
        <x:f t="shared" si="37"/>
        <x:v>0</x:v>
      </x:c>
      <x:c r="W76" s="21">
        <x:f t="shared" si="37"/>
        <x:v>0</x:v>
      </x:c>
      <x:c r="X76" s="21">
        <x:f t="shared" si="37"/>
        <x:v>-49747505.560000002</x:v>
      </x:c>
      <x:c r="Y76" s="40">
        <x:f t="shared" si="1"/>
        <x:v>0</x:v>
      </x:c>
    </x:row>
    <x:row r="77" spans="1:25" x14ac:dyDescent="0.25">
      <x:c r="A77" s="14">
        <x:f t="shared" si="0"/>
        <x:v>64</x:v>
      </x:c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40">
        <x:f t="shared" si="1"/>
        <x:v>0</x:v>
      </x:c>
    </x:row>
    <x:row r="78" spans="1:25" x14ac:dyDescent="0.25">
      <x:c r="A78" s="14">
        <x:f t="shared" si="0"/>
        <x:v>65</x:v>
      </x:c>
      <x:c r="B78" s="2" t="s">
        <x:v>57</x:v>
      </x:c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40">
        <x:f t="shared" si="1"/>
        <x:v>0</x:v>
      </x:c>
    </x:row>
    <x:row r="79" spans="1:25" x14ac:dyDescent="0.25">
      <x:c r="A79" s="14">
        <x:f t="shared" si="0"/>
        <x:v>66</x:v>
      </x:c>
      <x:c r="C79" s="2" t="s">
        <x:v>65</x:v>
      </x:c>
      <x:c r="D79" s="29">
        <x:v>0</x:v>
      </x:c>
      <x:c r="E79" s="29">
        <x:v>0</x:v>
      </x:c>
      <x:c r="F79" s="4">
        <x:f>-F74</x:f>
        <x:v>7767038.6900000004</x:v>
      </x:c>
      <x:c r="G79" s="13">
        <x:v>-147140.66</x:v>
      </x:c>
      <x:c r="H79" s="13">
        <x:v>-147140.66000000015</x:v>
      </x:c>
      <x:c r="I79" s="13">
        <x:f>SUM(D79:H79)</x:f>
        <x:v>7472757.3700000001</x:v>
      </x:c>
      <x:c r="K79" s="12">
        <x:f>+H79</x:f>
        <x:v>-147140.66000000015</x:v>
      </x:c>
      <x:c r="M79" s="14" t="s">
        <x:v>75</x:v>
      </x:c>
      <x:c r="N79" s="43" t="s">
        <x:v>89</x:v>
      </x:c>
      <x:c r="O79" s="35">
        <x:f>ROUND($I79*'[1]II-F Alloc_Factor'!E$39,2)</x:f>
        <x:v>0</x:v>
      </x:c>
      <x:c r="P79" s="35">
        <x:f>ROUND($I79*'[1]II-F Alloc_Factor'!F$39,2)</x:f>
        <x:v>6920026.0199999996</x:v>
      </x:c>
      <x:c r="Q79" s="35">
        <x:f>ROUND($I79*'[1]II-F Alloc_Factor'!G$39,2)</x:f>
        <x:v>0</x:v>
      </x:c>
      <x:c r="R79" s="35">
        <x:f t="shared" ref="R79" si="38">SUM(O79:Q79)</x:f>
        <x:v>6920026.0199999996</x:v>
      </x:c>
      <x:c r="S79" s="35">
        <x:f>ROUND($I79*'[1]II-F Alloc_Factor'!I$39,2)</x:f>
        <x:v>0</x:v>
      </x:c>
      <x:c r="T79" s="35">
        <x:f>ROUND($I79*'[1]II-F Alloc_Factor'!J$39,2)</x:f>
        <x:v>552731.35</x:v>
      </x:c>
      <x:c r="U79" s="35">
        <x:f t="shared" ref="U79" si="39">SUM(S79:T79)</x:f>
        <x:v>552731.35</x:v>
      </x:c>
      <x:c r="V79" s="35">
        <x:f>ROUND($I79*'[1]II-F Alloc_Factor'!L$39,2)</x:f>
        <x:v>0</x:v>
      </x:c>
      <x:c r="W79" s="35">
        <x:f>ROUND($I79*'[1]II-F Alloc_Factor'!M$39,2)</x:f>
        <x:v>0</x:v>
      </x:c>
      <x:c r="X79" s="35">
        <x:f t="shared" ref="X79:X81" si="40">R79+U79+V79+W79</x:f>
        <x:v>7472757.3699999992</x:v>
      </x:c>
      <x:c r="Y79" s="40">
        <x:f t="shared" si="1"/>
        <x:v>0</x:v>
      </x:c>
    </x:row>
    <x:row r="80" spans="1:25" s="11" customFormat="1" x14ac:dyDescent="0.25">
      <x:c r="A80" s="43">
        <x:f t="shared" ref="A80:A98" si="41">+A79+1</x:f>
        <x:v>67</x:v>
      </x:c>
      <x:c r="C80" s="11" t="s">
        <x:v>46</x:v>
      </x:c>
      <x:c r="D80" s="13">
        <x:v>-404695</x:v>
      </x:c>
      <x:c r="E80" s="13">
        <x:v>0</x:v>
      </x:c>
      <x:c r="F80" s="13"/>
      <x:c r="G80" s="13">
        <x:v>53959.33</x:v>
      </x:c>
      <x:c r="H80" s="13">
        <x:v>80939</x:v>
      </x:c>
      <x:c r="I80" s="13">
        <x:f>SUM(D80:H80)</x:f>
        <x:v>-269796.67</x:v>
      </x:c>
      <x:c r="K80" s="13">
        <x:f>+H80</x:f>
        <x:v>80939</x:v>
      </x:c>
      <x:c r="M80" s="33" t="s">
        <x:v>69</x:v>
      </x:c>
      <x:c r="N80" s="33" t="s">
        <x:v>90</x:v>
      </x:c>
      <x:c r="O80" s="36">
        <x:v>0</x:v>
      </x:c>
      <x:c r="P80" s="36">
        <x:v>-249401.68</x:v>
      </x:c>
      <x:c r="Q80" s="36">
        <x:v>0</x:v>
      </x:c>
      <x:c r="R80" s="36">
        <x:f t="shared" ref="R80" si="42">SUM(O80:Q80)</x:f>
        <x:v>-249401.68</x:v>
      </x:c>
      <x:c r="S80" s="36">
        <x:v>0</x:v>
      </x:c>
      <x:c r="T80" s="36">
        <x:v>-20394.990000000002</x:v>
      </x:c>
      <x:c r="U80" s="36">
        <x:f t="shared" ref="U80" si="43">SUM(S80:T80)</x:f>
        <x:v>-20394.990000000002</x:v>
      </x:c>
      <x:c r="V80" s="36">
        <x:v>0</x:v>
      </x:c>
      <x:c r="W80" s="36">
        <x:v>0</x:v>
      </x:c>
      <x:c r="X80" s="36">
        <x:f t="shared" si="40"/>
        <x:v>-269796.67</x:v>
      </x:c>
      <x:c r="Y80" s="49">
        <x:f t="shared" ref="Y80:Y95" si="44">X80-I80</x:f>
        <x:v>0</x:v>
      </x:c>
    </x:row>
    <x:row r="81" spans="1:25" s="11" customFormat="1" x14ac:dyDescent="0.25">
      <x:c r="A81" s="43">
        <x:f t="shared" si="41"/>
        <x:v>68</x:v>
      </x:c>
      <x:c r="C81" s="11" t="s">
        <x:v>47</x:v>
      </x:c>
      <x:c r="D81" s="13">
        <x:v>221488</x:v>
      </x:c>
      <x:c r="E81" s="13">
        <x:v>0</x:v>
      </x:c>
      <x:c r="F81" s="13"/>
      <x:c r="G81" s="13">
        <x:v>-29531.73</x:v>
      </x:c>
      <x:c r="H81" s="13">
        <x:v>-44297.599999999999</x:v>
      </x:c>
      <x:c r="I81" s="13">
        <x:f>SUM(D81:H81)</x:f>
        <x:v>147658.66999999998</x:v>
      </x:c>
      <x:c r="K81" s="13">
        <x:f>+H81</x:f>
        <x:v>-44297.599999999999</x:v>
      </x:c>
      <x:c r="M81" s="33" t="s">
        <x:v>69</x:v>
      </x:c>
      <x:c r="N81" s="33" t="s">
        <x:v>90</x:v>
      </x:c>
      <x:c r="O81" s="36">
        <x:v>0</x:v>
      </x:c>
      <x:c r="P81" s="36">
        <x:v>136496.57</x:v>
      </x:c>
      <x:c r="Q81" s="36">
        <x:v>0</x:v>
      </x:c>
      <x:c r="R81" s="36">
        <x:f t="shared" ref="R81" si="45">SUM(O81:Q81)</x:f>
        <x:v>136496.57</x:v>
      </x:c>
      <x:c r="S81" s="36">
        <x:v>0</x:v>
      </x:c>
      <x:c r="T81" s="36">
        <x:v>11162.1</x:v>
      </x:c>
      <x:c r="U81" s="36">
        <x:f t="shared" ref="U81" si="46">SUM(S81:T81)</x:f>
        <x:v>11162.1</x:v>
      </x:c>
      <x:c r="V81" s="36">
        <x:v>0</x:v>
      </x:c>
      <x:c r="W81" s="36">
        <x:v>0</x:v>
      </x:c>
      <x:c r="X81" s="36">
        <x:f t="shared" si="40"/>
        <x:v>147658.67000000001</x:v>
      </x:c>
      <x:c r="Y81" s="49">
        <x:f t="shared" si="44"/>
        <x:v>0</x:v>
      </x:c>
    </x:row>
    <x:row r="82" spans="1:25" x14ac:dyDescent="0.25">
      <x:c r="A82" s="14">
        <x:f t="shared" si="41"/>
        <x:v>69</x:v>
      </x:c>
      <x:c r="C82" s="2" t="s">
        <x:v>38</x:v>
      </x:c>
      <x:c r="D82" s="6">
        <x:f>SUM(D79:D81)</x:f>
        <x:v>-183207</x:v>
      </x:c>
      <x:c r="E82" s="6">
        <x:f t="shared" ref="E82:I82" si="47">SUM(E79:E81)</x:f>
        <x:v>0</x:v>
      </x:c>
      <x:c r="F82" s="6">
        <x:f t="shared" si="47"/>
        <x:v>7767038.6900000004</x:v>
      </x:c>
      <x:c r="G82" s="6">
        <x:f t="shared" si="47"/>
        <x:v>-122713.06</x:v>
      </x:c>
      <x:c r="H82" s="6">
        <x:f t="shared" si="47"/>
        <x:v>-110499.26000000015</x:v>
      </x:c>
      <x:c r="I82" s="6">
        <x:f t="shared" si="47"/>
        <x:v>7350619.3700000001</x:v>
      </x:c>
      <x:c r="K82" s="22">
        <x:f>SUM(K79:K81)</x:f>
        <x:v>-110499.26000000015</x:v>
      </x:c>
      <x:c r="O82" s="22">
        <x:f>SUM(O79:O81)</x:f>
        <x:v>0</x:v>
      </x:c>
      <x:c r="P82" s="22">
        <x:f t="shared" ref="P82:X82" si="48">SUM(P79:P81)</x:f>
        <x:v>6807120.9100000001</x:v>
      </x:c>
      <x:c r="Q82" s="22">
        <x:f t="shared" si="48"/>
        <x:v>0</x:v>
      </x:c>
      <x:c r="R82" s="22">
        <x:f t="shared" si="48"/>
        <x:v>6807120.9100000001</x:v>
      </x:c>
      <x:c r="S82" s="22">
        <x:f t="shared" si="48"/>
        <x:v>0</x:v>
      </x:c>
      <x:c r="T82" s="22">
        <x:f t="shared" si="48"/>
        <x:v>543498.46</x:v>
      </x:c>
      <x:c r="U82" s="22">
        <x:f t="shared" si="48"/>
        <x:v>543498.46</x:v>
      </x:c>
      <x:c r="V82" s="22">
        <x:f t="shared" si="48"/>
        <x:v>0</x:v>
      </x:c>
      <x:c r="W82" s="22">
        <x:f t="shared" si="48"/>
        <x:v>0</x:v>
      </x:c>
      <x:c r="X82" s="22">
        <x:f t="shared" si="48"/>
        <x:v>7350619.3699999992</x:v>
      </x:c>
      <x:c r="Y82" s="40">
        <x:f t="shared" si="44"/>
        <x:v>0</x:v>
      </x:c>
    </x:row>
    <x:row r="83" spans="1:25" x14ac:dyDescent="0.25">
      <x:c r="A83" s="14">
        <x:f t="shared" si="41"/>
        <x:v>70</x:v>
      </x:c>
      <x:c r="E83" s="11"/>
      <x:c r="G83" s="11"/>
      <x:c r="H83" s="11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40">
        <x:f t="shared" si="44"/>
        <x:v>0</x:v>
      </x:c>
    </x:row>
    <x:row r="84" spans="1:25" s="11" customFormat="1" x14ac:dyDescent="0.25">
      <x:c r="A84" s="43">
        <x:f t="shared" si="41"/>
        <x:v>71</x:v>
      </x:c>
      <x:c r="C84" s="11" t="s">
        <x:v>48</x:v>
      </x:c>
      <x:c r="D84" s="13">
        <x:v>862123</x:v>
      </x:c>
      <x:c r="E84" s="13">
        <x:v>0</x:v>
      </x:c>
      <x:c r="F84" s="13"/>
      <x:c r="G84" s="13">
        <x:v>-114949.73</x:v>
      </x:c>
      <x:c r="H84" s="13">
        <x:v>-172424.6</x:v>
      </x:c>
      <x:c r="I84" s="13">
        <x:f>SUM(D84:H84)</x:f>
        <x:v>574748.67000000004</x:v>
      </x:c>
      <x:c r="K84" s="13">
        <x:f>+H84</x:f>
        <x:v>-172424.6</x:v>
      </x:c>
      <x:c r="M84" s="33" t="s">
        <x:v>69</x:v>
      </x:c>
      <x:c r="N84" s="43" t="s">
        <x:v>90</x:v>
      </x:c>
      <x:c r="O84" s="36">
        <x:v>0</x:v>
      </x:c>
      <x:c r="P84" s="36">
        <x:v>531301.17000000004</x:v>
      </x:c>
      <x:c r="Q84" s="36">
        <x:v>0</x:v>
      </x:c>
      <x:c r="R84" s="36">
        <x:f t="shared" ref="R84:R85" si="49">SUM(O84:Q84)</x:f>
        <x:v>531301.17000000004</x:v>
      </x:c>
      <x:c r="S84" s="36">
        <x:v>0</x:v>
      </x:c>
      <x:c r="T84" s="36">
        <x:v>43447.5</x:v>
      </x:c>
      <x:c r="U84" s="36">
        <x:f t="shared" ref="U84:U85" si="50">SUM(S84:T84)</x:f>
        <x:v>43447.5</x:v>
      </x:c>
      <x:c r="V84" s="36">
        <x:v>0</x:v>
      </x:c>
      <x:c r="W84" s="36">
        <x:v>0</x:v>
      </x:c>
      <x:c r="X84" s="36">
        <x:f t="shared" ref="X84:X85" si="51">R84+U84+V84+W84</x:f>
        <x:v>574748.67000000004</x:v>
      </x:c>
      <x:c r="Y84" s="49">
        <x:f t="shared" si="44"/>
        <x:v>0</x:v>
      </x:c>
    </x:row>
    <x:row r="85" spans="1:25" s="11" customFormat="1" x14ac:dyDescent="0.25">
      <x:c r="A85" s="43">
        <x:f t="shared" si="41"/>
        <x:v>72</x:v>
      </x:c>
      <x:c r="C85" s="11" t="s">
        <x:v>49</x:v>
      </x:c>
      <x:c r="D85" s="13">
        <x:v>11625</x:v>
      </x:c>
      <x:c r="E85" s="13">
        <x:v>0</x:v>
      </x:c>
      <x:c r="F85" s="13"/>
      <x:c r="G85" s="13">
        <x:v>-1550</x:v>
      </x:c>
      <x:c r="H85" s="13">
        <x:v>-2325</x:v>
      </x:c>
      <x:c r="I85" s="13">
        <x:f>SUM(D85:H85)</x:f>
        <x:v>7750</x:v>
      </x:c>
      <x:c r="K85" s="13">
        <x:f>+H85</x:f>
        <x:v>-2325</x:v>
      </x:c>
      <x:c r="M85" s="33" t="s">
        <x:v>69</x:v>
      </x:c>
      <x:c r="N85" s="43" t="s">
        <x:v>90</x:v>
      </x:c>
      <x:c r="O85" s="36">
        <x:v>0</x:v>
      </x:c>
      <x:c r="P85" s="36">
        <x:v>7164.15</x:v>
      </x:c>
      <x:c r="Q85" s="36">
        <x:v>0</x:v>
      </x:c>
      <x:c r="R85" s="36">
        <x:f t="shared" si="49"/>
        <x:v>7164.15</x:v>
      </x:c>
      <x:c r="S85" s="36">
        <x:v>0</x:v>
      </x:c>
      <x:c r="T85" s="36">
        <x:v>585.85</x:v>
      </x:c>
      <x:c r="U85" s="36">
        <x:f t="shared" si="50"/>
        <x:v>585.85</x:v>
      </x:c>
      <x:c r="V85" s="36">
        <x:v>0</x:v>
      </x:c>
      <x:c r="W85" s="36">
        <x:v>0</x:v>
      </x:c>
      <x:c r="X85" s="36">
        <x:f t="shared" si="51"/>
        <x:v>7750</x:v>
      </x:c>
      <x:c r="Y85" s="49">
        <x:f t="shared" si="44"/>
        <x:v>0</x:v>
      </x:c>
    </x:row>
    <x:row r="86" spans="1:25" x14ac:dyDescent="0.25">
      <x:c r="A86" s="14">
        <x:f t="shared" si="41"/>
        <x:v>73</x:v>
      </x:c>
      <x:c r="C86" s="2" t="s">
        <x:v>37</x:v>
      </x:c>
      <x:c r="D86" s="7">
        <x:f>SUM(D84:D85)</x:f>
        <x:v>873748</x:v>
      </x:c>
      <x:c r="E86" s="23">
        <x:f t="shared" ref="E86:I86" si="52">SUM(E84:E85)</x:f>
        <x:v>0</x:v>
      </x:c>
      <x:c r="F86" s="23">
        <x:f t="shared" si="52"/>
        <x:v>0</x:v>
      </x:c>
      <x:c r="G86" s="23">
        <x:f t="shared" si="52"/>
        <x:v>-116499.73</x:v>
      </x:c>
      <x:c r="H86" s="23">
        <x:f t="shared" si="52"/>
        <x:v>-174749.6</x:v>
      </x:c>
      <x:c r="I86" s="22">
        <x:f t="shared" si="52"/>
        <x:v>582498.67000000004</x:v>
      </x:c>
      <x:c r="K86" s="22">
        <x:f>SUM(K84:K85)</x:f>
        <x:v>-174749.6</x:v>
      </x:c>
      <x:c r="O86" s="22">
        <x:f t="shared" ref="O86:X86" si="53">SUM(O84:O85)</x:f>
        <x:v>0</x:v>
      </x:c>
      <x:c r="P86" s="22">
        <x:f t="shared" si="53"/>
        <x:v>538465.32000000007</x:v>
      </x:c>
      <x:c r="Q86" s="22">
        <x:f t="shared" si="53"/>
        <x:v>0</x:v>
      </x:c>
      <x:c r="R86" s="22">
        <x:f t="shared" si="53"/>
        <x:v>538465.32000000007</x:v>
      </x:c>
      <x:c r="S86" s="22">
        <x:f t="shared" si="53"/>
        <x:v>0</x:v>
      </x:c>
      <x:c r="T86" s="22">
        <x:f t="shared" si="53"/>
        <x:v>44033.35</x:v>
      </x:c>
      <x:c r="U86" s="22">
        <x:f t="shared" si="53"/>
        <x:v>44033.35</x:v>
      </x:c>
      <x:c r="V86" s="22">
        <x:f t="shared" si="53"/>
        <x:v>0</x:v>
      </x:c>
      <x:c r="W86" s="22">
        <x:f t="shared" si="53"/>
        <x:v>0</x:v>
      </x:c>
      <x:c r="X86" s="22">
        <x:f t="shared" si="53"/>
        <x:v>582498.67000000004</x:v>
      </x:c>
      <x:c r="Y86" s="40">
        <x:f t="shared" si="44"/>
        <x:v>0</x:v>
      </x:c>
    </x:row>
    <x:row r="87" spans="1:25" x14ac:dyDescent="0.25">
      <x:c r="A87" s="14">
        <x:f t="shared" si="41"/>
        <x:v>74</x:v>
      </x:c>
      <x:c r="E87" s="11"/>
      <x:c r="G87" s="11"/>
      <x:c r="H87" s="11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40">
        <x:f t="shared" si="44"/>
        <x:v>0</x:v>
      </x:c>
    </x:row>
    <x:row r="88" spans="1:25" x14ac:dyDescent="0.25">
      <x:c r="A88" s="14">
        <x:f t="shared" si="41"/>
        <x:v>75</x:v>
      </x:c>
      <x:c r="C88" s="2" t="s">
        <x:v>40</x:v>
      </x:c>
      <x:c r="E88" s="12">
        <x:v>0</x:v>
      </x:c>
      <x:c r="F88" s="5"/>
      <x:c r="G88" s="12">
        <x:v>1376304.67</x:v>
      </x:c>
      <x:c r="H88" s="12">
        <x:v>2064457</x:v>
      </x:c>
      <x:c r="I88" s="13">
        <x:f>SUM(D88:H88)</x:f>
        <x:v>3440761.67</x:v>
      </x:c>
      <x:c r="K88" s="12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40"/>
    </x:row>
    <x:row r="89" spans="1:25" x14ac:dyDescent="0.25">
      <x:c r="A89" s="14">
        <x:f t="shared" si="41"/>
        <x:v>76</x:v>
      </x:c>
      <x:c r="C89" s="2" t="s">
        <x:v>73</x:v>
      </x:c>
      <x:c r="D89" s="4"/>
      <x:c r="E89" s="12">
        <x:f>+E76+E79</x:f>
        <x:v>1987282.2099999997</x:v>
      </x:c>
      <x:c r="F89" s="12"/>
      <x:c r="G89" s="12">
        <x:f>+G76+G79</x:f>
        <x:v>1759139.62</x:v>
      </x:c>
      <x:c r="H89" s="12">
        <x:f>+H76+H79</x:f>
        <x:v>1838474.5999999999</x:v>
      </x:c>
      <x:c r="I89" s="13">
        <x:f>SUM(D89:H89)</x:f>
        <x:v>5584896.4299999997</x:v>
      </x:c>
      <x:c r="K89" s="12">
        <x:f>-ROUND((I88-I89)/AA1,2)</x:f>
        <x:v>428826.95</x:v>
      </x:c>
      <x:c r="M89" s="14" t="str">
        <x:f xml:space="preserve"> $AA$1 &amp; " years"</x:f>
        <x:v>5 years</x:v>
      </x:c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40"/>
    </x:row>
    <x:row r="90" spans="1:25" x14ac:dyDescent="0.25">
      <x:c r="A90" s="14">
        <x:f t="shared" si="41"/>
        <x:v>77</x:v>
      </x:c>
      <x:c r="C90" s="2" t="s">
        <x:v>72</x:v>
      </x:c>
      <x:c r="D90" s="4"/>
      <x:c r="E90" s="12">
        <x:v>0</x:v>
      </x:c>
      <x:c r="F90" s="12"/>
      <x:c r="G90" s="12">
        <x:v>1147969.8700000001</x:v>
      </x:c>
      <x:c r="H90" s="12">
        <x:v>1721954.8</x:v>
      </x:c>
      <x:c r="I90" s="13">
        <x:f>SUM(D90:H90)</x:f>
        <x:v>2869924.67</x:v>
      </x:c>
      <x:c r="K90" s="12">
        <x:f>+H90</x:f>
        <x:v>1721954.8</x:v>
      </x:c>
      <x:c r="M90" s="31" t="s">
        <x:v>69</x:v>
      </x:c>
      <x:c r="N90" s="33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40"/>
    </x:row>
    <x:row r="91" spans="1:25" x14ac:dyDescent="0.25">
      <x:c r="A91" s="14">
        <x:f t="shared" si="41"/>
        <x:v>78</x:v>
      </x:c>
      <x:c r="C91" s="2" t="s">
        <x:v>41</x:v>
      </x:c>
      <x:c r="D91" s="7">
        <x:v>-8609774</x:v>
      </x:c>
      <x:c r="E91" s="7">
        <x:f t="shared" ref="E91:H91" si="54">+E88-E89+E90</x:f>
        <x:v>-1987282.2099999997</x:v>
      </x:c>
      <x:c r="F91" s="7">
        <x:f t="shared" si="54"/>
        <x:v>0</x:v>
      </x:c>
      <x:c r="G91" s="7">
        <x:f t="shared" si="54"/>
        <x:v>765134.91999999993</x:v>
      </x:c>
      <x:c r="H91" s="7">
        <x:f t="shared" si="54"/>
        <x:v>1947937.2000000002</x:v>
      </x:c>
      <x:c r="I91" s="7">
        <x:f>SUM(D91:H92)</x:f>
        <x:v>-7883984.0899999989</x:v>
      </x:c>
      <x:c r="K91" s="23">
        <x:f>SUM(K89:K90)</x:f>
        <x:v>2150781.75</x:v>
      </x:c>
      <x:c r="N91" s="43" t="s">
        <x:v>89</x:v>
      </x:c>
      <x:c r="O91" s="23">
        <x:f>ROUND($I91*'[1]II-F Alloc_Factor'!E$39,2)</x:f>
        <x:v>0</x:v>
      </x:c>
      <x:c r="P91" s="23">
        <x:f>ROUND($I91*'[1]II-F Alloc_Factor'!F$39,2)</x:f>
        <x:v>-7300835.8700000001</x:v>
      </x:c>
      <x:c r="Q91" s="23">
        <x:f>ROUND($I91*'[1]II-F Alloc_Factor'!G$39,2)</x:f>
        <x:v>0</x:v>
      </x:c>
      <x:c r="R91" s="23">
        <x:f t="shared" ref="R91" si="55">SUM(O91:Q91)</x:f>
        <x:v>-7300835.8700000001</x:v>
      </x:c>
      <x:c r="S91" s="23">
        <x:f>ROUND($I91*'[1]II-F Alloc_Factor'!I$39,2)</x:f>
        <x:v>0</x:v>
      </x:c>
      <x:c r="T91" s="23">
        <x:f>ROUND($I91*'[1]II-F Alloc_Factor'!J$39,2)</x:f>
        <x:v>-583148.22</x:v>
      </x:c>
      <x:c r="U91" s="23">
        <x:f t="shared" ref="U91" si="56">SUM(S91:T91)</x:f>
        <x:v>-583148.22</x:v>
      </x:c>
      <x:c r="V91" s="23">
        <x:f>ROUND($I91*'[1]II-F Alloc_Factor'!L$39,2)</x:f>
        <x:v>0</x:v>
      </x:c>
      <x:c r="W91" s="23">
        <x:f>ROUND($I91*'[1]II-F Alloc_Factor'!M$39,2)</x:f>
        <x:v>0</x:v>
      </x:c>
      <x:c r="X91" s="23">
        <x:f t="shared" ref="X91" si="57">R91+U91+V91+W91</x:f>
        <x:v>-7883984.0899999999</x:v>
      </x:c>
      <x:c r="Y91" s="40">
        <x:f t="shared" si="44"/>
        <x:v>0</x:v>
      </x:c>
    </x:row>
    <x:row r="92" spans="1:25" x14ac:dyDescent="0.25">
      <x:c r="A92" s="14">
        <x:f t="shared" si="41"/>
        <x:v>79</x:v>
      </x:c>
      <x:c r="E92" s="11"/>
      <x:c r="F92" s="11"/>
      <x:c r="G92" s="11"/>
      <x:c r="H92" s="11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40">
        <x:f t="shared" si="44"/>
        <x:v>0</x:v>
      </x:c>
    </x:row>
    <x:row r="93" spans="1:25" ht="13" x14ac:dyDescent="0.3">
      <x:c r="A93" s="14">
        <x:f t="shared" si="41"/>
        <x:v>80</x:v>
      </x:c>
      <x:c r="B93" s="2" t="s">
        <x:v>58</x:v>
      </x:c>
      <x:c r="D93" s="8">
        <x:f>+D82+D86+D91</x:f>
        <x:v>-7919233</x:v>
      </x:c>
      <x:c r="E93" s="24">
        <x:f t="shared" ref="E93:K93" si="58">+E82+E86+E91</x:f>
        <x:v>-1987282.2099999997</x:v>
      </x:c>
      <x:c r="F93" s="24">
        <x:f t="shared" si="58"/>
        <x:v>7767038.6900000004</x:v>
      </x:c>
      <x:c r="G93" s="24">
        <x:f t="shared" si="58"/>
        <x:v>525922.12999999989</x:v>
      </x:c>
      <x:c r="H93" s="24">
        <x:f t="shared" si="58"/>
        <x:v>1662688.34</x:v>
      </x:c>
      <x:c r="I93" s="24">
        <x:f t="shared" si="58"/>
        <x:v>49133.950000001118</x:v>
      </x:c>
      <x:c r="K93" s="24">
        <x:f t="shared" si="58"/>
        <x:v>1865532.89</x:v>
      </x:c>
      <x:c r="O93" s="24">
        <x:f t="shared" ref="O93:X93" si="59">+O82+O86+O91</x:f>
        <x:v>0</x:v>
      </x:c>
      <x:c r="P93" s="24">
        <x:f t="shared" si="59"/>
        <x:v>44750.360000000335</x:v>
      </x:c>
      <x:c r="Q93" s="24">
        <x:f t="shared" si="59"/>
        <x:v>0</x:v>
      </x:c>
      <x:c r="R93" s="24">
        <x:f t="shared" si="59"/>
        <x:v>44750.360000000335</x:v>
      </x:c>
      <x:c r="S93" s="24">
        <x:f t="shared" si="59"/>
        <x:v>0</x:v>
      </x:c>
      <x:c r="T93" s="24">
        <x:f t="shared" si="59"/>
        <x:v>4383.5899999999674</x:v>
      </x:c>
      <x:c r="U93" s="24">
        <x:f t="shared" si="59"/>
        <x:v>4383.5899999999674</x:v>
      </x:c>
      <x:c r="V93" s="24">
        <x:f t="shared" si="59"/>
        <x:v>0</x:v>
      </x:c>
      <x:c r="W93" s="24">
        <x:f t="shared" si="59"/>
        <x:v>0</x:v>
      </x:c>
      <x:c r="X93" s="24">
        <x:f t="shared" si="59"/>
        <x:v>49133.949999999255</x:v>
      </x:c>
      <x:c r="Y93" s="41">
        <x:f t="shared" si="44"/>
        <x:v>-1.862645149230957E-9</x:v>
      </x:c>
    </x:row>
    <x:row r="94" spans="1:25" x14ac:dyDescent="0.25">
      <x:c r="A94" s="14">
        <x:f t="shared" si="41"/>
        <x:v>81</x:v>
      </x:c>
      <x:c r="E94" s="11"/>
      <x:c r="F94" s="11"/>
      <x:c r="G94" s="11"/>
      <x:c r="H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40">
        <x:f t="shared" si="44"/>
        <x:v>0</x:v>
      </x:c>
    </x:row>
    <x:row r="95" spans="1:25" ht="13.5" thickBot="1" x14ac:dyDescent="0.35">
      <x:c r="A95" s="14">
        <x:f t="shared" si="41"/>
        <x:v>82</x:v>
      </x:c>
      <x:c r="B95" s="2" t="s">
        <x:v>39</x:v>
      </x:c>
      <x:c r="D95" s="10">
        <x:f t="shared" ref="D95:I95" si="60">+D76+D93</x:f>
        <x:v>-55778877.620000005</x:v>
      </x:c>
      <x:c r="E95" s="25">
        <x:f t="shared" si="60"/>
        <x:v>0</x:v>
      </x:c>
      <x:c r="F95" s="25">
        <x:f t="shared" si="60"/>
        <x:v>0</x:v>
      </x:c>
      <x:c r="G95" s="25">
        <x:f t="shared" si="60"/>
        <x:v>2432202.41</x:v>
      </x:c>
      <x:c r="H95" s="25">
        <x:f t="shared" si="60"/>
        <x:v>3648303.6</x:v>
      </x:c>
      <x:c r="I95" s="25">
        <x:f t="shared" si="60"/>
        <x:v>-49698371.609999999</x:v>
      </x:c>
      <x:c r="K95" s="25">
        <x:f>+K76+K93</x:f>
        <x:v>3851148.15</x:v>
      </x:c>
      <x:c r="O95" s="25">
        <x:f>+O76+O93</x:f>
        <x:v>0</x:v>
      </x:c>
      <x:c r="P95" s="25">
        <x:f t="shared" ref="P95:X95" si="61">+P76+P93</x:f>
        <x:v>-46023122.030000001</x:v>
      </x:c>
      <x:c r="Q95" s="25">
        <x:f t="shared" si="61"/>
        <x:v>0</x:v>
      </x:c>
      <x:c r="R95" s="25">
        <x:f t="shared" si="61"/>
        <x:v>-46023122.030000001</x:v>
      </x:c>
      <x:c r="S95" s="25">
        <x:f t="shared" si="61"/>
        <x:v>0</x:v>
      </x:c>
      <x:c r="T95" s="25">
        <x:f t="shared" si="61"/>
        <x:v>-3675249.58</x:v>
      </x:c>
      <x:c r="U95" s="25">
        <x:f t="shared" si="61"/>
        <x:v>-3675249.58</x:v>
      </x:c>
      <x:c r="V95" s="25">
        <x:f t="shared" si="61"/>
        <x:v>0</x:v>
      </x:c>
      <x:c r="W95" s="25">
        <x:f t="shared" si="61"/>
        <x:v>0</x:v>
      </x:c>
      <x:c r="X95" s="25">
        <x:f t="shared" si="61"/>
        <x:v>-49698371.609999999</x:v>
      </x:c>
      <x:c r="Y95" s="40">
        <x:f t="shared" si="44"/>
        <x:v>0</x:v>
      </x:c>
    </x:row>
    <x:row r="96" spans="1:25" ht="13" thickTop="1" x14ac:dyDescent="0.25">
      <x:c r="A96" s="14">
        <x:f t="shared" si="41"/>
        <x:v>83</x:v>
      </x:c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40">
        <x:f>X96-I96</x:f>
        <x:v>0</x:v>
      </x:c>
    </x:row>
    <x:row r="97" spans="1:25" x14ac:dyDescent="0.25">
      <x:c r="A97" s="14">
        <x:f t="shared" si="41"/>
        <x:v>84</x:v>
      </x:c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40">
        <x:f t="shared" ref="Y97:Y98" si="62">X97-I97</x:f>
        <x:v>0</x:v>
      </x:c>
    </x:row>
    <x:row r="98" spans="1:25" ht="13.5" thickBot="1" x14ac:dyDescent="0.35">
      <x:c r="A98" s="14">
        <x:f t="shared" si="41"/>
        <x:v>85</x:v>
      </x:c>
      <x:c r="B98" s="2" t="s">
        <x:v>50</x:v>
      </x:c>
      <x:c r="D98" s="10">
        <x:f t="shared" ref="D98:I98" si="63">+D68+D95</x:f>
        <x:v>-1138800768.0099998</x:v>
      </x:c>
      <x:c r="E98" s="10">
        <x:f t="shared" si="63"/>
        <x:v>52285876.399999999</x:v>
      </x:c>
      <x:c r="F98" s="10">
        <x:f t="shared" si="63"/>
        <x:v>0</x:v>
      </x:c>
      <x:c r="G98" s="10">
        <x:f t="shared" si="63"/>
        <x:v>51258456.570000008</x:v>
      </x:c>
      <x:c r="H98" s="10">
        <x:f t="shared" si="63"/>
        <x:v>50714642.20000001</x:v>
      </x:c>
      <x:c r="I98" s="25">
        <x:f t="shared" si="63"/>
        <x:v>-984541792.84000003</x:v>
      </x:c>
      <x:c r="K98" s="25">
        <x:f>+K68+K95</x:f>
        <x:v>45912517.820000008</x:v>
      </x:c>
      <x:c r="O98" s="25">
        <x:f>+O68+O95</x:f>
        <x:v>-417370698.20999998</x:v>
      </x:c>
      <x:c r="P98" s="25">
        <x:f t="shared" ref="P98:X98" si="64">+P68+P95</x:f>
        <x:v>-46023122.030000001</x:v>
      </x:c>
      <x:c r="Q98" s="25">
        <x:f t="shared" si="64"/>
        <x:v>-381709.47</x:v>
      </x:c>
      <x:c r="R98" s="25">
        <x:f t="shared" si="64"/>
        <x:v>-463775529.71000004</x:v>
      </x:c>
      <x:c r="S98" s="25">
        <x:f t="shared" si="64"/>
        <x:v>-489654274.91000003</x:v>
      </x:c>
      <x:c r="T98" s="25">
        <x:f t="shared" si="64"/>
        <x:v>-3675249.58</x:v>
      </x:c>
      <x:c r="U98" s="25">
        <x:f t="shared" si="64"/>
        <x:v>-493329524.49000001</x:v>
      </x:c>
      <x:c r="V98" s="25">
        <x:f t="shared" si="64"/>
        <x:v>-19223925.469999999</x:v>
      </x:c>
      <x:c r="W98" s="25">
        <x:f t="shared" si="64"/>
        <x:v>-8212813.1799999988</x:v>
      </x:c>
      <x:c r="X98" s="25">
        <x:f t="shared" si="64"/>
        <x:v>-984541792.85000014</x:v>
      </x:c>
      <x:c r="Y98" s="40">
        <x:f t="shared" si="62"/>
        <x:v>-1.0000109672546387E-2</x:v>
      </x:c>
    </x:row>
    <x:row r="99" spans="1:25" ht="13" thickTop="1" x14ac:dyDescent="0.25"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</x:row>
    <x:row r="100" spans="1:25" x14ac:dyDescent="0.25"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</x:row>
    <x:row r="101" spans="1:25" x14ac:dyDescent="0.25">
      <x:c r="H101" s="5"/>
      <x:c r="K101" s="5"/>
    </x:row>
    <x:row r="103" spans="1:25" x14ac:dyDescent="0.25">
      <x:c r="I103" s="12"/>
      <x:c r="J103" s="12"/>
      <x:c r="K103" s="12"/>
    </x:row>
    <x:row r="104" spans="1:25" x14ac:dyDescent="0.25">
      <x:c r="I104" s="12"/>
      <x:c r="J104" s="12"/>
      <x:c r="K104" s="12"/>
    </x:row>
    <x:row r="105" spans="1:25" x14ac:dyDescent="0.25">
      <x:c r="I105" s="12"/>
      <x:c r="J105" s="12"/>
      <x:c r="K105" s="12"/>
    </x:row>
    <x:row r="107" spans="1:25" x14ac:dyDescent="0.25">
      <x:c r="I107" s="12"/>
      <x:c r="J107" s="12"/>
      <x:c r="K107" s="12"/>
    </x:row>
  </x:sheetData>
  <x:mergeCells count="5">
    <x:mergeCell ref="A4:X4"/>
    <x:mergeCell ref="A5:X5"/>
    <x:mergeCell ref="A6:X6"/>
    <x:mergeCell ref="A7:X7"/>
    <x:mergeCell ref="A8:X8"/>
  </x:mergeCells>
  <x:phoneticPr fontId="6" type="noConversion"/>
  <x:pageMargins left="0.25" right="0.25" top="1.2" bottom="0.1" header="0.3" footer="0.3"/>
  <x:pageSetup scale="37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2025-04-04T18:44:20.0000000Z</dcterms:modified>
</coreProperties>
</file>