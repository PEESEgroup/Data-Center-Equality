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13_ncr:1_{E18C522F-87D4-4FA9-951D-92FDE96BE322}" xr6:coauthVersionLast="47" xr6:coauthVersionMax="47" xr10:uidLastSave="{00000000-0000-0000-0000-000000000000}"/>
  <x:bookViews>
    <x:workbookView xWindow="25974" yWindow="-109" windowWidth="26301" windowHeight="14169" xr2:uid="{00000000-000D-0000-FFFF-FFFF00000000}"/>
  </x:bookViews>
  <x:sheets>
    <x:sheet name="Sheet1" sheetId="1" r:id="rId1"/>
  </x:sheets>
  <x:definedNames>
    <x:definedName name="_xlnm.Print_Area" localSheetId="0">Sheet1!$B$17:$Z$113</x:definedName>
    <x:definedName name="_xlnm.Print_Titles" localSheetId="0">Sheet1!$A:$A,Sheet1!$17:$18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S113" i="1" l="1"/>
  <x:c r="R21" i="1"/>
  <x:c r="AA113" i="1"/>
  <x:c r="W113" i="1"/>
  <x:c r="Z113" i="1"/>
  <x:c r="Y113" i="1"/>
  <x:c r="X113" i="1"/>
  <x:c r="V113" i="1"/>
  <x:c r="U113" i="1"/>
  <x:c r="T113" i="1"/>
  <x:c r="R113" i="1"/>
  <x:c r="P113" i="1"/>
  <x:c r="O113" i="1"/>
  <x:c r="N113" i="1"/>
  <x:c r="C113" i="1"/>
  <x:c r="D113" i="1"/>
  <x:c r="E113" i="1"/>
  <x:c r="F113" i="1"/>
  <x:c r="G113" i="1"/>
  <x:c r="H113" i="1"/>
  <x:c r="I113" i="1"/>
  <x:c r="J113" i="1"/>
  <x:c r="B113" i="1"/>
  <x:c r="R25" i="1" l="1"/>
  <x:c r="J104" i="1" l="1"/>
  <x:c r="N74" i="1" l="1"/>
  <x:c r="N73" i="1"/>
  <x:c r="N72" i="1"/>
  <x:c r="J74" i="1"/>
  <x:c r="J73" i="1"/>
  <x:c r="J72" i="1"/>
  <x:c r="J71" i="1"/>
  <x:c r="N44" i="1"/>
  <x:c r="N43" i="1"/>
  <x:c r="N42" i="1"/>
  <x:c r="N41" i="1"/>
  <x:c r="K72" i="1" l="1"/>
  <x:c r="Z72" i="1"/>
  <x:c r="K73" i="1"/>
  <x:c r="Z73" i="1"/>
  <x:c r="K74" i="1"/>
  <x:c r="Z74" i="1"/>
  <x:c r="N71" i="1"/>
  <x:c r="Y72" i="1"/>
  <x:c r="X72" i="1"/>
  <x:c r="W72" i="1"/>
  <x:c r="V72" i="1"/>
  <x:c r="U72" i="1"/>
  <x:c r="T72" i="1"/>
  <x:c r="S72" i="1"/>
  <x:c r="R72" i="1"/>
  <x:c r="P72" i="1"/>
  <x:c r="Y73" i="1"/>
  <x:c r="X73" i="1"/>
  <x:c r="W73" i="1"/>
  <x:c r="V73" i="1"/>
  <x:c r="U73" i="1"/>
  <x:c r="T73" i="1"/>
  <x:c r="S73" i="1"/>
  <x:c r="R73" i="1"/>
  <x:c r="P73" i="1"/>
  <x:c r="Y74" i="1"/>
  <x:c r="X74" i="1"/>
  <x:c r="W74" i="1"/>
  <x:c r="V74" i="1"/>
  <x:c r="U74" i="1"/>
  <x:c r="T74" i="1"/>
  <x:c r="S74" i="1"/>
  <x:c r="R74" i="1"/>
  <x:c r="P74" i="1"/>
  <x:c r="N40" i="1"/>
  <x:c r="Z41" i="1"/>
  <x:c r="Y41" i="1"/>
  <x:c r="X41" i="1"/>
  <x:c r="W41" i="1"/>
  <x:c r="V41" i="1"/>
  <x:c r="U41" i="1"/>
  <x:c r="T41" i="1"/>
  <x:c r="S41" i="1"/>
  <x:c r="R41" i="1"/>
  <x:c r="P41" i="1"/>
  <x:c r="Z42" i="1"/>
  <x:c r="Y42" i="1"/>
  <x:c r="X42" i="1"/>
  <x:c r="W42" i="1"/>
  <x:c r="V42" i="1"/>
  <x:c r="U42" i="1"/>
  <x:c r="T42" i="1"/>
  <x:c r="S42" i="1"/>
  <x:c r="R42" i="1"/>
  <x:c r="P42" i="1"/>
  <x:c r="Z43" i="1"/>
  <x:c r="Y43" i="1"/>
  <x:c r="X43" i="1"/>
  <x:c r="W43" i="1"/>
  <x:c r="V43" i="1"/>
  <x:c r="U43" i="1"/>
  <x:c r="T43" i="1"/>
  <x:c r="S43" i="1"/>
  <x:c r="R43" i="1"/>
  <x:c r="P43" i="1"/>
  <x:c r="Z44" i="1"/>
  <x:c r="Y44" i="1"/>
  <x:c r="X44" i="1"/>
  <x:c r="W44" i="1"/>
  <x:c r="V44" i="1"/>
  <x:c r="U44" i="1"/>
  <x:c r="T44" i="1"/>
  <x:c r="S44" i="1"/>
  <x:c r="R44" i="1"/>
  <x:c r="P44" i="1"/>
  <x:c r="V71" i="1" l="1"/>
  <x:c r="W71" i="1"/>
  <x:c r="X71" i="1"/>
  <x:c r="Y71" i="1"/>
  <x:c r="AA74" i="1"/>
  <x:c r="AA73" i="1"/>
  <x:c r="AA72" i="1"/>
  <x:c r="Z71" i="1"/>
  <x:c r="AA44" i="1"/>
  <x:c r="AA43" i="1"/>
  <x:c r="AA42" i="1"/>
  <x:c r="P40" i="1"/>
  <x:c r="R40" i="1"/>
  <x:c r="S40" i="1"/>
  <x:c r="T40" i="1"/>
  <x:c r="U40" i="1"/>
  <x:c r="V40" i="1"/>
  <x:c r="W40" i="1"/>
  <x:c r="X40" i="1"/>
  <x:c r="Y40" i="1"/>
  <x:c r="AA41" i="1"/>
  <x:c r="Z106" i="1" l="1"/>
  <x:c r="J101" i="1" l="1"/>
  <x:c r="J100" i="1"/>
  <x:c r="J99" i="1"/>
  <x:c r="J98" i="1"/>
  <x:c r="J97" i="1"/>
  <x:c r="J96" i="1"/>
  <x:c r="J95" i="1"/>
  <x:c r="J94" i="1"/>
  <x:c r="J93" i="1"/>
  <x:c r="J92" i="1"/>
  <x:c r="J91" i="1"/>
  <x:c r="J90" i="1"/>
  <x:c r="J89" i="1"/>
  <x:c r="J88" i="1"/>
  <x:c r="J87" i="1"/>
  <x:c r="J85" i="1"/>
  <x:c r="J84" i="1"/>
  <x:c r="J83" i="1"/>
  <x:c r="J67" i="1"/>
  <x:c r="J66" i="1"/>
  <x:c r="J65" i="1"/>
  <x:c r="J64" i="1"/>
  <x:c r="J63" i="1"/>
  <x:c r="J62" i="1"/>
  <x:c r="J61" i="1"/>
  <x:c r="J60" i="1"/>
  <x:c r="J59" i="1"/>
  <x:c r="J58" i="1"/>
  <x:c r="J57" i="1"/>
  <x:c r="J56" i="1"/>
  <x:c r="J55" i="1"/>
  <x:c r="J54" i="1"/>
  <x:c r="J52" i="1"/>
  <x:c r="J51" i="1"/>
  <x:c r="Z51" i="1" s="1"/>
  <x:c r="J49" i="1"/>
  <x:c r="J40" i="1"/>
  <x:c r="Z40" i="1" s="1"/>
  <x:c r="AA40" i="1" s="1"/>
  <x:c r="J37" i="1"/>
  <x:c r="J36" i="1"/>
  <x:c r="J35" i="1"/>
  <x:c r="J34" i="1"/>
  <x:c r="J33" i="1"/>
  <x:c r="J32" i="1"/>
  <x:c r="J31" i="1"/>
  <x:c r="J30" i="1"/>
  <x:c r="J29" i="1"/>
  <x:c r="J28" i="1"/>
  <x:c r="J27" i="1"/>
  <x:c r="J26" i="1"/>
  <x:c r="J19" i="1"/>
  <x:c r="N51" i="1"/>
  <x:c r="Y51" i="1" s="1"/>
  <x:c r="P51" i="1"/>
  <x:c r="R51" i="1"/>
  <x:c r="S51" i="1"/>
  <x:c r="T51" i="1"/>
  <x:c r="U51" i="1"/>
  <x:c r="V51" i="1"/>
  <x:c r="W51" i="1"/>
  <x:c r="X51" i="1"/>
  <x:c r="P142" i="1"/>
  <x:c r="P141" i="1"/>
  <x:c r="P140" i="1"/>
  <x:c r="P139" i="1"/>
  <x:c r="P138" i="1"/>
  <x:c r="P137" i="1"/>
  <x:c r="P136" i="1"/>
  <x:c r="P135" i="1"/>
  <x:c r="P134" i="1"/>
  <x:c r="P133" i="1"/>
  <x:c r="P132" i="1"/>
  <x:c r="P131" i="1"/>
  <x:c r="P130" i="1"/>
  <x:c r="P129" i="1"/>
  <x:c r="P128" i="1"/>
  <x:c r="P127" i="1"/>
  <x:c r="P126" i="1"/>
  <x:c r="P125" i="1"/>
  <x:c r="P124" i="1"/>
  <x:c r="P123" i="1"/>
  <x:c r="P122" i="1"/>
  <x:c r="P121" i="1"/>
  <x:c r="P120" i="1"/>
  <x:c r="P119" i="1"/>
  <x:c r="P118" i="1"/>
  <x:c r="P117" i="1"/>
  <x:c r="P116" i="1"/>
  <x:c r="P115" i="1"/>
  <x:c r="P114" i="1"/>
  <x:c r="P112" i="1"/>
  <x:c r="P106" i="1"/>
  <x:c r="P104" i="1"/>
  <x:c r="P81" i="1"/>
  <x:c r="P68" i="1"/>
  <x:c r="P64" i="1"/>
  <x:c r="P63" i="1"/>
  <x:c r="P48" i="1"/>
  <x:c r="P21" i="1"/>
  <x:c r="P20" i="1"/>
  <x:c r="K106" i="1"/>
  <x:c r="K81" i="1"/>
  <x:c r="K51" i="1" l="1"/>
  <x:c r="Y104" i="1"/>
  <x:c r="X104" i="1"/>
  <x:c r="W104" i="1"/>
  <x:c r="U104" i="1"/>
  <x:c r="T104" i="1"/>
  <x:c r="R104" i="1"/>
  <x:c r="N88" i="1" l="1"/>
  <x:c r="P88" i="1" s="1"/>
  <x:c r="N101" i="1"/>
  <x:c r="P101" i="1" s="1"/>
  <x:c r="N100" i="1"/>
  <x:c r="P100" i="1" s="1"/>
  <x:c r="N99" i="1"/>
  <x:c r="P99" i="1" s="1"/>
  <x:c r="N98" i="1"/>
  <x:c r="P98" i="1" s="1"/>
  <x:c r="N97" i="1"/>
  <x:c r="P97" i="1" s="1"/>
  <x:c r="N96" i="1"/>
  <x:c r="P96" i="1" s="1"/>
  <x:c r="N95" i="1"/>
  <x:c r="P95" i="1" s="1"/>
  <x:c r="N94" i="1"/>
  <x:c r="P94" i="1" s="1"/>
  <x:c r="N93" i="1"/>
  <x:c r="P93" i="1" s="1"/>
  <x:c r="Z99" i="1" l="1"/>
  <x:c r="K99" i="1"/>
  <x:c r="Z104" i="1"/>
  <x:c r="AA104" i="1" s="1"/>
  <x:c r="K104" i="1"/>
  <x:c r="Y93" i="1"/>
  <x:c r="X93" i="1"/>
  <x:c r="W93" i="1"/>
  <x:c r="V93" i="1"/>
  <x:c r="T93" i="1"/>
  <x:c r="S93" i="1"/>
  <x:c r="Y94" i="1"/>
  <x:c r="X94" i="1"/>
  <x:c r="W94" i="1"/>
  <x:c r="V94" i="1"/>
  <x:c r="T94" i="1"/>
  <x:c r="S94" i="1"/>
  <x:c r="Y95" i="1"/>
  <x:c r="X95" i="1"/>
  <x:c r="W95" i="1"/>
  <x:c r="V95" i="1"/>
  <x:c r="T95" i="1"/>
  <x:c r="S95" i="1"/>
  <x:c r="Y96" i="1"/>
  <x:c r="X96" i="1"/>
  <x:c r="W96" i="1"/>
  <x:c r="V96" i="1"/>
  <x:c r="T96" i="1"/>
  <x:c r="S96" i="1"/>
  <x:c r="Y97" i="1"/>
  <x:c r="X97" i="1"/>
  <x:c r="W97" i="1"/>
  <x:c r="V97" i="1"/>
  <x:c r="T97" i="1"/>
  <x:c r="S97" i="1"/>
  <x:c r="Y98" i="1"/>
  <x:c r="X98" i="1"/>
  <x:c r="W98" i="1"/>
  <x:c r="V98" i="1"/>
  <x:c r="T98" i="1"/>
  <x:c r="S98" i="1"/>
  <x:c r="Y99" i="1"/>
  <x:c r="X99" i="1"/>
  <x:c r="W99" i="1"/>
  <x:c r="V99" i="1"/>
  <x:c r="T99" i="1"/>
  <x:c r="S99" i="1"/>
  <x:c r="Y100" i="1"/>
  <x:c r="X100" i="1"/>
  <x:c r="W100" i="1"/>
  <x:c r="V100" i="1"/>
  <x:c r="T100" i="1"/>
  <x:c r="S100" i="1"/>
  <x:c r="Y101" i="1"/>
  <x:c r="X101" i="1"/>
  <x:c r="W101" i="1"/>
  <x:c r="V101" i="1"/>
  <x:c r="T101" i="1"/>
  <x:c r="S101" i="1"/>
  <x:c r="Y88" i="1"/>
  <x:c r="X88" i="1"/>
  <x:c r="W88" i="1"/>
  <x:c r="V88" i="1"/>
  <x:c r="T88" i="1"/>
  <x:c r="S88" i="1"/>
  <x:c r="R93" i="1"/>
  <x:c r="R94" i="1"/>
  <x:c r="R95" i="1"/>
  <x:c r="R96" i="1"/>
  <x:c r="R97" i="1"/>
  <x:c r="R98" i="1"/>
  <x:c r="R100" i="1"/>
  <x:c r="R101" i="1"/>
  <x:c r="R88" i="1"/>
  <x:c r="R99" i="1"/>
  <x:c r="N37" i="1" l="1"/>
  <x:c r="P37" i="1" s="1"/>
  <x:c r="N36" i="1"/>
  <x:c r="P36" i="1" s="1"/>
  <x:c r="N35" i="1"/>
  <x:c r="P35" i="1" s="1"/>
  <x:c r="N34" i="1"/>
  <x:c r="P34" i="1" s="1"/>
  <x:c r="N33" i="1"/>
  <x:c r="P33" i="1" s="1"/>
  <x:c r="N32" i="1"/>
  <x:c r="P32" i="1" s="1"/>
  <x:c r="AC37" i="1" l="1"/>
  <x:c r="Y37" i="1" l="1"/>
  <x:c r="X37" i="1"/>
  <x:c r="W37" i="1"/>
  <x:c r="V37" i="1"/>
  <x:c r="U37" i="1"/>
  <x:c r="T37" i="1"/>
  <x:c r="S37" i="1"/>
  <x:c r="R37" i="1"/>
  <x:c r="K71" i="1" l="1"/>
  <x:c r="K49" i="1"/>
  <x:c r="K40" i="1"/>
  <x:c r="K35" i="1"/>
  <x:c r="K34" i="1"/>
  <x:c r="K33" i="1"/>
  <x:c r="K32" i="1"/>
  <x:c r="K31" i="1"/>
  <x:c r="K37" i="1" l="1"/>
  <x:c r="R68" i="1"/>
  <x:c r="U101" i="1"/>
  <x:c r="N92" i="1"/>
  <x:c r="P92" i="1" s="1"/>
  <x:c r="N90" i="1"/>
  <x:c r="P90" i="1" s="1"/>
  <x:c r="N89" i="1"/>
  <x:c r="P89" i="1" s="1"/>
  <x:c r="N87" i="1"/>
  <x:c r="P87" i="1" s="1"/>
  <x:c r="N91" i="1"/>
  <x:c r="P91" i="1" s="1"/>
  <x:c r="N85" i="1"/>
  <x:c r="P85" i="1" s="1"/>
  <x:c r="N84" i="1"/>
  <x:c r="P84" i="1" s="1"/>
  <x:c r="N83" i="1"/>
  <x:c r="P83" i="1" s="1"/>
  <x:c r="P71" i="1"/>
  <x:c r="N49" i="1"/>
  <x:c r="P49" i="1" s="1"/>
  <x:c r="Y87" i="1" l="1"/>
  <x:c r="X87" i="1"/>
  <x:c r="W87" i="1"/>
  <x:c r="V87" i="1"/>
  <x:c r="T87" i="1"/>
  <x:c r="S87" i="1"/>
  <x:c r="Y89" i="1"/>
  <x:c r="X89" i="1"/>
  <x:c r="W89" i="1"/>
  <x:c r="V89" i="1"/>
  <x:c r="T89" i="1"/>
  <x:c r="S89" i="1"/>
  <x:c r="Y90" i="1"/>
  <x:c r="X90" i="1"/>
  <x:c r="W90" i="1"/>
  <x:c r="V90" i="1"/>
  <x:c r="T90" i="1"/>
  <x:c r="S90" i="1"/>
  <x:c r="Y92" i="1"/>
  <x:c r="X92" i="1"/>
  <x:c r="W92" i="1"/>
  <x:c r="V92" i="1"/>
  <x:c r="T92" i="1"/>
  <x:c r="S92" i="1"/>
  <x:c r="R84" i="1"/>
  <x:c r="R85" i="1"/>
  <x:c r="R91" i="1"/>
  <x:c r="R87" i="1"/>
  <x:c r="R89" i="1"/>
  <x:c r="R90" i="1"/>
  <x:c r="R92" i="1"/>
  <x:c r="Y83" i="1"/>
  <x:c r="X83" i="1"/>
  <x:c r="W83" i="1"/>
  <x:c r="V83" i="1"/>
  <x:c r="U83" i="1"/>
  <x:c r="T83" i="1"/>
  <x:c r="S83" i="1"/>
  <x:c r="Y84" i="1"/>
  <x:c r="X84" i="1"/>
  <x:c r="W84" i="1"/>
  <x:c r="V84" i="1"/>
  <x:c r="U84" i="1"/>
  <x:c r="T84" i="1"/>
  <x:c r="S84" i="1"/>
  <x:c r="Y85" i="1"/>
  <x:c r="X85" i="1"/>
  <x:c r="W85" i="1"/>
  <x:c r="V85" i="1"/>
  <x:c r="U85" i="1"/>
  <x:c r="T85" i="1"/>
  <x:c r="S85" i="1"/>
  <x:c r="U87" i="1"/>
  <x:c r="U89" i="1"/>
  <x:c r="U90" i="1"/>
  <x:c r="U92" i="1"/>
  <x:c r="U93" i="1"/>
  <x:c r="U94" i="1"/>
  <x:c r="U95" i="1"/>
  <x:c r="U96" i="1"/>
  <x:c r="U97" i="1"/>
  <x:c r="U98" i="1"/>
  <x:c r="U99" i="1"/>
  <x:c r="U100" i="1"/>
  <x:c r="R49" i="1"/>
  <x:c r="Y49" i="1"/>
  <x:c r="X49" i="1"/>
  <x:c r="W49" i="1"/>
  <x:c r="V49" i="1"/>
  <x:c r="U49" i="1"/>
  <x:c r="T49" i="1"/>
  <x:c r="S49" i="1"/>
  <x:c r="Z49" i="1"/>
  <x:c r="R71" i="1"/>
  <x:c r="U71" i="1"/>
  <x:c r="T71" i="1"/>
  <x:c r="S71" i="1"/>
  <x:c r="Z37" i="1"/>
  <x:c r="AA37" i="1" s="1"/>
  <x:c r="AA71" i="1" l="1"/>
  <x:c r="AB40" i="1"/>
  <x:c r="R83" i="1"/>
  <x:c r="U21" i="1" l="1"/>
  <x:c r="T21" i="1"/>
  <x:c r="K19" i="1" l="1"/>
  <x:c r="R64" i="1"/>
  <x:c r="R63" i="1"/>
  <x:c r="R20" i="1"/>
  <x:c r="N67" i="1" l="1"/>
  <x:c r="N66" i="1"/>
  <x:c r="N65" i="1"/>
  <x:c r="N62" i="1"/>
  <x:c r="N61" i="1"/>
  <x:c r="P61" i="1" s="1"/>
  <x:c r="N60" i="1"/>
  <x:c r="P60" i="1" s="1"/>
  <x:c r="N59" i="1"/>
  <x:c r="P59" i="1" s="1"/>
  <x:c r="N58" i="1"/>
  <x:c r="P58" i="1" s="1"/>
  <x:c r="N57" i="1"/>
  <x:c r="P57" i="1" s="1"/>
  <x:c r="N56" i="1"/>
  <x:c r="P56" i="1" s="1"/>
  <x:c r="N55" i="1"/>
  <x:c r="N54" i="1"/>
  <x:c r="N52" i="1"/>
  <x:c r="R52" i="1" l="1"/>
  <x:c r="P52" i="1"/>
  <x:c r="R54" i="1"/>
  <x:c r="P54" i="1"/>
  <x:c r="R55" i="1"/>
  <x:c r="P55" i="1"/>
  <x:c r="R62" i="1"/>
  <x:c r="P62" i="1"/>
  <x:c r="R65" i="1"/>
  <x:c r="P65" i="1"/>
  <x:c r="R66" i="1"/>
  <x:c r="P66" i="1"/>
  <x:c r="R67" i="1"/>
  <x:c r="P67" i="1"/>
  <x:c r="W56" i="1"/>
  <x:c r="V56" i="1"/>
  <x:c r="W57" i="1"/>
  <x:c r="V57" i="1"/>
  <x:c r="W58" i="1"/>
  <x:c r="V58" i="1"/>
  <x:c r="W59" i="1"/>
  <x:c r="V59" i="1"/>
  <x:c r="W60" i="1"/>
  <x:c r="V60" i="1"/>
  <x:c r="W61" i="1"/>
  <x:c r="V61" i="1"/>
  <x:c r="R56" i="1"/>
  <x:c r="R57" i="1"/>
  <x:c r="R58" i="1"/>
  <x:c r="R59" i="1"/>
  <x:c r="R60" i="1"/>
  <x:c r="R61" i="1"/>
  <x:c r="AA68" i="1"/>
  <x:c r="Y67" i="1"/>
  <x:c r="X67" i="1"/>
  <x:c r="W67" i="1"/>
  <x:c r="V67" i="1"/>
  <x:c r="U67" i="1"/>
  <x:c r="T67" i="1"/>
  <x:c r="S67" i="1"/>
  <x:c r="Y66" i="1"/>
  <x:c r="X66" i="1"/>
  <x:c r="W66" i="1"/>
  <x:c r="V66" i="1"/>
  <x:c r="U66" i="1"/>
  <x:c r="T66" i="1"/>
  <x:c r="S66" i="1"/>
  <x:c r="Y65" i="1"/>
  <x:c r="X65" i="1"/>
  <x:c r="W65" i="1"/>
  <x:c r="V65" i="1"/>
  <x:c r="U65" i="1"/>
  <x:c r="T65" i="1"/>
  <x:c r="S65" i="1"/>
  <x:c r="Y63" i="1"/>
  <x:c r="X63" i="1"/>
  <x:c r="W63" i="1"/>
  <x:c r="V63" i="1"/>
  <x:c r="U63" i="1"/>
  <x:c r="T63" i="1"/>
  <x:c r="S63" i="1"/>
  <x:c r="Y62" i="1"/>
  <x:c r="X62" i="1"/>
  <x:c r="W62" i="1"/>
  <x:c r="V62" i="1"/>
  <x:c r="U62" i="1"/>
  <x:c r="T62" i="1"/>
  <x:c r="S62" i="1"/>
  <x:c r="Y61" i="1"/>
  <x:c r="X61" i="1"/>
  <x:c r="U61" i="1"/>
  <x:c r="T61" i="1"/>
  <x:c r="S61" i="1"/>
  <x:c r="Y60" i="1"/>
  <x:c r="X60" i="1"/>
  <x:c r="U60" i="1"/>
  <x:c r="T60" i="1"/>
  <x:c r="S60" i="1"/>
  <x:c r="Y59" i="1"/>
  <x:c r="X59" i="1"/>
  <x:c r="U59" i="1"/>
  <x:c r="T59" i="1"/>
  <x:c r="S59" i="1"/>
  <x:c r="Y58" i="1"/>
  <x:c r="X58" i="1"/>
  <x:c r="U58" i="1"/>
  <x:c r="T58" i="1"/>
  <x:c r="S58" i="1"/>
  <x:c r="Y57" i="1"/>
  <x:c r="X57" i="1"/>
  <x:c r="U57" i="1"/>
  <x:c r="T57" i="1"/>
  <x:c r="S57" i="1"/>
  <x:c r="Y56" i="1"/>
  <x:c r="X56" i="1"/>
  <x:c r="U56" i="1"/>
  <x:c r="T56" i="1"/>
  <x:c r="S56" i="1"/>
  <x:c r="Y55" i="1"/>
  <x:c r="X55" i="1"/>
  <x:c r="W55" i="1"/>
  <x:c r="V55" i="1"/>
  <x:c r="U55" i="1"/>
  <x:c r="T55" i="1"/>
  <x:c r="S55" i="1"/>
  <x:c r="Y54" i="1"/>
  <x:c r="X54" i="1"/>
  <x:c r="W54" i="1"/>
  <x:c r="V54" i="1"/>
  <x:c r="U54" i="1"/>
  <x:c r="T54" i="1"/>
  <x:c r="S54" i="1"/>
  <x:c r="Y52" i="1"/>
  <x:c r="X52" i="1"/>
  <x:c r="W52" i="1"/>
  <x:c r="V52" i="1"/>
  <x:c r="U52" i="1"/>
  <x:c r="T52" i="1"/>
  <x:c r="S52" i="1"/>
  <x:c r="N26" i="1"/>
  <x:c r="P26" i="1" s="1"/>
  <x:c r="R34" i="1"/>
  <x:c r="R33" i="1"/>
  <x:c r="R32" i="1"/>
  <x:c r="N31" i="1"/>
  <x:c r="P31" i="1" s="1"/>
  <x:c r="N30" i="1"/>
  <x:c r="P30" i="1" s="1"/>
  <x:c r="N29" i="1"/>
  <x:c r="N28" i="1"/>
  <x:c r="P28" i="1" s="1"/>
  <x:c r="N27" i="1"/>
  <x:c r="P27" i="1" s="1"/>
  <x:c r="N19" i="1"/>
  <x:c r="P19" i="1" s="1"/>
  <x:c r="R29" i="1" l="1"/>
  <x:c r="P29" i="1"/>
  <x:c r="Y35" i="1"/>
  <x:c r="X35" i="1"/>
  <x:c r="W35" i="1"/>
  <x:c r="V35" i="1"/>
  <x:c r="U35" i="1"/>
  <x:c r="T35" i="1"/>
  <x:c r="S35" i="1"/>
  <x:c r="R35" i="1"/>
  <x:c r="Z35" i="1"/>
  <x:c r="AA35" i="1" s="1"/>
  <x:c r="Y36" i="1"/>
  <x:c r="X36" i="1"/>
  <x:c r="W36" i="1"/>
  <x:c r="V36" i="1"/>
  <x:c r="U36" i="1"/>
  <x:c r="T36" i="1"/>
  <x:c r="S36" i="1"/>
  <x:c r="R36" i="1"/>
  <x:c r="R26" i="1"/>
  <x:c r="R19" i="1"/>
  <x:c r="V19" i="1"/>
  <x:c r="S19" i="1"/>
  <x:c r="Z19" i="1"/>
  <x:c r="X28" i="1"/>
  <x:c r="R28" i="1"/>
  <x:c r="X30" i="1"/>
  <x:c r="R30" i="1"/>
  <x:c r="X27" i="1"/>
  <x:c r="R27" i="1"/>
  <x:c r="X31" i="1"/>
  <x:c r="R31" i="1"/>
  <x:c r="S26" i="1"/>
  <x:c r="U26" i="1"/>
  <x:c r="V26" i="1"/>
  <x:c r="Y26" i="1"/>
  <x:c r="S27" i="1"/>
  <x:c r="U27" i="1"/>
  <x:c r="V27" i="1"/>
  <x:c r="Y27" i="1"/>
  <x:c r="S28" i="1"/>
  <x:c r="U28" i="1"/>
  <x:c r="V28" i="1"/>
  <x:c r="Y28" i="1"/>
  <x:c r="S29" i="1"/>
  <x:c r="U29" i="1"/>
  <x:c r="V29" i="1"/>
  <x:c r="Y29" i="1"/>
  <x:c r="S30" i="1"/>
  <x:c r="U30" i="1"/>
  <x:c r="V30" i="1"/>
  <x:c r="Y30" i="1"/>
  <x:c r="S31" i="1"/>
  <x:c r="U31" i="1"/>
  <x:c r="V31" i="1"/>
  <x:c r="Y31" i="1"/>
  <x:c r="S32" i="1"/>
  <x:c r="U32" i="1"/>
  <x:c r="V32" i="1"/>
  <x:c r="Y32" i="1"/>
  <x:c r="S33" i="1"/>
  <x:c r="U33" i="1"/>
  <x:c r="V33" i="1"/>
  <x:c r="Y33" i="1"/>
  <x:c r="S34" i="1"/>
  <x:c r="U34" i="1"/>
  <x:c r="V34" i="1"/>
  <x:c r="Y34" i="1"/>
  <x:c r="T26" i="1"/>
  <x:c r="W26" i="1"/>
  <x:c r="X26" i="1"/>
  <x:c r="T27" i="1"/>
  <x:c r="W27" i="1"/>
  <x:c r="T28" i="1"/>
  <x:c r="W28" i="1"/>
  <x:c r="T29" i="1"/>
  <x:c r="W29" i="1"/>
  <x:c r="X29" i="1"/>
  <x:c r="T30" i="1"/>
  <x:c r="W30" i="1"/>
  <x:c r="T31" i="1"/>
  <x:c r="W31" i="1"/>
  <x:c r="T32" i="1"/>
  <x:c r="W32" i="1"/>
  <x:c r="X32" i="1"/>
  <x:c r="T33" i="1"/>
  <x:c r="W33" i="1"/>
  <x:c r="X33" i="1"/>
  <x:c r="T34" i="1"/>
  <x:c r="W34" i="1"/>
  <x:c r="X34" i="1"/>
  <x:c r="V25" i="1" l="1"/>
  <x:c r="U25" i="1"/>
  <x:c r="T25" i="1"/>
  <x:c r="S25" i="1"/>
  <x:c r="W25" i="1"/>
  <x:c r="AA19" i="1"/>
  <x:c r="Y19" i="1"/>
  <x:c r="X19" i="1"/>
  <x:c r="K26" i="1" l="1"/>
  <x:c r="K28" i="1"/>
  <x:c r="K29" i="1"/>
  <x:c r="K30" i="1"/>
  <x:c r="K27" i="1"/>
  <x:c r="K36" i="1"/>
  <x:c r="K60" i="1"/>
  <x:c r="K52" i="1"/>
  <x:c r="K62" i="1"/>
  <x:c r="K54" i="1"/>
  <x:c r="K56" i="1"/>
  <x:c r="K58" i="1"/>
  <x:c r="K64" i="1"/>
  <x:c r="K66" i="1"/>
  <x:c r="K55" i="1"/>
  <x:c r="K57" i="1"/>
  <x:c r="K59" i="1"/>
  <x:c r="K61" i="1"/>
  <x:c r="K63" i="1"/>
  <x:c r="K65" i="1"/>
  <x:c r="K67" i="1"/>
  <x:c r="K21" i="1"/>
  <x:c r="K91" i="1"/>
  <x:c r="Z98" i="1" l="1"/>
  <x:c r="K98" i="1"/>
  <x:c r="Z96" i="1"/>
  <x:c r="K96" i="1"/>
  <x:c r="Z94" i="1"/>
  <x:c r="K94" i="1"/>
  <x:c r="Z92" i="1"/>
  <x:c r="K92" i="1"/>
  <x:c r="Z90" i="1"/>
  <x:c r="K90" i="1"/>
  <x:c r="Z88" i="1"/>
  <x:c r="K88" i="1"/>
  <x:c r="Z87" i="1"/>
  <x:c r="K87" i="1"/>
  <x:c r="Z100" i="1"/>
  <x:c r="K100" i="1"/>
  <x:c r="Z97" i="1"/>
  <x:c r="K97" i="1"/>
  <x:c r="Z95" i="1"/>
  <x:c r="K95" i="1"/>
  <x:c r="Z93" i="1"/>
  <x:c r="K93" i="1"/>
  <x:c r="Z89" i="1"/>
  <x:c r="K89" i="1"/>
  <x:c r="Z83" i="1"/>
  <x:c r="K83" i="1"/>
  <x:c r="Z85" i="1"/>
  <x:c r="K85" i="1"/>
  <x:c r="Z84" i="1"/>
  <x:c r="K84" i="1"/>
  <x:c r="Z101" i="1"/>
  <x:c r="K101" i="1"/>
  <x:c r="Z36" i="1"/>
  <x:c r="AA36" i="1" s="1"/>
  <x:c r="AA21" i="1"/>
  <x:c r="Z55" i="1"/>
  <x:c r="Z33" i="1"/>
  <x:c r="AA33" i="1" s="1"/>
  <x:c r="Z34" i="1"/>
  <x:c r="AA34" i="1" s="1"/>
  <x:c r="Z56" i="1"/>
  <x:c r="Z32" i="1"/>
  <x:c r="AA32" i="1" s="1"/>
  <x:c r="Z52" i="1"/>
  <x:c r="Z31" i="1"/>
  <x:c r="AA31" i="1" s="1"/>
  <x:c r="Z54" i="1"/>
  <x:c r="Z67" i="1"/>
  <x:c r="AA67" i="1" s="1"/>
  <x:c r="Z63" i="1"/>
  <x:c r="Z59" i="1"/>
  <x:c r="Z58" i="1"/>
  <x:c r="Z30" i="1"/>
  <x:c r="AA30" i="1" s="1"/>
  <x:c r="Z26" i="1"/>
  <x:c r="AA26" i="1" s="1"/>
  <x:c r="Z65" i="1"/>
  <x:c r="Z61" i="1"/>
  <x:c r="Z57" i="1"/>
  <x:c r="Z66" i="1"/>
  <x:c r="AA66" i="1" s="1"/>
  <x:c r="Z28" i="1"/>
  <x:c r="Z27" i="1"/>
  <x:c r="Z62" i="1"/>
  <x:c r="Z60" i="1"/>
  <x:c r="AA28" i="1" l="1"/>
  <x:c r="Z29" i="1"/>
  <x:c r="AA27" i="1"/>
  <x:c r="AA29" i="1" l="1"/>
  <x:c r="AA83" i="1" l="1"/>
  <x:c r="AA84" i="1" l="1"/>
  <x:c r="AA85" i="1" l="1"/>
  <x:c r="AA87" i="1" l="1"/>
  <x:c r="AA90" i="1" l="1"/>
  <x:c r="AA89" i="1"/>
  <x:c r="AA93" i="1" l="1"/>
  <x:c r="AA92" i="1"/>
  <x:c r="AA95" i="1" l="1"/>
  <x:c r="AA94" i="1"/>
  <x:c r="AA97" i="1" l="1"/>
  <x:c r="AA96" i="1"/>
  <x:c r="AA99" i="1" l="1"/>
  <x:c r="AA98" i="1"/>
  <x:c r="AA101" i="1" l="1"/>
  <x:c r="AA100" i="1"/>
  <x:c r="AA106" i="1" l="1"/>
  <x:c r="U88" i="1"/>
  <x:c r="AA88" i="1"/>
  <x:c r="K113" i="1" l="1"/>
</x:calcChain>
</file>

<file path=xl/sharedStrings.xml><?xml version="1.0" encoding="utf-8"?>
<sst xmlns="http://schemas.openxmlformats.org/spreadsheetml/2006/main" count="90" uniqueCount="53">
  <si>
    <t>Plant Acct</t>
  </si>
  <si>
    <t>Adjusted Total</t>
  </si>
  <si>
    <t>303 IMS</t>
  </si>
  <si>
    <t>352 DC Tie</t>
  </si>
  <si>
    <t>352 SVC</t>
  </si>
  <si>
    <t>353 DC Tie</t>
  </si>
  <si>
    <t>353 SVC</t>
  </si>
  <si>
    <t>360 DS</t>
  </si>
  <si>
    <t>362 incl mob gen</t>
  </si>
  <si>
    <t>370 AMR</t>
  </si>
  <si>
    <t>370 AMS</t>
  </si>
  <si>
    <t>370 IDR</t>
  </si>
  <si>
    <t>390 GLH</t>
  </si>
  <si>
    <t>392 Heavy Trucks</t>
  </si>
  <si>
    <t>392 Light Trucks</t>
  </si>
  <si>
    <t>392 Plane</t>
  </si>
  <si>
    <t>392 Trailer</t>
  </si>
  <si>
    <t>394 Large Tools</t>
  </si>
  <si>
    <t>394 Snall Tools</t>
  </si>
  <si>
    <t>397G</t>
  </si>
  <si>
    <t>397 Depr GTC</t>
  </si>
  <si>
    <t>Total</t>
  </si>
  <si>
    <t>Plant</t>
  </si>
  <si>
    <t>TRAN</t>
  </si>
  <si>
    <t>NTU TRAN</t>
  </si>
  <si>
    <t>DC Tie</t>
  </si>
  <si>
    <t>DIST</t>
  </si>
  <si>
    <t>NTU DIST</t>
  </si>
  <si>
    <t>MET</t>
  </si>
  <si>
    <t>TDCS</t>
  </si>
  <si>
    <t>Check</t>
  </si>
  <si>
    <t xml:space="preserve"> </t>
  </si>
  <si>
    <t>Intangible 15 year</t>
  </si>
  <si>
    <t>Depr rate</t>
  </si>
  <si>
    <t>Plant x Rate</t>
  </si>
  <si>
    <t>Amortization True UP</t>
  </si>
  <si>
    <t>Total Depr &amp; Amort</t>
  </si>
  <si>
    <t>351.2</t>
  </si>
  <si>
    <t>351.3</t>
  </si>
  <si>
    <t>354</t>
  </si>
  <si>
    <t>355</t>
  </si>
  <si>
    <t>356</t>
  </si>
  <si>
    <t>357</t>
  </si>
  <si>
    <t>358</t>
  </si>
  <si>
    <t>392 Misc</t>
  </si>
  <si>
    <t>397.1 Computer</t>
  </si>
  <si>
    <t>Total Expense</t>
  </si>
  <si>
    <t>Expense</t>
  </si>
  <si>
    <t>3 yr</t>
  </si>
  <si>
    <t>5 Yr</t>
  </si>
  <si>
    <t>8 Yr</t>
  </si>
  <si>
    <t>15 YR</t>
  </si>
  <si>
    <t>397 Docket 53601 Disallowance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</si>
</sst>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indexed="62"/>
      <name val="Arial"/>
      <family val="2"/>
    </font>
    <font>
      <sz val="12"/>
      <color indexed="6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3" fillId="0" borderId="0"/>
    <xf numFmtId="43" fontId="4" fillId="2" borderId="0" applyFill="0" applyBorder="0" applyProtection="0">
      <alignment horizontal="right"/>
    </xf>
    <xf numFmtId="43" fontId="5" fillId="0" borderId="0" applyFont="0" applyFill="0" applyBorder="0" applyAlignment="0" applyProtection="0"/>
    <xf numFmtId="0" fontId="6" fillId="0" borderId="0"/>
  </cellStyleXfs>
  <cellXfs count="28">
    <xf numFmtId="0" fontId="0" fillId="0" borderId="0" xfId="0"/>
    <xf numFmtId="0" fontId="0" fillId="0" borderId="0" xfId="0" applyFill="1"/>
    <xf numFmtId="40" fontId="8" fillId="0" borderId="0" xfId="2" applyNumberFormat="1" applyFont="1" applyFill="1" applyBorder="1" applyAlignment="1">
      <alignment horizontal="center" wrapText="1"/>
    </xf>
    <xf numFmtId="0" fontId="7" fillId="0" borderId="0" xfId="0" applyFont="1" applyFill="1"/>
    <xf numFmtId="39" fontId="7" fillId="0" borderId="0" xfId="0" applyNumberFormat="1" applyFont="1" applyFill="1" applyBorder="1"/>
    <xf numFmtId="39" fontId="7" fillId="0" borderId="0" xfId="0" applyNumberFormat="1" applyFont="1" applyFill="1"/>
    <xf numFmtId="10" fontId="7" fillId="0" borderId="0" xfId="0" applyNumberFormat="1" applyFont="1" applyFill="1"/>
    <xf numFmtId="43" fontId="7" fillId="0" borderId="0" xfId="1" applyFont="1" applyFill="1"/>
    <xf numFmtId="0" fontId="7" fillId="0" borderId="0" xfId="0" applyFont="1" applyFill="1" applyAlignment="1">
      <alignment horizontal="center"/>
    </xf>
    <xf numFmtId="43" fontId="7" fillId="0" borderId="0" xfId="0" applyNumberFormat="1" applyFont="1" applyFill="1"/>
    <xf numFmtId="43" fontId="0" fillId="0" borderId="0" xfId="0" applyNumberFormat="1" applyFill="1"/>
    <xf numFmtId="0" fontId="7" fillId="0" borderId="0" xfId="0" applyFont="1" applyFill="1" applyBorder="1"/>
    <xf numFmtId="43" fontId="7" fillId="0" borderId="0" xfId="0" applyNumberFormat="1" applyFont="1" applyFill="1" applyBorder="1"/>
    <xf numFmtId="43" fontId="7" fillId="0" borderId="0" xfId="1" applyFont="1" applyFill="1" applyBorder="1"/>
    <xf numFmtId="10" fontId="8" fillId="0" borderId="0" xfId="0" applyNumberFormat="1" applyFont="1" applyFill="1" applyAlignment="1">
      <alignment horizontal="center"/>
    </xf>
    <xf numFmtId="0" fontId="7" fillId="0" borderId="0" xfId="0" applyFont="1" applyFill="1" applyBorder="1" applyAlignment="1">
      <alignment horizontal="center"/>
    </xf>
    <xf numFmtId="10" fontId="7" fillId="0" borderId="0" xfId="0" applyNumberFormat="1" applyFont="1" applyFill="1" applyBorder="1"/>
    <xf numFmtId="0" fontId="0" fillId="0" borderId="0" xfId="0" applyFill="1" applyBorder="1"/>
    <xf numFmtId="37" fontId="7" fillId="0" borderId="0" xfId="0" applyNumberFormat="1" applyFont="1" applyFill="1" applyBorder="1"/>
    <xf numFmtId="39" fontId="8" fillId="0" borderId="0" xfId="0" applyNumberFormat="1" applyFont="1" applyFill="1" applyBorder="1"/>
    <xf numFmtId="0" fontId="8" fillId="0" borderId="1" xfId="0" applyFont="1" applyFill="1" applyBorder="1" applyAlignment="1">
      <alignment horizontal="center"/>
    </xf>
    <xf numFmtId="40" fontId="8" fillId="0" borderId="1" xfId="2" applyNumberFormat="1" applyFont="1" applyFill="1" applyBorder="1" applyAlignment="1">
      <alignment horizontal="center" wrapText="1"/>
    </xf>
    <xf numFmtId="10" fontId="8" fillId="0" borderId="1" xfId="2" applyNumberFormat="1" applyFont="1" applyFill="1" applyBorder="1" applyAlignment="1">
      <alignment horizontal="center" wrapText="1"/>
    </xf>
    <xf numFmtId="43" fontId="8" fillId="0" borderId="1" xfId="1" applyFont="1" applyFill="1" applyBorder="1"/>
    <xf numFmtId="39" fontId="8" fillId="0" borderId="0" xfId="0" applyNumberFormat="1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39" fontId="7" fillId="0" borderId="0" xfId="0" applyNumberFormat="1" applyFont="1"/>
    <xf numFmtId="39" fontId="0" fillId="0" borderId="0" xfId="0" applyNumberFormat="1" applyFill="1"/>
  </cellXfs>
  <cellStyles count="7">
    <cellStyle name="Comma" xfId="1" builtinId="3"/>
    <cellStyle name="Comma 2" xfId="4" xr:uid="{00000000-0005-0000-0000-000001000000}"/>
    <cellStyle name="Normal" xfId="0" builtinId="0"/>
    <cellStyle name="Normal 2" xfId="6" xr:uid="{00000000-0005-0000-0000-000003000000}"/>
    <cellStyle name="Normal 3" xfId="2" xr:uid="{00000000-0005-0000-0000-000004000000}"/>
    <cellStyle name="nPlosion" xfId="3" xr:uid="{00000000-0005-0000-0000-000005000000}"/>
    <cellStyle name="Report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7:AM161"/>
  <x:sheetViews>
    <x:sheetView tabSelected="1" zoomScale="89" zoomScaleNormal="89" workbookViewId="0">
      <x:pane xSplit="1" ySplit="18" topLeftCell="B105" activePane="bottomRight" state="frozen"/>
      <x:selection pane="topRight" activeCell="B1" sqref="B1"/>
      <x:selection pane="bottomLeft" activeCell="A19" sqref="A19"/>
      <x:selection pane="bottomRight" activeCell="A107" sqref="A107"/>
    </x:sheetView>
  </x:sheetViews>
  <x:sheetFormatPr defaultRowHeight="15.65" x14ac:dyDescent="0.25"/>
  <x:cols>
    <x:col min="1" max="1" width="34" style="8" bestFit="1" customWidth="1"/>
    <x:col min="2" max="2" width="21.25" style="5" customWidth="1"/>
    <x:col min="3" max="3" width="24.25" style="5" customWidth="1"/>
    <x:col min="4" max="4" width="22.125" style="5" customWidth="1"/>
    <x:col min="5" max="5" width="17.25" style="5" customWidth="1"/>
    <x:col min="6" max="6" width="25" style="5" customWidth="1"/>
    <x:col min="7" max="7" width="26.625" style="5" customWidth="1"/>
    <x:col min="8" max="8" width="23.625" style="5" customWidth="1"/>
    <x:col min="9" max="9" width="21.375" style="5" customWidth="1"/>
    <x:col min="10" max="10" width="22.875" style="3" customWidth="1"/>
    <x:col min="11" max="11" width="21.625" style="3" customWidth="1"/>
    <x:col min="12" max="12" width="8" style="3" customWidth="1"/>
    <x:col min="13" max="13" width="18.125" style="6" customWidth="1"/>
    <x:col min="14" max="14" width="23.25" style="7" customWidth="1"/>
    <x:col min="15" max="15" width="21.875" style="3" customWidth="1"/>
    <x:col min="16" max="16" width="32.125" style="3" customWidth="1"/>
    <x:col min="17" max="17" width="3.625" style="3" customWidth="1"/>
    <x:col min="18" max="18" width="32.125" style="3" customWidth="1"/>
    <x:col min="19" max="19" width="21.75" style="3" customWidth="1"/>
    <x:col min="20" max="20" width="18.125" style="3" customWidth="1"/>
    <x:col min="21" max="21" width="19" style="3" customWidth="1"/>
    <x:col min="22" max="22" width="23.25" style="3" customWidth="1"/>
    <x:col min="23" max="23" width="26.125" style="3" customWidth="1"/>
    <x:col min="24" max="24" width="18" style="3" customWidth="1"/>
    <x:col min="25" max="25" width="18.375" style="3" customWidth="1"/>
    <x:col min="26" max="26" width="20.75" style="3" customWidth="1"/>
    <x:col min="27" max="27" width="17" customWidth="1"/>
    <x:col min="28" max="28" width="18.625" customWidth="1"/>
    <x:col min="29" max="29" width="21.875" customWidth="1"/>
    <x:col min="31" max="31" width="17.25" customWidth="1"/>
    <x:col min="32" max="32" width="20.375" customWidth="1"/>
    <x:col min="34" max="34" width="15.75" customWidth="1"/>
    <x:col min="35" max="35" width="19" customWidth="1"/>
    <x:col min="37" max="37" width="14.25" customWidth="1"/>
  </x:cols>
  <x:sheetData>
    <x:row r="17" spans="1:27" s="1" customFormat="1" x14ac:dyDescent="0.25">
      <x:c r="A17" s="15"/>
      <x:c r="B17" s="24" t="s">
        <x:v>22</x:v>
      </x:c>
      <x:c r="C17" s="24" t="s">
        <x:v>22</x:v>
      </x:c>
      <x:c r="D17" s="24" t="s">
        <x:v>22</x:v>
      </x:c>
      <x:c r="E17" s="24" t="s">
        <x:v>22</x:v>
      </x:c>
      <x:c r="F17" s="24" t="s">
        <x:v>22</x:v>
      </x:c>
      <x:c r="G17" s="24" t="s">
        <x:v>22</x:v>
      </x:c>
      <x:c r="H17" s="24" t="s">
        <x:v>22</x:v>
      </x:c>
      <x:c r="I17" s="24" t="s">
        <x:v>22</x:v>
      </x:c>
      <x:c r="J17" s="24" t="s">
        <x:v>22</x:v>
      </x:c>
      <x:c r="K17" s="24" t="s">
        <x:v>22</x:v>
      </x:c>
      <x:c r="L17" s="24"/>
      <x:c r="M17" s="14"/>
      <x:c r="N17" s="7"/>
      <x:c r="O17" s="3"/>
      <x:c r="P17" s="3"/>
      <x:c r="Q17" s="3"/>
      <x:c r="R17" s="25" t="s">
        <x:v>47</x:v>
      </x:c>
      <x:c r="S17" s="25" t="s">
        <x:v>47</x:v>
      </x:c>
      <x:c r="T17" s="25" t="s">
        <x:v>47</x:v>
      </x:c>
      <x:c r="U17" s="25" t="s">
        <x:v>47</x:v>
      </x:c>
      <x:c r="V17" s="25" t="s">
        <x:v>47</x:v>
      </x:c>
      <x:c r="W17" s="25" t="s">
        <x:v>47</x:v>
      </x:c>
      <x:c r="X17" s="25" t="s">
        <x:v>47</x:v>
      </x:c>
      <x:c r="Y17" s="25" t="s">
        <x:v>47</x:v>
      </x:c>
      <x:c r="Z17" s="25" t="s">
        <x:v>47</x:v>
      </x:c>
      <x:c r="AA17" s="25" t="s">
        <x:v>47</x:v>
      </x:c>
    </x:row>
    <x:row r="18" spans="1:27" s="1" customFormat="1" ht="31.25" x14ac:dyDescent="0.25">
      <x:c r="A18" s="15" t="s">
        <x:v>0</x:v>
      </x:c>
      <x:c r="B18" s="19" t="s">
        <x:v>1</x:v>
      </x:c>
      <x:c r="C18" s="2" t="s">
        <x:v>23</x:v>
      </x:c>
      <x:c r="D18" s="2" t="s">
        <x:v>24</x:v>
      </x:c>
      <x:c r="E18" s="2" t="s">
        <x:v>25</x:v>
      </x:c>
      <x:c r="F18" s="2" t="s">
        <x:v>26</x:v>
      </x:c>
      <x:c r="G18" s="2" t="s">
        <x:v>27</x:v>
      </x:c>
      <x:c r="H18" s="2" t="s">
        <x:v>28</x:v>
      </x:c>
      <x:c r="I18" s="2" t="s">
        <x:v>29</x:v>
      </x:c>
      <x:c r="J18" s="2" t="s">
        <x:v>21</x:v>
      </x:c>
      <x:c r="K18" s="2" t="s">
        <x:v>30</x:v>
      </x:c>
      <x:c r="L18" s="2"/>
      <x:c r="M18" s="22" t="s">
        <x:v>33</x:v>
      </x:c>
      <x:c r="N18" s="23" t="s">
        <x:v>34</x:v>
      </x:c>
      <x:c r="O18" s="21" t="s">
        <x:v>35</x:v>
      </x:c>
      <x:c r="P18" s="21" t="s">
        <x:v>46</x:v>
      </x:c>
      <x:c r="Q18" s="21"/>
      <x:c r="R18" s="21" t="s">
        <x:v>36</x:v>
      </x:c>
      <x:c r="S18" s="20" t="s">
        <x:v>23</x:v>
      </x:c>
      <x:c r="T18" s="20" t="s">
        <x:v>24</x:v>
      </x:c>
      <x:c r="U18" s="20" t="s">
        <x:v>25</x:v>
      </x:c>
      <x:c r="V18" s="20" t="s">
        <x:v>26</x:v>
      </x:c>
      <x:c r="W18" s="20" t="s">
        <x:v>27</x:v>
      </x:c>
      <x:c r="X18" s="20" t="s">
        <x:v>28</x:v>
      </x:c>
      <x:c r="Y18" s="20" t="s">
        <x:v>29</x:v>
      </x:c>
      <x:c r="Z18" s="20" t="s">
        <x:v>21</x:v>
      </x:c>
      <x:c r="AA18" s="20" t="s">
        <x:v>30</x:v>
      </x:c>
    </x:row>
    <x:row r="19" spans="1:27" s="1" customFormat="1" x14ac:dyDescent="0.25">
      <x:c r="A19" s="15" t="s">
        <x:v>32</x:v>
      </x:c>
      <x:c r="B19" s="4">
        <x:v>15900000</x:v>
      </x:c>
      <x:c r="C19" s="4">
        <x:v>6784530</x:v>
      </x:c>
      <x:c r="D19" s="4"/>
      <x:c r="E19" s="4"/>
      <x:c r="F19" s="4">
        <x:v>8645784</x:v>
      </x:c>
      <x:c r="G19" s="4"/>
      <x:c r="H19" s="4">
        <x:v>324360</x:v>
      </x:c>
      <x:c r="I19" s="4">
        <x:v>145326</x:v>
      </x:c>
      <x:c r="J19" s="4">
        <x:f>SUM(C19:I19)</x:f>
        <x:v>15900000</x:v>
      </x:c>
      <x:c r="K19" s="4">
        <x:f>+B19-J19</x:f>
        <x:v>0</x:v>
      </x:c>
      <x:c r="L19" s="4"/>
      <x:c r="M19" s="16">
        <x:v>7.1766298678810694E-2</x:v>
      </x:c>
      <x:c r="N19" s="13">
        <x:f>+B19*M19</x:f>
        <x:v>1141084.14899309</x:v>
      </x:c>
      <x:c r="O19" s="11"/>
      <x:c r="P19" s="12">
        <x:f>SUM(N19:O19)</x:f>
        <x:v>1141084.14899309</x:v>
      </x:c>
      <x:c r="Q19" s="11"/>
      <x:c r="R19" s="12">
        <x:f>+N19+O19</x:f>
        <x:v>1141084.14899309</x:v>
      </x:c>
      <x:c r="S19" s="12">
        <x:f>+C19/$B19*$N19</x:f>
        <x:v>486900.60637535155</x:v>
      </x:c>
      <x:c r="T19" s="11"/>
      <x:c r="U19" s="11"/>
      <x:c r="V19" s="12">
        <x:f>+F19/$B19*$N19</x:f>
        <x:v>620475.91685648263</x:v>
      </x:c>
      <x:c r="W19" s="11"/>
      <x:c r="X19" s="12">
        <x:f>+H19/$B19*$R19</x:f>
        <x:v>23278.11663945904</x:v>
      </x:c>
      <x:c r="Y19" s="12">
        <x:f>+I19/$B19*$R19</x:f>
        <x:v>10429.509121796844</x:v>
      </x:c>
      <x:c r="Z19" s="12">
        <x:f>+J19/$B19*$N19</x:f>
        <x:v>1141084.14899309</x:v>
      </x:c>
      <x:c r="AA19" s="10">
        <x:f>+Z19-R19</x:f>
        <x:v>0</x:v>
      </x:c>
    </x:row>
    <x:row r="20" spans="1:27" s="1" customFormat="1" x14ac:dyDescent="0.25">
      <x:c r="A20" s="15"/>
      <x:c r="B20" s="4"/>
      <x:c r="C20" s="4"/>
      <x:c r="D20" s="4"/>
      <x:c r="E20" s="4"/>
      <x:c r="F20" s="4"/>
      <x:c r="G20" s="4"/>
      <x:c r="H20" s="4"/>
      <x:c r="I20" s="4"/>
      <x:c r="J20" s="4"/>
      <x:c r="K20" s="4" t="s">
        <x:v>31</x:v>
      </x:c>
      <x:c r="L20" s="4"/>
      <x:c r="M20" s="16"/>
      <x:c r="N20" s="13"/>
      <x:c r="O20" s="11"/>
      <x:c r="P20" s="12">
        <x:f t="shared" ref="P20:P98" si="0">SUM(N20:O20)</x:f>
        <x:v>0</x:v>
      </x:c>
      <x:c r="Q20" s="11"/>
      <x:c r="R20" s="12">
        <x:f>+N20+O20</x:f>
        <x:v>0</x:v>
      </x:c>
      <x:c r="S20" s="11"/>
      <x:c r="T20" s="11"/>
      <x:c r="U20" s="11"/>
      <x:c r="V20" s="12" t="s">
        <x:v>31</x:v>
      </x:c>
      <x:c r="W20" s="11"/>
      <x:c r="X20" s="11"/>
      <x:c r="Y20" s="11"/>
      <x:c r="Z20" s="12"/>
      <x:c r="AA20" s="10"/>
    </x:row>
    <x:row r="21" spans="1:27" s="1" customFormat="1" x14ac:dyDescent="0.25">
      <x:c r="A21" s="15" t="s">
        <x:v>2</x:v>
      </x:c>
      <x:c r="B21" s="4">
        <x:v>81013398.080000043</x:v>
      </x:c>
      <x:c r="C21" s="4"/>
      <x:c r="D21" s="4"/>
      <x:c r="E21" s="4"/>
      <x:c r="F21" s="4"/>
      <x:c r="G21" s="4"/>
      <x:c r="H21" s="4">
        <x:v>81013398.080000043</x:v>
      </x:c>
      <x:c r="I21" s="4"/>
      <x:c r="J21" s="4">
        <x:v>81013398.080000043</x:v>
      </x:c>
      <x:c r="K21" s="4">
        <x:f>+B21-J21</x:f>
        <x:v>0</x:v>
      </x:c>
      <x:c r="L21" s="4"/>
      <x:c r="M21" s="16"/>
      <x:c r="N21" s="13">
        <x:v>0</x:v>
      </x:c>
      <x:c r="O21" s="12"/>
      <x:c r="P21" s="12">
        <x:f t="shared" si="0"/>
        <x:v>0</x:v>
      </x:c>
      <x:c r="Q21" s="12"/>
      <x:c r="R21" s="12">
        <x:f>+N21+O21</x:f>
        <x:v>0</x:v>
      </x:c>
      <x:c r="S21" s="12">
        <x:v>0</x:v>
      </x:c>
      <x:c r="T21" s="12">
        <x:f>SUM(T18:T20)</x:f>
        <x:v>0</x:v>
      </x:c>
      <x:c r="U21" s="12">
        <x:f>SUM(U18:U20)</x:f>
        <x:v>0</x:v>
      </x:c>
      <x:c r="V21" s="11"/>
      <x:c r="W21" s="11"/>
      <x:c r="X21" s="4"/>
      <x:c r="Y21" s="11"/>
      <x:c r="Z21" s="12"/>
      <x:c r="AA21" s="10">
        <x:f>+Z21-R21</x:f>
        <x:v>0</x:v>
      </x:c>
    </x:row>
    <x:row r="22" spans="1:27" s="1" customFormat="1" x14ac:dyDescent="0.25">
      <x:c r="A22" s="15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16"/>
      <x:c r="N22" s="13"/>
      <x:c r="O22" s="12"/>
      <x:c r="P22" s="12"/>
      <x:c r="Q22" s="12"/>
      <x:c r="R22" s="12"/>
      <x:c r="S22" s="11"/>
      <x:c r="T22" s="11"/>
      <x:c r="U22" s="11"/>
      <x:c r="V22" s="12"/>
      <x:c r="W22" s="12"/>
      <x:c r="X22" s="12"/>
      <x:c r="Y22" s="12"/>
      <x:c r="Z22" s="12"/>
      <x:c r="AA22" s="10"/>
    </x:row>
    <x:row r="23" spans="1:27" s="1" customFormat="1" x14ac:dyDescent="0.25">
      <x:c r="A23" s="15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16"/>
      <x:c r="N23" s="13"/>
      <x:c r="O23" s="12"/>
      <x:c r="P23" s="12"/>
      <x:c r="Q23" s="12"/>
      <x:c r="R23" s="12"/>
      <x:c r="S23" s="11"/>
      <x:c r="T23" s="11"/>
      <x:c r="U23" s="11"/>
      <x:c r="V23" s="11"/>
      <x:c r="W23" s="11"/>
      <x:c r="X23" s="4"/>
      <x:c r="Y23" s="11"/>
      <x:c r="Z23" s="12"/>
      <x:c r="AA23" s="10"/>
    </x:row>
    <x:row r="24" spans="1:27" s="1" customFormat="1" x14ac:dyDescent="0.25">
      <x:c r="A24" s="15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16"/>
      <x:c r="N24" s="13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0"/>
    </x:row>
    <x:row r="25" spans="1:27" s="1" customFormat="1" x14ac:dyDescent="0.25">
      <x:c r="A25" s="15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16"/>
      <x:c r="N25" s="13"/>
      <x:c r="O25" s="12"/>
      <x:c r="P25" s="12"/>
      <x:c r="Q25" s="12"/>
      <x:c r="R25" s="12">
        <x:f>+R28+R35+R37</x:f>
        <x:v>117413208.17250945</x:v>
      </x:c>
      <x:c r="S25" s="12">
        <x:f t="shared" ref="S25:W25" si="1">+S28+S35+S37</x:f>
        <x:v>96507114.759974375</x:v>
      </x:c>
      <x:c r="T25" s="12">
        <x:f t="shared" si="1"/>
        <x:v>7658423.3259115936</x:v>
      </x:c>
      <x:c r="U25" s="12">
        <x:f t="shared" si="1"/>
        <x:v>687106.38616340898</x:v>
      </x:c>
      <x:c r="V25" s="12">
        <x:f t="shared" si="1"/>
        <x:v>11435177.90079564</x:v>
      </x:c>
      <x:c r="W25" s="12">
        <x:f t="shared" si="1"/>
        <x:v>1125385.7996644445</x:v>
      </x:c>
      <x:c r="X25" s="12"/>
      <x:c r="Y25" s="12"/>
      <x:c r="Z25" s="12"/>
      <x:c r="AA25" s="10"/>
    </x:row>
    <x:row r="26" spans="1:27" s="1" customFormat="1" x14ac:dyDescent="0.25">
      <x:c r="A26" s="15">
        <x:v>350</x:v>
      </x:c>
      <x:c r="B26" s="4">
        <x:v>675723772.9200002</x:v>
      </x:c>
      <x:c r="C26" s="4">
        <x:v>581328761.95000005</x:v>
      </x:c>
      <x:c r="D26" s="4">
        <x:v>94395010.969999969</x:v>
      </x:c>
      <x:c r="E26" s="4"/>
      <x:c r="F26" s="4"/>
      <x:c r="G26" s="4"/>
      <x:c r="H26" s="4"/>
      <x:c r="I26" s="4"/>
      <x:c r="J26" s="4">
        <x:f t="shared" ref="J26:J37" si="2">SUM(C26:I26)</x:f>
        <x:v>675723772.92000008</x:v>
      </x:c>
      <x:c r="K26" s="4">
        <x:f t="shared" ref="K26:K37" si="3">+B26-J26</x:f>
        <x:v>0</x:v>
      </x:c>
      <x:c r="L26" s="4"/>
      <x:c r="M26" s="16">
        <x:v>9.5324396490293652E-3</x:v>
      </x:c>
      <x:c r="N26" s="13">
        <x:f t="shared" ref="N26:N37" si="4">+B26*M26</x:f>
        <x:v>6441296.0847743247</x:v>
      </x:c>
      <x:c r="O26" s="12"/>
      <x:c r="P26" s="12">
        <x:f t="shared" si="0"/>
        <x:v>6441296.0847743247</x:v>
      </x:c>
      <x:c r="Q26" s="12"/>
      <x:c r="R26" s="12">
        <x:f t="shared" ref="R26:R37" si="5">+N26+O26</x:f>
        <x:v>6441296.0847743247</x:v>
      </x:c>
      <x:c r="S26" s="12">
        <x:f t="shared" ref="S26:S37" si="6">+C26/$B26*$N26</x:f>
        <x:v>5541481.3395333337</x:v>
      </x:c>
      <x:c r="T26" s="12">
        <x:f t="shared" ref="T26:T37" si="7">+D26/$B26*$N26</x:f>
        <x:v>899814.74524098949</x:v>
      </x:c>
      <x:c r="U26" s="12">
        <x:f t="shared" ref="U26:U37" si="8">+E26/$B26*$N26</x:f>
        <x:v>0</x:v>
      </x:c>
      <x:c r="V26" s="12">
        <x:f t="shared" ref="V26:V37" si="9">+F26/$B26*$N26</x:f>
        <x:v>0</x:v>
      </x:c>
      <x:c r="W26" s="12">
        <x:f t="shared" ref="W26:W37" si="10">+G26/$B26*$N26</x:f>
        <x:v>0</x:v>
      </x:c>
      <x:c r="X26" s="12">
        <x:f t="shared" ref="X26:X37" si="11">+H26/$B26*$N26</x:f>
        <x:v>0</x:v>
      </x:c>
      <x:c r="Y26" s="12">
        <x:f t="shared" ref="Y26:Y37" si="12">+I26/$B26*$N26</x:f>
        <x:v>0</x:v>
      </x:c>
      <x:c r="Z26" s="12">
        <x:f t="shared" ref="Z26:Z37" si="13">+J26/$B26*$N26</x:f>
        <x:v>6441296.0847743228</x:v>
      </x:c>
      <x:c r="AA26" s="10">
        <x:f t="shared" ref="AA26:AA37" si="14">+Z26-R26</x:f>
        <x:v>0</x:v>
      </x:c>
    </x:row>
    <x:row r="27" spans="1:27" s="1" customFormat="1" x14ac:dyDescent="0.25">
      <x:c r="A27" s="15">
        <x:v>352</x:v>
      </x:c>
      <x:c r="B27" s="4">
        <x:v>632667015.4000001</x:v>
      </x:c>
      <x:c r="C27" s="4">
        <x:v>547003848.83000016</x:v>
      </x:c>
      <x:c r="D27" s="4">
        <x:v>85663166.569999963</x:v>
      </x:c>
      <x:c r="E27" s="4">
        <x:v>0</x:v>
      </x:c>
      <x:c r="F27" s="4">
        <x:v>0</x:v>
      </x:c>
      <x:c r="G27" s="4"/>
      <x:c r="H27" s="4"/>
      <x:c r="I27" s="4"/>
      <x:c r="J27" s="4">
        <x:f t="shared" si="2"/>
        <x:v>632667015.4000001</x:v>
      </x:c>
      <x:c r="K27" s="4">
        <x:f t="shared" si="3"/>
        <x:v>0</x:v>
      </x:c>
      <x:c r="L27" s="4"/>
      <x:c r="M27" s="16">
        <x:v>2.2840949332387398E-2</x:v>
      </x:c>
      <x:c r="N27" s="13">
        <x:f t="shared" si="4"/>
        <x:v>14450715.243024159</x:v>
      </x:c>
      <x:c r="O27" s="12"/>
      <x:c r="P27" s="12">
        <x:f t="shared" si="0"/>
        <x:v>14450715.243024159</x:v>
      </x:c>
      <x:c r="Q27" s="12"/>
      <x:c r="R27" s="12">
        <x:f t="shared" si="5"/>
        <x:v>14450715.243024159</x:v>
      </x:c>
      <x:c r="S27" s="12">
        <x:f t="shared" si="6"/>
        <x:v>12494087.19574693</x:v>
      </x:c>
      <x:c r="T27" s="12">
        <x:f t="shared" si="7"/>
        <x:v>1956628.0472772308</x:v>
      </x:c>
      <x:c r="U27" s="12">
        <x:f t="shared" si="8"/>
        <x:v>0</x:v>
      </x:c>
      <x:c r="V27" s="12">
        <x:f t="shared" si="9"/>
        <x:v>0</x:v>
      </x:c>
      <x:c r="W27" s="12">
        <x:f t="shared" si="10"/>
        <x:v>0</x:v>
      </x:c>
      <x:c r="X27" s="12">
        <x:f t="shared" si="11"/>
        <x:v>0</x:v>
      </x:c>
      <x:c r="Y27" s="12">
        <x:f t="shared" si="12"/>
        <x:v>0</x:v>
      </x:c>
      <x:c r="Z27" s="12">
        <x:f t="shared" si="13"/>
        <x:v>14450715.243024159</x:v>
      </x:c>
      <x:c r="AA27" s="10">
        <x:f t="shared" si="14"/>
        <x:v>0</x:v>
      </x:c>
    </x:row>
    <x:row r="28" spans="1:27" s="1" customFormat="1" x14ac:dyDescent="0.25">
      <x:c r="A28" s="15">
        <x:v>353</x:v>
      </x:c>
      <x:c r="B28" s="4">
        <x:v>4642012346.0100136</x:v>
      </x:c>
      <x:c r="C28" s="4">
        <x:v>3956106535.8500128</x:v>
      </x:c>
      <x:c r="D28" s="4">
        <x:v>232188792.70999998</x:v>
      </x:c>
      <x:c r="E28" s="4"/>
      <x:c r="F28" s="4">
        <x:v>403045770.82000095</x:v>
      </x:c>
      <x:c r="G28" s="4">
        <x:v>50671246.62999998</x:v>
      </x:c>
      <x:c r="H28" s="4"/>
      <x:c r="I28" s="4"/>
      <x:c r="J28" s="4">
        <x:f t="shared" si="2"/>
        <x:v>4642012346.0100136</x:v>
      </x:c>
      <x:c r="K28" s="4">
        <x:f t="shared" si="3"/>
        <x:v>0</x:v>
      </x:c>
      <x:c r="L28" s="4"/>
      <x:c r="M28" s="16">
        <x:v>2.2209554224745642E-2</x:v>
      </x:c>
      <x:c r="N28" s="13">
        <x:f t="shared" si="4"/>
        <x:v>103097024.91064812</x:v>
      </x:c>
      <x:c r="O28" s="12"/>
      <x:c r="P28" s="12">
        <x:f t="shared" si="0"/>
        <x:v>103097024.91064812</x:v>
      </x:c>
      <x:c r="Q28" s="12"/>
      <x:c r="R28" s="12">
        <x:f t="shared" si="5"/>
        <x:v>103097024.91064812</x:v>
      </x:c>
      <x:c r="S28" s="12">
        <x:f t="shared" si="6"/>
        <x:v>87863362.626831502</x:v>
      </x:c>
      <x:c r="T28" s="12">
        <x:f t="shared" si="7"/>
        <x:v>5156809.58207097</x:v>
      </x:c>
      <x:c r="U28" s="12">
        <x:f t="shared" si="8"/>
        <x:v>0</x:v>
      </x:c>
      <x:c r="V28" s="12">
        <x:f t="shared" si="9"/>
        <x:v>8951466.9020812158</x:v>
      </x:c>
      <x:c r="W28" s="12">
        <x:f t="shared" si="10"/>
        <x:v>1125385.7996644445</x:v>
      </x:c>
      <x:c r="X28" s="12">
        <x:f t="shared" si="11"/>
        <x:v>0</x:v>
      </x:c>
      <x:c r="Y28" s="12">
        <x:f t="shared" si="12"/>
        <x:v>0</x:v>
      </x:c>
      <x:c r="Z28" s="12">
        <x:f t="shared" si="13"/>
        <x:v>103097024.91064812</x:v>
      </x:c>
      <x:c r="AA28" s="10">
        <x:f t="shared" si="14"/>
        <x:v>0</x:v>
      </x:c>
    </x:row>
    <x:row r="29" spans="1:27" s="1" customFormat="1" x14ac:dyDescent="0.25">
      <x:c r="A29" s="15" t="s">
        <x:v>39</x:v>
      </x:c>
      <x:c r="B29" s="4">
        <x:v>2153423296.3700008</x:v>
      </x:c>
      <x:c r="C29" s="4">
        <x:v>1658634363.7799988</x:v>
      </x:c>
      <x:c r="D29" s="4">
        <x:v>494788932.56999993</x:v>
      </x:c>
      <x:c r="E29" s="4"/>
      <x:c r="F29" s="4">
        <x:v>0</x:v>
      </x:c>
      <x:c r="G29" s="4">
        <x:v>0</x:v>
      </x:c>
      <x:c r="H29" s="4"/>
      <x:c r="I29" s="4"/>
      <x:c r="J29" s="4">
        <x:f t="shared" si="2"/>
        <x:v>2153423296.3499985</x:v>
      </x:c>
      <x:c r="K29" s="4">
        <x:f t="shared" si="3"/>
        <x:v>2.0002365112304688E-2</x:v>
      </x:c>
      <x:c r="L29" s="4"/>
      <x:c r="M29" s="16">
        <x:v>1.919578813089327E-2</x:v>
      </x:c>
      <x:c r="N29" s="13">
        <x:f t="shared" si="4"/>
        <x:v>41336657.353248321</x:v>
      </x:c>
      <x:c r="O29" s="12"/>
      <x:c r="P29" s="12">
        <x:f t="shared" si="0"/>
        <x:v>41336657.353248321</x:v>
      </x:c>
      <x:c r="Q29" s="12"/>
      <x:c r="R29" s="12">
        <x:f t="shared" si="5"/>
        <x:v>41336657.353248321</x:v>
      </x:c>
      <x:c r="S29" s="12">
        <x:f t="shared" si="6"/>
        <x:v>31838793.83373981</x:v>
      </x:c>
      <x:c r="T29" s="12">
        <x:f t="shared" si="7"/>
        <x:v>9497863.5191245545</x:v>
      </x:c>
      <x:c r="U29" s="12">
        <x:f t="shared" si="8"/>
        <x:v>0</x:v>
      </x:c>
      <x:c r="V29" s="12">
        <x:f t="shared" si="9"/>
        <x:v>0</x:v>
      </x:c>
      <x:c r="W29" s="12">
        <x:f t="shared" si="10"/>
        <x:v>0</x:v>
      </x:c>
      <x:c r="X29" s="12">
        <x:f t="shared" si="11"/>
        <x:v>0</x:v>
      </x:c>
      <x:c r="Y29" s="12">
        <x:f t="shared" si="12"/>
        <x:v>0</x:v>
      </x:c>
      <x:c r="Z29" s="12">
        <x:f t="shared" si="13"/>
        <x:v>41336657.352864355</x:v>
      </x:c>
      <x:c r="AA29" s="10">
        <x:f t="shared" si="14"/>
        <x:v>-3.8396567106246948E-4</x:v>
      </x:c>
    </x:row>
    <x:row r="30" spans="1:27" s="1" customFormat="1" x14ac:dyDescent="0.25">
      <x:c r="A30" s="15" t="s">
        <x:v>40</x:v>
      </x:c>
      <x:c r="B30" s="4">
        <x:v>4073573578.3900008</x:v>
      </x:c>
      <x:c r="C30" s="4">
        <x:v>3848480092.3999958</x:v>
      </x:c>
      <x:c r="D30" s="4">
        <x:v>225093485.89000005</x:v>
      </x:c>
      <x:c r="E30" s="4">
        <x:v>0</x:v>
      </x:c>
      <x:c r="F30" s="4"/>
      <x:c r="G30" s="4"/>
      <x:c r="H30" s="4"/>
      <x:c r="I30" s="4"/>
      <x:c r="J30" s="4">
        <x:f t="shared" si="2"/>
        <x:v>4073573578.2899957</x:v>
      </x:c>
      <x:c r="K30" s="4">
        <x:f t="shared" si="3"/>
        <x:v>0.10000514984130859</x:v>
      </x:c>
      <x:c r="L30" s="4"/>
      <x:c r="M30" s="16">
        <x:v>3.0847559234549415E-2</x:v>
      </x:c>
      <x:c r="N30" s="13">
        <x:f t="shared" si="4"/>
        <x:v>125659802.25568098</x:v>
      </x:c>
      <x:c r="O30" s="12"/>
      <x:c r="P30" s="12">
        <x:f t="shared" si="0"/>
        <x:v>125659802.25568098</x:v>
      </x:c>
      <x:c r="Q30" s="12"/>
      <x:c r="R30" s="12">
        <x:f t="shared" si="5"/>
        <x:v>125659802.25568098</x:v>
      </x:c>
      <x:c r="S30" s="12">
        <x:f t="shared" si="6"/>
        <x:v>118716217.61329308</x:v>
      </x:c>
      <x:c r="T30" s="12">
        <x:f t="shared" si="7"/>
        <x:v>6943584.6393029895</x:v>
      </x:c>
      <x:c r="U30" s="12">
        <x:f t="shared" si="8"/>
        <x:v>0</x:v>
      </x:c>
      <x:c r="V30" s="12">
        <x:f t="shared" si="9"/>
        <x:v>0</x:v>
      </x:c>
      <x:c r="W30" s="12">
        <x:f t="shared" si="10"/>
        <x:v>0</x:v>
      </x:c>
      <x:c r="X30" s="12">
        <x:f t="shared" si="11"/>
        <x:v>0</x:v>
      </x:c>
      <x:c r="Y30" s="12">
        <x:f t="shared" si="12"/>
        <x:v>0</x:v>
      </x:c>
      <x:c r="Z30" s="12">
        <x:f t="shared" si="13"/>
        <x:v>125659802.25259607</x:v>
      </x:c>
      <x:c r="AA30" s="10">
        <x:f t="shared" si="14"/>
        <x:v>-3.084912896156311E-3</x:v>
      </x:c>
    </x:row>
    <x:row r="31" spans="1:27" s="1" customFormat="1" x14ac:dyDescent="0.25">
      <x:c r="A31" s="15" t="s">
        <x:v>41</x:v>
      </x:c>
      <x:c r="B31" s="4">
        <x:v>3734793370.9200001</x:v>
      </x:c>
      <x:c r="C31" s="4">
        <x:v>3294965407.6899943</x:v>
      </x:c>
      <x:c r="D31" s="4">
        <x:v>439827963.11999989</x:v>
      </x:c>
      <x:c r="E31" s="4"/>
      <x:c r="F31" s="4">
        <x:v>0</x:v>
      </x:c>
      <x:c r="G31" s="4"/>
      <x:c r="H31" s="4"/>
      <x:c r="I31" s="4"/>
      <x:c r="J31" s="4">
        <x:f t="shared" si="2"/>
        <x:v>3734793370.8099942</x:v>
      </x:c>
      <x:c r="K31" s="4">
        <x:f t="shared" si="3"/>
        <x:v>0.11000585556030273</x:v>
      </x:c>
      <x:c r="L31" s="4"/>
      <x:c r="M31" s="16">
        <x:v>2.3329767071399967E-2</x:v>
      </x:c>
      <x:c r="N31" s="13">
        <x:f t="shared" si="4"/>
        <x:v>87131859.403372303</x:v>
      </x:c>
      <x:c r="O31" s="12"/>
      <x:c r="P31" s="12">
        <x:f t="shared" si="0"/>
        <x:v>87131859.403372303</x:v>
      </x:c>
      <x:c r="Q31" s="12"/>
      <x:c r="R31" s="12">
        <x:f t="shared" si="5"/>
        <x:v>87131859.403372303</x:v>
      </x:c>
      <x:c r="S31" s="12">
        <x:f t="shared" si="6"/>
        <x:v>76870775.469727993</x:v>
      </x:c>
      <x:c r="T31" s="12">
        <x:f t="shared" si="7"/>
        <x:v>10261083.931077892</x:v>
      </x:c>
      <x:c r="U31" s="12">
        <x:f t="shared" si="8"/>
        <x:v>0</x:v>
      </x:c>
      <x:c r="V31" s="12">
        <x:f t="shared" si="9"/>
        <x:v>0</x:v>
      </x:c>
      <x:c r="W31" s="12">
        <x:f t="shared" si="10"/>
        <x:v>0</x:v>
      </x:c>
      <x:c r="X31" s="12">
        <x:f t="shared" si="11"/>
        <x:v>0</x:v>
      </x:c>
      <x:c r="Y31" s="12">
        <x:f t="shared" si="12"/>
        <x:v>0</x:v>
      </x:c>
      <x:c r="Z31" s="12">
        <x:f t="shared" si="13"/>
        <x:v>87131859.400805891</x:v>
      </x:c>
      <x:c r="AA31" s="10">
        <x:f t="shared" si="14"/>
        <x:v>-2.566412091255188E-3</x:v>
      </x:c>
    </x:row>
    <x:row r="32" spans="1:27" s="1" customFormat="1" x14ac:dyDescent="0.25">
      <x:c r="A32" s="15" t="s">
        <x:v>42</x:v>
      </x:c>
      <x:c r="B32" s="4">
        <x:v>61796401.399999991</x:v>
      </x:c>
      <x:c r="C32" s="4">
        <x:v>61796401.399999961</x:v>
      </x:c>
      <x:c r="D32" s="4">
        <x:v>0</x:v>
      </x:c>
      <x:c r="E32" s="4"/>
      <x:c r="F32" s="4"/>
      <x:c r="G32" s="4"/>
      <x:c r="H32" s="4"/>
      <x:c r="I32" s="4"/>
      <x:c r="J32" s="4">
        <x:f t="shared" si="2"/>
        <x:v>61796401.399999961</x:v>
      </x:c>
      <x:c r="K32" s="4">
        <x:f t="shared" si="3"/>
        <x:v>0</x:v>
      </x:c>
      <x:c r="L32" s="4"/>
      <x:c r="M32" s="16">
        <x:v>1.654769250895952E-2</x:v>
      </x:c>
      <x:c r="N32" s="13">
        <x:f t="shared" si="4"/>
        <x:v>1022587.8485274354</x:v>
      </x:c>
      <x:c r="O32" s="12"/>
      <x:c r="P32" s="12">
        <x:f t="shared" si="0"/>
        <x:v>1022587.8485274354</x:v>
      </x:c>
      <x:c r="Q32" s="12"/>
      <x:c r="R32" s="12">
        <x:f t="shared" si="5"/>
        <x:v>1022587.8485274354</x:v>
      </x:c>
      <x:c r="S32" s="12">
        <x:f t="shared" si="6"/>
        <x:v>1022587.848527435</x:v>
      </x:c>
      <x:c r="T32" s="12">
        <x:f t="shared" si="7"/>
        <x:v>0</x:v>
      </x:c>
      <x:c r="U32" s="12">
        <x:f t="shared" si="8"/>
        <x:v>0</x:v>
      </x:c>
      <x:c r="V32" s="12">
        <x:f t="shared" si="9"/>
        <x:v>0</x:v>
      </x:c>
      <x:c r="W32" s="12">
        <x:f t="shared" si="10"/>
        <x:v>0</x:v>
      </x:c>
      <x:c r="X32" s="12">
        <x:f t="shared" si="11"/>
        <x:v>0</x:v>
      </x:c>
      <x:c r="Y32" s="12">
        <x:f t="shared" si="12"/>
        <x:v>0</x:v>
      </x:c>
      <x:c r="Z32" s="12">
        <x:f t="shared" si="13"/>
        <x:v>1022587.848527435</x:v>
      </x:c>
      <x:c r="AA32" s="10">
        <x:f t="shared" si="14"/>
        <x:v>0</x:v>
      </x:c>
    </x:row>
    <x:row r="33" spans="1:29" s="1" customFormat="1" x14ac:dyDescent="0.25">
      <x:c r="A33" s="15" t="s">
        <x:v>43</x:v>
      </x:c>
      <x:c r="B33" s="4">
        <x:v>96633109.49000001</x:v>
      </x:c>
      <x:c r="C33" s="4">
        <x:v>96633109.49000001</x:v>
      </x:c>
      <x:c r="D33" s="4">
        <x:v>0</x:v>
      </x:c>
      <x:c r="E33" s="4"/>
      <x:c r="F33" s="4"/>
      <x:c r="G33" s="4"/>
      <x:c r="H33" s="4"/>
      <x:c r="I33" s="4"/>
      <x:c r="J33" s="4">
        <x:f t="shared" si="2"/>
        <x:v>96633109.49000001</x:v>
      </x:c>
      <x:c r="K33" s="4">
        <x:f t="shared" si="3"/>
        <x:v>0</x:v>
      </x:c>
      <x:c r="L33" s="4"/>
      <x:c r="M33" s="16">
        <x:v>1.8455583964650954E-2</x:v>
      </x:c>
      <x:c r="N33" s="13">
        <x:f t="shared" si="4"/>
        <x:v>1783420.4659580041</x:v>
      </x:c>
      <x:c r="O33" s="11"/>
      <x:c r="P33" s="12">
        <x:f t="shared" si="0"/>
        <x:v>1783420.4659580041</x:v>
      </x:c>
      <x:c r="Q33" s="11"/>
      <x:c r="R33" s="12">
        <x:f t="shared" si="5"/>
        <x:v>1783420.4659580041</x:v>
      </x:c>
      <x:c r="S33" s="12">
        <x:f t="shared" si="6"/>
        <x:v>1783420.4659580041</x:v>
      </x:c>
      <x:c r="T33" s="12">
        <x:f t="shared" si="7"/>
        <x:v>0</x:v>
      </x:c>
      <x:c r="U33" s="12">
        <x:f t="shared" si="8"/>
        <x:v>0</x:v>
      </x:c>
      <x:c r="V33" s="12">
        <x:f t="shared" si="9"/>
        <x:v>0</x:v>
      </x:c>
      <x:c r="W33" s="12">
        <x:f t="shared" si="10"/>
        <x:v>0</x:v>
      </x:c>
      <x:c r="X33" s="12">
        <x:f t="shared" si="11"/>
        <x:v>0</x:v>
      </x:c>
      <x:c r="Y33" s="12">
        <x:f t="shared" si="12"/>
        <x:v>0</x:v>
      </x:c>
      <x:c r="Z33" s="12">
        <x:f t="shared" si="13"/>
        <x:v>1783420.4659580041</x:v>
      </x:c>
      <x:c r="AA33" s="10">
        <x:f t="shared" si="14"/>
        <x:v>0</x:v>
      </x:c>
    </x:row>
    <x:row r="34" spans="1:29" s="1" customFormat="1" x14ac:dyDescent="0.25">
      <x:c r="A34" s="15" t="s">
        <x:v>3</x:v>
      </x:c>
      <x:c r="B34" s="4">
        <x:v>1693652.75</x:v>
      </x:c>
      <x:c r="C34" s="4"/>
      <x:c r="D34" s="4"/>
      <x:c r="E34" s="4">
        <x:v>1693652.7500000002</x:v>
      </x:c>
      <x:c r="F34" s="4"/>
      <x:c r="G34" s="4"/>
      <x:c r="H34" s="4"/>
      <x:c r="I34" s="4"/>
      <x:c r="J34" s="4">
        <x:f t="shared" si="2"/>
        <x:v>1693652.7500000002</x:v>
      </x:c>
      <x:c r="K34" s="4">
        <x:f t="shared" si="3"/>
        <x:v>0</x:v>
      </x:c>
      <x:c r="L34" s="4"/>
      <x:c r="M34" s="16">
        <x:v>2.1988453575813652E-2</x:v>
      </x:c>
      <x:c r="N34" s="13">
        <x:f t="shared" si="4"/>
        <x:v>37240.804866924125</x:v>
      </x:c>
      <x:c r="O34" s="11"/>
      <x:c r="P34" s="12">
        <x:f t="shared" si="0"/>
        <x:v>37240.804866924125</x:v>
      </x:c>
      <x:c r="Q34" s="11"/>
      <x:c r="R34" s="12">
        <x:f t="shared" si="5"/>
        <x:v>37240.804866924125</x:v>
      </x:c>
      <x:c r="S34" s="12">
        <x:f t="shared" si="6"/>
        <x:v>0</x:v>
      </x:c>
      <x:c r="T34" s="12">
        <x:f t="shared" si="7"/>
        <x:v>0</x:v>
      </x:c>
      <x:c r="U34" s="12">
        <x:f t="shared" si="8"/>
        <x:v>37240.804866924133</x:v>
      </x:c>
      <x:c r="V34" s="12">
        <x:f t="shared" si="9"/>
        <x:v>0</x:v>
      </x:c>
      <x:c r="W34" s="12">
        <x:f t="shared" si="10"/>
        <x:v>0</x:v>
      </x:c>
      <x:c r="X34" s="12">
        <x:f t="shared" si="11"/>
        <x:v>0</x:v>
      </x:c>
      <x:c r="Y34" s="12">
        <x:f t="shared" si="12"/>
        <x:v>0</x:v>
      </x:c>
      <x:c r="Z34" s="12">
        <x:f t="shared" si="13"/>
        <x:v>37240.804866924133</x:v>
      </x:c>
      <x:c r="AA34" s="10">
        <x:f t="shared" si="14"/>
        <x:v>0</x:v>
      </x:c>
    </x:row>
    <x:row r="35" spans="1:29" s="1" customFormat="1" x14ac:dyDescent="0.25">
      <x:c r="A35" s="15" t="s">
        <x:v>5</x:v>
      </x:c>
      <x:c r="B35" s="4">
        <x:v>31506721.779999997</x:v>
      </x:c>
      <x:c r="C35" s="4"/>
      <x:c r="D35" s="4"/>
      <x:c r="E35" s="4">
        <x:v>19314256.829999998</x:v>
      </x:c>
      <x:c r="F35" s="4">
        <x:v>12192464.950000001</x:v>
      </x:c>
      <x:c r="G35" s="4"/>
      <x:c r="H35" s="4"/>
      <x:c r="I35" s="4"/>
      <x:c r="J35" s="4">
        <x:f t="shared" si="2"/>
        <x:v>31506721.780000001</x:v>
      </x:c>
      <x:c r="K35" s="4">
        <x:f t="shared" si="3"/>
        <x:v>0</x:v>
      </x:c>
      <x:c r="L35" s="4"/>
      <x:c r="M35" s="16">
        <x:v>3.5575087988690114E-2</x:v>
      </x:c>
      <x:c r="N35" s="13">
        <x:f t="shared" si="4"/>
        <x:v>1120854.3995586792</x:v>
      </x:c>
      <x:c r="O35" s="11"/>
      <x:c r="P35" s="12">
        <x:f t="shared" si="0"/>
        <x:v>1120854.3995586792</x:v>
      </x:c>
      <x:c r="Q35" s="11"/>
      <x:c r="R35" s="12">
        <x:f t="shared" si="5"/>
        <x:v>1120854.3995586792</x:v>
      </x:c>
      <x:c r="S35" s="12">
        <x:f t="shared" si="6"/>
        <x:v>0</x:v>
      </x:c>
      <x:c r="T35" s="12">
        <x:f t="shared" si="7"/>
        <x:v>0</x:v>
      </x:c>
      <x:c r="U35" s="12">
        <x:f t="shared" si="8"/>
        <x:v>687106.38616340898</x:v>
      </x:c>
      <x:c r="V35" s="12">
        <x:f t="shared" si="9"/>
        <x:v>433748.01339527027</x:v>
      </x:c>
      <x:c r="W35" s="12">
        <x:f t="shared" si="10"/>
        <x:v>0</x:v>
      </x:c>
      <x:c r="X35" s="12">
        <x:f t="shared" si="11"/>
        <x:v>0</x:v>
      </x:c>
      <x:c r="Y35" s="12">
        <x:f t="shared" si="12"/>
        <x:v>0</x:v>
      </x:c>
      <x:c r="Z35" s="12">
        <x:f t="shared" si="13"/>
        <x:v>1120854.3995586794</x:v>
      </x:c>
      <x:c r="AA35" s="10">
        <x:f t="shared" si="14"/>
        <x:v>0</x:v>
      </x:c>
    </x:row>
    <x:row r="36" spans="1:29" s="1" customFormat="1" ht="14.3" customHeight="1" x14ac:dyDescent="0.25">
      <x:c r="A36" s="15" t="s">
        <x:v>4</x:v>
      </x:c>
      <x:c r="B36" s="4">
        <x:v>20424706.280000001</x:v>
      </x:c>
      <x:c r="C36" s="4">
        <x:v>12728829.080000002</x:v>
      </x:c>
      <x:c r="D36" s="4">
        <x:v>7695877.1999999993</x:v>
      </x:c>
      <x:c r="E36" s="4"/>
      <x:c r="F36" s="4"/>
      <x:c r="G36" s="4"/>
      <x:c r="H36" s="4"/>
      <x:c r="I36" s="4"/>
      <x:c r="J36" s="4">
        <x:f t="shared" si="2"/>
        <x:v>20424706.280000001</x:v>
      </x:c>
      <x:c r="K36" s="4">
        <x:f t="shared" si="3"/>
        <x:v>0</x:v>
      </x:c>
      <x:c r="L36" s="4"/>
      <x:c r="M36" s="16">
        <x:v>5.3826537301673555E-2</x:v>
      </x:c>
      <x:c r="N36" s="13">
        <x:f t="shared" si="4"/>
        <x:v>1099391.2144561461</x:v>
      </x:c>
      <x:c r="O36" s="12"/>
      <x:c r="P36" s="12">
        <x:f t="shared" si="0"/>
        <x:v>1099391.2144561461</x:v>
      </x:c>
      <x:c r="Q36" s="12"/>
      <x:c r="R36" s="12">
        <x:f t="shared" si="5"/>
        <x:v>1099391.2144561461</x:v>
      </x:c>
      <x:c r="S36" s="12">
        <x:f t="shared" si="6"/>
        <x:v>685148.79328124714</x:v>
      </x:c>
      <x:c r="T36" s="12">
        <x:f t="shared" si="7"/>
        <x:v>414242.42117489892</x:v>
      </x:c>
      <x:c r="U36" s="12">
        <x:f t="shared" si="8"/>
        <x:v>0</x:v>
      </x:c>
      <x:c r="V36" s="12">
        <x:f t="shared" si="9"/>
        <x:v>0</x:v>
      </x:c>
      <x:c r="W36" s="12">
        <x:f t="shared" si="10"/>
        <x:v>0</x:v>
      </x:c>
      <x:c r="X36" s="12">
        <x:f t="shared" si="11"/>
        <x:v>0</x:v>
      </x:c>
      <x:c r="Y36" s="12">
        <x:f t="shared" si="12"/>
        <x:v>0</x:v>
      </x:c>
      <x:c r="Z36" s="12">
        <x:f t="shared" si="13"/>
        <x:v>1099391.2144561461</x:v>
      </x:c>
      <x:c r="AA36" s="10">
        <x:f t="shared" si="14"/>
        <x:v>0</x:v>
      </x:c>
    </x:row>
    <x:row r="37" spans="1:29" s="1" customFormat="1" ht="14.3" customHeight="1" x14ac:dyDescent="0.25">
      <x:c r="A37" s="15" t="s">
        <x:v>6</x:v>
      </x:c>
      <x:c r="B37" s="4">
        <x:v>345903382</x:v>
      </x:c>
      <x:c r="C37" s="4">
        <x:v>226587993.92000002</x:v>
      </x:c>
      <x:c r="D37" s="4">
        <x:v>65577498.18</x:v>
      </x:c>
      <x:c r="E37" s="4"/>
      <x:c r="F37" s="4">
        <x:v>53737889.899999999</x:v>
      </x:c>
      <x:c r="G37" s="4"/>
      <x:c r="H37" s="4"/>
      <x:c r="I37" s="4"/>
      <x:c r="J37" s="4">
        <x:f t="shared" si="2"/>
        <x:v>345903382</x:v>
      </x:c>
      <x:c r="K37" s="4">
        <x:f t="shared" si="3"/>
        <x:v>0</x:v>
      </x:c>
      <x:c r="L37" s="4"/>
      <x:c r="M37" s="16">
        <x:v>3.8147441016643913E-2</x:v>
      </x:c>
      <x:c r="N37" s="13">
        <x:f t="shared" si="4"/>
        <x:v>13195328.862302648</x:v>
      </x:c>
      <x:c r="O37" s="12"/>
      <x:c r="P37" s="12">
        <x:f t="shared" si="0"/>
        <x:v>13195328.862302648</x:v>
      </x:c>
      <x:c r="Q37" s="12"/>
      <x:c r="R37" s="12">
        <x:f t="shared" si="5"/>
        <x:v>13195328.862302648</x:v>
      </x:c>
      <x:c r="S37" s="12">
        <x:f t="shared" si="6"/>
        <x:v>8643752.1331428699</x:v>
      </x:c>
      <x:c r="T37" s="12">
        <x:f t="shared" si="7"/>
        <x:v>2501613.7438406236</x:v>
      </x:c>
      <x:c r="U37" s="12">
        <x:f t="shared" si="8"/>
        <x:v>0</x:v>
      </x:c>
      <x:c r="V37" s="12">
        <x:f t="shared" si="9"/>
        <x:v>2049962.9853191546</x:v>
      </x:c>
      <x:c r="W37" s="12">
        <x:f t="shared" si="10"/>
        <x:v>0</x:v>
      </x:c>
      <x:c r="X37" s="12">
        <x:f t="shared" si="11"/>
        <x:v>0</x:v>
      </x:c>
      <x:c r="Y37" s="12">
        <x:f t="shared" si="12"/>
        <x:v>0</x:v>
      </x:c>
      <x:c r="Z37" s="12">
        <x:f t="shared" si="13"/>
        <x:v>13195328.862302648</x:v>
      </x:c>
      <x:c r="AA37" s="10">
        <x:f t="shared" si="14"/>
        <x:v>0</x:v>
      </x:c>
      <x:c r="AC37" s="9">
        <x:f>+L37/$B37*$N37</x:f>
        <x:v>0</x:v>
      </x:c>
    </x:row>
    <x:row r="38" spans="1:29" s="1" customFormat="1" ht="14.3" customHeight="1" x14ac:dyDescent="0.25">
      <x:c r="A38" s="15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16"/>
      <x:c r="N38" s="13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0"/>
    </x:row>
    <x:row r="39" spans="1:29" s="1" customFormat="1" ht="14.3" customHeight="1" x14ac:dyDescent="0.25">
      <x:c r="A39" s="17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16"/>
      <x:c r="N39" s="13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0"/>
    </x:row>
    <x:row r="40" spans="1:29" s="1" customFormat="1" ht="14.3" customHeight="1" x14ac:dyDescent="0.25">
      <x:c r="A40" s="15" t="s">
        <x:v>37</x:v>
      </x:c>
      <x:c r="B40" s="4">
        <x:v>150825746.09999999</x:v>
      </x:c>
      <x:c r="C40" s="4">
        <x:v>150825746.09999999</x:v>
      </x:c>
      <x:c r="D40" s="4">
        <x:v>0</x:v>
      </x:c>
      <x:c r="E40" s="4">
        <x:v>0</x:v>
      </x:c>
      <x:c r="F40" s="4">
        <x:v>0</x:v>
      </x:c>
      <x:c r="G40" s="4">
        <x:v>0</x:v>
      </x:c>
      <x:c r="H40" s="4">
        <x:v>0</x:v>
      </x:c>
      <x:c r="I40" s="4">
        <x:v>0</x:v>
      </x:c>
      <x:c r="J40" s="4">
        <x:f>SUM(C40:I40)</x:f>
        <x:v>150825746.09999999</x:v>
      </x:c>
      <x:c r="K40" s="4">
        <x:f>+B40-J40</x:f>
        <x:v>0</x:v>
      </x:c>
      <x:c r="L40" s="4"/>
      <x:c r="M40" s="16"/>
      <x:c r="N40" s="13">
        <x:f>SUM(N41:N44)</x:f>
        <x:v>12662464.555975186</x:v>
      </x:c>
      <x:c r="O40" s="12"/>
      <x:c r="P40" s="12">
        <x:f>SUM(P41:P44)</x:f>
        <x:v>12662464.555975186</x:v>
      </x:c>
      <x:c r="Q40" s="12"/>
      <x:c r="R40" s="12">
        <x:f>SUM(R41:R44)</x:f>
        <x:v>12662464.555975186</x:v>
      </x:c>
      <x:c r="S40" s="12">
        <x:f>SUM(S41:S44)</x:f>
        <x:v>12662464.555975186</x:v>
      </x:c>
      <x:c r="T40" s="12">
        <x:f t="shared" ref="T40:Y40" si="15">SUM(T41:T44)</x:f>
        <x:v>0</x:v>
      </x:c>
      <x:c r="U40" s="12">
        <x:f t="shared" si="15"/>
        <x:v>0</x:v>
      </x:c>
      <x:c r="V40" s="12">
        <x:f t="shared" si="15"/>
        <x:v>0</x:v>
      </x:c>
      <x:c r="W40" s="12">
        <x:f t="shared" si="15"/>
        <x:v>0</x:v>
      </x:c>
      <x:c r="X40" s="12">
        <x:f t="shared" si="15"/>
        <x:v>0</x:v>
      </x:c>
      <x:c r="Y40" s="12">
        <x:f t="shared" si="15"/>
        <x:v>0</x:v>
      </x:c>
      <x:c r="Z40" s="12">
        <x:f t="shared" ref="Z40:Z44" si="16">+J40/$B40*$N40</x:f>
        <x:v>12662464.555975186</x:v>
      </x:c>
      <x:c r="AA40" s="10">
        <x:f t="shared" ref="AA40:AA44" si="17">+Z40-R40</x:f>
        <x:v>0</x:v>
      </x:c>
      <x:c r="AB40" s="10">
        <x:f>SUM(AA40:AA40)</x:f>
        <x:v>0</x:v>
      </x:c>
    </x:row>
    <x:row r="41" spans="1:29" s="1" customFormat="1" ht="14.3" customHeight="1" x14ac:dyDescent="0.25">
      <x:c r="A41" s="15" t="s">
        <x:v>48</x:v>
      </x:c>
      <x:c r="B41" s="4">
        <x:v>286851.3</x:v>
      </x:c>
      <x:c r="C41" s="4">
        <x:v>286851.3</x:v>
      </x:c>
      <x:c r="D41" s="4"/>
      <x:c r="E41" s="4"/>
      <x:c r="F41" s="4"/>
      <x:c r="G41" s="4"/>
      <x:c r="H41" s="4"/>
      <x:c r="I41" s="4"/>
      <x:c r="J41" s="4">
        <x:v>286851.3</x:v>
      </x:c>
      <x:c r="K41" s="4"/>
      <x:c r="L41" s="4"/>
      <x:c r="M41" s="16">
        <x:v>0.33945796301605496</x:v>
      </x:c>
      <x:c r="N41" s="13">
        <x:f t="shared" ref="N41:N44" si="18">+B41*M41</x:f>
        <x:v>97373.957986507288</x:v>
      </x:c>
      <x:c r="O41" s="12"/>
      <x:c r="P41" s="12">
        <x:f t="shared" ref="P41:P44" si="19">SUM(N41:O41)</x:f>
        <x:v>97373.957986507288</x:v>
      </x:c>
      <x:c r="Q41" s="12"/>
      <x:c r="R41" s="12">
        <x:f t="shared" ref="R41:R49" si="20">+N41+O41</x:f>
        <x:v>97373.957986507288</x:v>
      </x:c>
      <x:c r="S41" s="12">
        <x:f t="shared" ref="S41:Y44" si="21">+C41/$B41*$N41</x:f>
        <x:v>97373.957986507288</x:v>
      </x:c>
      <x:c r="T41" s="12">
        <x:f t="shared" si="21"/>
        <x:v>0</x:v>
      </x:c>
      <x:c r="U41" s="12">
        <x:f t="shared" si="21"/>
        <x:v>0</x:v>
      </x:c>
      <x:c r="V41" s="12">
        <x:f t="shared" si="21"/>
        <x:v>0</x:v>
      </x:c>
      <x:c r="W41" s="12">
        <x:f t="shared" si="21"/>
        <x:v>0</x:v>
      </x:c>
      <x:c r="X41" s="12">
        <x:f t="shared" si="21"/>
        <x:v>0</x:v>
      </x:c>
      <x:c r="Y41" s="12">
        <x:f t="shared" si="21"/>
        <x:v>0</x:v>
      </x:c>
      <x:c r="Z41" s="12">
        <x:f t="shared" si="16"/>
        <x:v>97373.957986507288</x:v>
      </x:c>
      <x:c r="AA41" s="10">
        <x:f t="shared" si="17"/>
        <x:v>0</x:v>
      </x:c>
      <x:c r="AB41" s="10"/>
    </x:row>
    <x:row r="42" spans="1:29" s="1" customFormat="1" ht="14.3" customHeight="1" x14ac:dyDescent="0.25">
      <x:c r="A42" s="15" t="s">
        <x:v>49</x:v>
      </x:c>
      <x:c r="B42" s="4">
        <x:v>3554348.9499999997</x:v>
      </x:c>
      <x:c r="C42" s="4">
        <x:v>3554348.9499999997</x:v>
      </x:c>
      <x:c r="D42" s="4"/>
      <x:c r="E42" s="4"/>
      <x:c r="F42" s="4"/>
      <x:c r="G42" s="4"/>
      <x:c r="H42" s="4"/>
      <x:c r="I42" s="4"/>
      <x:c r="J42" s="4">
        <x:v>3554348.9499999997</x:v>
      </x:c>
      <x:c r="K42" s="4"/>
      <x:c r="L42" s="4"/>
      <x:c r="M42" s="16">
        <x:v>0.19044704407590424</x:v>
      </x:c>
      <x:c r="N42" s="13">
        <x:f t="shared" si="18"/>
        <x:v>676915.25114179391</x:v>
      </x:c>
      <x:c r="O42" s="12"/>
      <x:c r="P42" s="12">
        <x:f t="shared" si="19"/>
        <x:v>676915.25114179391</x:v>
      </x:c>
      <x:c r="Q42" s="12"/>
      <x:c r="R42" s="12">
        <x:f t="shared" si="20"/>
        <x:v>676915.25114179391</x:v>
      </x:c>
      <x:c r="S42" s="12">
        <x:f t="shared" si="21"/>
        <x:v>676915.25114179391</x:v>
      </x:c>
      <x:c r="T42" s="12">
        <x:f t="shared" si="21"/>
        <x:v>0</x:v>
      </x:c>
      <x:c r="U42" s="12">
        <x:f t="shared" si="21"/>
        <x:v>0</x:v>
      </x:c>
      <x:c r="V42" s="12">
        <x:f t="shared" si="21"/>
        <x:v>0</x:v>
      </x:c>
      <x:c r="W42" s="12">
        <x:f t="shared" si="21"/>
        <x:v>0</x:v>
      </x:c>
      <x:c r="X42" s="12">
        <x:f t="shared" si="21"/>
        <x:v>0</x:v>
      </x:c>
      <x:c r="Y42" s="12">
        <x:f t="shared" si="21"/>
        <x:v>0</x:v>
      </x:c>
      <x:c r="Z42" s="12">
        <x:f t="shared" si="16"/>
        <x:v>676915.25114179391</x:v>
      </x:c>
      <x:c r="AA42" s="10">
        <x:f t="shared" si="17"/>
        <x:v>0</x:v>
      </x:c>
      <x:c r="AB42" s="10"/>
    </x:row>
    <x:row r="43" spans="1:29" s="1" customFormat="1" ht="14.3" customHeight="1" x14ac:dyDescent="0.25">
      <x:c r="A43" s="15" t="s">
        <x:v>50</x:v>
      </x:c>
      <x:c r="B43" s="4">
        <x:v>73971237.159999982</x:v>
      </x:c>
      <x:c r="C43" s="4">
        <x:v>73971237.159999982</x:v>
      </x:c>
      <x:c r="D43" s="4"/>
      <x:c r="E43" s="4"/>
      <x:c r="F43" s="4"/>
      <x:c r="G43" s="4"/>
      <x:c r="H43" s="4"/>
      <x:c r="I43" s="4"/>
      <x:c r="J43" s="4">
        <x:v>73971237.159999982</x:v>
      </x:c>
      <x:c r="K43" s="4"/>
      <x:c r="L43" s="4"/>
      <x:c r="M43" s="16">
        <x:v>9.778526321511273E-2</x:v>
      </x:c>
      <x:c r="N43" s="13">
        <x:f t="shared" si="18"/>
        <x:v>7233296.8960381262</x:v>
      </x:c>
      <x:c r="O43" s="12"/>
      <x:c r="P43" s="12">
        <x:f t="shared" si="19"/>
        <x:v>7233296.8960381262</x:v>
      </x:c>
      <x:c r="Q43" s="12"/>
      <x:c r="R43" s="12">
        <x:f t="shared" si="20"/>
        <x:v>7233296.8960381262</x:v>
      </x:c>
      <x:c r="S43" s="12">
        <x:f t="shared" si="21"/>
        <x:v>7233296.8960381262</x:v>
      </x:c>
      <x:c r="T43" s="12">
        <x:f t="shared" si="21"/>
        <x:v>0</x:v>
      </x:c>
      <x:c r="U43" s="12">
        <x:f t="shared" si="21"/>
        <x:v>0</x:v>
      </x:c>
      <x:c r="V43" s="12">
        <x:f t="shared" si="21"/>
        <x:v>0</x:v>
      </x:c>
      <x:c r="W43" s="12">
        <x:f t="shared" si="21"/>
        <x:v>0</x:v>
      </x:c>
      <x:c r="X43" s="12">
        <x:f t="shared" si="21"/>
        <x:v>0</x:v>
      </x:c>
      <x:c r="Y43" s="12">
        <x:f t="shared" si="21"/>
        <x:v>0</x:v>
      </x:c>
      <x:c r="Z43" s="12">
        <x:f t="shared" si="16"/>
        <x:v>7233296.8960381262</x:v>
      </x:c>
      <x:c r="AA43" s="10">
        <x:f t="shared" si="17"/>
        <x:v>0</x:v>
      </x:c>
      <x:c r="AB43" s="10"/>
    </x:row>
    <x:row r="44" spans="1:29" s="1" customFormat="1" ht="14.3" customHeight="1" x14ac:dyDescent="0.25">
      <x:c r="A44" s="15" t="s">
        <x:v>51</x:v>
      </x:c>
      <x:c r="B44" s="4">
        <x:v>73013308.689999983</x:v>
      </x:c>
      <x:c r="C44" s="4">
        <x:v>73013308.689999983</x:v>
      </x:c>
      <x:c r="D44" s="4"/>
      <x:c r="E44" s="4"/>
      <x:c r="F44" s="4"/>
      <x:c r="G44" s="4"/>
      <x:c r="H44" s="4"/>
      <x:c r="I44" s="4"/>
      <x:c r="J44" s="4">
        <x:v>73013308.689999983</x:v>
      </x:c>
      <x:c r="K44" s="4"/>
      <x:c r="L44" s="4"/>
      <x:c r="M44" s="16">
        <x:v>6.3753835216158308E-2</x:v>
      </x:c>
      <x:c r="N44" s="13">
        <x:f t="shared" si="18"/>
        <x:v>4654878.4508087579</x:v>
      </x:c>
      <x:c r="O44" s="12"/>
      <x:c r="P44" s="12">
        <x:f t="shared" si="19"/>
        <x:v>4654878.4508087579</x:v>
      </x:c>
      <x:c r="Q44" s="12"/>
      <x:c r="R44" s="12">
        <x:f t="shared" si="20"/>
        <x:v>4654878.4508087579</x:v>
      </x:c>
      <x:c r="S44" s="12">
        <x:f t="shared" si="21"/>
        <x:v>4654878.4508087579</x:v>
      </x:c>
      <x:c r="T44" s="12">
        <x:f t="shared" si="21"/>
        <x:v>0</x:v>
      </x:c>
      <x:c r="U44" s="12">
        <x:f t="shared" si="21"/>
        <x:v>0</x:v>
      </x:c>
      <x:c r="V44" s="12">
        <x:f t="shared" si="21"/>
        <x:v>0</x:v>
      </x:c>
      <x:c r="W44" s="12">
        <x:f t="shared" si="21"/>
        <x:v>0</x:v>
      </x:c>
      <x:c r="X44" s="12">
        <x:f t="shared" si="21"/>
        <x:v>0</x:v>
      </x:c>
      <x:c r="Y44" s="12">
        <x:f t="shared" si="21"/>
        <x:v>0</x:v>
      </x:c>
      <x:c r="Z44" s="12">
        <x:f t="shared" si="16"/>
        <x:v>4654878.4508087579</x:v>
      </x:c>
      <x:c r="AA44" s="10">
        <x:f t="shared" si="17"/>
        <x:v>0</x:v>
      </x:c>
      <x:c r="AB44" s="10"/>
    </x:row>
    <x:row r="45" spans="1:29" s="1" customFormat="1" ht="14.3" customHeight="1" x14ac:dyDescent="0.25">
      <x:c r="A45" s="15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16"/>
      <x:c r="N45" s="13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0"/>
      <x:c r="AB45" s="10"/>
    </x:row>
    <x:row r="46" spans="1:29" s="1" customFormat="1" ht="14.3" customHeight="1" x14ac:dyDescent="0.25">
      <x:c r="A46" s="15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16"/>
      <x:c r="N46" s="13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0"/>
      <x:c r="AB46" s="10"/>
    </x:row>
    <x:row r="47" spans="1:29" s="1" customFormat="1" ht="14.3" customHeight="1" x14ac:dyDescent="0.25">
      <x:c r="A47" s="15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16"/>
      <x:c r="N47" s="13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0"/>
      <x:c r="AB47" s="10"/>
    </x:row>
    <x:row r="48" spans="1:29" s="1" customFormat="1" ht="14.3" customHeight="1" x14ac:dyDescent="0.25">
      <x:c r="A48" s="15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16"/>
      <x:c r="N48" s="13"/>
      <x:c r="O48" s="12"/>
      <x:c r="P48" s="12">
        <x:f t="shared" si="0"/>
        <x:v>0</x:v>
      </x:c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0"/>
      <x:c r="AB48" s="10"/>
    </x:row>
    <x:row r="49" spans="1:28" s="1" customFormat="1" ht="14.3" customHeight="1" x14ac:dyDescent="0.25">
      <x:c r="A49" s="15" t="s">
        <x:v>38</x:v>
      </x:c>
      <x:c r="B49" s="4">
        <x:v>3528604.2500000005</x:v>
      </x:c>
      <x:c r="C49" s="4">
        <x:v>3528604.2500000005</x:v>
      </x:c>
      <x:c r="D49" s="4"/>
      <x:c r="E49" s="4"/>
      <x:c r="F49" s="4"/>
      <x:c r="G49" s="4"/>
      <x:c r="H49" s="4"/>
      <x:c r="I49" s="4"/>
      <x:c r="J49" s="4">
        <x:f>SUM(C49:I49)</x:f>
        <x:v>3528604.2500000005</x:v>
      </x:c>
      <x:c r="K49" s="4">
        <x:f>+B49-J49</x:f>
        <x:v>0</x:v>
      </x:c>
      <x:c r="L49" s="4"/>
      <x:c r="M49" s="16">
        <x:v>3.4653358926116991E-2</x:v>
      </x:c>
      <x:c r="N49" s="13">
        <x:f>+B49*M49</x:f>
        <x:v>122277.98958347186</x:v>
      </x:c>
      <x:c r="O49" s="12"/>
      <x:c r="P49" s="12">
        <x:f t="shared" si="0"/>
        <x:v>122277.98958347186</x:v>
      </x:c>
      <x:c r="Q49" s="12"/>
      <x:c r="R49" s="12">
        <x:f t="shared" si="20"/>
        <x:v>122277.98958347186</x:v>
      </x:c>
      <x:c r="S49" s="12">
        <x:f t="shared" ref="S49:Z49" si="22">+C49/$B49*$N49</x:f>
        <x:v>122277.98958347186</x:v>
      </x:c>
      <x:c r="T49" s="12">
        <x:f t="shared" si="22"/>
        <x:v>0</x:v>
      </x:c>
      <x:c r="U49" s="12">
        <x:f t="shared" si="22"/>
        <x:v>0</x:v>
      </x:c>
      <x:c r="V49" s="12">
        <x:f t="shared" si="22"/>
        <x:v>0</x:v>
      </x:c>
      <x:c r="W49" s="12">
        <x:f t="shared" si="22"/>
        <x:v>0</x:v>
      </x:c>
      <x:c r="X49" s="12">
        <x:f t="shared" si="22"/>
        <x:v>0</x:v>
      </x:c>
      <x:c r="Y49" s="12">
        <x:f t="shared" si="22"/>
        <x:v>0</x:v>
      </x:c>
      <x:c r="Z49" s="12">
        <x:f t="shared" si="22"/>
        <x:v>122277.98958347186</x:v>
      </x:c>
      <x:c r="AA49" s="10"/>
    </x:row>
    <x:row r="50" spans="1:28" s="1" customFormat="1" ht="14.3" customHeight="1" x14ac:dyDescent="0.25">
      <x:c r="A50" s="15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16"/>
      <x:c r="N50" s="13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1"/>
      <x:c r="AA50" s="10"/>
    </x:row>
    <x:row r="51" spans="1:28" s="1" customFormat="1" x14ac:dyDescent="0.25">
      <x:c r="A51" s="15">
        <x:v>360</x:v>
      </x:c>
      <x:c r="B51" s="4">
        <x:v>18356455.270000011</x:v>
      </x:c>
      <x:c r="C51" s="4"/>
      <x:c r="D51" s="4"/>
      <x:c r="E51" s="4"/>
      <x:c r="F51" s="4">
        <x:v>18356455.269999992</x:v>
      </x:c>
      <x:c r="G51" s="4"/>
      <x:c r="H51" s="4"/>
      <x:c r="I51" s="4"/>
      <x:c r="J51" s="4">
        <x:f t="shared" ref="J51:J52" si="23">SUM(C51:I51)</x:f>
        <x:v>18356455.269999992</x:v>
      </x:c>
      <x:c r="K51" s="4">
        <x:f>+B51-J51</x:f>
        <x:v>0</x:v>
      </x:c>
      <x:c r="L51" s="4"/>
      <x:c r="M51" s="16">
        <x:v>1.3502568010241319E-2</x:v>
      </x:c>
      <x:c r="N51" s="13">
        <x:f>+B51*M51</x:f>
        <x:v>247859.28571012782</x:v>
      </x:c>
      <x:c r="O51" s="11"/>
      <x:c r="P51" s="12">
        <x:f t="shared" si="0"/>
        <x:v>247859.28571012782</x:v>
      </x:c>
      <x:c r="Q51" s="12"/>
      <x:c r="R51" s="12">
        <x:f>+N51+O51</x:f>
        <x:v>247859.28571012782</x:v>
      </x:c>
      <x:c r="S51" s="12">
        <x:f t="shared" ref="S51:Z52" si="24">+C51/$B51*$N51</x:f>
        <x:v>0</x:v>
      </x:c>
      <x:c r="T51" s="12">
        <x:f t="shared" si="24"/>
        <x:v>0</x:v>
      </x:c>
      <x:c r="U51" s="12">
        <x:f t="shared" si="24"/>
        <x:v>0</x:v>
      </x:c>
      <x:c r="V51" s="12">
        <x:f t="shared" si="24"/>
        <x:v>247859.28571012756</x:v>
      </x:c>
      <x:c r="W51" s="12">
        <x:f t="shared" si="24"/>
        <x:v>0</x:v>
      </x:c>
      <x:c r="X51" s="12">
        <x:f t="shared" si="24"/>
        <x:v>0</x:v>
      </x:c>
      <x:c r="Y51" s="12">
        <x:f t="shared" si="24"/>
        <x:v>0</x:v>
      </x:c>
      <x:c r="Z51" s="12">
        <x:f t="shared" si="24"/>
        <x:v>247859.28571012756</x:v>
      </x:c>
      <x:c r="AA51" s="10"/>
    </x:row>
    <x:row r="52" spans="1:28" s="1" customFormat="1" x14ac:dyDescent="0.25">
      <x:c r="A52" s="15" t="s">
        <x:v>7</x:v>
      </x:c>
      <x:c r="B52" s="4">
        <x:v>10515297.759999998</x:v>
      </x:c>
      <x:c r="C52" s="4">
        <x:v>2551204.6974469074</x:v>
      </x:c>
      <x:c r="D52" s="4"/>
      <x:c r="E52" s="4"/>
      <x:c r="F52" s="4">
        <x:v>7964093.0625530919</x:v>
      </x:c>
      <x:c r="G52" s="4"/>
      <x:c r="H52" s="4"/>
      <x:c r="I52" s="4"/>
      <x:c r="J52" s="4">
        <x:f t="shared" si="23"/>
        <x:v>10515297.76</x:v>
      </x:c>
      <x:c r="K52" s="4">
        <x:f>+B52-J52</x:f>
        <x:v>0</x:v>
      </x:c>
      <x:c r="L52" s="4"/>
      <x:c r="M52" s="16">
        <x:v>1.418097969472089E-2</x:v>
      </x:c>
      <x:c r="N52" s="13">
        <x:f>+B52*M52</x:f>
        <x:v>149117.22401850403</x:v>
      </x:c>
      <x:c r="O52" s="12"/>
      <x:c r="P52" s="12">
        <x:f t="shared" si="0"/>
        <x:v>149117.22401850403</x:v>
      </x:c>
      <x:c r="Q52" s="12"/>
      <x:c r="R52" s="12">
        <x:f>+N52+O52</x:f>
        <x:v>149117.22401850403</x:v>
      </x:c>
      <x:c r="S52" s="12">
        <x:f t="shared" si="24"/>
        <x:v>36178.582011571147</x:v>
      </x:c>
      <x:c r="T52" s="12">
        <x:f t="shared" si="24"/>
        <x:v>0</x:v>
      </x:c>
      <x:c r="U52" s="12">
        <x:f t="shared" si="24"/>
        <x:v>0</x:v>
      </x:c>
      <x:c r="V52" s="12">
        <x:f t="shared" si="24"/>
        <x:v>112938.6420069329</x:v>
      </x:c>
      <x:c r="W52" s="12">
        <x:f t="shared" si="24"/>
        <x:v>0</x:v>
      </x:c>
      <x:c r="X52" s="12">
        <x:f t="shared" si="24"/>
        <x:v>0</x:v>
      </x:c>
      <x:c r="Y52" s="12">
        <x:f t="shared" si="24"/>
        <x:v>0</x:v>
      </x:c>
      <x:c r="Z52" s="12">
        <x:f t="shared" si="24"/>
        <x:v>149117.22401850406</x:v>
      </x:c>
      <x:c r="AA52" s="10"/>
    </x:row>
    <x:row r="53" spans="1:28" s="1" customFormat="1" x14ac:dyDescent="0.25">
      <x:c r="A53" s="15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16"/>
      <x:c r="N53" s="13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0"/>
    </x:row>
    <x:row r="54" spans="1:28" s="1" customFormat="1" x14ac:dyDescent="0.25">
      <x:c r="A54" s="15">
        <x:v>361</x:v>
      </x:c>
      <x:c r="B54" s="4">
        <x:v>419427572.88000017</x:v>
      </x:c>
      <x:c r="C54" s="4">
        <x:v>119137928.72739999</x:v>
      </x:c>
      <x:c r="D54" s="4">
        <x:v>15955721.348645926</x:v>
      </x:c>
      <x:c r="E54" s="4"/>
      <x:c r="F54" s="4">
        <x:v>262616639.70529577</x:v>
      </x:c>
      <x:c r="G54" s="4">
        <x:v>21717283.101354077</x:v>
      </x:c>
      <x:c r="H54" s="4"/>
      <x:c r="I54" s="4"/>
      <x:c r="J54" s="4">
        <x:f t="shared" ref="J54:J67" si="25">SUM(C54:I54)</x:f>
        <x:v>419427572.88269573</x:v>
      </x:c>
      <x:c r="K54" s="4">
        <x:f t="shared" ref="K54:K67" si="26">+B54-J54</x:f>
        <x:v>-2.6955604553222656E-3</x:v>
      </x:c>
      <x:c r="L54" s="4"/>
      <x:c r="M54" s="16">
        <x:v>2.1378324553922159E-2</x:v>
      </x:c>
      <x:c r="N54" s="13">
        <x:f t="shared" ref="N54:N62" si="27">+B54*M54</x:f>
        <x:v>8966658.7798924837</x:v>
      </x:c>
      <x:c r="O54" s="12"/>
      <x:c r="P54" s="12">
        <x:f t="shared" si="0"/>
        <x:v>8966658.7798924837</x:v>
      </x:c>
      <x:c r="Q54" s="12"/>
      <x:c r="R54" s="12">
        <x:f t="shared" ref="R54:R74" si="28">+N54+O54</x:f>
        <x:v>8966658.7798924837</x:v>
      </x:c>
      <x:c r="S54" s="12">
        <x:f t="shared" ref="S54:S63" si="29">+C54/$B54*$N54</x:f>
        <x:v>2546969.3070164034</x:v>
      </x:c>
      <x:c r="T54" s="12">
        <x:f t="shared" ref="T54:T63" si="30">+D54/$B54*$N54</x:f>
        <x:v>341106.58948329714</x:v>
      </x:c>
      <x:c r="U54" s="12">
        <x:f t="shared" ref="U54:U63" si="31">+E54/$B54*$N54</x:f>
        <x:v>0</x:v>
      </x:c>
      <x:c r="V54" s="12">
        <x:f t="shared" ref="V54:V63" si="32">+F54/$B54*$N54</x:f>
        <x:v>5614303.7568802545</x:v>
      </x:c>
      <x:c r="W54" s="12">
        <x:f t="shared" ref="W54:W63" si="33">+G54/$B54*$N54</x:f>
        <x:v>464279.12657015666</x:v>
      </x:c>
      <x:c r="X54" s="12">
        <x:f t="shared" ref="X54:X63" si="34">+H54/$B54*$N54</x:f>
        <x:v>0</x:v>
      </x:c>
      <x:c r="Y54" s="12">
        <x:f t="shared" ref="Y54:Y63" si="35">+I54/$B54*$N54</x:f>
        <x:v>0</x:v>
      </x:c>
      <x:c r="Z54" s="12">
        <x:f t="shared" ref="Z54:Z63" si="36">+J54/$B54*$N54</x:f>
        <x:v>8966658.7799501121</x:v>
      </x:c>
      <x:c r="AA54" s="10"/>
    </x:row>
    <x:row r="55" spans="1:28" s="1" customFormat="1" x14ac:dyDescent="0.25">
      <x:c r="A55" s="15" t="s">
        <x:v>8</x:v>
      </x:c>
      <x:c r="B55" s="18">
        <x:v>3449540607.2999992</x:v>
      </x:c>
      <x:c r="C55" s="4">
        <x:v>871254835.31362319</x:v>
      </x:c>
      <x:c r="D55" s="4">
        <x:v>38370489.127761871</x:v>
      </x:c>
      <x:c r="E55" s="4"/>
      <x:c r="F55" s="4">
        <x:v>2475128207.27</x:v>
      </x:c>
      <x:c r="G55" s="4">
        <x:v>64787075.592238121</x:v>
      </x:c>
      <x:c r="H55" s="4"/>
      <x:c r="I55" s="4"/>
      <x:c r="J55" s="4">
        <x:f t="shared" si="25"/>
        <x:v>3449540607.3036227</x:v>
      </x:c>
      <x:c r="K55" s="4">
        <x:f t="shared" si="26"/>
        <x:v>-3.6234855651855469E-3</x:v>
      </x:c>
      <x:c r="L55" s="4"/>
      <x:c r="M55" s="16">
        <x:v>2.3440450174418846E-2</x:v>
      </x:c>
      <x:c r="N55" s="13">
        <x:f t="shared" si="27"/>
        <x:v>80858784.730050161</x:v>
      </x:c>
      <x:c r="O55" s="12"/>
      <x:c r="P55" s="12">
        <x:f t="shared" si="0"/>
        <x:v>80858784.730050161</x:v>
      </x:c>
      <x:c r="Q55" s="12"/>
      <x:c r="R55" s="12">
        <x:f t="shared" si="28"/>
        <x:v>80858784.730050161</x:v>
      </x:c>
      <x:c r="S55" s="12">
        <x:f t="shared" si="29"/>
        <x:v>20422605.556390483</x:v>
      </x:c>
      <x:c r="T55" s="12">
        <x:f t="shared" si="30"/>
        <x:v>899421.53856738226</x:v>
      </x:c>
      <x:c r="U55" s="12">
        <x:f t="shared" si="31"/>
        <x:v>0</x:v>
      </x:c>
      <x:c r="V55" s="12">
        <x:f t="shared" si="32"/>
        <x:v>58018119.417811081</x:v>
      </x:c>
      <x:c r="W55" s="12">
        <x:f t="shared" si="33"/>
        <x:v>1518638.2173661652</x:v>
      </x:c>
      <x:c r="X55" s="12">
        <x:f t="shared" si="34"/>
        <x:v>0</x:v>
      </x:c>
      <x:c r="Y55" s="12">
        <x:f t="shared" si="35"/>
        <x:v>0</x:v>
      </x:c>
      <x:c r="Z55" s="12">
        <x:f t="shared" si="36"/>
        <x:v>80858784.730135098</x:v>
      </x:c>
      <x:c r="AA55" s="10"/>
    </x:row>
    <x:row r="56" spans="1:28" s="1" customFormat="1" x14ac:dyDescent="0.25">
      <x:c r="A56" s="15">
        <x:v>364</x:v>
      </x:c>
      <x:c r="B56" s="4">
        <x:v>3524060186.04</x:v>
      </x:c>
      <x:c r="C56" s="4"/>
      <x:c r="D56" s="4"/>
      <x:c r="E56" s="4"/>
      <x:c r="F56" s="4">
        <x:v>3523411256.5500002</x:v>
      </x:c>
      <x:c r="G56" s="4">
        <x:v>648929.49000000011</x:v>
      </x:c>
      <x:c r="H56" s="4"/>
      <x:c r="I56" s="4"/>
      <x:c r="J56" s="4">
        <x:f t="shared" si="25"/>
        <x:v>3524060186.04</x:v>
      </x:c>
      <x:c r="K56" s="4">
        <x:f t="shared" si="26"/>
        <x:v>0</x:v>
      </x:c>
      <x:c r="L56" s="4"/>
      <x:c r="M56" s="16">
        <x:v>3.7682808502172392E-2</x:v>
      </x:c>
      <x:c r="N56" s="13">
        <x:f t="shared" si="27"/>
        <x:v>132796485.14067534</x:v>
      </x:c>
      <x:c r="O56" s="12"/>
      <x:c r="P56" s="12">
        <x:f t="shared" si="0"/>
        <x:v>132796485.14067534</x:v>
      </x:c>
      <x:c r="Q56" s="12"/>
      <x:c r="R56" s="12">
        <x:f t="shared" si="28"/>
        <x:v>132796485.14067534</x:v>
      </x:c>
      <x:c r="S56" s="12">
        <x:f t="shared" si="29"/>
        <x:v>0</x:v>
      </x:c>
      <x:c r="T56" s="12">
        <x:f t="shared" si="30"/>
        <x:v>0</x:v>
      </x:c>
      <x:c r="U56" s="12">
        <x:f t="shared" si="31"/>
        <x:v>0</x:v>
      </x:c>
      <x:c r="V56" s="12">
        <x:f t="shared" si="32"/>
        <x:v>132772031.65497226</x:v>
      </x:c>
      <x:c r="W56" s="12">
        <x:f t="shared" si="33"/>
        <x:v>24453.485703082399</x:v>
      </x:c>
      <x:c r="X56" s="12">
        <x:f t="shared" si="34"/>
        <x:v>0</x:v>
      </x:c>
      <x:c r="Y56" s="12">
        <x:f t="shared" si="35"/>
        <x:v>0</x:v>
      </x:c>
      <x:c r="Z56" s="12">
        <x:f t="shared" si="36"/>
        <x:v>132796485.14067534</x:v>
      </x:c>
      <x:c r="AA56" s="10"/>
    </x:row>
    <x:row r="57" spans="1:28" s="1" customFormat="1" x14ac:dyDescent="0.25">
      <x:c r="A57" s="15">
        <x:v>365</x:v>
      </x:c>
      <x:c r="B57" s="4">
        <x:v>2183722786.6899986</x:v>
      </x:c>
      <x:c r="C57" s="4"/>
      <x:c r="D57" s="4"/>
      <x:c r="E57" s="4"/>
      <x:c r="F57" s="4">
        <x:v>2182618393.0500002</x:v>
      </x:c>
      <x:c r="G57" s="4">
        <x:v>1104393.6400000001</x:v>
      </x:c>
      <x:c r="H57" s="4"/>
      <x:c r="I57" s="4"/>
      <x:c r="J57" s="4">
        <x:f t="shared" si="25"/>
        <x:v>2183722786.6900001</x:v>
      </x:c>
      <x:c r="K57" s="4">
        <x:f t="shared" si="26"/>
        <x:v>0</x:v>
      </x:c>
      <x:c r="L57" s="4"/>
      <x:c r="M57" s="16">
        <x:v>2.8268696337760069E-2</x:v>
      </x:c>
      <x:c r="N57" s="13">
        <x:f t="shared" si="27"/>
        <x:v>61730996.342786774</x:v>
      </x:c>
      <x:c r="O57" s="11"/>
      <x:c r="P57" s="12">
        <x:f t="shared" si="0"/>
        <x:v>61730996.342786774</x:v>
      </x:c>
      <x:c r="Q57" s="11"/>
      <x:c r="R57" s="12">
        <x:f t="shared" si="28"/>
        <x:v>61730996.342786774</x:v>
      </x:c>
      <x:c r="S57" s="12">
        <x:f t="shared" si="29"/>
        <x:v>0</x:v>
      </x:c>
      <x:c r="T57" s="12">
        <x:f t="shared" si="30"/>
        <x:v>0</x:v>
      </x:c>
      <x:c r="U57" s="12">
        <x:f t="shared" si="31"/>
        <x:v>0</x:v>
      </x:c>
      <x:c r="V57" s="12">
        <x:f t="shared" si="32"/>
        <x:v>61699776.574340306</x:v>
      </x:c>
      <x:c r="W57" s="12">
        <x:f t="shared" si="33"/>
        <x:v>31219.768446513517</x:v>
      </x:c>
      <x:c r="X57" s="12">
        <x:f t="shared" si="34"/>
        <x:v>0</x:v>
      </x:c>
      <x:c r="Y57" s="12">
        <x:f t="shared" si="35"/>
        <x:v>0</x:v>
      </x:c>
      <x:c r="Z57" s="12">
        <x:f t="shared" si="36"/>
        <x:v>61730996.342786819</x:v>
      </x:c>
      <x:c r="AA57" s="10"/>
    </x:row>
    <x:row r="58" spans="1:28" s="1" customFormat="1" x14ac:dyDescent="0.25">
      <x:c r="A58" s="15">
        <x:v>366</x:v>
      </x:c>
      <x:c r="B58" s="4">
        <x:v>1637866655.769999</x:v>
      </x:c>
      <x:c r="C58" s="4"/>
      <x:c r="D58" s="4"/>
      <x:c r="E58" s="4"/>
      <x:c r="F58" s="4">
        <x:v>1637322838.0900004</x:v>
      </x:c>
      <x:c r="G58" s="4">
        <x:v>543817.67999999993</x:v>
      </x:c>
      <x:c r="H58" s="4"/>
      <x:c r="I58" s="4"/>
      <x:c r="J58" s="4">
        <x:f t="shared" si="25"/>
        <x:v>1637866655.7700005</x:v>
      </x:c>
      <x:c r="K58" s="4">
        <x:f t="shared" si="26"/>
        <x:v>0</x:v>
      </x:c>
      <x:c r="L58" s="4"/>
      <x:c r="M58" s="16">
        <x:v>2.4517710373803743E-2</x:v>
      </x:c>
      <x:c r="N58" s="13">
        <x:f t="shared" si="27"/>
        <x:v>40156740.297079347</x:v>
      </x:c>
      <x:c r="O58" s="11"/>
      <x:c r="P58" s="12">
        <x:f t="shared" si="0"/>
        <x:v>40156740.297079347</x:v>
      </x:c>
      <x:c r="Q58" s="11"/>
      <x:c r="R58" s="12">
        <x:f t="shared" si="28"/>
        <x:v>40156740.297079347</x:v>
      </x:c>
      <x:c r="S58" s="12">
        <x:f t="shared" si="29"/>
        <x:v>0</x:v>
      </x:c>
      <x:c r="T58" s="12">
        <x:f t="shared" si="30"/>
        <x:v>0</x:v>
      </x:c>
      <x:c r="U58" s="12">
        <x:f t="shared" si="31"/>
        <x:v>0</x:v>
      </x:c>
      <x:c r="V58" s="12">
        <x:f t="shared" si="32"/>
        <x:v>40143407.132704988</x:v>
      </x:c>
      <x:c r="W58" s="12">
        <x:f t="shared" si="33"/>
        <x:v>13333.164374393882</x:v>
      </x:c>
      <x:c r="X58" s="12">
        <x:f t="shared" si="34"/>
        <x:v>0</x:v>
      </x:c>
      <x:c r="Y58" s="12">
        <x:f t="shared" si="35"/>
        <x:v>0</x:v>
      </x:c>
      <x:c r="Z58" s="12">
        <x:f t="shared" si="36"/>
        <x:v>40156740.297079384</x:v>
      </x:c>
      <x:c r="AA58" s="10"/>
    </x:row>
    <x:row r="59" spans="1:28" s="1" customFormat="1" x14ac:dyDescent="0.25">
      <x:c r="A59" s="15">
        <x:v>367</x:v>
      </x:c>
      <x:c r="B59" s="4">
        <x:v>3178763430.8000007</x:v>
      </x:c>
      <x:c r="C59" s="4"/>
      <x:c r="D59" s="4"/>
      <x:c r="E59" s="4"/>
      <x:c r="F59" s="4">
        <x:v>3176923318.7399998</x:v>
      </x:c>
      <x:c r="G59" s="4">
        <x:v>1840112.06</x:v>
      </x:c>
      <x:c r="H59" s="4"/>
      <x:c r="I59" s="4"/>
      <x:c r="J59" s="4">
        <x:f t="shared" si="25"/>
        <x:v>3178763430.7999997</x:v>
      </x:c>
      <x:c r="K59" s="4">
        <x:f t="shared" si="26"/>
        <x:v>0</x:v>
      </x:c>
      <x:c r="L59" s="4"/>
      <x:c r="M59" s="16">
        <x:v>2.5145133509750329E-2</x:v>
      </x:c>
      <x:c r="N59" s="13">
        <x:f t="shared" si="27"/>
        <x:v>79930430.863378018</x:v>
      </x:c>
      <x:c r="O59" s="11"/>
      <x:c r="P59" s="12">
        <x:f t="shared" si="0"/>
        <x:v>79930430.863378018</x:v>
      </x:c>
      <x:c r="Q59" s="11"/>
      <x:c r="R59" s="12">
        <x:f t="shared" si="28"/>
        <x:v>79930430.863378018</x:v>
      </x:c>
      <x:c r="S59" s="12">
        <x:f t="shared" si="29"/>
        <x:v>0</x:v>
      </x:c>
      <x:c r="T59" s="12">
        <x:f t="shared" si="30"/>
        <x:v>0</x:v>
      </x:c>
      <x:c r="U59" s="12">
        <x:f t="shared" si="31"/>
        <x:v>0</x:v>
      </x:c>
      <x:c r="V59" s="12">
        <x:f t="shared" si="32"/>
        <x:v>79884160.999956399</x:v>
      </x:c>
      <x:c r="W59" s="12">
        <x:f t="shared" si="33"/>
        <x:v>46269.863421601709</x:v>
      </x:c>
      <x:c r="X59" s="12">
        <x:f t="shared" si="34"/>
        <x:v>0</x:v>
      </x:c>
      <x:c r="Y59" s="12">
        <x:f t="shared" si="35"/>
        <x:v>0</x:v>
      </x:c>
      <x:c r="Z59" s="12">
        <x:f t="shared" si="36"/>
        <x:v>79930430.863377988</x:v>
      </x:c>
      <x:c r="AA59" s="10"/>
    </x:row>
    <x:row r="60" spans="1:28" s="1" customFormat="1" x14ac:dyDescent="0.25">
      <x:c r="A60" s="15">
        <x:v>368</x:v>
      </x:c>
      <x:c r="B60" s="4">
        <x:v>3167670969.7199988</x:v>
      </x:c>
      <x:c r="C60" s="4"/>
      <x:c r="D60" s="4"/>
      <x:c r="E60" s="4"/>
      <x:c r="F60" s="4">
        <x:v>3167665925.5999999</x:v>
      </x:c>
      <x:c r="G60" s="4">
        <x:v>5044.12</x:v>
      </x:c>
      <x:c r="H60" s="4"/>
      <x:c r="I60" s="4"/>
      <x:c r="J60" s="4">
        <x:f t="shared" si="25"/>
        <x:v>3167670969.7199998</x:v>
      </x:c>
      <x:c r="K60" s="4">
        <x:f t="shared" si="26"/>
        <x:v>0</x:v>
      </x:c>
      <x:c r="L60" s="4"/>
      <x:c r="M60" s="16">
        <x:v>2.359652927958945E-2</x:v>
      </x:c>
      <x:c r="N60" s="13">
        <x:f t="shared" si="27"/>
        <x:v>74746040.785103455</x:v>
      </x:c>
      <x:c r="O60" s="11"/>
      <x:c r="P60" s="12">
        <x:f t="shared" si="0"/>
        <x:v>74746040.785103455</x:v>
      </x:c>
      <x:c r="Q60" s="11"/>
      <x:c r="R60" s="12">
        <x:f t="shared" si="28"/>
        <x:v>74746040.785103455</x:v>
      </x:c>
      <x:c r="S60" s="12">
        <x:f t="shared" si="29"/>
        <x:v>0</x:v>
      </x:c>
      <x:c r="T60" s="12">
        <x:f t="shared" si="30"/>
        <x:v>0</x:v>
      </x:c>
      <x:c r="U60" s="12">
        <x:f t="shared" si="31"/>
        <x:v>0</x:v>
      </x:c>
      <x:c r="V60" s="12">
        <x:f t="shared" si="32"/>
        <x:v>74745921.761378214</x:v>
      </x:c>
      <x:c r="W60" s="12">
        <x:f t="shared" si="33"/>
        <x:v>119.02372526976272</x:v>
      </x:c>
      <x:c r="X60" s="12">
        <x:f t="shared" si="34"/>
        <x:v>0</x:v>
      </x:c>
      <x:c r="Y60" s="12">
        <x:f t="shared" si="35"/>
        <x:v>0</x:v>
      </x:c>
      <x:c r="Z60" s="12">
        <x:f t="shared" si="36"/>
        <x:v>74746040.78510347</x:v>
      </x:c>
      <x:c r="AA60" s="10"/>
    </x:row>
    <x:row r="61" spans="1:28" s="1" customFormat="1" x14ac:dyDescent="0.25">
      <x:c r="A61" s="15">
        <x:v>369</x:v>
      </x:c>
      <x:c r="B61" s="4">
        <x:v>1970343942.5</x:v>
      </x:c>
      <x:c r="C61" s="4"/>
      <x:c r="D61" s="4"/>
      <x:c r="E61" s="4"/>
      <x:c r="F61" s="4">
        <x:v>1970343942.5</x:v>
      </x:c>
      <x:c r="G61" s="4"/>
      <x:c r="H61" s="4"/>
      <x:c r="I61" s="4"/>
      <x:c r="J61" s="4">
        <x:f t="shared" si="25"/>
        <x:v>1970343942.5</x:v>
      </x:c>
      <x:c r="K61" s="4">
        <x:f t="shared" si="26"/>
        <x:v>0</x:v>
      </x:c>
      <x:c r="L61" s="4"/>
      <x:c r="M61" s="16">
        <x:v>3.5033687194482618E-2</x:v>
      </x:c>
      <x:c r="N61" s="13">
        <x:f t="shared" si="27"/>
        <x:v>69028413.34708865</x:v>
      </x:c>
      <x:c r="O61" s="11"/>
      <x:c r="P61" s="12">
        <x:f t="shared" si="0"/>
        <x:v>69028413.34708865</x:v>
      </x:c>
      <x:c r="Q61" s="11"/>
      <x:c r="R61" s="12">
        <x:f t="shared" si="28"/>
        <x:v>69028413.34708865</x:v>
      </x:c>
      <x:c r="S61" s="12">
        <x:f t="shared" si="29"/>
        <x:v>0</x:v>
      </x:c>
      <x:c r="T61" s="12">
        <x:f t="shared" si="30"/>
        <x:v>0</x:v>
      </x:c>
      <x:c r="U61" s="12">
        <x:f t="shared" si="31"/>
        <x:v>0</x:v>
      </x:c>
      <x:c r="V61" s="12">
        <x:f t="shared" si="32"/>
        <x:v>69028413.34708865</x:v>
      </x:c>
      <x:c r="W61" s="12">
        <x:f t="shared" si="33"/>
        <x:v>0</x:v>
      </x:c>
      <x:c r="X61" s="12">
        <x:f t="shared" si="34"/>
        <x:v>0</x:v>
      </x:c>
      <x:c r="Y61" s="12">
        <x:f t="shared" si="35"/>
        <x:v>0</x:v>
      </x:c>
      <x:c r="Z61" s="12">
        <x:f t="shared" si="36"/>
        <x:v>69028413.34708865</x:v>
      </x:c>
      <x:c r="AA61" s="10"/>
    </x:row>
    <x:row r="62" spans="1:28" s="1" customFormat="1" x14ac:dyDescent="0.25">
      <x:c r="A62" s="15">
        <x:v>370</x:v>
      </x:c>
      <x:c r="B62" s="4">
        <x:v>275390488.44999993</x:v>
      </x:c>
      <x:c r="C62" s="4"/>
      <x:c r="D62" s="4"/>
      <x:c r="E62" s="4"/>
      <x:c r="F62" s="4"/>
      <x:c r="G62" s="4"/>
      <x:c r="H62" s="4">
        <x:v>275390488.44999999</x:v>
      </x:c>
      <x:c r="I62" s="4"/>
      <x:c r="J62" s="4">
        <x:f t="shared" si="25"/>
        <x:v>275390488.44999999</x:v>
      </x:c>
      <x:c r="K62" s="4">
        <x:f t="shared" si="26"/>
        <x:v>0</x:v>
      </x:c>
      <x:c r="L62" s="4"/>
      <x:c r="M62" s="16">
        <x:v>5.2861849378250482E-2</x:v>
      </x:c>
      <x:c r="N62" s="13">
        <x:f t="shared" si="27"/>
        <x:v>14557650.520646725</x:v>
      </x:c>
      <x:c r="O62" s="11"/>
      <x:c r="P62" s="12">
        <x:f t="shared" si="0"/>
        <x:v>14557650.520646725</x:v>
      </x:c>
      <x:c r="Q62" s="11"/>
      <x:c r="R62" s="12">
        <x:f t="shared" si="28"/>
        <x:v>14557650.520646725</x:v>
      </x:c>
      <x:c r="S62" s="12">
        <x:f t="shared" si="29"/>
        <x:v>0</x:v>
      </x:c>
      <x:c r="T62" s="12">
        <x:f t="shared" si="30"/>
        <x:v>0</x:v>
      </x:c>
      <x:c r="U62" s="12">
        <x:f t="shared" si="31"/>
        <x:v>0</x:v>
      </x:c>
      <x:c r="V62" s="12">
        <x:f t="shared" si="32"/>
        <x:v>0</x:v>
      </x:c>
      <x:c r="W62" s="12">
        <x:f t="shared" si="33"/>
        <x:v>0</x:v>
      </x:c>
      <x:c r="X62" s="12">
        <x:f t="shared" si="34"/>
        <x:v>14557650.520646729</x:v>
      </x:c>
      <x:c r="Y62" s="12">
        <x:f t="shared" si="35"/>
        <x:v>0</x:v>
      </x:c>
      <x:c r="Z62" s="12">
        <x:f t="shared" si="36"/>
        <x:v>14557650.520646729</x:v>
      </x:c>
      <x:c r="AA62" s="10"/>
    </x:row>
    <x:row r="63" spans="1:28" s="1" customFormat="1" x14ac:dyDescent="0.25">
      <x:c r="A63" s="15" t="s">
        <x:v>9</x:v>
      </x:c>
      <x:c r="B63" s="4">
        <x:v>23433.74</x:v>
      </x:c>
      <x:c r="C63" s="4"/>
      <x:c r="D63" s="4"/>
      <x:c r="E63" s="4"/>
      <x:c r="F63" s="4"/>
      <x:c r="G63" s="4"/>
      <x:c r="H63" s="4">
        <x:v>23433.739999999998</x:v>
      </x:c>
      <x:c r="I63" s="4"/>
      <x:c r="J63" s="4">
        <x:f t="shared" si="25"/>
        <x:v>23433.739999999998</x:v>
      </x:c>
      <x:c r="K63" s="4">
        <x:f t="shared" si="26"/>
        <x:v>0</x:v>
      </x:c>
      <x:c r="L63" s="4"/>
      <x:c r="M63" s="16"/>
      <x:c r="N63" s="13"/>
      <x:c r="O63" s="11"/>
      <x:c r="P63" s="12">
        <x:f t="shared" si="0"/>
        <x:v>0</x:v>
      </x:c>
      <x:c r="Q63" s="11"/>
      <x:c r="R63" s="12">
        <x:f t="shared" si="28"/>
        <x:v>0</x:v>
      </x:c>
      <x:c r="S63" s="12">
        <x:f t="shared" si="29"/>
        <x:v>0</x:v>
      </x:c>
      <x:c r="T63" s="12">
        <x:f t="shared" si="30"/>
        <x:v>0</x:v>
      </x:c>
      <x:c r="U63" s="12">
        <x:f t="shared" si="31"/>
        <x:v>0</x:v>
      </x:c>
      <x:c r="V63" s="12">
        <x:f t="shared" si="32"/>
        <x:v>0</x:v>
      </x:c>
      <x:c r="W63" s="12">
        <x:f t="shared" si="33"/>
        <x:v>0</x:v>
      </x:c>
      <x:c r="X63" s="12">
        <x:f t="shared" si="34"/>
        <x:v>0</x:v>
      </x:c>
      <x:c r="Y63" s="12">
        <x:f t="shared" si="35"/>
        <x:v>0</x:v>
      </x:c>
      <x:c r="Z63" s="12">
        <x:f t="shared" si="36"/>
        <x:v>0</x:v>
      </x:c>
      <x:c r="AA63" s="10"/>
      <x:c r="AB63" s="10"/>
    </x:row>
    <x:row r="64" spans="1:28" s="1" customFormat="1" x14ac:dyDescent="0.25">
      <x:c r="A64" s="15" t="s">
        <x:v>10</x:v>
      </x:c>
      <x:c r="B64" s="4">
        <x:v>146470777.38999999</x:v>
      </x:c>
      <x:c r="C64" s="4"/>
      <x:c r="D64" s="4"/>
      <x:c r="E64" s="4"/>
      <x:c r="F64" s="4"/>
      <x:c r="G64" s="4"/>
      <x:c r="H64" s="4">
        <x:v>146470777.38999999</x:v>
      </x:c>
      <x:c r="I64" s="4"/>
      <x:c r="J64" s="4">
        <x:f t="shared" si="25"/>
        <x:v>146470777.38999999</x:v>
      </x:c>
      <x:c r="K64" s="4">
        <x:f t="shared" si="26"/>
        <x:v>0</x:v>
      </x:c>
      <x:c r="L64" s="4"/>
      <x:c r="M64" s="16"/>
      <x:c r="N64" s="13"/>
      <x:c r="O64" s="11"/>
      <x:c r="P64" s="12">
        <x:f t="shared" si="0"/>
        <x:v>0</x:v>
      </x:c>
      <x:c r="Q64" s="11"/>
      <x:c r="R64" s="12">
        <x:f t="shared" si="28"/>
        <x:v>0</x:v>
      </x:c>
      <x:c r="S64" s="11"/>
      <x:c r="T64" s="11"/>
      <x:c r="U64" s="11"/>
      <x:c r="V64" s="11"/>
      <x:c r="W64" s="11"/>
      <x:c r="X64" s="11"/>
      <x:c r="Y64" s="11"/>
      <x:c r="Z64" s="11"/>
      <x:c r="AA64" s="10"/>
    </x:row>
    <x:row r="65" spans="1:27" s="1" customFormat="1" x14ac:dyDescent="0.25">
      <x:c r="A65" s="15" t="s">
        <x:v>11</x:v>
      </x:c>
      <x:c r="B65" s="4">
        <x:v>203833650.73000014</x:v>
      </x:c>
      <x:c r="C65" s="4"/>
      <x:c r="D65" s="4"/>
      <x:c r="E65" s="4"/>
      <x:c r="F65" s="4"/>
      <x:c r="G65" s="4"/>
      <x:c r="H65" s="4">
        <x:v>203833650.72999999</x:v>
      </x:c>
      <x:c r="I65" s="4"/>
      <x:c r="J65" s="4">
        <x:f t="shared" si="25"/>
        <x:v>203833650.72999999</x:v>
      </x:c>
      <x:c r="K65" s="4">
        <x:f t="shared" si="26"/>
        <x:v>0</x:v>
      </x:c>
      <x:c r="L65" s="4"/>
      <x:c r="M65" s="16">
        <x:v>2.823557057586706E-2</x:v>
      </x:c>
      <x:c r="N65" s="13">
        <x:f>+B65*M65</x:f>
        <x:v>5755359.430923555</x:v>
      </x:c>
      <x:c r="O65" s="11"/>
      <x:c r="P65" s="12">
        <x:f t="shared" si="0"/>
        <x:v>5755359.430923555</x:v>
      </x:c>
      <x:c r="Q65" s="12"/>
      <x:c r="R65" s="12">
        <x:f t="shared" si="28"/>
        <x:v>5755359.430923555</x:v>
      </x:c>
      <x:c r="S65" s="12">
        <x:f t="shared" ref="S65:Z67" si="37">+C65/$B65*$N65</x:f>
        <x:v>0</x:v>
      </x:c>
      <x:c r="T65" s="12">
        <x:f t="shared" si="37"/>
        <x:v>0</x:v>
      </x:c>
      <x:c r="U65" s="12">
        <x:f t="shared" si="37"/>
        <x:v>0</x:v>
      </x:c>
      <x:c r="V65" s="12">
        <x:f t="shared" si="37"/>
        <x:v>0</x:v>
      </x:c>
      <x:c r="W65" s="12">
        <x:f t="shared" si="37"/>
        <x:v>0</x:v>
      </x:c>
      <x:c r="X65" s="12">
        <x:f t="shared" si="37"/>
        <x:v>5755359.4309235504</x:v>
      </x:c>
      <x:c r="Y65" s="12">
        <x:f t="shared" si="37"/>
        <x:v>0</x:v>
      </x:c>
      <x:c r="Z65" s="12">
        <x:f t="shared" si="37"/>
        <x:v>5755359.4309235504</x:v>
      </x:c>
      <x:c r="AA65" s="10"/>
    </x:row>
    <x:row r="66" spans="1:27" s="1" customFormat="1" x14ac:dyDescent="0.25">
      <x:c r="A66" s="15">
        <x:v>371</x:v>
      </x:c>
      <x:c r="B66" s="4">
        <x:v>56332960.560000017</x:v>
      </x:c>
      <x:c r="C66" s="4"/>
      <x:c r="D66" s="4"/>
      <x:c r="E66" s="4"/>
      <x:c r="F66" s="4">
        <x:v>56332960.560000025</x:v>
      </x:c>
      <x:c r="G66" s="4"/>
      <x:c r="H66" s="4"/>
      <x:c r="I66" s="4"/>
      <x:c r="J66" s="4">
        <x:f t="shared" si="25"/>
        <x:v>56332960.560000025</x:v>
      </x:c>
      <x:c r="K66" s="4">
        <x:f t="shared" si="26"/>
        <x:v>0</x:v>
      </x:c>
      <x:c r="L66" s="4"/>
      <x:c r="M66" s="16">
        <x:v>4.7715368265857663E-2</x:v>
      </x:c>
      <x:c r="N66" s="13">
        <x:f>+B66*M66</x:f>
        <x:v>2687947.9586264361</x:v>
      </x:c>
      <x:c r="O66" s="11"/>
      <x:c r="P66" s="12">
        <x:f t="shared" si="0"/>
        <x:v>2687947.9586264361</x:v>
      </x:c>
      <x:c r="Q66" s="11"/>
      <x:c r="R66" s="12">
        <x:f t="shared" si="28"/>
        <x:v>2687947.9586264361</x:v>
      </x:c>
      <x:c r="S66" s="12">
        <x:f t="shared" si="37"/>
        <x:v>0</x:v>
      </x:c>
      <x:c r="T66" s="12">
        <x:f t="shared" si="37"/>
        <x:v>0</x:v>
      </x:c>
      <x:c r="U66" s="12">
        <x:f t="shared" si="37"/>
        <x:v>0</x:v>
      </x:c>
      <x:c r="V66" s="12">
        <x:f t="shared" si="37"/>
        <x:v>2687947.9586264365</x:v>
      </x:c>
      <x:c r="W66" s="12">
        <x:f t="shared" si="37"/>
        <x:v>0</x:v>
      </x:c>
      <x:c r="X66" s="12">
        <x:f t="shared" si="37"/>
        <x:v>0</x:v>
      </x:c>
      <x:c r="Y66" s="12">
        <x:f t="shared" si="37"/>
        <x:v>0</x:v>
      </x:c>
      <x:c r="Z66" s="12">
        <x:f t="shared" si="37"/>
        <x:v>2687947.9586264365</x:v>
      </x:c>
      <x:c r="AA66" s="10">
        <x:f>+Z66-R66</x:f>
        <x:v>0</x:v>
      </x:c>
    </x:row>
    <x:row r="67" spans="1:27" s="1" customFormat="1" x14ac:dyDescent="0.25">
      <x:c r="A67" s="15">
        <x:v>373</x:v>
      </x:c>
      <x:c r="B67" s="4">
        <x:v>543775337.38</x:v>
      </x:c>
      <x:c r="C67" s="4"/>
      <x:c r="D67" s="4"/>
      <x:c r="E67" s="4"/>
      <x:c r="F67" s="4">
        <x:v>543768085.23000002</x:v>
      </x:c>
      <x:c r="G67" s="4">
        <x:v>7252.15</x:v>
      </x:c>
      <x:c r="H67" s="4"/>
      <x:c r="I67" s="4"/>
      <x:c r="J67" s="4">
        <x:f t="shared" si="25"/>
        <x:v>543775337.38</x:v>
      </x:c>
      <x:c r="K67" s="4">
        <x:f t="shared" si="26"/>
        <x:v>0</x:v>
      </x:c>
      <x:c r="L67" s="4"/>
      <x:c r="M67" s="16">
        <x:v>4.7641561888112013E-2</x:v>
      </x:c>
      <x:c r="N67" s="13">
        <x:f>+B67*M67</x:f>
        <x:v>25906306.38901826</x:v>
      </x:c>
      <x:c r="O67" s="11"/>
      <x:c r="P67" s="12">
        <x:f t="shared" si="0"/>
        <x:v>25906306.38901826</x:v>
      </x:c>
      <x:c r="Q67" s="11"/>
      <x:c r="R67" s="12">
        <x:f t="shared" si="28"/>
        <x:v>25906306.38901826</x:v>
      </x:c>
      <x:c r="S67" s="12">
        <x:f t="shared" si="37"/>
        <x:v>0</x:v>
      </x:c>
      <x:c r="T67" s="12">
        <x:f t="shared" si="37"/>
        <x:v>0</x:v>
      </x:c>
      <x:c r="U67" s="12">
        <x:f t="shared" si="37"/>
        <x:v>0</x:v>
      </x:c>
      <x:c r="V67" s="12">
        <x:f t="shared" si="37"/>
        <x:v>25905960.885265216</x:v>
      </x:c>
      <x:c r="W67" s="12">
        <x:f t="shared" si="37"/>
        <x:v>345.50375304687157</x:v>
      </x:c>
      <x:c r="X67" s="12">
        <x:f t="shared" si="37"/>
        <x:v>0</x:v>
      </x:c>
      <x:c r="Y67" s="12">
        <x:f t="shared" si="37"/>
        <x:v>0</x:v>
      </x:c>
      <x:c r="Z67" s="12">
        <x:f t="shared" si="37"/>
        <x:v>25906306.38901826</x:v>
      </x:c>
      <x:c r="AA67" s="10">
        <x:f>+Z67-R67</x:f>
        <x:v>0</x:v>
      </x:c>
    </x:row>
    <x:row r="68" spans="1:27" s="1" customFormat="1" x14ac:dyDescent="0.25">
      <x:c r="A68" s="15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16"/>
      <x:c r="N68" s="13"/>
      <x:c r="O68" s="12"/>
      <x:c r="P68" s="12">
        <x:f t="shared" si="0"/>
        <x:v>0</x:v>
      </x:c>
      <x:c r="Q68" s="12"/>
      <x:c r="R68" s="12">
        <x:f t="shared" si="28"/>
        <x:v>0</x:v>
      </x:c>
      <x:c r="S68" s="12"/>
      <x:c r="T68" s="12"/>
      <x:c r="U68" s="12"/>
      <x:c r="V68" s="12"/>
      <x:c r="W68" s="12"/>
      <x:c r="X68" s="12"/>
      <x:c r="Y68" s="12"/>
      <x:c r="Z68" s="12"/>
      <x:c r="AA68" s="10">
        <x:f>+Z68-R68</x:f>
        <x:v>0</x:v>
      </x:c>
    </x:row>
    <x:row r="69" spans="1:27" s="1" customFormat="1" x14ac:dyDescent="0.25">
      <x:c r="A69" s="15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16"/>
      <x:c r="N69" s="13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0"/>
    </x:row>
    <x:row r="70" spans="1:27" s="1" customFormat="1" x14ac:dyDescent="0.25">
      <x:c r="A70" s="17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16"/>
      <x:c r="N70" s="13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0"/>
    </x:row>
    <x:row r="71" spans="1:27" s="1" customFormat="1" x14ac:dyDescent="0.25">
      <x:c r="A71" s="15">
        <x:v>363.2</x:v>
      </x:c>
      <x:c r="B71" s="4">
        <x:v>702514152.56999993</x:v>
      </x:c>
      <x:c r="C71" s="4"/>
      <x:c r="D71" s="4"/>
      <x:c r="E71" s="4"/>
      <x:c r="F71" s="4">
        <x:v>327580421.51999992</x:v>
      </x:c>
      <x:c r="G71" s="4">
        <x:v>0</x:v>
      </x:c>
      <x:c r="H71" s="4">
        <x:v>40060495.370000005</x:v>
      </x:c>
      <x:c r="I71" s="4">
        <x:v>334873235.67999995</x:v>
      </x:c>
      <x:c r="J71" s="4">
        <x:f t="shared" ref="J71:J74" si="38">SUM(C71:I71)</x:f>
        <x:v>702514152.56999993</x:v>
      </x:c>
      <x:c r="K71" s="4">
        <x:f>+B71-J71</x:f>
        <x:v>0</x:v>
      </x:c>
      <x:c r="L71" s="4"/>
      <x:c r="M71" s="16"/>
      <x:c r="N71" s="13">
        <x:f>SUM(N72:N74)</x:f>
        <x:v>61123258.911598355</x:v>
      </x:c>
      <x:c r="O71" s="12"/>
      <x:c r="P71" s="12">
        <x:f t="shared" si="0"/>
        <x:v>61123258.911598355</x:v>
      </x:c>
      <x:c r="Q71" s="12"/>
      <x:c r="R71" s="12">
        <x:f t="shared" si="28"/>
        <x:v>61123258.911598355</x:v>
      </x:c>
      <x:c r="S71" s="12">
        <x:f t="shared" ref="S71:Z74" si="39">+C71/$B71*$N71</x:f>
        <x:v>0</x:v>
      </x:c>
      <x:c r="T71" s="12">
        <x:f t="shared" si="39"/>
        <x:v>0</x:v>
      </x:c>
      <x:c r="U71" s="12">
        <x:f t="shared" si="39"/>
        <x:v>0</x:v>
      </x:c>
      <x:c r="V71" s="12">
        <x:f>SUM(V72:V74)</x:f>
        <x:v>27237168.703432359</x:v>
      </x:c>
      <x:c r="W71" s="12">
        <x:f t="shared" ref="W71:Z71" si="40">SUM(W72:W74)</x:f>
        <x:v>0</x:v>
      </x:c>
      <x:c r="X71" s="12">
        <x:f t="shared" si="40"/>
        <x:v>3385973.7164568817</x:v>
      </x:c>
      <x:c r="Y71" s="12">
        <x:f t="shared" si="40"/>
        <x:v>30500116.491709109</x:v>
      </x:c>
      <x:c r="Z71" s="12">
        <x:f t="shared" si="40"/>
        <x:v>61123258.911598355</x:v>
      </x:c>
      <x:c r="AA71" s="10">
        <x:f>+Z71-R71</x:f>
        <x:v>0</x:v>
      </x:c>
    </x:row>
    <x:row r="72" spans="1:27" s="1" customFormat="1" x14ac:dyDescent="0.25">
      <x:c r="A72" s="15" t="s">
        <x:v>49</x:v>
      </x:c>
      <x:c r="B72" s="4">
        <x:v>37915895.119999997</x:v>
      </x:c>
      <x:c r="C72" s="4"/>
      <x:c r="D72" s="4"/>
      <x:c r="E72" s="4"/>
      <x:c r="F72" s="4">
        <x:v>5819569.3300000001</x:v>
      </x:c>
      <x:c r="G72" s="4"/>
      <x:c r="H72" s="4"/>
      <x:c r="I72" s="4">
        <x:v>32096325.789999999</x:v>
      </x:c>
      <x:c r="J72" s="4">
        <x:f t="shared" si="38"/>
        <x:v>37915895.119999997</x:v>
      </x:c>
      <x:c r="K72" s="4">
        <x:f t="shared" ref="K72:K74" si="41">+B72-J72</x:f>
        <x:v>0</x:v>
      </x:c>
      <x:c r="L72" s="4"/>
      <x:c r="M72" s="16">
        <x:v>0.20686891063810525</x:v>
      </x:c>
      <x:c r="N72" s="13">
        <x:f t="shared" ref="N72:N74" si="42">+B72*M72</x:f>
        <x:v>7843619.9193430506</x:v>
      </x:c>
      <x:c r="O72" s="12"/>
      <x:c r="P72" s="12">
        <x:f t="shared" si="0"/>
        <x:v>7843619.9193430506</x:v>
      </x:c>
      <x:c r="Q72" s="12"/>
      <x:c r="R72" s="12">
        <x:f t="shared" si="28"/>
        <x:v>7843619.9193430506</x:v>
      </x:c>
      <x:c r="S72" s="12">
        <x:f t="shared" si="39"/>
        <x:v>0</x:v>
      </x:c>
      <x:c r="T72" s="12">
        <x:f t="shared" si="39"/>
        <x:v>0</x:v>
      </x:c>
      <x:c r="U72" s="12">
        <x:f t="shared" si="39"/>
        <x:v>0</x:v>
      </x:c>
      <x:c r="V72" s="12">
        <x:f t="shared" si="39"/>
        <x:v>1203887.9676800279</x:v>
      </x:c>
      <x:c r="W72" s="12">
        <x:f t="shared" si="39"/>
        <x:v>0</x:v>
      </x:c>
      <x:c r="X72" s="12">
        <x:f t="shared" si="39"/>
        <x:v>0</x:v>
      </x:c>
      <x:c r="Y72" s="12">
        <x:f t="shared" si="39"/>
        <x:v>6639731.9516630229</x:v>
      </x:c>
      <x:c r="Z72" s="12">
        <x:f t="shared" si="39"/>
        <x:v>7843619.9193430506</x:v>
      </x:c>
      <x:c r="AA72" s="9">
        <x:f t="shared" ref="AA72:AA74" si="43">+R72-Z72</x:f>
        <x:v>0</x:v>
      </x:c>
    </x:row>
    <x:row r="73" spans="1:27" s="1" customFormat="1" x14ac:dyDescent="0.25">
      <x:c r="A73" s="15" t="s">
        <x:v>50</x:v>
      </x:c>
      <x:c r="B73" s="4">
        <x:v>108503171.67000002</x:v>
      </x:c>
      <x:c r="C73" s="4"/>
      <x:c r="D73" s="4"/>
      <x:c r="E73" s="4"/>
      <x:c r="F73" s="4">
        <x:v>56466672.590000011</x:v>
      </x:c>
      <x:c r="G73" s="4"/>
      <x:c r="H73" s="4">
        <x:v>9420574.8900000006</x:v>
      </x:c>
      <x:c r="I73" s="4">
        <x:v>42615924.189999998</x:v>
      </x:c>
      <x:c r="J73" s="4">
        <x:f t="shared" si="38"/>
        <x:v>108503171.67000002</x:v>
      </x:c>
      <x:c r="K73" s="4">
        <x:f t="shared" si="41"/>
        <x:v>0</x:v>
      </x:c>
      <x:c r="L73" s="4"/>
      <x:c r="M73" s="16">
        <x:v>0.13083196437635516</x:v>
      </x:c>
      <x:c r="N73" s="13">
        <x:f t="shared" si="42"/>
        <x:v>14195683.090650991</x:v>
      </x:c>
      <x:c r="O73" s="12"/>
      <x:c r="P73" s="12">
        <x:f t="shared" si="0"/>
        <x:v>14195683.090650991</x:v>
      </x:c>
      <x:c r="Q73" s="12"/>
      <x:c r="R73" s="12">
        <x:f t="shared" si="28"/>
        <x:v>14195683.090650991</x:v>
      </x:c>
      <x:c r="S73" s="12">
        <x:f t="shared" si="39"/>
        <x:v>0</x:v>
      </x:c>
      <x:c r="T73" s="12">
        <x:f t="shared" si="39"/>
        <x:v>0</x:v>
      </x:c>
      <x:c r="U73" s="12">
        <x:f t="shared" si="39"/>
        <x:v>0</x:v>
      </x:c>
      <x:c r="V73" s="12">
        <x:f t="shared" si="39"/>
        <x:v>7387645.696746191</x:v>
      </x:c>
      <x:c r="W73" s="12">
        <x:f t="shared" si="39"/>
        <x:v>0</x:v>
      </x:c>
      <x:c r="X73" s="12">
        <x:f t="shared" si="39"/>
        <x:v>1232512.318413266</x:v>
      </x:c>
      <x:c r="Y73" s="12">
        <x:f t="shared" si="39"/>
        <x:v>5575525.0754915318</x:v>
      </x:c>
      <x:c r="Z73" s="12">
        <x:f t="shared" si="39"/>
        <x:v>14195683.090650991</x:v>
      </x:c>
      <x:c r="AA73" s="9">
        <x:f t="shared" si="43"/>
        <x:v>0</x:v>
      </x:c>
    </x:row>
    <x:row r="74" spans="1:27" s="1" customFormat="1" x14ac:dyDescent="0.25">
      <x:c r="A74" s="15" t="s">
        <x:v>51</x:v>
      </x:c>
      <x:c r="B74" s="4">
        <x:v>556095085.77999985</x:v>
      </x:c>
      <x:c r="C74" s="4"/>
      <x:c r="D74" s="4"/>
      <x:c r="E74" s="4"/>
      <x:c r="F74" s="4">
        <x:v>265294179.59999993</x:v>
      </x:c>
      <x:c r="G74" s="4"/>
      <x:c r="H74" s="4">
        <x:v>30639920.480000004</x:v>
      </x:c>
      <x:c r="I74" s="4">
        <x:v>260160985.69999996</x:v>
      </x:c>
      <x:c r="J74" s="4">
        <x:f t="shared" si="38"/>
        <x:v>556095085.77999985</x:v>
      </x:c>
      <x:c r="K74" s="4">
        <x:f t="shared" si="41"/>
        <x:v>0</x:v>
      </x:c>
      <x:c r="L74" s="4"/>
      <x:c r="M74" s="16">
        <x:v>7.0282865108911519E-2</x:v>
      </x:c>
      <x:c r="N74" s="13">
        <x:f t="shared" si="42"/>
        <x:v>39083955.90160431</x:v>
      </x:c>
      <x:c r="O74" s="12"/>
      <x:c r="P74" s="12">
        <x:f t="shared" si="0"/>
        <x:v>39083955.90160431</x:v>
      </x:c>
      <x:c r="Q74" s="12"/>
      <x:c r="R74" s="12">
        <x:f t="shared" si="28"/>
        <x:v>39083955.90160431</x:v>
      </x:c>
      <x:c r="S74" s="12">
        <x:f t="shared" si="39"/>
        <x:v>0</x:v>
      </x:c>
      <x:c r="T74" s="12">
        <x:f t="shared" si="39"/>
        <x:v>0</x:v>
      </x:c>
      <x:c r="U74" s="12">
        <x:f t="shared" si="39"/>
        <x:v>0</x:v>
      </x:c>
      <x:c r="V74" s="12">
        <x:f t="shared" si="39"/>
        <x:v>18645635.03900614</x:v>
      </x:c>
      <x:c r="W74" s="12">
        <x:f t="shared" si="39"/>
        <x:v>0</x:v>
      </x:c>
      <x:c r="X74" s="12">
        <x:f t="shared" si="39"/>
        <x:v>2153461.3980436157</x:v>
      </x:c>
      <x:c r="Y74" s="12">
        <x:f t="shared" si="39"/>
        <x:v>18284859.464554556</x:v>
      </x:c>
      <x:c r="Z74" s="12">
        <x:f t="shared" si="39"/>
        <x:v>39083955.90160431</x:v>
      </x:c>
      <x:c r="AA74" s="9">
        <x:f t="shared" si="43"/>
        <x:v>0</x:v>
      </x:c>
    </x:row>
    <x:row r="75" spans="1:27" s="1" customFormat="1" x14ac:dyDescent="0.25">
      <x:c r="A75" s="15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16"/>
      <x:c r="N75" s="13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0"/>
    </x:row>
    <x:row r="76" spans="1:27" s="1" customFormat="1" x14ac:dyDescent="0.25">
      <x:c r="A76" s="15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16"/>
      <x:c r="N76" s="13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0"/>
    </x:row>
    <x:row r="77" spans="1:27" s="1" customFormat="1" x14ac:dyDescent="0.25">
      <x:c r="A77" s="15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16"/>
      <x:c r="N77" s="13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0"/>
    </x:row>
    <x:row r="78" spans="1:27" s="1" customFormat="1" x14ac:dyDescent="0.25">
      <x:c r="A78" s="15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16"/>
      <x:c r="N78" s="13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0"/>
    </x:row>
    <x:row r="79" spans="1:27" s="1" customFormat="1" x14ac:dyDescent="0.25">
      <x:c r="A79" s="15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16"/>
      <x:c r="N79" s="13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0"/>
    </x:row>
    <x:row r="80" spans="1:27" s="1" customFormat="1" x14ac:dyDescent="0.25">
      <x:c r="A80" s="15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16"/>
      <x:c r="N80" s="13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0"/>
    </x:row>
    <x:row r="81" spans="1:39" s="1" customFormat="1" x14ac:dyDescent="0.25">
      <x:c r="A81" s="15">
        <x:v>363.3</x:v>
      </x:c>
      <x:c r="B81" s="4"/>
      <x:c r="C81" s="4"/>
      <x:c r="D81" s="4"/>
      <x:c r="E81" s="4"/>
      <x:c r="F81" s="4"/>
      <x:c r="G81" s="4"/>
      <x:c r="H81" s="4"/>
      <x:c r="I81" s="4"/>
      <x:c r="J81" s="4"/>
      <x:c r="K81" s="4">
        <x:f>+B81-J81</x:f>
        <x:v>0</x:v>
      </x:c>
      <x:c r="L81" s="4"/>
      <x:c r="M81" s="16"/>
      <x:c r="N81" s="13"/>
      <x:c r="O81" s="12"/>
      <x:c r="P81" s="12">
        <x:f t="shared" si="0"/>
        <x:v>0</x:v>
      </x:c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0"/>
    </x:row>
    <x:row r="82" spans="1:39" s="1" customFormat="1" x14ac:dyDescent="0.25">
      <x:c r="A82" s="15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16"/>
      <x:c r="N82" s="13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0"/>
    </x:row>
    <x:row r="83" spans="1:39" s="1" customFormat="1" x14ac:dyDescent="0.25">
      <x:c r="A83" s="15">
        <x:v>389</x:v>
      </x:c>
      <x:c r="B83" s="4">
        <x:v>142598.20000000004</x:v>
      </x:c>
      <x:c r="C83" s="4">
        <x:v>60382.02</x:v>
      </x:c>
      <x:c r="D83" s="4"/>
      <x:c r="E83" s="4"/>
      <x:c r="F83" s="4">
        <x:v>77649.91</x:v>
      </x:c>
      <x:c r="G83" s="4"/>
      <x:c r="H83" s="4">
        <x:v>3248.17</x:v>
      </x:c>
      <x:c r="I83" s="4">
        <x:v>1318.1000000000001</x:v>
      </x:c>
      <x:c r="J83" s="4">
        <x:f t="shared" ref="J83:J85" si="44">SUM(C83:I83)</x:f>
        <x:v>142598.20000000001</x:v>
      </x:c>
      <x:c r="K83" s="4">
        <x:f>+B83-J83</x:f>
        <x:v>0</x:v>
      </x:c>
      <x:c r="L83" s="4"/>
      <x:c r="M83" s="16">
        <x:v>1.9824241300369035E-2</x:v>
      </x:c>
      <x:c r="N83" s="13">
        <x:f>+B83*M83</x:f>
        <x:v>2826.9011257982843</x:v>
      </x:c>
      <x:c r="O83" s="13"/>
      <x:c r="P83" s="12">
        <x:f>SUM(N83:O83)</x:f>
        <x:v>2826.9011257982843</x:v>
      </x:c>
      <x:c r="Q83" s="13"/>
      <x:c r="R83" s="12">
        <x:f>+N83+O83</x:f>
        <x:v>2826.9011257982843</x:v>
      </x:c>
      <x:c r="S83" s="12">
        <x:f t="shared" ref="S83:Z85" si="45">+C83/$B83*$N83</x:f>
        <x:v>1197.027734683709</x:v>
      </x:c>
      <x:c r="T83" s="12">
        <x:f t="shared" si="45"/>
        <x:v>0</x:v>
      </x:c>
      <x:c r="U83" s="12">
        <x:f t="shared" si="45"/>
        <x:v>0</x:v>
      </x:c>
      <x:c r="V83" s="12">
        <x:f t="shared" si="45"/>
        <x:v>1539.3505527919385</x:v>
      </x:c>
      <x:c r="W83" s="12">
        <x:f t="shared" si="45"/>
        <x:v>0</x:v>
      </x:c>
      <x:c r="X83" s="12">
        <x:f t="shared" si="45"/>
        <x:v>64.392505864619693</x:v>
      </x:c>
      <x:c r="Y83" s="12">
        <x:f t="shared" si="45"/>
        <x:v>26.130332458016426</x:v>
      </x:c>
      <x:c r="Z83" s="12">
        <x:f t="shared" si="45"/>
        <x:v>2826.9011257982838</x:v>
      </x:c>
      <x:c r="AA83" s="9">
        <x:f>+R83-Z83</x:f>
        <x:v>0</x:v>
      </x:c>
    </x:row>
    <x:row r="84" spans="1:39" s="1" customFormat="1" x14ac:dyDescent="0.25">
      <x:c r="A84" s="15">
        <x:v>390</x:v>
      </x:c>
      <x:c r="B84" s="4">
        <x:v>377010696.58000004</x:v>
      </x:c>
      <x:c r="C84" s="4">
        <x:v>115520074.78999999</x:v>
      </x:c>
      <x:c r="D84" s="4">
        <x:v>1443397.05</x:v>
      </x:c>
      <x:c r="E84" s="4"/>
      <x:c r="F84" s="4">
        <x:v>209793160.80999985</x:v>
      </x:c>
      <x:c r="G84" s="4"/>
      <x:c r="H84" s="4">
        <x:v>32214555.319999993</x:v>
      </x:c>
      <x:c r="I84" s="4">
        <x:v>18039508.609999988</x:v>
      </x:c>
      <x:c r="J84" s="4">
        <x:f t="shared" si="44"/>
        <x:v>377010696.57999986</x:v>
      </x:c>
      <x:c r="K84" s="4">
        <x:f>+B84-J84</x:f>
        <x:v>0</x:v>
      </x:c>
      <x:c r="L84" s="4"/>
      <x:c r="M84" s="16">
        <x:v>2.0568428934921033E-2</x:v>
      </x:c>
      <x:c r="N84" s="13">
        <x:f>+B84*M84</x:f>
        <x:v>7754517.7203108072</x:v>
      </x:c>
      <x:c r="O84" s="13"/>
      <x:c r="P84" s="12">
        <x:f t="shared" si="0"/>
        <x:v>7754517.7203108072</x:v>
      </x:c>
      <x:c r="Q84" s="13"/>
      <x:c r="R84" s="12">
        <x:f t="shared" ref="R84:R101" si="46">+N84+O84</x:f>
        <x:v>7754517.7203108072</x:v>
      </x:c>
      <x:c r="S84" s="12">
        <x:f t="shared" si="45"/>
        <x:v>2376066.4488748778</x:v>
      </x:c>
      <x:c r="T84" s="12">
        <x:f t="shared" si="45"/>
        <x:v>29688.409647799661</x:v>
      </x:c>
      <x:c r="U84" s="12">
        <x:f t="shared" si="45"/>
        <x:v>0</x:v>
      </x:c>
      <x:c r="V84" s="12">
        <x:f t="shared" si="45"/>
        <x:v>4315115.7191529423</x:v>
      </x:c>
      <x:c r="W84" s="12">
        <x:f t="shared" si="45"/>
        <x:v>0</x:v>
      </x:c>
      <x:c r="X84" s="12">
        <x:f t="shared" si="45"/>
        <x:v>662602.79176950222</x:v>
      </x:c>
      <x:c r="Y84" s="12">
        <x:f t="shared" si="45"/>
        <x:v>371044.3508656809</x:v>
      </x:c>
      <x:c r="Z84" s="12">
        <x:f t="shared" si="45"/>
        <x:v>7754517.7203108035</x:v>
      </x:c>
      <x:c r="AA84" s="9">
        <x:f>+R84-Z84</x:f>
        <x:v>0</x:v>
      </x:c>
    </x:row>
    <x:row r="85" spans="1:39" s="1" customFormat="1" x14ac:dyDescent="0.25">
      <x:c r="A85" s="15" t="s">
        <x:v>12</x:v>
      </x:c>
      <x:c r="B85" s="4">
        <x:v>6589033.0600000005</x:v>
      </x:c>
      <x:c r="C85" s="4">
        <x:v>3887529.5</x:v>
      </x:c>
      <x:c r="D85" s="4"/>
      <x:c r="E85" s="4"/>
      <x:c r="F85" s="4">
        <x:v>2536777.7199999997</x:v>
      </x:c>
      <x:c r="G85" s="4"/>
      <x:c r="H85" s="4">
        <x:v>52712.25</x:v>
      </x:c>
      <x:c r="I85" s="4">
        <x:v>112013.59000000014</x:v>
      </x:c>
      <x:c r="J85" s="4">
        <x:f t="shared" si="44"/>
        <x:v>6589033.0599999996</x:v>
      </x:c>
      <x:c r="K85" s="4">
        <x:f>+B85-J85</x:f>
        <x:v>0</x:v>
      </x:c>
      <x:c r="L85" s="4"/>
      <x:c r="M85" s="16">
        <x:v>6.6666666666666666E-2</x:v>
      </x:c>
      <x:c r="N85" s="13">
        <x:f>+B85*M85</x:f>
        <x:v>439268.87066666671</x:v>
      </x:c>
      <x:c r="O85" s="13"/>
      <x:c r="P85" s="12">
        <x:f t="shared" si="0"/>
        <x:v>439268.87066666671</x:v>
      </x:c>
      <x:c r="Q85" s="13"/>
      <x:c r="R85" s="12">
        <x:f t="shared" si="46"/>
        <x:v>439268.87066666671</x:v>
      </x:c>
      <x:c r="S85" s="12">
        <x:f t="shared" si="45"/>
        <x:v>259168.63333333333</x:v>
      </x:c>
      <x:c r="T85" s="12">
        <x:f t="shared" si="45"/>
        <x:v>0</x:v>
      </x:c>
      <x:c r="U85" s="12">
        <x:f t="shared" si="45"/>
        <x:v>0</x:v>
      </x:c>
      <x:c r="V85" s="12">
        <x:f t="shared" si="45"/>
        <x:v>169118.51466666666</x:v>
      </x:c>
      <x:c r="W85" s="12">
        <x:f t="shared" si="45"/>
        <x:v>0</x:v>
      </x:c>
      <x:c r="X85" s="12">
        <x:f t="shared" si="45"/>
        <x:v>3514.1500000000005</x:v>
      </x:c>
      <x:c r="Y85" s="12">
        <x:f t="shared" si="45"/>
        <x:v>7467.5726666666769</x:v>
      </x:c>
      <x:c r="Z85" s="12">
        <x:f t="shared" si="45"/>
        <x:v>439268.87066666665</x:v>
      </x:c>
      <x:c r="AA85" s="9">
        <x:f>+R85-Z85</x:f>
        <x:v>0</x:v>
      </x:c>
    </x:row>
    <x:row r="86" spans="1:39" s="1" customFormat="1" x14ac:dyDescent="0.25">
      <x:c r="A86" s="15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16"/>
      <x:c r="N86" s="13"/>
      <x:c r="O86" s="13"/>
      <x:c r="P86" s="12"/>
      <x:c r="Q86" s="13"/>
      <x:c r="R86" s="12"/>
      <x:c r="S86" s="12"/>
      <x:c r="T86" s="12"/>
      <x:c r="U86" s="12"/>
      <x:c r="V86" s="12"/>
      <x:c r="W86" s="12"/>
      <x:c r="X86" s="12"/>
      <x:c r="Y86" s="12"/>
      <x:c r="Z86" s="12"/>
      <x:c r="AA86" s="9"/>
    </x:row>
    <x:row r="87" spans="1:39" s="1" customFormat="1" x14ac:dyDescent="0.25">
      <x:c r="A87" s="15">
        <x:v>391</x:v>
      </x:c>
      <x:c r="B87" s="4">
        <x:v>28353060.270000003</x:v>
      </x:c>
      <x:c r="C87" s="4">
        <x:v>10359033.890000001</x:v>
      </x:c>
      <x:c r="D87" s="4">
        <x:v>2134400.54</x:v>
      </x:c>
      <x:c r="E87" s="4">
        <x:v>0</x:v>
      </x:c>
      <x:c r="F87" s="4">
        <x:v>13217077.590000005</x:v>
      </x:c>
      <x:c r="G87" s="4"/>
      <x:c r="H87" s="4">
        <x:v>1565800.9000000006</x:v>
      </x:c>
      <x:c r="I87" s="4">
        <x:v>1076747.3500000006</x:v>
      </x:c>
      <x:c r="J87" s="4">
        <x:f t="shared" ref="J87:J101" si="47">SUM(C87:I87)</x:f>
        <x:v>28353060.270000007</x:v>
      </x:c>
      <x:c r="K87" s="4">
        <x:f t="shared" ref="K87:K101" si="48">+B87-J87</x:f>
        <x:v>0</x:v>
      </x:c>
      <x:c r="L87" s="4"/>
      <x:c r="M87" s="16">
        <x:v>0.05</x:v>
      </x:c>
      <x:c r="N87" s="13">
        <x:f t="shared" ref="N87:N101" si="49">+B87*M87</x:f>
        <x:v>1417653.0135000004</x:v>
      </x:c>
      <x:c r="O87" s="13">
        <x:v>455078.94688170101</x:v>
      </x:c>
      <x:c r="P87" s="12">
        <x:f t="shared" si="0"/>
        <x:v>1872731.9603817014</x:v>
      </x:c>
      <x:c r="Q87" s="13"/>
      <x:c r="R87" s="12">
        <x:f t="shared" si="46"/>
        <x:v>1872731.9603817014</x:v>
      </x:c>
      <x:c r="S87" s="12">
        <x:f t="shared" ref="S87:T90" si="50">+C87/$B87*($N87+$O87)</x:f>
        <x:v>684218.69314074505</x:v>
      </x:c>
      <x:c r="T87" s="12">
        <x:f t="shared" si="50"/>
        <x:v>140978.08382763196</x:v>
      </x:c>
      <x:c r="U87" s="12">
        <x:f>+E87/$B87*$N87</x:f>
        <x:v>0</x:v>
      </x:c>
      <x:c r="V87" s="12">
        <x:f t="shared" ref="V87:Z90" si="51">+F87/$B87*($N87+$O87)</x:f>
        <x:v>872993.72236821894</x:v>
      </x:c>
      <x:c r="W87" s="12">
        <x:f t="shared" si="51"/>
        <x:v>0</x:v>
      </x:c>
      <x:c r="X87" s="12">
        <x:f t="shared" si="51"/>
        <x:v>103421.83034566777</x:v>
      </x:c>
      <x:c r="Y87" s="12">
        <x:f t="shared" si="51"/>
        <x:v>71119.630699437825</x:v>
      </x:c>
      <x:c r="Z87" s="12">
        <x:f t="shared" si="51"/>
        <x:v>1872731.9603817018</x:v>
      </x:c>
      <x:c r="AA87" s="9">
        <x:f>+R87-Z87</x:f>
        <x:v>0</x:v>
      </x:c>
    </x:row>
    <x:row r="88" spans="1:39" s="1" customFormat="1" x14ac:dyDescent="0.25">
      <x:c r="A88" s="15" t="s">
        <x:v>44</x:v>
      </x:c>
      <x:c r="B88" s="4">
        <x:v>9788889.6899999995</x:v>
      </x:c>
      <x:c r="C88" s="4">
        <x:v>4162197.2899999996</x:v>
      </x:c>
      <x:c r="D88" s="4">
        <x:v>55488.85</x:v>
      </x:c>
      <x:c r="E88" s="4"/>
      <x:c r="F88" s="4">
        <x:v>5571203.5500000007</x:v>
      </x:c>
      <x:c r="G88" s="4"/>
      <x:c r="H88" s="4"/>
      <x:c r="I88" s="4"/>
      <x:c r="J88" s="4">
        <x:f t="shared" si="47"/>
        <x:v>9788889.6900000013</x:v>
      </x:c>
      <x:c r="K88" s="4">
        <x:f t="shared" si="48"/>
        <x:v>0</x:v>
      </x:c>
      <x:c r="L88" s="4"/>
      <x:c r="M88" s="16">
        <x:v>0.09</x:v>
      </x:c>
      <x:c r="N88" s="13">
        <x:f t="shared" si="49"/>
        <x:v>881000.07209999987</x:v>
      </x:c>
      <x:c r="O88" s="13">
        <x:v>128523.82730250715</x:v>
      </x:c>
      <x:c r="P88" s="12">
        <x:f t="shared" si="0"/>
        <x:v>1009523.899402507</x:v>
      </x:c>
      <x:c r="Q88" s="18"/>
      <x:c r="R88" s="12">
        <x:f t="shared" si="46"/>
        <x:v>1009523.899402507</x:v>
      </x:c>
      <x:c r="S88" s="12">
        <x:f t="shared" si="50"/>
        <x:v>429245.58058671386</x:v>
      </x:c>
      <x:c r="T88" s="12">
        <x:f t="shared" si="50"/>
        <x:v>5722.5407578743288</x:v>
      </x:c>
      <x:c r="U88" s="12">
        <x:f>+E88/$B88*$N88</x:f>
        <x:v>0</x:v>
      </x:c>
      <x:c r="V88" s="12">
        <x:f t="shared" si="51"/>
        <x:v>574555.77805791888</x:v>
      </x:c>
      <x:c r="W88" s="12">
        <x:f t="shared" si="51"/>
        <x:v>0</x:v>
      </x:c>
      <x:c r="X88" s="12">
        <x:f t="shared" si="51"/>
        <x:v>0</x:v>
      </x:c>
      <x:c r="Y88" s="12">
        <x:f t="shared" si="51"/>
        <x:v>0</x:v>
      </x:c>
      <x:c r="Z88" s="12">
        <x:f t="shared" si="51"/>
        <x:v>1009523.8994025072</x:v>
      </x:c>
      <x:c r="AA88" s="9">
        <x:f>+R88-Z88</x:f>
        <x:v>0</x:v>
      </x:c>
    </x:row>
    <x:row r="89" spans="1:39" s="1" customFormat="1" x14ac:dyDescent="0.25">
      <x:c r="A89" s="15" t="s">
        <x:v>13</x:v>
      </x:c>
      <x:c r="B89" s="4">
        <x:v>1117276.05</x:v>
      </x:c>
      <x:c r="C89" s="4">
        <x:v>749331.53</x:v>
      </x:c>
      <x:c r="D89" s="4">
        <x:v>56654.06</x:v>
      </x:c>
      <x:c r="E89" s="4"/>
      <x:c r="F89" s="4">
        <x:v>311290.46000000002</x:v>
      </x:c>
      <x:c r="G89" s="4"/>
      <x:c r="H89" s="4"/>
      <x:c r="I89" s="4"/>
      <x:c r="J89" s="4">
        <x:f t="shared" si="47"/>
        <x:v>1117276.05</x:v>
      </x:c>
      <x:c r="K89" s="4">
        <x:f t="shared" si="48"/>
        <x:v>0</x:v>
      </x:c>
      <x:c r="L89" s="4"/>
      <x:c r="M89" s="16">
        <x:v>0.12857142857142859</x:v>
      </x:c>
      <x:c r="N89" s="13">
        <x:f t="shared" si="49"/>
        <x:v>143649.77785714288</x:v>
      </x:c>
      <x:c r="O89" s="13">
        <x:v>35299.560538766818</x:v>
      </x:c>
      <x:c r="P89" s="12">
        <x:f t="shared" si="0"/>
        <x:v>178949.3383959097</x:v>
      </x:c>
      <x:c r="Q89" s="18"/>
      <x:c r="R89" s="12">
        <x:f t="shared" si="46"/>
        <x:v>178949.3383959097</x:v>
      </x:c>
      <x:c r="S89" s="12">
        <x:f t="shared" si="50"/>
        <x:v>120017.23435555139</x:v>
      </x:c>
      <x:c r="T89" s="12">
        <x:f t="shared" si="50"/>
        <x:v>9074.0390921672133</x:v>
      </x:c>
      <x:c r="U89" s="12">
        <x:f>+E89/$B89*$N89</x:f>
        <x:v>0</x:v>
      </x:c>
      <x:c r="V89" s="12">
        <x:f t="shared" si="51"/>
        <x:v>49858.064948191088</x:v>
      </x:c>
      <x:c r="W89" s="12">
        <x:f t="shared" si="51"/>
        <x:v>0</x:v>
      </x:c>
      <x:c r="X89" s="12">
        <x:f t="shared" si="51"/>
        <x:v>0</x:v>
      </x:c>
      <x:c r="Y89" s="12">
        <x:f t="shared" si="51"/>
        <x:v>0</x:v>
      </x:c>
      <x:c r="Z89" s="12">
        <x:f t="shared" si="51"/>
        <x:v>178949.3383959097</x:v>
      </x:c>
      <x:c r="AA89" s="9">
        <x:f>+R89-Z89</x:f>
        <x:v>0</x:v>
      </x:c>
    </x:row>
    <x:row r="90" spans="1:39" s="1" customFormat="1" x14ac:dyDescent="0.25">
      <x:c r="A90" s="15" t="s">
        <x:v>14</x:v>
      </x:c>
      <x:c r="B90" s="4">
        <x:v>973936.51</x:v>
      </x:c>
      <x:c r="C90" s="4">
        <x:v>107945.51000000001</x:v>
      </x:c>
      <x:c r="D90" s="4"/>
      <x:c r="E90" s="4"/>
      <x:c r="F90" s="4">
        <x:v>865991</x:v>
      </x:c>
      <x:c r="G90" s="4"/>
      <x:c r="H90" s="4"/>
      <x:c r="I90" s="4"/>
      <x:c r="J90" s="4">
        <x:f t="shared" si="47"/>
        <x:v>973936.51</x:v>
      </x:c>
      <x:c r="K90" s="4">
        <x:f t="shared" si="48"/>
        <x:v>0</x:v>
      </x:c>
      <x:c r="L90" s="4"/>
      <x:c r="M90" s="16">
        <x:v>0.09</x:v>
      </x:c>
      <x:c r="N90" s="13">
        <x:f t="shared" si="49"/>
        <x:v>87654.285900000003</x:v>
      </x:c>
      <x:c r="O90" s="13">
        <x:v>35776.859070880484</x:v>
      </x:c>
      <x:c r="P90" s="12">
        <x:f t="shared" si="0"/>
        <x:v>123431.14497088049</x:v>
      </x:c>
      <x:c r="Q90" s="18"/>
      <x:c r="R90" s="12">
        <x:f t="shared" si="46"/>
        <x:v>123431.14497088049</x:v>
      </x:c>
      <x:c r="S90" s="12">
        <x:f t="shared" si="50"/>
        <x:v>13680.39677839537</x:v>
      </x:c>
      <x:c r="T90" s="12">
        <x:f t="shared" si="50"/>
        <x:v>0</x:v>
      </x:c>
      <x:c r="U90" s="12">
        <x:f>+E90/$B90*$N90</x:f>
        <x:v>0</x:v>
      </x:c>
      <x:c r="V90" s="12">
        <x:f t="shared" si="51"/>
        <x:v>109750.74819248512</x:v>
      </x:c>
      <x:c r="W90" s="12">
        <x:f t="shared" si="51"/>
        <x:v>0</x:v>
      </x:c>
      <x:c r="X90" s="12">
        <x:f t="shared" si="51"/>
        <x:v>0</x:v>
      </x:c>
      <x:c r="Y90" s="12">
        <x:f t="shared" si="51"/>
        <x:v>0</x:v>
      </x:c>
      <x:c r="Z90" s="12">
        <x:f t="shared" si="51"/>
        <x:v>123431.14497088049</x:v>
      </x:c>
      <x:c r="AA90" s="9">
        <x:f>+R90-Z90</x:f>
        <x:v>0</x:v>
      </x:c>
    </x:row>
    <x:row r="91" spans="1:39" s="1" customFormat="1" x14ac:dyDescent="0.25">
      <x:c r="A91" s="15" t="s">
        <x:v>15</x:v>
      </x:c>
      <x:c r="B91" s="4">
        <x:v>0</x:v>
      </x:c>
      <x:c r="C91" s="4"/>
      <x:c r="D91" s="4"/>
      <x:c r="E91" s="4"/>
      <x:c r="F91" s="4"/>
      <x:c r="G91" s="4"/>
      <x:c r="H91" s="4"/>
      <x:c r="I91" s="4"/>
      <x:c r="J91" s="4">
        <x:f t="shared" si="47"/>
        <x:v>0</x:v>
      </x:c>
      <x:c r="K91" s="4">
        <x:f t="shared" si="48"/>
        <x:v>0</x:v>
      </x:c>
      <x:c r="L91" s="4"/>
      <x:c r="M91" s="16">
        <x:v>0</x:v>
      </x:c>
      <x:c r="N91" s="13">
        <x:f t="shared" si="49"/>
        <x:v>0</x:v>
      </x:c>
      <x:c r="O91" s="13"/>
      <x:c r="P91" s="12">
        <x:f t="shared" si="0"/>
        <x:v>0</x:v>
      </x:c>
      <x:c r="Q91" s="18"/>
      <x:c r="R91" s="12">
        <x:f t="shared" si="46"/>
        <x:v>0</x:v>
      </x:c>
      <x:c r="S91" s="12"/>
      <x:c r="T91" s="12"/>
      <x:c r="U91" s="12"/>
      <x:c r="V91" s="12"/>
      <x:c r="W91" s="12"/>
      <x:c r="X91" s="12"/>
      <x:c r="Y91" s="12"/>
      <x:c r="Z91" s="12"/>
      <x:c r="AA91" s="9"/>
    </x:row>
    <x:row r="92" spans="1:39" s="1" customFormat="1" x14ac:dyDescent="0.25">
      <x:c r="A92" s="15" t="s">
        <x:v>16</x:v>
      </x:c>
      <x:c r="B92" s="4">
        <x:v>8319185.5799999973</x:v>
      </x:c>
      <x:c r="C92" s="4">
        <x:v>4821281.5199999977</x:v>
      </x:c>
      <x:c r="D92" s="4">
        <x:v>65725.149999999994</x:v>
      </x:c>
      <x:c r="E92" s="4"/>
      <x:c r="F92" s="4">
        <x:v>3432178.9099999997</x:v>
      </x:c>
      <x:c r="G92" s="4"/>
      <x:c r="H92" s="4"/>
      <x:c r="I92" s="4"/>
      <x:c r="J92" s="4">
        <x:f t="shared" si="47"/>
        <x:v>8319185.5799999982</x:v>
      </x:c>
      <x:c r="K92" s="4">
        <x:f t="shared" si="48"/>
        <x:v>0</x:v>
      </x:c>
      <x:c r="L92" s="4"/>
      <x:c r="M92" s="16">
        <x:v>0.06</x:v>
      </x:c>
      <x:c r="N92" s="13">
        <x:f t="shared" si="49"/>
        <x:v>499151.13479999983</x:v>
      </x:c>
      <x:c r="O92" s="13">
        <x:v>192601.95723456016</x:v>
      </x:c>
      <x:c r="P92" s="12">
        <x:f t="shared" si="0"/>
        <x:v>691753.09203455993</x:v>
      </x:c>
      <x:c r="Q92" s="13"/>
      <x:c r="R92" s="12">
        <x:f t="shared" si="46"/>
        <x:v>691753.09203455993</x:v>
      </x:c>
      <x:c r="S92" s="12">
        <x:f t="shared" ref="S92:S101" si="52">+C92/$B92*($N92+$O92)</x:f>
        <x:v>400896.98287859117</x:v>
      </x:c>
      <x:c r="T92" s="12">
        <x:f t="shared" ref="T92:T101" si="53">+D92/$B92*($N92+$O92)</x:f>
        <x:v>5465.1474353737476</x:v>
      </x:c>
      <x:c r="U92" s="12">
        <x:f t="shared" ref="U92:U101" si="54">+E92/$B92*$N92</x:f>
        <x:v>0</x:v>
      </x:c>
      <x:c r="V92" s="12">
        <x:f t="shared" ref="V92:V101" si="55">+F92/$B92*($N92+$O92)</x:f>
        <x:v>285390.96172059502</x:v>
      </x:c>
      <x:c r="W92" s="12">
        <x:f t="shared" ref="W92:W101" si="56">+G92/$B92*($N92+$O92)</x:f>
        <x:v>0</x:v>
      </x:c>
      <x:c r="X92" s="12">
        <x:f t="shared" ref="X92:X101" si="57">+H92/$B92*($N92+$O92)</x:f>
        <x:v>0</x:v>
      </x:c>
      <x:c r="Y92" s="12">
        <x:f t="shared" ref="Y92:Y101" si="58">+I92/$B92*($N92+$O92)</x:f>
        <x:v>0</x:v>
      </x:c>
      <x:c r="Z92" s="12">
        <x:f t="shared" ref="Z92:Z101" si="59">+J92/$B92*($N92+$O92)</x:f>
        <x:v>691753.09203456005</x:v>
      </x:c>
      <x:c r="AA92" s="9">
        <x:f t="shared" ref="AA92:AA101" si="60">+R92-Z92</x:f>
        <x:v>0</x:v>
      </x:c>
    </x:row>
    <x:row r="93" spans="1:39" s="1" customFormat="1" x14ac:dyDescent="0.25">
      <x:c r="A93" s="15">
        <x:v>393</x:v>
      </x:c>
      <x:c r="B93" s="4">
        <x:v>10046104.890000002</x:v>
      </x:c>
      <x:c r="C93" s="4">
        <x:v>3579102.6</x:v>
      </x:c>
      <x:c r="D93" s="4"/>
      <x:c r="E93" s="4"/>
      <x:c r="F93" s="4">
        <x:v>5998112.8099999996</x:v>
      </x:c>
      <x:c r="G93" s="4"/>
      <x:c r="H93" s="4">
        <x:v>468889.48</x:v>
      </x:c>
      <x:c r="I93" s="13"/>
      <x:c r="J93" s="4">
        <x:f t="shared" si="47"/>
        <x:v>10046104.890000001</x:v>
      </x:c>
      <x:c r="K93" s="4">
        <x:f t="shared" si="48"/>
        <x:v>0</x:v>
      </x:c>
      <x:c r="L93" s="4"/>
      <x:c r="M93" s="16">
        <x:v>2.8571428571428571E-2</x:v>
      </x:c>
      <x:c r="N93" s="13">
        <x:f t="shared" si="49"/>
        <x:v>287031.56828571437</x:v>
      </x:c>
      <x:c r="O93" s="13">
        <x:v>117914.52231011406</x:v>
      </x:c>
      <x:c r="P93" s="12">
        <x:f t="shared" si="0"/>
        <x:v>404946.09059582843</x:v>
      </x:c>
      <x:c r="Q93" s="13"/>
      <x:c r="R93" s="12">
        <x:f t="shared" si="46"/>
        <x:v>404946.09059582843</x:v>
      </x:c>
      <x:c r="S93" s="12">
        <x:f t="shared" si="52"/>
        <x:v>144269.20897014093</x:v>
      </x:c>
      <x:c r="T93" s="12">
        <x:f t="shared" si="53"/>
        <x:v>0</x:v>
      </x:c>
      <x:c r="U93" s="12">
        <x:f t="shared" si="54"/>
        <x:v>0</x:v>
      </x:c>
      <x:c r="V93" s="12">
        <x:f t="shared" si="55"/>
        <x:v>241776.5253257532</x:v>
      </x:c>
      <x:c r="W93" s="12">
        <x:f t="shared" si="56"/>
        <x:v>0</x:v>
      </x:c>
      <x:c r="X93" s="12">
        <x:f t="shared" si="57"/>
        <x:v>18900.356299934156</x:v>
      </x:c>
      <x:c r="Y93" s="12">
        <x:f t="shared" si="58"/>
        <x:v>0</x:v>
      </x:c>
      <x:c r="Z93" s="12">
        <x:f t="shared" si="59"/>
        <x:v>404946.09059582831</x:v>
      </x:c>
      <x:c r="AA93" s="9">
        <x:f t="shared" si="60"/>
        <x:v>0</x:v>
      </x:c>
    </x:row>
    <x:row r="94" spans="1:39" s="1" customFormat="1" x14ac:dyDescent="0.25">
      <x:c r="A94" s="15" t="s">
        <x:v>17</x:v>
      </x:c>
      <x:c r="B94" s="4">
        <x:v>18610668.340000004</x:v>
      </x:c>
      <x:c r="C94" s="4">
        <x:v>6278057.2799999928</x:v>
      </x:c>
      <x:c r="D94" s="4"/>
      <x:c r="E94" s="4"/>
      <x:c r="F94" s="4">
        <x:v>11334804.420000011</x:v>
      </x:c>
      <x:c r="G94" s="4"/>
      <x:c r="H94" s="4">
        <x:v>997806.63999999873</x:v>
      </x:c>
      <x:c r="I94" s="4"/>
      <x:c r="J94" s="4">
        <x:f t="shared" si="47"/>
        <x:v>18610668.340000004</x:v>
      </x:c>
      <x:c r="K94" s="4">
        <x:f t="shared" si="48"/>
        <x:v>0</x:v>
      </x:c>
      <x:c r="L94" s="4"/>
      <x:c r="M94" s="16">
        <x:v>2.8571428571428571E-2</x:v>
      </x:c>
      <x:c r="N94" s="13">
        <x:f t="shared" si="49"/>
        <x:v>531733.38114285725</x:v>
      </x:c>
      <x:c r="O94" s="13">
        <x:v>447145.43571726757</x:v>
      </x:c>
      <x:c r="P94" s="12">
        <x:f t="shared" si="0"/>
        <x:v>978878.81686012482</x:v>
      </x:c>
      <x:c r="Q94" s="13"/>
      <x:c r="R94" s="12">
        <x:f t="shared" si="46"/>
        <x:v>978878.81686012482</x:v>
      </x:c>
      <x:c r="S94" s="12">
        <x:f t="shared" si="52"/>
        <x:v>330211.53083567793</x:v>
      </x:c>
      <x:c r="T94" s="12">
        <x:f t="shared" si="53"/>
        <x:v>0</x:v>
      </x:c>
      <x:c r="U94" s="12">
        <x:f t="shared" si="54"/>
        <x:v>0</x:v>
      </x:c>
      <x:c r="V94" s="12">
        <x:f t="shared" si="55"/>
        <x:v>596184.92669299385</x:v>
      </x:c>
      <x:c r="W94" s="12">
        <x:f t="shared" si="56"/>
        <x:v>0</x:v>
      </x:c>
      <x:c r="X94" s="12">
        <x:f t="shared" si="57"/>
        <x:v>52482.359331452957</x:v>
      </x:c>
      <x:c r="Y94" s="12">
        <x:f t="shared" si="58"/>
        <x:v>0</x:v>
      </x:c>
      <x:c r="Z94" s="12">
        <x:f t="shared" si="59"/>
        <x:v>978878.81686012482</x:v>
      </x:c>
      <x:c r="AA94" s="9">
        <x:f t="shared" si="60"/>
        <x:v>0</x:v>
      </x:c>
      <x:c r="AB94" s="10"/>
    </x:row>
    <x:row r="95" spans="1:39" s="1" customFormat="1" x14ac:dyDescent="0.25">
      <x:c r="A95" s="15" t="s">
        <x:v>18</x:v>
      </x:c>
      <x:c r="B95" s="4">
        <x:v>18439190.890000008</x:v>
      </x:c>
      <x:c r="C95" s="4">
        <x:v>7161680.5999999996</x:v>
      </x:c>
      <x:c r="D95" s="4">
        <x:v>25308.44</x:v>
      </x:c>
      <x:c r="E95" s="4"/>
      <x:c r="F95" s="4">
        <x:v>10455218.890000006</x:v>
      </x:c>
      <x:c r="G95" s="4">
        <x:v>0</x:v>
      </x:c>
      <x:c r="H95" s="4">
        <x:v>796982.96000000078</x:v>
      </x:c>
      <x:c r="I95" s="4"/>
      <x:c r="J95" s="4">
        <x:f t="shared" si="47"/>
        <x:v>18439190.890000008</x:v>
      </x:c>
      <x:c r="K95" s="4">
        <x:f t="shared" si="48"/>
        <x:v>0</x:v>
      </x:c>
      <x:c r="L95" s="4"/>
      <x:c r="M95" s="16">
        <x:v>0.1</x:v>
      </x:c>
      <x:c r="N95" s="13">
        <x:f t="shared" si="49"/>
        <x:v>1843919.0890000009</x:v>
      </x:c>
      <x:c r="O95" s="13">
        <x:v>389788.78887026163</x:v>
      </x:c>
      <x:c r="P95" s="12">
        <x:f t="shared" si="0"/>
        <x:v>2233707.8778702626</x:v>
      </x:c>
      <x:c r="Q95" s="13"/>
      <x:c r="R95" s="12">
        <x:f t="shared" si="46"/>
        <x:v>2233707.8778702626</x:v>
      </x:c>
      <x:c r="S95" s="12">
        <x:f t="shared" si="52"/>
        <x:v>867559.88754833164</x:v>
      </x:c>
      <x:c r="T95" s="12">
        <x:f t="shared" si="53"/>
        <x:v>3065.8428638137952</x:v>
      </x:c>
      <x:c r="U95" s="12">
        <x:f t="shared" si="54"/>
        <x:v>0</x:v>
      </x:c>
      <x:c r="V95" s="12">
        <x:f t="shared" si="55"/>
        <x:v>1266536.3105555978</x:v>
      </x:c>
      <x:c r="W95" s="12">
        <x:f t="shared" si="56"/>
        <x:v>0</x:v>
      </x:c>
      <x:c r="X95" s="12">
        <x:f t="shared" si="57"/>
        <x:v>96545.836902519382</x:v>
      </x:c>
      <x:c r="Y95" s="12">
        <x:f t="shared" si="58"/>
        <x:v>0</x:v>
      </x:c>
      <x:c r="Z95" s="12">
        <x:f t="shared" si="59"/>
        <x:v>2233707.8778702626</x:v>
      </x:c>
      <x:c r="AA95" s="9">
        <x:f t="shared" si="60"/>
        <x:v>0</x:v>
      </x:c>
    </x:row>
    <x:row r="96" spans="1:39" s="1" customFormat="1" x14ac:dyDescent="0.25">
      <x:c r="A96" s="15">
        <x:v>395</x:v>
      </x:c>
      <x:c r="B96" s="4">
        <x:v>61540831.11999999</x:v>
      </x:c>
      <x:c r="C96" s="4">
        <x:v>35716452.379999958</x:v>
      </x:c>
      <x:c r="D96" s="4"/>
      <x:c r="E96" s="4"/>
      <x:c r="F96" s="4">
        <x:v>22852989.259999957</x:v>
      </x:c>
      <x:c r="G96" s="4">
        <x:v>0</x:v>
      </x:c>
      <x:c r="H96" s="4">
        <x:v>2971389.4799999963</x:v>
      </x:c>
      <x:c r="I96" s="4"/>
      <x:c r="J96" s="4">
        <x:f t="shared" si="47"/>
        <x:v>61540831.119999908</x:v>
      </x:c>
      <x:c r="K96" s="4">
        <x:f t="shared" si="48"/>
        <x:v>8.1956386566162109E-8</x:v>
      </x:c>
      <x:c r="L96" s="4"/>
      <x:c r="M96" s="16">
        <x:v>0.04</x:v>
      </x:c>
      <x:c r="N96" s="13">
        <x:f t="shared" si="49"/>
        <x:v>2461633.2447999995</x:v>
      </x:c>
      <x:c r="O96" s="13">
        <x:v>1173713.5515559046</x:v>
      </x:c>
      <x:c r="P96" s="12">
        <x:f t="shared" si="0"/>
        <x:v>3635346.7963559041</x:v>
      </x:c>
      <x:c r="Q96" s="13"/>
      <x:c r="R96" s="12">
        <x:f t="shared" si="46"/>
        <x:v>3635346.7963559041</x:v>
      </x:c>
      <x:c r="S96" s="12">
        <x:f t="shared" si="52"/>
        <x:v>2109846.233367397</x:v>
      </x:c>
      <x:c r="T96" s="12">
        <x:f t="shared" si="53"/>
        <x:v>0</x:v>
      </x:c>
      <x:c r="U96" s="12">
        <x:f t="shared" si="54"/>
        <x:v>0</x:v>
      </x:c>
      <x:c r="V96" s="12">
        <x:f t="shared" si="55"/>
        <x:v>1349974.3143133675</x:v>
      </x:c>
      <x:c r="W96" s="12">
        <x:f t="shared" si="56"/>
        <x:v>0</x:v>
      </x:c>
      <x:c r="X96" s="12">
        <x:f t="shared" si="57"/>
        <x:v>175526.24867513528</x:v>
      </x:c>
      <x:c r="Y96" s="12">
        <x:f t="shared" si="58"/>
        <x:v>0</x:v>
      </x:c>
      <x:c r="Z96" s="12">
        <x:f t="shared" si="59"/>
        <x:v>3635346.7963558994</x:v>
      </x:c>
      <x:c r="AA96" s="9">
        <x:f t="shared" si="60"/>
        <x:v>4.6566128730773926E-9</x:v>
      </x:c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</x:row>
    <x:row r="97" spans="1:28" s="1" customFormat="1" x14ac:dyDescent="0.25">
      <x:c r="A97" s="15">
        <x:v>396</x:v>
      </x:c>
      <x:c r="B97" s="4">
        <x:v>11753613.709999999</x:v>
      </x:c>
      <x:c r="C97" s="4">
        <x:v>2325422.2000000002</x:v>
      </x:c>
      <x:c r="D97" s="4">
        <x:v>358439.65</x:v>
      </x:c>
      <x:c r="E97" s="4"/>
      <x:c r="F97" s="4">
        <x:v>8159482.2800000003</x:v>
      </x:c>
      <x:c r="G97" s="4"/>
      <x:c r="H97" s="4">
        <x:v>910269.58</x:v>
      </x:c>
      <x:c r="I97" s="4"/>
      <x:c r="J97" s="4">
        <x:f t="shared" si="47"/>
        <x:v>11753613.710000001</x:v>
      </x:c>
      <x:c r="K97" s="4">
        <x:f t="shared" si="48"/>
        <x:v>0</x:v>
      </x:c>
      <x:c r="L97" s="4"/>
      <x:c r="M97" s="16">
        <x:v>6.0000000000000005E-2</x:v>
      </x:c>
      <x:c r="N97" s="13">
        <x:f t="shared" si="49"/>
        <x:v>705216.82259999996</x:v>
      </x:c>
      <x:c r="O97" s="13">
        <x:v>261293.72636787081</x:v>
      </x:c>
      <x:c r="P97" s="12">
        <x:f t="shared" si="0"/>
        <x:v>966510.54896787077</x:v>
      </x:c>
      <x:c r="Q97" s="13"/>
      <x:c r="R97" s="12">
        <x:f t="shared" si="46"/>
        <x:v>966510.54896787077</x:v>
      </x:c>
      <x:c r="S97" s="12">
        <x:f t="shared" si="52"/>
        <x:v>191221.62277562838</x:v>
      </x:c>
      <x:c r="T97" s="12">
        <x:f t="shared" si="53"/>
        <x:v>29474.824631900505</x:v>
      </x:c>
      <x:c r="U97" s="12">
        <x:f t="shared" si="54"/>
        <x:v>0</x:v>
      </x:c>
      <x:c r="V97" s="12">
        <x:f t="shared" si="55"/>
        <x:v>670961.79033234669</x:v>
      </x:c>
      <x:c r="W97" s="12">
        <x:f t="shared" si="56"/>
        <x:v>0</x:v>
      </x:c>
      <x:c r="X97" s="12">
        <x:f t="shared" si="57"/>
        <x:v>74852.311227995349</x:v>
      </x:c>
      <x:c r="Y97" s="12">
        <x:f t="shared" si="58"/>
        <x:v>0</x:v>
      </x:c>
      <x:c r="Z97" s="12">
        <x:f t="shared" si="59"/>
        <x:v>966510.548967871</x:v>
      </x:c>
      <x:c r="AA97" s="9">
        <x:f t="shared" si="60"/>
        <x:v>0</x:v>
      </x:c>
    </x:row>
    <x:row r="98" spans="1:28" s="1" customFormat="1" x14ac:dyDescent="0.25">
      <x:c r="A98" s="15" t="s">
        <x:v>19</x:v>
      </x:c>
      <x:c r="B98" s="4">
        <x:v>101136947.13000005</x:v>
      </x:c>
      <x:c r="C98" s="4">
        <x:v>36242972.369999997</x:v>
      </x:c>
      <x:c r="D98" s="4">
        <x:v>16570.82</x:v>
      </x:c>
      <x:c r="E98" s="4"/>
      <x:c r="F98" s="4">
        <x:v>48774288.54999993</x:v>
      </x:c>
      <x:c r="G98" s="4"/>
      <x:c r="H98" s="4">
        <x:v>9414967.6199999731</x:v>
      </x:c>
      <x:c r="I98" s="4">
        <x:v>6688147.7700000014</x:v>
      </x:c>
      <x:c r="J98" s="4">
        <x:f t="shared" si="47"/>
        <x:v>101136947.12999989</x:v>
      </x:c>
      <x:c r="K98" s="4">
        <x:f t="shared" si="48"/>
        <x:v>1.6391277313232422E-7</x:v>
      </x:c>
      <x:c r="L98" s="4"/>
      <x:c r="M98" s="16">
        <x:v>6.6666666666666666E-2</x:v>
      </x:c>
      <x:c r="N98" s="13">
        <x:f t="shared" si="49"/>
        <x:v>6742463.1420000037</x:v>
      </x:c>
      <x:c r="O98" s="13">
        <x:v>455491.69304534514</x:v>
      </x:c>
      <x:c r="P98" s="12">
        <x:f t="shared" si="0"/>
        <x:v>7197954.8350453489</x:v>
      </x:c>
      <x:c r="Q98" s="13"/>
      <x:c r="R98" s="12">
        <x:f t="shared" si="46"/>
        <x:v>7197954.8350453489</x:v>
      </x:c>
      <x:c r="S98" s="12">
        <x:f t="shared" si="52"/>
        <x:v>2579426.0713815191</x:v>
      </x:c>
      <x:c r="T98" s="12">
        <x:f t="shared" si="53"/>
        <x:v>1179.3515359559985</x:v>
      </x:c>
      <x:c r="U98" s="12">
        <x:f t="shared" si="54"/>
        <x:v>0</x:v>
      </x:c>
      <x:c r="V98" s="12">
        <x:f t="shared" si="55"/>
        <x:v>3471284.5904187895</x:v>
      </x:c>
      <x:c r="W98" s="12">
        <x:f t="shared" si="56"/>
        <x:v>0</x:v>
      </x:c>
      <x:c r="X98" s="12">
        <x:f t="shared" si="57"/>
        <x:v>670066.81163774384</x:v>
      </x:c>
      <x:c r="Y98" s="12">
        <x:f t="shared" si="58"/>
        <x:v>475998.01007132948</x:v>
      </x:c>
      <x:c r="Z98" s="12">
        <x:f t="shared" si="59"/>
        <x:v>7197954.8350453367</x:v>
      </x:c>
      <x:c r="AA98" s="9">
        <x:f t="shared" si="60"/>
        <x:v>1.2107193470001221E-8</x:v>
      </x:c>
    </x:row>
    <x:row r="99" spans="1:28" s="1" customFormat="1" x14ac:dyDescent="0.25">
      <x:c r="A99" s="15" t="s">
        <x:v>45</x:v>
      </x:c>
      <x:c r="B99" s="4">
        <x:v>134700060.44</x:v>
      </x:c>
      <x:c r="C99" s="26">
        <x:v>33311266.645725854</x:v>
      </x:c>
      <x:c r="D99" s="4"/>
      <x:c r="E99" s="4"/>
      <x:c r="F99" s="4">
        <x:v>53913638.818170749</x:v>
      </x:c>
      <x:c r="G99" s="4"/>
      <x:c r="H99" s="4">
        <x:v>13008257.038568614</x:v>
      </x:c>
      <x:c r="I99" s="4">
        <x:v>34466897.937534787</x:v>
      </x:c>
      <x:c r="J99" s="4">
        <x:f t="shared" si="47"/>
        <x:v>134700060.44</x:v>
      </x:c>
      <x:c r="K99" s="4">
        <x:f t="shared" si="48"/>
        <x:v>0</x:v>
      </x:c>
      <x:c r="L99" s="4"/>
      <x:c r="M99" s="16">
        <x:v>0.2</x:v>
      </x:c>
      <x:c r="N99" s="13">
        <x:f t="shared" si="49"/>
        <x:v>26940012.088</x:v>
      </x:c>
      <x:c r="O99" s="13">
        <x:v>6067300.9009791035</x:v>
      </x:c>
      <x:c r="P99" s="12">
        <x:f t="shared" ref="P99:P142" si="61">SUM(N99:O99)</x:f>
        <x:v>33007312.988979101</x:v>
      </x:c>
      <x:c r="Q99" s="13"/>
      <x:c r="R99" s="12">
        <x:f t="shared" si="46"/>
        <x:v>33007312.988979101</x:v>
      </x:c>
      <x:c r="S99" s="12">
        <x:f t="shared" si="52"/>
        <x:v>8162694.2158988491</x:v>
      </x:c>
      <x:c r="T99" s="12">
        <x:f t="shared" si="53"/>
        <x:v>0</x:v>
      </x:c>
      <x:c r="U99" s="12">
        <x:f t="shared" si="54"/>
        <x:v>0</x:v>
      </x:c>
      <x:c r="V99" s="12">
        <x:f t="shared" si="55"/>
        <x:v>13211162.229870008</x:v>
      </x:c>
      <x:c r="W99" s="12">
        <x:f t="shared" si="56"/>
        <x:v>0</x:v>
      </x:c>
      <x:c r="X99" s="12">
        <x:f t="shared" si="57"/>
        <x:v>3187582.9165227404</x:v>
      </x:c>
      <x:c r="Y99" s="12">
        <x:f t="shared" si="58"/>
        <x:v>8445873.6266875062</x:v>
      </x:c>
      <x:c r="Z99" s="12">
        <x:f t="shared" si="59"/>
        <x:v>33007312.988979101</x:v>
      </x:c>
      <x:c r="AA99" s="9">
        <x:f t="shared" si="60"/>
        <x:v>0</x:v>
      </x:c>
      <x:c r="AB99" s="10"/>
    </x:row>
    <x:row r="100" spans="1:28" s="1" customFormat="1" x14ac:dyDescent="0.25">
      <x:c r="A100" s="15" t="s">
        <x:v>20</x:v>
      </x:c>
      <x:c r="B100" s="4">
        <x:v>87957287.179999977</x:v>
      </x:c>
      <x:c r="C100" s="4">
        <x:v>37497950.710000038</x:v>
      </x:c>
      <x:c r="D100" s="4"/>
      <x:c r="E100" s="4"/>
      <x:c r="F100" s="4">
        <x:v>47772241.669999987</x:v>
      </x:c>
      <x:c r="G100" s="4"/>
      <x:c r="H100" s="4">
        <x:v>1884045.0599999975</x:v>
      </x:c>
      <x:c r="I100" s="4">
        <x:v>803049.74000000278</x:v>
      </x:c>
      <x:c r="J100" s="4">
        <x:f t="shared" si="47"/>
        <x:v>87957287.180000037</x:v>
      </x:c>
      <x:c r="K100" s="4">
        <x:f t="shared" si="48"/>
        <x:v>0</x:v>
      </x:c>
      <x:c r="L100" s="4"/>
      <x:c r="M100" s="16">
        <x:v>6.3645808887189431E-2</x:v>
      </x:c>
      <x:c r="N100" s="13">
        <x:f t="shared" si="49"/>
        <x:v>5598112.6900939159</x:v>
      </x:c>
      <x:c r="O100" s="13">
        <x:v>0</x:v>
      </x:c>
      <x:c r="P100" s="12">
        <x:f t="shared" si="61"/>
        <x:v>5598112.6900939159</x:v>
      </x:c>
      <x:c r="Q100" s="13"/>
      <x:c r="R100" s="12">
        <x:f t="shared" si="46"/>
        <x:v>5598112.6900939159</x:v>
      </x:c>
      <x:c r="S100" s="12">
        <x:f t="shared" si="52"/>
        <x:v>2386587.4045499116</x:v>
      </x:c>
      <x:c r="T100" s="12">
        <x:f t="shared" si="53"/>
        <x:v>0</x:v>
      </x:c>
      <x:c r="U100" s="12">
        <x:f t="shared" si="54"/>
        <x:v>0</x:v>
      </x:c>
      <x:c r="V100" s="12">
        <x:f t="shared" si="55"/>
        <x:v>3040502.9634414464</x:v>
      </x:c>
      <x:c r="W100" s="12">
        <x:f t="shared" si="56"/>
        <x:v>0</x:v>
      </x:c>
      <x:c r="X100" s="12">
        <x:f t="shared" si="57"/>
        <x:v>119911.57182361319</x:v>
      </x:c>
      <x:c r="Y100" s="12">
        <x:f t="shared" si="58"/>
        <x:v>51110.750278947336</x:v>
      </x:c>
      <x:c r="Z100" s="12">
        <x:f t="shared" si="59"/>
        <x:v>5598112.6900939196</x:v>
      </x:c>
      <x:c r="AA100" s="9">
        <x:f t="shared" si="60"/>
        <x:v>0</x:v>
      </x:c>
    </x:row>
    <x:row r="101" spans="1:28" s="1" customFormat="1" x14ac:dyDescent="0.25">
      <x:c r="A101" s="15">
        <x:v>398</x:v>
      </x:c>
      <x:c r="B101" s="4">
        <x:v>17670571.620000001</x:v>
      </x:c>
      <x:c r="C101" s="4">
        <x:v>6478797.7300000004</x:v>
      </x:c>
      <x:c r="D101" s="4">
        <x:v>31366.92</x:v>
      </x:c>
      <x:c r="E101" s="4"/>
      <x:c r="F101" s="4">
        <x:v>9639077.4800000004</x:v>
      </x:c>
      <x:c r="G101" s="4"/>
      <x:c r="H101" s="4">
        <x:v>1521329.49</x:v>
      </x:c>
      <x:c r="I101" s="4"/>
      <x:c r="J101" s="4">
        <x:f t="shared" si="47"/>
        <x:v>17670571.620000001</x:v>
      </x:c>
      <x:c r="K101" s="4">
        <x:f t="shared" si="48"/>
        <x:v>0</x:v>
      </x:c>
      <x:c r="L101" s="11"/>
      <x:c r="M101" s="16">
        <x:v>4.5454545454545456E-2</x:v>
      </x:c>
      <x:c r="N101" s="13">
        <x:f t="shared" si="49"/>
        <x:v>803207.80090909102</x:v>
      </x:c>
      <x:c r="O101" s="13">
        <x:v>230469.75013502582</x:v>
      </x:c>
      <x:c r="P101" s="12">
        <x:f t="shared" si="61"/>
        <x:v>1033677.5510441168</x:v>
      </x:c>
      <x:c r="Q101" s="13"/>
      <x:c r="R101" s="12">
        <x:f t="shared" si="46"/>
        <x:v>1033677.5510441168</x:v>
      </x:c>
      <x:c r="S101" s="12">
        <x:f t="shared" si="52"/>
        <x:v>378991.00919161912</x:v>
      </x:c>
      <x:c r="T101" s="12">
        <x:f t="shared" si="53"/>
        <x:v>1834.8744877443146</x:v>
      </x:c>
      <x:c r="U101" s="12">
        <x:f t="shared" si="54"/>
        <x:v>0</x:v>
      </x:c>
      <x:c r="V101" s="12">
        <x:f t="shared" si="55"/>
        <x:v>563858.27341169503</x:v>
      </x:c>
      <x:c r="W101" s="12">
        <x:f t="shared" si="56"/>
        <x:v>0</x:v>
      </x:c>
      <x:c r="X101" s="12">
        <x:f t="shared" si="57"/>
        <x:v>88993.393953058505</x:v>
      </x:c>
      <x:c r="Y101" s="12">
        <x:f t="shared" si="58"/>
        <x:v>0</x:v>
      </x:c>
      <x:c r="Z101" s="12">
        <x:f t="shared" si="59"/>
        <x:v>1033677.5510441168</x:v>
      </x:c>
      <x:c r="AA101" s="9">
        <x:f t="shared" si="60"/>
        <x:v>0</x:v>
      </x:c>
    </x:row>
    <x:row r="102" spans="1:28" s="1" customFormat="1" x14ac:dyDescent="0.25">
      <x:c r="A102" s="15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11"/>
      <x:c r="M102" s="16"/>
      <x:c r="N102" s="13"/>
      <x:c r="O102" s="13"/>
      <x:c r="P102" s="12"/>
      <x:c r="Q102" s="13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9"/>
    </x:row>
    <x:row r="103" spans="1:28" s="1" customFormat="1" x14ac:dyDescent="0.25">
      <x:c r="A103" s="15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11"/>
      <x:c r="M103" s="16"/>
      <x:c r="N103" s="13"/>
      <x:c r="O103" s="13"/>
      <x:c r="P103" s="12"/>
      <x:c r="Q103" s="13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9"/>
    </x:row>
    <x:row r="104" spans="1:28" s="1" customFormat="1" x14ac:dyDescent="0.25">
      <x:c r="A104" s="15">
        <x:v>397.2</x:v>
      </x:c>
      <x:c r="B104" s="4">
        <x:v>360398299.32000154</x:v>
      </x:c>
      <x:c r="C104" s="4">
        <x:v>166543658.08000001</x:v>
      </x:c>
      <x:c r="D104" s="4"/>
      <x:c r="E104" s="4"/>
      <x:c r="F104" s="4">
        <x:v>188300903.41</x:v>
      </x:c>
      <x:c r="G104" s="4"/>
      <x:c r="H104" s="4">
        <x:v>5189735.49</x:v>
      </x:c>
      <x:c r="I104" s="4">
        <x:v>364002.34</x:v>
      </x:c>
      <x:c r="J104" s="4">
        <x:f>C104+F104+H104+I104</x:f>
        <x:v>360398299.31999999</x:v>
      </x:c>
      <x:c r="K104" s="4">
        <x:f>+B104-J104</x:f>
        <x:v>1.5497207641601563E-6</x:v>
      </x:c>
      <x:c r="L104" s="11"/>
      <x:c r="M104" s="16"/>
      <x:c r="N104" s="13">
        <x:v>59789519.743919015</x:v>
      </x:c>
      <x:c r="O104" s="13"/>
      <x:c r="P104" s="12">
        <x:f t="shared" si="61"/>
        <x:v>59789519.743919015</x:v>
      </x:c>
      <x:c r="Q104" s="13"/>
      <x:c r="R104" s="12">
        <x:f>+N104+O104</x:f>
        <x:v>59789519.743919015</x:v>
      </x:c>
      <x:c r="S104" s="12">
        <x:v>27598244.41310107</x:v>
      </x:c>
      <x:c r="T104" s="12">
        <x:f t="shared" ref="T104:Z104" si="62">+D104/$B104*$N104</x:f>
        <x:v>0</x:v>
      </x:c>
      <x:c r="U104" s="12">
        <x:f t="shared" si="62"/>
        <x:v>0</x:v>
      </x:c>
      <x:c r="V104" s="12">
        <x:v>31269918.822698113</x:v>
      </x:c>
      <x:c r="W104" s="12">
        <x:f t="shared" si="62"/>
        <x:v>0</x:v>
      </x:c>
      <x:c r="X104" s="12">
        <x:f t="shared" si="62"/>
        <x:v>860969.0809599543</x:v>
      </x:c>
      <x:c r="Y104" s="12">
        <x:f t="shared" si="62"/>
        <x:v>60387.42451150874</x:v>
      </x:c>
      <x:c r="Z104" s="12">
        <x:f t="shared" si="62"/>
        <x:v>59789519.743918754</x:v>
      </x:c>
      <x:c r="AA104" s="9">
        <x:f>+R104-Z104</x:f>
        <x:v>2.6077032089233398E-7</x:v>
      </x:c>
    </x:row>
    <x:row r="105" spans="1:28" s="1" customFormat="1" x14ac:dyDescent="0.25">
      <x:c r="A105" s="15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11"/>
      <x:c r="M105" s="16"/>
      <x:c r="N105" s="13"/>
      <x:c r="O105" s="13"/>
      <x:c r="P105" s="12"/>
      <x:c r="Q105" s="13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9"/>
    </x:row>
    <x:row r="106" spans="1:28" s="1" customFormat="1" x14ac:dyDescent="0.25">
      <x:c r="A106" s="15" t="s">
        <x:v>52</x:v>
      </x:c>
      <x:c r="B106" s="4"/>
      <x:c r="C106" s="4"/>
      <x:c r="D106" s="4"/>
      <x:c r="E106" s="4"/>
      <x:c r="F106" s="4"/>
      <x:c r="G106" s="4"/>
      <x:c r="H106" s="4"/>
      <x:c r="I106" s="4"/>
      <x:c r="J106" s="4"/>
      <x:c r="K106" s="4">
        <x:f>+B106-J106</x:f>
        <x:v>0</x:v>
      </x:c>
      <x:c r="L106" s="11"/>
      <x:c r="M106" s="16"/>
      <x:c r="N106" s="13">
        <x:v>-1359366.9562186743</x:v>
      </x:c>
      <x:c r="O106" s="13"/>
      <x:c r="P106" s="12">
        <x:f t="shared" si="61"/>
        <x:v>-1359366.9562186743</x:v>
      </x:c>
      <x:c r="Q106" s="13"/>
      <x:c r="R106" s="12">
        <x:v>-1359366.9562186743</x:v>
      </x:c>
      <x:c r="S106" s="13">
        <x:v>-562270.67188850127</x:v>
      </x:c>
      <x:c r="T106" s="12"/>
      <x:c r="U106" s="12"/>
      <x:c r="V106" s="13">
        <x:v>-797096.28433017293</x:v>
      </x:c>
      <x:c r="W106" s="12"/>
      <x:c r="X106" s="12"/>
      <x:c r="Y106" s="12"/>
      <x:c r="Z106" s="12">
        <x:f>+S106+V106</x:f>
        <x:v>-1359366.9562186743</x:v>
      </x:c>
      <x:c r="AA106" s="9">
        <x:f>+R106-Z106</x:f>
        <x:v>0</x:v>
      </x:c>
    </x:row>
    <x:row r="107" spans="1:28" s="1" customFormat="1" x14ac:dyDescent="0.25">
      <x:c r="A107" s="15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11"/>
      <x:c r="M107" s="16"/>
      <x:c r="N107" s="13"/>
      <x:c r="O107" s="13"/>
      <x:c r="P107" s="12"/>
      <x:c r="Q107" s="13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9"/>
    </x:row>
    <x:row r="108" spans="1:28" s="1" customFormat="1" x14ac:dyDescent="0.25">
      <x:c r="A108" s="15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11"/>
      <x:c r="M108" s="16"/>
      <x:c r="N108" s="13"/>
      <x:c r="O108" s="13"/>
      <x:c r="P108" s="12"/>
      <x:c r="Q108" s="13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 spans="1:28" s="1" customFormat="1" x14ac:dyDescent="0.25">
      <x:c r="A109" s="15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11"/>
      <x:c r="M109" s="16"/>
      <x:c r="N109" s="13"/>
      <x:c r="O109" s="13"/>
      <x:c r="P109" s="12"/>
      <x:c r="Q109" s="13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 spans="1:28" s="1" customFormat="1" x14ac:dyDescent="0.25">
      <x:c r="A110" s="15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11"/>
      <x:c r="M110" s="16"/>
      <x:c r="N110" s="13"/>
      <x:c r="O110" s="13"/>
      <x:c r="P110" s="12"/>
      <x:c r="Q110" s="13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 spans="1:28" s="1" customFormat="1" x14ac:dyDescent="0.25">
      <x:c r="A111" s="15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11"/>
      <x:c r="M111" s="16"/>
      <x:c r="N111" s="13"/>
      <x:c r="O111" s="13"/>
      <x:c r="P111" s="12"/>
      <x:c r="Q111" s="13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 spans="1:28" s="1" customFormat="1" x14ac:dyDescent="0.25">
      <x:c r="A112" s="15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11"/>
      <x:c r="M112" s="16"/>
      <x:c r="N112" s="13"/>
      <x:c r="O112" s="13"/>
      <x:c r="P112" s="12">
        <x:f t="shared" si="61"/>
        <x:v>0</x:v>
      </x:c>
      <x:c r="Q112" s="13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 spans="1:27" s="1" customFormat="1" x14ac:dyDescent="0.25">
      <x:c r="A113" s="15" t="s">
        <x:v>21</x:v>
      </x:c>
      <x:c r="B113" s="4">
        <x:f>B19+B21+SUM(B26:B37)+B40+B49+SUM(B51:B67)+B71+SUM(B83:B106)</x:f>
        <x:v>39464576058.27002</x:v>
      </x:c>
      <x:c r="C113" s="4">
        <x:f t="shared" ref="C113:J113" si="63">C19+C21+SUM(C26:C37)+C40+C49+SUM(C51:C67)+C71+SUM(C83:C106)</x:f>
        <x:v>15913151330.124197</x:v>
      </x:c>
      <x:c r="D113" s="4">
        <x:f t="shared" si="63"/>
        <x:v>1703744289.1664076</x:v>
      </x:c>
      <x:c r="E113" s="4">
        <x:f t="shared" si="63"/>
        <x:v>21007909.579999998</x:v>
      </x:c>
      <x:c r="F113" s="4">
        <x:f t="shared" si="63"/>
        <x:v>20470660534.356026</x:v>
      </x:c>
      <x:c r="G113" s="4">
        <x:f t="shared" si="63"/>
        <x:v>141325154.46359217</x:v>
      </x:c>
      <x:c r="H113" s="4">
        <x:f t="shared" si="63"/>
        <x:v>818116593.23856854</x:v>
      </x:c>
      <x:c r="I113" s="4">
        <x:f t="shared" si="63"/>
        <x:v>396570247.11753476</x:v>
      </x:c>
      <x:c r="J113" s="4">
        <x:f t="shared" si="63"/>
        <x:v>39464576058.046326</x:v>
      </x:c>
      <x:c r="K113" s="4">
        <x:f>+B113-J113</x:f>
        <x:v>0.22369384765625</x:v>
      </x:c>
      <x:c r="L113" s="11"/>
      <x:c r="M113" s="16"/>
      <x:c r="N113" s="4">
        <x:f t="shared" ref="N113:O113" si="64">N19+N21+SUM(N26:N37)+N40+N49+SUM(N51:N67)+N71+SUM(N83:N106)</x:f>
        <x:v>1184513259.9383583</x:v>
      </x:c>
      <x:c r="O113" s="4">
        <x:f t="shared" si="64"/>
        <x:v>9990399.5200093072</x:v>
      </x:c>
      <x:c r="P113" s="12">
        <x:f>SUM(N113:O113)</x:f>
        <x:v>1194503659.4583676</x:v>
      </x:c>
      <x:c r="Q113" s="12"/>
      <x:c r="R113" s="4">
        <x:f t="shared" ref="R113:W113" si="65">R19+R21+SUM(R26:R37)+R40+R49+SUM(R51:R67)+R71+SUM(R83:R106)</x:f>
        <x:v>1194503659.4583676</x:v>
      </x:c>
      <x:c r="S113" s="4">
        <x:f>S19+S21+SUM(S26:S37)+S40+S49+SUM(S51:S67)+S71+SUM(S83:S106)</x:f>
        <x:v>430208295.84054929</x:v>
      </x:c>
      <x:c r="T113" s="4">
        <x:f t="shared" si="65"/>
        <x:v>39098651.871441081</x:v>
      </x:c>
      <x:c r="U113" s="4">
        <x:f t="shared" si="65"/>
        <x:v>724347.19103033317</x:v>
      </x:c>
      <x:c r="V113" s="4">
        <x:f t="shared" si="65"/>
        <x:v>651417051.26021504</x:v>
      </x:c>
      <x:c r="W113" s="4">
        <x:f t="shared" si="65"/>
        <x:v>3224043.9530246742</x:v>
      </x:c>
      <x:c r="X113" s="4">
        <x:f t="shared" ref="X113:Z113" si="66">X19+X21+SUM(X26:X37)+X40+X49+SUM(X51:X67)+X71+SUM(X83:X106)</x:f>
        <x:v>29837695.836621802</x:v>
      </x:c>
      <x:c r="Y113" s="4">
        <x:f t="shared" si="66"/>
        <x:v>39993573.496944442</x:v>
      </x:c>
      <x:c r="Z113" s="4">
        <x:f t="shared" si="66"/>
        <x:v>1194503659.4524746</x:v>
      </x:c>
      <x:c r="AA113" s="27">
        <x:f>SUM(S113:Y113)-Z113</x:f>
        <x:v>-2.6481151580810547E-3</x:v>
      </x:c>
    </x:row>
    <x:row r="114" spans="1:27" s="1" customFormat="1" x14ac:dyDescent="0.25">
      <x:c r="A114" s="15"/>
      <x:c r="B114" s="4"/>
      <x:c r="C114" s="4"/>
      <x:c r="D114" s="4"/>
      <x:c r="E114" s="4"/>
      <x:c r="F114" s="4"/>
      <x:c r="G114" s="4"/>
      <x:c r="H114" s="4"/>
      <x:c r="I114" s="4"/>
      <x:c r="J114" s="11"/>
      <x:c r="K114" s="4" t="s">
        <x:v>31</x:v>
      </x:c>
      <x:c r="L114" s="11"/>
      <x:c r="M114" s="16"/>
      <x:c r="N114" s="13"/>
      <x:c r="O114" s="11" t="s">
        <x:v>31</x:v>
      </x:c>
      <x:c r="P114" s="12">
        <x:f t="shared" si="61"/>
        <x:v>0</x:v>
      </x:c>
      <x:c r="Q114" s="11"/>
      <x:c r="R114" s="12" t="s">
        <x:v>31</x:v>
      </x:c>
      <x:c r="S114" s="12"/>
      <x:c r="T114" s="12" t="s">
        <x:v>31</x:v>
      </x:c>
      <x:c r="U114" s="12"/>
      <x:c r="V114" s="12"/>
      <x:c r="W114" s="12"/>
      <x:c r="X114" s="12"/>
      <x:c r="Y114" s="12"/>
      <x:c r="Z114" s="12"/>
    </x:row>
    <x:row r="115" spans="1:27" s="1" customFormat="1" x14ac:dyDescent="0.25">
      <x:c r="A115" s="15"/>
      <x:c r="B115" s="4"/>
      <x:c r="C115" s="4"/>
      <x:c r="D115" s="4"/>
      <x:c r="E115" s="4"/>
      <x:c r="F115" s="4"/>
      <x:c r="G115" s="4"/>
      <x:c r="H115" s="4"/>
      <x:c r="I115" s="4"/>
      <x:c r="J115" s="11"/>
      <x:c r="K115" s="11"/>
      <x:c r="L115" s="11"/>
      <x:c r="M115" s="16"/>
      <x:c r="N115" s="13"/>
      <x:c r="O115" s="13"/>
      <x:c r="P115" s="12">
        <x:f t="shared" si="61"/>
        <x:v>0</x:v>
      </x:c>
      <x:c r="Q115" s="13"/>
      <x:c r="R115" s="13"/>
      <x:c r="S115" s="12"/>
      <x:c r="T115" s="12"/>
      <x:c r="U115" s="12"/>
      <x:c r="V115" s="12"/>
      <x:c r="W115" s="12"/>
      <x:c r="X115" s="12"/>
      <x:c r="Y115" s="12"/>
      <x:c r="Z115" s="12"/>
    </x:row>
    <x:row r="116" spans="1:27" s="1" customFormat="1" x14ac:dyDescent="0.25">
      <x:c r="A116" s="15"/>
      <x:c r="B116" s="4"/>
      <x:c r="C116" s="4"/>
      <x:c r="D116" s="4"/>
      <x:c r="E116" s="4"/>
      <x:c r="F116" s="4"/>
      <x:c r="G116" s="4"/>
      <x:c r="H116" s="4"/>
      <x:c r="I116" s="4"/>
      <x:c r="J116" s="11"/>
      <x:c r="K116" s="11"/>
      <x:c r="L116" s="11"/>
      <x:c r="M116" s="16"/>
      <x:c r="N116" s="13"/>
      <x:c r="O116" s="13"/>
      <x:c r="P116" s="12">
        <x:f t="shared" si="61"/>
        <x:v>0</x:v>
      </x:c>
      <x:c r="Q116" s="13"/>
      <x:c r="R116" s="13"/>
      <x:c r="S116" s="12"/>
      <x:c r="T116" s="12"/>
      <x:c r="U116" s="12"/>
      <x:c r="V116" s="12"/>
      <x:c r="W116" s="12"/>
      <x:c r="X116" s="12"/>
      <x:c r="Y116" s="12"/>
      <x:c r="Z116" s="12"/>
    </x:row>
    <x:row r="117" spans="1:27" s="1" customFormat="1" x14ac:dyDescent="0.25">
      <x:c r="A117" s="15"/>
      <x:c r="B117" s="4"/>
      <x:c r="C117" s="4" t="s">
        <x:v>31</x:v>
      </x:c>
      <x:c r="D117" s="4"/>
      <x:c r="E117" s="4"/>
      <x:c r="F117" s="4"/>
      <x:c r="G117" s="4"/>
      <x:c r="H117" s="4"/>
      <x:c r="I117" s="4"/>
      <x:c r="J117" s="11"/>
      <x:c r="K117" s="11"/>
      <x:c r="L117" s="11"/>
      <x:c r="M117" s="16"/>
      <x:c r="N117" s="13"/>
      <x:c r="O117" s="13"/>
      <x:c r="P117" s="12">
        <x:f t="shared" si="61"/>
        <x:v>0</x:v>
      </x:c>
      <x:c r="Q117" s="13"/>
      <x:c r="R117" s="13">
        <x:v>1194503659.4634693</x:v>
      </x:c>
      <x:c r="S117" s="11"/>
      <x:c r="T117" s="13"/>
      <x:c r="U117" s="13"/>
      <x:c r="V117" s="13"/>
      <x:c r="W117" s="13"/>
      <x:c r="X117" s="13"/>
      <x:c r="Y117" s="13"/>
      <x:c r="Z117" s="13"/>
    </x:row>
    <x:row r="118" spans="1:27" s="1" customFormat="1" x14ac:dyDescent="0.25">
      <x:c r="A118" s="15"/>
      <x:c r="B118" s="4"/>
      <x:c r="C118" s="4"/>
      <x:c r="D118" s="4"/>
      <x:c r="E118" s="4"/>
      <x:c r="F118" s="4"/>
      <x:c r="G118" s="4"/>
      <x:c r="H118" s="4"/>
      <x:c r="I118" s="4"/>
      <x:c r="J118" s="11"/>
      <x:c r="K118" s="11"/>
      <x:c r="L118" s="11"/>
      <x:c r="M118" s="16"/>
      <x:c r="N118" s="13"/>
      <x:c r="O118" s="13"/>
      <x:c r="P118" s="12">
        <x:f t="shared" si="61"/>
        <x:v>0</x:v>
      </x:c>
      <x:c r="Q118" s="13"/>
      <x:c r="R118" s="13"/>
      <x:c r="S118" s="11"/>
      <x:c r="T118" s="13"/>
      <x:c r="U118" s="13"/>
      <x:c r="V118" s="13"/>
      <x:c r="W118" s="13"/>
      <x:c r="X118" s="13"/>
      <x:c r="Y118" s="13"/>
      <x:c r="Z118" s="13"/>
    </x:row>
    <x:row r="119" spans="1:27" s="1" customFormat="1" x14ac:dyDescent="0.25">
      <x:c r="A119" s="15"/>
      <x:c r="B119" s="4"/>
      <x:c r="C119" s="4"/>
      <x:c r="D119" s="4"/>
      <x:c r="E119" s="4"/>
      <x:c r="F119" s="4"/>
      <x:c r="G119" s="4"/>
      <x:c r="H119" s="4"/>
      <x:c r="I119" s="4"/>
      <x:c r="J119" s="11"/>
      <x:c r="K119" s="11"/>
      <x:c r="L119" s="11"/>
      <x:c r="M119" s="16"/>
      <x:c r="N119" s="13"/>
      <x:c r="O119" s="13"/>
      <x:c r="P119" s="12">
        <x:f t="shared" si="61"/>
        <x:v>0</x:v>
      </x:c>
      <x:c r="Q119" s="13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 spans="1:27" s="1" customFormat="1" x14ac:dyDescent="0.25">
      <x:c r="A120" s="15"/>
      <x:c r="B120" s="4"/>
      <x:c r="C120" s="4"/>
      <x:c r="D120" s="4"/>
      <x:c r="E120" s="4"/>
      <x:c r="F120" s="4"/>
      <x:c r="G120" s="4"/>
      <x:c r="H120" s="4"/>
      <x:c r="I120" s="4"/>
      <x:c r="J120" s="11"/>
      <x:c r="K120" s="11"/>
      <x:c r="L120" s="11"/>
      <x:c r="M120" s="16"/>
      <x:c r="N120" s="13"/>
      <x:c r="O120" s="13"/>
      <x:c r="P120" s="12">
        <x:f t="shared" si="61"/>
        <x:v>0</x:v>
      </x:c>
      <x:c r="Q120" s="13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 spans="1:27" s="1" customFormat="1" x14ac:dyDescent="0.25">
      <x:c r="A121" s="15"/>
      <x:c r="B121" s="4"/>
      <x:c r="C121" s="4"/>
      <x:c r="D121" s="4"/>
      <x:c r="E121" s="4"/>
      <x:c r="F121" s="4"/>
      <x:c r="G121" s="4"/>
      <x:c r="H121" s="4"/>
      <x:c r="I121" s="4"/>
      <x:c r="J121" s="11"/>
      <x:c r="K121" s="11"/>
      <x:c r="L121" s="11"/>
      <x:c r="M121" s="16"/>
      <x:c r="N121" s="13"/>
      <x:c r="O121" s="13"/>
      <x:c r="P121" s="12">
        <x:f t="shared" si="61"/>
        <x:v>0</x:v>
      </x:c>
      <x:c r="Q121" s="13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 spans="1:27" s="1" customFormat="1" x14ac:dyDescent="0.25">
      <x:c r="A122" s="15"/>
      <x:c r="B122" s="4"/>
      <x:c r="C122" s="4"/>
      <x:c r="D122" s="4"/>
      <x:c r="E122" s="4"/>
      <x:c r="F122" s="4"/>
      <x:c r="G122" s="4"/>
      <x:c r="H122" s="4"/>
      <x:c r="I122" s="4"/>
      <x:c r="J122" s="11"/>
      <x:c r="K122" s="11"/>
      <x:c r="L122" s="11"/>
      <x:c r="M122" s="16"/>
      <x:c r="N122" s="13"/>
      <x:c r="O122" s="13"/>
      <x:c r="P122" s="12">
        <x:f t="shared" si="61"/>
        <x:v>0</x:v>
      </x:c>
      <x:c r="Q122" s="13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 spans="1:27" s="1" customFormat="1" x14ac:dyDescent="0.25">
      <x:c r="A123" s="15"/>
      <x:c r="B123" s="4"/>
      <x:c r="C123" s="4"/>
      <x:c r="D123" s="4"/>
      <x:c r="E123" s="4"/>
      <x:c r="F123" s="4"/>
      <x:c r="G123" s="4"/>
      <x:c r="H123" s="4"/>
      <x:c r="I123" s="4"/>
      <x:c r="J123" s="11"/>
      <x:c r="K123" s="11"/>
      <x:c r="L123" s="11"/>
      <x:c r="M123" s="16"/>
      <x:c r="N123" s="13"/>
      <x:c r="O123" s="13"/>
      <x:c r="P123" s="12">
        <x:f t="shared" si="61"/>
        <x:v>0</x:v>
      </x:c>
      <x:c r="Q123" s="13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 spans="1:27" s="1" customFormat="1" x14ac:dyDescent="0.25">
      <x:c r="A124" s="15"/>
      <x:c r="B124" s="4"/>
      <x:c r="C124" s="4"/>
      <x:c r="D124" s="4"/>
      <x:c r="E124" s="4"/>
      <x:c r="F124" s="4"/>
      <x:c r="G124" s="4"/>
      <x:c r="H124" s="4"/>
      <x:c r="I124" s="4"/>
      <x:c r="J124" s="11"/>
      <x:c r="K124" s="11"/>
      <x:c r="L124" s="11"/>
      <x:c r="M124" s="16"/>
      <x:c r="N124" s="13"/>
      <x:c r="O124" s="13"/>
      <x:c r="P124" s="12">
        <x:f t="shared" si="61"/>
        <x:v>0</x:v>
      </x:c>
      <x:c r="Q124" s="13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 spans="1:27" s="1" customFormat="1" x14ac:dyDescent="0.25">
      <x:c r="A125" s="15"/>
      <x:c r="B125" s="4"/>
      <x:c r="C125" s="4"/>
      <x:c r="D125" s="4"/>
      <x:c r="E125" s="4"/>
      <x:c r="F125" s="4"/>
      <x:c r="G125" s="4"/>
      <x:c r="H125" s="4"/>
      <x:c r="I125" s="4"/>
      <x:c r="J125" s="11"/>
      <x:c r="K125" s="11"/>
      <x:c r="L125" s="11"/>
      <x:c r="M125" s="16"/>
      <x:c r="N125" s="13"/>
      <x:c r="O125" s="13"/>
      <x:c r="P125" s="12">
        <x:f t="shared" si="61"/>
        <x:v>0</x:v>
      </x:c>
      <x:c r="Q125" s="13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 spans="1:27" s="1" customFormat="1" x14ac:dyDescent="0.25">
      <x:c r="A126" s="15"/>
      <x:c r="B126" s="4"/>
      <x:c r="C126" s="4"/>
      <x:c r="D126" s="4"/>
      <x:c r="E126" s="4"/>
      <x:c r="F126" s="4"/>
      <x:c r="G126" s="4"/>
      <x:c r="H126" s="4"/>
      <x:c r="I126" s="4"/>
      <x:c r="J126" s="11"/>
      <x:c r="K126" s="11"/>
      <x:c r="L126" s="11"/>
      <x:c r="M126" s="16"/>
      <x:c r="N126" s="13"/>
      <x:c r="O126" s="11"/>
      <x:c r="P126" s="12">
        <x:f t="shared" si="61"/>
        <x:v>0</x:v>
      </x:c>
      <x:c r="Q126" s="11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 spans="1:27" s="1" customFormat="1" x14ac:dyDescent="0.25">
      <x:c r="A127" s="15"/>
      <x:c r="B127" s="4"/>
      <x:c r="C127" s="4"/>
      <x:c r="D127" s="4"/>
      <x:c r="E127" s="4"/>
      <x:c r="F127" s="4"/>
      <x:c r="G127" s="4"/>
      <x:c r="H127" s="4"/>
      <x:c r="I127" s="4"/>
      <x:c r="J127" s="11"/>
      <x:c r="K127" s="11"/>
      <x:c r="L127" s="11"/>
      <x:c r="M127" s="16"/>
      <x:c r="N127" s="13"/>
      <x:c r="O127" s="11"/>
      <x:c r="P127" s="12">
        <x:f t="shared" si="61"/>
        <x:v>0</x:v>
      </x:c>
      <x:c r="Q127" s="11"/>
      <x:c r="R127" s="11"/>
      <x:c r="S127" s="12"/>
      <x:c r="T127" s="11"/>
      <x:c r="U127" s="11"/>
      <x:c r="V127" s="11"/>
      <x:c r="W127" s="11"/>
      <x:c r="X127" s="11"/>
      <x:c r="Y127" s="11"/>
      <x:c r="Z127" s="11"/>
    </x:row>
    <x:row r="128" spans="1:27" s="1" customFormat="1" x14ac:dyDescent="0.25">
      <x:c r="A128" s="15"/>
      <x:c r="B128" s="4"/>
      <x:c r="C128" s="4"/>
      <x:c r="D128" s="4"/>
      <x:c r="E128" s="4"/>
      <x:c r="F128" s="4"/>
      <x:c r="G128" s="4"/>
      <x:c r="H128" s="4"/>
      <x:c r="I128" s="4"/>
      <x:c r="J128" s="11"/>
      <x:c r="K128" s="11"/>
      <x:c r="L128" s="11"/>
      <x:c r="M128" s="16"/>
      <x:c r="N128" s="13"/>
      <x:c r="O128" s="11"/>
      <x:c r="P128" s="12">
        <x:f t="shared" si="61"/>
        <x:v>0</x:v>
      </x:c>
      <x:c r="Q128" s="11"/>
      <x:c r="R128" s="12"/>
      <x:c r="S128" s="11"/>
      <x:c r="T128" s="11"/>
      <x:c r="U128" s="11"/>
      <x:c r="V128" s="11"/>
      <x:c r="W128" s="11"/>
      <x:c r="X128" s="11"/>
      <x:c r="Y128" s="11"/>
      <x:c r="Z128" s="11"/>
    </x:row>
    <x:row r="129" spans="1:26" x14ac:dyDescent="0.25">
      <x:c r="A129" s="15"/>
      <x:c r="B129" s="4"/>
      <x:c r="C129" s="4"/>
      <x:c r="D129" s="4"/>
      <x:c r="E129" s="4"/>
      <x:c r="F129" s="4"/>
      <x:c r="G129" s="4"/>
      <x:c r="H129" s="4"/>
      <x:c r="I129" s="4"/>
      <x:c r="J129" s="11"/>
      <x:c r="K129" s="11"/>
      <x:c r="L129" s="11"/>
      <x:c r="M129" s="16"/>
      <x:c r="N129" s="13"/>
      <x:c r="O129" s="11"/>
      <x:c r="P129" s="12">
        <x:f t="shared" si="61"/>
        <x:v>0</x:v>
      </x:c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 spans="1:26" x14ac:dyDescent="0.25">
      <x:c r="A130" s="15"/>
      <x:c r="B130" s="4"/>
      <x:c r="C130" s="4"/>
      <x:c r="D130" s="4"/>
      <x:c r="E130" s="4"/>
      <x:c r="F130" s="4"/>
      <x:c r="G130" s="4"/>
      <x:c r="H130" s="4"/>
      <x:c r="I130" s="4"/>
      <x:c r="J130" s="11"/>
      <x:c r="K130" s="11"/>
      <x:c r="L130" s="11"/>
      <x:c r="M130" s="16"/>
      <x:c r="N130" s="13"/>
      <x:c r="O130" s="11"/>
      <x:c r="P130" s="12">
        <x:f t="shared" si="61"/>
        <x:v>0</x:v>
      </x:c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 spans="1:26" x14ac:dyDescent="0.25">
      <x:c r="A131" s="15"/>
      <x:c r="B131" s="4"/>
      <x:c r="C131" s="4"/>
      <x:c r="D131" s="4"/>
      <x:c r="E131" s="4"/>
      <x:c r="F131" s="4"/>
      <x:c r="G131" s="4"/>
      <x:c r="H131" s="4"/>
      <x:c r="I131" s="4"/>
      <x:c r="J131" s="11"/>
      <x:c r="K131" s="11"/>
      <x:c r="L131" s="11"/>
      <x:c r="M131" s="16"/>
      <x:c r="N131" s="13"/>
      <x:c r="O131" s="11"/>
      <x:c r="P131" s="12">
        <x:f t="shared" si="61"/>
        <x:v>0</x:v>
      </x:c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 spans="1:26" x14ac:dyDescent="0.25">
      <x:c r="A132" s="15"/>
      <x:c r="B132" s="4"/>
      <x:c r="C132" s="4"/>
      <x:c r="D132" s="4"/>
      <x:c r="E132" s="4"/>
      <x:c r="F132" s="4"/>
      <x:c r="G132" s="4"/>
      <x:c r="H132" s="4"/>
      <x:c r="I132" s="4"/>
      <x:c r="J132" s="11"/>
      <x:c r="K132" s="11"/>
      <x:c r="L132" s="11"/>
      <x:c r="M132" s="16"/>
      <x:c r="N132" s="13"/>
      <x:c r="O132" s="11"/>
      <x:c r="P132" s="12">
        <x:f t="shared" si="61"/>
        <x:v>0</x:v>
      </x:c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 spans="1:26" x14ac:dyDescent="0.25">
      <x:c r="A133" s="15"/>
      <x:c r="B133" s="4"/>
      <x:c r="C133" s="4"/>
      <x:c r="D133" s="4"/>
      <x:c r="E133" s="4"/>
      <x:c r="F133" s="4"/>
      <x:c r="G133" s="4"/>
      <x:c r="H133" s="4"/>
      <x:c r="I133" s="4"/>
      <x:c r="J133" s="11"/>
      <x:c r="K133" s="11"/>
      <x:c r="L133" s="11"/>
      <x:c r="M133" s="16"/>
      <x:c r="N133" s="13"/>
      <x:c r="O133" s="11"/>
      <x:c r="P133" s="12">
        <x:f t="shared" si="61"/>
        <x:v>0</x:v>
      </x:c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 spans="1:26" x14ac:dyDescent="0.25">
      <x:c r="A134" s="15"/>
      <x:c r="B134" s="4"/>
      <x:c r="C134" s="4"/>
      <x:c r="D134" s="4"/>
      <x:c r="E134" s="4"/>
      <x:c r="F134" s="4"/>
      <x:c r="G134" s="4"/>
      <x:c r="H134" s="4"/>
      <x:c r="I134" s="4"/>
      <x:c r="J134" s="11"/>
      <x:c r="K134" s="11"/>
      <x:c r="L134" s="11"/>
      <x:c r="M134" s="16"/>
      <x:c r="N134" s="13"/>
      <x:c r="O134" s="11"/>
      <x:c r="P134" s="12">
        <x:f t="shared" si="61"/>
        <x:v>0</x:v>
      </x:c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 spans="1:26" x14ac:dyDescent="0.25">
      <x:c r="A135" s="15"/>
      <x:c r="B135" s="4"/>
      <x:c r="C135" s="4"/>
      <x:c r="D135" s="4"/>
      <x:c r="E135" s="4"/>
      <x:c r="F135" s="4"/>
      <x:c r="G135" s="4"/>
      <x:c r="H135" s="4"/>
      <x:c r="I135" s="4"/>
      <x:c r="J135" s="11"/>
      <x:c r="K135" s="11"/>
      <x:c r="L135" s="11"/>
      <x:c r="M135" s="16"/>
      <x:c r="N135" s="13"/>
      <x:c r="O135" s="11"/>
      <x:c r="P135" s="12">
        <x:f t="shared" si="61"/>
        <x:v>0</x:v>
      </x:c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 spans="1:26" x14ac:dyDescent="0.25">
      <x:c r="A136" s="15"/>
      <x:c r="B136" s="4"/>
      <x:c r="C136" s="4"/>
      <x:c r="D136" s="4"/>
      <x:c r="E136" s="4"/>
      <x:c r="F136" s="4"/>
      <x:c r="G136" s="4"/>
      <x:c r="H136" s="4"/>
      <x:c r="I136" s="4"/>
      <x:c r="J136" s="11"/>
      <x:c r="K136" s="11"/>
      <x:c r="L136" s="11"/>
      <x:c r="M136" s="16"/>
      <x:c r="N136" s="13"/>
      <x:c r="O136" s="11"/>
      <x:c r="P136" s="12">
        <x:f t="shared" si="61"/>
        <x:v>0</x:v>
      </x:c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 spans="1:26" x14ac:dyDescent="0.25">
      <x:c r="A137" s="15"/>
      <x:c r="B137" s="4"/>
      <x:c r="C137" s="4"/>
      <x:c r="D137" s="4"/>
      <x:c r="E137" s="4"/>
      <x:c r="F137" s="4"/>
      <x:c r="G137" s="4"/>
      <x:c r="H137" s="4"/>
      <x:c r="I137" s="4"/>
      <x:c r="J137" s="11"/>
      <x:c r="K137" s="11"/>
      <x:c r="L137" s="11"/>
      <x:c r="M137" s="16"/>
      <x:c r="N137" s="13"/>
      <x:c r="O137" s="11"/>
      <x:c r="P137" s="12">
        <x:f t="shared" si="61"/>
        <x:v>0</x:v>
      </x:c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 spans="1:26" x14ac:dyDescent="0.25">
      <x:c r="A138" s="15"/>
      <x:c r="B138" s="4"/>
      <x:c r="C138" s="4"/>
      <x:c r="D138" s="4"/>
      <x:c r="E138" s="4"/>
      <x:c r="F138" s="4"/>
      <x:c r="G138" s="4"/>
      <x:c r="H138" s="4"/>
      <x:c r="I138" s="4"/>
      <x:c r="J138" s="11"/>
      <x:c r="K138" s="11"/>
      <x:c r="L138" s="11"/>
      <x:c r="M138" s="16"/>
      <x:c r="N138" s="13"/>
      <x:c r="O138" s="11"/>
      <x:c r="P138" s="12">
        <x:f t="shared" si="61"/>
        <x:v>0</x:v>
      </x:c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 spans="1:26" x14ac:dyDescent="0.25">
      <x:c r="A139" s="15"/>
      <x:c r="B139" s="4"/>
      <x:c r="C139" s="4"/>
      <x:c r="D139" s="4"/>
      <x:c r="E139" s="4"/>
      <x:c r="F139" s="4"/>
      <x:c r="G139" s="4"/>
      <x:c r="H139" s="4"/>
      <x:c r="I139" s="4"/>
      <x:c r="J139" s="11"/>
      <x:c r="K139" s="11"/>
      <x:c r="L139" s="11"/>
      <x:c r="M139" s="16"/>
      <x:c r="N139" s="13"/>
      <x:c r="O139" s="11"/>
      <x:c r="P139" s="12">
        <x:f t="shared" si="61"/>
        <x:v>0</x:v>
      </x:c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 spans="1:26" x14ac:dyDescent="0.25">
      <x:c r="A140" s="15"/>
      <x:c r="B140" s="4"/>
      <x:c r="C140" s="4"/>
      <x:c r="D140" s="4"/>
      <x:c r="E140" s="4"/>
      <x:c r="F140" s="4"/>
      <x:c r="G140" s="4"/>
      <x:c r="H140" s="4"/>
      <x:c r="I140" s="4"/>
      <x:c r="J140" s="11"/>
      <x:c r="K140" s="11"/>
      <x:c r="L140" s="11"/>
      <x:c r="M140" s="16"/>
      <x:c r="N140" s="13"/>
      <x:c r="O140" s="11"/>
      <x:c r="P140" s="12">
        <x:f t="shared" si="61"/>
        <x:v>0</x:v>
      </x:c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 spans="1:26" x14ac:dyDescent="0.25">
      <x:c r="A141" s="15"/>
      <x:c r="B141" s="4"/>
      <x:c r="C141" s="4"/>
      <x:c r="D141" s="4"/>
      <x:c r="E141" s="4"/>
      <x:c r="F141" s="4"/>
      <x:c r="G141" s="4"/>
      <x:c r="H141" s="4"/>
      <x:c r="I141" s="4"/>
      <x:c r="J141" s="11"/>
      <x:c r="K141" s="11"/>
      <x:c r="L141" s="11"/>
      <x:c r="M141" s="16"/>
      <x:c r="N141" s="13"/>
      <x:c r="O141" s="11"/>
      <x:c r="P141" s="12">
        <x:f t="shared" si="61"/>
        <x:v>0</x:v>
      </x:c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 spans="1:26" x14ac:dyDescent="0.25">
      <x:c r="A142" s="15"/>
      <x:c r="B142" s="4"/>
      <x:c r="C142" s="4"/>
      <x:c r="D142" s="4"/>
      <x:c r="E142" s="4"/>
      <x:c r="F142" s="4"/>
      <x:c r="G142" s="4"/>
      <x:c r="H142" s="4"/>
      <x:c r="I142" s="4"/>
      <x:c r="J142" s="11"/>
      <x:c r="K142" s="11"/>
      <x:c r="L142" s="11"/>
      <x:c r="M142" s="16"/>
      <x:c r="N142" s="13"/>
      <x:c r="O142" s="11"/>
      <x:c r="P142" s="12">
        <x:f t="shared" si="61"/>
        <x:v>0</x:v>
      </x:c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 spans="1:26" x14ac:dyDescent="0.25">
      <x:c r="A143" s="15"/>
      <x:c r="B143" s="4"/>
      <x:c r="C143" s="4"/>
      <x:c r="D143" s="4"/>
      <x:c r="E143" s="4"/>
      <x:c r="F143" s="4"/>
      <x:c r="G143" s="4"/>
      <x:c r="H143" s="4"/>
      <x:c r="I143" s="4"/>
      <x:c r="J143" s="11"/>
      <x:c r="K143" s="11"/>
      <x:c r="L143" s="11"/>
      <x:c r="M143" s="16"/>
      <x:c r="N143" s="13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 spans="1:26" x14ac:dyDescent="0.25">
      <x:c r="A144" s="15"/>
      <x:c r="B144" s="4"/>
      <x:c r="C144" s="4"/>
      <x:c r="D144" s="4"/>
      <x:c r="E144" s="4"/>
      <x:c r="F144" s="4"/>
      <x:c r="G144" s="4"/>
      <x:c r="H144" s="4"/>
      <x:c r="I144" s="4"/>
      <x:c r="J144" s="11"/>
      <x:c r="K144" s="11"/>
      <x:c r="L144" s="11"/>
      <x:c r="M144" s="16"/>
      <x:c r="N144" s="13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 spans="1:26" x14ac:dyDescent="0.25">
      <x:c r="A145" s="15"/>
      <x:c r="B145" s="4"/>
      <x:c r="C145" s="4"/>
      <x:c r="D145" s="4"/>
      <x:c r="E145" s="4"/>
      <x:c r="F145" s="4"/>
      <x:c r="G145" s="4"/>
      <x:c r="H145" s="4"/>
      <x:c r="I145" s="4"/>
      <x:c r="J145" s="11"/>
      <x:c r="K145" s="11"/>
      <x:c r="L145" s="11"/>
      <x:c r="M145" s="16"/>
      <x:c r="N145" s="13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 spans="1:26" x14ac:dyDescent="0.25">
      <x:c r="A146" s="15"/>
      <x:c r="B146" s="4"/>
      <x:c r="C146" s="4"/>
      <x:c r="D146" s="4"/>
      <x:c r="E146" s="4"/>
      <x:c r="F146" s="4"/>
      <x:c r="G146" s="4"/>
      <x:c r="H146" s="4"/>
      <x:c r="I146" s="4"/>
      <x:c r="J146" s="11"/>
      <x:c r="K146" s="11"/>
      <x:c r="L146" s="11"/>
      <x:c r="M146" s="16"/>
      <x:c r="N146" s="13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 spans="1:26" x14ac:dyDescent="0.25">
      <x:c r="A147" s="15"/>
      <x:c r="B147" s="4"/>
      <x:c r="C147" s="4"/>
      <x:c r="D147" s="4"/>
      <x:c r="E147" s="4"/>
      <x:c r="F147" s="4"/>
      <x:c r="G147" s="4"/>
      <x:c r="H147" s="4"/>
      <x:c r="I147" s="4"/>
      <x:c r="J147" s="11"/>
      <x:c r="K147" s="11"/>
      <x:c r="L147" s="11"/>
      <x:c r="M147" s="16"/>
      <x:c r="N147" s="13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 spans="1:26" x14ac:dyDescent="0.25">
      <x:c r="A148" s="15"/>
      <x:c r="B148" s="4"/>
      <x:c r="C148" s="4"/>
      <x:c r="D148" s="4"/>
      <x:c r="E148" s="4"/>
      <x:c r="F148" s="4"/>
      <x:c r="G148" s="4"/>
      <x:c r="H148" s="4"/>
      <x:c r="I148" s="4"/>
      <x:c r="J148" s="11"/>
      <x:c r="K148" s="11"/>
      <x:c r="L148" s="11"/>
      <x:c r="M148" s="16"/>
      <x:c r="N148" s="13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 spans="1:26" x14ac:dyDescent="0.25">
      <x:c r="A149" s="15"/>
      <x:c r="B149" s="4"/>
      <x:c r="C149" s="4"/>
      <x:c r="D149" s="4"/>
      <x:c r="E149" s="4"/>
      <x:c r="F149" s="4"/>
      <x:c r="G149" s="4"/>
      <x:c r="H149" s="4"/>
      <x:c r="I149" s="4"/>
      <x:c r="J149" s="11"/>
      <x:c r="K149" s="11"/>
      <x:c r="L149" s="11"/>
      <x:c r="M149" s="16"/>
      <x:c r="N149" s="13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 spans="1:26" x14ac:dyDescent="0.25">
      <x:c r="A150" s="15"/>
      <x:c r="B150" s="4"/>
      <x:c r="C150" s="4"/>
      <x:c r="D150" s="4"/>
      <x:c r="E150" s="4"/>
      <x:c r="F150" s="4"/>
      <x:c r="G150" s="4"/>
      <x:c r="H150" s="4"/>
      <x:c r="I150" s="4"/>
      <x:c r="J150" s="11"/>
      <x:c r="K150" s="11"/>
      <x:c r="L150" s="11"/>
      <x:c r="M150" s="16"/>
      <x:c r="N150" s="13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 spans="1:26" x14ac:dyDescent="0.25">
      <x:c r="A151" s="15"/>
      <x:c r="B151" s="4"/>
      <x:c r="C151" s="4"/>
      <x:c r="D151" s="4"/>
      <x:c r="E151" s="4"/>
      <x:c r="F151" s="4"/>
      <x:c r="G151" s="4"/>
      <x:c r="H151" s="4"/>
      <x:c r="I151" s="4"/>
      <x:c r="J151" s="11"/>
      <x:c r="K151" s="11"/>
      <x:c r="L151" s="11"/>
      <x:c r="M151" s="16"/>
      <x:c r="N151" s="13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 spans="1:26" x14ac:dyDescent="0.25">
      <x:c r="A152" s="15"/>
      <x:c r="B152" s="4"/>
      <x:c r="C152" s="4"/>
      <x:c r="D152" s="4"/>
      <x:c r="E152" s="4"/>
      <x:c r="F152" s="4"/>
      <x:c r="G152" s="4"/>
      <x:c r="H152" s="4"/>
      <x:c r="I152" s="4"/>
      <x:c r="J152" s="11"/>
      <x:c r="K152" s="11"/>
      <x:c r="L152" s="11"/>
      <x:c r="M152" s="16"/>
      <x:c r="N152" s="13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 spans="1:26" x14ac:dyDescent="0.25">
      <x:c r="A153" s="15"/>
      <x:c r="B153" s="4"/>
      <x:c r="C153" s="4"/>
      <x:c r="D153" s="4"/>
      <x:c r="E153" s="4"/>
      <x:c r="F153" s="4"/>
      <x:c r="G153" s="4"/>
      <x:c r="H153" s="4"/>
      <x:c r="I153" s="4"/>
      <x:c r="J153" s="11"/>
      <x:c r="K153" s="11"/>
      <x:c r="L153" s="11"/>
      <x:c r="M153" s="16"/>
      <x:c r="N153" s="13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 spans="1:26" x14ac:dyDescent="0.25">
      <x:c r="A154" s="15"/>
      <x:c r="B154" s="4"/>
      <x:c r="C154" s="4"/>
      <x:c r="D154" s="4"/>
      <x:c r="E154" s="4"/>
      <x:c r="F154" s="4"/>
      <x:c r="G154" s="4"/>
      <x:c r="H154" s="4"/>
      <x:c r="I154" s="4"/>
      <x:c r="J154" s="11"/>
      <x:c r="K154" s="11"/>
      <x:c r="L154" s="11"/>
      <x:c r="M154" s="16"/>
      <x:c r="N154" s="13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 spans="1:26" x14ac:dyDescent="0.25">
      <x:c r="A155" s="15"/>
      <x:c r="B155" s="4"/>
      <x:c r="C155" s="4"/>
      <x:c r="D155" s="4"/>
      <x:c r="E155" s="4"/>
      <x:c r="F155" s="4"/>
      <x:c r="G155" s="4"/>
      <x:c r="H155" s="4"/>
      <x:c r="I155" s="4"/>
      <x:c r="J155" s="11"/>
      <x:c r="K155" s="11"/>
      <x:c r="L155" s="11"/>
      <x:c r="M155" s="16"/>
      <x:c r="N155" s="13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 spans="1:26" x14ac:dyDescent="0.25">
      <x:c r="A156" s="15"/>
      <x:c r="B156" s="4"/>
      <x:c r="C156" s="4"/>
      <x:c r="D156" s="4"/>
      <x:c r="E156" s="4"/>
      <x:c r="F156" s="4"/>
      <x:c r="G156" s="4"/>
      <x:c r="H156" s="4"/>
      <x:c r="I156" s="4"/>
      <x:c r="J156" s="11"/>
      <x:c r="K156" s="11"/>
      <x:c r="L156" s="11"/>
      <x:c r="M156" s="16"/>
      <x:c r="N156" s="13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 spans="1:26" x14ac:dyDescent="0.25">
      <x:c r="A157" s="15"/>
      <x:c r="B157" s="4"/>
      <x:c r="C157" s="4"/>
      <x:c r="D157" s="4"/>
      <x:c r="E157" s="4"/>
      <x:c r="F157" s="4"/>
      <x:c r="G157" s="4"/>
      <x:c r="H157" s="4"/>
      <x:c r="I157" s="4"/>
      <x:c r="J157" s="11"/>
      <x:c r="K157" s="11"/>
      <x:c r="L157" s="11"/>
      <x:c r="M157" s="16"/>
      <x:c r="N157" s="13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 spans="1:26" x14ac:dyDescent="0.25">
      <x:c r="A158" s="15"/>
      <x:c r="B158" s="4"/>
      <x:c r="C158" s="4"/>
      <x:c r="D158" s="4"/>
      <x:c r="E158" s="4"/>
      <x:c r="F158" s="4"/>
      <x:c r="G158" s="4"/>
      <x:c r="H158" s="4"/>
      <x:c r="I158" s="4"/>
      <x:c r="J158" s="11"/>
      <x:c r="K158" s="11"/>
      <x:c r="L158" s="11"/>
      <x:c r="M158" s="16"/>
      <x:c r="N158" s="13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 spans="1:26" x14ac:dyDescent="0.25">
      <x:c r="A159" s="15"/>
      <x:c r="B159" s="4"/>
      <x:c r="C159" s="4"/>
      <x:c r="D159" s="4"/>
      <x:c r="E159" s="4"/>
      <x:c r="F159" s="4"/>
      <x:c r="G159" s="4"/>
      <x:c r="H159" s="4"/>
      <x:c r="I159" s="4"/>
      <x:c r="J159" s="11"/>
      <x:c r="K159" s="11"/>
      <x:c r="L159" s="11"/>
      <x:c r="M159" s="16"/>
      <x:c r="N159" s="13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 spans="1:26" x14ac:dyDescent="0.25">
      <x:c r="A160" s="15"/>
      <x:c r="B160" s="4"/>
      <x:c r="C160" s="4"/>
      <x:c r="D160" s="4"/>
      <x:c r="E160" s="4"/>
      <x:c r="F160" s="4"/>
      <x:c r="G160" s="4"/>
      <x:c r="H160" s="4"/>
      <x:c r="I160" s="4"/>
      <x:c r="J160" s="11"/>
      <x:c r="K160" s="11"/>
      <x:c r="L160" s="11"/>
      <x:c r="M160" s="16"/>
      <x:c r="N160" s="13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 spans="1:26" x14ac:dyDescent="0.25">
      <x:c r="A161" s="15"/>
      <x:c r="B161" s="4"/>
      <x:c r="C161" s="4"/>
      <x:c r="D161" s="4"/>
      <x:c r="E161" s="4"/>
      <x:c r="F161" s="4"/>
      <x:c r="G161" s="4"/>
      <x:c r="H161" s="4"/>
      <x:c r="I161" s="4"/>
      <x:c r="J161" s="11"/>
      <x:c r="K161" s="11"/>
      <x:c r="L161" s="11"/>
      <x:c r="M161" s="16"/>
      <x:c r="N161" s="13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</x:sheetData>
  <x:pageMargins left="0.75" right="0.75" top="2" bottom="1" header="0.75" footer="0.5"/>
  <x:pageSetup scale="45" fitToWidth="4" orientation="landscape" r:id="rId1"/>
  <x:headerFooter>
    <x:oddHeader>&amp;C&amp;"Arial,Bold"&amp;12
2025 RATE CASE
ONCOR ELECTRIC DELIVERY LLC
WP/II-E-1_02 PROPOSED EXPENSE 
FOR THE TEST YEAR ENDING DECEMBER 31, 2024
SPONSOR: D. A. WATSON&amp;R&amp;"Arial,Bold"&amp;12WP/II-E-1/02 
Page 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2025-04-24T19:10:21.0000000Z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