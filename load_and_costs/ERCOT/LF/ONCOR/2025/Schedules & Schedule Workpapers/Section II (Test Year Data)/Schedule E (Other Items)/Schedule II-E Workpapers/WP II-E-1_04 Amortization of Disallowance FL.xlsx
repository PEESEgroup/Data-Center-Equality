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codeName="ThisWorkbook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E (Other Items)\Schedule II-E Workpapers\"/>
    </mc:Choice>
  </mc:AlternateContent>
  <xr:revisionPtr revIDLastSave="0" documentId="13_ncr:1_{D7898BFE-E511-4928-AEE0-B83AA2B5FC25}" xr6:coauthVersionLast="47" xr6:coauthVersionMax="47" xr10:uidLastSave="{00000000-0000-0000-0000-000000000000}"/>
  <x:bookViews>
    <x:workbookView xWindow="-28920" yWindow="-120" windowWidth="29040" windowHeight="15720" xr2:uid="{00000000-000D-0000-FFFF-FFFF00000000}"/>
  </x:bookViews>
  <x:sheets>
    <x:sheet name="WP II-E-1_04" sheetId="1" r:id="rId1"/>
  </x:sheets>
  <x:definedNames>
    <x:definedName name="_xlnm.Print_Titles" localSheetId="0">'WP II-E-1_04'!$1:$8</x:definedName>
  </x:definedNames>
  <x:calcPr calcId="191029" iterate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G57" i="1" l="1"/>
  <x:c r="F51" i="1"/>
  <x:c r="H18" i="1"/>
  <x:c r="H29" i="1"/>
  <x:c r="H28" i="1"/>
  <x:c r="H27" i="1"/>
  <x:c r="H26" i="1"/>
  <x:c r="H25" i="1"/>
  <x:c r="H24" i="1"/>
  <x:c r="H23" i="1"/>
  <x:c r="H22" i="1"/>
  <x:c r="H21" i="1"/>
  <x:c r="H20" i="1"/>
  <x:c r="H19" i="1"/>
  <x:c r="H17" i="1"/>
  <x:c r="H30" i="1" l="1"/>
  <x:c r="H40" i="1" l="1"/>
  <x:c r="H39" i="1"/>
  <x:c r="H38" i="1"/>
  <x:c r="H42" i="1" l="1"/>
  <x:c r="H43" i="1"/>
  <x:c r="H44" i="1"/>
  <x:c r="H45" i="1"/>
  <x:c r="H46" i="1"/>
  <x:c r="H47" i="1"/>
  <x:c r="H48" i="1"/>
  <x:c r="H49" i="1"/>
  <x:c r="H50" i="1"/>
  <x:c r="H41" i="1"/>
  <x:c r="H51" i="1" l="1"/>
  <x:c r="G58" i="1" l="1"/>
  <x:c r="G59" i="1"/>
</x:calcChain>
</file>

<file path=xl/sharedStrings.xml><?xml version="1.0" encoding="utf-8"?>
<sst xmlns="http://schemas.openxmlformats.org/spreadsheetml/2006/main" count="187" uniqueCount="25">
  <si>
    <t>TRAN</t>
  </si>
  <si>
    <t>Line Description</t>
  </si>
  <si>
    <t>Amount</t>
  </si>
  <si>
    <t>Account</t>
  </si>
  <si>
    <t>Period</t>
  </si>
  <si>
    <t>Year</t>
  </si>
  <si>
    <t>Journal ID</t>
  </si>
  <si>
    <t>Unit</t>
  </si>
  <si>
    <t>2024 Test Year amortization</t>
  </si>
  <si>
    <t>DIST</t>
  </si>
  <si>
    <t>Account 403 for TRAN</t>
  </si>
  <si>
    <t>Account 403 for DIST</t>
  </si>
  <si>
    <t>0000986998</t>
  </si>
  <si>
    <t>0001000630</t>
  </si>
  <si>
    <t>0001003652</t>
  </si>
  <si>
    <t>Amort Disallow Dkt 53601</t>
  </si>
  <si>
    <t>1161100</t>
  </si>
  <si>
    <t>Unamortized Balance - Docket No. 53601 Disallowance at 12-31-2024</t>
  </si>
  <si>
    <t>Docket No. 53601 set amortization based on a 15-year depreciable life.  Amortization expense is booked to account 403.</t>
  </si>
  <si>
    <t>Docket No. 53601 amortization period in years</t>
  </si>
  <si>
    <t xml:space="preserve">Docket No. 53601 Disallowance </t>
  </si>
  <si>
    <t>Reference WP/Sch II-B-1/15</t>
  </si>
  <si>
    <t>Annual amortization based on the 15-year life (reduction to depreciation expense)</t>
  </si>
  <si>
    <t>Remaining amortization period in years based on the 15-year depreciable life</t>
  </si>
  <si>
    <t>Docket No. 53601 Disallowance - Amortization Schedule (effective with Docket No. 53601 approved rates; beginning May 1,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</si>
</sst>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&quot;$&quot;* #,##0_);_(&quot;$&quot;* \(#,##0\);_(&quot;$&quot;* &quot;-&quot;??_);_(@_)"/>
    <numFmt numFmtId="166" formatCode="_(* #,##0_);_(* \(#,##0\);_(* &quot;-&quot;??_);_(@_)"/>
  </numFmts>
  <fonts count="6" x14ac:knownFonts="1"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i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Fill="1"/>
    <xf numFmtId="0" fontId="1" fillId="0" borderId="0" xfId="0" applyFont="1" applyFill="1"/>
    <xf numFmtId="39" fontId="1" fillId="0" borderId="0" xfId="0" applyNumberFormat="1" applyFont="1" applyFill="1"/>
    <xf numFmtId="0" fontId="2" fillId="0" borderId="0" xfId="0" applyFont="1" applyFill="1" applyAlignment="1">
      <alignment horizontal="center" wrapText="1"/>
    </xf>
    <xf numFmtId="39" fontId="2" fillId="0" borderId="0" xfId="0" applyNumberFormat="1" applyFont="1" applyFill="1" applyAlignment="1">
      <alignment horizontal="center" wrapText="1"/>
    </xf>
    <xf numFmtId="0" fontId="1" fillId="0" borderId="0" xfId="0" applyFont="1" applyFill="1" applyAlignment="1">
      <alignment horizontal="center"/>
    </xf>
    <xf numFmtId="44" fontId="1" fillId="0" borderId="0" xfId="2" applyFont="1" applyFill="1"/>
    <xf numFmtId="164" fontId="1" fillId="0" borderId="0" xfId="1" applyNumberFormat="1" applyFont="1" applyFill="1"/>
    <xf numFmtId="0" fontId="1" fillId="0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39" fontId="1" fillId="2" borderId="0" xfId="0" applyNumberFormat="1" applyFont="1" applyFill="1"/>
    <xf numFmtId="39" fontId="1" fillId="2" borderId="1" xfId="0" applyNumberFormat="1" applyFont="1" applyFill="1" applyBorder="1"/>
    <xf numFmtId="165" fontId="1" fillId="0" borderId="0" xfId="2" applyNumberFormat="1" applyFont="1" applyFill="1"/>
    <xf numFmtId="165" fontId="2" fillId="0" borderId="0" xfId="2" applyNumberFormat="1" applyFont="1" applyFill="1"/>
    <xf numFmtId="165" fontId="1" fillId="0" borderId="0" xfId="0" applyNumberFormat="1" applyFont="1" applyFill="1"/>
    <xf numFmtId="165" fontId="1" fillId="0" borderId="0" xfId="0" applyNumberFormat="1" applyFont="1" applyFill="1" applyAlignment="1">
      <alignment horizontal="center"/>
    </xf>
    <xf numFmtId="44" fontId="1" fillId="0" borderId="0" xfId="2" applyFont="1" applyFill="1" applyAlignment="1">
      <alignment wrapText="1"/>
    </xf>
    <xf numFmtId="44" fontId="0" fillId="0" borderId="0" xfId="2" applyFont="1" applyAlignment="1">
      <alignment wrapText="1"/>
    </xf>
    <xf numFmtId="44" fontId="1" fillId="0" borderId="0" xfId="2" applyFont="1" applyFill="1" applyAlignment="1">
      <alignment vertical="center" wrapText="1"/>
    </xf>
    <xf numFmtId="166" fontId="1" fillId="0" borderId="0" xfId="1" applyNumberFormat="1" applyFont="1" applyFill="1"/>
    <xf numFmtId="39" fontId="1" fillId="2" borderId="0" xfId="0" applyNumberFormat="1" applyFont="1" applyFill="1" applyBorder="1"/>
    <xf numFmtId="43" fontId="0" fillId="0" borderId="0" xfId="1" applyFont="1" applyBorder="1" applyAlignment="1">
      <alignment horizontal="center"/>
    </xf>
    <xf numFmtId="43" fontId="0" fillId="0" borderId="0" xfId="1" applyFont="1" applyBorder="1" applyAlignment="1">
      <alignment horizontal="right"/>
    </xf>
    <xf numFmtId="43" fontId="0" fillId="0" borderId="0" xfId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Continuous"/>
    </xf>
    <xf numFmtId="44" fontId="1" fillId="0" borderId="0" xfId="2" applyFont="1" applyFill="1" applyBorder="1" applyAlignment="1">
      <alignment horizontal="centerContinuous"/>
    </xf>
    <xf numFmtId="0" fontId="0" fillId="0" borderId="0" xfId="0" applyFill="1" applyBorder="1" applyAlignment="1">
      <alignment horizontal="center"/>
    </xf>
    <xf numFmtId="44" fontId="1" fillId="0" borderId="0" xfId="2" applyFont="1" applyFill="1" applyBorder="1"/>
    <xf numFmtId="165" fontId="5" fillId="0" borderId="0" xfId="0" applyNumberFormat="1" applyFont="1" applyFill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>
    <x:pageSetUpPr fitToPage="1"/>
  </x:sheetPr>
  <x:dimension ref="A1:J64"/>
  <x:sheetViews>
    <x:sheetView tabSelected="1" zoomScaleNormal="100" workbookViewId="0">
      <x:selection activeCell="A57" sqref="A57"/>
    </x:sheetView>
  </x:sheetViews>
  <x:sheetFormatPr defaultColWidth="9.08984375" defaultRowHeight="15.5" x14ac:dyDescent="0.35"/>
  <x:cols>
    <x:col min="1" max="1" width="9.08984375" style="2"/>
    <x:col min="2" max="2" width="24" style="2" customWidth="1"/>
    <x:col min="3" max="3" width="16.08984375" style="2" customWidth="1"/>
    <x:col min="4" max="4" width="13.26953125" style="2" bestFit="1" customWidth="1"/>
    <x:col min="5" max="5" width="15.36328125" style="2" bestFit="1" customWidth="1"/>
    <x:col min="6" max="6" width="21.36328125" style="3" bestFit="1" customWidth="1"/>
    <x:col min="7" max="7" width="39.26953125" style="6" customWidth="1"/>
    <x:col min="8" max="8" width="29.7265625" style="2" bestFit="1" customWidth="1"/>
    <x:col min="9" max="10" width="29.7265625" style="7" customWidth="1"/>
    <x:col min="11" max="16384" width="9.08984375" style="2"/>
  </x:cols>
  <x:sheetData>
    <x:row r="1" spans="1:10" x14ac:dyDescent="0.35">
      <x:c r="A1" s="1"/>
    </x:row>
    <x:row r="2" spans="1:10" x14ac:dyDescent="0.35">
      <x:c r="A2" s="1"/>
    </x:row>
    <x:row r="3" spans="1:10" x14ac:dyDescent="0.35">
      <x:c r="A3" s="1"/>
    </x:row>
    <x:row r="5" spans="1:10" x14ac:dyDescent="0.35">
      <x:c r="A5" s="1" t="s">
        <x:v>24</x:v>
      </x:c>
    </x:row>
    <x:row r="6" spans="1:10" x14ac:dyDescent="0.35">
      <x:c r="I6" s="17"/>
      <x:c r="J6" s="17"/>
    </x:row>
    <x:row r="7" spans="1:10" x14ac:dyDescent="0.35">
      <x:c r="I7" s="17"/>
      <x:c r="J7" s="18"/>
    </x:row>
    <x:row r="8" spans="1:10" ht="15.65" customHeight="1" x14ac:dyDescent="0.35">
      <x:c r="A8" s="4" t="s">
        <x:v>7</x:v>
      </x:c>
      <x:c r="B8" s="4" t="s">
        <x:v>6</x:v>
      </x:c>
      <x:c r="C8" s="4" t="s">
        <x:v>5</x:v>
      </x:c>
      <x:c r="D8" s="4" t="s">
        <x:v>4</x:v>
      </x:c>
      <x:c r="E8" s="4" t="s">
        <x:v>3</x:v>
      </x:c>
      <x:c r="F8" s="5" t="s">
        <x:v>2</x:v>
      </x:c>
      <x:c r="G8" s="4" t="s">
        <x:v>1</x:v>
      </x:c>
      <x:c r="I8" s="18"/>
      <x:c r="J8" s="18"/>
    </x:row>
    <x:row r="9" spans="1:10" x14ac:dyDescent="0.35">
      <x:c r="A9" s="6" t="s">
        <x:v>9</x:v>
      </x:c>
      <x:c r="B9" s="6" t="s">
        <x:v>12</x:v>
      </x:c>
      <x:c r="C9" s="6">
        <x:v>2023</x:v>
      </x:c>
      <x:c r="D9" s="6">
        <x:v>5</x:v>
      </x:c>
      <x:c r="E9" s="6" t="s">
        <x:v>16</x:v>
      </x:c>
      <x:c r="F9" s="3">
        <x:v>180129.81</x:v>
      </x:c>
      <x:c r="G9" s="6" t="s">
        <x:v>15</x:v>
      </x:c>
      <x:c r="I9" s="18"/>
    </x:row>
    <x:row r="10" spans="1:10" x14ac:dyDescent="0.35">
      <x:c r="A10" s="6" t="s">
        <x:v>9</x:v>
      </x:c>
      <x:c r="B10" s="6" t="s">
        <x:v>12</x:v>
      </x:c>
      <x:c r="C10" s="6">
        <x:v>2023</x:v>
      </x:c>
      <x:c r="D10" s="6">
        <x:v>6</x:v>
      </x:c>
      <x:c r="E10" s="6" t="s">
        <x:v>16</x:v>
      </x:c>
      <x:c r="F10" s="3">
        <x:v>210088.43000000002</x:v>
      </x:c>
      <x:c r="G10" s="6" t="s">
        <x:v>15</x:v>
      </x:c>
      <x:c r="I10" s="18"/>
    </x:row>
    <x:row r="11" spans="1:10" x14ac:dyDescent="0.35">
      <x:c r="A11" s="6" t="s">
        <x:v>9</x:v>
      </x:c>
      <x:c r="B11" s="6" t="s">
        <x:v>12</x:v>
      </x:c>
      <x:c r="C11" s="6">
        <x:v>2023</x:v>
      </x:c>
      <x:c r="D11" s="6">
        <x:v>7</x:v>
      </x:c>
      <x:c r="E11" s="6" t="s">
        <x:v>16</x:v>
      </x:c>
      <x:c r="F11" s="3">
        <x:v>210088.43000000002</x:v>
      </x:c>
      <x:c r="G11" s="6" t="s">
        <x:v>15</x:v>
      </x:c>
    </x:row>
    <x:row r="12" spans="1:10" x14ac:dyDescent="0.35">
      <x:c r="A12" s="6" t="s">
        <x:v>9</x:v>
      </x:c>
      <x:c r="B12" s="6" t="s">
        <x:v>12</x:v>
      </x:c>
      <x:c r="C12" s="6">
        <x:v>2023</x:v>
      </x:c>
      <x:c r="D12" s="6">
        <x:v>8</x:v>
      </x:c>
      <x:c r="E12" s="6" t="s">
        <x:v>16</x:v>
      </x:c>
      <x:c r="F12" s="3">
        <x:v>210088.43000000002</x:v>
      </x:c>
      <x:c r="G12" s="6" t="s">
        <x:v>15</x:v>
      </x:c>
    </x:row>
    <x:row r="13" spans="1:10" x14ac:dyDescent="0.35">
      <x:c r="A13" s="6" t="s">
        <x:v>9</x:v>
      </x:c>
      <x:c r="B13" s="6" t="s">
        <x:v>12</x:v>
      </x:c>
      <x:c r="C13" s="6">
        <x:v>2023</x:v>
      </x:c>
      <x:c r="D13" s="6">
        <x:v>9</x:v>
      </x:c>
      <x:c r="E13" s="6" t="s">
        <x:v>16</x:v>
      </x:c>
      <x:c r="F13" s="3">
        <x:v>210088.43000000002</x:v>
      </x:c>
      <x:c r="G13" s="6" t="s">
        <x:v>15</x:v>
      </x:c>
    </x:row>
    <x:row r="14" spans="1:10" x14ac:dyDescent="0.35">
      <x:c r="A14" s="6" t="s">
        <x:v>9</x:v>
      </x:c>
      <x:c r="B14" s="6" t="s">
        <x:v>12</x:v>
      </x:c>
      <x:c r="C14" s="6">
        <x:v>2023</x:v>
      </x:c>
      <x:c r="D14" s="6">
        <x:v>10</x:v>
      </x:c>
      <x:c r="E14" s="6" t="s">
        <x:v>16</x:v>
      </x:c>
      <x:c r="F14" s="3">
        <x:v>210088.43000000002</x:v>
      </x:c>
      <x:c r="G14" s="6" t="s">
        <x:v>15</x:v>
      </x:c>
    </x:row>
    <x:row r="15" spans="1:10" x14ac:dyDescent="0.35">
      <x:c r="A15" s="6" t="s">
        <x:v>9</x:v>
      </x:c>
      <x:c r="B15" s="6" t="s">
        <x:v>12</x:v>
      </x:c>
      <x:c r="C15" s="6">
        <x:v>2023</x:v>
      </x:c>
      <x:c r="D15" s="6">
        <x:v>11</x:v>
      </x:c>
      <x:c r="E15" s="6" t="s">
        <x:v>16</x:v>
      </x:c>
      <x:c r="F15" s="3">
        <x:v>210088.43000000002</x:v>
      </x:c>
      <x:c r="G15" s="6" t="s">
        <x:v>15</x:v>
      </x:c>
      <x:c r="H15" s="6" t="s">
        <x:v>11</x:v>
      </x:c>
    </x:row>
    <x:row r="16" spans="1:10" x14ac:dyDescent="0.35">
      <x:c r="A16" s="6" t="s">
        <x:v>9</x:v>
      </x:c>
      <x:c r="B16" s="6" t="s">
        <x:v>12</x:v>
      </x:c>
      <x:c r="C16" s="6">
        <x:v>2023</x:v>
      </x:c>
      <x:c r="D16" s="6">
        <x:v>12</x:v>
      </x:c>
      <x:c r="E16" s="6" t="s">
        <x:v>16</x:v>
      </x:c>
      <x:c r="F16" s="3">
        <x:v>210088.43000000002</x:v>
      </x:c>
      <x:c r="G16" s="6" t="s">
        <x:v>15</x:v>
      </x:c>
      <x:c r="H16" s="9" t="s">
        <x:v>8</x:v>
      </x:c>
    </x:row>
    <x:row r="17" spans="1:9" x14ac:dyDescent="0.35">
      <x:c r="A17" s="10" t="s">
        <x:v>9</x:v>
      </x:c>
      <x:c r="B17" s="10" t="s">
        <x:v>12</x:v>
      </x:c>
      <x:c r="C17" s="10">
        <x:v>2024</x:v>
      </x:c>
      <x:c r="D17" s="10">
        <x:v>1</x:v>
      </x:c>
      <x:c r="E17" s="10" t="s">
        <x:v>16</x:v>
      </x:c>
      <x:c r="F17" s="11">
        <x:v>210088.43000000002</x:v>
      </x:c>
      <x:c r="G17" s="10" t="s">
        <x:v>15</x:v>
      </x:c>
      <x:c r="H17" s="11">
        <x:f t="shared" ref="H17:H19" si="0">-F17</x:f>
        <x:v>-210088.43000000002</x:v>
      </x:c>
    </x:row>
    <x:row r="18" spans="1:9" x14ac:dyDescent="0.35">
      <x:c r="A18" s="10" t="s">
        <x:v>9</x:v>
      </x:c>
      <x:c r="B18" s="10" t="s">
        <x:v>12</x:v>
      </x:c>
      <x:c r="C18" s="10">
        <x:v>2024</x:v>
      </x:c>
      <x:c r="D18" s="10">
        <x:v>2</x:v>
      </x:c>
      <x:c r="E18" s="10" t="s">
        <x:v>16</x:v>
      </x:c>
      <x:c r="F18" s="11">
        <x:v>210088.43000000002</x:v>
      </x:c>
      <x:c r="G18" s="10" t="s">
        <x:v>15</x:v>
      </x:c>
      <x:c r="H18" s="11">
        <x:f>-F18</x:f>
        <x:v>-210088.43000000002</x:v>
      </x:c>
    </x:row>
    <x:row r="19" spans="1:9" x14ac:dyDescent="0.35">
      <x:c r="A19" s="10" t="s">
        <x:v>9</x:v>
      </x:c>
      <x:c r="B19" s="10" t="s">
        <x:v>12</x:v>
      </x:c>
      <x:c r="C19" s="10">
        <x:v>2024</x:v>
      </x:c>
      <x:c r="D19" s="10">
        <x:v>3</x:v>
      </x:c>
      <x:c r="E19" s="10" t="s">
        <x:v>16</x:v>
      </x:c>
      <x:c r="F19" s="11">
        <x:v>210088.43000000002</x:v>
      </x:c>
      <x:c r="G19" s="10" t="s">
        <x:v>15</x:v>
      </x:c>
      <x:c r="H19" s="11">
        <x:f t="shared" si="0"/>
        <x:v>-210088.43000000002</x:v>
      </x:c>
    </x:row>
    <x:row r="20" spans="1:9" x14ac:dyDescent="0.35">
      <x:c r="A20" s="10" t="s">
        <x:v>9</x:v>
      </x:c>
      <x:c r="B20" s="10" t="s">
        <x:v>13</x:v>
      </x:c>
      <x:c r="C20" s="10">
        <x:v>2024</x:v>
      </x:c>
      <x:c r="D20" s="10">
        <x:v>4</x:v>
      </x:c>
      <x:c r="E20" s="10" t="s">
        <x:v>16</x:v>
      </x:c>
      <x:c r="F20" s="11">
        <x:v>210088.43000000002</x:v>
      </x:c>
      <x:c r="G20" s="10" t="s">
        <x:v>15</x:v>
      </x:c>
      <x:c r="H20" s="11">
        <x:f>-F20</x:f>
        <x:v>-210088.43000000002</x:v>
      </x:c>
    </x:row>
    <x:row r="21" spans="1:9" x14ac:dyDescent="0.35">
      <x:c r="A21" s="10" t="s">
        <x:v>9</x:v>
      </x:c>
      <x:c r="B21" s="10" t="s">
        <x:v>12</x:v>
      </x:c>
      <x:c r="C21" s="10">
        <x:v>2024</x:v>
      </x:c>
      <x:c r="D21" s="10">
        <x:v>5</x:v>
      </x:c>
      <x:c r="E21" s="10" t="s">
        <x:v>16</x:v>
      </x:c>
      <x:c r="F21" s="11">
        <x:v>210088.43000000002</x:v>
      </x:c>
      <x:c r="G21" s="10" t="s">
        <x:v>15</x:v>
      </x:c>
      <x:c r="H21" s="11">
        <x:f t="shared" ref="H21:H29" si="1">-F21</x:f>
        <x:v>-210088.43000000002</x:v>
      </x:c>
    </x:row>
    <x:row r="22" spans="1:9" x14ac:dyDescent="0.35">
      <x:c r="A22" s="10" t="s">
        <x:v>9</x:v>
      </x:c>
      <x:c r="B22" s="10" t="s">
        <x:v>12</x:v>
      </x:c>
      <x:c r="C22" s="10">
        <x:v>2024</x:v>
      </x:c>
      <x:c r="D22" s="10">
        <x:v>6</x:v>
      </x:c>
      <x:c r="E22" s="10" t="s">
        <x:v>16</x:v>
      </x:c>
      <x:c r="F22" s="11">
        <x:v>210088.43000000002</x:v>
      </x:c>
      <x:c r="G22" s="10" t="s">
        <x:v>15</x:v>
      </x:c>
      <x:c r="H22" s="11">
        <x:f t="shared" si="1"/>
        <x:v>-210088.43000000002</x:v>
      </x:c>
    </x:row>
    <x:row r="23" spans="1:9" x14ac:dyDescent="0.35">
      <x:c r="A23" s="10" t="s">
        <x:v>9</x:v>
      </x:c>
      <x:c r="B23" s="10" t="s">
        <x:v>14</x:v>
      </x:c>
      <x:c r="C23" s="10">
        <x:v>2024</x:v>
      </x:c>
      <x:c r="D23" s="10">
        <x:v>6</x:v>
      </x:c>
      <x:c r="E23" s="10" t="s">
        <x:v>16</x:v>
      </x:c>
      <x:c r="F23" s="11">
        <x:v>33546.699999999997</x:v>
      </x:c>
      <x:c r="G23" s="10" t="s">
        <x:v>15</x:v>
      </x:c>
      <x:c r="H23" s="11">
        <x:f t="shared" si="1"/>
        <x:v>-33546.699999999997</x:v>
      </x:c>
    </x:row>
    <x:row r="24" spans="1:9" x14ac:dyDescent="0.35">
      <x:c r="A24" s="10" t="s">
        <x:v>9</x:v>
      </x:c>
      <x:c r="B24" s="10" t="s">
        <x:v>12</x:v>
      </x:c>
      <x:c r="C24" s="10">
        <x:v>2024</x:v>
      </x:c>
      <x:c r="D24" s="10">
        <x:v>7</x:v>
      </x:c>
      <x:c r="E24" s="10" t="s">
        <x:v>16</x:v>
      </x:c>
      <x:c r="F24" s="11">
        <x:v>212509.28</x:v>
      </x:c>
      <x:c r="G24" s="10" t="s">
        <x:v>15</x:v>
      </x:c>
      <x:c r="H24" s="11">
        <x:f t="shared" si="1"/>
        <x:v>-212509.28</x:v>
      </x:c>
    </x:row>
    <x:row r="25" spans="1:9" x14ac:dyDescent="0.35">
      <x:c r="A25" s="10" t="s">
        <x:v>9</x:v>
      </x:c>
      <x:c r="B25" s="10" t="s">
        <x:v>12</x:v>
      </x:c>
      <x:c r="C25" s="10">
        <x:v>2024</x:v>
      </x:c>
      <x:c r="D25" s="10">
        <x:v>8</x:v>
      </x:c>
      <x:c r="E25" s="10" t="s">
        <x:v>16</x:v>
      </x:c>
      <x:c r="F25" s="11">
        <x:v>212509.28</x:v>
      </x:c>
      <x:c r="G25" s="10" t="s">
        <x:v>15</x:v>
      </x:c>
      <x:c r="H25" s="11">
        <x:f t="shared" si="1"/>
        <x:v>-212509.28</x:v>
      </x:c>
      <x:c r="I25" s="19"/>
    </x:row>
    <x:row r="26" spans="1:9" x14ac:dyDescent="0.35">
      <x:c r="A26" s="10" t="s">
        <x:v>9</x:v>
      </x:c>
      <x:c r="B26" s="10" t="s">
        <x:v>12</x:v>
      </x:c>
      <x:c r="C26" s="10">
        <x:v>2024</x:v>
      </x:c>
      <x:c r="D26" s="10">
        <x:v>9</x:v>
      </x:c>
      <x:c r="E26" s="10" t="s">
        <x:v>16</x:v>
      </x:c>
      <x:c r="F26" s="11">
        <x:v>212509.28000000003</x:v>
      </x:c>
      <x:c r="G26" s="10" t="s">
        <x:v>15</x:v>
      </x:c>
      <x:c r="H26" s="11">
        <x:f t="shared" si="1"/>
        <x:v>-212509.28000000003</x:v>
      </x:c>
      <x:c r="I26" s="19"/>
    </x:row>
    <x:row r="27" spans="1:9" x14ac:dyDescent="0.35">
      <x:c r="A27" s="10" t="s">
        <x:v>9</x:v>
      </x:c>
      <x:c r="B27" s="10" t="s">
        <x:v>12</x:v>
      </x:c>
      <x:c r="C27" s="10">
        <x:v>2024</x:v>
      </x:c>
      <x:c r="D27" s="10">
        <x:v>10</x:v>
      </x:c>
      <x:c r="E27" s="10" t="s">
        <x:v>16</x:v>
      </x:c>
      <x:c r="F27" s="11">
        <x:v>212509.28</x:v>
      </x:c>
      <x:c r="G27" s="10" t="s">
        <x:v>15</x:v>
      </x:c>
      <x:c r="H27" s="11">
        <x:f t="shared" si="1"/>
        <x:v>-212509.28</x:v>
      </x:c>
      <x:c r="I27" s="19"/>
    </x:row>
    <x:row r="28" spans="1:9" x14ac:dyDescent="0.35">
      <x:c r="A28" s="10" t="s">
        <x:v>9</x:v>
      </x:c>
      <x:c r="B28" s="10" t="s">
        <x:v>12</x:v>
      </x:c>
      <x:c r="C28" s="10">
        <x:v>2024</x:v>
      </x:c>
      <x:c r="D28" s="10">
        <x:v>11</x:v>
      </x:c>
      <x:c r="E28" s="10" t="s">
        <x:v>16</x:v>
      </x:c>
      <x:c r="F28" s="11">
        <x:v>212509.28</x:v>
      </x:c>
      <x:c r="G28" s="10" t="s">
        <x:v>15</x:v>
      </x:c>
      <x:c r="H28" s="11">
        <x:f t="shared" si="1"/>
        <x:v>-212509.28</x:v>
      </x:c>
      <x:c r="I28" s="19"/>
    </x:row>
    <x:row r="29" spans="1:9" x14ac:dyDescent="0.35">
      <x:c r="A29" s="10" t="s">
        <x:v>9</x:v>
      </x:c>
      <x:c r="B29" s="10" t="s">
        <x:v>12</x:v>
      </x:c>
      <x:c r="C29" s="10">
        <x:v>2024</x:v>
      </x:c>
      <x:c r="D29" s="10">
        <x:v>12</x:v>
      </x:c>
      <x:c r="E29" s="10" t="s">
        <x:v>16</x:v>
      </x:c>
      <x:c r="F29" s="11">
        <x:v>212509.28</x:v>
      </x:c>
      <x:c r="G29" s="10" t="s">
        <x:v>15</x:v>
      </x:c>
      <x:c r="H29" s="12">
        <x:f t="shared" si="1"/>
        <x:v>-212509.28</x:v>
      </x:c>
      <x:c r="I29" s="19"/>
    </x:row>
    <x:row r="30" spans="1:9" x14ac:dyDescent="0.35">
      <x:c r="A30" s="6" t="s">
        <x:v>0</x:v>
      </x:c>
      <x:c r="B30" s="6" t="s">
        <x:v>12</x:v>
      </x:c>
      <x:c r="C30" s="6">
        <x:v>2023</x:v>
      </x:c>
      <x:c r="D30" s="6">
        <x:v>5</x:v>
      </x:c>
      <x:c r="E30" s="6" t="s">
        <x:v>16</x:v>
      </x:c>
      <x:c r="F30" s="3">
        <x:v>171473.68000000002</x:v>
      </x:c>
      <x:c r="G30" s="6" t="s">
        <x:v>15</x:v>
      </x:c>
      <x:c r="H30" s="11">
        <x:f>SUM(H17:H29)</x:f>
        <x:v>-2569132.9599999995</x:v>
      </x:c>
      <x:c r="I30" s="19"/>
    </x:row>
    <x:row r="31" spans="1:9" x14ac:dyDescent="0.35">
      <x:c r="A31" s="6" t="s">
        <x:v>0</x:v>
      </x:c>
      <x:c r="B31" s="6" t="s">
        <x:v>12</x:v>
      </x:c>
      <x:c r="C31" s="6">
        <x:v>2023</x:v>
      </x:c>
      <x:c r="D31" s="6">
        <x:v>6</x:v>
      </x:c>
      <x:c r="E31" s="6" t="s">
        <x:v>16</x:v>
      </x:c>
      <x:c r="F31" s="3">
        <x:v>171473.68000000002</x:v>
      </x:c>
      <x:c r="G31" s="6" t="s">
        <x:v>15</x:v>
      </x:c>
      <x:c r="H31" s="3"/>
    </x:row>
    <x:row r="32" spans="1:9" x14ac:dyDescent="0.35">
      <x:c r="A32" s="6" t="s">
        <x:v>0</x:v>
      </x:c>
      <x:c r="B32" s="6" t="s">
        <x:v>12</x:v>
      </x:c>
      <x:c r="C32" s="6">
        <x:v>2023</x:v>
      </x:c>
      <x:c r="D32" s="6">
        <x:v>7</x:v>
      </x:c>
      <x:c r="E32" s="6" t="s">
        <x:v>16</x:v>
      </x:c>
      <x:c r="F32" s="3">
        <x:v>171473.68000000002</x:v>
      </x:c>
      <x:c r="G32" s="6" t="s">
        <x:v>15</x:v>
      </x:c>
      <x:c r="H32" s="3"/>
    </x:row>
    <x:row r="33" spans="1:8" x14ac:dyDescent="0.35">
      <x:c r="A33" s="6" t="s">
        <x:v>0</x:v>
      </x:c>
      <x:c r="B33" s="6" t="s">
        <x:v>12</x:v>
      </x:c>
      <x:c r="C33" s="6">
        <x:v>2023</x:v>
      </x:c>
      <x:c r="D33" s="6">
        <x:v>8</x:v>
      </x:c>
      <x:c r="E33" s="6" t="s">
        <x:v>16</x:v>
      </x:c>
      <x:c r="F33" s="3">
        <x:v>171473.68000000002</x:v>
      </x:c>
      <x:c r="G33" s="6" t="s">
        <x:v>15</x:v>
      </x:c>
      <x:c r="H33" s="3"/>
    </x:row>
    <x:row r="34" spans="1:8" x14ac:dyDescent="0.35">
      <x:c r="A34" s="6" t="s">
        <x:v>0</x:v>
      </x:c>
      <x:c r="B34" s="6" t="s">
        <x:v>12</x:v>
      </x:c>
      <x:c r="C34" s="6">
        <x:v>2023</x:v>
      </x:c>
      <x:c r="D34" s="6">
        <x:v>9</x:v>
      </x:c>
      <x:c r="E34" s="6" t="s">
        <x:v>16</x:v>
      </x:c>
      <x:c r="F34" s="3">
        <x:v>171473.68000000002</x:v>
      </x:c>
      <x:c r="G34" s="6" t="s">
        <x:v>15</x:v>
      </x:c>
      <x:c r="H34" s="3"/>
    </x:row>
    <x:row r="35" spans="1:8" x14ac:dyDescent="0.35">
      <x:c r="A35" s="6" t="s">
        <x:v>0</x:v>
      </x:c>
      <x:c r="B35" s="6" t="s">
        <x:v>12</x:v>
      </x:c>
      <x:c r="C35" s="6">
        <x:v>2023</x:v>
      </x:c>
      <x:c r="D35" s="6">
        <x:v>10</x:v>
      </x:c>
      <x:c r="E35" s="6" t="s">
        <x:v>16</x:v>
      </x:c>
      <x:c r="F35" s="3">
        <x:v>171473.68000000002</x:v>
      </x:c>
      <x:c r="G35" s="6" t="s">
        <x:v>15</x:v>
      </x:c>
      <x:c r="H35" s="3"/>
    </x:row>
    <x:row r="36" spans="1:8" x14ac:dyDescent="0.35">
      <x:c r="A36" s="6" t="s">
        <x:v>0</x:v>
      </x:c>
      <x:c r="B36" s="6" t="s">
        <x:v>12</x:v>
      </x:c>
      <x:c r="C36" s="6">
        <x:v>2023</x:v>
      </x:c>
      <x:c r="D36" s="6">
        <x:v>11</x:v>
      </x:c>
      <x:c r="E36" s="6" t="s">
        <x:v>16</x:v>
      </x:c>
      <x:c r="F36" s="3">
        <x:v>171473.68000000002</x:v>
      </x:c>
      <x:c r="G36" s="6" t="s">
        <x:v>15</x:v>
      </x:c>
      <x:c r="H36" s="6" t="s">
        <x:v>10</x:v>
      </x:c>
    </x:row>
    <x:row r="37" spans="1:8" x14ac:dyDescent="0.35">
      <x:c r="A37" s="6" t="s">
        <x:v>0</x:v>
      </x:c>
      <x:c r="B37" s="6" t="s">
        <x:v>12</x:v>
      </x:c>
      <x:c r="C37" s="6">
        <x:v>2023</x:v>
      </x:c>
      <x:c r="D37" s="6">
        <x:v>12</x:v>
      </x:c>
      <x:c r="E37" s="6" t="s">
        <x:v>16</x:v>
      </x:c>
      <x:c r="F37" s="3">
        <x:v>171473.68000000002</x:v>
      </x:c>
      <x:c r="G37" s="6" t="s">
        <x:v>15</x:v>
      </x:c>
      <x:c r="H37" s="9" t="s">
        <x:v>8</x:v>
      </x:c>
    </x:row>
    <x:row r="38" spans="1:8" x14ac:dyDescent="0.35">
      <x:c r="A38" s="10" t="s">
        <x:v>0</x:v>
      </x:c>
      <x:c r="B38" s="10" t="s">
        <x:v>12</x:v>
      </x:c>
      <x:c r="C38" s="10">
        <x:v>2024</x:v>
      </x:c>
      <x:c r="D38" s="10">
        <x:v>1</x:v>
      </x:c>
      <x:c r="E38" s="10" t="s">
        <x:v>16</x:v>
      </x:c>
      <x:c r="F38" s="11">
        <x:v>171473.68000000002</x:v>
      </x:c>
      <x:c r="G38" s="10" t="s">
        <x:v>15</x:v>
      </x:c>
      <x:c r="H38" s="11">
        <x:f t="shared" ref="H38:H40" si="2">-F38</x:f>
        <x:v>-171473.68000000002</x:v>
      </x:c>
    </x:row>
    <x:row r="39" spans="1:8" x14ac:dyDescent="0.35">
      <x:c r="A39" s="10" t="s">
        <x:v>0</x:v>
      </x:c>
      <x:c r="B39" s="10" t="s">
        <x:v>12</x:v>
      </x:c>
      <x:c r="C39" s="10">
        <x:v>2024</x:v>
      </x:c>
      <x:c r="D39" s="10">
        <x:v>2</x:v>
      </x:c>
      <x:c r="E39" s="10" t="s">
        <x:v>16</x:v>
      </x:c>
      <x:c r="F39" s="11">
        <x:v>171473.68000000002</x:v>
      </x:c>
      <x:c r="G39" s="10" t="s">
        <x:v>15</x:v>
      </x:c>
      <x:c r="H39" s="11">
        <x:f t="shared" si="2"/>
        <x:v>-171473.68000000002</x:v>
      </x:c>
    </x:row>
    <x:row r="40" spans="1:8" x14ac:dyDescent="0.35">
      <x:c r="A40" s="10" t="s">
        <x:v>0</x:v>
      </x:c>
      <x:c r="B40" s="10" t="s">
        <x:v>12</x:v>
      </x:c>
      <x:c r="C40" s="10">
        <x:v>2024</x:v>
      </x:c>
      <x:c r="D40" s="10">
        <x:v>3</x:v>
      </x:c>
      <x:c r="E40" s="10" t="s">
        <x:v>16</x:v>
      </x:c>
      <x:c r="F40" s="11">
        <x:v>171473.68000000002</x:v>
      </x:c>
      <x:c r="G40" s="10" t="s">
        <x:v>15</x:v>
      </x:c>
      <x:c r="H40" s="11">
        <x:f t="shared" si="2"/>
        <x:v>-171473.68000000002</x:v>
      </x:c>
    </x:row>
    <x:row r="41" spans="1:8" x14ac:dyDescent="0.35">
      <x:c r="A41" s="10" t="s">
        <x:v>0</x:v>
      </x:c>
      <x:c r="B41" s="10" t="s">
        <x:v>13</x:v>
      </x:c>
      <x:c r="C41" s="10">
        <x:v>2024</x:v>
      </x:c>
      <x:c r="D41" s="10">
        <x:v>4</x:v>
      </x:c>
      <x:c r="E41" s="10" t="s">
        <x:v>16</x:v>
      </x:c>
      <x:c r="F41" s="11">
        <x:v>171473.68000000002</x:v>
      </x:c>
      <x:c r="G41" s="10" t="s">
        <x:v>15</x:v>
      </x:c>
      <x:c r="H41" s="11">
        <x:f>-F41</x:f>
        <x:v>-171473.68000000002</x:v>
      </x:c>
    </x:row>
    <x:row r="42" spans="1:8" x14ac:dyDescent="0.35">
      <x:c r="A42" s="10" t="s">
        <x:v>0</x:v>
      </x:c>
      <x:c r="B42" s="10" t="s">
        <x:v>12</x:v>
      </x:c>
      <x:c r="C42" s="10">
        <x:v>2024</x:v>
      </x:c>
      <x:c r="D42" s="10">
        <x:v>5</x:v>
      </x:c>
      <x:c r="E42" s="10" t="s">
        <x:v>16</x:v>
      </x:c>
      <x:c r="F42" s="11">
        <x:v>171473.68000000002</x:v>
      </x:c>
      <x:c r="G42" s="10" t="s">
        <x:v>15</x:v>
      </x:c>
      <x:c r="H42" s="11">
        <x:f t="shared" ref="H42:H50" si="3">-F42</x:f>
        <x:v>-171473.68000000002</x:v>
      </x:c>
    </x:row>
    <x:row r="43" spans="1:8" x14ac:dyDescent="0.35">
      <x:c r="A43" s="10" t="s">
        <x:v>0</x:v>
      </x:c>
      <x:c r="B43" s="10" t="s">
        <x:v>12</x:v>
      </x:c>
      <x:c r="C43" s="10">
        <x:v>2024</x:v>
      </x:c>
      <x:c r="D43" s="10">
        <x:v>6</x:v>
      </x:c>
      <x:c r="E43" s="10" t="s">
        <x:v>16</x:v>
      </x:c>
      <x:c r="F43" s="11">
        <x:v>171473.68000000002</x:v>
      </x:c>
      <x:c r="G43" s="10" t="s">
        <x:v>15</x:v>
      </x:c>
      <x:c r="H43" s="11">
        <x:f t="shared" si="3"/>
        <x:v>-171473.68000000002</x:v>
      </x:c>
    </x:row>
    <x:row r="44" spans="1:8" x14ac:dyDescent="0.35">
      <x:c r="A44" s="10" t="s">
        <x:v>0</x:v>
      </x:c>
      <x:c r="B44" s="10" t="s">
        <x:v>14</x:v>
      </x:c>
      <x:c r="C44" s="10">
        <x:v>2024</x:v>
      </x:c>
      <x:c r="D44" s="10">
        <x:v>6</x:v>
      </x:c>
      <x:c r="E44" s="10" t="s">
        <x:v>16</x:v>
      </x:c>
      <x:c r="F44" s="21">
        <x:v>27662.46</x:v>
      </x:c>
      <x:c r="G44" s="10" t="s">
        <x:v>15</x:v>
      </x:c>
      <x:c r="H44" s="11">
        <x:f t="shared" si="3"/>
        <x:v>-27662.46</x:v>
      </x:c>
    </x:row>
    <x:row r="45" spans="1:8" x14ac:dyDescent="0.35">
      <x:c r="A45" s="10" t="s">
        <x:v>0</x:v>
      </x:c>
      <x:c r="B45" s="10" t="s">
        <x:v>12</x:v>
      </x:c>
      <x:c r="C45" s="10">
        <x:v>2024</x:v>
      </x:c>
      <x:c r="D45" s="10">
        <x:v>7</x:v>
      </x:c>
      <x:c r="E45" s="10" t="s">
        <x:v>16</x:v>
      </x:c>
      <x:c r="F45" s="11">
        <x:v>173449.57000000004</x:v>
      </x:c>
      <x:c r="G45" s="10" t="s">
        <x:v>15</x:v>
      </x:c>
      <x:c r="H45" s="11">
        <x:f t="shared" si="3"/>
        <x:v>-173449.57000000004</x:v>
      </x:c>
    </x:row>
    <x:row r="46" spans="1:8" x14ac:dyDescent="0.35">
      <x:c r="A46" s="10" t="s">
        <x:v>0</x:v>
      </x:c>
      <x:c r="B46" s="10" t="s">
        <x:v>12</x:v>
      </x:c>
      <x:c r="C46" s="10">
        <x:v>2024</x:v>
      </x:c>
      <x:c r="D46" s="10">
        <x:v>8</x:v>
      </x:c>
      <x:c r="E46" s="10" t="s">
        <x:v>16</x:v>
      </x:c>
      <x:c r="F46" s="11">
        <x:v>173449.57000000004</x:v>
      </x:c>
      <x:c r="G46" s="10" t="s">
        <x:v>15</x:v>
      </x:c>
      <x:c r="H46" s="11">
        <x:f t="shared" si="3"/>
        <x:v>-173449.57000000004</x:v>
      </x:c>
    </x:row>
    <x:row r="47" spans="1:8" x14ac:dyDescent="0.35">
      <x:c r="A47" s="10" t="s">
        <x:v>0</x:v>
      </x:c>
      <x:c r="B47" s="10" t="s">
        <x:v>12</x:v>
      </x:c>
      <x:c r="C47" s="10">
        <x:v>2024</x:v>
      </x:c>
      <x:c r="D47" s="10">
        <x:v>9</x:v>
      </x:c>
      <x:c r="E47" s="10" t="s">
        <x:v>16</x:v>
      </x:c>
      <x:c r="F47" s="11">
        <x:v>173449.57000000004</x:v>
      </x:c>
      <x:c r="G47" s="10" t="s">
        <x:v>15</x:v>
      </x:c>
      <x:c r="H47" s="11">
        <x:f t="shared" si="3"/>
        <x:v>-173449.57000000004</x:v>
      </x:c>
    </x:row>
    <x:row r="48" spans="1:8" x14ac:dyDescent="0.35">
      <x:c r="A48" s="10" t="s">
        <x:v>0</x:v>
      </x:c>
      <x:c r="B48" s="10" t="s">
        <x:v>12</x:v>
      </x:c>
      <x:c r="C48" s="10">
        <x:v>2024</x:v>
      </x:c>
      <x:c r="D48" s="10">
        <x:v>10</x:v>
      </x:c>
      <x:c r="E48" s="10" t="s">
        <x:v>16</x:v>
      </x:c>
      <x:c r="F48" s="11">
        <x:v>173449.57000000004</x:v>
      </x:c>
      <x:c r="G48" s="10" t="s">
        <x:v>15</x:v>
      </x:c>
      <x:c r="H48" s="11">
        <x:f t="shared" si="3"/>
        <x:v>-173449.57000000004</x:v>
      </x:c>
    </x:row>
    <x:row r="49" spans="1:10" x14ac:dyDescent="0.35">
      <x:c r="A49" s="10" t="s">
        <x:v>0</x:v>
      </x:c>
      <x:c r="B49" s="10" t="s">
        <x:v>12</x:v>
      </x:c>
      <x:c r="C49" s="10">
        <x:v>2024</x:v>
      </x:c>
      <x:c r="D49" s="10">
        <x:v>11</x:v>
      </x:c>
      <x:c r="E49" s="10" t="s">
        <x:v>16</x:v>
      </x:c>
      <x:c r="F49" s="11">
        <x:v>173449.57000000004</x:v>
      </x:c>
      <x:c r="G49" s="10" t="s">
        <x:v>15</x:v>
      </x:c>
      <x:c r="H49" s="11">
        <x:f t="shared" si="3"/>
        <x:v>-173449.57000000004</x:v>
      </x:c>
    </x:row>
    <x:row r="50" spans="1:10" x14ac:dyDescent="0.35">
      <x:c r="A50" s="10" t="s">
        <x:v>0</x:v>
      </x:c>
      <x:c r="B50" s="10" t="s">
        <x:v>12</x:v>
      </x:c>
      <x:c r="C50" s="10">
        <x:v>2024</x:v>
      </x:c>
      <x:c r="D50" s="10">
        <x:v>12</x:v>
      </x:c>
      <x:c r="E50" s="10" t="s">
        <x:v>16</x:v>
      </x:c>
      <x:c r="F50" s="12">
        <x:v>173449.57000000004</x:v>
      </x:c>
      <x:c r="G50" s="10" t="s">
        <x:v>15</x:v>
      </x:c>
      <x:c r="H50" s="12">
        <x:f t="shared" si="3"/>
        <x:v>-173449.57000000004</x:v>
      </x:c>
    </x:row>
    <x:row r="51" spans="1:10" x14ac:dyDescent="0.35">
      <x:c r="A51" s="1" t="s">
        <x:v>17</x:v>
      </x:c>
      <x:c r="B51" s="1"/>
      <x:c r="C51" s="1"/>
      <x:c r="D51" s="1"/>
      <x:c r="E51" s="1"/>
      <x:c r="F51" s="14">
        <x:f>F53+SUM(F9:F50)</x:f>
        <x:v>-61783718.289999999</x:v>
      </x:c>
      <x:c r="G51" s="16"/>
      <x:c r="H51" s="11">
        <x:f>SUM(H38:H50)</x:f>
        <x:v>-2097201.9600000004</x:v>
      </x:c>
    </x:row>
    <x:row r="52" spans="1:10" x14ac:dyDescent="0.35">
      <x:c r="F52" s="7"/>
      <x:c r="G52" s="16"/>
    </x:row>
    <x:row r="53" spans="1:10" x14ac:dyDescent="0.35">
      <x:c r="B53" s="2" t="s">
        <x:v>20</x:v>
      </x:c>
      <x:c r="F53" s="13">
        <x:v>-69472591.469999999</x:v>
      </x:c>
      <x:c r="G53" s="29" t="s">
        <x:v>21</x:v>
      </x:c>
      <x:c r="H53" s="15"/>
    </x:row>
    <x:row r="54" spans="1:10" x14ac:dyDescent="0.35">
      <x:c r="H54" s="25"/>
      <x:c r="I54" s="26"/>
      <x:c r="J54" s="26"/>
    </x:row>
    <x:row r="55" spans="1:10" x14ac:dyDescent="0.35">
      <x:c r="H55" s="27"/>
      <x:c r="I55" s="27"/>
      <x:c r="J55" s="27"/>
    </x:row>
    <x:row r="56" spans="1:10" x14ac:dyDescent="0.35">
      <x:c r="A56" s="2" t="s">
        <x:v>18</x:v>
      </x:c>
      <x:c r="H56" s="27"/>
      <x:c r="I56" s="27"/>
      <x:c r="J56" s="27"/>
    </x:row>
    <x:row r="57" spans="1:10" x14ac:dyDescent="0.35">
      <x:c r="A57" s="2" t="s">
        <x:v>22</x:v>
      </x:c>
      <x:c r="F57" s="2"/>
      <x:c r="G57" s="7">
        <x:f>(H29+H50)*12</x:f>
        <x:v>-4631506.2</x:v>
      </x:c>
      <x:c r="H57" s="24"/>
      <x:c r="I57" s="24"/>
      <x:c r="J57" s="24"/>
    </x:row>
    <x:row r="58" spans="1:10" x14ac:dyDescent="0.35">
      <x:c r="A58" s="2" t="s">
        <x:v>19</x:v>
      </x:c>
      <x:c r="F58" s="2"/>
      <x:c r="G58" s="20">
        <x:f>F53/G57</x:f>
        <x:v>14.999999669653901</x:v>
      </x:c>
      <x:c r="H58" s="24"/>
      <x:c r="I58" s="24"/>
      <x:c r="J58" s="24"/>
    </x:row>
    <x:row r="59" spans="1:10" x14ac:dyDescent="0.35">
      <x:c r="A59" s="2" t="s">
        <x:v>23</x:v>
      </x:c>
      <x:c r="F59" s="2"/>
      <x:c r="G59" s="8">
        <x:f>F51/G57</x:f>
        <x:v>13.339875975983794</x:v>
      </x:c>
      <x:c r="H59" s="24"/>
      <x:c r="I59" s="24"/>
      <x:c r="J59" s="24"/>
    </x:row>
    <x:row r="60" spans="1:10" x14ac:dyDescent="0.35">
      <x:c r="G60" s="23"/>
      <x:c r="H60" s="24"/>
      <x:c r="I60" s="24"/>
      <x:c r="J60" s="24"/>
    </x:row>
    <x:row r="61" spans="1:10" x14ac:dyDescent="0.35">
      <x:c r="H61" s="24"/>
      <x:c r="I61" s="24"/>
      <x:c r="J61" s="24"/>
    </x:row>
    <x:row r="62" spans="1:10" x14ac:dyDescent="0.35">
      <x:c r="G62" s="23"/>
      <x:c r="H62" s="24"/>
      <x:c r="I62" s="24"/>
      <x:c r="J62" s="24"/>
    </x:row>
    <x:row r="63" spans="1:10" x14ac:dyDescent="0.35">
      <x:c r="G63" s="23"/>
      <x:c r="H63" s="24"/>
      <x:c r="I63" s="24"/>
      <x:c r="J63" s="28"/>
    </x:row>
    <x:row r="64" spans="1:10" x14ac:dyDescent="0.35">
      <x:c r="H64" s="22"/>
      <x:c r="I64" s="22"/>
    </x:row>
  </x:sheetData>
  <x:sortState xmlns:xlrd2="http://schemas.microsoft.com/office/spreadsheetml/2017/richdata2" ref="A9:G50">
    <x:sortCondition ref="A9:A50"/>
    <x:sortCondition ref="C9:C50"/>
    <x:sortCondition ref="D9:D50"/>
  </x:sortState>
  <x:phoneticPr fontId="4" type="noConversion"/>
  <x:printOptions horizontalCentered="1"/>
  <x:pageMargins left="0.5" right="0.5" top="1.75" bottom="0.5" header="0.75" footer="0.5"/>
  <x:pageSetup scale="43" orientation="landscape" r:id="rId1"/>
  <x:headerFooter>
    <x:oddHeader>&amp;C&amp;"Arial,Bold"&amp;12
2025 RATE CASE
ONCOR ELECTRIC DELIVERY COMPANY LLC
AMORTIZATION OF DISALLOWANCE
FOR THE TEST YEAR ENDING DECEMBER 31, 2024
SPONSOR: W. A. LEDBETTER&amp;R&amp;"Arial,Bold"&amp;12WP/II-E-1/04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2025-04-24T16:31:23.0000000Z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