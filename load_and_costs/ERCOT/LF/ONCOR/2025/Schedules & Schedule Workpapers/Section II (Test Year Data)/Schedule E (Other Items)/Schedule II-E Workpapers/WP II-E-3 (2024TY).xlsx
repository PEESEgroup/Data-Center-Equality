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chedules &amp; Schedule Workpapers\Section II (Test Year Data)\Schedule E (Other Items)\Schedule II-E Workpapers\"/>
    </mc:Choice>
  </mc:AlternateContent>
  <xr:revisionPtr revIDLastSave="0" documentId="13_ncr:1_{8DFFED1D-E118-4AA1-B63E-25D094279A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 Income" sheetId="1" r:id="rId1"/>
    <sheet name="Op ETR" sheetId="5" r:id="rId2"/>
    <sheet name="NonOp Adj" sheetId="6" r:id="rId3"/>
    <sheet name="Ret &amp; Int" sheetId="4" r:id="rId4"/>
  </sheets>
  <externalReferences>
    <externalReference r:id="rId5"/>
    <externalReference r:id="rId6"/>
  </externalReferences>
  <definedNames>
    <definedName name="_xlnm.Print_Area" localSheetId="1">'Op ETR'!$A$1:$M$46</definedName>
    <definedName name="_xlnm.Print_Area" localSheetId="0">'Op Income'!$A$1:$H$35</definedName>
    <definedName name="_xlnm.Print_Area" localSheetId="3">'Ret &amp; Int'!$A$1:$Q$27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4" l="1"/>
  <c r="C15" i="4"/>
  <c r="O19" i="4"/>
  <c r="N19" i="4"/>
  <c r="L19" i="4"/>
  <c r="K19" i="4"/>
  <c r="I19" i="4"/>
  <c r="H19" i="4"/>
  <c r="G19" i="4"/>
  <c r="F19" i="4"/>
  <c r="E23" i="6"/>
  <c r="E24" i="6"/>
  <c r="E22" i="6"/>
  <c r="G23" i="5"/>
  <c r="G22" i="5"/>
  <c r="G20" i="5"/>
  <c r="G16" i="5"/>
  <c r="G17" i="5"/>
  <c r="E13" i="6"/>
  <c r="G29" i="5" l="1"/>
  <c r="G30" i="5"/>
  <c r="D31" i="5"/>
  <c r="G38" i="5" l="1"/>
  <c r="C13" i="1" l="1"/>
  <c r="J16" i="5"/>
  <c r="J17" i="5"/>
  <c r="J18" i="5"/>
  <c r="J19" i="5"/>
  <c r="J20" i="5"/>
  <c r="J21" i="5"/>
  <c r="J22" i="5"/>
  <c r="J23" i="5"/>
  <c r="J24" i="5"/>
  <c r="J25" i="5"/>
  <c r="J15" i="5"/>
  <c r="G25" i="5"/>
  <c r="G24" i="5"/>
  <c r="G21" i="5"/>
  <c r="G19" i="5"/>
  <c r="G18" i="5"/>
  <c r="G15" i="5"/>
  <c r="E15" i="6"/>
  <c r="F13" i="6"/>
  <c r="D30" i="5" l="1"/>
  <c r="M37" i="5" l="1"/>
  <c r="M38" i="5"/>
  <c r="M36" i="5"/>
  <c r="D17" i="6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15" i="5"/>
  <c r="M15" i="5" s="1"/>
  <c r="D25" i="6"/>
  <c r="E25" i="6"/>
  <c r="F16" i="6"/>
  <c r="F15" i="6"/>
  <c r="F14" i="6"/>
  <c r="F17" i="6" l="1"/>
  <c r="E17" i="6"/>
  <c r="C32" i="1" l="1"/>
  <c r="C25" i="1"/>
  <c r="C18" i="1" l="1"/>
  <c r="C31" i="1"/>
  <c r="C16" i="1"/>
  <c r="C17" i="1"/>
  <c r="D27" i="5" s="1"/>
  <c r="M39" i="5" l="1"/>
  <c r="M40" i="5" s="1"/>
  <c r="D38" i="5"/>
  <c r="F13" i="5"/>
  <c r="G13" i="5" s="1"/>
  <c r="J40" i="5" l="1"/>
  <c r="C24" i="5"/>
  <c r="D24" i="5" s="1"/>
  <c r="C25" i="5"/>
  <c r="D25" i="5" s="1"/>
  <c r="I13" i="5"/>
  <c r="L13" i="5" l="1"/>
  <c r="M13" i="5" s="1"/>
  <c r="J13" i="5"/>
  <c r="G40" i="5"/>
  <c r="D36" i="5"/>
  <c r="D37" i="5"/>
  <c r="D29" i="5"/>
  <c r="D32" i="5"/>
  <c r="C19" i="5" l="1"/>
  <c r="D19" i="5" s="1"/>
  <c r="C16" i="5"/>
  <c r="D16" i="5" s="1"/>
  <c r="C21" i="5"/>
  <c r="D21" i="5" s="1"/>
  <c r="C22" i="5"/>
  <c r="D22" i="5" s="1"/>
  <c r="C23" i="5"/>
  <c r="D23" i="5" s="1"/>
  <c r="C17" i="5"/>
  <c r="D17" i="5" s="1"/>
  <c r="C18" i="5"/>
  <c r="D18" i="5" s="1"/>
  <c r="C20" i="5"/>
  <c r="D20" i="5" s="1"/>
  <c r="C15" i="5"/>
  <c r="D15" i="5" s="1"/>
  <c r="C13" i="5"/>
  <c r="D13" i="5" s="1"/>
  <c r="J27" i="5" l="1"/>
  <c r="M27" i="5" s="1"/>
  <c r="G27" i="5"/>
  <c r="F26" i="5" s="1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l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G26" i="5"/>
  <c r="I26" i="5"/>
  <c r="J26" i="5" s="1"/>
  <c r="L26" i="5" l="1"/>
  <c r="M26" i="5" s="1"/>
  <c r="C26" i="5"/>
  <c r="D26" i="5" s="1"/>
  <c r="I28" i="5"/>
  <c r="F28" i="5"/>
  <c r="G28" i="5"/>
  <c r="G33" i="5" s="1"/>
  <c r="J28" i="5"/>
  <c r="J33" i="5" s="1"/>
  <c r="M28" i="5" l="1"/>
  <c r="M33" i="5" s="1"/>
  <c r="M42" i="5" s="1"/>
  <c r="M43" i="5" s="1"/>
  <c r="L28" i="5"/>
  <c r="C28" i="5"/>
  <c r="D28" i="5"/>
  <c r="D33" i="5" s="1"/>
  <c r="D26" i="4" l="1"/>
  <c r="G33" i="1" l="1"/>
  <c r="E33" i="1"/>
  <c r="C33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E19" i="1"/>
  <c r="C23" i="1"/>
  <c r="E23" i="1"/>
  <c r="C19" i="1"/>
  <c r="G19" i="1"/>
  <c r="C21" i="1" l="1"/>
  <c r="G23" i="1"/>
  <c r="E21" i="1"/>
  <c r="A32" i="1"/>
  <c r="A33" i="1" s="1"/>
  <c r="E28" i="1" l="1"/>
  <c r="G21" i="1"/>
  <c r="D23" i="4" l="1"/>
  <c r="D39" i="5"/>
  <c r="D40" i="5" s="1"/>
  <c r="G42" i="5" l="1"/>
  <c r="J42" i="5"/>
  <c r="G43" i="5" l="1"/>
  <c r="J43" i="5"/>
  <c r="D42" i="5"/>
  <c r="D43" i="5" s="1"/>
  <c r="P19" i="4" l="1"/>
  <c r="H23" i="4"/>
  <c r="I26" i="4"/>
  <c r="M19" i="4"/>
  <c r="M26" i="4" s="1"/>
  <c r="O23" i="4"/>
  <c r="L23" i="4"/>
  <c r="N23" i="4"/>
  <c r="L26" i="4"/>
  <c r="N26" i="4"/>
  <c r="O26" i="4"/>
  <c r="S19" i="4" l="1"/>
  <c r="P26" i="4"/>
  <c r="R19" i="4"/>
  <c r="K26" i="4"/>
  <c r="J19" i="4"/>
  <c r="J26" i="4" s="1"/>
  <c r="F23" i="4"/>
  <c r="G23" i="4"/>
  <c r="H26" i="4"/>
  <c r="F26" i="4"/>
  <c r="I23" i="4"/>
  <c r="G26" i="4"/>
  <c r="K23" i="4"/>
  <c r="R26" i="4" l="1"/>
  <c r="E23" i="4"/>
  <c r="M23" i="4"/>
  <c r="S26" i="4"/>
  <c r="E26" i="4"/>
  <c r="P23" i="4"/>
  <c r="R23" i="4" s="1"/>
  <c r="J23" i="4"/>
  <c r="S23" i="4" l="1"/>
</calcChain>
</file>

<file path=xl/sharedStrings.xml><?xml version="1.0" encoding="utf-8"?>
<sst xmlns="http://schemas.openxmlformats.org/spreadsheetml/2006/main" count="142" uniqueCount="111">
  <si>
    <t>WP/II-E-3/1</t>
  </si>
  <si>
    <t>Page 1 of 1</t>
  </si>
  <si>
    <t>ONCOR ELECTRIC DELIVERY COMPANY LLC</t>
  </si>
  <si>
    <t>OPERATING INCOME AS REPORTED IN FINANCIAL STATEMENTS</t>
  </si>
  <si>
    <t>TOTAL</t>
  </si>
  <si>
    <t>OPERATING</t>
  </si>
  <si>
    <t>NON-OPERATING</t>
  </si>
  <si>
    <t>Income Before Tax</t>
  </si>
  <si>
    <t>Income Taxes:</t>
  </si>
  <si>
    <t xml:space="preserve">     Federal</t>
  </si>
  <si>
    <t xml:space="preserve">     State</t>
  </si>
  <si>
    <t xml:space="preserve">     ITC</t>
  </si>
  <si>
    <t xml:space="preserve">Net Income </t>
  </si>
  <si>
    <t>Federal Income Taxes</t>
  </si>
  <si>
    <t>Interest Expense</t>
  </si>
  <si>
    <t>Return on Rate Base</t>
  </si>
  <si>
    <t xml:space="preserve">Current </t>
  </si>
  <si>
    <t>Deferred</t>
  </si>
  <si>
    <t>ITC</t>
  </si>
  <si>
    <t>Meals &amp; Entertainment</t>
  </si>
  <si>
    <t>Supplemental Retirement Insurance Premium</t>
  </si>
  <si>
    <t>Salary Deferral Trust Interest &amp; Dividend Income</t>
  </si>
  <si>
    <t>Salary Deferral Insurance Premium Benefit Expense</t>
  </si>
  <si>
    <t>Nondeductible Penalties &amp; Fines</t>
  </si>
  <si>
    <t>Social Club Dues and Fees</t>
  </si>
  <si>
    <t>Civic and Political Activities</t>
  </si>
  <si>
    <t>Federal Benefit of State</t>
  </si>
  <si>
    <t>TGMT</t>
  </si>
  <si>
    <t>Total Perms</t>
  </si>
  <si>
    <t>Reverse Flow Through</t>
  </si>
  <si>
    <t>Discretes</t>
  </si>
  <si>
    <t>YTD Discrete Items</t>
  </si>
  <si>
    <t>Taxes Calculated</t>
  </si>
  <si>
    <t>Pre-Yax</t>
  </si>
  <si>
    <t>Tax</t>
  </si>
  <si>
    <t>Operating PTBI</t>
  </si>
  <si>
    <t>Operating</t>
  </si>
  <si>
    <t>Non-Operating</t>
  </si>
  <si>
    <t>Total</t>
  </si>
  <si>
    <t>WP/II-E-3/3</t>
  </si>
  <si>
    <t>RETURN ON RATE BASE &amp; SYNCHRONIZED INTEREST</t>
  </si>
  <si>
    <t xml:space="preserve">Known &amp; </t>
  </si>
  <si>
    <t>Line</t>
  </si>
  <si>
    <t>Amount  Per</t>
  </si>
  <si>
    <t>Measurable</t>
  </si>
  <si>
    <t>Schedule</t>
  </si>
  <si>
    <t>No.</t>
  </si>
  <si>
    <t>Description</t>
  </si>
  <si>
    <t>Books</t>
  </si>
  <si>
    <t>Changes</t>
  </si>
  <si>
    <t>Adjusted</t>
  </si>
  <si>
    <t>TRAN</t>
  </si>
  <si>
    <t>DIST</t>
  </si>
  <si>
    <t>MET</t>
  </si>
  <si>
    <t>TDCS</t>
  </si>
  <si>
    <t>Reference</t>
  </si>
  <si>
    <t>Total WACC</t>
  </si>
  <si>
    <t>Debt WACC</t>
  </si>
  <si>
    <t>Total Rate Base</t>
  </si>
  <si>
    <t xml:space="preserve">Return on Rate Base </t>
  </si>
  <si>
    <t>Synchronized Interest</t>
  </si>
  <si>
    <t>WP/II-E-3/2</t>
  </si>
  <si>
    <t>T&amp;D</t>
  </si>
  <si>
    <t>Prior Period and Other Adjustments</t>
  </si>
  <si>
    <t>Federal Only</t>
  </si>
  <si>
    <t>TAX EXPENSE RECONCILIATION AS REPORTED IN FINANCIAL STATEMENTS</t>
  </si>
  <si>
    <t>II-C-1.1</t>
  </si>
  <si>
    <t>II-B</t>
  </si>
  <si>
    <t>SPONSOR:  B. L. CLUTTER</t>
  </si>
  <si>
    <t>AFUDC Equity</t>
  </si>
  <si>
    <t>Non-recoverable Pension &amp; OPEBs</t>
  </si>
  <si>
    <t>SARs Capitalized</t>
  </si>
  <si>
    <t>Tax Expense Before Discretes</t>
  </si>
  <si>
    <t>Commuter Expenses</t>
  </si>
  <si>
    <t>NTU</t>
  </si>
  <si>
    <t>Total Company</t>
  </si>
  <si>
    <t>Adjustments</t>
  </si>
  <si>
    <t>Non-Operating Income Taxes:</t>
  </si>
  <si>
    <t>4092000</t>
  </si>
  <si>
    <t>Current FIT - Other Income</t>
  </si>
  <si>
    <t>4092100</t>
  </si>
  <si>
    <t>State - Income Taxes-Non Oper</t>
  </si>
  <si>
    <t>4102000</t>
  </si>
  <si>
    <t>Def FIT - Other Income</t>
  </si>
  <si>
    <t>4112000</t>
  </si>
  <si>
    <t>Def FIT - Non Operating Income</t>
  </si>
  <si>
    <t>Other Deductions:</t>
  </si>
  <si>
    <t>Pre-tax Adjustments</t>
  </si>
  <si>
    <t>Tax Effect</t>
  </si>
  <si>
    <t>Tax Account</t>
  </si>
  <si>
    <t>4210200</t>
  </si>
  <si>
    <t>Disposition of Property-Loss</t>
  </si>
  <si>
    <t>4253800</t>
  </si>
  <si>
    <t>Reg Asset Amortization</t>
  </si>
  <si>
    <t>4265500</t>
  </si>
  <si>
    <t>Other Deductions-Non Operating</t>
  </si>
  <si>
    <t>Adjusted Non-Operating*</t>
  </si>
  <si>
    <t>*As presented on schedule II-E-4.2</t>
  </si>
  <si>
    <t>*See WP/II-E-3/3</t>
  </si>
  <si>
    <t>WP/II-E-3/4</t>
  </si>
  <si>
    <t>Protected Excess DFIT Amortization</t>
  </si>
  <si>
    <t>Non-protected Excess DFIT Amortization</t>
  </si>
  <si>
    <t>BELOW THE LINE TAX EXPENSE</t>
  </si>
  <si>
    <t>DC</t>
  </si>
  <si>
    <t>Consol</t>
  </si>
  <si>
    <t>TIE</t>
  </si>
  <si>
    <t>2025 RATE CASE</t>
  </si>
  <si>
    <t>TEST YEAR ENDING DECEMBER 31, 2024</t>
  </si>
  <si>
    <t xml:space="preserve">FIN48 Tax and Interest </t>
  </si>
  <si>
    <t>Excess Reserve DFIT Amortization</t>
  </si>
  <si>
    <t>General Business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</si>
</sst>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00000"/>
    <numFmt numFmtId="166" formatCode="0.0"/>
    <numFmt numFmtId="167" formatCode="_(* #,##0.00000000_);_(* \(#,##0.00000000\);_(* &quot;-&quot;_);_(@_)"/>
    <numFmt numFmtId="168" formatCode="_(* #,##0.00000_);_(* \(#,##0.00000\);_(* &quot;-&quot;_);_(@_)"/>
    <numFmt numFmtId="169" formatCode="_(* #,##0.000000_);_(* \(#,##0.000000\);_(* &quot;-&quot;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1"/>
      <color theme="4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9"/>
      <name val="Arial Unicode MS"/>
      <family val="2"/>
    </font>
    <font>
      <sz val="10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rgb="FFFF0000"/>
      <name val="Calibri"/>
      <family val="2"/>
      <scheme val="minor"/>
    </font>
    <font>
      <sz val="8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1" fillId="0" borderId="0"/>
    <xf numFmtId="9" fontId="12" fillId="0" borderId="0" applyAlignment="0"/>
    <xf numFmtId="166" fontId="4" fillId="0" borderId="0">
      <alignment horizontal="left" wrapText="1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165" fontId="4" fillId="0" borderId="0">
      <alignment horizontal="left" wrapText="1"/>
    </xf>
    <xf numFmtId="0" fontId="15" fillId="0" borderId="0" applyNumberFormat="0" applyFill="0" applyBorder="0" applyProtection="0">
      <alignment vertical="top"/>
    </xf>
    <xf numFmtId="0" fontId="16" fillId="0" borderId="19" applyNumberFormat="0" applyFill="0" applyAlignment="0" applyProtection="0"/>
    <xf numFmtId="0" fontId="17" fillId="0" borderId="20" applyNumberFormat="0" applyFill="0" applyProtection="0">
      <alignment horizontal="center"/>
    </xf>
    <xf numFmtId="0" fontId="17" fillId="0" borderId="0" applyNumberFormat="0" applyFill="0" applyBorder="0" applyProtection="0">
      <alignment horizontal="left"/>
    </xf>
    <xf numFmtId="0" fontId="18" fillId="0" borderId="0" applyNumberFormat="0" applyFill="0" applyBorder="0" applyProtection="0">
      <alignment horizontal="centerContinuous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164" fontId="5" fillId="0" borderId="0" xfId="1" applyNumberFormat="1" applyFont="1"/>
    <xf numFmtId="164" fontId="5" fillId="0" borderId="0" xfId="1" applyNumberFormat="1" applyFont="1" applyBorder="1"/>
    <xf numFmtId="0" fontId="0" fillId="0" borderId="0" xfId="0" applyFill="1"/>
    <xf numFmtId="164" fontId="5" fillId="0" borderId="1" xfId="1" applyNumberFormat="1" applyFont="1" applyFill="1" applyBorder="1"/>
    <xf numFmtId="164" fontId="0" fillId="0" borderId="0" xfId="0" applyNumberFormat="1"/>
    <xf numFmtId="164" fontId="0" fillId="0" borderId="0" xfId="0" applyNumberFormat="1" applyBorder="1"/>
    <xf numFmtId="164" fontId="0" fillId="0" borderId="0" xfId="1" applyNumberFormat="1" applyFont="1"/>
    <xf numFmtId="0" fontId="4" fillId="0" borderId="0" xfId="0" applyFont="1"/>
    <xf numFmtId="0" fontId="6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right"/>
    </xf>
    <xf numFmtId="43" fontId="0" fillId="0" borderId="0" xfId="0" applyNumberFormat="1"/>
    <xf numFmtId="43" fontId="0" fillId="0" borderId="0" xfId="0" applyNumberFormat="1" applyBorder="1"/>
    <xf numFmtId="43" fontId="0" fillId="0" borderId="0" xfId="1" applyFont="1"/>
    <xf numFmtId="164" fontId="0" fillId="0" borderId="2" xfId="0" applyNumberFormat="1" applyBorder="1"/>
    <xf numFmtId="0" fontId="4" fillId="0" borderId="0" xfId="2" applyFont="1"/>
    <xf numFmtId="0" fontId="2" fillId="0" borderId="3" xfId="2" applyFont="1" applyFill="1" applyBorder="1" applyAlignment="1">
      <alignment horizontal="center"/>
    </xf>
    <xf numFmtId="37" fontId="4" fillId="0" borderId="0" xfId="2" applyNumberFormat="1" applyFont="1" applyFill="1" applyBorder="1" applyAlignment="1">
      <alignment horizontal="right"/>
    </xf>
    <xf numFmtId="0" fontId="4" fillId="0" borderId="0" xfId="2" applyFont="1" applyFill="1" applyAlignment="1"/>
    <xf numFmtId="164" fontId="4" fillId="0" borderId="0" xfId="3" applyNumberFormat="1" applyFont="1" applyFill="1" applyBorder="1" applyAlignment="1">
      <alignment horizontal="right"/>
    </xf>
    <xf numFmtId="0" fontId="4" fillId="0" borderId="0" xfId="2" applyFont="1" applyFill="1" applyBorder="1" applyAlignment="1"/>
    <xf numFmtId="164" fontId="4" fillId="0" borderId="3" xfId="3" applyNumberFormat="1" applyFont="1" applyFill="1" applyBorder="1" applyAlignment="1">
      <alignment horizontal="right"/>
    </xf>
    <xf numFmtId="0" fontId="2" fillId="0" borderId="0" xfId="2" applyFont="1" applyFill="1" applyBorder="1" applyAlignment="1">
      <alignment wrapText="1"/>
    </xf>
    <xf numFmtId="164" fontId="4" fillId="0" borderId="0" xfId="3" applyNumberFormat="1" applyFont="1" applyFill="1" applyBorder="1"/>
    <xf numFmtId="37" fontId="4" fillId="0" borderId="0" xfId="2" applyNumberFormat="1" applyFont="1"/>
    <xf numFmtId="37" fontId="2" fillId="0" borderId="0" xfId="2" applyNumberFormat="1" applyFont="1"/>
    <xf numFmtId="164" fontId="4" fillId="0" borderId="4" xfId="3" applyNumberFormat="1" applyFont="1" applyFill="1" applyBorder="1" applyAlignment="1">
      <alignment horizontal="right"/>
    </xf>
    <xf numFmtId="0" fontId="4" fillId="0" borderId="0" xfId="2" applyFont="1" applyFill="1" applyAlignment="1">
      <alignment horizontal="left"/>
    </xf>
    <xf numFmtId="0" fontId="4" fillId="0" borderId="0" xfId="2" applyFont="1" applyFill="1" applyBorder="1" applyAlignment="1">
      <alignment vertical="top" wrapText="1"/>
    </xf>
    <xf numFmtId="164" fontId="4" fillId="0" borderId="0" xfId="3" applyNumberFormat="1" applyFont="1" applyBorder="1" applyAlignment="1">
      <alignment horizontal="right"/>
    </xf>
    <xf numFmtId="0" fontId="2" fillId="0" borderId="3" xfId="2" applyFont="1" applyBorder="1" applyAlignment="1">
      <alignment horizontal="center"/>
    </xf>
    <xf numFmtId="164" fontId="4" fillId="0" borderId="3" xfId="3" applyNumberFormat="1" applyFont="1" applyFill="1" applyBorder="1"/>
    <xf numFmtId="0" fontId="4" fillId="0" borderId="0" xfId="2" applyFont="1" applyFill="1" applyBorder="1"/>
    <xf numFmtId="10" fontId="4" fillId="0" borderId="0" xfId="4" applyNumberFormat="1" applyFont="1" applyFill="1" applyBorder="1"/>
    <xf numFmtId="164" fontId="8" fillId="0" borderId="0" xfId="3" applyNumberFormat="1" applyFont="1" applyFill="1" applyBorder="1"/>
    <xf numFmtId="0" fontId="0" fillId="0" borderId="0" xfId="0"/>
    <xf numFmtId="0" fontId="4" fillId="0" borderId="0" xfId="5" applyFont="1"/>
    <xf numFmtId="0" fontId="2" fillId="0" borderId="0" xfId="5" applyFont="1" applyAlignment="1">
      <alignment horizontal="right"/>
    </xf>
    <xf numFmtId="0" fontId="9" fillId="0" borderId="0" xfId="5" applyFont="1"/>
    <xf numFmtId="0" fontId="4" fillId="0" borderId="5" xfId="5" applyFont="1" applyBorder="1"/>
    <xf numFmtId="0" fontId="4" fillId="0" borderId="6" xfId="5" applyFont="1" applyBorder="1"/>
    <xf numFmtId="0" fontId="4" fillId="0" borderId="7" xfId="5" applyFont="1" applyBorder="1"/>
    <xf numFmtId="0" fontId="10" fillId="0" borderId="8" xfId="0" applyFont="1" applyFill="1" applyBorder="1" applyAlignment="1" applyProtection="1">
      <alignment horizontal="center"/>
    </xf>
    <xf numFmtId="0" fontId="4" fillId="0" borderId="9" xfId="5" applyFont="1" applyBorder="1" applyAlignment="1">
      <alignment horizontal="center"/>
    </xf>
    <xf numFmtId="0" fontId="4" fillId="0" borderId="10" xfId="5" applyFont="1" applyBorder="1"/>
    <xf numFmtId="0" fontId="4" fillId="0" borderId="11" xfId="5" applyFont="1" applyBorder="1"/>
    <xf numFmtId="0" fontId="10" fillId="0" borderId="12" xfId="0" applyFont="1" applyFill="1" applyBorder="1" applyAlignment="1" applyProtection="1">
      <alignment horizontal="center"/>
    </xf>
    <xf numFmtId="0" fontId="4" fillId="0" borderId="13" xfId="5" applyFont="1" applyBorder="1" applyAlignment="1">
      <alignment horizontal="center"/>
    </xf>
    <xf numFmtId="0" fontId="10" fillId="0" borderId="16" xfId="0" applyFont="1" applyFill="1" applyBorder="1" applyAlignment="1" applyProtection="1">
      <alignment horizontal="center"/>
    </xf>
    <xf numFmtId="0" fontId="4" fillId="0" borderId="9" xfId="5" applyFont="1" applyBorder="1"/>
    <xf numFmtId="41" fontId="4" fillId="0" borderId="9" xfId="5" applyNumberFormat="1" applyFont="1" applyBorder="1"/>
    <xf numFmtId="41" fontId="4" fillId="0" borderId="9" xfId="4" applyNumberFormat="1" applyFont="1" applyBorder="1"/>
    <xf numFmtId="41" fontId="4" fillId="0" borderId="17" xfId="5" applyNumberFormat="1" applyFont="1" applyBorder="1"/>
    <xf numFmtId="41" fontId="4" fillId="0" borderId="13" xfId="5" applyNumberFormat="1" applyFont="1" applyBorder="1"/>
    <xf numFmtId="0" fontId="4" fillId="0" borderId="10" xfId="0" applyFont="1" applyFill="1" applyBorder="1" applyProtection="1"/>
    <xf numFmtId="0" fontId="4" fillId="0" borderId="11" xfId="0" applyFont="1" applyFill="1" applyBorder="1" applyProtection="1"/>
    <xf numFmtId="41" fontId="4" fillId="0" borderId="17" xfId="3" applyNumberFormat="1" applyFont="1" applyBorder="1"/>
    <xf numFmtId="41" fontId="4" fillId="0" borderId="18" xfId="5" applyNumberFormat="1" applyFont="1" applyBorder="1"/>
    <xf numFmtId="0" fontId="4" fillId="0" borderId="14" xfId="5" applyFont="1" applyBorder="1"/>
    <xf numFmtId="0" fontId="4" fillId="0" borderId="15" xfId="5" applyFont="1" applyBorder="1"/>
    <xf numFmtId="41" fontId="4" fillId="0" borderId="14" xfId="5" applyNumberFormat="1" applyFont="1" applyBorder="1"/>
    <xf numFmtId="0" fontId="4" fillId="0" borderId="13" xfId="5" applyFont="1" applyBorder="1"/>
    <xf numFmtId="0" fontId="8" fillId="0" borderId="0" xfId="5" applyFont="1"/>
    <xf numFmtId="41" fontId="8" fillId="0" borderId="0" xfId="5" applyNumberFormat="1" applyFont="1"/>
    <xf numFmtId="164" fontId="8" fillId="0" borderId="0" xfId="3" applyNumberFormat="1" applyFont="1"/>
    <xf numFmtId="164" fontId="4" fillId="0" borderId="0" xfId="6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164" fontId="19" fillId="0" borderId="0" xfId="0" applyNumberFormat="1" applyFont="1"/>
    <xf numFmtId="0" fontId="2" fillId="0" borderId="0" xfId="2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7" fontId="4" fillId="0" borderId="0" xfId="5" applyNumberFormat="1" applyFont="1"/>
    <xf numFmtId="41" fontId="20" fillId="0" borderId="0" xfId="5" applyNumberFormat="1" applyFont="1"/>
    <xf numFmtId="0" fontId="20" fillId="0" borderId="0" xfId="5" applyFont="1"/>
    <xf numFmtId="0" fontId="4" fillId="0" borderId="11" xfId="5" applyFont="1" applyBorder="1" applyAlignment="1">
      <alignment horizontal="center"/>
    </xf>
    <xf numFmtId="164" fontId="5" fillId="0" borderId="0" xfId="1" applyNumberFormat="1" applyFont="1" applyFill="1" applyBorder="1"/>
    <xf numFmtId="164" fontId="5" fillId="0" borderId="0" xfId="1" applyNumberFormat="1" applyFont="1" applyFill="1"/>
    <xf numFmtId="0" fontId="0" fillId="0" borderId="0" xfId="0"/>
    <xf numFmtId="0" fontId="0" fillId="0" borderId="0" xfId="0"/>
    <xf numFmtId="164" fontId="0" fillId="0" borderId="0" xfId="1" applyNumberFormat="1" applyFont="1" applyFill="1"/>
    <xf numFmtId="164" fontId="0" fillId="0" borderId="0" xfId="0" applyNumberFormat="1" applyFill="1"/>
    <xf numFmtId="164" fontId="0" fillId="0" borderId="0" xfId="1" applyNumberFormat="1" applyFont="1" applyFill="1" applyBorder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0" fillId="0" borderId="0" xfId="0" applyNumberFormat="1" applyFill="1" applyBorder="1"/>
    <xf numFmtId="43" fontId="0" fillId="0" borderId="0" xfId="0" applyNumberFormat="1" applyFill="1"/>
    <xf numFmtId="0" fontId="2" fillId="0" borderId="0" xfId="5" applyFont="1" applyAlignment="1"/>
    <xf numFmtId="0" fontId="0" fillId="0" borderId="0" xfId="0" quotePrefix="1" applyAlignment="1">
      <alignment horizontal="center"/>
    </xf>
    <xf numFmtId="164" fontId="0" fillId="0" borderId="21" xfId="0" applyNumberFormat="1" applyBorder="1"/>
    <xf numFmtId="0" fontId="21" fillId="0" borderId="0" xfId="0" applyFont="1"/>
    <xf numFmtId="164" fontId="21" fillId="0" borderId="0" xfId="0" applyNumberFormat="1" applyFont="1"/>
    <xf numFmtId="0" fontId="4" fillId="0" borderId="0" xfId="2" applyFont="1" applyFill="1"/>
    <xf numFmtId="43" fontId="0" fillId="0" borderId="0" xfId="1" applyFont="1" applyFill="1"/>
    <xf numFmtId="37" fontId="4" fillId="0" borderId="0" xfId="2" applyNumberFormat="1" applyFont="1" applyFill="1"/>
    <xf numFmtId="37" fontId="2" fillId="0" borderId="0" xfId="2" applyNumberFormat="1" applyFont="1" applyFill="1"/>
    <xf numFmtId="0" fontId="2" fillId="0" borderId="0" xfId="0" applyFont="1" applyFill="1" applyAlignment="1">
      <alignment horizontal="center"/>
    </xf>
    <xf numFmtId="0" fontId="7" fillId="0" borderId="0" xfId="0" applyFont="1" applyFill="1"/>
    <xf numFmtId="10" fontId="4" fillId="0" borderId="11" xfId="4" applyNumberFormat="1" applyFont="1" applyFill="1" applyBorder="1"/>
    <xf numFmtId="0" fontId="4" fillId="0" borderId="9" xfId="5" applyFont="1" applyFill="1" applyBorder="1"/>
    <xf numFmtId="0" fontId="4" fillId="0" borderId="11" xfId="5" applyFont="1" applyFill="1" applyBorder="1"/>
    <xf numFmtId="41" fontId="4" fillId="0" borderId="9" xfId="5" applyNumberFormat="1" applyFont="1" applyFill="1" applyBorder="1"/>
    <xf numFmtId="41" fontId="4" fillId="0" borderId="9" xfId="3" applyNumberFormat="1" applyFont="1" applyFill="1" applyBorder="1"/>
    <xf numFmtId="0" fontId="4" fillId="0" borderId="0" xfId="5" applyFont="1" applyFill="1"/>
    <xf numFmtId="41" fontId="4" fillId="0" borderId="9" xfId="4" applyNumberFormat="1" applyFont="1" applyFill="1" applyBorder="1"/>
    <xf numFmtId="0" fontId="22" fillId="0" borderId="0" xfId="5" applyFont="1"/>
    <xf numFmtId="0" fontId="4" fillId="0" borderId="0" xfId="0" applyFont="1" applyFill="1"/>
    <xf numFmtId="0" fontId="0" fillId="0" borderId="0" xfId="0" applyFill="1" applyAlignment="1">
      <alignment horizontal="center"/>
    </xf>
    <xf numFmtId="0" fontId="0" fillId="0" borderId="0" xfId="0" quotePrefix="1" applyFill="1"/>
    <xf numFmtId="164" fontId="0" fillId="0" borderId="0" xfId="3" applyNumberFormat="1" applyFont="1" applyFill="1"/>
    <xf numFmtId="164" fontId="0" fillId="0" borderId="21" xfId="0" applyNumberFormat="1" applyFill="1" applyBorder="1"/>
    <xf numFmtId="43" fontId="0" fillId="0" borderId="0" xfId="0" applyNumberFormat="1" applyFill="1" applyBorder="1"/>
    <xf numFmtId="0" fontId="0" fillId="0" borderId="0" xfId="0" applyFill="1" applyBorder="1"/>
    <xf numFmtId="168" fontId="20" fillId="0" borderId="0" xfId="5" applyNumberFormat="1" applyFont="1"/>
    <xf numFmtId="169" fontId="20" fillId="0" borderId="0" xfId="5" applyNumberFormat="1" applyFont="1"/>
    <xf numFmtId="41" fontId="4" fillId="0" borderId="0" xfId="32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2" fillId="0" borderId="0" xfId="5" applyFont="1" applyAlignment="1">
      <alignment horizontal="center"/>
    </xf>
    <xf numFmtId="0" fontId="4" fillId="0" borderId="14" xfId="5" applyFont="1" applyBorder="1" applyAlignment="1">
      <alignment horizontal="center"/>
    </xf>
    <xf numFmtId="0" fontId="4" fillId="0" borderId="15" xfId="5" applyFont="1" applyBorder="1" applyAlignment="1">
      <alignment horizontal="center"/>
    </xf>
  </cellXfs>
  <cellStyles count="33">
    <cellStyle name="_Heading_Strategic Planning - Alternative Case ( Final w OG S5  3 Ref No 1 5 GW PPA) " xfId="10" xr:uid="{00000000-0005-0000-0000-000000000000}"/>
    <cellStyle name="_Strategic Planning - Alternative Case ( Final w OG S5  3 Ref No 1 5 GW PPA) " xfId="11" xr:uid="{00000000-0005-0000-0000-000001000000}"/>
    <cellStyle name="_SubHeading_Strategic Planning - Alternative Case ( Final w OG S5  3 Ref No 1 5 GW PPA) " xfId="12" xr:uid="{00000000-0005-0000-0000-000002000000}"/>
    <cellStyle name="_Table_Strategic Planning - Alternative Case ( Final w OG S5  3 Ref No 1 5 GW PPA) " xfId="13" xr:uid="{00000000-0005-0000-0000-000003000000}"/>
    <cellStyle name="_TableHead_Strategic Planning - Alternative Case ( Final w OG S5  3 Ref No 1 5 GW PPA) " xfId="14" xr:uid="{00000000-0005-0000-0000-000004000000}"/>
    <cellStyle name="_TableRowHead_Strategic Planning - Alternative Case ( Final w OG S5  3 Ref No 1 5 GW PPA) " xfId="15" xr:uid="{00000000-0005-0000-0000-000005000000}"/>
    <cellStyle name="_TableSuperHead_Strategic Planning - Alternative Case ( Final w OG S5  3 Ref No 1 5 GW PPA) " xfId="16" xr:uid="{00000000-0005-0000-0000-000006000000}"/>
    <cellStyle name="_TXU Gas Plants ML - Henwood 12-5-05 " xfId="8" xr:uid="{00000000-0005-0000-0000-000007000000}"/>
    <cellStyle name="Comma" xfId="1" builtinId="3"/>
    <cellStyle name="Comma [0]" xfId="32" builtinId="6"/>
    <cellStyle name="Comma 8" xfId="3" xr:uid="{00000000-0005-0000-0000-000009000000}"/>
    <cellStyle name="Normal" xfId="0" builtinId="0"/>
    <cellStyle name="Normal 10" xfId="25" xr:uid="{00000000-0005-0000-0000-00000B000000}"/>
    <cellStyle name="Normal 11" xfId="26" xr:uid="{00000000-0005-0000-0000-00000C000000}"/>
    <cellStyle name="Normal 12" xfId="27" xr:uid="{00000000-0005-0000-0000-00000D000000}"/>
    <cellStyle name="Normal 13" xfId="28" xr:uid="{00000000-0005-0000-0000-00000E000000}"/>
    <cellStyle name="Normal 14" xfId="29" xr:uid="{00000000-0005-0000-0000-00000F000000}"/>
    <cellStyle name="Normal 15" xfId="30" xr:uid="{00000000-0005-0000-0000-000010000000}"/>
    <cellStyle name="Normal 16" xfId="31" xr:uid="{00000000-0005-0000-0000-000011000000}"/>
    <cellStyle name="Normal 17" xfId="6" xr:uid="{00000000-0005-0000-0000-000012000000}"/>
    <cellStyle name="Normal 2" xfId="17" xr:uid="{00000000-0005-0000-0000-000013000000}"/>
    <cellStyle name="Normal 3" xfId="18" xr:uid="{00000000-0005-0000-0000-000014000000}"/>
    <cellStyle name="Normal 4" xfId="19" xr:uid="{00000000-0005-0000-0000-000015000000}"/>
    <cellStyle name="Normal 5" xfId="20" xr:uid="{00000000-0005-0000-0000-000016000000}"/>
    <cellStyle name="Normal 6" xfId="21" xr:uid="{00000000-0005-0000-0000-000017000000}"/>
    <cellStyle name="Normal 7" xfId="22" xr:uid="{00000000-0005-0000-0000-000018000000}"/>
    <cellStyle name="Normal 8" xfId="23" xr:uid="{00000000-0005-0000-0000-000019000000}"/>
    <cellStyle name="Normal 9" xfId="24" xr:uid="{00000000-0005-0000-0000-00001A000000}"/>
    <cellStyle name="Normal_2008 Q1 Variance Report" xfId="2" xr:uid="{00000000-0005-0000-0000-00001B000000}"/>
    <cellStyle name="Normal_TUE WPs for Sched II E-3" xfId="5" xr:uid="{00000000-0005-0000-0000-00001C000000}"/>
    <cellStyle name="Percent 2" xfId="7" xr:uid="{00000000-0005-0000-0000-00001D000000}"/>
    <cellStyle name="Percent 22" xfId="4" xr:uid="{00000000-0005-0000-0000-00001E000000}"/>
    <cellStyle name="r_Accretion " xfId="9" xr:uid="{00000000-0005-0000-0000-00001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chedules%20&amp;%20Schedule%20Workpapers/Section%20II%20(Test%20Year%20Data)/Schedule%20B%20(Rate%20Base)/Schedule%20II-B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chedules%20&amp;%20Schedule%20Workpapers/Section%20II%20(Test%20Year%20Data)/Schedule%20C%20(Rate%20of%20Return)/Schedule%20II-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B"/>
      <sheetName val="II-B-1"/>
      <sheetName val="II-B-1a"/>
      <sheetName val="II-B-2"/>
      <sheetName val="II-B-3"/>
      <sheetName val="II-B-4"/>
      <sheetName val="II-B-5"/>
      <sheetName val="II-B-6"/>
      <sheetName val="II-B-7"/>
      <sheetName val="II-B-8"/>
      <sheetName val="II-B-9"/>
      <sheetName val="II-B-10"/>
      <sheetName val="II-B-11"/>
      <sheetName val="II-B-12"/>
      <sheetName val="II-B-13"/>
      <sheetName val="II-B-14"/>
      <sheetName val="II-B-14 Attachment 1"/>
      <sheetName val="II-B-15A"/>
      <sheetName val="II-B-15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6">
          <cell r="K106">
            <v>26462044927.498463</v>
          </cell>
          <cell r="N106">
            <v>11074904772.30468</v>
          </cell>
          <cell r="O106">
            <v>1109747066.95</v>
          </cell>
          <cell r="P106">
            <v>9238090.4099999815</v>
          </cell>
          <cell r="R106">
            <v>13507608593.429487</v>
          </cell>
          <cell r="S106">
            <v>89342107.280000016</v>
          </cell>
          <cell r="U106">
            <v>441137289.90897894</v>
          </cell>
          <cell r="V106">
            <v>230067007.21531478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C-1"/>
      <sheetName val="II-C-1.1"/>
      <sheetName val="II-C-2.1"/>
      <sheetName val="II-C-2.2"/>
      <sheetName val="II-C-2.2a"/>
      <sheetName val="II-C-2.3"/>
      <sheetName val="II-C-2.3a"/>
      <sheetName val="II-C-2.4"/>
      <sheetName val="II-C-2.4.1"/>
      <sheetName val="II-C-2.4a"/>
      <sheetName val="II-C-2.4a.1"/>
      <sheetName val="II-C-2.5"/>
      <sheetName val="II-C-2.5a"/>
      <sheetName val="II-C-2.5b"/>
      <sheetName val="II-C-2.5c"/>
      <sheetName val="II-C-2.5d"/>
      <sheetName val="II-C-2.5e"/>
      <sheetName val="II-C-2.5f"/>
      <sheetName val="II-C-2.5g"/>
      <sheetName val="II-C-2.5h"/>
      <sheetName val="II-C-2.5i"/>
      <sheetName val="II-C-2.5j"/>
      <sheetName val="II-C-2.5k"/>
      <sheetName val="II-C-2.5l"/>
      <sheetName val="II-C-2.6"/>
      <sheetName val="II-C-2.7"/>
      <sheetName val="II-C-2.8"/>
      <sheetName val="II-C-2.9"/>
      <sheetName val="II-C-2.10 Attachment 1"/>
      <sheetName val="II-C-3"/>
      <sheetName val="II-C-4"/>
      <sheetName val="II-C-4 Attachment 1"/>
    </sheetNames>
    <sheetDataSet>
      <sheetData sheetId="0">
        <row r="5">
          <cell r="D5">
            <v>2.7199999999999998E-2</v>
          </cell>
        </row>
        <row r="7">
          <cell r="D7">
            <v>7.4700000000000003E-2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59"/>
  <sheetViews>
    <sheetView tabSelected="1" zoomScale="90" zoomScaleNormal="90" workbookViewId="0">
      <selection activeCell="M13" sqref="M13"/>
    </sheetView>
  </sheetViews>
  <sheetFormatPr defaultRowHeight="15" x14ac:dyDescent="0.25"/>
  <cols>
    <col min="1" max="1" width="5.28515625" customWidth="1"/>
    <col min="2" max="2" width="25.7109375" customWidth="1"/>
    <col min="3" max="3" width="15.28515625" bestFit="1" customWidth="1"/>
    <col min="4" max="4" width="2.7109375" style="43" customWidth="1"/>
    <col min="5" max="5" width="15.28515625" bestFit="1" customWidth="1"/>
    <col min="6" max="6" width="2.7109375" customWidth="1"/>
    <col min="7" max="7" width="17.42578125" customWidth="1"/>
    <col min="8" max="8" width="14" bestFit="1" customWidth="1"/>
    <col min="10" max="10" width="5.5703125" customWidth="1"/>
  </cols>
  <sheetData>
    <row r="1" spans="1:13" x14ac:dyDescent="0.25">
      <c r="A1" s="1"/>
      <c r="F1" s="2"/>
      <c r="H1" s="3" t="s">
        <v>0</v>
      </c>
    </row>
    <row r="2" spans="1:13" x14ac:dyDescent="0.25">
      <c r="A2" s="1"/>
      <c r="F2" s="2"/>
      <c r="H2" s="3" t="s">
        <v>1</v>
      </c>
    </row>
    <row r="3" spans="1:13" x14ac:dyDescent="0.25">
      <c r="A3" s="1"/>
      <c r="F3" s="4"/>
    </row>
    <row r="4" spans="1:13" x14ac:dyDescent="0.25">
      <c r="A4" s="123" t="s">
        <v>106</v>
      </c>
      <c r="B4" s="123"/>
      <c r="C4" s="123"/>
      <c r="D4" s="123"/>
      <c r="E4" s="123"/>
      <c r="F4" s="123"/>
      <c r="G4" s="123"/>
    </row>
    <row r="5" spans="1:13" x14ac:dyDescent="0.25">
      <c r="A5" s="123" t="s">
        <v>2</v>
      </c>
      <c r="B5" s="123"/>
      <c r="C5" s="123"/>
      <c r="D5" s="123"/>
      <c r="E5" s="123"/>
      <c r="F5" s="123"/>
      <c r="G5" s="123"/>
    </row>
    <row r="6" spans="1:13" x14ac:dyDescent="0.25">
      <c r="A6" s="123" t="s">
        <v>3</v>
      </c>
      <c r="B6" s="123"/>
      <c r="C6" s="123"/>
      <c r="D6" s="123"/>
      <c r="E6" s="123"/>
      <c r="F6" s="123"/>
      <c r="G6" s="123"/>
    </row>
    <row r="7" spans="1:13" x14ac:dyDescent="0.25">
      <c r="A7" s="123" t="s">
        <v>107</v>
      </c>
      <c r="B7" s="123"/>
      <c r="C7" s="123"/>
      <c r="D7" s="123"/>
      <c r="E7" s="123"/>
      <c r="F7" s="123"/>
      <c r="G7" s="123"/>
    </row>
    <row r="8" spans="1:13" x14ac:dyDescent="0.25">
      <c r="A8" s="123" t="s">
        <v>68</v>
      </c>
      <c r="B8" s="123"/>
      <c r="C8" s="123"/>
      <c r="D8" s="123"/>
      <c r="E8" s="123"/>
      <c r="F8" s="123"/>
      <c r="G8" s="123"/>
    </row>
    <row r="9" spans="1:13" x14ac:dyDescent="0.25">
      <c r="A9" s="5"/>
      <c r="B9" s="5"/>
      <c r="C9" s="5"/>
      <c r="D9" s="74"/>
      <c r="F9" s="4"/>
    </row>
    <row r="10" spans="1:13" x14ac:dyDescent="0.25">
      <c r="A10" s="1"/>
      <c r="C10" s="1"/>
      <c r="D10" s="1"/>
      <c r="E10" s="1"/>
      <c r="F10" s="17"/>
      <c r="G10" s="1"/>
    </row>
    <row r="11" spans="1:13" x14ac:dyDescent="0.25">
      <c r="A11" s="1"/>
      <c r="C11" s="6" t="s">
        <v>4</v>
      </c>
      <c r="D11" s="6"/>
      <c r="E11" s="6" t="s">
        <v>5</v>
      </c>
      <c r="F11" s="7"/>
      <c r="G11" s="6" t="s">
        <v>6</v>
      </c>
      <c r="J11" s="97"/>
    </row>
    <row r="12" spans="1:13" x14ac:dyDescent="0.25">
      <c r="A12" s="1"/>
      <c r="F12" s="4"/>
      <c r="J12" s="97"/>
    </row>
    <row r="13" spans="1:13" x14ac:dyDescent="0.25">
      <c r="A13" s="1">
        <v>1</v>
      </c>
      <c r="B13" t="s">
        <v>7</v>
      </c>
      <c r="C13" s="84">
        <f>+E13+G13</f>
        <v>1173621725.53</v>
      </c>
      <c r="D13" s="8"/>
      <c r="E13" s="84">
        <v>1110408415.76</v>
      </c>
      <c r="F13" s="83"/>
      <c r="G13" s="84">
        <v>63213309.769999996</v>
      </c>
      <c r="J13" s="98"/>
      <c r="K13" s="12"/>
      <c r="L13" s="12"/>
      <c r="M13" s="12"/>
    </row>
    <row r="14" spans="1:13" x14ac:dyDescent="0.25">
      <c r="A14" s="1">
        <f t="shared" ref="A14:A33" si="0">A13+1</f>
        <v>2</v>
      </c>
      <c r="C14" s="8"/>
      <c r="D14" s="8"/>
      <c r="E14" s="8"/>
      <c r="F14" s="9"/>
      <c r="G14" s="8"/>
      <c r="J14" s="98"/>
      <c r="K14" s="12"/>
      <c r="L14" s="12"/>
      <c r="M14" s="12"/>
    </row>
    <row r="15" spans="1:13" x14ac:dyDescent="0.25">
      <c r="A15" s="1">
        <f t="shared" si="0"/>
        <v>3</v>
      </c>
      <c r="B15" t="s">
        <v>8</v>
      </c>
      <c r="C15" s="8"/>
      <c r="D15" s="8"/>
      <c r="E15" s="8"/>
      <c r="F15" s="9"/>
      <c r="G15" s="8"/>
      <c r="J15" s="98"/>
      <c r="K15" s="12"/>
      <c r="L15" s="12"/>
      <c r="M15" s="12"/>
    </row>
    <row r="16" spans="1:13" x14ac:dyDescent="0.25">
      <c r="A16" s="1">
        <f t="shared" si="0"/>
        <v>4</v>
      </c>
      <c r="B16" t="s">
        <v>9</v>
      </c>
      <c r="C16" s="84">
        <f>+E16+G16</f>
        <v>174380158.75000012</v>
      </c>
      <c r="D16" s="8"/>
      <c r="E16" s="84">
        <v>176917597.8900001</v>
      </c>
      <c r="F16" s="9"/>
      <c r="G16" s="84">
        <v>-2537439.1400000006</v>
      </c>
      <c r="J16" s="98"/>
      <c r="K16" s="12"/>
      <c r="L16" s="12"/>
      <c r="M16" s="12"/>
    </row>
    <row r="17" spans="1:13" x14ac:dyDescent="0.25">
      <c r="A17" s="1">
        <f t="shared" si="0"/>
        <v>5</v>
      </c>
      <c r="B17" t="s">
        <v>10</v>
      </c>
      <c r="C17" s="84">
        <f t="shared" ref="C17:C18" si="1">+E17+G17</f>
        <v>31954539.909999996</v>
      </c>
      <c r="D17" s="8"/>
      <c r="E17" s="84">
        <v>31866850.189999998</v>
      </c>
      <c r="F17" s="9"/>
      <c r="G17" s="84">
        <v>87689.72</v>
      </c>
      <c r="J17" s="98"/>
      <c r="K17" s="12"/>
      <c r="L17" s="12"/>
      <c r="M17" s="12"/>
    </row>
    <row r="18" spans="1:13" x14ac:dyDescent="0.25">
      <c r="A18" s="1">
        <f t="shared" si="0"/>
        <v>6</v>
      </c>
      <c r="B18" s="10" t="s">
        <v>11</v>
      </c>
      <c r="C18" s="11">
        <f t="shared" si="1"/>
        <v>-479524.92</v>
      </c>
      <c r="D18" s="83"/>
      <c r="E18" s="11">
        <v>-479524.92</v>
      </c>
      <c r="F18" s="9"/>
      <c r="G18" s="11">
        <v>0</v>
      </c>
      <c r="J18" s="98"/>
      <c r="K18" s="12"/>
      <c r="L18" s="12"/>
      <c r="M18" s="12"/>
    </row>
    <row r="19" spans="1:13" x14ac:dyDescent="0.25">
      <c r="A19" s="1">
        <f t="shared" si="0"/>
        <v>7</v>
      </c>
      <c r="C19" s="8">
        <f>SUM(C16:C18)</f>
        <v>205855173.74000013</v>
      </c>
      <c r="D19" s="8"/>
      <c r="E19" s="8">
        <f>SUM(E16:E18)</f>
        <v>208304923.16000012</v>
      </c>
      <c r="F19" s="9"/>
      <c r="G19" s="8">
        <f>SUM(G16:G18)</f>
        <v>-2449749.4200000004</v>
      </c>
      <c r="J19" s="98"/>
      <c r="K19" s="12"/>
      <c r="L19" s="12"/>
      <c r="M19" s="12"/>
    </row>
    <row r="20" spans="1:13" x14ac:dyDescent="0.25">
      <c r="A20" s="1">
        <f t="shared" si="0"/>
        <v>8</v>
      </c>
      <c r="C20" s="8"/>
      <c r="D20" s="8"/>
      <c r="E20" s="8"/>
      <c r="F20" s="9"/>
      <c r="G20" s="8"/>
      <c r="J20" s="98"/>
      <c r="K20" s="12"/>
      <c r="L20" s="12"/>
      <c r="M20" s="12"/>
    </row>
    <row r="21" spans="1:13" x14ac:dyDescent="0.25">
      <c r="A21" s="1">
        <f t="shared" si="0"/>
        <v>9</v>
      </c>
      <c r="B21" t="s">
        <v>12</v>
      </c>
      <c r="C21" s="8">
        <f>C13-C19</f>
        <v>967766551.78999984</v>
      </c>
      <c r="D21" s="8"/>
      <c r="E21" s="8">
        <f>E13-E19</f>
        <v>902103492.5999999</v>
      </c>
      <c r="F21" s="9"/>
      <c r="G21" s="8">
        <f>+C21-E21</f>
        <v>65663059.189999938</v>
      </c>
      <c r="J21" s="98"/>
      <c r="K21" s="12"/>
      <c r="L21" s="12"/>
      <c r="M21" s="12"/>
    </row>
    <row r="22" spans="1:13" x14ac:dyDescent="0.25">
      <c r="A22" s="1">
        <f t="shared" si="0"/>
        <v>10</v>
      </c>
      <c r="C22" s="8"/>
      <c r="D22" s="8"/>
      <c r="E22" s="8"/>
      <c r="F22" s="9"/>
      <c r="G22" s="8"/>
      <c r="J22" s="12"/>
      <c r="K22" s="12"/>
      <c r="L22" s="12"/>
      <c r="M22" s="12"/>
    </row>
    <row r="23" spans="1:13" x14ac:dyDescent="0.25">
      <c r="A23" s="1">
        <f t="shared" si="0"/>
        <v>11</v>
      </c>
      <c r="B23" t="s">
        <v>13</v>
      </c>
      <c r="C23" s="84">
        <f>C16+C18</f>
        <v>173900633.83000013</v>
      </c>
      <c r="D23" s="84"/>
      <c r="E23" s="84">
        <f>E16+E18</f>
        <v>176438072.97000012</v>
      </c>
      <c r="F23" s="83"/>
      <c r="G23" s="84">
        <f>C23-E23</f>
        <v>-2537439.1399999857</v>
      </c>
      <c r="J23" s="12"/>
      <c r="K23" s="12"/>
      <c r="L23" s="12"/>
      <c r="M23" s="12"/>
    </row>
    <row r="24" spans="1:13" x14ac:dyDescent="0.25">
      <c r="A24" s="1">
        <f t="shared" si="0"/>
        <v>12</v>
      </c>
      <c r="C24" s="12"/>
      <c r="D24" s="12"/>
      <c r="E24" s="12"/>
      <c r="F24" s="13"/>
      <c r="G24" s="12"/>
      <c r="J24" s="12"/>
      <c r="K24" s="12"/>
      <c r="L24" s="12"/>
      <c r="M24" s="12"/>
    </row>
    <row r="25" spans="1:13" x14ac:dyDescent="0.25">
      <c r="A25" s="1">
        <f t="shared" si="0"/>
        <v>13</v>
      </c>
      <c r="B25" t="s">
        <v>14</v>
      </c>
      <c r="C25" s="87">
        <f>+E25+G25</f>
        <v>653540734.52999997</v>
      </c>
      <c r="D25" s="87"/>
      <c r="E25" s="87">
        <v>653540734.52999997</v>
      </c>
      <c r="F25" s="89"/>
      <c r="G25" s="88">
        <v>0</v>
      </c>
      <c r="J25" s="12"/>
      <c r="K25" s="12"/>
      <c r="L25" s="12"/>
      <c r="M25" s="12"/>
    </row>
    <row r="26" spans="1:13" x14ac:dyDescent="0.25">
      <c r="A26" s="1">
        <f t="shared" si="0"/>
        <v>14</v>
      </c>
      <c r="C26" s="12"/>
      <c r="D26" s="12"/>
      <c r="E26" s="12"/>
      <c r="F26" s="13"/>
      <c r="G26" s="12"/>
      <c r="J26" s="12"/>
      <c r="K26" s="12"/>
      <c r="L26" s="12"/>
      <c r="M26" s="12"/>
    </row>
    <row r="27" spans="1:13" x14ac:dyDescent="0.25">
      <c r="A27" s="1">
        <f t="shared" si="0"/>
        <v>15</v>
      </c>
      <c r="C27" s="12"/>
      <c r="D27" s="12"/>
      <c r="E27" s="12"/>
      <c r="F27" s="13"/>
      <c r="G27" s="12"/>
      <c r="J27" s="12"/>
      <c r="K27" s="12"/>
      <c r="L27" s="12"/>
      <c r="M27" s="12"/>
    </row>
    <row r="28" spans="1:13" x14ac:dyDescent="0.25">
      <c r="A28" s="1">
        <f t="shared" si="0"/>
        <v>16</v>
      </c>
      <c r="B28" t="s">
        <v>15</v>
      </c>
      <c r="C28" s="12"/>
      <c r="D28" s="12"/>
      <c r="E28" s="88">
        <f>ROUND(+E21+E25,2)</f>
        <v>1555644227.1300001</v>
      </c>
      <c r="F28" s="13"/>
      <c r="G28" s="12"/>
      <c r="J28" s="12"/>
      <c r="K28" s="12"/>
      <c r="L28" s="12"/>
      <c r="M28" s="12"/>
    </row>
    <row r="29" spans="1:13" x14ac:dyDescent="0.25">
      <c r="A29" s="1">
        <f t="shared" si="0"/>
        <v>17</v>
      </c>
      <c r="E29" s="12"/>
      <c r="F29" s="4"/>
      <c r="J29" s="12"/>
      <c r="K29" s="12"/>
      <c r="L29" s="12"/>
      <c r="M29" s="12"/>
    </row>
    <row r="30" spans="1:13" x14ac:dyDescent="0.25">
      <c r="A30" s="1">
        <f t="shared" si="0"/>
        <v>18</v>
      </c>
      <c r="B30" s="15" t="s">
        <v>13</v>
      </c>
      <c r="C30" s="15"/>
      <c r="D30" s="15"/>
      <c r="E30" s="16"/>
      <c r="F30" s="17"/>
      <c r="G30" s="16"/>
      <c r="J30" s="12"/>
      <c r="K30" s="12"/>
      <c r="L30" s="12"/>
      <c r="M30" s="12"/>
    </row>
    <row r="31" spans="1:13" x14ac:dyDescent="0.25">
      <c r="A31" s="1">
        <f t="shared" si="0"/>
        <v>19</v>
      </c>
      <c r="B31" s="18" t="s">
        <v>16</v>
      </c>
      <c r="C31" s="88">
        <f>+E31+G31</f>
        <v>19455480.979999982</v>
      </c>
      <c r="D31" s="12"/>
      <c r="E31" s="88">
        <v>23858181.579999983</v>
      </c>
      <c r="F31" s="19"/>
      <c r="G31" s="88">
        <v>-4402700.6000000006</v>
      </c>
      <c r="J31" s="12"/>
      <c r="K31" s="12"/>
      <c r="L31" s="12"/>
      <c r="M31" s="12"/>
    </row>
    <row r="32" spans="1:13" x14ac:dyDescent="0.25">
      <c r="A32" s="1">
        <f t="shared" si="0"/>
        <v>20</v>
      </c>
      <c r="B32" s="18" t="s">
        <v>17</v>
      </c>
      <c r="C32" s="88">
        <f>+E32+G32</f>
        <v>154445152.85000008</v>
      </c>
      <c r="D32" s="12"/>
      <c r="E32" s="88">
        <v>152579891.39000008</v>
      </c>
      <c r="F32" s="19"/>
      <c r="G32" s="88">
        <v>1865261.46</v>
      </c>
      <c r="J32" s="12"/>
      <c r="K32" s="12"/>
      <c r="L32" s="12"/>
      <c r="M32" s="12"/>
    </row>
    <row r="33" spans="1:13" ht="15.75" thickBot="1" x14ac:dyDescent="0.3">
      <c r="A33" s="1">
        <f t="shared" si="0"/>
        <v>21</v>
      </c>
      <c r="C33" s="22">
        <f>SUM(C31:C32)</f>
        <v>173900633.83000007</v>
      </c>
      <c r="D33" s="22"/>
      <c r="E33" s="22">
        <f>SUM(E31:E32)</f>
        <v>176438072.97000006</v>
      </c>
      <c r="F33" s="20"/>
      <c r="G33" s="22">
        <f>SUM(G31:G32)</f>
        <v>-2537439.1400000006</v>
      </c>
      <c r="J33" s="12"/>
      <c r="K33" s="12"/>
      <c r="L33" s="12"/>
      <c r="M33" s="12"/>
    </row>
    <row r="34" spans="1:13" ht="15.75" thickTop="1" x14ac:dyDescent="0.25">
      <c r="A34" s="1"/>
    </row>
    <row r="35" spans="1:13" x14ac:dyDescent="0.25">
      <c r="A35" s="1"/>
      <c r="C35" s="12"/>
      <c r="D35" s="12"/>
      <c r="E35" s="12"/>
      <c r="F35" s="12"/>
      <c r="G35" s="12"/>
      <c r="H35" s="12"/>
      <c r="I35" s="12"/>
    </row>
    <row r="36" spans="1:13" x14ac:dyDescent="0.25">
      <c r="C36" s="21"/>
      <c r="E36" s="12"/>
    </row>
    <row r="59" spans="3:5" x14ac:dyDescent="0.25">
      <c r="C59" s="12"/>
      <c r="D59" s="12"/>
      <c r="E59" s="12"/>
    </row>
  </sheetData>
  <mergeCells count="5">
    <mergeCell ref="A4:G4"/>
    <mergeCell ref="A5:G5"/>
    <mergeCell ref="A6:G6"/>
    <mergeCell ref="A7:G7"/>
    <mergeCell ref="A8:G8"/>
  </mergeCells>
  <printOptions horizontalCentered="1"/>
  <pageMargins left="0.7" right="0.7" top="1.25" bottom="0.75" header="0.3" footer="0.3"/>
  <pageSetup scale="9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S57"/>
  <sheetViews>
    <sheetView zoomScale="80" zoomScaleNormal="80" workbookViewId="0">
      <pane xSplit="2" ySplit="12" topLeftCell="C13" activePane="bottomRight" state="frozen"/>
      <selection activeCell="C44" sqref="C44"/>
      <selection pane="topRight" activeCell="C44" sqref="C44"/>
      <selection pane="bottomLeft" activeCell="C44" sqref="C44"/>
      <selection pane="bottomRight" activeCell="G30" sqref="G30"/>
    </sheetView>
  </sheetViews>
  <sheetFormatPr defaultColWidth="9.140625" defaultRowHeight="15" x14ac:dyDescent="0.25"/>
  <cols>
    <col min="1" max="1" width="9.140625" style="1"/>
    <col min="2" max="2" width="47.7109375" style="43" bestFit="1" customWidth="1"/>
    <col min="3" max="3" width="15.140625" style="43" bestFit="1" customWidth="1"/>
    <col min="4" max="4" width="15.28515625" style="43" bestFit="1" customWidth="1"/>
    <col min="5" max="5" width="1.5703125" style="43" customWidth="1"/>
    <col min="6" max="6" width="14.85546875" style="43" customWidth="1"/>
    <col min="7" max="7" width="14.140625" style="43" customWidth="1"/>
    <col min="8" max="8" width="1.5703125" style="86" customWidth="1"/>
    <col min="9" max="9" width="13.140625" style="86" bestFit="1" customWidth="1"/>
    <col min="10" max="10" width="13" style="86" bestFit="1" customWidth="1"/>
    <col min="11" max="11" width="1.7109375" style="10" customWidth="1"/>
    <col min="12" max="12" width="13.5703125" style="43" customWidth="1"/>
    <col min="13" max="13" width="13" style="43" bestFit="1" customWidth="1"/>
    <col min="14" max="14" width="6.85546875" style="43" customWidth="1"/>
    <col min="15" max="16" width="9.140625" style="43"/>
    <col min="17" max="17" width="27.140625" style="43" customWidth="1"/>
    <col min="18" max="19" width="15.140625" style="43" bestFit="1" customWidth="1"/>
    <col min="20" max="20" width="9.140625" style="43"/>
    <col min="21" max="21" width="11.5703125" style="43" bestFit="1" customWidth="1"/>
    <col min="22" max="16384" width="9.140625" style="43"/>
  </cols>
  <sheetData>
    <row r="1" spans="1:19" x14ac:dyDescent="0.25">
      <c r="M1" s="3" t="s">
        <v>61</v>
      </c>
    </row>
    <row r="2" spans="1:19" x14ac:dyDescent="0.25">
      <c r="M2" s="3" t="s">
        <v>1</v>
      </c>
    </row>
    <row r="4" spans="1:19" x14ac:dyDescent="0.25">
      <c r="A4" s="123" t="s">
        <v>106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</row>
    <row r="5" spans="1:19" x14ac:dyDescent="0.25">
      <c r="A5" s="123" t="s">
        <v>2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</row>
    <row r="6" spans="1:19" x14ac:dyDescent="0.25">
      <c r="A6" s="123" t="s">
        <v>65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</row>
    <row r="7" spans="1:19" x14ac:dyDescent="0.25">
      <c r="A7" s="123" t="s">
        <v>107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</row>
    <row r="8" spans="1:19" x14ac:dyDescent="0.25">
      <c r="A8" s="123" t="s">
        <v>68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</row>
    <row r="9" spans="1:19" x14ac:dyDescent="0.25">
      <c r="B9" s="77"/>
      <c r="C9" s="77"/>
      <c r="D9" s="77"/>
      <c r="E9" s="77"/>
      <c r="F9" s="77"/>
      <c r="G9" s="77"/>
      <c r="H9" s="90"/>
      <c r="I9" s="90"/>
      <c r="J9" s="90"/>
      <c r="K9" s="103"/>
    </row>
    <row r="11" spans="1:19" x14ac:dyDescent="0.25">
      <c r="C11" s="124" t="s">
        <v>38</v>
      </c>
      <c r="D11" s="124"/>
      <c r="E11" s="78"/>
      <c r="F11" s="124" t="s">
        <v>36</v>
      </c>
      <c r="G11" s="124"/>
      <c r="H11" s="91"/>
      <c r="I11" s="124" t="s">
        <v>37</v>
      </c>
      <c r="J11" s="124"/>
      <c r="K11" s="104"/>
      <c r="L11" s="125" t="s">
        <v>96</v>
      </c>
      <c r="M11" s="125"/>
    </row>
    <row r="12" spans="1:19" ht="15.75" thickBot="1" x14ac:dyDescent="0.3">
      <c r="B12" s="23"/>
      <c r="C12" s="38" t="s">
        <v>33</v>
      </c>
      <c r="D12" s="24" t="s">
        <v>34</v>
      </c>
      <c r="E12" s="76"/>
      <c r="F12" s="38" t="s">
        <v>33</v>
      </c>
      <c r="G12" s="24" t="s">
        <v>34</v>
      </c>
      <c r="H12" s="76"/>
      <c r="I12" s="38" t="s">
        <v>33</v>
      </c>
      <c r="J12" s="24" t="s">
        <v>34</v>
      </c>
      <c r="K12" s="99"/>
      <c r="L12" s="24" t="s">
        <v>33</v>
      </c>
      <c r="M12" s="24" t="s">
        <v>34</v>
      </c>
    </row>
    <row r="13" spans="1:19" x14ac:dyDescent="0.25">
      <c r="A13" s="1">
        <v>1</v>
      </c>
      <c r="B13" s="23" t="s">
        <v>35</v>
      </c>
      <c r="C13" s="27">
        <f>+F13+I13</f>
        <v>1173621725.53</v>
      </c>
      <c r="D13" s="25">
        <f>ROUND(C13*0.21,2)</f>
        <v>246460562.36000001</v>
      </c>
      <c r="E13" s="25"/>
      <c r="F13" s="27">
        <f>+'Op Income'!E13</f>
        <v>1110408415.76</v>
      </c>
      <c r="G13" s="25">
        <f>ROUND(F13*0.21,2)</f>
        <v>233185767.31</v>
      </c>
      <c r="H13" s="25"/>
      <c r="I13" s="27">
        <f>+'Op Income'!G13</f>
        <v>63213309.769999996</v>
      </c>
      <c r="J13" s="25">
        <f>+ROUND(I13*0.21,2)</f>
        <v>13274795.050000001</v>
      </c>
      <c r="K13" s="99"/>
      <c r="L13" s="27">
        <f>+I13+'NonOp Adj'!D25</f>
        <v>80729690.149999991</v>
      </c>
      <c r="M13" s="25">
        <f>+ROUND(L13*0.21,2)</f>
        <v>16953234.93</v>
      </c>
      <c r="N13" s="10"/>
      <c r="Q13" s="21"/>
    </row>
    <row r="14" spans="1:19" x14ac:dyDescent="0.25">
      <c r="A14" s="1">
        <f>1+A13</f>
        <v>2</v>
      </c>
      <c r="B14" s="23"/>
      <c r="C14" s="27"/>
      <c r="D14" s="25"/>
      <c r="E14" s="25"/>
      <c r="F14" s="27"/>
      <c r="G14" s="25"/>
      <c r="H14" s="25"/>
      <c r="I14" s="27"/>
      <c r="J14" s="25"/>
      <c r="K14" s="99"/>
      <c r="L14" s="27"/>
      <c r="M14" s="27"/>
      <c r="N14" s="10"/>
      <c r="Q14" s="21"/>
    </row>
    <row r="15" spans="1:19" x14ac:dyDescent="0.25">
      <c r="A15" s="1">
        <f t="shared" ref="A15:A46" si="0">1+A14</f>
        <v>3</v>
      </c>
      <c r="B15" s="26" t="s">
        <v>19</v>
      </c>
      <c r="C15" s="27">
        <f t="shared" ref="C15:C26" si="1">+F15+I15</f>
        <v>4310520.8099999996</v>
      </c>
      <c r="D15" s="27">
        <f>+ROUND(C15*0.21,2)</f>
        <v>905209.37</v>
      </c>
      <c r="E15" s="27"/>
      <c r="F15" s="27">
        <v>4310520.8099999996</v>
      </c>
      <c r="G15" s="122">
        <f t="shared" ref="G15:G26" si="2">ROUND(F15*0.21,2)</f>
        <v>905209.37</v>
      </c>
      <c r="H15" s="27"/>
      <c r="I15" s="27">
        <v>0</v>
      </c>
      <c r="J15" s="27">
        <f>ROUND(+I15*0.21,2)</f>
        <v>0</v>
      </c>
      <c r="K15" s="26"/>
      <c r="L15" s="27">
        <f>+I15</f>
        <v>0</v>
      </c>
      <c r="M15" s="27">
        <f>ROUND(+L15*0.21,2)</f>
        <v>0</v>
      </c>
      <c r="N15" s="10"/>
      <c r="Q15" s="21"/>
    </row>
    <row r="16" spans="1:19" x14ac:dyDescent="0.25">
      <c r="A16" s="1">
        <f t="shared" si="0"/>
        <v>4</v>
      </c>
      <c r="B16" s="26" t="s">
        <v>69</v>
      </c>
      <c r="C16" s="27">
        <f t="shared" si="1"/>
        <v>-59648128.759999998</v>
      </c>
      <c r="D16" s="27">
        <f t="shared" ref="D16:D26" si="3">+ROUND(C16*0.21,2)</f>
        <v>-12526107.039999999</v>
      </c>
      <c r="E16" s="27"/>
      <c r="F16" s="27">
        <v>0</v>
      </c>
      <c r="G16" s="122">
        <f t="shared" si="2"/>
        <v>0</v>
      </c>
      <c r="H16" s="27"/>
      <c r="I16" s="27">
        <v>-59648128.759999998</v>
      </c>
      <c r="J16" s="27">
        <f t="shared" ref="J16:J26" si="4">ROUND(+I16*0.21,2)</f>
        <v>-12526107.039999999</v>
      </c>
      <c r="K16" s="26"/>
      <c r="L16" s="27">
        <f t="shared" ref="L16:L26" si="5">+I16</f>
        <v>-59648128.759999998</v>
      </c>
      <c r="M16" s="27">
        <f t="shared" ref="M16:M26" si="6">ROUND(+L16*0.21,2)</f>
        <v>-12526107.039999999</v>
      </c>
      <c r="N16" s="10"/>
      <c r="Q16" s="100"/>
      <c r="R16" s="100"/>
      <c r="S16" s="100"/>
    </row>
    <row r="17" spans="1:19" x14ac:dyDescent="0.25">
      <c r="A17" s="1">
        <f t="shared" si="0"/>
        <v>5</v>
      </c>
      <c r="B17" s="26" t="s">
        <v>23</v>
      </c>
      <c r="C17" s="27">
        <f t="shared" si="1"/>
        <v>636895.62</v>
      </c>
      <c r="D17" s="27">
        <f t="shared" si="3"/>
        <v>133748.07999999999</v>
      </c>
      <c r="E17" s="27"/>
      <c r="F17" s="27">
        <v>0</v>
      </c>
      <c r="G17" s="122">
        <f t="shared" si="2"/>
        <v>0</v>
      </c>
      <c r="H17" s="27"/>
      <c r="I17" s="27">
        <v>636895.62</v>
      </c>
      <c r="J17" s="27">
        <f t="shared" si="4"/>
        <v>133748.07999999999</v>
      </c>
      <c r="K17" s="26"/>
      <c r="L17" s="27">
        <f t="shared" si="5"/>
        <v>636895.62</v>
      </c>
      <c r="M17" s="27">
        <f t="shared" si="6"/>
        <v>133748.07999999999</v>
      </c>
      <c r="N17" s="10"/>
      <c r="Q17" s="10"/>
      <c r="R17" s="100"/>
      <c r="S17" s="100"/>
    </row>
    <row r="18" spans="1:19" x14ac:dyDescent="0.25">
      <c r="A18" s="1">
        <f t="shared" si="0"/>
        <v>6</v>
      </c>
      <c r="B18" s="26" t="s">
        <v>24</v>
      </c>
      <c r="C18" s="27">
        <f t="shared" si="1"/>
        <v>267483.76</v>
      </c>
      <c r="D18" s="27">
        <f t="shared" si="3"/>
        <v>56171.59</v>
      </c>
      <c r="E18" s="27"/>
      <c r="F18" s="27">
        <v>267483.76</v>
      </c>
      <c r="G18" s="25">
        <f t="shared" si="2"/>
        <v>56171.59</v>
      </c>
      <c r="H18" s="27"/>
      <c r="I18" s="27">
        <v>0</v>
      </c>
      <c r="J18" s="27">
        <f t="shared" si="4"/>
        <v>0</v>
      </c>
      <c r="K18" s="26"/>
      <c r="L18" s="27">
        <f t="shared" si="5"/>
        <v>0</v>
      </c>
      <c r="M18" s="27">
        <f t="shared" si="6"/>
        <v>0</v>
      </c>
      <c r="N18" s="10"/>
      <c r="Q18" s="10"/>
      <c r="R18" s="100"/>
      <c r="S18" s="100"/>
    </row>
    <row r="19" spans="1:19" x14ac:dyDescent="0.25">
      <c r="A19" s="1">
        <f t="shared" si="0"/>
        <v>7</v>
      </c>
      <c r="B19" s="26" t="s">
        <v>73</v>
      </c>
      <c r="C19" s="27">
        <f t="shared" si="1"/>
        <v>1524901.52</v>
      </c>
      <c r="D19" s="27">
        <f t="shared" si="3"/>
        <v>320229.32</v>
      </c>
      <c r="E19" s="27"/>
      <c r="F19" s="27">
        <v>1524901.52</v>
      </c>
      <c r="G19" s="25">
        <f t="shared" si="2"/>
        <v>320229.32</v>
      </c>
      <c r="H19" s="27"/>
      <c r="I19" s="27">
        <v>0</v>
      </c>
      <c r="J19" s="27">
        <f t="shared" si="4"/>
        <v>0</v>
      </c>
      <c r="K19" s="26"/>
      <c r="L19" s="27">
        <f t="shared" si="5"/>
        <v>0</v>
      </c>
      <c r="M19" s="27">
        <f t="shared" si="6"/>
        <v>0</v>
      </c>
      <c r="N19" s="10"/>
      <c r="Q19" s="10"/>
      <c r="R19" s="100"/>
      <c r="S19" s="100"/>
    </row>
    <row r="20" spans="1:19" x14ac:dyDescent="0.25">
      <c r="A20" s="1">
        <f t="shared" si="0"/>
        <v>8</v>
      </c>
      <c r="B20" s="26" t="s">
        <v>25</v>
      </c>
      <c r="C20" s="27">
        <f t="shared" si="1"/>
        <v>1026500.14</v>
      </c>
      <c r="D20" s="27">
        <f t="shared" si="3"/>
        <v>215565.03</v>
      </c>
      <c r="E20" s="27"/>
      <c r="F20" s="27">
        <v>0</v>
      </c>
      <c r="G20" s="122">
        <f t="shared" si="2"/>
        <v>0</v>
      </c>
      <c r="H20" s="27"/>
      <c r="I20" s="27">
        <v>1026500.14</v>
      </c>
      <c r="J20" s="27">
        <f t="shared" si="4"/>
        <v>215565.03</v>
      </c>
      <c r="K20" s="26"/>
      <c r="L20" s="27">
        <f t="shared" si="5"/>
        <v>1026500.14</v>
      </c>
      <c r="M20" s="27">
        <f t="shared" si="6"/>
        <v>215565.03</v>
      </c>
      <c r="N20" s="10"/>
      <c r="Q20" s="10"/>
      <c r="R20" s="100"/>
      <c r="S20" s="100"/>
    </row>
    <row r="21" spans="1:19" x14ac:dyDescent="0.25">
      <c r="A21" s="1">
        <f t="shared" si="0"/>
        <v>9</v>
      </c>
      <c r="B21" s="26" t="s">
        <v>20</v>
      </c>
      <c r="C21" s="27">
        <f t="shared" si="1"/>
        <v>-14371821.810000002</v>
      </c>
      <c r="D21" s="27">
        <f t="shared" si="3"/>
        <v>-3018082.58</v>
      </c>
      <c r="E21" s="27"/>
      <c r="F21" s="27">
        <v>-14221770.000000002</v>
      </c>
      <c r="G21" s="25">
        <f t="shared" si="2"/>
        <v>-2986571.7</v>
      </c>
      <c r="H21" s="27"/>
      <c r="I21" s="27">
        <v>-150051.81</v>
      </c>
      <c r="J21" s="27">
        <f t="shared" si="4"/>
        <v>-31510.880000000001</v>
      </c>
      <c r="K21" s="26"/>
      <c r="L21" s="27">
        <f t="shared" si="5"/>
        <v>-150051.81</v>
      </c>
      <c r="M21" s="27">
        <f t="shared" si="6"/>
        <v>-31510.880000000001</v>
      </c>
      <c r="N21" s="88"/>
      <c r="Q21" s="10"/>
      <c r="R21" s="100"/>
      <c r="S21" s="100"/>
    </row>
    <row r="22" spans="1:19" x14ac:dyDescent="0.25">
      <c r="A22" s="1">
        <f t="shared" si="0"/>
        <v>10</v>
      </c>
      <c r="B22" s="26" t="s">
        <v>21</v>
      </c>
      <c r="C22" s="27">
        <f t="shared" si="1"/>
        <v>-11813881.949999999</v>
      </c>
      <c r="D22" s="27">
        <f t="shared" si="3"/>
        <v>-2480915.21</v>
      </c>
      <c r="E22" s="27"/>
      <c r="F22" s="27">
        <v>0</v>
      </c>
      <c r="G22" s="122">
        <f t="shared" si="2"/>
        <v>0</v>
      </c>
      <c r="H22" s="27"/>
      <c r="I22" s="27">
        <v>-11813881.949999999</v>
      </c>
      <c r="J22" s="27">
        <f t="shared" si="4"/>
        <v>-2480915.21</v>
      </c>
      <c r="K22" s="26"/>
      <c r="L22" s="27">
        <f t="shared" si="5"/>
        <v>-11813881.949999999</v>
      </c>
      <c r="M22" s="27">
        <f t="shared" si="6"/>
        <v>-2480915.21</v>
      </c>
      <c r="N22" s="10"/>
      <c r="Q22" s="10"/>
      <c r="R22" s="100"/>
      <c r="S22" s="100"/>
    </row>
    <row r="23" spans="1:19" x14ac:dyDescent="0.25">
      <c r="A23" s="1">
        <f t="shared" si="0"/>
        <v>11</v>
      </c>
      <c r="B23" s="26" t="s">
        <v>22</v>
      </c>
      <c r="C23" s="27">
        <f t="shared" si="1"/>
        <v>-5647247.9000000004</v>
      </c>
      <c r="D23" s="27">
        <f t="shared" si="3"/>
        <v>-1185922.06</v>
      </c>
      <c r="E23" s="27"/>
      <c r="F23" s="27">
        <v>0</v>
      </c>
      <c r="G23" s="122">
        <f t="shared" si="2"/>
        <v>0</v>
      </c>
      <c r="H23" s="27"/>
      <c r="I23" s="27">
        <v>-5647247.9000000004</v>
      </c>
      <c r="J23" s="27">
        <f t="shared" si="4"/>
        <v>-1185922.06</v>
      </c>
      <c r="K23" s="26"/>
      <c r="L23" s="27">
        <f t="shared" si="5"/>
        <v>-5647247.9000000004</v>
      </c>
      <c r="M23" s="27">
        <f t="shared" si="6"/>
        <v>-1185922.06</v>
      </c>
      <c r="N23" s="10"/>
      <c r="Q23" s="93"/>
      <c r="R23" s="100"/>
      <c r="S23" s="100"/>
    </row>
    <row r="24" spans="1:19" x14ac:dyDescent="0.25">
      <c r="A24" s="1">
        <f t="shared" si="0"/>
        <v>12</v>
      </c>
      <c r="B24" s="26" t="s">
        <v>70</v>
      </c>
      <c r="C24" s="27">
        <f t="shared" si="1"/>
        <v>5144129</v>
      </c>
      <c r="D24" s="27">
        <f t="shared" si="3"/>
        <v>1080267.0900000001</v>
      </c>
      <c r="E24" s="27"/>
      <c r="F24" s="27">
        <v>5716651</v>
      </c>
      <c r="G24" s="25">
        <f t="shared" si="2"/>
        <v>1200496.71</v>
      </c>
      <c r="H24" s="27"/>
      <c r="I24" s="27">
        <v>-572522</v>
      </c>
      <c r="J24" s="27">
        <f t="shared" si="4"/>
        <v>-120229.62</v>
      </c>
      <c r="K24" s="26"/>
      <c r="L24" s="27">
        <f t="shared" si="5"/>
        <v>-572522</v>
      </c>
      <c r="M24" s="27">
        <f t="shared" si="6"/>
        <v>-120229.62</v>
      </c>
      <c r="N24" s="10"/>
    </row>
    <row r="25" spans="1:19" x14ac:dyDescent="0.25">
      <c r="A25" s="1">
        <f t="shared" si="0"/>
        <v>13</v>
      </c>
      <c r="B25" s="26" t="s">
        <v>71</v>
      </c>
      <c r="C25" s="27">
        <f t="shared" si="1"/>
        <v>353019.05</v>
      </c>
      <c r="D25" s="27">
        <f t="shared" si="3"/>
        <v>74134</v>
      </c>
      <c r="E25" s="27"/>
      <c r="F25" s="27">
        <v>0</v>
      </c>
      <c r="G25" s="122">
        <f t="shared" si="2"/>
        <v>0</v>
      </c>
      <c r="H25" s="27"/>
      <c r="I25" s="27">
        <v>353019.05</v>
      </c>
      <c r="J25" s="27">
        <f t="shared" si="4"/>
        <v>74134</v>
      </c>
      <c r="K25" s="26"/>
      <c r="L25" s="27">
        <f t="shared" si="5"/>
        <v>353019.05</v>
      </c>
      <c r="M25" s="27">
        <f t="shared" si="6"/>
        <v>74134</v>
      </c>
      <c r="N25" s="10"/>
    </row>
    <row r="26" spans="1:19" x14ac:dyDescent="0.25">
      <c r="A26" s="1">
        <f t="shared" si="0"/>
        <v>14</v>
      </c>
      <c r="B26" s="28" t="s">
        <v>26</v>
      </c>
      <c r="C26" s="27">
        <f t="shared" si="1"/>
        <v>-31954539.909999996</v>
      </c>
      <c r="D26" s="27">
        <f t="shared" si="3"/>
        <v>-6710453.3799999999</v>
      </c>
      <c r="E26" s="27"/>
      <c r="F26" s="27">
        <f>-G27</f>
        <v>-31866850.189999998</v>
      </c>
      <c r="G26" s="25">
        <f t="shared" si="2"/>
        <v>-6692038.54</v>
      </c>
      <c r="H26" s="27"/>
      <c r="I26" s="27">
        <f>-J27</f>
        <v>-87689.72</v>
      </c>
      <c r="J26" s="27">
        <f t="shared" si="4"/>
        <v>-18414.84</v>
      </c>
      <c r="K26" s="28"/>
      <c r="L26" s="27">
        <f t="shared" si="5"/>
        <v>-87689.72</v>
      </c>
      <c r="M26" s="27">
        <f t="shared" si="6"/>
        <v>-18414.84</v>
      </c>
      <c r="N26" s="88"/>
    </row>
    <row r="27" spans="1:19" ht="15.75" thickBot="1" x14ac:dyDescent="0.3">
      <c r="A27" s="1">
        <f t="shared" si="0"/>
        <v>15</v>
      </c>
      <c r="B27" s="28" t="s">
        <v>27</v>
      </c>
      <c r="C27" s="39"/>
      <c r="D27" s="29">
        <f>+'Op Income'!C17</f>
        <v>31954539.909999996</v>
      </c>
      <c r="E27" s="27"/>
      <c r="F27" s="39"/>
      <c r="G27" s="29">
        <f>'Op Income'!E17</f>
        <v>31866850.189999998</v>
      </c>
      <c r="H27" s="27"/>
      <c r="I27" s="39"/>
      <c r="J27" s="29">
        <f>+'Op Income'!G17</f>
        <v>87689.72</v>
      </c>
      <c r="K27" s="28"/>
      <c r="L27" s="39"/>
      <c r="M27" s="29">
        <f>+J27</f>
        <v>87689.72</v>
      </c>
      <c r="N27" s="88"/>
    </row>
    <row r="28" spans="1:19" x14ac:dyDescent="0.25">
      <c r="A28" s="1">
        <f t="shared" si="0"/>
        <v>16</v>
      </c>
      <c r="B28" s="30" t="s">
        <v>28</v>
      </c>
      <c r="C28" s="31">
        <f>SUM(C15:C27)</f>
        <v>-110172170.43000001</v>
      </c>
      <c r="D28" s="31">
        <f>SUM(D15:D27)</f>
        <v>8818384.1199999973</v>
      </c>
      <c r="E28" s="31"/>
      <c r="F28" s="31">
        <f>SUM(F15:F27)</f>
        <v>-34269063.100000001</v>
      </c>
      <c r="G28" s="31">
        <f>SUM(G15:G27)</f>
        <v>24670346.939999998</v>
      </c>
      <c r="H28" s="31"/>
      <c r="I28" s="31">
        <f>SUM(I15:I27)</f>
        <v>-75903107.330000013</v>
      </c>
      <c r="J28" s="31">
        <f>SUM(J15:J27)</f>
        <v>-15851962.819999998</v>
      </c>
      <c r="K28" s="30"/>
      <c r="L28" s="31">
        <f>SUM(L15:L27)</f>
        <v>-75903107.330000013</v>
      </c>
      <c r="M28" s="31">
        <f>SUM(M15:M27)</f>
        <v>-15851962.819999998</v>
      </c>
      <c r="N28" s="10"/>
    </row>
    <row r="29" spans="1:19" x14ac:dyDescent="0.25">
      <c r="A29" s="1">
        <f t="shared" si="0"/>
        <v>17</v>
      </c>
      <c r="B29" s="32" t="s">
        <v>100</v>
      </c>
      <c r="C29" s="40"/>
      <c r="D29" s="73">
        <f>+G29+J29</f>
        <v>-16233756.41</v>
      </c>
      <c r="E29" s="73"/>
      <c r="F29" s="40"/>
      <c r="G29" s="73">
        <f>-16233763.56+7.15</f>
        <v>-16233756.41</v>
      </c>
      <c r="H29" s="73"/>
      <c r="I29" s="40"/>
      <c r="J29" s="27">
        <v>0</v>
      </c>
      <c r="K29" s="101"/>
      <c r="L29" s="40"/>
      <c r="M29" s="27">
        <v>0</v>
      </c>
      <c r="N29" s="10"/>
    </row>
    <row r="30" spans="1:19" s="86" customFormat="1" x14ac:dyDescent="0.25">
      <c r="A30" s="1">
        <f t="shared" si="0"/>
        <v>18</v>
      </c>
      <c r="B30" s="32" t="s">
        <v>101</v>
      </c>
      <c r="C30" s="40"/>
      <c r="D30" s="73">
        <f>+G30+J30</f>
        <v>-36089813.840000004</v>
      </c>
      <c r="E30" s="73"/>
      <c r="F30" s="40"/>
      <c r="G30" s="73">
        <f>-34480878.24-7-G31</f>
        <v>-36089813.840000004</v>
      </c>
      <c r="H30" s="73"/>
      <c r="I30" s="40"/>
      <c r="J30" s="27">
        <v>0</v>
      </c>
      <c r="K30" s="101"/>
      <c r="L30" s="40"/>
      <c r="M30" s="27">
        <v>0</v>
      </c>
      <c r="N30" s="10"/>
    </row>
    <row r="31" spans="1:19" s="86" customFormat="1" x14ac:dyDescent="0.25">
      <c r="A31" s="1">
        <f t="shared" si="0"/>
        <v>19</v>
      </c>
      <c r="B31" s="32" t="s">
        <v>109</v>
      </c>
      <c r="C31" s="40"/>
      <c r="D31" s="73">
        <f>+G31+J31</f>
        <v>1608928.6</v>
      </c>
      <c r="E31" s="73"/>
      <c r="F31" s="40"/>
      <c r="G31" s="73">
        <v>1608928.6</v>
      </c>
      <c r="H31" s="73"/>
      <c r="I31" s="40"/>
      <c r="J31" s="27">
        <v>0</v>
      </c>
      <c r="K31" s="101"/>
      <c r="L31" s="40"/>
      <c r="M31" s="27">
        <v>0</v>
      </c>
      <c r="N31" s="10"/>
    </row>
    <row r="32" spans="1:19" ht="15.75" thickBot="1" x14ac:dyDescent="0.3">
      <c r="A32" s="1">
        <f t="shared" si="0"/>
        <v>20</v>
      </c>
      <c r="B32" s="32" t="s">
        <v>29</v>
      </c>
      <c r="C32" s="40"/>
      <c r="D32" s="73">
        <f>+G32+J32</f>
        <v>884662.91</v>
      </c>
      <c r="E32" s="73"/>
      <c r="F32" s="40"/>
      <c r="G32" s="73">
        <v>884662.91</v>
      </c>
      <c r="H32" s="73"/>
      <c r="I32" s="40"/>
      <c r="J32" s="27">
        <v>0</v>
      </c>
      <c r="K32" s="101"/>
      <c r="L32" s="40"/>
      <c r="M32" s="27">
        <v>0</v>
      </c>
      <c r="N32" s="10"/>
    </row>
    <row r="33" spans="1:15" x14ac:dyDescent="0.25">
      <c r="A33" s="1">
        <f t="shared" si="0"/>
        <v>21</v>
      </c>
      <c r="B33" s="33" t="s">
        <v>72</v>
      </c>
      <c r="C33" s="40"/>
      <c r="D33" s="34">
        <f>SUM(D13,D28:D32)</f>
        <v>205448967.74000001</v>
      </c>
      <c r="E33" s="27"/>
      <c r="F33" s="40"/>
      <c r="G33" s="34">
        <f>SUM(G13,G28:G32)</f>
        <v>208026135.50999999</v>
      </c>
      <c r="H33" s="27"/>
      <c r="I33" s="40"/>
      <c r="J33" s="34">
        <f>SUM(J13,J28:J32)</f>
        <v>-2577167.7699999977</v>
      </c>
      <c r="K33" s="102"/>
      <c r="L33" s="40"/>
      <c r="M33" s="34">
        <f>SUM(M13,M28:M32)</f>
        <v>1101272.1100000013</v>
      </c>
      <c r="N33" s="10"/>
    </row>
    <row r="34" spans="1:15" x14ac:dyDescent="0.25">
      <c r="A34" s="1">
        <f t="shared" si="0"/>
        <v>22</v>
      </c>
      <c r="B34" s="33"/>
      <c r="C34" s="40"/>
      <c r="D34" s="27"/>
      <c r="E34" s="27"/>
      <c r="F34" s="40"/>
      <c r="G34" s="27"/>
      <c r="H34" s="27"/>
      <c r="I34" s="40"/>
      <c r="J34" s="27"/>
      <c r="K34" s="102"/>
      <c r="L34" s="40"/>
      <c r="M34" s="27"/>
      <c r="N34" s="10"/>
    </row>
    <row r="35" spans="1:15" x14ac:dyDescent="0.25">
      <c r="A35" s="1">
        <f t="shared" si="0"/>
        <v>23</v>
      </c>
      <c r="B35" s="33" t="s">
        <v>30</v>
      </c>
      <c r="C35" s="40"/>
      <c r="D35" s="27"/>
      <c r="E35" s="27"/>
      <c r="F35" s="40"/>
      <c r="G35" s="27"/>
      <c r="H35" s="27"/>
      <c r="I35" s="40"/>
      <c r="J35" s="27"/>
      <c r="K35" s="102"/>
      <c r="L35" s="40"/>
      <c r="M35" s="27"/>
      <c r="N35" s="10"/>
    </row>
    <row r="36" spans="1:15" x14ac:dyDescent="0.25">
      <c r="A36" s="1">
        <f t="shared" si="0"/>
        <v>24</v>
      </c>
      <c r="B36" s="35" t="s">
        <v>18</v>
      </c>
      <c r="C36" s="40"/>
      <c r="D36" s="73">
        <f>+G36+J36</f>
        <v>-479524.92</v>
      </c>
      <c r="E36" s="73"/>
      <c r="F36" s="40"/>
      <c r="G36" s="73">
        <v>-479524.92</v>
      </c>
      <c r="H36" s="73"/>
      <c r="I36" s="40"/>
      <c r="J36" s="27">
        <v>0</v>
      </c>
      <c r="K36" s="35"/>
      <c r="L36" s="40"/>
      <c r="M36" s="27">
        <f>+J36</f>
        <v>0</v>
      </c>
      <c r="N36" s="10"/>
    </row>
    <row r="37" spans="1:15" x14ac:dyDescent="0.25">
      <c r="A37" s="1">
        <f t="shared" si="0"/>
        <v>25</v>
      </c>
      <c r="B37" s="32" t="s">
        <v>110</v>
      </c>
      <c r="C37" s="40"/>
      <c r="D37" s="73">
        <f>+G37+J37</f>
        <v>-79367.460000000006</v>
      </c>
      <c r="E37" s="73"/>
      <c r="F37" s="40"/>
      <c r="G37" s="73">
        <v>-79367.460000000006</v>
      </c>
      <c r="H37" s="73"/>
      <c r="I37" s="40"/>
      <c r="J37" s="27">
        <v>0</v>
      </c>
      <c r="K37" s="101"/>
      <c r="L37" s="40"/>
      <c r="M37" s="27">
        <f t="shared" ref="M37:M39" si="7">+J37</f>
        <v>0</v>
      </c>
      <c r="N37" s="10"/>
    </row>
    <row r="38" spans="1:15" s="85" customFormat="1" x14ac:dyDescent="0.25">
      <c r="A38" s="1">
        <f t="shared" si="0"/>
        <v>26</v>
      </c>
      <c r="B38" s="101" t="s">
        <v>108</v>
      </c>
      <c r="C38" s="40"/>
      <c r="D38" s="73">
        <f>+G38+J38</f>
        <v>-19042</v>
      </c>
      <c r="E38" s="73"/>
      <c r="F38" s="40"/>
      <c r="G38" s="73">
        <f>697078-716120</f>
        <v>-19042</v>
      </c>
      <c r="H38" s="73"/>
      <c r="I38" s="40"/>
      <c r="J38" s="27">
        <v>0</v>
      </c>
      <c r="K38" s="101"/>
      <c r="L38" s="40"/>
      <c r="M38" s="27">
        <f t="shared" si="7"/>
        <v>0</v>
      </c>
      <c r="N38" s="10"/>
    </row>
    <row r="39" spans="1:15" ht="15.75" thickBot="1" x14ac:dyDescent="0.3">
      <c r="A39" s="1">
        <f t="shared" si="0"/>
        <v>27</v>
      </c>
      <c r="B39" s="32" t="s">
        <v>63</v>
      </c>
      <c r="C39" s="41"/>
      <c r="D39" s="73">
        <f>+G39+J39</f>
        <v>984140.37</v>
      </c>
      <c r="E39" s="73"/>
      <c r="F39" s="42"/>
      <c r="G39" s="73">
        <v>856722.03</v>
      </c>
      <c r="H39" s="73"/>
      <c r="I39" s="41"/>
      <c r="J39" s="27">
        <v>127418.34</v>
      </c>
      <c r="K39" s="101"/>
      <c r="L39" s="41"/>
      <c r="M39" s="27">
        <f t="shared" si="7"/>
        <v>127418.34</v>
      </c>
      <c r="N39" s="88"/>
    </row>
    <row r="40" spans="1:15" x14ac:dyDescent="0.25">
      <c r="A40" s="1">
        <f t="shared" si="0"/>
        <v>28</v>
      </c>
      <c r="B40" s="36" t="s">
        <v>31</v>
      </c>
      <c r="C40" s="40"/>
      <c r="D40" s="34">
        <f>SUM(D36:D39)</f>
        <v>406205.99</v>
      </c>
      <c r="E40" s="27"/>
      <c r="F40" s="40"/>
      <c r="G40" s="34">
        <f>SUM(G36:G39)</f>
        <v>278787.65000000002</v>
      </c>
      <c r="H40" s="27"/>
      <c r="I40" s="40"/>
      <c r="J40" s="34">
        <f>SUM(J36:J39)</f>
        <v>127418.34</v>
      </c>
      <c r="K40" s="36"/>
      <c r="L40" s="40"/>
      <c r="M40" s="34">
        <f>SUM(M36:M39)</f>
        <v>127418.34</v>
      </c>
      <c r="N40" s="10"/>
    </row>
    <row r="41" spans="1:15" x14ac:dyDescent="0.25">
      <c r="A41" s="1">
        <f t="shared" si="0"/>
        <v>29</v>
      </c>
      <c r="B41" s="23"/>
      <c r="C41" s="40"/>
      <c r="D41" s="37"/>
      <c r="E41" s="37"/>
      <c r="F41" s="40"/>
      <c r="G41" s="27"/>
      <c r="H41" s="37"/>
      <c r="I41" s="40"/>
      <c r="J41" s="37"/>
      <c r="K41" s="99"/>
      <c r="L41" s="40"/>
      <c r="M41" s="27"/>
    </row>
    <row r="42" spans="1:15" x14ac:dyDescent="0.25">
      <c r="A42" s="1">
        <f t="shared" si="0"/>
        <v>30</v>
      </c>
      <c r="B42" s="36" t="s">
        <v>32</v>
      </c>
      <c r="C42" s="40"/>
      <c r="D42" s="27">
        <f>+D33+D40</f>
        <v>205855173.73000002</v>
      </c>
      <c r="E42" s="27"/>
      <c r="F42" s="40"/>
      <c r="G42" s="27">
        <f>+G33+G40</f>
        <v>208304923.16</v>
      </c>
      <c r="H42" s="27"/>
      <c r="I42" s="40"/>
      <c r="J42" s="27">
        <f>+J33+J40</f>
        <v>-2449749.4299999978</v>
      </c>
      <c r="K42" s="36"/>
      <c r="L42" s="40"/>
      <c r="M42" s="27">
        <f>+M33+M40</f>
        <v>1228690.4500000014</v>
      </c>
      <c r="O42" s="75"/>
    </row>
    <row r="43" spans="1:15" x14ac:dyDescent="0.25">
      <c r="A43" s="1">
        <f t="shared" si="0"/>
        <v>31</v>
      </c>
      <c r="B43" s="36" t="s">
        <v>64</v>
      </c>
      <c r="C43" s="40"/>
      <c r="D43" s="27">
        <f>+D42-D27</f>
        <v>173900633.82000002</v>
      </c>
      <c r="E43" s="27"/>
      <c r="F43" s="40"/>
      <c r="G43" s="27">
        <f>+G42-G27</f>
        <v>176438072.97</v>
      </c>
      <c r="H43" s="27"/>
      <c r="I43" s="40"/>
      <c r="J43" s="27">
        <f>+J42-J27</f>
        <v>-2537439.149999998</v>
      </c>
      <c r="K43" s="36"/>
      <c r="L43" s="40"/>
      <c r="M43" s="27">
        <f>+M42-M27</f>
        <v>1141000.7300000014</v>
      </c>
      <c r="O43" s="75"/>
    </row>
    <row r="44" spans="1:15" x14ac:dyDescent="0.25">
      <c r="A44" s="1">
        <f t="shared" si="0"/>
        <v>32</v>
      </c>
    </row>
    <row r="45" spans="1:15" x14ac:dyDescent="0.25">
      <c r="A45" s="1">
        <f t="shared" si="0"/>
        <v>33</v>
      </c>
      <c r="B45" s="86" t="s">
        <v>97</v>
      </c>
      <c r="D45" s="12"/>
      <c r="G45" s="14"/>
      <c r="H45" s="14"/>
      <c r="I45" s="14"/>
      <c r="J45" s="14"/>
    </row>
    <row r="46" spans="1:15" x14ac:dyDescent="0.25">
      <c r="A46" s="1">
        <f t="shared" si="0"/>
        <v>34</v>
      </c>
      <c r="B46" s="86" t="s">
        <v>98</v>
      </c>
      <c r="D46" s="14"/>
      <c r="G46" s="12"/>
      <c r="H46" s="12"/>
      <c r="I46" s="12"/>
      <c r="J46" s="12"/>
    </row>
    <row r="47" spans="1:15" x14ac:dyDescent="0.25">
      <c r="D47" s="12"/>
    </row>
    <row r="48" spans="1:15" x14ac:dyDescent="0.25">
      <c r="D48" s="86"/>
      <c r="G48" s="12"/>
    </row>
    <row r="49" spans="4:7" x14ac:dyDescent="0.25">
      <c r="D49" s="10"/>
      <c r="F49" s="12"/>
    </row>
    <row r="50" spans="4:7" x14ac:dyDescent="0.25">
      <c r="D50" s="10"/>
      <c r="F50" s="12"/>
    </row>
    <row r="51" spans="4:7" x14ac:dyDescent="0.25">
      <c r="D51" s="10"/>
      <c r="F51" s="19"/>
      <c r="G51" s="12"/>
    </row>
    <row r="52" spans="4:7" x14ac:dyDescent="0.25">
      <c r="D52" s="10"/>
    </row>
    <row r="53" spans="4:7" x14ac:dyDescent="0.25">
      <c r="D53" s="10"/>
      <c r="F53" s="92"/>
      <c r="G53" s="119"/>
    </row>
    <row r="54" spans="4:7" x14ac:dyDescent="0.25">
      <c r="D54" s="10"/>
      <c r="F54" s="92"/>
      <c r="G54" s="118"/>
    </row>
    <row r="56" spans="4:7" x14ac:dyDescent="0.25">
      <c r="F56" s="14"/>
      <c r="G56" s="14"/>
    </row>
    <row r="57" spans="4:7" x14ac:dyDescent="0.25">
      <c r="F57" s="19"/>
    </row>
  </sheetData>
  <mergeCells count="9">
    <mergeCell ref="C11:D11"/>
    <mergeCell ref="F11:G11"/>
    <mergeCell ref="I11:J11"/>
    <mergeCell ref="L11:M11"/>
    <mergeCell ref="A4:M4"/>
    <mergeCell ref="A5:M5"/>
    <mergeCell ref="A6:M6"/>
    <mergeCell ref="A7:M7"/>
    <mergeCell ref="A8:M8"/>
  </mergeCells>
  <printOptions horizontalCentered="1"/>
  <pageMargins left="0.7" right="0.7" top="1.25" bottom="0.75" header="0.3" footer="0.3"/>
  <pageSetup scale="6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25"/>
  <sheetViews>
    <sheetView zoomScale="80" zoomScaleNormal="80" workbookViewId="0">
      <selection activeCell="E32" sqref="E32"/>
    </sheetView>
  </sheetViews>
  <sheetFormatPr defaultColWidth="8.7109375" defaultRowHeight="15" x14ac:dyDescent="0.25"/>
  <cols>
    <col min="1" max="1" width="4" style="86" customWidth="1"/>
    <col min="2" max="2" width="8.7109375" style="86"/>
    <col min="3" max="3" width="33.5703125" style="86" customWidth="1"/>
    <col min="4" max="4" width="19.85546875" style="86" bestFit="1" customWidth="1"/>
    <col min="5" max="6" width="18.5703125" style="86" customWidth="1"/>
    <col min="7" max="7" width="8.7109375" style="86"/>
    <col min="8" max="8" width="14.5703125" style="86" bestFit="1" customWidth="1"/>
    <col min="9" max="9" width="13.5703125" style="86" bestFit="1" customWidth="1"/>
    <col min="10" max="16384" width="8.7109375" style="86"/>
  </cols>
  <sheetData>
    <row r="1" spans="1:16" x14ac:dyDescent="0.25">
      <c r="A1" s="44"/>
      <c r="B1" s="44"/>
      <c r="C1" s="44"/>
      <c r="D1" s="44"/>
      <c r="E1" s="44"/>
      <c r="F1" s="45" t="s">
        <v>39</v>
      </c>
      <c r="G1" s="44"/>
      <c r="H1" s="44"/>
      <c r="I1" s="44"/>
      <c r="J1" s="44"/>
      <c r="K1" s="44"/>
      <c r="L1" s="44"/>
      <c r="M1" s="44"/>
      <c r="N1" s="44"/>
      <c r="O1" s="44"/>
    </row>
    <row r="2" spans="1:16" x14ac:dyDescent="0.25">
      <c r="A2" s="44"/>
      <c r="B2" s="44"/>
      <c r="C2" s="44"/>
      <c r="D2" s="44"/>
      <c r="E2" s="44"/>
      <c r="F2" s="45" t="s">
        <v>1</v>
      </c>
      <c r="G2" s="44"/>
      <c r="H2" s="44"/>
      <c r="I2" s="44"/>
      <c r="J2" s="44"/>
      <c r="K2" s="44"/>
      <c r="L2" s="44"/>
      <c r="M2" s="44"/>
      <c r="N2" s="44"/>
      <c r="O2" s="44"/>
    </row>
    <row r="3" spans="1:16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</row>
    <row r="4" spans="1:16" x14ac:dyDescent="0.25">
      <c r="A4" s="126" t="s">
        <v>106</v>
      </c>
      <c r="B4" s="126"/>
      <c r="C4" s="126"/>
      <c r="D4" s="126"/>
      <c r="E4" s="126"/>
      <c r="F4" s="126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1:16" x14ac:dyDescent="0.25">
      <c r="A5" s="126" t="s">
        <v>2</v>
      </c>
      <c r="B5" s="126"/>
      <c r="C5" s="126"/>
      <c r="D5" s="126"/>
      <c r="E5" s="126"/>
      <c r="F5" s="126"/>
      <c r="G5" s="94"/>
      <c r="H5" s="94"/>
      <c r="I5" s="94"/>
      <c r="J5" s="94"/>
      <c r="K5" s="94"/>
      <c r="L5" s="94"/>
      <c r="M5" s="94"/>
      <c r="N5" s="94"/>
      <c r="O5" s="94"/>
      <c r="P5" s="94"/>
    </row>
    <row r="6" spans="1:16" x14ac:dyDescent="0.25">
      <c r="A6" s="126" t="s">
        <v>102</v>
      </c>
      <c r="B6" s="126"/>
      <c r="C6" s="126"/>
      <c r="D6" s="126"/>
      <c r="E6" s="126"/>
      <c r="F6" s="126"/>
      <c r="G6" s="94"/>
      <c r="H6" s="94"/>
      <c r="I6" s="94"/>
      <c r="J6" s="94"/>
      <c r="K6" s="94"/>
      <c r="L6" s="94"/>
      <c r="M6" s="94"/>
      <c r="N6" s="94"/>
      <c r="O6" s="94"/>
      <c r="P6" s="94"/>
    </row>
    <row r="7" spans="1:16" x14ac:dyDescent="0.25">
      <c r="A7" s="126" t="s">
        <v>107</v>
      </c>
      <c r="B7" s="126"/>
      <c r="C7" s="126"/>
      <c r="D7" s="126"/>
      <c r="E7" s="126"/>
      <c r="F7" s="126"/>
      <c r="G7" s="94"/>
      <c r="H7" s="94"/>
      <c r="I7" s="94"/>
      <c r="J7" s="94"/>
      <c r="K7" s="94"/>
      <c r="L7" s="94"/>
      <c r="M7" s="94"/>
      <c r="N7" s="94"/>
      <c r="O7" s="94"/>
      <c r="P7" s="94"/>
    </row>
    <row r="8" spans="1:16" x14ac:dyDescent="0.25">
      <c r="A8" s="126" t="s">
        <v>68</v>
      </c>
      <c r="B8" s="126"/>
      <c r="C8" s="126"/>
      <c r="D8" s="126"/>
      <c r="E8" s="126"/>
      <c r="F8" s="126"/>
      <c r="G8" s="94"/>
      <c r="H8" s="94"/>
      <c r="I8" s="94"/>
      <c r="J8" s="94"/>
      <c r="K8" s="94"/>
      <c r="L8" s="94"/>
      <c r="M8" s="94"/>
      <c r="N8" s="94"/>
      <c r="O8" s="94"/>
      <c r="P8" s="94"/>
    </row>
    <row r="11" spans="1:16" x14ac:dyDescent="0.25">
      <c r="D11" s="1" t="s">
        <v>75</v>
      </c>
      <c r="E11" s="1" t="s">
        <v>76</v>
      </c>
      <c r="F11" s="1" t="s">
        <v>38</v>
      </c>
    </row>
    <row r="12" spans="1:16" x14ac:dyDescent="0.25">
      <c r="B12" s="15" t="s">
        <v>77</v>
      </c>
    </row>
    <row r="13" spans="1:16" x14ac:dyDescent="0.25">
      <c r="B13" s="95" t="s">
        <v>78</v>
      </c>
      <c r="C13" s="86" t="s">
        <v>79</v>
      </c>
      <c r="D13" s="14">
        <v>-4402700.79</v>
      </c>
      <c r="E13" s="87">
        <f>ROUND((+D22+D24)*0.21,2)</f>
        <v>3200496.81</v>
      </c>
      <c r="F13" s="88">
        <f>SUM(D13:E13)+1</f>
        <v>-1202202.98</v>
      </c>
      <c r="H13" s="21"/>
      <c r="I13" s="19"/>
    </row>
    <row r="14" spans="1:16" x14ac:dyDescent="0.25">
      <c r="B14" s="95" t="s">
        <v>80</v>
      </c>
      <c r="C14" s="86" t="s">
        <v>81</v>
      </c>
      <c r="D14" s="14">
        <v>87689.72</v>
      </c>
      <c r="E14" s="88"/>
      <c r="F14" s="88">
        <f t="shared" ref="F14:F16" si="0">SUM(D14:E14)</f>
        <v>87689.72</v>
      </c>
      <c r="H14" s="21"/>
    </row>
    <row r="15" spans="1:16" x14ac:dyDescent="0.25">
      <c r="B15" s="95" t="s">
        <v>82</v>
      </c>
      <c r="C15" s="86" t="s">
        <v>83</v>
      </c>
      <c r="D15" s="14">
        <v>1865261.46</v>
      </c>
      <c r="E15" s="87">
        <f>ROUND(+D23*0.21,2)</f>
        <v>477943.07</v>
      </c>
      <c r="F15" s="88">
        <f t="shared" si="0"/>
        <v>2343204.5299999998</v>
      </c>
      <c r="H15" s="21"/>
    </row>
    <row r="16" spans="1:16" x14ac:dyDescent="0.25">
      <c r="B16" s="95" t="s">
        <v>84</v>
      </c>
      <c r="C16" s="86" t="s">
        <v>85</v>
      </c>
      <c r="D16" s="14">
        <v>0</v>
      </c>
      <c r="E16" s="88"/>
      <c r="F16" s="88">
        <f t="shared" si="0"/>
        <v>0</v>
      </c>
      <c r="H16" s="21"/>
    </row>
    <row r="17" spans="2:8" x14ac:dyDescent="0.25">
      <c r="D17" s="96">
        <f>SUM(D13:D16)</f>
        <v>-2449749.6100000003</v>
      </c>
      <c r="E17" s="117">
        <f>SUM(E13:E16)</f>
        <v>3678439.88</v>
      </c>
      <c r="F17" s="117">
        <f>SUM(F13:F16)</f>
        <v>1228691.2699999998</v>
      </c>
      <c r="H17" s="21"/>
    </row>
    <row r="21" spans="2:8" x14ac:dyDescent="0.25">
      <c r="B21" s="113" t="s">
        <v>86</v>
      </c>
      <c r="C21" s="10"/>
      <c r="D21" s="114" t="s">
        <v>87</v>
      </c>
      <c r="E21" s="114" t="s">
        <v>88</v>
      </c>
      <c r="F21" s="114" t="s">
        <v>89</v>
      </c>
    </row>
    <row r="22" spans="2:8" x14ac:dyDescent="0.25">
      <c r="B22" s="115" t="s">
        <v>90</v>
      </c>
      <c r="C22" s="10" t="s">
        <v>91</v>
      </c>
      <c r="D22" s="87">
        <v>78007.33</v>
      </c>
      <c r="E22" s="87">
        <f>ROUND(+D22*0.21,2)</f>
        <v>16381.54</v>
      </c>
      <c r="F22" s="114">
        <v>4092000</v>
      </c>
    </row>
    <row r="23" spans="2:8" x14ac:dyDescent="0.25">
      <c r="B23" s="115" t="s">
        <v>92</v>
      </c>
      <c r="C23" s="10" t="s">
        <v>93</v>
      </c>
      <c r="D23" s="116">
        <v>2275919.36</v>
      </c>
      <c r="E23" s="87">
        <f t="shared" ref="E23:E24" si="1">ROUND(+D23*0.21,2)</f>
        <v>477943.07</v>
      </c>
      <c r="F23" s="114">
        <v>4102000</v>
      </c>
    </row>
    <row r="24" spans="2:8" x14ac:dyDescent="0.25">
      <c r="B24" s="115" t="s">
        <v>94</v>
      </c>
      <c r="C24" s="10" t="s">
        <v>95</v>
      </c>
      <c r="D24" s="87">
        <v>15162453.689999999</v>
      </c>
      <c r="E24" s="87">
        <f t="shared" si="1"/>
        <v>3184115.27</v>
      </c>
      <c r="F24" s="114">
        <v>4092000</v>
      </c>
    </row>
    <row r="25" spans="2:8" x14ac:dyDescent="0.25">
      <c r="B25" s="10"/>
      <c r="C25" s="10"/>
      <c r="D25" s="117">
        <f>SUM(D22:D24)</f>
        <v>17516380.379999999</v>
      </c>
      <c r="E25" s="117">
        <f>SUM(E22:E24)</f>
        <v>3678439.88</v>
      </c>
      <c r="F25" s="10"/>
    </row>
  </sheetData>
  <mergeCells count="5">
    <mergeCell ref="A4:F4"/>
    <mergeCell ref="A5:F5"/>
    <mergeCell ref="A6:F6"/>
    <mergeCell ref="A7:F7"/>
    <mergeCell ref="A8:F8"/>
  </mergeCells>
  <printOptions horizontalCentered="1"/>
  <pageMargins left="0.7" right="0.7" top="1.2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T29"/>
  <sheetViews>
    <sheetView zoomScale="80" zoomScaleNormal="80" workbookViewId="0">
      <selection activeCell="F31" sqref="F31"/>
    </sheetView>
  </sheetViews>
  <sheetFormatPr defaultRowHeight="12.75" x14ac:dyDescent="0.2"/>
  <cols>
    <col min="1" max="1" width="4.42578125" style="44" bestFit="1" customWidth="1"/>
    <col min="2" max="2" width="19.28515625" style="44" bestFit="1" customWidth="1"/>
    <col min="3" max="3" width="6.28515625" style="44" bestFit="1" customWidth="1"/>
    <col min="4" max="5" width="15.140625" style="44" bestFit="1" customWidth="1"/>
    <col min="6" max="6" width="15.5703125" style="44" bestFit="1" customWidth="1"/>
    <col min="7" max="7" width="16.28515625" style="44" bestFit="1" customWidth="1"/>
    <col min="8" max="9" width="15.140625" style="44" bestFit="1" customWidth="1"/>
    <col min="10" max="10" width="15.5703125" style="44" bestFit="1" customWidth="1"/>
    <col min="11" max="11" width="16.28515625" style="44" bestFit="1" customWidth="1"/>
    <col min="12" max="12" width="12.28515625" style="44" bestFit="1" customWidth="1"/>
    <col min="13" max="13" width="16.28515625" style="44" bestFit="1" customWidth="1"/>
    <col min="14" max="15" width="13.42578125" style="44" bestFit="1" customWidth="1"/>
    <col min="16" max="16" width="18.28515625" style="44" bestFit="1" customWidth="1"/>
    <col min="17" max="17" width="12" style="44" bestFit="1" customWidth="1"/>
    <col min="18" max="18" width="9.42578125" style="44" bestFit="1" customWidth="1"/>
    <col min="19" max="19" width="7" style="46" bestFit="1" customWidth="1"/>
    <col min="20" max="20" width="11.7109375" style="44" customWidth="1"/>
    <col min="21" max="260" width="9.140625" style="44"/>
    <col min="261" max="261" width="4.42578125" style="44" bestFit="1" customWidth="1"/>
    <col min="262" max="262" width="19.28515625" style="44" bestFit="1" customWidth="1"/>
    <col min="263" max="263" width="6.28515625" style="44" bestFit="1" customWidth="1"/>
    <col min="264" max="264" width="12.28515625" style="44" bestFit="1" customWidth="1"/>
    <col min="265" max="265" width="13.28515625" style="44" customWidth="1"/>
    <col min="266" max="268" width="14" style="44" bestFit="1" customWidth="1"/>
    <col min="269" max="269" width="12.42578125" style="44" bestFit="1" customWidth="1"/>
    <col min="270" max="270" width="11.85546875" style="44" bestFit="1" customWidth="1"/>
    <col min="271" max="271" width="12.85546875" style="44" bestFit="1" customWidth="1"/>
    <col min="272" max="272" width="11.85546875" style="44" bestFit="1" customWidth="1"/>
    <col min="273" max="273" width="12" style="44" bestFit="1" customWidth="1"/>
    <col min="274" max="274" width="14" style="44" bestFit="1" customWidth="1"/>
    <col min="275" max="275" width="7" style="44" bestFit="1" customWidth="1"/>
    <col min="276" max="516" width="9.140625" style="44"/>
    <col min="517" max="517" width="4.42578125" style="44" bestFit="1" customWidth="1"/>
    <col min="518" max="518" width="19.28515625" style="44" bestFit="1" customWidth="1"/>
    <col min="519" max="519" width="6.28515625" style="44" bestFit="1" customWidth="1"/>
    <col min="520" max="520" width="12.28515625" style="44" bestFit="1" customWidth="1"/>
    <col min="521" max="521" width="13.28515625" style="44" customWidth="1"/>
    <col min="522" max="524" width="14" style="44" bestFit="1" customWidth="1"/>
    <col min="525" max="525" width="12.42578125" style="44" bestFit="1" customWidth="1"/>
    <col min="526" max="526" width="11.85546875" style="44" bestFit="1" customWidth="1"/>
    <col min="527" max="527" width="12.85546875" style="44" bestFit="1" customWidth="1"/>
    <col min="528" max="528" width="11.85546875" style="44" bestFit="1" customWidth="1"/>
    <col min="529" max="529" width="12" style="44" bestFit="1" customWidth="1"/>
    <col min="530" max="530" width="14" style="44" bestFit="1" customWidth="1"/>
    <col min="531" max="531" width="7" style="44" bestFit="1" customWidth="1"/>
    <col min="532" max="772" width="9.140625" style="44"/>
    <col min="773" max="773" width="4.42578125" style="44" bestFit="1" customWidth="1"/>
    <col min="774" max="774" width="19.28515625" style="44" bestFit="1" customWidth="1"/>
    <col min="775" max="775" width="6.28515625" style="44" bestFit="1" customWidth="1"/>
    <col min="776" max="776" width="12.28515625" style="44" bestFit="1" customWidth="1"/>
    <col min="777" max="777" width="13.28515625" style="44" customWidth="1"/>
    <col min="778" max="780" width="14" style="44" bestFit="1" customWidth="1"/>
    <col min="781" max="781" width="12.42578125" style="44" bestFit="1" customWidth="1"/>
    <col min="782" max="782" width="11.85546875" style="44" bestFit="1" customWidth="1"/>
    <col min="783" max="783" width="12.85546875" style="44" bestFit="1" customWidth="1"/>
    <col min="784" max="784" width="11.85546875" style="44" bestFit="1" customWidth="1"/>
    <col min="785" max="785" width="12" style="44" bestFit="1" customWidth="1"/>
    <col min="786" max="786" width="14" style="44" bestFit="1" customWidth="1"/>
    <col min="787" max="787" width="7" style="44" bestFit="1" customWidth="1"/>
    <col min="788" max="1028" width="9.140625" style="44"/>
    <col min="1029" max="1029" width="4.42578125" style="44" bestFit="1" customWidth="1"/>
    <col min="1030" max="1030" width="19.28515625" style="44" bestFit="1" customWidth="1"/>
    <col min="1031" max="1031" width="6.28515625" style="44" bestFit="1" customWidth="1"/>
    <col min="1032" max="1032" width="12.28515625" style="44" bestFit="1" customWidth="1"/>
    <col min="1033" max="1033" width="13.28515625" style="44" customWidth="1"/>
    <col min="1034" max="1036" width="14" style="44" bestFit="1" customWidth="1"/>
    <col min="1037" max="1037" width="12.42578125" style="44" bestFit="1" customWidth="1"/>
    <col min="1038" max="1038" width="11.85546875" style="44" bestFit="1" customWidth="1"/>
    <col min="1039" max="1039" width="12.85546875" style="44" bestFit="1" customWidth="1"/>
    <col min="1040" max="1040" width="11.85546875" style="44" bestFit="1" customWidth="1"/>
    <col min="1041" max="1041" width="12" style="44" bestFit="1" customWidth="1"/>
    <col min="1042" max="1042" width="14" style="44" bestFit="1" customWidth="1"/>
    <col min="1043" max="1043" width="7" style="44" bestFit="1" customWidth="1"/>
    <col min="1044" max="1284" width="9.140625" style="44"/>
    <col min="1285" max="1285" width="4.42578125" style="44" bestFit="1" customWidth="1"/>
    <col min="1286" max="1286" width="19.28515625" style="44" bestFit="1" customWidth="1"/>
    <col min="1287" max="1287" width="6.28515625" style="44" bestFit="1" customWidth="1"/>
    <col min="1288" max="1288" width="12.28515625" style="44" bestFit="1" customWidth="1"/>
    <col min="1289" max="1289" width="13.28515625" style="44" customWidth="1"/>
    <col min="1290" max="1292" width="14" style="44" bestFit="1" customWidth="1"/>
    <col min="1293" max="1293" width="12.42578125" style="44" bestFit="1" customWidth="1"/>
    <col min="1294" max="1294" width="11.85546875" style="44" bestFit="1" customWidth="1"/>
    <col min="1295" max="1295" width="12.85546875" style="44" bestFit="1" customWidth="1"/>
    <col min="1296" max="1296" width="11.85546875" style="44" bestFit="1" customWidth="1"/>
    <col min="1297" max="1297" width="12" style="44" bestFit="1" customWidth="1"/>
    <col min="1298" max="1298" width="14" style="44" bestFit="1" customWidth="1"/>
    <col min="1299" max="1299" width="7" style="44" bestFit="1" customWidth="1"/>
    <col min="1300" max="1540" width="9.140625" style="44"/>
    <col min="1541" max="1541" width="4.42578125" style="44" bestFit="1" customWidth="1"/>
    <col min="1542" max="1542" width="19.28515625" style="44" bestFit="1" customWidth="1"/>
    <col min="1543" max="1543" width="6.28515625" style="44" bestFit="1" customWidth="1"/>
    <col min="1544" max="1544" width="12.28515625" style="44" bestFit="1" customWidth="1"/>
    <col min="1545" max="1545" width="13.28515625" style="44" customWidth="1"/>
    <col min="1546" max="1548" width="14" style="44" bestFit="1" customWidth="1"/>
    <col min="1549" max="1549" width="12.42578125" style="44" bestFit="1" customWidth="1"/>
    <col min="1550" max="1550" width="11.85546875" style="44" bestFit="1" customWidth="1"/>
    <col min="1551" max="1551" width="12.85546875" style="44" bestFit="1" customWidth="1"/>
    <col min="1552" max="1552" width="11.85546875" style="44" bestFit="1" customWidth="1"/>
    <col min="1553" max="1553" width="12" style="44" bestFit="1" customWidth="1"/>
    <col min="1554" max="1554" width="14" style="44" bestFit="1" customWidth="1"/>
    <col min="1555" max="1555" width="7" style="44" bestFit="1" customWidth="1"/>
    <col min="1556" max="1796" width="9.140625" style="44"/>
    <col min="1797" max="1797" width="4.42578125" style="44" bestFit="1" customWidth="1"/>
    <col min="1798" max="1798" width="19.28515625" style="44" bestFit="1" customWidth="1"/>
    <col min="1799" max="1799" width="6.28515625" style="44" bestFit="1" customWidth="1"/>
    <col min="1800" max="1800" width="12.28515625" style="44" bestFit="1" customWidth="1"/>
    <col min="1801" max="1801" width="13.28515625" style="44" customWidth="1"/>
    <col min="1802" max="1804" width="14" style="44" bestFit="1" customWidth="1"/>
    <col min="1805" max="1805" width="12.42578125" style="44" bestFit="1" customWidth="1"/>
    <col min="1806" max="1806" width="11.85546875" style="44" bestFit="1" customWidth="1"/>
    <col min="1807" max="1807" width="12.85546875" style="44" bestFit="1" customWidth="1"/>
    <col min="1808" max="1808" width="11.85546875" style="44" bestFit="1" customWidth="1"/>
    <col min="1809" max="1809" width="12" style="44" bestFit="1" customWidth="1"/>
    <col min="1810" max="1810" width="14" style="44" bestFit="1" customWidth="1"/>
    <col min="1811" max="1811" width="7" style="44" bestFit="1" customWidth="1"/>
    <col min="1812" max="2052" width="9.140625" style="44"/>
    <col min="2053" max="2053" width="4.42578125" style="44" bestFit="1" customWidth="1"/>
    <col min="2054" max="2054" width="19.28515625" style="44" bestFit="1" customWidth="1"/>
    <col min="2055" max="2055" width="6.28515625" style="44" bestFit="1" customWidth="1"/>
    <col min="2056" max="2056" width="12.28515625" style="44" bestFit="1" customWidth="1"/>
    <col min="2057" max="2057" width="13.28515625" style="44" customWidth="1"/>
    <col min="2058" max="2060" width="14" style="44" bestFit="1" customWidth="1"/>
    <col min="2061" max="2061" width="12.42578125" style="44" bestFit="1" customWidth="1"/>
    <col min="2062" max="2062" width="11.85546875" style="44" bestFit="1" customWidth="1"/>
    <col min="2063" max="2063" width="12.85546875" style="44" bestFit="1" customWidth="1"/>
    <col min="2064" max="2064" width="11.85546875" style="44" bestFit="1" customWidth="1"/>
    <col min="2065" max="2065" width="12" style="44" bestFit="1" customWidth="1"/>
    <col min="2066" max="2066" width="14" style="44" bestFit="1" customWidth="1"/>
    <col min="2067" max="2067" width="7" style="44" bestFit="1" customWidth="1"/>
    <col min="2068" max="2308" width="9.140625" style="44"/>
    <col min="2309" max="2309" width="4.42578125" style="44" bestFit="1" customWidth="1"/>
    <col min="2310" max="2310" width="19.28515625" style="44" bestFit="1" customWidth="1"/>
    <col min="2311" max="2311" width="6.28515625" style="44" bestFit="1" customWidth="1"/>
    <col min="2312" max="2312" width="12.28515625" style="44" bestFit="1" customWidth="1"/>
    <col min="2313" max="2313" width="13.28515625" style="44" customWidth="1"/>
    <col min="2314" max="2316" width="14" style="44" bestFit="1" customWidth="1"/>
    <col min="2317" max="2317" width="12.42578125" style="44" bestFit="1" customWidth="1"/>
    <col min="2318" max="2318" width="11.85546875" style="44" bestFit="1" customWidth="1"/>
    <col min="2319" max="2319" width="12.85546875" style="44" bestFit="1" customWidth="1"/>
    <col min="2320" max="2320" width="11.85546875" style="44" bestFit="1" customWidth="1"/>
    <col min="2321" max="2321" width="12" style="44" bestFit="1" customWidth="1"/>
    <col min="2322" max="2322" width="14" style="44" bestFit="1" customWidth="1"/>
    <col min="2323" max="2323" width="7" style="44" bestFit="1" customWidth="1"/>
    <col min="2324" max="2564" width="9.140625" style="44"/>
    <col min="2565" max="2565" width="4.42578125" style="44" bestFit="1" customWidth="1"/>
    <col min="2566" max="2566" width="19.28515625" style="44" bestFit="1" customWidth="1"/>
    <col min="2567" max="2567" width="6.28515625" style="44" bestFit="1" customWidth="1"/>
    <col min="2568" max="2568" width="12.28515625" style="44" bestFit="1" customWidth="1"/>
    <col min="2569" max="2569" width="13.28515625" style="44" customWidth="1"/>
    <col min="2570" max="2572" width="14" style="44" bestFit="1" customWidth="1"/>
    <col min="2573" max="2573" width="12.42578125" style="44" bestFit="1" customWidth="1"/>
    <col min="2574" max="2574" width="11.85546875" style="44" bestFit="1" customWidth="1"/>
    <col min="2575" max="2575" width="12.85546875" style="44" bestFit="1" customWidth="1"/>
    <col min="2576" max="2576" width="11.85546875" style="44" bestFit="1" customWidth="1"/>
    <col min="2577" max="2577" width="12" style="44" bestFit="1" customWidth="1"/>
    <col min="2578" max="2578" width="14" style="44" bestFit="1" customWidth="1"/>
    <col min="2579" max="2579" width="7" style="44" bestFit="1" customWidth="1"/>
    <col min="2580" max="2820" width="9.140625" style="44"/>
    <col min="2821" max="2821" width="4.42578125" style="44" bestFit="1" customWidth="1"/>
    <col min="2822" max="2822" width="19.28515625" style="44" bestFit="1" customWidth="1"/>
    <col min="2823" max="2823" width="6.28515625" style="44" bestFit="1" customWidth="1"/>
    <col min="2824" max="2824" width="12.28515625" style="44" bestFit="1" customWidth="1"/>
    <col min="2825" max="2825" width="13.28515625" style="44" customWidth="1"/>
    <col min="2826" max="2828" width="14" style="44" bestFit="1" customWidth="1"/>
    <col min="2829" max="2829" width="12.42578125" style="44" bestFit="1" customWidth="1"/>
    <col min="2830" max="2830" width="11.85546875" style="44" bestFit="1" customWidth="1"/>
    <col min="2831" max="2831" width="12.85546875" style="44" bestFit="1" customWidth="1"/>
    <col min="2832" max="2832" width="11.85546875" style="44" bestFit="1" customWidth="1"/>
    <col min="2833" max="2833" width="12" style="44" bestFit="1" customWidth="1"/>
    <col min="2834" max="2834" width="14" style="44" bestFit="1" customWidth="1"/>
    <col min="2835" max="2835" width="7" style="44" bestFit="1" customWidth="1"/>
    <col min="2836" max="3076" width="9.140625" style="44"/>
    <col min="3077" max="3077" width="4.42578125" style="44" bestFit="1" customWidth="1"/>
    <col min="3078" max="3078" width="19.28515625" style="44" bestFit="1" customWidth="1"/>
    <col min="3079" max="3079" width="6.28515625" style="44" bestFit="1" customWidth="1"/>
    <col min="3080" max="3080" width="12.28515625" style="44" bestFit="1" customWidth="1"/>
    <col min="3081" max="3081" width="13.28515625" style="44" customWidth="1"/>
    <col min="3082" max="3084" width="14" style="44" bestFit="1" customWidth="1"/>
    <col min="3085" max="3085" width="12.42578125" style="44" bestFit="1" customWidth="1"/>
    <col min="3086" max="3086" width="11.85546875" style="44" bestFit="1" customWidth="1"/>
    <col min="3087" max="3087" width="12.85546875" style="44" bestFit="1" customWidth="1"/>
    <col min="3088" max="3088" width="11.85546875" style="44" bestFit="1" customWidth="1"/>
    <col min="3089" max="3089" width="12" style="44" bestFit="1" customWidth="1"/>
    <col min="3090" max="3090" width="14" style="44" bestFit="1" customWidth="1"/>
    <col min="3091" max="3091" width="7" style="44" bestFit="1" customWidth="1"/>
    <col min="3092" max="3332" width="9.140625" style="44"/>
    <col min="3333" max="3333" width="4.42578125" style="44" bestFit="1" customWidth="1"/>
    <col min="3334" max="3334" width="19.28515625" style="44" bestFit="1" customWidth="1"/>
    <col min="3335" max="3335" width="6.28515625" style="44" bestFit="1" customWidth="1"/>
    <col min="3336" max="3336" width="12.28515625" style="44" bestFit="1" customWidth="1"/>
    <col min="3337" max="3337" width="13.28515625" style="44" customWidth="1"/>
    <col min="3338" max="3340" width="14" style="44" bestFit="1" customWidth="1"/>
    <col min="3341" max="3341" width="12.42578125" style="44" bestFit="1" customWidth="1"/>
    <col min="3342" max="3342" width="11.85546875" style="44" bestFit="1" customWidth="1"/>
    <col min="3343" max="3343" width="12.85546875" style="44" bestFit="1" customWidth="1"/>
    <col min="3344" max="3344" width="11.85546875" style="44" bestFit="1" customWidth="1"/>
    <col min="3345" max="3345" width="12" style="44" bestFit="1" customWidth="1"/>
    <col min="3346" max="3346" width="14" style="44" bestFit="1" customWidth="1"/>
    <col min="3347" max="3347" width="7" style="44" bestFit="1" customWidth="1"/>
    <col min="3348" max="3588" width="9.140625" style="44"/>
    <col min="3589" max="3589" width="4.42578125" style="44" bestFit="1" customWidth="1"/>
    <col min="3590" max="3590" width="19.28515625" style="44" bestFit="1" customWidth="1"/>
    <col min="3591" max="3591" width="6.28515625" style="44" bestFit="1" customWidth="1"/>
    <col min="3592" max="3592" width="12.28515625" style="44" bestFit="1" customWidth="1"/>
    <col min="3593" max="3593" width="13.28515625" style="44" customWidth="1"/>
    <col min="3594" max="3596" width="14" style="44" bestFit="1" customWidth="1"/>
    <col min="3597" max="3597" width="12.42578125" style="44" bestFit="1" customWidth="1"/>
    <col min="3598" max="3598" width="11.85546875" style="44" bestFit="1" customWidth="1"/>
    <col min="3599" max="3599" width="12.85546875" style="44" bestFit="1" customWidth="1"/>
    <col min="3600" max="3600" width="11.85546875" style="44" bestFit="1" customWidth="1"/>
    <col min="3601" max="3601" width="12" style="44" bestFit="1" customWidth="1"/>
    <col min="3602" max="3602" width="14" style="44" bestFit="1" customWidth="1"/>
    <col min="3603" max="3603" width="7" style="44" bestFit="1" customWidth="1"/>
    <col min="3604" max="3844" width="9.140625" style="44"/>
    <col min="3845" max="3845" width="4.42578125" style="44" bestFit="1" customWidth="1"/>
    <col min="3846" max="3846" width="19.28515625" style="44" bestFit="1" customWidth="1"/>
    <col min="3847" max="3847" width="6.28515625" style="44" bestFit="1" customWidth="1"/>
    <col min="3848" max="3848" width="12.28515625" style="44" bestFit="1" customWidth="1"/>
    <col min="3849" max="3849" width="13.28515625" style="44" customWidth="1"/>
    <col min="3850" max="3852" width="14" style="44" bestFit="1" customWidth="1"/>
    <col min="3853" max="3853" width="12.42578125" style="44" bestFit="1" customWidth="1"/>
    <col min="3854" max="3854" width="11.85546875" style="44" bestFit="1" customWidth="1"/>
    <col min="3855" max="3855" width="12.85546875" style="44" bestFit="1" customWidth="1"/>
    <col min="3856" max="3856" width="11.85546875" style="44" bestFit="1" customWidth="1"/>
    <col min="3857" max="3857" width="12" style="44" bestFit="1" customWidth="1"/>
    <col min="3858" max="3858" width="14" style="44" bestFit="1" customWidth="1"/>
    <col min="3859" max="3859" width="7" style="44" bestFit="1" customWidth="1"/>
    <col min="3860" max="4100" width="9.140625" style="44"/>
    <col min="4101" max="4101" width="4.42578125" style="44" bestFit="1" customWidth="1"/>
    <col min="4102" max="4102" width="19.28515625" style="44" bestFit="1" customWidth="1"/>
    <col min="4103" max="4103" width="6.28515625" style="44" bestFit="1" customWidth="1"/>
    <col min="4104" max="4104" width="12.28515625" style="44" bestFit="1" customWidth="1"/>
    <col min="4105" max="4105" width="13.28515625" style="44" customWidth="1"/>
    <col min="4106" max="4108" width="14" style="44" bestFit="1" customWidth="1"/>
    <col min="4109" max="4109" width="12.42578125" style="44" bestFit="1" customWidth="1"/>
    <col min="4110" max="4110" width="11.85546875" style="44" bestFit="1" customWidth="1"/>
    <col min="4111" max="4111" width="12.85546875" style="44" bestFit="1" customWidth="1"/>
    <col min="4112" max="4112" width="11.85546875" style="44" bestFit="1" customWidth="1"/>
    <col min="4113" max="4113" width="12" style="44" bestFit="1" customWidth="1"/>
    <col min="4114" max="4114" width="14" style="44" bestFit="1" customWidth="1"/>
    <col min="4115" max="4115" width="7" style="44" bestFit="1" customWidth="1"/>
    <col min="4116" max="4356" width="9.140625" style="44"/>
    <col min="4357" max="4357" width="4.42578125" style="44" bestFit="1" customWidth="1"/>
    <col min="4358" max="4358" width="19.28515625" style="44" bestFit="1" customWidth="1"/>
    <col min="4359" max="4359" width="6.28515625" style="44" bestFit="1" customWidth="1"/>
    <col min="4360" max="4360" width="12.28515625" style="44" bestFit="1" customWidth="1"/>
    <col min="4361" max="4361" width="13.28515625" style="44" customWidth="1"/>
    <col min="4362" max="4364" width="14" style="44" bestFit="1" customWidth="1"/>
    <col min="4365" max="4365" width="12.42578125" style="44" bestFit="1" customWidth="1"/>
    <col min="4366" max="4366" width="11.85546875" style="44" bestFit="1" customWidth="1"/>
    <col min="4367" max="4367" width="12.85546875" style="44" bestFit="1" customWidth="1"/>
    <col min="4368" max="4368" width="11.85546875" style="44" bestFit="1" customWidth="1"/>
    <col min="4369" max="4369" width="12" style="44" bestFit="1" customWidth="1"/>
    <col min="4370" max="4370" width="14" style="44" bestFit="1" customWidth="1"/>
    <col min="4371" max="4371" width="7" style="44" bestFit="1" customWidth="1"/>
    <col min="4372" max="4612" width="9.140625" style="44"/>
    <col min="4613" max="4613" width="4.42578125" style="44" bestFit="1" customWidth="1"/>
    <col min="4614" max="4614" width="19.28515625" style="44" bestFit="1" customWidth="1"/>
    <col min="4615" max="4615" width="6.28515625" style="44" bestFit="1" customWidth="1"/>
    <col min="4616" max="4616" width="12.28515625" style="44" bestFit="1" customWidth="1"/>
    <col min="4617" max="4617" width="13.28515625" style="44" customWidth="1"/>
    <col min="4618" max="4620" width="14" style="44" bestFit="1" customWidth="1"/>
    <col min="4621" max="4621" width="12.42578125" style="44" bestFit="1" customWidth="1"/>
    <col min="4622" max="4622" width="11.85546875" style="44" bestFit="1" customWidth="1"/>
    <col min="4623" max="4623" width="12.85546875" style="44" bestFit="1" customWidth="1"/>
    <col min="4624" max="4624" width="11.85546875" style="44" bestFit="1" customWidth="1"/>
    <col min="4625" max="4625" width="12" style="44" bestFit="1" customWidth="1"/>
    <col min="4626" max="4626" width="14" style="44" bestFit="1" customWidth="1"/>
    <col min="4627" max="4627" width="7" style="44" bestFit="1" customWidth="1"/>
    <col min="4628" max="4868" width="9.140625" style="44"/>
    <col min="4869" max="4869" width="4.42578125" style="44" bestFit="1" customWidth="1"/>
    <col min="4870" max="4870" width="19.28515625" style="44" bestFit="1" customWidth="1"/>
    <col min="4871" max="4871" width="6.28515625" style="44" bestFit="1" customWidth="1"/>
    <col min="4872" max="4872" width="12.28515625" style="44" bestFit="1" customWidth="1"/>
    <col min="4873" max="4873" width="13.28515625" style="44" customWidth="1"/>
    <col min="4874" max="4876" width="14" style="44" bestFit="1" customWidth="1"/>
    <col min="4877" max="4877" width="12.42578125" style="44" bestFit="1" customWidth="1"/>
    <col min="4878" max="4878" width="11.85546875" style="44" bestFit="1" customWidth="1"/>
    <col min="4879" max="4879" width="12.85546875" style="44" bestFit="1" customWidth="1"/>
    <col min="4880" max="4880" width="11.85546875" style="44" bestFit="1" customWidth="1"/>
    <col min="4881" max="4881" width="12" style="44" bestFit="1" customWidth="1"/>
    <col min="4882" max="4882" width="14" style="44" bestFit="1" customWidth="1"/>
    <col min="4883" max="4883" width="7" style="44" bestFit="1" customWidth="1"/>
    <col min="4884" max="5124" width="9.140625" style="44"/>
    <col min="5125" max="5125" width="4.42578125" style="44" bestFit="1" customWidth="1"/>
    <col min="5126" max="5126" width="19.28515625" style="44" bestFit="1" customWidth="1"/>
    <col min="5127" max="5127" width="6.28515625" style="44" bestFit="1" customWidth="1"/>
    <col min="5128" max="5128" width="12.28515625" style="44" bestFit="1" customWidth="1"/>
    <col min="5129" max="5129" width="13.28515625" style="44" customWidth="1"/>
    <col min="5130" max="5132" width="14" style="44" bestFit="1" customWidth="1"/>
    <col min="5133" max="5133" width="12.42578125" style="44" bestFit="1" customWidth="1"/>
    <col min="5134" max="5134" width="11.85546875" style="44" bestFit="1" customWidth="1"/>
    <col min="5135" max="5135" width="12.85546875" style="44" bestFit="1" customWidth="1"/>
    <col min="5136" max="5136" width="11.85546875" style="44" bestFit="1" customWidth="1"/>
    <col min="5137" max="5137" width="12" style="44" bestFit="1" customWidth="1"/>
    <col min="5138" max="5138" width="14" style="44" bestFit="1" customWidth="1"/>
    <col min="5139" max="5139" width="7" style="44" bestFit="1" customWidth="1"/>
    <col min="5140" max="5380" width="9.140625" style="44"/>
    <col min="5381" max="5381" width="4.42578125" style="44" bestFit="1" customWidth="1"/>
    <col min="5382" max="5382" width="19.28515625" style="44" bestFit="1" customWidth="1"/>
    <col min="5383" max="5383" width="6.28515625" style="44" bestFit="1" customWidth="1"/>
    <col min="5384" max="5384" width="12.28515625" style="44" bestFit="1" customWidth="1"/>
    <col min="5385" max="5385" width="13.28515625" style="44" customWidth="1"/>
    <col min="5386" max="5388" width="14" style="44" bestFit="1" customWidth="1"/>
    <col min="5389" max="5389" width="12.42578125" style="44" bestFit="1" customWidth="1"/>
    <col min="5390" max="5390" width="11.85546875" style="44" bestFit="1" customWidth="1"/>
    <col min="5391" max="5391" width="12.85546875" style="44" bestFit="1" customWidth="1"/>
    <col min="5392" max="5392" width="11.85546875" style="44" bestFit="1" customWidth="1"/>
    <col min="5393" max="5393" width="12" style="44" bestFit="1" customWidth="1"/>
    <col min="5394" max="5394" width="14" style="44" bestFit="1" customWidth="1"/>
    <col min="5395" max="5395" width="7" style="44" bestFit="1" customWidth="1"/>
    <col min="5396" max="5636" width="9.140625" style="44"/>
    <col min="5637" max="5637" width="4.42578125" style="44" bestFit="1" customWidth="1"/>
    <col min="5638" max="5638" width="19.28515625" style="44" bestFit="1" customWidth="1"/>
    <col min="5639" max="5639" width="6.28515625" style="44" bestFit="1" customWidth="1"/>
    <col min="5640" max="5640" width="12.28515625" style="44" bestFit="1" customWidth="1"/>
    <col min="5641" max="5641" width="13.28515625" style="44" customWidth="1"/>
    <col min="5642" max="5644" width="14" style="44" bestFit="1" customWidth="1"/>
    <col min="5645" max="5645" width="12.42578125" style="44" bestFit="1" customWidth="1"/>
    <col min="5646" max="5646" width="11.85546875" style="44" bestFit="1" customWidth="1"/>
    <col min="5647" max="5647" width="12.85546875" style="44" bestFit="1" customWidth="1"/>
    <col min="5648" max="5648" width="11.85546875" style="44" bestFit="1" customWidth="1"/>
    <col min="5649" max="5649" width="12" style="44" bestFit="1" customWidth="1"/>
    <col min="5650" max="5650" width="14" style="44" bestFit="1" customWidth="1"/>
    <col min="5651" max="5651" width="7" style="44" bestFit="1" customWidth="1"/>
    <col min="5652" max="5892" width="9.140625" style="44"/>
    <col min="5893" max="5893" width="4.42578125" style="44" bestFit="1" customWidth="1"/>
    <col min="5894" max="5894" width="19.28515625" style="44" bestFit="1" customWidth="1"/>
    <col min="5895" max="5895" width="6.28515625" style="44" bestFit="1" customWidth="1"/>
    <col min="5896" max="5896" width="12.28515625" style="44" bestFit="1" customWidth="1"/>
    <col min="5897" max="5897" width="13.28515625" style="44" customWidth="1"/>
    <col min="5898" max="5900" width="14" style="44" bestFit="1" customWidth="1"/>
    <col min="5901" max="5901" width="12.42578125" style="44" bestFit="1" customWidth="1"/>
    <col min="5902" max="5902" width="11.85546875" style="44" bestFit="1" customWidth="1"/>
    <col min="5903" max="5903" width="12.85546875" style="44" bestFit="1" customWidth="1"/>
    <col min="5904" max="5904" width="11.85546875" style="44" bestFit="1" customWidth="1"/>
    <col min="5905" max="5905" width="12" style="44" bestFit="1" customWidth="1"/>
    <col min="5906" max="5906" width="14" style="44" bestFit="1" customWidth="1"/>
    <col min="5907" max="5907" width="7" style="44" bestFit="1" customWidth="1"/>
    <col min="5908" max="6148" width="9.140625" style="44"/>
    <col min="6149" max="6149" width="4.42578125" style="44" bestFit="1" customWidth="1"/>
    <col min="6150" max="6150" width="19.28515625" style="44" bestFit="1" customWidth="1"/>
    <col min="6151" max="6151" width="6.28515625" style="44" bestFit="1" customWidth="1"/>
    <col min="6152" max="6152" width="12.28515625" style="44" bestFit="1" customWidth="1"/>
    <col min="6153" max="6153" width="13.28515625" style="44" customWidth="1"/>
    <col min="6154" max="6156" width="14" style="44" bestFit="1" customWidth="1"/>
    <col min="6157" max="6157" width="12.42578125" style="44" bestFit="1" customWidth="1"/>
    <col min="6158" max="6158" width="11.85546875" style="44" bestFit="1" customWidth="1"/>
    <col min="6159" max="6159" width="12.85546875" style="44" bestFit="1" customWidth="1"/>
    <col min="6160" max="6160" width="11.85546875" style="44" bestFit="1" customWidth="1"/>
    <col min="6161" max="6161" width="12" style="44" bestFit="1" customWidth="1"/>
    <col min="6162" max="6162" width="14" style="44" bestFit="1" customWidth="1"/>
    <col min="6163" max="6163" width="7" style="44" bestFit="1" customWidth="1"/>
    <col min="6164" max="6404" width="9.140625" style="44"/>
    <col min="6405" max="6405" width="4.42578125" style="44" bestFit="1" customWidth="1"/>
    <col min="6406" max="6406" width="19.28515625" style="44" bestFit="1" customWidth="1"/>
    <col min="6407" max="6407" width="6.28515625" style="44" bestFit="1" customWidth="1"/>
    <col min="6408" max="6408" width="12.28515625" style="44" bestFit="1" customWidth="1"/>
    <col min="6409" max="6409" width="13.28515625" style="44" customWidth="1"/>
    <col min="6410" max="6412" width="14" style="44" bestFit="1" customWidth="1"/>
    <col min="6413" max="6413" width="12.42578125" style="44" bestFit="1" customWidth="1"/>
    <col min="6414" max="6414" width="11.85546875" style="44" bestFit="1" customWidth="1"/>
    <col min="6415" max="6415" width="12.85546875" style="44" bestFit="1" customWidth="1"/>
    <col min="6416" max="6416" width="11.85546875" style="44" bestFit="1" customWidth="1"/>
    <col min="6417" max="6417" width="12" style="44" bestFit="1" customWidth="1"/>
    <col min="6418" max="6418" width="14" style="44" bestFit="1" customWidth="1"/>
    <col min="6419" max="6419" width="7" style="44" bestFit="1" customWidth="1"/>
    <col min="6420" max="6660" width="9.140625" style="44"/>
    <col min="6661" max="6661" width="4.42578125" style="44" bestFit="1" customWidth="1"/>
    <col min="6662" max="6662" width="19.28515625" style="44" bestFit="1" customWidth="1"/>
    <col min="6663" max="6663" width="6.28515625" style="44" bestFit="1" customWidth="1"/>
    <col min="6664" max="6664" width="12.28515625" style="44" bestFit="1" customWidth="1"/>
    <col min="6665" max="6665" width="13.28515625" style="44" customWidth="1"/>
    <col min="6666" max="6668" width="14" style="44" bestFit="1" customWidth="1"/>
    <col min="6669" max="6669" width="12.42578125" style="44" bestFit="1" customWidth="1"/>
    <col min="6670" max="6670" width="11.85546875" style="44" bestFit="1" customWidth="1"/>
    <col min="6671" max="6671" width="12.85546875" style="44" bestFit="1" customWidth="1"/>
    <col min="6672" max="6672" width="11.85546875" style="44" bestFit="1" customWidth="1"/>
    <col min="6673" max="6673" width="12" style="44" bestFit="1" customWidth="1"/>
    <col min="6674" max="6674" width="14" style="44" bestFit="1" customWidth="1"/>
    <col min="6675" max="6675" width="7" style="44" bestFit="1" customWidth="1"/>
    <col min="6676" max="6916" width="9.140625" style="44"/>
    <col min="6917" max="6917" width="4.42578125" style="44" bestFit="1" customWidth="1"/>
    <col min="6918" max="6918" width="19.28515625" style="44" bestFit="1" customWidth="1"/>
    <col min="6919" max="6919" width="6.28515625" style="44" bestFit="1" customWidth="1"/>
    <col min="6920" max="6920" width="12.28515625" style="44" bestFit="1" customWidth="1"/>
    <col min="6921" max="6921" width="13.28515625" style="44" customWidth="1"/>
    <col min="6922" max="6924" width="14" style="44" bestFit="1" customWidth="1"/>
    <col min="6925" max="6925" width="12.42578125" style="44" bestFit="1" customWidth="1"/>
    <col min="6926" max="6926" width="11.85546875" style="44" bestFit="1" customWidth="1"/>
    <col min="6927" max="6927" width="12.85546875" style="44" bestFit="1" customWidth="1"/>
    <col min="6928" max="6928" width="11.85546875" style="44" bestFit="1" customWidth="1"/>
    <col min="6929" max="6929" width="12" style="44" bestFit="1" customWidth="1"/>
    <col min="6930" max="6930" width="14" style="44" bestFit="1" customWidth="1"/>
    <col min="6931" max="6931" width="7" style="44" bestFit="1" customWidth="1"/>
    <col min="6932" max="7172" width="9.140625" style="44"/>
    <col min="7173" max="7173" width="4.42578125" style="44" bestFit="1" customWidth="1"/>
    <col min="7174" max="7174" width="19.28515625" style="44" bestFit="1" customWidth="1"/>
    <col min="7175" max="7175" width="6.28515625" style="44" bestFit="1" customWidth="1"/>
    <col min="7176" max="7176" width="12.28515625" style="44" bestFit="1" customWidth="1"/>
    <col min="7177" max="7177" width="13.28515625" style="44" customWidth="1"/>
    <col min="7178" max="7180" width="14" style="44" bestFit="1" customWidth="1"/>
    <col min="7181" max="7181" width="12.42578125" style="44" bestFit="1" customWidth="1"/>
    <col min="7182" max="7182" width="11.85546875" style="44" bestFit="1" customWidth="1"/>
    <col min="7183" max="7183" width="12.85546875" style="44" bestFit="1" customWidth="1"/>
    <col min="7184" max="7184" width="11.85546875" style="44" bestFit="1" customWidth="1"/>
    <col min="7185" max="7185" width="12" style="44" bestFit="1" customWidth="1"/>
    <col min="7186" max="7186" width="14" style="44" bestFit="1" customWidth="1"/>
    <col min="7187" max="7187" width="7" style="44" bestFit="1" customWidth="1"/>
    <col min="7188" max="7428" width="9.140625" style="44"/>
    <col min="7429" max="7429" width="4.42578125" style="44" bestFit="1" customWidth="1"/>
    <col min="7430" max="7430" width="19.28515625" style="44" bestFit="1" customWidth="1"/>
    <col min="7431" max="7431" width="6.28515625" style="44" bestFit="1" customWidth="1"/>
    <col min="7432" max="7432" width="12.28515625" style="44" bestFit="1" customWidth="1"/>
    <col min="7433" max="7433" width="13.28515625" style="44" customWidth="1"/>
    <col min="7434" max="7436" width="14" style="44" bestFit="1" customWidth="1"/>
    <col min="7437" max="7437" width="12.42578125" style="44" bestFit="1" customWidth="1"/>
    <col min="7438" max="7438" width="11.85546875" style="44" bestFit="1" customWidth="1"/>
    <col min="7439" max="7439" width="12.85546875" style="44" bestFit="1" customWidth="1"/>
    <col min="7440" max="7440" width="11.85546875" style="44" bestFit="1" customWidth="1"/>
    <col min="7441" max="7441" width="12" style="44" bestFit="1" customWidth="1"/>
    <col min="7442" max="7442" width="14" style="44" bestFit="1" customWidth="1"/>
    <col min="7443" max="7443" width="7" style="44" bestFit="1" customWidth="1"/>
    <col min="7444" max="7684" width="9.140625" style="44"/>
    <col min="7685" max="7685" width="4.42578125" style="44" bestFit="1" customWidth="1"/>
    <col min="7686" max="7686" width="19.28515625" style="44" bestFit="1" customWidth="1"/>
    <col min="7687" max="7687" width="6.28515625" style="44" bestFit="1" customWidth="1"/>
    <col min="7688" max="7688" width="12.28515625" style="44" bestFit="1" customWidth="1"/>
    <col min="7689" max="7689" width="13.28515625" style="44" customWidth="1"/>
    <col min="7690" max="7692" width="14" style="44" bestFit="1" customWidth="1"/>
    <col min="7693" max="7693" width="12.42578125" style="44" bestFit="1" customWidth="1"/>
    <col min="7694" max="7694" width="11.85546875" style="44" bestFit="1" customWidth="1"/>
    <col min="7695" max="7695" width="12.85546875" style="44" bestFit="1" customWidth="1"/>
    <col min="7696" max="7696" width="11.85546875" style="44" bestFit="1" customWidth="1"/>
    <col min="7697" max="7697" width="12" style="44" bestFit="1" customWidth="1"/>
    <col min="7698" max="7698" width="14" style="44" bestFit="1" customWidth="1"/>
    <col min="7699" max="7699" width="7" style="44" bestFit="1" customWidth="1"/>
    <col min="7700" max="7940" width="9.140625" style="44"/>
    <col min="7941" max="7941" width="4.42578125" style="44" bestFit="1" customWidth="1"/>
    <col min="7942" max="7942" width="19.28515625" style="44" bestFit="1" customWidth="1"/>
    <col min="7943" max="7943" width="6.28515625" style="44" bestFit="1" customWidth="1"/>
    <col min="7944" max="7944" width="12.28515625" style="44" bestFit="1" customWidth="1"/>
    <col min="7945" max="7945" width="13.28515625" style="44" customWidth="1"/>
    <col min="7946" max="7948" width="14" style="44" bestFit="1" customWidth="1"/>
    <col min="7949" max="7949" width="12.42578125" style="44" bestFit="1" customWidth="1"/>
    <col min="7950" max="7950" width="11.85546875" style="44" bestFit="1" customWidth="1"/>
    <col min="7951" max="7951" width="12.85546875" style="44" bestFit="1" customWidth="1"/>
    <col min="7952" max="7952" width="11.85546875" style="44" bestFit="1" customWidth="1"/>
    <col min="7953" max="7953" width="12" style="44" bestFit="1" customWidth="1"/>
    <col min="7954" max="7954" width="14" style="44" bestFit="1" customWidth="1"/>
    <col min="7955" max="7955" width="7" style="44" bestFit="1" customWidth="1"/>
    <col min="7956" max="8196" width="9.140625" style="44"/>
    <col min="8197" max="8197" width="4.42578125" style="44" bestFit="1" customWidth="1"/>
    <col min="8198" max="8198" width="19.28515625" style="44" bestFit="1" customWidth="1"/>
    <col min="8199" max="8199" width="6.28515625" style="44" bestFit="1" customWidth="1"/>
    <col min="8200" max="8200" width="12.28515625" style="44" bestFit="1" customWidth="1"/>
    <col min="8201" max="8201" width="13.28515625" style="44" customWidth="1"/>
    <col min="8202" max="8204" width="14" style="44" bestFit="1" customWidth="1"/>
    <col min="8205" max="8205" width="12.42578125" style="44" bestFit="1" customWidth="1"/>
    <col min="8206" max="8206" width="11.85546875" style="44" bestFit="1" customWidth="1"/>
    <col min="8207" max="8207" width="12.85546875" style="44" bestFit="1" customWidth="1"/>
    <col min="8208" max="8208" width="11.85546875" style="44" bestFit="1" customWidth="1"/>
    <col min="8209" max="8209" width="12" style="44" bestFit="1" customWidth="1"/>
    <col min="8210" max="8210" width="14" style="44" bestFit="1" customWidth="1"/>
    <col min="8211" max="8211" width="7" style="44" bestFit="1" customWidth="1"/>
    <col min="8212" max="8452" width="9.140625" style="44"/>
    <col min="8453" max="8453" width="4.42578125" style="44" bestFit="1" customWidth="1"/>
    <col min="8454" max="8454" width="19.28515625" style="44" bestFit="1" customWidth="1"/>
    <col min="8455" max="8455" width="6.28515625" style="44" bestFit="1" customWidth="1"/>
    <col min="8456" max="8456" width="12.28515625" style="44" bestFit="1" customWidth="1"/>
    <col min="8457" max="8457" width="13.28515625" style="44" customWidth="1"/>
    <col min="8458" max="8460" width="14" style="44" bestFit="1" customWidth="1"/>
    <col min="8461" max="8461" width="12.42578125" style="44" bestFit="1" customWidth="1"/>
    <col min="8462" max="8462" width="11.85546875" style="44" bestFit="1" customWidth="1"/>
    <col min="8463" max="8463" width="12.85546875" style="44" bestFit="1" customWidth="1"/>
    <col min="8464" max="8464" width="11.85546875" style="44" bestFit="1" customWidth="1"/>
    <col min="8465" max="8465" width="12" style="44" bestFit="1" customWidth="1"/>
    <col min="8466" max="8466" width="14" style="44" bestFit="1" customWidth="1"/>
    <col min="8467" max="8467" width="7" style="44" bestFit="1" customWidth="1"/>
    <col min="8468" max="8708" width="9.140625" style="44"/>
    <col min="8709" max="8709" width="4.42578125" style="44" bestFit="1" customWidth="1"/>
    <col min="8710" max="8710" width="19.28515625" style="44" bestFit="1" customWidth="1"/>
    <col min="8711" max="8711" width="6.28515625" style="44" bestFit="1" customWidth="1"/>
    <col min="8712" max="8712" width="12.28515625" style="44" bestFit="1" customWidth="1"/>
    <col min="8713" max="8713" width="13.28515625" style="44" customWidth="1"/>
    <col min="8714" max="8716" width="14" style="44" bestFit="1" customWidth="1"/>
    <col min="8717" max="8717" width="12.42578125" style="44" bestFit="1" customWidth="1"/>
    <col min="8718" max="8718" width="11.85546875" style="44" bestFit="1" customWidth="1"/>
    <col min="8719" max="8719" width="12.85546875" style="44" bestFit="1" customWidth="1"/>
    <col min="8720" max="8720" width="11.85546875" style="44" bestFit="1" customWidth="1"/>
    <col min="8721" max="8721" width="12" style="44" bestFit="1" customWidth="1"/>
    <col min="8722" max="8722" width="14" style="44" bestFit="1" customWidth="1"/>
    <col min="8723" max="8723" width="7" style="44" bestFit="1" customWidth="1"/>
    <col min="8724" max="8964" width="9.140625" style="44"/>
    <col min="8965" max="8965" width="4.42578125" style="44" bestFit="1" customWidth="1"/>
    <col min="8966" max="8966" width="19.28515625" style="44" bestFit="1" customWidth="1"/>
    <col min="8967" max="8967" width="6.28515625" style="44" bestFit="1" customWidth="1"/>
    <col min="8968" max="8968" width="12.28515625" style="44" bestFit="1" customWidth="1"/>
    <col min="8969" max="8969" width="13.28515625" style="44" customWidth="1"/>
    <col min="8970" max="8972" width="14" style="44" bestFit="1" customWidth="1"/>
    <col min="8973" max="8973" width="12.42578125" style="44" bestFit="1" customWidth="1"/>
    <col min="8974" max="8974" width="11.85546875" style="44" bestFit="1" customWidth="1"/>
    <col min="8975" max="8975" width="12.85546875" style="44" bestFit="1" customWidth="1"/>
    <col min="8976" max="8976" width="11.85546875" style="44" bestFit="1" customWidth="1"/>
    <col min="8977" max="8977" width="12" style="44" bestFit="1" customWidth="1"/>
    <col min="8978" max="8978" width="14" style="44" bestFit="1" customWidth="1"/>
    <col min="8979" max="8979" width="7" style="44" bestFit="1" customWidth="1"/>
    <col min="8980" max="9220" width="9.140625" style="44"/>
    <col min="9221" max="9221" width="4.42578125" style="44" bestFit="1" customWidth="1"/>
    <col min="9222" max="9222" width="19.28515625" style="44" bestFit="1" customWidth="1"/>
    <col min="9223" max="9223" width="6.28515625" style="44" bestFit="1" customWidth="1"/>
    <col min="9224" max="9224" width="12.28515625" style="44" bestFit="1" customWidth="1"/>
    <col min="9225" max="9225" width="13.28515625" style="44" customWidth="1"/>
    <col min="9226" max="9228" width="14" style="44" bestFit="1" customWidth="1"/>
    <col min="9229" max="9229" width="12.42578125" style="44" bestFit="1" customWidth="1"/>
    <col min="9230" max="9230" width="11.85546875" style="44" bestFit="1" customWidth="1"/>
    <col min="9231" max="9231" width="12.85546875" style="44" bestFit="1" customWidth="1"/>
    <col min="9232" max="9232" width="11.85546875" style="44" bestFit="1" customWidth="1"/>
    <col min="9233" max="9233" width="12" style="44" bestFit="1" customWidth="1"/>
    <col min="9234" max="9234" width="14" style="44" bestFit="1" customWidth="1"/>
    <col min="9235" max="9235" width="7" style="44" bestFit="1" customWidth="1"/>
    <col min="9236" max="9476" width="9.140625" style="44"/>
    <col min="9477" max="9477" width="4.42578125" style="44" bestFit="1" customWidth="1"/>
    <col min="9478" max="9478" width="19.28515625" style="44" bestFit="1" customWidth="1"/>
    <col min="9479" max="9479" width="6.28515625" style="44" bestFit="1" customWidth="1"/>
    <col min="9480" max="9480" width="12.28515625" style="44" bestFit="1" customWidth="1"/>
    <col min="9481" max="9481" width="13.28515625" style="44" customWidth="1"/>
    <col min="9482" max="9484" width="14" style="44" bestFit="1" customWidth="1"/>
    <col min="9485" max="9485" width="12.42578125" style="44" bestFit="1" customWidth="1"/>
    <col min="9486" max="9486" width="11.85546875" style="44" bestFit="1" customWidth="1"/>
    <col min="9487" max="9487" width="12.85546875" style="44" bestFit="1" customWidth="1"/>
    <col min="9488" max="9488" width="11.85546875" style="44" bestFit="1" customWidth="1"/>
    <col min="9489" max="9489" width="12" style="44" bestFit="1" customWidth="1"/>
    <col min="9490" max="9490" width="14" style="44" bestFit="1" customWidth="1"/>
    <col min="9491" max="9491" width="7" style="44" bestFit="1" customWidth="1"/>
    <col min="9492" max="9732" width="9.140625" style="44"/>
    <col min="9733" max="9733" width="4.42578125" style="44" bestFit="1" customWidth="1"/>
    <col min="9734" max="9734" width="19.28515625" style="44" bestFit="1" customWidth="1"/>
    <col min="9735" max="9735" width="6.28515625" style="44" bestFit="1" customWidth="1"/>
    <col min="9736" max="9736" width="12.28515625" style="44" bestFit="1" customWidth="1"/>
    <col min="9737" max="9737" width="13.28515625" style="44" customWidth="1"/>
    <col min="9738" max="9740" width="14" style="44" bestFit="1" customWidth="1"/>
    <col min="9741" max="9741" width="12.42578125" style="44" bestFit="1" customWidth="1"/>
    <col min="9742" max="9742" width="11.85546875" style="44" bestFit="1" customWidth="1"/>
    <col min="9743" max="9743" width="12.85546875" style="44" bestFit="1" customWidth="1"/>
    <col min="9744" max="9744" width="11.85546875" style="44" bestFit="1" customWidth="1"/>
    <col min="9745" max="9745" width="12" style="44" bestFit="1" customWidth="1"/>
    <col min="9746" max="9746" width="14" style="44" bestFit="1" customWidth="1"/>
    <col min="9747" max="9747" width="7" style="44" bestFit="1" customWidth="1"/>
    <col min="9748" max="9988" width="9.140625" style="44"/>
    <col min="9989" max="9989" width="4.42578125" style="44" bestFit="1" customWidth="1"/>
    <col min="9990" max="9990" width="19.28515625" style="44" bestFit="1" customWidth="1"/>
    <col min="9991" max="9991" width="6.28515625" style="44" bestFit="1" customWidth="1"/>
    <col min="9992" max="9992" width="12.28515625" style="44" bestFit="1" customWidth="1"/>
    <col min="9993" max="9993" width="13.28515625" style="44" customWidth="1"/>
    <col min="9994" max="9996" width="14" style="44" bestFit="1" customWidth="1"/>
    <col min="9997" max="9997" width="12.42578125" style="44" bestFit="1" customWidth="1"/>
    <col min="9998" max="9998" width="11.85546875" style="44" bestFit="1" customWidth="1"/>
    <col min="9999" max="9999" width="12.85546875" style="44" bestFit="1" customWidth="1"/>
    <col min="10000" max="10000" width="11.85546875" style="44" bestFit="1" customWidth="1"/>
    <col min="10001" max="10001" width="12" style="44" bestFit="1" customWidth="1"/>
    <col min="10002" max="10002" width="14" style="44" bestFit="1" customWidth="1"/>
    <col min="10003" max="10003" width="7" style="44" bestFit="1" customWidth="1"/>
    <col min="10004" max="10244" width="9.140625" style="44"/>
    <col min="10245" max="10245" width="4.42578125" style="44" bestFit="1" customWidth="1"/>
    <col min="10246" max="10246" width="19.28515625" style="44" bestFit="1" customWidth="1"/>
    <col min="10247" max="10247" width="6.28515625" style="44" bestFit="1" customWidth="1"/>
    <col min="10248" max="10248" width="12.28515625" style="44" bestFit="1" customWidth="1"/>
    <col min="10249" max="10249" width="13.28515625" style="44" customWidth="1"/>
    <col min="10250" max="10252" width="14" style="44" bestFit="1" customWidth="1"/>
    <col min="10253" max="10253" width="12.42578125" style="44" bestFit="1" customWidth="1"/>
    <col min="10254" max="10254" width="11.85546875" style="44" bestFit="1" customWidth="1"/>
    <col min="10255" max="10255" width="12.85546875" style="44" bestFit="1" customWidth="1"/>
    <col min="10256" max="10256" width="11.85546875" style="44" bestFit="1" customWidth="1"/>
    <col min="10257" max="10257" width="12" style="44" bestFit="1" customWidth="1"/>
    <col min="10258" max="10258" width="14" style="44" bestFit="1" customWidth="1"/>
    <col min="10259" max="10259" width="7" style="44" bestFit="1" customWidth="1"/>
    <col min="10260" max="10500" width="9.140625" style="44"/>
    <col min="10501" max="10501" width="4.42578125" style="44" bestFit="1" customWidth="1"/>
    <col min="10502" max="10502" width="19.28515625" style="44" bestFit="1" customWidth="1"/>
    <col min="10503" max="10503" width="6.28515625" style="44" bestFit="1" customWidth="1"/>
    <col min="10504" max="10504" width="12.28515625" style="44" bestFit="1" customWidth="1"/>
    <col min="10505" max="10505" width="13.28515625" style="44" customWidth="1"/>
    <col min="10506" max="10508" width="14" style="44" bestFit="1" customWidth="1"/>
    <col min="10509" max="10509" width="12.42578125" style="44" bestFit="1" customWidth="1"/>
    <col min="10510" max="10510" width="11.85546875" style="44" bestFit="1" customWidth="1"/>
    <col min="10511" max="10511" width="12.85546875" style="44" bestFit="1" customWidth="1"/>
    <col min="10512" max="10512" width="11.85546875" style="44" bestFit="1" customWidth="1"/>
    <col min="10513" max="10513" width="12" style="44" bestFit="1" customWidth="1"/>
    <col min="10514" max="10514" width="14" style="44" bestFit="1" customWidth="1"/>
    <col min="10515" max="10515" width="7" style="44" bestFit="1" customWidth="1"/>
    <col min="10516" max="10756" width="9.140625" style="44"/>
    <col min="10757" max="10757" width="4.42578125" style="44" bestFit="1" customWidth="1"/>
    <col min="10758" max="10758" width="19.28515625" style="44" bestFit="1" customWidth="1"/>
    <col min="10759" max="10759" width="6.28515625" style="44" bestFit="1" customWidth="1"/>
    <col min="10760" max="10760" width="12.28515625" style="44" bestFit="1" customWidth="1"/>
    <col min="10761" max="10761" width="13.28515625" style="44" customWidth="1"/>
    <col min="10762" max="10764" width="14" style="44" bestFit="1" customWidth="1"/>
    <col min="10765" max="10765" width="12.42578125" style="44" bestFit="1" customWidth="1"/>
    <col min="10766" max="10766" width="11.85546875" style="44" bestFit="1" customWidth="1"/>
    <col min="10767" max="10767" width="12.85546875" style="44" bestFit="1" customWidth="1"/>
    <col min="10768" max="10768" width="11.85546875" style="44" bestFit="1" customWidth="1"/>
    <col min="10769" max="10769" width="12" style="44" bestFit="1" customWidth="1"/>
    <col min="10770" max="10770" width="14" style="44" bestFit="1" customWidth="1"/>
    <col min="10771" max="10771" width="7" style="44" bestFit="1" customWidth="1"/>
    <col min="10772" max="11012" width="9.140625" style="44"/>
    <col min="11013" max="11013" width="4.42578125" style="44" bestFit="1" customWidth="1"/>
    <col min="11014" max="11014" width="19.28515625" style="44" bestFit="1" customWidth="1"/>
    <col min="11015" max="11015" width="6.28515625" style="44" bestFit="1" customWidth="1"/>
    <col min="11016" max="11016" width="12.28515625" style="44" bestFit="1" customWidth="1"/>
    <col min="11017" max="11017" width="13.28515625" style="44" customWidth="1"/>
    <col min="11018" max="11020" width="14" style="44" bestFit="1" customWidth="1"/>
    <col min="11021" max="11021" width="12.42578125" style="44" bestFit="1" customWidth="1"/>
    <col min="11022" max="11022" width="11.85546875" style="44" bestFit="1" customWidth="1"/>
    <col min="11023" max="11023" width="12.85546875" style="44" bestFit="1" customWidth="1"/>
    <col min="11024" max="11024" width="11.85546875" style="44" bestFit="1" customWidth="1"/>
    <col min="11025" max="11025" width="12" style="44" bestFit="1" customWidth="1"/>
    <col min="11026" max="11026" width="14" style="44" bestFit="1" customWidth="1"/>
    <col min="11027" max="11027" width="7" style="44" bestFit="1" customWidth="1"/>
    <col min="11028" max="11268" width="9.140625" style="44"/>
    <col min="11269" max="11269" width="4.42578125" style="44" bestFit="1" customWidth="1"/>
    <col min="11270" max="11270" width="19.28515625" style="44" bestFit="1" customWidth="1"/>
    <col min="11271" max="11271" width="6.28515625" style="44" bestFit="1" customWidth="1"/>
    <col min="11272" max="11272" width="12.28515625" style="44" bestFit="1" customWidth="1"/>
    <col min="11273" max="11273" width="13.28515625" style="44" customWidth="1"/>
    <col min="11274" max="11276" width="14" style="44" bestFit="1" customWidth="1"/>
    <col min="11277" max="11277" width="12.42578125" style="44" bestFit="1" customWidth="1"/>
    <col min="11278" max="11278" width="11.85546875" style="44" bestFit="1" customWidth="1"/>
    <col min="11279" max="11279" width="12.85546875" style="44" bestFit="1" customWidth="1"/>
    <col min="11280" max="11280" width="11.85546875" style="44" bestFit="1" customWidth="1"/>
    <col min="11281" max="11281" width="12" style="44" bestFit="1" customWidth="1"/>
    <col min="11282" max="11282" width="14" style="44" bestFit="1" customWidth="1"/>
    <col min="11283" max="11283" width="7" style="44" bestFit="1" customWidth="1"/>
    <col min="11284" max="11524" width="9.140625" style="44"/>
    <col min="11525" max="11525" width="4.42578125" style="44" bestFit="1" customWidth="1"/>
    <col min="11526" max="11526" width="19.28515625" style="44" bestFit="1" customWidth="1"/>
    <col min="11527" max="11527" width="6.28515625" style="44" bestFit="1" customWidth="1"/>
    <col min="11528" max="11528" width="12.28515625" style="44" bestFit="1" customWidth="1"/>
    <col min="11529" max="11529" width="13.28515625" style="44" customWidth="1"/>
    <col min="11530" max="11532" width="14" style="44" bestFit="1" customWidth="1"/>
    <col min="11533" max="11533" width="12.42578125" style="44" bestFit="1" customWidth="1"/>
    <col min="11534" max="11534" width="11.85546875" style="44" bestFit="1" customWidth="1"/>
    <col min="11535" max="11535" width="12.85546875" style="44" bestFit="1" customWidth="1"/>
    <col min="11536" max="11536" width="11.85546875" style="44" bestFit="1" customWidth="1"/>
    <col min="11537" max="11537" width="12" style="44" bestFit="1" customWidth="1"/>
    <col min="11538" max="11538" width="14" style="44" bestFit="1" customWidth="1"/>
    <col min="11539" max="11539" width="7" style="44" bestFit="1" customWidth="1"/>
    <col min="11540" max="11780" width="9.140625" style="44"/>
    <col min="11781" max="11781" width="4.42578125" style="44" bestFit="1" customWidth="1"/>
    <col min="11782" max="11782" width="19.28515625" style="44" bestFit="1" customWidth="1"/>
    <col min="11783" max="11783" width="6.28515625" style="44" bestFit="1" customWidth="1"/>
    <col min="11784" max="11784" width="12.28515625" style="44" bestFit="1" customWidth="1"/>
    <col min="11785" max="11785" width="13.28515625" style="44" customWidth="1"/>
    <col min="11786" max="11788" width="14" style="44" bestFit="1" customWidth="1"/>
    <col min="11789" max="11789" width="12.42578125" style="44" bestFit="1" customWidth="1"/>
    <col min="11790" max="11790" width="11.85546875" style="44" bestFit="1" customWidth="1"/>
    <col min="11791" max="11791" width="12.85546875" style="44" bestFit="1" customWidth="1"/>
    <col min="11792" max="11792" width="11.85546875" style="44" bestFit="1" customWidth="1"/>
    <col min="11793" max="11793" width="12" style="44" bestFit="1" customWidth="1"/>
    <col min="11794" max="11794" width="14" style="44" bestFit="1" customWidth="1"/>
    <col min="11795" max="11795" width="7" style="44" bestFit="1" customWidth="1"/>
    <col min="11796" max="12036" width="9.140625" style="44"/>
    <col min="12037" max="12037" width="4.42578125" style="44" bestFit="1" customWidth="1"/>
    <col min="12038" max="12038" width="19.28515625" style="44" bestFit="1" customWidth="1"/>
    <col min="12039" max="12039" width="6.28515625" style="44" bestFit="1" customWidth="1"/>
    <col min="12040" max="12040" width="12.28515625" style="44" bestFit="1" customWidth="1"/>
    <col min="12041" max="12041" width="13.28515625" style="44" customWidth="1"/>
    <col min="12042" max="12044" width="14" style="44" bestFit="1" customWidth="1"/>
    <col min="12045" max="12045" width="12.42578125" style="44" bestFit="1" customWidth="1"/>
    <col min="12046" max="12046" width="11.85546875" style="44" bestFit="1" customWidth="1"/>
    <col min="12047" max="12047" width="12.85546875" style="44" bestFit="1" customWidth="1"/>
    <col min="12048" max="12048" width="11.85546875" style="44" bestFit="1" customWidth="1"/>
    <col min="12049" max="12049" width="12" style="44" bestFit="1" customWidth="1"/>
    <col min="12050" max="12050" width="14" style="44" bestFit="1" customWidth="1"/>
    <col min="12051" max="12051" width="7" style="44" bestFit="1" customWidth="1"/>
    <col min="12052" max="12292" width="9.140625" style="44"/>
    <col min="12293" max="12293" width="4.42578125" style="44" bestFit="1" customWidth="1"/>
    <col min="12294" max="12294" width="19.28515625" style="44" bestFit="1" customWidth="1"/>
    <col min="12295" max="12295" width="6.28515625" style="44" bestFit="1" customWidth="1"/>
    <col min="12296" max="12296" width="12.28515625" style="44" bestFit="1" customWidth="1"/>
    <col min="12297" max="12297" width="13.28515625" style="44" customWidth="1"/>
    <col min="12298" max="12300" width="14" style="44" bestFit="1" customWidth="1"/>
    <col min="12301" max="12301" width="12.42578125" style="44" bestFit="1" customWidth="1"/>
    <col min="12302" max="12302" width="11.85546875" style="44" bestFit="1" customWidth="1"/>
    <col min="12303" max="12303" width="12.85546875" style="44" bestFit="1" customWidth="1"/>
    <col min="12304" max="12304" width="11.85546875" style="44" bestFit="1" customWidth="1"/>
    <col min="12305" max="12305" width="12" style="44" bestFit="1" customWidth="1"/>
    <col min="12306" max="12306" width="14" style="44" bestFit="1" customWidth="1"/>
    <col min="12307" max="12307" width="7" style="44" bestFit="1" customWidth="1"/>
    <col min="12308" max="12548" width="9.140625" style="44"/>
    <col min="12549" max="12549" width="4.42578125" style="44" bestFit="1" customWidth="1"/>
    <col min="12550" max="12550" width="19.28515625" style="44" bestFit="1" customWidth="1"/>
    <col min="12551" max="12551" width="6.28515625" style="44" bestFit="1" customWidth="1"/>
    <col min="12552" max="12552" width="12.28515625" style="44" bestFit="1" customWidth="1"/>
    <col min="12553" max="12553" width="13.28515625" style="44" customWidth="1"/>
    <col min="12554" max="12556" width="14" style="44" bestFit="1" customWidth="1"/>
    <col min="12557" max="12557" width="12.42578125" style="44" bestFit="1" customWidth="1"/>
    <col min="12558" max="12558" width="11.85546875" style="44" bestFit="1" customWidth="1"/>
    <col min="12559" max="12559" width="12.85546875" style="44" bestFit="1" customWidth="1"/>
    <col min="12560" max="12560" width="11.85546875" style="44" bestFit="1" customWidth="1"/>
    <col min="12561" max="12561" width="12" style="44" bestFit="1" customWidth="1"/>
    <col min="12562" max="12562" width="14" style="44" bestFit="1" customWidth="1"/>
    <col min="12563" max="12563" width="7" style="44" bestFit="1" customWidth="1"/>
    <col min="12564" max="12804" width="9.140625" style="44"/>
    <col min="12805" max="12805" width="4.42578125" style="44" bestFit="1" customWidth="1"/>
    <col min="12806" max="12806" width="19.28515625" style="44" bestFit="1" customWidth="1"/>
    <col min="12807" max="12807" width="6.28515625" style="44" bestFit="1" customWidth="1"/>
    <col min="12808" max="12808" width="12.28515625" style="44" bestFit="1" customWidth="1"/>
    <col min="12809" max="12809" width="13.28515625" style="44" customWidth="1"/>
    <col min="12810" max="12812" width="14" style="44" bestFit="1" customWidth="1"/>
    <col min="12813" max="12813" width="12.42578125" style="44" bestFit="1" customWidth="1"/>
    <col min="12814" max="12814" width="11.85546875" style="44" bestFit="1" customWidth="1"/>
    <col min="12815" max="12815" width="12.85546875" style="44" bestFit="1" customWidth="1"/>
    <col min="12816" max="12816" width="11.85546875" style="44" bestFit="1" customWidth="1"/>
    <col min="12817" max="12817" width="12" style="44" bestFit="1" customWidth="1"/>
    <col min="12818" max="12818" width="14" style="44" bestFit="1" customWidth="1"/>
    <col min="12819" max="12819" width="7" style="44" bestFit="1" customWidth="1"/>
    <col min="12820" max="13060" width="9.140625" style="44"/>
    <col min="13061" max="13061" width="4.42578125" style="44" bestFit="1" customWidth="1"/>
    <col min="13062" max="13062" width="19.28515625" style="44" bestFit="1" customWidth="1"/>
    <col min="13063" max="13063" width="6.28515625" style="44" bestFit="1" customWidth="1"/>
    <col min="13064" max="13064" width="12.28515625" style="44" bestFit="1" customWidth="1"/>
    <col min="13065" max="13065" width="13.28515625" style="44" customWidth="1"/>
    <col min="13066" max="13068" width="14" style="44" bestFit="1" customWidth="1"/>
    <col min="13069" max="13069" width="12.42578125" style="44" bestFit="1" customWidth="1"/>
    <col min="13070" max="13070" width="11.85546875" style="44" bestFit="1" customWidth="1"/>
    <col min="13071" max="13071" width="12.85546875" style="44" bestFit="1" customWidth="1"/>
    <col min="13072" max="13072" width="11.85546875" style="44" bestFit="1" customWidth="1"/>
    <col min="13073" max="13073" width="12" style="44" bestFit="1" customWidth="1"/>
    <col min="13074" max="13074" width="14" style="44" bestFit="1" customWidth="1"/>
    <col min="13075" max="13075" width="7" style="44" bestFit="1" customWidth="1"/>
    <col min="13076" max="13316" width="9.140625" style="44"/>
    <col min="13317" max="13317" width="4.42578125" style="44" bestFit="1" customWidth="1"/>
    <col min="13318" max="13318" width="19.28515625" style="44" bestFit="1" customWidth="1"/>
    <col min="13319" max="13319" width="6.28515625" style="44" bestFit="1" customWidth="1"/>
    <col min="13320" max="13320" width="12.28515625" style="44" bestFit="1" customWidth="1"/>
    <col min="13321" max="13321" width="13.28515625" style="44" customWidth="1"/>
    <col min="13322" max="13324" width="14" style="44" bestFit="1" customWidth="1"/>
    <col min="13325" max="13325" width="12.42578125" style="44" bestFit="1" customWidth="1"/>
    <col min="13326" max="13326" width="11.85546875" style="44" bestFit="1" customWidth="1"/>
    <col min="13327" max="13327" width="12.85546875" style="44" bestFit="1" customWidth="1"/>
    <col min="13328" max="13328" width="11.85546875" style="44" bestFit="1" customWidth="1"/>
    <col min="13329" max="13329" width="12" style="44" bestFit="1" customWidth="1"/>
    <col min="13330" max="13330" width="14" style="44" bestFit="1" customWidth="1"/>
    <col min="13331" max="13331" width="7" style="44" bestFit="1" customWidth="1"/>
    <col min="13332" max="13572" width="9.140625" style="44"/>
    <col min="13573" max="13573" width="4.42578125" style="44" bestFit="1" customWidth="1"/>
    <col min="13574" max="13574" width="19.28515625" style="44" bestFit="1" customWidth="1"/>
    <col min="13575" max="13575" width="6.28515625" style="44" bestFit="1" customWidth="1"/>
    <col min="13576" max="13576" width="12.28515625" style="44" bestFit="1" customWidth="1"/>
    <col min="13577" max="13577" width="13.28515625" style="44" customWidth="1"/>
    <col min="13578" max="13580" width="14" style="44" bestFit="1" customWidth="1"/>
    <col min="13581" max="13581" width="12.42578125" style="44" bestFit="1" customWidth="1"/>
    <col min="13582" max="13582" width="11.85546875" style="44" bestFit="1" customWidth="1"/>
    <col min="13583" max="13583" width="12.85546875" style="44" bestFit="1" customWidth="1"/>
    <col min="13584" max="13584" width="11.85546875" style="44" bestFit="1" customWidth="1"/>
    <col min="13585" max="13585" width="12" style="44" bestFit="1" customWidth="1"/>
    <col min="13586" max="13586" width="14" style="44" bestFit="1" customWidth="1"/>
    <col min="13587" max="13587" width="7" style="44" bestFit="1" customWidth="1"/>
    <col min="13588" max="13828" width="9.140625" style="44"/>
    <col min="13829" max="13829" width="4.42578125" style="44" bestFit="1" customWidth="1"/>
    <col min="13830" max="13830" width="19.28515625" style="44" bestFit="1" customWidth="1"/>
    <col min="13831" max="13831" width="6.28515625" style="44" bestFit="1" customWidth="1"/>
    <col min="13832" max="13832" width="12.28515625" style="44" bestFit="1" customWidth="1"/>
    <col min="13833" max="13833" width="13.28515625" style="44" customWidth="1"/>
    <col min="13834" max="13836" width="14" style="44" bestFit="1" customWidth="1"/>
    <col min="13837" max="13837" width="12.42578125" style="44" bestFit="1" customWidth="1"/>
    <col min="13838" max="13838" width="11.85546875" style="44" bestFit="1" customWidth="1"/>
    <col min="13839" max="13839" width="12.85546875" style="44" bestFit="1" customWidth="1"/>
    <col min="13840" max="13840" width="11.85546875" style="44" bestFit="1" customWidth="1"/>
    <col min="13841" max="13841" width="12" style="44" bestFit="1" customWidth="1"/>
    <col min="13842" max="13842" width="14" style="44" bestFit="1" customWidth="1"/>
    <col min="13843" max="13843" width="7" style="44" bestFit="1" customWidth="1"/>
    <col min="13844" max="14084" width="9.140625" style="44"/>
    <col min="14085" max="14085" width="4.42578125" style="44" bestFit="1" customWidth="1"/>
    <col min="14086" max="14086" width="19.28515625" style="44" bestFit="1" customWidth="1"/>
    <col min="14087" max="14087" width="6.28515625" style="44" bestFit="1" customWidth="1"/>
    <col min="14088" max="14088" width="12.28515625" style="44" bestFit="1" customWidth="1"/>
    <col min="14089" max="14089" width="13.28515625" style="44" customWidth="1"/>
    <col min="14090" max="14092" width="14" style="44" bestFit="1" customWidth="1"/>
    <col min="14093" max="14093" width="12.42578125" style="44" bestFit="1" customWidth="1"/>
    <col min="14094" max="14094" width="11.85546875" style="44" bestFit="1" customWidth="1"/>
    <col min="14095" max="14095" width="12.85546875" style="44" bestFit="1" customWidth="1"/>
    <col min="14096" max="14096" width="11.85546875" style="44" bestFit="1" customWidth="1"/>
    <col min="14097" max="14097" width="12" style="44" bestFit="1" customWidth="1"/>
    <col min="14098" max="14098" width="14" style="44" bestFit="1" customWidth="1"/>
    <col min="14099" max="14099" width="7" style="44" bestFit="1" customWidth="1"/>
    <col min="14100" max="14340" width="9.140625" style="44"/>
    <col min="14341" max="14341" width="4.42578125" style="44" bestFit="1" customWidth="1"/>
    <col min="14342" max="14342" width="19.28515625" style="44" bestFit="1" customWidth="1"/>
    <col min="14343" max="14343" width="6.28515625" style="44" bestFit="1" customWidth="1"/>
    <col min="14344" max="14344" width="12.28515625" style="44" bestFit="1" customWidth="1"/>
    <col min="14345" max="14345" width="13.28515625" style="44" customWidth="1"/>
    <col min="14346" max="14348" width="14" style="44" bestFit="1" customWidth="1"/>
    <col min="14349" max="14349" width="12.42578125" style="44" bestFit="1" customWidth="1"/>
    <col min="14350" max="14350" width="11.85546875" style="44" bestFit="1" customWidth="1"/>
    <col min="14351" max="14351" width="12.85546875" style="44" bestFit="1" customWidth="1"/>
    <col min="14352" max="14352" width="11.85546875" style="44" bestFit="1" customWidth="1"/>
    <col min="14353" max="14353" width="12" style="44" bestFit="1" customWidth="1"/>
    <col min="14354" max="14354" width="14" style="44" bestFit="1" customWidth="1"/>
    <col min="14355" max="14355" width="7" style="44" bestFit="1" customWidth="1"/>
    <col min="14356" max="14596" width="9.140625" style="44"/>
    <col min="14597" max="14597" width="4.42578125" style="44" bestFit="1" customWidth="1"/>
    <col min="14598" max="14598" width="19.28515625" style="44" bestFit="1" customWidth="1"/>
    <col min="14599" max="14599" width="6.28515625" style="44" bestFit="1" customWidth="1"/>
    <col min="14600" max="14600" width="12.28515625" style="44" bestFit="1" customWidth="1"/>
    <col min="14601" max="14601" width="13.28515625" style="44" customWidth="1"/>
    <col min="14602" max="14604" width="14" style="44" bestFit="1" customWidth="1"/>
    <col min="14605" max="14605" width="12.42578125" style="44" bestFit="1" customWidth="1"/>
    <col min="14606" max="14606" width="11.85546875" style="44" bestFit="1" customWidth="1"/>
    <col min="14607" max="14607" width="12.85546875" style="44" bestFit="1" customWidth="1"/>
    <col min="14608" max="14608" width="11.85546875" style="44" bestFit="1" customWidth="1"/>
    <col min="14609" max="14609" width="12" style="44" bestFit="1" customWidth="1"/>
    <col min="14610" max="14610" width="14" style="44" bestFit="1" customWidth="1"/>
    <col min="14611" max="14611" width="7" style="44" bestFit="1" customWidth="1"/>
    <col min="14612" max="14852" width="9.140625" style="44"/>
    <col min="14853" max="14853" width="4.42578125" style="44" bestFit="1" customWidth="1"/>
    <col min="14854" max="14854" width="19.28515625" style="44" bestFit="1" customWidth="1"/>
    <col min="14855" max="14855" width="6.28515625" style="44" bestFit="1" customWidth="1"/>
    <col min="14856" max="14856" width="12.28515625" style="44" bestFit="1" customWidth="1"/>
    <col min="14857" max="14857" width="13.28515625" style="44" customWidth="1"/>
    <col min="14858" max="14860" width="14" style="44" bestFit="1" customWidth="1"/>
    <col min="14861" max="14861" width="12.42578125" style="44" bestFit="1" customWidth="1"/>
    <col min="14862" max="14862" width="11.85546875" style="44" bestFit="1" customWidth="1"/>
    <col min="14863" max="14863" width="12.85546875" style="44" bestFit="1" customWidth="1"/>
    <col min="14864" max="14864" width="11.85546875" style="44" bestFit="1" customWidth="1"/>
    <col min="14865" max="14865" width="12" style="44" bestFit="1" customWidth="1"/>
    <col min="14866" max="14866" width="14" style="44" bestFit="1" customWidth="1"/>
    <col min="14867" max="14867" width="7" style="44" bestFit="1" customWidth="1"/>
    <col min="14868" max="15108" width="9.140625" style="44"/>
    <col min="15109" max="15109" width="4.42578125" style="44" bestFit="1" customWidth="1"/>
    <col min="15110" max="15110" width="19.28515625" style="44" bestFit="1" customWidth="1"/>
    <col min="15111" max="15111" width="6.28515625" style="44" bestFit="1" customWidth="1"/>
    <col min="15112" max="15112" width="12.28515625" style="44" bestFit="1" customWidth="1"/>
    <col min="15113" max="15113" width="13.28515625" style="44" customWidth="1"/>
    <col min="15114" max="15116" width="14" style="44" bestFit="1" customWidth="1"/>
    <col min="15117" max="15117" width="12.42578125" style="44" bestFit="1" customWidth="1"/>
    <col min="15118" max="15118" width="11.85546875" style="44" bestFit="1" customWidth="1"/>
    <col min="15119" max="15119" width="12.85546875" style="44" bestFit="1" customWidth="1"/>
    <col min="15120" max="15120" width="11.85546875" style="44" bestFit="1" customWidth="1"/>
    <col min="15121" max="15121" width="12" style="44" bestFit="1" customWidth="1"/>
    <col min="15122" max="15122" width="14" style="44" bestFit="1" customWidth="1"/>
    <col min="15123" max="15123" width="7" style="44" bestFit="1" customWidth="1"/>
    <col min="15124" max="15364" width="9.140625" style="44"/>
    <col min="15365" max="15365" width="4.42578125" style="44" bestFit="1" customWidth="1"/>
    <col min="15366" max="15366" width="19.28515625" style="44" bestFit="1" customWidth="1"/>
    <col min="15367" max="15367" width="6.28515625" style="44" bestFit="1" customWidth="1"/>
    <col min="15368" max="15368" width="12.28515625" style="44" bestFit="1" customWidth="1"/>
    <col min="15369" max="15369" width="13.28515625" style="44" customWidth="1"/>
    <col min="15370" max="15372" width="14" style="44" bestFit="1" customWidth="1"/>
    <col min="15373" max="15373" width="12.42578125" style="44" bestFit="1" customWidth="1"/>
    <col min="15374" max="15374" width="11.85546875" style="44" bestFit="1" customWidth="1"/>
    <col min="15375" max="15375" width="12.85546875" style="44" bestFit="1" customWidth="1"/>
    <col min="15376" max="15376" width="11.85546875" style="44" bestFit="1" customWidth="1"/>
    <col min="15377" max="15377" width="12" style="44" bestFit="1" customWidth="1"/>
    <col min="15378" max="15378" width="14" style="44" bestFit="1" customWidth="1"/>
    <col min="15379" max="15379" width="7" style="44" bestFit="1" customWidth="1"/>
    <col min="15380" max="15620" width="9.140625" style="44"/>
    <col min="15621" max="15621" width="4.42578125" style="44" bestFit="1" customWidth="1"/>
    <col min="15622" max="15622" width="19.28515625" style="44" bestFit="1" customWidth="1"/>
    <col min="15623" max="15623" width="6.28515625" style="44" bestFit="1" customWidth="1"/>
    <col min="15624" max="15624" width="12.28515625" style="44" bestFit="1" customWidth="1"/>
    <col min="15625" max="15625" width="13.28515625" style="44" customWidth="1"/>
    <col min="15626" max="15628" width="14" style="44" bestFit="1" customWidth="1"/>
    <col min="15629" max="15629" width="12.42578125" style="44" bestFit="1" customWidth="1"/>
    <col min="15630" max="15630" width="11.85546875" style="44" bestFit="1" customWidth="1"/>
    <col min="15631" max="15631" width="12.85546875" style="44" bestFit="1" customWidth="1"/>
    <col min="15632" max="15632" width="11.85546875" style="44" bestFit="1" customWidth="1"/>
    <col min="15633" max="15633" width="12" style="44" bestFit="1" customWidth="1"/>
    <col min="15634" max="15634" width="14" style="44" bestFit="1" customWidth="1"/>
    <col min="15635" max="15635" width="7" style="44" bestFit="1" customWidth="1"/>
    <col min="15636" max="15876" width="9.140625" style="44"/>
    <col min="15877" max="15877" width="4.42578125" style="44" bestFit="1" customWidth="1"/>
    <col min="15878" max="15878" width="19.28515625" style="44" bestFit="1" customWidth="1"/>
    <col min="15879" max="15879" width="6.28515625" style="44" bestFit="1" customWidth="1"/>
    <col min="15880" max="15880" width="12.28515625" style="44" bestFit="1" customWidth="1"/>
    <col min="15881" max="15881" width="13.28515625" style="44" customWidth="1"/>
    <col min="15882" max="15884" width="14" style="44" bestFit="1" customWidth="1"/>
    <col min="15885" max="15885" width="12.42578125" style="44" bestFit="1" customWidth="1"/>
    <col min="15886" max="15886" width="11.85546875" style="44" bestFit="1" customWidth="1"/>
    <col min="15887" max="15887" width="12.85546875" style="44" bestFit="1" customWidth="1"/>
    <col min="15888" max="15888" width="11.85546875" style="44" bestFit="1" customWidth="1"/>
    <col min="15889" max="15889" width="12" style="44" bestFit="1" customWidth="1"/>
    <col min="15890" max="15890" width="14" style="44" bestFit="1" customWidth="1"/>
    <col min="15891" max="15891" width="7" style="44" bestFit="1" customWidth="1"/>
    <col min="15892" max="16132" width="9.140625" style="44"/>
    <col min="16133" max="16133" width="4.42578125" style="44" bestFit="1" customWidth="1"/>
    <col min="16134" max="16134" width="19.28515625" style="44" bestFit="1" customWidth="1"/>
    <col min="16135" max="16135" width="6.28515625" style="44" bestFit="1" customWidth="1"/>
    <col min="16136" max="16136" width="12.28515625" style="44" bestFit="1" customWidth="1"/>
    <col min="16137" max="16137" width="13.28515625" style="44" customWidth="1"/>
    <col min="16138" max="16140" width="14" style="44" bestFit="1" customWidth="1"/>
    <col min="16141" max="16141" width="12.42578125" style="44" bestFit="1" customWidth="1"/>
    <col min="16142" max="16142" width="11.85546875" style="44" bestFit="1" customWidth="1"/>
    <col min="16143" max="16143" width="12.85546875" style="44" bestFit="1" customWidth="1"/>
    <col min="16144" max="16144" width="11.85546875" style="44" bestFit="1" customWidth="1"/>
    <col min="16145" max="16145" width="12" style="44" bestFit="1" customWidth="1"/>
    <col min="16146" max="16146" width="14" style="44" bestFit="1" customWidth="1"/>
    <col min="16147" max="16147" width="7" style="44" bestFit="1" customWidth="1"/>
    <col min="16148" max="16384" width="9.140625" style="44"/>
  </cols>
  <sheetData>
    <row r="1" spans="1:17" x14ac:dyDescent="0.2">
      <c r="Q1" s="45" t="s">
        <v>99</v>
      </c>
    </row>
    <row r="2" spans="1:17" x14ac:dyDescent="0.2">
      <c r="Q2" s="45" t="s">
        <v>1</v>
      </c>
    </row>
    <row r="4" spans="1:17" x14ac:dyDescent="0.2">
      <c r="A4" s="126" t="s">
        <v>106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x14ac:dyDescent="0.2">
      <c r="A5" s="126" t="s">
        <v>2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17" x14ac:dyDescent="0.2">
      <c r="A6" s="126" t="s">
        <v>40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x14ac:dyDescent="0.2">
      <c r="A7" s="126" t="s">
        <v>107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x14ac:dyDescent="0.2">
      <c r="A8" s="126" t="s">
        <v>68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10" spans="1:17" x14ac:dyDescent="0.2">
      <c r="F10" s="112"/>
    </row>
    <row r="11" spans="1:17" x14ac:dyDescent="0.2">
      <c r="A11" s="47"/>
      <c r="B11" s="48"/>
      <c r="C11" s="49"/>
      <c r="D11" s="47"/>
      <c r="E11" s="50" t="s">
        <v>41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</row>
    <row r="12" spans="1:17" x14ac:dyDescent="0.2">
      <c r="A12" s="51" t="s">
        <v>42</v>
      </c>
      <c r="B12" s="52"/>
      <c r="C12" s="53"/>
      <c r="D12" s="51" t="s">
        <v>43</v>
      </c>
      <c r="E12" s="54" t="s">
        <v>44</v>
      </c>
      <c r="F12" s="51" t="s">
        <v>50</v>
      </c>
      <c r="G12" s="51"/>
      <c r="H12" s="51" t="s">
        <v>74</v>
      </c>
      <c r="I12" s="51" t="s">
        <v>103</v>
      </c>
      <c r="J12" s="51" t="s">
        <v>104</v>
      </c>
      <c r="K12" s="51"/>
      <c r="L12" s="51" t="s">
        <v>74</v>
      </c>
      <c r="M12" s="51" t="s">
        <v>104</v>
      </c>
      <c r="N12" s="51"/>
      <c r="O12" s="51"/>
      <c r="P12" s="51"/>
      <c r="Q12" s="51" t="s">
        <v>45</v>
      </c>
    </row>
    <row r="13" spans="1:17" x14ac:dyDescent="0.2">
      <c r="A13" s="55" t="s">
        <v>46</v>
      </c>
      <c r="B13" s="127" t="s">
        <v>47</v>
      </c>
      <c r="C13" s="128"/>
      <c r="D13" s="55" t="s">
        <v>48</v>
      </c>
      <c r="E13" s="56" t="s">
        <v>49</v>
      </c>
      <c r="F13" s="55" t="s">
        <v>62</v>
      </c>
      <c r="G13" s="55" t="s">
        <v>51</v>
      </c>
      <c r="H13" s="55" t="s">
        <v>51</v>
      </c>
      <c r="I13" s="55" t="s">
        <v>105</v>
      </c>
      <c r="J13" s="55" t="s">
        <v>51</v>
      </c>
      <c r="K13" s="55" t="s">
        <v>52</v>
      </c>
      <c r="L13" s="55" t="s">
        <v>52</v>
      </c>
      <c r="M13" s="55" t="s">
        <v>52</v>
      </c>
      <c r="N13" s="55" t="s">
        <v>53</v>
      </c>
      <c r="O13" s="55" t="s">
        <v>54</v>
      </c>
      <c r="P13" s="55" t="s">
        <v>4</v>
      </c>
      <c r="Q13" s="55" t="s">
        <v>55</v>
      </c>
    </row>
    <row r="14" spans="1:17" x14ac:dyDescent="0.2">
      <c r="A14" s="47"/>
      <c r="B14" s="48"/>
      <c r="C14" s="49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</row>
    <row r="15" spans="1:17" x14ac:dyDescent="0.2">
      <c r="A15" s="51">
        <v>1</v>
      </c>
      <c r="B15" s="52" t="s">
        <v>56</v>
      </c>
      <c r="C15" s="105">
        <f>+'[2]Link Sheet'!$D$7</f>
        <v>7.4700000000000003E-2</v>
      </c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82" t="s">
        <v>66</v>
      </c>
    </row>
    <row r="16" spans="1:17" x14ac:dyDescent="0.2">
      <c r="A16" s="51">
        <v>2</v>
      </c>
      <c r="B16" s="52" t="s">
        <v>57</v>
      </c>
      <c r="C16" s="105">
        <f>+'[2]Link Sheet'!$D$5</f>
        <v>2.7199999999999998E-2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82" t="s">
        <v>66</v>
      </c>
    </row>
    <row r="17" spans="1:20" x14ac:dyDescent="0.2">
      <c r="A17" s="51">
        <v>3</v>
      </c>
      <c r="B17" s="52"/>
      <c r="C17" s="107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51"/>
    </row>
    <row r="18" spans="1:20" x14ac:dyDescent="0.2">
      <c r="A18" s="51">
        <v>4</v>
      </c>
      <c r="B18" s="52"/>
      <c r="C18" s="107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51"/>
    </row>
    <row r="19" spans="1:20" x14ac:dyDescent="0.2">
      <c r="A19" s="51">
        <v>5</v>
      </c>
      <c r="B19" s="52" t="s">
        <v>58</v>
      </c>
      <c r="C19" s="107"/>
      <c r="D19" s="108"/>
      <c r="E19" s="108"/>
      <c r="F19" s="109">
        <f>ROUND('[1]II-B-12'!$K$106,2)</f>
        <v>26462044927.5</v>
      </c>
      <c r="G19" s="109">
        <f>ROUND('[1]II-B-12'!N106,2)</f>
        <v>11074904772.299999</v>
      </c>
      <c r="H19" s="109">
        <f>ROUND('[1]II-B-12'!O106,2)</f>
        <v>1109747066.95</v>
      </c>
      <c r="I19" s="109">
        <f>ROUND('[1]II-B-12'!P106,2)</f>
        <v>9238090.4100000001</v>
      </c>
      <c r="J19" s="109">
        <f>+G19+H19+I19</f>
        <v>12193889929.66</v>
      </c>
      <c r="K19" s="109">
        <f>ROUND('[1]II-B-12'!R106,2)</f>
        <v>13507608593.43</v>
      </c>
      <c r="L19" s="109">
        <f>ROUND('[1]II-B-12'!S106,2)</f>
        <v>89342107.280000001</v>
      </c>
      <c r="M19" s="109">
        <f>+K19+L19</f>
        <v>13596950700.710001</v>
      </c>
      <c r="N19" s="109">
        <f>ROUND('[1]II-B-12'!U106,2)</f>
        <v>441137289.91000003</v>
      </c>
      <c r="O19" s="109">
        <f>ROUND('[1]II-B-12'!V106,2)</f>
        <v>230067007.22</v>
      </c>
      <c r="P19" s="109">
        <f>+G19+H19+I19+K19+L19+N19+O19</f>
        <v>26462044927.5</v>
      </c>
      <c r="Q19" s="51" t="s">
        <v>67</v>
      </c>
      <c r="R19" s="121">
        <f>+P19-F19</f>
        <v>0</v>
      </c>
      <c r="S19" s="46" t="b">
        <f>+F19=P19</f>
        <v>1</v>
      </c>
    </row>
    <row r="20" spans="1:20" x14ac:dyDescent="0.2">
      <c r="A20" s="51">
        <v>6</v>
      </c>
      <c r="B20" s="52"/>
      <c r="C20" s="107"/>
      <c r="D20" s="108"/>
      <c r="E20" s="108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57"/>
      <c r="R20" s="81"/>
    </row>
    <row r="21" spans="1:20" x14ac:dyDescent="0.2">
      <c r="A21" s="51">
        <v>7</v>
      </c>
      <c r="C21" s="110"/>
      <c r="D21" s="108"/>
      <c r="E21" s="108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57"/>
      <c r="R21" s="81"/>
    </row>
    <row r="22" spans="1:20" x14ac:dyDescent="0.2">
      <c r="A22" s="51">
        <v>8</v>
      </c>
      <c r="B22" s="52"/>
      <c r="C22" s="53"/>
      <c r="D22" s="58"/>
      <c r="E22" s="58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7"/>
      <c r="R22" s="81"/>
    </row>
    <row r="23" spans="1:20" ht="13.5" thickBot="1" x14ac:dyDescent="0.25">
      <c r="A23" s="51">
        <v>9</v>
      </c>
      <c r="B23" s="52" t="s">
        <v>59</v>
      </c>
      <c r="C23" s="53"/>
      <c r="D23" s="60">
        <f>ROUND('Op Income'!E28,2)</f>
        <v>1555644227.1300001</v>
      </c>
      <c r="E23" s="60">
        <f>ROUND(F23-D23,2)</f>
        <v>421070528.94999999</v>
      </c>
      <c r="F23" s="60">
        <f>ROUND($C$15*F19,2)</f>
        <v>1976714756.0799999</v>
      </c>
      <c r="G23" s="60">
        <f>ROUND($C$15*G19,2)</f>
        <v>827295386.49000001</v>
      </c>
      <c r="H23" s="60">
        <f>ROUND($C$15*H19,2)</f>
        <v>82898105.900000006</v>
      </c>
      <c r="I23" s="60">
        <f>ROUND($C$15*I19,2)</f>
        <v>690085.35</v>
      </c>
      <c r="J23" s="60">
        <f>+G23+H23+I23</f>
        <v>910883577.74000001</v>
      </c>
      <c r="K23" s="60">
        <f>ROUND($C$15*K19,2)</f>
        <v>1009018361.9299999</v>
      </c>
      <c r="L23" s="60">
        <f>ROUND($C$15*L19,2)</f>
        <v>6673855.4100000001</v>
      </c>
      <c r="M23" s="60">
        <f>+K23+L23</f>
        <v>1015692217.3399999</v>
      </c>
      <c r="N23" s="60">
        <f>ROUND($C$15*N19,2)</f>
        <v>32952955.559999999</v>
      </c>
      <c r="O23" s="60">
        <f>ROUND($C$15*O19,2)</f>
        <v>17186005.440000001</v>
      </c>
      <c r="P23" s="60">
        <f>+G23+H23+I23+K23+L23+N23+O23</f>
        <v>1976714756.0800002</v>
      </c>
      <c r="Q23" s="57"/>
      <c r="R23" s="120">
        <f>+P23-F23</f>
        <v>0</v>
      </c>
      <c r="S23" s="46" t="b">
        <f>+F23=P23</f>
        <v>1</v>
      </c>
      <c r="T23" s="79"/>
    </row>
    <row r="24" spans="1:20" ht="13.5" thickTop="1" x14ac:dyDescent="0.2">
      <c r="A24" s="51">
        <v>10</v>
      </c>
      <c r="B24" s="52"/>
      <c r="C24" s="53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7"/>
      <c r="R24" s="81"/>
    </row>
    <row r="25" spans="1:20" x14ac:dyDescent="0.2">
      <c r="A25" s="51">
        <v>11</v>
      </c>
      <c r="B25" s="52"/>
      <c r="C25" s="53"/>
      <c r="D25" s="58"/>
      <c r="E25" s="58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57"/>
      <c r="R25" s="81"/>
    </row>
    <row r="26" spans="1:20" ht="13.5" thickBot="1" x14ac:dyDescent="0.25">
      <c r="A26" s="51">
        <v>12</v>
      </c>
      <c r="B26" s="62" t="s">
        <v>60</v>
      </c>
      <c r="C26" s="63"/>
      <c r="D26" s="64">
        <f>+'Op Income'!E25</f>
        <v>653540734.52999997</v>
      </c>
      <c r="E26" s="60">
        <f>F26-D26</f>
        <v>66226887.5</v>
      </c>
      <c r="F26" s="65">
        <f>ROUND($C$16*F19,2)</f>
        <v>719767622.02999997</v>
      </c>
      <c r="G26" s="65">
        <f>ROUND($C$16*G19,2)</f>
        <v>301237409.81</v>
      </c>
      <c r="H26" s="65">
        <f t="shared" ref="H26:P26" si="0">ROUND($C$16*H19,2)</f>
        <v>30185120.219999999</v>
      </c>
      <c r="I26" s="65">
        <f t="shared" si="0"/>
        <v>251276.06</v>
      </c>
      <c r="J26" s="65">
        <f t="shared" si="0"/>
        <v>331673806.08999997</v>
      </c>
      <c r="K26" s="65">
        <f t="shared" si="0"/>
        <v>367406953.74000001</v>
      </c>
      <c r="L26" s="65">
        <f t="shared" si="0"/>
        <v>2430105.3199999998</v>
      </c>
      <c r="M26" s="65">
        <f t="shared" si="0"/>
        <v>369837059.06</v>
      </c>
      <c r="N26" s="65">
        <f t="shared" si="0"/>
        <v>11998934.289999999</v>
      </c>
      <c r="O26" s="65">
        <f t="shared" si="0"/>
        <v>6257822.5999999996</v>
      </c>
      <c r="P26" s="65">
        <f t="shared" si="0"/>
        <v>719767622.02999997</v>
      </c>
      <c r="Q26" s="57"/>
      <c r="R26" s="80">
        <f>+P26-F26</f>
        <v>0</v>
      </c>
      <c r="S26" s="46" t="b">
        <f>+F26=P26</f>
        <v>1</v>
      </c>
    </row>
    <row r="27" spans="1:20" ht="13.5" thickTop="1" x14ac:dyDescent="0.2">
      <c r="A27" s="55"/>
      <c r="B27" s="66"/>
      <c r="C27" s="67"/>
      <c r="D27" s="68"/>
      <c r="E27" s="68"/>
      <c r="F27" s="68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9"/>
    </row>
    <row r="29" spans="1:20" s="70" customFormat="1" ht="11.25" x14ac:dyDescent="0.2">
      <c r="D29" s="71"/>
      <c r="F29" s="71"/>
      <c r="G29" s="72"/>
      <c r="H29" s="72"/>
      <c r="I29" s="72"/>
      <c r="J29" s="72"/>
      <c r="K29" s="72"/>
      <c r="L29" s="72"/>
      <c r="M29" s="72"/>
      <c r="N29" s="72"/>
      <c r="O29" s="72"/>
      <c r="P29" s="72"/>
      <c r="S29" s="46"/>
    </row>
  </sheetData>
  <mergeCells count="6">
    <mergeCell ref="B13:C13"/>
    <mergeCell ref="A4:Q4"/>
    <mergeCell ref="A5:Q5"/>
    <mergeCell ref="A6:Q6"/>
    <mergeCell ref="A7:Q7"/>
    <mergeCell ref="A8:Q8"/>
  </mergeCells>
  <printOptions horizontalCentered="1"/>
  <pageMargins left="0.7" right="0.7" top="1.25" bottom="0.75" header="0.3" footer="0.3"/>
  <pageSetup scale="5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Op Income</vt:lpstr>
      <vt:lpstr>Op ETR</vt:lpstr>
      <vt:lpstr>NonOp Adj</vt:lpstr>
      <vt:lpstr>Ret &amp; Int</vt:lpstr>
      <vt:lpstr>'Op ETR'!Print_Area</vt:lpstr>
      <vt:lpstr>'Op Income'!Print_Area</vt:lpstr>
      <vt:lpstr>'Ret &amp; Int'!Print_Area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Tenorio, Stephanie</cp:lastModifiedBy>
  <cp:lastPrinted>1900-01-01T06:00:00Z</cp:lastPrinted>
  <dcterms:created xsi:type="dcterms:W3CDTF">1900-01-01T06:00:00Z</dcterms:created>
  <dcterms:modified xsi:type="dcterms:W3CDTF">2025-06-25T18:28:34Z</dcterms:modified>
</cp:coreProperties>
</file>