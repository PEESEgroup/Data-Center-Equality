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E (Other Items)\Schedule II-E Workpapers\"/>
    </mc:Choice>
  </mc:AlternateContent>
  <xr:revisionPtr revIDLastSave="0" documentId="13_ncr:1_{C3D83D8F-B627-47C3-86B2-BDF0241B0CC6}" xr6:coauthVersionLast="47" xr6:coauthVersionMax="47" xr10:uidLastSave="{00000000-0000-0000-0000-000000000000}"/>
  <x:bookViews>
    <x:workbookView xWindow="57480" yWindow="1290" windowWidth="29040" windowHeight="15840" xr2:uid="{00000000-000D-0000-FFFF-FFFF00000000}"/>
  </x:bookViews>
  <x:sheets>
    <x:sheet name="WP II-E-3.8" sheetId="2" r:id="rId1"/>
  </x:sheets>
  <x:definedNames>
    <x:definedName name="_xlnm.Print_Titles" localSheetId="0">'WP II-E-3.8'!$B:$C,'WP II-E-3.8'!$1:$9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K77" i="2" l="1"/>
  <x:c r="K76" i="2"/>
  <x:c r="K75" i="2"/>
  <x:c r="K72" i="2"/>
  <x:c r="K71" i="2"/>
  <x:c r="K73" i="2" s="1"/>
  <x:c r="K70" i="2"/>
  <x:c r="K67" i="2"/>
  <x:c r="K66" i="2"/>
  <x:c r="K65" i="2"/>
  <x:c r="K68" i="2" s="1"/>
  <x:c r="K53" i="2"/>
  <x:c r="K52" i="2"/>
  <x:c r="K49" i="2"/>
  <x:c r="K48" i="2"/>
  <x:c r="K47" i="2"/>
  <x:c r="K50" i="2" s="1"/>
  <x:c r="K44" i="2"/>
  <x:c r="K43" i="2"/>
  <x:c r="K42" i="2"/>
  <x:c r="K39" i="2"/>
  <x:c r="K38" i="2"/>
  <x:c r="K37" i="2"/>
  <x:c r="K40" i="2" s="1"/>
  <x:c r="K34" i="2"/>
  <x:c r="K33" i="2"/>
  <x:c r="K32" i="2"/>
  <x:c r="K29" i="2"/>
  <x:c r="K28" i="2"/>
  <x:c r="K27" i="2"/>
  <x:c r="K24" i="2"/>
  <x:c r="K23" i="2"/>
  <x:c r="K22" i="2"/>
  <x:c r="K19" i="2"/>
  <x:c r="K18" i="2"/>
  <x:c r="K17" i="2"/>
  <x:c r="K13" i="2"/>
  <x:c r="K14" i="2"/>
  <x:c r="K12" i="2"/>
  <x:c r="E91" i="2"/>
  <x:c r="I92" i="2"/>
  <x:c r="E90" i="2"/>
  <x:c r="K92" i="2"/>
  <x:c r="J92" i="2"/>
  <x:c r="H92" i="2"/>
  <x:c r="G92" i="2"/>
  <x:c r="F92" i="2"/>
  <x:c r="D92" i="2"/>
  <x:c r="F87" i="2"/>
  <x:c r="D87" i="2"/>
  <x:c r="E86" i="2"/>
  <x:c r="K87" i="2"/>
  <x:c r="J87" i="2"/>
  <x:c r="I87" i="2"/>
  <x:c r="H87" i="2"/>
  <x:c r="G87" i="2"/>
  <x:c r="E85" i="2"/>
  <x:c r="E87" i="2" s="1"/>
  <x:c r="G83" i="2"/>
  <x:c r="F83" i="2"/>
  <x:c r="E82" i="2"/>
  <x:c r="E83" i="2" s="1"/>
  <x:c r="E81" i="2"/>
  <x:c r="K83" i="2"/>
  <x:c r="J83" i="2"/>
  <x:c r="I83" i="2"/>
  <x:c r="H83" i="2"/>
  <x:c r="E80" i="2"/>
  <x:c r="D83" i="2"/>
  <x:c r="H78" i="2"/>
  <x:c r="G78" i="2"/>
  <x:c r="F78" i="2"/>
  <x:c r="E77" i="2"/>
  <x:c r="E76" i="2"/>
  <x:c r="K78" i="2"/>
  <x:c r="J78" i="2"/>
  <x:c r="I78" i="2"/>
  <x:c r="E75" i="2"/>
  <x:c r="D78" i="2"/>
  <x:c r="I73" i="2"/>
  <x:c r="H73" i="2"/>
  <x:c r="G73" i="2"/>
  <x:c r="E72" i="2"/>
  <x:c r="E71" i="2"/>
  <x:c r="J73" i="2"/>
  <x:c r="E70" i="2"/>
  <x:c r="E73" i="2" s="1"/>
  <x:c r="J68" i="2"/>
  <x:c r="I68" i="2"/>
  <x:c r="H68" i="2"/>
  <x:c r="E67" i="2"/>
  <x:c r="E66" i="2"/>
  <x:c r="E68" i="2" s="1"/>
  <x:c r="G68" i="2"/>
  <x:c r="G94" i="2" s="1"/>
  <x:c r="F68" i="2"/>
  <x:c r="E65" i="2"/>
  <x:c r="D68" i="2"/>
  <x:c r="K59" i="2"/>
  <x:c r="J59" i="2"/>
  <x:c r="I59" i="2"/>
  <x:c r="E58" i="2"/>
  <x:c r="F59" i="2"/>
  <x:c r="E57" i="2"/>
  <x:c r="H59" i="2"/>
  <x:c r="G59" i="2"/>
  <x:c r="E56" i="2"/>
  <x:c r="D59" i="2"/>
  <x:c r="K54" i="2"/>
  <x:c r="J54" i="2"/>
  <x:c r="E53" i="2"/>
  <x:c r="I54" i="2"/>
  <x:c r="H54" i="2"/>
  <x:c r="G54" i="2"/>
  <x:c r="F54" i="2"/>
  <x:c r="D54" i="2"/>
  <x:c r="D50" i="2"/>
  <x:c r="E49" i="2"/>
  <x:c r="E48" i="2"/>
  <x:c r="J50" i="2"/>
  <x:c r="I50" i="2"/>
  <x:c r="H50" i="2"/>
  <x:c r="G50" i="2"/>
  <x:c r="F50" i="2"/>
  <x:c r="E47" i="2"/>
  <x:c r="E50" i="2" s="1"/>
  <x:c r="D45" i="2"/>
  <x:c r="E44" i="2"/>
  <x:c r="E43" i="2"/>
  <x:c r="K45" i="2"/>
  <x:c r="J45" i="2"/>
  <x:c r="I45" i="2"/>
  <x:c r="H45" i="2"/>
  <x:c r="G45" i="2"/>
  <x:c r="F45" i="2"/>
  <x:c r="F40" i="2"/>
  <x:c r="D40" i="2"/>
  <x:c r="E39" i="2"/>
  <x:c r="E38" i="2"/>
  <x:c r="J40" i="2"/>
  <x:c r="I40" i="2"/>
  <x:c r="H40" i="2"/>
  <x:c r="G40" i="2"/>
  <x:c r="E37" i="2"/>
  <x:c r="G35" i="2"/>
  <x:c r="F35" i="2"/>
  <x:c r="E34" i="2"/>
  <x:c r="E33" i="2"/>
  <x:c r="E35" i="2" s="1"/>
  <x:c r="K35" i="2"/>
  <x:c r="J35" i="2"/>
  <x:c r="I35" i="2"/>
  <x:c r="H35" i="2"/>
  <x:c r="E32" i="2"/>
  <x:c r="D35" i="2"/>
  <x:c r="H30" i="2"/>
  <x:c r="G30" i="2"/>
  <x:c r="F30" i="2"/>
  <x:c r="E29" i="2"/>
  <x:c r="E28" i="2"/>
  <x:c r="K30" i="2"/>
  <x:c r="J30" i="2"/>
  <x:c r="I30" i="2"/>
  <x:c r="E27" i="2"/>
  <x:c r="D30" i="2"/>
  <x:c r="I25" i="2"/>
  <x:c r="H25" i="2"/>
  <x:c r="G25" i="2"/>
  <x:c r="E24" i="2"/>
  <x:c r="E23" i="2"/>
  <x:c r="K25" i="2"/>
  <x:c r="J25" i="2"/>
  <x:c r="E22" i="2"/>
  <x:c r="J20" i="2"/>
  <x:c r="I20" i="2"/>
  <x:c r="H20" i="2"/>
  <x:c r="E19" i="2"/>
  <x:c r="E18" i="2"/>
  <x:c r="G20" i="2"/>
  <x:c r="F20" i="2"/>
  <x:c r="D20" i="2"/>
  <x:c r="K15" i="2"/>
  <x:c r="J15" i="2"/>
  <x:c r="I15" i="2"/>
  <x:c r="E14" i="2"/>
  <x:c r="F15" i="2"/>
  <x:c r="E13" i="2"/>
  <x:c r="H15" i="2"/>
  <x:c r="G15" i="2"/>
  <x:c r="D15" i="2"/>
  <x:c r="A11" i="2"/>
  <x:c r="A12" i="2" s="1"/>
  <x:c r="A13" i="2" s="1"/>
  <x:c r="A14" i="2" s="1"/>
  <x:c r="A15" i="2" s="1"/>
  <x:c r="A16" i="2" s="1"/>
  <x:c r="A17" i="2" s="1"/>
  <x:c r="A18" i="2" s="1"/>
  <x:c r="A19" i="2" s="1"/>
  <x:c r="A20" i="2" s="1"/>
  <x:c r="A21" i="2" s="1"/>
  <x:c r="A22" i="2" s="1"/>
  <x:c r="A23" i="2" s="1"/>
  <x:c r="A24" i="2" s="1"/>
  <x:c r="A25" i="2" s="1"/>
  <x:c r="A26" i="2" s="1"/>
  <x:c r="A27" i="2" s="1"/>
  <x:c r="A28" i="2" s="1"/>
  <x:c r="A29" i="2" s="1"/>
  <x:c r="A30" i="2" s="1"/>
  <x:c r="A31" i="2" s="1"/>
  <x:c r="A32" i="2" s="1"/>
  <x:c r="A33" i="2" s="1"/>
  <x:c r="A34" i="2" s="1"/>
  <x:c r="A35" i="2" s="1"/>
  <x:c r="A36" i="2" s="1"/>
  <x:c r="A37" i="2" s="1"/>
  <x:c r="A38" i="2" s="1"/>
  <x:c r="A39" i="2" s="1"/>
  <x:c r="A40" i="2" s="1"/>
  <x:c r="A41" i="2" s="1"/>
  <x:c r="A42" i="2" s="1"/>
  <x:c r="A43" i="2" s="1"/>
  <x:c r="A44" i="2" s="1"/>
  <x:c r="A45" i="2" s="1"/>
  <x:c r="A46" i="2" s="1"/>
  <x:c r="A47" i="2" s="1"/>
  <x:c r="A48" i="2" s="1"/>
  <x:c r="A49" i="2" s="1"/>
  <x:c r="A50" i="2" s="1"/>
  <x:c r="A51" i="2" s="1"/>
  <x:c r="A52" i="2" s="1"/>
  <x:c r="A53" i="2" s="1"/>
  <x:c r="A54" i="2" s="1"/>
  <x:c r="A55" i="2" s="1"/>
  <x:c r="A56" i="2" s="1"/>
  <x:c r="A57" i="2" s="1"/>
  <x:c r="A58" i="2" s="1"/>
  <x:c r="A59" i="2" s="1"/>
  <x:c r="A60" i="2" s="1"/>
  <x:c r="A61" i="2" s="1"/>
  <x:c r="A62" i="2" s="1"/>
  <x:c r="A63" i="2" s="1"/>
  <x:c r="A64" i="2" s="1"/>
  <x:c r="A65" i="2" s="1"/>
  <x:c r="A66" i="2" s="1"/>
  <x:c r="A67" i="2" s="1"/>
  <x:c r="A68" i="2" s="1"/>
  <x:c r="A69" i="2" s="1"/>
  <x:c r="A70" i="2" s="1"/>
  <x:c r="A71" i="2" s="1"/>
  <x:c r="A72" i="2" s="1"/>
  <x:c r="A73" i="2" s="1"/>
  <x:c r="A74" i="2" s="1"/>
  <x:c r="A75" i="2" s="1"/>
  <x:c r="A76" i="2" s="1"/>
  <x:c r="A77" i="2" s="1"/>
  <x:c r="A78" i="2" s="1"/>
  <x:c r="A79" i="2" s="1"/>
  <x:c r="A80" i="2" s="1"/>
  <x:c r="A81" i="2" s="1"/>
  <x:c r="A82" i="2" s="1"/>
  <x:c r="A83" i="2" s="1"/>
  <x:c r="A84" i="2" s="1"/>
  <x:c r="A85" i="2" s="1"/>
  <x:c r="A86" i="2" s="1"/>
  <x:c r="A87" i="2" s="1"/>
  <x:c r="A88" i="2" s="1"/>
  <x:c r="A89" i="2" s="1"/>
  <x:c r="A90" i="2" s="1"/>
  <x:c r="A91" i="2" s="1"/>
  <x:c r="A92" i="2" s="1"/>
  <x:c r="A93" i="2" s="1"/>
  <x:c r="A94" i="2" s="1"/>
  <x:c r="A95" i="2" s="1"/>
  <x:c r="A96" i="2" s="1"/>
  <x:c r="A97" i="2" s="1"/>
  <x:c r="K94" i="2" l="1"/>
  <x:c r="K20" i="2"/>
  <x:c r="J61" i="2"/>
  <x:c r="G61" i="2"/>
  <x:c r="G97" i="2" s="1"/>
  <x:c r="E25" i="2"/>
  <x:c r="E30" i="2"/>
  <x:c r="E40" i="2"/>
  <x:c r="H94" i="2"/>
  <x:c r="D61" i="2"/>
  <x:c r="H61" i="2"/>
  <x:c r="H97" i="2" s="1"/>
  <x:c r="D94" i="2"/>
  <x:c r="I94" i="2"/>
  <x:c r="I61" i="2"/>
  <x:c r="E59" i="2"/>
  <x:c r="J94" i="2"/>
  <x:c r="E78" i="2"/>
  <x:c r="E94" i="2" s="1"/>
  <x:c r="D25" i="2"/>
  <x:c r="E89" i="2"/>
  <x:c r="E92" i="2" s="1"/>
  <x:c r="D73" i="2"/>
  <x:c r="F25" i="2"/>
  <x:c r="F61" i="2" s="1"/>
  <x:c r="F97" i="2" s="1"/>
  <x:c r="E42" i="2"/>
  <x:c r="E45" i="2" s="1"/>
  <x:c r="F73" i="2"/>
  <x:c r="F94" i="2" s="1"/>
  <x:c r="E52" i="2"/>
  <x:c r="E54" i="2" s="1"/>
  <x:c r="E12" i="2"/>
  <x:c r="E15" i="2" s="1"/>
  <x:c r="E17" i="2"/>
  <x:c r="E20" i="2" s="1"/>
  <x:c r="K61" i="2" l="1"/>
  <x:c r="K97" i="2" s="1"/>
  <x:c r="J97" i="2"/>
  <x:c r="D97" i="2"/>
  <x:c r="E61" i="2"/>
  <x:c r="E97" i="2" s="1"/>
  <x:c r="I97" i="2"/>
</x:calcChain>
</file>

<file path=xl/sharedStrings.xml><?xml version="1.0" encoding="utf-8"?>
<sst xmlns="http://schemas.openxmlformats.org/spreadsheetml/2006/main" count="97" uniqueCount="52">
  <si>
    <t>ONCOR ELECTRIC DELIVERY COMPANY LLC</t>
  </si>
  <si>
    <t>SPONSOR: B. L. CLUTTER</t>
  </si>
  <si>
    <t>Line No</t>
  </si>
  <si>
    <t>(a)</t>
  </si>
  <si>
    <t>(b)</t>
  </si>
  <si>
    <t>(d)</t>
  </si>
  <si>
    <t>(e)</t>
  </si>
  <si>
    <t>(i)</t>
  </si>
  <si>
    <t>(j)</t>
  </si>
  <si>
    <t>Depreciation Differences</t>
  </si>
  <si>
    <t>AFUDC</t>
  </si>
  <si>
    <t>Intangible</t>
  </si>
  <si>
    <t>CIAC</t>
  </si>
  <si>
    <t>Mixed Service Cost</t>
  </si>
  <si>
    <t>Tax Repairs</t>
  </si>
  <si>
    <t>Tax Capitalized Interest</t>
  </si>
  <si>
    <t>Pension_OPEB Non Srvc Cost</t>
  </si>
  <si>
    <t>Other</t>
  </si>
  <si>
    <t>Timing Difference</t>
  </si>
  <si>
    <t>Vintage</t>
  </si>
  <si>
    <t>Beginning Difference</t>
  </si>
  <si>
    <t>Current Difference</t>
  </si>
  <si>
    <t>Ending Difference</t>
  </si>
  <si>
    <t>Beginning DFIT Balance</t>
  </si>
  <si>
    <t xml:space="preserve"> DFIT Prosivion</t>
  </si>
  <si>
    <t xml:space="preserve"> DFIT Reversal</t>
  </si>
  <si>
    <t>Ending DFIT Balance</t>
  </si>
  <si>
    <t>Ending DFIT Balance at Stat Rate</t>
  </si>
  <si>
    <t>(c )</t>
  </si>
  <si>
    <t>(f)</t>
  </si>
  <si>
    <t>(g)</t>
  </si>
  <si>
    <t>(h)</t>
  </si>
  <si>
    <t>ONCOR</t>
  </si>
  <si>
    <t>Depreciation Difference Total</t>
  </si>
  <si>
    <t>AFUDC Total</t>
  </si>
  <si>
    <t>Intangible Total</t>
  </si>
  <si>
    <t>CIAC Total</t>
  </si>
  <si>
    <t>Mixed Service Cost Total</t>
  </si>
  <si>
    <t>Repairs Total</t>
  </si>
  <si>
    <t>Tax Capitalized Interest Total</t>
  </si>
  <si>
    <t>Pension_OPEB Non Srvc Cost Total</t>
  </si>
  <si>
    <t>Other Total</t>
  </si>
  <si>
    <t>NTU</t>
  </si>
  <si>
    <t>TOTAL ADDITIONS SINCE LAST FILING</t>
  </si>
  <si>
    <t>PLANT-RELATED ADFIT BY TIMING DIFFERENCE</t>
  </si>
  <si>
    <t>COR</t>
  </si>
  <si>
    <t>RSG2023</t>
  </si>
  <si>
    <t>COR Total</t>
  </si>
  <si>
    <t>Oncor 2022 - 2024 Additions</t>
  </si>
  <si>
    <t>NTU 2022 - 2024 Additions</t>
  </si>
  <si>
    <t>2025 RATE CASE</t>
  </si>
  <si>
    <t>TEST YEAR ENDING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</si>
</sst>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" fillId="0" borderId="0"/>
  </cellStyleXfs>
  <cellXfs count="35">
    <xf numFmtId="0" fontId="0" fillId="0" borderId="0" xfId="0"/>
    <xf numFmtId="0" fontId="4" fillId="0" borderId="0" xfId="0" applyFont="1"/>
    <xf numFmtId="0" fontId="4" fillId="0" borderId="0" xfId="0" applyFont="1" applyFill="1"/>
    <xf numFmtId="0" fontId="3" fillId="0" borderId="0" xfId="5" applyFont="1"/>
    <xf numFmtId="0" fontId="4" fillId="0" borderId="0" xfId="0" applyFont="1" applyAlignment="1">
      <alignment horizontal="center"/>
    </xf>
    <xf numFmtId="0" fontId="5" fillId="0" borderId="0" xfId="0" applyFont="1"/>
    <xf numFmtId="164" fontId="4" fillId="0" borderId="0" xfId="0" applyNumberFormat="1" applyFont="1"/>
    <xf numFmtId="164" fontId="6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43" fontId="5" fillId="0" borderId="1" xfId="1" applyFont="1" applyBorder="1" applyAlignment="1">
      <alignment horizontal="center" wrapText="1"/>
    </xf>
    <xf numFmtId="164" fontId="5" fillId="0" borderId="1" xfId="1" applyNumberFormat="1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1" applyNumberFormat="1" applyFont="1" applyAlignment="1">
      <alignment horizontal="center"/>
    </xf>
    <xf numFmtId="164" fontId="4" fillId="0" borderId="0" xfId="1" applyNumberFormat="1" applyFont="1"/>
    <xf numFmtId="164" fontId="5" fillId="0" borderId="2" xfId="1" applyNumberFormat="1" applyFont="1" applyBorder="1"/>
    <xf numFmtId="164" fontId="5" fillId="0" borderId="0" xfId="0" applyNumberFormat="1" applyFont="1"/>
    <xf numFmtId="164" fontId="4" fillId="0" borderId="0" xfId="1" applyNumberFormat="1" applyFont="1" applyFill="1"/>
    <xf numFmtId="164" fontId="5" fillId="0" borderId="2" xfId="0" applyNumberFormat="1" applyFont="1" applyBorder="1"/>
    <xf numFmtId="44" fontId="5" fillId="0" borderId="0" xfId="2" applyFont="1" applyFill="1"/>
    <xf numFmtId="164" fontId="5" fillId="0" borderId="3" xfId="0" applyNumberFormat="1" applyFont="1" applyBorder="1"/>
    <xf numFmtId="0" fontId="7" fillId="0" borderId="0" xfId="0" applyFont="1"/>
    <xf numFmtId="10" fontId="2" fillId="0" borderId="0" xfId="5" applyNumberFormat="1" applyFont="1" applyBorder="1" applyAlignment="1">
      <alignment horizontal="center"/>
    </xf>
    <xf numFmtId="164" fontId="5" fillId="0" borderId="4" xfId="0" applyNumberFormat="1" applyFont="1" applyBorder="1"/>
    <xf numFmtId="0" fontId="4" fillId="0" borderId="0" xfId="0" applyFont="1" applyAlignment="1">
      <alignment horizontal="center" wrapText="1"/>
    </xf>
    <xf numFmtId="164" fontId="4" fillId="0" borderId="0" xfId="0" applyNumberFormat="1" applyFont="1" applyAlignment="1">
      <alignment horizontal="center"/>
    </xf>
    <xf numFmtId="0" fontId="2" fillId="0" borderId="0" xfId="5" applyFont="1" applyAlignment="1"/>
    <xf numFmtId="0" fontId="2" fillId="0" borderId="0" xfId="5" applyFont="1" applyFill="1" applyBorder="1" applyAlignment="1"/>
    <xf numFmtId="14" fontId="2" fillId="0" borderId="0" xfId="5" applyNumberFormat="1" applyFont="1" applyFill="1" applyBorder="1" applyAlignment="1"/>
    <xf numFmtId="0" fontId="2" fillId="0" borderId="0" xfId="5" applyFont="1" applyAlignment="1">
      <alignment horizontal="center"/>
    </xf>
    <xf numFmtId="10" fontId="2" fillId="0" borderId="0" xfId="5" applyNumberFormat="1" applyFont="1" applyAlignment="1">
      <alignment horizontal="center"/>
    </xf>
    <xf numFmtId="164" fontId="5" fillId="0" borderId="0" xfId="1" applyNumberFormat="1" applyFont="1" applyBorder="1"/>
  </cellXfs>
  <cellStyles count="6">
    <cellStyle name="Comma" xfId="1" builtinId="3"/>
    <cellStyle name="Comma 2" xfId="4" xr:uid="{00000000-0005-0000-0000-000001000000}"/>
    <cellStyle name="Currency" xfId="2" builtinId="4"/>
    <cellStyle name="Normal" xfId="0" builtinId="0"/>
    <cellStyle name="Normal 2 2" xfId="5" xr:uid="{00000000-0005-0000-0000-000004000000}"/>
    <cellStyle name="Normal 4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98"/>
  <x:sheetViews>
    <x:sheetView tabSelected="1" zoomScale="80" zoomScaleNormal="80" zoomScaleSheetLayoutView="80" workbookViewId="0">
      <x:pane xSplit="3" ySplit="8" topLeftCell="D9" activePane="bottomRight" state="frozen"/>
      <x:selection sqref="A1:J1"/>
      <x:selection pane="topRight" sqref="A1:J1"/>
      <x:selection pane="bottomLeft" sqref="A1:J1"/>
      <x:selection pane="bottomRight" activeCell="B20" sqref="B20"/>
    </x:sheetView>
  </x:sheetViews>
  <x:sheetFormatPr defaultColWidth="9.1796875" defaultRowHeight="12.5" x14ac:dyDescent="0.25"/>
  <x:cols>
    <x:col min="1" max="1" width="9.7265625" style="4" bestFit="1" customWidth="1"/>
    <x:col min="2" max="2" width="39.54296875" style="1" customWidth="1"/>
    <x:col min="3" max="3" width="10.7265625" style="4" customWidth="1"/>
    <x:col min="4" max="4" width="17.54296875" style="6" bestFit="1" customWidth="1"/>
    <x:col min="5" max="5" width="17.453125" style="6" customWidth="1"/>
    <x:col min="6" max="6" width="17.54296875" style="6" bestFit="1" customWidth="1"/>
    <x:col min="7" max="7" width="15.453125" style="6" customWidth="1"/>
    <x:col min="8" max="8" width="14.90625" style="6" bestFit="1" customWidth="1"/>
    <x:col min="9" max="11" width="17.54296875" style="6" bestFit="1" customWidth="1"/>
    <x:col min="12" max="12" width="16" style="6" customWidth="1"/>
    <x:col min="13" max="13" width="16.26953125" style="1" bestFit="1" customWidth="1"/>
    <x:col min="14" max="16384" width="9.1796875" style="1"/>
  </x:cols>
  <x:sheetData>
    <x:row r="1" spans="1:13" s="3" customFormat="1" ht="13" x14ac:dyDescent="0.3">
      <x:c r="A1" s="32" t="s">
        <x:v>50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29"/>
    </x:row>
    <x:row r="2" spans="1:13" s="3" customFormat="1" ht="13" x14ac:dyDescent="0.3">
      <x:c r="A2" s="32" t="s">
        <x:v>0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0"/>
    </x:row>
    <x:row r="3" spans="1:13" s="3" customFormat="1" ht="13" x14ac:dyDescent="0.3">
      <x:c r="A3" s="32" t="s">
        <x:v>44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0"/>
    </x:row>
    <x:row r="4" spans="1:13" s="3" customFormat="1" ht="13" x14ac:dyDescent="0.3">
      <x:c r="A4" s="32" t="s">
        <x:v>51</x:v>
      </x:c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1"/>
    </x:row>
    <x:row r="5" spans="1:13" s="3" customFormat="1" ht="13" x14ac:dyDescent="0.3">
      <x:c r="A5" s="32" t="s">
        <x:v>1</x:v>
      </x:c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0"/>
    </x:row>
    <x:row r="6" spans="1:13" ht="13" x14ac:dyDescent="0.3">
      <x:c r="B6" s="5"/>
    </x:row>
    <x:row r="7" spans="1:13" ht="13" x14ac:dyDescent="0.3">
      <x:c r="B7" s="5"/>
      <x:c r="D7" s="7"/>
      <x:c r="E7" s="7"/>
      <x:c r="F7" s="7"/>
      <x:c r="G7" s="7"/>
      <x:c r="H7" s="7"/>
      <x:c r="I7" s="7"/>
      <x:c r="J7" s="7"/>
      <x:c r="K7" s="7"/>
    </x:row>
    <x:row r="8" spans="1:13" s="11" customFormat="1" ht="40.5" customHeight="1" x14ac:dyDescent="0.3">
      <x:c r="A8" s="8" t="s">
        <x:v>2</x:v>
      </x:c>
      <x:c r="B8" s="8" t="s">
        <x:v>18</x:v>
      </x:c>
      <x:c r="C8" s="9" t="s">
        <x:v>19</x:v>
      </x:c>
      <x:c r="D8" s="10" t="s">
        <x:v>20</x:v>
      </x:c>
      <x:c r="E8" s="10" t="s">
        <x:v>21</x:v>
      </x:c>
      <x:c r="F8" s="10" t="s">
        <x:v>22</x:v>
      </x:c>
      <x:c r="G8" s="10" t="s">
        <x:v>23</x:v>
      </x:c>
      <x:c r="H8" s="10" t="s">
        <x:v>24</x:v>
      </x:c>
      <x:c r="I8" s="10" t="s">
        <x:v>25</x:v>
      </x:c>
      <x:c r="J8" s="10" t="s">
        <x:v>26</x:v>
      </x:c>
      <x:c r="K8" s="10" t="s">
        <x:v>27</x:v>
      </x:c>
    </x:row>
    <x:row r="9" spans="1:13" s="27" customFormat="1" x14ac:dyDescent="0.25">
      <x:c r="B9" s="4" t="s">
        <x:v>3</x:v>
      </x:c>
      <x:c r="C9" s="4" t="s">
        <x:v>4</x:v>
      </x:c>
      <x:c r="D9" s="28" t="s">
        <x:v>28</x:v>
      </x:c>
      <x:c r="E9" s="28" t="s">
        <x:v>5</x:v>
      </x:c>
      <x:c r="F9" s="28" t="s">
        <x:v>6</x:v>
      </x:c>
      <x:c r="G9" s="28" t="s">
        <x:v>29</x:v>
      </x:c>
      <x:c r="H9" s="28" t="s">
        <x:v>30</x:v>
      </x:c>
      <x:c r="I9" s="28" t="s">
        <x:v>31</x:v>
      </x:c>
      <x:c r="J9" s="28" t="s">
        <x:v>7</x:v>
      </x:c>
      <x:c r="K9" s="28" t="s">
        <x:v>8</x:v>
      </x:c>
      <x:c r="L9" s="28"/>
    </x:row>
    <x:row r="10" spans="1:13" s="11" customFormat="1" ht="13" x14ac:dyDescent="0.3">
      <x:c r="A10" s="4">
        <x:v>1</x:v>
      </x:c>
      <x:c r="B10" s="14" t="s">
        <x:v>32</x:v>
      </x:c>
      <x:c r="C10" s="12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 spans="1:13" s="11" customFormat="1" ht="13" x14ac:dyDescent="0.3">
      <x:c r="A11" s="4">
        <x:f t="shared" ref="A11:A74" si="0">+A10+1</x:f>
        <x:v>2</x:v>
      </x:c>
      <x:c r="B11" s="15"/>
      <x:c r="C11" s="12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 spans="1:13" x14ac:dyDescent="0.25">
      <x:c r="A12" s="4">
        <x:f t="shared" si="0"/>
        <x:v>3</x:v>
      </x:c>
      <x:c r="B12" s="1" t="s">
        <x:v>9</x:v>
      </x:c>
      <x:c r="C12" s="16">
        <x:v>2022</x:v>
      </x:c>
      <x:c r="D12" s="17">
        <x:v>189462595.96000001</x:v>
      </x:c>
      <x:c r="E12" s="17">
        <x:f t="shared" ref="E12:E14" si="1">+F12-D12</x:f>
        <x:v>123378393.87999997</x:v>
      </x:c>
      <x:c r="F12" s="17">
        <x:v>312840989.83999997</x:v>
      </x:c>
      <x:c r="G12" s="17">
        <x:v>39787145.189999998</x:v>
      </x:c>
      <x:c r="H12" s="17">
        <x:v>25847358.399999999</x:v>
      </x:c>
      <x:c r="I12" s="17">
        <x:v>62104.25</x:v>
      </x:c>
      <x:c r="J12" s="17">
        <x:v>65696607.840000004</x:v>
      </x:c>
      <x:c r="K12" s="17">
        <x:f>+ROUND(F12*0.21, 2)</x:f>
        <x:v>65696607.869999997</x:v>
      </x:c>
      <x:c r="M12" s="6"/>
    </x:row>
    <x:row r="13" spans="1:13" x14ac:dyDescent="0.25">
      <x:c r="A13" s="4">
        <x:f t="shared" si="0"/>
        <x:v>4</x:v>
      </x:c>
      <x:c r="B13" s="1" t="s">
        <x:v>9</x:v>
      </x:c>
      <x:c r="C13" s="16">
        <x:v>2023</x:v>
      </x:c>
      <x:c r="D13" s="17">
        <x:v>91553979</x:v>
      </x:c>
      <x:c r="E13" s="17">
        <x:f t="shared" si="1"/>
        <x:v>197761772.50999999</x:v>
      </x:c>
      <x:c r="F13" s="17">
        <x:v>289315751.50999999</x:v>
      </x:c>
      <x:c r="G13" s="17">
        <x:v>19226335.59</x:v>
      </x:c>
      <x:c r="H13" s="17">
        <x:v>41511441.350000001</x:v>
      </x:c>
      <x:c r="I13" s="17">
        <x:v>18530.939999999999</x:v>
      </x:c>
      <x:c r="J13" s="17">
        <x:v>60756307.880000003</x:v>
      </x:c>
      <x:c r="K13" s="17">
        <x:f t="shared" ref="K13:K14" si="2">+ROUND(F13*0.21, 2)</x:f>
        <x:v>60756307.82</x:v>
      </x:c>
      <x:c r="M13" s="6"/>
    </x:row>
    <x:row r="14" spans="1:13" x14ac:dyDescent="0.25">
      <x:c r="A14" s="4">
        <x:f t="shared" si="0"/>
        <x:v>5</x:v>
      </x:c>
      <x:c r="B14" s="1" t="s">
        <x:v>9</x:v>
      </x:c>
      <x:c r="C14" s="16">
        <x:v>2024</x:v>
      </x:c>
      <x:c r="D14" s="17">
        <x:v>0</x:v>
      </x:c>
      <x:c r="E14" s="17">
        <x:f t="shared" si="1"/>
        <x:v>110856540.16</x:v>
      </x:c>
      <x:c r="F14" s="17">
        <x:v>110856540.16</x:v>
      </x:c>
      <x:c r="G14" s="17">
        <x:v>0</x:v>
      </x:c>
      <x:c r="H14" s="17">
        <x:v>23279873.41</x:v>
      </x:c>
      <x:c r="I14" s="17">
        <x:v>0</x:v>
      </x:c>
      <x:c r="J14" s="17">
        <x:v>23279873.41</x:v>
      </x:c>
      <x:c r="K14" s="17">
        <x:f t="shared" si="2"/>
        <x:v>23279873.43</x:v>
      </x:c>
      <x:c r="M14" s="6"/>
    </x:row>
    <x:row r="15" spans="1:13" ht="13" x14ac:dyDescent="0.3">
      <x:c r="A15" s="4">
        <x:f t="shared" si="0"/>
        <x:v>6</x:v>
      </x:c>
      <x:c r="B15" s="5" t="s">
        <x:v>33</x:v>
      </x:c>
      <x:c r="C15" s="12"/>
      <x:c r="D15" s="18">
        <x:f t="shared" ref="D15:K15" si="3">SUM(D12:D14)</x:f>
        <x:v>281016574.96000004</x:v>
      </x:c>
      <x:c r="E15" s="18">
        <x:f t="shared" si="3"/>
        <x:v>431996706.54999995</x:v>
      </x:c>
      <x:c r="F15" s="18">
        <x:f t="shared" si="3"/>
        <x:v>713013281.50999987</x:v>
      </x:c>
      <x:c r="G15" s="18">
        <x:f t="shared" si="3"/>
        <x:v>59013480.780000001</x:v>
      </x:c>
      <x:c r="H15" s="18">
        <x:f t="shared" si="3"/>
        <x:v>90638673.159999996</x:v>
      </x:c>
      <x:c r="I15" s="18">
        <x:f t="shared" si="3"/>
        <x:v>80635.19</x:v>
      </x:c>
      <x:c r="J15" s="18">
        <x:f t="shared" si="3"/>
        <x:v>149732789.13</x:v>
      </x:c>
      <x:c r="K15" s="18">
        <x:f t="shared" si="3"/>
        <x:v>149732789.12</x:v>
      </x:c>
      <x:c r="M15" s="6"/>
    </x:row>
    <x:row r="16" spans="1:13" x14ac:dyDescent="0.25">
      <x:c r="A16" s="4">
        <x:f t="shared" si="0"/>
        <x:v>7</x:v>
      </x:c>
      <x:c r="M16" s="6"/>
    </x:row>
    <x:row r="17" spans="1:13" s="5" customFormat="1" ht="13" x14ac:dyDescent="0.3">
      <x:c r="A17" s="4">
        <x:f t="shared" si="0"/>
        <x:v>8</x:v>
      </x:c>
      <x:c r="B17" s="1" t="s">
        <x:v>10</x:v>
      </x:c>
      <x:c r="C17" s="16">
        <x:v>2022</x:v>
      </x:c>
      <x:c r="D17" s="17">
        <x:v>44903617.710000001</x:v>
      </x:c>
      <x:c r="E17" s="17">
        <x:f t="shared" ref="E17:E19" si="4">+F17-D17</x:f>
        <x:v>-1406778.3200000003</x:v>
      </x:c>
      <x:c r="F17" s="17">
        <x:v>43496839.390000001</x:v>
      </x:c>
      <x:c r="G17" s="17">
        <x:v>3299631.63</x:v>
      </x:c>
      <x:c r="H17" s="17">
        <x:v>0</x:v>
      </x:c>
      <x:c r="I17" s="17">
        <x:v>-103723.56</x:v>
      </x:c>
      <x:c r="J17" s="17">
        <x:v>3195908.07</x:v>
      </x:c>
      <x:c r="K17" s="17">
        <x:f>+ROUND(F17*0.21, 2)</x:f>
        <x:v>9134336.2699999996</x:v>
      </x:c>
      <x:c r="L17" s="6"/>
      <x:c r="M17" s="6"/>
    </x:row>
    <x:row r="18" spans="1:13" x14ac:dyDescent="0.25">
      <x:c r="A18" s="4">
        <x:f t="shared" si="0"/>
        <x:v>9</x:v>
      </x:c>
      <x:c r="B18" s="1" t="s">
        <x:v>10</x:v>
      </x:c>
      <x:c r="C18" s="16">
        <x:v>2023</x:v>
      </x:c>
      <x:c r="D18" s="17">
        <x:v>63793037.5</x:v>
      </x:c>
      <x:c r="E18" s="17">
        <x:f t="shared" si="4"/>
        <x:v>-1377239.0300000012</x:v>
      </x:c>
      <x:c r="F18" s="17">
        <x:v>62415798.469999999</x:v>
      </x:c>
      <x:c r="G18" s="17">
        <x:v>4803738.2699999996</x:v>
      </x:c>
      <x:c r="H18" s="17">
        <x:v>0</x:v>
      </x:c>
      <x:c r="I18" s="17">
        <x:v>-103584.79</x:v>
      </x:c>
      <x:c r="J18" s="17">
        <x:v>4700153.4800000004</x:v>
      </x:c>
      <x:c r="K18" s="17">
        <x:f t="shared" ref="K18:K19" si="5">+ROUND(F18*0.21, 2)</x:f>
        <x:v>13107317.68</x:v>
      </x:c>
      <x:c r="M18" s="6"/>
    </x:row>
    <x:row r="19" spans="1:13" s="2" customFormat="1" x14ac:dyDescent="0.25">
      <x:c r="A19" s="4">
        <x:f t="shared" si="0"/>
        <x:v>10</x:v>
      </x:c>
      <x:c r="B19" s="1" t="s">
        <x:v>10</x:v>
      </x:c>
      <x:c r="C19" s="16">
        <x:v>2024</x:v>
      </x:c>
      <x:c r="D19" s="17">
        <x:v>0</x:v>
      </x:c>
      <x:c r="E19" s="17">
        <x:f t="shared" si="4"/>
        <x:v>84647284.770000011</x:v>
      </x:c>
      <x:c r="F19" s="17">
        <x:v>84647284.770000011</x:v>
      </x:c>
      <x:c r="G19" s="17">
        <x:v>0</x:v>
      </x:c>
      <x:c r="H19" s="17">
        <x:v>7298679.2000000002</x:v>
      </x:c>
      <x:c r="I19" s="17">
        <x:v>-65843.48</x:v>
      </x:c>
      <x:c r="J19" s="17">
        <x:v>7232835.7199999997</x:v>
      </x:c>
      <x:c r="K19" s="17">
        <x:f t="shared" si="5"/>
        <x:v>17775929.800000001</x:v>
      </x:c>
      <x:c r="L19" s="6"/>
      <x:c r="M19" s="6"/>
    </x:row>
    <x:row r="20" spans="1:13" ht="13" x14ac:dyDescent="0.3">
      <x:c r="A20" s="4">
        <x:f t="shared" si="0"/>
        <x:v>11</x:v>
      </x:c>
      <x:c r="B20" s="5" t="s">
        <x:v>34</x:v>
      </x:c>
      <x:c r="C20" s="12"/>
      <x:c r="D20" s="21">
        <x:f t="shared" ref="D20:K20" si="6">SUM(D17:D19)</x:f>
        <x:v>108696655.21000001</x:v>
      </x:c>
      <x:c r="E20" s="21">
        <x:f t="shared" si="6"/>
        <x:v>81863267.420000017</x:v>
      </x:c>
      <x:c r="F20" s="21">
        <x:f t="shared" si="6"/>
        <x:v>190559922.63</x:v>
      </x:c>
      <x:c r="G20" s="21">
        <x:f t="shared" si="6"/>
        <x:v>8103369.8999999994</x:v>
      </x:c>
      <x:c r="H20" s="21">
        <x:f t="shared" si="6"/>
        <x:v>7298679.2000000002</x:v>
      </x:c>
      <x:c r="I20" s="21">
        <x:f t="shared" si="6"/>
        <x:v>-273151.82999999996</x:v>
      </x:c>
      <x:c r="J20" s="21">
        <x:f t="shared" si="6"/>
        <x:v>15128897.27</x:v>
      </x:c>
      <x:c r="K20" s="21">
        <x:f t="shared" si="6"/>
        <x:v>40017583.75</x:v>
      </x:c>
      <x:c r="M20" s="6"/>
    </x:row>
    <x:row r="21" spans="1:13" x14ac:dyDescent="0.25">
      <x:c r="A21" s="4">
        <x:f t="shared" si="0"/>
        <x:v>12</x:v>
      </x:c>
      <x:c r="M21" s="6"/>
    </x:row>
    <x:row r="22" spans="1:13" x14ac:dyDescent="0.25">
      <x:c r="A22" s="4">
        <x:f t="shared" si="0"/>
        <x:v>13</x:v>
      </x:c>
      <x:c r="B22" s="1" t="s">
        <x:v>11</x:v>
      </x:c>
      <x:c r="C22" s="16">
        <x:v>2022</x:v>
      </x:c>
      <x:c r="D22" s="17">
        <x:v>181609445.52000001</x:v>
      </x:c>
      <x:c r="E22" s="17">
        <x:f t="shared" ref="E22:E24" si="7">+F22-D22</x:f>
        <x:v>-11619221.530000001</x:v>
      </x:c>
      <x:c r="F22" s="17">
        <x:v>169990223.99000001</x:v>
      </x:c>
      <x:c r="G22" s="17">
        <x:v>38137983.57</x:v>
      </x:c>
      <x:c r="H22" s="17">
        <x:v>0</x:v>
      </x:c>
      <x:c r="I22" s="17">
        <x:v>-2440036.52</x:v>
      </x:c>
      <x:c r="J22" s="17">
        <x:v>35697947.049999997</x:v>
      </x:c>
      <x:c r="K22" s="17">
        <x:f>+ROUND(F22*0.21, 2)</x:f>
        <x:v>35697947.039999999</x:v>
      </x:c>
      <x:c r="M22" s="6"/>
    </x:row>
    <x:row r="23" spans="1:13" x14ac:dyDescent="0.25">
      <x:c r="A23" s="4">
        <x:f t="shared" si="0"/>
        <x:v>14</x:v>
      </x:c>
      <x:c r="B23" s="1" t="s">
        <x:v>11</x:v>
      </x:c>
      <x:c r="C23" s="16">
        <x:v>2023</x:v>
      </x:c>
      <x:c r="D23" s="17">
        <x:v>167361250.99000001</x:v>
      </x:c>
      <x:c r="E23" s="17">
        <x:f t="shared" si="7"/>
        <x:v>-8331266.0400000215</x:v>
      </x:c>
      <x:c r="F23" s="17">
        <x:v>159029984.94999999</x:v>
      </x:c>
      <x:c r="G23" s="17">
        <x:v>35145862.719999999</x:v>
      </x:c>
      <x:c r="H23" s="17">
        <x:v>0</x:v>
      </x:c>
      <x:c r="I23" s="17">
        <x:v>-1749565.87</x:v>
      </x:c>
      <x:c r="J23" s="17">
        <x:v>33396296.850000001</x:v>
      </x:c>
      <x:c r="K23" s="17">
        <x:f t="shared" ref="K23:K24" si="8">+ROUND(F23*0.21, 2)</x:f>
        <x:v>33396296.84</x:v>
      </x:c>
      <x:c r="M23" s="6"/>
    </x:row>
    <x:row r="24" spans="1:13" s="5" customFormat="1" ht="13" x14ac:dyDescent="0.3">
      <x:c r="A24" s="4">
        <x:f t="shared" si="0"/>
        <x:v>15</x:v>
      </x:c>
      <x:c r="B24" s="1" t="s">
        <x:v>11</x:v>
      </x:c>
      <x:c r="C24" s="16">
        <x:v>2024</x:v>
      </x:c>
      <x:c r="D24" s="17">
        <x:v>0</x:v>
      </x:c>
      <x:c r="E24" s="17">
        <x:f t="shared" si="7"/>
        <x:v>138078221.97999999</x:v>
      </x:c>
      <x:c r="F24" s="17">
        <x:v>138078221.97999999</x:v>
      </x:c>
      <x:c r="G24" s="17">
        <x:v>0</x:v>
      </x:c>
      <x:c r="H24" s="17">
        <x:v>29689556.719999999</x:v>
      </x:c>
      <x:c r="I24" s="17">
        <x:v>-693130.11</x:v>
      </x:c>
      <x:c r="J24" s="17">
        <x:v>28996426.609999999</x:v>
      </x:c>
      <x:c r="K24" s="17">
        <x:f t="shared" si="8"/>
        <x:v>28996426.620000001</x:v>
      </x:c>
      <x:c r="L24" s="6"/>
      <x:c r="M24" s="6"/>
    </x:row>
    <x:row r="25" spans="1:13" ht="13" x14ac:dyDescent="0.3">
      <x:c r="A25" s="4">
        <x:f t="shared" si="0"/>
        <x:v>16</x:v>
      </x:c>
      <x:c r="B25" s="5" t="s">
        <x:v>35</x:v>
      </x:c>
      <x:c r="C25" s="12"/>
      <x:c r="D25" s="21">
        <x:f t="shared" ref="D25:K25" si="9">SUM(D22:D24)</x:f>
        <x:v>348970696.50999999</x:v>
      </x:c>
      <x:c r="E25" s="21">
        <x:f t="shared" si="9"/>
        <x:v>118127734.40999997</x:v>
      </x:c>
      <x:c r="F25" s="21">
        <x:f t="shared" si="9"/>
        <x:v>467098430.91999996</x:v>
      </x:c>
      <x:c r="G25" s="21">
        <x:f t="shared" si="9"/>
        <x:v>73283846.289999992</x:v>
      </x:c>
      <x:c r="H25" s="21">
        <x:f t="shared" si="9"/>
        <x:v>29689556.719999999</x:v>
      </x:c>
      <x:c r="I25" s="21">
        <x:f t="shared" si="9"/>
        <x:v>-4882732.5</x:v>
      </x:c>
      <x:c r="J25" s="21">
        <x:f t="shared" si="9"/>
        <x:v>98090670.510000005</x:v>
      </x:c>
      <x:c r="K25" s="21">
        <x:f t="shared" si="9"/>
        <x:v>98090670.5</x:v>
      </x:c>
      <x:c r="M25" s="6"/>
    </x:row>
    <x:row r="26" spans="1:13" s="2" customFormat="1" x14ac:dyDescent="0.25">
      <x:c r="A26" s="4">
        <x:f t="shared" si="0"/>
        <x:v>17</x:v>
      </x:c>
      <x:c r="B26" s="1"/>
      <x:c r="C26" s="4"/>
      <x:c r="D26" s="6"/>
      <x:c r="E26" s="6"/>
      <x:c r="F26" s="6"/>
      <x:c r="G26" s="6"/>
      <x:c r="H26" s="6"/>
      <x:c r="I26" s="6"/>
      <x:c r="J26" s="6"/>
      <x:c r="K26" s="6"/>
      <x:c r="L26" s="6"/>
      <x:c r="M26" s="6"/>
    </x:row>
    <x:row r="27" spans="1:13" x14ac:dyDescent="0.25">
      <x:c r="A27" s="4">
        <x:f t="shared" si="0"/>
        <x:v>18</x:v>
      </x:c>
      <x:c r="B27" s="1" t="s">
        <x:v>12</x:v>
      </x:c>
      <x:c r="C27" s="16">
        <x:v>2022</x:v>
      </x:c>
      <x:c r="D27" s="17">
        <x:v>-64559978.390000001</x:v>
      </x:c>
      <x:c r="E27" s="17">
        <x:f t="shared" ref="E27:E29" si="10">+F27-D27</x:f>
        <x:v>5664049.3900000006</x:v>
      </x:c>
      <x:c r="F27" s="17">
        <x:v>-58895929</x:v>
      </x:c>
      <x:c r="G27" s="17">
        <x:v>-13557595.549999999</x:v>
      </x:c>
      <x:c r="H27" s="17">
        <x:v>0</x:v>
      </x:c>
      <x:c r="I27" s="17">
        <x:v>1189450.42</x:v>
      </x:c>
      <x:c r="J27" s="17">
        <x:v>-12368145.130000001</x:v>
      </x:c>
      <x:c r="K27" s="17">
        <x:f>+ROUND(F27*0.21, 2)</x:f>
        <x:v>-12368145.09</x:v>
      </x:c>
      <x:c r="M27" s="6"/>
    </x:row>
    <x:row r="28" spans="1:13" x14ac:dyDescent="0.25">
      <x:c r="A28" s="4">
        <x:f t="shared" si="0"/>
        <x:v>19</x:v>
      </x:c>
      <x:c r="B28" s="1" t="s">
        <x:v>12</x:v>
      </x:c>
      <x:c r="C28" s="16">
        <x:v>2023</x:v>
      </x:c>
      <x:c r="D28" s="17">
        <x:v>-88867455.399999991</x:v>
      </x:c>
      <x:c r="E28" s="17">
        <x:f t="shared" si="10"/>
        <x:v>7866342.4799999893</x:v>
      </x:c>
      <x:c r="F28" s="17">
        <x:v>-81001112.920000002</x:v>
      </x:c>
      <x:c r="G28" s="17">
        <x:v>-18662165.619999997</x:v>
      </x:c>
      <x:c r="H28" s="17">
        <x:v>0</x:v>
      </x:c>
      <x:c r="I28" s="17">
        <x:v>1651931.9200000002</x:v>
      </x:c>
      <x:c r="J28" s="17">
        <x:v>-17010233.699999999</x:v>
      </x:c>
      <x:c r="K28" s="17">
        <x:f t="shared" ref="K28:K29" si="11">+ROUND(F28*0.21, 2)</x:f>
        <x:v>-17010233.710000001</x:v>
      </x:c>
      <x:c r="M28" s="6"/>
    </x:row>
    <x:row r="29" spans="1:13" x14ac:dyDescent="0.25">
      <x:c r="A29" s="4">
        <x:f t="shared" si="0"/>
        <x:v>20</x:v>
      </x:c>
      <x:c r="B29" s="1" t="s">
        <x:v>12</x:v>
      </x:c>
      <x:c r="C29" s="16">
        <x:v>2024</x:v>
      </x:c>
      <x:c r="D29" s="17">
        <x:v>0</x:v>
      </x:c>
      <x:c r="E29" s="17">
        <x:f t="shared" si="10"/>
        <x:v>-131466875.45</x:v>
      </x:c>
      <x:c r="F29" s="17">
        <x:v>-131466875.45</x:v>
      </x:c>
      <x:c r="G29" s="17">
        <x:v>0</x:v>
      </x:c>
      <x:c r="H29" s="17">
        <x:v>-28782673.239999998</x:v>
      </x:c>
      <x:c r="I29" s="17">
        <x:v>1174629.44</x:v>
      </x:c>
      <x:c r="J29" s="17">
        <x:v>-27608043.800000001</x:v>
      </x:c>
      <x:c r="K29" s="17">
        <x:f t="shared" si="11"/>
        <x:v>-27608043.84</x:v>
      </x:c>
      <x:c r="M29" s="6"/>
    </x:row>
    <x:row r="30" spans="1:13" ht="13" x14ac:dyDescent="0.3">
      <x:c r="A30" s="4">
        <x:f t="shared" si="0"/>
        <x:v>21</x:v>
      </x:c>
      <x:c r="B30" s="5" t="s">
        <x:v>36</x:v>
      </x:c>
      <x:c r="C30" s="12"/>
      <x:c r="D30" s="21">
        <x:f t="shared" ref="D30:K30" si="12">SUM(D27:D29)</x:f>
        <x:v>-153427433.78999999</x:v>
      </x:c>
      <x:c r="E30" s="21">
        <x:f t="shared" si="12"/>
        <x:v>-117936483.58000001</x:v>
      </x:c>
      <x:c r="F30" s="21">
        <x:f t="shared" si="12"/>
        <x:v>-271363917.37</x:v>
      </x:c>
      <x:c r="G30" s="21">
        <x:f t="shared" si="12"/>
        <x:v>-32219761.169999994</x:v>
      </x:c>
      <x:c r="H30" s="21">
        <x:f t="shared" si="12"/>
        <x:v>-28782673.239999998</x:v>
      </x:c>
      <x:c r="I30" s="21">
        <x:f t="shared" si="12"/>
        <x:v>4016011.78</x:v>
      </x:c>
      <x:c r="J30" s="21">
        <x:f t="shared" si="12"/>
        <x:v>-56986422.629999995</x:v>
      </x:c>
      <x:c r="K30" s="21">
        <x:f t="shared" si="12"/>
        <x:v>-56986422.640000001</x:v>
      </x:c>
      <x:c r="M30" s="6"/>
    </x:row>
    <x:row r="31" spans="1:13" s="5" customFormat="1" ht="13" x14ac:dyDescent="0.3">
      <x:c r="A31" s="4">
        <x:f t="shared" si="0"/>
        <x:v>22</x:v>
      </x:c>
      <x:c r="B31" s="1"/>
      <x:c r="C31" s="4"/>
      <x:c r="D31" s="6"/>
      <x:c r="E31" s="6"/>
      <x:c r="F31" s="6"/>
      <x:c r="G31" s="6"/>
      <x:c r="H31" s="6"/>
      <x:c r="I31" s="6"/>
      <x:c r="J31" s="6"/>
      <x:c r="K31" s="6"/>
      <x:c r="L31" s="6"/>
      <x:c r="M31" s="6"/>
    </x:row>
    <x:row r="32" spans="1:13" x14ac:dyDescent="0.25">
      <x:c r="A32" s="4">
        <x:f t="shared" si="0"/>
        <x:v>23</x:v>
      </x:c>
      <x:c r="B32" s="1" t="s">
        <x:v>13</x:v>
      </x:c>
      <x:c r="C32" s="16">
        <x:v>2022</x:v>
      </x:c>
      <x:c r="D32" s="20">
        <x:v>37307516.049999997</x:v>
      </x:c>
      <x:c r="E32" s="17">
        <x:f t="shared" ref="E32:E34" si="13">+F32-D32</x:f>
        <x:v>-936482.58999999613</x:v>
      </x:c>
      <x:c r="F32" s="20">
        <x:v>36371033.460000001</x:v>
      </x:c>
      <x:c r="G32" s="20">
        <x:v>7834578.4100000001</x:v>
      </x:c>
      <x:c r="H32" s="20">
        <x:v>0</x:v>
      </x:c>
      <x:c r="I32" s="20">
        <x:v>-196661.36</x:v>
      </x:c>
      <x:c r="J32" s="20">
        <x:v>7637917.0499999998</x:v>
      </x:c>
      <x:c r="K32" s="17">
        <x:f>+ROUND(F32*0.21, 2)</x:f>
        <x:v>7637917.0300000003</x:v>
      </x:c>
      <x:c r="L32" s="1"/>
    </x:row>
    <x:row r="33" spans="1:12" x14ac:dyDescent="0.25">
      <x:c r="A33" s="4">
        <x:f t="shared" si="0"/>
        <x:v>24</x:v>
      </x:c>
      <x:c r="B33" s="1" t="s">
        <x:v>13</x:v>
      </x:c>
      <x:c r="C33" s="16">
        <x:v>2023</x:v>
      </x:c>
      <x:c r="D33" s="20">
        <x:v>48478788.640000001</x:v>
      </x:c>
      <x:c r="E33" s="17">
        <x:f t="shared" si="13"/>
        <x:v>-1136301.0200000033</x:v>
      </x:c>
      <x:c r="F33" s="20">
        <x:v>47342487.619999997</x:v>
      </x:c>
      <x:c r="G33" s="20">
        <x:v>10180545.609999999</x:v>
      </x:c>
      <x:c r="H33" s="20">
        <x:v>0</x:v>
      </x:c>
      <x:c r="I33" s="20">
        <x:v>-238623.19</x:v>
      </x:c>
      <x:c r="J33" s="20">
        <x:v>9941922.4199999999</x:v>
      </x:c>
      <x:c r="K33" s="17">
        <x:f t="shared" ref="K33:K34" si="14">+ROUND(F33*0.21, 2)</x:f>
        <x:v>9941922.4000000004</x:v>
      </x:c>
      <x:c r="L33" s="1"/>
    </x:row>
    <x:row r="34" spans="1:12" x14ac:dyDescent="0.25">
      <x:c r="A34" s="4">
        <x:f t="shared" si="0"/>
        <x:v>25</x:v>
      </x:c>
      <x:c r="B34" s="1" t="s">
        <x:v>13</x:v>
      </x:c>
      <x:c r="C34" s="16">
        <x:v>2024</x:v>
      </x:c>
      <x:c r="D34" s="20">
        <x:v>0</x:v>
      </x:c>
      <x:c r="E34" s="17">
        <x:f t="shared" si="13"/>
        <x:v>41216064.520000003</x:v>
      </x:c>
      <x:c r="F34" s="20">
        <x:v>41216064.520000003</x:v>
      </x:c>
      <x:c r="G34" s="20">
        <x:v>0</x:v>
      </x:c>
      <x:c r="H34" s="20">
        <x:v>8737945.7400000002</x:v>
      </x:c>
      <x:c r="I34" s="20">
        <x:v>-82572.160000000003</x:v>
      </x:c>
      <x:c r="J34" s="20">
        <x:v>8655373.5800000001</x:v>
      </x:c>
      <x:c r="K34" s="17">
        <x:f t="shared" si="14"/>
        <x:v>8655373.5500000007</x:v>
      </x:c>
      <x:c r="L34" s="1"/>
    </x:row>
    <x:row r="35" spans="1:12" ht="13" x14ac:dyDescent="0.3">
      <x:c r="A35" s="4">
        <x:f t="shared" si="0"/>
        <x:v>26</x:v>
      </x:c>
      <x:c r="B35" s="5" t="s">
        <x:v>37</x:v>
      </x:c>
      <x:c r="C35" s="12"/>
      <x:c r="D35" s="21">
        <x:f t="shared" ref="D35:K35" si="15">SUM(D32:D34)</x:f>
        <x:v>85786304.689999998</x:v>
      </x:c>
      <x:c r="E35" s="21">
        <x:f t="shared" si="15"/>
        <x:v>39143280.910000004</x:v>
      </x:c>
      <x:c r="F35" s="21">
        <x:f t="shared" si="15"/>
        <x:v>124929585.59999999</x:v>
      </x:c>
      <x:c r="G35" s="21">
        <x:f t="shared" si="15"/>
        <x:v>18015124.02</x:v>
      </x:c>
      <x:c r="H35" s="21">
        <x:f t="shared" si="15"/>
        <x:v>8737945.7400000002</x:v>
      </x:c>
      <x:c r="I35" s="21">
        <x:f t="shared" si="15"/>
        <x:v>-517856.70999999996</x:v>
      </x:c>
      <x:c r="J35" s="21">
        <x:f t="shared" si="15"/>
        <x:v>26235213.049999997</x:v>
      </x:c>
      <x:c r="K35" s="21">
        <x:f t="shared" si="15"/>
        <x:v>26235212.98</x:v>
      </x:c>
      <x:c r="L35" s="1"/>
    </x:row>
    <x:row r="36" spans="1:12" x14ac:dyDescent="0.25">
      <x:c r="A36" s="4">
        <x:f t="shared" si="0"/>
        <x:v>27</x:v>
      </x:c>
      <x:c r="L36" s="1"/>
    </x:row>
    <x:row r="37" spans="1:12" x14ac:dyDescent="0.25">
      <x:c r="A37" s="4">
        <x:f t="shared" si="0"/>
        <x:v>28</x:v>
      </x:c>
      <x:c r="B37" s="1" t="s">
        <x:v>14</x:v>
      </x:c>
      <x:c r="C37" s="16">
        <x:v>2022</x:v>
      </x:c>
      <x:c r="D37" s="20">
        <x:v>195734430.46000001</x:v>
      </x:c>
      <x:c r="E37" s="17">
        <x:f t="shared" ref="E37:E39" si="16">+F37-D37</x:f>
        <x:v>-4183653.6000000238</x:v>
      </x:c>
      <x:c r="F37" s="20">
        <x:v>191550776.85999998</x:v>
      </x:c>
      <x:c r="G37" s="20">
        <x:v>41104230.43</x:v>
      </x:c>
      <x:c r="H37" s="20">
        <x:v>0</x:v>
      </x:c>
      <x:c r="I37" s="20">
        <x:v>-878567.27</x:v>
      </x:c>
      <x:c r="J37" s="20">
        <x:v>40225663.159999996</x:v>
      </x:c>
      <x:c r="K37" s="17">
        <x:f>+ROUND(F37*0.21, 2)</x:f>
        <x:v>40225663.140000001</x:v>
      </x:c>
      <x:c r="L37" s="1"/>
    </x:row>
    <x:row r="38" spans="1:12" s="5" customFormat="1" ht="13" x14ac:dyDescent="0.3">
      <x:c r="A38" s="4">
        <x:f t="shared" si="0"/>
        <x:v>29</x:v>
      </x:c>
      <x:c r="B38" s="1" t="s">
        <x:v>14</x:v>
      </x:c>
      <x:c r="C38" s="16">
        <x:v>2023</x:v>
      </x:c>
      <x:c r="D38" s="20">
        <x:v>206341634.43000001</x:v>
      </x:c>
      <x:c r="E38" s="17">
        <x:f t="shared" si="16"/>
        <x:v>-3799648</x:v>
      </x:c>
      <x:c r="F38" s="20">
        <x:v>202541986.43000001</x:v>
      </x:c>
      <x:c r="G38" s="20">
        <x:v>43331743.259999998</x:v>
      </x:c>
      <x:c r="H38" s="20">
        <x:v>0</x:v>
      </x:c>
      <x:c r="I38" s="20">
        <x:v>-797926.1</x:v>
      </x:c>
      <x:c r="J38" s="20">
        <x:v>42533817.159999996</x:v>
      </x:c>
      <x:c r="K38" s="17">
        <x:f t="shared" ref="K38:K39" si="17">+ROUND(F38*0.21, 2)</x:f>
        <x:v>42533817.149999999</x:v>
      </x:c>
    </x:row>
    <x:row r="39" spans="1:12" x14ac:dyDescent="0.25">
      <x:c r="A39" s="4">
        <x:f t="shared" si="0"/>
        <x:v>30</x:v>
      </x:c>
      <x:c r="B39" s="1" t="s">
        <x:v>14</x:v>
      </x:c>
      <x:c r="C39" s="16">
        <x:v>2024</x:v>
      </x:c>
      <x:c r="D39" s="20">
        <x:v>0</x:v>
      </x:c>
      <x:c r="E39" s="17">
        <x:f t="shared" si="16"/>
        <x:v>206430745.31999999</x:v>
      </x:c>
      <x:c r="F39" s="20">
        <x:v>206430745.31999999</x:v>
      </x:c>
      <x:c r="G39" s="20">
        <x:v>0</x:v>
      </x:c>
      <x:c r="H39" s="20">
        <x:v>43703248.280000001</x:v>
      </x:c>
      <x:c r="I39" s="20">
        <x:v>-352791.72</x:v>
      </x:c>
      <x:c r="J39" s="20">
        <x:v>43350456.559999995</x:v>
      </x:c>
      <x:c r="K39" s="17">
        <x:f t="shared" si="17"/>
        <x:v>43350456.520000003</x:v>
      </x:c>
      <x:c r="L39" s="1"/>
    </x:row>
    <x:row r="40" spans="1:12" s="2" customFormat="1" ht="13" x14ac:dyDescent="0.3">
      <x:c r="A40" s="4">
        <x:f t="shared" si="0"/>
        <x:v>31</x:v>
      </x:c>
      <x:c r="B40" s="5" t="s">
        <x:v>38</x:v>
      </x:c>
      <x:c r="C40" s="12"/>
      <x:c r="D40" s="18">
        <x:f t="shared" ref="D40:K40" si="18">SUM(D37:D39)</x:f>
        <x:v>402076064.88999999</x:v>
      </x:c>
      <x:c r="E40" s="18">
        <x:f t="shared" si="18"/>
        <x:v>198447443.71999997</x:v>
      </x:c>
      <x:c r="F40" s="18">
        <x:f t="shared" si="18"/>
        <x:v>600523508.6099999</x:v>
      </x:c>
      <x:c r="G40" s="18">
        <x:f t="shared" si="18"/>
        <x:v>84435973.689999998</x:v>
      </x:c>
      <x:c r="H40" s="18">
        <x:f t="shared" si="18"/>
        <x:v>43703248.280000001</x:v>
      </x:c>
      <x:c r="I40" s="18">
        <x:f t="shared" si="18"/>
        <x:v>-2029285.09</x:v>
      </x:c>
      <x:c r="J40" s="18">
        <x:f t="shared" si="18"/>
        <x:v>126109936.88</x:v>
      </x:c>
      <x:c r="K40" s="18">
        <x:f t="shared" si="18"/>
        <x:v>126109936.81</x:v>
      </x:c>
    </x:row>
    <x:row r="41" spans="1:12" x14ac:dyDescent="0.25">
      <x:c r="A41" s="4">
        <x:f t="shared" si="0"/>
        <x:v>32</x:v>
      </x:c>
      <x:c r="L41" s="1"/>
    </x:row>
    <x:row r="42" spans="1:12" x14ac:dyDescent="0.25">
      <x:c r="A42" s="4">
        <x:f t="shared" si="0"/>
        <x:v>33</x:v>
      </x:c>
      <x:c r="B42" s="1" t="s">
        <x:v>15</x:v>
      </x:c>
      <x:c r="C42" s="16">
        <x:v>2022</x:v>
      </x:c>
      <x:c r="D42" s="20">
        <x:v>-17798023.539999999</x:v>
      </x:c>
      <x:c r="E42" s="17">
        <x:f t="shared" ref="E42:E44" si="19">+F42-D42</x:f>
        <x:v>1692654.1399999987</x:v>
      </x:c>
      <x:c r="F42" s="20">
        <x:v>-16105369.4</x:v>
      </x:c>
      <x:c r="G42" s="20">
        <x:v>-3737584.86</x:v>
      </x:c>
      <x:c r="H42" s="20">
        <x:v>0</x:v>
      </x:c>
      <x:c r="I42" s="20">
        <x:v>355457.39</x:v>
      </x:c>
      <x:c r="J42" s="20">
        <x:v>-3382127.47</x:v>
      </x:c>
      <x:c r="K42" s="17">
        <x:f>+ROUND(F42*0.21, 2)</x:f>
        <x:v>-3382127.57</x:v>
      </x:c>
      <x:c r="L42" s="1"/>
    </x:row>
    <x:row r="43" spans="1:12" x14ac:dyDescent="0.25">
      <x:c r="A43" s="4">
        <x:f t="shared" si="0"/>
        <x:v>34</x:v>
      </x:c>
      <x:c r="B43" s="1" t="s">
        <x:v>15</x:v>
      </x:c>
      <x:c r="C43" s="16">
        <x:v>2023</x:v>
      </x:c>
      <x:c r="D43" s="20">
        <x:v>-34448781.810000002</x:v>
      </x:c>
      <x:c r="E43" s="17">
        <x:f t="shared" si="19"/>
        <x:v>3287804.070000004</x:v>
      </x:c>
      <x:c r="F43" s="20">
        <x:v>-31160977.739999998</x:v>
      </x:c>
      <x:c r="G43" s="20">
        <x:v>-7234244.1900000004</x:v>
      </x:c>
      <x:c r="H43" s="20">
        <x:v>0</x:v>
      </x:c>
      <x:c r="I43" s="20">
        <x:v>690438.89</x:v>
      </x:c>
      <x:c r="J43" s="20">
        <x:v>-6543805.2999999998</x:v>
      </x:c>
      <x:c r="K43" s="17">
        <x:f t="shared" ref="K43:K44" si="20">+ROUND(F43*0.21, 2)</x:f>
        <x:v>-6543805.3300000001</x:v>
      </x:c>
      <x:c r="L43" s="1"/>
    </x:row>
    <x:row r="44" spans="1:12" x14ac:dyDescent="0.25">
      <x:c r="A44" s="4">
        <x:f t="shared" si="0"/>
        <x:v>35</x:v>
      </x:c>
      <x:c r="B44" s="1" t="s">
        <x:v>15</x:v>
      </x:c>
      <x:c r="C44" s="16">
        <x:v>2024</x:v>
      </x:c>
      <x:c r="D44" s="20">
        <x:v>0</x:v>
      </x:c>
      <x:c r="E44" s="17">
        <x:f t="shared" si="19"/>
        <x:v>-60990347.82</x:v>
      </x:c>
      <x:c r="F44" s="20">
        <x:v>-60990347.82</x:v>
      </x:c>
      <x:c r="G44" s="20">
        <x:v>0</x:v>
      </x:c>
      <x:c r="H44" s="20">
        <x:v>-13292580.01</x:v>
      </x:c>
      <x:c r="I44" s="20">
        <x:v>484606.99</x:v>
      </x:c>
      <x:c r="J44" s="20">
        <x:v>-12807973.02</x:v>
      </x:c>
      <x:c r="K44" s="17">
        <x:f t="shared" si="20"/>
        <x:v>-12807973.039999999</x:v>
      </x:c>
      <x:c r="L44" s="1"/>
    </x:row>
    <x:row r="45" spans="1:12" s="5" customFormat="1" ht="13" x14ac:dyDescent="0.3">
      <x:c r="A45" s="4">
        <x:f t="shared" si="0"/>
        <x:v>36</x:v>
      </x:c>
      <x:c r="B45" s="5" t="s">
        <x:v>39</x:v>
      </x:c>
      <x:c r="C45" s="12"/>
      <x:c r="D45" s="21">
        <x:f t="shared" ref="D45:K45" si="21">SUM(D42:D44)</x:f>
        <x:v>-52246805.350000001</x:v>
      </x:c>
      <x:c r="E45" s="21">
        <x:f t="shared" si="21"/>
        <x:v>-56009889.609999999</x:v>
      </x:c>
      <x:c r="F45" s="21">
        <x:f t="shared" si="21"/>
        <x:v>-108256694.96000001</x:v>
      </x:c>
      <x:c r="G45" s="21">
        <x:f t="shared" si="21"/>
        <x:v>-10971829.050000001</x:v>
      </x:c>
      <x:c r="H45" s="21">
        <x:f t="shared" si="21"/>
        <x:v>-13292580.01</x:v>
      </x:c>
      <x:c r="I45" s="21">
        <x:f t="shared" si="21"/>
        <x:v>1530503.27</x:v>
      </x:c>
      <x:c r="J45" s="21">
        <x:f t="shared" si="21"/>
        <x:v>-22733905.789999999</x:v>
      </x:c>
      <x:c r="K45" s="21">
        <x:f t="shared" si="21"/>
        <x:v>-22733905.939999998</x:v>
      </x:c>
    </x:row>
    <x:row r="46" spans="1:12" x14ac:dyDescent="0.25">
      <x:c r="A46" s="4">
        <x:f t="shared" si="0"/>
        <x:v>37</x:v>
      </x:c>
      <x:c r="L46" s="1"/>
    </x:row>
    <x:row r="47" spans="1:12" s="2" customFormat="1" x14ac:dyDescent="0.25">
      <x:c r="A47" s="4">
        <x:f t="shared" si="0"/>
        <x:v>38</x:v>
      </x:c>
      <x:c r="B47" s="1" t="s">
        <x:v>16</x:v>
      </x:c>
      <x:c r="C47" s="16">
        <x:v>2022</x:v>
      </x:c>
      <x:c r="D47" s="20">
        <x:v>14656482.68</x:v>
      </x:c>
      <x:c r="E47" s="17">
        <x:f t="shared" ref="E47:E49" si="22">+F47-D47</x:f>
        <x:v>-365994.78999999911</x:v>
      </x:c>
      <x:c r="F47" s="20">
        <x:v>14290487.890000001</x:v>
      </x:c>
      <x:c r="G47" s="20">
        <x:v>3077861.34</x:v>
      </x:c>
      <x:c r="H47" s="20">
        <x:v>0</x:v>
      </x:c>
      <x:c r="I47" s="20">
        <x:v>-76858.960000000006</x:v>
      </x:c>
      <x:c r="J47" s="20">
        <x:v>3001002.38</x:v>
      </x:c>
      <x:c r="K47" s="17">
        <x:f>+ROUND(F47*0.21, 2)</x:f>
        <x:v>3001002.46</x:v>
      </x:c>
    </x:row>
    <x:row r="48" spans="1:12" x14ac:dyDescent="0.25">
      <x:c r="A48" s="4">
        <x:f t="shared" si="0"/>
        <x:v>39</x:v>
      </x:c>
      <x:c r="B48" s="1" t="s">
        <x:v>16</x:v>
      </x:c>
      <x:c r="C48" s="16">
        <x:v>2023</x:v>
      </x:c>
      <x:c r="D48" s="20">
        <x:v>-16688655.07</x:v>
      </x:c>
      <x:c r="E48" s="17">
        <x:f t="shared" si="22"/>
        <x:v>370428.70000000112</x:v>
      </x:c>
      <x:c r="F48" s="20">
        <x:v>-16318226.369999999</x:v>
      </x:c>
      <x:c r="G48" s="20">
        <x:v>-3504617.56</x:v>
      </x:c>
      <x:c r="H48" s="20">
        <x:v>0</x:v>
      </x:c>
      <x:c r="I48" s="20">
        <x:v>77790</x:v>
      </x:c>
      <x:c r="J48" s="20">
        <x:v>-3426827.56</x:v>
      </x:c>
      <x:c r="K48" s="17">
        <x:f t="shared" ref="K48:K49" si="23">+ROUND(F48*0.21, 2)</x:f>
        <x:v>-3426827.54</x:v>
      </x:c>
      <x:c r="L48" s="1"/>
    </x:row>
    <x:row r="49" spans="1:12" x14ac:dyDescent="0.25">
      <x:c r="A49" s="4">
        <x:f t="shared" si="0"/>
        <x:v>40</x:v>
      </x:c>
      <x:c r="B49" s="1" t="s">
        <x:v>16</x:v>
      </x:c>
      <x:c r="C49" s="16">
        <x:v>2024</x:v>
      </x:c>
      <x:c r="D49" s="20">
        <x:v>0</x:v>
      </x:c>
      <x:c r="E49" s="17">
        <x:f t="shared" si="22"/>
        <x:v>9793261.5500000007</x:v>
      </x:c>
      <x:c r="F49" s="20">
        <x:v>9793261.5500000007</x:v>
      </x:c>
      <x:c r="G49" s="20">
        <x:v>0</x:v>
      </x:c>
      <x:c r="H49" s="20">
        <x:v>2076270.2</x:v>
      </x:c>
      <x:c r="I49" s="20">
        <x:v>-19685.259999999998</x:v>
      </x:c>
      <x:c r="J49" s="20">
        <x:v>2056584.94</x:v>
      </x:c>
      <x:c r="K49" s="17">
        <x:f t="shared" si="23"/>
        <x:v>2056584.93</x:v>
      </x:c>
      <x:c r="L49" s="1"/>
    </x:row>
    <x:row r="50" spans="1:12" ht="13" x14ac:dyDescent="0.3">
      <x:c r="A50" s="4">
        <x:f t="shared" si="0"/>
        <x:v>41</x:v>
      </x:c>
      <x:c r="B50" s="5" t="s">
        <x:v>40</x:v>
      </x:c>
      <x:c r="C50" s="12"/>
      <x:c r="D50" s="21">
        <x:f t="shared" ref="D50:K50" si="24">SUM(D47:D49)</x:f>
        <x:v>-2032172.3900000006</x:v>
      </x:c>
      <x:c r="E50" s="21">
        <x:f t="shared" si="24"/>
        <x:v>9797695.4600000028</x:v>
      </x:c>
      <x:c r="F50" s="21">
        <x:f t="shared" si="24"/>
        <x:v>7765523.0700000022</x:v>
      </x:c>
      <x:c r="G50" s="21">
        <x:f t="shared" si="24"/>
        <x:v>-426756.2200000002</x:v>
      </x:c>
      <x:c r="H50" s="21">
        <x:f t="shared" si="24"/>
        <x:v>2076270.2</x:v>
      </x:c>
      <x:c r="I50" s="21">
        <x:f t="shared" si="24"/>
        <x:v>-18754.220000000005</x:v>
      </x:c>
      <x:c r="J50" s="21">
        <x:f t="shared" si="24"/>
        <x:v>1630759.7599999998</x:v>
      </x:c>
      <x:c r="K50" s="21">
        <x:f t="shared" si="24"/>
        <x:v>1630759.8499999999</x:v>
      </x:c>
      <x:c r="L50" s="1"/>
    </x:row>
    <x:row r="51" spans="1:12" x14ac:dyDescent="0.25">
      <x:c r="A51" s="4">
        <x:f t="shared" si="0"/>
        <x:v>42</x:v>
      </x:c>
      <x:c r="L51" s="1"/>
    </x:row>
    <x:row r="52" spans="1:12" s="5" customFormat="1" ht="13" x14ac:dyDescent="0.3">
      <x:c r="A52" s="4">
        <x:f t="shared" si="0"/>
        <x:v>43</x:v>
      </x:c>
      <x:c r="B52" s="1" t="s">
        <x:v>45</x:v>
      </x:c>
      <x:c r="C52" s="16" t="s">
        <x:v>45</x:v>
      </x:c>
      <x:c r="D52" s="17">
        <x:v>-1615268360.52</x:v>
      </x:c>
      <x:c r="E52" s="17">
        <x:f t="shared" ref="E52:E53" si="25">+F52-D52</x:f>
        <x:v>-80437341.430000067</x:v>
      </x:c>
      <x:c r="F52" s="17">
        <x:v>-1695705701.95</x:v>
      </x:c>
      <x:c r="G52" s="17">
        <x:v>-339206355.72000003</x:v>
      </x:c>
      <x:c r="H52" s="17">
        <x:v>-16878271.010000002</x:v>
      </x:c>
      <x:c r="I52" s="17">
        <x:v>-13570.68</x:v>
      </x:c>
      <x:c r="J52" s="17">
        <x:v>-356098197.41000003</x:v>
      </x:c>
      <x:c r="K52" s="17">
        <x:f t="shared" ref="K52:K53" si="26">+ROUND(F52*0.21, 2)</x:f>
        <x:v>-356098197.41000003</x:v>
      </x:c>
    </x:row>
    <x:row r="53" spans="1:12" x14ac:dyDescent="0.25">
      <x:c r="A53" s="4">
        <x:f t="shared" si="0"/>
        <x:v>44</x:v>
      </x:c>
      <x:c r="B53" s="1" t="s">
        <x:v>45</x:v>
      </x:c>
      <x:c r="C53" s="16" t="s">
        <x:v>46</x:v>
      </x:c>
      <x:c r="D53" s="20">
        <x:v>0</x:v>
      </x:c>
      <x:c r="E53" s="17">
        <x:f t="shared" si="25"/>
        <x:v>0</x:v>
      </x:c>
      <x:c r="F53" s="20">
        <x:v>0</x:v>
      </x:c>
      <x:c r="G53" s="20">
        <x:v>11813063.840000004</x:v>
      </x:c>
      <x:c r="H53" s="20">
        <x:v>0</x:v>
      </x:c>
      <x:c r="I53" s="20">
        <x:v>-46071206.599999994</x:v>
      </x:c>
      <x:c r="J53" s="20">
        <x:v>-34258142.760000005</x:v>
      </x:c>
      <x:c r="K53" s="17">
        <x:f t="shared" si="26"/>
        <x:v>0</x:v>
      </x:c>
      <x:c r="L53" s="1"/>
    </x:row>
    <x:row r="54" spans="1:12" s="2" customFormat="1" ht="13" x14ac:dyDescent="0.3">
      <x:c r="A54" s="4">
        <x:f t="shared" si="0"/>
        <x:v>45</x:v>
      </x:c>
      <x:c r="B54" s="5" t="s">
        <x:v>47</x:v>
      </x:c>
      <x:c r="C54" s="12"/>
      <x:c r="D54" s="21">
        <x:f>SUM(D52:D53)</x:f>
        <x:v>-1615268360.52</x:v>
      </x:c>
      <x:c r="E54" s="21">
        <x:f t="shared" ref="E54:K54" si="27">SUM(E52:E53)</x:f>
        <x:v>-80437341.430000067</x:v>
      </x:c>
      <x:c r="F54" s="21">
        <x:f t="shared" si="27"/>
        <x:v>-1695705701.95</x:v>
      </x:c>
      <x:c r="G54" s="21">
        <x:f t="shared" si="27"/>
        <x:v>-327393291.88</x:v>
      </x:c>
      <x:c r="H54" s="21">
        <x:f t="shared" si="27"/>
        <x:v>-16878271.010000002</x:v>
      </x:c>
      <x:c r="I54" s="21">
        <x:f t="shared" si="27"/>
        <x:v>-46084777.279999994</x:v>
      </x:c>
      <x:c r="J54" s="21">
        <x:f t="shared" si="27"/>
        <x:v>-390356340.17000002</x:v>
      </x:c>
      <x:c r="K54" s="21">
        <x:f t="shared" si="27"/>
        <x:v>-356098197.41000003</x:v>
      </x:c>
    </x:row>
    <x:row r="55" spans="1:12" ht="13" x14ac:dyDescent="0.3">
      <x:c r="A55" s="4">
        <x:f t="shared" si="0"/>
        <x:v>46</x:v>
      </x:c>
      <x:c r="B55" s="5"/>
      <x:c r="C55" s="12"/>
      <x:c r="D55" s="19"/>
      <x:c r="E55" s="19"/>
      <x:c r="F55" s="19"/>
      <x:c r="G55" s="19"/>
      <x:c r="H55" s="19"/>
      <x:c r="I55" s="19"/>
      <x:c r="J55" s="19"/>
      <x:c r="K55" s="19"/>
      <x:c r="L55" s="1"/>
    </x:row>
    <x:row r="56" spans="1:12" x14ac:dyDescent="0.25">
      <x:c r="A56" s="4">
        <x:f t="shared" si="0"/>
        <x:v>47</x:v>
      </x:c>
      <x:c r="B56" s="1" t="s">
        <x:v>17</x:v>
      </x:c>
      <x:c r="C56" s="16">
        <x:v>2022</x:v>
      </x:c>
      <x:c r="D56" s="20">
        <x:v>0</x:v>
      </x:c>
      <x:c r="E56" s="17">
        <x:f t="shared" ref="E56:E58" si="28">+F56-D56</x:f>
        <x:v>0</x:v>
      </x:c>
      <x:c r="F56" s="20">
        <x:v>0</x:v>
      </x:c>
      <x:c r="G56" s="20">
        <x:v>0</x:v>
      </x:c>
      <x:c r="H56" s="20">
        <x:v>0</x:v>
      </x:c>
      <x:c r="I56" s="20">
        <x:v>0</x:v>
      </x:c>
      <x:c r="J56" s="20">
        <x:v>0</x:v>
      </x:c>
      <x:c r="K56" s="20">
        <x:v>0</x:v>
      </x:c>
      <x:c r="L56" s="1"/>
    </x:row>
    <x:row r="57" spans="1:12" x14ac:dyDescent="0.25">
      <x:c r="A57" s="4">
        <x:f t="shared" si="0"/>
        <x:v>48</x:v>
      </x:c>
      <x:c r="B57" s="1" t="s">
        <x:v>17</x:v>
      </x:c>
      <x:c r="C57" s="16">
        <x:v>2023</x:v>
      </x:c>
      <x:c r="D57" s="20">
        <x:v>0</x:v>
      </x:c>
      <x:c r="E57" s="17">
        <x:f t="shared" si="28"/>
        <x:v>0</x:v>
      </x:c>
      <x:c r="F57" s="20">
        <x:v>0</x:v>
      </x:c>
      <x:c r="G57" s="20">
        <x:v>0</x:v>
      </x:c>
      <x:c r="H57" s="20">
        <x:v>0</x:v>
      </x:c>
      <x:c r="I57" s="20">
        <x:v>0</x:v>
      </x:c>
      <x:c r="J57" s="20">
        <x:v>0</x:v>
      </x:c>
      <x:c r="K57" s="20">
        <x:v>0</x:v>
      </x:c>
      <x:c r="L57" s="1"/>
    </x:row>
    <x:row r="58" spans="1:12" x14ac:dyDescent="0.25">
      <x:c r="A58" s="4">
        <x:f t="shared" si="0"/>
        <x:v>49</x:v>
      </x:c>
      <x:c r="B58" s="1" t="s">
        <x:v>17</x:v>
      </x:c>
      <x:c r="C58" s="16">
        <x:v>2024</x:v>
      </x:c>
      <x:c r="D58" s="20">
        <x:v>0</x:v>
      </x:c>
      <x:c r="E58" s="17">
        <x:f t="shared" si="28"/>
        <x:v>0</x:v>
      </x:c>
      <x:c r="F58" s="20">
        <x:v>0</x:v>
      </x:c>
      <x:c r="G58" s="20">
        <x:v>0</x:v>
      </x:c>
      <x:c r="H58" s="20">
        <x:v>0</x:v>
      </x:c>
      <x:c r="I58" s="20">
        <x:v>0</x:v>
      </x:c>
      <x:c r="J58" s="20">
        <x:v>0</x:v>
      </x:c>
      <x:c r="K58" s="20">
        <x:v>0</x:v>
      </x:c>
      <x:c r="L58" s="1"/>
    </x:row>
    <x:row r="59" spans="1:12" s="5" customFormat="1" ht="13" x14ac:dyDescent="0.3">
      <x:c r="A59" s="4">
        <x:f t="shared" si="0"/>
        <x:v>50</x:v>
      </x:c>
      <x:c r="B59" s="5" t="s">
        <x:v>41</x:v>
      </x:c>
      <x:c r="C59" s="12"/>
      <x:c r="D59" s="21">
        <x:f t="shared" ref="D59:K59" si="29">SUM(D56:D58)</x:f>
        <x:v>0</x:v>
      </x:c>
      <x:c r="E59" s="21">
        <x:f t="shared" si="29"/>
        <x:v>0</x:v>
      </x:c>
      <x:c r="F59" s="21">
        <x:f t="shared" si="29"/>
        <x:v>0</x:v>
      </x:c>
      <x:c r="G59" s="21">
        <x:f t="shared" si="29"/>
        <x:v>0</x:v>
      </x:c>
      <x:c r="H59" s="21">
        <x:f t="shared" si="29"/>
        <x:v>0</x:v>
      </x:c>
      <x:c r="I59" s="21">
        <x:f t="shared" si="29"/>
        <x:v>0</x:v>
      </x:c>
      <x:c r="J59" s="21">
        <x:f t="shared" si="29"/>
        <x:v>0</x:v>
      </x:c>
      <x:c r="K59" s="21">
        <x:f t="shared" si="29"/>
        <x:v>0</x:v>
      </x:c>
    </x:row>
    <x:row r="60" spans="1:12" x14ac:dyDescent="0.25">
      <x:c r="A60" s="4">
        <x:f t="shared" si="0"/>
        <x:v>51</x:v>
      </x:c>
      <x:c r="L60" s="1"/>
    </x:row>
    <x:row r="61" spans="1:12" s="2" customFormat="1" ht="13.5" thickBot="1" x14ac:dyDescent="0.35">
      <x:c r="A61" s="4">
        <x:f t="shared" si="0"/>
        <x:v>52</x:v>
      </x:c>
      <x:c r="B61" s="22" t="s">
        <x:v>48</x:v>
      </x:c>
      <x:c r="C61" s="4"/>
      <x:c r="D61" s="23">
        <x:f t="shared" ref="D61:K61" si="30">+D15+D20+D25+D30+D35+D40+D45+D50+D54+D59</x:f>
        <x:v>-596428475.78999984</x:v>
      </x:c>
      <x:c r="E61" s="23">
        <x:f t="shared" si="30"/>
        <x:v>624992413.84999979</x:v>
      </x:c>
      <x:c r="F61" s="23">
        <x:f t="shared" si="30"/>
        <x:v>28563938.059999704</x:v>
      </x:c>
      <x:c r="G61" s="23">
        <x:f t="shared" si="30"/>
        <x:v>-128159843.64000002</x:v>
      </x:c>
      <x:c r="H61" s="23">
        <x:f t="shared" si="30"/>
        <x:v>123190849.04000001</x:v>
      </x:c>
      <x:c r="I61" s="23">
        <x:f t="shared" si="30"/>
        <x:v>-48179407.389999993</x:v>
      </x:c>
      <x:c r="J61" s="23">
        <x:f t="shared" si="30"/>
        <x:v>-53148401.99000001</x:v>
      </x:c>
      <x:c r="K61" s="23">
        <x:f t="shared" si="30"/>
        <x:v>5998427.0199999809</x:v>
      </x:c>
    </x:row>
    <x:row r="62" spans="1:12" x14ac:dyDescent="0.25">
      <x:c r="A62" s="4">
        <x:f t="shared" si="0"/>
        <x:v>53</x:v>
      </x:c>
      <x:c r="L62" s="1"/>
    </x:row>
    <x:row r="63" spans="1:12" ht="13" x14ac:dyDescent="0.3">
      <x:c r="A63" s="4">
        <x:f t="shared" si="0"/>
        <x:v>54</x:v>
      </x:c>
      <x:c r="B63" s="24" t="s">
        <x:v>42</x:v>
      </x:c>
      <x:c r="L63" s="1"/>
    </x:row>
    <x:row r="64" spans="1:12" x14ac:dyDescent="0.25">
      <x:c r="A64" s="4">
        <x:f t="shared" si="0"/>
        <x:v>55</x:v>
      </x:c>
      <x:c r="L64" s="1"/>
    </x:row>
    <x:row r="65" spans="1:13" x14ac:dyDescent="0.25">
      <x:c r="A65" s="4">
        <x:f t="shared" si="0"/>
        <x:v>56</x:v>
      </x:c>
      <x:c r="B65" s="1" t="s">
        <x:v>9</x:v>
      </x:c>
      <x:c r="C65" s="4">
        <x:v>2022</x:v>
      </x:c>
      <x:c r="D65" s="17">
        <x:v>-22400.59</x:v>
      </x:c>
      <x:c r="E65" s="17">
        <x:f t="shared" ref="E65:E67" si="31">+F65-D65</x:f>
        <x:v>2689.8600000000006</x:v>
      </x:c>
      <x:c r="F65" s="17">
        <x:v>-19710.73</x:v>
      </x:c>
      <x:c r="G65" s="17">
        <x:v>-4704.1099999999997</x:v>
      </x:c>
      <x:c r="H65" s="17">
        <x:v>485.22</x:v>
      </x:c>
      <x:c r="I65" s="17">
        <x:v>79.650000000000006</x:v>
      </x:c>
      <x:c r="J65" s="17">
        <x:v>-4139.24</x:v>
      </x:c>
      <x:c r="K65" s="17">
        <x:f>+ROUND(F65*0.21, 2)</x:f>
        <x:v>-4139.25</x:v>
      </x:c>
      <x:c r="L65" s="1"/>
    </x:row>
    <x:row r="66" spans="1:13" s="5" customFormat="1" ht="13" x14ac:dyDescent="0.3">
      <x:c r="A66" s="4">
        <x:f t="shared" si="0"/>
        <x:v>57</x:v>
      </x:c>
      <x:c r="B66" s="1" t="s">
        <x:v>9</x:v>
      </x:c>
      <x:c r="C66" s="4">
        <x:v>2023</x:v>
      </x:c>
      <x:c r="D66" s="17">
        <x:v>22009.14</x:v>
      </x:c>
      <x:c r="E66" s="17">
        <x:f t="shared" si="31"/>
        <x:v>58758.66</x:v>
      </x:c>
      <x:c r="F66" s="17">
        <x:v>80767.8</x:v>
      </x:c>
      <x:c r="G66" s="17">
        <x:v>4621.93</x:v>
      </x:c>
      <x:c r="H66" s="17">
        <x:v>12326.87</x:v>
      </x:c>
      <x:c r="I66" s="17">
        <x:v>12.47</x:v>
      </x:c>
      <x:c r="J66" s="17">
        <x:v>16961.27</x:v>
      </x:c>
      <x:c r="K66" s="17">
        <x:f t="shared" ref="K66:K67" si="32">+ROUND(F66*0.21, 2)</x:f>
        <x:v>16961.240000000002</x:v>
      </x:c>
    </x:row>
    <x:row r="67" spans="1:13" x14ac:dyDescent="0.25">
      <x:c r="A67" s="4">
        <x:f t="shared" si="0"/>
        <x:v>58</x:v>
      </x:c>
      <x:c r="B67" s="1" t="s">
        <x:v>9</x:v>
      </x:c>
      <x:c r="C67" s="4">
        <x:v>2024</x:v>
      </x:c>
      <x:c r="D67" s="17">
        <x:v>0</x:v>
      </x:c>
      <x:c r="E67" s="17">
        <x:f t="shared" si="31"/>
        <x:v>4041.92</x:v>
      </x:c>
      <x:c r="F67" s="17">
        <x:v>4041.92</x:v>
      </x:c>
      <x:c r="G67" s="17">
        <x:v>0</x:v>
      </x:c>
      <x:c r="H67" s="17">
        <x:v>848.8</x:v>
      </x:c>
      <x:c r="I67" s="17">
        <x:v>0</x:v>
      </x:c>
      <x:c r="J67" s="17">
        <x:v>848.8</x:v>
      </x:c>
      <x:c r="K67" s="17">
        <x:f t="shared" si="32"/>
        <x:v>848.8</x:v>
      </x:c>
      <x:c r="L67" s="1"/>
    </x:row>
    <x:row r="68" spans="1:13" ht="13" x14ac:dyDescent="0.3">
      <x:c r="A68" s="4">
        <x:f t="shared" si="0"/>
        <x:v>59</x:v>
      </x:c>
      <x:c r="B68" s="5" t="s">
        <x:v>33</x:v>
      </x:c>
      <x:c r="C68" s="12"/>
      <x:c r="D68" s="18">
        <x:f t="shared" ref="D68:K68" si="33">SUM(D65:D67)</x:f>
        <x:v>-391.45000000000073</x:v>
      </x:c>
      <x:c r="E68" s="18">
        <x:f t="shared" si="33"/>
        <x:v>65490.44</x:v>
      </x:c>
      <x:c r="F68" s="18">
        <x:f t="shared" si="33"/>
        <x:v>65098.990000000005</x:v>
      </x:c>
      <x:c r="G68" s="18">
        <x:f t="shared" si="33"/>
        <x:v>-82.179999999999382</x:v>
      </x:c>
      <x:c r="H68" s="18">
        <x:f t="shared" si="33"/>
        <x:v>13660.89</x:v>
      </x:c>
      <x:c r="I68" s="18">
        <x:f t="shared" si="33"/>
        <x:v>92.12</x:v>
      </x:c>
      <x:c r="J68" s="18">
        <x:f t="shared" si="33"/>
        <x:v>13670.83</x:v>
      </x:c>
      <x:c r="K68" s="18">
        <x:f t="shared" si="33"/>
        <x:v>13670.79</x:v>
      </x:c>
      <x:c r="L68" s="1"/>
    </x:row>
    <x:row r="69" spans="1:13" ht="13" x14ac:dyDescent="0.3">
      <x:c r="A69" s="4">
        <x:f t="shared" si="0"/>
        <x:v>60</x:v>
      </x:c>
      <x:c r="B69" s="5"/>
      <x:c r="E69" s="33"/>
      <x:c r="F69" s="33"/>
      <x:c r="G69" s="33"/>
      <x:c r="H69" s="33"/>
      <x:c r="I69" s="33"/>
      <x:c r="J69" s="33"/>
      <x:c r="K69" s="33"/>
      <x:c r="L69" s="1"/>
    </x:row>
    <x:row r="70" spans="1:13" x14ac:dyDescent="0.25">
      <x:c r="A70" s="4">
        <x:f t="shared" si="0"/>
        <x:v>61</x:v>
      </x:c>
      <x:c r="B70" s="1" t="s">
        <x:v>10</x:v>
      </x:c>
      <x:c r="C70" s="4">
        <x:v>2022</x:v>
      </x:c>
      <x:c r="D70" s="17">
        <x:v>7184.19</x:v>
      </x:c>
      <x:c r="E70" s="17">
        <x:f t="shared" ref="E70:E72" si="34">+F70-D70</x:f>
        <x:v>-153.00999999999931</x:v>
      </x:c>
      <x:c r="F70" s="17">
        <x:v>7031.18</x:v>
      </x:c>
      <x:c r="G70" s="17">
        <x:v>1508.69</x:v>
      </x:c>
      <x:c r="H70" s="17">
        <x:v>0</x:v>
      </x:c>
      <x:c r="I70" s="17">
        <x:v>-32.130000000000003</x:v>
      </x:c>
      <x:c r="J70" s="17">
        <x:v>1476.56</x:v>
      </x:c>
      <x:c r="K70" s="17">
        <x:f>+ROUND(F70*0.21, 2)</x:f>
        <x:v>1476.55</x:v>
      </x:c>
      <x:c r="L70" s="1"/>
    </x:row>
    <x:row r="71" spans="1:13" x14ac:dyDescent="0.25">
      <x:c r="A71" s="4">
        <x:f t="shared" si="0"/>
        <x:v>62</x:v>
      </x:c>
      <x:c r="B71" s="1" t="s">
        <x:v>10</x:v>
      </x:c>
      <x:c r="C71" s="4">
        <x:v>2023</x:v>
      </x:c>
      <x:c r="D71" s="17">
        <x:v>6471.77</x:v>
      </x:c>
      <x:c r="E71" s="17">
        <x:f t="shared" si="34"/>
        <x:v>-176.71000000000004</x:v>
      </x:c>
      <x:c r="F71" s="17">
        <x:v>6295.06</x:v>
      </x:c>
      <x:c r="G71" s="17">
        <x:v>1359.08</x:v>
      </x:c>
      <x:c r="H71" s="17">
        <x:v>0</x:v>
      </x:c>
      <x:c r="I71" s="17">
        <x:v>-37.1</x:v>
      </x:c>
      <x:c r="J71" s="17">
        <x:v>1321.98</x:v>
      </x:c>
      <x:c r="K71" s="17">
        <x:f t="shared" ref="K71:K72" si="35">+ROUND(F71*0.21, 2)</x:f>
        <x:v>1321.96</x:v>
      </x:c>
      <x:c r="L71" s="1"/>
    </x:row>
    <x:row r="72" spans="1:13" x14ac:dyDescent="0.25">
      <x:c r="A72" s="4">
        <x:f t="shared" si="0"/>
        <x:v>63</x:v>
      </x:c>
      <x:c r="B72" s="1" t="s">
        <x:v>10</x:v>
      </x:c>
      <x:c r="C72" s="4">
        <x:v>2024</x:v>
      </x:c>
      <x:c r="D72" s="17">
        <x:v>0</x:v>
      </x:c>
      <x:c r="E72" s="17">
        <x:f t="shared" si="34"/>
        <x:v>7688.89</x:v>
      </x:c>
      <x:c r="F72" s="17">
        <x:v>7688.89</x:v>
      </x:c>
      <x:c r="G72" s="17">
        <x:v>0</x:v>
      </x:c>
      <x:c r="H72" s="17">
        <x:v>1631.84</x:v>
      </x:c>
      <x:c r="I72" s="17">
        <x:v>-17.18</x:v>
      </x:c>
      <x:c r="J72" s="17">
        <x:v>1614.66</x:v>
      </x:c>
      <x:c r="K72" s="17">
        <x:f t="shared" si="35"/>
        <x:v>1614.67</x:v>
      </x:c>
      <x:c r="L72" s="1"/>
    </x:row>
    <x:row r="73" spans="1:13" s="5" customFormat="1" ht="13" x14ac:dyDescent="0.3">
      <x:c r="A73" s="4">
        <x:f t="shared" si="0"/>
        <x:v>64</x:v>
      </x:c>
      <x:c r="B73" s="5" t="s">
        <x:v>34</x:v>
      </x:c>
      <x:c r="C73" s="12"/>
      <x:c r="D73" s="18">
        <x:f t="shared" ref="D73:K73" si="36">SUM(D70:D72)</x:f>
        <x:v>13655.96</x:v>
      </x:c>
      <x:c r="E73" s="18">
        <x:f t="shared" si="36"/>
        <x:v>7359.170000000001</x:v>
      </x:c>
      <x:c r="F73" s="18">
        <x:f t="shared" si="36"/>
        <x:v>21015.13</x:v>
      </x:c>
      <x:c r="G73" s="18">
        <x:f t="shared" si="36"/>
        <x:v>2867.77</x:v>
      </x:c>
      <x:c r="H73" s="18">
        <x:f t="shared" si="36"/>
        <x:v>1631.84</x:v>
      </x:c>
      <x:c r="I73" s="18">
        <x:f t="shared" si="36"/>
        <x:v>-86.41</x:v>
      </x:c>
      <x:c r="J73" s="18">
        <x:f t="shared" si="36"/>
        <x:v>4413.2</x:v>
      </x:c>
      <x:c r="K73" s="18">
        <x:f t="shared" si="36"/>
        <x:v>4413.18</x:v>
      </x:c>
    </x:row>
    <x:row r="74" spans="1:13" ht="13" x14ac:dyDescent="0.3">
      <x:c r="A74" s="4">
        <x:f t="shared" si="0"/>
        <x:v>65</x:v>
      </x:c>
      <x:c r="E74" s="33"/>
      <x:c r="F74" s="33"/>
      <x:c r="G74" s="33"/>
      <x:c r="H74" s="33"/>
      <x:c r="I74" s="33"/>
      <x:c r="J74" s="33"/>
      <x:c r="K74" s="33"/>
      <x:c r="L74" s="1"/>
    </x:row>
    <x:row r="75" spans="1:13" x14ac:dyDescent="0.25">
      <x:c r="A75" s="4">
        <x:f t="shared" ref="A75:A97" si="37">+A74+1</x:f>
        <x:v>66</x:v>
      </x:c>
      <x:c r="B75" s="1" t="s">
        <x:v>12</x:v>
      </x:c>
      <x:c r="C75" s="4">
        <x:v>2022</x:v>
      </x:c>
      <x:c r="D75" s="17">
        <x:v>-457481.52</x:v>
      </x:c>
      <x:c r="E75" s="17">
        <x:f t="shared" ref="E75:E77" si="38">+F75-D75</x:f>
        <x:v>45745.420000000042</x:v>
      </x:c>
      <x:c r="F75" s="17">
        <x:v>-411736.1</x:v>
      </x:c>
      <x:c r="G75" s="17">
        <x:v>-96071.12</x:v>
      </x:c>
      <x:c r="H75" s="17">
        <x:v>0</x:v>
      </x:c>
      <x:c r="I75" s="17">
        <x:v>9606.5400000000009</x:v>
      </x:c>
      <x:c r="J75" s="17">
        <x:v>-86464.58</x:v>
      </x:c>
      <x:c r="K75" s="17">
        <x:f>+ROUND(F75*0.21, 2)</x:f>
        <x:v>-86464.58</x:v>
      </x:c>
      <x:c r="L75" s="1"/>
    </x:row>
    <x:row r="76" spans="1:13" x14ac:dyDescent="0.25">
      <x:c r="A76" s="4">
        <x:f t="shared" si="37"/>
        <x:v>67</x:v>
      </x:c>
      <x:c r="B76" s="1" t="s">
        <x:v>12</x:v>
      </x:c>
      <x:c r="C76" s="4">
        <x:v>2023</x:v>
      </x:c>
      <x:c r="D76" s="17">
        <x:v>-36.229999999999997</x:v>
      </x:c>
      <x:c r="E76" s="17">
        <x:f t="shared" si="38"/>
        <x:v>2.7199999999999989</x:v>
      </x:c>
      <x:c r="F76" s="17">
        <x:v>-33.51</x:v>
      </x:c>
      <x:c r="G76" s="17">
        <x:v>-7.61</x:v>
      </x:c>
      <x:c r="H76" s="17">
        <x:v>0</x:v>
      </x:c>
      <x:c r="I76" s="17">
        <x:v>0.56999999999999995</x:v>
      </x:c>
      <x:c r="J76" s="17">
        <x:v>-7.04</x:v>
      </x:c>
      <x:c r="K76" s="17">
        <x:f t="shared" ref="K76:K77" si="39">+ROUND(F76*0.21, 2)</x:f>
        <x:v>-7.04</x:v>
      </x:c>
    </x:row>
    <x:row r="77" spans="1:13" x14ac:dyDescent="0.25">
      <x:c r="A77" s="4">
        <x:f t="shared" si="37"/>
        <x:v>68</x:v>
      </x:c>
      <x:c r="B77" s="1" t="s">
        <x:v>12</x:v>
      </x:c>
      <x:c r="C77" s="4">
        <x:v>2024</x:v>
      </x:c>
      <x:c r="D77" s="17">
        <x:v>0</x:v>
      </x:c>
      <x:c r="E77" s="17">
        <x:f t="shared" si="38"/>
        <x:v>0</x:v>
      </x:c>
      <x:c r="F77" s="17">
        <x:v>0</x:v>
      </x:c>
      <x:c r="G77" s="17">
        <x:v>0</x:v>
      </x:c>
      <x:c r="H77" s="17">
        <x:v>0</x:v>
      </x:c>
      <x:c r="I77" s="17">
        <x:v>0</x:v>
      </x:c>
      <x:c r="J77" s="17">
        <x:v>0</x:v>
      </x:c>
      <x:c r="K77" s="17">
        <x:f t="shared" si="39"/>
        <x:v>0</x:v>
      </x:c>
    </x:row>
    <x:row r="78" spans="1:13" ht="13" x14ac:dyDescent="0.3">
      <x:c r="A78" s="4">
        <x:f t="shared" si="37"/>
        <x:v>69</x:v>
      </x:c>
      <x:c r="B78" s="5" t="s">
        <x:v>36</x:v>
      </x:c>
      <x:c r="C78" s="12"/>
      <x:c r="D78" s="18">
        <x:f t="shared" ref="D78:K78" si="40">SUM(D75:D77)</x:f>
        <x:v>-457517.75</x:v>
      </x:c>
      <x:c r="E78" s="18">
        <x:f t="shared" si="40"/>
        <x:v>45748.140000000043</x:v>
      </x:c>
      <x:c r="F78" s="18">
        <x:f t="shared" si="40"/>
        <x:v>-411769.61</x:v>
      </x:c>
      <x:c r="G78" s="18">
        <x:f t="shared" si="40"/>
        <x:v>-96078.73</x:v>
      </x:c>
      <x:c r="H78" s="18">
        <x:f t="shared" si="40"/>
        <x:v>0</x:v>
      </x:c>
      <x:c r="I78" s="18">
        <x:f t="shared" si="40"/>
        <x:v>9607.11</x:v>
      </x:c>
      <x:c r="J78" s="18">
        <x:f t="shared" si="40"/>
        <x:v>-86471.62</x:v>
      </x:c>
      <x:c r="K78" s="18">
        <x:f t="shared" si="40"/>
        <x:v>-86471.62</x:v>
      </x:c>
    </x:row>
    <x:row r="79" spans="1:13" ht="13" x14ac:dyDescent="0.3">
      <x:c r="A79" s="4">
        <x:f t="shared" si="37"/>
        <x:v>70</x:v>
      </x:c>
      <x:c r="E79" s="33"/>
      <x:c r="F79" s="33"/>
      <x:c r="G79" s="33"/>
      <x:c r="H79" s="33"/>
      <x:c r="I79" s="33"/>
      <x:c r="J79" s="33"/>
      <x:c r="K79" s="33"/>
      <x:c r="L79" s="25"/>
      <x:c r="M79" s="25"/>
    </x:row>
    <x:row r="80" spans="1:13" ht="13" x14ac:dyDescent="0.3">
      <x:c r="A80" s="4">
        <x:f t="shared" si="37"/>
        <x:v>71</x:v>
      </x:c>
      <x:c r="B80" s="1" t="s">
        <x:v>15</x:v>
      </x:c>
      <x:c r="C80" s="4">
        <x:v>2022</x:v>
      </x:c>
      <x:c r="D80" s="17">
        <x:v>0</x:v>
      </x:c>
      <x:c r="E80" s="17">
        <x:f t="shared" ref="E80:E82" si="41">+F80-D80</x:f>
        <x:v>0</x:v>
      </x:c>
      <x:c r="F80" s="17">
        <x:v>0</x:v>
      </x:c>
      <x:c r="G80" s="17">
        <x:v>0</x:v>
      </x:c>
      <x:c r="H80" s="17">
        <x:v>0</x:v>
      </x:c>
      <x:c r="I80" s="17">
        <x:v>0</x:v>
      </x:c>
      <x:c r="J80" s="17">
        <x:v>0</x:v>
      </x:c>
      <x:c r="K80" s="17">
        <x:v>0</x:v>
      </x:c>
      <x:c r="L80" s="25"/>
      <x:c r="M80" s="25"/>
    </x:row>
    <x:row r="81" spans="1:13" ht="13" x14ac:dyDescent="0.3">
      <x:c r="A81" s="4">
        <x:f t="shared" si="37"/>
        <x:v>72</x:v>
      </x:c>
      <x:c r="B81" s="1" t="s">
        <x:v>15</x:v>
      </x:c>
      <x:c r="C81" s="4">
        <x:v>2023</x:v>
      </x:c>
      <x:c r="D81" s="17">
        <x:v>0</x:v>
      </x:c>
      <x:c r="E81" s="17">
        <x:f t="shared" si="41"/>
        <x:v>0</x:v>
      </x:c>
      <x:c r="F81" s="17">
        <x:v>0</x:v>
      </x:c>
      <x:c r="G81" s="17">
        <x:v>0</x:v>
      </x:c>
      <x:c r="H81" s="17">
        <x:v>0</x:v>
      </x:c>
      <x:c r="I81" s="17">
        <x:v>0</x:v>
      </x:c>
      <x:c r="J81" s="17">
        <x:v>0</x:v>
      </x:c>
      <x:c r="K81" s="17">
        <x:v>0</x:v>
      </x:c>
      <x:c r="L81" s="25"/>
      <x:c r="M81" s="25"/>
    </x:row>
    <x:row r="82" spans="1:13" ht="13" x14ac:dyDescent="0.3">
      <x:c r="A82" s="4">
        <x:f t="shared" si="37"/>
        <x:v>73</x:v>
      </x:c>
      <x:c r="B82" s="1" t="s">
        <x:v>15</x:v>
      </x:c>
      <x:c r="C82" s="4">
        <x:v>2024</x:v>
      </x:c>
      <x:c r="D82" s="17">
        <x:v>0</x:v>
      </x:c>
      <x:c r="E82" s="17">
        <x:f t="shared" si="41"/>
        <x:v>0</x:v>
      </x:c>
      <x:c r="F82" s="17">
        <x:v>0</x:v>
      </x:c>
      <x:c r="G82" s="17">
        <x:v>0</x:v>
      </x:c>
      <x:c r="H82" s="17">
        <x:v>0</x:v>
      </x:c>
      <x:c r="I82" s="17">
        <x:v>0</x:v>
      </x:c>
      <x:c r="J82" s="17">
        <x:v>0</x:v>
      </x:c>
      <x:c r="K82" s="17">
        <x:v>0</x:v>
      </x:c>
      <x:c r="L82" s="25"/>
      <x:c r="M82" s="25"/>
    </x:row>
    <x:row r="83" spans="1:13" s="5" customFormat="1" ht="13" x14ac:dyDescent="0.3">
      <x:c r="A83" s="4">
        <x:f t="shared" si="37"/>
        <x:v>74</x:v>
      </x:c>
      <x:c r="B83" s="5" t="s">
        <x:v>39</x:v>
      </x:c>
      <x:c r="C83" s="12"/>
      <x:c r="D83" s="18">
        <x:f t="shared" ref="D83:K83" si="42">SUM(D80:D82)</x:f>
        <x:v>0</x:v>
      </x:c>
      <x:c r="E83" s="18">
        <x:f t="shared" si="42"/>
        <x:v>0</x:v>
      </x:c>
      <x:c r="F83" s="18">
        <x:f t="shared" si="42"/>
        <x:v>0</x:v>
      </x:c>
      <x:c r="G83" s="18">
        <x:f t="shared" si="42"/>
        <x:v>0</x:v>
      </x:c>
      <x:c r="H83" s="18">
        <x:f t="shared" si="42"/>
        <x:v>0</x:v>
      </x:c>
      <x:c r="I83" s="18">
        <x:f t="shared" si="42"/>
        <x:v>0</x:v>
      </x:c>
      <x:c r="J83" s="18">
        <x:f t="shared" si="42"/>
        <x:v>0</x:v>
      </x:c>
      <x:c r="K83" s="18">
        <x:f t="shared" si="42"/>
        <x:v>0</x:v>
      </x:c>
      <x:c r="M83" s="19"/>
    </x:row>
    <x:row r="84" spans="1:13" ht="13" x14ac:dyDescent="0.3">
      <x:c r="A84" s="4">
        <x:f t="shared" si="37"/>
        <x:v>75</x:v>
      </x:c>
      <x:c r="E84" s="33"/>
      <x:c r="F84" s="33"/>
      <x:c r="G84" s="33"/>
      <x:c r="H84" s="33"/>
      <x:c r="I84" s="33"/>
      <x:c r="J84" s="33"/>
      <x:c r="K84" s="33"/>
      <x:c r="L84" s="25"/>
      <x:c r="M84" s="25"/>
    </x:row>
    <x:row r="85" spans="1:13" ht="13" x14ac:dyDescent="0.3">
      <x:c r="A85" s="4">
        <x:f t="shared" si="37"/>
        <x:v>76</x:v>
      </x:c>
      <x:c r="B85" s="1" t="s">
        <x:v>45</x:v>
      </x:c>
      <x:c r="C85" s="4" t="s">
        <x:v>45</x:v>
      </x:c>
      <x:c r="D85" s="17">
        <x:v>-120207566.27</x:v>
      </x:c>
      <x:c r="E85" s="17">
        <x:f t="shared" ref="E85:E86" si="43">+F85-D85</x:f>
        <x:v>6215645.6299999952</x:v>
      </x:c>
      <x:c r="F85" s="17">
        <x:v>-113991920.64</x:v>
      </x:c>
      <x:c r="G85" s="17">
        <x:v>-25243588.920000002</x:v>
      </x:c>
      <x:c r="H85" s="17">
        <x:v>0</x:v>
      </x:c>
      <x:c r="I85" s="17">
        <x:v>1305285.58</x:v>
      </x:c>
      <x:c r="J85" s="17">
        <x:v>-23938303.34</x:v>
      </x:c>
      <x:c r="K85" s="17">
        <x:v>-23938303.334399998</x:v>
      </x:c>
      <x:c r="L85" s="25"/>
      <x:c r="M85" s="25"/>
    </x:row>
    <x:row r="86" spans="1:13" ht="13" x14ac:dyDescent="0.3">
      <x:c r="A86" s="4">
        <x:f t="shared" si="37"/>
        <x:v>77</x:v>
      </x:c>
      <x:c r="B86" s="1" t="s">
        <x:v>45</x:v>
      </x:c>
      <x:c r="C86" s="4" t="s">
        <x:v>46</x:v>
      </x:c>
      <x:c r="D86" s="17">
        <x:v>0</x:v>
      </x:c>
      <x:c r="E86" s="17">
        <x:f t="shared" si="43"/>
        <x:v>0</x:v>
      </x:c>
      <x:c r="F86" s="17">
        <x:v>0</x:v>
      </x:c>
      <x:c r="G86" s="17">
        <x:v>-3490825.18</x:v>
      </x:c>
      <x:c r="H86" s="17">
        <x:v>0</x:v>
      </x:c>
      <x:c r="I86" s="17">
        <x:v>-1229216.9600000002</x:v>
      </x:c>
      <x:c r="J86" s="17">
        <x:v>-4720042.1400000006</x:v>
      </x:c>
      <x:c r="K86" s="17">
        <x:v>0</x:v>
      </x:c>
      <x:c r="L86" s="25"/>
      <x:c r="M86" s="25"/>
    </x:row>
    <x:row r="87" spans="1:13" ht="13" x14ac:dyDescent="0.3">
      <x:c r="A87" s="4">
        <x:f t="shared" si="37"/>
        <x:v>78</x:v>
      </x:c>
      <x:c r="B87" s="5" t="s">
        <x:v>47</x:v>
      </x:c>
      <x:c r="D87" s="18">
        <x:f>SUM(D85:D86)</x:f>
        <x:v>-120207566.27</x:v>
      </x:c>
      <x:c r="E87" s="18">
        <x:f t="shared" ref="E87:K87" si="44">SUM(E85:E86)</x:f>
        <x:v>6215645.6299999952</x:v>
      </x:c>
      <x:c r="F87" s="18">
        <x:f t="shared" si="44"/>
        <x:v>-113991920.64</x:v>
      </x:c>
      <x:c r="G87" s="18">
        <x:f t="shared" si="44"/>
        <x:v>-28734414.100000001</x:v>
      </x:c>
      <x:c r="H87" s="18">
        <x:f t="shared" si="44"/>
        <x:v>0</x:v>
      </x:c>
      <x:c r="I87" s="18">
        <x:f t="shared" si="44"/>
        <x:v>76068.619999999879</x:v>
      </x:c>
      <x:c r="J87" s="18">
        <x:f t="shared" si="44"/>
        <x:v>-28658345.48</x:v>
      </x:c>
      <x:c r="K87" s="18">
        <x:f t="shared" si="44"/>
        <x:v>-23938303.334399998</x:v>
      </x:c>
      <x:c r="L87" s="25"/>
      <x:c r="M87" s="25"/>
    </x:row>
    <x:row r="88" spans="1:13" ht="13" x14ac:dyDescent="0.3">
      <x:c r="A88" s="4">
        <x:f t="shared" si="37"/>
        <x:v>79</x:v>
      </x:c>
      <x:c r="B88" s="5"/>
      <x:c r="D88" s="34"/>
      <x:c r="E88" s="34"/>
      <x:c r="F88" s="34"/>
      <x:c r="G88" s="34"/>
      <x:c r="H88" s="34"/>
      <x:c r="I88" s="34"/>
      <x:c r="J88" s="34"/>
      <x:c r="K88" s="34"/>
      <x:c r="L88" s="25"/>
      <x:c r="M88" s="25"/>
    </x:row>
    <x:row r="89" spans="1:13" s="5" customFormat="1" ht="13" x14ac:dyDescent="0.3">
      <x:c r="A89" s="4">
        <x:f t="shared" si="37"/>
        <x:v>80</x:v>
      </x:c>
      <x:c r="B89" s="1" t="s">
        <x:v>17</x:v>
      </x:c>
      <x:c r="C89" s="4">
        <x:v>2022</x:v>
      </x:c>
      <x:c r="D89" s="17">
        <x:v>0</x:v>
      </x:c>
      <x:c r="E89" s="17">
        <x:f t="shared" ref="E89:E91" si="45">+F89-D89</x:f>
        <x:v>0</x:v>
      </x:c>
      <x:c r="F89" s="17">
        <x:v>0</x:v>
      </x:c>
      <x:c r="G89" s="17">
        <x:v>0</x:v>
      </x:c>
      <x:c r="H89" s="17">
        <x:v>0</x:v>
      </x:c>
      <x:c r="I89" s="17">
        <x:v>0</x:v>
      </x:c>
      <x:c r="J89" s="17">
        <x:v>0</x:v>
      </x:c>
      <x:c r="K89" s="17">
        <x:v>0</x:v>
      </x:c>
      <x:c r="M89" s="19"/>
    </x:row>
    <x:row r="90" spans="1:13" ht="13" x14ac:dyDescent="0.3">
      <x:c r="A90" s="4">
        <x:f t="shared" si="37"/>
        <x:v>81</x:v>
      </x:c>
      <x:c r="B90" s="1" t="s">
        <x:v>17</x:v>
      </x:c>
      <x:c r="C90" s="4">
        <x:v>2023</x:v>
      </x:c>
      <x:c r="D90" s="17">
        <x:v>0</x:v>
      </x:c>
      <x:c r="E90" s="17">
        <x:f t="shared" si="45"/>
        <x:v>0</x:v>
      </x:c>
      <x:c r="F90" s="17">
        <x:v>0</x:v>
      </x:c>
      <x:c r="G90" s="17">
        <x:v>0</x:v>
      </x:c>
      <x:c r="H90" s="17">
        <x:v>0</x:v>
      </x:c>
      <x:c r="I90" s="17">
        <x:v>0</x:v>
      </x:c>
      <x:c r="J90" s="17">
        <x:v>0</x:v>
      </x:c>
      <x:c r="K90" s="17">
        <x:v>0</x:v>
      </x:c>
      <x:c r="L90" s="25"/>
      <x:c r="M90" s="25"/>
    </x:row>
    <x:row r="91" spans="1:13" ht="13" x14ac:dyDescent="0.3">
      <x:c r="A91" s="4">
        <x:f t="shared" si="37"/>
        <x:v>82</x:v>
      </x:c>
      <x:c r="B91" s="1" t="s">
        <x:v>17</x:v>
      </x:c>
      <x:c r="C91" s="4">
        <x:v>2024</x:v>
      </x:c>
      <x:c r="D91" s="17">
        <x:v>0</x:v>
      </x:c>
      <x:c r="E91" s="17">
        <x:f t="shared" si="45"/>
        <x:v>0</x:v>
      </x:c>
      <x:c r="F91" s="17">
        <x:v>0</x:v>
      </x:c>
      <x:c r="G91" s="17">
        <x:v>0</x:v>
      </x:c>
      <x:c r="H91" s="17">
        <x:v>0</x:v>
      </x:c>
      <x:c r="I91" s="17">
        <x:v>0</x:v>
      </x:c>
      <x:c r="J91" s="17">
        <x:v>0</x:v>
      </x:c>
      <x:c r="K91" s="17">
        <x:v>0</x:v>
      </x:c>
      <x:c r="L91" s="25"/>
      <x:c r="M91" s="25"/>
    </x:row>
    <x:row r="92" spans="1:13" ht="13" x14ac:dyDescent="0.3">
      <x:c r="A92" s="4">
        <x:f t="shared" si="37"/>
        <x:v>83</x:v>
      </x:c>
      <x:c r="B92" s="5" t="s">
        <x:v>41</x:v>
      </x:c>
      <x:c r="D92" s="18">
        <x:f t="shared" ref="D92:K92" si="46">SUM(D89:D91)</x:f>
        <x:v>0</x:v>
      </x:c>
      <x:c r="E92" s="18">
        <x:f t="shared" si="46"/>
        <x:v>0</x:v>
      </x:c>
      <x:c r="F92" s="18">
        <x:f t="shared" si="46"/>
        <x:v>0</x:v>
      </x:c>
      <x:c r="G92" s="18">
        <x:f t="shared" si="46"/>
        <x:v>0</x:v>
      </x:c>
      <x:c r="H92" s="18">
        <x:f t="shared" si="46"/>
        <x:v>0</x:v>
      </x:c>
      <x:c r="I92" s="18">
        <x:f t="shared" si="46"/>
        <x:v>0</x:v>
      </x:c>
      <x:c r="J92" s="18">
        <x:f t="shared" si="46"/>
        <x:v>0</x:v>
      </x:c>
      <x:c r="K92" s="18">
        <x:f t="shared" si="46"/>
        <x:v>0</x:v>
      </x:c>
      <x:c r="L92" s="25"/>
      <x:c r="M92" s="25"/>
    </x:row>
    <x:row r="93" spans="1:13" ht="13" x14ac:dyDescent="0.3">
      <x:c r="A93" s="4">
        <x:f t="shared" si="37"/>
        <x:v>84</x:v>
      </x:c>
      <x:c r="E93" s="33"/>
      <x:c r="F93" s="33"/>
      <x:c r="G93" s="33"/>
      <x:c r="H93" s="33"/>
      <x:c r="I93" s="33"/>
      <x:c r="J93" s="33"/>
      <x:c r="K93" s="33"/>
      <x:c r="L93" s="25"/>
      <x:c r="M93" s="25"/>
    </x:row>
    <x:row r="94" spans="1:13" ht="13.5" thickBot="1" x14ac:dyDescent="0.35">
      <x:c r="A94" s="4">
        <x:f t="shared" si="37"/>
        <x:v>85</x:v>
      </x:c>
      <x:c r="B94" s="22" t="s">
        <x:v>49</x:v>
      </x:c>
      <x:c r="D94" s="23">
        <x:f t="shared" ref="D94:K94" si="47">+D68+D73+D78+D83+D87+D92</x:f>
        <x:v>-120651819.50999999</x:v>
      </x:c>
      <x:c r="E94" s="23">
        <x:f t="shared" si="47"/>
        <x:v>6334243.3799999952</x:v>
      </x:c>
      <x:c r="F94" s="23">
        <x:f t="shared" si="47"/>
        <x:v>-114317576.13</x:v>
      </x:c>
      <x:c r="G94" s="23">
        <x:f t="shared" si="47"/>
        <x:v>-28827707.240000002</x:v>
      </x:c>
      <x:c r="H94" s="23">
        <x:f t="shared" si="47"/>
        <x:v>15292.73</x:v>
      </x:c>
      <x:c r="I94" s="23">
        <x:f t="shared" si="47"/>
        <x:v>85681.439999999886</x:v>
      </x:c>
      <x:c r="J94" s="23">
        <x:f t="shared" si="47"/>
        <x:v>-28726733.07</x:v>
      </x:c>
      <x:c r="K94" s="23">
        <x:f t="shared" si="47"/>
        <x:v>-24006690.984399997</x:v>
      </x:c>
      <x:c r="L94" s="25"/>
      <x:c r="M94" s="25"/>
    </x:row>
    <x:row r="95" spans="1:13" s="5" customFormat="1" ht="13" x14ac:dyDescent="0.3">
      <x:c r="A95" s="4">
        <x:f t="shared" si="37"/>
        <x:v>86</x:v>
      </x:c>
      <x:c r="B95" s="22"/>
      <x:c r="C95" s="4"/>
      <x:c r="D95" s="19"/>
      <x:c r="E95" s="19"/>
      <x:c r="F95" s="19"/>
      <x:c r="G95" s="19"/>
      <x:c r="H95" s="19"/>
      <x:c r="I95" s="19"/>
      <x:c r="J95" s="19"/>
      <x:c r="K95" s="19"/>
      <x:c r="M95" s="19"/>
    </x:row>
    <x:row r="96" spans="1:13" ht="13" x14ac:dyDescent="0.3">
      <x:c r="A96" s="4">
        <x:f t="shared" si="37"/>
        <x:v>87</x:v>
      </x:c>
      <x:c r="E96" s="33"/>
      <x:c r="F96" s="33"/>
      <x:c r="G96" s="33"/>
      <x:c r="H96" s="33"/>
      <x:c r="I96" s="33"/>
      <x:c r="J96" s="33"/>
      <x:c r="K96" s="33"/>
      <x:c r="L96" s="25"/>
      <x:c r="M96" s="25"/>
    </x:row>
    <x:row r="97" spans="1:13" ht="13.5" thickBot="1" x14ac:dyDescent="0.35">
      <x:c r="A97" s="4">
        <x:f t="shared" si="37"/>
        <x:v>88</x:v>
      </x:c>
      <x:c r="B97" s="5" t="s">
        <x:v>43</x:v>
      </x:c>
      <x:c r="D97" s="26">
        <x:f t="shared" ref="D97:K97" si="48">+D61+D94</x:f>
        <x:v>-717080295.29999983</x:v>
      </x:c>
      <x:c r="E97" s="26">
        <x:f t="shared" si="48"/>
        <x:v>631326657.22999978</x:v>
      </x:c>
      <x:c r="F97" s="26">
        <x:f t="shared" si="48"/>
        <x:v>-85753638.070000291</x:v>
      </x:c>
      <x:c r="G97" s="26">
        <x:f t="shared" si="48"/>
        <x:v>-156987550.88000003</x:v>
      </x:c>
      <x:c r="H97" s="26">
        <x:f t="shared" si="48"/>
        <x:v>123206141.77000001</x:v>
      </x:c>
      <x:c r="I97" s="26">
        <x:f t="shared" si="48"/>
        <x:v>-48093725.949999996</x:v>
      </x:c>
      <x:c r="J97" s="26">
        <x:f t="shared" si="48"/>
        <x:v>-81875135.060000002</x:v>
      </x:c>
      <x:c r="K97" s="26">
        <x:f t="shared" si="48"/>
        <x:v>-18008263.964400016</x:v>
      </x:c>
      <x:c r="L97" s="25"/>
      <x:c r="M97" s="25"/>
    </x:row>
    <x:row r="98" spans="1:13" ht="13" thickTop="1" x14ac:dyDescent="0.25"/>
  </x:sheetData>
  <x:mergeCells count="5">
    <x:mergeCell ref="A1:K1"/>
    <x:mergeCell ref="A2:K2"/>
    <x:mergeCell ref="A3:K3"/>
    <x:mergeCell ref="A4:K4"/>
    <x:mergeCell ref="A5:K5"/>
  </x:mergeCells>
  <x:printOptions horizontalCentered="1"/>
  <x:pageMargins left="0.5" right="0.5" top="1.75" bottom="0.25" header="1.5" footer="0.3"/>
  <x:pageSetup scale="53" orientation="landscape" r:id="rId1"/>
  <x:headerFooter>
    <x:oddHeader>&amp;R&amp;"-,Bold"WP/II-E-3.8/1
Page &amp;P of &amp;N</x:oddHeader>
  </x:headerFooter>
  <x:rowBreaks count="1" manualBreakCount="1">
    <x:brk id="62" max="16383" man="1"/>
  </x:rowBreaks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2025-03-31T18:31:02.0000000Z</dcterms:modified>
</coreProperties>
</file>